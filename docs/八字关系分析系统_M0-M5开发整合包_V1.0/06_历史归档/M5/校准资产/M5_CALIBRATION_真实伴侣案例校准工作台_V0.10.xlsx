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worksheets/sheet15.xml" ContentType="application/vnd.openxmlformats-officedocument.spreadsheetml.worksheet+xml"/>
  <Override PartName="/xl/tables/table19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0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5c152596b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指南" sheetId="1" r:id="R9a75ee9f53c6419d"/>
    <x:sheet xmlns:r="http://schemas.openxmlformats.org/officeDocument/2006/relationships" name="01_批次管理" sheetId="2" r:id="Rfa331fbeb08c40ac"/>
    <x:sheet xmlns:r="http://schemas.openxmlformats.org/officeDocument/2006/relationships" name="02_案例主档" sheetId="3" r:id="R1c77b9f51a5f48c5"/>
    <x:sheet xmlns:r="http://schemas.openxmlformats.org/officeDocument/2006/relationships" name="03_预测冻结" sheetId="4" r:id="R025f1522027f41d5"/>
    <x:sheet xmlns:r="http://schemas.openxmlformats.org/officeDocument/2006/relationships" name="04_关系事件" sheetId="5" r:id="R9d796c88ade746d2"/>
    <x:sheet xmlns:r="http://schemas.openxmlformats.org/officeDocument/2006/relationships" name="05_RG现实门槛" sheetId="6" r:id="R918e5dc5fb504634"/>
    <x:sheet xmlns:r="http://schemas.openxmlformats.org/officeDocument/2006/relationships" name="06_字段核验" sheetId="7" r:id="Rf64e3e9ecb824219"/>
    <x:sheet xmlns:r="http://schemas.openxmlformats.org/officeDocument/2006/relationships" name="07_规则命中" sheetId="8" r:id="R76d5def91957445f"/>
    <x:sheet xmlns:r="http://schemas.openxmlformats.org/officeDocument/2006/relationships" name="08_活跃规则校准" sheetId="9" r:id="R3dee41a8f0494428"/>
    <x:sheet xmlns:r="http://schemas.openxmlformats.org/officeDocument/2006/relationships" name="09_阈值校准" sheetId="10" r:id="R54de10bd522c43ba"/>
    <x:sheet xmlns:r="http://schemas.openxmlformats.org/officeDocument/2006/relationships" name="10_误差分类" sheetId="11" r:id="R41c642f208c74fc5"/>
    <x:sheet xmlns:r="http://schemas.openxmlformats.org/officeDocument/2006/relationships" name="11_语言校准" sheetId="12" r:id="R234314513f974c72"/>
    <x:sheet xmlns:r="http://schemas.openxmlformats.org/officeDocument/2006/relationships" name="12_盲评一致性" sheetId="13" r:id="R337a25156d0a478b"/>
    <x:sheet xmlns:r="http://schemas.openxmlformats.org/officeDocument/2006/relationships" name="13_结构测试" sheetId="14" r:id="Rd09c93f0edb54acc"/>
    <x:sheet xmlns:r="http://schemas.openxmlformats.org/officeDocument/2006/relationships" name="14_变更日志" sheetId="15" r:id="R34387e9958874820"/>
    <x:sheet xmlns:r="http://schemas.openxmlformats.org/officeDocument/2006/relationships" name="15_看板与版本" sheetId="16" r:id="Rd8299c8cbce242cd"/>
    <x:sheet xmlns:r="http://schemas.openxmlformats.org/officeDocument/2006/relationships" name="16_覆盖矩阵" sheetId="17" r:id="R7438711511ba457a"/>
    <x:sheet xmlns:r="http://schemas.openxmlformats.org/officeDocument/2006/relationships" name="17_词典" sheetId="18" r:id="R80da96346a9b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6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b/>
      <x:sz val="11"/>
      <x:color rgb="FFFFFFFF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f8439dc7946df" /><Relationship Type="http://schemas.openxmlformats.org/officeDocument/2006/relationships/theme" Target="/xl/theme/theme1.xml" Id="R68738fec7b3341fc" /><Relationship Type="http://schemas.openxmlformats.org/officeDocument/2006/relationships/sharedStrings" Target="/xl/sharedStrings.xml" Id="R0456a4a4ee2942bc" /><Relationship Type="http://schemas.openxmlformats.org/officeDocument/2006/relationships/worksheet" Target="/xl/worksheets/sheet1.xml" Id="R9a75ee9f53c6419d" /><Relationship Type="http://schemas.openxmlformats.org/officeDocument/2006/relationships/worksheet" Target="/xl/worksheets/sheet2.xml" Id="Rfa331fbeb08c40ac" /><Relationship Type="http://schemas.openxmlformats.org/officeDocument/2006/relationships/worksheet" Target="/xl/worksheets/sheet3.xml" Id="R1c77b9f51a5f48c5" /><Relationship Type="http://schemas.openxmlformats.org/officeDocument/2006/relationships/worksheet" Target="/xl/worksheets/sheet4.xml" Id="R025f1522027f41d5" /><Relationship Type="http://schemas.openxmlformats.org/officeDocument/2006/relationships/worksheet" Target="/xl/worksheets/sheet5.xml" Id="R9d796c88ade746d2" /><Relationship Type="http://schemas.openxmlformats.org/officeDocument/2006/relationships/worksheet" Target="/xl/worksheets/sheet6.xml" Id="R918e5dc5fb504634" /><Relationship Type="http://schemas.openxmlformats.org/officeDocument/2006/relationships/worksheet" Target="/xl/worksheets/sheet7.xml" Id="Rf64e3e9ecb824219" /><Relationship Type="http://schemas.openxmlformats.org/officeDocument/2006/relationships/worksheet" Target="/xl/worksheets/sheet8.xml" Id="R76d5def91957445f" /><Relationship Type="http://schemas.openxmlformats.org/officeDocument/2006/relationships/worksheet" Target="/xl/worksheets/sheet9.xml" Id="R3dee41a8f0494428" /><Relationship Type="http://schemas.openxmlformats.org/officeDocument/2006/relationships/worksheet" Target="/xl/worksheets/sheet10.xml" Id="R54de10bd522c43ba" /><Relationship Type="http://schemas.openxmlformats.org/officeDocument/2006/relationships/worksheet" Target="/xl/worksheets/sheet11.xml" Id="R41c642f208c74fc5" /><Relationship Type="http://schemas.openxmlformats.org/officeDocument/2006/relationships/worksheet" Target="/xl/worksheets/sheet12.xml" Id="R234314513f974c72" /><Relationship Type="http://schemas.openxmlformats.org/officeDocument/2006/relationships/worksheet" Target="/xl/worksheets/sheet13.xml" Id="R337a25156d0a478b" /><Relationship Type="http://schemas.openxmlformats.org/officeDocument/2006/relationships/worksheet" Target="/xl/worksheets/sheet14.xml" Id="Rd09c93f0edb54acc" /><Relationship Type="http://schemas.openxmlformats.org/officeDocument/2006/relationships/worksheet" Target="/xl/worksheets/sheet15.xml" Id="R34387e9958874820" /><Relationship Type="http://schemas.openxmlformats.org/officeDocument/2006/relationships/worksheet" Target="/xl/worksheets/sheet16.xml" Id="Rd8299c8cbce242cd" /><Relationship Type="http://schemas.openxmlformats.org/officeDocument/2006/relationships/worksheet" Target="/xl/worksheets/sheet17.xml" Id="R7438711511ba457a" /><Relationship Type="http://schemas.openxmlformats.org/officeDocument/2006/relationships/worksheet" Target="/xl/worksheets/sheet18.xml" Id="R80da96346a9b47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0e6675fbe846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各批次当前案例数</a:t>
            </a:r>
          </a:p>
        </c:rich>
      </c:tx>
    </c:title>
    <c:plotArea>
      <c:lineChart>
        <c:grouping val="standard"/>
        <c:ser>
          <c:idx val="0"/>
          <c:order val="0"/>
          <c:tx>
            <c:v>当前案例</c:v>
          </c:tx>
          <c:marker>
            <c:symbol val="none"/>
          </c:marker>
          <c:cat>
            <c:strRef>
              <c:f>'15_看板与版本'!$D$6:$D$11</c:f>
              <c:strCache>
                <c:ptCount val="0"/>
              </c:strCache>
            </c:strRef>
          </c:cat>
          <c:val>
            <c:numRef>
              <c:f>'15_看板与版本'!$E$6:$E$11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0e6675fbe846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lPrinciples" displayName="CalPrinciples" ref="A5:B13" headerRowCount="1" totalsRowCount="0" totalsRowShown="0">
  <x:tableColumns count="2">
    <x:tableColumn id="1" name="原则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Stages" displayName="CalStages" ref="A16:E22" headerRowCount="1" totalsRowCount="0" totalsRowShown="0">
  <x:tableColumns count="5">
    <x:tableColumn id="1" name="阶段"/>
    <x:tableColumn id="2" name="名称"/>
    <x:tableColumn id="3" name="规模"/>
    <x:tableColumn id="4" name="目标"/>
    <x:tableColumn id="5" name="退出条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Workflow" displayName="CalWorkflow" ref="A25:C33" headerRowCount="1" totalsRowCount="0" totalsRowShown="0">
  <x:tableColumns count="3">
    <x:tableColumn id="1" name="步骤"/>
    <x:tableColumn id="2" name="任务"/>
    <x:tableColumn id="3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tchTable" displayName="BatchTable" ref="A5:O11" headerRowCount="1" totalsRowCount="0" totalsRowShown="0">
  <x:tableColumns count="15">
    <x:tableColumn id="1" name="batch_id"/>
    <x:tableColumn id="2" name="阶段"/>
    <x:tableColumn id="3" name="计划规模"/>
    <x:tableColumn id="4" name="当前案例"/>
    <x:tableColumn id="5" name="已冻结"/>
    <x:tableColumn id="6" name="反馈完整"/>
    <x:tableColumn id="7" name="核心RG完整"/>
    <x:tableColumn id="8" name="纳入统计"/>
    <x:tableColumn id="9" name="开始日期"/>
    <x:tableColumn id="10" name="结束日期"/>
    <x:tableColumn id="11" name="目标"/>
    <x:tableColumn id="12" name="进入条件"/>
    <x:tableColumn id="13" name="退出条件"/>
    <x:tableColumn id="14" name="状态"/>
    <x:tableColumn id="15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eMaster" displayName="CaseMaster" ref="A5:Y105" headerRowCount="1" totalsRowCount="0" totalsRowShown="0">
  <x:tableColumns count="25">
    <x:tableColumn id="1" name="case_id"/>
    <x:tableColumn id="2" name="batch_id"/>
    <x:tableColumn id="3" name="匿名代号"/>
    <x:tableColumn id="4" name="分析者"/>
    <x:tableColumn id="5" name="复核者"/>
    <x:tableColumn id="6" name="建档日期"/>
    <x:tableColumn id="7" name="案例类型"/>
    <x:tableColumn id="8" name="关系阶段"/>
    <x:tableColumn id="9" name="关系时长_月"/>
    <x:tableColumn id="10" name="资料来源"/>
    <x:tableColumn id="11" name="同意状态"/>
    <x:tableColumn id="12" name="安全状态"/>
    <x:tableColumn id="13" name="命盘资料状态"/>
    <x:tableColumn id="14" name="对象现实资料状态"/>
    <x:tableColumn id="15" name="snapshot_id"/>
    <x:tableColumn id="16" name="事件数"/>
    <x:tableColumn id="17" name="字段核验数"/>
    <x:tableColumn id="18" name="规则命中数"/>
    <x:tableColumn id="19" name="预测冻结"/>
    <x:tableColumn id="20" name="冻结时间"/>
    <x:tableColumn id="21" name="反馈完整"/>
    <x:tableColumn id="22" name="核心RG完整"/>
    <x:tableColumn id="23" name="纳入统计"/>
    <x:tableColumn id="24" name="案例状态"/>
    <x:tableColumn id="25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napshots" displayName="Snapshots" ref="A5:AM105" headerRowCount="1" totalsRowCount="0" totalsRowShown="0">
  <x:tableColumns count="39">
    <x:tableColumn id="1" name="snapshot_id"/>
    <x:tableColumn id="2" name="case_id"/>
    <x:tableColumn id="3" name="冻结日期"/>
    <x:tableColumn id="4" name="分析者"/>
    <x:tableColumn id="5" name="盲评模式"/>
    <x:tableColumn id="6" name="report_status"/>
    <x:tableColumn id="7" name="safety_status"/>
    <x:tableColumn id="8" name="主需要"/>
    <x:tableColumn id="9" name="次需要"/>
    <x:tableColumn id="10" name="主FAM"/>
    <x:tableColumn id="11" name="主伴侣功能"/>
    <x:tableColumn id="12" name="PS"/>
    <x:tableColumn id="13" name="PV"/>
    <x:tableColumn id="14" name="XR"/>
    <x:tableColumn id="15" name="XV"/>
    <x:tableColumn id="16" name="BS"/>
    <x:tableColumn id="17" name="BV"/>
    <x:tableColumn id="18" name="RT"/>
    <x:tableColumn id="19" name="FV"/>
    <x:tableColumn id="20" name="HS"/>
    <x:tableColumn id="21" name="HV"/>
    <x:tableColumn id="22" name="主差异GT"/>
    <x:tableColumn id="23" name="总体差异GS"/>
    <x:tableColumn id="24" name="GE"/>
    <x:tableColumn id="25" name="RG总体"/>
    <x:tableColumn id="26" name="AF"/>
    <x:tableColumn id="27" name="FG"/>
    <x:tableColumn id="28" name="置信度"/>
    <x:tableColumn id="29" name="FB"/>
    <x:tableColumn id="30" name="一句话总结"/>
    <x:tableColumn id="31" name="观察1"/>
    <x:tableColumn id="32" name="观察2"/>
    <x:tableColumn id="33" name="观察3"/>
    <x:tableColumn id="34" name="停止条件"/>
    <x:tableColumn id="35" name="rule_ids"/>
    <x:tableColumn id="36" name="source_ids"/>
    <x:tableColumn id="37" name="冻结时event_ids"/>
    <x:tableColumn id="38" name="冻结状态"/>
    <x:tableColumn id="39" name="快照完整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ents" displayName="Events" ref="A5:X505" headerRowCount="1" totalsRowCount="0" totalsRowShown="0">
  <x:tableColumns count="24">
    <x:tableColumn id="1" name="event_id"/>
    <x:tableColumn id="2" name="case_id"/>
    <x:tableColumn id="3" name="序号"/>
    <x:tableColumn id="4" name="日期或阶段"/>
    <x:tableColumn id="5" name="关系气候阶段"/>
    <x:tableColumn id="6" name="情境领域"/>
    <x:tableColumn id="7" name="事件类型"/>
    <x:tableColumn id="8" name="资料来源"/>
    <x:tableColumn id="9" name="资料质量"/>
    <x:tableColumn id="10" name="独立事件"/>
    <x:tableColumn id="11" name="事件事实"/>
    <x:tableColumn id="12" name="命主行为"/>
    <x:tableColumn id="13" name="对象行为"/>
    <x:tableColumn id="14" name="交换表现"/>
    <x:tableColumn id="15" name="边界表现"/>
    <x:tableColumn id="16" name="修复表现"/>
    <x:tableColumn id="17" name="节奏表现"/>
    <x:tableColumn id="18" name="结果"/>
    <x:tableColumn id="19" name="现实反例"/>
    <x:tableColumn id="20" name="安全信号"/>
    <x:tableColumn id="21" name="关联RG"/>
    <x:tableColumn id="22" name="证据路由"/>
    <x:tableColumn id="23" name="复核者"/>
    <x:tableColumn id="24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GTable" displayName="RGTable" ref="A5:O405" headerRowCount="1" totalsRowCount="0" totalsRowShown="0">
  <x:tableColumns count="15">
    <x:tableColumn id="1" name="rg_eval_id"/>
    <x:tableColumn id="2" name="case_id"/>
    <x:tableColumn id="3" name="snapshot_id"/>
    <x:tableColumn id="4" name="RG代码"/>
    <x:tableColumn id="5" name="RG名称"/>
    <x:tableColumn id="6" name="预测状态"/>
    <x:tableColumn id="7" name="现实状态"/>
    <x:tableColumn id="8" name="匹配等级"/>
    <x:tableColumn id="9" name="证据摘要"/>
    <x:tableColumn id="10" name="event_ids"/>
    <x:tableColumn id="11" name="有效条件"/>
    <x:tableColumn id="12" name="失效点"/>
    <x:tableColumn id="13" name="门槛级别"/>
    <x:tableColumn id="14" name="复核者"/>
    <x:tableColumn id="15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eldEval" displayName="FieldEval" ref="A5:T805" headerRowCount="1" totalsRowCount="0" totalsRowShown="0">
  <x:tableColumns count="20">
    <x:tableColumn id="1" name="eval_id"/>
    <x:tableColumn id="2" name="case_id"/>
    <x:tableColumn id="3" name="snapshot_id"/>
    <x:tableColumn id="4" name="模块"/>
    <x:tableColumn id="5" name="输出字段"/>
    <x:tableColumn id="6" name="预测值"/>
    <x:tableColumn id="7" name="现实值"/>
    <x:tableColumn id="8" name="匹配等级"/>
    <x:tableColumn id="9" name="匹配分"/>
    <x:tableColumn id="10" name="假阳性"/>
    <x:tableColumn id="11" name="假阴性"/>
    <x:tableColumn id="12" name="可评估"/>
    <x:tableColumn id="13" name="现实证据等级"/>
    <x:tableColumn id="14" name="event_ids"/>
    <x:tableColumn id="15" name="现实反例"/>
    <x:tableColumn id="16" name="偏差代码"/>
    <x:tableColumn id="17" name="语言问题"/>
    <x:tableColumn id="18" name="复核者"/>
    <x:tableColumn id="19" name="复核状态"/>
    <x:tableColumn id="20" name="备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uleHits" displayName="RuleHits" ref="A5:Q1005" headerRowCount="1" totalsRowCount="0" totalsRowShown="0">
  <x:tableColumns count="17">
    <x:tableColumn id="1" name="hit_id"/>
    <x:tableColumn id="2" name="case_id"/>
    <x:tableColumn id="3" name="snapshot_id"/>
    <x:tableColumn id="4" name="rule_id"/>
    <x:tableColumn id="5" name="模块"/>
    <x:tableColumn id="6" name="function_family"/>
    <x:tableColumn id="7" name="命中字段"/>
    <x:tableColumn id="8" name="反馈前已命中"/>
    <x:tableColumn id="9" name="现实证据等级"/>
    <x:tableColumn id="10" name="支持类型"/>
    <x:tableColumn id="11" name="严重度"/>
    <x:tableColumn id="12" name="假阳性"/>
    <x:tableColumn id="13" name="假阴性"/>
    <x:tableColumn id="14" name="source_id"/>
    <x:tableColumn id="15" name="event_id"/>
    <x:tableColumn id="16" name="复核者"/>
    <x:tableColumn id="17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ctiveRules" displayName="ActiveRules" ref="A5:Y605" headerRowCount="1" totalsRowCount="0" totalsRowShown="0">
  <x:tableColumns count="25">
    <x:tableColumn id="1" name="rule_id"/>
    <x:tableColumn id="2" name="模块"/>
    <x:tableColumn id="3" name="校准优先级"/>
    <x:tableColumn id="4" name="规则名称"/>
    <x:tableColumn id="5" name="层级"/>
    <x:tableColumn id="6" name="规则类型"/>
    <x:tableColumn id="7" name="规则优先级"/>
    <x:tableColumn id="8" name="当前状态"/>
    <x:tableColumn id="9" name="支持"/>
    <x:tableColumn id="10" name="部分支持"/>
    <x:tableColumn id="11" name="反例"/>
    <x:tableColumn id="12" name="不确定"/>
    <x:tableColumn id="13" name="不可评估"/>
    <x:tableColumn id="14" name="可评数"/>
    <x:tableColumn id="15" name="加权支持率"/>
    <x:tableColumn id="16" name="平滑支持率"/>
    <x:tableColumn id="17" name="严重反例"/>
    <x:tableColumn id="18" name="假阳性"/>
    <x:tableColumn id="19" name="假阴性"/>
    <x:tableColumn id="20" name="反馈前命中"/>
    <x:tableColumn id="21" name="反馈后新增"/>
    <x:tableColumn id="22" name="自动建议"/>
    <x:tableColumn id="23" name="建议状态"/>
    <x:tableColumn id="24" name="人工结论"/>
    <x:tableColumn id="25" name="备注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hresholds" displayName="Thresholds" ref="A5:Q33" headerRowCount="1" totalsRowCount="0" totalsRowShown="0">
  <x:tableColumns count="17">
    <x:tableColumn id="1" name="threshold_id"/>
    <x:tableColumn id="2" name="模块"/>
    <x:tableColumn id="3" name="对象"/>
    <x:tableColumn id="4" name="当前值"/>
    <x:tableColumn id="5" name="单位／逻辑"/>
    <x:tableColumn id="6" name="领先差"/>
    <x:tableColumn id="7" name="最少独立来源"/>
    <x:tableColumn id="8" name="不可越过硬条件"/>
    <x:tableColumn id="9" name="可评案例"/>
    <x:tableColumn id="10" name="假阳性"/>
    <x:tableColumn id="11" name="假阴性"/>
    <x:tableColumn id="12" name="观察支持率"/>
    <x:tableColumn id="13" name="自动建议"/>
    <x:tableColumn id="14" name="候选值"/>
    <x:tableColumn id="15" name="人工决定"/>
    <x:tableColumn id="16" name="状态"/>
    <x:tableColumn id="17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ErrorTypes" displayName="ErrorTypes" ref="A5:D21" headerRowCount="1" totalsRowCount="0" totalsRowShown="0">
  <x:tableColumns count="4">
    <x:tableColumn id="1" name="代码"/>
    <x:tableColumn id="2" name="名称"/>
    <x:tableColumn id="3" name="定义"/>
    <x:tableColumn id="4" name="优先动作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rrorLog" displayName="ErrorLog" ref="A24:N224" headerRowCount="1" totalsRowCount="0" totalsRowShown="0">
  <x:tableColumns count="14">
    <x:tableColumn id="1" name="error_id"/>
    <x:tableColumn id="2" name="case_id"/>
    <x:tableColumn id="3" name="snapshot_id"/>
    <x:tableColumn id="4" name="eval_or_hit_id"/>
    <x:tableColumn id="5" name="错误代码"/>
    <x:tableColumn id="6" name="严重度"/>
    <x:tableColumn id="7" name="假阳性"/>
    <x:tableColumn id="8" name="假阴性"/>
    <x:tableColumn id="9" name="问题描述"/>
    <x:tableColumn id="10" name="根因"/>
    <x:tableColumn id="11" name="建议动作"/>
    <x:tableColumn id="12" name="负责人"/>
    <x:tableColumn id="13" name="状态"/>
    <x:tableColumn id="14" name="备注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LanguageTypes" displayName="LanguageTypes" ref="A5:B15" headerRowCount="1" totalsRowCount="0" totalsRowShown="0">
  <x:tableColumns count="2">
    <x:tableColumn id="1" name="代码"/>
    <x:tableColumn id="2" name="语言问题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LanguageLog" displayName="LanguageLog" ref="A18:M218" headerRowCount="1" totalsRowCount="0" totalsRowShown="0">
  <x:tableColumns count="13">
    <x:tableColumn id="1" name="phrase_id"/>
    <x:tableColumn id="2" name="case_id"/>
    <x:tableColumn id="3" name="模块"/>
    <x:tableColumn id="4" name="rule_id"/>
    <x:tableColumn id="5" name="原始文本"/>
    <x:tableColumn id="6" name="问题代码"/>
    <x:tableColumn id="7" name="用户反馈"/>
    <x:tableColumn id="8" name="修订文本"/>
    <x:tableColumn id="9" name="已加证据边界"/>
    <x:tableColumn id="10" name="已加行动性"/>
    <x:tableColumn id="11" name="复核者"/>
    <x:tableColumn id="12" name="状态"/>
    <x:tableColumn id="13" name="备注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BlindReview" displayName="BlindReview" ref="A5:P205" headerRowCount="1" totalsRowCount="0" totalsRowShown="0">
  <x:tableColumns count="16">
    <x:tableColumn id="1" name="review_id"/>
    <x:tableColumn id="2" name="case_id"/>
    <x:tableColumn id="3" name="snapshot_id"/>
    <x:tableColumn id="4" name="模块"/>
    <x:tableColumn id="5" name="字段"/>
    <x:tableColumn id="6" name="复核者A"/>
    <x:tableColumn id="7" name="A值"/>
    <x:tableColumn id="8" name="复核者B"/>
    <x:tableColumn id="9" name="B值"/>
    <x:tableColumn id="10" name="完全一致"/>
    <x:tableColumn id="11" name="裁决一致分"/>
    <x:tableColumn id="12" name="裁决值"/>
    <x:tableColumn id="13" name="裁决者"/>
    <x:tableColumn id="14" name="分歧原因"/>
    <x:tableColumn id="15" name="状态"/>
    <x:tableColumn id="16" name="备注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tructureTests" displayName="StructureTests" ref="A5:M37" headerRowCount="1" totalsRowCount="0" totalsRowShown="0">
  <x:tableColumns count="13">
    <x:tableColumn id="1" name="测试ID"/>
    <x:tableColumn id="2" name="类别"/>
    <x:tableColumn id="3" name="输入情境"/>
    <x:tableColumn id="4" name="期望status"/>
    <x:tableColumn id="5" name="期望AF"/>
    <x:tableColumn id="6" name="期望FG"/>
    <x:tableColumn id="7" name="期望关键输出"/>
    <x:tableColumn id="8" name="实际status"/>
    <x:tableColumn id="9" name="实际AF"/>
    <x:tableColumn id="10" name="实际FG"/>
    <x:tableColumn id="11" name="实际关键输出"/>
    <x:tableColumn id="12" name="结果"/>
    <x:tableColumn id="13" name="备注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hangeLog" displayName="ChangeLog" ref="A5:Q205" headerRowCount="1" totalsRowCount="0" totalsRowShown="0">
  <x:tableColumns count="17">
    <x:tableColumn id="1" name="change_id"/>
    <x:tableColumn id="2" name="日期"/>
    <x:tableColumn id="3" name="批次"/>
    <x:tableColumn id="4" name="对象ID"/>
    <x:tableColumn id="5" name="模块"/>
    <x:tableColumn id="6" name="变更类型"/>
    <x:tableColumn id="7" name="旧内容"/>
    <x:tableColumn id="8" name="新内容"/>
    <x:tableColumn id="9" name="原因"/>
    <x:tableColumn id="10" name="支持案例"/>
    <x:tableColumn id="11" name="反例案例"/>
    <x:tableColumn id="12" name="风险"/>
    <x:tableColumn id="13" name="提出人"/>
    <x:tableColumn id="14" name="批准人"/>
    <x:tableColumn id="15" name="状态"/>
    <x:tableColumn id="16" name="目标版本"/>
    <x:tableColumn id="17" name="备注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DashboardKPIs" displayName="DashboardKPIs" ref="A5:B21" headerRowCount="1" totalsRowCount="0" totalsRowShown="0">
  <x:tableColumns count="2">
    <x:tableColumn id="1" name="核心指标"/>
    <x:tableColumn id="2" name="当前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c96b2ad16848a8" /><Relationship Type="http://schemas.openxmlformats.org/officeDocument/2006/relationships/table" Target="/xl/tables/table2.xml" Id="R374180091ab24870" /><Relationship Type="http://schemas.openxmlformats.org/officeDocument/2006/relationships/table" Target="/xl/tables/table3.xml" Id="Rc9d64821199c4e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43b8fcd54a054d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6acb339893c240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dc7b638f374c4c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d4844ce55e1548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b16dab0ebacb49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0e680e92275646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99e6fdb63bc845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7117d3f0cd1645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5c1e352810074e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8d1581cd8c404814" /><Relationship Type="http://schemas.openxmlformats.org/officeDocument/2006/relationships/table" Target="/xl/tables/table14.xml" Id="R5014cdbf0c38402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997682d4d45d42c6" /><Relationship Type="http://schemas.openxmlformats.org/officeDocument/2006/relationships/table" Target="/xl/tables/table16.xml" Id="R22635368478140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7.xml" Id="R5b44b7fc89924cf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8.xml" Id="R7a9c66cfa8fa40f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9.xml" Id="Rbfda9c8656b14b7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edea98128af0446e" /><Relationship Type="http://schemas.openxmlformats.org/officeDocument/2006/relationships/table" Target="/xl/tables/table20.xml" Id="R713908b04a6144c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0" hidden="0" customWidth="1"/>
    <x:col min="4" max="4" width="64" hidden="0" customWidth="1"/>
    <x:col min="5" max="5" width="60" hidden="0" customWidth="1"/>
  </x:cols>
  <x:sheetData>
    <x:row r="1">
      <x:c r="A1" s="6" t="str">
        <x:v>M5-CALIBRATION 真实伴侣案例校准工作台 V0.10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16" t="str">
        <x:v>预测先冻结；现实事件逐项核验；安全、现实门槛、同源去重和反例优先。</x:v>
      </x:c>
      <x:c r="B3" s="16"/>
      <x:c r="C3" s="16"/>
      <x:c r="D3" s="16"/>
      <x:c r="E3" s="16"/>
      <x:c r="F3" s="16"/>
      <x:c r="G3" s="16"/>
      <x:c r="H3" s="16"/>
    </x:row>
    <x:row r="5">
      <x:c r="A5" s="26" t="str">
        <x:v>原则</x:v>
      </x:c>
      <x:c r="B5" s="26" t="str">
        <x:v>说明</x:v>
      </x:c>
    </x:row>
    <x:row r="6">
      <x:c r="A6" s="34" t="str">
        <x:v>预测冻结</x:v>
      </x:c>
      <x:c r="B6" s="34" t="str">
        <x:v>完整反馈前冻结快照；未冻结案例只用于探索。</x:v>
      </x:c>
    </x:row>
    <x:row r="7">
      <x:c r="A7" s="34" t="str">
        <x:v>逐字段核验</x:v>
      </x:c>
      <x:c r="B7" s="34" t="str">
        <x:v>分别核验需要、对象、交换、边界、修复、节奏、差异、RG、AF与FG。</x:v>
      </x:c>
    </x:row>
    <x:row r="8">
      <x:c r="A8" s="34" t="str">
        <x:v>现实行为</x:v>
      </x:c>
      <x:c r="B8" s="34" t="str">
        <x:v>只记录事实和可观察行为，不由八字补写动机。</x:v>
      </x:c>
    </x:row>
    <x:row r="9">
      <x:c r="A9" s="34" t="str">
        <x:v>同源去重</x:v>
      </x:c>
      <x:c r="B9" s="34" t="str">
        <x:v>同一source_id／event_id只算一次基础证据。</x:v>
      </x:c>
    </x:row>
    <x:row r="10">
      <x:c r="A10" s="34" t="str">
        <x:v>安全优先</x:v>
      </x:c>
      <x:c r="B10" s="34" t="str">
        <x:v>暴力、强迫、控制、跟踪、经济控制、身体或性越界立即停止普通适配解释。</x:v>
      </x:c>
    </x:row>
    <x:row r="11">
      <x:c r="A11" s="34" t="str">
        <x:v>反例优先</x:v>
      </x:c>
      <x:c r="B11" s="34" t="str">
        <x:v>假阳性、假阴性、压力失效和复发都是主要校准资料。</x:v>
      </x:c>
    </x:row>
    <x:row r="12">
      <x:c r="A12" s="34" t="str">
        <x:v>不可评估</x:v>
      </x:c>
      <x:c r="B12" s="34" t="str">
        <x:v>尚未发生的情境标记不可评估，不当作反例。</x:v>
      </x:c>
    </x:row>
    <x:row r="13">
      <x:c r="A13" s="34" t="str">
        <x:v>工程阈值</x:v>
      </x:c>
      <x:c r="B13" s="34" t="str">
        <x:v>自动建议只用于分流，不是准确率或自动裁决。</x:v>
      </x:c>
    </x:row>
    <x:row r="16">
      <x:c r="A16" s="26" t="str">
        <x:v>阶段</x:v>
      </x:c>
      <x:c r="B16" s="26" t="str">
        <x:v>名称</x:v>
      </x:c>
      <x:c r="C16" s="26" t="str">
        <x:v>规模</x:v>
      </x:c>
      <x:c r="D16" s="26" t="str">
        <x:v>目标</x:v>
      </x:c>
      <x:c r="E16" s="26" t="str">
        <x:v>退出条件</x:v>
      </x:c>
    </x:row>
    <x:row r="17">
      <x:c r="A17" s="34" t="str">
        <x:v>C0</x:v>
      </x:c>
      <x:c r="B17" s="34" t="str">
        <x:v>结构测试</x:v>
      </x:c>
      <x:c r="C17" s="34" t="str">
        <x:v>32项</x:v>
      </x:c>
      <x:c r="D17" s="34" t="str">
        <x:v>安全停止、去重、FG／AF和RG</x:v>
      </x:c>
      <x:c r="E17" s="34" t="str">
        <x:v>全部完成且无严重冲突</x:v>
      </x:c>
    </x:row>
    <x:row r="18">
      <x:c r="A18" s="34" t="str">
        <x:v>C1</x:v>
      </x:c>
      <x:c r="B18" s="34" t="str">
        <x:v>试点</x:v>
      </x:c>
      <x:c r="C18" s="34" t="str">
        <x:v>20—30例</x:v>
      </x:c>
      <x:c r="D18" s="34" t="str">
        <x:v>发现资料、阈值和语言问题</x:v>
      </x:c>
      <x:c r="E18" s="34" t="str">
        <x:v>完成首轮修订</x:v>
      </x:c>
    </x:row>
    <x:row r="19">
      <x:c r="A19" s="34" t="str">
        <x:v>C2</x:v>
      </x:c>
      <x:c r="B19" s="34" t="str">
        <x:v>扩展</x:v>
      </x:c>
      <x:c r="C19" s="34" t="str">
        <x:v>80—120例</x:v>
      </x:c>
      <x:c r="D19" s="34" t="str">
        <x:v>形成模块、FAM、RG和反例覆盖</x:v>
      </x:c>
      <x:c r="E19" s="34" t="str">
        <x:v>主要规则有分布</x:v>
      </x:c>
    </x:row>
    <x:row r="20">
      <x:c r="A20" s="34" t="str">
        <x:v>C3</x:v>
      </x:c>
      <x:c r="B20" s="34" t="str">
        <x:v>双人盲评</x:v>
      </x:c>
      <x:c r="C20" s="34" t="str">
        <x:v>≥50例</x:v>
      </x:c>
      <x:c r="D20" s="34" t="str">
        <x:v>检查编码与裁决一致性</x:v>
      </x:c>
      <x:c r="E20" s="34" t="str">
        <x:v>完成裁决流程</x:v>
      </x:c>
    </x:row>
    <x:row r="21">
      <x:c r="A21" s="34" t="str">
        <x:v>C4</x:v>
      </x:c>
      <x:c r="B21" s="34" t="str">
        <x:v>跨状态</x:v>
      </x:c>
      <x:c r="C21" s="34" t="str">
        <x:v>≥30高信息例</x:v>
      </x:c>
      <x:c r="D21" s="34" t="str">
        <x:v>压力、修复、转折和异地</x:v>
      </x:c>
      <x:c r="E21" s="34" t="str">
        <x:v>FG4门槛获现实支持</x:v>
      </x:c>
    </x:row>
    <x:row r="22">
      <x:c r="A22" s="34" t="str">
        <x:v>C5</x:v>
      </x:c>
      <x:c r="B22" s="34" t="str">
        <x:v>V1.0冻结</x:v>
      </x:c>
      <x:c r="C22" s="34" t="str">
        <x:v>条件达成</x:v>
      </x:c>
      <x:c r="D22" s="34" t="str">
        <x:v>冻结规则、阈值、语言和Schema</x:v>
      </x:c>
      <x:c r="E22" s="34" t="str">
        <x:v>发布检查通过</x:v>
      </x:c>
    </x:row>
    <x:row r="25">
      <x:c r="A25" s="26" t="str">
        <x:v>步骤</x:v>
      </x:c>
      <x:c r="B25" s="26" t="str">
        <x:v>任务</x:v>
      </x:c>
      <x:c r="C25" s="26" t="str">
        <x:v>说明</x:v>
      </x:c>
    </x:row>
    <x:row r="26">
      <x:c r="A26" s="34" t="str">
        <x:v>1</x:v>
      </x:c>
      <x:c r="B26" s="34" t="str">
        <x:v>建档</x:v>
      </x:c>
      <x:c r="C26" s="34" t="str">
        <x:v>确认同意、安全、命盘状态、资料来源和关系阶段。</x:v>
      </x:c>
    </x:row>
    <x:row r="27">
      <x:c r="A27" s="34" t="str">
        <x:v>2</x:v>
      </x:c>
      <x:c r="B27" s="34" t="str">
        <x:v>冻结预测</x:v>
      </x:c>
      <x:c r="C27" s="34" t="str">
        <x:v>保存完整M5输出、AF、FG、观察计划和来源日志。</x:v>
      </x:c>
    </x:row>
    <x:row r="28">
      <x:c r="A28" s="34" t="str">
        <x:v>3</x:v>
      </x:c>
      <x:c r="B28" s="34" t="str">
        <x:v>录入事件</x:v>
      </x:c>
      <x:c r="C28" s="34" t="str">
        <x:v>按event_id记录事实、双方行为、结果与反例。</x:v>
      </x:c>
    </x:row>
    <x:row r="29">
      <x:c r="A29" s="34" t="str">
        <x:v>4</x:v>
      </x:c>
      <x:c r="B29" s="34" t="str">
        <x:v>核验RG</x:v>
      </x:c>
      <x:c r="C29" s="34" t="str">
        <x:v>逐项判断pass、conditional、fail、unknown。</x:v>
      </x:c>
    </x:row>
    <x:row r="30">
      <x:c r="A30" s="34" t="str">
        <x:v>5</x:v>
      </x:c>
      <x:c r="B30" s="34" t="str">
        <x:v>核验字段</x:v>
      </x:c>
      <x:c r="C30" s="34" t="str">
        <x:v>预测值与现实值逐字段比较。</x:v>
      </x:c>
    </x:row>
    <x:row r="31">
      <x:c r="A31" s="34" t="str">
        <x:v>6</x:v>
      </x:c>
      <x:c r="B31" s="34" t="str">
        <x:v>核验规则</x:v>
      </x:c>
      <x:c r="C31" s="34" t="str">
        <x:v>记录支持、部分支持、反例和不可评估。</x:v>
      </x:c>
    </x:row>
    <x:row r="32">
      <x:c r="A32" s="34" t="str">
        <x:v>7</x:v>
      </x:c>
      <x:c r="B32" s="34" t="str">
        <x:v>汇总校准</x:v>
      </x:c>
      <x:c r="C32" s="34" t="str">
        <x:v>查看误差、阈值、语言与盲评结果。</x:v>
      </x:c>
    </x:row>
    <x:row r="33">
      <x:c r="A33" s="34" t="str">
        <x:v>8</x:v>
      </x:c>
      <x:c r="B33" s="34" t="str">
        <x:v>变更冻结</x:v>
      </x:c>
      <x:c r="C33" s="34" t="str">
        <x:v>全部修改进入日志后再发布新版本。</x:v>
      </x:c>
    </x:row>
  </x:sheetData>
  <x:mergeCells>
    <x:mergeCell ref="A1:H2"/>
    <x:mergeCell ref="A3:H3"/>
  </x:mergeCells>
  <x:pageMargins left="0.7" right="0.7" top="0.75" bottom="0.75" header="0.3" footer="0.3"/>
  <x:tableParts count="3">
    <x:tablePart xmlns:r="http://schemas.openxmlformats.org/officeDocument/2006/relationships" r:id="R5ac96b2ad16848a8"/>
    <x:tablePart xmlns:r="http://schemas.openxmlformats.org/officeDocument/2006/relationships" r:id="R374180091ab24870"/>
    <x:tablePart xmlns:r="http://schemas.openxmlformats.org/officeDocument/2006/relationships" r:id="Rc9d64821199c4e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54" hidden="0" customWidth="1"/>
    <x:col min="12" max="12" width="44" hidden="0" customWidth="1"/>
    <x:col min="13" max="13" width="54" hidden="0" customWidth="1"/>
    <x:col min="14" max="14" width="18" hidden="0" customWidth="1"/>
    <x:col min="15" max="15" width="36" hidden="0" customWidth="1"/>
  </x:cols>
  <x:sheetData>
    <x:row r="1">
      <x:c r="A1" s="6" t="str">
        <x:v>C0—C5批次管理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6" t="str">
        <x:v>样本规模是工程建议；冻结率、覆盖和反例质量更重要。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</x:row>
    <x:row r="5">
      <x:c r="A5" s="26" t="str">
        <x:v>batch_id</x:v>
      </x:c>
      <x:c r="B5" s="26" t="str">
        <x:v>阶段</x:v>
      </x:c>
      <x:c r="C5" s="26" t="str">
        <x:v>计划规模</x:v>
      </x:c>
      <x:c r="D5" s="26" t="str">
        <x:v>当前案例</x:v>
      </x:c>
      <x:c r="E5" s="26" t="str">
        <x:v>已冻结</x:v>
      </x:c>
      <x:c r="F5" s="26" t="str">
        <x:v>反馈完整</x:v>
      </x:c>
      <x:c r="G5" s="26" t="str">
        <x:v>核心RG完整</x:v>
      </x:c>
      <x:c r="H5" s="26" t="str">
        <x:v>纳入统计</x:v>
      </x:c>
      <x:c r="I5" s="26" t="str">
        <x:v>开始日期</x:v>
      </x:c>
      <x:c r="J5" s="26" t="str">
        <x:v>结束日期</x:v>
      </x:c>
      <x:c r="K5" s="26" t="str">
        <x:v>目标</x:v>
      </x:c>
      <x:c r="L5" s="26" t="str">
        <x:v>进入条件</x:v>
      </x:c>
      <x:c r="M5" s="26" t="str">
        <x:v>退出条件</x:v>
      </x:c>
      <x:c r="N5" s="26" t="str">
        <x:v>状态</x:v>
      </x:c>
      <x:c r="O5" s="26" t="str">
        <x:v>备注</x:v>
      </x:c>
    </x:row>
    <x:row r="6">
      <x:c r="A6" s="34" t="str">
        <x:v>C0</x:v>
      </x:c>
      <x:c r="B6" s="34" t="str">
        <x:v>结构测试</x:v>
      </x:c>
      <x:c r="C6" s="34" t="n">
        <x:v>32</x:v>
      </x:c>
      <x:c r="D6" s="34" t="n">
        <x:f>COUNTIF('02_案例主档'!$B$6:$B$105,$A6)</x:f>
        <x:v>0</x:v>
      </x:c>
      <x:c r="E6" s="34" t="n">
        <x:f>COUNTIFS('02_案例主档'!$B$6:$B$105,$A6,'02_案例主档'!$S$6:$S$105,"是")</x:f>
        <x:v>0</x:v>
      </x:c>
      <x:c r="F6" s="34" t="n">
        <x:f>COUNTIFS('02_案例主档'!$B$6:$B$105,$A6,'02_案例主档'!$U$6:$U$105,"是")</x:f>
        <x:v>0</x:v>
      </x:c>
      <x:c r="G6" s="34" t="n">
        <x:f>COUNTIFS('02_案例主档'!$B$6:$B$105,$A6,'02_案例主档'!$V$6:$V$105,"是")</x:f>
        <x:v>0</x:v>
      </x:c>
      <x:c r="H6" s="34" t="n">
        <x:f>COUNTIFS('02_案例主档'!$B$6:$B$105,$A6,'02_案例主档'!$W$6:$W$105,"是")</x:f>
        <x:v>0</x:v>
      </x:c>
      <x:c r="I6" s="34" t="str"/>
      <x:c r="J6" s="34" t="str"/>
      <x:c r="K6" s="34" t="str">
        <x:v>验证结构逻辑</x:v>
      </x:c>
      <x:c r="L6" s="34" t="str">
        <x:v>工作台完成</x:v>
      </x:c>
      <x:c r="M6" s="34" t="str">
        <x:v>32项完成</x:v>
      </x:c>
      <x:c r="N6" s="34" t="str">
        <x:v>未开始</x:v>
      </x:c>
      <x:c r="O6" s="34" t="str"/>
    </x:row>
    <x:row r="7">
      <x:c r="A7" s="34" t="str">
        <x:v>C1</x:v>
      </x:c>
      <x:c r="B7" s="34" t="str">
        <x:v>试点</x:v>
      </x:c>
      <x:c r="C7" s="34" t="n">
        <x:v>25</x:v>
      </x:c>
      <x:c r="D7" s="34" t="n">
        <x:f>COUNTIF('02_案例主档'!$B$6:$B$105,$A7)</x:f>
        <x:v>0</x:v>
      </x:c>
      <x:c r="E7" s="34" t="n">
        <x:f>COUNTIFS('02_案例主档'!$B$6:$B$105,$A7,'02_案例主档'!$S$6:$S$105,"是")</x:f>
        <x:v>0</x:v>
      </x:c>
      <x:c r="F7" s="34" t="n">
        <x:f>COUNTIFS('02_案例主档'!$B$6:$B$105,$A7,'02_案例主档'!$U$6:$U$105,"是")</x:f>
        <x:v>0</x:v>
      </x:c>
      <x:c r="G7" s="34" t="n">
        <x:f>COUNTIFS('02_案例主档'!$B$6:$B$105,$A7,'02_案例主档'!$V$6:$V$105,"是")</x:f>
        <x:v>0</x:v>
      </x:c>
      <x:c r="H7" s="34" t="n">
        <x:f>COUNTIFS('02_案例主档'!$B$6:$B$105,$A7,'02_案例主档'!$W$6:$W$105,"是")</x:f>
        <x:v>0</x:v>
      </x:c>
      <x:c r="I7" s="34" t="str"/>
      <x:c r="J7" s="34" t="str"/>
      <x:c r="K7" s="34" t="str">
        <x:v>发现误差与资料缺口</x:v>
      </x:c>
      <x:c r="L7" s="34" t="str">
        <x:v>C0完成</x:v>
      </x:c>
      <x:c r="M7" s="34" t="str">
        <x:v>20—30例核验</x:v>
      </x:c>
      <x:c r="N7" s="34" t="str">
        <x:v>未开始</x:v>
      </x:c>
      <x:c r="O7" s="34" t="str"/>
    </x:row>
    <x:row r="8">
      <x:c r="A8" s="34" t="str">
        <x:v>C2</x:v>
      </x:c>
      <x:c r="B8" s="34" t="str">
        <x:v>扩展</x:v>
      </x:c>
      <x:c r="C8" s="34" t="n">
        <x:v>100</x:v>
      </x:c>
      <x:c r="D8" s="34" t="n">
        <x:f>COUNTIF('02_案例主档'!$B$6:$B$105,$A8)</x:f>
        <x:v>0</x:v>
      </x:c>
      <x:c r="E8" s="34" t="n">
        <x:f>COUNTIFS('02_案例主档'!$B$6:$B$105,$A8,'02_案例主档'!$S$6:$S$105,"是")</x:f>
        <x:v>0</x:v>
      </x:c>
      <x:c r="F8" s="34" t="n">
        <x:f>COUNTIFS('02_案例主档'!$B$6:$B$105,$A8,'02_案例主档'!$U$6:$U$105,"是")</x:f>
        <x:v>0</x:v>
      </x:c>
      <x:c r="G8" s="34" t="n">
        <x:f>COUNTIFS('02_案例主档'!$B$6:$B$105,$A8,'02_案例主档'!$V$6:$V$105,"是")</x:f>
        <x:v>0</x:v>
      </x:c>
      <x:c r="H8" s="34" t="n">
        <x:f>COUNTIFS('02_案例主档'!$B$6:$B$105,$A8,'02_案例主档'!$W$6:$W$105,"是")</x:f>
        <x:v>0</x:v>
      </x:c>
      <x:c r="I8" s="34" t="str"/>
      <x:c r="J8" s="34" t="str"/>
      <x:c r="K8" s="34" t="str">
        <x:v>形成模块与反例覆盖</x:v>
      </x:c>
      <x:c r="L8" s="34" t="str">
        <x:v>C1修订</x:v>
      </x:c>
      <x:c r="M8" s="34" t="str">
        <x:v>80例以上</x:v>
      </x:c>
      <x:c r="N8" s="34" t="str">
        <x:v>未开始</x:v>
      </x:c>
      <x:c r="O8" s="34" t="str"/>
    </x:row>
    <x:row r="9">
      <x:c r="A9" s="34" t="str">
        <x:v>C3</x:v>
      </x:c>
      <x:c r="B9" s="34" t="str">
        <x:v>双人盲评</x:v>
      </x:c>
      <x:c r="C9" s="34" t="n">
        <x:v>50</x:v>
      </x:c>
      <x:c r="D9" s="34" t="n">
        <x:f>COUNTIF('02_案例主档'!$B$6:$B$105,$A9)</x:f>
        <x:v>0</x:v>
      </x:c>
      <x:c r="E9" s="34" t="n">
        <x:f>COUNTIFS('02_案例主档'!$B$6:$B$105,$A9,'02_案例主档'!$S$6:$S$105,"是")</x:f>
        <x:v>0</x:v>
      </x:c>
      <x:c r="F9" s="34" t="n">
        <x:f>COUNTIFS('02_案例主档'!$B$6:$B$105,$A9,'02_案例主档'!$U$6:$U$105,"是")</x:f>
        <x:v>0</x:v>
      </x:c>
      <x:c r="G9" s="34" t="n">
        <x:f>COUNTIFS('02_案例主档'!$B$6:$B$105,$A9,'02_案例主档'!$V$6:$V$105,"是")</x:f>
        <x:v>0</x:v>
      </x:c>
      <x:c r="H9" s="34" t="n">
        <x:f>COUNTIFS('02_案例主档'!$B$6:$B$105,$A9,'02_案例主档'!$W$6:$W$105,"是")</x:f>
        <x:v>0</x:v>
      </x:c>
      <x:c r="I9" s="34" t="str"/>
      <x:c r="J9" s="34" t="str"/>
      <x:c r="K9" s="34" t="str">
        <x:v>检查编码一致性</x:v>
      </x:c>
      <x:c r="L9" s="34" t="str">
        <x:v>可评案例形成</x:v>
      </x:c>
      <x:c r="M9" s="34" t="str">
        <x:v>完成裁决</x:v>
      </x:c>
      <x:c r="N9" s="34" t="str">
        <x:v>未开始</x:v>
      </x:c>
      <x:c r="O9" s="34" t="str"/>
    </x:row>
    <x:row r="10">
      <x:c r="A10" s="34" t="str">
        <x:v>C4</x:v>
      </x:c>
      <x:c r="B10" s="34" t="str">
        <x:v>跨状态</x:v>
      </x:c>
      <x:c r="C10" s="34" t="n">
        <x:v>30</x:v>
      </x:c>
      <x:c r="D10" s="34" t="n">
        <x:f>COUNTIF('02_案例主档'!$B$6:$B$105,$A10)</x:f>
        <x:v>0</x:v>
      </x:c>
      <x:c r="E10" s="34" t="n">
        <x:f>COUNTIFS('02_案例主档'!$B$6:$B$105,$A10,'02_案例主档'!$S$6:$S$105,"是")</x:f>
        <x:v>0</x:v>
      </x:c>
      <x:c r="F10" s="34" t="n">
        <x:f>COUNTIFS('02_案例主档'!$B$6:$B$105,$A10,'02_案例主档'!$U$6:$U$105,"是")</x:f>
        <x:v>0</x:v>
      </x:c>
      <x:c r="G10" s="34" t="n">
        <x:f>COUNTIFS('02_案例主档'!$B$6:$B$105,$A10,'02_案例主档'!$V$6:$V$105,"是")</x:f>
        <x:v>0</x:v>
      </x:c>
      <x:c r="H10" s="34" t="n">
        <x:f>COUNTIFS('02_案例主档'!$B$6:$B$105,$A10,'02_案例主档'!$W$6:$W$105,"是")</x:f>
        <x:v>0</x:v>
      </x:c>
      <x:c r="I10" s="34" t="str"/>
      <x:c r="J10" s="34" t="str"/>
      <x:c r="K10" s="34" t="str">
        <x:v>验证压力修复转折</x:v>
      </x:c>
      <x:c r="L10" s="34" t="str">
        <x:v>高信息案例形成</x:v>
      </x:c>
      <x:c r="M10" s="34" t="str">
        <x:v>FG4门槛支持</x:v>
      </x:c>
      <x:c r="N10" s="34" t="str">
        <x:v>未开始</x:v>
      </x:c>
      <x:c r="O10" s="34" t="str"/>
    </x:row>
    <x:row r="11">
      <x:c r="A11" s="34" t="str">
        <x:v>C5</x:v>
      </x:c>
      <x:c r="B11" s="34" t="str">
        <x:v>V1.0冻结</x:v>
      </x:c>
      <x:c r="C11" s="34" t="n">
        <x:v>1</x:v>
      </x:c>
      <x:c r="D11" s="34" t="n">
        <x:f>COUNTIF('02_案例主档'!$B$6:$B$105,$A11)</x:f>
        <x:v>0</x:v>
      </x:c>
      <x:c r="E11" s="34" t="n">
        <x:f>COUNTIFS('02_案例主档'!$B$6:$B$105,$A11,'02_案例主档'!$S$6:$S$105,"是")</x:f>
        <x:v>0</x:v>
      </x:c>
      <x:c r="F11" s="34" t="n">
        <x:f>COUNTIFS('02_案例主档'!$B$6:$B$105,$A11,'02_案例主档'!$U$6:$U$105,"是")</x:f>
        <x:v>0</x:v>
      </x:c>
      <x:c r="G11" s="34" t="n">
        <x:f>COUNTIFS('02_案例主档'!$B$6:$B$105,$A11,'02_案例主档'!$V$6:$V$105,"是")</x:f>
        <x:v>0</x:v>
      </x:c>
      <x:c r="H11" s="34" t="n">
        <x:f>COUNTIFS('02_案例主档'!$B$6:$B$105,$A11,'02_案例主档'!$W$6:$W$105,"是")</x:f>
        <x:v>0</x:v>
      </x:c>
      <x:c r="I11" s="34" t="str"/>
      <x:c r="J11" s="34" t="str"/>
      <x:c r="K11" s="34" t="str">
        <x:v>冻结正式版本</x:v>
      </x:c>
      <x:c r="L11" s="34" t="str">
        <x:v>发布门槛接近完成</x:v>
      </x:c>
      <x:c r="M11" s="34" t="str">
        <x:v>全部通过</x:v>
      </x:c>
      <x:c r="N11" s="34" t="str">
        <x:v>未开始</x:v>
      </x:c>
      <x:c r="O11" s="34" t="str"/>
    </x:row>
  </x:sheetData>
  <x:mergeCells>
    <x:mergeCell ref="A1:O2"/>
    <x:mergeCell ref="A3:O3"/>
  </x:mergeCells>
  <x:dataValidations count="1">
    <x:dataValidation type="list" sqref="N6:N11">
      <x:formula1>"未开始,进行中,暂停,完成"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b8fcd54a054d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16" hidden="0" customWidth="1"/>
    <x:col min="5" max="5" width="16" hidden="0" customWidth="1"/>
    <x:col min="6" max="6" width="14" hidden="0" customWidth="1"/>
    <x:col min="7" max="7" width="20" hidden="0" customWidth="1"/>
    <x:col min="8" max="8" width="18" hidden="0" customWidth="1"/>
    <x:col min="9" max="9" width="14" hidden="0" customWidth="1"/>
    <x:col min="10" max="10" width="38" hidden="0" customWidth="1"/>
    <x:col min="11" max="11" width="16" hidden="0" customWidth="1"/>
    <x:col min="12" max="12" width="20" hidden="0" customWidth="1"/>
    <x:col min="13" max="13" width="20" hidden="0" customWidth="1"/>
    <x:col min="14" max="14" width="22" hidden="0" customWidth="1"/>
    <x:col min="15" max="15" width="18" hidden="0" customWidth="1"/>
    <x:col min="16" max="16" width="12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14" hidden="0" customWidth="1"/>
    <x:col min="22" max="22" width="16" hidden="0" customWidth="1"/>
    <x:col min="23" max="23" width="14" hidden="0" customWidth="1"/>
    <x:col min="24" max="24" width="18" hidden="0" customWidth="1"/>
    <x:col min="25" max="25" width="42" hidden="0" customWidth="1"/>
  </x:cols>
  <x:sheetData>
    <x:row r="1">
      <x:c r="A1" s="6" t="str">
        <x:v>案例主档与纳入状态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</x:row>
    <x:row r="3">
      <x:c r="A3" s="16" t="str">
        <x:v>100个案例位；事件、字段和规则命中自动计数。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</x:row>
    <x:row r="5">
      <x:c r="A5" s="26" t="str">
        <x:v>case_id</x:v>
      </x:c>
      <x:c r="B5" s="26" t="str">
        <x:v>batch_id</x:v>
      </x:c>
      <x:c r="C5" s="26" t="str">
        <x:v>匿名代号</x:v>
      </x:c>
      <x:c r="D5" s="26" t="str">
        <x:v>分析者</x:v>
      </x:c>
      <x:c r="E5" s="26" t="str">
        <x:v>复核者</x:v>
      </x:c>
      <x:c r="F5" s="26" t="str">
        <x:v>建档日期</x:v>
      </x:c>
      <x:c r="G5" s="26" t="str">
        <x:v>案例类型</x:v>
      </x:c>
      <x:c r="H5" s="26" t="str">
        <x:v>关系阶段</x:v>
      </x:c>
      <x:c r="I5" s="26" t="str">
        <x:v>关系时长_月</x:v>
      </x:c>
      <x:c r="J5" s="26" t="str">
        <x:v>资料来源</x:v>
      </x:c>
      <x:c r="K5" s="26" t="str">
        <x:v>同意状态</x:v>
      </x:c>
      <x:c r="L5" s="26" t="str">
        <x:v>安全状态</x:v>
      </x:c>
      <x:c r="M5" s="26" t="str">
        <x:v>命盘资料状态</x:v>
      </x:c>
      <x:c r="N5" s="26" t="str">
        <x:v>对象现实资料状态</x:v>
      </x:c>
      <x:c r="O5" s="26" t="str">
        <x:v>snapshot_id</x:v>
      </x:c>
      <x:c r="P5" s="26" t="str">
        <x:v>事件数</x:v>
      </x:c>
      <x:c r="Q5" s="26" t="str">
        <x:v>字段核验数</x:v>
      </x:c>
      <x:c r="R5" s="26" t="str">
        <x:v>规则命中数</x:v>
      </x:c>
      <x:c r="S5" s="26" t="str">
        <x:v>预测冻结</x:v>
      </x:c>
      <x:c r="T5" s="26" t="str">
        <x:v>冻结时间</x:v>
      </x:c>
      <x:c r="U5" s="26" t="str">
        <x:v>反馈完整</x:v>
      </x:c>
      <x:c r="V5" s="26" t="str">
        <x:v>核心RG完整</x:v>
      </x:c>
      <x:c r="W5" s="26" t="str">
        <x:v>纳入统计</x:v>
      </x:c>
      <x:c r="X5" s="26" t="str">
        <x:v>案例状态</x:v>
      </x:c>
      <x:c r="Y5" s="26" t="str">
        <x:v>备注</x:v>
      </x:c>
    </x:row>
    <x:row r="6">
      <x:c r="A6" s="34" t="str">
        <x:v>M5-CASE-001</x:v>
      </x:c>
      <x:c r="B6" s="34" t="str"/>
      <x:c r="C6" s="34" t="str"/>
      <x:c r="D6" s="34" t="str"/>
      <x:c r="E6" s="34" t="str"/>
      <x:c r="F6" s="34" t="str"/>
      <x:c r="G6" s="34" t="str"/>
      <x:c r="H6" s="34" t="str"/>
      <x:c r="I6" s="34" t="str"/>
      <x:c r="J6" s="34" t="str"/>
      <x:c r="K6" s="34" t="str"/>
      <x:c r="L6" s="34" t="str"/>
      <x:c r="M6" s="34" t="str"/>
      <x:c r="N6" s="34" t="str"/>
      <x:c r="O6" s="34" t="str"/>
      <x:c r="P6" s="34" t="n">
        <x:f>IF(A6="","",COUNTIF('04_关系事件'!$B$6:$B$505,A6))</x:f>
        <x:v>0</x:v>
      </x:c>
      <x:c r="Q6" s="34" t="n">
        <x:f>IF(A6="","",COUNTIF('06_字段核验'!$B$6:$B$805,A6))</x:f>
        <x:v>0</x:v>
      </x:c>
      <x:c r="R6" s="34" t="n">
        <x:f>IF(A6="","",COUNTIF('07_规则命中'!$B$6:$B$1005,A6))</x:f>
        <x:v>0</x:v>
      </x:c>
      <x:c r="S6" s="34" t="str">
        <x:v>否</x:v>
      </x:c>
      <x:c r="T6" s="34" t="str"/>
      <x:c r="U6" s="34" t="str">
        <x:v>否</x:v>
      </x:c>
      <x:c r="V6" s="34" t="str">
        <x:f>IF(A6="","",IF(COUNTIFS('05_RG现实门槛'!$B$6:$B$405,A6,'05_RG现实门槛'!$D$6:$D$405,"RG01",'05_RG现实门槛'!$G$6:$G$405,"&lt;&gt;")+COUNTIFS('05_RG现实门槛'!$B$6:$B$405,A6,'05_RG现实门槛'!$D$6:$D$405,"RG02",'05_RG现实门槛'!$G$6:$G$405,"&lt;&gt;")+COUNTIFS('05_RG现实门槛'!$B$6:$B$405,A6,'05_RG现实门槛'!$D$6:$D$405,"RG03",'05_RG现实门槛'!$G$6:$G$405,"&lt;&gt;")+COUNTIFS('05_RG现实门槛'!$B$6:$B$405,A6,'05_RG现实门槛'!$D$6:$D$405,"RG06",'05_RG现实门槛'!$G$6:$G$405,"&lt;&gt;")+COUNTIFS('05_RG现实门槛'!$B$6:$B$405,A6,'05_RG现实门槛'!$D$6:$D$405,"RG07",'05_RG现实门槛'!$G$6:$G$405,"&lt;&gt;")=5,"是","否"))</x:f>
        <x:v>否</x:v>
      </x:c>
      <x:c r="W6" s="34" t="str">
        <x:v>否</x:v>
      </x:c>
      <x:c r="X6" s="34" t="str">
        <x:v>待录入</x:v>
      </x:c>
      <x:c r="Y6" s="34" t="str"/>
    </x:row>
    <x:row r="7">
      <x:c r="A7" s="34" t="str">
        <x:v>M5-CASE-002</x:v>
      </x:c>
      <x:c r="B7" s="34" t="str"/>
      <x:c r="C7" s="34" t="str"/>
      <x:c r="D7" s="34" t="str"/>
      <x:c r="E7" s="34" t="str"/>
      <x:c r="F7" s="34" t="str"/>
      <x:c r="G7" s="34" t="str"/>
      <x:c r="H7" s="34" t="str"/>
      <x:c r="I7" s="34" t="str"/>
      <x:c r="J7" s="34" t="str"/>
      <x:c r="K7" s="34" t="str"/>
      <x:c r="L7" s="34" t="str"/>
      <x:c r="M7" s="34" t="str"/>
      <x:c r="N7" s="34" t="str"/>
      <x:c r="O7" s="34" t="str"/>
      <x:c r="P7" s="34" t="n">
        <x:f>IF(A7="","",COUNTIF('04_关系事件'!$B$6:$B$505,A7))</x:f>
        <x:v>0</x:v>
      </x:c>
      <x:c r="Q7" s="34" t="n">
        <x:f>IF(A7="","",COUNTIF('06_字段核验'!$B$6:$B$805,A7))</x:f>
        <x:v>0</x:v>
      </x:c>
      <x:c r="R7" s="34" t="n">
        <x:f>IF(A7="","",COUNTIF('07_规则命中'!$B$6:$B$1005,A7))</x:f>
        <x:v>0</x:v>
      </x:c>
      <x:c r="S7" s="34" t="str">
        <x:v>否</x:v>
      </x:c>
      <x:c r="T7" s="34" t="str"/>
      <x:c r="U7" s="34" t="str">
        <x:v>否</x:v>
      </x:c>
      <x:c r="V7" s="34" t="str">
        <x:f>IF(A7="","",IF(COUNTIFS('05_RG现实门槛'!$B$6:$B$405,A7,'05_RG现实门槛'!$D$6:$D$405,"RG01",'05_RG现实门槛'!$G$6:$G$405,"&lt;&gt;")+COUNTIFS('05_RG现实门槛'!$B$6:$B$405,A7,'05_RG现实门槛'!$D$6:$D$405,"RG02",'05_RG现实门槛'!$G$6:$G$405,"&lt;&gt;")+COUNTIFS('05_RG现实门槛'!$B$6:$B$405,A7,'05_RG现实门槛'!$D$6:$D$405,"RG03",'05_RG现实门槛'!$G$6:$G$405,"&lt;&gt;")+COUNTIFS('05_RG现实门槛'!$B$6:$B$405,A7,'05_RG现实门槛'!$D$6:$D$405,"RG06",'05_RG现实门槛'!$G$6:$G$405,"&lt;&gt;")+COUNTIFS('05_RG现实门槛'!$B$6:$B$405,A7,'05_RG现实门槛'!$D$6:$D$405,"RG07",'05_RG现实门槛'!$G$6:$G$405,"&lt;&gt;")=5,"是","否"))</x:f>
        <x:v>否</x:v>
      </x:c>
      <x:c r="W7" s="34" t="str">
        <x:v>否</x:v>
      </x:c>
      <x:c r="X7" s="34" t="str">
        <x:v>待录入</x:v>
      </x:c>
      <x:c r="Y7" s="34" t="str"/>
    </x:row>
    <x:row r="8">
      <x:c r="A8" s="34" t="str">
        <x:v>M5-CASE-003</x:v>
      </x:c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4" t="str"/>
      <x:c r="L8" s="34" t="str"/>
      <x:c r="M8" s="34" t="str"/>
      <x:c r="N8" s="34" t="str"/>
      <x:c r="O8" s="34" t="str"/>
      <x:c r="P8" s="34" t="n">
        <x:f>IF(A8="","",COUNTIF('04_关系事件'!$B$6:$B$505,A8))</x:f>
        <x:v>0</x:v>
      </x:c>
      <x:c r="Q8" s="34" t="n">
        <x:f>IF(A8="","",COUNTIF('06_字段核验'!$B$6:$B$805,A8))</x:f>
        <x:v>0</x:v>
      </x:c>
      <x:c r="R8" s="34" t="n">
        <x:f>IF(A8="","",COUNTIF('07_规则命中'!$B$6:$B$1005,A8))</x:f>
        <x:v>0</x:v>
      </x:c>
      <x:c r="S8" s="34" t="str">
        <x:v>否</x:v>
      </x:c>
      <x:c r="T8" s="34" t="str"/>
      <x:c r="U8" s="34" t="str">
        <x:v>否</x:v>
      </x:c>
      <x:c r="V8" s="34" t="str">
        <x:f>IF(A8="","",IF(COUNTIFS('05_RG现实门槛'!$B$6:$B$405,A8,'05_RG现实门槛'!$D$6:$D$405,"RG01",'05_RG现实门槛'!$G$6:$G$405,"&lt;&gt;")+COUNTIFS('05_RG现实门槛'!$B$6:$B$405,A8,'05_RG现实门槛'!$D$6:$D$405,"RG02",'05_RG现实门槛'!$G$6:$G$405,"&lt;&gt;")+COUNTIFS('05_RG现实门槛'!$B$6:$B$405,A8,'05_RG现实门槛'!$D$6:$D$405,"RG03",'05_RG现实门槛'!$G$6:$G$405,"&lt;&gt;")+COUNTIFS('05_RG现实门槛'!$B$6:$B$405,A8,'05_RG现实门槛'!$D$6:$D$405,"RG06",'05_RG现实门槛'!$G$6:$G$405,"&lt;&gt;")+COUNTIFS('05_RG现实门槛'!$B$6:$B$405,A8,'05_RG现实门槛'!$D$6:$D$405,"RG07",'05_RG现实门槛'!$G$6:$G$405,"&lt;&gt;")=5,"是","否"))</x:f>
        <x:v>否</x:v>
      </x:c>
      <x:c r="W8" s="34" t="str">
        <x:v>否</x:v>
      </x:c>
      <x:c r="X8" s="34" t="str">
        <x:v>待录入</x:v>
      </x:c>
      <x:c r="Y8" s="34" t="str"/>
    </x:row>
    <x:row r="9">
      <x:c r="A9" s="34" t="str">
        <x:v>M5-CASE-004</x:v>
      </x:c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4" t="str"/>
      <x:c r="L9" s="34" t="str"/>
      <x:c r="M9" s="34" t="str"/>
      <x:c r="N9" s="34" t="str"/>
      <x:c r="O9" s="34" t="str"/>
      <x:c r="P9" s="34" t="n">
        <x:f>IF(A9="","",COUNTIF('04_关系事件'!$B$6:$B$505,A9))</x:f>
        <x:v>0</x:v>
      </x:c>
      <x:c r="Q9" s="34" t="n">
        <x:f>IF(A9="","",COUNTIF('06_字段核验'!$B$6:$B$805,A9))</x:f>
        <x:v>0</x:v>
      </x:c>
      <x:c r="R9" s="34" t="n">
        <x:f>IF(A9="","",COUNTIF('07_规则命中'!$B$6:$B$1005,A9))</x:f>
        <x:v>0</x:v>
      </x:c>
      <x:c r="S9" s="34" t="str">
        <x:v>否</x:v>
      </x:c>
      <x:c r="T9" s="34" t="str"/>
      <x:c r="U9" s="34" t="str">
        <x:v>否</x:v>
      </x:c>
      <x:c r="V9" s="34" t="str">
        <x:f>IF(A9="","",IF(COUNTIFS('05_RG现实门槛'!$B$6:$B$405,A9,'05_RG现实门槛'!$D$6:$D$405,"RG01",'05_RG现实门槛'!$G$6:$G$405,"&lt;&gt;")+COUNTIFS('05_RG现实门槛'!$B$6:$B$405,A9,'05_RG现实门槛'!$D$6:$D$405,"RG02",'05_RG现实门槛'!$G$6:$G$405,"&lt;&gt;")+COUNTIFS('05_RG现实门槛'!$B$6:$B$405,A9,'05_RG现实门槛'!$D$6:$D$405,"RG03",'05_RG现实门槛'!$G$6:$G$405,"&lt;&gt;")+COUNTIFS('05_RG现实门槛'!$B$6:$B$405,A9,'05_RG现实门槛'!$D$6:$D$405,"RG06",'05_RG现实门槛'!$G$6:$G$405,"&lt;&gt;")+COUNTIFS('05_RG现实门槛'!$B$6:$B$405,A9,'05_RG现实门槛'!$D$6:$D$405,"RG07",'05_RG现实门槛'!$G$6:$G$405,"&lt;&gt;")=5,"是","否"))</x:f>
        <x:v>否</x:v>
      </x:c>
      <x:c r="W9" s="34" t="str">
        <x:v>否</x:v>
      </x:c>
      <x:c r="X9" s="34" t="str">
        <x:v>待录入</x:v>
      </x:c>
      <x:c r="Y9" s="34" t="str"/>
    </x:row>
    <x:row r="10">
      <x:c r="A10" s="34" t="str">
        <x:v>M5-CASE-005</x:v>
      </x:c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4" t="str"/>
      <x:c r="L10" s="34" t="str"/>
      <x:c r="M10" s="34" t="str"/>
      <x:c r="N10" s="34" t="str"/>
      <x:c r="O10" s="34" t="str"/>
      <x:c r="P10" s="34" t="n">
        <x:f>IF(A10="","",COUNTIF('04_关系事件'!$B$6:$B$505,A10))</x:f>
        <x:v>0</x:v>
      </x:c>
      <x:c r="Q10" s="34" t="n">
        <x:f>IF(A10="","",COUNTIF('06_字段核验'!$B$6:$B$805,A10))</x:f>
        <x:v>0</x:v>
      </x:c>
      <x:c r="R10" s="34" t="n">
        <x:f>IF(A10="","",COUNTIF('07_规则命中'!$B$6:$B$1005,A10))</x:f>
        <x:v>0</x:v>
      </x:c>
      <x:c r="S10" s="34" t="str">
        <x:v>否</x:v>
      </x:c>
      <x:c r="T10" s="34" t="str"/>
      <x:c r="U10" s="34" t="str">
        <x:v>否</x:v>
      </x:c>
      <x:c r="V10" s="34" t="str">
        <x:f>IF(A10="","",IF(COUNTIFS('05_RG现实门槛'!$B$6:$B$405,A10,'05_RG现实门槛'!$D$6:$D$405,"RG01",'05_RG现实门槛'!$G$6:$G$405,"&lt;&gt;")+COUNTIFS('05_RG现实门槛'!$B$6:$B$405,A10,'05_RG现实门槛'!$D$6:$D$405,"RG02",'05_RG现实门槛'!$G$6:$G$405,"&lt;&gt;")+COUNTIFS('05_RG现实门槛'!$B$6:$B$405,A10,'05_RG现实门槛'!$D$6:$D$405,"RG03",'05_RG现实门槛'!$G$6:$G$405,"&lt;&gt;")+COUNTIFS('05_RG现实门槛'!$B$6:$B$405,A10,'05_RG现实门槛'!$D$6:$D$405,"RG06",'05_RG现实门槛'!$G$6:$G$405,"&lt;&gt;")+COUNTIFS('05_RG现实门槛'!$B$6:$B$405,A10,'05_RG现实门槛'!$D$6:$D$405,"RG07",'05_RG现实门槛'!$G$6:$G$405,"&lt;&gt;")=5,"是","否"))</x:f>
        <x:v>否</x:v>
      </x:c>
      <x:c r="W10" s="34" t="str">
        <x:v>否</x:v>
      </x:c>
      <x:c r="X10" s="34" t="str">
        <x:v>待录入</x:v>
      </x:c>
      <x:c r="Y10" s="34" t="str"/>
    </x:row>
    <x:row r="11">
      <x:c r="A11" s="34" t="str">
        <x:v>M5-CASE-006</x:v>
      </x:c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/>
      <x:c r="N11" s="34" t="str"/>
      <x:c r="O11" s="34" t="str"/>
      <x:c r="P11" s="34" t="n">
        <x:f>IF(A11="","",COUNTIF('04_关系事件'!$B$6:$B$505,A11))</x:f>
        <x:v>0</x:v>
      </x:c>
      <x:c r="Q11" s="34" t="n">
        <x:f>IF(A11="","",COUNTIF('06_字段核验'!$B$6:$B$805,A11))</x:f>
        <x:v>0</x:v>
      </x:c>
      <x:c r="R11" s="34" t="n">
        <x:f>IF(A11="","",COUNTIF('07_规则命中'!$B$6:$B$1005,A11))</x:f>
        <x:v>0</x:v>
      </x:c>
      <x:c r="S11" s="34" t="str">
        <x:v>否</x:v>
      </x:c>
      <x:c r="T11" s="34" t="str"/>
      <x:c r="U11" s="34" t="str">
        <x:v>否</x:v>
      </x:c>
      <x:c r="V11" s="34" t="str">
        <x:f>IF(A11="","",IF(COUNTIFS('05_RG现实门槛'!$B$6:$B$405,A11,'05_RG现实门槛'!$D$6:$D$405,"RG01",'05_RG现实门槛'!$G$6:$G$405,"&lt;&gt;")+COUNTIFS('05_RG现实门槛'!$B$6:$B$405,A11,'05_RG现实门槛'!$D$6:$D$405,"RG02",'05_RG现实门槛'!$G$6:$G$405,"&lt;&gt;")+COUNTIFS('05_RG现实门槛'!$B$6:$B$405,A11,'05_RG现实门槛'!$D$6:$D$405,"RG03",'05_RG现实门槛'!$G$6:$G$405,"&lt;&gt;")+COUNTIFS('05_RG现实门槛'!$B$6:$B$405,A11,'05_RG现实门槛'!$D$6:$D$405,"RG06",'05_RG现实门槛'!$G$6:$G$405,"&lt;&gt;")+COUNTIFS('05_RG现实门槛'!$B$6:$B$405,A11,'05_RG现实门槛'!$D$6:$D$405,"RG07",'05_RG现实门槛'!$G$6:$G$405,"&lt;&gt;")=5,"是","否"))</x:f>
        <x:v>否</x:v>
      </x:c>
      <x:c r="W11" s="34" t="str">
        <x:v>否</x:v>
      </x:c>
      <x:c r="X11" s="34" t="str">
        <x:v>待录入</x:v>
      </x:c>
      <x:c r="Y11" s="34" t="str"/>
    </x:row>
    <x:row r="12">
      <x:c r="A12" s="34" t="str">
        <x:v>M5-CASE-007</x:v>
      </x:c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/>
      <x:c r="N12" s="34" t="str"/>
      <x:c r="O12" s="34" t="str"/>
      <x:c r="P12" s="34" t="n">
        <x:f>IF(A12="","",COUNTIF('04_关系事件'!$B$6:$B$505,A12))</x:f>
        <x:v>0</x:v>
      </x:c>
      <x:c r="Q12" s="34" t="n">
        <x:f>IF(A12="","",COUNTIF('06_字段核验'!$B$6:$B$805,A12))</x:f>
        <x:v>0</x:v>
      </x:c>
      <x:c r="R12" s="34" t="n">
        <x:f>IF(A12="","",COUNTIF('07_规则命中'!$B$6:$B$1005,A12))</x:f>
        <x:v>0</x:v>
      </x:c>
      <x:c r="S12" s="34" t="str">
        <x:v>否</x:v>
      </x:c>
      <x:c r="T12" s="34" t="str"/>
      <x:c r="U12" s="34" t="str">
        <x:v>否</x:v>
      </x:c>
      <x:c r="V12" s="34" t="str">
        <x:f>IF(A12="","",IF(COUNTIFS('05_RG现实门槛'!$B$6:$B$405,A12,'05_RG现实门槛'!$D$6:$D$405,"RG01",'05_RG现实门槛'!$G$6:$G$405,"&lt;&gt;")+COUNTIFS('05_RG现实门槛'!$B$6:$B$405,A12,'05_RG现实门槛'!$D$6:$D$405,"RG02",'05_RG现实门槛'!$G$6:$G$405,"&lt;&gt;")+COUNTIFS('05_RG现实门槛'!$B$6:$B$405,A12,'05_RG现实门槛'!$D$6:$D$405,"RG03",'05_RG现实门槛'!$G$6:$G$405,"&lt;&gt;")+COUNTIFS('05_RG现实门槛'!$B$6:$B$405,A12,'05_RG现实门槛'!$D$6:$D$405,"RG06",'05_RG现实门槛'!$G$6:$G$405,"&lt;&gt;")+COUNTIFS('05_RG现实门槛'!$B$6:$B$405,A12,'05_RG现实门槛'!$D$6:$D$405,"RG07",'05_RG现实门槛'!$G$6:$G$405,"&lt;&gt;")=5,"是","否"))</x:f>
        <x:v>否</x:v>
      </x:c>
      <x:c r="W12" s="34" t="str">
        <x:v>否</x:v>
      </x:c>
      <x:c r="X12" s="34" t="str">
        <x:v>待录入</x:v>
      </x:c>
      <x:c r="Y12" s="34" t="str"/>
    </x:row>
    <x:row r="13">
      <x:c r="A13" s="34" t="str">
        <x:v>M5-CASE-008</x:v>
      </x:c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4" t="str"/>
      <x:c r="L13" s="34" t="str"/>
      <x:c r="M13" s="34" t="str"/>
      <x:c r="N13" s="34" t="str"/>
      <x:c r="O13" s="34" t="str"/>
      <x:c r="P13" s="34" t="n">
        <x:f>IF(A13="","",COUNTIF('04_关系事件'!$B$6:$B$505,A13))</x:f>
        <x:v>0</x:v>
      </x:c>
      <x:c r="Q13" s="34" t="n">
        <x:f>IF(A13="","",COUNTIF('06_字段核验'!$B$6:$B$805,A13))</x:f>
        <x:v>0</x:v>
      </x:c>
      <x:c r="R13" s="34" t="n">
        <x:f>IF(A13="","",COUNTIF('07_规则命中'!$B$6:$B$1005,A13))</x:f>
        <x:v>0</x:v>
      </x:c>
      <x:c r="S13" s="34" t="str">
        <x:v>否</x:v>
      </x:c>
      <x:c r="T13" s="34" t="str"/>
      <x:c r="U13" s="34" t="str">
        <x:v>否</x:v>
      </x:c>
      <x:c r="V13" s="34" t="str">
        <x:f>IF(A13="","",IF(COUNTIFS('05_RG现实门槛'!$B$6:$B$405,A13,'05_RG现实门槛'!$D$6:$D$405,"RG01",'05_RG现实门槛'!$G$6:$G$405,"&lt;&gt;")+COUNTIFS('05_RG现实门槛'!$B$6:$B$405,A13,'05_RG现实门槛'!$D$6:$D$405,"RG02",'05_RG现实门槛'!$G$6:$G$405,"&lt;&gt;")+COUNTIFS('05_RG现实门槛'!$B$6:$B$405,A13,'05_RG现实门槛'!$D$6:$D$405,"RG03",'05_RG现实门槛'!$G$6:$G$405,"&lt;&gt;")+COUNTIFS('05_RG现实门槛'!$B$6:$B$405,A13,'05_RG现实门槛'!$D$6:$D$405,"RG06",'05_RG现实门槛'!$G$6:$G$405,"&lt;&gt;")+COUNTIFS('05_RG现实门槛'!$B$6:$B$405,A13,'05_RG现实门槛'!$D$6:$D$405,"RG07",'05_RG现实门槛'!$G$6:$G$405,"&lt;&gt;")=5,"是","否"))</x:f>
        <x:v>否</x:v>
      </x:c>
      <x:c r="W13" s="34" t="str">
        <x:v>否</x:v>
      </x:c>
      <x:c r="X13" s="34" t="str">
        <x:v>待录入</x:v>
      </x:c>
      <x:c r="Y13" s="34" t="str"/>
    </x:row>
    <x:row r="14">
      <x:c r="A14" s="34" t="str">
        <x:v>M5-CASE-009</x:v>
      </x:c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4" t="str"/>
      <x:c r="L14" s="34" t="str"/>
      <x:c r="M14" s="34" t="str"/>
      <x:c r="N14" s="34" t="str"/>
      <x:c r="O14" s="34" t="str"/>
      <x:c r="P14" s="34" t="n">
        <x:f>IF(A14="","",COUNTIF('04_关系事件'!$B$6:$B$505,A14))</x:f>
        <x:v>0</x:v>
      </x:c>
      <x:c r="Q14" s="34" t="n">
        <x:f>IF(A14="","",COUNTIF('06_字段核验'!$B$6:$B$805,A14))</x:f>
        <x:v>0</x:v>
      </x:c>
      <x:c r="R14" s="34" t="n">
        <x:f>IF(A14="","",COUNTIF('07_规则命中'!$B$6:$B$1005,A14))</x:f>
        <x:v>0</x:v>
      </x:c>
      <x:c r="S14" s="34" t="str">
        <x:v>否</x:v>
      </x:c>
      <x:c r="T14" s="34" t="str"/>
      <x:c r="U14" s="34" t="str">
        <x:v>否</x:v>
      </x:c>
      <x:c r="V14" s="34" t="str">
        <x:f>IF(A14="","",IF(COUNTIFS('05_RG现实门槛'!$B$6:$B$405,A14,'05_RG现实门槛'!$D$6:$D$405,"RG01",'05_RG现实门槛'!$G$6:$G$405,"&lt;&gt;")+COUNTIFS('05_RG现实门槛'!$B$6:$B$405,A14,'05_RG现实门槛'!$D$6:$D$405,"RG02",'05_RG现实门槛'!$G$6:$G$405,"&lt;&gt;")+COUNTIFS('05_RG现实门槛'!$B$6:$B$405,A14,'05_RG现实门槛'!$D$6:$D$405,"RG03",'05_RG现实门槛'!$G$6:$G$405,"&lt;&gt;")+COUNTIFS('05_RG现实门槛'!$B$6:$B$405,A14,'05_RG现实门槛'!$D$6:$D$405,"RG06",'05_RG现实门槛'!$G$6:$G$405,"&lt;&gt;")+COUNTIFS('05_RG现实门槛'!$B$6:$B$405,A14,'05_RG现实门槛'!$D$6:$D$405,"RG07",'05_RG现实门槛'!$G$6:$G$405,"&lt;&gt;")=5,"是","否"))</x:f>
        <x:v>否</x:v>
      </x:c>
      <x:c r="W14" s="34" t="str">
        <x:v>否</x:v>
      </x:c>
      <x:c r="X14" s="34" t="str">
        <x:v>待录入</x:v>
      </x:c>
      <x:c r="Y14" s="34" t="str"/>
    </x:row>
    <x:row r="15">
      <x:c r="A15" s="34" t="str">
        <x:v>M5-CASE-010</x:v>
      </x:c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4" t="str"/>
      <x:c r="L15" s="34" t="str"/>
      <x:c r="M15" s="34" t="str"/>
      <x:c r="N15" s="34" t="str"/>
      <x:c r="O15" s="34" t="str"/>
      <x:c r="P15" s="34" t="n">
        <x:f>IF(A15="","",COUNTIF('04_关系事件'!$B$6:$B$505,A15))</x:f>
        <x:v>0</x:v>
      </x:c>
      <x:c r="Q15" s="34" t="n">
        <x:f>IF(A15="","",COUNTIF('06_字段核验'!$B$6:$B$805,A15))</x:f>
        <x:v>0</x:v>
      </x:c>
      <x:c r="R15" s="34" t="n">
        <x:f>IF(A15="","",COUNTIF('07_规则命中'!$B$6:$B$1005,A15))</x:f>
        <x:v>0</x:v>
      </x:c>
      <x:c r="S15" s="34" t="str">
        <x:v>否</x:v>
      </x:c>
      <x:c r="T15" s="34" t="str"/>
      <x:c r="U15" s="34" t="str">
        <x:v>否</x:v>
      </x:c>
      <x:c r="V15" s="34" t="str">
        <x:f>IF(A15="","",IF(COUNTIFS('05_RG现实门槛'!$B$6:$B$405,A15,'05_RG现实门槛'!$D$6:$D$405,"RG01",'05_RG现实门槛'!$G$6:$G$405,"&lt;&gt;")+COUNTIFS('05_RG现实门槛'!$B$6:$B$405,A15,'05_RG现实门槛'!$D$6:$D$405,"RG02",'05_RG现实门槛'!$G$6:$G$405,"&lt;&gt;")+COUNTIFS('05_RG现实门槛'!$B$6:$B$405,A15,'05_RG现实门槛'!$D$6:$D$405,"RG03",'05_RG现实门槛'!$G$6:$G$405,"&lt;&gt;")+COUNTIFS('05_RG现实门槛'!$B$6:$B$405,A15,'05_RG现实门槛'!$D$6:$D$405,"RG06",'05_RG现实门槛'!$G$6:$G$405,"&lt;&gt;")+COUNTIFS('05_RG现实门槛'!$B$6:$B$405,A15,'05_RG现实门槛'!$D$6:$D$405,"RG07",'05_RG现实门槛'!$G$6:$G$405,"&lt;&gt;")=5,"是","否"))</x:f>
        <x:v>否</x:v>
      </x:c>
      <x:c r="W15" s="34" t="str">
        <x:v>否</x:v>
      </x:c>
      <x:c r="X15" s="34" t="str">
        <x:v>待录入</x:v>
      </x:c>
      <x:c r="Y15" s="34" t="str"/>
    </x:row>
    <x:row r="16">
      <x:c r="A16" s="34" t="str">
        <x:v>M5-CASE-011</x:v>
      </x:c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4" t="str"/>
      <x:c r="L16" s="34" t="str"/>
      <x:c r="M16" s="34" t="str"/>
      <x:c r="N16" s="34" t="str"/>
      <x:c r="O16" s="34" t="str"/>
      <x:c r="P16" s="34" t="n">
        <x:f>IF(A16="","",COUNTIF('04_关系事件'!$B$6:$B$505,A16))</x:f>
        <x:v>0</x:v>
      </x:c>
      <x:c r="Q16" s="34" t="n">
        <x:f>IF(A16="","",COUNTIF('06_字段核验'!$B$6:$B$805,A16))</x:f>
        <x:v>0</x:v>
      </x:c>
      <x:c r="R16" s="34" t="n">
        <x:f>IF(A16="","",COUNTIF('07_规则命中'!$B$6:$B$1005,A16))</x:f>
        <x:v>0</x:v>
      </x:c>
      <x:c r="S16" s="34" t="str">
        <x:v>否</x:v>
      </x:c>
      <x:c r="T16" s="34" t="str"/>
      <x:c r="U16" s="34" t="str">
        <x:v>否</x:v>
      </x:c>
      <x:c r="V16" s="34" t="str">
        <x:f>IF(A16="","",IF(COUNTIFS('05_RG现实门槛'!$B$6:$B$405,A16,'05_RG现实门槛'!$D$6:$D$405,"RG01",'05_RG现实门槛'!$G$6:$G$405,"&lt;&gt;")+COUNTIFS('05_RG现实门槛'!$B$6:$B$405,A16,'05_RG现实门槛'!$D$6:$D$405,"RG02",'05_RG现实门槛'!$G$6:$G$405,"&lt;&gt;")+COUNTIFS('05_RG现实门槛'!$B$6:$B$405,A16,'05_RG现实门槛'!$D$6:$D$405,"RG03",'05_RG现实门槛'!$G$6:$G$405,"&lt;&gt;")+COUNTIFS('05_RG现实门槛'!$B$6:$B$405,A16,'05_RG现实门槛'!$D$6:$D$405,"RG06",'05_RG现实门槛'!$G$6:$G$405,"&lt;&gt;")+COUNTIFS('05_RG现实门槛'!$B$6:$B$405,A16,'05_RG现实门槛'!$D$6:$D$405,"RG07",'05_RG现实门槛'!$G$6:$G$405,"&lt;&gt;")=5,"是","否"))</x:f>
        <x:v>否</x:v>
      </x:c>
      <x:c r="W16" s="34" t="str">
        <x:v>否</x:v>
      </x:c>
      <x:c r="X16" s="34" t="str">
        <x:v>待录入</x:v>
      </x:c>
      <x:c r="Y16" s="34" t="str"/>
    </x:row>
    <x:row r="17">
      <x:c r="A17" s="34" t="str">
        <x:v>M5-CASE-012</x:v>
      </x:c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4" t="str"/>
      <x:c r="L17" s="34" t="str"/>
      <x:c r="M17" s="34" t="str"/>
      <x:c r="N17" s="34" t="str"/>
      <x:c r="O17" s="34" t="str"/>
      <x:c r="P17" s="34" t="n">
        <x:f>IF(A17="","",COUNTIF('04_关系事件'!$B$6:$B$505,A17))</x:f>
        <x:v>0</x:v>
      </x:c>
      <x:c r="Q17" s="34" t="n">
        <x:f>IF(A17="","",COUNTIF('06_字段核验'!$B$6:$B$805,A17))</x:f>
        <x:v>0</x:v>
      </x:c>
      <x:c r="R17" s="34" t="n">
        <x:f>IF(A17="","",COUNTIF('07_规则命中'!$B$6:$B$1005,A17))</x:f>
        <x:v>0</x:v>
      </x:c>
      <x:c r="S17" s="34" t="str">
        <x:v>否</x:v>
      </x:c>
      <x:c r="T17" s="34" t="str"/>
      <x:c r="U17" s="34" t="str">
        <x:v>否</x:v>
      </x:c>
      <x:c r="V17" s="34" t="str">
        <x:f>IF(A17="","",IF(COUNTIFS('05_RG现实门槛'!$B$6:$B$405,A17,'05_RG现实门槛'!$D$6:$D$405,"RG01",'05_RG现实门槛'!$G$6:$G$405,"&lt;&gt;")+COUNTIFS('05_RG现实门槛'!$B$6:$B$405,A17,'05_RG现实门槛'!$D$6:$D$405,"RG02",'05_RG现实门槛'!$G$6:$G$405,"&lt;&gt;")+COUNTIFS('05_RG现实门槛'!$B$6:$B$405,A17,'05_RG现实门槛'!$D$6:$D$405,"RG03",'05_RG现实门槛'!$G$6:$G$405,"&lt;&gt;")+COUNTIFS('05_RG现实门槛'!$B$6:$B$405,A17,'05_RG现实门槛'!$D$6:$D$405,"RG06",'05_RG现实门槛'!$G$6:$G$405,"&lt;&gt;")+COUNTIFS('05_RG现实门槛'!$B$6:$B$405,A17,'05_RG现实门槛'!$D$6:$D$405,"RG07",'05_RG现实门槛'!$G$6:$G$405,"&lt;&gt;")=5,"是","否"))</x:f>
        <x:v>否</x:v>
      </x:c>
      <x:c r="W17" s="34" t="str">
        <x:v>否</x:v>
      </x:c>
      <x:c r="X17" s="34" t="str">
        <x:v>待录入</x:v>
      </x:c>
      <x:c r="Y17" s="34" t="str"/>
    </x:row>
    <x:row r="18">
      <x:c r="A18" s="34" t="str">
        <x:v>M5-CASE-013</x:v>
      </x:c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4" t="str"/>
      <x:c r="L18" s="34" t="str"/>
      <x:c r="M18" s="34" t="str"/>
      <x:c r="N18" s="34" t="str"/>
      <x:c r="O18" s="34" t="str"/>
      <x:c r="P18" s="34" t="n">
        <x:f>IF(A18="","",COUNTIF('04_关系事件'!$B$6:$B$505,A18))</x:f>
        <x:v>0</x:v>
      </x:c>
      <x:c r="Q18" s="34" t="n">
        <x:f>IF(A18="","",COUNTIF('06_字段核验'!$B$6:$B$805,A18))</x:f>
        <x:v>0</x:v>
      </x:c>
      <x:c r="R18" s="34" t="n">
        <x:f>IF(A18="","",COUNTIF('07_规则命中'!$B$6:$B$1005,A18))</x:f>
        <x:v>0</x:v>
      </x:c>
      <x:c r="S18" s="34" t="str">
        <x:v>否</x:v>
      </x:c>
      <x:c r="T18" s="34" t="str"/>
      <x:c r="U18" s="34" t="str">
        <x:v>否</x:v>
      </x:c>
      <x:c r="V18" s="34" t="str">
        <x:f>IF(A18="","",IF(COUNTIFS('05_RG现实门槛'!$B$6:$B$405,A18,'05_RG现实门槛'!$D$6:$D$405,"RG01",'05_RG现实门槛'!$G$6:$G$405,"&lt;&gt;")+COUNTIFS('05_RG现实门槛'!$B$6:$B$405,A18,'05_RG现实门槛'!$D$6:$D$405,"RG02",'05_RG现实门槛'!$G$6:$G$405,"&lt;&gt;")+COUNTIFS('05_RG现实门槛'!$B$6:$B$405,A18,'05_RG现实门槛'!$D$6:$D$405,"RG03",'05_RG现实门槛'!$G$6:$G$405,"&lt;&gt;")+COUNTIFS('05_RG现实门槛'!$B$6:$B$405,A18,'05_RG现实门槛'!$D$6:$D$405,"RG06",'05_RG现实门槛'!$G$6:$G$405,"&lt;&gt;")+COUNTIFS('05_RG现实门槛'!$B$6:$B$405,A18,'05_RG现实门槛'!$D$6:$D$405,"RG07",'05_RG现实门槛'!$G$6:$G$405,"&lt;&gt;")=5,"是","否"))</x:f>
        <x:v>否</x:v>
      </x:c>
      <x:c r="W18" s="34" t="str">
        <x:v>否</x:v>
      </x:c>
      <x:c r="X18" s="34" t="str">
        <x:v>待录入</x:v>
      </x:c>
      <x:c r="Y18" s="34" t="str"/>
    </x:row>
    <x:row r="19">
      <x:c r="A19" s="34" t="str">
        <x:v>M5-CASE-014</x:v>
      </x:c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4" t="str"/>
      <x:c r="L19" s="34" t="str"/>
      <x:c r="M19" s="34" t="str"/>
      <x:c r="N19" s="34" t="str"/>
      <x:c r="O19" s="34" t="str"/>
      <x:c r="P19" s="34" t="n">
        <x:f>IF(A19="","",COUNTIF('04_关系事件'!$B$6:$B$505,A19))</x:f>
        <x:v>0</x:v>
      </x:c>
      <x:c r="Q19" s="34" t="n">
        <x:f>IF(A19="","",COUNTIF('06_字段核验'!$B$6:$B$805,A19))</x:f>
        <x:v>0</x:v>
      </x:c>
      <x:c r="R19" s="34" t="n">
        <x:f>IF(A19="","",COUNTIF('07_规则命中'!$B$6:$B$1005,A19))</x:f>
        <x:v>0</x:v>
      </x:c>
      <x:c r="S19" s="34" t="str">
        <x:v>否</x:v>
      </x:c>
      <x:c r="T19" s="34" t="str"/>
      <x:c r="U19" s="34" t="str">
        <x:v>否</x:v>
      </x:c>
      <x:c r="V19" s="34" t="str">
        <x:f>IF(A19="","",IF(COUNTIFS('05_RG现实门槛'!$B$6:$B$405,A19,'05_RG现实门槛'!$D$6:$D$405,"RG01",'05_RG现实门槛'!$G$6:$G$405,"&lt;&gt;")+COUNTIFS('05_RG现实门槛'!$B$6:$B$405,A19,'05_RG现实门槛'!$D$6:$D$405,"RG02",'05_RG现实门槛'!$G$6:$G$405,"&lt;&gt;")+COUNTIFS('05_RG现实门槛'!$B$6:$B$405,A19,'05_RG现实门槛'!$D$6:$D$405,"RG03",'05_RG现实门槛'!$G$6:$G$405,"&lt;&gt;")+COUNTIFS('05_RG现实门槛'!$B$6:$B$405,A19,'05_RG现实门槛'!$D$6:$D$405,"RG06",'05_RG现实门槛'!$G$6:$G$405,"&lt;&gt;")+COUNTIFS('05_RG现实门槛'!$B$6:$B$405,A19,'05_RG现实门槛'!$D$6:$D$405,"RG07",'05_RG现实门槛'!$G$6:$G$405,"&lt;&gt;")=5,"是","否"))</x:f>
        <x:v>否</x:v>
      </x:c>
      <x:c r="W19" s="34" t="str">
        <x:v>否</x:v>
      </x:c>
      <x:c r="X19" s="34" t="str">
        <x:v>待录入</x:v>
      </x:c>
      <x:c r="Y19" s="34" t="str"/>
    </x:row>
    <x:row r="20">
      <x:c r="A20" s="34" t="str">
        <x:v>M5-CASE-015</x:v>
      </x:c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4" t="str"/>
      <x:c r="L20" s="34" t="str"/>
      <x:c r="M20" s="34" t="str"/>
      <x:c r="N20" s="34" t="str"/>
      <x:c r="O20" s="34" t="str"/>
      <x:c r="P20" s="34" t="n">
        <x:f>IF(A20="","",COUNTIF('04_关系事件'!$B$6:$B$505,A20))</x:f>
        <x:v>0</x:v>
      </x:c>
      <x:c r="Q20" s="34" t="n">
        <x:f>IF(A20="","",COUNTIF('06_字段核验'!$B$6:$B$805,A20))</x:f>
        <x:v>0</x:v>
      </x:c>
      <x:c r="R20" s="34" t="n">
        <x:f>IF(A20="","",COUNTIF('07_规则命中'!$B$6:$B$1005,A20))</x:f>
        <x:v>0</x:v>
      </x:c>
      <x:c r="S20" s="34" t="str">
        <x:v>否</x:v>
      </x:c>
      <x:c r="T20" s="34" t="str"/>
      <x:c r="U20" s="34" t="str">
        <x:v>否</x:v>
      </x:c>
      <x:c r="V20" s="34" t="str">
        <x:f>IF(A20="","",IF(COUNTIFS('05_RG现实门槛'!$B$6:$B$405,A20,'05_RG现实门槛'!$D$6:$D$405,"RG01",'05_RG现实门槛'!$G$6:$G$405,"&lt;&gt;")+COUNTIFS('05_RG现实门槛'!$B$6:$B$405,A20,'05_RG现实门槛'!$D$6:$D$405,"RG02",'05_RG现实门槛'!$G$6:$G$405,"&lt;&gt;")+COUNTIFS('05_RG现实门槛'!$B$6:$B$405,A20,'05_RG现实门槛'!$D$6:$D$405,"RG03",'05_RG现实门槛'!$G$6:$G$405,"&lt;&gt;")+COUNTIFS('05_RG现实门槛'!$B$6:$B$405,A20,'05_RG现实门槛'!$D$6:$D$405,"RG06",'05_RG现实门槛'!$G$6:$G$405,"&lt;&gt;")+COUNTIFS('05_RG现实门槛'!$B$6:$B$405,A20,'05_RG现实门槛'!$D$6:$D$405,"RG07",'05_RG现实门槛'!$G$6:$G$405,"&lt;&gt;")=5,"是","否"))</x:f>
        <x:v>否</x:v>
      </x:c>
      <x:c r="W20" s="34" t="str">
        <x:v>否</x:v>
      </x:c>
      <x:c r="X20" s="34" t="str">
        <x:v>待录入</x:v>
      </x:c>
      <x:c r="Y20" s="34" t="str"/>
    </x:row>
    <x:row r="21">
      <x:c r="A21" s="34" t="str">
        <x:v>M5-CASE-016</x:v>
      </x:c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4" t="str"/>
      <x:c r="L21" s="34" t="str"/>
      <x:c r="M21" s="34" t="str"/>
      <x:c r="N21" s="34" t="str"/>
      <x:c r="O21" s="34" t="str"/>
      <x:c r="P21" s="34" t="n">
        <x:f>IF(A21="","",COUNTIF('04_关系事件'!$B$6:$B$505,A21))</x:f>
        <x:v>0</x:v>
      </x:c>
      <x:c r="Q21" s="34" t="n">
        <x:f>IF(A21="","",COUNTIF('06_字段核验'!$B$6:$B$805,A21))</x:f>
        <x:v>0</x:v>
      </x:c>
      <x:c r="R21" s="34" t="n">
        <x:f>IF(A21="","",COUNTIF('07_规则命中'!$B$6:$B$1005,A21))</x:f>
        <x:v>0</x:v>
      </x:c>
      <x:c r="S21" s="34" t="str">
        <x:v>否</x:v>
      </x:c>
      <x:c r="T21" s="34" t="str"/>
      <x:c r="U21" s="34" t="str">
        <x:v>否</x:v>
      </x:c>
      <x:c r="V21" s="34" t="str">
        <x:f>IF(A21="","",IF(COUNTIFS('05_RG现实门槛'!$B$6:$B$405,A21,'05_RG现实门槛'!$D$6:$D$405,"RG01",'05_RG现实门槛'!$G$6:$G$405,"&lt;&gt;")+COUNTIFS('05_RG现实门槛'!$B$6:$B$405,A21,'05_RG现实门槛'!$D$6:$D$405,"RG02",'05_RG现实门槛'!$G$6:$G$405,"&lt;&gt;")+COUNTIFS('05_RG现实门槛'!$B$6:$B$405,A21,'05_RG现实门槛'!$D$6:$D$405,"RG03",'05_RG现实门槛'!$G$6:$G$405,"&lt;&gt;")+COUNTIFS('05_RG现实门槛'!$B$6:$B$405,A21,'05_RG现实门槛'!$D$6:$D$405,"RG06",'05_RG现实门槛'!$G$6:$G$405,"&lt;&gt;")+COUNTIFS('05_RG现实门槛'!$B$6:$B$405,A21,'05_RG现实门槛'!$D$6:$D$405,"RG07",'05_RG现实门槛'!$G$6:$G$405,"&lt;&gt;")=5,"是","否"))</x:f>
        <x:v>否</x:v>
      </x:c>
      <x:c r="W21" s="34" t="str">
        <x:v>否</x:v>
      </x:c>
      <x:c r="X21" s="34" t="str">
        <x:v>待录入</x:v>
      </x:c>
      <x:c r="Y21" s="34" t="str"/>
    </x:row>
    <x:row r="22">
      <x:c r="A22" s="34" t="str">
        <x:v>M5-CASE-017</x:v>
      </x:c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4" t="str"/>
      <x:c r="L22" s="34" t="str"/>
      <x:c r="M22" s="34" t="str"/>
      <x:c r="N22" s="34" t="str"/>
      <x:c r="O22" s="34" t="str"/>
      <x:c r="P22" s="34" t="n">
        <x:f>IF(A22="","",COUNTIF('04_关系事件'!$B$6:$B$505,A22))</x:f>
        <x:v>0</x:v>
      </x:c>
      <x:c r="Q22" s="34" t="n">
        <x:f>IF(A22="","",COUNTIF('06_字段核验'!$B$6:$B$805,A22))</x:f>
        <x:v>0</x:v>
      </x:c>
      <x:c r="R22" s="34" t="n">
        <x:f>IF(A22="","",COUNTIF('07_规则命中'!$B$6:$B$1005,A22))</x:f>
        <x:v>0</x:v>
      </x:c>
      <x:c r="S22" s="34" t="str">
        <x:v>否</x:v>
      </x:c>
      <x:c r="T22" s="34" t="str"/>
      <x:c r="U22" s="34" t="str">
        <x:v>否</x:v>
      </x:c>
      <x:c r="V22" s="34" t="str">
        <x:f>IF(A22="","",IF(COUNTIFS('05_RG现实门槛'!$B$6:$B$405,A22,'05_RG现实门槛'!$D$6:$D$405,"RG01",'05_RG现实门槛'!$G$6:$G$405,"&lt;&gt;")+COUNTIFS('05_RG现实门槛'!$B$6:$B$405,A22,'05_RG现实门槛'!$D$6:$D$405,"RG02",'05_RG现实门槛'!$G$6:$G$405,"&lt;&gt;")+COUNTIFS('05_RG现实门槛'!$B$6:$B$405,A22,'05_RG现实门槛'!$D$6:$D$405,"RG03",'05_RG现实门槛'!$G$6:$G$405,"&lt;&gt;")+COUNTIFS('05_RG现实门槛'!$B$6:$B$405,A22,'05_RG现实门槛'!$D$6:$D$405,"RG06",'05_RG现实门槛'!$G$6:$G$405,"&lt;&gt;")+COUNTIFS('05_RG现实门槛'!$B$6:$B$405,A22,'05_RG现实门槛'!$D$6:$D$405,"RG07",'05_RG现实门槛'!$G$6:$G$405,"&lt;&gt;")=5,"是","否"))</x:f>
        <x:v>否</x:v>
      </x:c>
      <x:c r="W22" s="34" t="str">
        <x:v>否</x:v>
      </x:c>
      <x:c r="X22" s="34" t="str">
        <x:v>待录入</x:v>
      </x:c>
      <x:c r="Y22" s="34" t="str"/>
    </x:row>
    <x:row r="23">
      <x:c r="A23" s="34" t="str">
        <x:v>M5-CASE-018</x:v>
      </x:c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/>
      <x:c r="N23" s="34" t="str"/>
      <x:c r="O23" s="34" t="str"/>
      <x:c r="P23" s="34" t="n">
        <x:f>IF(A23="","",COUNTIF('04_关系事件'!$B$6:$B$505,A23))</x:f>
        <x:v>0</x:v>
      </x:c>
      <x:c r="Q23" s="34" t="n">
        <x:f>IF(A23="","",COUNTIF('06_字段核验'!$B$6:$B$805,A23))</x:f>
        <x:v>0</x:v>
      </x:c>
      <x:c r="R23" s="34" t="n">
        <x:f>IF(A23="","",COUNTIF('07_规则命中'!$B$6:$B$1005,A23))</x:f>
        <x:v>0</x:v>
      </x:c>
      <x:c r="S23" s="34" t="str">
        <x:v>否</x:v>
      </x:c>
      <x:c r="T23" s="34" t="str"/>
      <x:c r="U23" s="34" t="str">
        <x:v>否</x:v>
      </x:c>
      <x:c r="V23" s="34" t="str">
        <x:f>IF(A23="","",IF(COUNTIFS('05_RG现实门槛'!$B$6:$B$405,A23,'05_RG现实门槛'!$D$6:$D$405,"RG01",'05_RG现实门槛'!$G$6:$G$405,"&lt;&gt;")+COUNTIFS('05_RG现实门槛'!$B$6:$B$405,A23,'05_RG现实门槛'!$D$6:$D$405,"RG02",'05_RG现实门槛'!$G$6:$G$405,"&lt;&gt;")+COUNTIFS('05_RG现实门槛'!$B$6:$B$405,A23,'05_RG现实门槛'!$D$6:$D$405,"RG03",'05_RG现实门槛'!$G$6:$G$405,"&lt;&gt;")+COUNTIFS('05_RG现实门槛'!$B$6:$B$405,A23,'05_RG现实门槛'!$D$6:$D$405,"RG06",'05_RG现实门槛'!$G$6:$G$405,"&lt;&gt;")+COUNTIFS('05_RG现实门槛'!$B$6:$B$405,A23,'05_RG现实门槛'!$D$6:$D$405,"RG07",'05_RG现实门槛'!$G$6:$G$405,"&lt;&gt;")=5,"是","否"))</x:f>
        <x:v>否</x:v>
      </x:c>
      <x:c r="W23" s="34" t="str">
        <x:v>否</x:v>
      </x:c>
      <x:c r="X23" s="34" t="str">
        <x:v>待录入</x:v>
      </x:c>
      <x:c r="Y23" s="34" t="str"/>
    </x:row>
    <x:row r="24">
      <x:c r="A24" s="34" t="str">
        <x:v>M5-CASE-019</x:v>
      </x:c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4" t="str"/>
      <x:c r="L24" s="34" t="str"/>
      <x:c r="M24" s="34" t="str"/>
      <x:c r="N24" s="34" t="str"/>
      <x:c r="O24" s="34" t="str"/>
      <x:c r="P24" s="34" t="n">
        <x:f>IF(A24="","",COUNTIF('04_关系事件'!$B$6:$B$505,A24))</x:f>
        <x:v>0</x:v>
      </x:c>
      <x:c r="Q24" s="34" t="n">
        <x:f>IF(A24="","",COUNTIF('06_字段核验'!$B$6:$B$805,A24))</x:f>
        <x:v>0</x:v>
      </x:c>
      <x:c r="R24" s="34" t="n">
        <x:f>IF(A24="","",COUNTIF('07_规则命中'!$B$6:$B$1005,A24))</x:f>
        <x:v>0</x:v>
      </x:c>
      <x:c r="S24" s="34" t="str">
        <x:v>否</x:v>
      </x:c>
      <x:c r="T24" s="34" t="str"/>
      <x:c r="U24" s="34" t="str">
        <x:v>否</x:v>
      </x:c>
      <x:c r="V24" s="34" t="str">
        <x:f>IF(A24="","",IF(COUNTIFS('05_RG现实门槛'!$B$6:$B$405,A24,'05_RG现实门槛'!$D$6:$D$405,"RG01",'05_RG现实门槛'!$G$6:$G$405,"&lt;&gt;")+COUNTIFS('05_RG现实门槛'!$B$6:$B$405,A24,'05_RG现实门槛'!$D$6:$D$405,"RG02",'05_RG现实门槛'!$G$6:$G$405,"&lt;&gt;")+COUNTIFS('05_RG现实门槛'!$B$6:$B$405,A24,'05_RG现实门槛'!$D$6:$D$405,"RG03",'05_RG现实门槛'!$G$6:$G$405,"&lt;&gt;")+COUNTIFS('05_RG现实门槛'!$B$6:$B$405,A24,'05_RG现实门槛'!$D$6:$D$405,"RG06",'05_RG现实门槛'!$G$6:$G$405,"&lt;&gt;")+COUNTIFS('05_RG现实门槛'!$B$6:$B$405,A24,'05_RG现实门槛'!$D$6:$D$405,"RG07",'05_RG现实门槛'!$G$6:$G$405,"&lt;&gt;")=5,"是","否"))</x:f>
        <x:v>否</x:v>
      </x:c>
      <x:c r="W24" s="34" t="str">
        <x:v>否</x:v>
      </x:c>
      <x:c r="X24" s="34" t="str">
        <x:v>待录入</x:v>
      </x:c>
      <x:c r="Y24" s="34" t="str"/>
    </x:row>
    <x:row r="25">
      <x:c r="A25" s="34" t="str">
        <x:v>M5-CASE-020</x:v>
      </x:c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4" t="str"/>
      <x:c r="L25" s="34" t="str"/>
      <x:c r="M25" s="34" t="str"/>
      <x:c r="N25" s="34" t="str"/>
      <x:c r="O25" s="34" t="str"/>
      <x:c r="P25" s="34" t="n">
        <x:f>IF(A25="","",COUNTIF('04_关系事件'!$B$6:$B$505,A25))</x:f>
        <x:v>0</x:v>
      </x:c>
      <x:c r="Q25" s="34" t="n">
        <x:f>IF(A25="","",COUNTIF('06_字段核验'!$B$6:$B$805,A25))</x:f>
        <x:v>0</x:v>
      </x:c>
      <x:c r="R25" s="34" t="n">
        <x:f>IF(A25="","",COUNTIF('07_规则命中'!$B$6:$B$1005,A25))</x:f>
        <x:v>0</x:v>
      </x:c>
      <x:c r="S25" s="34" t="str">
        <x:v>否</x:v>
      </x:c>
      <x:c r="T25" s="34" t="str"/>
      <x:c r="U25" s="34" t="str">
        <x:v>否</x:v>
      </x:c>
      <x:c r="V25" s="34" t="str">
        <x:f>IF(A25="","",IF(COUNTIFS('05_RG现实门槛'!$B$6:$B$405,A25,'05_RG现实门槛'!$D$6:$D$405,"RG01",'05_RG现实门槛'!$G$6:$G$405,"&lt;&gt;")+COUNTIFS('05_RG现实门槛'!$B$6:$B$405,A25,'05_RG现实门槛'!$D$6:$D$405,"RG02",'05_RG现实门槛'!$G$6:$G$405,"&lt;&gt;")+COUNTIFS('05_RG现实门槛'!$B$6:$B$405,A25,'05_RG现实门槛'!$D$6:$D$405,"RG03",'05_RG现实门槛'!$G$6:$G$405,"&lt;&gt;")+COUNTIFS('05_RG现实门槛'!$B$6:$B$405,A25,'05_RG现实门槛'!$D$6:$D$405,"RG06",'05_RG现实门槛'!$G$6:$G$405,"&lt;&gt;")+COUNTIFS('05_RG现实门槛'!$B$6:$B$405,A25,'05_RG现实门槛'!$D$6:$D$405,"RG07",'05_RG现实门槛'!$G$6:$G$405,"&lt;&gt;")=5,"是","否"))</x:f>
        <x:v>否</x:v>
      </x:c>
      <x:c r="W25" s="34" t="str">
        <x:v>否</x:v>
      </x:c>
      <x:c r="X25" s="34" t="str">
        <x:v>待录入</x:v>
      </x:c>
      <x:c r="Y25" s="34" t="str"/>
    </x:row>
    <x:row r="26">
      <x:c r="A26" s="34" t="str">
        <x:v>M5-CASE-021</x:v>
      </x:c>
      <x:c r="B26" s="34" t="str"/>
      <x:c r="C26" s="34" t="str"/>
      <x:c r="D26" s="34" t="str"/>
      <x:c r="E26" s="34" t="str"/>
      <x:c r="F26" s="34" t="str"/>
      <x:c r="G26" s="34" t="str"/>
      <x:c r="H26" s="34" t="str"/>
      <x:c r="I26" s="34" t="str"/>
      <x:c r="J26" s="34" t="str"/>
      <x:c r="K26" s="34" t="str"/>
      <x:c r="L26" s="34" t="str"/>
      <x:c r="M26" s="34" t="str"/>
      <x:c r="N26" s="34" t="str"/>
      <x:c r="O26" s="34" t="str"/>
      <x:c r="P26" s="34" t="n">
        <x:f>IF(A26="","",COUNTIF('04_关系事件'!$B$6:$B$505,A26))</x:f>
        <x:v>0</x:v>
      </x:c>
      <x:c r="Q26" s="34" t="n">
        <x:f>IF(A26="","",COUNTIF('06_字段核验'!$B$6:$B$805,A26))</x:f>
        <x:v>0</x:v>
      </x:c>
      <x:c r="R26" s="34" t="n">
        <x:f>IF(A26="","",COUNTIF('07_规则命中'!$B$6:$B$1005,A26))</x:f>
        <x:v>0</x:v>
      </x:c>
      <x:c r="S26" s="34" t="str">
        <x:v>否</x:v>
      </x:c>
      <x:c r="T26" s="34" t="str"/>
      <x:c r="U26" s="34" t="str">
        <x:v>否</x:v>
      </x:c>
      <x:c r="V26" s="34" t="str">
        <x:f>IF(A26="","",IF(COUNTIFS('05_RG现实门槛'!$B$6:$B$405,A26,'05_RG现实门槛'!$D$6:$D$405,"RG01",'05_RG现实门槛'!$G$6:$G$405,"&lt;&gt;")+COUNTIFS('05_RG现实门槛'!$B$6:$B$405,A26,'05_RG现实门槛'!$D$6:$D$405,"RG02",'05_RG现实门槛'!$G$6:$G$405,"&lt;&gt;")+COUNTIFS('05_RG现实门槛'!$B$6:$B$405,A26,'05_RG现实门槛'!$D$6:$D$405,"RG03",'05_RG现实门槛'!$G$6:$G$405,"&lt;&gt;")+COUNTIFS('05_RG现实门槛'!$B$6:$B$405,A26,'05_RG现实门槛'!$D$6:$D$405,"RG06",'05_RG现实门槛'!$G$6:$G$405,"&lt;&gt;")+COUNTIFS('05_RG现实门槛'!$B$6:$B$405,A26,'05_RG现实门槛'!$D$6:$D$405,"RG07",'05_RG现实门槛'!$G$6:$G$405,"&lt;&gt;")=5,"是","否"))</x:f>
        <x:v>否</x:v>
      </x:c>
      <x:c r="W26" s="34" t="str">
        <x:v>否</x:v>
      </x:c>
      <x:c r="X26" s="34" t="str">
        <x:v>待录入</x:v>
      </x:c>
      <x:c r="Y26" s="34" t="str"/>
    </x:row>
    <x:row r="27">
      <x:c r="A27" s="34" t="str">
        <x:v>M5-CASE-022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34" t="str"/>
      <x:c r="J27" s="34" t="str"/>
      <x:c r="K27" s="34" t="str"/>
      <x:c r="L27" s="34" t="str"/>
      <x:c r="M27" s="34" t="str"/>
      <x:c r="N27" s="34" t="str"/>
      <x:c r="O27" s="34" t="str"/>
      <x:c r="P27" s="34" t="n">
        <x:f>IF(A27="","",COUNTIF('04_关系事件'!$B$6:$B$505,A27))</x:f>
        <x:v>0</x:v>
      </x:c>
      <x:c r="Q27" s="34" t="n">
        <x:f>IF(A27="","",COUNTIF('06_字段核验'!$B$6:$B$805,A27))</x:f>
        <x:v>0</x:v>
      </x:c>
      <x:c r="R27" s="34" t="n">
        <x:f>IF(A27="","",COUNTIF('07_规则命中'!$B$6:$B$1005,A27))</x:f>
        <x:v>0</x:v>
      </x:c>
      <x:c r="S27" s="34" t="str">
        <x:v>否</x:v>
      </x:c>
      <x:c r="T27" s="34" t="str"/>
      <x:c r="U27" s="34" t="str">
        <x:v>否</x:v>
      </x:c>
      <x:c r="V27" s="34" t="str">
        <x:f>IF(A27="","",IF(COUNTIFS('05_RG现实门槛'!$B$6:$B$405,A27,'05_RG现实门槛'!$D$6:$D$405,"RG01",'05_RG现实门槛'!$G$6:$G$405,"&lt;&gt;")+COUNTIFS('05_RG现实门槛'!$B$6:$B$405,A27,'05_RG现实门槛'!$D$6:$D$405,"RG02",'05_RG现实门槛'!$G$6:$G$405,"&lt;&gt;")+COUNTIFS('05_RG现实门槛'!$B$6:$B$405,A27,'05_RG现实门槛'!$D$6:$D$405,"RG03",'05_RG现实门槛'!$G$6:$G$405,"&lt;&gt;")+COUNTIFS('05_RG现实门槛'!$B$6:$B$405,A27,'05_RG现实门槛'!$D$6:$D$405,"RG06",'05_RG现实门槛'!$G$6:$G$405,"&lt;&gt;")+COUNTIFS('05_RG现实门槛'!$B$6:$B$405,A27,'05_RG现实门槛'!$D$6:$D$405,"RG07",'05_RG现实门槛'!$G$6:$G$405,"&lt;&gt;")=5,"是","否"))</x:f>
        <x:v>否</x:v>
      </x:c>
      <x:c r="W27" s="34" t="str">
        <x:v>否</x:v>
      </x:c>
      <x:c r="X27" s="34" t="str">
        <x:v>待录入</x:v>
      </x:c>
      <x:c r="Y27" s="34" t="str"/>
    </x:row>
    <x:row r="28">
      <x:c r="A28" s="34" t="str">
        <x:v>M5-CASE-023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34" t="str"/>
      <x:c r="J28" s="34" t="str"/>
      <x:c r="K28" s="34" t="str"/>
      <x:c r="L28" s="34" t="str"/>
      <x:c r="M28" s="34" t="str"/>
      <x:c r="N28" s="34" t="str"/>
      <x:c r="O28" s="34" t="str"/>
      <x:c r="P28" s="34" t="n">
        <x:f>IF(A28="","",COUNTIF('04_关系事件'!$B$6:$B$505,A28))</x:f>
        <x:v>0</x:v>
      </x:c>
      <x:c r="Q28" s="34" t="n">
        <x:f>IF(A28="","",COUNTIF('06_字段核验'!$B$6:$B$805,A28))</x:f>
        <x:v>0</x:v>
      </x:c>
      <x:c r="R28" s="34" t="n">
        <x:f>IF(A28="","",COUNTIF('07_规则命中'!$B$6:$B$1005,A28))</x:f>
        <x:v>0</x:v>
      </x:c>
      <x:c r="S28" s="34" t="str">
        <x:v>否</x:v>
      </x:c>
      <x:c r="T28" s="34" t="str"/>
      <x:c r="U28" s="34" t="str">
        <x:v>否</x:v>
      </x:c>
      <x:c r="V28" s="34" t="str">
        <x:f>IF(A28="","",IF(COUNTIFS('05_RG现实门槛'!$B$6:$B$405,A28,'05_RG现实门槛'!$D$6:$D$405,"RG01",'05_RG现实门槛'!$G$6:$G$405,"&lt;&gt;")+COUNTIFS('05_RG现实门槛'!$B$6:$B$405,A28,'05_RG现实门槛'!$D$6:$D$405,"RG02",'05_RG现实门槛'!$G$6:$G$405,"&lt;&gt;")+COUNTIFS('05_RG现实门槛'!$B$6:$B$405,A28,'05_RG现实门槛'!$D$6:$D$405,"RG03",'05_RG现实门槛'!$G$6:$G$405,"&lt;&gt;")+COUNTIFS('05_RG现实门槛'!$B$6:$B$405,A28,'05_RG现实门槛'!$D$6:$D$405,"RG06",'05_RG现实门槛'!$G$6:$G$405,"&lt;&gt;")+COUNTIFS('05_RG现实门槛'!$B$6:$B$405,A28,'05_RG现实门槛'!$D$6:$D$405,"RG07",'05_RG现实门槛'!$G$6:$G$405,"&lt;&gt;")=5,"是","否"))</x:f>
        <x:v>否</x:v>
      </x:c>
      <x:c r="W28" s="34" t="str">
        <x:v>否</x:v>
      </x:c>
      <x:c r="X28" s="34" t="str">
        <x:v>待录入</x:v>
      </x:c>
      <x:c r="Y28" s="34" t="str"/>
    </x:row>
    <x:row r="29">
      <x:c r="A29" s="34" t="str">
        <x:v>M5-CASE-024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/>
      <x:c r="N29" s="34" t="str"/>
      <x:c r="O29" s="34" t="str"/>
      <x:c r="P29" s="34" t="n">
        <x:f>IF(A29="","",COUNTIF('04_关系事件'!$B$6:$B$505,A29))</x:f>
        <x:v>0</x:v>
      </x:c>
      <x:c r="Q29" s="34" t="n">
        <x:f>IF(A29="","",COUNTIF('06_字段核验'!$B$6:$B$805,A29))</x:f>
        <x:v>0</x:v>
      </x:c>
      <x:c r="R29" s="34" t="n">
        <x:f>IF(A29="","",COUNTIF('07_规则命中'!$B$6:$B$1005,A29))</x:f>
        <x:v>0</x:v>
      </x:c>
      <x:c r="S29" s="34" t="str">
        <x:v>否</x:v>
      </x:c>
      <x:c r="T29" s="34" t="str"/>
      <x:c r="U29" s="34" t="str">
        <x:v>否</x:v>
      </x:c>
      <x:c r="V29" s="34" t="str">
        <x:f>IF(A29="","",IF(COUNTIFS('05_RG现实门槛'!$B$6:$B$405,A29,'05_RG现实门槛'!$D$6:$D$405,"RG01",'05_RG现实门槛'!$G$6:$G$405,"&lt;&gt;")+COUNTIFS('05_RG现实门槛'!$B$6:$B$405,A29,'05_RG现实门槛'!$D$6:$D$405,"RG02",'05_RG现实门槛'!$G$6:$G$405,"&lt;&gt;")+COUNTIFS('05_RG现实门槛'!$B$6:$B$405,A29,'05_RG现实门槛'!$D$6:$D$405,"RG03",'05_RG现实门槛'!$G$6:$G$405,"&lt;&gt;")+COUNTIFS('05_RG现实门槛'!$B$6:$B$405,A29,'05_RG现实门槛'!$D$6:$D$405,"RG06",'05_RG现实门槛'!$G$6:$G$405,"&lt;&gt;")+COUNTIFS('05_RG现实门槛'!$B$6:$B$405,A29,'05_RG现实门槛'!$D$6:$D$405,"RG07",'05_RG现实门槛'!$G$6:$G$405,"&lt;&gt;")=5,"是","否"))</x:f>
        <x:v>否</x:v>
      </x:c>
      <x:c r="W29" s="34" t="str">
        <x:v>否</x:v>
      </x:c>
      <x:c r="X29" s="34" t="str">
        <x:v>待录入</x:v>
      </x:c>
      <x:c r="Y29" s="34" t="str"/>
    </x:row>
    <x:row r="30">
      <x:c r="A30" s="34" t="str">
        <x:v>M5-CASE-025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/>
      <x:c r="N30" s="34" t="str"/>
      <x:c r="O30" s="34" t="str"/>
      <x:c r="P30" s="34" t="n">
        <x:f>IF(A30="","",COUNTIF('04_关系事件'!$B$6:$B$505,A30))</x:f>
        <x:v>0</x:v>
      </x:c>
      <x:c r="Q30" s="34" t="n">
        <x:f>IF(A30="","",COUNTIF('06_字段核验'!$B$6:$B$805,A30))</x:f>
        <x:v>0</x:v>
      </x:c>
      <x:c r="R30" s="34" t="n">
        <x:f>IF(A30="","",COUNTIF('07_规则命中'!$B$6:$B$1005,A30))</x:f>
        <x:v>0</x:v>
      </x:c>
      <x:c r="S30" s="34" t="str">
        <x:v>否</x:v>
      </x:c>
      <x:c r="T30" s="34" t="str"/>
      <x:c r="U30" s="34" t="str">
        <x:v>否</x:v>
      </x:c>
      <x:c r="V30" s="34" t="str">
        <x:f>IF(A30="","",IF(COUNTIFS('05_RG现实门槛'!$B$6:$B$405,A30,'05_RG现实门槛'!$D$6:$D$405,"RG01",'05_RG现实门槛'!$G$6:$G$405,"&lt;&gt;")+COUNTIFS('05_RG现实门槛'!$B$6:$B$405,A30,'05_RG现实门槛'!$D$6:$D$405,"RG02",'05_RG现实门槛'!$G$6:$G$405,"&lt;&gt;")+COUNTIFS('05_RG现实门槛'!$B$6:$B$405,A30,'05_RG现实门槛'!$D$6:$D$405,"RG03",'05_RG现实门槛'!$G$6:$G$405,"&lt;&gt;")+COUNTIFS('05_RG现实门槛'!$B$6:$B$405,A30,'05_RG现实门槛'!$D$6:$D$405,"RG06",'05_RG现实门槛'!$G$6:$G$405,"&lt;&gt;")+COUNTIFS('05_RG现实门槛'!$B$6:$B$405,A30,'05_RG现实门槛'!$D$6:$D$405,"RG07",'05_RG现实门槛'!$G$6:$G$405,"&lt;&gt;")=5,"是","否"))</x:f>
        <x:v>否</x:v>
      </x:c>
      <x:c r="W30" s="34" t="str">
        <x:v>否</x:v>
      </x:c>
      <x:c r="X30" s="34" t="str">
        <x:v>待录入</x:v>
      </x:c>
      <x:c r="Y30" s="34" t="str"/>
    </x:row>
    <x:row r="31">
      <x:c r="A31" s="34" t="str">
        <x:v>M5-CASE-026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4" t="str"/>
      <x:c r="J31" s="34" t="str"/>
      <x:c r="K31" s="34" t="str"/>
      <x:c r="L31" s="34" t="str"/>
      <x:c r="M31" s="34" t="str"/>
      <x:c r="N31" s="34" t="str"/>
      <x:c r="O31" s="34" t="str"/>
      <x:c r="P31" s="34" t="n">
        <x:f>IF(A31="","",COUNTIF('04_关系事件'!$B$6:$B$505,A31))</x:f>
        <x:v>0</x:v>
      </x:c>
      <x:c r="Q31" s="34" t="n">
        <x:f>IF(A31="","",COUNTIF('06_字段核验'!$B$6:$B$805,A31))</x:f>
        <x:v>0</x:v>
      </x:c>
      <x:c r="R31" s="34" t="n">
        <x:f>IF(A31="","",COUNTIF('07_规则命中'!$B$6:$B$1005,A31))</x:f>
        <x:v>0</x:v>
      </x:c>
      <x:c r="S31" s="34" t="str">
        <x:v>否</x:v>
      </x:c>
      <x:c r="T31" s="34" t="str"/>
      <x:c r="U31" s="34" t="str">
        <x:v>否</x:v>
      </x:c>
      <x:c r="V31" s="34" t="str">
        <x:f>IF(A31="","",IF(COUNTIFS('05_RG现实门槛'!$B$6:$B$405,A31,'05_RG现实门槛'!$D$6:$D$405,"RG01",'05_RG现实门槛'!$G$6:$G$405,"&lt;&gt;")+COUNTIFS('05_RG现实门槛'!$B$6:$B$405,A31,'05_RG现实门槛'!$D$6:$D$405,"RG02",'05_RG现实门槛'!$G$6:$G$405,"&lt;&gt;")+COUNTIFS('05_RG现实门槛'!$B$6:$B$405,A31,'05_RG现实门槛'!$D$6:$D$405,"RG03",'05_RG现实门槛'!$G$6:$G$405,"&lt;&gt;")+COUNTIFS('05_RG现实门槛'!$B$6:$B$405,A31,'05_RG现实门槛'!$D$6:$D$405,"RG06",'05_RG现实门槛'!$G$6:$G$405,"&lt;&gt;")+COUNTIFS('05_RG现实门槛'!$B$6:$B$405,A31,'05_RG现实门槛'!$D$6:$D$405,"RG07",'05_RG现实门槛'!$G$6:$G$405,"&lt;&gt;")=5,"是","否"))</x:f>
        <x:v>否</x:v>
      </x:c>
      <x:c r="W31" s="34" t="str">
        <x:v>否</x:v>
      </x:c>
      <x:c r="X31" s="34" t="str">
        <x:v>待录入</x:v>
      </x:c>
      <x:c r="Y31" s="34" t="str"/>
    </x:row>
    <x:row r="32">
      <x:c r="A32" s="34" t="str">
        <x:v>M5-CASE-027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/>
      <x:c r="N32" s="34" t="str"/>
      <x:c r="O32" s="34" t="str"/>
      <x:c r="P32" s="34" t="n">
        <x:f>IF(A32="","",COUNTIF('04_关系事件'!$B$6:$B$505,A32))</x:f>
        <x:v>0</x:v>
      </x:c>
      <x:c r="Q32" s="34" t="n">
        <x:f>IF(A32="","",COUNTIF('06_字段核验'!$B$6:$B$805,A32))</x:f>
        <x:v>0</x:v>
      </x:c>
      <x:c r="R32" s="34" t="n">
        <x:f>IF(A32="","",COUNTIF('07_规则命中'!$B$6:$B$1005,A32))</x:f>
        <x:v>0</x:v>
      </x:c>
      <x:c r="S32" s="34" t="str">
        <x:v>否</x:v>
      </x:c>
      <x:c r="T32" s="34" t="str"/>
      <x:c r="U32" s="34" t="str">
        <x:v>否</x:v>
      </x:c>
      <x:c r="V32" s="34" t="str">
        <x:f>IF(A32="","",IF(COUNTIFS('05_RG现实门槛'!$B$6:$B$405,A32,'05_RG现实门槛'!$D$6:$D$405,"RG01",'05_RG现实门槛'!$G$6:$G$405,"&lt;&gt;")+COUNTIFS('05_RG现实门槛'!$B$6:$B$405,A32,'05_RG现实门槛'!$D$6:$D$405,"RG02",'05_RG现实门槛'!$G$6:$G$405,"&lt;&gt;")+COUNTIFS('05_RG现实门槛'!$B$6:$B$405,A32,'05_RG现实门槛'!$D$6:$D$405,"RG03",'05_RG现实门槛'!$G$6:$G$405,"&lt;&gt;")+COUNTIFS('05_RG现实门槛'!$B$6:$B$405,A32,'05_RG现实门槛'!$D$6:$D$405,"RG06",'05_RG现实门槛'!$G$6:$G$405,"&lt;&gt;")+COUNTIFS('05_RG现实门槛'!$B$6:$B$405,A32,'05_RG现实门槛'!$D$6:$D$405,"RG07",'05_RG现实门槛'!$G$6:$G$405,"&lt;&gt;")=5,"是","否"))</x:f>
        <x:v>否</x:v>
      </x:c>
      <x:c r="W32" s="34" t="str">
        <x:v>否</x:v>
      </x:c>
      <x:c r="X32" s="34" t="str">
        <x:v>待录入</x:v>
      </x:c>
      <x:c r="Y32" s="34" t="str"/>
    </x:row>
    <x:row r="33">
      <x:c r="A33" s="34" t="str">
        <x:v>M5-CASE-028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/>
      <x:c r="N33" s="34" t="str"/>
      <x:c r="O33" s="34" t="str"/>
      <x:c r="P33" s="34" t="n">
        <x:f>IF(A33="","",COUNTIF('04_关系事件'!$B$6:$B$505,A33))</x:f>
        <x:v>0</x:v>
      </x:c>
      <x:c r="Q33" s="34" t="n">
        <x:f>IF(A33="","",COUNTIF('06_字段核验'!$B$6:$B$805,A33))</x:f>
        <x:v>0</x:v>
      </x:c>
      <x:c r="R33" s="34" t="n">
        <x:f>IF(A33="","",COUNTIF('07_规则命中'!$B$6:$B$1005,A33))</x:f>
        <x:v>0</x:v>
      </x:c>
      <x:c r="S33" s="34" t="str">
        <x:v>否</x:v>
      </x:c>
      <x:c r="T33" s="34" t="str"/>
      <x:c r="U33" s="34" t="str">
        <x:v>否</x:v>
      </x:c>
      <x:c r="V33" s="34" t="str">
        <x:f>IF(A33="","",IF(COUNTIFS('05_RG现实门槛'!$B$6:$B$405,A33,'05_RG现实门槛'!$D$6:$D$405,"RG01",'05_RG现实门槛'!$G$6:$G$405,"&lt;&gt;")+COUNTIFS('05_RG现实门槛'!$B$6:$B$405,A33,'05_RG现实门槛'!$D$6:$D$405,"RG02",'05_RG现实门槛'!$G$6:$G$405,"&lt;&gt;")+COUNTIFS('05_RG现实门槛'!$B$6:$B$405,A33,'05_RG现实门槛'!$D$6:$D$405,"RG03",'05_RG现实门槛'!$G$6:$G$405,"&lt;&gt;")+COUNTIFS('05_RG现实门槛'!$B$6:$B$405,A33,'05_RG现实门槛'!$D$6:$D$405,"RG06",'05_RG现实门槛'!$G$6:$G$405,"&lt;&gt;")+COUNTIFS('05_RG现实门槛'!$B$6:$B$405,A33,'05_RG现实门槛'!$D$6:$D$405,"RG07",'05_RG现实门槛'!$G$6:$G$405,"&lt;&gt;")=5,"是","否"))</x:f>
        <x:v>否</x:v>
      </x:c>
      <x:c r="W33" s="34" t="str">
        <x:v>否</x:v>
      </x:c>
      <x:c r="X33" s="34" t="str">
        <x:v>待录入</x:v>
      </x:c>
      <x:c r="Y33" s="34" t="str"/>
    </x:row>
    <x:row r="34">
      <x:c r="A34" s="34" t="str">
        <x:v>M5-CASE-029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/>
      <x:c r="N34" s="34" t="str"/>
      <x:c r="O34" s="34" t="str"/>
      <x:c r="P34" s="34" t="n">
        <x:f>IF(A34="","",COUNTIF('04_关系事件'!$B$6:$B$505,A34))</x:f>
        <x:v>0</x:v>
      </x:c>
      <x:c r="Q34" s="34" t="n">
        <x:f>IF(A34="","",COUNTIF('06_字段核验'!$B$6:$B$805,A34))</x:f>
        <x:v>0</x:v>
      </x:c>
      <x:c r="R34" s="34" t="n">
        <x:f>IF(A34="","",COUNTIF('07_规则命中'!$B$6:$B$1005,A34))</x:f>
        <x:v>0</x:v>
      </x:c>
      <x:c r="S34" s="34" t="str">
        <x:v>否</x:v>
      </x:c>
      <x:c r="T34" s="34" t="str"/>
      <x:c r="U34" s="34" t="str">
        <x:v>否</x:v>
      </x:c>
      <x:c r="V34" s="34" t="str">
        <x:f>IF(A34="","",IF(COUNTIFS('05_RG现实门槛'!$B$6:$B$405,A34,'05_RG现实门槛'!$D$6:$D$405,"RG01",'05_RG现实门槛'!$G$6:$G$405,"&lt;&gt;")+COUNTIFS('05_RG现实门槛'!$B$6:$B$405,A34,'05_RG现实门槛'!$D$6:$D$405,"RG02",'05_RG现实门槛'!$G$6:$G$405,"&lt;&gt;")+COUNTIFS('05_RG现实门槛'!$B$6:$B$405,A34,'05_RG现实门槛'!$D$6:$D$405,"RG03",'05_RG现实门槛'!$G$6:$G$405,"&lt;&gt;")+COUNTIFS('05_RG现实门槛'!$B$6:$B$405,A34,'05_RG现实门槛'!$D$6:$D$405,"RG06",'05_RG现实门槛'!$G$6:$G$405,"&lt;&gt;")+COUNTIFS('05_RG现实门槛'!$B$6:$B$405,A34,'05_RG现实门槛'!$D$6:$D$405,"RG07",'05_RG现实门槛'!$G$6:$G$405,"&lt;&gt;")=5,"是","否"))</x:f>
        <x:v>否</x:v>
      </x:c>
      <x:c r="W34" s="34" t="str">
        <x:v>否</x:v>
      </x:c>
      <x:c r="X34" s="34" t="str">
        <x:v>待录入</x:v>
      </x:c>
      <x:c r="Y34" s="34" t="str"/>
    </x:row>
    <x:row r="35">
      <x:c r="A35" s="34" t="str">
        <x:v>M5-CASE-030</x:v>
      </x:c>
      <x:c r="B35" s="34" t="str"/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/>
      <x:c r="N35" s="34" t="str"/>
      <x:c r="O35" s="34" t="str"/>
      <x:c r="P35" s="34" t="n">
        <x:f>IF(A35="","",COUNTIF('04_关系事件'!$B$6:$B$505,A35))</x:f>
        <x:v>0</x:v>
      </x:c>
      <x:c r="Q35" s="34" t="n">
        <x:f>IF(A35="","",COUNTIF('06_字段核验'!$B$6:$B$805,A35))</x:f>
        <x:v>0</x:v>
      </x:c>
      <x:c r="R35" s="34" t="n">
        <x:f>IF(A35="","",COUNTIF('07_规则命中'!$B$6:$B$1005,A35))</x:f>
        <x:v>0</x:v>
      </x:c>
      <x:c r="S35" s="34" t="str">
        <x:v>否</x:v>
      </x:c>
      <x:c r="T35" s="34" t="str"/>
      <x:c r="U35" s="34" t="str">
        <x:v>否</x:v>
      </x:c>
      <x:c r="V35" s="34" t="str">
        <x:f>IF(A35="","",IF(COUNTIFS('05_RG现实门槛'!$B$6:$B$405,A35,'05_RG现实门槛'!$D$6:$D$405,"RG01",'05_RG现实门槛'!$G$6:$G$405,"&lt;&gt;")+COUNTIFS('05_RG现实门槛'!$B$6:$B$405,A35,'05_RG现实门槛'!$D$6:$D$405,"RG02",'05_RG现实门槛'!$G$6:$G$405,"&lt;&gt;")+COUNTIFS('05_RG现实门槛'!$B$6:$B$405,A35,'05_RG现实门槛'!$D$6:$D$405,"RG03",'05_RG现实门槛'!$G$6:$G$405,"&lt;&gt;")+COUNTIFS('05_RG现实门槛'!$B$6:$B$405,A35,'05_RG现实门槛'!$D$6:$D$405,"RG06",'05_RG现实门槛'!$G$6:$G$405,"&lt;&gt;")+COUNTIFS('05_RG现实门槛'!$B$6:$B$405,A35,'05_RG现实门槛'!$D$6:$D$405,"RG07",'05_RG现实门槛'!$G$6:$G$405,"&lt;&gt;")=5,"是","否"))</x:f>
        <x:v>否</x:v>
      </x:c>
      <x:c r="W35" s="34" t="str">
        <x:v>否</x:v>
      </x:c>
      <x:c r="X35" s="34" t="str">
        <x:v>待录入</x:v>
      </x:c>
      <x:c r="Y35" s="34" t="str"/>
    </x:row>
    <x:row r="36">
      <x:c r="A36" s="34" t="str">
        <x:v>M5-CASE-031</x:v>
      </x:c>
      <x:c r="B36" s="34" t="str"/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/>
      <x:c r="N36" s="34" t="str"/>
      <x:c r="O36" s="34" t="str"/>
      <x:c r="P36" s="34" t="n">
        <x:f>IF(A36="","",COUNTIF('04_关系事件'!$B$6:$B$505,A36))</x:f>
        <x:v>0</x:v>
      </x:c>
      <x:c r="Q36" s="34" t="n">
        <x:f>IF(A36="","",COUNTIF('06_字段核验'!$B$6:$B$805,A36))</x:f>
        <x:v>0</x:v>
      </x:c>
      <x:c r="R36" s="34" t="n">
        <x:f>IF(A36="","",COUNTIF('07_规则命中'!$B$6:$B$1005,A36))</x:f>
        <x:v>0</x:v>
      </x:c>
      <x:c r="S36" s="34" t="str">
        <x:v>否</x:v>
      </x:c>
      <x:c r="T36" s="34" t="str"/>
      <x:c r="U36" s="34" t="str">
        <x:v>否</x:v>
      </x:c>
      <x:c r="V36" s="34" t="str">
        <x:f>IF(A36="","",IF(COUNTIFS('05_RG现实门槛'!$B$6:$B$405,A36,'05_RG现实门槛'!$D$6:$D$405,"RG01",'05_RG现实门槛'!$G$6:$G$405,"&lt;&gt;")+COUNTIFS('05_RG现实门槛'!$B$6:$B$405,A36,'05_RG现实门槛'!$D$6:$D$405,"RG02",'05_RG现实门槛'!$G$6:$G$405,"&lt;&gt;")+COUNTIFS('05_RG现实门槛'!$B$6:$B$405,A36,'05_RG现实门槛'!$D$6:$D$405,"RG03",'05_RG现实门槛'!$G$6:$G$405,"&lt;&gt;")+COUNTIFS('05_RG现实门槛'!$B$6:$B$405,A36,'05_RG现实门槛'!$D$6:$D$405,"RG06",'05_RG现实门槛'!$G$6:$G$405,"&lt;&gt;")+COUNTIFS('05_RG现实门槛'!$B$6:$B$405,A36,'05_RG现实门槛'!$D$6:$D$405,"RG07",'05_RG现实门槛'!$G$6:$G$405,"&lt;&gt;")=5,"是","否"))</x:f>
        <x:v>否</x:v>
      </x:c>
      <x:c r="W36" s="34" t="str">
        <x:v>否</x:v>
      </x:c>
      <x:c r="X36" s="34" t="str">
        <x:v>待录入</x:v>
      </x:c>
      <x:c r="Y36" s="34" t="str"/>
    </x:row>
    <x:row r="37">
      <x:c r="A37" s="34" t="str">
        <x:v>M5-CASE-032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/>
      <x:c r="N37" s="34" t="str"/>
      <x:c r="O37" s="34" t="str"/>
      <x:c r="P37" s="34" t="n">
        <x:f>IF(A37="","",COUNTIF('04_关系事件'!$B$6:$B$505,A37))</x:f>
        <x:v>0</x:v>
      </x:c>
      <x:c r="Q37" s="34" t="n">
        <x:f>IF(A37="","",COUNTIF('06_字段核验'!$B$6:$B$805,A37))</x:f>
        <x:v>0</x:v>
      </x:c>
      <x:c r="R37" s="34" t="n">
        <x:f>IF(A37="","",COUNTIF('07_规则命中'!$B$6:$B$1005,A37))</x:f>
        <x:v>0</x:v>
      </x:c>
      <x:c r="S37" s="34" t="str">
        <x:v>否</x:v>
      </x:c>
      <x:c r="T37" s="34" t="str"/>
      <x:c r="U37" s="34" t="str">
        <x:v>否</x:v>
      </x:c>
      <x:c r="V37" s="34" t="str">
        <x:f>IF(A37="","",IF(COUNTIFS('05_RG现实门槛'!$B$6:$B$405,A37,'05_RG现实门槛'!$D$6:$D$405,"RG01",'05_RG现实门槛'!$G$6:$G$405,"&lt;&gt;")+COUNTIFS('05_RG现实门槛'!$B$6:$B$405,A37,'05_RG现实门槛'!$D$6:$D$405,"RG02",'05_RG现实门槛'!$G$6:$G$405,"&lt;&gt;")+COUNTIFS('05_RG现实门槛'!$B$6:$B$405,A37,'05_RG现实门槛'!$D$6:$D$405,"RG03",'05_RG现实门槛'!$G$6:$G$405,"&lt;&gt;")+COUNTIFS('05_RG现实门槛'!$B$6:$B$405,A37,'05_RG现实门槛'!$D$6:$D$405,"RG06",'05_RG现实门槛'!$G$6:$G$405,"&lt;&gt;")+COUNTIFS('05_RG现实门槛'!$B$6:$B$405,A37,'05_RG现实门槛'!$D$6:$D$405,"RG07",'05_RG现实门槛'!$G$6:$G$405,"&lt;&gt;")=5,"是","否"))</x:f>
        <x:v>否</x:v>
      </x:c>
      <x:c r="W37" s="34" t="str">
        <x:v>否</x:v>
      </x:c>
      <x:c r="X37" s="34" t="str">
        <x:v>待录入</x:v>
      </x:c>
      <x:c r="Y37" s="34" t="str"/>
    </x:row>
    <x:row r="38">
      <x:c r="A38" s="34" t="str">
        <x:v>M5-CASE-033</x:v>
      </x:c>
      <x:c r="B38" s="34" t="str"/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/>
      <x:c r="N38" s="34" t="str"/>
      <x:c r="O38" s="34" t="str"/>
      <x:c r="P38" s="34" t="n">
        <x:f>IF(A38="","",COUNTIF('04_关系事件'!$B$6:$B$505,A38))</x:f>
        <x:v>0</x:v>
      </x:c>
      <x:c r="Q38" s="34" t="n">
        <x:f>IF(A38="","",COUNTIF('06_字段核验'!$B$6:$B$805,A38))</x:f>
        <x:v>0</x:v>
      </x:c>
      <x:c r="R38" s="34" t="n">
        <x:f>IF(A38="","",COUNTIF('07_规则命中'!$B$6:$B$1005,A38))</x:f>
        <x:v>0</x:v>
      </x:c>
      <x:c r="S38" s="34" t="str">
        <x:v>否</x:v>
      </x:c>
      <x:c r="T38" s="34" t="str"/>
      <x:c r="U38" s="34" t="str">
        <x:v>否</x:v>
      </x:c>
      <x:c r="V38" s="34" t="str">
        <x:f>IF(A38="","",IF(COUNTIFS('05_RG现实门槛'!$B$6:$B$405,A38,'05_RG现实门槛'!$D$6:$D$405,"RG01",'05_RG现实门槛'!$G$6:$G$405,"&lt;&gt;")+COUNTIFS('05_RG现实门槛'!$B$6:$B$405,A38,'05_RG现实门槛'!$D$6:$D$405,"RG02",'05_RG现实门槛'!$G$6:$G$405,"&lt;&gt;")+COUNTIFS('05_RG现实门槛'!$B$6:$B$405,A38,'05_RG现实门槛'!$D$6:$D$405,"RG03",'05_RG现实门槛'!$G$6:$G$405,"&lt;&gt;")+COUNTIFS('05_RG现实门槛'!$B$6:$B$405,A38,'05_RG现实门槛'!$D$6:$D$405,"RG06",'05_RG现实门槛'!$G$6:$G$405,"&lt;&gt;")+COUNTIFS('05_RG现实门槛'!$B$6:$B$405,A38,'05_RG现实门槛'!$D$6:$D$405,"RG07",'05_RG现实门槛'!$G$6:$G$405,"&lt;&gt;")=5,"是","否"))</x:f>
        <x:v>否</x:v>
      </x:c>
      <x:c r="W38" s="34" t="str">
        <x:v>否</x:v>
      </x:c>
      <x:c r="X38" s="34" t="str">
        <x:v>待录入</x:v>
      </x:c>
      <x:c r="Y38" s="34" t="str"/>
    </x:row>
    <x:row r="39">
      <x:c r="A39" s="34" t="str">
        <x:v>M5-CASE-034</x:v>
      </x:c>
      <x:c r="B39" s="34" t="str"/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/>
      <x:c r="N39" s="34" t="str"/>
      <x:c r="O39" s="34" t="str"/>
      <x:c r="P39" s="34" t="n">
        <x:f>IF(A39="","",COUNTIF('04_关系事件'!$B$6:$B$505,A39))</x:f>
        <x:v>0</x:v>
      </x:c>
      <x:c r="Q39" s="34" t="n">
        <x:f>IF(A39="","",COUNTIF('06_字段核验'!$B$6:$B$805,A39))</x:f>
        <x:v>0</x:v>
      </x:c>
      <x:c r="R39" s="34" t="n">
        <x:f>IF(A39="","",COUNTIF('07_规则命中'!$B$6:$B$1005,A39))</x:f>
        <x:v>0</x:v>
      </x:c>
      <x:c r="S39" s="34" t="str">
        <x:v>否</x:v>
      </x:c>
      <x:c r="T39" s="34" t="str"/>
      <x:c r="U39" s="34" t="str">
        <x:v>否</x:v>
      </x:c>
      <x:c r="V39" s="34" t="str">
        <x:f>IF(A39="","",IF(COUNTIFS('05_RG现实门槛'!$B$6:$B$405,A39,'05_RG现实门槛'!$D$6:$D$405,"RG01",'05_RG现实门槛'!$G$6:$G$405,"&lt;&gt;")+COUNTIFS('05_RG现实门槛'!$B$6:$B$405,A39,'05_RG现实门槛'!$D$6:$D$405,"RG02",'05_RG现实门槛'!$G$6:$G$405,"&lt;&gt;")+COUNTIFS('05_RG现实门槛'!$B$6:$B$405,A39,'05_RG现实门槛'!$D$6:$D$405,"RG03",'05_RG现实门槛'!$G$6:$G$405,"&lt;&gt;")+COUNTIFS('05_RG现实门槛'!$B$6:$B$405,A39,'05_RG现实门槛'!$D$6:$D$405,"RG06",'05_RG现实门槛'!$G$6:$G$405,"&lt;&gt;")+COUNTIFS('05_RG现实门槛'!$B$6:$B$405,A39,'05_RG现实门槛'!$D$6:$D$405,"RG07",'05_RG现实门槛'!$G$6:$G$405,"&lt;&gt;")=5,"是","否"))</x:f>
        <x:v>否</x:v>
      </x:c>
      <x:c r="W39" s="34" t="str">
        <x:v>否</x:v>
      </x:c>
      <x:c r="X39" s="34" t="str">
        <x:v>待录入</x:v>
      </x:c>
      <x:c r="Y39" s="34" t="str"/>
    </x:row>
    <x:row r="40">
      <x:c r="A40" s="34" t="str">
        <x:v>M5-CASE-035</x:v>
      </x:c>
      <x:c r="B40" s="34" t="str"/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/>
      <x:c r="N40" s="34" t="str"/>
      <x:c r="O40" s="34" t="str"/>
      <x:c r="P40" s="34" t="n">
        <x:f>IF(A40="","",COUNTIF('04_关系事件'!$B$6:$B$505,A40))</x:f>
        <x:v>0</x:v>
      </x:c>
      <x:c r="Q40" s="34" t="n">
        <x:f>IF(A40="","",COUNTIF('06_字段核验'!$B$6:$B$805,A40))</x:f>
        <x:v>0</x:v>
      </x:c>
      <x:c r="R40" s="34" t="n">
        <x:f>IF(A40="","",COUNTIF('07_规则命中'!$B$6:$B$1005,A40))</x:f>
        <x:v>0</x:v>
      </x:c>
      <x:c r="S40" s="34" t="str">
        <x:v>否</x:v>
      </x:c>
      <x:c r="T40" s="34" t="str"/>
      <x:c r="U40" s="34" t="str">
        <x:v>否</x:v>
      </x:c>
      <x:c r="V40" s="34" t="str">
        <x:f>IF(A40="","",IF(COUNTIFS('05_RG现实门槛'!$B$6:$B$405,A40,'05_RG现实门槛'!$D$6:$D$405,"RG01",'05_RG现实门槛'!$G$6:$G$405,"&lt;&gt;")+COUNTIFS('05_RG现实门槛'!$B$6:$B$405,A40,'05_RG现实门槛'!$D$6:$D$405,"RG02",'05_RG现实门槛'!$G$6:$G$405,"&lt;&gt;")+COUNTIFS('05_RG现实门槛'!$B$6:$B$405,A40,'05_RG现实门槛'!$D$6:$D$405,"RG03",'05_RG现实门槛'!$G$6:$G$405,"&lt;&gt;")+COUNTIFS('05_RG现实门槛'!$B$6:$B$405,A40,'05_RG现实门槛'!$D$6:$D$405,"RG06",'05_RG现实门槛'!$G$6:$G$405,"&lt;&gt;")+COUNTIFS('05_RG现实门槛'!$B$6:$B$405,A40,'05_RG现实门槛'!$D$6:$D$405,"RG07",'05_RG现实门槛'!$G$6:$G$405,"&lt;&gt;")=5,"是","否"))</x:f>
        <x:v>否</x:v>
      </x:c>
      <x:c r="W40" s="34" t="str">
        <x:v>否</x:v>
      </x:c>
      <x:c r="X40" s="34" t="str">
        <x:v>待录入</x:v>
      </x:c>
      <x:c r="Y40" s="34" t="str"/>
    </x:row>
    <x:row r="41">
      <x:c r="A41" s="34" t="str">
        <x:v>M5-CASE-036</x:v>
      </x:c>
      <x:c r="B41" s="34" t="str"/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/>
      <x:c r="N41" s="34" t="str"/>
      <x:c r="O41" s="34" t="str"/>
      <x:c r="P41" s="34" t="n">
        <x:f>IF(A41="","",COUNTIF('04_关系事件'!$B$6:$B$505,A41))</x:f>
        <x:v>0</x:v>
      </x:c>
      <x:c r="Q41" s="34" t="n">
        <x:f>IF(A41="","",COUNTIF('06_字段核验'!$B$6:$B$805,A41))</x:f>
        <x:v>0</x:v>
      </x:c>
      <x:c r="R41" s="34" t="n">
        <x:f>IF(A41="","",COUNTIF('07_规则命中'!$B$6:$B$1005,A41))</x:f>
        <x:v>0</x:v>
      </x:c>
      <x:c r="S41" s="34" t="str">
        <x:v>否</x:v>
      </x:c>
      <x:c r="T41" s="34" t="str"/>
      <x:c r="U41" s="34" t="str">
        <x:v>否</x:v>
      </x:c>
      <x:c r="V41" s="34" t="str">
        <x:f>IF(A41="","",IF(COUNTIFS('05_RG现实门槛'!$B$6:$B$405,A41,'05_RG现实门槛'!$D$6:$D$405,"RG01",'05_RG现实门槛'!$G$6:$G$405,"&lt;&gt;")+COUNTIFS('05_RG现实门槛'!$B$6:$B$405,A41,'05_RG现实门槛'!$D$6:$D$405,"RG02",'05_RG现实门槛'!$G$6:$G$405,"&lt;&gt;")+COUNTIFS('05_RG现实门槛'!$B$6:$B$405,A41,'05_RG现实门槛'!$D$6:$D$405,"RG03",'05_RG现实门槛'!$G$6:$G$405,"&lt;&gt;")+COUNTIFS('05_RG现实门槛'!$B$6:$B$405,A41,'05_RG现实门槛'!$D$6:$D$405,"RG06",'05_RG现实门槛'!$G$6:$G$405,"&lt;&gt;")+COUNTIFS('05_RG现实门槛'!$B$6:$B$405,A41,'05_RG现实门槛'!$D$6:$D$405,"RG07",'05_RG现实门槛'!$G$6:$G$405,"&lt;&gt;")=5,"是","否"))</x:f>
        <x:v>否</x:v>
      </x:c>
      <x:c r="W41" s="34" t="str">
        <x:v>否</x:v>
      </x:c>
      <x:c r="X41" s="34" t="str">
        <x:v>待录入</x:v>
      </x:c>
      <x:c r="Y41" s="34" t="str"/>
    </x:row>
    <x:row r="42">
      <x:c r="A42" s="34" t="str">
        <x:v>M5-CASE-037</x:v>
      </x:c>
      <x:c r="B42" s="34" t="str"/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/>
      <x:c r="N42" s="34" t="str"/>
      <x:c r="O42" s="34" t="str"/>
      <x:c r="P42" s="34" t="n">
        <x:f>IF(A42="","",COUNTIF('04_关系事件'!$B$6:$B$505,A42))</x:f>
        <x:v>0</x:v>
      </x:c>
      <x:c r="Q42" s="34" t="n">
        <x:f>IF(A42="","",COUNTIF('06_字段核验'!$B$6:$B$805,A42))</x:f>
        <x:v>0</x:v>
      </x:c>
      <x:c r="R42" s="34" t="n">
        <x:f>IF(A42="","",COUNTIF('07_规则命中'!$B$6:$B$1005,A42))</x:f>
        <x:v>0</x:v>
      </x:c>
      <x:c r="S42" s="34" t="str">
        <x:v>否</x:v>
      </x:c>
      <x:c r="T42" s="34" t="str"/>
      <x:c r="U42" s="34" t="str">
        <x:v>否</x:v>
      </x:c>
      <x:c r="V42" s="34" t="str">
        <x:f>IF(A42="","",IF(COUNTIFS('05_RG现实门槛'!$B$6:$B$405,A42,'05_RG现实门槛'!$D$6:$D$405,"RG01",'05_RG现实门槛'!$G$6:$G$405,"&lt;&gt;")+COUNTIFS('05_RG现实门槛'!$B$6:$B$405,A42,'05_RG现实门槛'!$D$6:$D$405,"RG02",'05_RG现实门槛'!$G$6:$G$405,"&lt;&gt;")+COUNTIFS('05_RG现实门槛'!$B$6:$B$405,A42,'05_RG现实门槛'!$D$6:$D$405,"RG03",'05_RG现实门槛'!$G$6:$G$405,"&lt;&gt;")+COUNTIFS('05_RG现实门槛'!$B$6:$B$405,A42,'05_RG现实门槛'!$D$6:$D$405,"RG06",'05_RG现实门槛'!$G$6:$G$405,"&lt;&gt;")+COUNTIFS('05_RG现实门槛'!$B$6:$B$405,A42,'05_RG现实门槛'!$D$6:$D$405,"RG07",'05_RG现实门槛'!$G$6:$G$405,"&lt;&gt;")=5,"是","否"))</x:f>
        <x:v>否</x:v>
      </x:c>
      <x:c r="W42" s="34" t="str">
        <x:v>否</x:v>
      </x:c>
      <x:c r="X42" s="34" t="str">
        <x:v>待录入</x:v>
      </x:c>
      <x:c r="Y42" s="34" t="str"/>
    </x:row>
    <x:row r="43">
      <x:c r="A43" s="34" t="str">
        <x:v>M5-CASE-038</x:v>
      </x:c>
      <x:c r="B43" s="34" t="str"/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/>
      <x:c r="N43" s="34" t="str"/>
      <x:c r="O43" s="34" t="str"/>
      <x:c r="P43" s="34" t="n">
        <x:f>IF(A43="","",COUNTIF('04_关系事件'!$B$6:$B$505,A43))</x:f>
        <x:v>0</x:v>
      </x:c>
      <x:c r="Q43" s="34" t="n">
        <x:f>IF(A43="","",COUNTIF('06_字段核验'!$B$6:$B$805,A43))</x:f>
        <x:v>0</x:v>
      </x:c>
      <x:c r="R43" s="34" t="n">
        <x:f>IF(A43="","",COUNTIF('07_规则命中'!$B$6:$B$1005,A43))</x:f>
        <x:v>0</x:v>
      </x:c>
      <x:c r="S43" s="34" t="str">
        <x:v>否</x:v>
      </x:c>
      <x:c r="T43" s="34" t="str"/>
      <x:c r="U43" s="34" t="str">
        <x:v>否</x:v>
      </x:c>
      <x:c r="V43" s="34" t="str">
        <x:f>IF(A43="","",IF(COUNTIFS('05_RG现实门槛'!$B$6:$B$405,A43,'05_RG现实门槛'!$D$6:$D$405,"RG01",'05_RG现实门槛'!$G$6:$G$405,"&lt;&gt;")+COUNTIFS('05_RG现实门槛'!$B$6:$B$405,A43,'05_RG现实门槛'!$D$6:$D$405,"RG02",'05_RG现实门槛'!$G$6:$G$405,"&lt;&gt;")+COUNTIFS('05_RG现实门槛'!$B$6:$B$405,A43,'05_RG现实门槛'!$D$6:$D$405,"RG03",'05_RG现实门槛'!$G$6:$G$405,"&lt;&gt;")+COUNTIFS('05_RG现实门槛'!$B$6:$B$405,A43,'05_RG现实门槛'!$D$6:$D$405,"RG06",'05_RG现实门槛'!$G$6:$G$405,"&lt;&gt;")+COUNTIFS('05_RG现实门槛'!$B$6:$B$405,A43,'05_RG现实门槛'!$D$6:$D$405,"RG07",'05_RG现实门槛'!$G$6:$G$405,"&lt;&gt;")=5,"是","否"))</x:f>
        <x:v>否</x:v>
      </x:c>
      <x:c r="W43" s="34" t="str">
        <x:v>否</x:v>
      </x:c>
      <x:c r="X43" s="34" t="str">
        <x:v>待录入</x:v>
      </x:c>
      <x:c r="Y43" s="34" t="str"/>
    </x:row>
    <x:row r="44">
      <x:c r="A44" s="34" t="str">
        <x:v>M5-CASE-039</x:v>
      </x:c>
      <x:c r="B44" s="34" t="str"/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/>
      <x:c r="N44" s="34" t="str"/>
      <x:c r="O44" s="34" t="str"/>
      <x:c r="P44" s="34" t="n">
        <x:f>IF(A44="","",COUNTIF('04_关系事件'!$B$6:$B$505,A44))</x:f>
        <x:v>0</x:v>
      </x:c>
      <x:c r="Q44" s="34" t="n">
        <x:f>IF(A44="","",COUNTIF('06_字段核验'!$B$6:$B$805,A44))</x:f>
        <x:v>0</x:v>
      </x:c>
      <x:c r="R44" s="34" t="n">
        <x:f>IF(A44="","",COUNTIF('07_规则命中'!$B$6:$B$1005,A44))</x:f>
        <x:v>0</x:v>
      </x:c>
      <x:c r="S44" s="34" t="str">
        <x:v>否</x:v>
      </x:c>
      <x:c r="T44" s="34" t="str"/>
      <x:c r="U44" s="34" t="str">
        <x:v>否</x:v>
      </x:c>
      <x:c r="V44" s="34" t="str">
        <x:f>IF(A44="","",IF(COUNTIFS('05_RG现实门槛'!$B$6:$B$405,A44,'05_RG现实门槛'!$D$6:$D$405,"RG01",'05_RG现实门槛'!$G$6:$G$405,"&lt;&gt;")+COUNTIFS('05_RG现实门槛'!$B$6:$B$405,A44,'05_RG现实门槛'!$D$6:$D$405,"RG02",'05_RG现实门槛'!$G$6:$G$405,"&lt;&gt;")+COUNTIFS('05_RG现实门槛'!$B$6:$B$405,A44,'05_RG现实门槛'!$D$6:$D$405,"RG03",'05_RG现实门槛'!$G$6:$G$405,"&lt;&gt;")+COUNTIFS('05_RG现实门槛'!$B$6:$B$405,A44,'05_RG现实门槛'!$D$6:$D$405,"RG06",'05_RG现实门槛'!$G$6:$G$405,"&lt;&gt;")+COUNTIFS('05_RG现实门槛'!$B$6:$B$405,A44,'05_RG现实门槛'!$D$6:$D$405,"RG07",'05_RG现实门槛'!$G$6:$G$405,"&lt;&gt;")=5,"是","否"))</x:f>
        <x:v>否</x:v>
      </x:c>
      <x:c r="W44" s="34" t="str">
        <x:v>否</x:v>
      </x:c>
      <x:c r="X44" s="34" t="str">
        <x:v>待录入</x:v>
      </x:c>
      <x:c r="Y44" s="34" t="str"/>
    </x:row>
    <x:row r="45">
      <x:c r="A45" s="34" t="str">
        <x:v>M5-CASE-040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/>
      <x:c r="N45" s="34" t="str"/>
      <x:c r="O45" s="34" t="str"/>
      <x:c r="P45" s="34" t="n">
        <x:f>IF(A45="","",COUNTIF('04_关系事件'!$B$6:$B$505,A45))</x:f>
        <x:v>0</x:v>
      </x:c>
      <x:c r="Q45" s="34" t="n">
        <x:f>IF(A45="","",COUNTIF('06_字段核验'!$B$6:$B$805,A45))</x:f>
        <x:v>0</x:v>
      </x:c>
      <x:c r="R45" s="34" t="n">
        <x:f>IF(A45="","",COUNTIF('07_规则命中'!$B$6:$B$1005,A45))</x:f>
        <x:v>0</x:v>
      </x:c>
      <x:c r="S45" s="34" t="str">
        <x:v>否</x:v>
      </x:c>
      <x:c r="T45" s="34" t="str"/>
      <x:c r="U45" s="34" t="str">
        <x:v>否</x:v>
      </x:c>
      <x:c r="V45" s="34" t="str">
        <x:f>IF(A45="","",IF(COUNTIFS('05_RG现实门槛'!$B$6:$B$405,A45,'05_RG现实门槛'!$D$6:$D$405,"RG01",'05_RG现实门槛'!$G$6:$G$405,"&lt;&gt;")+COUNTIFS('05_RG现实门槛'!$B$6:$B$405,A45,'05_RG现实门槛'!$D$6:$D$405,"RG02",'05_RG现实门槛'!$G$6:$G$405,"&lt;&gt;")+COUNTIFS('05_RG现实门槛'!$B$6:$B$405,A45,'05_RG现实门槛'!$D$6:$D$405,"RG03",'05_RG现实门槛'!$G$6:$G$405,"&lt;&gt;")+COUNTIFS('05_RG现实门槛'!$B$6:$B$405,A45,'05_RG现实门槛'!$D$6:$D$405,"RG06",'05_RG现实门槛'!$G$6:$G$405,"&lt;&gt;")+COUNTIFS('05_RG现实门槛'!$B$6:$B$405,A45,'05_RG现实门槛'!$D$6:$D$405,"RG07",'05_RG现实门槛'!$G$6:$G$405,"&lt;&gt;")=5,"是","否"))</x:f>
        <x:v>否</x:v>
      </x:c>
      <x:c r="W45" s="34" t="str">
        <x:v>否</x:v>
      </x:c>
      <x:c r="X45" s="34" t="str">
        <x:v>待录入</x:v>
      </x:c>
      <x:c r="Y45" s="34" t="str"/>
    </x:row>
    <x:row r="46">
      <x:c r="A46" s="34" t="str">
        <x:v>M5-CASE-041</x:v>
      </x:c>
      <x:c r="B46" s="34" t="str"/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/>
      <x:c r="N46" s="34" t="str"/>
      <x:c r="O46" s="34" t="str"/>
      <x:c r="P46" s="34" t="n">
        <x:f>IF(A46="","",COUNTIF('04_关系事件'!$B$6:$B$505,A46))</x:f>
        <x:v>0</x:v>
      </x:c>
      <x:c r="Q46" s="34" t="n">
        <x:f>IF(A46="","",COUNTIF('06_字段核验'!$B$6:$B$805,A46))</x:f>
        <x:v>0</x:v>
      </x:c>
      <x:c r="R46" s="34" t="n">
        <x:f>IF(A46="","",COUNTIF('07_规则命中'!$B$6:$B$1005,A46))</x:f>
        <x:v>0</x:v>
      </x:c>
      <x:c r="S46" s="34" t="str">
        <x:v>否</x:v>
      </x:c>
      <x:c r="T46" s="34" t="str"/>
      <x:c r="U46" s="34" t="str">
        <x:v>否</x:v>
      </x:c>
      <x:c r="V46" s="34" t="str">
        <x:f>IF(A46="","",IF(COUNTIFS('05_RG现实门槛'!$B$6:$B$405,A46,'05_RG现实门槛'!$D$6:$D$405,"RG01",'05_RG现实门槛'!$G$6:$G$405,"&lt;&gt;")+COUNTIFS('05_RG现实门槛'!$B$6:$B$405,A46,'05_RG现实门槛'!$D$6:$D$405,"RG02",'05_RG现实门槛'!$G$6:$G$405,"&lt;&gt;")+COUNTIFS('05_RG现实门槛'!$B$6:$B$405,A46,'05_RG现实门槛'!$D$6:$D$405,"RG03",'05_RG现实门槛'!$G$6:$G$405,"&lt;&gt;")+COUNTIFS('05_RG现实门槛'!$B$6:$B$405,A46,'05_RG现实门槛'!$D$6:$D$405,"RG06",'05_RG现实门槛'!$G$6:$G$405,"&lt;&gt;")+COUNTIFS('05_RG现实门槛'!$B$6:$B$405,A46,'05_RG现实门槛'!$D$6:$D$405,"RG07",'05_RG现实门槛'!$G$6:$G$405,"&lt;&gt;")=5,"是","否"))</x:f>
        <x:v>否</x:v>
      </x:c>
      <x:c r="W46" s="34" t="str">
        <x:v>否</x:v>
      </x:c>
      <x:c r="X46" s="34" t="str">
        <x:v>待录入</x:v>
      </x:c>
      <x:c r="Y46" s="34" t="str"/>
    </x:row>
    <x:row r="47">
      <x:c r="A47" s="34" t="str">
        <x:v>M5-CASE-042</x:v>
      </x:c>
      <x:c r="B47" s="34" t="str"/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/>
      <x:c r="N47" s="34" t="str"/>
      <x:c r="O47" s="34" t="str"/>
      <x:c r="P47" s="34" t="n">
        <x:f>IF(A47="","",COUNTIF('04_关系事件'!$B$6:$B$505,A47))</x:f>
        <x:v>0</x:v>
      </x:c>
      <x:c r="Q47" s="34" t="n">
        <x:f>IF(A47="","",COUNTIF('06_字段核验'!$B$6:$B$805,A47))</x:f>
        <x:v>0</x:v>
      </x:c>
      <x:c r="R47" s="34" t="n">
        <x:f>IF(A47="","",COUNTIF('07_规则命中'!$B$6:$B$1005,A47))</x:f>
        <x:v>0</x:v>
      </x:c>
      <x:c r="S47" s="34" t="str">
        <x:v>否</x:v>
      </x:c>
      <x:c r="T47" s="34" t="str"/>
      <x:c r="U47" s="34" t="str">
        <x:v>否</x:v>
      </x:c>
      <x:c r="V47" s="34" t="str">
        <x:f>IF(A47="","",IF(COUNTIFS('05_RG现实门槛'!$B$6:$B$405,A47,'05_RG现实门槛'!$D$6:$D$405,"RG01",'05_RG现实门槛'!$G$6:$G$405,"&lt;&gt;")+COUNTIFS('05_RG现实门槛'!$B$6:$B$405,A47,'05_RG现实门槛'!$D$6:$D$405,"RG02",'05_RG现实门槛'!$G$6:$G$405,"&lt;&gt;")+COUNTIFS('05_RG现实门槛'!$B$6:$B$405,A47,'05_RG现实门槛'!$D$6:$D$405,"RG03",'05_RG现实门槛'!$G$6:$G$405,"&lt;&gt;")+COUNTIFS('05_RG现实门槛'!$B$6:$B$405,A47,'05_RG现实门槛'!$D$6:$D$405,"RG06",'05_RG现实门槛'!$G$6:$G$405,"&lt;&gt;")+COUNTIFS('05_RG现实门槛'!$B$6:$B$405,A47,'05_RG现实门槛'!$D$6:$D$405,"RG07",'05_RG现实门槛'!$G$6:$G$405,"&lt;&gt;")=5,"是","否"))</x:f>
        <x:v>否</x:v>
      </x:c>
      <x:c r="W47" s="34" t="str">
        <x:v>否</x:v>
      </x:c>
      <x:c r="X47" s="34" t="str">
        <x:v>待录入</x:v>
      </x:c>
      <x:c r="Y47" s="34" t="str"/>
    </x:row>
    <x:row r="48">
      <x:c r="A48" s="34" t="str">
        <x:v>M5-CASE-043</x:v>
      </x:c>
      <x:c r="B48" s="34" t="str"/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/>
      <x:c r="N48" s="34" t="str"/>
      <x:c r="O48" s="34" t="str"/>
      <x:c r="P48" s="34" t="n">
        <x:f>IF(A48="","",COUNTIF('04_关系事件'!$B$6:$B$505,A48))</x:f>
        <x:v>0</x:v>
      </x:c>
      <x:c r="Q48" s="34" t="n">
        <x:f>IF(A48="","",COUNTIF('06_字段核验'!$B$6:$B$805,A48))</x:f>
        <x:v>0</x:v>
      </x:c>
      <x:c r="R48" s="34" t="n">
        <x:f>IF(A48="","",COUNTIF('07_规则命中'!$B$6:$B$1005,A48))</x:f>
        <x:v>0</x:v>
      </x:c>
      <x:c r="S48" s="34" t="str">
        <x:v>否</x:v>
      </x:c>
      <x:c r="T48" s="34" t="str"/>
      <x:c r="U48" s="34" t="str">
        <x:v>否</x:v>
      </x:c>
      <x:c r="V48" s="34" t="str">
        <x:f>IF(A48="","",IF(COUNTIFS('05_RG现实门槛'!$B$6:$B$405,A48,'05_RG现实门槛'!$D$6:$D$405,"RG01",'05_RG现实门槛'!$G$6:$G$405,"&lt;&gt;")+COUNTIFS('05_RG现实门槛'!$B$6:$B$405,A48,'05_RG现实门槛'!$D$6:$D$405,"RG02",'05_RG现实门槛'!$G$6:$G$405,"&lt;&gt;")+COUNTIFS('05_RG现实门槛'!$B$6:$B$405,A48,'05_RG现实门槛'!$D$6:$D$405,"RG03",'05_RG现实门槛'!$G$6:$G$405,"&lt;&gt;")+COUNTIFS('05_RG现实门槛'!$B$6:$B$405,A48,'05_RG现实门槛'!$D$6:$D$405,"RG06",'05_RG现实门槛'!$G$6:$G$405,"&lt;&gt;")+COUNTIFS('05_RG现实门槛'!$B$6:$B$405,A48,'05_RG现实门槛'!$D$6:$D$405,"RG07",'05_RG现实门槛'!$G$6:$G$405,"&lt;&gt;")=5,"是","否"))</x:f>
        <x:v>否</x:v>
      </x:c>
      <x:c r="W48" s="34" t="str">
        <x:v>否</x:v>
      </x:c>
      <x:c r="X48" s="34" t="str">
        <x:v>待录入</x:v>
      </x:c>
      <x:c r="Y48" s="34" t="str"/>
    </x:row>
    <x:row r="49">
      <x:c r="A49" s="34" t="str">
        <x:v>M5-CASE-044</x:v>
      </x:c>
      <x:c r="B49" s="34" t="str"/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/>
      <x:c r="N49" s="34" t="str"/>
      <x:c r="O49" s="34" t="str"/>
      <x:c r="P49" s="34" t="n">
        <x:f>IF(A49="","",COUNTIF('04_关系事件'!$B$6:$B$505,A49))</x:f>
        <x:v>0</x:v>
      </x:c>
      <x:c r="Q49" s="34" t="n">
        <x:f>IF(A49="","",COUNTIF('06_字段核验'!$B$6:$B$805,A49))</x:f>
        <x:v>0</x:v>
      </x:c>
      <x:c r="R49" s="34" t="n">
        <x:f>IF(A49="","",COUNTIF('07_规则命中'!$B$6:$B$1005,A49))</x:f>
        <x:v>0</x:v>
      </x:c>
      <x:c r="S49" s="34" t="str">
        <x:v>否</x:v>
      </x:c>
      <x:c r="T49" s="34" t="str"/>
      <x:c r="U49" s="34" t="str">
        <x:v>否</x:v>
      </x:c>
      <x:c r="V49" s="34" t="str">
        <x:f>IF(A49="","",IF(COUNTIFS('05_RG现实门槛'!$B$6:$B$405,A49,'05_RG现实门槛'!$D$6:$D$405,"RG01",'05_RG现实门槛'!$G$6:$G$405,"&lt;&gt;")+COUNTIFS('05_RG现实门槛'!$B$6:$B$405,A49,'05_RG现实门槛'!$D$6:$D$405,"RG02",'05_RG现实门槛'!$G$6:$G$405,"&lt;&gt;")+COUNTIFS('05_RG现实门槛'!$B$6:$B$405,A49,'05_RG现实门槛'!$D$6:$D$405,"RG03",'05_RG现实门槛'!$G$6:$G$405,"&lt;&gt;")+COUNTIFS('05_RG现实门槛'!$B$6:$B$405,A49,'05_RG现实门槛'!$D$6:$D$405,"RG06",'05_RG现实门槛'!$G$6:$G$405,"&lt;&gt;")+COUNTIFS('05_RG现实门槛'!$B$6:$B$405,A49,'05_RG现实门槛'!$D$6:$D$405,"RG07",'05_RG现实门槛'!$G$6:$G$405,"&lt;&gt;")=5,"是","否"))</x:f>
        <x:v>否</x:v>
      </x:c>
      <x:c r="W49" s="34" t="str">
        <x:v>否</x:v>
      </x:c>
      <x:c r="X49" s="34" t="str">
        <x:v>待录入</x:v>
      </x:c>
      <x:c r="Y49" s="34" t="str"/>
    </x:row>
    <x:row r="50">
      <x:c r="A50" s="34" t="str">
        <x:v>M5-CASE-045</x:v>
      </x:c>
      <x:c r="B50" s="34" t="str"/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/>
      <x:c r="N50" s="34" t="str"/>
      <x:c r="O50" s="34" t="str"/>
      <x:c r="P50" s="34" t="n">
        <x:f>IF(A50="","",COUNTIF('04_关系事件'!$B$6:$B$505,A50))</x:f>
        <x:v>0</x:v>
      </x:c>
      <x:c r="Q50" s="34" t="n">
        <x:f>IF(A50="","",COUNTIF('06_字段核验'!$B$6:$B$805,A50))</x:f>
        <x:v>0</x:v>
      </x:c>
      <x:c r="R50" s="34" t="n">
        <x:f>IF(A50="","",COUNTIF('07_规则命中'!$B$6:$B$1005,A50))</x:f>
        <x:v>0</x:v>
      </x:c>
      <x:c r="S50" s="34" t="str">
        <x:v>否</x:v>
      </x:c>
      <x:c r="T50" s="34" t="str"/>
      <x:c r="U50" s="34" t="str">
        <x:v>否</x:v>
      </x:c>
      <x:c r="V50" s="34" t="str">
        <x:f>IF(A50="","",IF(COUNTIFS('05_RG现实门槛'!$B$6:$B$405,A50,'05_RG现实门槛'!$D$6:$D$405,"RG01",'05_RG现实门槛'!$G$6:$G$405,"&lt;&gt;")+COUNTIFS('05_RG现实门槛'!$B$6:$B$405,A50,'05_RG现实门槛'!$D$6:$D$405,"RG02",'05_RG现实门槛'!$G$6:$G$405,"&lt;&gt;")+COUNTIFS('05_RG现实门槛'!$B$6:$B$405,A50,'05_RG现实门槛'!$D$6:$D$405,"RG03",'05_RG现实门槛'!$G$6:$G$405,"&lt;&gt;")+COUNTIFS('05_RG现实门槛'!$B$6:$B$405,A50,'05_RG现实门槛'!$D$6:$D$405,"RG06",'05_RG现实门槛'!$G$6:$G$405,"&lt;&gt;")+COUNTIFS('05_RG现实门槛'!$B$6:$B$405,A50,'05_RG现实门槛'!$D$6:$D$405,"RG07",'05_RG现实门槛'!$G$6:$G$405,"&lt;&gt;")=5,"是","否"))</x:f>
        <x:v>否</x:v>
      </x:c>
      <x:c r="W50" s="34" t="str">
        <x:v>否</x:v>
      </x:c>
      <x:c r="X50" s="34" t="str">
        <x:v>待录入</x:v>
      </x:c>
      <x:c r="Y50" s="34" t="str"/>
    </x:row>
    <x:row r="51">
      <x:c r="A51" s="34" t="str">
        <x:v>M5-CASE-046</x:v>
      </x:c>
      <x:c r="B51" s="34" t="str"/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/>
      <x:c r="N51" s="34" t="str"/>
      <x:c r="O51" s="34" t="str"/>
      <x:c r="P51" s="34" t="n">
        <x:f>IF(A51="","",COUNTIF('04_关系事件'!$B$6:$B$505,A51))</x:f>
        <x:v>0</x:v>
      </x:c>
      <x:c r="Q51" s="34" t="n">
        <x:f>IF(A51="","",COUNTIF('06_字段核验'!$B$6:$B$805,A51))</x:f>
        <x:v>0</x:v>
      </x:c>
      <x:c r="R51" s="34" t="n">
        <x:f>IF(A51="","",COUNTIF('07_规则命中'!$B$6:$B$1005,A51))</x:f>
        <x:v>0</x:v>
      </x:c>
      <x:c r="S51" s="34" t="str">
        <x:v>否</x:v>
      </x:c>
      <x:c r="T51" s="34" t="str"/>
      <x:c r="U51" s="34" t="str">
        <x:v>否</x:v>
      </x:c>
      <x:c r="V51" s="34" t="str">
        <x:f>IF(A51="","",IF(COUNTIFS('05_RG现实门槛'!$B$6:$B$405,A51,'05_RG现实门槛'!$D$6:$D$405,"RG01",'05_RG现实门槛'!$G$6:$G$405,"&lt;&gt;")+COUNTIFS('05_RG现实门槛'!$B$6:$B$405,A51,'05_RG现实门槛'!$D$6:$D$405,"RG02",'05_RG现实门槛'!$G$6:$G$405,"&lt;&gt;")+COUNTIFS('05_RG现实门槛'!$B$6:$B$405,A51,'05_RG现实门槛'!$D$6:$D$405,"RG03",'05_RG现实门槛'!$G$6:$G$405,"&lt;&gt;")+COUNTIFS('05_RG现实门槛'!$B$6:$B$405,A51,'05_RG现实门槛'!$D$6:$D$405,"RG06",'05_RG现实门槛'!$G$6:$G$405,"&lt;&gt;")+COUNTIFS('05_RG现实门槛'!$B$6:$B$405,A51,'05_RG现实门槛'!$D$6:$D$405,"RG07",'05_RG现实门槛'!$G$6:$G$405,"&lt;&gt;")=5,"是","否"))</x:f>
        <x:v>否</x:v>
      </x:c>
      <x:c r="W51" s="34" t="str">
        <x:v>否</x:v>
      </x:c>
      <x:c r="X51" s="34" t="str">
        <x:v>待录入</x:v>
      </x:c>
      <x:c r="Y51" s="34" t="str"/>
    </x:row>
    <x:row r="52">
      <x:c r="A52" s="34" t="str">
        <x:v>M5-CASE-047</x:v>
      </x:c>
      <x:c r="B52" s="34" t="str"/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/>
      <x:c r="N52" s="34" t="str"/>
      <x:c r="O52" s="34" t="str"/>
      <x:c r="P52" s="34" t="n">
        <x:f>IF(A52="","",COUNTIF('04_关系事件'!$B$6:$B$505,A52))</x:f>
        <x:v>0</x:v>
      </x:c>
      <x:c r="Q52" s="34" t="n">
        <x:f>IF(A52="","",COUNTIF('06_字段核验'!$B$6:$B$805,A52))</x:f>
        <x:v>0</x:v>
      </x:c>
      <x:c r="R52" s="34" t="n">
        <x:f>IF(A52="","",COUNTIF('07_规则命中'!$B$6:$B$1005,A52))</x:f>
        <x:v>0</x:v>
      </x:c>
      <x:c r="S52" s="34" t="str">
        <x:v>否</x:v>
      </x:c>
      <x:c r="T52" s="34" t="str"/>
      <x:c r="U52" s="34" t="str">
        <x:v>否</x:v>
      </x:c>
      <x:c r="V52" s="34" t="str">
        <x:f>IF(A52="","",IF(COUNTIFS('05_RG现实门槛'!$B$6:$B$405,A52,'05_RG现实门槛'!$D$6:$D$405,"RG01",'05_RG现实门槛'!$G$6:$G$405,"&lt;&gt;")+COUNTIFS('05_RG现实门槛'!$B$6:$B$405,A52,'05_RG现实门槛'!$D$6:$D$405,"RG02",'05_RG现实门槛'!$G$6:$G$405,"&lt;&gt;")+COUNTIFS('05_RG现实门槛'!$B$6:$B$405,A52,'05_RG现实门槛'!$D$6:$D$405,"RG03",'05_RG现实门槛'!$G$6:$G$405,"&lt;&gt;")+COUNTIFS('05_RG现实门槛'!$B$6:$B$405,A52,'05_RG现实门槛'!$D$6:$D$405,"RG06",'05_RG现实门槛'!$G$6:$G$405,"&lt;&gt;")+COUNTIFS('05_RG现实门槛'!$B$6:$B$405,A52,'05_RG现实门槛'!$D$6:$D$405,"RG07",'05_RG现实门槛'!$G$6:$G$405,"&lt;&gt;")=5,"是","否"))</x:f>
        <x:v>否</x:v>
      </x:c>
      <x:c r="W52" s="34" t="str">
        <x:v>否</x:v>
      </x:c>
      <x:c r="X52" s="34" t="str">
        <x:v>待录入</x:v>
      </x:c>
      <x:c r="Y52" s="34" t="str"/>
    </x:row>
    <x:row r="53">
      <x:c r="A53" s="34" t="str">
        <x:v>M5-CASE-048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/>
      <x:c r="N53" s="34" t="str"/>
      <x:c r="O53" s="34" t="str"/>
      <x:c r="P53" s="34" t="n">
        <x:f>IF(A53="","",COUNTIF('04_关系事件'!$B$6:$B$505,A53))</x:f>
        <x:v>0</x:v>
      </x:c>
      <x:c r="Q53" s="34" t="n">
        <x:f>IF(A53="","",COUNTIF('06_字段核验'!$B$6:$B$805,A53))</x:f>
        <x:v>0</x:v>
      </x:c>
      <x:c r="R53" s="34" t="n">
        <x:f>IF(A53="","",COUNTIF('07_规则命中'!$B$6:$B$1005,A53))</x:f>
        <x:v>0</x:v>
      </x:c>
      <x:c r="S53" s="34" t="str">
        <x:v>否</x:v>
      </x:c>
      <x:c r="T53" s="34" t="str"/>
      <x:c r="U53" s="34" t="str">
        <x:v>否</x:v>
      </x:c>
      <x:c r="V53" s="34" t="str">
        <x:f>IF(A53="","",IF(COUNTIFS('05_RG现实门槛'!$B$6:$B$405,A53,'05_RG现实门槛'!$D$6:$D$405,"RG01",'05_RG现实门槛'!$G$6:$G$405,"&lt;&gt;")+COUNTIFS('05_RG现实门槛'!$B$6:$B$405,A53,'05_RG现实门槛'!$D$6:$D$405,"RG02",'05_RG现实门槛'!$G$6:$G$405,"&lt;&gt;")+COUNTIFS('05_RG现实门槛'!$B$6:$B$405,A53,'05_RG现实门槛'!$D$6:$D$405,"RG03",'05_RG现实门槛'!$G$6:$G$405,"&lt;&gt;")+COUNTIFS('05_RG现实门槛'!$B$6:$B$405,A53,'05_RG现实门槛'!$D$6:$D$405,"RG06",'05_RG现实门槛'!$G$6:$G$405,"&lt;&gt;")+COUNTIFS('05_RG现实门槛'!$B$6:$B$405,A53,'05_RG现实门槛'!$D$6:$D$405,"RG07",'05_RG现实门槛'!$G$6:$G$405,"&lt;&gt;")=5,"是","否"))</x:f>
        <x:v>否</x:v>
      </x:c>
      <x:c r="W53" s="34" t="str">
        <x:v>否</x:v>
      </x:c>
      <x:c r="X53" s="34" t="str">
        <x:v>待录入</x:v>
      </x:c>
      <x:c r="Y53" s="34" t="str"/>
    </x:row>
    <x:row r="54">
      <x:c r="A54" s="34" t="str">
        <x:v>M5-CASE-049</x:v>
      </x:c>
      <x:c r="B54" s="34" t="str"/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/>
      <x:c r="N54" s="34" t="str"/>
      <x:c r="O54" s="34" t="str"/>
      <x:c r="P54" s="34" t="n">
        <x:f>IF(A54="","",COUNTIF('04_关系事件'!$B$6:$B$505,A54))</x:f>
        <x:v>0</x:v>
      </x:c>
      <x:c r="Q54" s="34" t="n">
        <x:f>IF(A54="","",COUNTIF('06_字段核验'!$B$6:$B$805,A54))</x:f>
        <x:v>0</x:v>
      </x:c>
      <x:c r="R54" s="34" t="n">
        <x:f>IF(A54="","",COUNTIF('07_规则命中'!$B$6:$B$1005,A54))</x:f>
        <x:v>0</x:v>
      </x:c>
      <x:c r="S54" s="34" t="str">
        <x:v>否</x:v>
      </x:c>
      <x:c r="T54" s="34" t="str"/>
      <x:c r="U54" s="34" t="str">
        <x:v>否</x:v>
      </x:c>
      <x:c r="V54" s="34" t="str">
        <x:f>IF(A54="","",IF(COUNTIFS('05_RG现实门槛'!$B$6:$B$405,A54,'05_RG现实门槛'!$D$6:$D$405,"RG01",'05_RG现实门槛'!$G$6:$G$405,"&lt;&gt;")+COUNTIFS('05_RG现实门槛'!$B$6:$B$405,A54,'05_RG现实门槛'!$D$6:$D$405,"RG02",'05_RG现实门槛'!$G$6:$G$405,"&lt;&gt;")+COUNTIFS('05_RG现实门槛'!$B$6:$B$405,A54,'05_RG现实门槛'!$D$6:$D$405,"RG03",'05_RG现实门槛'!$G$6:$G$405,"&lt;&gt;")+COUNTIFS('05_RG现实门槛'!$B$6:$B$405,A54,'05_RG现实门槛'!$D$6:$D$405,"RG06",'05_RG现实门槛'!$G$6:$G$405,"&lt;&gt;")+COUNTIFS('05_RG现实门槛'!$B$6:$B$405,A54,'05_RG现实门槛'!$D$6:$D$405,"RG07",'05_RG现实门槛'!$G$6:$G$405,"&lt;&gt;")=5,"是","否"))</x:f>
        <x:v>否</x:v>
      </x:c>
      <x:c r="W54" s="34" t="str">
        <x:v>否</x:v>
      </x:c>
      <x:c r="X54" s="34" t="str">
        <x:v>待录入</x:v>
      </x:c>
      <x:c r="Y54" s="34" t="str"/>
    </x:row>
    <x:row r="55">
      <x:c r="A55" s="34" t="str">
        <x:v>M5-CASE-050</x:v>
      </x:c>
      <x:c r="B55" s="34" t="str"/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/>
      <x:c r="N55" s="34" t="str"/>
      <x:c r="O55" s="34" t="str"/>
      <x:c r="P55" s="34" t="n">
        <x:f>IF(A55="","",COUNTIF('04_关系事件'!$B$6:$B$505,A55))</x:f>
        <x:v>0</x:v>
      </x:c>
      <x:c r="Q55" s="34" t="n">
        <x:f>IF(A55="","",COUNTIF('06_字段核验'!$B$6:$B$805,A55))</x:f>
        <x:v>0</x:v>
      </x:c>
      <x:c r="R55" s="34" t="n">
        <x:f>IF(A55="","",COUNTIF('07_规则命中'!$B$6:$B$1005,A55))</x:f>
        <x:v>0</x:v>
      </x:c>
      <x:c r="S55" s="34" t="str">
        <x:v>否</x:v>
      </x:c>
      <x:c r="T55" s="34" t="str"/>
      <x:c r="U55" s="34" t="str">
        <x:v>否</x:v>
      </x:c>
      <x:c r="V55" s="34" t="str">
        <x:f>IF(A55="","",IF(COUNTIFS('05_RG现实门槛'!$B$6:$B$405,A55,'05_RG现实门槛'!$D$6:$D$405,"RG01",'05_RG现实门槛'!$G$6:$G$405,"&lt;&gt;")+COUNTIFS('05_RG现实门槛'!$B$6:$B$405,A55,'05_RG现实门槛'!$D$6:$D$405,"RG02",'05_RG现实门槛'!$G$6:$G$405,"&lt;&gt;")+COUNTIFS('05_RG现实门槛'!$B$6:$B$405,A55,'05_RG现实门槛'!$D$6:$D$405,"RG03",'05_RG现实门槛'!$G$6:$G$405,"&lt;&gt;")+COUNTIFS('05_RG现实门槛'!$B$6:$B$405,A55,'05_RG现实门槛'!$D$6:$D$405,"RG06",'05_RG现实门槛'!$G$6:$G$405,"&lt;&gt;")+COUNTIFS('05_RG现实门槛'!$B$6:$B$405,A55,'05_RG现实门槛'!$D$6:$D$405,"RG07",'05_RG现实门槛'!$G$6:$G$405,"&lt;&gt;")=5,"是","否"))</x:f>
        <x:v>否</x:v>
      </x:c>
      <x:c r="W55" s="34" t="str">
        <x:v>否</x:v>
      </x:c>
      <x:c r="X55" s="34" t="str">
        <x:v>待录入</x:v>
      </x:c>
      <x:c r="Y55" s="34" t="str"/>
    </x:row>
    <x:row r="56">
      <x:c r="A56" s="34" t="str">
        <x:v>M5-CASE-051</x:v>
      </x:c>
      <x:c r="B56" s="34" t="str"/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/>
      <x:c r="N56" s="34" t="str"/>
      <x:c r="O56" s="34" t="str"/>
      <x:c r="P56" s="34" t="n">
        <x:f>IF(A56="","",COUNTIF('04_关系事件'!$B$6:$B$505,A56))</x:f>
        <x:v>0</x:v>
      </x:c>
      <x:c r="Q56" s="34" t="n">
        <x:f>IF(A56="","",COUNTIF('06_字段核验'!$B$6:$B$805,A56))</x:f>
        <x:v>0</x:v>
      </x:c>
      <x:c r="R56" s="34" t="n">
        <x:f>IF(A56="","",COUNTIF('07_规则命中'!$B$6:$B$1005,A56))</x:f>
        <x:v>0</x:v>
      </x:c>
      <x:c r="S56" s="34" t="str">
        <x:v>否</x:v>
      </x:c>
      <x:c r="T56" s="34" t="str"/>
      <x:c r="U56" s="34" t="str">
        <x:v>否</x:v>
      </x:c>
      <x:c r="V56" s="34" t="str">
        <x:f>IF(A56="","",IF(COUNTIFS('05_RG现实门槛'!$B$6:$B$405,A56,'05_RG现实门槛'!$D$6:$D$405,"RG01",'05_RG现实门槛'!$G$6:$G$405,"&lt;&gt;")+COUNTIFS('05_RG现实门槛'!$B$6:$B$405,A56,'05_RG现实门槛'!$D$6:$D$405,"RG02",'05_RG现实门槛'!$G$6:$G$405,"&lt;&gt;")+COUNTIFS('05_RG现实门槛'!$B$6:$B$405,A56,'05_RG现实门槛'!$D$6:$D$405,"RG03",'05_RG现实门槛'!$G$6:$G$405,"&lt;&gt;")+COUNTIFS('05_RG现实门槛'!$B$6:$B$405,A56,'05_RG现实门槛'!$D$6:$D$405,"RG06",'05_RG现实门槛'!$G$6:$G$405,"&lt;&gt;")+COUNTIFS('05_RG现实门槛'!$B$6:$B$405,A56,'05_RG现实门槛'!$D$6:$D$405,"RG07",'05_RG现实门槛'!$G$6:$G$405,"&lt;&gt;")=5,"是","否"))</x:f>
        <x:v>否</x:v>
      </x:c>
      <x:c r="W56" s="34" t="str">
        <x:v>否</x:v>
      </x:c>
      <x:c r="X56" s="34" t="str">
        <x:v>待录入</x:v>
      </x:c>
      <x:c r="Y56" s="34" t="str"/>
    </x:row>
    <x:row r="57">
      <x:c r="A57" s="34" t="str">
        <x:v>M5-CASE-052</x:v>
      </x:c>
      <x:c r="B57" s="34" t="str"/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/>
      <x:c r="K57" s="34" t="str"/>
      <x:c r="L57" s="34" t="str"/>
      <x:c r="M57" s="34" t="str"/>
      <x:c r="N57" s="34" t="str"/>
      <x:c r="O57" s="34" t="str"/>
      <x:c r="P57" s="34" t="n">
        <x:f>IF(A57="","",COUNTIF('04_关系事件'!$B$6:$B$505,A57))</x:f>
        <x:v>0</x:v>
      </x:c>
      <x:c r="Q57" s="34" t="n">
        <x:f>IF(A57="","",COUNTIF('06_字段核验'!$B$6:$B$805,A57))</x:f>
        <x:v>0</x:v>
      </x:c>
      <x:c r="R57" s="34" t="n">
        <x:f>IF(A57="","",COUNTIF('07_规则命中'!$B$6:$B$1005,A57))</x:f>
        <x:v>0</x:v>
      </x:c>
      <x:c r="S57" s="34" t="str">
        <x:v>否</x:v>
      </x:c>
      <x:c r="T57" s="34" t="str"/>
      <x:c r="U57" s="34" t="str">
        <x:v>否</x:v>
      </x:c>
      <x:c r="V57" s="34" t="str">
        <x:f>IF(A57="","",IF(COUNTIFS('05_RG现实门槛'!$B$6:$B$405,A57,'05_RG现实门槛'!$D$6:$D$405,"RG01",'05_RG现实门槛'!$G$6:$G$405,"&lt;&gt;")+COUNTIFS('05_RG现实门槛'!$B$6:$B$405,A57,'05_RG现实门槛'!$D$6:$D$405,"RG02",'05_RG现实门槛'!$G$6:$G$405,"&lt;&gt;")+COUNTIFS('05_RG现实门槛'!$B$6:$B$405,A57,'05_RG现实门槛'!$D$6:$D$405,"RG03",'05_RG现实门槛'!$G$6:$G$405,"&lt;&gt;")+COUNTIFS('05_RG现实门槛'!$B$6:$B$405,A57,'05_RG现实门槛'!$D$6:$D$405,"RG06",'05_RG现实门槛'!$G$6:$G$405,"&lt;&gt;")+COUNTIFS('05_RG现实门槛'!$B$6:$B$405,A57,'05_RG现实门槛'!$D$6:$D$405,"RG07",'05_RG现实门槛'!$G$6:$G$405,"&lt;&gt;")=5,"是","否"))</x:f>
        <x:v>否</x:v>
      </x:c>
      <x:c r="W57" s="34" t="str">
        <x:v>否</x:v>
      </x:c>
      <x:c r="X57" s="34" t="str">
        <x:v>待录入</x:v>
      </x:c>
      <x:c r="Y57" s="34" t="str"/>
    </x:row>
    <x:row r="58">
      <x:c r="A58" s="34" t="str">
        <x:v>M5-CASE-053</x:v>
      </x:c>
      <x:c r="B58" s="34" t="str"/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/>
      <x:c r="N58" s="34" t="str"/>
      <x:c r="O58" s="34" t="str"/>
      <x:c r="P58" s="34" t="n">
        <x:f>IF(A58="","",COUNTIF('04_关系事件'!$B$6:$B$505,A58))</x:f>
        <x:v>0</x:v>
      </x:c>
      <x:c r="Q58" s="34" t="n">
        <x:f>IF(A58="","",COUNTIF('06_字段核验'!$B$6:$B$805,A58))</x:f>
        <x:v>0</x:v>
      </x:c>
      <x:c r="R58" s="34" t="n">
        <x:f>IF(A58="","",COUNTIF('07_规则命中'!$B$6:$B$1005,A58))</x:f>
        <x:v>0</x:v>
      </x:c>
      <x:c r="S58" s="34" t="str">
        <x:v>否</x:v>
      </x:c>
      <x:c r="T58" s="34" t="str"/>
      <x:c r="U58" s="34" t="str">
        <x:v>否</x:v>
      </x:c>
      <x:c r="V58" s="34" t="str">
        <x:f>IF(A58="","",IF(COUNTIFS('05_RG现实门槛'!$B$6:$B$405,A58,'05_RG现实门槛'!$D$6:$D$405,"RG01",'05_RG现实门槛'!$G$6:$G$405,"&lt;&gt;")+COUNTIFS('05_RG现实门槛'!$B$6:$B$405,A58,'05_RG现实门槛'!$D$6:$D$405,"RG02",'05_RG现实门槛'!$G$6:$G$405,"&lt;&gt;")+COUNTIFS('05_RG现实门槛'!$B$6:$B$405,A58,'05_RG现实门槛'!$D$6:$D$405,"RG03",'05_RG现实门槛'!$G$6:$G$405,"&lt;&gt;")+COUNTIFS('05_RG现实门槛'!$B$6:$B$405,A58,'05_RG现实门槛'!$D$6:$D$405,"RG06",'05_RG现实门槛'!$G$6:$G$405,"&lt;&gt;")+COUNTIFS('05_RG现实门槛'!$B$6:$B$405,A58,'05_RG现实门槛'!$D$6:$D$405,"RG07",'05_RG现实门槛'!$G$6:$G$405,"&lt;&gt;")=5,"是","否"))</x:f>
        <x:v>否</x:v>
      </x:c>
      <x:c r="W58" s="34" t="str">
        <x:v>否</x:v>
      </x:c>
      <x:c r="X58" s="34" t="str">
        <x:v>待录入</x:v>
      </x:c>
      <x:c r="Y58" s="34" t="str"/>
    </x:row>
    <x:row r="59">
      <x:c r="A59" s="34" t="str">
        <x:v>M5-CASE-054</x:v>
      </x:c>
      <x:c r="B59" s="34" t="str"/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/>
      <x:c r="N59" s="34" t="str"/>
      <x:c r="O59" s="34" t="str"/>
      <x:c r="P59" s="34" t="n">
        <x:f>IF(A59="","",COUNTIF('04_关系事件'!$B$6:$B$505,A59))</x:f>
        <x:v>0</x:v>
      </x:c>
      <x:c r="Q59" s="34" t="n">
        <x:f>IF(A59="","",COUNTIF('06_字段核验'!$B$6:$B$805,A59))</x:f>
        <x:v>0</x:v>
      </x:c>
      <x:c r="R59" s="34" t="n">
        <x:f>IF(A59="","",COUNTIF('07_规则命中'!$B$6:$B$1005,A59))</x:f>
        <x:v>0</x:v>
      </x:c>
      <x:c r="S59" s="34" t="str">
        <x:v>否</x:v>
      </x:c>
      <x:c r="T59" s="34" t="str"/>
      <x:c r="U59" s="34" t="str">
        <x:v>否</x:v>
      </x:c>
      <x:c r="V59" s="34" t="str">
        <x:f>IF(A59="","",IF(COUNTIFS('05_RG现实门槛'!$B$6:$B$405,A59,'05_RG现实门槛'!$D$6:$D$405,"RG01",'05_RG现实门槛'!$G$6:$G$405,"&lt;&gt;")+COUNTIFS('05_RG现实门槛'!$B$6:$B$405,A59,'05_RG现实门槛'!$D$6:$D$405,"RG02",'05_RG现实门槛'!$G$6:$G$405,"&lt;&gt;")+COUNTIFS('05_RG现实门槛'!$B$6:$B$405,A59,'05_RG现实门槛'!$D$6:$D$405,"RG03",'05_RG现实门槛'!$G$6:$G$405,"&lt;&gt;")+COUNTIFS('05_RG现实门槛'!$B$6:$B$405,A59,'05_RG现实门槛'!$D$6:$D$405,"RG06",'05_RG现实门槛'!$G$6:$G$405,"&lt;&gt;")+COUNTIFS('05_RG现实门槛'!$B$6:$B$405,A59,'05_RG现实门槛'!$D$6:$D$405,"RG07",'05_RG现实门槛'!$G$6:$G$405,"&lt;&gt;")=5,"是","否"))</x:f>
        <x:v>否</x:v>
      </x:c>
      <x:c r="W59" s="34" t="str">
        <x:v>否</x:v>
      </x:c>
      <x:c r="X59" s="34" t="str">
        <x:v>待录入</x:v>
      </x:c>
      <x:c r="Y59" s="34" t="str"/>
    </x:row>
    <x:row r="60">
      <x:c r="A60" s="34" t="str">
        <x:v>M5-CASE-055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/>
      <x:c r="N60" s="34" t="str"/>
      <x:c r="O60" s="34" t="str"/>
      <x:c r="P60" s="34" t="n">
        <x:f>IF(A60="","",COUNTIF('04_关系事件'!$B$6:$B$505,A60))</x:f>
        <x:v>0</x:v>
      </x:c>
      <x:c r="Q60" s="34" t="n">
        <x:f>IF(A60="","",COUNTIF('06_字段核验'!$B$6:$B$805,A60))</x:f>
        <x:v>0</x:v>
      </x:c>
      <x:c r="R60" s="34" t="n">
        <x:f>IF(A60="","",COUNTIF('07_规则命中'!$B$6:$B$1005,A60))</x:f>
        <x:v>0</x:v>
      </x:c>
      <x:c r="S60" s="34" t="str">
        <x:v>否</x:v>
      </x:c>
      <x:c r="T60" s="34" t="str"/>
      <x:c r="U60" s="34" t="str">
        <x:v>否</x:v>
      </x:c>
      <x:c r="V60" s="34" t="str">
        <x:f>IF(A60="","",IF(COUNTIFS('05_RG现实门槛'!$B$6:$B$405,A60,'05_RG现实门槛'!$D$6:$D$405,"RG01",'05_RG现实门槛'!$G$6:$G$405,"&lt;&gt;")+COUNTIFS('05_RG现实门槛'!$B$6:$B$405,A60,'05_RG现实门槛'!$D$6:$D$405,"RG02",'05_RG现实门槛'!$G$6:$G$405,"&lt;&gt;")+COUNTIFS('05_RG现实门槛'!$B$6:$B$405,A60,'05_RG现实门槛'!$D$6:$D$405,"RG03",'05_RG现实门槛'!$G$6:$G$405,"&lt;&gt;")+COUNTIFS('05_RG现实门槛'!$B$6:$B$405,A60,'05_RG现实门槛'!$D$6:$D$405,"RG06",'05_RG现实门槛'!$G$6:$G$405,"&lt;&gt;")+COUNTIFS('05_RG现实门槛'!$B$6:$B$405,A60,'05_RG现实门槛'!$D$6:$D$405,"RG07",'05_RG现实门槛'!$G$6:$G$405,"&lt;&gt;")=5,"是","否"))</x:f>
        <x:v>否</x:v>
      </x:c>
      <x:c r="W60" s="34" t="str">
        <x:v>否</x:v>
      </x:c>
      <x:c r="X60" s="34" t="str">
        <x:v>待录入</x:v>
      </x:c>
      <x:c r="Y60" s="34" t="str"/>
    </x:row>
    <x:row r="61">
      <x:c r="A61" s="34" t="str">
        <x:v>M5-CASE-056</x:v>
      </x:c>
      <x:c r="B61" s="34" t="str"/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/>
      <x:c r="N61" s="34" t="str"/>
      <x:c r="O61" s="34" t="str"/>
      <x:c r="P61" s="34" t="n">
        <x:f>IF(A61="","",COUNTIF('04_关系事件'!$B$6:$B$505,A61))</x:f>
        <x:v>0</x:v>
      </x:c>
      <x:c r="Q61" s="34" t="n">
        <x:f>IF(A61="","",COUNTIF('06_字段核验'!$B$6:$B$805,A61))</x:f>
        <x:v>0</x:v>
      </x:c>
      <x:c r="R61" s="34" t="n">
        <x:f>IF(A61="","",COUNTIF('07_规则命中'!$B$6:$B$1005,A61))</x:f>
        <x:v>0</x:v>
      </x:c>
      <x:c r="S61" s="34" t="str">
        <x:v>否</x:v>
      </x:c>
      <x:c r="T61" s="34" t="str"/>
      <x:c r="U61" s="34" t="str">
        <x:v>否</x:v>
      </x:c>
      <x:c r="V61" s="34" t="str">
        <x:f>IF(A61="","",IF(COUNTIFS('05_RG现实门槛'!$B$6:$B$405,A61,'05_RG现实门槛'!$D$6:$D$405,"RG01",'05_RG现实门槛'!$G$6:$G$405,"&lt;&gt;")+COUNTIFS('05_RG现实门槛'!$B$6:$B$405,A61,'05_RG现实门槛'!$D$6:$D$405,"RG02",'05_RG现实门槛'!$G$6:$G$405,"&lt;&gt;")+COUNTIFS('05_RG现实门槛'!$B$6:$B$405,A61,'05_RG现实门槛'!$D$6:$D$405,"RG03",'05_RG现实门槛'!$G$6:$G$405,"&lt;&gt;")+COUNTIFS('05_RG现实门槛'!$B$6:$B$405,A61,'05_RG现实门槛'!$D$6:$D$405,"RG06",'05_RG现实门槛'!$G$6:$G$405,"&lt;&gt;")+COUNTIFS('05_RG现实门槛'!$B$6:$B$405,A61,'05_RG现实门槛'!$D$6:$D$405,"RG07",'05_RG现实门槛'!$G$6:$G$405,"&lt;&gt;")=5,"是","否"))</x:f>
        <x:v>否</x:v>
      </x:c>
      <x:c r="W61" s="34" t="str">
        <x:v>否</x:v>
      </x:c>
      <x:c r="X61" s="34" t="str">
        <x:v>待录入</x:v>
      </x:c>
      <x:c r="Y61" s="34" t="str"/>
    </x:row>
    <x:row r="62">
      <x:c r="A62" s="34" t="str">
        <x:v>M5-CASE-057</x:v>
      </x:c>
      <x:c r="B62" s="34" t="str"/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/>
      <x:c r="N62" s="34" t="str"/>
      <x:c r="O62" s="34" t="str"/>
      <x:c r="P62" s="34" t="n">
        <x:f>IF(A62="","",COUNTIF('04_关系事件'!$B$6:$B$505,A62))</x:f>
        <x:v>0</x:v>
      </x:c>
      <x:c r="Q62" s="34" t="n">
        <x:f>IF(A62="","",COUNTIF('06_字段核验'!$B$6:$B$805,A62))</x:f>
        <x:v>0</x:v>
      </x:c>
      <x:c r="R62" s="34" t="n">
        <x:f>IF(A62="","",COUNTIF('07_规则命中'!$B$6:$B$1005,A62))</x:f>
        <x:v>0</x:v>
      </x:c>
      <x:c r="S62" s="34" t="str">
        <x:v>否</x:v>
      </x:c>
      <x:c r="T62" s="34" t="str"/>
      <x:c r="U62" s="34" t="str">
        <x:v>否</x:v>
      </x:c>
      <x:c r="V62" s="34" t="str">
        <x:f>IF(A62="","",IF(COUNTIFS('05_RG现实门槛'!$B$6:$B$405,A62,'05_RG现实门槛'!$D$6:$D$405,"RG01",'05_RG现实门槛'!$G$6:$G$405,"&lt;&gt;")+COUNTIFS('05_RG现实门槛'!$B$6:$B$405,A62,'05_RG现实门槛'!$D$6:$D$405,"RG02",'05_RG现实门槛'!$G$6:$G$405,"&lt;&gt;")+COUNTIFS('05_RG现实门槛'!$B$6:$B$405,A62,'05_RG现实门槛'!$D$6:$D$405,"RG03",'05_RG现实门槛'!$G$6:$G$405,"&lt;&gt;")+COUNTIFS('05_RG现实门槛'!$B$6:$B$405,A62,'05_RG现实门槛'!$D$6:$D$405,"RG06",'05_RG现实门槛'!$G$6:$G$405,"&lt;&gt;")+COUNTIFS('05_RG现实门槛'!$B$6:$B$405,A62,'05_RG现实门槛'!$D$6:$D$405,"RG07",'05_RG现实门槛'!$G$6:$G$405,"&lt;&gt;")=5,"是","否"))</x:f>
        <x:v>否</x:v>
      </x:c>
      <x:c r="W62" s="34" t="str">
        <x:v>否</x:v>
      </x:c>
      <x:c r="X62" s="34" t="str">
        <x:v>待录入</x:v>
      </x:c>
      <x:c r="Y62" s="34" t="str"/>
    </x:row>
    <x:row r="63">
      <x:c r="A63" s="34" t="str">
        <x:v>M5-CASE-058</x:v>
      </x:c>
      <x:c r="B63" s="34" t="str"/>
      <x:c r="C63" s="34" t="str"/>
      <x:c r="D63" s="34" t="str"/>
      <x:c r="E63" s="34" t="str"/>
      <x:c r="F63" s="34" t="str"/>
      <x:c r="G63" s="34" t="str"/>
      <x:c r="H63" s="34" t="str"/>
      <x:c r="I63" s="34" t="str"/>
      <x:c r="J63" s="34" t="str"/>
      <x:c r="K63" s="34" t="str"/>
      <x:c r="L63" s="34" t="str"/>
      <x:c r="M63" s="34" t="str"/>
      <x:c r="N63" s="34" t="str"/>
      <x:c r="O63" s="34" t="str"/>
      <x:c r="P63" s="34" t="n">
        <x:f>IF(A63="","",COUNTIF('04_关系事件'!$B$6:$B$505,A63))</x:f>
        <x:v>0</x:v>
      </x:c>
      <x:c r="Q63" s="34" t="n">
        <x:f>IF(A63="","",COUNTIF('06_字段核验'!$B$6:$B$805,A63))</x:f>
        <x:v>0</x:v>
      </x:c>
      <x:c r="R63" s="34" t="n">
        <x:f>IF(A63="","",COUNTIF('07_规则命中'!$B$6:$B$1005,A63))</x:f>
        <x:v>0</x:v>
      </x:c>
      <x:c r="S63" s="34" t="str">
        <x:v>否</x:v>
      </x:c>
      <x:c r="T63" s="34" t="str"/>
      <x:c r="U63" s="34" t="str">
        <x:v>否</x:v>
      </x:c>
      <x:c r="V63" s="34" t="str">
        <x:f>IF(A63="","",IF(COUNTIFS('05_RG现实门槛'!$B$6:$B$405,A63,'05_RG现实门槛'!$D$6:$D$405,"RG01",'05_RG现实门槛'!$G$6:$G$405,"&lt;&gt;")+COUNTIFS('05_RG现实门槛'!$B$6:$B$405,A63,'05_RG现实门槛'!$D$6:$D$405,"RG02",'05_RG现实门槛'!$G$6:$G$405,"&lt;&gt;")+COUNTIFS('05_RG现实门槛'!$B$6:$B$405,A63,'05_RG现实门槛'!$D$6:$D$405,"RG03",'05_RG现实门槛'!$G$6:$G$405,"&lt;&gt;")+COUNTIFS('05_RG现实门槛'!$B$6:$B$405,A63,'05_RG现实门槛'!$D$6:$D$405,"RG06",'05_RG现实门槛'!$G$6:$G$405,"&lt;&gt;")+COUNTIFS('05_RG现实门槛'!$B$6:$B$405,A63,'05_RG现实门槛'!$D$6:$D$405,"RG07",'05_RG现实门槛'!$G$6:$G$405,"&lt;&gt;")=5,"是","否"))</x:f>
        <x:v>否</x:v>
      </x:c>
      <x:c r="W63" s="34" t="str">
        <x:v>否</x:v>
      </x:c>
      <x:c r="X63" s="34" t="str">
        <x:v>待录入</x:v>
      </x:c>
      <x:c r="Y63" s="34" t="str"/>
    </x:row>
    <x:row r="64">
      <x:c r="A64" s="34" t="str">
        <x:v>M5-CASE-059</x:v>
      </x:c>
      <x:c r="B64" s="34" t="str"/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/>
      <x:c r="N64" s="34" t="str"/>
      <x:c r="O64" s="34" t="str"/>
      <x:c r="P64" s="34" t="n">
        <x:f>IF(A64="","",COUNTIF('04_关系事件'!$B$6:$B$505,A64))</x:f>
        <x:v>0</x:v>
      </x:c>
      <x:c r="Q64" s="34" t="n">
        <x:f>IF(A64="","",COUNTIF('06_字段核验'!$B$6:$B$805,A64))</x:f>
        <x:v>0</x:v>
      </x:c>
      <x:c r="R64" s="34" t="n">
        <x:f>IF(A64="","",COUNTIF('07_规则命中'!$B$6:$B$1005,A64))</x:f>
        <x:v>0</x:v>
      </x:c>
      <x:c r="S64" s="34" t="str">
        <x:v>否</x:v>
      </x:c>
      <x:c r="T64" s="34" t="str"/>
      <x:c r="U64" s="34" t="str">
        <x:v>否</x:v>
      </x:c>
      <x:c r="V64" s="34" t="str">
        <x:f>IF(A64="","",IF(COUNTIFS('05_RG现实门槛'!$B$6:$B$405,A64,'05_RG现实门槛'!$D$6:$D$405,"RG01",'05_RG现实门槛'!$G$6:$G$405,"&lt;&gt;")+COUNTIFS('05_RG现实门槛'!$B$6:$B$405,A64,'05_RG现实门槛'!$D$6:$D$405,"RG02",'05_RG现实门槛'!$G$6:$G$405,"&lt;&gt;")+COUNTIFS('05_RG现实门槛'!$B$6:$B$405,A64,'05_RG现实门槛'!$D$6:$D$405,"RG03",'05_RG现实门槛'!$G$6:$G$405,"&lt;&gt;")+COUNTIFS('05_RG现实门槛'!$B$6:$B$405,A64,'05_RG现实门槛'!$D$6:$D$405,"RG06",'05_RG现实门槛'!$G$6:$G$405,"&lt;&gt;")+COUNTIFS('05_RG现实门槛'!$B$6:$B$405,A64,'05_RG现实门槛'!$D$6:$D$405,"RG07",'05_RG现实门槛'!$G$6:$G$405,"&lt;&gt;")=5,"是","否"))</x:f>
        <x:v>否</x:v>
      </x:c>
      <x:c r="W64" s="34" t="str">
        <x:v>否</x:v>
      </x:c>
      <x:c r="X64" s="34" t="str">
        <x:v>待录入</x:v>
      </x:c>
      <x:c r="Y64" s="34" t="str"/>
    </x:row>
    <x:row r="65">
      <x:c r="A65" s="34" t="str">
        <x:v>M5-CASE-060</x:v>
      </x:c>
      <x:c r="B65" s="34" t="str"/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/>
      <x:c r="N65" s="34" t="str"/>
      <x:c r="O65" s="34" t="str"/>
      <x:c r="P65" s="34" t="n">
        <x:f>IF(A65="","",COUNTIF('04_关系事件'!$B$6:$B$505,A65))</x:f>
        <x:v>0</x:v>
      </x:c>
      <x:c r="Q65" s="34" t="n">
        <x:f>IF(A65="","",COUNTIF('06_字段核验'!$B$6:$B$805,A65))</x:f>
        <x:v>0</x:v>
      </x:c>
      <x:c r="R65" s="34" t="n">
        <x:f>IF(A65="","",COUNTIF('07_规则命中'!$B$6:$B$1005,A65))</x:f>
        <x:v>0</x:v>
      </x:c>
      <x:c r="S65" s="34" t="str">
        <x:v>否</x:v>
      </x:c>
      <x:c r="T65" s="34" t="str"/>
      <x:c r="U65" s="34" t="str">
        <x:v>否</x:v>
      </x:c>
      <x:c r="V65" s="34" t="str">
        <x:f>IF(A65="","",IF(COUNTIFS('05_RG现实门槛'!$B$6:$B$405,A65,'05_RG现实门槛'!$D$6:$D$405,"RG01",'05_RG现实门槛'!$G$6:$G$405,"&lt;&gt;")+COUNTIFS('05_RG现实门槛'!$B$6:$B$405,A65,'05_RG现实门槛'!$D$6:$D$405,"RG02",'05_RG现实门槛'!$G$6:$G$405,"&lt;&gt;")+COUNTIFS('05_RG现实门槛'!$B$6:$B$405,A65,'05_RG现实门槛'!$D$6:$D$405,"RG03",'05_RG现实门槛'!$G$6:$G$405,"&lt;&gt;")+COUNTIFS('05_RG现实门槛'!$B$6:$B$405,A65,'05_RG现实门槛'!$D$6:$D$405,"RG06",'05_RG现实门槛'!$G$6:$G$405,"&lt;&gt;")+COUNTIFS('05_RG现实门槛'!$B$6:$B$405,A65,'05_RG现实门槛'!$D$6:$D$405,"RG07",'05_RG现实门槛'!$G$6:$G$405,"&lt;&gt;")=5,"是","否"))</x:f>
        <x:v>否</x:v>
      </x:c>
      <x:c r="W65" s="34" t="str">
        <x:v>否</x:v>
      </x:c>
      <x:c r="X65" s="34" t="str">
        <x:v>待录入</x:v>
      </x:c>
      <x:c r="Y65" s="34" t="str"/>
    </x:row>
    <x:row r="66">
      <x:c r="A66" s="34" t="str">
        <x:v>M5-CASE-061</x:v>
      </x:c>
      <x:c r="B66" s="34" t="str"/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/>
      <x:c r="N66" s="34" t="str"/>
      <x:c r="O66" s="34" t="str"/>
      <x:c r="P66" s="34" t="n">
        <x:f>IF(A66="","",COUNTIF('04_关系事件'!$B$6:$B$505,A66))</x:f>
        <x:v>0</x:v>
      </x:c>
      <x:c r="Q66" s="34" t="n">
        <x:f>IF(A66="","",COUNTIF('06_字段核验'!$B$6:$B$805,A66))</x:f>
        <x:v>0</x:v>
      </x:c>
      <x:c r="R66" s="34" t="n">
        <x:f>IF(A66="","",COUNTIF('07_规则命中'!$B$6:$B$1005,A66))</x:f>
        <x:v>0</x:v>
      </x:c>
      <x:c r="S66" s="34" t="str">
        <x:v>否</x:v>
      </x:c>
      <x:c r="T66" s="34" t="str"/>
      <x:c r="U66" s="34" t="str">
        <x:v>否</x:v>
      </x:c>
      <x:c r="V66" s="34" t="str">
        <x:f>IF(A66="","",IF(COUNTIFS('05_RG现实门槛'!$B$6:$B$405,A66,'05_RG现实门槛'!$D$6:$D$405,"RG01",'05_RG现实门槛'!$G$6:$G$405,"&lt;&gt;")+COUNTIFS('05_RG现实门槛'!$B$6:$B$405,A66,'05_RG现实门槛'!$D$6:$D$405,"RG02",'05_RG现实门槛'!$G$6:$G$405,"&lt;&gt;")+COUNTIFS('05_RG现实门槛'!$B$6:$B$405,A66,'05_RG现实门槛'!$D$6:$D$405,"RG03",'05_RG现实门槛'!$G$6:$G$405,"&lt;&gt;")+COUNTIFS('05_RG现实门槛'!$B$6:$B$405,A66,'05_RG现实门槛'!$D$6:$D$405,"RG06",'05_RG现实门槛'!$G$6:$G$405,"&lt;&gt;")+COUNTIFS('05_RG现实门槛'!$B$6:$B$405,A66,'05_RG现实门槛'!$D$6:$D$405,"RG07",'05_RG现实门槛'!$G$6:$G$405,"&lt;&gt;")=5,"是","否"))</x:f>
        <x:v>否</x:v>
      </x:c>
      <x:c r="W66" s="34" t="str">
        <x:v>否</x:v>
      </x:c>
      <x:c r="X66" s="34" t="str">
        <x:v>待录入</x:v>
      </x:c>
      <x:c r="Y66" s="34" t="str"/>
    </x:row>
    <x:row r="67">
      <x:c r="A67" s="34" t="str">
        <x:v>M5-CASE-062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/>
      <x:c r="N67" s="34" t="str"/>
      <x:c r="O67" s="34" t="str"/>
      <x:c r="P67" s="34" t="n">
        <x:f>IF(A67="","",COUNTIF('04_关系事件'!$B$6:$B$505,A67))</x:f>
        <x:v>0</x:v>
      </x:c>
      <x:c r="Q67" s="34" t="n">
        <x:f>IF(A67="","",COUNTIF('06_字段核验'!$B$6:$B$805,A67))</x:f>
        <x:v>0</x:v>
      </x:c>
      <x:c r="R67" s="34" t="n">
        <x:f>IF(A67="","",COUNTIF('07_规则命中'!$B$6:$B$1005,A67))</x:f>
        <x:v>0</x:v>
      </x:c>
      <x:c r="S67" s="34" t="str">
        <x:v>否</x:v>
      </x:c>
      <x:c r="T67" s="34" t="str"/>
      <x:c r="U67" s="34" t="str">
        <x:v>否</x:v>
      </x:c>
      <x:c r="V67" s="34" t="str">
        <x:f>IF(A67="","",IF(COUNTIFS('05_RG现实门槛'!$B$6:$B$405,A67,'05_RG现实门槛'!$D$6:$D$405,"RG01",'05_RG现实门槛'!$G$6:$G$405,"&lt;&gt;")+COUNTIFS('05_RG现实门槛'!$B$6:$B$405,A67,'05_RG现实门槛'!$D$6:$D$405,"RG02",'05_RG现实门槛'!$G$6:$G$405,"&lt;&gt;")+COUNTIFS('05_RG现实门槛'!$B$6:$B$405,A67,'05_RG现实门槛'!$D$6:$D$405,"RG03",'05_RG现实门槛'!$G$6:$G$405,"&lt;&gt;")+COUNTIFS('05_RG现实门槛'!$B$6:$B$405,A67,'05_RG现实门槛'!$D$6:$D$405,"RG06",'05_RG现实门槛'!$G$6:$G$405,"&lt;&gt;")+COUNTIFS('05_RG现实门槛'!$B$6:$B$405,A67,'05_RG现实门槛'!$D$6:$D$405,"RG07",'05_RG现实门槛'!$G$6:$G$405,"&lt;&gt;")=5,"是","否"))</x:f>
        <x:v>否</x:v>
      </x:c>
      <x:c r="W67" s="34" t="str">
        <x:v>否</x:v>
      </x:c>
      <x:c r="X67" s="34" t="str">
        <x:v>待录入</x:v>
      </x:c>
      <x:c r="Y67" s="34" t="str"/>
    </x:row>
    <x:row r="68">
      <x:c r="A68" s="34" t="str">
        <x:v>M5-CASE-063</x:v>
      </x:c>
      <x:c r="B68" s="34" t="str"/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/>
      <x:c r="N68" s="34" t="str"/>
      <x:c r="O68" s="34" t="str"/>
      <x:c r="P68" s="34" t="n">
        <x:f>IF(A68="","",COUNTIF('04_关系事件'!$B$6:$B$505,A68))</x:f>
        <x:v>0</x:v>
      </x:c>
      <x:c r="Q68" s="34" t="n">
        <x:f>IF(A68="","",COUNTIF('06_字段核验'!$B$6:$B$805,A68))</x:f>
        <x:v>0</x:v>
      </x:c>
      <x:c r="R68" s="34" t="n">
        <x:f>IF(A68="","",COUNTIF('07_规则命中'!$B$6:$B$1005,A68))</x:f>
        <x:v>0</x:v>
      </x:c>
      <x:c r="S68" s="34" t="str">
        <x:v>否</x:v>
      </x:c>
      <x:c r="T68" s="34" t="str"/>
      <x:c r="U68" s="34" t="str">
        <x:v>否</x:v>
      </x:c>
      <x:c r="V68" s="34" t="str">
        <x:f>IF(A68="","",IF(COUNTIFS('05_RG现实门槛'!$B$6:$B$405,A68,'05_RG现实门槛'!$D$6:$D$405,"RG01",'05_RG现实门槛'!$G$6:$G$405,"&lt;&gt;")+COUNTIFS('05_RG现实门槛'!$B$6:$B$405,A68,'05_RG现实门槛'!$D$6:$D$405,"RG02",'05_RG现实门槛'!$G$6:$G$405,"&lt;&gt;")+COUNTIFS('05_RG现实门槛'!$B$6:$B$405,A68,'05_RG现实门槛'!$D$6:$D$405,"RG03",'05_RG现实门槛'!$G$6:$G$405,"&lt;&gt;")+COUNTIFS('05_RG现实门槛'!$B$6:$B$405,A68,'05_RG现实门槛'!$D$6:$D$405,"RG06",'05_RG现实门槛'!$G$6:$G$405,"&lt;&gt;")+COUNTIFS('05_RG现实门槛'!$B$6:$B$405,A68,'05_RG现实门槛'!$D$6:$D$405,"RG07",'05_RG现实门槛'!$G$6:$G$405,"&lt;&gt;")=5,"是","否"))</x:f>
        <x:v>否</x:v>
      </x:c>
      <x:c r="W68" s="34" t="str">
        <x:v>否</x:v>
      </x:c>
      <x:c r="X68" s="34" t="str">
        <x:v>待录入</x:v>
      </x:c>
      <x:c r="Y68" s="34" t="str"/>
    </x:row>
    <x:row r="69">
      <x:c r="A69" s="34" t="str">
        <x:v>M5-CASE-064</x:v>
      </x:c>
      <x:c r="B69" s="34" t="str"/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/>
      <x:c r="N69" s="34" t="str"/>
      <x:c r="O69" s="34" t="str"/>
      <x:c r="P69" s="34" t="n">
        <x:f>IF(A69="","",COUNTIF('04_关系事件'!$B$6:$B$505,A69))</x:f>
        <x:v>0</x:v>
      </x:c>
      <x:c r="Q69" s="34" t="n">
        <x:f>IF(A69="","",COUNTIF('06_字段核验'!$B$6:$B$805,A69))</x:f>
        <x:v>0</x:v>
      </x:c>
      <x:c r="R69" s="34" t="n">
        <x:f>IF(A69="","",COUNTIF('07_规则命中'!$B$6:$B$1005,A69))</x:f>
        <x:v>0</x:v>
      </x:c>
      <x:c r="S69" s="34" t="str">
        <x:v>否</x:v>
      </x:c>
      <x:c r="T69" s="34" t="str"/>
      <x:c r="U69" s="34" t="str">
        <x:v>否</x:v>
      </x:c>
      <x:c r="V69" s="34" t="str">
        <x:f>IF(A69="","",IF(COUNTIFS('05_RG现实门槛'!$B$6:$B$405,A69,'05_RG现实门槛'!$D$6:$D$405,"RG01",'05_RG现实门槛'!$G$6:$G$405,"&lt;&gt;")+COUNTIFS('05_RG现实门槛'!$B$6:$B$405,A69,'05_RG现实门槛'!$D$6:$D$405,"RG02",'05_RG现实门槛'!$G$6:$G$405,"&lt;&gt;")+COUNTIFS('05_RG现实门槛'!$B$6:$B$405,A69,'05_RG现实门槛'!$D$6:$D$405,"RG03",'05_RG现实门槛'!$G$6:$G$405,"&lt;&gt;")+COUNTIFS('05_RG现实门槛'!$B$6:$B$405,A69,'05_RG现实门槛'!$D$6:$D$405,"RG06",'05_RG现实门槛'!$G$6:$G$405,"&lt;&gt;")+COUNTIFS('05_RG现实门槛'!$B$6:$B$405,A69,'05_RG现实门槛'!$D$6:$D$405,"RG07",'05_RG现实门槛'!$G$6:$G$405,"&lt;&gt;")=5,"是","否"))</x:f>
        <x:v>否</x:v>
      </x:c>
      <x:c r="W69" s="34" t="str">
        <x:v>否</x:v>
      </x:c>
      <x:c r="X69" s="34" t="str">
        <x:v>待录入</x:v>
      </x:c>
      <x:c r="Y69" s="34" t="str"/>
    </x:row>
    <x:row r="70">
      <x:c r="A70" s="34" t="str">
        <x:v>M5-CASE-065</x:v>
      </x:c>
      <x:c r="B70" s="34" t="str"/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/>
      <x:c r="N70" s="34" t="str"/>
      <x:c r="O70" s="34" t="str"/>
      <x:c r="P70" s="34" t="n">
        <x:f>IF(A70="","",COUNTIF('04_关系事件'!$B$6:$B$505,A70))</x:f>
        <x:v>0</x:v>
      </x:c>
      <x:c r="Q70" s="34" t="n">
        <x:f>IF(A70="","",COUNTIF('06_字段核验'!$B$6:$B$805,A70))</x:f>
        <x:v>0</x:v>
      </x:c>
      <x:c r="R70" s="34" t="n">
        <x:f>IF(A70="","",COUNTIF('07_规则命中'!$B$6:$B$1005,A70))</x:f>
        <x:v>0</x:v>
      </x:c>
      <x:c r="S70" s="34" t="str">
        <x:v>否</x:v>
      </x:c>
      <x:c r="T70" s="34" t="str"/>
      <x:c r="U70" s="34" t="str">
        <x:v>否</x:v>
      </x:c>
      <x:c r="V70" s="34" t="str">
        <x:f>IF(A70="","",IF(COUNTIFS('05_RG现实门槛'!$B$6:$B$405,A70,'05_RG现实门槛'!$D$6:$D$405,"RG01",'05_RG现实门槛'!$G$6:$G$405,"&lt;&gt;")+COUNTIFS('05_RG现实门槛'!$B$6:$B$405,A70,'05_RG现实门槛'!$D$6:$D$405,"RG02",'05_RG现实门槛'!$G$6:$G$405,"&lt;&gt;")+COUNTIFS('05_RG现实门槛'!$B$6:$B$405,A70,'05_RG现实门槛'!$D$6:$D$405,"RG03",'05_RG现实门槛'!$G$6:$G$405,"&lt;&gt;")+COUNTIFS('05_RG现实门槛'!$B$6:$B$405,A70,'05_RG现实门槛'!$D$6:$D$405,"RG06",'05_RG现实门槛'!$G$6:$G$405,"&lt;&gt;")+COUNTIFS('05_RG现实门槛'!$B$6:$B$405,A70,'05_RG现实门槛'!$D$6:$D$405,"RG07",'05_RG现实门槛'!$G$6:$G$405,"&lt;&gt;")=5,"是","否"))</x:f>
        <x:v>否</x:v>
      </x:c>
      <x:c r="W70" s="34" t="str">
        <x:v>否</x:v>
      </x:c>
      <x:c r="X70" s="34" t="str">
        <x:v>待录入</x:v>
      </x:c>
      <x:c r="Y70" s="34" t="str"/>
    </x:row>
    <x:row r="71">
      <x:c r="A71" s="34" t="str">
        <x:v>M5-CASE-066</x:v>
      </x:c>
      <x:c r="B71" s="34" t="str"/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/>
      <x:c r="N71" s="34" t="str"/>
      <x:c r="O71" s="34" t="str"/>
      <x:c r="P71" s="34" t="n">
        <x:f>IF(A71="","",COUNTIF('04_关系事件'!$B$6:$B$505,A71))</x:f>
        <x:v>0</x:v>
      </x:c>
      <x:c r="Q71" s="34" t="n">
        <x:f>IF(A71="","",COUNTIF('06_字段核验'!$B$6:$B$805,A71))</x:f>
        <x:v>0</x:v>
      </x:c>
      <x:c r="R71" s="34" t="n">
        <x:f>IF(A71="","",COUNTIF('07_规则命中'!$B$6:$B$1005,A71))</x:f>
        <x:v>0</x:v>
      </x:c>
      <x:c r="S71" s="34" t="str">
        <x:v>否</x:v>
      </x:c>
      <x:c r="T71" s="34" t="str"/>
      <x:c r="U71" s="34" t="str">
        <x:v>否</x:v>
      </x:c>
      <x:c r="V71" s="34" t="str">
        <x:f>IF(A71="","",IF(COUNTIFS('05_RG现实门槛'!$B$6:$B$405,A71,'05_RG现实门槛'!$D$6:$D$405,"RG01",'05_RG现实门槛'!$G$6:$G$405,"&lt;&gt;")+COUNTIFS('05_RG现实门槛'!$B$6:$B$405,A71,'05_RG现实门槛'!$D$6:$D$405,"RG02",'05_RG现实门槛'!$G$6:$G$405,"&lt;&gt;")+COUNTIFS('05_RG现实门槛'!$B$6:$B$405,A71,'05_RG现实门槛'!$D$6:$D$405,"RG03",'05_RG现实门槛'!$G$6:$G$405,"&lt;&gt;")+COUNTIFS('05_RG现实门槛'!$B$6:$B$405,A71,'05_RG现实门槛'!$D$6:$D$405,"RG06",'05_RG现实门槛'!$G$6:$G$405,"&lt;&gt;")+COUNTIFS('05_RG现实门槛'!$B$6:$B$405,A71,'05_RG现实门槛'!$D$6:$D$405,"RG07",'05_RG现实门槛'!$G$6:$G$405,"&lt;&gt;")=5,"是","否"))</x:f>
        <x:v>否</x:v>
      </x:c>
      <x:c r="W71" s="34" t="str">
        <x:v>否</x:v>
      </x:c>
      <x:c r="X71" s="34" t="str">
        <x:v>待录入</x:v>
      </x:c>
      <x:c r="Y71" s="34" t="str"/>
    </x:row>
    <x:row r="72">
      <x:c r="A72" s="34" t="str">
        <x:v>M5-CASE-067</x:v>
      </x:c>
      <x:c r="B72" s="34" t="str"/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/>
      <x:c r="N72" s="34" t="str"/>
      <x:c r="O72" s="34" t="str"/>
      <x:c r="P72" s="34" t="n">
        <x:f>IF(A72="","",COUNTIF('04_关系事件'!$B$6:$B$505,A72))</x:f>
        <x:v>0</x:v>
      </x:c>
      <x:c r="Q72" s="34" t="n">
        <x:f>IF(A72="","",COUNTIF('06_字段核验'!$B$6:$B$805,A72))</x:f>
        <x:v>0</x:v>
      </x:c>
      <x:c r="R72" s="34" t="n">
        <x:f>IF(A72="","",COUNTIF('07_规则命中'!$B$6:$B$1005,A72))</x:f>
        <x:v>0</x:v>
      </x:c>
      <x:c r="S72" s="34" t="str">
        <x:v>否</x:v>
      </x:c>
      <x:c r="T72" s="34" t="str"/>
      <x:c r="U72" s="34" t="str">
        <x:v>否</x:v>
      </x:c>
      <x:c r="V72" s="34" t="str">
        <x:f>IF(A72="","",IF(COUNTIFS('05_RG现实门槛'!$B$6:$B$405,A72,'05_RG现实门槛'!$D$6:$D$405,"RG01",'05_RG现实门槛'!$G$6:$G$405,"&lt;&gt;")+COUNTIFS('05_RG现实门槛'!$B$6:$B$405,A72,'05_RG现实门槛'!$D$6:$D$405,"RG02",'05_RG现实门槛'!$G$6:$G$405,"&lt;&gt;")+COUNTIFS('05_RG现实门槛'!$B$6:$B$405,A72,'05_RG现实门槛'!$D$6:$D$405,"RG03",'05_RG现实门槛'!$G$6:$G$405,"&lt;&gt;")+COUNTIFS('05_RG现实门槛'!$B$6:$B$405,A72,'05_RG现实门槛'!$D$6:$D$405,"RG06",'05_RG现实门槛'!$G$6:$G$405,"&lt;&gt;")+COUNTIFS('05_RG现实门槛'!$B$6:$B$405,A72,'05_RG现实门槛'!$D$6:$D$405,"RG07",'05_RG现实门槛'!$G$6:$G$405,"&lt;&gt;")=5,"是","否"))</x:f>
        <x:v>否</x:v>
      </x:c>
      <x:c r="W72" s="34" t="str">
        <x:v>否</x:v>
      </x:c>
      <x:c r="X72" s="34" t="str">
        <x:v>待录入</x:v>
      </x:c>
      <x:c r="Y72" s="34" t="str"/>
    </x:row>
    <x:row r="73">
      <x:c r="A73" s="34" t="str">
        <x:v>M5-CASE-068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/>
      <x:c r="N73" s="34" t="str"/>
      <x:c r="O73" s="34" t="str"/>
      <x:c r="P73" s="34" t="n">
        <x:f>IF(A73="","",COUNTIF('04_关系事件'!$B$6:$B$505,A73))</x:f>
        <x:v>0</x:v>
      </x:c>
      <x:c r="Q73" s="34" t="n">
        <x:f>IF(A73="","",COUNTIF('06_字段核验'!$B$6:$B$805,A73))</x:f>
        <x:v>0</x:v>
      </x:c>
      <x:c r="R73" s="34" t="n">
        <x:f>IF(A73="","",COUNTIF('07_规则命中'!$B$6:$B$1005,A73))</x:f>
        <x:v>0</x:v>
      </x:c>
      <x:c r="S73" s="34" t="str">
        <x:v>否</x:v>
      </x:c>
      <x:c r="T73" s="34" t="str"/>
      <x:c r="U73" s="34" t="str">
        <x:v>否</x:v>
      </x:c>
      <x:c r="V73" s="34" t="str">
        <x:f>IF(A73="","",IF(COUNTIFS('05_RG现实门槛'!$B$6:$B$405,A73,'05_RG现实门槛'!$D$6:$D$405,"RG01",'05_RG现实门槛'!$G$6:$G$405,"&lt;&gt;")+COUNTIFS('05_RG现实门槛'!$B$6:$B$405,A73,'05_RG现实门槛'!$D$6:$D$405,"RG02",'05_RG现实门槛'!$G$6:$G$405,"&lt;&gt;")+COUNTIFS('05_RG现实门槛'!$B$6:$B$405,A73,'05_RG现实门槛'!$D$6:$D$405,"RG03",'05_RG现实门槛'!$G$6:$G$405,"&lt;&gt;")+COUNTIFS('05_RG现实门槛'!$B$6:$B$405,A73,'05_RG现实门槛'!$D$6:$D$405,"RG06",'05_RG现实门槛'!$G$6:$G$405,"&lt;&gt;")+COUNTIFS('05_RG现实门槛'!$B$6:$B$405,A73,'05_RG现实门槛'!$D$6:$D$405,"RG07",'05_RG现实门槛'!$G$6:$G$405,"&lt;&gt;")=5,"是","否"))</x:f>
        <x:v>否</x:v>
      </x:c>
      <x:c r="W73" s="34" t="str">
        <x:v>否</x:v>
      </x:c>
      <x:c r="X73" s="34" t="str">
        <x:v>待录入</x:v>
      </x:c>
      <x:c r="Y73" s="34" t="str"/>
    </x:row>
    <x:row r="74">
      <x:c r="A74" s="34" t="str">
        <x:v>M5-CASE-069</x:v>
      </x:c>
      <x:c r="B74" s="34" t="str"/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/>
      <x:c r="N74" s="34" t="str"/>
      <x:c r="O74" s="34" t="str"/>
      <x:c r="P74" s="34" t="n">
        <x:f>IF(A74="","",COUNTIF('04_关系事件'!$B$6:$B$505,A74))</x:f>
        <x:v>0</x:v>
      </x:c>
      <x:c r="Q74" s="34" t="n">
        <x:f>IF(A74="","",COUNTIF('06_字段核验'!$B$6:$B$805,A74))</x:f>
        <x:v>0</x:v>
      </x:c>
      <x:c r="R74" s="34" t="n">
        <x:f>IF(A74="","",COUNTIF('07_规则命中'!$B$6:$B$1005,A74))</x:f>
        <x:v>0</x:v>
      </x:c>
      <x:c r="S74" s="34" t="str">
        <x:v>否</x:v>
      </x:c>
      <x:c r="T74" s="34" t="str"/>
      <x:c r="U74" s="34" t="str">
        <x:v>否</x:v>
      </x:c>
      <x:c r="V74" s="34" t="str">
        <x:f>IF(A74="","",IF(COUNTIFS('05_RG现实门槛'!$B$6:$B$405,A74,'05_RG现实门槛'!$D$6:$D$405,"RG01",'05_RG现实门槛'!$G$6:$G$405,"&lt;&gt;")+COUNTIFS('05_RG现实门槛'!$B$6:$B$405,A74,'05_RG现实门槛'!$D$6:$D$405,"RG02",'05_RG现实门槛'!$G$6:$G$405,"&lt;&gt;")+COUNTIFS('05_RG现实门槛'!$B$6:$B$405,A74,'05_RG现实门槛'!$D$6:$D$405,"RG03",'05_RG现实门槛'!$G$6:$G$405,"&lt;&gt;")+COUNTIFS('05_RG现实门槛'!$B$6:$B$405,A74,'05_RG现实门槛'!$D$6:$D$405,"RG06",'05_RG现实门槛'!$G$6:$G$405,"&lt;&gt;")+COUNTIFS('05_RG现实门槛'!$B$6:$B$405,A74,'05_RG现实门槛'!$D$6:$D$405,"RG07",'05_RG现实门槛'!$G$6:$G$405,"&lt;&gt;")=5,"是","否"))</x:f>
        <x:v>否</x:v>
      </x:c>
      <x:c r="W74" s="34" t="str">
        <x:v>否</x:v>
      </x:c>
      <x:c r="X74" s="34" t="str">
        <x:v>待录入</x:v>
      </x:c>
      <x:c r="Y74" s="34" t="str"/>
    </x:row>
    <x:row r="75">
      <x:c r="A75" s="34" t="str">
        <x:v>M5-CASE-070</x:v>
      </x:c>
      <x:c r="B75" s="34" t="str"/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/>
      <x:c r="N75" s="34" t="str"/>
      <x:c r="O75" s="34" t="str"/>
      <x:c r="P75" s="34" t="n">
        <x:f>IF(A75="","",COUNTIF('04_关系事件'!$B$6:$B$505,A75))</x:f>
        <x:v>0</x:v>
      </x:c>
      <x:c r="Q75" s="34" t="n">
        <x:f>IF(A75="","",COUNTIF('06_字段核验'!$B$6:$B$805,A75))</x:f>
        <x:v>0</x:v>
      </x:c>
      <x:c r="R75" s="34" t="n">
        <x:f>IF(A75="","",COUNTIF('07_规则命中'!$B$6:$B$1005,A75))</x:f>
        <x:v>0</x:v>
      </x:c>
      <x:c r="S75" s="34" t="str">
        <x:v>否</x:v>
      </x:c>
      <x:c r="T75" s="34" t="str"/>
      <x:c r="U75" s="34" t="str">
        <x:v>否</x:v>
      </x:c>
      <x:c r="V75" s="34" t="str">
        <x:f>IF(A75="","",IF(COUNTIFS('05_RG现实门槛'!$B$6:$B$405,A75,'05_RG现实门槛'!$D$6:$D$405,"RG01",'05_RG现实门槛'!$G$6:$G$405,"&lt;&gt;")+COUNTIFS('05_RG现实门槛'!$B$6:$B$405,A75,'05_RG现实门槛'!$D$6:$D$405,"RG02",'05_RG现实门槛'!$G$6:$G$405,"&lt;&gt;")+COUNTIFS('05_RG现实门槛'!$B$6:$B$405,A75,'05_RG现实门槛'!$D$6:$D$405,"RG03",'05_RG现实门槛'!$G$6:$G$405,"&lt;&gt;")+COUNTIFS('05_RG现实门槛'!$B$6:$B$405,A75,'05_RG现实门槛'!$D$6:$D$405,"RG06",'05_RG现实门槛'!$G$6:$G$405,"&lt;&gt;")+COUNTIFS('05_RG现实门槛'!$B$6:$B$405,A75,'05_RG现实门槛'!$D$6:$D$405,"RG07",'05_RG现实门槛'!$G$6:$G$405,"&lt;&gt;")=5,"是","否"))</x:f>
        <x:v>否</x:v>
      </x:c>
      <x:c r="W75" s="34" t="str">
        <x:v>否</x:v>
      </x:c>
      <x:c r="X75" s="34" t="str">
        <x:v>待录入</x:v>
      </x:c>
      <x:c r="Y75" s="34" t="str"/>
    </x:row>
    <x:row r="76">
      <x:c r="A76" s="34" t="str">
        <x:v>M5-CASE-071</x:v>
      </x:c>
      <x:c r="B76" s="34" t="str"/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/>
      <x:c r="N76" s="34" t="str"/>
      <x:c r="O76" s="34" t="str"/>
      <x:c r="P76" s="34" t="n">
        <x:f>IF(A76="","",COUNTIF('04_关系事件'!$B$6:$B$505,A76))</x:f>
        <x:v>0</x:v>
      </x:c>
      <x:c r="Q76" s="34" t="n">
        <x:f>IF(A76="","",COUNTIF('06_字段核验'!$B$6:$B$805,A76))</x:f>
        <x:v>0</x:v>
      </x:c>
      <x:c r="R76" s="34" t="n">
        <x:f>IF(A76="","",COUNTIF('07_规则命中'!$B$6:$B$1005,A76))</x:f>
        <x:v>0</x:v>
      </x:c>
      <x:c r="S76" s="34" t="str">
        <x:v>否</x:v>
      </x:c>
      <x:c r="T76" s="34" t="str"/>
      <x:c r="U76" s="34" t="str">
        <x:v>否</x:v>
      </x:c>
      <x:c r="V76" s="34" t="str">
        <x:f>IF(A76="","",IF(COUNTIFS('05_RG现实门槛'!$B$6:$B$405,A76,'05_RG现实门槛'!$D$6:$D$405,"RG01",'05_RG现实门槛'!$G$6:$G$405,"&lt;&gt;")+COUNTIFS('05_RG现实门槛'!$B$6:$B$405,A76,'05_RG现实门槛'!$D$6:$D$405,"RG02",'05_RG现实门槛'!$G$6:$G$405,"&lt;&gt;")+COUNTIFS('05_RG现实门槛'!$B$6:$B$405,A76,'05_RG现实门槛'!$D$6:$D$405,"RG03",'05_RG现实门槛'!$G$6:$G$405,"&lt;&gt;")+COUNTIFS('05_RG现实门槛'!$B$6:$B$405,A76,'05_RG现实门槛'!$D$6:$D$405,"RG06",'05_RG现实门槛'!$G$6:$G$405,"&lt;&gt;")+COUNTIFS('05_RG现实门槛'!$B$6:$B$405,A76,'05_RG现实门槛'!$D$6:$D$405,"RG07",'05_RG现实门槛'!$G$6:$G$405,"&lt;&gt;")=5,"是","否"))</x:f>
        <x:v>否</x:v>
      </x:c>
      <x:c r="W76" s="34" t="str">
        <x:v>否</x:v>
      </x:c>
      <x:c r="X76" s="34" t="str">
        <x:v>待录入</x:v>
      </x:c>
      <x:c r="Y76" s="34" t="str"/>
    </x:row>
    <x:row r="77">
      <x:c r="A77" s="34" t="str">
        <x:v>M5-CASE-072</x:v>
      </x:c>
      <x:c r="B77" s="34" t="str"/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/>
      <x:c r="N77" s="34" t="str"/>
      <x:c r="O77" s="34" t="str"/>
      <x:c r="P77" s="34" t="n">
        <x:f>IF(A77="","",COUNTIF('04_关系事件'!$B$6:$B$505,A77))</x:f>
        <x:v>0</x:v>
      </x:c>
      <x:c r="Q77" s="34" t="n">
        <x:f>IF(A77="","",COUNTIF('06_字段核验'!$B$6:$B$805,A77))</x:f>
        <x:v>0</x:v>
      </x:c>
      <x:c r="R77" s="34" t="n">
        <x:f>IF(A77="","",COUNTIF('07_规则命中'!$B$6:$B$1005,A77))</x:f>
        <x:v>0</x:v>
      </x:c>
      <x:c r="S77" s="34" t="str">
        <x:v>否</x:v>
      </x:c>
      <x:c r="T77" s="34" t="str"/>
      <x:c r="U77" s="34" t="str">
        <x:v>否</x:v>
      </x:c>
      <x:c r="V77" s="34" t="str">
        <x:f>IF(A77="","",IF(COUNTIFS('05_RG现实门槛'!$B$6:$B$405,A77,'05_RG现实门槛'!$D$6:$D$405,"RG01",'05_RG现实门槛'!$G$6:$G$405,"&lt;&gt;")+COUNTIFS('05_RG现实门槛'!$B$6:$B$405,A77,'05_RG现实门槛'!$D$6:$D$405,"RG02",'05_RG现实门槛'!$G$6:$G$405,"&lt;&gt;")+COUNTIFS('05_RG现实门槛'!$B$6:$B$405,A77,'05_RG现实门槛'!$D$6:$D$405,"RG03",'05_RG现实门槛'!$G$6:$G$405,"&lt;&gt;")+COUNTIFS('05_RG现实门槛'!$B$6:$B$405,A77,'05_RG现实门槛'!$D$6:$D$405,"RG06",'05_RG现实门槛'!$G$6:$G$405,"&lt;&gt;")+COUNTIFS('05_RG现实门槛'!$B$6:$B$405,A77,'05_RG现实门槛'!$D$6:$D$405,"RG07",'05_RG现实门槛'!$G$6:$G$405,"&lt;&gt;")=5,"是","否"))</x:f>
        <x:v>否</x:v>
      </x:c>
      <x:c r="W77" s="34" t="str">
        <x:v>否</x:v>
      </x:c>
      <x:c r="X77" s="34" t="str">
        <x:v>待录入</x:v>
      </x:c>
      <x:c r="Y77" s="34" t="str"/>
    </x:row>
    <x:row r="78">
      <x:c r="A78" s="34" t="str">
        <x:v>M5-CASE-073</x:v>
      </x:c>
      <x:c r="B78" s="34" t="str"/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/>
      <x:c r="N78" s="34" t="str"/>
      <x:c r="O78" s="34" t="str"/>
      <x:c r="P78" s="34" t="n">
        <x:f>IF(A78="","",COUNTIF('04_关系事件'!$B$6:$B$505,A78))</x:f>
        <x:v>0</x:v>
      </x:c>
      <x:c r="Q78" s="34" t="n">
        <x:f>IF(A78="","",COUNTIF('06_字段核验'!$B$6:$B$805,A78))</x:f>
        <x:v>0</x:v>
      </x:c>
      <x:c r="R78" s="34" t="n">
        <x:f>IF(A78="","",COUNTIF('07_规则命中'!$B$6:$B$1005,A78))</x:f>
        <x:v>0</x:v>
      </x:c>
      <x:c r="S78" s="34" t="str">
        <x:v>否</x:v>
      </x:c>
      <x:c r="T78" s="34" t="str"/>
      <x:c r="U78" s="34" t="str">
        <x:v>否</x:v>
      </x:c>
      <x:c r="V78" s="34" t="str">
        <x:f>IF(A78="","",IF(COUNTIFS('05_RG现实门槛'!$B$6:$B$405,A78,'05_RG现实门槛'!$D$6:$D$405,"RG01",'05_RG现实门槛'!$G$6:$G$405,"&lt;&gt;")+COUNTIFS('05_RG现实门槛'!$B$6:$B$405,A78,'05_RG现实门槛'!$D$6:$D$405,"RG02",'05_RG现实门槛'!$G$6:$G$405,"&lt;&gt;")+COUNTIFS('05_RG现实门槛'!$B$6:$B$405,A78,'05_RG现实门槛'!$D$6:$D$405,"RG03",'05_RG现实门槛'!$G$6:$G$405,"&lt;&gt;")+COUNTIFS('05_RG现实门槛'!$B$6:$B$405,A78,'05_RG现实门槛'!$D$6:$D$405,"RG06",'05_RG现实门槛'!$G$6:$G$405,"&lt;&gt;")+COUNTIFS('05_RG现实门槛'!$B$6:$B$405,A78,'05_RG现实门槛'!$D$6:$D$405,"RG07",'05_RG现实门槛'!$G$6:$G$405,"&lt;&gt;")=5,"是","否"))</x:f>
        <x:v>否</x:v>
      </x:c>
      <x:c r="W78" s="34" t="str">
        <x:v>否</x:v>
      </x:c>
      <x:c r="X78" s="34" t="str">
        <x:v>待录入</x:v>
      </x:c>
      <x:c r="Y78" s="34" t="str"/>
    </x:row>
    <x:row r="79">
      <x:c r="A79" s="34" t="str">
        <x:v>M5-CASE-074</x:v>
      </x:c>
      <x:c r="B79" s="34" t="str"/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/>
      <x:c r="N79" s="34" t="str"/>
      <x:c r="O79" s="34" t="str"/>
      <x:c r="P79" s="34" t="n">
        <x:f>IF(A79="","",COUNTIF('04_关系事件'!$B$6:$B$505,A79))</x:f>
        <x:v>0</x:v>
      </x:c>
      <x:c r="Q79" s="34" t="n">
        <x:f>IF(A79="","",COUNTIF('06_字段核验'!$B$6:$B$805,A79))</x:f>
        <x:v>0</x:v>
      </x:c>
      <x:c r="R79" s="34" t="n">
        <x:f>IF(A79="","",COUNTIF('07_规则命中'!$B$6:$B$1005,A79))</x:f>
        <x:v>0</x:v>
      </x:c>
      <x:c r="S79" s="34" t="str">
        <x:v>否</x:v>
      </x:c>
      <x:c r="T79" s="34" t="str"/>
      <x:c r="U79" s="34" t="str">
        <x:v>否</x:v>
      </x:c>
      <x:c r="V79" s="34" t="str">
        <x:f>IF(A79="","",IF(COUNTIFS('05_RG现实门槛'!$B$6:$B$405,A79,'05_RG现实门槛'!$D$6:$D$405,"RG01",'05_RG现实门槛'!$G$6:$G$405,"&lt;&gt;")+COUNTIFS('05_RG现实门槛'!$B$6:$B$405,A79,'05_RG现实门槛'!$D$6:$D$405,"RG02",'05_RG现实门槛'!$G$6:$G$405,"&lt;&gt;")+COUNTIFS('05_RG现实门槛'!$B$6:$B$405,A79,'05_RG现实门槛'!$D$6:$D$405,"RG03",'05_RG现实门槛'!$G$6:$G$405,"&lt;&gt;")+COUNTIFS('05_RG现实门槛'!$B$6:$B$405,A79,'05_RG现实门槛'!$D$6:$D$405,"RG06",'05_RG现实门槛'!$G$6:$G$405,"&lt;&gt;")+COUNTIFS('05_RG现实门槛'!$B$6:$B$405,A79,'05_RG现实门槛'!$D$6:$D$405,"RG07",'05_RG现实门槛'!$G$6:$G$405,"&lt;&gt;")=5,"是","否"))</x:f>
        <x:v>否</x:v>
      </x:c>
      <x:c r="W79" s="34" t="str">
        <x:v>否</x:v>
      </x:c>
      <x:c r="X79" s="34" t="str">
        <x:v>待录入</x:v>
      </x:c>
      <x:c r="Y79" s="34" t="str"/>
    </x:row>
    <x:row r="80">
      <x:c r="A80" s="34" t="str">
        <x:v>M5-CASE-075</x:v>
      </x:c>
      <x:c r="B80" s="34" t="str"/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/>
      <x:c r="N80" s="34" t="str"/>
      <x:c r="O80" s="34" t="str"/>
      <x:c r="P80" s="34" t="n">
        <x:f>IF(A80="","",COUNTIF('04_关系事件'!$B$6:$B$505,A80))</x:f>
        <x:v>0</x:v>
      </x:c>
      <x:c r="Q80" s="34" t="n">
        <x:f>IF(A80="","",COUNTIF('06_字段核验'!$B$6:$B$805,A80))</x:f>
        <x:v>0</x:v>
      </x:c>
      <x:c r="R80" s="34" t="n">
        <x:f>IF(A80="","",COUNTIF('07_规则命中'!$B$6:$B$1005,A80))</x:f>
        <x:v>0</x:v>
      </x:c>
      <x:c r="S80" s="34" t="str">
        <x:v>否</x:v>
      </x:c>
      <x:c r="T80" s="34" t="str"/>
      <x:c r="U80" s="34" t="str">
        <x:v>否</x:v>
      </x:c>
      <x:c r="V80" s="34" t="str">
        <x:f>IF(A80="","",IF(COUNTIFS('05_RG现实门槛'!$B$6:$B$405,A80,'05_RG现实门槛'!$D$6:$D$405,"RG01",'05_RG现实门槛'!$G$6:$G$405,"&lt;&gt;")+COUNTIFS('05_RG现实门槛'!$B$6:$B$405,A80,'05_RG现实门槛'!$D$6:$D$405,"RG02",'05_RG现实门槛'!$G$6:$G$405,"&lt;&gt;")+COUNTIFS('05_RG现实门槛'!$B$6:$B$405,A80,'05_RG现实门槛'!$D$6:$D$405,"RG03",'05_RG现实门槛'!$G$6:$G$405,"&lt;&gt;")+COUNTIFS('05_RG现实门槛'!$B$6:$B$405,A80,'05_RG现实门槛'!$D$6:$D$405,"RG06",'05_RG现实门槛'!$G$6:$G$405,"&lt;&gt;")+COUNTIFS('05_RG现实门槛'!$B$6:$B$405,A80,'05_RG现实门槛'!$D$6:$D$405,"RG07",'05_RG现实门槛'!$G$6:$G$405,"&lt;&gt;")=5,"是","否"))</x:f>
        <x:v>否</x:v>
      </x:c>
      <x:c r="W80" s="34" t="str">
        <x:v>否</x:v>
      </x:c>
      <x:c r="X80" s="34" t="str">
        <x:v>待录入</x:v>
      </x:c>
      <x:c r="Y80" s="34" t="str"/>
    </x:row>
    <x:row r="81">
      <x:c r="A81" s="34" t="str">
        <x:v>M5-CASE-076</x:v>
      </x:c>
      <x:c r="B81" s="34" t="str"/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/>
      <x:c r="N81" s="34" t="str"/>
      <x:c r="O81" s="34" t="str"/>
      <x:c r="P81" s="34" t="n">
        <x:f>IF(A81="","",COUNTIF('04_关系事件'!$B$6:$B$505,A81))</x:f>
        <x:v>0</x:v>
      </x:c>
      <x:c r="Q81" s="34" t="n">
        <x:f>IF(A81="","",COUNTIF('06_字段核验'!$B$6:$B$805,A81))</x:f>
        <x:v>0</x:v>
      </x:c>
      <x:c r="R81" s="34" t="n">
        <x:f>IF(A81="","",COUNTIF('07_规则命中'!$B$6:$B$1005,A81))</x:f>
        <x:v>0</x:v>
      </x:c>
      <x:c r="S81" s="34" t="str">
        <x:v>否</x:v>
      </x:c>
      <x:c r="T81" s="34" t="str"/>
      <x:c r="U81" s="34" t="str">
        <x:v>否</x:v>
      </x:c>
      <x:c r="V81" s="34" t="str">
        <x:f>IF(A81="","",IF(COUNTIFS('05_RG现实门槛'!$B$6:$B$405,A81,'05_RG现实门槛'!$D$6:$D$405,"RG01",'05_RG现实门槛'!$G$6:$G$405,"&lt;&gt;")+COUNTIFS('05_RG现实门槛'!$B$6:$B$405,A81,'05_RG现实门槛'!$D$6:$D$405,"RG02",'05_RG现实门槛'!$G$6:$G$405,"&lt;&gt;")+COUNTIFS('05_RG现实门槛'!$B$6:$B$405,A81,'05_RG现实门槛'!$D$6:$D$405,"RG03",'05_RG现实门槛'!$G$6:$G$405,"&lt;&gt;")+COUNTIFS('05_RG现实门槛'!$B$6:$B$405,A81,'05_RG现实门槛'!$D$6:$D$405,"RG06",'05_RG现实门槛'!$G$6:$G$405,"&lt;&gt;")+COUNTIFS('05_RG现实门槛'!$B$6:$B$405,A81,'05_RG现实门槛'!$D$6:$D$405,"RG07",'05_RG现实门槛'!$G$6:$G$405,"&lt;&gt;")=5,"是","否"))</x:f>
        <x:v>否</x:v>
      </x:c>
      <x:c r="W81" s="34" t="str">
        <x:v>否</x:v>
      </x:c>
      <x:c r="X81" s="34" t="str">
        <x:v>待录入</x:v>
      </x:c>
      <x:c r="Y81" s="34" t="str"/>
    </x:row>
    <x:row r="82">
      <x:c r="A82" s="34" t="str">
        <x:v>M5-CASE-077</x:v>
      </x:c>
      <x:c r="B82" s="34" t="str"/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/>
      <x:c r="K82" s="34" t="str"/>
      <x:c r="L82" s="34" t="str"/>
      <x:c r="M82" s="34" t="str"/>
      <x:c r="N82" s="34" t="str"/>
      <x:c r="O82" s="34" t="str"/>
      <x:c r="P82" s="34" t="n">
        <x:f>IF(A82="","",COUNTIF('04_关系事件'!$B$6:$B$505,A82))</x:f>
        <x:v>0</x:v>
      </x:c>
      <x:c r="Q82" s="34" t="n">
        <x:f>IF(A82="","",COUNTIF('06_字段核验'!$B$6:$B$805,A82))</x:f>
        <x:v>0</x:v>
      </x:c>
      <x:c r="R82" s="34" t="n">
        <x:f>IF(A82="","",COUNTIF('07_规则命中'!$B$6:$B$1005,A82))</x:f>
        <x:v>0</x:v>
      </x:c>
      <x:c r="S82" s="34" t="str">
        <x:v>否</x:v>
      </x:c>
      <x:c r="T82" s="34" t="str"/>
      <x:c r="U82" s="34" t="str">
        <x:v>否</x:v>
      </x:c>
      <x:c r="V82" s="34" t="str">
        <x:f>IF(A82="","",IF(COUNTIFS('05_RG现实门槛'!$B$6:$B$405,A82,'05_RG现实门槛'!$D$6:$D$405,"RG01",'05_RG现实门槛'!$G$6:$G$405,"&lt;&gt;")+COUNTIFS('05_RG现实门槛'!$B$6:$B$405,A82,'05_RG现实门槛'!$D$6:$D$405,"RG02",'05_RG现实门槛'!$G$6:$G$405,"&lt;&gt;")+COUNTIFS('05_RG现实门槛'!$B$6:$B$405,A82,'05_RG现实门槛'!$D$6:$D$405,"RG03",'05_RG现实门槛'!$G$6:$G$405,"&lt;&gt;")+COUNTIFS('05_RG现实门槛'!$B$6:$B$405,A82,'05_RG现实门槛'!$D$6:$D$405,"RG06",'05_RG现实门槛'!$G$6:$G$405,"&lt;&gt;")+COUNTIFS('05_RG现实门槛'!$B$6:$B$405,A82,'05_RG现实门槛'!$D$6:$D$405,"RG07",'05_RG现实门槛'!$G$6:$G$405,"&lt;&gt;")=5,"是","否"))</x:f>
        <x:v>否</x:v>
      </x:c>
      <x:c r="W82" s="34" t="str">
        <x:v>否</x:v>
      </x:c>
      <x:c r="X82" s="34" t="str">
        <x:v>待录入</x:v>
      </x:c>
      <x:c r="Y82" s="34" t="str"/>
    </x:row>
    <x:row r="83">
      <x:c r="A83" s="34" t="str">
        <x:v>M5-CASE-078</x:v>
      </x:c>
      <x:c r="B83" s="34" t="str"/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/>
      <x:c r="L83" s="34" t="str"/>
      <x:c r="M83" s="34" t="str"/>
      <x:c r="N83" s="34" t="str"/>
      <x:c r="O83" s="34" t="str"/>
      <x:c r="P83" s="34" t="n">
        <x:f>IF(A83="","",COUNTIF('04_关系事件'!$B$6:$B$505,A83))</x:f>
        <x:v>0</x:v>
      </x:c>
      <x:c r="Q83" s="34" t="n">
        <x:f>IF(A83="","",COUNTIF('06_字段核验'!$B$6:$B$805,A83))</x:f>
        <x:v>0</x:v>
      </x:c>
      <x:c r="R83" s="34" t="n">
        <x:f>IF(A83="","",COUNTIF('07_规则命中'!$B$6:$B$1005,A83))</x:f>
        <x:v>0</x:v>
      </x:c>
      <x:c r="S83" s="34" t="str">
        <x:v>否</x:v>
      </x:c>
      <x:c r="T83" s="34" t="str"/>
      <x:c r="U83" s="34" t="str">
        <x:v>否</x:v>
      </x:c>
      <x:c r="V83" s="34" t="str">
        <x:f>IF(A83="","",IF(COUNTIFS('05_RG现实门槛'!$B$6:$B$405,A83,'05_RG现实门槛'!$D$6:$D$405,"RG01",'05_RG现实门槛'!$G$6:$G$405,"&lt;&gt;")+COUNTIFS('05_RG现实门槛'!$B$6:$B$405,A83,'05_RG现实门槛'!$D$6:$D$405,"RG02",'05_RG现实门槛'!$G$6:$G$405,"&lt;&gt;")+COUNTIFS('05_RG现实门槛'!$B$6:$B$405,A83,'05_RG现实门槛'!$D$6:$D$405,"RG03",'05_RG现实门槛'!$G$6:$G$405,"&lt;&gt;")+COUNTIFS('05_RG现实门槛'!$B$6:$B$405,A83,'05_RG现实门槛'!$D$6:$D$405,"RG06",'05_RG现实门槛'!$G$6:$G$405,"&lt;&gt;")+COUNTIFS('05_RG现实门槛'!$B$6:$B$405,A83,'05_RG现实门槛'!$D$6:$D$405,"RG07",'05_RG现实门槛'!$G$6:$G$405,"&lt;&gt;")=5,"是","否"))</x:f>
        <x:v>否</x:v>
      </x:c>
      <x:c r="W83" s="34" t="str">
        <x:v>否</x:v>
      </x:c>
      <x:c r="X83" s="34" t="str">
        <x:v>待录入</x:v>
      </x:c>
      <x:c r="Y83" s="34" t="str"/>
    </x:row>
    <x:row r="84">
      <x:c r="A84" s="34" t="str">
        <x:v>M5-CASE-079</x:v>
      </x:c>
      <x:c r="B84" s="34" t="str"/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/>
      <x:c r="K84" s="34" t="str"/>
      <x:c r="L84" s="34" t="str"/>
      <x:c r="M84" s="34" t="str"/>
      <x:c r="N84" s="34" t="str"/>
      <x:c r="O84" s="34" t="str"/>
      <x:c r="P84" s="34" t="n">
        <x:f>IF(A84="","",COUNTIF('04_关系事件'!$B$6:$B$505,A84))</x:f>
        <x:v>0</x:v>
      </x:c>
      <x:c r="Q84" s="34" t="n">
        <x:f>IF(A84="","",COUNTIF('06_字段核验'!$B$6:$B$805,A84))</x:f>
        <x:v>0</x:v>
      </x:c>
      <x:c r="R84" s="34" t="n">
        <x:f>IF(A84="","",COUNTIF('07_规则命中'!$B$6:$B$1005,A84))</x:f>
        <x:v>0</x:v>
      </x:c>
      <x:c r="S84" s="34" t="str">
        <x:v>否</x:v>
      </x:c>
      <x:c r="T84" s="34" t="str"/>
      <x:c r="U84" s="34" t="str">
        <x:v>否</x:v>
      </x:c>
      <x:c r="V84" s="34" t="str">
        <x:f>IF(A84="","",IF(COUNTIFS('05_RG现实门槛'!$B$6:$B$405,A84,'05_RG现实门槛'!$D$6:$D$405,"RG01",'05_RG现实门槛'!$G$6:$G$405,"&lt;&gt;")+COUNTIFS('05_RG现实门槛'!$B$6:$B$405,A84,'05_RG现实门槛'!$D$6:$D$405,"RG02",'05_RG现实门槛'!$G$6:$G$405,"&lt;&gt;")+COUNTIFS('05_RG现实门槛'!$B$6:$B$405,A84,'05_RG现实门槛'!$D$6:$D$405,"RG03",'05_RG现实门槛'!$G$6:$G$405,"&lt;&gt;")+COUNTIFS('05_RG现实门槛'!$B$6:$B$405,A84,'05_RG现实门槛'!$D$6:$D$405,"RG06",'05_RG现实门槛'!$G$6:$G$405,"&lt;&gt;")+COUNTIFS('05_RG现实门槛'!$B$6:$B$405,A84,'05_RG现实门槛'!$D$6:$D$405,"RG07",'05_RG现实门槛'!$G$6:$G$405,"&lt;&gt;")=5,"是","否"))</x:f>
        <x:v>否</x:v>
      </x:c>
      <x:c r="W84" s="34" t="str">
        <x:v>否</x:v>
      </x:c>
      <x:c r="X84" s="34" t="str">
        <x:v>待录入</x:v>
      </x:c>
      <x:c r="Y84" s="34" t="str"/>
    </x:row>
    <x:row r="85">
      <x:c r="A85" s="34" t="str">
        <x:v>M5-CASE-080</x:v>
      </x:c>
      <x:c r="B85" s="34" t="str"/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/>
      <x:c r="K85" s="34" t="str"/>
      <x:c r="L85" s="34" t="str"/>
      <x:c r="M85" s="34" t="str"/>
      <x:c r="N85" s="34" t="str"/>
      <x:c r="O85" s="34" t="str"/>
      <x:c r="P85" s="34" t="n">
        <x:f>IF(A85="","",COUNTIF('04_关系事件'!$B$6:$B$505,A85))</x:f>
        <x:v>0</x:v>
      </x:c>
      <x:c r="Q85" s="34" t="n">
        <x:f>IF(A85="","",COUNTIF('06_字段核验'!$B$6:$B$805,A85))</x:f>
        <x:v>0</x:v>
      </x:c>
      <x:c r="R85" s="34" t="n">
        <x:f>IF(A85="","",COUNTIF('07_规则命中'!$B$6:$B$1005,A85))</x:f>
        <x:v>0</x:v>
      </x:c>
      <x:c r="S85" s="34" t="str">
        <x:v>否</x:v>
      </x:c>
      <x:c r="T85" s="34" t="str"/>
      <x:c r="U85" s="34" t="str">
        <x:v>否</x:v>
      </x:c>
      <x:c r="V85" s="34" t="str">
        <x:f>IF(A85="","",IF(COUNTIFS('05_RG现实门槛'!$B$6:$B$405,A85,'05_RG现实门槛'!$D$6:$D$405,"RG01",'05_RG现实门槛'!$G$6:$G$405,"&lt;&gt;")+COUNTIFS('05_RG现实门槛'!$B$6:$B$405,A85,'05_RG现实门槛'!$D$6:$D$405,"RG02",'05_RG现实门槛'!$G$6:$G$405,"&lt;&gt;")+COUNTIFS('05_RG现实门槛'!$B$6:$B$405,A85,'05_RG现实门槛'!$D$6:$D$405,"RG03",'05_RG现实门槛'!$G$6:$G$405,"&lt;&gt;")+COUNTIFS('05_RG现实门槛'!$B$6:$B$405,A85,'05_RG现实门槛'!$D$6:$D$405,"RG06",'05_RG现实门槛'!$G$6:$G$405,"&lt;&gt;")+COUNTIFS('05_RG现实门槛'!$B$6:$B$405,A85,'05_RG现实门槛'!$D$6:$D$405,"RG07",'05_RG现实门槛'!$G$6:$G$405,"&lt;&gt;")=5,"是","否"))</x:f>
        <x:v>否</x:v>
      </x:c>
      <x:c r="W85" s="34" t="str">
        <x:v>否</x:v>
      </x:c>
      <x:c r="X85" s="34" t="str">
        <x:v>待录入</x:v>
      </x:c>
      <x:c r="Y85" s="34" t="str"/>
    </x:row>
    <x:row r="86">
      <x:c r="A86" s="34" t="str">
        <x:v>M5-CASE-081</x:v>
      </x:c>
      <x:c r="B86" s="34" t="str"/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  <x:c r="M86" s="34" t="str"/>
      <x:c r="N86" s="34" t="str"/>
      <x:c r="O86" s="34" t="str"/>
      <x:c r="P86" s="34" t="n">
        <x:f>IF(A86="","",COUNTIF('04_关系事件'!$B$6:$B$505,A86))</x:f>
        <x:v>0</x:v>
      </x:c>
      <x:c r="Q86" s="34" t="n">
        <x:f>IF(A86="","",COUNTIF('06_字段核验'!$B$6:$B$805,A86))</x:f>
        <x:v>0</x:v>
      </x:c>
      <x:c r="R86" s="34" t="n">
        <x:f>IF(A86="","",COUNTIF('07_规则命中'!$B$6:$B$1005,A86))</x:f>
        <x:v>0</x:v>
      </x:c>
      <x:c r="S86" s="34" t="str">
        <x:v>否</x:v>
      </x:c>
      <x:c r="T86" s="34" t="str"/>
      <x:c r="U86" s="34" t="str">
        <x:v>否</x:v>
      </x:c>
      <x:c r="V86" s="34" t="str">
        <x:f>IF(A86="","",IF(COUNTIFS('05_RG现实门槛'!$B$6:$B$405,A86,'05_RG现实门槛'!$D$6:$D$405,"RG01",'05_RG现实门槛'!$G$6:$G$405,"&lt;&gt;")+COUNTIFS('05_RG现实门槛'!$B$6:$B$405,A86,'05_RG现实门槛'!$D$6:$D$405,"RG02",'05_RG现实门槛'!$G$6:$G$405,"&lt;&gt;")+COUNTIFS('05_RG现实门槛'!$B$6:$B$405,A86,'05_RG现实门槛'!$D$6:$D$405,"RG03",'05_RG现实门槛'!$G$6:$G$405,"&lt;&gt;")+COUNTIFS('05_RG现实门槛'!$B$6:$B$405,A86,'05_RG现实门槛'!$D$6:$D$405,"RG06",'05_RG现实门槛'!$G$6:$G$405,"&lt;&gt;")+COUNTIFS('05_RG现实门槛'!$B$6:$B$405,A86,'05_RG现实门槛'!$D$6:$D$405,"RG07",'05_RG现实门槛'!$G$6:$G$405,"&lt;&gt;")=5,"是","否"))</x:f>
        <x:v>否</x:v>
      </x:c>
      <x:c r="W86" s="34" t="str">
        <x:v>否</x:v>
      </x:c>
      <x:c r="X86" s="34" t="str">
        <x:v>待录入</x:v>
      </x:c>
      <x:c r="Y86" s="34" t="str"/>
    </x:row>
    <x:row r="87">
      <x:c r="A87" s="34" t="str">
        <x:v>M5-CASE-082</x:v>
      </x:c>
      <x:c r="B87" s="34" t="str"/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/>
      <x:c r="K87" s="34" t="str"/>
      <x:c r="L87" s="34" t="str"/>
      <x:c r="M87" s="34" t="str"/>
      <x:c r="N87" s="34" t="str"/>
      <x:c r="O87" s="34" t="str"/>
      <x:c r="P87" s="34" t="n">
        <x:f>IF(A87="","",COUNTIF('04_关系事件'!$B$6:$B$505,A87))</x:f>
        <x:v>0</x:v>
      </x:c>
      <x:c r="Q87" s="34" t="n">
        <x:f>IF(A87="","",COUNTIF('06_字段核验'!$B$6:$B$805,A87))</x:f>
        <x:v>0</x:v>
      </x:c>
      <x:c r="R87" s="34" t="n">
        <x:f>IF(A87="","",COUNTIF('07_规则命中'!$B$6:$B$1005,A87))</x:f>
        <x:v>0</x:v>
      </x:c>
      <x:c r="S87" s="34" t="str">
        <x:v>否</x:v>
      </x:c>
      <x:c r="T87" s="34" t="str"/>
      <x:c r="U87" s="34" t="str">
        <x:v>否</x:v>
      </x:c>
      <x:c r="V87" s="34" t="str">
        <x:f>IF(A87="","",IF(COUNTIFS('05_RG现实门槛'!$B$6:$B$405,A87,'05_RG现实门槛'!$D$6:$D$405,"RG01",'05_RG现实门槛'!$G$6:$G$405,"&lt;&gt;")+COUNTIFS('05_RG现实门槛'!$B$6:$B$405,A87,'05_RG现实门槛'!$D$6:$D$405,"RG02",'05_RG现实门槛'!$G$6:$G$405,"&lt;&gt;")+COUNTIFS('05_RG现实门槛'!$B$6:$B$405,A87,'05_RG现实门槛'!$D$6:$D$405,"RG03",'05_RG现实门槛'!$G$6:$G$405,"&lt;&gt;")+COUNTIFS('05_RG现实门槛'!$B$6:$B$405,A87,'05_RG现实门槛'!$D$6:$D$405,"RG06",'05_RG现实门槛'!$G$6:$G$405,"&lt;&gt;")+COUNTIFS('05_RG现实门槛'!$B$6:$B$405,A87,'05_RG现实门槛'!$D$6:$D$405,"RG07",'05_RG现实门槛'!$G$6:$G$405,"&lt;&gt;")=5,"是","否"))</x:f>
        <x:v>否</x:v>
      </x:c>
      <x:c r="W87" s="34" t="str">
        <x:v>否</x:v>
      </x:c>
      <x:c r="X87" s="34" t="str">
        <x:v>待录入</x:v>
      </x:c>
      <x:c r="Y87" s="34" t="str"/>
    </x:row>
    <x:row r="88">
      <x:c r="A88" s="34" t="str">
        <x:v>M5-CASE-083</x:v>
      </x:c>
      <x:c r="B88" s="34" t="str"/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  <x:c r="M88" s="34" t="str"/>
      <x:c r="N88" s="34" t="str"/>
      <x:c r="O88" s="34" t="str"/>
      <x:c r="P88" s="34" t="n">
        <x:f>IF(A88="","",COUNTIF('04_关系事件'!$B$6:$B$505,A88))</x:f>
        <x:v>0</x:v>
      </x:c>
      <x:c r="Q88" s="34" t="n">
        <x:f>IF(A88="","",COUNTIF('06_字段核验'!$B$6:$B$805,A88))</x:f>
        <x:v>0</x:v>
      </x:c>
      <x:c r="R88" s="34" t="n">
        <x:f>IF(A88="","",COUNTIF('07_规则命中'!$B$6:$B$1005,A88))</x:f>
        <x:v>0</x:v>
      </x:c>
      <x:c r="S88" s="34" t="str">
        <x:v>否</x:v>
      </x:c>
      <x:c r="T88" s="34" t="str"/>
      <x:c r="U88" s="34" t="str">
        <x:v>否</x:v>
      </x:c>
      <x:c r="V88" s="34" t="str">
        <x:f>IF(A88="","",IF(COUNTIFS('05_RG现实门槛'!$B$6:$B$405,A88,'05_RG现实门槛'!$D$6:$D$405,"RG01",'05_RG现实门槛'!$G$6:$G$405,"&lt;&gt;")+COUNTIFS('05_RG现实门槛'!$B$6:$B$405,A88,'05_RG现实门槛'!$D$6:$D$405,"RG02",'05_RG现实门槛'!$G$6:$G$405,"&lt;&gt;")+COUNTIFS('05_RG现实门槛'!$B$6:$B$405,A88,'05_RG现实门槛'!$D$6:$D$405,"RG03",'05_RG现实门槛'!$G$6:$G$405,"&lt;&gt;")+COUNTIFS('05_RG现实门槛'!$B$6:$B$405,A88,'05_RG现实门槛'!$D$6:$D$405,"RG06",'05_RG现实门槛'!$G$6:$G$405,"&lt;&gt;")+COUNTIFS('05_RG现实门槛'!$B$6:$B$405,A88,'05_RG现实门槛'!$D$6:$D$405,"RG07",'05_RG现实门槛'!$G$6:$G$405,"&lt;&gt;")=5,"是","否"))</x:f>
        <x:v>否</x:v>
      </x:c>
      <x:c r="W88" s="34" t="str">
        <x:v>否</x:v>
      </x:c>
      <x:c r="X88" s="34" t="str">
        <x:v>待录入</x:v>
      </x:c>
      <x:c r="Y88" s="34" t="str"/>
    </x:row>
    <x:row r="89">
      <x:c r="A89" s="34" t="str">
        <x:v>M5-CASE-084</x:v>
      </x:c>
      <x:c r="B89" s="34" t="str"/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/>
      <x:c r="K89" s="34" t="str"/>
      <x:c r="L89" s="34" t="str"/>
      <x:c r="M89" s="34" t="str"/>
      <x:c r="N89" s="34" t="str"/>
      <x:c r="O89" s="34" t="str"/>
      <x:c r="P89" s="34" t="n">
        <x:f>IF(A89="","",COUNTIF('04_关系事件'!$B$6:$B$505,A89))</x:f>
        <x:v>0</x:v>
      </x:c>
      <x:c r="Q89" s="34" t="n">
        <x:f>IF(A89="","",COUNTIF('06_字段核验'!$B$6:$B$805,A89))</x:f>
        <x:v>0</x:v>
      </x:c>
      <x:c r="R89" s="34" t="n">
        <x:f>IF(A89="","",COUNTIF('07_规则命中'!$B$6:$B$1005,A89))</x:f>
        <x:v>0</x:v>
      </x:c>
      <x:c r="S89" s="34" t="str">
        <x:v>否</x:v>
      </x:c>
      <x:c r="T89" s="34" t="str"/>
      <x:c r="U89" s="34" t="str">
        <x:v>否</x:v>
      </x:c>
      <x:c r="V89" s="34" t="str">
        <x:f>IF(A89="","",IF(COUNTIFS('05_RG现实门槛'!$B$6:$B$405,A89,'05_RG现实门槛'!$D$6:$D$405,"RG01",'05_RG现实门槛'!$G$6:$G$405,"&lt;&gt;")+COUNTIFS('05_RG现实门槛'!$B$6:$B$405,A89,'05_RG现实门槛'!$D$6:$D$405,"RG02",'05_RG现实门槛'!$G$6:$G$405,"&lt;&gt;")+COUNTIFS('05_RG现实门槛'!$B$6:$B$405,A89,'05_RG现实门槛'!$D$6:$D$405,"RG03",'05_RG现实门槛'!$G$6:$G$405,"&lt;&gt;")+COUNTIFS('05_RG现实门槛'!$B$6:$B$405,A89,'05_RG现实门槛'!$D$6:$D$405,"RG06",'05_RG现实门槛'!$G$6:$G$405,"&lt;&gt;")+COUNTIFS('05_RG现实门槛'!$B$6:$B$405,A89,'05_RG现实门槛'!$D$6:$D$405,"RG07",'05_RG现实门槛'!$G$6:$G$405,"&lt;&gt;")=5,"是","否"))</x:f>
        <x:v>否</x:v>
      </x:c>
      <x:c r="W89" s="34" t="str">
        <x:v>否</x:v>
      </x:c>
      <x:c r="X89" s="34" t="str">
        <x:v>待录入</x:v>
      </x:c>
      <x:c r="Y89" s="34" t="str"/>
    </x:row>
    <x:row r="90">
      <x:c r="A90" s="34" t="str">
        <x:v>M5-CASE-085</x:v>
      </x:c>
      <x:c r="B90" s="34" t="str"/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/>
      <x:c r="K90" s="34" t="str"/>
      <x:c r="L90" s="34" t="str"/>
      <x:c r="M90" s="34" t="str"/>
      <x:c r="N90" s="34" t="str"/>
      <x:c r="O90" s="34" t="str"/>
      <x:c r="P90" s="34" t="n">
        <x:f>IF(A90="","",COUNTIF('04_关系事件'!$B$6:$B$505,A90))</x:f>
        <x:v>0</x:v>
      </x:c>
      <x:c r="Q90" s="34" t="n">
        <x:f>IF(A90="","",COUNTIF('06_字段核验'!$B$6:$B$805,A90))</x:f>
        <x:v>0</x:v>
      </x:c>
      <x:c r="R90" s="34" t="n">
        <x:f>IF(A90="","",COUNTIF('07_规则命中'!$B$6:$B$1005,A90))</x:f>
        <x:v>0</x:v>
      </x:c>
      <x:c r="S90" s="34" t="str">
        <x:v>否</x:v>
      </x:c>
      <x:c r="T90" s="34" t="str"/>
      <x:c r="U90" s="34" t="str">
        <x:v>否</x:v>
      </x:c>
      <x:c r="V90" s="34" t="str">
        <x:f>IF(A90="","",IF(COUNTIFS('05_RG现实门槛'!$B$6:$B$405,A90,'05_RG现实门槛'!$D$6:$D$405,"RG01",'05_RG现实门槛'!$G$6:$G$405,"&lt;&gt;")+COUNTIFS('05_RG现实门槛'!$B$6:$B$405,A90,'05_RG现实门槛'!$D$6:$D$405,"RG02",'05_RG现实门槛'!$G$6:$G$405,"&lt;&gt;")+COUNTIFS('05_RG现实门槛'!$B$6:$B$405,A90,'05_RG现实门槛'!$D$6:$D$405,"RG03",'05_RG现实门槛'!$G$6:$G$405,"&lt;&gt;")+COUNTIFS('05_RG现实门槛'!$B$6:$B$405,A90,'05_RG现实门槛'!$D$6:$D$405,"RG06",'05_RG现实门槛'!$G$6:$G$405,"&lt;&gt;")+COUNTIFS('05_RG现实门槛'!$B$6:$B$405,A90,'05_RG现实门槛'!$D$6:$D$405,"RG07",'05_RG现实门槛'!$G$6:$G$405,"&lt;&gt;")=5,"是","否"))</x:f>
        <x:v>否</x:v>
      </x:c>
      <x:c r="W90" s="34" t="str">
        <x:v>否</x:v>
      </x:c>
      <x:c r="X90" s="34" t="str">
        <x:v>待录入</x:v>
      </x:c>
      <x:c r="Y90" s="34" t="str"/>
    </x:row>
    <x:row r="91">
      <x:c r="A91" s="34" t="str">
        <x:v>M5-CASE-086</x:v>
      </x:c>
      <x:c r="B91" s="34" t="str"/>
      <x:c r="C91" s="34" t="str"/>
      <x:c r="D91" s="34" t="str"/>
      <x:c r="E91" s="34" t="str"/>
      <x:c r="F91" s="34" t="str"/>
      <x:c r="G91" s="34" t="str"/>
      <x:c r="H91" s="34" t="str"/>
      <x:c r="I91" s="34" t="str"/>
      <x:c r="J91" s="34" t="str"/>
      <x:c r="K91" s="34" t="str"/>
      <x:c r="L91" s="34" t="str"/>
      <x:c r="M91" s="34" t="str"/>
      <x:c r="N91" s="34" t="str"/>
      <x:c r="O91" s="34" t="str"/>
      <x:c r="P91" s="34" t="n">
        <x:f>IF(A91="","",COUNTIF('04_关系事件'!$B$6:$B$505,A91))</x:f>
        <x:v>0</x:v>
      </x:c>
      <x:c r="Q91" s="34" t="n">
        <x:f>IF(A91="","",COUNTIF('06_字段核验'!$B$6:$B$805,A91))</x:f>
        <x:v>0</x:v>
      </x:c>
      <x:c r="R91" s="34" t="n">
        <x:f>IF(A91="","",COUNTIF('07_规则命中'!$B$6:$B$1005,A91))</x:f>
        <x:v>0</x:v>
      </x:c>
      <x:c r="S91" s="34" t="str">
        <x:v>否</x:v>
      </x:c>
      <x:c r="T91" s="34" t="str"/>
      <x:c r="U91" s="34" t="str">
        <x:v>否</x:v>
      </x:c>
      <x:c r="V91" s="34" t="str">
        <x:f>IF(A91="","",IF(COUNTIFS('05_RG现实门槛'!$B$6:$B$405,A91,'05_RG现实门槛'!$D$6:$D$405,"RG01",'05_RG现实门槛'!$G$6:$G$405,"&lt;&gt;")+COUNTIFS('05_RG现实门槛'!$B$6:$B$405,A91,'05_RG现实门槛'!$D$6:$D$405,"RG02",'05_RG现实门槛'!$G$6:$G$405,"&lt;&gt;")+COUNTIFS('05_RG现实门槛'!$B$6:$B$405,A91,'05_RG现实门槛'!$D$6:$D$405,"RG03",'05_RG现实门槛'!$G$6:$G$405,"&lt;&gt;")+COUNTIFS('05_RG现实门槛'!$B$6:$B$405,A91,'05_RG现实门槛'!$D$6:$D$405,"RG06",'05_RG现实门槛'!$G$6:$G$405,"&lt;&gt;")+COUNTIFS('05_RG现实门槛'!$B$6:$B$405,A91,'05_RG现实门槛'!$D$6:$D$405,"RG07",'05_RG现实门槛'!$G$6:$G$405,"&lt;&gt;")=5,"是","否"))</x:f>
        <x:v>否</x:v>
      </x:c>
      <x:c r="W91" s="34" t="str">
        <x:v>否</x:v>
      </x:c>
      <x:c r="X91" s="34" t="str">
        <x:v>待录入</x:v>
      </x:c>
      <x:c r="Y91" s="34" t="str"/>
    </x:row>
    <x:row r="92">
      <x:c r="A92" s="34" t="str">
        <x:v>M5-CASE-087</x:v>
      </x:c>
      <x:c r="B92" s="34" t="str"/>
      <x:c r="C92" s="34" t="str"/>
      <x:c r="D92" s="34" t="str"/>
      <x:c r="E92" s="34" t="str"/>
      <x:c r="F92" s="34" t="str"/>
      <x:c r="G92" s="34" t="str"/>
      <x:c r="H92" s="34" t="str"/>
      <x:c r="I92" s="34" t="str"/>
      <x:c r="J92" s="34" t="str"/>
      <x:c r="K92" s="34" t="str"/>
      <x:c r="L92" s="34" t="str"/>
      <x:c r="M92" s="34" t="str"/>
      <x:c r="N92" s="34" t="str"/>
      <x:c r="O92" s="34" t="str"/>
      <x:c r="P92" s="34" t="n">
        <x:f>IF(A92="","",COUNTIF('04_关系事件'!$B$6:$B$505,A92))</x:f>
        <x:v>0</x:v>
      </x:c>
      <x:c r="Q92" s="34" t="n">
        <x:f>IF(A92="","",COUNTIF('06_字段核验'!$B$6:$B$805,A92))</x:f>
        <x:v>0</x:v>
      </x:c>
      <x:c r="R92" s="34" t="n">
        <x:f>IF(A92="","",COUNTIF('07_规则命中'!$B$6:$B$1005,A92))</x:f>
        <x:v>0</x:v>
      </x:c>
      <x:c r="S92" s="34" t="str">
        <x:v>否</x:v>
      </x:c>
      <x:c r="T92" s="34" t="str"/>
      <x:c r="U92" s="34" t="str">
        <x:v>否</x:v>
      </x:c>
      <x:c r="V92" s="34" t="str">
        <x:f>IF(A92="","",IF(COUNTIFS('05_RG现实门槛'!$B$6:$B$405,A92,'05_RG现实门槛'!$D$6:$D$405,"RG01",'05_RG现实门槛'!$G$6:$G$405,"&lt;&gt;")+COUNTIFS('05_RG现实门槛'!$B$6:$B$405,A92,'05_RG现实门槛'!$D$6:$D$405,"RG02",'05_RG现实门槛'!$G$6:$G$405,"&lt;&gt;")+COUNTIFS('05_RG现实门槛'!$B$6:$B$405,A92,'05_RG现实门槛'!$D$6:$D$405,"RG03",'05_RG现实门槛'!$G$6:$G$405,"&lt;&gt;")+COUNTIFS('05_RG现实门槛'!$B$6:$B$405,A92,'05_RG现实门槛'!$D$6:$D$405,"RG06",'05_RG现实门槛'!$G$6:$G$405,"&lt;&gt;")+COUNTIFS('05_RG现实门槛'!$B$6:$B$405,A92,'05_RG现实门槛'!$D$6:$D$405,"RG07",'05_RG现实门槛'!$G$6:$G$405,"&lt;&gt;")=5,"是","否"))</x:f>
        <x:v>否</x:v>
      </x:c>
      <x:c r="W92" s="34" t="str">
        <x:v>否</x:v>
      </x:c>
      <x:c r="X92" s="34" t="str">
        <x:v>待录入</x:v>
      </x:c>
      <x:c r="Y92" s="34" t="str"/>
    </x:row>
    <x:row r="93">
      <x:c r="A93" s="34" t="str">
        <x:v>M5-CASE-088</x:v>
      </x:c>
      <x:c r="B93" s="34" t="str"/>
      <x:c r="C93" s="34" t="str"/>
      <x:c r="D93" s="34" t="str"/>
      <x:c r="E93" s="34" t="str"/>
      <x:c r="F93" s="34" t="str"/>
      <x:c r="G93" s="34" t="str"/>
      <x:c r="H93" s="34" t="str"/>
      <x:c r="I93" s="34" t="str"/>
      <x:c r="J93" s="34" t="str"/>
      <x:c r="K93" s="34" t="str"/>
      <x:c r="L93" s="34" t="str"/>
      <x:c r="M93" s="34" t="str"/>
      <x:c r="N93" s="34" t="str"/>
      <x:c r="O93" s="34" t="str"/>
      <x:c r="P93" s="34" t="n">
        <x:f>IF(A93="","",COUNTIF('04_关系事件'!$B$6:$B$505,A93))</x:f>
        <x:v>0</x:v>
      </x:c>
      <x:c r="Q93" s="34" t="n">
        <x:f>IF(A93="","",COUNTIF('06_字段核验'!$B$6:$B$805,A93))</x:f>
        <x:v>0</x:v>
      </x:c>
      <x:c r="R93" s="34" t="n">
        <x:f>IF(A93="","",COUNTIF('07_规则命中'!$B$6:$B$1005,A93))</x:f>
        <x:v>0</x:v>
      </x:c>
      <x:c r="S93" s="34" t="str">
        <x:v>否</x:v>
      </x:c>
      <x:c r="T93" s="34" t="str"/>
      <x:c r="U93" s="34" t="str">
        <x:v>否</x:v>
      </x:c>
      <x:c r="V93" s="34" t="str">
        <x:f>IF(A93="","",IF(COUNTIFS('05_RG现实门槛'!$B$6:$B$405,A93,'05_RG现实门槛'!$D$6:$D$405,"RG01",'05_RG现实门槛'!$G$6:$G$405,"&lt;&gt;")+COUNTIFS('05_RG现实门槛'!$B$6:$B$405,A93,'05_RG现实门槛'!$D$6:$D$405,"RG02",'05_RG现实门槛'!$G$6:$G$405,"&lt;&gt;")+COUNTIFS('05_RG现实门槛'!$B$6:$B$405,A93,'05_RG现实门槛'!$D$6:$D$405,"RG03",'05_RG现实门槛'!$G$6:$G$405,"&lt;&gt;")+COUNTIFS('05_RG现实门槛'!$B$6:$B$405,A93,'05_RG现实门槛'!$D$6:$D$405,"RG06",'05_RG现实门槛'!$G$6:$G$405,"&lt;&gt;")+COUNTIFS('05_RG现实门槛'!$B$6:$B$405,A93,'05_RG现实门槛'!$D$6:$D$405,"RG07",'05_RG现实门槛'!$G$6:$G$405,"&lt;&gt;")=5,"是","否"))</x:f>
        <x:v>否</x:v>
      </x:c>
      <x:c r="W93" s="34" t="str">
        <x:v>否</x:v>
      </x:c>
      <x:c r="X93" s="34" t="str">
        <x:v>待录入</x:v>
      </x:c>
      <x:c r="Y93" s="34" t="str"/>
    </x:row>
    <x:row r="94">
      <x:c r="A94" s="34" t="str">
        <x:v>M5-CASE-089</x:v>
      </x:c>
      <x:c r="B94" s="34" t="str"/>
      <x:c r="C94" s="34" t="str"/>
      <x:c r="D94" s="34" t="str"/>
      <x:c r="E94" s="34" t="str"/>
      <x:c r="F94" s="34" t="str"/>
      <x:c r="G94" s="34" t="str"/>
      <x:c r="H94" s="34" t="str"/>
      <x:c r="I94" s="34" t="str"/>
      <x:c r="J94" s="34" t="str"/>
      <x:c r="K94" s="34" t="str"/>
      <x:c r="L94" s="34" t="str"/>
      <x:c r="M94" s="34" t="str"/>
      <x:c r="N94" s="34" t="str"/>
      <x:c r="O94" s="34" t="str"/>
      <x:c r="P94" s="34" t="n">
        <x:f>IF(A94="","",COUNTIF('04_关系事件'!$B$6:$B$505,A94))</x:f>
        <x:v>0</x:v>
      </x:c>
      <x:c r="Q94" s="34" t="n">
        <x:f>IF(A94="","",COUNTIF('06_字段核验'!$B$6:$B$805,A94))</x:f>
        <x:v>0</x:v>
      </x:c>
      <x:c r="R94" s="34" t="n">
        <x:f>IF(A94="","",COUNTIF('07_规则命中'!$B$6:$B$1005,A94))</x:f>
        <x:v>0</x:v>
      </x:c>
      <x:c r="S94" s="34" t="str">
        <x:v>否</x:v>
      </x:c>
      <x:c r="T94" s="34" t="str"/>
      <x:c r="U94" s="34" t="str">
        <x:v>否</x:v>
      </x:c>
      <x:c r="V94" s="34" t="str">
        <x:f>IF(A94="","",IF(COUNTIFS('05_RG现实门槛'!$B$6:$B$405,A94,'05_RG现实门槛'!$D$6:$D$405,"RG01",'05_RG现实门槛'!$G$6:$G$405,"&lt;&gt;")+COUNTIFS('05_RG现实门槛'!$B$6:$B$405,A94,'05_RG现实门槛'!$D$6:$D$405,"RG02",'05_RG现实门槛'!$G$6:$G$405,"&lt;&gt;")+COUNTIFS('05_RG现实门槛'!$B$6:$B$405,A94,'05_RG现实门槛'!$D$6:$D$405,"RG03",'05_RG现实门槛'!$G$6:$G$405,"&lt;&gt;")+COUNTIFS('05_RG现实门槛'!$B$6:$B$405,A94,'05_RG现实门槛'!$D$6:$D$405,"RG06",'05_RG现实门槛'!$G$6:$G$405,"&lt;&gt;")+COUNTIFS('05_RG现实门槛'!$B$6:$B$405,A94,'05_RG现实门槛'!$D$6:$D$405,"RG07",'05_RG现实门槛'!$G$6:$G$405,"&lt;&gt;")=5,"是","否"))</x:f>
        <x:v>否</x:v>
      </x:c>
      <x:c r="W94" s="34" t="str">
        <x:v>否</x:v>
      </x:c>
      <x:c r="X94" s="34" t="str">
        <x:v>待录入</x:v>
      </x:c>
      <x:c r="Y94" s="34" t="str"/>
    </x:row>
    <x:row r="95">
      <x:c r="A95" s="34" t="str">
        <x:v>M5-CASE-090</x:v>
      </x:c>
      <x:c r="B95" s="34" t="str"/>
      <x:c r="C95" s="34" t="str"/>
      <x:c r="D95" s="34" t="str"/>
      <x:c r="E95" s="34" t="str"/>
      <x:c r="F95" s="34" t="str"/>
      <x:c r="G95" s="34" t="str"/>
      <x:c r="H95" s="34" t="str"/>
      <x:c r="I95" s="34" t="str"/>
      <x:c r="J95" s="34" t="str"/>
      <x:c r="K95" s="34" t="str"/>
      <x:c r="L95" s="34" t="str"/>
      <x:c r="M95" s="34" t="str"/>
      <x:c r="N95" s="34" t="str"/>
      <x:c r="O95" s="34" t="str"/>
      <x:c r="P95" s="34" t="n">
        <x:f>IF(A95="","",COUNTIF('04_关系事件'!$B$6:$B$505,A95))</x:f>
        <x:v>0</x:v>
      </x:c>
      <x:c r="Q95" s="34" t="n">
        <x:f>IF(A95="","",COUNTIF('06_字段核验'!$B$6:$B$805,A95))</x:f>
        <x:v>0</x:v>
      </x:c>
      <x:c r="R95" s="34" t="n">
        <x:f>IF(A95="","",COUNTIF('07_规则命中'!$B$6:$B$1005,A95))</x:f>
        <x:v>0</x:v>
      </x:c>
      <x:c r="S95" s="34" t="str">
        <x:v>否</x:v>
      </x:c>
      <x:c r="T95" s="34" t="str"/>
      <x:c r="U95" s="34" t="str">
        <x:v>否</x:v>
      </x:c>
      <x:c r="V95" s="34" t="str">
        <x:f>IF(A95="","",IF(COUNTIFS('05_RG现实门槛'!$B$6:$B$405,A95,'05_RG现实门槛'!$D$6:$D$405,"RG01",'05_RG现实门槛'!$G$6:$G$405,"&lt;&gt;")+COUNTIFS('05_RG现实门槛'!$B$6:$B$405,A95,'05_RG现实门槛'!$D$6:$D$405,"RG02",'05_RG现实门槛'!$G$6:$G$405,"&lt;&gt;")+COUNTIFS('05_RG现实门槛'!$B$6:$B$405,A95,'05_RG现实门槛'!$D$6:$D$405,"RG03",'05_RG现实门槛'!$G$6:$G$405,"&lt;&gt;")+COUNTIFS('05_RG现实门槛'!$B$6:$B$405,A95,'05_RG现实门槛'!$D$6:$D$405,"RG06",'05_RG现实门槛'!$G$6:$G$405,"&lt;&gt;")+COUNTIFS('05_RG现实门槛'!$B$6:$B$405,A95,'05_RG现实门槛'!$D$6:$D$405,"RG07",'05_RG现实门槛'!$G$6:$G$405,"&lt;&gt;")=5,"是","否"))</x:f>
        <x:v>否</x:v>
      </x:c>
      <x:c r="W95" s="34" t="str">
        <x:v>否</x:v>
      </x:c>
      <x:c r="X95" s="34" t="str">
        <x:v>待录入</x:v>
      </x:c>
      <x:c r="Y95" s="34" t="str"/>
    </x:row>
    <x:row r="96">
      <x:c r="A96" s="34" t="str">
        <x:v>M5-CASE-091</x:v>
      </x:c>
      <x:c r="B96" s="34" t="str"/>
      <x:c r="C96" s="34" t="str"/>
      <x:c r="D96" s="34" t="str"/>
      <x:c r="E96" s="34" t="str"/>
      <x:c r="F96" s="34" t="str"/>
      <x:c r="G96" s="34" t="str"/>
      <x:c r="H96" s="34" t="str"/>
      <x:c r="I96" s="34" t="str"/>
      <x:c r="J96" s="34" t="str"/>
      <x:c r="K96" s="34" t="str"/>
      <x:c r="L96" s="34" t="str"/>
      <x:c r="M96" s="34" t="str"/>
      <x:c r="N96" s="34" t="str"/>
      <x:c r="O96" s="34" t="str"/>
      <x:c r="P96" s="34" t="n">
        <x:f>IF(A96="","",COUNTIF('04_关系事件'!$B$6:$B$505,A96))</x:f>
        <x:v>0</x:v>
      </x:c>
      <x:c r="Q96" s="34" t="n">
        <x:f>IF(A96="","",COUNTIF('06_字段核验'!$B$6:$B$805,A96))</x:f>
        <x:v>0</x:v>
      </x:c>
      <x:c r="R96" s="34" t="n">
        <x:f>IF(A96="","",COUNTIF('07_规则命中'!$B$6:$B$1005,A96))</x:f>
        <x:v>0</x:v>
      </x:c>
      <x:c r="S96" s="34" t="str">
        <x:v>否</x:v>
      </x:c>
      <x:c r="T96" s="34" t="str"/>
      <x:c r="U96" s="34" t="str">
        <x:v>否</x:v>
      </x:c>
      <x:c r="V96" s="34" t="str">
        <x:f>IF(A96="","",IF(COUNTIFS('05_RG现实门槛'!$B$6:$B$405,A96,'05_RG现实门槛'!$D$6:$D$405,"RG01",'05_RG现实门槛'!$G$6:$G$405,"&lt;&gt;")+COUNTIFS('05_RG现实门槛'!$B$6:$B$405,A96,'05_RG现实门槛'!$D$6:$D$405,"RG02",'05_RG现实门槛'!$G$6:$G$405,"&lt;&gt;")+COUNTIFS('05_RG现实门槛'!$B$6:$B$405,A96,'05_RG现实门槛'!$D$6:$D$405,"RG03",'05_RG现实门槛'!$G$6:$G$405,"&lt;&gt;")+COUNTIFS('05_RG现实门槛'!$B$6:$B$405,A96,'05_RG现实门槛'!$D$6:$D$405,"RG06",'05_RG现实门槛'!$G$6:$G$405,"&lt;&gt;")+COUNTIFS('05_RG现实门槛'!$B$6:$B$405,A96,'05_RG现实门槛'!$D$6:$D$405,"RG07",'05_RG现实门槛'!$G$6:$G$405,"&lt;&gt;")=5,"是","否"))</x:f>
        <x:v>否</x:v>
      </x:c>
      <x:c r="W96" s="34" t="str">
        <x:v>否</x:v>
      </x:c>
      <x:c r="X96" s="34" t="str">
        <x:v>待录入</x:v>
      </x:c>
      <x:c r="Y96" s="34" t="str"/>
    </x:row>
    <x:row r="97">
      <x:c r="A97" s="34" t="str">
        <x:v>M5-CASE-092</x:v>
      </x:c>
      <x:c r="B97" s="34" t="str"/>
      <x:c r="C97" s="34" t="str"/>
      <x:c r="D97" s="34" t="str"/>
      <x:c r="E97" s="34" t="str"/>
      <x:c r="F97" s="34" t="str"/>
      <x:c r="G97" s="34" t="str"/>
      <x:c r="H97" s="34" t="str"/>
      <x:c r="I97" s="34" t="str"/>
      <x:c r="J97" s="34" t="str"/>
      <x:c r="K97" s="34" t="str"/>
      <x:c r="L97" s="34" t="str"/>
      <x:c r="M97" s="34" t="str"/>
      <x:c r="N97" s="34" t="str"/>
      <x:c r="O97" s="34" t="str"/>
      <x:c r="P97" s="34" t="n">
        <x:f>IF(A97="","",COUNTIF('04_关系事件'!$B$6:$B$505,A97))</x:f>
        <x:v>0</x:v>
      </x:c>
      <x:c r="Q97" s="34" t="n">
        <x:f>IF(A97="","",COUNTIF('06_字段核验'!$B$6:$B$805,A97))</x:f>
        <x:v>0</x:v>
      </x:c>
      <x:c r="R97" s="34" t="n">
        <x:f>IF(A97="","",COUNTIF('07_规则命中'!$B$6:$B$1005,A97))</x:f>
        <x:v>0</x:v>
      </x:c>
      <x:c r="S97" s="34" t="str">
        <x:v>否</x:v>
      </x:c>
      <x:c r="T97" s="34" t="str"/>
      <x:c r="U97" s="34" t="str">
        <x:v>否</x:v>
      </x:c>
      <x:c r="V97" s="34" t="str">
        <x:f>IF(A97="","",IF(COUNTIFS('05_RG现实门槛'!$B$6:$B$405,A97,'05_RG现实门槛'!$D$6:$D$405,"RG01",'05_RG现实门槛'!$G$6:$G$405,"&lt;&gt;")+COUNTIFS('05_RG现实门槛'!$B$6:$B$405,A97,'05_RG现实门槛'!$D$6:$D$405,"RG02",'05_RG现实门槛'!$G$6:$G$405,"&lt;&gt;")+COUNTIFS('05_RG现实门槛'!$B$6:$B$405,A97,'05_RG现实门槛'!$D$6:$D$405,"RG03",'05_RG现实门槛'!$G$6:$G$405,"&lt;&gt;")+COUNTIFS('05_RG现实门槛'!$B$6:$B$405,A97,'05_RG现实门槛'!$D$6:$D$405,"RG06",'05_RG现实门槛'!$G$6:$G$405,"&lt;&gt;")+COUNTIFS('05_RG现实门槛'!$B$6:$B$405,A97,'05_RG现实门槛'!$D$6:$D$405,"RG07",'05_RG现实门槛'!$G$6:$G$405,"&lt;&gt;")=5,"是","否"))</x:f>
        <x:v>否</x:v>
      </x:c>
      <x:c r="W97" s="34" t="str">
        <x:v>否</x:v>
      </x:c>
      <x:c r="X97" s="34" t="str">
        <x:v>待录入</x:v>
      </x:c>
      <x:c r="Y97" s="34" t="str"/>
    </x:row>
    <x:row r="98">
      <x:c r="A98" s="34" t="str">
        <x:v>M5-CASE-093</x:v>
      </x:c>
      <x:c r="B98" s="34" t="str"/>
      <x:c r="C98" s="34" t="str"/>
      <x:c r="D98" s="34" t="str"/>
      <x:c r="E98" s="34" t="str"/>
      <x:c r="F98" s="34" t="str"/>
      <x:c r="G98" s="34" t="str"/>
      <x:c r="H98" s="34" t="str"/>
      <x:c r="I98" s="34" t="str"/>
      <x:c r="J98" s="34" t="str"/>
      <x:c r="K98" s="34" t="str"/>
      <x:c r="L98" s="34" t="str"/>
      <x:c r="M98" s="34" t="str"/>
      <x:c r="N98" s="34" t="str"/>
      <x:c r="O98" s="34" t="str"/>
      <x:c r="P98" s="34" t="n">
        <x:f>IF(A98="","",COUNTIF('04_关系事件'!$B$6:$B$505,A98))</x:f>
        <x:v>0</x:v>
      </x:c>
      <x:c r="Q98" s="34" t="n">
        <x:f>IF(A98="","",COUNTIF('06_字段核验'!$B$6:$B$805,A98))</x:f>
        <x:v>0</x:v>
      </x:c>
      <x:c r="R98" s="34" t="n">
        <x:f>IF(A98="","",COUNTIF('07_规则命中'!$B$6:$B$1005,A98))</x:f>
        <x:v>0</x:v>
      </x:c>
      <x:c r="S98" s="34" t="str">
        <x:v>否</x:v>
      </x:c>
      <x:c r="T98" s="34" t="str"/>
      <x:c r="U98" s="34" t="str">
        <x:v>否</x:v>
      </x:c>
      <x:c r="V98" s="34" t="str">
        <x:f>IF(A98="","",IF(COUNTIFS('05_RG现实门槛'!$B$6:$B$405,A98,'05_RG现实门槛'!$D$6:$D$405,"RG01",'05_RG现实门槛'!$G$6:$G$405,"&lt;&gt;")+COUNTIFS('05_RG现实门槛'!$B$6:$B$405,A98,'05_RG现实门槛'!$D$6:$D$405,"RG02",'05_RG现实门槛'!$G$6:$G$405,"&lt;&gt;")+COUNTIFS('05_RG现实门槛'!$B$6:$B$405,A98,'05_RG现实门槛'!$D$6:$D$405,"RG03",'05_RG现实门槛'!$G$6:$G$405,"&lt;&gt;")+COUNTIFS('05_RG现实门槛'!$B$6:$B$405,A98,'05_RG现实门槛'!$D$6:$D$405,"RG06",'05_RG现实门槛'!$G$6:$G$405,"&lt;&gt;")+COUNTIFS('05_RG现实门槛'!$B$6:$B$405,A98,'05_RG现实门槛'!$D$6:$D$405,"RG07",'05_RG现实门槛'!$G$6:$G$405,"&lt;&gt;")=5,"是","否"))</x:f>
        <x:v>否</x:v>
      </x:c>
      <x:c r="W98" s="34" t="str">
        <x:v>否</x:v>
      </x:c>
      <x:c r="X98" s="34" t="str">
        <x:v>待录入</x:v>
      </x:c>
      <x:c r="Y98" s="34" t="str"/>
    </x:row>
    <x:row r="99">
      <x:c r="A99" s="34" t="str">
        <x:v>M5-CASE-094</x:v>
      </x:c>
      <x:c r="B99" s="34" t="str"/>
      <x:c r="C99" s="34" t="str"/>
      <x:c r="D99" s="34" t="str"/>
      <x:c r="E99" s="34" t="str"/>
      <x:c r="F99" s="34" t="str"/>
      <x:c r="G99" s="34" t="str"/>
      <x:c r="H99" s="34" t="str"/>
      <x:c r="I99" s="34" t="str"/>
      <x:c r="J99" s="34" t="str"/>
      <x:c r="K99" s="34" t="str"/>
      <x:c r="L99" s="34" t="str"/>
      <x:c r="M99" s="34" t="str"/>
      <x:c r="N99" s="34" t="str"/>
      <x:c r="O99" s="34" t="str"/>
      <x:c r="P99" s="34" t="n">
        <x:f>IF(A99="","",COUNTIF('04_关系事件'!$B$6:$B$505,A99))</x:f>
        <x:v>0</x:v>
      </x:c>
      <x:c r="Q99" s="34" t="n">
        <x:f>IF(A99="","",COUNTIF('06_字段核验'!$B$6:$B$805,A99))</x:f>
        <x:v>0</x:v>
      </x:c>
      <x:c r="R99" s="34" t="n">
        <x:f>IF(A99="","",COUNTIF('07_规则命中'!$B$6:$B$1005,A99))</x:f>
        <x:v>0</x:v>
      </x:c>
      <x:c r="S99" s="34" t="str">
        <x:v>否</x:v>
      </x:c>
      <x:c r="T99" s="34" t="str"/>
      <x:c r="U99" s="34" t="str">
        <x:v>否</x:v>
      </x:c>
      <x:c r="V99" s="34" t="str">
        <x:f>IF(A99="","",IF(COUNTIFS('05_RG现实门槛'!$B$6:$B$405,A99,'05_RG现实门槛'!$D$6:$D$405,"RG01",'05_RG现实门槛'!$G$6:$G$405,"&lt;&gt;")+COUNTIFS('05_RG现实门槛'!$B$6:$B$405,A99,'05_RG现实门槛'!$D$6:$D$405,"RG02",'05_RG现实门槛'!$G$6:$G$405,"&lt;&gt;")+COUNTIFS('05_RG现实门槛'!$B$6:$B$405,A99,'05_RG现实门槛'!$D$6:$D$405,"RG03",'05_RG现实门槛'!$G$6:$G$405,"&lt;&gt;")+COUNTIFS('05_RG现实门槛'!$B$6:$B$405,A99,'05_RG现实门槛'!$D$6:$D$405,"RG06",'05_RG现实门槛'!$G$6:$G$405,"&lt;&gt;")+COUNTIFS('05_RG现实门槛'!$B$6:$B$405,A99,'05_RG现实门槛'!$D$6:$D$405,"RG07",'05_RG现实门槛'!$G$6:$G$405,"&lt;&gt;")=5,"是","否"))</x:f>
        <x:v>否</x:v>
      </x:c>
      <x:c r="W99" s="34" t="str">
        <x:v>否</x:v>
      </x:c>
      <x:c r="X99" s="34" t="str">
        <x:v>待录入</x:v>
      </x:c>
      <x:c r="Y99" s="34" t="str"/>
    </x:row>
    <x:row r="100">
      <x:c r="A100" s="34" t="str">
        <x:v>M5-CASE-095</x:v>
      </x:c>
      <x:c r="B100" s="34" t="str"/>
      <x:c r="C100" s="34" t="str"/>
      <x:c r="D100" s="34" t="str"/>
      <x:c r="E100" s="34" t="str"/>
      <x:c r="F100" s="34" t="str"/>
      <x:c r="G100" s="34" t="str"/>
      <x:c r="H100" s="34" t="str"/>
      <x:c r="I100" s="34" t="str"/>
      <x:c r="J100" s="34" t="str"/>
      <x:c r="K100" s="34" t="str"/>
      <x:c r="L100" s="34" t="str"/>
      <x:c r="M100" s="34" t="str"/>
      <x:c r="N100" s="34" t="str"/>
      <x:c r="O100" s="34" t="str"/>
      <x:c r="P100" s="34" t="n">
        <x:f>IF(A100="","",COUNTIF('04_关系事件'!$B$6:$B$505,A100))</x:f>
        <x:v>0</x:v>
      </x:c>
      <x:c r="Q100" s="34" t="n">
        <x:f>IF(A100="","",COUNTIF('06_字段核验'!$B$6:$B$805,A100))</x:f>
        <x:v>0</x:v>
      </x:c>
      <x:c r="R100" s="34" t="n">
        <x:f>IF(A100="","",COUNTIF('07_规则命中'!$B$6:$B$1005,A100))</x:f>
        <x:v>0</x:v>
      </x:c>
      <x:c r="S100" s="34" t="str">
        <x:v>否</x:v>
      </x:c>
      <x:c r="T100" s="34" t="str"/>
      <x:c r="U100" s="34" t="str">
        <x:v>否</x:v>
      </x:c>
      <x:c r="V100" s="34" t="str">
        <x:f>IF(A100="","",IF(COUNTIFS('05_RG现实门槛'!$B$6:$B$405,A100,'05_RG现实门槛'!$D$6:$D$405,"RG01",'05_RG现实门槛'!$G$6:$G$405,"&lt;&gt;")+COUNTIFS('05_RG现实门槛'!$B$6:$B$405,A100,'05_RG现实门槛'!$D$6:$D$405,"RG02",'05_RG现实门槛'!$G$6:$G$405,"&lt;&gt;")+COUNTIFS('05_RG现实门槛'!$B$6:$B$405,A100,'05_RG现实门槛'!$D$6:$D$405,"RG03",'05_RG现实门槛'!$G$6:$G$405,"&lt;&gt;")+COUNTIFS('05_RG现实门槛'!$B$6:$B$405,A100,'05_RG现实门槛'!$D$6:$D$405,"RG06",'05_RG现实门槛'!$G$6:$G$405,"&lt;&gt;")+COUNTIFS('05_RG现实门槛'!$B$6:$B$405,A100,'05_RG现实门槛'!$D$6:$D$405,"RG07",'05_RG现实门槛'!$G$6:$G$405,"&lt;&gt;")=5,"是","否"))</x:f>
        <x:v>否</x:v>
      </x:c>
      <x:c r="W100" s="34" t="str">
        <x:v>否</x:v>
      </x:c>
      <x:c r="X100" s="34" t="str">
        <x:v>待录入</x:v>
      </x:c>
      <x:c r="Y100" s="34" t="str"/>
    </x:row>
    <x:row r="101">
      <x:c r="A101" s="34" t="str">
        <x:v>M5-CASE-096</x:v>
      </x:c>
      <x:c r="B101" s="34" t="str"/>
      <x:c r="C101" s="34" t="str"/>
      <x:c r="D101" s="34" t="str"/>
      <x:c r="E101" s="34" t="str"/>
      <x:c r="F101" s="34" t="str"/>
      <x:c r="G101" s="34" t="str"/>
      <x:c r="H101" s="34" t="str"/>
      <x:c r="I101" s="34" t="str"/>
      <x:c r="J101" s="34" t="str"/>
      <x:c r="K101" s="34" t="str"/>
      <x:c r="L101" s="34" t="str"/>
      <x:c r="M101" s="34" t="str"/>
      <x:c r="N101" s="34" t="str"/>
      <x:c r="O101" s="34" t="str"/>
      <x:c r="P101" s="34" t="n">
        <x:f>IF(A101="","",COUNTIF('04_关系事件'!$B$6:$B$505,A101))</x:f>
        <x:v>0</x:v>
      </x:c>
      <x:c r="Q101" s="34" t="n">
        <x:f>IF(A101="","",COUNTIF('06_字段核验'!$B$6:$B$805,A101))</x:f>
        <x:v>0</x:v>
      </x:c>
      <x:c r="R101" s="34" t="n">
        <x:f>IF(A101="","",COUNTIF('07_规则命中'!$B$6:$B$1005,A101))</x:f>
        <x:v>0</x:v>
      </x:c>
      <x:c r="S101" s="34" t="str">
        <x:v>否</x:v>
      </x:c>
      <x:c r="T101" s="34" t="str"/>
      <x:c r="U101" s="34" t="str">
        <x:v>否</x:v>
      </x:c>
      <x:c r="V101" s="34" t="str">
        <x:f>IF(A101="","",IF(COUNTIFS('05_RG现实门槛'!$B$6:$B$405,A101,'05_RG现实门槛'!$D$6:$D$405,"RG01",'05_RG现实门槛'!$G$6:$G$405,"&lt;&gt;")+COUNTIFS('05_RG现实门槛'!$B$6:$B$405,A101,'05_RG现实门槛'!$D$6:$D$405,"RG02",'05_RG现实门槛'!$G$6:$G$405,"&lt;&gt;")+COUNTIFS('05_RG现实门槛'!$B$6:$B$405,A101,'05_RG现实门槛'!$D$6:$D$405,"RG03",'05_RG现实门槛'!$G$6:$G$405,"&lt;&gt;")+COUNTIFS('05_RG现实门槛'!$B$6:$B$405,A101,'05_RG现实门槛'!$D$6:$D$405,"RG06",'05_RG现实门槛'!$G$6:$G$405,"&lt;&gt;")+COUNTIFS('05_RG现实门槛'!$B$6:$B$405,A101,'05_RG现实门槛'!$D$6:$D$405,"RG07",'05_RG现实门槛'!$G$6:$G$405,"&lt;&gt;")=5,"是","否"))</x:f>
        <x:v>否</x:v>
      </x:c>
      <x:c r="W101" s="34" t="str">
        <x:v>否</x:v>
      </x:c>
      <x:c r="X101" s="34" t="str">
        <x:v>待录入</x:v>
      </x:c>
      <x:c r="Y101" s="34" t="str"/>
    </x:row>
    <x:row r="102">
      <x:c r="A102" s="34" t="str">
        <x:v>M5-CASE-097</x:v>
      </x:c>
      <x:c r="B102" s="34" t="str"/>
      <x:c r="C102" s="34" t="str"/>
      <x:c r="D102" s="34" t="str"/>
      <x:c r="E102" s="34" t="str"/>
      <x:c r="F102" s="34" t="str"/>
      <x:c r="G102" s="34" t="str"/>
      <x:c r="H102" s="34" t="str"/>
      <x:c r="I102" s="34" t="str"/>
      <x:c r="J102" s="34" t="str"/>
      <x:c r="K102" s="34" t="str"/>
      <x:c r="L102" s="34" t="str"/>
      <x:c r="M102" s="34" t="str"/>
      <x:c r="N102" s="34" t="str"/>
      <x:c r="O102" s="34" t="str"/>
      <x:c r="P102" s="34" t="n">
        <x:f>IF(A102="","",COUNTIF('04_关系事件'!$B$6:$B$505,A102))</x:f>
        <x:v>0</x:v>
      </x:c>
      <x:c r="Q102" s="34" t="n">
        <x:f>IF(A102="","",COUNTIF('06_字段核验'!$B$6:$B$805,A102))</x:f>
        <x:v>0</x:v>
      </x:c>
      <x:c r="R102" s="34" t="n">
        <x:f>IF(A102="","",COUNTIF('07_规则命中'!$B$6:$B$1005,A102))</x:f>
        <x:v>0</x:v>
      </x:c>
      <x:c r="S102" s="34" t="str">
        <x:v>否</x:v>
      </x:c>
      <x:c r="T102" s="34" t="str"/>
      <x:c r="U102" s="34" t="str">
        <x:v>否</x:v>
      </x:c>
      <x:c r="V102" s="34" t="str">
        <x:f>IF(A102="","",IF(COUNTIFS('05_RG现实门槛'!$B$6:$B$405,A102,'05_RG现实门槛'!$D$6:$D$405,"RG01",'05_RG现实门槛'!$G$6:$G$405,"&lt;&gt;")+COUNTIFS('05_RG现实门槛'!$B$6:$B$405,A102,'05_RG现实门槛'!$D$6:$D$405,"RG02",'05_RG现实门槛'!$G$6:$G$405,"&lt;&gt;")+COUNTIFS('05_RG现实门槛'!$B$6:$B$405,A102,'05_RG现实门槛'!$D$6:$D$405,"RG03",'05_RG现实门槛'!$G$6:$G$405,"&lt;&gt;")+COUNTIFS('05_RG现实门槛'!$B$6:$B$405,A102,'05_RG现实门槛'!$D$6:$D$405,"RG06",'05_RG现实门槛'!$G$6:$G$405,"&lt;&gt;")+COUNTIFS('05_RG现实门槛'!$B$6:$B$405,A102,'05_RG现实门槛'!$D$6:$D$405,"RG07",'05_RG现实门槛'!$G$6:$G$405,"&lt;&gt;")=5,"是","否"))</x:f>
        <x:v>否</x:v>
      </x:c>
      <x:c r="W102" s="34" t="str">
        <x:v>否</x:v>
      </x:c>
      <x:c r="X102" s="34" t="str">
        <x:v>待录入</x:v>
      </x:c>
      <x:c r="Y102" s="34" t="str"/>
    </x:row>
    <x:row r="103">
      <x:c r="A103" s="34" t="str">
        <x:v>M5-CASE-098</x:v>
      </x:c>
      <x:c r="B103" s="34" t="str"/>
      <x:c r="C103" s="34" t="str"/>
      <x:c r="D103" s="34" t="str"/>
      <x:c r="E103" s="34" t="str"/>
      <x:c r="F103" s="34" t="str"/>
      <x:c r="G103" s="34" t="str"/>
      <x:c r="H103" s="34" t="str"/>
      <x:c r="I103" s="34" t="str"/>
      <x:c r="J103" s="34" t="str"/>
      <x:c r="K103" s="34" t="str"/>
      <x:c r="L103" s="34" t="str"/>
      <x:c r="M103" s="34" t="str"/>
      <x:c r="N103" s="34" t="str"/>
      <x:c r="O103" s="34" t="str"/>
      <x:c r="P103" s="34" t="n">
        <x:f>IF(A103="","",COUNTIF('04_关系事件'!$B$6:$B$505,A103))</x:f>
        <x:v>0</x:v>
      </x:c>
      <x:c r="Q103" s="34" t="n">
        <x:f>IF(A103="","",COUNTIF('06_字段核验'!$B$6:$B$805,A103))</x:f>
        <x:v>0</x:v>
      </x:c>
      <x:c r="R103" s="34" t="n">
        <x:f>IF(A103="","",COUNTIF('07_规则命中'!$B$6:$B$1005,A103))</x:f>
        <x:v>0</x:v>
      </x:c>
      <x:c r="S103" s="34" t="str">
        <x:v>否</x:v>
      </x:c>
      <x:c r="T103" s="34" t="str"/>
      <x:c r="U103" s="34" t="str">
        <x:v>否</x:v>
      </x:c>
      <x:c r="V103" s="34" t="str">
        <x:f>IF(A103="","",IF(COUNTIFS('05_RG现实门槛'!$B$6:$B$405,A103,'05_RG现实门槛'!$D$6:$D$405,"RG01",'05_RG现实门槛'!$G$6:$G$405,"&lt;&gt;")+COUNTIFS('05_RG现实门槛'!$B$6:$B$405,A103,'05_RG现实门槛'!$D$6:$D$405,"RG02",'05_RG现实门槛'!$G$6:$G$405,"&lt;&gt;")+COUNTIFS('05_RG现实门槛'!$B$6:$B$405,A103,'05_RG现实门槛'!$D$6:$D$405,"RG03",'05_RG现实门槛'!$G$6:$G$405,"&lt;&gt;")+COUNTIFS('05_RG现实门槛'!$B$6:$B$405,A103,'05_RG现实门槛'!$D$6:$D$405,"RG06",'05_RG现实门槛'!$G$6:$G$405,"&lt;&gt;")+COUNTIFS('05_RG现实门槛'!$B$6:$B$405,A103,'05_RG现实门槛'!$D$6:$D$405,"RG07",'05_RG现实门槛'!$G$6:$G$405,"&lt;&gt;")=5,"是","否"))</x:f>
        <x:v>否</x:v>
      </x:c>
      <x:c r="W103" s="34" t="str">
        <x:v>否</x:v>
      </x:c>
      <x:c r="X103" s="34" t="str">
        <x:v>待录入</x:v>
      </x:c>
      <x:c r="Y103" s="34" t="str"/>
    </x:row>
    <x:row r="104">
      <x:c r="A104" s="34" t="str">
        <x:v>M5-CASE-099</x:v>
      </x:c>
      <x:c r="B104" s="34" t="str"/>
      <x:c r="C104" s="34" t="str"/>
      <x:c r="D104" s="34" t="str"/>
      <x:c r="E104" s="34" t="str"/>
      <x:c r="F104" s="34" t="str"/>
      <x:c r="G104" s="34" t="str"/>
      <x:c r="H104" s="34" t="str"/>
      <x:c r="I104" s="34" t="str"/>
      <x:c r="J104" s="34" t="str"/>
      <x:c r="K104" s="34" t="str"/>
      <x:c r="L104" s="34" t="str"/>
      <x:c r="M104" s="34" t="str"/>
      <x:c r="N104" s="34" t="str"/>
      <x:c r="O104" s="34" t="str"/>
      <x:c r="P104" s="34" t="n">
        <x:f>IF(A104="","",COUNTIF('04_关系事件'!$B$6:$B$505,A104))</x:f>
        <x:v>0</x:v>
      </x:c>
      <x:c r="Q104" s="34" t="n">
        <x:f>IF(A104="","",COUNTIF('06_字段核验'!$B$6:$B$805,A104))</x:f>
        <x:v>0</x:v>
      </x:c>
      <x:c r="R104" s="34" t="n">
        <x:f>IF(A104="","",COUNTIF('07_规则命中'!$B$6:$B$1005,A104))</x:f>
        <x:v>0</x:v>
      </x:c>
      <x:c r="S104" s="34" t="str">
        <x:v>否</x:v>
      </x:c>
      <x:c r="T104" s="34" t="str"/>
      <x:c r="U104" s="34" t="str">
        <x:v>否</x:v>
      </x:c>
      <x:c r="V104" s="34" t="str">
        <x:f>IF(A104="","",IF(COUNTIFS('05_RG现实门槛'!$B$6:$B$405,A104,'05_RG现实门槛'!$D$6:$D$405,"RG01",'05_RG现实门槛'!$G$6:$G$405,"&lt;&gt;")+COUNTIFS('05_RG现实门槛'!$B$6:$B$405,A104,'05_RG现实门槛'!$D$6:$D$405,"RG02",'05_RG现实门槛'!$G$6:$G$405,"&lt;&gt;")+COUNTIFS('05_RG现实门槛'!$B$6:$B$405,A104,'05_RG现实门槛'!$D$6:$D$405,"RG03",'05_RG现实门槛'!$G$6:$G$405,"&lt;&gt;")+COUNTIFS('05_RG现实门槛'!$B$6:$B$405,A104,'05_RG现实门槛'!$D$6:$D$405,"RG06",'05_RG现实门槛'!$G$6:$G$405,"&lt;&gt;")+COUNTIFS('05_RG现实门槛'!$B$6:$B$405,A104,'05_RG现实门槛'!$D$6:$D$405,"RG07",'05_RG现实门槛'!$G$6:$G$405,"&lt;&gt;")=5,"是","否"))</x:f>
        <x:v>否</x:v>
      </x:c>
      <x:c r="W104" s="34" t="str">
        <x:v>否</x:v>
      </x:c>
      <x:c r="X104" s="34" t="str">
        <x:v>待录入</x:v>
      </x:c>
      <x:c r="Y104" s="34" t="str"/>
    </x:row>
    <x:row r="105">
      <x:c r="A105" s="34" t="str">
        <x:v>M5-CASE-100</x:v>
      </x:c>
      <x:c r="B105" s="34" t="str"/>
      <x:c r="C105" s="34" t="str"/>
      <x:c r="D105" s="34" t="str"/>
      <x:c r="E105" s="34" t="str"/>
      <x:c r="F105" s="34" t="str"/>
      <x:c r="G105" s="34" t="str"/>
      <x:c r="H105" s="34" t="str"/>
      <x:c r="I105" s="34" t="str"/>
      <x:c r="J105" s="34" t="str"/>
      <x:c r="K105" s="34" t="str"/>
      <x:c r="L105" s="34" t="str"/>
      <x:c r="M105" s="34" t="str"/>
      <x:c r="N105" s="34" t="str"/>
      <x:c r="O105" s="34" t="str"/>
      <x:c r="P105" s="34" t="n">
        <x:f>IF(A105="","",COUNTIF('04_关系事件'!$B$6:$B$505,A105))</x:f>
        <x:v>0</x:v>
      </x:c>
      <x:c r="Q105" s="34" t="n">
        <x:f>IF(A105="","",COUNTIF('06_字段核验'!$B$6:$B$805,A105))</x:f>
        <x:v>0</x:v>
      </x:c>
      <x:c r="R105" s="34" t="n">
        <x:f>IF(A105="","",COUNTIF('07_规则命中'!$B$6:$B$1005,A105))</x:f>
        <x:v>0</x:v>
      </x:c>
      <x:c r="S105" s="34" t="str">
        <x:v>否</x:v>
      </x:c>
      <x:c r="T105" s="34" t="str"/>
      <x:c r="U105" s="34" t="str">
        <x:v>否</x:v>
      </x:c>
      <x:c r="V105" s="34" t="str">
        <x:f>IF(A105="","",IF(COUNTIFS('05_RG现实门槛'!$B$6:$B$405,A105,'05_RG现实门槛'!$D$6:$D$405,"RG01",'05_RG现实门槛'!$G$6:$G$405,"&lt;&gt;")+COUNTIFS('05_RG现实门槛'!$B$6:$B$405,A105,'05_RG现实门槛'!$D$6:$D$405,"RG02",'05_RG现实门槛'!$G$6:$G$405,"&lt;&gt;")+COUNTIFS('05_RG现实门槛'!$B$6:$B$405,A105,'05_RG现实门槛'!$D$6:$D$405,"RG03",'05_RG现实门槛'!$G$6:$G$405,"&lt;&gt;")+COUNTIFS('05_RG现实门槛'!$B$6:$B$405,A105,'05_RG现实门槛'!$D$6:$D$405,"RG06",'05_RG现实门槛'!$G$6:$G$405,"&lt;&gt;")+COUNTIFS('05_RG现实门槛'!$B$6:$B$405,A105,'05_RG现实门槛'!$D$6:$D$405,"RG07",'05_RG现实门槛'!$G$6:$G$405,"&lt;&gt;")=5,"是","否"))</x:f>
        <x:v>否</x:v>
      </x:c>
      <x:c r="W105" s="34" t="str">
        <x:v>否</x:v>
      </x:c>
      <x:c r="X105" s="34" t="str">
        <x:v>待录入</x:v>
      </x:c>
      <x:c r="Y105" s="34" t="str"/>
    </x:row>
  </x:sheetData>
  <x:mergeCells>
    <x:mergeCell ref="A1:Y2"/>
    <x:mergeCell ref="A3:Y3"/>
  </x:mergeCells>
  <x:dataValidations count="11">
    <x:dataValidation type="list" sqref="B6:B105">
      <x:formula1>"C0,C1,C2,C3,C4,C5"</x:formula1>
    </x:dataValidation>
    <x:dataValidation type="list" sqref="G6:G105">
      <x:formula1>"无对象结构,当前具体对象,历史关系回顾,已结束关系,安全停止案例,其他"</x:formula1>
    </x:dataValidation>
    <x:dataValidation type="list" sqref="H6:H105">
      <x:formula1>"无对象,初识／约会,暧昧／排他,稳定交往,异地,同居／婚姻,高负荷阶段,修复／恢复,关系已结束,其他"</x:formula1>
    </x:dataValidation>
    <x:dataValidation type="list" sqref="K6:K105">
      <x:formula1>"已同意,仅匿名整理,待确认,不纳入"</x:formula1>
    </x:dataValidation>
    <x:dataValidation type="list" sqref="L6:L105">
      <x:formula1>"无明显安全问题,需进一步筛查,安全停止"</x:formula1>
    </x:dataValidation>
    <x:dataValidation type="list" sqref="M6:M105">
      <x:formula1>"完整,部分完整,有争议,不可用"</x:formula1>
    </x:dataValidation>
    <x:dataValidation type="list" sqref="N6:N105">
      <x:formula1>"充分,一般,不足,无具体对象"</x:formula1>
    </x:dataValidation>
    <x:dataValidation type="list" sqref="S6:S105">
      <x:formula1>"是,否"</x:formula1>
    </x:dataValidation>
    <x:dataValidation type="list" sqref="U6:U105">
      <x:formula1>"是,否"</x:formula1>
    </x:dataValidation>
    <x:dataValidation type="list" sqref="W6:W105">
      <x:formula1>"是,否"</x:formula1>
    </x:dataValidation>
    <x:dataValidation type="list" sqref="X6:X105">
      <x:formula1>"待录入,预测待冻结,反馈待收集,待核验,已评估,暂不纳入,安全停止"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cb339893c240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6" hidden="0" customWidth="1"/>
    <x:col min="5" max="5" width="14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14" hidden="0" customWidth="1"/>
    <x:col min="11" max="11" width="24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6" hidden="0" customWidth="1"/>
    <x:col min="23" max="23" width="16" hidden="0" customWidth="1"/>
    <x:col min="24" max="24" width="10" hidden="0" customWidth="1"/>
    <x:col min="25" max="25" width="20" hidden="0" customWidth="1"/>
    <x:col min="26" max="26" width="12" hidden="0" customWidth="1"/>
    <x:col min="27" max="27" width="10" hidden="0" customWidth="1"/>
    <x:col min="28" max="28" width="16" hidden="0" customWidth="1"/>
    <x:col min="29" max="29" width="12" hidden="0" customWidth="1"/>
    <x:col min="30" max="30" width="54" hidden="0" customWidth="1"/>
    <x:col min="31" max="31" width="38" hidden="0" customWidth="1"/>
    <x:col min="32" max="32" width="38" hidden="0" customWidth="1"/>
    <x:col min="33" max="33" width="38" hidden="0" customWidth="1"/>
    <x:col min="34" max="34" width="38" hidden="0" customWidth="1"/>
    <x:col min="35" max="35" width="48" hidden="0" customWidth="1"/>
    <x:col min="36" max="36" width="46" hidden="0" customWidth="1"/>
    <x:col min="37" max="37" width="46" hidden="0" customWidth="1"/>
    <x:col min="38" max="38" width="14" hidden="0" customWidth="1"/>
    <x:col min="39" max="39" width="14" hidden="0" customWidth="1"/>
  </x:cols>
  <x:sheetData>
    <x:row r="1">
      <x:c r="A1" s="6" t="str">
        <x:v>M5预测快照与反馈前冻结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</x:row>
    <x:row r="3">
      <x:c r="A3" s="16" t="str">
        <x:v>预测值、证据等级、AF／FG、RG和来源日志必须在反馈前保存。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  <x:c r="AA3" s="16"/>
      <x:c r="AB3" s="16"/>
      <x:c r="AC3" s="16"/>
      <x:c r="AD3" s="16"/>
      <x:c r="AE3" s="16"/>
      <x:c r="AF3" s="16"/>
      <x:c r="AG3" s="16"/>
      <x:c r="AH3" s="16"/>
      <x:c r="AI3" s="16"/>
      <x:c r="AJ3" s="16"/>
      <x:c r="AK3" s="16"/>
      <x:c r="AL3" s="16"/>
      <x:c r="AM3" s="16"/>
    </x:row>
    <x:row r="5">
      <x:c r="A5" s="26" t="str">
        <x:v>snapshot_id</x:v>
      </x:c>
      <x:c r="B5" s="26" t="str">
        <x:v>case_id</x:v>
      </x:c>
      <x:c r="C5" s="26" t="str">
        <x:v>冻结日期</x:v>
      </x:c>
      <x:c r="D5" s="26" t="str">
        <x:v>分析者</x:v>
      </x:c>
      <x:c r="E5" s="26" t="str">
        <x:v>盲评模式</x:v>
      </x:c>
      <x:c r="F5" s="26" t="str">
        <x:v>report_status</x:v>
      </x:c>
      <x:c r="G5" s="26" t="str">
        <x:v>safety_status</x:v>
      </x:c>
      <x:c r="H5" s="26" t="str">
        <x:v>主需要</x:v>
      </x:c>
      <x:c r="I5" s="26" t="str">
        <x:v>次需要</x:v>
      </x:c>
      <x:c r="J5" s="26" t="str">
        <x:v>主FAM</x:v>
      </x:c>
      <x:c r="K5" s="26" t="str">
        <x:v>主伴侣功能</x:v>
      </x:c>
      <x:c r="L5" s="26" t="str">
        <x:v>PS</x:v>
      </x:c>
      <x:c r="M5" s="26" t="str">
        <x:v>PV</x:v>
      </x:c>
      <x:c r="N5" s="26" t="str">
        <x:v>XR</x:v>
      </x:c>
      <x:c r="O5" s="26" t="str">
        <x:v>XV</x:v>
      </x:c>
      <x:c r="P5" s="26" t="str">
        <x:v>BS</x:v>
      </x:c>
      <x:c r="Q5" s="26" t="str">
        <x:v>BV</x:v>
      </x:c>
      <x:c r="R5" s="26" t="str">
        <x:v>RT</x:v>
      </x:c>
      <x:c r="S5" s="26" t="str">
        <x:v>FV</x:v>
      </x:c>
      <x:c r="T5" s="26" t="str">
        <x:v>HS</x:v>
      </x:c>
      <x:c r="U5" s="26" t="str">
        <x:v>HV</x:v>
      </x:c>
      <x:c r="V5" s="26" t="str">
        <x:v>主差异GT</x:v>
      </x:c>
      <x:c r="W5" s="26" t="str">
        <x:v>总体差异GS</x:v>
      </x:c>
      <x:c r="X5" s="26" t="str">
        <x:v>GE</x:v>
      </x:c>
      <x:c r="Y5" s="26" t="str">
        <x:v>RG总体</x:v>
      </x:c>
      <x:c r="Z5" s="26" t="str">
        <x:v>AF</x:v>
      </x:c>
      <x:c r="AA5" s="26" t="str">
        <x:v>FG</x:v>
      </x:c>
      <x:c r="AB5" s="26" t="str">
        <x:v>置信度</x:v>
      </x:c>
      <x:c r="AC5" s="26" t="str">
        <x:v>FB</x:v>
      </x:c>
      <x:c r="AD5" s="26" t="str">
        <x:v>一句话总结</x:v>
      </x:c>
      <x:c r="AE5" s="26" t="str">
        <x:v>观察1</x:v>
      </x:c>
      <x:c r="AF5" s="26" t="str">
        <x:v>观察2</x:v>
      </x:c>
      <x:c r="AG5" s="26" t="str">
        <x:v>观察3</x:v>
      </x:c>
      <x:c r="AH5" s="26" t="str">
        <x:v>停止条件</x:v>
      </x:c>
      <x:c r="AI5" s="26" t="str">
        <x:v>rule_ids</x:v>
      </x:c>
      <x:c r="AJ5" s="26" t="str">
        <x:v>source_ids</x:v>
      </x:c>
      <x:c r="AK5" s="26" t="str">
        <x:v>冻结时event_ids</x:v>
      </x:c>
      <x:c r="AL5" s="26" t="str">
        <x:v>冻结状态</x:v>
      </x:c>
      <x:c r="AM5" s="26" t="str">
        <x:v>快照完整</x:v>
      </x:c>
    </x:row>
    <x:row r="6">
      <x:c r="A6" s="34" t="str">
        <x:v>M5-SNAP-001</x:v>
      </x:c>
      <x:c r="B6" s="34" t="str"/>
      <x:c r="C6" s="34" t="str"/>
      <x:c r="D6" s="34" t="str"/>
      <x:c r="E6" s="34" t="str"/>
      <x:c r="F6" s="34" t="str"/>
      <x:c r="G6" s="34" t="str"/>
      <x:c r="H6" s="34" t="str"/>
      <x:c r="I6" s="34" t="str"/>
      <x:c r="J6" s="34" t="str"/>
      <x:c r="K6" s="34" t="str"/>
      <x:c r="L6" s="34" t="str"/>
      <x:c r="M6" s="34" t="str"/>
      <x:c r="N6" s="34" t="str"/>
      <x:c r="O6" s="34" t="str"/>
      <x:c r="P6" s="34" t="str"/>
      <x:c r="Q6" s="34" t="str"/>
      <x:c r="R6" s="34" t="str"/>
      <x:c r="S6" s="34" t="str"/>
      <x:c r="T6" s="34" t="str"/>
      <x:c r="U6" s="34" t="str"/>
      <x:c r="V6" s="34" t="str"/>
      <x:c r="W6" s="34" t="str"/>
      <x:c r="X6" s="34" t="str"/>
      <x:c r="Y6" s="34" t="str"/>
      <x:c r="Z6" s="34" t="str"/>
      <x:c r="AA6" s="34" t="str"/>
      <x:c r="AB6" s="34" t="str"/>
      <x:c r="AC6" s="34" t="str"/>
      <x:c r="AD6" s="34" t="str"/>
      <x:c r="AE6" s="34" t="str"/>
      <x:c r="AF6" s="34" t="str"/>
      <x:c r="AG6" s="34" t="str"/>
      <x:c r="AH6" s="34" t="str"/>
      <x:c r="AI6" s="34" t="str"/>
      <x:c r="AJ6" s="34" t="str"/>
      <x:c r="AK6" s="34" t="str"/>
      <x:c r="AL6" s="34" t="str">
        <x:v>草稿</x:v>
      </x:c>
      <x:c r="AM6" s="34" t="str">
        <x:f>IF(A6="","",IF(AND(B6&lt;&gt;"",F6&lt;&gt;"",H6&lt;&gt;"",J6&lt;&gt;"",Y6&lt;&gt;"",Z6&lt;&gt;"",AA6&lt;&gt;"",AB6&lt;&gt;"",AL6="已冻结"),"是","否"))</x:f>
        <x:v>否</x:v>
      </x:c>
    </x:row>
    <x:row r="7">
      <x:c r="A7" s="34" t="str">
        <x:v>M5-SNAP-002</x:v>
      </x:c>
      <x:c r="B7" s="34" t="str"/>
      <x:c r="C7" s="34" t="str"/>
      <x:c r="D7" s="34" t="str"/>
      <x:c r="E7" s="34" t="str"/>
      <x:c r="F7" s="34" t="str"/>
      <x:c r="G7" s="34" t="str"/>
      <x:c r="H7" s="34" t="str"/>
      <x:c r="I7" s="34" t="str"/>
      <x:c r="J7" s="34" t="str"/>
      <x:c r="K7" s="34" t="str"/>
      <x:c r="L7" s="34" t="str"/>
      <x:c r="M7" s="34" t="str"/>
      <x:c r="N7" s="34" t="str"/>
      <x:c r="O7" s="34" t="str"/>
      <x:c r="P7" s="34" t="str"/>
      <x:c r="Q7" s="34" t="str"/>
      <x:c r="R7" s="34" t="str"/>
      <x:c r="S7" s="34" t="str"/>
      <x:c r="T7" s="34" t="str"/>
      <x:c r="U7" s="34" t="str"/>
      <x:c r="V7" s="34" t="str"/>
      <x:c r="W7" s="34" t="str"/>
      <x:c r="X7" s="34" t="str"/>
      <x:c r="Y7" s="34" t="str"/>
      <x:c r="Z7" s="34" t="str"/>
      <x:c r="AA7" s="34" t="str"/>
      <x:c r="AB7" s="34" t="str"/>
      <x:c r="AC7" s="34" t="str"/>
      <x:c r="AD7" s="34" t="str"/>
      <x:c r="AE7" s="34" t="str"/>
      <x:c r="AF7" s="34" t="str"/>
      <x:c r="AG7" s="34" t="str"/>
      <x:c r="AH7" s="34" t="str"/>
      <x:c r="AI7" s="34" t="str"/>
      <x:c r="AJ7" s="34" t="str"/>
      <x:c r="AK7" s="34" t="str"/>
      <x:c r="AL7" s="34" t="str">
        <x:v>草稿</x:v>
      </x:c>
      <x:c r="AM7" s="34" t="str">
        <x:f>IF(A7="","",IF(AND(B7&lt;&gt;"",F7&lt;&gt;"",H7&lt;&gt;"",J7&lt;&gt;"",Y7&lt;&gt;"",Z7&lt;&gt;"",AA7&lt;&gt;"",AB7&lt;&gt;"",AL7="已冻结"),"是","否"))</x:f>
        <x:v>否</x:v>
      </x:c>
    </x:row>
    <x:row r="8">
      <x:c r="A8" s="34" t="str">
        <x:v>M5-SNAP-003</x:v>
      </x:c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4" t="str"/>
      <x:c r="L8" s="34" t="str"/>
      <x:c r="M8" s="34" t="str"/>
      <x:c r="N8" s="34" t="str"/>
      <x:c r="O8" s="34" t="str"/>
      <x:c r="P8" s="34" t="str"/>
      <x:c r="Q8" s="34" t="str"/>
      <x:c r="R8" s="34" t="str"/>
      <x:c r="S8" s="34" t="str"/>
      <x:c r="T8" s="34" t="str"/>
      <x:c r="U8" s="34" t="str"/>
      <x:c r="V8" s="34" t="str"/>
      <x:c r="W8" s="34" t="str"/>
      <x:c r="X8" s="34" t="str"/>
      <x:c r="Y8" s="34" t="str"/>
      <x:c r="Z8" s="34" t="str"/>
      <x:c r="AA8" s="34" t="str"/>
      <x:c r="AB8" s="34" t="str"/>
      <x:c r="AC8" s="34" t="str"/>
      <x:c r="AD8" s="34" t="str"/>
      <x:c r="AE8" s="34" t="str"/>
      <x:c r="AF8" s="34" t="str"/>
      <x:c r="AG8" s="34" t="str"/>
      <x:c r="AH8" s="34" t="str"/>
      <x:c r="AI8" s="34" t="str"/>
      <x:c r="AJ8" s="34" t="str"/>
      <x:c r="AK8" s="34" t="str"/>
      <x:c r="AL8" s="34" t="str">
        <x:v>草稿</x:v>
      </x:c>
      <x:c r="AM8" s="34" t="str">
        <x:f>IF(A8="","",IF(AND(B8&lt;&gt;"",F8&lt;&gt;"",H8&lt;&gt;"",J8&lt;&gt;"",Y8&lt;&gt;"",Z8&lt;&gt;"",AA8&lt;&gt;"",AB8&lt;&gt;"",AL8="已冻结"),"是","否"))</x:f>
        <x:v>否</x:v>
      </x:c>
    </x:row>
    <x:row r="9">
      <x:c r="A9" s="34" t="str">
        <x:v>M5-SNAP-004</x:v>
      </x:c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4" t="str"/>
      <x:c r="L9" s="34" t="str"/>
      <x:c r="M9" s="34" t="str"/>
      <x:c r="N9" s="34" t="str"/>
      <x:c r="O9" s="34" t="str"/>
      <x:c r="P9" s="34" t="str"/>
      <x:c r="Q9" s="34" t="str"/>
      <x:c r="R9" s="34" t="str"/>
      <x:c r="S9" s="34" t="str"/>
      <x:c r="T9" s="34" t="str"/>
      <x:c r="U9" s="34" t="str"/>
      <x:c r="V9" s="34" t="str"/>
      <x:c r="W9" s="34" t="str"/>
      <x:c r="X9" s="34" t="str"/>
      <x:c r="Y9" s="34" t="str"/>
      <x:c r="Z9" s="34" t="str"/>
      <x:c r="AA9" s="34" t="str"/>
      <x:c r="AB9" s="34" t="str"/>
      <x:c r="AC9" s="34" t="str"/>
      <x:c r="AD9" s="34" t="str"/>
      <x:c r="AE9" s="34" t="str"/>
      <x:c r="AF9" s="34" t="str"/>
      <x:c r="AG9" s="34" t="str"/>
      <x:c r="AH9" s="34" t="str"/>
      <x:c r="AI9" s="34" t="str"/>
      <x:c r="AJ9" s="34" t="str"/>
      <x:c r="AK9" s="34" t="str"/>
      <x:c r="AL9" s="34" t="str">
        <x:v>草稿</x:v>
      </x:c>
      <x:c r="AM9" s="34" t="str">
        <x:f>IF(A9="","",IF(AND(B9&lt;&gt;"",F9&lt;&gt;"",H9&lt;&gt;"",J9&lt;&gt;"",Y9&lt;&gt;"",Z9&lt;&gt;"",AA9&lt;&gt;"",AB9&lt;&gt;"",AL9="已冻结"),"是","否"))</x:f>
        <x:v>否</x:v>
      </x:c>
    </x:row>
    <x:row r="10">
      <x:c r="A10" s="34" t="str">
        <x:v>M5-SNAP-005</x:v>
      </x:c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4" t="str"/>
      <x:c r="L10" s="34" t="str"/>
      <x:c r="M10" s="34" t="str"/>
      <x:c r="N10" s="34" t="str"/>
      <x:c r="O10" s="34" t="str"/>
      <x:c r="P10" s="34" t="str"/>
      <x:c r="Q10" s="34" t="str"/>
      <x:c r="R10" s="34" t="str"/>
      <x:c r="S10" s="34" t="str"/>
      <x:c r="T10" s="34" t="str"/>
      <x:c r="U10" s="34" t="str"/>
      <x:c r="V10" s="34" t="str"/>
      <x:c r="W10" s="34" t="str"/>
      <x:c r="X10" s="34" t="str"/>
      <x:c r="Y10" s="34" t="str"/>
      <x:c r="Z10" s="34" t="str"/>
      <x:c r="AA10" s="34" t="str"/>
      <x:c r="AB10" s="34" t="str"/>
      <x:c r="AC10" s="34" t="str"/>
      <x:c r="AD10" s="34" t="str"/>
      <x:c r="AE10" s="34" t="str"/>
      <x:c r="AF10" s="34" t="str"/>
      <x:c r="AG10" s="34" t="str"/>
      <x:c r="AH10" s="34" t="str"/>
      <x:c r="AI10" s="34" t="str"/>
      <x:c r="AJ10" s="34" t="str"/>
      <x:c r="AK10" s="34" t="str"/>
      <x:c r="AL10" s="34" t="str">
        <x:v>草稿</x:v>
      </x:c>
      <x:c r="AM10" s="34" t="str">
        <x:f>IF(A10="","",IF(AND(B10&lt;&gt;"",F10&lt;&gt;"",H10&lt;&gt;"",J10&lt;&gt;"",Y10&lt;&gt;"",Z10&lt;&gt;"",AA10&lt;&gt;"",AB10&lt;&gt;"",AL10="已冻结"),"是","否"))</x:f>
        <x:v>否</x:v>
      </x:c>
    </x:row>
    <x:row r="11">
      <x:c r="A11" s="34" t="str">
        <x:v>M5-SNAP-006</x:v>
      </x:c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/>
      <x:c r="N11" s="34" t="str"/>
      <x:c r="O11" s="34" t="str"/>
      <x:c r="P11" s="34" t="str"/>
      <x:c r="Q11" s="34" t="str"/>
      <x:c r="R11" s="34" t="str"/>
      <x:c r="S11" s="34" t="str"/>
      <x:c r="T11" s="34" t="str"/>
      <x:c r="U11" s="34" t="str"/>
      <x:c r="V11" s="34" t="str"/>
      <x:c r="W11" s="34" t="str"/>
      <x:c r="X11" s="34" t="str"/>
      <x:c r="Y11" s="34" t="str"/>
      <x:c r="Z11" s="34" t="str"/>
      <x:c r="AA11" s="34" t="str"/>
      <x:c r="AB11" s="34" t="str"/>
      <x:c r="AC11" s="34" t="str"/>
      <x:c r="AD11" s="34" t="str"/>
      <x:c r="AE11" s="34" t="str"/>
      <x:c r="AF11" s="34" t="str"/>
      <x:c r="AG11" s="34" t="str"/>
      <x:c r="AH11" s="34" t="str"/>
      <x:c r="AI11" s="34" t="str"/>
      <x:c r="AJ11" s="34" t="str"/>
      <x:c r="AK11" s="34" t="str"/>
      <x:c r="AL11" s="34" t="str">
        <x:v>草稿</x:v>
      </x:c>
      <x:c r="AM11" s="34" t="str">
        <x:f>IF(A11="","",IF(AND(B11&lt;&gt;"",F11&lt;&gt;"",H11&lt;&gt;"",J11&lt;&gt;"",Y11&lt;&gt;"",Z11&lt;&gt;"",AA11&lt;&gt;"",AB11&lt;&gt;"",AL11="已冻结"),"是","否"))</x:f>
        <x:v>否</x:v>
      </x:c>
    </x:row>
    <x:row r="12">
      <x:c r="A12" s="34" t="str">
        <x:v>M5-SNAP-007</x:v>
      </x:c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/>
      <x:c r="N12" s="34" t="str"/>
      <x:c r="O12" s="34" t="str"/>
      <x:c r="P12" s="34" t="str"/>
      <x:c r="Q12" s="34" t="str"/>
      <x:c r="R12" s="34" t="str"/>
      <x:c r="S12" s="34" t="str"/>
      <x:c r="T12" s="34" t="str"/>
      <x:c r="U12" s="34" t="str"/>
      <x:c r="V12" s="34" t="str"/>
      <x:c r="W12" s="34" t="str"/>
      <x:c r="X12" s="34" t="str"/>
      <x:c r="Y12" s="34" t="str"/>
      <x:c r="Z12" s="34" t="str"/>
      <x:c r="AA12" s="34" t="str"/>
      <x:c r="AB12" s="34" t="str"/>
      <x:c r="AC12" s="34" t="str"/>
      <x:c r="AD12" s="34" t="str"/>
      <x:c r="AE12" s="34" t="str"/>
      <x:c r="AF12" s="34" t="str"/>
      <x:c r="AG12" s="34" t="str"/>
      <x:c r="AH12" s="34" t="str"/>
      <x:c r="AI12" s="34" t="str"/>
      <x:c r="AJ12" s="34" t="str"/>
      <x:c r="AK12" s="34" t="str"/>
      <x:c r="AL12" s="34" t="str">
        <x:v>草稿</x:v>
      </x:c>
      <x:c r="AM12" s="34" t="str">
        <x:f>IF(A12="","",IF(AND(B12&lt;&gt;"",F12&lt;&gt;"",H12&lt;&gt;"",J12&lt;&gt;"",Y12&lt;&gt;"",Z12&lt;&gt;"",AA12&lt;&gt;"",AB12&lt;&gt;"",AL12="已冻结"),"是","否"))</x:f>
        <x:v>否</x:v>
      </x:c>
    </x:row>
    <x:row r="13">
      <x:c r="A13" s="34" t="str">
        <x:v>M5-SNAP-008</x:v>
      </x:c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4" t="str"/>
      <x:c r="L13" s="34" t="str"/>
      <x:c r="M13" s="34" t="str"/>
      <x:c r="N13" s="34" t="str"/>
      <x:c r="O13" s="34" t="str"/>
      <x:c r="P13" s="34" t="str"/>
      <x:c r="Q13" s="34" t="str"/>
      <x:c r="R13" s="34" t="str"/>
      <x:c r="S13" s="34" t="str"/>
      <x:c r="T13" s="34" t="str"/>
      <x:c r="U13" s="34" t="str"/>
      <x:c r="V13" s="34" t="str"/>
      <x:c r="W13" s="34" t="str"/>
      <x:c r="X13" s="34" t="str"/>
      <x:c r="Y13" s="34" t="str"/>
      <x:c r="Z13" s="34" t="str"/>
      <x:c r="AA13" s="34" t="str"/>
      <x:c r="AB13" s="34" t="str"/>
      <x:c r="AC13" s="34" t="str"/>
      <x:c r="AD13" s="34" t="str"/>
      <x:c r="AE13" s="34" t="str"/>
      <x:c r="AF13" s="34" t="str"/>
      <x:c r="AG13" s="34" t="str"/>
      <x:c r="AH13" s="34" t="str"/>
      <x:c r="AI13" s="34" t="str"/>
      <x:c r="AJ13" s="34" t="str"/>
      <x:c r="AK13" s="34" t="str"/>
      <x:c r="AL13" s="34" t="str">
        <x:v>草稿</x:v>
      </x:c>
      <x:c r="AM13" s="34" t="str">
        <x:f>IF(A13="","",IF(AND(B13&lt;&gt;"",F13&lt;&gt;"",H13&lt;&gt;"",J13&lt;&gt;"",Y13&lt;&gt;"",Z13&lt;&gt;"",AA13&lt;&gt;"",AB13&lt;&gt;"",AL13="已冻结"),"是","否"))</x:f>
        <x:v>否</x:v>
      </x:c>
    </x:row>
    <x:row r="14">
      <x:c r="A14" s="34" t="str">
        <x:v>M5-SNAP-009</x:v>
      </x:c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4" t="str"/>
      <x:c r="L14" s="34" t="str"/>
      <x:c r="M14" s="34" t="str"/>
      <x:c r="N14" s="34" t="str"/>
      <x:c r="O14" s="34" t="str"/>
      <x:c r="P14" s="34" t="str"/>
      <x:c r="Q14" s="34" t="str"/>
      <x:c r="R14" s="34" t="str"/>
      <x:c r="S14" s="34" t="str"/>
      <x:c r="T14" s="34" t="str"/>
      <x:c r="U14" s="34" t="str"/>
      <x:c r="V14" s="34" t="str"/>
      <x:c r="W14" s="34" t="str"/>
      <x:c r="X14" s="34" t="str"/>
      <x:c r="Y14" s="34" t="str"/>
      <x:c r="Z14" s="34" t="str"/>
      <x:c r="AA14" s="34" t="str"/>
      <x:c r="AB14" s="34" t="str"/>
      <x:c r="AC14" s="34" t="str"/>
      <x:c r="AD14" s="34" t="str"/>
      <x:c r="AE14" s="34" t="str"/>
      <x:c r="AF14" s="34" t="str"/>
      <x:c r="AG14" s="34" t="str"/>
      <x:c r="AH14" s="34" t="str"/>
      <x:c r="AI14" s="34" t="str"/>
      <x:c r="AJ14" s="34" t="str"/>
      <x:c r="AK14" s="34" t="str"/>
      <x:c r="AL14" s="34" t="str">
        <x:v>草稿</x:v>
      </x:c>
      <x:c r="AM14" s="34" t="str">
        <x:f>IF(A14="","",IF(AND(B14&lt;&gt;"",F14&lt;&gt;"",H14&lt;&gt;"",J14&lt;&gt;"",Y14&lt;&gt;"",Z14&lt;&gt;"",AA14&lt;&gt;"",AB14&lt;&gt;"",AL14="已冻结"),"是","否"))</x:f>
        <x:v>否</x:v>
      </x:c>
    </x:row>
    <x:row r="15">
      <x:c r="A15" s="34" t="str">
        <x:v>M5-SNAP-010</x:v>
      </x:c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4" t="str"/>
      <x:c r="L15" s="34" t="str"/>
      <x:c r="M15" s="34" t="str"/>
      <x:c r="N15" s="34" t="str"/>
      <x:c r="O15" s="34" t="str"/>
      <x:c r="P15" s="34" t="str"/>
      <x:c r="Q15" s="34" t="str"/>
      <x:c r="R15" s="34" t="str"/>
      <x:c r="S15" s="34" t="str"/>
      <x:c r="T15" s="34" t="str"/>
      <x:c r="U15" s="34" t="str"/>
      <x:c r="V15" s="34" t="str"/>
      <x:c r="W15" s="34" t="str"/>
      <x:c r="X15" s="34" t="str"/>
      <x:c r="Y15" s="34" t="str"/>
      <x:c r="Z15" s="34" t="str"/>
      <x:c r="AA15" s="34" t="str"/>
      <x:c r="AB15" s="34" t="str"/>
      <x:c r="AC15" s="34" t="str"/>
      <x:c r="AD15" s="34" t="str"/>
      <x:c r="AE15" s="34" t="str"/>
      <x:c r="AF15" s="34" t="str"/>
      <x:c r="AG15" s="34" t="str"/>
      <x:c r="AH15" s="34" t="str"/>
      <x:c r="AI15" s="34" t="str"/>
      <x:c r="AJ15" s="34" t="str"/>
      <x:c r="AK15" s="34" t="str"/>
      <x:c r="AL15" s="34" t="str">
        <x:v>草稿</x:v>
      </x:c>
      <x:c r="AM15" s="34" t="str">
        <x:f>IF(A15="","",IF(AND(B15&lt;&gt;"",F15&lt;&gt;"",H15&lt;&gt;"",J15&lt;&gt;"",Y15&lt;&gt;"",Z15&lt;&gt;"",AA15&lt;&gt;"",AB15&lt;&gt;"",AL15="已冻结"),"是","否"))</x:f>
        <x:v>否</x:v>
      </x:c>
    </x:row>
    <x:row r="16">
      <x:c r="A16" s="34" t="str">
        <x:v>M5-SNAP-011</x:v>
      </x:c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4" t="str"/>
      <x:c r="L16" s="34" t="str"/>
      <x:c r="M16" s="34" t="str"/>
      <x:c r="N16" s="34" t="str"/>
      <x:c r="O16" s="34" t="str"/>
      <x:c r="P16" s="34" t="str"/>
      <x:c r="Q16" s="34" t="str"/>
      <x:c r="R16" s="34" t="str"/>
      <x:c r="S16" s="34" t="str"/>
      <x:c r="T16" s="34" t="str"/>
      <x:c r="U16" s="34" t="str"/>
      <x:c r="V16" s="34" t="str"/>
      <x:c r="W16" s="34" t="str"/>
      <x:c r="X16" s="34" t="str"/>
      <x:c r="Y16" s="34" t="str"/>
      <x:c r="Z16" s="34" t="str"/>
      <x:c r="AA16" s="34" t="str"/>
      <x:c r="AB16" s="34" t="str"/>
      <x:c r="AC16" s="34" t="str"/>
      <x:c r="AD16" s="34" t="str"/>
      <x:c r="AE16" s="34" t="str"/>
      <x:c r="AF16" s="34" t="str"/>
      <x:c r="AG16" s="34" t="str"/>
      <x:c r="AH16" s="34" t="str"/>
      <x:c r="AI16" s="34" t="str"/>
      <x:c r="AJ16" s="34" t="str"/>
      <x:c r="AK16" s="34" t="str"/>
      <x:c r="AL16" s="34" t="str">
        <x:v>草稿</x:v>
      </x:c>
      <x:c r="AM16" s="34" t="str">
        <x:f>IF(A16="","",IF(AND(B16&lt;&gt;"",F16&lt;&gt;"",H16&lt;&gt;"",J16&lt;&gt;"",Y16&lt;&gt;"",Z16&lt;&gt;"",AA16&lt;&gt;"",AB16&lt;&gt;"",AL16="已冻结"),"是","否"))</x:f>
        <x:v>否</x:v>
      </x:c>
    </x:row>
    <x:row r="17">
      <x:c r="A17" s="34" t="str">
        <x:v>M5-SNAP-012</x:v>
      </x:c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4" t="str"/>
      <x:c r="L17" s="34" t="str"/>
      <x:c r="M17" s="34" t="str"/>
      <x:c r="N17" s="34" t="str"/>
      <x:c r="O17" s="34" t="str"/>
      <x:c r="P17" s="34" t="str"/>
      <x:c r="Q17" s="34" t="str"/>
      <x:c r="R17" s="34" t="str"/>
      <x:c r="S17" s="34" t="str"/>
      <x:c r="T17" s="34" t="str"/>
      <x:c r="U17" s="34" t="str"/>
      <x:c r="V17" s="34" t="str"/>
      <x:c r="W17" s="34" t="str"/>
      <x:c r="X17" s="34" t="str"/>
      <x:c r="Y17" s="34" t="str"/>
      <x:c r="Z17" s="34" t="str"/>
      <x:c r="AA17" s="34" t="str"/>
      <x:c r="AB17" s="34" t="str"/>
      <x:c r="AC17" s="34" t="str"/>
      <x:c r="AD17" s="34" t="str"/>
      <x:c r="AE17" s="34" t="str"/>
      <x:c r="AF17" s="34" t="str"/>
      <x:c r="AG17" s="34" t="str"/>
      <x:c r="AH17" s="34" t="str"/>
      <x:c r="AI17" s="34" t="str"/>
      <x:c r="AJ17" s="34" t="str"/>
      <x:c r="AK17" s="34" t="str"/>
      <x:c r="AL17" s="34" t="str">
        <x:v>草稿</x:v>
      </x:c>
      <x:c r="AM17" s="34" t="str">
        <x:f>IF(A17="","",IF(AND(B17&lt;&gt;"",F17&lt;&gt;"",H17&lt;&gt;"",J17&lt;&gt;"",Y17&lt;&gt;"",Z17&lt;&gt;"",AA17&lt;&gt;"",AB17&lt;&gt;"",AL17="已冻结"),"是","否"))</x:f>
        <x:v>否</x:v>
      </x:c>
    </x:row>
    <x:row r="18">
      <x:c r="A18" s="34" t="str">
        <x:v>M5-SNAP-013</x:v>
      </x:c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4" t="str"/>
      <x:c r="L18" s="34" t="str"/>
      <x:c r="M18" s="34" t="str"/>
      <x:c r="N18" s="34" t="str"/>
      <x:c r="O18" s="34" t="str"/>
      <x:c r="P18" s="34" t="str"/>
      <x:c r="Q18" s="34" t="str"/>
      <x:c r="R18" s="34" t="str"/>
      <x:c r="S18" s="34" t="str"/>
      <x:c r="T18" s="34" t="str"/>
      <x:c r="U18" s="34" t="str"/>
      <x:c r="V18" s="34" t="str"/>
      <x:c r="W18" s="34" t="str"/>
      <x:c r="X18" s="34" t="str"/>
      <x:c r="Y18" s="34" t="str"/>
      <x:c r="Z18" s="34" t="str"/>
      <x:c r="AA18" s="34" t="str"/>
      <x:c r="AB18" s="34" t="str"/>
      <x:c r="AC18" s="34" t="str"/>
      <x:c r="AD18" s="34" t="str"/>
      <x:c r="AE18" s="34" t="str"/>
      <x:c r="AF18" s="34" t="str"/>
      <x:c r="AG18" s="34" t="str"/>
      <x:c r="AH18" s="34" t="str"/>
      <x:c r="AI18" s="34" t="str"/>
      <x:c r="AJ18" s="34" t="str"/>
      <x:c r="AK18" s="34" t="str"/>
      <x:c r="AL18" s="34" t="str">
        <x:v>草稿</x:v>
      </x:c>
      <x:c r="AM18" s="34" t="str">
        <x:f>IF(A18="","",IF(AND(B18&lt;&gt;"",F18&lt;&gt;"",H18&lt;&gt;"",J18&lt;&gt;"",Y18&lt;&gt;"",Z18&lt;&gt;"",AA18&lt;&gt;"",AB18&lt;&gt;"",AL18="已冻结"),"是","否"))</x:f>
        <x:v>否</x:v>
      </x:c>
    </x:row>
    <x:row r="19">
      <x:c r="A19" s="34" t="str">
        <x:v>M5-SNAP-014</x:v>
      </x:c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4" t="str"/>
      <x:c r="L19" s="34" t="str"/>
      <x:c r="M19" s="34" t="str"/>
      <x:c r="N19" s="34" t="str"/>
      <x:c r="O19" s="34" t="str"/>
      <x:c r="P19" s="34" t="str"/>
      <x:c r="Q19" s="34" t="str"/>
      <x:c r="R19" s="34" t="str"/>
      <x:c r="S19" s="34" t="str"/>
      <x:c r="T19" s="34" t="str"/>
      <x:c r="U19" s="34" t="str"/>
      <x:c r="V19" s="34" t="str"/>
      <x:c r="W19" s="34" t="str"/>
      <x:c r="X19" s="34" t="str"/>
      <x:c r="Y19" s="34" t="str"/>
      <x:c r="Z19" s="34" t="str"/>
      <x:c r="AA19" s="34" t="str"/>
      <x:c r="AB19" s="34" t="str"/>
      <x:c r="AC19" s="34" t="str"/>
      <x:c r="AD19" s="34" t="str"/>
      <x:c r="AE19" s="34" t="str"/>
      <x:c r="AF19" s="34" t="str"/>
      <x:c r="AG19" s="34" t="str"/>
      <x:c r="AH19" s="34" t="str"/>
      <x:c r="AI19" s="34" t="str"/>
      <x:c r="AJ19" s="34" t="str"/>
      <x:c r="AK19" s="34" t="str"/>
      <x:c r="AL19" s="34" t="str">
        <x:v>草稿</x:v>
      </x:c>
      <x:c r="AM19" s="34" t="str">
        <x:f>IF(A19="","",IF(AND(B19&lt;&gt;"",F19&lt;&gt;"",H19&lt;&gt;"",J19&lt;&gt;"",Y19&lt;&gt;"",Z19&lt;&gt;"",AA19&lt;&gt;"",AB19&lt;&gt;"",AL19="已冻结"),"是","否"))</x:f>
        <x:v>否</x:v>
      </x:c>
    </x:row>
    <x:row r="20">
      <x:c r="A20" s="34" t="str">
        <x:v>M5-SNAP-015</x:v>
      </x:c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4" t="str"/>
      <x:c r="L20" s="34" t="str"/>
      <x:c r="M20" s="34" t="str"/>
      <x:c r="N20" s="34" t="str"/>
      <x:c r="O20" s="34" t="str"/>
      <x:c r="P20" s="34" t="str"/>
      <x:c r="Q20" s="34" t="str"/>
      <x:c r="R20" s="34" t="str"/>
      <x:c r="S20" s="34" t="str"/>
      <x:c r="T20" s="34" t="str"/>
      <x:c r="U20" s="34" t="str"/>
      <x:c r="V20" s="34" t="str"/>
      <x:c r="W20" s="34" t="str"/>
      <x:c r="X20" s="34" t="str"/>
      <x:c r="Y20" s="34" t="str"/>
      <x:c r="Z20" s="34" t="str"/>
      <x:c r="AA20" s="34" t="str"/>
      <x:c r="AB20" s="34" t="str"/>
      <x:c r="AC20" s="34" t="str"/>
      <x:c r="AD20" s="34" t="str"/>
      <x:c r="AE20" s="34" t="str"/>
      <x:c r="AF20" s="34" t="str"/>
      <x:c r="AG20" s="34" t="str"/>
      <x:c r="AH20" s="34" t="str"/>
      <x:c r="AI20" s="34" t="str"/>
      <x:c r="AJ20" s="34" t="str"/>
      <x:c r="AK20" s="34" t="str"/>
      <x:c r="AL20" s="34" t="str">
        <x:v>草稿</x:v>
      </x:c>
      <x:c r="AM20" s="34" t="str">
        <x:f>IF(A20="","",IF(AND(B20&lt;&gt;"",F20&lt;&gt;"",H20&lt;&gt;"",J20&lt;&gt;"",Y20&lt;&gt;"",Z20&lt;&gt;"",AA20&lt;&gt;"",AB20&lt;&gt;"",AL20="已冻结"),"是","否"))</x:f>
        <x:v>否</x:v>
      </x:c>
    </x:row>
    <x:row r="21">
      <x:c r="A21" s="34" t="str">
        <x:v>M5-SNAP-016</x:v>
      </x:c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4" t="str"/>
      <x:c r="L21" s="34" t="str"/>
      <x:c r="M21" s="34" t="str"/>
      <x:c r="N21" s="34" t="str"/>
      <x:c r="O21" s="34" t="str"/>
      <x:c r="P21" s="34" t="str"/>
      <x:c r="Q21" s="34" t="str"/>
      <x:c r="R21" s="34" t="str"/>
      <x:c r="S21" s="34" t="str"/>
      <x:c r="T21" s="34" t="str"/>
      <x:c r="U21" s="34" t="str"/>
      <x:c r="V21" s="34" t="str"/>
      <x:c r="W21" s="34" t="str"/>
      <x:c r="X21" s="34" t="str"/>
      <x:c r="Y21" s="34" t="str"/>
      <x:c r="Z21" s="34" t="str"/>
      <x:c r="AA21" s="34" t="str"/>
      <x:c r="AB21" s="34" t="str"/>
      <x:c r="AC21" s="34" t="str"/>
      <x:c r="AD21" s="34" t="str"/>
      <x:c r="AE21" s="34" t="str"/>
      <x:c r="AF21" s="34" t="str"/>
      <x:c r="AG21" s="34" t="str"/>
      <x:c r="AH21" s="34" t="str"/>
      <x:c r="AI21" s="34" t="str"/>
      <x:c r="AJ21" s="34" t="str"/>
      <x:c r="AK21" s="34" t="str"/>
      <x:c r="AL21" s="34" t="str">
        <x:v>草稿</x:v>
      </x:c>
      <x:c r="AM21" s="34" t="str">
        <x:f>IF(A21="","",IF(AND(B21&lt;&gt;"",F21&lt;&gt;"",H21&lt;&gt;"",J21&lt;&gt;"",Y21&lt;&gt;"",Z21&lt;&gt;"",AA21&lt;&gt;"",AB21&lt;&gt;"",AL21="已冻结"),"是","否"))</x:f>
        <x:v>否</x:v>
      </x:c>
    </x:row>
    <x:row r="22">
      <x:c r="A22" s="34" t="str">
        <x:v>M5-SNAP-017</x:v>
      </x:c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4" t="str"/>
      <x:c r="L22" s="34" t="str"/>
      <x:c r="M22" s="34" t="str"/>
      <x:c r="N22" s="34" t="str"/>
      <x:c r="O22" s="34" t="str"/>
      <x:c r="P22" s="34" t="str"/>
      <x:c r="Q22" s="34" t="str"/>
      <x:c r="R22" s="34" t="str"/>
      <x:c r="S22" s="34" t="str"/>
      <x:c r="T22" s="34" t="str"/>
      <x:c r="U22" s="34" t="str"/>
      <x:c r="V22" s="34" t="str"/>
      <x:c r="W22" s="34" t="str"/>
      <x:c r="X22" s="34" t="str"/>
      <x:c r="Y22" s="34" t="str"/>
      <x:c r="Z22" s="34" t="str"/>
      <x:c r="AA22" s="34" t="str"/>
      <x:c r="AB22" s="34" t="str"/>
      <x:c r="AC22" s="34" t="str"/>
      <x:c r="AD22" s="34" t="str"/>
      <x:c r="AE22" s="34" t="str"/>
      <x:c r="AF22" s="34" t="str"/>
      <x:c r="AG22" s="34" t="str"/>
      <x:c r="AH22" s="34" t="str"/>
      <x:c r="AI22" s="34" t="str"/>
      <x:c r="AJ22" s="34" t="str"/>
      <x:c r="AK22" s="34" t="str"/>
      <x:c r="AL22" s="34" t="str">
        <x:v>草稿</x:v>
      </x:c>
      <x:c r="AM22" s="34" t="str">
        <x:f>IF(A22="","",IF(AND(B22&lt;&gt;"",F22&lt;&gt;"",H22&lt;&gt;"",J22&lt;&gt;"",Y22&lt;&gt;"",Z22&lt;&gt;"",AA22&lt;&gt;"",AB22&lt;&gt;"",AL22="已冻结"),"是","否"))</x:f>
        <x:v>否</x:v>
      </x:c>
    </x:row>
    <x:row r="23">
      <x:c r="A23" s="34" t="str">
        <x:v>M5-SNAP-018</x:v>
      </x:c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/>
      <x:c r="N23" s="34" t="str"/>
      <x:c r="O23" s="34" t="str"/>
      <x:c r="P23" s="34" t="str"/>
      <x:c r="Q23" s="34" t="str"/>
      <x:c r="R23" s="34" t="str"/>
      <x:c r="S23" s="34" t="str"/>
      <x:c r="T23" s="34" t="str"/>
      <x:c r="U23" s="34" t="str"/>
      <x:c r="V23" s="34" t="str"/>
      <x:c r="W23" s="34" t="str"/>
      <x:c r="X23" s="34" t="str"/>
      <x:c r="Y23" s="34" t="str"/>
      <x:c r="Z23" s="34" t="str"/>
      <x:c r="AA23" s="34" t="str"/>
      <x:c r="AB23" s="34" t="str"/>
      <x:c r="AC23" s="34" t="str"/>
      <x:c r="AD23" s="34" t="str"/>
      <x:c r="AE23" s="34" t="str"/>
      <x:c r="AF23" s="34" t="str"/>
      <x:c r="AG23" s="34" t="str"/>
      <x:c r="AH23" s="34" t="str"/>
      <x:c r="AI23" s="34" t="str"/>
      <x:c r="AJ23" s="34" t="str"/>
      <x:c r="AK23" s="34" t="str"/>
      <x:c r="AL23" s="34" t="str">
        <x:v>草稿</x:v>
      </x:c>
      <x:c r="AM23" s="34" t="str">
        <x:f>IF(A23="","",IF(AND(B23&lt;&gt;"",F23&lt;&gt;"",H23&lt;&gt;"",J23&lt;&gt;"",Y23&lt;&gt;"",Z23&lt;&gt;"",AA23&lt;&gt;"",AB23&lt;&gt;"",AL23="已冻结"),"是","否"))</x:f>
        <x:v>否</x:v>
      </x:c>
    </x:row>
    <x:row r="24">
      <x:c r="A24" s="34" t="str">
        <x:v>M5-SNAP-019</x:v>
      </x:c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4" t="str"/>
      <x:c r="L24" s="34" t="str"/>
      <x:c r="M24" s="34" t="str"/>
      <x:c r="N24" s="34" t="str"/>
      <x:c r="O24" s="34" t="str"/>
      <x:c r="P24" s="34" t="str"/>
      <x:c r="Q24" s="34" t="str"/>
      <x:c r="R24" s="34" t="str"/>
      <x:c r="S24" s="34" t="str"/>
      <x:c r="T24" s="34" t="str"/>
      <x:c r="U24" s="34" t="str"/>
      <x:c r="V24" s="34" t="str"/>
      <x:c r="W24" s="34" t="str"/>
      <x:c r="X24" s="34" t="str"/>
      <x:c r="Y24" s="34" t="str"/>
      <x:c r="Z24" s="34" t="str"/>
      <x:c r="AA24" s="34" t="str"/>
      <x:c r="AB24" s="34" t="str"/>
      <x:c r="AC24" s="34" t="str"/>
      <x:c r="AD24" s="34" t="str"/>
      <x:c r="AE24" s="34" t="str"/>
      <x:c r="AF24" s="34" t="str"/>
      <x:c r="AG24" s="34" t="str"/>
      <x:c r="AH24" s="34" t="str"/>
      <x:c r="AI24" s="34" t="str"/>
      <x:c r="AJ24" s="34" t="str"/>
      <x:c r="AK24" s="34" t="str"/>
      <x:c r="AL24" s="34" t="str">
        <x:v>草稿</x:v>
      </x:c>
      <x:c r="AM24" s="34" t="str">
        <x:f>IF(A24="","",IF(AND(B24&lt;&gt;"",F24&lt;&gt;"",H24&lt;&gt;"",J24&lt;&gt;"",Y24&lt;&gt;"",Z24&lt;&gt;"",AA24&lt;&gt;"",AB24&lt;&gt;"",AL24="已冻结"),"是","否"))</x:f>
        <x:v>否</x:v>
      </x:c>
    </x:row>
    <x:row r="25">
      <x:c r="A25" s="34" t="str">
        <x:v>M5-SNAP-020</x:v>
      </x:c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4" t="str"/>
      <x:c r="L25" s="34" t="str"/>
      <x:c r="M25" s="34" t="str"/>
      <x:c r="N25" s="34" t="str"/>
      <x:c r="O25" s="34" t="str"/>
      <x:c r="P25" s="34" t="str"/>
      <x:c r="Q25" s="34" t="str"/>
      <x:c r="R25" s="34" t="str"/>
      <x:c r="S25" s="34" t="str"/>
      <x:c r="T25" s="34" t="str"/>
      <x:c r="U25" s="34" t="str"/>
      <x:c r="V25" s="34" t="str"/>
      <x:c r="W25" s="34" t="str"/>
      <x:c r="X25" s="34" t="str"/>
      <x:c r="Y25" s="34" t="str"/>
      <x:c r="Z25" s="34" t="str"/>
      <x:c r="AA25" s="34" t="str"/>
      <x:c r="AB25" s="34" t="str"/>
      <x:c r="AC25" s="34" t="str"/>
      <x:c r="AD25" s="34" t="str"/>
      <x:c r="AE25" s="34" t="str"/>
      <x:c r="AF25" s="34" t="str"/>
      <x:c r="AG25" s="34" t="str"/>
      <x:c r="AH25" s="34" t="str"/>
      <x:c r="AI25" s="34" t="str"/>
      <x:c r="AJ25" s="34" t="str"/>
      <x:c r="AK25" s="34" t="str"/>
      <x:c r="AL25" s="34" t="str">
        <x:v>草稿</x:v>
      </x:c>
      <x:c r="AM25" s="34" t="str">
        <x:f>IF(A25="","",IF(AND(B25&lt;&gt;"",F25&lt;&gt;"",H25&lt;&gt;"",J25&lt;&gt;"",Y25&lt;&gt;"",Z25&lt;&gt;"",AA25&lt;&gt;"",AB25&lt;&gt;"",AL25="已冻结"),"是","否"))</x:f>
        <x:v>否</x:v>
      </x:c>
    </x:row>
    <x:row r="26">
      <x:c r="A26" s="34" t="str">
        <x:v>M5-SNAP-021</x:v>
      </x:c>
      <x:c r="B26" s="34" t="str"/>
      <x:c r="C26" s="34" t="str"/>
      <x:c r="D26" s="34" t="str"/>
      <x:c r="E26" s="34" t="str"/>
      <x:c r="F26" s="34" t="str"/>
      <x:c r="G26" s="34" t="str"/>
      <x:c r="H26" s="34" t="str"/>
      <x:c r="I26" s="34" t="str"/>
      <x:c r="J26" s="34" t="str"/>
      <x:c r="K26" s="34" t="str"/>
      <x:c r="L26" s="34" t="str"/>
      <x:c r="M26" s="34" t="str"/>
      <x:c r="N26" s="34" t="str"/>
      <x:c r="O26" s="34" t="str"/>
      <x:c r="P26" s="34" t="str"/>
      <x:c r="Q26" s="34" t="str"/>
      <x:c r="R26" s="34" t="str"/>
      <x:c r="S26" s="34" t="str"/>
      <x:c r="T26" s="34" t="str"/>
      <x:c r="U26" s="34" t="str"/>
      <x:c r="V26" s="34" t="str"/>
      <x:c r="W26" s="34" t="str"/>
      <x:c r="X26" s="34" t="str"/>
      <x:c r="Y26" s="34" t="str"/>
      <x:c r="Z26" s="34" t="str"/>
      <x:c r="AA26" s="34" t="str"/>
      <x:c r="AB26" s="34" t="str"/>
      <x:c r="AC26" s="34" t="str"/>
      <x:c r="AD26" s="34" t="str"/>
      <x:c r="AE26" s="34" t="str"/>
      <x:c r="AF26" s="34" t="str"/>
      <x:c r="AG26" s="34" t="str"/>
      <x:c r="AH26" s="34" t="str"/>
      <x:c r="AI26" s="34" t="str"/>
      <x:c r="AJ26" s="34" t="str"/>
      <x:c r="AK26" s="34" t="str"/>
      <x:c r="AL26" s="34" t="str">
        <x:v>草稿</x:v>
      </x:c>
      <x:c r="AM26" s="34" t="str">
        <x:f>IF(A26="","",IF(AND(B26&lt;&gt;"",F26&lt;&gt;"",H26&lt;&gt;"",J26&lt;&gt;"",Y26&lt;&gt;"",Z26&lt;&gt;"",AA26&lt;&gt;"",AB26&lt;&gt;"",AL26="已冻结"),"是","否"))</x:f>
        <x:v>否</x:v>
      </x:c>
    </x:row>
    <x:row r="27">
      <x:c r="A27" s="34" t="str">
        <x:v>M5-SNAP-022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34" t="str"/>
      <x:c r="J27" s="34" t="str"/>
      <x:c r="K27" s="34" t="str"/>
      <x:c r="L27" s="34" t="str"/>
      <x:c r="M27" s="34" t="str"/>
      <x:c r="N27" s="34" t="str"/>
      <x:c r="O27" s="34" t="str"/>
      <x:c r="P27" s="34" t="str"/>
      <x:c r="Q27" s="34" t="str"/>
      <x:c r="R27" s="34" t="str"/>
      <x:c r="S27" s="34" t="str"/>
      <x:c r="T27" s="34" t="str"/>
      <x:c r="U27" s="34" t="str"/>
      <x:c r="V27" s="34" t="str"/>
      <x:c r="W27" s="34" t="str"/>
      <x:c r="X27" s="34" t="str"/>
      <x:c r="Y27" s="34" t="str"/>
      <x:c r="Z27" s="34" t="str"/>
      <x:c r="AA27" s="34" t="str"/>
      <x:c r="AB27" s="34" t="str"/>
      <x:c r="AC27" s="34" t="str"/>
      <x:c r="AD27" s="34" t="str"/>
      <x:c r="AE27" s="34" t="str"/>
      <x:c r="AF27" s="34" t="str"/>
      <x:c r="AG27" s="34" t="str"/>
      <x:c r="AH27" s="34" t="str"/>
      <x:c r="AI27" s="34" t="str"/>
      <x:c r="AJ27" s="34" t="str"/>
      <x:c r="AK27" s="34" t="str"/>
      <x:c r="AL27" s="34" t="str">
        <x:v>草稿</x:v>
      </x:c>
      <x:c r="AM27" s="34" t="str">
        <x:f>IF(A27="","",IF(AND(B27&lt;&gt;"",F27&lt;&gt;"",H27&lt;&gt;"",J27&lt;&gt;"",Y27&lt;&gt;"",Z27&lt;&gt;"",AA27&lt;&gt;"",AB27&lt;&gt;"",AL27="已冻结"),"是","否"))</x:f>
        <x:v>否</x:v>
      </x:c>
    </x:row>
    <x:row r="28">
      <x:c r="A28" s="34" t="str">
        <x:v>M5-SNAP-023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34" t="str"/>
      <x:c r="J28" s="34" t="str"/>
      <x:c r="K28" s="34" t="str"/>
      <x:c r="L28" s="34" t="str"/>
      <x:c r="M28" s="34" t="str"/>
      <x:c r="N28" s="34" t="str"/>
      <x:c r="O28" s="34" t="str"/>
      <x:c r="P28" s="34" t="str"/>
      <x:c r="Q28" s="34" t="str"/>
      <x:c r="R28" s="34" t="str"/>
      <x:c r="S28" s="34" t="str"/>
      <x:c r="T28" s="34" t="str"/>
      <x:c r="U28" s="34" t="str"/>
      <x:c r="V28" s="34" t="str"/>
      <x:c r="W28" s="34" t="str"/>
      <x:c r="X28" s="34" t="str"/>
      <x:c r="Y28" s="34" t="str"/>
      <x:c r="Z28" s="34" t="str"/>
      <x:c r="AA28" s="34" t="str"/>
      <x:c r="AB28" s="34" t="str"/>
      <x:c r="AC28" s="34" t="str"/>
      <x:c r="AD28" s="34" t="str"/>
      <x:c r="AE28" s="34" t="str"/>
      <x:c r="AF28" s="34" t="str"/>
      <x:c r="AG28" s="34" t="str"/>
      <x:c r="AH28" s="34" t="str"/>
      <x:c r="AI28" s="34" t="str"/>
      <x:c r="AJ28" s="34" t="str"/>
      <x:c r="AK28" s="34" t="str"/>
      <x:c r="AL28" s="34" t="str">
        <x:v>草稿</x:v>
      </x:c>
      <x:c r="AM28" s="34" t="str">
        <x:f>IF(A28="","",IF(AND(B28&lt;&gt;"",F28&lt;&gt;"",H28&lt;&gt;"",J28&lt;&gt;"",Y28&lt;&gt;"",Z28&lt;&gt;"",AA28&lt;&gt;"",AB28&lt;&gt;"",AL28="已冻结"),"是","否"))</x:f>
        <x:v>否</x:v>
      </x:c>
    </x:row>
    <x:row r="29">
      <x:c r="A29" s="34" t="str">
        <x:v>M5-SNAP-024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/>
      <x:c r="N29" s="34" t="str"/>
      <x:c r="O29" s="34" t="str"/>
      <x:c r="P29" s="34" t="str"/>
      <x:c r="Q29" s="34" t="str"/>
      <x:c r="R29" s="34" t="str"/>
      <x:c r="S29" s="34" t="str"/>
      <x:c r="T29" s="34" t="str"/>
      <x:c r="U29" s="34" t="str"/>
      <x:c r="V29" s="34" t="str"/>
      <x:c r="W29" s="34" t="str"/>
      <x:c r="X29" s="34" t="str"/>
      <x:c r="Y29" s="34" t="str"/>
      <x:c r="Z29" s="34" t="str"/>
      <x:c r="AA29" s="34" t="str"/>
      <x:c r="AB29" s="34" t="str"/>
      <x:c r="AC29" s="34" t="str"/>
      <x:c r="AD29" s="34" t="str"/>
      <x:c r="AE29" s="34" t="str"/>
      <x:c r="AF29" s="34" t="str"/>
      <x:c r="AG29" s="34" t="str"/>
      <x:c r="AH29" s="34" t="str"/>
      <x:c r="AI29" s="34" t="str"/>
      <x:c r="AJ29" s="34" t="str"/>
      <x:c r="AK29" s="34" t="str"/>
      <x:c r="AL29" s="34" t="str">
        <x:v>草稿</x:v>
      </x:c>
      <x:c r="AM29" s="34" t="str">
        <x:f>IF(A29="","",IF(AND(B29&lt;&gt;"",F29&lt;&gt;"",H29&lt;&gt;"",J29&lt;&gt;"",Y29&lt;&gt;"",Z29&lt;&gt;"",AA29&lt;&gt;"",AB29&lt;&gt;"",AL29="已冻结"),"是","否"))</x:f>
        <x:v>否</x:v>
      </x:c>
    </x:row>
    <x:row r="30">
      <x:c r="A30" s="34" t="str">
        <x:v>M5-SNAP-025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/>
      <x:c r="N30" s="34" t="str"/>
      <x:c r="O30" s="34" t="str"/>
      <x:c r="P30" s="34" t="str"/>
      <x:c r="Q30" s="34" t="str"/>
      <x:c r="R30" s="34" t="str"/>
      <x:c r="S30" s="34" t="str"/>
      <x:c r="T30" s="34" t="str"/>
      <x:c r="U30" s="34" t="str"/>
      <x:c r="V30" s="34" t="str"/>
      <x:c r="W30" s="34" t="str"/>
      <x:c r="X30" s="34" t="str"/>
      <x:c r="Y30" s="34" t="str"/>
      <x:c r="Z30" s="34" t="str"/>
      <x:c r="AA30" s="34" t="str"/>
      <x:c r="AB30" s="34" t="str"/>
      <x:c r="AC30" s="34" t="str"/>
      <x:c r="AD30" s="34" t="str"/>
      <x:c r="AE30" s="34" t="str"/>
      <x:c r="AF30" s="34" t="str"/>
      <x:c r="AG30" s="34" t="str"/>
      <x:c r="AH30" s="34" t="str"/>
      <x:c r="AI30" s="34" t="str"/>
      <x:c r="AJ30" s="34" t="str"/>
      <x:c r="AK30" s="34" t="str"/>
      <x:c r="AL30" s="34" t="str">
        <x:v>草稿</x:v>
      </x:c>
      <x:c r="AM30" s="34" t="str">
        <x:f>IF(A30="","",IF(AND(B30&lt;&gt;"",F30&lt;&gt;"",H30&lt;&gt;"",J30&lt;&gt;"",Y30&lt;&gt;"",Z30&lt;&gt;"",AA30&lt;&gt;"",AB30&lt;&gt;"",AL30="已冻结"),"是","否"))</x:f>
        <x:v>否</x:v>
      </x:c>
    </x:row>
    <x:row r="31">
      <x:c r="A31" s="34" t="str">
        <x:v>M5-SNAP-026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4" t="str"/>
      <x:c r="J31" s="34" t="str"/>
      <x:c r="K31" s="34" t="str"/>
      <x:c r="L31" s="34" t="str"/>
      <x:c r="M31" s="34" t="str"/>
      <x:c r="N31" s="34" t="str"/>
      <x:c r="O31" s="34" t="str"/>
      <x:c r="P31" s="34" t="str"/>
      <x:c r="Q31" s="34" t="str"/>
      <x:c r="R31" s="34" t="str"/>
      <x:c r="S31" s="34" t="str"/>
      <x:c r="T31" s="34" t="str"/>
      <x:c r="U31" s="34" t="str"/>
      <x:c r="V31" s="34" t="str"/>
      <x:c r="W31" s="34" t="str"/>
      <x:c r="X31" s="34" t="str"/>
      <x:c r="Y31" s="34" t="str"/>
      <x:c r="Z31" s="34" t="str"/>
      <x:c r="AA31" s="34" t="str"/>
      <x:c r="AB31" s="34" t="str"/>
      <x:c r="AC31" s="34" t="str"/>
      <x:c r="AD31" s="34" t="str"/>
      <x:c r="AE31" s="34" t="str"/>
      <x:c r="AF31" s="34" t="str"/>
      <x:c r="AG31" s="34" t="str"/>
      <x:c r="AH31" s="34" t="str"/>
      <x:c r="AI31" s="34" t="str"/>
      <x:c r="AJ31" s="34" t="str"/>
      <x:c r="AK31" s="34" t="str"/>
      <x:c r="AL31" s="34" t="str">
        <x:v>草稿</x:v>
      </x:c>
      <x:c r="AM31" s="34" t="str">
        <x:f>IF(A31="","",IF(AND(B31&lt;&gt;"",F31&lt;&gt;"",H31&lt;&gt;"",J31&lt;&gt;"",Y31&lt;&gt;"",Z31&lt;&gt;"",AA31&lt;&gt;"",AB31&lt;&gt;"",AL31="已冻结"),"是","否"))</x:f>
        <x:v>否</x:v>
      </x:c>
    </x:row>
    <x:row r="32">
      <x:c r="A32" s="34" t="str">
        <x:v>M5-SNAP-027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/>
      <x:c r="N32" s="34" t="str"/>
      <x:c r="O32" s="34" t="str"/>
      <x:c r="P32" s="34" t="str"/>
      <x:c r="Q32" s="34" t="str"/>
      <x:c r="R32" s="34" t="str"/>
      <x:c r="S32" s="34" t="str"/>
      <x:c r="T32" s="34" t="str"/>
      <x:c r="U32" s="34" t="str"/>
      <x:c r="V32" s="34" t="str"/>
      <x:c r="W32" s="34" t="str"/>
      <x:c r="X32" s="34" t="str"/>
      <x:c r="Y32" s="34" t="str"/>
      <x:c r="Z32" s="34" t="str"/>
      <x:c r="AA32" s="34" t="str"/>
      <x:c r="AB32" s="34" t="str"/>
      <x:c r="AC32" s="34" t="str"/>
      <x:c r="AD32" s="34" t="str"/>
      <x:c r="AE32" s="34" t="str"/>
      <x:c r="AF32" s="34" t="str"/>
      <x:c r="AG32" s="34" t="str"/>
      <x:c r="AH32" s="34" t="str"/>
      <x:c r="AI32" s="34" t="str"/>
      <x:c r="AJ32" s="34" t="str"/>
      <x:c r="AK32" s="34" t="str"/>
      <x:c r="AL32" s="34" t="str">
        <x:v>草稿</x:v>
      </x:c>
      <x:c r="AM32" s="34" t="str">
        <x:f>IF(A32="","",IF(AND(B32&lt;&gt;"",F32&lt;&gt;"",H32&lt;&gt;"",J32&lt;&gt;"",Y32&lt;&gt;"",Z32&lt;&gt;"",AA32&lt;&gt;"",AB32&lt;&gt;"",AL32="已冻结"),"是","否"))</x:f>
        <x:v>否</x:v>
      </x:c>
    </x:row>
    <x:row r="33">
      <x:c r="A33" s="34" t="str">
        <x:v>M5-SNAP-028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/>
      <x:c r="N33" s="34" t="str"/>
      <x:c r="O33" s="34" t="str"/>
      <x:c r="P33" s="34" t="str"/>
      <x:c r="Q33" s="34" t="str"/>
      <x:c r="R33" s="34" t="str"/>
      <x:c r="S33" s="34" t="str"/>
      <x:c r="T33" s="34" t="str"/>
      <x:c r="U33" s="34" t="str"/>
      <x:c r="V33" s="34" t="str"/>
      <x:c r="W33" s="34" t="str"/>
      <x:c r="X33" s="34" t="str"/>
      <x:c r="Y33" s="34" t="str"/>
      <x:c r="Z33" s="34" t="str"/>
      <x:c r="AA33" s="34" t="str"/>
      <x:c r="AB33" s="34" t="str"/>
      <x:c r="AC33" s="34" t="str"/>
      <x:c r="AD33" s="34" t="str"/>
      <x:c r="AE33" s="34" t="str"/>
      <x:c r="AF33" s="34" t="str"/>
      <x:c r="AG33" s="34" t="str"/>
      <x:c r="AH33" s="34" t="str"/>
      <x:c r="AI33" s="34" t="str"/>
      <x:c r="AJ33" s="34" t="str"/>
      <x:c r="AK33" s="34" t="str"/>
      <x:c r="AL33" s="34" t="str">
        <x:v>草稿</x:v>
      </x:c>
      <x:c r="AM33" s="34" t="str">
        <x:f>IF(A33="","",IF(AND(B33&lt;&gt;"",F33&lt;&gt;"",H33&lt;&gt;"",J33&lt;&gt;"",Y33&lt;&gt;"",Z33&lt;&gt;"",AA33&lt;&gt;"",AB33&lt;&gt;"",AL33="已冻结"),"是","否"))</x:f>
        <x:v>否</x:v>
      </x:c>
    </x:row>
    <x:row r="34">
      <x:c r="A34" s="34" t="str">
        <x:v>M5-SNAP-029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/>
      <x:c r="N34" s="34" t="str"/>
      <x:c r="O34" s="34" t="str"/>
      <x:c r="P34" s="34" t="str"/>
      <x:c r="Q34" s="34" t="str"/>
      <x:c r="R34" s="34" t="str"/>
      <x:c r="S34" s="34" t="str"/>
      <x:c r="T34" s="34" t="str"/>
      <x:c r="U34" s="34" t="str"/>
      <x:c r="V34" s="34" t="str"/>
      <x:c r="W34" s="34" t="str"/>
      <x:c r="X34" s="34" t="str"/>
      <x:c r="Y34" s="34" t="str"/>
      <x:c r="Z34" s="34" t="str"/>
      <x:c r="AA34" s="34" t="str"/>
      <x:c r="AB34" s="34" t="str"/>
      <x:c r="AC34" s="34" t="str"/>
      <x:c r="AD34" s="34" t="str"/>
      <x:c r="AE34" s="34" t="str"/>
      <x:c r="AF34" s="34" t="str"/>
      <x:c r="AG34" s="34" t="str"/>
      <x:c r="AH34" s="34" t="str"/>
      <x:c r="AI34" s="34" t="str"/>
      <x:c r="AJ34" s="34" t="str"/>
      <x:c r="AK34" s="34" t="str"/>
      <x:c r="AL34" s="34" t="str">
        <x:v>草稿</x:v>
      </x:c>
      <x:c r="AM34" s="34" t="str">
        <x:f>IF(A34="","",IF(AND(B34&lt;&gt;"",F34&lt;&gt;"",H34&lt;&gt;"",J34&lt;&gt;"",Y34&lt;&gt;"",Z34&lt;&gt;"",AA34&lt;&gt;"",AB34&lt;&gt;"",AL34="已冻结"),"是","否"))</x:f>
        <x:v>否</x:v>
      </x:c>
    </x:row>
    <x:row r="35">
      <x:c r="A35" s="34" t="str">
        <x:v>M5-SNAP-030</x:v>
      </x:c>
      <x:c r="B35" s="34" t="str"/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/>
      <x:c r="N35" s="34" t="str"/>
      <x:c r="O35" s="34" t="str"/>
      <x:c r="P35" s="34" t="str"/>
      <x:c r="Q35" s="34" t="str"/>
      <x:c r="R35" s="34" t="str"/>
      <x:c r="S35" s="34" t="str"/>
      <x:c r="T35" s="34" t="str"/>
      <x:c r="U35" s="34" t="str"/>
      <x:c r="V35" s="34" t="str"/>
      <x:c r="W35" s="34" t="str"/>
      <x:c r="X35" s="34" t="str"/>
      <x:c r="Y35" s="34" t="str"/>
      <x:c r="Z35" s="34" t="str"/>
      <x:c r="AA35" s="34" t="str"/>
      <x:c r="AB35" s="34" t="str"/>
      <x:c r="AC35" s="34" t="str"/>
      <x:c r="AD35" s="34" t="str"/>
      <x:c r="AE35" s="34" t="str"/>
      <x:c r="AF35" s="34" t="str"/>
      <x:c r="AG35" s="34" t="str"/>
      <x:c r="AH35" s="34" t="str"/>
      <x:c r="AI35" s="34" t="str"/>
      <x:c r="AJ35" s="34" t="str"/>
      <x:c r="AK35" s="34" t="str"/>
      <x:c r="AL35" s="34" t="str">
        <x:v>草稿</x:v>
      </x:c>
      <x:c r="AM35" s="34" t="str">
        <x:f>IF(A35="","",IF(AND(B35&lt;&gt;"",F35&lt;&gt;"",H35&lt;&gt;"",J35&lt;&gt;"",Y35&lt;&gt;"",Z35&lt;&gt;"",AA35&lt;&gt;"",AB35&lt;&gt;"",AL35="已冻结"),"是","否"))</x:f>
        <x:v>否</x:v>
      </x:c>
    </x:row>
    <x:row r="36">
      <x:c r="A36" s="34" t="str">
        <x:v>M5-SNAP-031</x:v>
      </x:c>
      <x:c r="B36" s="34" t="str"/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/>
      <x:c r="N36" s="34" t="str"/>
      <x:c r="O36" s="34" t="str"/>
      <x:c r="P36" s="34" t="str"/>
      <x:c r="Q36" s="34" t="str"/>
      <x:c r="R36" s="34" t="str"/>
      <x:c r="S36" s="34" t="str"/>
      <x:c r="T36" s="34" t="str"/>
      <x:c r="U36" s="34" t="str"/>
      <x:c r="V36" s="34" t="str"/>
      <x:c r="W36" s="34" t="str"/>
      <x:c r="X36" s="34" t="str"/>
      <x:c r="Y36" s="34" t="str"/>
      <x:c r="Z36" s="34" t="str"/>
      <x:c r="AA36" s="34" t="str"/>
      <x:c r="AB36" s="34" t="str"/>
      <x:c r="AC36" s="34" t="str"/>
      <x:c r="AD36" s="34" t="str"/>
      <x:c r="AE36" s="34" t="str"/>
      <x:c r="AF36" s="34" t="str"/>
      <x:c r="AG36" s="34" t="str"/>
      <x:c r="AH36" s="34" t="str"/>
      <x:c r="AI36" s="34" t="str"/>
      <x:c r="AJ36" s="34" t="str"/>
      <x:c r="AK36" s="34" t="str"/>
      <x:c r="AL36" s="34" t="str">
        <x:v>草稿</x:v>
      </x:c>
      <x:c r="AM36" s="34" t="str">
        <x:f>IF(A36="","",IF(AND(B36&lt;&gt;"",F36&lt;&gt;"",H36&lt;&gt;"",J36&lt;&gt;"",Y36&lt;&gt;"",Z36&lt;&gt;"",AA36&lt;&gt;"",AB36&lt;&gt;"",AL36="已冻结"),"是","否"))</x:f>
        <x:v>否</x:v>
      </x:c>
    </x:row>
    <x:row r="37">
      <x:c r="A37" s="34" t="str">
        <x:v>M5-SNAP-032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/>
      <x:c r="N37" s="34" t="str"/>
      <x:c r="O37" s="34" t="str"/>
      <x:c r="P37" s="34" t="str"/>
      <x:c r="Q37" s="34" t="str"/>
      <x:c r="R37" s="34" t="str"/>
      <x:c r="S37" s="34" t="str"/>
      <x:c r="T37" s="34" t="str"/>
      <x:c r="U37" s="34" t="str"/>
      <x:c r="V37" s="34" t="str"/>
      <x:c r="W37" s="34" t="str"/>
      <x:c r="X37" s="34" t="str"/>
      <x:c r="Y37" s="34" t="str"/>
      <x:c r="Z37" s="34" t="str"/>
      <x:c r="AA37" s="34" t="str"/>
      <x:c r="AB37" s="34" t="str"/>
      <x:c r="AC37" s="34" t="str"/>
      <x:c r="AD37" s="34" t="str"/>
      <x:c r="AE37" s="34" t="str"/>
      <x:c r="AF37" s="34" t="str"/>
      <x:c r="AG37" s="34" t="str"/>
      <x:c r="AH37" s="34" t="str"/>
      <x:c r="AI37" s="34" t="str"/>
      <x:c r="AJ37" s="34" t="str"/>
      <x:c r="AK37" s="34" t="str"/>
      <x:c r="AL37" s="34" t="str">
        <x:v>草稿</x:v>
      </x:c>
      <x:c r="AM37" s="34" t="str">
        <x:f>IF(A37="","",IF(AND(B37&lt;&gt;"",F37&lt;&gt;"",H37&lt;&gt;"",J37&lt;&gt;"",Y37&lt;&gt;"",Z37&lt;&gt;"",AA37&lt;&gt;"",AB37&lt;&gt;"",AL37="已冻结"),"是","否"))</x:f>
        <x:v>否</x:v>
      </x:c>
    </x:row>
    <x:row r="38">
      <x:c r="A38" s="34" t="str">
        <x:v>M5-SNAP-033</x:v>
      </x:c>
      <x:c r="B38" s="34" t="str"/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/>
      <x:c r="N38" s="34" t="str"/>
      <x:c r="O38" s="34" t="str"/>
      <x:c r="P38" s="34" t="str"/>
      <x:c r="Q38" s="34" t="str"/>
      <x:c r="R38" s="34" t="str"/>
      <x:c r="S38" s="34" t="str"/>
      <x:c r="T38" s="34" t="str"/>
      <x:c r="U38" s="34" t="str"/>
      <x:c r="V38" s="34" t="str"/>
      <x:c r="W38" s="34" t="str"/>
      <x:c r="X38" s="34" t="str"/>
      <x:c r="Y38" s="34" t="str"/>
      <x:c r="Z38" s="34" t="str"/>
      <x:c r="AA38" s="34" t="str"/>
      <x:c r="AB38" s="34" t="str"/>
      <x:c r="AC38" s="34" t="str"/>
      <x:c r="AD38" s="34" t="str"/>
      <x:c r="AE38" s="34" t="str"/>
      <x:c r="AF38" s="34" t="str"/>
      <x:c r="AG38" s="34" t="str"/>
      <x:c r="AH38" s="34" t="str"/>
      <x:c r="AI38" s="34" t="str"/>
      <x:c r="AJ38" s="34" t="str"/>
      <x:c r="AK38" s="34" t="str"/>
      <x:c r="AL38" s="34" t="str">
        <x:v>草稿</x:v>
      </x:c>
      <x:c r="AM38" s="34" t="str">
        <x:f>IF(A38="","",IF(AND(B38&lt;&gt;"",F38&lt;&gt;"",H38&lt;&gt;"",J38&lt;&gt;"",Y38&lt;&gt;"",Z38&lt;&gt;"",AA38&lt;&gt;"",AB38&lt;&gt;"",AL38="已冻结"),"是","否"))</x:f>
        <x:v>否</x:v>
      </x:c>
    </x:row>
    <x:row r="39">
      <x:c r="A39" s="34" t="str">
        <x:v>M5-SNAP-034</x:v>
      </x:c>
      <x:c r="B39" s="34" t="str"/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/>
      <x:c r="N39" s="34" t="str"/>
      <x:c r="O39" s="34" t="str"/>
      <x:c r="P39" s="34" t="str"/>
      <x:c r="Q39" s="34" t="str"/>
      <x:c r="R39" s="34" t="str"/>
      <x:c r="S39" s="34" t="str"/>
      <x:c r="T39" s="34" t="str"/>
      <x:c r="U39" s="34" t="str"/>
      <x:c r="V39" s="34" t="str"/>
      <x:c r="W39" s="34" t="str"/>
      <x:c r="X39" s="34" t="str"/>
      <x:c r="Y39" s="34" t="str"/>
      <x:c r="Z39" s="34" t="str"/>
      <x:c r="AA39" s="34" t="str"/>
      <x:c r="AB39" s="34" t="str"/>
      <x:c r="AC39" s="34" t="str"/>
      <x:c r="AD39" s="34" t="str"/>
      <x:c r="AE39" s="34" t="str"/>
      <x:c r="AF39" s="34" t="str"/>
      <x:c r="AG39" s="34" t="str"/>
      <x:c r="AH39" s="34" t="str"/>
      <x:c r="AI39" s="34" t="str"/>
      <x:c r="AJ39" s="34" t="str"/>
      <x:c r="AK39" s="34" t="str"/>
      <x:c r="AL39" s="34" t="str">
        <x:v>草稿</x:v>
      </x:c>
      <x:c r="AM39" s="34" t="str">
        <x:f>IF(A39="","",IF(AND(B39&lt;&gt;"",F39&lt;&gt;"",H39&lt;&gt;"",J39&lt;&gt;"",Y39&lt;&gt;"",Z39&lt;&gt;"",AA39&lt;&gt;"",AB39&lt;&gt;"",AL39="已冻结"),"是","否"))</x:f>
        <x:v>否</x:v>
      </x:c>
    </x:row>
    <x:row r="40">
      <x:c r="A40" s="34" t="str">
        <x:v>M5-SNAP-035</x:v>
      </x:c>
      <x:c r="B40" s="34" t="str"/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/>
      <x:c r="N40" s="34" t="str"/>
      <x:c r="O40" s="34" t="str"/>
      <x:c r="P40" s="34" t="str"/>
      <x:c r="Q40" s="34" t="str"/>
      <x:c r="R40" s="34" t="str"/>
      <x:c r="S40" s="34" t="str"/>
      <x:c r="T40" s="34" t="str"/>
      <x:c r="U40" s="34" t="str"/>
      <x:c r="V40" s="34" t="str"/>
      <x:c r="W40" s="34" t="str"/>
      <x:c r="X40" s="34" t="str"/>
      <x:c r="Y40" s="34" t="str"/>
      <x:c r="Z40" s="34" t="str"/>
      <x:c r="AA40" s="34" t="str"/>
      <x:c r="AB40" s="34" t="str"/>
      <x:c r="AC40" s="34" t="str"/>
      <x:c r="AD40" s="34" t="str"/>
      <x:c r="AE40" s="34" t="str"/>
      <x:c r="AF40" s="34" t="str"/>
      <x:c r="AG40" s="34" t="str"/>
      <x:c r="AH40" s="34" t="str"/>
      <x:c r="AI40" s="34" t="str"/>
      <x:c r="AJ40" s="34" t="str"/>
      <x:c r="AK40" s="34" t="str"/>
      <x:c r="AL40" s="34" t="str">
        <x:v>草稿</x:v>
      </x:c>
      <x:c r="AM40" s="34" t="str">
        <x:f>IF(A40="","",IF(AND(B40&lt;&gt;"",F40&lt;&gt;"",H40&lt;&gt;"",J40&lt;&gt;"",Y40&lt;&gt;"",Z40&lt;&gt;"",AA40&lt;&gt;"",AB40&lt;&gt;"",AL40="已冻结"),"是","否"))</x:f>
        <x:v>否</x:v>
      </x:c>
    </x:row>
    <x:row r="41">
      <x:c r="A41" s="34" t="str">
        <x:v>M5-SNAP-036</x:v>
      </x:c>
      <x:c r="B41" s="34" t="str"/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/>
      <x:c r="N41" s="34" t="str"/>
      <x:c r="O41" s="34" t="str"/>
      <x:c r="P41" s="34" t="str"/>
      <x:c r="Q41" s="34" t="str"/>
      <x:c r="R41" s="34" t="str"/>
      <x:c r="S41" s="34" t="str"/>
      <x:c r="T41" s="34" t="str"/>
      <x:c r="U41" s="34" t="str"/>
      <x:c r="V41" s="34" t="str"/>
      <x:c r="W41" s="34" t="str"/>
      <x:c r="X41" s="34" t="str"/>
      <x:c r="Y41" s="34" t="str"/>
      <x:c r="Z41" s="34" t="str"/>
      <x:c r="AA41" s="34" t="str"/>
      <x:c r="AB41" s="34" t="str"/>
      <x:c r="AC41" s="34" t="str"/>
      <x:c r="AD41" s="34" t="str"/>
      <x:c r="AE41" s="34" t="str"/>
      <x:c r="AF41" s="34" t="str"/>
      <x:c r="AG41" s="34" t="str"/>
      <x:c r="AH41" s="34" t="str"/>
      <x:c r="AI41" s="34" t="str"/>
      <x:c r="AJ41" s="34" t="str"/>
      <x:c r="AK41" s="34" t="str"/>
      <x:c r="AL41" s="34" t="str">
        <x:v>草稿</x:v>
      </x:c>
      <x:c r="AM41" s="34" t="str">
        <x:f>IF(A41="","",IF(AND(B41&lt;&gt;"",F41&lt;&gt;"",H41&lt;&gt;"",J41&lt;&gt;"",Y41&lt;&gt;"",Z41&lt;&gt;"",AA41&lt;&gt;"",AB41&lt;&gt;"",AL41="已冻结"),"是","否"))</x:f>
        <x:v>否</x:v>
      </x:c>
    </x:row>
    <x:row r="42">
      <x:c r="A42" s="34" t="str">
        <x:v>M5-SNAP-037</x:v>
      </x:c>
      <x:c r="B42" s="34" t="str"/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/>
      <x:c r="N42" s="34" t="str"/>
      <x:c r="O42" s="34" t="str"/>
      <x:c r="P42" s="34" t="str"/>
      <x:c r="Q42" s="34" t="str"/>
      <x:c r="R42" s="34" t="str"/>
      <x:c r="S42" s="34" t="str"/>
      <x:c r="T42" s="34" t="str"/>
      <x:c r="U42" s="34" t="str"/>
      <x:c r="V42" s="34" t="str"/>
      <x:c r="W42" s="34" t="str"/>
      <x:c r="X42" s="34" t="str"/>
      <x:c r="Y42" s="34" t="str"/>
      <x:c r="Z42" s="34" t="str"/>
      <x:c r="AA42" s="34" t="str"/>
      <x:c r="AB42" s="34" t="str"/>
      <x:c r="AC42" s="34" t="str"/>
      <x:c r="AD42" s="34" t="str"/>
      <x:c r="AE42" s="34" t="str"/>
      <x:c r="AF42" s="34" t="str"/>
      <x:c r="AG42" s="34" t="str"/>
      <x:c r="AH42" s="34" t="str"/>
      <x:c r="AI42" s="34" t="str"/>
      <x:c r="AJ42" s="34" t="str"/>
      <x:c r="AK42" s="34" t="str"/>
      <x:c r="AL42" s="34" t="str">
        <x:v>草稿</x:v>
      </x:c>
      <x:c r="AM42" s="34" t="str">
        <x:f>IF(A42="","",IF(AND(B42&lt;&gt;"",F42&lt;&gt;"",H42&lt;&gt;"",J42&lt;&gt;"",Y42&lt;&gt;"",Z42&lt;&gt;"",AA42&lt;&gt;"",AB42&lt;&gt;"",AL42="已冻结"),"是","否"))</x:f>
        <x:v>否</x:v>
      </x:c>
    </x:row>
    <x:row r="43">
      <x:c r="A43" s="34" t="str">
        <x:v>M5-SNAP-038</x:v>
      </x:c>
      <x:c r="B43" s="34" t="str"/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/>
      <x:c r="N43" s="34" t="str"/>
      <x:c r="O43" s="34" t="str"/>
      <x:c r="P43" s="34" t="str"/>
      <x:c r="Q43" s="34" t="str"/>
      <x:c r="R43" s="34" t="str"/>
      <x:c r="S43" s="34" t="str"/>
      <x:c r="T43" s="34" t="str"/>
      <x:c r="U43" s="34" t="str"/>
      <x:c r="V43" s="34" t="str"/>
      <x:c r="W43" s="34" t="str"/>
      <x:c r="X43" s="34" t="str"/>
      <x:c r="Y43" s="34" t="str"/>
      <x:c r="Z43" s="34" t="str"/>
      <x:c r="AA43" s="34" t="str"/>
      <x:c r="AB43" s="34" t="str"/>
      <x:c r="AC43" s="34" t="str"/>
      <x:c r="AD43" s="34" t="str"/>
      <x:c r="AE43" s="34" t="str"/>
      <x:c r="AF43" s="34" t="str"/>
      <x:c r="AG43" s="34" t="str"/>
      <x:c r="AH43" s="34" t="str"/>
      <x:c r="AI43" s="34" t="str"/>
      <x:c r="AJ43" s="34" t="str"/>
      <x:c r="AK43" s="34" t="str"/>
      <x:c r="AL43" s="34" t="str">
        <x:v>草稿</x:v>
      </x:c>
      <x:c r="AM43" s="34" t="str">
        <x:f>IF(A43="","",IF(AND(B43&lt;&gt;"",F43&lt;&gt;"",H43&lt;&gt;"",J43&lt;&gt;"",Y43&lt;&gt;"",Z43&lt;&gt;"",AA43&lt;&gt;"",AB43&lt;&gt;"",AL43="已冻结"),"是","否"))</x:f>
        <x:v>否</x:v>
      </x:c>
    </x:row>
    <x:row r="44">
      <x:c r="A44" s="34" t="str">
        <x:v>M5-SNAP-039</x:v>
      </x:c>
      <x:c r="B44" s="34" t="str"/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/>
      <x:c r="N44" s="34" t="str"/>
      <x:c r="O44" s="34" t="str"/>
      <x:c r="P44" s="34" t="str"/>
      <x:c r="Q44" s="34" t="str"/>
      <x:c r="R44" s="34" t="str"/>
      <x:c r="S44" s="34" t="str"/>
      <x:c r="T44" s="34" t="str"/>
      <x:c r="U44" s="34" t="str"/>
      <x:c r="V44" s="34" t="str"/>
      <x:c r="W44" s="34" t="str"/>
      <x:c r="X44" s="34" t="str"/>
      <x:c r="Y44" s="34" t="str"/>
      <x:c r="Z44" s="34" t="str"/>
      <x:c r="AA44" s="34" t="str"/>
      <x:c r="AB44" s="34" t="str"/>
      <x:c r="AC44" s="34" t="str"/>
      <x:c r="AD44" s="34" t="str"/>
      <x:c r="AE44" s="34" t="str"/>
      <x:c r="AF44" s="34" t="str"/>
      <x:c r="AG44" s="34" t="str"/>
      <x:c r="AH44" s="34" t="str"/>
      <x:c r="AI44" s="34" t="str"/>
      <x:c r="AJ44" s="34" t="str"/>
      <x:c r="AK44" s="34" t="str"/>
      <x:c r="AL44" s="34" t="str">
        <x:v>草稿</x:v>
      </x:c>
      <x:c r="AM44" s="34" t="str">
        <x:f>IF(A44="","",IF(AND(B44&lt;&gt;"",F44&lt;&gt;"",H44&lt;&gt;"",J44&lt;&gt;"",Y44&lt;&gt;"",Z44&lt;&gt;"",AA44&lt;&gt;"",AB44&lt;&gt;"",AL44="已冻结"),"是","否"))</x:f>
        <x:v>否</x:v>
      </x:c>
    </x:row>
    <x:row r="45">
      <x:c r="A45" s="34" t="str">
        <x:v>M5-SNAP-040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/>
      <x:c r="N45" s="34" t="str"/>
      <x:c r="O45" s="34" t="str"/>
      <x:c r="P45" s="34" t="str"/>
      <x:c r="Q45" s="34" t="str"/>
      <x:c r="R45" s="34" t="str"/>
      <x:c r="S45" s="34" t="str"/>
      <x:c r="T45" s="34" t="str"/>
      <x:c r="U45" s="34" t="str"/>
      <x:c r="V45" s="34" t="str"/>
      <x:c r="W45" s="34" t="str"/>
      <x:c r="X45" s="34" t="str"/>
      <x:c r="Y45" s="34" t="str"/>
      <x:c r="Z45" s="34" t="str"/>
      <x:c r="AA45" s="34" t="str"/>
      <x:c r="AB45" s="34" t="str"/>
      <x:c r="AC45" s="34" t="str"/>
      <x:c r="AD45" s="34" t="str"/>
      <x:c r="AE45" s="34" t="str"/>
      <x:c r="AF45" s="34" t="str"/>
      <x:c r="AG45" s="34" t="str"/>
      <x:c r="AH45" s="34" t="str"/>
      <x:c r="AI45" s="34" t="str"/>
      <x:c r="AJ45" s="34" t="str"/>
      <x:c r="AK45" s="34" t="str"/>
      <x:c r="AL45" s="34" t="str">
        <x:v>草稿</x:v>
      </x:c>
      <x:c r="AM45" s="34" t="str">
        <x:f>IF(A45="","",IF(AND(B45&lt;&gt;"",F45&lt;&gt;"",H45&lt;&gt;"",J45&lt;&gt;"",Y45&lt;&gt;"",Z45&lt;&gt;"",AA45&lt;&gt;"",AB45&lt;&gt;"",AL45="已冻结"),"是","否"))</x:f>
        <x:v>否</x:v>
      </x:c>
    </x:row>
    <x:row r="46">
      <x:c r="A46" s="34" t="str">
        <x:v>M5-SNAP-041</x:v>
      </x:c>
      <x:c r="B46" s="34" t="str"/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/>
      <x:c r="N46" s="34" t="str"/>
      <x:c r="O46" s="34" t="str"/>
      <x:c r="P46" s="34" t="str"/>
      <x:c r="Q46" s="34" t="str"/>
      <x:c r="R46" s="34" t="str"/>
      <x:c r="S46" s="34" t="str"/>
      <x:c r="T46" s="34" t="str"/>
      <x:c r="U46" s="34" t="str"/>
      <x:c r="V46" s="34" t="str"/>
      <x:c r="W46" s="34" t="str"/>
      <x:c r="X46" s="34" t="str"/>
      <x:c r="Y46" s="34" t="str"/>
      <x:c r="Z46" s="34" t="str"/>
      <x:c r="AA46" s="34" t="str"/>
      <x:c r="AB46" s="34" t="str"/>
      <x:c r="AC46" s="34" t="str"/>
      <x:c r="AD46" s="34" t="str"/>
      <x:c r="AE46" s="34" t="str"/>
      <x:c r="AF46" s="34" t="str"/>
      <x:c r="AG46" s="34" t="str"/>
      <x:c r="AH46" s="34" t="str"/>
      <x:c r="AI46" s="34" t="str"/>
      <x:c r="AJ46" s="34" t="str"/>
      <x:c r="AK46" s="34" t="str"/>
      <x:c r="AL46" s="34" t="str">
        <x:v>草稿</x:v>
      </x:c>
      <x:c r="AM46" s="34" t="str">
        <x:f>IF(A46="","",IF(AND(B46&lt;&gt;"",F46&lt;&gt;"",H46&lt;&gt;"",J46&lt;&gt;"",Y46&lt;&gt;"",Z46&lt;&gt;"",AA46&lt;&gt;"",AB46&lt;&gt;"",AL46="已冻结"),"是","否"))</x:f>
        <x:v>否</x:v>
      </x:c>
    </x:row>
    <x:row r="47">
      <x:c r="A47" s="34" t="str">
        <x:v>M5-SNAP-042</x:v>
      </x:c>
      <x:c r="B47" s="34" t="str"/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/>
      <x:c r="N47" s="34" t="str"/>
      <x:c r="O47" s="34" t="str"/>
      <x:c r="P47" s="34" t="str"/>
      <x:c r="Q47" s="34" t="str"/>
      <x:c r="R47" s="34" t="str"/>
      <x:c r="S47" s="34" t="str"/>
      <x:c r="T47" s="34" t="str"/>
      <x:c r="U47" s="34" t="str"/>
      <x:c r="V47" s="34" t="str"/>
      <x:c r="W47" s="34" t="str"/>
      <x:c r="X47" s="34" t="str"/>
      <x:c r="Y47" s="34" t="str"/>
      <x:c r="Z47" s="34" t="str"/>
      <x:c r="AA47" s="34" t="str"/>
      <x:c r="AB47" s="34" t="str"/>
      <x:c r="AC47" s="34" t="str"/>
      <x:c r="AD47" s="34" t="str"/>
      <x:c r="AE47" s="34" t="str"/>
      <x:c r="AF47" s="34" t="str"/>
      <x:c r="AG47" s="34" t="str"/>
      <x:c r="AH47" s="34" t="str"/>
      <x:c r="AI47" s="34" t="str"/>
      <x:c r="AJ47" s="34" t="str"/>
      <x:c r="AK47" s="34" t="str"/>
      <x:c r="AL47" s="34" t="str">
        <x:v>草稿</x:v>
      </x:c>
      <x:c r="AM47" s="34" t="str">
        <x:f>IF(A47="","",IF(AND(B47&lt;&gt;"",F47&lt;&gt;"",H47&lt;&gt;"",J47&lt;&gt;"",Y47&lt;&gt;"",Z47&lt;&gt;"",AA47&lt;&gt;"",AB47&lt;&gt;"",AL47="已冻结"),"是","否"))</x:f>
        <x:v>否</x:v>
      </x:c>
    </x:row>
    <x:row r="48">
      <x:c r="A48" s="34" t="str">
        <x:v>M5-SNAP-043</x:v>
      </x:c>
      <x:c r="B48" s="34" t="str"/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/>
      <x:c r="N48" s="34" t="str"/>
      <x:c r="O48" s="34" t="str"/>
      <x:c r="P48" s="34" t="str"/>
      <x:c r="Q48" s="34" t="str"/>
      <x:c r="R48" s="34" t="str"/>
      <x:c r="S48" s="34" t="str"/>
      <x:c r="T48" s="34" t="str"/>
      <x:c r="U48" s="34" t="str"/>
      <x:c r="V48" s="34" t="str"/>
      <x:c r="W48" s="34" t="str"/>
      <x:c r="X48" s="34" t="str"/>
      <x:c r="Y48" s="34" t="str"/>
      <x:c r="Z48" s="34" t="str"/>
      <x:c r="AA48" s="34" t="str"/>
      <x:c r="AB48" s="34" t="str"/>
      <x:c r="AC48" s="34" t="str"/>
      <x:c r="AD48" s="34" t="str"/>
      <x:c r="AE48" s="34" t="str"/>
      <x:c r="AF48" s="34" t="str"/>
      <x:c r="AG48" s="34" t="str"/>
      <x:c r="AH48" s="34" t="str"/>
      <x:c r="AI48" s="34" t="str"/>
      <x:c r="AJ48" s="34" t="str"/>
      <x:c r="AK48" s="34" t="str"/>
      <x:c r="AL48" s="34" t="str">
        <x:v>草稿</x:v>
      </x:c>
      <x:c r="AM48" s="34" t="str">
        <x:f>IF(A48="","",IF(AND(B48&lt;&gt;"",F48&lt;&gt;"",H48&lt;&gt;"",J48&lt;&gt;"",Y48&lt;&gt;"",Z48&lt;&gt;"",AA48&lt;&gt;"",AB48&lt;&gt;"",AL48="已冻结"),"是","否"))</x:f>
        <x:v>否</x:v>
      </x:c>
    </x:row>
    <x:row r="49">
      <x:c r="A49" s="34" t="str">
        <x:v>M5-SNAP-044</x:v>
      </x:c>
      <x:c r="B49" s="34" t="str"/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/>
      <x:c r="N49" s="34" t="str"/>
      <x:c r="O49" s="34" t="str"/>
      <x:c r="P49" s="34" t="str"/>
      <x:c r="Q49" s="34" t="str"/>
      <x:c r="R49" s="34" t="str"/>
      <x:c r="S49" s="34" t="str"/>
      <x:c r="T49" s="34" t="str"/>
      <x:c r="U49" s="34" t="str"/>
      <x:c r="V49" s="34" t="str"/>
      <x:c r="W49" s="34" t="str"/>
      <x:c r="X49" s="34" t="str"/>
      <x:c r="Y49" s="34" t="str"/>
      <x:c r="Z49" s="34" t="str"/>
      <x:c r="AA49" s="34" t="str"/>
      <x:c r="AB49" s="34" t="str"/>
      <x:c r="AC49" s="34" t="str"/>
      <x:c r="AD49" s="34" t="str"/>
      <x:c r="AE49" s="34" t="str"/>
      <x:c r="AF49" s="34" t="str"/>
      <x:c r="AG49" s="34" t="str"/>
      <x:c r="AH49" s="34" t="str"/>
      <x:c r="AI49" s="34" t="str"/>
      <x:c r="AJ49" s="34" t="str"/>
      <x:c r="AK49" s="34" t="str"/>
      <x:c r="AL49" s="34" t="str">
        <x:v>草稿</x:v>
      </x:c>
      <x:c r="AM49" s="34" t="str">
        <x:f>IF(A49="","",IF(AND(B49&lt;&gt;"",F49&lt;&gt;"",H49&lt;&gt;"",J49&lt;&gt;"",Y49&lt;&gt;"",Z49&lt;&gt;"",AA49&lt;&gt;"",AB49&lt;&gt;"",AL49="已冻结"),"是","否"))</x:f>
        <x:v>否</x:v>
      </x:c>
    </x:row>
    <x:row r="50">
      <x:c r="A50" s="34" t="str">
        <x:v>M5-SNAP-045</x:v>
      </x:c>
      <x:c r="B50" s="34" t="str"/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/>
      <x:c r="N50" s="34" t="str"/>
      <x:c r="O50" s="34" t="str"/>
      <x:c r="P50" s="34" t="str"/>
      <x:c r="Q50" s="34" t="str"/>
      <x:c r="R50" s="34" t="str"/>
      <x:c r="S50" s="34" t="str"/>
      <x:c r="T50" s="34" t="str"/>
      <x:c r="U50" s="34" t="str"/>
      <x:c r="V50" s="34" t="str"/>
      <x:c r="W50" s="34" t="str"/>
      <x:c r="X50" s="34" t="str"/>
      <x:c r="Y50" s="34" t="str"/>
      <x:c r="Z50" s="34" t="str"/>
      <x:c r="AA50" s="34" t="str"/>
      <x:c r="AB50" s="34" t="str"/>
      <x:c r="AC50" s="34" t="str"/>
      <x:c r="AD50" s="34" t="str"/>
      <x:c r="AE50" s="34" t="str"/>
      <x:c r="AF50" s="34" t="str"/>
      <x:c r="AG50" s="34" t="str"/>
      <x:c r="AH50" s="34" t="str"/>
      <x:c r="AI50" s="34" t="str"/>
      <x:c r="AJ50" s="34" t="str"/>
      <x:c r="AK50" s="34" t="str"/>
      <x:c r="AL50" s="34" t="str">
        <x:v>草稿</x:v>
      </x:c>
      <x:c r="AM50" s="34" t="str">
        <x:f>IF(A50="","",IF(AND(B50&lt;&gt;"",F50&lt;&gt;"",H50&lt;&gt;"",J50&lt;&gt;"",Y50&lt;&gt;"",Z50&lt;&gt;"",AA50&lt;&gt;"",AB50&lt;&gt;"",AL50="已冻结"),"是","否"))</x:f>
        <x:v>否</x:v>
      </x:c>
    </x:row>
    <x:row r="51">
      <x:c r="A51" s="34" t="str">
        <x:v>M5-SNAP-046</x:v>
      </x:c>
      <x:c r="B51" s="34" t="str"/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/>
      <x:c r="N51" s="34" t="str"/>
      <x:c r="O51" s="34" t="str"/>
      <x:c r="P51" s="34" t="str"/>
      <x:c r="Q51" s="34" t="str"/>
      <x:c r="R51" s="34" t="str"/>
      <x:c r="S51" s="34" t="str"/>
      <x:c r="T51" s="34" t="str"/>
      <x:c r="U51" s="34" t="str"/>
      <x:c r="V51" s="34" t="str"/>
      <x:c r="W51" s="34" t="str"/>
      <x:c r="X51" s="34" t="str"/>
      <x:c r="Y51" s="34" t="str"/>
      <x:c r="Z51" s="34" t="str"/>
      <x:c r="AA51" s="34" t="str"/>
      <x:c r="AB51" s="34" t="str"/>
      <x:c r="AC51" s="34" t="str"/>
      <x:c r="AD51" s="34" t="str"/>
      <x:c r="AE51" s="34" t="str"/>
      <x:c r="AF51" s="34" t="str"/>
      <x:c r="AG51" s="34" t="str"/>
      <x:c r="AH51" s="34" t="str"/>
      <x:c r="AI51" s="34" t="str"/>
      <x:c r="AJ51" s="34" t="str"/>
      <x:c r="AK51" s="34" t="str"/>
      <x:c r="AL51" s="34" t="str">
        <x:v>草稿</x:v>
      </x:c>
      <x:c r="AM51" s="34" t="str">
        <x:f>IF(A51="","",IF(AND(B51&lt;&gt;"",F51&lt;&gt;"",H51&lt;&gt;"",J51&lt;&gt;"",Y51&lt;&gt;"",Z51&lt;&gt;"",AA51&lt;&gt;"",AB51&lt;&gt;"",AL51="已冻结"),"是","否"))</x:f>
        <x:v>否</x:v>
      </x:c>
    </x:row>
    <x:row r="52">
      <x:c r="A52" s="34" t="str">
        <x:v>M5-SNAP-047</x:v>
      </x:c>
      <x:c r="B52" s="34" t="str"/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/>
      <x:c r="N52" s="34" t="str"/>
      <x:c r="O52" s="34" t="str"/>
      <x:c r="P52" s="34" t="str"/>
      <x:c r="Q52" s="34" t="str"/>
      <x:c r="R52" s="34" t="str"/>
      <x:c r="S52" s="34" t="str"/>
      <x:c r="T52" s="34" t="str"/>
      <x:c r="U52" s="34" t="str"/>
      <x:c r="V52" s="34" t="str"/>
      <x:c r="W52" s="34" t="str"/>
      <x:c r="X52" s="34" t="str"/>
      <x:c r="Y52" s="34" t="str"/>
      <x:c r="Z52" s="34" t="str"/>
      <x:c r="AA52" s="34" t="str"/>
      <x:c r="AB52" s="34" t="str"/>
      <x:c r="AC52" s="34" t="str"/>
      <x:c r="AD52" s="34" t="str"/>
      <x:c r="AE52" s="34" t="str"/>
      <x:c r="AF52" s="34" t="str"/>
      <x:c r="AG52" s="34" t="str"/>
      <x:c r="AH52" s="34" t="str"/>
      <x:c r="AI52" s="34" t="str"/>
      <x:c r="AJ52" s="34" t="str"/>
      <x:c r="AK52" s="34" t="str"/>
      <x:c r="AL52" s="34" t="str">
        <x:v>草稿</x:v>
      </x:c>
      <x:c r="AM52" s="34" t="str">
        <x:f>IF(A52="","",IF(AND(B52&lt;&gt;"",F52&lt;&gt;"",H52&lt;&gt;"",J52&lt;&gt;"",Y52&lt;&gt;"",Z52&lt;&gt;"",AA52&lt;&gt;"",AB52&lt;&gt;"",AL52="已冻结"),"是","否"))</x:f>
        <x:v>否</x:v>
      </x:c>
    </x:row>
    <x:row r="53">
      <x:c r="A53" s="34" t="str">
        <x:v>M5-SNAP-048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/>
      <x:c r="N53" s="34" t="str"/>
      <x:c r="O53" s="34" t="str"/>
      <x:c r="P53" s="34" t="str"/>
      <x:c r="Q53" s="34" t="str"/>
      <x:c r="R53" s="34" t="str"/>
      <x:c r="S53" s="34" t="str"/>
      <x:c r="T53" s="34" t="str"/>
      <x:c r="U53" s="34" t="str"/>
      <x:c r="V53" s="34" t="str"/>
      <x:c r="W53" s="34" t="str"/>
      <x:c r="X53" s="34" t="str"/>
      <x:c r="Y53" s="34" t="str"/>
      <x:c r="Z53" s="34" t="str"/>
      <x:c r="AA53" s="34" t="str"/>
      <x:c r="AB53" s="34" t="str"/>
      <x:c r="AC53" s="34" t="str"/>
      <x:c r="AD53" s="34" t="str"/>
      <x:c r="AE53" s="34" t="str"/>
      <x:c r="AF53" s="34" t="str"/>
      <x:c r="AG53" s="34" t="str"/>
      <x:c r="AH53" s="34" t="str"/>
      <x:c r="AI53" s="34" t="str"/>
      <x:c r="AJ53" s="34" t="str"/>
      <x:c r="AK53" s="34" t="str"/>
      <x:c r="AL53" s="34" t="str">
        <x:v>草稿</x:v>
      </x:c>
      <x:c r="AM53" s="34" t="str">
        <x:f>IF(A53="","",IF(AND(B53&lt;&gt;"",F53&lt;&gt;"",H53&lt;&gt;"",J53&lt;&gt;"",Y53&lt;&gt;"",Z53&lt;&gt;"",AA53&lt;&gt;"",AB53&lt;&gt;"",AL53="已冻结"),"是","否"))</x:f>
        <x:v>否</x:v>
      </x:c>
    </x:row>
    <x:row r="54">
      <x:c r="A54" s="34" t="str">
        <x:v>M5-SNAP-049</x:v>
      </x:c>
      <x:c r="B54" s="34" t="str"/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/>
      <x:c r="N54" s="34" t="str"/>
      <x:c r="O54" s="34" t="str"/>
      <x:c r="P54" s="34" t="str"/>
      <x:c r="Q54" s="34" t="str"/>
      <x:c r="R54" s="34" t="str"/>
      <x:c r="S54" s="34" t="str"/>
      <x:c r="T54" s="34" t="str"/>
      <x:c r="U54" s="34" t="str"/>
      <x:c r="V54" s="34" t="str"/>
      <x:c r="W54" s="34" t="str"/>
      <x:c r="X54" s="34" t="str"/>
      <x:c r="Y54" s="34" t="str"/>
      <x:c r="Z54" s="34" t="str"/>
      <x:c r="AA54" s="34" t="str"/>
      <x:c r="AB54" s="34" t="str"/>
      <x:c r="AC54" s="34" t="str"/>
      <x:c r="AD54" s="34" t="str"/>
      <x:c r="AE54" s="34" t="str"/>
      <x:c r="AF54" s="34" t="str"/>
      <x:c r="AG54" s="34" t="str"/>
      <x:c r="AH54" s="34" t="str"/>
      <x:c r="AI54" s="34" t="str"/>
      <x:c r="AJ54" s="34" t="str"/>
      <x:c r="AK54" s="34" t="str"/>
      <x:c r="AL54" s="34" t="str">
        <x:v>草稿</x:v>
      </x:c>
      <x:c r="AM54" s="34" t="str">
        <x:f>IF(A54="","",IF(AND(B54&lt;&gt;"",F54&lt;&gt;"",H54&lt;&gt;"",J54&lt;&gt;"",Y54&lt;&gt;"",Z54&lt;&gt;"",AA54&lt;&gt;"",AB54&lt;&gt;"",AL54="已冻结"),"是","否"))</x:f>
        <x:v>否</x:v>
      </x:c>
    </x:row>
    <x:row r="55">
      <x:c r="A55" s="34" t="str">
        <x:v>M5-SNAP-050</x:v>
      </x:c>
      <x:c r="B55" s="34" t="str"/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/>
      <x:c r="N55" s="34" t="str"/>
      <x:c r="O55" s="34" t="str"/>
      <x:c r="P55" s="34" t="str"/>
      <x:c r="Q55" s="34" t="str"/>
      <x:c r="R55" s="34" t="str"/>
      <x:c r="S55" s="34" t="str"/>
      <x:c r="T55" s="34" t="str"/>
      <x:c r="U55" s="34" t="str"/>
      <x:c r="V55" s="34" t="str"/>
      <x:c r="W55" s="34" t="str"/>
      <x:c r="X55" s="34" t="str"/>
      <x:c r="Y55" s="34" t="str"/>
      <x:c r="Z55" s="34" t="str"/>
      <x:c r="AA55" s="34" t="str"/>
      <x:c r="AB55" s="34" t="str"/>
      <x:c r="AC55" s="34" t="str"/>
      <x:c r="AD55" s="34" t="str"/>
      <x:c r="AE55" s="34" t="str"/>
      <x:c r="AF55" s="34" t="str"/>
      <x:c r="AG55" s="34" t="str"/>
      <x:c r="AH55" s="34" t="str"/>
      <x:c r="AI55" s="34" t="str"/>
      <x:c r="AJ55" s="34" t="str"/>
      <x:c r="AK55" s="34" t="str"/>
      <x:c r="AL55" s="34" t="str">
        <x:v>草稿</x:v>
      </x:c>
      <x:c r="AM55" s="34" t="str">
        <x:f>IF(A55="","",IF(AND(B55&lt;&gt;"",F55&lt;&gt;"",H55&lt;&gt;"",J55&lt;&gt;"",Y55&lt;&gt;"",Z55&lt;&gt;"",AA55&lt;&gt;"",AB55&lt;&gt;"",AL55="已冻结"),"是","否"))</x:f>
        <x:v>否</x:v>
      </x:c>
    </x:row>
    <x:row r="56">
      <x:c r="A56" s="34" t="str">
        <x:v>M5-SNAP-051</x:v>
      </x:c>
      <x:c r="B56" s="34" t="str"/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/>
      <x:c r="N56" s="34" t="str"/>
      <x:c r="O56" s="34" t="str"/>
      <x:c r="P56" s="34" t="str"/>
      <x:c r="Q56" s="34" t="str"/>
      <x:c r="R56" s="34" t="str"/>
      <x:c r="S56" s="34" t="str"/>
      <x:c r="T56" s="34" t="str"/>
      <x:c r="U56" s="34" t="str"/>
      <x:c r="V56" s="34" t="str"/>
      <x:c r="W56" s="34" t="str"/>
      <x:c r="X56" s="34" t="str"/>
      <x:c r="Y56" s="34" t="str"/>
      <x:c r="Z56" s="34" t="str"/>
      <x:c r="AA56" s="34" t="str"/>
      <x:c r="AB56" s="34" t="str"/>
      <x:c r="AC56" s="34" t="str"/>
      <x:c r="AD56" s="34" t="str"/>
      <x:c r="AE56" s="34" t="str"/>
      <x:c r="AF56" s="34" t="str"/>
      <x:c r="AG56" s="34" t="str"/>
      <x:c r="AH56" s="34" t="str"/>
      <x:c r="AI56" s="34" t="str"/>
      <x:c r="AJ56" s="34" t="str"/>
      <x:c r="AK56" s="34" t="str"/>
      <x:c r="AL56" s="34" t="str">
        <x:v>草稿</x:v>
      </x:c>
      <x:c r="AM56" s="34" t="str">
        <x:f>IF(A56="","",IF(AND(B56&lt;&gt;"",F56&lt;&gt;"",H56&lt;&gt;"",J56&lt;&gt;"",Y56&lt;&gt;"",Z56&lt;&gt;"",AA56&lt;&gt;"",AB56&lt;&gt;"",AL56="已冻结"),"是","否"))</x:f>
        <x:v>否</x:v>
      </x:c>
    </x:row>
    <x:row r="57">
      <x:c r="A57" s="34" t="str">
        <x:v>M5-SNAP-052</x:v>
      </x:c>
      <x:c r="B57" s="34" t="str"/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/>
      <x:c r="K57" s="34" t="str"/>
      <x:c r="L57" s="34" t="str"/>
      <x:c r="M57" s="34" t="str"/>
      <x:c r="N57" s="34" t="str"/>
      <x:c r="O57" s="34" t="str"/>
      <x:c r="P57" s="34" t="str"/>
      <x:c r="Q57" s="34" t="str"/>
      <x:c r="R57" s="34" t="str"/>
      <x:c r="S57" s="34" t="str"/>
      <x:c r="T57" s="34" t="str"/>
      <x:c r="U57" s="34" t="str"/>
      <x:c r="V57" s="34" t="str"/>
      <x:c r="W57" s="34" t="str"/>
      <x:c r="X57" s="34" t="str"/>
      <x:c r="Y57" s="34" t="str"/>
      <x:c r="Z57" s="34" t="str"/>
      <x:c r="AA57" s="34" t="str"/>
      <x:c r="AB57" s="34" t="str"/>
      <x:c r="AC57" s="34" t="str"/>
      <x:c r="AD57" s="34" t="str"/>
      <x:c r="AE57" s="34" t="str"/>
      <x:c r="AF57" s="34" t="str"/>
      <x:c r="AG57" s="34" t="str"/>
      <x:c r="AH57" s="34" t="str"/>
      <x:c r="AI57" s="34" t="str"/>
      <x:c r="AJ57" s="34" t="str"/>
      <x:c r="AK57" s="34" t="str"/>
      <x:c r="AL57" s="34" t="str">
        <x:v>草稿</x:v>
      </x:c>
      <x:c r="AM57" s="34" t="str">
        <x:f>IF(A57="","",IF(AND(B57&lt;&gt;"",F57&lt;&gt;"",H57&lt;&gt;"",J57&lt;&gt;"",Y57&lt;&gt;"",Z57&lt;&gt;"",AA57&lt;&gt;"",AB57&lt;&gt;"",AL57="已冻结"),"是","否"))</x:f>
        <x:v>否</x:v>
      </x:c>
    </x:row>
    <x:row r="58">
      <x:c r="A58" s="34" t="str">
        <x:v>M5-SNAP-053</x:v>
      </x:c>
      <x:c r="B58" s="34" t="str"/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/>
      <x:c r="N58" s="34" t="str"/>
      <x:c r="O58" s="34" t="str"/>
      <x:c r="P58" s="34" t="str"/>
      <x:c r="Q58" s="34" t="str"/>
      <x:c r="R58" s="34" t="str"/>
      <x:c r="S58" s="34" t="str"/>
      <x:c r="T58" s="34" t="str"/>
      <x:c r="U58" s="34" t="str"/>
      <x:c r="V58" s="34" t="str"/>
      <x:c r="W58" s="34" t="str"/>
      <x:c r="X58" s="34" t="str"/>
      <x:c r="Y58" s="34" t="str"/>
      <x:c r="Z58" s="34" t="str"/>
      <x:c r="AA58" s="34" t="str"/>
      <x:c r="AB58" s="34" t="str"/>
      <x:c r="AC58" s="34" t="str"/>
      <x:c r="AD58" s="34" t="str"/>
      <x:c r="AE58" s="34" t="str"/>
      <x:c r="AF58" s="34" t="str"/>
      <x:c r="AG58" s="34" t="str"/>
      <x:c r="AH58" s="34" t="str"/>
      <x:c r="AI58" s="34" t="str"/>
      <x:c r="AJ58" s="34" t="str"/>
      <x:c r="AK58" s="34" t="str"/>
      <x:c r="AL58" s="34" t="str">
        <x:v>草稿</x:v>
      </x:c>
      <x:c r="AM58" s="34" t="str">
        <x:f>IF(A58="","",IF(AND(B58&lt;&gt;"",F58&lt;&gt;"",H58&lt;&gt;"",J58&lt;&gt;"",Y58&lt;&gt;"",Z58&lt;&gt;"",AA58&lt;&gt;"",AB58&lt;&gt;"",AL58="已冻结"),"是","否"))</x:f>
        <x:v>否</x:v>
      </x:c>
    </x:row>
    <x:row r="59">
      <x:c r="A59" s="34" t="str">
        <x:v>M5-SNAP-054</x:v>
      </x:c>
      <x:c r="B59" s="34" t="str"/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/>
      <x:c r="N59" s="34" t="str"/>
      <x:c r="O59" s="34" t="str"/>
      <x:c r="P59" s="34" t="str"/>
      <x:c r="Q59" s="34" t="str"/>
      <x:c r="R59" s="34" t="str"/>
      <x:c r="S59" s="34" t="str"/>
      <x:c r="T59" s="34" t="str"/>
      <x:c r="U59" s="34" t="str"/>
      <x:c r="V59" s="34" t="str"/>
      <x:c r="W59" s="34" t="str"/>
      <x:c r="X59" s="34" t="str"/>
      <x:c r="Y59" s="34" t="str"/>
      <x:c r="Z59" s="34" t="str"/>
      <x:c r="AA59" s="34" t="str"/>
      <x:c r="AB59" s="34" t="str"/>
      <x:c r="AC59" s="34" t="str"/>
      <x:c r="AD59" s="34" t="str"/>
      <x:c r="AE59" s="34" t="str"/>
      <x:c r="AF59" s="34" t="str"/>
      <x:c r="AG59" s="34" t="str"/>
      <x:c r="AH59" s="34" t="str"/>
      <x:c r="AI59" s="34" t="str"/>
      <x:c r="AJ59" s="34" t="str"/>
      <x:c r="AK59" s="34" t="str"/>
      <x:c r="AL59" s="34" t="str">
        <x:v>草稿</x:v>
      </x:c>
      <x:c r="AM59" s="34" t="str">
        <x:f>IF(A59="","",IF(AND(B59&lt;&gt;"",F59&lt;&gt;"",H59&lt;&gt;"",J59&lt;&gt;"",Y59&lt;&gt;"",Z59&lt;&gt;"",AA59&lt;&gt;"",AB59&lt;&gt;"",AL59="已冻结"),"是","否"))</x:f>
        <x:v>否</x:v>
      </x:c>
    </x:row>
    <x:row r="60">
      <x:c r="A60" s="34" t="str">
        <x:v>M5-SNAP-055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/>
      <x:c r="N60" s="34" t="str"/>
      <x:c r="O60" s="34" t="str"/>
      <x:c r="P60" s="34" t="str"/>
      <x:c r="Q60" s="34" t="str"/>
      <x:c r="R60" s="34" t="str"/>
      <x:c r="S60" s="34" t="str"/>
      <x:c r="T60" s="34" t="str"/>
      <x:c r="U60" s="34" t="str"/>
      <x:c r="V60" s="34" t="str"/>
      <x:c r="W60" s="34" t="str"/>
      <x:c r="X60" s="34" t="str"/>
      <x:c r="Y60" s="34" t="str"/>
      <x:c r="Z60" s="34" t="str"/>
      <x:c r="AA60" s="34" t="str"/>
      <x:c r="AB60" s="34" t="str"/>
      <x:c r="AC60" s="34" t="str"/>
      <x:c r="AD60" s="34" t="str"/>
      <x:c r="AE60" s="34" t="str"/>
      <x:c r="AF60" s="34" t="str"/>
      <x:c r="AG60" s="34" t="str"/>
      <x:c r="AH60" s="34" t="str"/>
      <x:c r="AI60" s="34" t="str"/>
      <x:c r="AJ60" s="34" t="str"/>
      <x:c r="AK60" s="34" t="str"/>
      <x:c r="AL60" s="34" t="str">
        <x:v>草稿</x:v>
      </x:c>
      <x:c r="AM60" s="34" t="str">
        <x:f>IF(A60="","",IF(AND(B60&lt;&gt;"",F60&lt;&gt;"",H60&lt;&gt;"",J60&lt;&gt;"",Y60&lt;&gt;"",Z60&lt;&gt;"",AA60&lt;&gt;"",AB60&lt;&gt;"",AL60="已冻结"),"是","否"))</x:f>
        <x:v>否</x:v>
      </x:c>
    </x:row>
    <x:row r="61">
      <x:c r="A61" s="34" t="str">
        <x:v>M5-SNAP-056</x:v>
      </x:c>
      <x:c r="B61" s="34" t="str"/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/>
      <x:c r="N61" s="34" t="str"/>
      <x:c r="O61" s="34" t="str"/>
      <x:c r="P61" s="34" t="str"/>
      <x:c r="Q61" s="34" t="str"/>
      <x:c r="R61" s="34" t="str"/>
      <x:c r="S61" s="34" t="str"/>
      <x:c r="T61" s="34" t="str"/>
      <x:c r="U61" s="34" t="str"/>
      <x:c r="V61" s="34" t="str"/>
      <x:c r="W61" s="34" t="str"/>
      <x:c r="X61" s="34" t="str"/>
      <x:c r="Y61" s="34" t="str"/>
      <x:c r="Z61" s="34" t="str"/>
      <x:c r="AA61" s="34" t="str"/>
      <x:c r="AB61" s="34" t="str"/>
      <x:c r="AC61" s="34" t="str"/>
      <x:c r="AD61" s="34" t="str"/>
      <x:c r="AE61" s="34" t="str"/>
      <x:c r="AF61" s="34" t="str"/>
      <x:c r="AG61" s="34" t="str"/>
      <x:c r="AH61" s="34" t="str"/>
      <x:c r="AI61" s="34" t="str"/>
      <x:c r="AJ61" s="34" t="str"/>
      <x:c r="AK61" s="34" t="str"/>
      <x:c r="AL61" s="34" t="str">
        <x:v>草稿</x:v>
      </x:c>
      <x:c r="AM61" s="34" t="str">
        <x:f>IF(A61="","",IF(AND(B61&lt;&gt;"",F61&lt;&gt;"",H61&lt;&gt;"",J61&lt;&gt;"",Y61&lt;&gt;"",Z61&lt;&gt;"",AA61&lt;&gt;"",AB61&lt;&gt;"",AL61="已冻结"),"是","否"))</x:f>
        <x:v>否</x:v>
      </x:c>
    </x:row>
    <x:row r="62">
      <x:c r="A62" s="34" t="str">
        <x:v>M5-SNAP-057</x:v>
      </x:c>
      <x:c r="B62" s="34" t="str"/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/>
      <x:c r="N62" s="34" t="str"/>
      <x:c r="O62" s="34" t="str"/>
      <x:c r="P62" s="34" t="str"/>
      <x:c r="Q62" s="34" t="str"/>
      <x:c r="R62" s="34" t="str"/>
      <x:c r="S62" s="34" t="str"/>
      <x:c r="T62" s="34" t="str"/>
      <x:c r="U62" s="34" t="str"/>
      <x:c r="V62" s="34" t="str"/>
      <x:c r="W62" s="34" t="str"/>
      <x:c r="X62" s="34" t="str"/>
      <x:c r="Y62" s="34" t="str"/>
      <x:c r="Z62" s="34" t="str"/>
      <x:c r="AA62" s="34" t="str"/>
      <x:c r="AB62" s="34" t="str"/>
      <x:c r="AC62" s="34" t="str"/>
      <x:c r="AD62" s="34" t="str"/>
      <x:c r="AE62" s="34" t="str"/>
      <x:c r="AF62" s="34" t="str"/>
      <x:c r="AG62" s="34" t="str"/>
      <x:c r="AH62" s="34" t="str"/>
      <x:c r="AI62" s="34" t="str"/>
      <x:c r="AJ62" s="34" t="str"/>
      <x:c r="AK62" s="34" t="str"/>
      <x:c r="AL62" s="34" t="str">
        <x:v>草稿</x:v>
      </x:c>
      <x:c r="AM62" s="34" t="str">
        <x:f>IF(A62="","",IF(AND(B62&lt;&gt;"",F62&lt;&gt;"",H62&lt;&gt;"",J62&lt;&gt;"",Y62&lt;&gt;"",Z62&lt;&gt;"",AA62&lt;&gt;"",AB62&lt;&gt;"",AL62="已冻结"),"是","否"))</x:f>
        <x:v>否</x:v>
      </x:c>
    </x:row>
    <x:row r="63">
      <x:c r="A63" s="34" t="str">
        <x:v>M5-SNAP-058</x:v>
      </x:c>
      <x:c r="B63" s="34" t="str"/>
      <x:c r="C63" s="34" t="str"/>
      <x:c r="D63" s="34" t="str"/>
      <x:c r="E63" s="34" t="str"/>
      <x:c r="F63" s="34" t="str"/>
      <x:c r="G63" s="34" t="str"/>
      <x:c r="H63" s="34" t="str"/>
      <x:c r="I63" s="34" t="str"/>
      <x:c r="J63" s="34" t="str"/>
      <x:c r="K63" s="34" t="str"/>
      <x:c r="L63" s="34" t="str"/>
      <x:c r="M63" s="34" t="str"/>
      <x:c r="N63" s="34" t="str"/>
      <x:c r="O63" s="34" t="str"/>
      <x:c r="P63" s="34" t="str"/>
      <x:c r="Q63" s="34" t="str"/>
      <x:c r="R63" s="34" t="str"/>
      <x:c r="S63" s="34" t="str"/>
      <x:c r="T63" s="34" t="str"/>
      <x:c r="U63" s="34" t="str"/>
      <x:c r="V63" s="34" t="str"/>
      <x:c r="W63" s="34" t="str"/>
      <x:c r="X63" s="34" t="str"/>
      <x:c r="Y63" s="34" t="str"/>
      <x:c r="Z63" s="34" t="str"/>
      <x:c r="AA63" s="34" t="str"/>
      <x:c r="AB63" s="34" t="str"/>
      <x:c r="AC63" s="34" t="str"/>
      <x:c r="AD63" s="34" t="str"/>
      <x:c r="AE63" s="34" t="str"/>
      <x:c r="AF63" s="34" t="str"/>
      <x:c r="AG63" s="34" t="str"/>
      <x:c r="AH63" s="34" t="str"/>
      <x:c r="AI63" s="34" t="str"/>
      <x:c r="AJ63" s="34" t="str"/>
      <x:c r="AK63" s="34" t="str"/>
      <x:c r="AL63" s="34" t="str">
        <x:v>草稿</x:v>
      </x:c>
      <x:c r="AM63" s="34" t="str">
        <x:f>IF(A63="","",IF(AND(B63&lt;&gt;"",F63&lt;&gt;"",H63&lt;&gt;"",J63&lt;&gt;"",Y63&lt;&gt;"",Z63&lt;&gt;"",AA63&lt;&gt;"",AB63&lt;&gt;"",AL63="已冻结"),"是","否"))</x:f>
        <x:v>否</x:v>
      </x:c>
    </x:row>
    <x:row r="64">
      <x:c r="A64" s="34" t="str">
        <x:v>M5-SNAP-059</x:v>
      </x:c>
      <x:c r="B64" s="34" t="str"/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/>
      <x:c r="N64" s="34" t="str"/>
      <x:c r="O64" s="34" t="str"/>
      <x:c r="P64" s="34" t="str"/>
      <x:c r="Q64" s="34" t="str"/>
      <x:c r="R64" s="34" t="str"/>
      <x:c r="S64" s="34" t="str"/>
      <x:c r="T64" s="34" t="str"/>
      <x:c r="U64" s="34" t="str"/>
      <x:c r="V64" s="34" t="str"/>
      <x:c r="W64" s="34" t="str"/>
      <x:c r="X64" s="34" t="str"/>
      <x:c r="Y64" s="34" t="str"/>
      <x:c r="Z64" s="34" t="str"/>
      <x:c r="AA64" s="34" t="str"/>
      <x:c r="AB64" s="34" t="str"/>
      <x:c r="AC64" s="34" t="str"/>
      <x:c r="AD64" s="34" t="str"/>
      <x:c r="AE64" s="34" t="str"/>
      <x:c r="AF64" s="34" t="str"/>
      <x:c r="AG64" s="34" t="str"/>
      <x:c r="AH64" s="34" t="str"/>
      <x:c r="AI64" s="34" t="str"/>
      <x:c r="AJ64" s="34" t="str"/>
      <x:c r="AK64" s="34" t="str"/>
      <x:c r="AL64" s="34" t="str">
        <x:v>草稿</x:v>
      </x:c>
      <x:c r="AM64" s="34" t="str">
        <x:f>IF(A64="","",IF(AND(B64&lt;&gt;"",F64&lt;&gt;"",H64&lt;&gt;"",J64&lt;&gt;"",Y64&lt;&gt;"",Z64&lt;&gt;"",AA64&lt;&gt;"",AB64&lt;&gt;"",AL64="已冻结"),"是","否"))</x:f>
        <x:v>否</x:v>
      </x:c>
    </x:row>
    <x:row r="65">
      <x:c r="A65" s="34" t="str">
        <x:v>M5-SNAP-060</x:v>
      </x:c>
      <x:c r="B65" s="34" t="str"/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/>
      <x:c r="N65" s="34" t="str"/>
      <x:c r="O65" s="34" t="str"/>
      <x:c r="P65" s="34" t="str"/>
      <x:c r="Q65" s="34" t="str"/>
      <x:c r="R65" s="34" t="str"/>
      <x:c r="S65" s="34" t="str"/>
      <x:c r="T65" s="34" t="str"/>
      <x:c r="U65" s="34" t="str"/>
      <x:c r="V65" s="34" t="str"/>
      <x:c r="W65" s="34" t="str"/>
      <x:c r="X65" s="34" t="str"/>
      <x:c r="Y65" s="34" t="str"/>
      <x:c r="Z65" s="34" t="str"/>
      <x:c r="AA65" s="34" t="str"/>
      <x:c r="AB65" s="34" t="str"/>
      <x:c r="AC65" s="34" t="str"/>
      <x:c r="AD65" s="34" t="str"/>
      <x:c r="AE65" s="34" t="str"/>
      <x:c r="AF65" s="34" t="str"/>
      <x:c r="AG65" s="34" t="str"/>
      <x:c r="AH65" s="34" t="str"/>
      <x:c r="AI65" s="34" t="str"/>
      <x:c r="AJ65" s="34" t="str"/>
      <x:c r="AK65" s="34" t="str"/>
      <x:c r="AL65" s="34" t="str">
        <x:v>草稿</x:v>
      </x:c>
      <x:c r="AM65" s="34" t="str">
        <x:f>IF(A65="","",IF(AND(B65&lt;&gt;"",F65&lt;&gt;"",H65&lt;&gt;"",J65&lt;&gt;"",Y65&lt;&gt;"",Z65&lt;&gt;"",AA65&lt;&gt;"",AB65&lt;&gt;"",AL65="已冻结"),"是","否"))</x:f>
        <x:v>否</x:v>
      </x:c>
    </x:row>
    <x:row r="66">
      <x:c r="A66" s="34" t="str">
        <x:v>M5-SNAP-061</x:v>
      </x:c>
      <x:c r="B66" s="34" t="str"/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/>
      <x:c r="N66" s="34" t="str"/>
      <x:c r="O66" s="34" t="str"/>
      <x:c r="P66" s="34" t="str"/>
      <x:c r="Q66" s="34" t="str"/>
      <x:c r="R66" s="34" t="str"/>
      <x:c r="S66" s="34" t="str"/>
      <x:c r="T66" s="34" t="str"/>
      <x:c r="U66" s="34" t="str"/>
      <x:c r="V66" s="34" t="str"/>
      <x:c r="W66" s="34" t="str"/>
      <x:c r="X66" s="34" t="str"/>
      <x:c r="Y66" s="34" t="str"/>
      <x:c r="Z66" s="34" t="str"/>
      <x:c r="AA66" s="34" t="str"/>
      <x:c r="AB66" s="34" t="str"/>
      <x:c r="AC66" s="34" t="str"/>
      <x:c r="AD66" s="34" t="str"/>
      <x:c r="AE66" s="34" t="str"/>
      <x:c r="AF66" s="34" t="str"/>
      <x:c r="AG66" s="34" t="str"/>
      <x:c r="AH66" s="34" t="str"/>
      <x:c r="AI66" s="34" t="str"/>
      <x:c r="AJ66" s="34" t="str"/>
      <x:c r="AK66" s="34" t="str"/>
      <x:c r="AL66" s="34" t="str">
        <x:v>草稿</x:v>
      </x:c>
      <x:c r="AM66" s="34" t="str">
        <x:f>IF(A66="","",IF(AND(B66&lt;&gt;"",F66&lt;&gt;"",H66&lt;&gt;"",J66&lt;&gt;"",Y66&lt;&gt;"",Z66&lt;&gt;"",AA66&lt;&gt;"",AB66&lt;&gt;"",AL66="已冻结"),"是","否"))</x:f>
        <x:v>否</x:v>
      </x:c>
    </x:row>
    <x:row r="67">
      <x:c r="A67" s="34" t="str">
        <x:v>M5-SNAP-062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/>
      <x:c r="N67" s="34" t="str"/>
      <x:c r="O67" s="34" t="str"/>
      <x:c r="P67" s="34" t="str"/>
      <x:c r="Q67" s="34" t="str"/>
      <x:c r="R67" s="34" t="str"/>
      <x:c r="S67" s="34" t="str"/>
      <x:c r="T67" s="34" t="str"/>
      <x:c r="U67" s="34" t="str"/>
      <x:c r="V67" s="34" t="str"/>
      <x:c r="W67" s="34" t="str"/>
      <x:c r="X67" s="34" t="str"/>
      <x:c r="Y67" s="34" t="str"/>
      <x:c r="Z67" s="34" t="str"/>
      <x:c r="AA67" s="34" t="str"/>
      <x:c r="AB67" s="34" t="str"/>
      <x:c r="AC67" s="34" t="str"/>
      <x:c r="AD67" s="34" t="str"/>
      <x:c r="AE67" s="34" t="str"/>
      <x:c r="AF67" s="34" t="str"/>
      <x:c r="AG67" s="34" t="str"/>
      <x:c r="AH67" s="34" t="str"/>
      <x:c r="AI67" s="34" t="str"/>
      <x:c r="AJ67" s="34" t="str"/>
      <x:c r="AK67" s="34" t="str"/>
      <x:c r="AL67" s="34" t="str">
        <x:v>草稿</x:v>
      </x:c>
      <x:c r="AM67" s="34" t="str">
        <x:f>IF(A67="","",IF(AND(B67&lt;&gt;"",F67&lt;&gt;"",H67&lt;&gt;"",J67&lt;&gt;"",Y67&lt;&gt;"",Z67&lt;&gt;"",AA67&lt;&gt;"",AB67&lt;&gt;"",AL67="已冻结"),"是","否"))</x:f>
        <x:v>否</x:v>
      </x:c>
    </x:row>
    <x:row r="68">
      <x:c r="A68" s="34" t="str">
        <x:v>M5-SNAP-063</x:v>
      </x:c>
      <x:c r="B68" s="34" t="str"/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/>
      <x:c r="N68" s="34" t="str"/>
      <x:c r="O68" s="34" t="str"/>
      <x:c r="P68" s="34" t="str"/>
      <x:c r="Q68" s="34" t="str"/>
      <x:c r="R68" s="34" t="str"/>
      <x:c r="S68" s="34" t="str"/>
      <x:c r="T68" s="34" t="str"/>
      <x:c r="U68" s="34" t="str"/>
      <x:c r="V68" s="34" t="str"/>
      <x:c r="W68" s="34" t="str"/>
      <x:c r="X68" s="34" t="str"/>
      <x:c r="Y68" s="34" t="str"/>
      <x:c r="Z68" s="34" t="str"/>
      <x:c r="AA68" s="34" t="str"/>
      <x:c r="AB68" s="34" t="str"/>
      <x:c r="AC68" s="34" t="str"/>
      <x:c r="AD68" s="34" t="str"/>
      <x:c r="AE68" s="34" t="str"/>
      <x:c r="AF68" s="34" t="str"/>
      <x:c r="AG68" s="34" t="str"/>
      <x:c r="AH68" s="34" t="str"/>
      <x:c r="AI68" s="34" t="str"/>
      <x:c r="AJ68" s="34" t="str"/>
      <x:c r="AK68" s="34" t="str"/>
      <x:c r="AL68" s="34" t="str">
        <x:v>草稿</x:v>
      </x:c>
      <x:c r="AM68" s="34" t="str">
        <x:f>IF(A68="","",IF(AND(B68&lt;&gt;"",F68&lt;&gt;"",H68&lt;&gt;"",J68&lt;&gt;"",Y68&lt;&gt;"",Z68&lt;&gt;"",AA68&lt;&gt;"",AB68&lt;&gt;"",AL68="已冻结"),"是","否"))</x:f>
        <x:v>否</x:v>
      </x:c>
    </x:row>
    <x:row r="69">
      <x:c r="A69" s="34" t="str">
        <x:v>M5-SNAP-064</x:v>
      </x:c>
      <x:c r="B69" s="34" t="str"/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/>
      <x:c r="N69" s="34" t="str"/>
      <x:c r="O69" s="34" t="str"/>
      <x:c r="P69" s="34" t="str"/>
      <x:c r="Q69" s="34" t="str"/>
      <x:c r="R69" s="34" t="str"/>
      <x:c r="S69" s="34" t="str"/>
      <x:c r="T69" s="34" t="str"/>
      <x:c r="U69" s="34" t="str"/>
      <x:c r="V69" s="34" t="str"/>
      <x:c r="W69" s="34" t="str"/>
      <x:c r="X69" s="34" t="str"/>
      <x:c r="Y69" s="34" t="str"/>
      <x:c r="Z69" s="34" t="str"/>
      <x:c r="AA69" s="34" t="str"/>
      <x:c r="AB69" s="34" t="str"/>
      <x:c r="AC69" s="34" t="str"/>
      <x:c r="AD69" s="34" t="str"/>
      <x:c r="AE69" s="34" t="str"/>
      <x:c r="AF69" s="34" t="str"/>
      <x:c r="AG69" s="34" t="str"/>
      <x:c r="AH69" s="34" t="str"/>
      <x:c r="AI69" s="34" t="str"/>
      <x:c r="AJ69" s="34" t="str"/>
      <x:c r="AK69" s="34" t="str"/>
      <x:c r="AL69" s="34" t="str">
        <x:v>草稿</x:v>
      </x:c>
      <x:c r="AM69" s="34" t="str">
        <x:f>IF(A69="","",IF(AND(B69&lt;&gt;"",F69&lt;&gt;"",H69&lt;&gt;"",J69&lt;&gt;"",Y69&lt;&gt;"",Z69&lt;&gt;"",AA69&lt;&gt;"",AB69&lt;&gt;"",AL69="已冻结"),"是","否"))</x:f>
        <x:v>否</x:v>
      </x:c>
    </x:row>
    <x:row r="70">
      <x:c r="A70" s="34" t="str">
        <x:v>M5-SNAP-065</x:v>
      </x:c>
      <x:c r="B70" s="34" t="str"/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/>
      <x:c r="N70" s="34" t="str"/>
      <x:c r="O70" s="34" t="str"/>
      <x:c r="P70" s="34" t="str"/>
      <x:c r="Q70" s="34" t="str"/>
      <x:c r="R70" s="34" t="str"/>
      <x:c r="S70" s="34" t="str"/>
      <x:c r="T70" s="34" t="str"/>
      <x:c r="U70" s="34" t="str"/>
      <x:c r="V70" s="34" t="str"/>
      <x:c r="W70" s="34" t="str"/>
      <x:c r="X70" s="34" t="str"/>
      <x:c r="Y70" s="34" t="str"/>
      <x:c r="Z70" s="34" t="str"/>
      <x:c r="AA70" s="34" t="str"/>
      <x:c r="AB70" s="34" t="str"/>
      <x:c r="AC70" s="34" t="str"/>
      <x:c r="AD70" s="34" t="str"/>
      <x:c r="AE70" s="34" t="str"/>
      <x:c r="AF70" s="34" t="str"/>
      <x:c r="AG70" s="34" t="str"/>
      <x:c r="AH70" s="34" t="str"/>
      <x:c r="AI70" s="34" t="str"/>
      <x:c r="AJ70" s="34" t="str"/>
      <x:c r="AK70" s="34" t="str"/>
      <x:c r="AL70" s="34" t="str">
        <x:v>草稿</x:v>
      </x:c>
      <x:c r="AM70" s="34" t="str">
        <x:f>IF(A70="","",IF(AND(B70&lt;&gt;"",F70&lt;&gt;"",H70&lt;&gt;"",J70&lt;&gt;"",Y70&lt;&gt;"",Z70&lt;&gt;"",AA70&lt;&gt;"",AB70&lt;&gt;"",AL70="已冻结"),"是","否"))</x:f>
        <x:v>否</x:v>
      </x:c>
    </x:row>
    <x:row r="71">
      <x:c r="A71" s="34" t="str">
        <x:v>M5-SNAP-066</x:v>
      </x:c>
      <x:c r="B71" s="34" t="str"/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/>
      <x:c r="N71" s="34" t="str"/>
      <x:c r="O71" s="34" t="str"/>
      <x:c r="P71" s="34" t="str"/>
      <x:c r="Q71" s="34" t="str"/>
      <x:c r="R71" s="34" t="str"/>
      <x:c r="S71" s="34" t="str"/>
      <x:c r="T71" s="34" t="str"/>
      <x:c r="U71" s="34" t="str"/>
      <x:c r="V71" s="34" t="str"/>
      <x:c r="W71" s="34" t="str"/>
      <x:c r="X71" s="34" t="str"/>
      <x:c r="Y71" s="34" t="str"/>
      <x:c r="Z71" s="34" t="str"/>
      <x:c r="AA71" s="34" t="str"/>
      <x:c r="AB71" s="34" t="str"/>
      <x:c r="AC71" s="34" t="str"/>
      <x:c r="AD71" s="34" t="str"/>
      <x:c r="AE71" s="34" t="str"/>
      <x:c r="AF71" s="34" t="str"/>
      <x:c r="AG71" s="34" t="str"/>
      <x:c r="AH71" s="34" t="str"/>
      <x:c r="AI71" s="34" t="str"/>
      <x:c r="AJ71" s="34" t="str"/>
      <x:c r="AK71" s="34" t="str"/>
      <x:c r="AL71" s="34" t="str">
        <x:v>草稿</x:v>
      </x:c>
      <x:c r="AM71" s="34" t="str">
        <x:f>IF(A71="","",IF(AND(B71&lt;&gt;"",F71&lt;&gt;"",H71&lt;&gt;"",J71&lt;&gt;"",Y71&lt;&gt;"",Z71&lt;&gt;"",AA71&lt;&gt;"",AB71&lt;&gt;"",AL71="已冻结"),"是","否"))</x:f>
        <x:v>否</x:v>
      </x:c>
    </x:row>
    <x:row r="72">
      <x:c r="A72" s="34" t="str">
        <x:v>M5-SNAP-067</x:v>
      </x:c>
      <x:c r="B72" s="34" t="str"/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/>
      <x:c r="N72" s="34" t="str"/>
      <x:c r="O72" s="34" t="str"/>
      <x:c r="P72" s="34" t="str"/>
      <x:c r="Q72" s="34" t="str"/>
      <x:c r="R72" s="34" t="str"/>
      <x:c r="S72" s="34" t="str"/>
      <x:c r="T72" s="34" t="str"/>
      <x:c r="U72" s="34" t="str"/>
      <x:c r="V72" s="34" t="str"/>
      <x:c r="W72" s="34" t="str"/>
      <x:c r="X72" s="34" t="str"/>
      <x:c r="Y72" s="34" t="str"/>
      <x:c r="Z72" s="34" t="str"/>
      <x:c r="AA72" s="34" t="str"/>
      <x:c r="AB72" s="34" t="str"/>
      <x:c r="AC72" s="34" t="str"/>
      <x:c r="AD72" s="34" t="str"/>
      <x:c r="AE72" s="34" t="str"/>
      <x:c r="AF72" s="34" t="str"/>
      <x:c r="AG72" s="34" t="str"/>
      <x:c r="AH72" s="34" t="str"/>
      <x:c r="AI72" s="34" t="str"/>
      <x:c r="AJ72" s="34" t="str"/>
      <x:c r="AK72" s="34" t="str"/>
      <x:c r="AL72" s="34" t="str">
        <x:v>草稿</x:v>
      </x:c>
      <x:c r="AM72" s="34" t="str">
        <x:f>IF(A72="","",IF(AND(B72&lt;&gt;"",F72&lt;&gt;"",H72&lt;&gt;"",J72&lt;&gt;"",Y72&lt;&gt;"",Z72&lt;&gt;"",AA72&lt;&gt;"",AB72&lt;&gt;"",AL72="已冻结"),"是","否"))</x:f>
        <x:v>否</x:v>
      </x:c>
    </x:row>
    <x:row r="73">
      <x:c r="A73" s="34" t="str">
        <x:v>M5-SNAP-068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/>
      <x:c r="N73" s="34" t="str"/>
      <x:c r="O73" s="34" t="str"/>
      <x:c r="P73" s="34" t="str"/>
      <x:c r="Q73" s="34" t="str"/>
      <x:c r="R73" s="34" t="str"/>
      <x:c r="S73" s="34" t="str"/>
      <x:c r="T73" s="34" t="str"/>
      <x:c r="U73" s="34" t="str"/>
      <x:c r="V73" s="34" t="str"/>
      <x:c r="W73" s="34" t="str"/>
      <x:c r="X73" s="34" t="str"/>
      <x:c r="Y73" s="34" t="str"/>
      <x:c r="Z73" s="34" t="str"/>
      <x:c r="AA73" s="34" t="str"/>
      <x:c r="AB73" s="34" t="str"/>
      <x:c r="AC73" s="34" t="str"/>
      <x:c r="AD73" s="34" t="str"/>
      <x:c r="AE73" s="34" t="str"/>
      <x:c r="AF73" s="34" t="str"/>
      <x:c r="AG73" s="34" t="str"/>
      <x:c r="AH73" s="34" t="str"/>
      <x:c r="AI73" s="34" t="str"/>
      <x:c r="AJ73" s="34" t="str"/>
      <x:c r="AK73" s="34" t="str"/>
      <x:c r="AL73" s="34" t="str">
        <x:v>草稿</x:v>
      </x:c>
      <x:c r="AM73" s="34" t="str">
        <x:f>IF(A73="","",IF(AND(B73&lt;&gt;"",F73&lt;&gt;"",H73&lt;&gt;"",J73&lt;&gt;"",Y73&lt;&gt;"",Z73&lt;&gt;"",AA73&lt;&gt;"",AB73&lt;&gt;"",AL73="已冻结"),"是","否"))</x:f>
        <x:v>否</x:v>
      </x:c>
    </x:row>
    <x:row r="74">
      <x:c r="A74" s="34" t="str">
        <x:v>M5-SNAP-069</x:v>
      </x:c>
      <x:c r="B74" s="34" t="str"/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/>
      <x:c r="N74" s="34" t="str"/>
      <x:c r="O74" s="34" t="str"/>
      <x:c r="P74" s="34" t="str"/>
      <x:c r="Q74" s="34" t="str"/>
      <x:c r="R74" s="34" t="str"/>
      <x:c r="S74" s="34" t="str"/>
      <x:c r="T74" s="34" t="str"/>
      <x:c r="U74" s="34" t="str"/>
      <x:c r="V74" s="34" t="str"/>
      <x:c r="W74" s="34" t="str"/>
      <x:c r="X74" s="34" t="str"/>
      <x:c r="Y74" s="34" t="str"/>
      <x:c r="Z74" s="34" t="str"/>
      <x:c r="AA74" s="34" t="str"/>
      <x:c r="AB74" s="34" t="str"/>
      <x:c r="AC74" s="34" t="str"/>
      <x:c r="AD74" s="34" t="str"/>
      <x:c r="AE74" s="34" t="str"/>
      <x:c r="AF74" s="34" t="str"/>
      <x:c r="AG74" s="34" t="str"/>
      <x:c r="AH74" s="34" t="str"/>
      <x:c r="AI74" s="34" t="str"/>
      <x:c r="AJ74" s="34" t="str"/>
      <x:c r="AK74" s="34" t="str"/>
      <x:c r="AL74" s="34" t="str">
        <x:v>草稿</x:v>
      </x:c>
      <x:c r="AM74" s="34" t="str">
        <x:f>IF(A74="","",IF(AND(B74&lt;&gt;"",F74&lt;&gt;"",H74&lt;&gt;"",J74&lt;&gt;"",Y74&lt;&gt;"",Z74&lt;&gt;"",AA74&lt;&gt;"",AB74&lt;&gt;"",AL74="已冻结"),"是","否"))</x:f>
        <x:v>否</x:v>
      </x:c>
    </x:row>
    <x:row r="75">
      <x:c r="A75" s="34" t="str">
        <x:v>M5-SNAP-070</x:v>
      </x:c>
      <x:c r="B75" s="34" t="str"/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/>
      <x:c r="N75" s="34" t="str"/>
      <x:c r="O75" s="34" t="str"/>
      <x:c r="P75" s="34" t="str"/>
      <x:c r="Q75" s="34" t="str"/>
      <x:c r="R75" s="34" t="str"/>
      <x:c r="S75" s="34" t="str"/>
      <x:c r="T75" s="34" t="str"/>
      <x:c r="U75" s="34" t="str"/>
      <x:c r="V75" s="34" t="str"/>
      <x:c r="W75" s="34" t="str"/>
      <x:c r="X75" s="34" t="str"/>
      <x:c r="Y75" s="34" t="str"/>
      <x:c r="Z75" s="34" t="str"/>
      <x:c r="AA75" s="34" t="str"/>
      <x:c r="AB75" s="34" t="str"/>
      <x:c r="AC75" s="34" t="str"/>
      <x:c r="AD75" s="34" t="str"/>
      <x:c r="AE75" s="34" t="str"/>
      <x:c r="AF75" s="34" t="str"/>
      <x:c r="AG75" s="34" t="str"/>
      <x:c r="AH75" s="34" t="str"/>
      <x:c r="AI75" s="34" t="str"/>
      <x:c r="AJ75" s="34" t="str"/>
      <x:c r="AK75" s="34" t="str"/>
      <x:c r="AL75" s="34" t="str">
        <x:v>草稿</x:v>
      </x:c>
      <x:c r="AM75" s="34" t="str">
        <x:f>IF(A75="","",IF(AND(B75&lt;&gt;"",F75&lt;&gt;"",H75&lt;&gt;"",J75&lt;&gt;"",Y75&lt;&gt;"",Z75&lt;&gt;"",AA75&lt;&gt;"",AB75&lt;&gt;"",AL75="已冻结"),"是","否"))</x:f>
        <x:v>否</x:v>
      </x:c>
    </x:row>
    <x:row r="76">
      <x:c r="A76" s="34" t="str">
        <x:v>M5-SNAP-071</x:v>
      </x:c>
      <x:c r="B76" s="34" t="str"/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/>
      <x:c r="N76" s="34" t="str"/>
      <x:c r="O76" s="34" t="str"/>
      <x:c r="P76" s="34" t="str"/>
      <x:c r="Q76" s="34" t="str"/>
      <x:c r="R76" s="34" t="str"/>
      <x:c r="S76" s="34" t="str"/>
      <x:c r="T76" s="34" t="str"/>
      <x:c r="U76" s="34" t="str"/>
      <x:c r="V76" s="34" t="str"/>
      <x:c r="W76" s="34" t="str"/>
      <x:c r="X76" s="34" t="str"/>
      <x:c r="Y76" s="34" t="str"/>
      <x:c r="Z76" s="34" t="str"/>
      <x:c r="AA76" s="34" t="str"/>
      <x:c r="AB76" s="34" t="str"/>
      <x:c r="AC76" s="34" t="str"/>
      <x:c r="AD76" s="34" t="str"/>
      <x:c r="AE76" s="34" t="str"/>
      <x:c r="AF76" s="34" t="str"/>
      <x:c r="AG76" s="34" t="str"/>
      <x:c r="AH76" s="34" t="str"/>
      <x:c r="AI76" s="34" t="str"/>
      <x:c r="AJ76" s="34" t="str"/>
      <x:c r="AK76" s="34" t="str"/>
      <x:c r="AL76" s="34" t="str">
        <x:v>草稿</x:v>
      </x:c>
      <x:c r="AM76" s="34" t="str">
        <x:f>IF(A76="","",IF(AND(B76&lt;&gt;"",F76&lt;&gt;"",H76&lt;&gt;"",J76&lt;&gt;"",Y76&lt;&gt;"",Z76&lt;&gt;"",AA76&lt;&gt;"",AB76&lt;&gt;"",AL76="已冻结"),"是","否"))</x:f>
        <x:v>否</x:v>
      </x:c>
    </x:row>
    <x:row r="77">
      <x:c r="A77" s="34" t="str">
        <x:v>M5-SNAP-072</x:v>
      </x:c>
      <x:c r="B77" s="34" t="str"/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/>
      <x:c r="N77" s="34" t="str"/>
      <x:c r="O77" s="34" t="str"/>
      <x:c r="P77" s="34" t="str"/>
      <x:c r="Q77" s="34" t="str"/>
      <x:c r="R77" s="34" t="str"/>
      <x:c r="S77" s="34" t="str"/>
      <x:c r="T77" s="34" t="str"/>
      <x:c r="U77" s="34" t="str"/>
      <x:c r="V77" s="34" t="str"/>
      <x:c r="W77" s="34" t="str"/>
      <x:c r="X77" s="34" t="str"/>
      <x:c r="Y77" s="34" t="str"/>
      <x:c r="Z77" s="34" t="str"/>
      <x:c r="AA77" s="34" t="str"/>
      <x:c r="AB77" s="34" t="str"/>
      <x:c r="AC77" s="34" t="str"/>
      <x:c r="AD77" s="34" t="str"/>
      <x:c r="AE77" s="34" t="str"/>
      <x:c r="AF77" s="34" t="str"/>
      <x:c r="AG77" s="34" t="str"/>
      <x:c r="AH77" s="34" t="str"/>
      <x:c r="AI77" s="34" t="str"/>
      <x:c r="AJ77" s="34" t="str"/>
      <x:c r="AK77" s="34" t="str"/>
      <x:c r="AL77" s="34" t="str">
        <x:v>草稿</x:v>
      </x:c>
      <x:c r="AM77" s="34" t="str">
        <x:f>IF(A77="","",IF(AND(B77&lt;&gt;"",F77&lt;&gt;"",H77&lt;&gt;"",J77&lt;&gt;"",Y77&lt;&gt;"",Z77&lt;&gt;"",AA77&lt;&gt;"",AB77&lt;&gt;"",AL77="已冻结"),"是","否"))</x:f>
        <x:v>否</x:v>
      </x:c>
    </x:row>
    <x:row r="78">
      <x:c r="A78" s="34" t="str">
        <x:v>M5-SNAP-073</x:v>
      </x:c>
      <x:c r="B78" s="34" t="str"/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/>
      <x:c r="N78" s="34" t="str"/>
      <x:c r="O78" s="34" t="str"/>
      <x:c r="P78" s="34" t="str"/>
      <x:c r="Q78" s="34" t="str"/>
      <x:c r="R78" s="34" t="str"/>
      <x:c r="S78" s="34" t="str"/>
      <x:c r="T78" s="34" t="str"/>
      <x:c r="U78" s="34" t="str"/>
      <x:c r="V78" s="34" t="str"/>
      <x:c r="W78" s="34" t="str"/>
      <x:c r="X78" s="34" t="str"/>
      <x:c r="Y78" s="34" t="str"/>
      <x:c r="Z78" s="34" t="str"/>
      <x:c r="AA78" s="34" t="str"/>
      <x:c r="AB78" s="34" t="str"/>
      <x:c r="AC78" s="34" t="str"/>
      <x:c r="AD78" s="34" t="str"/>
      <x:c r="AE78" s="34" t="str"/>
      <x:c r="AF78" s="34" t="str"/>
      <x:c r="AG78" s="34" t="str"/>
      <x:c r="AH78" s="34" t="str"/>
      <x:c r="AI78" s="34" t="str"/>
      <x:c r="AJ78" s="34" t="str"/>
      <x:c r="AK78" s="34" t="str"/>
      <x:c r="AL78" s="34" t="str">
        <x:v>草稿</x:v>
      </x:c>
      <x:c r="AM78" s="34" t="str">
        <x:f>IF(A78="","",IF(AND(B78&lt;&gt;"",F78&lt;&gt;"",H78&lt;&gt;"",J78&lt;&gt;"",Y78&lt;&gt;"",Z78&lt;&gt;"",AA78&lt;&gt;"",AB78&lt;&gt;"",AL78="已冻结"),"是","否"))</x:f>
        <x:v>否</x:v>
      </x:c>
    </x:row>
    <x:row r="79">
      <x:c r="A79" s="34" t="str">
        <x:v>M5-SNAP-074</x:v>
      </x:c>
      <x:c r="B79" s="34" t="str"/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/>
      <x:c r="N79" s="34" t="str"/>
      <x:c r="O79" s="34" t="str"/>
      <x:c r="P79" s="34" t="str"/>
      <x:c r="Q79" s="34" t="str"/>
      <x:c r="R79" s="34" t="str"/>
      <x:c r="S79" s="34" t="str"/>
      <x:c r="T79" s="34" t="str"/>
      <x:c r="U79" s="34" t="str"/>
      <x:c r="V79" s="34" t="str"/>
      <x:c r="W79" s="34" t="str"/>
      <x:c r="X79" s="34" t="str"/>
      <x:c r="Y79" s="34" t="str"/>
      <x:c r="Z79" s="34" t="str"/>
      <x:c r="AA79" s="34" t="str"/>
      <x:c r="AB79" s="34" t="str"/>
      <x:c r="AC79" s="34" t="str"/>
      <x:c r="AD79" s="34" t="str"/>
      <x:c r="AE79" s="34" t="str"/>
      <x:c r="AF79" s="34" t="str"/>
      <x:c r="AG79" s="34" t="str"/>
      <x:c r="AH79" s="34" t="str"/>
      <x:c r="AI79" s="34" t="str"/>
      <x:c r="AJ79" s="34" t="str"/>
      <x:c r="AK79" s="34" t="str"/>
      <x:c r="AL79" s="34" t="str">
        <x:v>草稿</x:v>
      </x:c>
      <x:c r="AM79" s="34" t="str">
        <x:f>IF(A79="","",IF(AND(B79&lt;&gt;"",F79&lt;&gt;"",H79&lt;&gt;"",J79&lt;&gt;"",Y79&lt;&gt;"",Z79&lt;&gt;"",AA79&lt;&gt;"",AB79&lt;&gt;"",AL79="已冻结"),"是","否"))</x:f>
        <x:v>否</x:v>
      </x:c>
    </x:row>
    <x:row r="80">
      <x:c r="A80" s="34" t="str">
        <x:v>M5-SNAP-075</x:v>
      </x:c>
      <x:c r="B80" s="34" t="str"/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/>
      <x:c r="N80" s="34" t="str"/>
      <x:c r="O80" s="34" t="str"/>
      <x:c r="P80" s="34" t="str"/>
      <x:c r="Q80" s="34" t="str"/>
      <x:c r="R80" s="34" t="str"/>
      <x:c r="S80" s="34" t="str"/>
      <x:c r="T80" s="34" t="str"/>
      <x:c r="U80" s="34" t="str"/>
      <x:c r="V80" s="34" t="str"/>
      <x:c r="W80" s="34" t="str"/>
      <x:c r="X80" s="34" t="str"/>
      <x:c r="Y80" s="34" t="str"/>
      <x:c r="Z80" s="34" t="str"/>
      <x:c r="AA80" s="34" t="str"/>
      <x:c r="AB80" s="34" t="str"/>
      <x:c r="AC80" s="34" t="str"/>
      <x:c r="AD80" s="34" t="str"/>
      <x:c r="AE80" s="34" t="str"/>
      <x:c r="AF80" s="34" t="str"/>
      <x:c r="AG80" s="34" t="str"/>
      <x:c r="AH80" s="34" t="str"/>
      <x:c r="AI80" s="34" t="str"/>
      <x:c r="AJ80" s="34" t="str"/>
      <x:c r="AK80" s="34" t="str"/>
      <x:c r="AL80" s="34" t="str">
        <x:v>草稿</x:v>
      </x:c>
      <x:c r="AM80" s="34" t="str">
        <x:f>IF(A80="","",IF(AND(B80&lt;&gt;"",F80&lt;&gt;"",H80&lt;&gt;"",J80&lt;&gt;"",Y80&lt;&gt;"",Z80&lt;&gt;"",AA80&lt;&gt;"",AB80&lt;&gt;"",AL80="已冻结"),"是","否"))</x:f>
        <x:v>否</x:v>
      </x:c>
    </x:row>
    <x:row r="81">
      <x:c r="A81" s="34" t="str">
        <x:v>M5-SNAP-076</x:v>
      </x:c>
      <x:c r="B81" s="34" t="str"/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/>
      <x:c r="N81" s="34" t="str"/>
      <x:c r="O81" s="34" t="str"/>
      <x:c r="P81" s="34" t="str"/>
      <x:c r="Q81" s="34" t="str"/>
      <x:c r="R81" s="34" t="str"/>
      <x:c r="S81" s="34" t="str"/>
      <x:c r="T81" s="34" t="str"/>
      <x:c r="U81" s="34" t="str"/>
      <x:c r="V81" s="34" t="str"/>
      <x:c r="W81" s="34" t="str"/>
      <x:c r="X81" s="34" t="str"/>
      <x:c r="Y81" s="34" t="str"/>
      <x:c r="Z81" s="34" t="str"/>
      <x:c r="AA81" s="34" t="str"/>
      <x:c r="AB81" s="34" t="str"/>
      <x:c r="AC81" s="34" t="str"/>
      <x:c r="AD81" s="34" t="str"/>
      <x:c r="AE81" s="34" t="str"/>
      <x:c r="AF81" s="34" t="str"/>
      <x:c r="AG81" s="34" t="str"/>
      <x:c r="AH81" s="34" t="str"/>
      <x:c r="AI81" s="34" t="str"/>
      <x:c r="AJ81" s="34" t="str"/>
      <x:c r="AK81" s="34" t="str"/>
      <x:c r="AL81" s="34" t="str">
        <x:v>草稿</x:v>
      </x:c>
      <x:c r="AM81" s="34" t="str">
        <x:f>IF(A81="","",IF(AND(B81&lt;&gt;"",F81&lt;&gt;"",H81&lt;&gt;"",J81&lt;&gt;"",Y81&lt;&gt;"",Z81&lt;&gt;"",AA81&lt;&gt;"",AB81&lt;&gt;"",AL81="已冻结"),"是","否"))</x:f>
        <x:v>否</x:v>
      </x:c>
    </x:row>
    <x:row r="82">
      <x:c r="A82" s="34" t="str">
        <x:v>M5-SNAP-077</x:v>
      </x:c>
      <x:c r="B82" s="34" t="str"/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/>
      <x:c r="K82" s="34" t="str"/>
      <x:c r="L82" s="34" t="str"/>
      <x:c r="M82" s="34" t="str"/>
      <x:c r="N82" s="34" t="str"/>
      <x:c r="O82" s="34" t="str"/>
      <x:c r="P82" s="34" t="str"/>
      <x:c r="Q82" s="34" t="str"/>
      <x:c r="R82" s="34" t="str"/>
      <x:c r="S82" s="34" t="str"/>
      <x:c r="T82" s="34" t="str"/>
      <x:c r="U82" s="34" t="str"/>
      <x:c r="V82" s="34" t="str"/>
      <x:c r="W82" s="34" t="str"/>
      <x:c r="X82" s="34" t="str"/>
      <x:c r="Y82" s="34" t="str"/>
      <x:c r="Z82" s="34" t="str"/>
      <x:c r="AA82" s="34" t="str"/>
      <x:c r="AB82" s="34" t="str"/>
      <x:c r="AC82" s="34" t="str"/>
      <x:c r="AD82" s="34" t="str"/>
      <x:c r="AE82" s="34" t="str"/>
      <x:c r="AF82" s="34" t="str"/>
      <x:c r="AG82" s="34" t="str"/>
      <x:c r="AH82" s="34" t="str"/>
      <x:c r="AI82" s="34" t="str"/>
      <x:c r="AJ82" s="34" t="str"/>
      <x:c r="AK82" s="34" t="str"/>
      <x:c r="AL82" s="34" t="str">
        <x:v>草稿</x:v>
      </x:c>
      <x:c r="AM82" s="34" t="str">
        <x:f>IF(A82="","",IF(AND(B82&lt;&gt;"",F82&lt;&gt;"",H82&lt;&gt;"",J82&lt;&gt;"",Y82&lt;&gt;"",Z82&lt;&gt;"",AA82&lt;&gt;"",AB82&lt;&gt;"",AL82="已冻结"),"是","否"))</x:f>
        <x:v>否</x:v>
      </x:c>
    </x:row>
    <x:row r="83">
      <x:c r="A83" s="34" t="str">
        <x:v>M5-SNAP-078</x:v>
      </x:c>
      <x:c r="B83" s="34" t="str"/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/>
      <x:c r="L83" s="34" t="str"/>
      <x:c r="M83" s="34" t="str"/>
      <x:c r="N83" s="34" t="str"/>
      <x:c r="O83" s="34" t="str"/>
      <x:c r="P83" s="34" t="str"/>
      <x:c r="Q83" s="34" t="str"/>
      <x:c r="R83" s="34" t="str"/>
      <x:c r="S83" s="34" t="str"/>
      <x:c r="T83" s="34" t="str"/>
      <x:c r="U83" s="34" t="str"/>
      <x:c r="V83" s="34" t="str"/>
      <x:c r="W83" s="34" t="str"/>
      <x:c r="X83" s="34" t="str"/>
      <x:c r="Y83" s="34" t="str"/>
      <x:c r="Z83" s="34" t="str"/>
      <x:c r="AA83" s="34" t="str"/>
      <x:c r="AB83" s="34" t="str"/>
      <x:c r="AC83" s="34" t="str"/>
      <x:c r="AD83" s="34" t="str"/>
      <x:c r="AE83" s="34" t="str"/>
      <x:c r="AF83" s="34" t="str"/>
      <x:c r="AG83" s="34" t="str"/>
      <x:c r="AH83" s="34" t="str"/>
      <x:c r="AI83" s="34" t="str"/>
      <x:c r="AJ83" s="34" t="str"/>
      <x:c r="AK83" s="34" t="str"/>
      <x:c r="AL83" s="34" t="str">
        <x:v>草稿</x:v>
      </x:c>
      <x:c r="AM83" s="34" t="str">
        <x:f>IF(A83="","",IF(AND(B83&lt;&gt;"",F83&lt;&gt;"",H83&lt;&gt;"",J83&lt;&gt;"",Y83&lt;&gt;"",Z83&lt;&gt;"",AA83&lt;&gt;"",AB83&lt;&gt;"",AL83="已冻结"),"是","否"))</x:f>
        <x:v>否</x:v>
      </x:c>
    </x:row>
    <x:row r="84">
      <x:c r="A84" s="34" t="str">
        <x:v>M5-SNAP-079</x:v>
      </x:c>
      <x:c r="B84" s="34" t="str"/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/>
      <x:c r="K84" s="34" t="str"/>
      <x:c r="L84" s="34" t="str"/>
      <x:c r="M84" s="34" t="str"/>
      <x:c r="N84" s="34" t="str"/>
      <x:c r="O84" s="34" t="str"/>
      <x:c r="P84" s="34" t="str"/>
      <x:c r="Q84" s="34" t="str"/>
      <x:c r="R84" s="34" t="str"/>
      <x:c r="S84" s="34" t="str"/>
      <x:c r="T84" s="34" t="str"/>
      <x:c r="U84" s="34" t="str"/>
      <x:c r="V84" s="34" t="str"/>
      <x:c r="W84" s="34" t="str"/>
      <x:c r="X84" s="34" t="str"/>
      <x:c r="Y84" s="34" t="str"/>
      <x:c r="Z84" s="34" t="str"/>
      <x:c r="AA84" s="34" t="str"/>
      <x:c r="AB84" s="34" t="str"/>
      <x:c r="AC84" s="34" t="str"/>
      <x:c r="AD84" s="34" t="str"/>
      <x:c r="AE84" s="34" t="str"/>
      <x:c r="AF84" s="34" t="str"/>
      <x:c r="AG84" s="34" t="str"/>
      <x:c r="AH84" s="34" t="str"/>
      <x:c r="AI84" s="34" t="str"/>
      <x:c r="AJ84" s="34" t="str"/>
      <x:c r="AK84" s="34" t="str"/>
      <x:c r="AL84" s="34" t="str">
        <x:v>草稿</x:v>
      </x:c>
      <x:c r="AM84" s="34" t="str">
        <x:f>IF(A84="","",IF(AND(B84&lt;&gt;"",F84&lt;&gt;"",H84&lt;&gt;"",J84&lt;&gt;"",Y84&lt;&gt;"",Z84&lt;&gt;"",AA84&lt;&gt;"",AB84&lt;&gt;"",AL84="已冻结"),"是","否"))</x:f>
        <x:v>否</x:v>
      </x:c>
    </x:row>
    <x:row r="85">
      <x:c r="A85" s="34" t="str">
        <x:v>M5-SNAP-080</x:v>
      </x:c>
      <x:c r="B85" s="34" t="str"/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/>
      <x:c r="K85" s="34" t="str"/>
      <x:c r="L85" s="34" t="str"/>
      <x:c r="M85" s="34" t="str"/>
      <x:c r="N85" s="34" t="str"/>
      <x:c r="O85" s="34" t="str"/>
      <x:c r="P85" s="34" t="str"/>
      <x:c r="Q85" s="34" t="str"/>
      <x:c r="R85" s="34" t="str"/>
      <x:c r="S85" s="34" t="str"/>
      <x:c r="T85" s="34" t="str"/>
      <x:c r="U85" s="34" t="str"/>
      <x:c r="V85" s="34" t="str"/>
      <x:c r="W85" s="34" t="str"/>
      <x:c r="X85" s="34" t="str"/>
      <x:c r="Y85" s="34" t="str"/>
      <x:c r="Z85" s="34" t="str"/>
      <x:c r="AA85" s="34" t="str"/>
      <x:c r="AB85" s="34" t="str"/>
      <x:c r="AC85" s="34" t="str"/>
      <x:c r="AD85" s="34" t="str"/>
      <x:c r="AE85" s="34" t="str"/>
      <x:c r="AF85" s="34" t="str"/>
      <x:c r="AG85" s="34" t="str"/>
      <x:c r="AH85" s="34" t="str"/>
      <x:c r="AI85" s="34" t="str"/>
      <x:c r="AJ85" s="34" t="str"/>
      <x:c r="AK85" s="34" t="str"/>
      <x:c r="AL85" s="34" t="str">
        <x:v>草稿</x:v>
      </x:c>
      <x:c r="AM85" s="34" t="str">
        <x:f>IF(A85="","",IF(AND(B85&lt;&gt;"",F85&lt;&gt;"",H85&lt;&gt;"",J85&lt;&gt;"",Y85&lt;&gt;"",Z85&lt;&gt;"",AA85&lt;&gt;"",AB85&lt;&gt;"",AL85="已冻结"),"是","否"))</x:f>
        <x:v>否</x:v>
      </x:c>
    </x:row>
    <x:row r="86">
      <x:c r="A86" s="34" t="str">
        <x:v>M5-SNAP-081</x:v>
      </x:c>
      <x:c r="B86" s="34" t="str"/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  <x:c r="M86" s="34" t="str"/>
      <x:c r="N86" s="34" t="str"/>
      <x:c r="O86" s="34" t="str"/>
      <x:c r="P86" s="34" t="str"/>
      <x:c r="Q86" s="34" t="str"/>
      <x:c r="R86" s="34" t="str"/>
      <x:c r="S86" s="34" t="str"/>
      <x:c r="T86" s="34" t="str"/>
      <x:c r="U86" s="34" t="str"/>
      <x:c r="V86" s="34" t="str"/>
      <x:c r="W86" s="34" t="str"/>
      <x:c r="X86" s="34" t="str"/>
      <x:c r="Y86" s="34" t="str"/>
      <x:c r="Z86" s="34" t="str"/>
      <x:c r="AA86" s="34" t="str"/>
      <x:c r="AB86" s="34" t="str"/>
      <x:c r="AC86" s="34" t="str"/>
      <x:c r="AD86" s="34" t="str"/>
      <x:c r="AE86" s="34" t="str"/>
      <x:c r="AF86" s="34" t="str"/>
      <x:c r="AG86" s="34" t="str"/>
      <x:c r="AH86" s="34" t="str"/>
      <x:c r="AI86" s="34" t="str"/>
      <x:c r="AJ86" s="34" t="str"/>
      <x:c r="AK86" s="34" t="str"/>
      <x:c r="AL86" s="34" t="str">
        <x:v>草稿</x:v>
      </x:c>
      <x:c r="AM86" s="34" t="str">
        <x:f>IF(A86="","",IF(AND(B86&lt;&gt;"",F86&lt;&gt;"",H86&lt;&gt;"",J86&lt;&gt;"",Y86&lt;&gt;"",Z86&lt;&gt;"",AA86&lt;&gt;"",AB86&lt;&gt;"",AL86="已冻结"),"是","否"))</x:f>
        <x:v>否</x:v>
      </x:c>
    </x:row>
    <x:row r="87">
      <x:c r="A87" s="34" t="str">
        <x:v>M5-SNAP-082</x:v>
      </x:c>
      <x:c r="B87" s="34" t="str"/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/>
      <x:c r="K87" s="34" t="str"/>
      <x:c r="L87" s="34" t="str"/>
      <x:c r="M87" s="34" t="str"/>
      <x:c r="N87" s="34" t="str"/>
      <x:c r="O87" s="34" t="str"/>
      <x:c r="P87" s="34" t="str"/>
      <x:c r="Q87" s="34" t="str"/>
      <x:c r="R87" s="34" t="str"/>
      <x:c r="S87" s="34" t="str"/>
      <x:c r="T87" s="34" t="str"/>
      <x:c r="U87" s="34" t="str"/>
      <x:c r="V87" s="34" t="str"/>
      <x:c r="W87" s="34" t="str"/>
      <x:c r="X87" s="34" t="str"/>
      <x:c r="Y87" s="34" t="str"/>
      <x:c r="Z87" s="34" t="str"/>
      <x:c r="AA87" s="34" t="str"/>
      <x:c r="AB87" s="34" t="str"/>
      <x:c r="AC87" s="34" t="str"/>
      <x:c r="AD87" s="34" t="str"/>
      <x:c r="AE87" s="34" t="str"/>
      <x:c r="AF87" s="34" t="str"/>
      <x:c r="AG87" s="34" t="str"/>
      <x:c r="AH87" s="34" t="str"/>
      <x:c r="AI87" s="34" t="str"/>
      <x:c r="AJ87" s="34" t="str"/>
      <x:c r="AK87" s="34" t="str"/>
      <x:c r="AL87" s="34" t="str">
        <x:v>草稿</x:v>
      </x:c>
      <x:c r="AM87" s="34" t="str">
        <x:f>IF(A87="","",IF(AND(B87&lt;&gt;"",F87&lt;&gt;"",H87&lt;&gt;"",J87&lt;&gt;"",Y87&lt;&gt;"",Z87&lt;&gt;"",AA87&lt;&gt;"",AB87&lt;&gt;"",AL87="已冻结"),"是","否"))</x:f>
        <x:v>否</x:v>
      </x:c>
    </x:row>
    <x:row r="88">
      <x:c r="A88" s="34" t="str">
        <x:v>M5-SNAP-083</x:v>
      </x:c>
      <x:c r="B88" s="34" t="str"/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  <x:c r="M88" s="34" t="str"/>
      <x:c r="N88" s="34" t="str"/>
      <x:c r="O88" s="34" t="str"/>
      <x:c r="P88" s="34" t="str"/>
      <x:c r="Q88" s="34" t="str"/>
      <x:c r="R88" s="34" t="str"/>
      <x:c r="S88" s="34" t="str"/>
      <x:c r="T88" s="34" t="str"/>
      <x:c r="U88" s="34" t="str"/>
      <x:c r="V88" s="34" t="str"/>
      <x:c r="W88" s="34" t="str"/>
      <x:c r="X88" s="34" t="str"/>
      <x:c r="Y88" s="34" t="str"/>
      <x:c r="Z88" s="34" t="str"/>
      <x:c r="AA88" s="34" t="str"/>
      <x:c r="AB88" s="34" t="str"/>
      <x:c r="AC88" s="34" t="str"/>
      <x:c r="AD88" s="34" t="str"/>
      <x:c r="AE88" s="34" t="str"/>
      <x:c r="AF88" s="34" t="str"/>
      <x:c r="AG88" s="34" t="str"/>
      <x:c r="AH88" s="34" t="str"/>
      <x:c r="AI88" s="34" t="str"/>
      <x:c r="AJ88" s="34" t="str"/>
      <x:c r="AK88" s="34" t="str"/>
      <x:c r="AL88" s="34" t="str">
        <x:v>草稿</x:v>
      </x:c>
      <x:c r="AM88" s="34" t="str">
        <x:f>IF(A88="","",IF(AND(B88&lt;&gt;"",F88&lt;&gt;"",H88&lt;&gt;"",J88&lt;&gt;"",Y88&lt;&gt;"",Z88&lt;&gt;"",AA88&lt;&gt;"",AB88&lt;&gt;"",AL88="已冻结"),"是","否"))</x:f>
        <x:v>否</x:v>
      </x:c>
    </x:row>
    <x:row r="89">
      <x:c r="A89" s="34" t="str">
        <x:v>M5-SNAP-084</x:v>
      </x:c>
      <x:c r="B89" s="34" t="str"/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/>
      <x:c r="K89" s="34" t="str"/>
      <x:c r="L89" s="34" t="str"/>
      <x:c r="M89" s="34" t="str"/>
      <x:c r="N89" s="34" t="str"/>
      <x:c r="O89" s="34" t="str"/>
      <x:c r="P89" s="34" t="str"/>
      <x:c r="Q89" s="34" t="str"/>
      <x:c r="R89" s="34" t="str"/>
      <x:c r="S89" s="34" t="str"/>
      <x:c r="T89" s="34" t="str"/>
      <x:c r="U89" s="34" t="str"/>
      <x:c r="V89" s="34" t="str"/>
      <x:c r="W89" s="34" t="str"/>
      <x:c r="X89" s="34" t="str"/>
      <x:c r="Y89" s="34" t="str"/>
      <x:c r="Z89" s="34" t="str"/>
      <x:c r="AA89" s="34" t="str"/>
      <x:c r="AB89" s="34" t="str"/>
      <x:c r="AC89" s="34" t="str"/>
      <x:c r="AD89" s="34" t="str"/>
      <x:c r="AE89" s="34" t="str"/>
      <x:c r="AF89" s="34" t="str"/>
      <x:c r="AG89" s="34" t="str"/>
      <x:c r="AH89" s="34" t="str"/>
      <x:c r="AI89" s="34" t="str"/>
      <x:c r="AJ89" s="34" t="str"/>
      <x:c r="AK89" s="34" t="str"/>
      <x:c r="AL89" s="34" t="str">
        <x:v>草稿</x:v>
      </x:c>
      <x:c r="AM89" s="34" t="str">
        <x:f>IF(A89="","",IF(AND(B89&lt;&gt;"",F89&lt;&gt;"",H89&lt;&gt;"",J89&lt;&gt;"",Y89&lt;&gt;"",Z89&lt;&gt;"",AA89&lt;&gt;"",AB89&lt;&gt;"",AL89="已冻结"),"是","否"))</x:f>
        <x:v>否</x:v>
      </x:c>
    </x:row>
    <x:row r="90">
      <x:c r="A90" s="34" t="str">
        <x:v>M5-SNAP-085</x:v>
      </x:c>
      <x:c r="B90" s="34" t="str"/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/>
      <x:c r="K90" s="34" t="str"/>
      <x:c r="L90" s="34" t="str"/>
      <x:c r="M90" s="34" t="str"/>
      <x:c r="N90" s="34" t="str"/>
      <x:c r="O90" s="34" t="str"/>
      <x:c r="P90" s="34" t="str"/>
      <x:c r="Q90" s="34" t="str"/>
      <x:c r="R90" s="34" t="str"/>
      <x:c r="S90" s="34" t="str"/>
      <x:c r="T90" s="34" t="str"/>
      <x:c r="U90" s="34" t="str"/>
      <x:c r="V90" s="34" t="str"/>
      <x:c r="W90" s="34" t="str"/>
      <x:c r="X90" s="34" t="str"/>
      <x:c r="Y90" s="34" t="str"/>
      <x:c r="Z90" s="34" t="str"/>
      <x:c r="AA90" s="34" t="str"/>
      <x:c r="AB90" s="34" t="str"/>
      <x:c r="AC90" s="34" t="str"/>
      <x:c r="AD90" s="34" t="str"/>
      <x:c r="AE90" s="34" t="str"/>
      <x:c r="AF90" s="34" t="str"/>
      <x:c r="AG90" s="34" t="str"/>
      <x:c r="AH90" s="34" t="str"/>
      <x:c r="AI90" s="34" t="str"/>
      <x:c r="AJ90" s="34" t="str"/>
      <x:c r="AK90" s="34" t="str"/>
      <x:c r="AL90" s="34" t="str">
        <x:v>草稿</x:v>
      </x:c>
      <x:c r="AM90" s="34" t="str">
        <x:f>IF(A90="","",IF(AND(B90&lt;&gt;"",F90&lt;&gt;"",H90&lt;&gt;"",J90&lt;&gt;"",Y90&lt;&gt;"",Z90&lt;&gt;"",AA90&lt;&gt;"",AB90&lt;&gt;"",AL90="已冻结"),"是","否"))</x:f>
        <x:v>否</x:v>
      </x:c>
    </x:row>
    <x:row r="91">
      <x:c r="A91" s="34" t="str">
        <x:v>M5-SNAP-086</x:v>
      </x:c>
      <x:c r="B91" s="34" t="str"/>
      <x:c r="C91" s="34" t="str"/>
      <x:c r="D91" s="34" t="str"/>
      <x:c r="E91" s="34" t="str"/>
      <x:c r="F91" s="34" t="str"/>
      <x:c r="G91" s="34" t="str"/>
      <x:c r="H91" s="34" t="str"/>
      <x:c r="I91" s="34" t="str"/>
      <x:c r="J91" s="34" t="str"/>
      <x:c r="K91" s="34" t="str"/>
      <x:c r="L91" s="34" t="str"/>
      <x:c r="M91" s="34" t="str"/>
      <x:c r="N91" s="34" t="str"/>
      <x:c r="O91" s="34" t="str"/>
      <x:c r="P91" s="34" t="str"/>
      <x:c r="Q91" s="34" t="str"/>
      <x:c r="R91" s="34" t="str"/>
      <x:c r="S91" s="34" t="str"/>
      <x:c r="T91" s="34" t="str"/>
      <x:c r="U91" s="34" t="str"/>
      <x:c r="V91" s="34" t="str"/>
      <x:c r="W91" s="34" t="str"/>
      <x:c r="X91" s="34" t="str"/>
      <x:c r="Y91" s="34" t="str"/>
      <x:c r="Z91" s="34" t="str"/>
      <x:c r="AA91" s="34" t="str"/>
      <x:c r="AB91" s="34" t="str"/>
      <x:c r="AC91" s="34" t="str"/>
      <x:c r="AD91" s="34" t="str"/>
      <x:c r="AE91" s="34" t="str"/>
      <x:c r="AF91" s="34" t="str"/>
      <x:c r="AG91" s="34" t="str"/>
      <x:c r="AH91" s="34" t="str"/>
      <x:c r="AI91" s="34" t="str"/>
      <x:c r="AJ91" s="34" t="str"/>
      <x:c r="AK91" s="34" t="str"/>
      <x:c r="AL91" s="34" t="str">
        <x:v>草稿</x:v>
      </x:c>
      <x:c r="AM91" s="34" t="str">
        <x:f>IF(A91="","",IF(AND(B91&lt;&gt;"",F91&lt;&gt;"",H91&lt;&gt;"",J91&lt;&gt;"",Y91&lt;&gt;"",Z91&lt;&gt;"",AA91&lt;&gt;"",AB91&lt;&gt;"",AL91="已冻结"),"是","否"))</x:f>
        <x:v>否</x:v>
      </x:c>
    </x:row>
    <x:row r="92">
      <x:c r="A92" s="34" t="str">
        <x:v>M5-SNAP-087</x:v>
      </x:c>
      <x:c r="B92" s="34" t="str"/>
      <x:c r="C92" s="34" t="str"/>
      <x:c r="D92" s="34" t="str"/>
      <x:c r="E92" s="34" t="str"/>
      <x:c r="F92" s="34" t="str"/>
      <x:c r="G92" s="34" t="str"/>
      <x:c r="H92" s="34" t="str"/>
      <x:c r="I92" s="34" t="str"/>
      <x:c r="J92" s="34" t="str"/>
      <x:c r="K92" s="34" t="str"/>
      <x:c r="L92" s="34" t="str"/>
      <x:c r="M92" s="34" t="str"/>
      <x:c r="N92" s="34" t="str"/>
      <x:c r="O92" s="34" t="str"/>
      <x:c r="P92" s="34" t="str"/>
      <x:c r="Q92" s="34" t="str"/>
      <x:c r="R92" s="34" t="str"/>
      <x:c r="S92" s="34" t="str"/>
      <x:c r="T92" s="34" t="str"/>
      <x:c r="U92" s="34" t="str"/>
      <x:c r="V92" s="34" t="str"/>
      <x:c r="W92" s="34" t="str"/>
      <x:c r="X92" s="34" t="str"/>
      <x:c r="Y92" s="34" t="str"/>
      <x:c r="Z92" s="34" t="str"/>
      <x:c r="AA92" s="34" t="str"/>
      <x:c r="AB92" s="34" t="str"/>
      <x:c r="AC92" s="34" t="str"/>
      <x:c r="AD92" s="34" t="str"/>
      <x:c r="AE92" s="34" t="str"/>
      <x:c r="AF92" s="34" t="str"/>
      <x:c r="AG92" s="34" t="str"/>
      <x:c r="AH92" s="34" t="str"/>
      <x:c r="AI92" s="34" t="str"/>
      <x:c r="AJ92" s="34" t="str"/>
      <x:c r="AK92" s="34" t="str"/>
      <x:c r="AL92" s="34" t="str">
        <x:v>草稿</x:v>
      </x:c>
      <x:c r="AM92" s="34" t="str">
        <x:f>IF(A92="","",IF(AND(B92&lt;&gt;"",F92&lt;&gt;"",H92&lt;&gt;"",J92&lt;&gt;"",Y92&lt;&gt;"",Z92&lt;&gt;"",AA92&lt;&gt;"",AB92&lt;&gt;"",AL92="已冻结"),"是","否"))</x:f>
        <x:v>否</x:v>
      </x:c>
    </x:row>
    <x:row r="93">
      <x:c r="A93" s="34" t="str">
        <x:v>M5-SNAP-088</x:v>
      </x:c>
      <x:c r="B93" s="34" t="str"/>
      <x:c r="C93" s="34" t="str"/>
      <x:c r="D93" s="34" t="str"/>
      <x:c r="E93" s="34" t="str"/>
      <x:c r="F93" s="34" t="str"/>
      <x:c r="G93" s="34" t="str"/>
      <x:c r="H93" s="34" t="str"/>
      <x:c r="I93" s="34" t="str"/>
      <x:c r="J93" s="34" t="str"/>
      <x:c r="K93" s="34" t="str"/>
      <x:c r="L93" s="34" t="str"/>
      <x:c r="M93" s="34" t="str"/>
      <x:c r="N93" s="34" t="str"/>
      <x:c r="O93" s="34" t="str"/>
      <x:c r="P93" s="34" t="str"/>
      <x:c r="Q93" s="34" t="str"/>
      <x:c r="R93" s="34" t="str"/>
      <x:c r="S93" s="34" t="str"/>
      <x:c r="T93" s="34" t="str"/>
      <x:c r="U93" s="34" t="str"/>
      <x:c r="V93" s="34" t="str"/>
      <x:c r="W93" s="34" t="str"/>
      <x:c r="X93" s="34" t="str"/>
      <x:c r="Y93" s="34" t="str"/>
      <x:c r="Z93" s="34" t="str"/>
      <x:c r="AA93" s="34" t="str"/>
      <x:c r="AB93" s="34" t="str"/>
      <x:c r="AC93" s="34" t="str"/>
      <x:c r="AD93" s="34" t="str"/>
      <x:c r="AE93" s="34" t="str"/>
      <x:c r="AF93" s="34" t="str"/>
      <x:c r="AG93" s="34" t="str"/>
      <x:c r="AH93" s="34" t="str"/>
      <x:c r="AI93" s="34" t="str"/>
      <x:c r="AJ93" s="34" t="str"/>
      <x:c r="AK93" s="34" t="str"/>
      <x:c r="AL93" s="34" t="str">
        <x:v>草稿</x:v>
      </x:c>
      <x:c r="AM93" s="34" t="str">
        <x:f>IF(A93="","",IF(AND(B93&lt;&gt;"",F93&lt;&gt;"",H93&lt;&gt;"",J93&lt;&gt;"",Y93&lt;&gt;"",Z93&lt;&gt;"",AA93&lt;&gt;"",AB93&lt;&gt;"",AL93="已冻结"),"是","否"))</x:f>
        <x:v>否</x:v>
      </x:c>
    </x:row>
    <x:row r="94">
      <x:c r="A94" s="34" t="str">
        <x:v>M5-SNAP-089</x:v>
      </x:c>
      <x:c r="B94" s="34" t="str"/>
      <x:c r="C94" s="34" t="str"/>
      <x:c r="D94" s="34" t="str"/>
      <x:c r="E94" s="34" t="str"/>
      <x:c r="F94" s="34" t="str"/>
      <x:c r="G94" s="34" t="str"/>
      <x:c r="H94" s="34" t="str"/>
      <x:c r="I94" s="34" t="str"/>
      <x:c r="J94" s="34" t="str"/>
      <x:c r="K94" s="34" t="str"/>
      <x:c r="L94" s="34" t="str"/>
      <x:c r="M94" s="34" t="str"/>
      <x:c r="N94" s="34" t="str"/>
      <x:c r="O94" s="34" t="str"/>
      <x:c r="P94" s="34" t="str"/>
      <x:c r="Q94" s="34" t="str"/>
      <x:c r="R94" s="34" t="str"/>
      <x:c r="S94" s="34" t="str"/>
      <x:c r="T94" s="34" t="str"/>
      <x:c r="U94" s="34" t="str"/>
      <x:c r="V94" s="34" t="str"/>
      <x:c r="W94" s="34" t="str"/>
      <x:c r="X94" s="34" t="str"/>
      <x:c r="Y94" s="34" t="str"/>
      <x:c r="Z94" s="34" t="str"/>
      <x:c r="AA94" s="34" t="str"/>
      <x:c r="AB94" s="34" t="str"/>
      <x:c r="AC94" s="34" t="str"/>
      <x:c r="AD94" s="34" t="str"/>
      <x:c r="AE94" s="34" t="str"/>
      <x:c r="AF94" s="34" t="str"/>
      <x:c r="AG94" s="34" t="str"/>
      <x:c r="AH94" s="34" t="str"/>
      <x:c r="AI94" s="34" t="str"/>
      <x:c r="AJ94" s="34" t="str"/>
      <x:c r="AK94" s="34" t="str"/>
      <x:c r="AL94" s="34" t="str">
        <x:v>草稿</x:v>
      </x:c>
      <x:c r="AM94" s="34" t="str">
        <x:f>IF(A94="","",IF(AND(B94&lt;&gt;"",F94&lt;&gt;"",H94&lt;&gt;"",J94&lt;&gt;"",Y94&lt;&gt;"",Z94&lt;&gt;"",AA94&lt;&gt;"",AB94&lt;&gt;"",AL94="已冻结"),"是","否"))</x:f>
        <x:v>否</x:v>
      </x:c>
    </x:row>
    <x:row r="95">
      <x:c r="A95" s="34" t="str">
        <x:v>M5-SNAP-090</x:v>
      </x:c>
      <x:c r="B95" s="34" t="str"/>
      <x:c r="C95" s="34" t="str"/>
      <x:c r="D95" s="34" t="str"/>
      <x:c r="E95" s="34" t="str"/>
      <x:c r="F95" s="34" t="str"/>
      <x:c r="G95" s="34" t="str"/>
      <x:c r="H95" s="34" t="str"/>
      <x:c r="I95" s="34" t="str"/>
      <x:c r="J95" s="34" t="str"/>
      <x:c r="K95" s="34" t="str"/>
      <x:c r="L95" s="34" t="str"/>
      <x:c r="M95" s="34" t="str"/>
      <x:c r="N95" s="34" t="str"/>
      <x:c r="O95" s="34" t="str"/>
      <x:c r="P95" s="34" t="str"/>
      <x:c r="Q95" s="34" t="str"/>
      <x:c r="R95" s="34" t="str"/>
      <x:c r="S95" s="34" t="str"/>
      <x:c r="T95" s="34" t="str"/>
      <x:c r="U95" s="34" t="str"/>
      <x:c r="V95" s="34" t="str"/>
      <x:c r="W95" s="34" t="str"/>
      <x:c r="X95" s="34" t="str"/>
      <x:c r="Y95" s="34" t="str"/>
      <x:c r="Z95" s="34" t="str"/>
      <x:c r="AA95" s="34" t="str"/>
      <x:c r="AB95" s="34" t="str"/>
      <x:c r="AC95" s="34" t="str"/>
      <x:c r="AD95" s="34" t="str"/>
      <x:c r="AE95" s="34" t="str"/>
      <x:c r="AF95" s="34" t="str"/>
      <x:c r="AG95" s="34" t="str"/>
      <x:c r="AH95" s="34" t="str"/>
      <x:c r="AI95" s="34" t="str"/>
      <x:c r="AJ95" s="34" t="str"/>
      <x:c r="AK95" s="34" t="str"/>
      <x:c r="AL95" s="34" t="str">
        <x:v>草稿</x:v>
      </x:c>
      <x:c r="AM95" s="34" t="str">
        <x:f>IF(A95="","",IF(AND(B95&lt;&gt;"",F95&lt;&gt;"",H95&lt;&gt;"",J95&lt;&gt;"",Y95&lt;&gt;"",Z95&lt;&gt;"",AA95&lt;&gt;"",AB95&lt;&gt;"",AL95="已冻结"),"是","否"))</x:f>
        <x:v>否</x:v>
      </x:c>
    </x:row>
    <x:row r="96">
      <x:c r="A96" s="34" t="str">
        <x:v>M5-SNAP-091</x:v>
      </x:c>
      <x:c r="B96" s="34" t="str"/>
      <x:c r="C96" s="34" t="str"/>
      <x:c r="D96" s="34" t="str"/>
      <x:c r="E96" s="34" t="str"/>
      <x:c r="F96" s="34" t="str"/>
      <x:c r="G96" s="34" t="str"/>
      <x:c r="H96" s="34" t="str"/>
      <x:c r="I96" s="34" t="str"/>
      <x:c r="J96" s="34" t="str"/>
      <x:c r="K96" s="34" t="str"/>
      <x:c r="L96" s="34" t="str"/>
      <x:c r="M96" s="34" t="str"/>
      <x:c r="N96" s="34" t="str"/>
      <x:c r="O96" s="34" t="str"/>
      <x:c r="P96" s="34" t="str"/>
      <x:c r="Q96" s="34" t="str"/>
      <x:c r="R96" s="34" t="str"/>
      <x:c r="S96" s="34" t="str"/>
      <x:c r="T96" s="34" t="str"/>
      <x:c r="U96" s="34" t="str"/>
      <x:c r="V96" s="34" t="str"/>
      <x:c r="W96" s="34" t="str"/>
      <x:c r="X96" s="34" t="str"/>
      <x:c r="Y96" s="34" t="str"/>
      <x:c r="Z96" s="34" t="str"/>
      <x:c r="AA96" s="34" t="str"/>
      <x:c r="AB96" s="34" t="str"/>
      <x:c r="AC96" s="34" t="str"/>
      <x:c r="AD96" s="34" t="str"/>
      <x:c r="AE96" s="34" t="str"/>
      <x:c r="AF96" s="34" t="str"/>
      <x:c r="AG96" s="34" t="str"/>
      <x:c r="AH96" s="34" t="str"/>
      <x:c r="AI96" s="34" t="str"/>
      <x:c r="AJ96" s="34" t="str"/>
      <x:c r="AK96" s="34" t="str"/>
      <x:c r="AL96" s="34" t="str">
        <x:v>草稿</x:v>
      </x:c>
      <x:c r="AM96" s="34" t="str">
        <x:f>IF(A96="","",IF(AND(B96&lt;&gt;"",F96&lt;&gt;"",H96&lt;&gt;"",J96&lt;&gt;"",Y96&lt;&gt;"",Z96&lt;&gt;"",AA96&lt;&gt;"",AB96&lt;&gt;"",AL96="已冻结"),"是","否"))</x:f>
        <x:v>否</x:v>
      </x:c>
    </x:row>
    <x:row r="97">
      <x:c r="A97" s="34" t="str">
        <x:v>M5-SNAP-092</x:v>
      </x:c>
      <x:c r="B97" s="34" t="str"/>
      <x:c r="C97" s="34" t="str"/>
      <x:c r="D97" s="34" t="str"/>
      <x:c r="E97" s="34" t="str"/>
      <x:c r="F97" s="34" t="str"/>
      <x:c r="G97" s="34" t="str"/>
      <x:c r="H97" s="34" t="str"/>
      <x:c r="I97" s="34" t="str"/>
      <x:c r="J97" s="34" t="str"/>
      <x:c r="K97" s="34" t="str"/>
      <x:c r="L97" s="34" t="str"/>
      <x:c r="M97" s="34" t="str"/>
      <x:c r="N97" s="34" t="str"/>
      <x:c r="O97" s="34" t="str"/>
      <x:c r="P97" s="34" t="str"/>
      <x:c r="Q97" s="34" t="str"/>
      <x:c r="R97" s="34" t="str"/>
      <x:c r="S97" s="34" t="str"/>
      <x:c r="T97" s="34" t="str"/>
      <x:c r="U97" s="34" t="str"/>
      <x:c r="V97" s="34" t="str"/>
      <x:c r="W97" s="34" t="str"/>
      <x:c r="X97" s="34" t="str"/>
      <x:c r="Y97" s="34" t="str"/>
      <x:c r="Z97" s="34" t="str"/>
      <x:c r="AA97" s="34" t="str"/>
      <x:c r="AB97" s="34" t="str"/>
      <x:c r="AC97" s="34" t="str"/>
      <x:c r="AD97" s="34" t="str"/>
      <x:c r="AE97" s="34" t="str"/>
      <x:c r="AF97" s="34" t="str"/>
      <x:c r="AG97" s="34" t="str"/>
      <x:c r="AH97" s="34" t="str"/>
      <x:c r="AI97" s="34" t="str"/>
      <x:c r="AJ97" s="34" t="str"/>
      <x:c r="AK97" s="34" t="str"/>
      <x:c r="AL97" s="34" t="str">
        <x:v>草稿</x:v>
      </x:c>
      <x:c r="AM97" s="34" t="str">
        <x:f>IF(A97="","",IF(AND(B97&lt;&gt;"",F97&lt;&gt;"",H97&lt;&gt;"",J97&lt;&gt;"",Y97&lt;&gt;"",Z97&lt;&gt;"",AA97&lt;&gt;"",AB97&lt;&gt;"",AL97="已冻结"),"是","否"))</x:f>
        <x:v>否</x:v>
      </x:c>
    </x:row>
    <x:row r="98">
      <x:c r="A98" s="34" t="str">
        <x:v>M5-SNAP-093</x:v>
      </x:c>
      <x:c r="B98" s="34" t="str"/>
      <x:c r="C98" s="34" t="str"/>
      <x:c r="D98" s="34" t="str"/>
      <x:c r="E98" s="34" t="str"/>
      <x:c r="F98" s="34" t="str"/>
      <x:c r="G98" s="34" t="str"/>
      <x:c r="H98" s="34" t="str"/>
      <x:c r="I98" s="34" t="str"/>
      <x:c r="J98" s="34" t="str"/>
      <x:c r="K98" s="34" t="str"/>
      <x:c r="L98" s="34" t="str"/>
      <x:c r="M98" s="34" t="str"/>
      <x:c r="N98" s="34" t="str"/>
      <x:c r="O98" s="34" t="str"/>
      <x:c r="P98" s="34" t="str"/>
      <x:c r="Q98" s="34" t="str"/>
      <x:c r="R98" s="34" t="str"/>
      <x:c r="S98" s="34" t="str"/>
      <x:c r="T98" s="34" t="str"/>
      <x:c r="U98" s="34" t="str"/>
      <x:c r="V98" s="34" t="str"/>
      <x:c r="W98" s="34" t="str"/>
      <x:c r="X98" s="34" t="str"/>
      <x:c r="Y98" s="34" t="str"/>
      <x:c r="Z98" s="34" t="str"/>
      <x:c r="AA98" s="34" t="str"/>
      <x:c r="AB98" s="34" t="str"/>
      <x:c r="AC98" s="34" t="str"/>
      <x:c r="AD98" s="34" t="str"/>
      <x:c r="AE98" s="34" t="str"/>
      <x:c r="AF98" s="34" t="str"/>
      <x:c r="AG98" s="34" t="str"/>
      <x:c r="AH98" s="34" t="str"/>
      <x:c r="AI98" s="34" t="str"/>
      <x:c r="AJ98" s="34" t="str"/>
      <x:c r="AK98" s="34" t="str"/>
      <x:c r="AL98" s="34" t="str">
        <x:v>草稿</x:v>
      </x:c>
      <x:c r="AM98" s="34" t="str">
        <x:f>IF(A98="","",IF(AND(B98&lt;&gt;"",F98&lt;&gt;"",H98&lt;&gt;"",J98&lt;&gt;"",Y98&lt;&gt;"",Z98&lt;&gt;"",AA98&lt;&gt;"",AB98&lt;&gt;"",AL98="已冻结"),"是","否"))</x:f>
        <x:v>否</x:v>
      </x:c>
    </x:row>
    <x:row r="99">
      <x:c r="A99" s="34" t="str">
        <x:v>M5-SNAP-094</x:v>
      </x:c>
      <x:c r="B99" s="34" t="str"/>
      <x:c r="C99" s="34" t="str"/>
      <x:c r="D99" s="34" t="str"/>
      <x:c r="E99" s="34" t="str"/>
      <x:c r="F99" s="34" t="str"/>
      <x:c r="G99" s="34" t="str"/>
      <x:c r="H99" s="34" t="str"/>
      <x:c r="I99" s="34" t="str"/>
      <x:c r="J99" s="34" t="str"/>
      <x:c r="K99" s="34" t="str"/>
      <x:c r="L99" s="34" t="str"/>
      <x:c r="M99" s="34" t="str"/>
      <x:c r="N99" s="34" t="str"/>
      <x:c r="O99" s="34" t="str"/>
      <x:c r="P99" s="34" t="str"/>
      <x:c r="Q99" s="34" t="str"/>
      <x:c r="R99" s="34" t="str"/>
      <x:c r="S99" s="34" t="str"/>
      <x:c r="T99" s="34" t="str"/>
      <x:c r="U99" s="34" t="str"/>
      <x:c r="V99" s="34" t="str"/>
      <x:c r="W99" s="34" t="str"/>
      <x:c r="X99" s="34" t="str"/>
      <x:c r="Y99" s="34" t="str"/>
      <x:c r="Z99" s="34" t="str"/>
      <x:c r="AA99" s="34" t="str"/>
      <x:c r="AB99" s="34" t="str"/>
      <x:c r="AC99" s="34" t="str"/>
      <x:c r="AD99" s="34" t="str"/>
      <x:c r="AE99" s="34" t="str"/>
      <x:c r="AF99" s="34" t="str"/>
      <x:c r="AG99" s="34" t="str"/>
      <x:c r="AH99" s="34" t="str"/>
      <x:c r="AI99" s="34" t="str"/>
      <x:c r="AJ99" s="34" t="str"/>
      <x:c r="AK99" s="34" t="str"/>
      <x:c r="AL99" s="34" t="str">
        <x:v>草稿</x:v>
      </x:c>
      <x:c r="AM99" s="34" t="str">
        <x:f>IF(A99="","",IF(AND(B99&lt;&gt;"",F99&lt;&gt;"",H99&lt;&gt;"",J99&lt;&gt;"",Y99&lt;&gt;"",Z99&lt;&gt;"",AA99&lt;&gt;"",AB99&lt;&gt;"",AL99="已冻结"),"是","否"))</x:f>
        <x:v>否</x:v>
      </x:c>
    </x:row>
    <x:row r="100">
      <x:c r="A100" s="34" t="str">
        <x:v>M5-SNAP-095</x:v>
      </x:c>
      <x:c r="B100" s="34" t="str"/>
      <x:c r="C100" s="34" t="str"/>
      <x:c r="D100" s="34" t="str"/>
      <x:c r="E100" s="34" t="str"/>
      <x:c r="F100" s="34" t="str"/>
      <x:c r="G100" s="34" t="str"/>
      <x:c r="H100" s="34" t="str"/>
      <x:c r="I100" s="34" t="str"/>
      <x:c r="J100" s="34" t="str"/>
      <x:c r="K100" s="34" t="str"/>
      <x:c r="L100" s="34" t="str"/>
      <x:c r="M100" s="34" t="str"/>
      <x:c r="N100" s="34" t="str"/>
      <x:c r="O100" s="34" t="str"/>
      <x:c r="P100" s="34" t="str"/>
      <x:c r="Q100" s="34" t="str"/>
      <x:c r="R100" s="34" t="str"/>
      <x:c r="S100" s="34" t="str"/>
      <x:c r="T100" s="34" t="str"/>
      <x:c r="U100" s="34" t="str"/>
      <x:c r="V100" s="34" t="str"/>
      <x:c r="W100" s="34" t="str"/>
      <x:c r="X100" s="34" t="str"/>
      <x:c r="Y100" s="34" t="str"/>
      <x:c r="Z100" s="34" t="str"/>
      <x:c r="AA100" s="34" t="str"/>
      <x:c r="AB100" s="34" t="str"/>
      <x:c r="AC100" s="34" t="str"/>
      <x:c r="AD100" s="34" t="str"/>
      <x:c r="AE100" s="34" t="str"/>
      <x:c r="AF100" s="34" t="str"/>
      <x:c r="AG100" s="34" t="str"/>
      <x:c r="AH100" s="34" t="str"/>
      <x:c r="AI100" s="34" t="str"/>
      <x:c r="AJ100" s="34" t="str"/>
      <x:c r="AK100" s="34" t="str"/>
      <x:c r="AL100" s="34" t="str">
        <x:v>草稿</x:v>
      </x:c>
      <x:c r="AM100" s="34" t="str">
        <x:f>IF(A100="","",IF(AND(B100&lt;&gt;"",F100&lt;&gt;"",H100&lt;&gt;"",J100&lt;&gt;"",Y100&lt;&gt;"",Z100&lt;&gt;"",AA100&lt;&gt;"",AB100&lt;&gt;"",AL100="已冻结"),"是","否"))</x:f>
        <x:v>否</x:v>
      </x:c>
    </x:row>
    <x:row r="101">
      <x:c r="A101" s="34" t="str">
        <x:v>M5-SNAP-096</x:v>
      </x:c>
      <x:c r="B101" s="34" t="str"/>
      <x:c r="C101" s="34" t="str"/>
      <x:c r="D101" s="34" t="str"/>
      <x:c r="E101" s="34" t="str"/>
      <x:c r="F101" s="34" t="str"/>
      <x:c r="G101" s="34" t="str"/>
      <x:c r="H101" s="34" t="str"/>
      <x:c r="I101" s="34" t="str"/>
      <x:c r="J101" s="34" t="str"/>
      <x:c r="K101" s="34" t="str"/>
      <x:c r="L101" s="34" t="str"/>
      <x:c r="M101" s="34" t="str"/>
      <x:c r="N101" s="34" t="str"/>
      <x:c r="O101" s="34" t="str"/>
      <x:c r="P101" s="34" t="str"/>
      <x:c r="Q101" s="34" t="str"/>
      <x:c r="R101" s="34" t="str"/>
      <x:c r="S101" s="34" t="str"/>
      <x:c r="T101" s="34" t="str"/>
      <x:c r="U101" s="34" t="str"/>
      <x:c r="V101" s="34" t="str"/>
      <x:c r="W101" s="34" t="str"/>
      <x:c r="X101" s="34" t="str"/>
      <x:c r="Y101" s="34" t="str"/>
      <x:c r="Z101" s="34" t="str"/>
      <x:c r="AA101" s="34" t="str"/>
      <x:c r="AB101" s="34" t="str"/>
      <x:c r="AC101" s="34" t="str"/>
      <x:c r="AD101" s="34" t="str"/>
      <x:c r="AE101" s="34" t="str"/>
      <x:c r="AF101" s="34" t="str"/>
      <x:c r="AG101" s="34" t="str"/>
      <x:c r="AH101" s="34" t="str"/>
      <x:c r="AI101" s="34" t="str"/>
      <x:c r="AJ101" s="34" t="str"/>
      <x:c r="AK101" s="34" t="str"/>
      <x:c r="AL101" s="34" t="str">
        <x:v>草稿</x:v>
      </x:c>
      <x:c r="AM101" s="34" t="str">
        <x:f>IF(A101="","",IF(AND(B101&lt;&gt;"",F101&lt;&gt;"",H101&lt;&gt;"",J101&lt;&gt;"",Y101&lt;&gt;"",Z101&lt;&gt;"",AA101&lt;&gt;"",AB101&lt;&gt;"",AL101="已冻结"),"是","否"))</x:f>
        <x:v>否</x:v>
      </x:c>
    </x:row>
    <x:row r="102">
      <x:c r="A102" s="34" t="str">
        <x:v>M5-SNAP-097</x:v>
      </x:c>
      <x:c r="B102" s="34" t="str"/>
      <x:c r="C102" s="34" t="str"/>
      <x:c r="D102" s="34" t="str"/>
      <x:c r="E102" s="34" t="str"/>
      <x:c r="F102" s="34" t="str"/>
      <x:c r="G102" s="34" t="str"/>
      <x:c r="H102" s="34" t="str"/>
      <x:c r="I102" s="34" t="str"/>
      <x:c r="J102" s="34" t="str"/>
      <x:c r="K102" s="34" t="str"/>
      <x:c r="L102" s="34" t="str"/>
      <x:c r="M102" s="34" t="str"/>
      <x:c r="N102" s="34" t="str"/>
      <x:c r="O102" s="34" t="str"/>
      <x:c r="P102" s="34" t="str"/>
      <x:c r="Q102" s="34" t="str"/>
      <x:c r="R102" s="34" t="str"/>
      <x:c r="S102" s="34" t="str"/>
      <x:c r="T102" s="34" t="str"/>
      <x:c r="U102" s="34" t="str"/>
      <x:c r="V102" s="34" t="str"/>
      <x:c r="W102" s="34" t="str"/>
      <x:c r="X102" s="34" t="str"/>
      <x:c r="Y102" s="34" t="str"/>
      <x:c r="Z102" s="34" t="str"/>
      <x:c r="AA102" s="34" t="str"/>
      <x:c r="AB102" s="34" t="str"/>
      <x:c r="AC102" s="34" t="str"/>
      <x:c r="AD102" s="34" t="str"/>
      <x:c r="AE102" s="34" t="str"/>
      <x:c r="AF102" s="34" t="str"/>
      <x:c r="AG102" s="34" t="str"/>
      <x:c r="AH102" s="34" t="str"/>
      <x:c r="AI102" s="34" t="str"/>
      <x:c r="AJ102" s="34" t="str"/>
      <x:c r="AK102" s="34" t="str"/>
      <x:c r="AL102" s="34" t="str">
        <x:v>草稿</x:v>
      </x:c>
      <x:c r="AM102" s="34" t="str">
        <x:f>IF(A102="","",IF(AND(B102&lt;&gt;"",F102&lt;&gt;"",H102&lt;&gt;"",J102&lt;&gt;"",Y102&lt;&gt;"",Z102&lt;&gt;"",AA102&lt;&gt;"",AB102&lt;&gt;"",AL102="已冻结"),"是","否"))</x:f>
        <x:v>否</x:v>
      </x:c>
    </x:row>
    <x:row r="103">
      <x:c r="A103" s="34" t="str">
        <x:v>M5-SNAP-098</x:v>
      </x:c>
      <x:c r="B103" s="34" t="str"/>
      <x:c r="C103" s="34" t="str"/>
      <x:c r="D103" s="34" t="str"/>
      <x:c r="E103" s="34" t="str"/>
      <x:c r="F103" s="34" t="str"/>
      <x:c r="G103" s="34" t="str"/>
      <x:c r="H103" s="34" t="str"/>
      <x:c r="I103" s="34" t="str"/>
      <x:c r="J103" s="34" t="str"/>
      <x:c r="K103" s="34" t="str"/>
      <x:c r="L103" s="34" t="str"/>
      <x:c r="M103" s="34" t="str"/>
      <x:c r="N103" s="34" t="str"/>
      <x:c r="O103" s="34" t="str"/>
      <x:c r="P103" s="34" t="str"/>
      <x:c r="Q103" s="34" t="str"/>
      <x:c r="R103" s="34" t="str"/>
      <x:c r="S103" s="34" t="str"/>
      <x:c r="T103" s="34" t="str"/>
      <x:c r="U103" s="34" t="str"/>
      <x:c r="V103" s="34" t="str"/>
      <x:c r="W103" s="34" t="str"/>
      <x:c r="X103" s="34" t="str"/>
      <x:c r="Y103" s="34" t="str"/>
      <x:c r="Z103" s="34" t="str"/>
      <x:c r="AA103" s="34" t="str"/>
      <x:c r="AB103" s="34" t="str"/>
      <x:c r="AC103" s="34" t="str"/>
      <x:c r="AD103" s="34" t="str"/>
      <x:c r="AE103" s="34" t="str"/>
      <x:c r="AF103" s="34" t="str"/>
      <x:c r="AG103" s="34" t="str"/>
      <x:c r="AH103" s="34" t="str"/>
      <x:c r="AI103" s="34" t="str"/>
      <x:c r="AJ103" s="34" t="str"/>
      <x:c r="AK103" s="34" t="str"/>
      <x:c r="AL103" s="34" t="str">
        <x:v>草稿</x:v>
      </x:c>
      <x:c r="AM103" s="34" t="str">
        <x:f>IF(A103="","",IF(AND(B103&lt;&gt;"",F103&lt;&gt;"",H103&lt;&gt;"",J103&lt;&gt;"",Y103&lt;&gt;"",Z103&lt;&gt;"",AA103&lt;&gt;"",AB103&lt;&gt;"",AL103="已冻结"),"是","否"))</x:f>
        <x:v>否</x:v>
      </x:c>
    </x:row>
    <x:row r="104">
      <x:c r="A104" s="34" t="str">
        <x:v>M5-SNAP-099</x:v>
      </x:c>
      <x:c r="B104" s="34" t="str"/>
      <x:c r="C104" s="34" t="str"/>
      <x:c r="D104" s="34" t="str"/>
      <x:c r="E104" s="34" t="str"/>
      <x:c r="F104" s="34" t="str"/>
      <x:c r="G104" s="34" t="str"/>
      <x:c r="H104" s="34" t="str"/>
      <x:c r="I104" s="34" t="str"/>
      <x:c r="J104" s="34" t="str"/>
      <x:c r="K104" s="34" t="str"/>
      <x:c r="L104" s="34" t="str"/>
      <x:c r="M104" s="34" t="str"/>
      <x:c r="N104" s="34" t="str"/>
      <x:c r="O104" s="34" t="str"/>
      <x:c r="P104" s="34" t="str"/>
      <x:c r="Q104" s="34" t="str"/>
      <x:c r="R104" s="34" t="str"/>
      <x:c r="S104" s="34" t="str"/>
      <x:c r="T104" s="34" t="str"/>
      <x:c r="U104" s="34" t="str"/>
      <x:c r="V104" s="34" t="str"/>
      <x:c r="W104" s="34" t="str"/>
      <x:c r="X104" s="34" t="str"/>
      <x:c r="Y104" s="34" t="str"/>
      <x:c r="Z104" s="34" t="str"/>
      <x:c r="AA104" s="34" t="str"/>
      <x:c r="AB104" s="34" t="str"/>
      <x:c r="AC104" s="34" t="str"/>
      <x:c r="AD104" s="34" t="str"/>
      <x:c r="AE104" s="34" t="str"/>
      <x:c r="AF104" s="34" t="str"/>
      <x:c r="AG104" s="34" t="str"/>
      <x:c r="AH104" s="34" t="str"/>
      <x:c r="AI104" s="34" t="str"/>
      <x:c r="AJ104" s="34" t="str"/>
      <x:c r="AK104" s="34" t="str"/>
      <x:c r="AL104" s="34" t="str">
        <x:v>草稿</x:v>
      </x:c>
      <x:c r="AM104" s="34" t="str">
        <x:f>IF(A104="","",IF(AND(B104&lt;&gt;"",F104&lt;&gt;"",H104&lt;&gt;"",J104&lt;&gt;"",Y104&lt;&gt;"",Z104&lt;&gt;"",AA104&lt;&gt;"",AB104&lt;&gt;"",AL104="已冻结"),"是","否"))</x:f>
        <x:v>否</x:v>
      </x:c>
    </x:row>
    <x:row r="105">
      <x:c r="A105" s="34" t="str">
        <x:v>M5-SNAP-100</x:v>
      </x:c>
      <x:c r="B105" s="34" t="str"/>
      <x:c r="C105" s="34" t="str"/>
      <x:c r="D105" s="34" t="str"/>
      <x:c r="E105" s="34" t="str"/>
      <x:c r="F105" s="34" t="str"/>
      <x:c r="G105" s="34" t="str"/>
      <x:c r="H105" s="34" t="str"/>
      <x:c r="I105" s="34" t="str"/>
      <x:c r="J105" s="34" t="str"/>
      <x:c r="K105" s="34" t="str"/>
      <x:c r="L105" s="34" t="str"/>
      <x:c r="M105" s="34" t="str"/>
      <x:c r="N105" s="34" t="str"/>
      <x:c r="O105" s="34" t="str"/>
      <x:c r="P105" s="34" t="str"/>
      <x:c r="Q105" s="34" t="str"/>
      <x:c r="R105" s="34" t="str"/>
      <x:c r="S105" s="34" t="str"/>
      <x:c r="T105" s="34" t="str"/>
      <x:c r="U105" s="34" t="str"/>
      <x:c r="V105" s="34" t="str"/>
      <x:c r="W105" s="34" t="str"/>
      <x:c r="X105" s="34" t="str"/>
      <x:c r="Y105" s="34" t="str"/>
      <x:c r="Z105" s="34" t="str"/>
      <x:c r="AA105" s="34" t="str"/>
      <x:c r="AB105" s="34" t="str"/>
      <x:c r="AC105" s="34" t="str"/>
      <x:c r="AD105" s="34" t="str"/>
      <x:c r="AE105" s="34" t="str"/>
      <x:c r="AF105" s="34" t="str"/>
      <x:c r="AG105" s="34" t="str"/>
      <x:c r="AH105" s="34" t="str"/>
      <x:c r="AI105" s="34" t="str"/>
      <x:c r="AJ105" s="34" t="str"/>
      <x:c r="AK105" s="34" t="str"/>
      <x:c r="AL105" s="34" t="str">
        <x:v>草稿</x:v>
      </x:c>
      <x:c r="AM105" s="34" t="str">
        <x:f>IF(A105="","",IF(AND(B105&lt;&gt;"",F105&lt;&gt;"",H105&lt;&gt;"",J105&lt;&gt;"",Y105&lt;&gt;"",Z105&lt;&gt;"",AA105&lt;&gt;"",AB105&lt;&gt;"",AL105="已冻结"),"是","否"))</x:f>
        <x:v>否</x:v>
      </x:c>
    </x:row>
  </x:sheetData>
  <x:mergeCells>
    <x:mergeCell ref="A1:AM2"/>
    <x:mergeCell ref="A3:AM3"/>
  </x:mergeCells>
  <x:dataValidations count="23">
    <x:dataValidation type="list" sqref="E6:E105">
      <x:formula1>"盲评,非盲,回顾性探索"</x:formula1>
    </x:dataValidation>
    <x:dataValidation type="list" sqref="F6:F105">
      <x:formula1>"complete,limited,stop"</x:formula1>
    </x:dataValidation>
    <x:dataValidation type="list" sqref="G6:G105">
      <x:formula1>"standard,safety_stop,insufficient_data,core_gate_stop"</x:formula1>
    </x:dataValidation>
    <x:dataValidation type="list" sqref="J6:J105">
      <x:formula1>"FAM01,FAM02,FAM03,FAM04,FAM05,FAM06,FAM07,FAM08,FAM09,FAM10"</x:formula1>
    </x:dataValidation>
    <x:dataValidation type="list" sqref="L6:L105">
      <x:formula1>"PS01,PS02,PS03,PS04,PS05,PS06,PS07,PS08"</x:formula1>
    </x:dataValidation>
    <x:dataValidation type="list" sqref="M6:M105">
      <x:formula1>"PV0,PV1,PV2,PV3,PV4,PV5,PV6,PV7"</x:formula1>
    </x:dataValidation>
    <x:dataValidation type="list" sqref="N6:N105">
      <x:formula1>"XR01,XR02,XR03,XR04,XR05,XR06,XR07,XR08"</x:formula1>
    </x:dataValidation>
    <x:dataValidation type="list" sqref="O6:O105">
      <x:formula1>"XV0,XV1,XV2,XV3,XV4,XV5,XV6,XV7"</x:formula1>
    </x:dataValidation>
    <x:dataValidation type="list" sqref="P6:P105">
      <x:formula1>"BS01,BS02,BS03,BS04,BS05,BS06,BS07,BS08"</x:formula1>
    </x:dataValidation>
    <x:dataValidation type="list" sqref="Q6:Q105">
      <x:formula1>"BV0,BV1,BV2,BV3,BV4,BV5,BV6,BV7"</x:formula1>
    </x:dataValidation>
    <x:dataValidation type="list" sqref="R6:R105">
      <x:formula1>"RT01,RT02,RT03,RT04,RT05,RT06,RT07,RT08"</x:formula1>
    </x:dataValidation>
    <x:dataValidation type="list" sqref="S6:S105">
      <x:formula1>"FV0,FV1,FV2,FV3,FV4,FV5,FV6,FV7"</x:formula1>
    </x:dataValidation>
    <x:dataValidation type="list" sqref="T6:T105">
      <x:formula1>"HS01,HS02,HS03,HS04,HS05,HS06,HS07,HS08"</x:formula1>
    </x:dataValidation>
    <x:dataValidation type="list" sqref="U6:U105">
      <x:formula1>"HV0,HV1,HV2,HV3,HV4,HV5,HV6,HV7"</x:formula1>
    </x:dataValidation>
    <x:dataValidation type="list" sqref="V6:V105">
      <x:formula1>"GT01,GT02,GT03,GT04,GT05,GT06,GT07,GT08,GT09,GT10,GT11,GT12"</x:formula1>
    </x:dataValidation>
    <x:dataValidation type="list" sqref="W6:W105">
      <x:formula1>"GS01,GS02,GS03,GS04,GS05,GS06,GS07,GS08"</x:formula1>
    </x:dataValidation>
    <x:dataValidation type="list" sqref="X6:X105">
      <x:formula1>"GE0,GE1,GE2,GE3,GE4,GE5,GE6,GE7"</x:formula1>
    </x:dataValidation>
    <x:dataValidation type="list" sqref="Y6:Y105">
      <x:formula1>"pass,conditional,core_mismatch,safety_stop,insufficient_data"</x:formula1>
    </x:dataValidation>
    <x:dataValidation type="list" sqref="Z6:Z105">
      <x:formula1>"AF01,AF02,AF03,AF04,AF05,AF06,AF07,AF08,AF09"</x:formula1>
    </x:dataValidation>
    <x:dataValidation type="list" sqref="AA6:AA105">
      <x:formula1>"FG0,FG1,FG2,FG3,FG4"</x:formula1>
    </x:dataValidation>
    <x:dataValidation type="list" sqref="AB6:AB105">
      <x:formula1>"high,medium_high,medium,medium_low,low,not_applicable"</x:formula1>
    </x:dataValidation>
    <x:dataValidation type="list" sqref="AC6:AC105">
      <x:formula1>"FB0,FB1,FB2,FB3,FB4,FB5"</x:formula1>
    </x:dataValidation>
    <x:dataValidation type="list" sqref="AL6:AL105">
      <x:formula1>"草稿,已冻结,作废"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7b638f374c4c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0" hidden="0" customWidth="1"/>
    <x:col min="4" max="4" width="18" hidden="0" customWidth="1"/>
    <x:col min="5" max="5" width="18" hidden="0" customWidth="1"/>
    <x:col min="6" max="6" width="22" hidden="0" customWidth="1"/>
    <x:col min="7" max="7" width="20" hidden="0" customWidth="1"/>
    <x:col min="8" max="8" width="20" hidden="0" customWidth="1"/>
    <x:col min="9" max="9" width="12" hidden="0" customWidth="1"/>
    <x:col min="10" max="10" width="14" hidden="0" customWidth="1"/>
    <x:col min="11" max="11" width="58" hidden="0" customWidth="1"/>
    <x:col min="12" max="12" width="46" hidden="0" customWidth="1"/>
    <x:col min="13" max="13" width="46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38" hidden="0" customWidth="1"/>
    <x:col min="19" max="19" width="42" hidden="0" customWidth="1"/>
    <x:col min="20" max="20" width="20" hidden="0" customWidth="1"/>
    <x:col min="21" max="21" width="24" hidden="0" customWidth="1"/>
    <x:col min="22" max="22" width="26" hidden="0" customWidth="1"/>
    <x:col min="23" max="23" width="16" hidden="0" customWidth="1"/>
    <x:col min="24" max="24" width="40" hidden="0" customWidth="1"/>
  </x:cols>
  <x:sheetData>
    <x:row r="1">
      <x:c r="A1" s="6" t="str">
        <x:v>关系事件、双方行为与现实反例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3">
      <x:c r="A3" s="16" t="str">
        <x:v>同一事件保留唯一event_id；资料质量和独立性单独标注。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</x:row>
    <x:row r="5">
      <x:c r="A5" s="26" t="str">
        <x:v>event_id</x:v>
      </x:c>
      <x:c r="B5" s="26" t="str">
        <x:v>case_id</x:v>
      </x:c>
      <x:c r="C5" s="26" t="str">
        <x:v>序号</x:v>
      </x:c>
      <x:c r="D5" s="26" t="str">
        <x:v>日期或阶段</x:v>
      </x:c>
      <x:c r="E5" s="26" t="str">
        <x:v>关系气候阶段</x:v>
      </x:c>
      <x:c r="F5" s="26" t="str">
        <x:v>情境领域</x:v>
      </x:c>
      <x:c r="G5" s="26" t="str">
        <x:v>事件类型</x:v>
      </x:c>
      <x:c r="H5" s="26" t="str">
        <x:v>资料来源</x:v>
      </x:c>
      <x:c r="I5" s="26" t="str">
        <x:v>资料质量</x:v>
      </x:c>
      <x:c r="J5" s="26" t="str">
        <x:v>独立事件</x:v>
      </x:c>
      <x:c r="K5" s="26" t="str">
        <x:v>事件事实</x:v>
      </x:c>
      <x:c r="L5" s="26" t="str">
        <x:v>命主行为</x:v>
      </x:c>
      <x:c r="M5" s="26" t="str">
        <x:v>对象行为</x:v>
      </x:c>
      <x:c r="N5" s="26" t="str">
        <x:v>交换表现</x:v>
      </x:c>
      <x:c r="O5" s="26" t="str">
        <x:v>边界表现</x:v>
      </x:c>
      <x:c r="P5" s="26" t="str">
        <x:v>修复表现</x:v>
      </x:c>
      <x:c r="Q5" s="26" t="str">
        <x:v>节奏表现</x:v>
      </x:c>
      <x:c r="R5" s="26" t="str">
        <x:v>结果</x:v>
      </x:c>
      <x:c r="S5" s="26" t="str">
        <x:v>现实反例</x:v>
      </x:c>
      <x:c r="T5" s="26" t="str">
        <x:v>安全信号</x:v>
      </x:c>
      <x:c r="U5" s="26" t="str">
        <x:v>关联RG</x:v>
      </x:c>
      <x:c r="V5" s="26" t="str">
        <x:v>证据路由</x:v>
      </x:c>
      <x:c r="W5" s="26" t="str">
        <x:v>复核者</x:v>
      </x:c>
      <x:c r="X5" s="26" t="str">
        <x:v>备注</x:v>
      </x:c>
    </x:row>
    <x:row r="6">
      <x:c r="A6" s="34" t="str">
        <x:v>M5-EVT-0001</x:v>
      </x:c>
      <x:c r="B6" s="34" t="str"/>
      <x:c r="C6" s="34" t="str"/>
      <x:c r="D6" s="34" t="str"/>
      <x:c r="E6" s="34" t="str"/>
      <x:c r="F6" s="34" t="str"/>
      <x:c r="G6" s="34" t="str"/>
      <x:c r="H6" s="34" t="str"/>
      <x:c r="I6" s="34" t="str"/>
      <x:c r="J6" s="34" t="str"/>
      <x:c r="K6" s="34" t="str"/>
      <x:c r="L6" s="34" t="str"/>
      <x:c r="M6" s="34" t="str"/>
      <x:c r="N6" s="34" t="str"/>
      <x:c r="O6" s="34" t="str"/>
      <x:c r="P6" s="34" t="str"/>
      <x:c r="Q6" s="34" t="str"/>
      <x:c r="R6" s="34" t="str"/>
      <x:c r="S6" s="34" t="str"/>
      <x:c r="T6" s="34" t="str"/>
      <x:c r="U6" s="34" t="str"/>
      <x:c r="V6" s="34" t="str"/>
      <x:c r="W6" s="34" t="str"/>
      <x:c r="X6" s="34" t="str"/>
    </x:row>
    <x:row r="7">
      <x:c r="A7" s="34" t="str">
        <x:v>M5-EVT-0002</x:v>
      </x:c>
      <x:c r="B7" s="34" t="str"/>
      <x:c r="C7" s="34" t="str"/>
      <x:c r="D7" s="34" t="str"/>
      <x:c r="E7" s="34" t="str"/>
      <x:c r="F7" s="34" t="str"/>
      <x:c r="G7" s="34" t="str"/>
      <x:c r="H7" s="34" t="str"/>
      <x:c r="I7" s="34" t="str"/>
      <x:c r="J7" s="34" t="str"/>
      <x:c r="K7" s="34" t="str"/>
      <x:c r="L7" s="34" t="str"/>
      <x:c r="M7" s="34" t="str"/>
      <x:c r="N7" s="34" t="str"/>
      <x:c r="O7" s="34" t="str"/>
      <x:c r="P7" s="34" t="str"/>
      <x:c r="Q7" s="34" t="str"/>
      <x:c r="R7" s="34" t="str"/>
      <x:c r="S7" s="34" t="str"/>
      <x:c r="T7" s="34" t="str"/>
      <x:c r="U7" s="34" t="str"/>
      <x:c r="V7" s="34" t="str"/>
      <x:c r="W7" s="34" t="str"/>
      <x:c r="X7" s="34" t="str"/>
    </x:row>
    <x:row r="8">
      <x:c r="A8" s="34" t="str">
        <x:v>M5-EVT-0003</x:v>
      </x:c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4" t="str"/>
      <x:c r="L8" s="34" t="str"/>
      <x:c r="M8" s="34" t="str"/>
      <x:c r="N8" s="34" t="str"/>
      <x:c r="O8" s="34" t="str"/>
      <x:c r="P8" s="34" t="str"/>
      <x:c r="Q8" s="34" t="str"/>
      <x:c r="R8" s="34" t="str"/>
      <x:c r="S8" s="34" t="str"/>
      <x:c r="T8" s="34" t="str"/>
      <x:c r="U8" s="34" t="str"/>
      <x:c r="V8" s="34" t="str"/>
      <x:c r="W8" s="34" t="str"/>
      <x:c r="X8" s="34" t="str"/>
    </x:row>
    <x:row r="9">
      <x:c r="A9" s="34" t="str">
        <x:v>M5-EVT-0004</x:v>
      </x:c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4" t="str"/>
      <x:c r="L9" s="34" t="str"/>
      <x:c r="M9" s="34" t="str"/>
      <x:c r="N9" s="34" t="str"/>
      <x:c r="O9" s="34" t="str"/>
      <x:c r="P9" s="34" t="str"/>
      <x:c r="Q9" s="34" t="str"/>
      <x:c r="R9" s="34" t="str"/>
      <x:c r="S9" s="34" t="str"/>
      <x:c r="T9" s="34" t="str"/>
      <x:c r="U9" s="34" t="str"/>
      <x:c r="V9" s="34" t="str"/>
      <x:c r="W9" s="34" t="str"/>
      <x:c r="X9" s="34" t="str"/>
    </x:row>
    <x:row r="10">
      <x:c r="A10" s="34" t="str">
        <x:v>M5-EVT-0005</x:v>
      </x:c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4" t="str"/>
      <x:c r="L10" s="34" t="str"/>
      <x:c r="M10" s="34" t="str"/>
      <x:c r="N10" s="34" t="str"/>
      <x:c r="O10" s="34" t="str"/>
      <x:c r="P10" s="34" t="str"/>
      <x:c r="Q10" s="34" t="str"/>
      <x:c r="R10" s="34" t="str"/>
      <x:c r="S10" s="34" t="str"/>
      <x:c r="T10" s="34" t="str"/>
      <x:c r="U10" s="34" t="str"/>
      <x:c r="V10" s="34" t="str"/>
      <x:c r="W10" s="34" t="str"/>
      <x:c r="X10" s="34" t="str"/>
    </x:row>
    <x:row r="11">
      <x:c r="A11" s="34" t="str">
        <x:v>M5-EVT-0006</x:v>
      </x:c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/>
      <x:c r="N11" s="34" t="str"/>
      <x:c r="O11" s="34" t="str"/>
      <x:c r="P11" s="34" t="str"/>
      <x:c r="Q11" s="34" t="str"/>
      <x:c r="R11" s="34" t="str"/>
      <x:c r="S11" s="34" t="str"/>
      <x:c r="T11" s="34" t="str"/>
      <x:c r="U11" s="34" t="str"/>
      <x:c r="V11" s="34" t="str"/>
      <x:c r="W11" s="34" t="str"/>
      <x:c r="X11" s="34" t="str"/>
    </x:row>
    <x:row r="12">
      <x:c r="A12" s="34" t="str">
        <x:v>M5-EVT-0007</x:v>
      </x:c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/>
      <x:c r="N12" s="34" t="str"/>
      <x:c r="O12" s="34" t="str"/>
      <x:c r="P12" s="34" t="str"/>
      <x:c r="Q12" s="34" t="str"/>
      <x:c r="R12" s="34" t="str"/>
      <x:c r="S12" s="34" t="str"/>
      <x:c r="T12" s="34" t="str"/>
      <x:c r="U12" s="34" t="str"/>
      <x:c r="V12" s="34" t="str"/>
      <x:c r="W12" s="34" t="str"/>
      <x:c r="X12" s="34" t="str"/>
    </x:row>
    <x:row r="13">
      <x:c r="A13" s="34" t="str">
        <x:v>M5-EVT-0008</x:v>
      </x:c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4" t="str"/>
      <x:c r="L13" s="34" t="str"/>
      <x:c r="M13" s="34" t="str"/>
      <x:c r="N13" s="34" t="str"/>
      <x:c r="O13" s="34" t="str"/>
      <x:c r="P13" s="34" t="str"/>
      <x:c r="Q13" s="34" t="str"/>
      <x:c r="R13" s="34" t="str"/>
      <x:c r="S13" s="34" t="str"/>
      <x:c r="T13" s="34" t="str"/>
      <x:c r="U13" s="34" t="str"/>
      <x:c r="V13" s="34" t="str"/>
      <x:c r="W13" s="34" t="str"/>
      <x:c r="X13" s="34" t="str"/>
    </x:row>
    <x:row r="14">
      <x:c r="A14" s="34" t="str">
        <x:v>M5-EVT-0009</x:v>
      </x:c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4" t="str"/>
      <x:c r="L14" s="34" t="str"/>
      <x:c r="M14" s="34" t="str"/>
      <x:c r="N14" s="34" t="str"/>
      <x:c r="O14" s="34" t="str"/>
      <x:c r="P14" s="34" t="str"/>
      <x:c r="Q14" s="34" t="str"/>
      <x:c r="R14" s="34" t="str"/>
      <x:c r="S14" s="34" t="str"/>
      <x:c r="T14" s="34" t="str"/>
      <x:c r="U14" s="34" t="str"/>
      <x:c r="V14" s="34" t="str"/>
      <x:c r="W14" s="34" t="str"/>
      <x:c r="X14" s="34" t="str"/>
    </x:row>
    <x:row r="15">
      <x:c r="A15" s="34" t="str">
        <x:v>M5-EVT-0010</x:v>
      </x:c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4" t="str"/>
      <x:c r="L15" s="34" t="str"/>
      <x:c r="M15" s="34" t="str"/>
      <x:c r="N15" s="34" t="str"/>
      <x:c r="O15" s="34" t="str"/>
      <x:c r="P15" s="34" t="str"/>
      <x:c r="Q15" s="34" t="str"/>
      <x:c r="R15" s="34" t="str"/>
      <x:c r="S15" s="34" t="str"/>
      <x:c r="T15" s="34" t="str"/>
      <x:c r="U15" s="34" t="str"/>
      <x:c r="V15" s="34" t="str"/>
      <x:c r="W15" s="34" t="str"/>
      <x:c r="X15" s="34" t="str"/>
    </x:row>
    <x:row r="16">
      <x:c r="A16" s="34" t="str">
        <x:v>M5-EVT-0011</x:v>
      </x:c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4" t="str"/>
      <x:c r="L16" s="34" t="str"/>
      <x:c r="M16" s="34" t="str"/>
      <x:c r="N16" s="34" t="str"/>
      <x:c r="O16" s="34" t="str"/>
      <x:c r="P16" s="34" t="str"/>
      <x:c r="Q16" s="34" t="str"/>
      <x:c r="R16" s="34" t="str"/>
      <x:c r="S16" s="34" t="str"/>
      <x:c r="T16" s="34" t="str"/>
      <x:c r="U16" s="34" t="str"/>
      <x:c r="V16" s="34" t="str"/>
      <x:c r="W16" s="34" t="str"/>
      <x:c r="X16" s="34" t="str"/>
    </x:row>
    <x:row r="17">
      <x:c r="A17" s="34" t="str">
        <x:v>M5-EVT-0012</x:v>
      </x:c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4" t="str"/>
      <x:c r="L17" s="34" t="str"/>
      <x:c r="M17" s="34" t="str"/>
      <x:c r="N17" s="34" t="str"/>
      <x:c r="O17" s="34" t="str"/>
      <x:c r="P17" s="34" t="str"/>
      <x:c r="Q17" s="34" t="str"/>
      <x:c r="R17" s="34" t="str"/>
      <x:c r="S17" s="34" t="str"/>
      <x:c r="T17" s="34" t="str"/>
      <x:c r="U17" s="34" t="str"/>
      <x:c r="V17" s="34" t="str"/>
      <x:c r="W17" s="34" t="str"/>
      <x:c r="X17" s="34" t="str"/>
    </x:row>
    <x:row r="18">
      <x:c r="A18" s="34" t="str">
        <x:v>M5-EVT-0013</x:v>
      </x:c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4" t="str"/>
      <x:c r="L18" s="34" t="str"/>
      <x:c r="M18" s="34" t="str"/>
      <x:c r="N18" s="34" t="str"/>
      <x:c r="O18" s="34" t="str"/>
      <x:c r="P18" s="34" t="str"/>
      <x:c r="Q18" s="34" t="str"/>
      <x:c r="R18" s="34" t="str"/>
      <x:c r="S18" s="34" t="str"/>
      <x:c r="T18" s="34" t="str"/>
      <x:c r="U18" s="34" t="str"/>
      <x:c r="V18" s="34" t="str"/>
      <x:c r="W18" s="34" t="str"/>
      <x:c r="X18" s="34" t="str"/>
    </x:row>
    <x:row r="19">
      <x:c r="A19" s="34" t="str">
        <x:v>M5-EVT-0014</x:v>
      </x:c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4" t="str"/>
      <x:c r="L19" s="34" t="str"/>
      <x:c r="M19" s="34" t="str"/>
      <x:c r="N19" s="34" t="str"/>
      <x:c r="O19" s="34" t="str"/>
      <x:c r="P19" s="34" t="str"/>
      <x:c r="Q19" s="34" t="str"/>
      <x:c r="R19" s="34" t="str"/>
      <x:c r="S19" s="34" t="str"/>
      <x:c r="T19" s="34" t="str"/>
      <x:c r="U19" s="34" t="str"/>
      <x:c r="V19" s="34" t="str"/>
      <x:c r="W19" s="34" t="str"/>
      <x:c r="X19" s="34" t="str"/>
    </x:row>
    <x:row r="20">
      <x:c r="A20" s="34" t="str">
        <x:v>M5-EVT-0015</x:v>
      </x:c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4" t="str"/>
      <x:c r="L20" s="34" t="str"/>
      <x:c r="M20" s="34" t="str"/>
      <x:c r="N20" s="34" t="str"/>
      <x:c r="O20" s="34" t="str"/>
      <x:c r="P20" s="34" t="str"/>
      <x:c r="Q20" s="34" t="str"/>
      <x:c r="R20" s="34" t="str"/>
      <x:c r="S20" s="34" t="str"/>
      <x:c r="T20" s="34" t="str"/>
      <x:c r="U20" s="34" t="str"/>
      <x:c r="V20" s="34" t="str"/>
      <x:c r="W20" s="34" t="str"/>
      <x:c r="X20" s="34" t="str"/>
    </x:row>
    <x:row r="21">
      <x:c r="A21" s="34" t="str">
        <x:v>M5-EVT-0016</x:v>
      </x:c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4" t="str"/>
      <x:c r="L21" s="34" t="str"/>
      <x:c r="M21" s="34" t="str"/>
      <x:c r="N21" s="34" t="str"/>
      <x:c r="O21" s="34" t="str"/>
      <x:c r="P21" s="34" t="str"/>
      <x:c r="Q21" s="34" t="str"/>
      <x:c r="R21" s="34" t="str"/>
      <x:c r="S21" s="34" t="str"/>
      <x:c r="T21" s="34" t="str"/>
      <x:c r="U21" s="34" t="str"/>
      <x:c r="V21" s="34" t="str"/>
      <x:c r="W21" s="34" t="str"/>
      <x:c r="X21" s="34" t="str"/>
    </x:row>
    <x:row r="22">
      <x:c r="A22" s="34" t="str">
        <x:v>M5-EVT-0017</x:v>
      </x:c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4" t="str"/>
      <x:c r="L22" s="34" t="str"/>
      <x:c r="M22" s="34" t="str"/>
      <x:c r="N22" s="34" t="str"/>
      <x:c r="O22" s="34" t="str"/>
      <x:c r="P22" s="34" t="str"/>
      <x:c r="Q22" s="34" t="str"/>
      <x:c r="R22" s="34" t="str"/>
      <x:c r="S22" s="34" t="str"/>
      <x:c r="T22" s="34" t="str"/>
      <x:c r="U22" s="34" t="str"/>
      <x:c r="V22" s="34" t="str"/>
      <x:c r="W22" s="34" t="str"/>
      <x:c r="X22" s="34" t="str"/>
    </x:row>
    <x:row r="23">
      <x:c r="A23" s="34" t="str">
        <x:v>M5-EVT-0018</x:v>
      </x:c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/>
      <x:c r="N23" s="34" t="str"/>
      <x:c r="O23" s="34" t="str"/>
      <x:c r="P23" s="34" t="str"/>
      <x:c r="Q23" s="34" t="str"/>
      <x:c r="R23" s="34" t="str"/>
      <x:c r="S23" s="34" t="str"/>
      <x:c r="T23" s="34" t="str"/>
      <x:c r="U23" s="34" t="str"/>
      <x:c r="V23" s="34" t="str"/>
      <x:c r="W23" s="34" t="str"/>
      <x:c r="X23" s="34" t="str"/>
    </x:row>
    <x:row r="24">
      <x:c r="A24" s="34" t="str">
        <x:v>M5-EVT-0019</x:v>
      </x:c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4" t="str"/>
      <x:c r="L24" s="34" t="str"/>
      <x:c r="M24" s="34" t="str"/>
      <x:c r="N24" s="34" t="str"/>
      <x:c r="O24" s="34" t="str"/>
      <x:c r="P24" s="34" t="str"/>
      <x:c r="Q24" s="34" t="str"/>
      <x:c r="R24" s="34" t="str"/>
      <x:c r="S24" s="34" t="str"/>
      <x:c r="T24" s="34" t="str"/>
      <x:c r="U24" s="34" t="str"/>
      <x:c r="V24" s="34" t="str"/>
      <x:c r="W24" s="34" t="str"/>
      <x:c r="X24" s="34" t="str"/>
    </x:row>
    <x:row r="25">
      <x:c r="A25" s="34" t="str">
        <x:v>M5-EVT-0020</x:v>
      </x:c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4" t="str"/>
      <x:c r="L25" s="34" t="str"/>
      <x:c r="M25" s="34" t="str"/>
      <x:c r="N25" s="34" t="str"/>
      <x:c r="O25" s="34" t="str"/>
      <x:c r="P25" s="34" t="str"/>
      <x:c r="Q25" s="34" t="str"/>
      <x:c r="R25" s="34" t="str"/>
      <x:c r="S25" s="34" t="str"/>
      <x:c r="T25" s="34" t="str"/>
      <x:c r="U25" s="34" t="str"/>
      <x:c r="V25" s="34" t="str"/>
      <x:c r="W25" s="34" t="str"/>
      <x:c r="X25" s="34" t="str"/>
    </x:row>
    <x:row r="26">
      <x:c r="A26" s="34" t="str">
        <x:v>M5-EVT-0021</x:v>
      </x:c>
      <x:c r="B26" s="34" t="str"/>
      <x:c r="C26" s="34" t="str"/>
      <x:c r="D26" s="34" t="str"/>
      <x:c r="E26" s="34" t="str"/>
      <x:c r="F26" s="34" t="str"/>
      <x:c r="G26" s="34" t="str"/>
      <x:c r="H26" s="34" t="str"/>
      <x:c r="I26" s="34" t="str"/>
      <x:c r="J26" s="34" t="str"/>
      <x:c r="K26" s="34" t="str"/>
      <x:c r="L26" s="34" t="str"/>
      <x:c r="M26" s="34" t="str"/>
      <x:c r="N26" s="34" t="str"/>
      <x:c r="O26" s="34" t="str"/>
      <x:c r="P26" s="34" t="str"/>
      <x:c r="Q26" s="34" t="str"/>
      <x:c r="R26" s="34" t="str"/>
      <x:c r="S26" s="34" t="str"/>
      <x:c r="T26" s="34" t="str"/>
      <x:c r="U26" s="34" t="str"/>
      <x:c r="V26" s="34" t="str"/>
      <x:c r="W26" s="34" t="str"/>
      <x:c r="X26" s="34" t="str"/>
    </x:row>
    <x:row r="27">
      <x:c r="A27" s="34" t="str">
        <x:v>M5-EVT-0022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34" t="str"/>
      <x:c r="J27" s="34" t="str"/>
      <x:c r="K27" s="34" t="str"/>
      <x:c r="L27" s="34" t="str"/>
      <x:c r="M27" s="34" t="str"/>
      <x:c r="N27" s="34" t="str"/>
      <x:c r="O27" s="34" t="str"/>
      <x:c r="P27" s="34" t="str"/>
      <x:c r="Q27" s="34" t="str"/>
      <x:c r="R27" s="34" t="str"/>
      <x:c r="S27" s="34" t="str"/>
      <x:c r="T27" s="34" t="str"/>
      <x:c r="U27" s="34" t="str"/>
      <x:c r="V27" s="34" t="str"/>
      <x:c r="W27" s="34" t="str"/>
      <x:c r="X27" s="34" t="str"/>
    </x:row>
    <x:row r="28">
      <x:c r="A28" s="34" t="str">
        <x:v>M5-EVT-0023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34" t="str"/>
      <x:c r="J28" s="34" t="str"/>
      <x:c r="K28" s="34" t="str"/>
      <x:c r="L28" s="34" t="str"/>
      <x:c r="M28" s="34" t="str"/>
      <x:c r="N28" s="34" t="str"/>
      <x:c r="O28" s="34" t="str"/>
      <x:c r="P28" s="34" t="str"/>
      <x:c r="Q28" s="34" t="str"/>
      <x:c r="R28" s="34" t="str"/>
      <x:c r="S28" s="34" t="str"/>
      <x:c r="T28" s="34" t="str"/>
      <x:c r="U28" s="34" t="str"/>
      <x:c r="V28" s="34" t="str"/>
      <x:c r="W28" s="34" t="str"/>
      <x:c r="X28" s="34" t="str"/>
    </x:row>
    <x:row r="29">
      <x:c r="A29" s="34" t="str">
        <x:v>M5-EVT-0024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/>
      <x:c r="N29" s="34" t="str"/>
      <x:c r="O29" s="34" t="str"/>
      <x:c r="P29" s="34" t="str"/>
      <x:c r="Q29" s="34" t="str"/>
      <x:c r="R29" s="34" t="str"/>
      <x:c r="S29" s="34" t="str"/>
      <x:c r="T29" s="34" t="str"/>
      <x:c r="U29" s="34" t="str"/>
      <x:c r="V29" s="34" t="str"/>
      <x:c r="W29" s="34" t="str"/>
      <x:c r="X29" s="34" t="str"/>
    </x:row>
    <x:row r="30">
      <x:c r="A30" s="34" t="str">
        <x:v>M5-EVT-0025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/>
      <x:c r="N30" s="34" t="str"/>
      <x:c r="O30" s="34" t="str"/>
      <x:c r="P30" s="34" t="str"/>
      <x:c r="Q30" s="34" t="str"/>
      <x:c r="R30" s="34" t="str"/>
      <x:c r="S30" s="34" t="str"/>
      <x:c r="T30" s="34" t="str"/>
      <x:c r="U30" s="34" t="str"/>
      <x:c r="V30" s="34" t="str"/>
      <x:c r="W30" s="34" t="str"/>
      <x:c r="X30" s="34" t="str"/>
    </x:row>
    <x:row r="31">
      <x:c r="A31" s="34" t="str">
        <x:v>M5-EVT-0026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4" t="str"/>
      <x:c r="J31" s="34" t="str"/>
      <x:c r="K31" s="34" t="str"/>
      <x:c r="L31" s="34" t="str"/>
      <x:c r="M31" s="34" t="str"/>
      <x:c r="N31" s="34" t="str"/>
      <x:c r="O31" s="34" t="str"/>
      <x:c r="P31" s="34" t="str"/>
      <x:c r="Q31" s="34" t="str"/>
      <x:c r="R31" s="34" t="str"/>
      <x:c r="S31" s="34" t="str"/>
      <x:c r="T31" s="34" t="str"/>
      <x:c r="U31" s="34" t="str"/>
      <x:c r="V31" s="34" t="str"/>
      <x:c r="W31" s="34" t="str"/>
      <x:c r="X31" s="34" t="str"/>
    </x:row>
    <x:row r="32">
      <x:c r="A32" s="34" t="str">
        <x:v>M5-EVT-0027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/>
      <x:c r="N32" s="34" t="str"/>
      <x:c r="O32" s="34" t="str"/>
      <x:c r="P32" s="34" t="str"/>
      <x:c r="Q32" s="34" t="str"/>
      <x:c r="R32" s="34" t="str"/>
      <x:c r="S32" s="34" t="str"/>
      <x:c r="T32" s="34" t="str"/>
      <x:c r="U32" s="34" t="str"/>
      <x:c r="V32" s="34" t="str"/>
      <x:c r="W32" s="34" t="str"/>
      <x:c r="X32" s="34" t="str"/>
    </x:row>
    <x:row r="33">
      <x:c r="A33" s="34" t="str">
        <x:v>M5-EVT-0028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/>
      <x:c r="N33" s="34" t="str"/>
      <x:c r="O33" s="34" t="str"/>
      <x:c r="P33" s="34" t="str"/>
      <x:c r="Q33" s="34" t="str"/>
      <x:c r="R33" s="34" t="str"/>
      <x:c r="S33" s="34" t="str"/>
      <x:c r="T33" s="34" t="str"/>
      <x:c r="U33" s="34" t="str"/>
      <x:c r="V33" s="34" t="str"/>
      <x:c r="W33" s="34" t="str"/>
      <x:c r="X33" s="34" t="str"/>
    </x:row>
    <x:row r="34">
      <x:c r="A34" s="34" t="str">
        <x:v>M5-EVT-0029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/>
      <x:c r="N34" s="34" t="str"/>
      <x:c r="O34" s="34" t="str"/>
      <x:c r="P34" s="34" t="str"/>
      <x:c r="Q34" s="34" t="str"/>
      <x:c r="R34" s="34" t="str"/>
      <x:c r="S34" s="34" t="str"/>
      <x:c r="T34" s="34" t="str"/>
      <x:c r="U34" s="34" t="str"/>
      <x:c r="V34" s="34" t="str"/>
      <x:c r="W34" s="34" t="str"/>
      <x:c r="X34" s="34" t="str"/>
    </x:row>
    <x:row r="35">
      <x:c r="A35" s="34" t="str">
        <x:v>M5-EVT-0030</x:v>
      </x:c>
      <x:c r="B35" s="34" t="str"/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/>
      <x:c r="N35" s="34" t="str"/>
      <x:c r="O35" s="34" t="str"/>
      <x:c r="P35" s="34" t="str"/>
      <x:c r="Q35" s="34" t="str"/>
      <x:c r="R35" s="34" t="str"/>
      <x:c r="S35" s="34" t="str"/>
      <x:c r="T35" s="34" t="str"/>
      <x:c r="U35" s="34" t="str"/>
      <x:c r="V35" s="34" t="str"/>
      <x:c r="W35" s="34" t="str"/>
      <x:c r="X35" s="34" t="str"/>
    </x:row>
    <x:row r="36">
      <x:c r="A36" s="34" t="str">
        <x:v>M5-EVT-0031</x:v>
      </x:c>
      <x:c r="B36" s="34" t="str"/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/>
      <x:c r="N36" s="34" t="str"/>
      <x:c r="O36" s="34" t="str"/>
      <x:c r="P36" s="34" t="str"/>
      <x:c r="Q36" s="34" t="str"/>
      <x:c r="R36" s="34" t="str"/>
      <x:c r="S36" s="34" t="str"/>
      <x:c r="T36" s="34" t="str"/>
      <x:c r="U36" s="34" t="str"/>
      <x:c r="V36" s="34" t="str"/>
      <x:c r="W36" s="34" t="str"/>
      <x:c r="X36" s="34" t="str"/>
    </x:row>
    <x:row r="37">
      <x:c r="A37" s="34" t="str">
        <x:v>M5-EVT-0032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/>
      <x:c r="N37" s="34" t="str"/>
      <x:c r="O37" s="34" t="str"/>
      <x:c r="P37" s="34" t="str"/>
      <x:c r="Q37" s="34" t="str"/>
      <x:c r="R37" s="34" t="str"/>
      <x:c r="S37" s="34" t="str"/>
      <x:c r="T37" s="34" t="str"/>
      <x:c r="U37" s="34" t="str"/>
      <x:c r="V37" s="34" t="str"/>
      <x:c r="W37" s="34" t="str"/>
      <x:c r="X37" s="34" t="str"/>
    </x:row>
    <x:row r="38">
      <x:c r="A38" s="34" t="str">
        <x:v>M5-EVT-0033</x:v>
      </x:c>
      <x:c r="B38" s="34" t="str"/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/>
      <x:c r="N38" s="34" t="str"/>
      <x:c r="O38" s="34" t="str"/>
      <x:c r="P38" s="34" t="str"/>
      <x:c r="Q38" s="34" t="str"/>
      <x:c r="R38" s="34" t="str"/>
      <x:c r="S38" s="34" t="str"/>
      <x:c r="T38" s="34" t="str"/>
      <x:c r="U38" s="34" t="str"/>
      <x:c r="V38" s="34" t="str"/>
      <x:c r="W38" s="34" t="str"/>
      <x:c r="X38" s="34" t="str"/>
    </x:row>
    <x:row r="39">
      <x:c r="A39" s="34" t="str">
        <x:v>M5-EVT-0034</x:v>
      </x:c>
      <x:c r="B39" s="34" t="str"/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/>
      <x:c r="N39" s="34" t="str"/>
      <x:c r="O39" s="34" t="str"/>
      <x:c r="P39" s="34" t="str"/>
      <x:c r="Q39" s="34" t="str"/>
      <x:c r="R39" s="34" t="str"/>
      <x:c r="S39" s="34" t="str"/>
      <x:c r="T39" s="34" t="str"/>
      <x:c r="U39" s="34" t="str"/>
      <x:c r="V39" s="34" t="str"/>
      <x:c r="W39" s="34" t="str"/>
      <x:c r="X39" s="34" t="str"/>
    </x:row>
    <x:row r="40">
      <x:c r="A40" s="34" t="str">
        <x:v>M5-EVT-0035</x:v>
      </x:c>
      <x:c r="B40" s="34" t="str"/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/>
      <x:c r="N40" s="34" t="str"/>
      <x:c r="O40" s="34" t="str"/>
      <x:c r="P40" s="34" t="str"/>
      <x:c r="Q40" s="34" t="str"/>
      <x:c r="R40" s="34" t="str"/>
      <x:c r="S40" s="34" t="str"/>
      <x:c r="T40" s="34" t="str"/>
      <x:c r="U40" s="34" t="str"/>
      <x:c r="V40" s="34" t="str"/>
      <x:c r="W40" s="34" t="str"/>
      <x:c r="X40" s="34" t="str"/>
    </x:row>
    <x:row r="41">
      <x:c r="A41" s="34" t="str">
        <x:v>M5-EVT-0036</x:v>
      </x:c>
      <x:c r="B41" s="34" t="str"/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/>
      <x:c r="N41" s="34" t="str"/>
      <x:c r="O41" s="34" t="str"/>
      <x:c r="P41" s="34" t="str"/>
      <x:c r="Q41" s="34" t="str"/>
      <x:c r="R41" s="34" t="str"/>
      <x:c r="S41" s="34" t="str"/>
      <x:c r="T41" s="34" t="str"/>
      <x:c r="U41" s="34" t="str"/>
      <x:c r="V41" s="34" t="str"/>
      <x:c r="W41" s="34" t="str"/>
      <x:c r="X41" s="34" t="str"/>
    </x:row>
    <x:row r="42">
      <x:c r="A42" s="34" t="str">
        <x:v>M5-EVT-0037</x:v>
      </x:c>
      <x:c r="B42" s="34" t="str"/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/>
      <x:c r="N42" s="34" t="str"/>
      <x:c r="O42" s="34" t="str"/>
      <x:c r="P42" s="34" t="str"/>
      <x:c r="Q42" s="34" t="str"/>
      <x:c r="R42" s="34" t="str"/>
      <x:c r="S42" s="34" t="str"/>
      <x:c r="T42" s="34" t="str"/>
      <x:c r="U42" s="34" t="str"/>
      <x:c r="V42" s="34" t="str"/>
      <x:c r="W42" s="34" t="str"/>
      <x:c r="X42" s="34" t="str"/>
    </x:row>
    <x:row r="43">
      <x:c r="A43" s="34" t="str">
        <x:v>M5-EVT-0038</x:v>
      </x:c>
      <x:c r="B43" s="34" t="str"/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/>
      <x:c r="N43" s="34" t="str"/>
      <x:c r="O43" s="34" t="str"/>
      <x:c r="P43" s="34" t="str"/>
      <x:c r="Q43" s="34" t="str"/>
      <x:c r="R43" s="34" t="str"/>
      <x:c r="S43" s="34" t="str"/>
      <x:c r="T43" s="34" t="str"/>
      <x:c r="U43" s="34" t="str"/>
      <x:c r="V43" s="34" t="str"/>
      <x:c r="W43" s="34" t="str"/>
      <x:c r="X43" s="34" t="str"/>
    </x:row>
    <x:row r="44">
      <x:c r="A44" s="34" t="str">
        <x:v>M5-EVT-0039</x:v>
      </x:c>
      <x:c r="B44" s="34" t="str"/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/>
      <x:c r="N44" s="34" t="str"/>
      <x:c r="O44" s="34" t="str"/>
      <x:c r="P44" s="34" t="str"/>
      <x:c r="Q44" s="34" t="str"/>
      <x:c r="R44" s="34" t="str"/>
      <x:c r="S44" s="34" t="str"/>
      <x:c r="T44" s="34" t="str"/>
      <x:c r="U44" s="34" t="str"/>
      <x:c r="V44" s="34" t="str"/>
      <x:c r="W44" s="34" t="str"/>
      <x:c r="X44" s="34" t="str"/>
    </x:row>
    <x:row r="45">
      <x:c r="A45" s="34" t="str">
        <x:v>M5-EVT-0040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/>
      <x:c r="N45" s="34" t="str"/>
      <x:c r="O45" s="34" t="str"/>
      <x:c r="P45" s="34" t="str"/>
      <x:c r="Q45" s="34" t="str"/>
      <x:c r="R45" s="34" t="str"/>
      <x:c r="S45" s="34" t="str"/>
      <x:c r="T45" s="34" t="str"/>
      <x:c r="U45" s="34" t="str"/>
      <x:c r="V45" s="34" t="str"/>
      <x:c r="W45" s="34" t="str"/>
      <x:c r="X45" s="34" t="str"/>
    </x:row>
    <x:row r="46">
      <x:c r="A46" s="34" t="str">
        <x:v>M5-EVT-0041</x:v>
      </x:c>
      <x:c r="B46" s="34" t="str"/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/>
      <x:c r="N46" s="34" t="str"/>
      <x:c r="O46" s="34" t="str"/>
      <x:c r="P46" s="34" t="str"/>
      <x:c r="Q46" s="34" t="str"/>
      <x:c r="R46" s="34" t="str"/>
      <x:c r="S46" s="34" t="str"/>
      <x:c r="T46" s="34" t="str"/>
      <x:c r="U46" s="34" t="str"/>
      <x:c r="V46" s="34" t="str"/>
      <x:c r="W46" s="34" t="str"/>
      <x:c r="X46" s="34" t="str"/>
    </x:row>
    <x:row r="47">
      <x:c r="A47" s="34" t="str">
        <x:v>M5-EVT-0042</x:v>
      </x:c>
      <x:c r="B47" s="34" t="str"/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/>
      <x:c r="N47" s="34" t="str"/>
      <x:c r="O47" s="34" t="str"/>
      <x:c r="P47" s="34" t="str"/>
      <x:c r="Q47" s="34" t="str"/>
      <x:c r="R47" s="34" t="str"/>
      <x:c r="S47" s="34" t="str"/>
      <x:c r="T47" s="34" t="str"/>
      <x:c r="U47" s="34" t="str"/>
      <x:c r="V47" s="34" t="str"/>
      <x:c r="W47" s="34" t="str"/>
      <x:c r="X47" s="34" t="str"/>
    </x:row>
    <x:row r="48">
      <x:c r="A48" s="34" t="str">
        <x:v>M5-EVT-0043</x:v>
      </x:c>
      <x:c r="B48" s="34" t="str"/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/>
      <x:c r="N48" s="34" t="str"/>
      <x:c r="O48" s="34" t="str"/>
      <x:c r="P48" s="34" t="str"/>
      <x:c r="Q48" s="34" t="str"/>
      <x:c r="R48" s="34" t="str"/>
      <x:c r="S48" s="34" t="str"/>
      <x:c r="T48" s="34" t="str"/>
      <x:c r="U48" s="34" t="str"/>
      <x:c r="V48" s="34" t="str"/>
      <x:c r="W48" s="34" t="str"/>
      <x:c r="X48" s="34" t="str"/>
    </x:row>
    <x:row r="49">
      <x:c r="A49" s="34" t="str">
        <x:v>M5-EVT-0044</x:v>
      </x:c>
      <x:c r="B49" s="34" t="str"/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/>
      <x:c r="N49" s="34" t="str"/>
      <x:c r="O49" s="34" t="str"/>
      <x:c r="P49" s="34" t="str"/>
      <x:c r="Q49" s="34" t="str"/>
      <x:c r="R49" s="34" t="str"/>
      <x:c r="S49" s="34" t="str"/>
      <x:c r="T49" s="34" t="str"/>
      <x:c r="U49" s="34" t="str"/>
      <x:c r="V49" s="34" t="str"/>
      <x:c r="W49" s="34" t="str"/>
      <x:c r="X49" s="34" t="str"/>
    </x:row>
    <x:row r="50">
      <x:c r="A50" s="34" t="str">
        <x:v>M5-EVT-0045</x:v>
      </x:c>
      <x:c r="B50" s="34" t="str"/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/>
      <x:c r="N50" s="34" t="str"/>
      <x:c r="O50" s="34" t="str"/>
      <x:c r="P50" s="34" t="str"/>
      <x:c r="Q50" s="34" t="str"/>
      <x:c r="R50" s="34" t="str"/>
      <x:c r="S50" s="34" t="str"/>
      <x:c r="T50" s="34" t="str"/>
      <x:c r="U50" s="34" t="str"/>
      <x:c r="V50" s="34" t="str"/>
      <x:c r="W50" s="34" t="str"/>
      <x:c r="X50" s="34" t="str"/>
    </x:row>
    <x:row r="51">
      <x:c r="A51" s="34" t="str">
        <x:v>M5-EVT-0046</x:v>
      </x:c>
      <x:c r="B51" s="34" t="str"/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/>
      <x:c r="N51" s="34" t="str"/>
      <x:c r="O51" s="34" t="str"/>
      <x:c r="P51" s="34" t="str"/>
      <x:c r="Q51" s="34" t="str"/>
      <x:c r="R51" s="34" t="str"/>
      <x:c r="S51" s="34" t="str"/>
      <x:c r="T51" s="34" t="str"/>
      <x:c r="U51" s="34" t="str"/>
      <x:c r="V51" s="34" t="str"/>
      <x:c r="W51" s="34" t="str"/>
      <x:c r="X51" s="34" t="str"/>
    </x:row>
    <x:row r="52">
      <x:c r="A52" s="34" t="str">
        <x:v>M5-EVT-0047</x:v>
      </x:c>
      <x:c r="B52" s="34" t="str"/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/>
      <x:c r="N52" s="34" t="str"/>
      <x:c r="O52" s="34" t="str"/>
      <x:c r="P52" s="34" t="str"/>
      <x:c r="Q52" s="34" t="str"/>
      <x:c r="R52" s="34" t="str"/>
      <x:c r="S52" s="34" t="str"/>
      <x:c r="T52" s="34" t="str"/>
      <x:c r="U52" s="34" t="str"/>
      <x:c r="V52" s="34" t="str"/>
      <x:c r="W52" s="34" t="str"/>
      <x:c r="X52" s="34" t="str"/>
    </x:row>
    <x:row r="53">
      <x:c r="A53" s="34" t="str">
        <x:v>M5-EVT-0048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/>
      <x:c r="N53" s="34" t="str"/>
      <x:c r="O53" s="34" t="str"/>
      <x:c r="P53" s="34" t="str"/>
      <x:c r="Q53" s="34" t="str"/>
      <x:c r="R53" s="34" t="str"/>
      <x:c r="S53" s="34" t="str"/>
      <x:c r="T53" s="34" t="str"/>
      <x:c r="U53" s="34" t="str"/>
      <x:c r="V53" s="34" t="str"/>
      <x:c r="W53" s="34" t="str"/>
      <x:c r="X53" s="34" t="str"/>
    </x:row>
    <x:row r="54">
      <x:c r="A54" s="34" t="str">
        <x:v>M5-EVT-0049</x:v>
      </x:c>
      <x:c r="B54" s="34" t="str"/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/>
      <x:c r="N54" s="34" t="str"/>
      <x:c r="O54" s="34" t="str"/>
      <x:c r="P54" s="34" t="str"/>
      <x:c r="Q54" s="34" t="str"/>
      <x:c r="R54" s="34" t="str"/>
      <x:c r="S54" s="34" t="str"/>
      <x:c r="T54" s="34" t="str"/>
      <x:c r="U54" s="34" t="str"/>
      <x:c r="V54" s="34" t="str"/>
      <x:c r="W54" s="34" t="str"/>
      <x:c r="X54" s="34" t="str"/>
    </x:row>
    <x:row r="55">
      <x:c r="A55" s="34" t="str">
        <x:v>M5-EVT-0050</x:v>
      </x:c>
      <x:c r="B55" s="34" t="str"/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/>
      <x:c r="N55" s="34" t="str"/>
      <x:c r="O55" s="34" t="str"/>
      <x:c r="P55" s="34" t="str"/>
      <x:c r="Q55" s="34" t="str"/>
      <x:c r="R55" s="34" t="str"/>
      <x:c r="S55" s="34" t="str"/>
      <x:c r="T55" s="34" t="str"/>
      <x:c r="U55" s="34" t="str"/>
      <x:c r="V55" s="34" t="str"/>
      <x:c r="W55" s="34" t="str"/>
      <x:c r="X55" s="34" t="str"/>
    </x:row>
    <x:row r="56">
      <x:c r="A56" s="34" t="str">
        <x:v>M5-EVT-0051</x:v>
      </x:c>
      <x:c r="B56" s="34" t="str"/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/>
      <x:c r="N56" s="34" t="str"/>
      <x:c r="O56" s="34" t="str"/>
      <x:c r="P56" s="34" t="str"/>
      <x:c r="Q56" s="34" t="str"/>
      <x:c r="R56" s="34" t="str"/>
      <x:c r="S56" s="34" t="str"/>
      <x:c r="T56" s="34" t="str"/>
      <x:c r="U56" s="34" t="str"/>
      <x:c r="V56" s="34" t="str"/>
      <x:c r="W56" s="34" t="str"/>
      <x:c r="X56" s="34" t="str"/>
    </x:row>
    <x:row r="57">
      <x:c r="A57" s="34" t="str">
        <x:v>M5-EVT-0052</x:v>
      </x:c>
      <x:c r="B57" s="34" t="str"/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/>
      <x:c r="K57" s="34" t="str"/>
      <x:c r="L57" s="34" t="str"/>
      <x:c r="M57" s="34" t="str"/>
      <x:c r="N57" s="34" t="str"/>
      <x:c r="O57" s="34" t="str"/>
      <x:c r="P57" s="34" t="str"/>
      <x:c r="Q57" s="34" t="str"/>
      <x:c r="R57" s="34" t="str"/>
      <x:c r="S57" s="34" t="str"/>
      <x:c r="T57" s="34" t="str"/>
      <x:c r="U57" s="34" t="str"/>
      <x:c r="V57" s="34" t="str"/>
      <x:c r="W57" s="34" t="str"/>
      <x:c r="X57" s="34" t="str"/>
    </x:row>
    <x:row r="58">
      <x:c r="A58" s="34" t="str">
        <x:v>M5-EVT-0053</x:v>
      </x:c>
      <x:c r="B58" s="34" t="str"/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/>
      <x:c r="N58" s="34" t="str"/>
      <x:c r="O58" s="34" t="str"/>
      <x:c r="P58" s="34" t="str"/>
      <x:c r="Q58" s="34" t="str"/>
      <x:c r="R58" s="34" t="str"/>
      <x:c r="S58" s="34" t="str"/>
      <x:c r="T58" s="34" t="str"/>
      <x:c r="U58" s="34" t="str"/>
      <x:c r="V58" s="34" t="str"/>
      <x:c r="W58" s="34" t="str"/>
      <x:c r="X58" s="34" t="str"/>
    </x:row>
    <x:row r="59">
      <x:c r="A59" s="34" t="str">
        <x:v>M5-EVT-0054</x:v>
      </x:c>
      <x:c r="B59" s="34" t="str"/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/>
      <x:c r="N59" s="34" t="str"/>
      <x:c r="O59" s="34" t="str"/>
      <x:c r="P59" s="34" t="str"/>
      <x:c r="Q59" s="34" t="str"/>
      <x:c r="R59" s="34" t="str"/>
      <x:c r="S59" s="34" t="str"/>
      <x:c r="T59" s="34" t="str"/>
      <x:c r="U59" s="34" t="str"/>
      <x:c r="V59" s="34" t="str"/>
      <x:c r="W59" s="34" t="str"/>
      <x:c r="X59" s="34" t="str"/>
    </x:row>
    <x:row r="60">
      <x:c r="A60" s="34" t="str">
        <x:v>M5-EVT-0055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/>
      <x:c r="N60" s="34" t="str"/>
      <x:c r="O60" s="34" t="str"/>
      <x:c r="P60" s="34" t="str"/>
      <x:c r="Q60" s="34" t="str"/>
      <x:c r="R60" s="34" t="str"/>
      <x:c r="S60" s="34" t="str"/>
      <x:c r="T60" s="34" t="str"/>
      <x:c r="U60" s="34" t="str"/>
      <x:c r="V60" s="34" t="str"/>
      <x:c r="W60" s="34" t="str"/>
      <x:c r="X60" s="34" t="str"/>
    </x:row>
    <x:row r="61">
      <x:c r="A61" s="34" t="str">
        <x:v>M5-EVT-0056</x:v>
      </x:c>
      <x:c r="B61" s="34" t="str"/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/>
      <x:c r="N61" s="34" t="str"/>
      <x:c r="O61" s="34" t="str"/>
      <x:c r="P61" s="34" t="str"/>
      <x:c r="Q61" s="34" t="str"/>
      <x:c r="R61" s="34" t="str"/>
      <x:c r="S61" s="34" t="str"/>
      <x:c r="T61" s="34" t="str"/>
      <x:c r="U61" s="34" t="str"/>
      <x:c r="V61" s="34" t="str"/>
      <x:c r="W61" s="34" t="str"/>
      <x:c r="X61" s="34" t="str"/>
    </x:row>
    <x:row r="62">
      <x:c r="A62" s="34" t="str">
        <x:v>M5-EVT-0057</x:v>
      </x:c>
      <x:c r="B62" s="34" t="str"/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/>
      <x:c r="N62" s="34" t="str"/>
      <x:c r="O62" s="34" t="str"/>
      <x:c r="P62" s="34" t="str"/>
      <x:c r="Q62" s="34" t="str"/>
      <x:c r="R62" s="34" t="str"/>
      <x:c r="S62" s="34" t="str"/>
      <x:c r="T62" s="34" t="str"/>
      <x:c r="U62" s="34" t="str"/>
      <x:c r="V62" s="34" t="str"/>
      <x:c r="W62" s="34" t="str"/>
      <x:c r="X62" s="34" t="str"/>
    </x:row>
    <x:row r="63">
      <x:c r="A63" s="34" t="str">
        <x:v>M5-EVT-0058</x:v>
      </x:c>
      <x:c r="B63" s="34" t="str"/>
      <x:c r="C63" s="34" t="str"/>
      <x:c r="D63" s="34" t="str"/>
      <x:c r="E63" s="34" t="str"/>
      <x:c r="F63" s="34" t="str"/>
      <x:c r="G63" s="34" t="str"/>
      <x:c r="H63" s="34" t="str"/>
      <x:c r="I63" s="34" t="str"/>
      <x:c r="J63" s="34" t="str"/>
      <x:c r="K63" s="34" t="str"/>
      <x:c r="L63" s="34" t="str"/>
      <x:c r="M63" s="34" t="str"/>
      <x:c r="N63" s="34" t="str"/>
      <x:c r="O63" s="34" t="str"/>
      <x:c r="P63" s="34" t="str"/>
      <x:c r="Q63" s="34" t="str"/>
      <x:c r="R63" s="34" t="str"/>
      <x:c r="S63" s="34" t="str"/>
      <x:c r="T63" s="34" t="str"/>
      <x:c r="U63" s="34" t="str"/>
      <x:c r="V63" s="34" t="str"/>
      <x:c r="W63" s="34" t="str"/>
      <x:c r="X63" s="34" t="str"/>
    </x:row>
    <x:row r="64">
      <x:c r="A64" s="34" t="str">
        <x:v>M5-EVT-0059</x:v>
      </x:c>
      <x:c r="B64" s="34" t="str"/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/>
      <x:c r="N64" s="34" t="str"/>
      <x:c r="O64" s="34" t="str"/>
      <x:c r="P64" s="34" t="str"/>
      <x:c r="Q64" s="34" t="str"/>
      <x:c r="R64" s="34" t="str"/>
      <x:c r="S64" s="34" t="str"/>
      <x:c r="T64" s="34" t="str"/>
      <x:c r="U64" s="34" t="str"/>
      <x:c r="V64" s="34" t="str"/>
      <x:c r="W64" s="34" t="str"/>
      <x:c r="X64" s="34" t="str"/>
    </x:row>
    <x:row r="65">
      <x:c r="A65" s="34" t="str">
        <x:v>M5-EVT-0060</x:v>
      </x:c>
      <x:c r="B65" s="34" t="str"/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/>
      <x:c r="N65" s="34" t="str"/>
      <x:c r="O65" s="34" t="str"/>
      <x:c r="P65" s="34" t="str"/>
      <x:c r="Q65" s="34" t="str"/>
      <x:c r="R65" s="34" t="str"/>
      <x:c r="S65" s="34" t="str"/>
      <x:c r="T65" s="34" t="str"/>
      <x:c r="U65" s="34" t="str"/>
      <x:c r="V65" s="34" t="str"/>
      <x:c r="W65" s="34" t="str"/>
      <x:c r="X65" s="34" t="str"/>
    </x:row>
    <x:row r="66">
      <x:c r="A66" s="34" t="str">
        <x:v>M5-EVT-0061</x:v>
      </x:c>
      <x:c r="B66" s="34" t="str"/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/>
      <x:c r="N66" s="34" t="str"/>
      <x:c r="O66" s="34" t="str"/>
      <x:c r="P66" s="34" t="str"/>
      <x:c r="Q66" s="34" t="str"/>
      <x:c r="R66" s="34" t="str"/>
      <x:c r="S66" s="34" t="str"/>
      <x:c r="T66" s="34" t="str"/>
      <x:c r="U66" s="34" t="str"/>
      <x:c r="V66" s="34" t="str"/>
      <x:c r="W66" s="34" t="str"/>
      <x:c r="X66" s="34" t="str"/>
    </x:row>
    <x:row r="67">
      <x:c r="A67" s="34" t="str">
        <x:v>M5-EVT-0062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/>
      <x:c r="N67" s="34" t="str"/>
      <x:c r="O67" s="34" t="str"/>
      <x:c r="P67" s="34" t="str"/>
      <x:c r="Q67" s="34" t="str"/>
      <x:c r="R67" s="34" t="str"/>
      <x:c r="S67" s="34" t="str"/>
      <x:c r="T67" s="34" t="str"/>
      <x:c r="U67" s="34" t="str"/>
      <x:c r="V67" s="34" t="str"/>
      <x:c r="W67" s="34" t="str"/>
      <x:c r="X67" s="34" t="str"/>
    </x:row>
    <x:row r="68">
      <x:c r="A68" s="34" t="str">
        <x:v>M5-EVT-0063</x:v>
      </x:c>
      <x:c r="B68" s="34" t="str"/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/>
      <x:c r="N68" s="34" t="str"/>
      <x:c r="O68" s="34" t="str"/>
      <x:c r="P68" s="34" t="str"/>
      <x:c r="Q68" s="34" t="str"/>
      <x:c r="R68" s="34" t="str"/>
      <x:c r="S68" s="34" t="str"/>
      <x:c r="T68" s="34" t="str"/>
      <x:c r="U68" s="34" t="str"/>
      <x:c r="V68" s="34" t="str"/>
      <x:c r="W68" s="34" t="str"/>
      <x:c r="X68" s="34" t="str"/>
    </x:row>
    <x:row r="69">
      <x:c r="A69" s="34" t="str">
        <x:v>M5-EVT-0064</x:v>
      </x:c>
      <x:c r="B69" s="34" t="str"/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/>
      <x:c r="N69" s="34" t="str"/>
      <x:c r="O69" s="34" t="str"/>
      <x:c r="P69" s="34" t="str"/>
      <x:c r="Q69" s="34" t="str"/>
      <x:c r="R69" s="34" t="str"/>
      <x:c r="S69" s="34" t="str"/>
      <x:c r="T69" s="34" t="str"/>
      <x:c r="U69" s="34" t="str"/>
      <x:c r="V69" s="34" t="str"/>
      <x:c r="W69" s="34" t="str"/>
      <x:c r="X69" s="34" t="str"/>
    </x:row>
    <x:row r="70">
      <x:c r="A70" s="34" t="str">
        <x:v>M5-EVT-0065</x:v>
      </x:c>
      <x:c r="B70" s="34" t="str"/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/>
      <x:c r="N70" s="34" t="str"/>
      <x:c r="O70" s="34" t="str"/>
      <x:c r="P70" s="34" t="str"/>
      <x:c r="Q70" s="34" t="str"/>
      <x:c r="R70" s="34" t="str"/>
      <x:c r="S70" s="34" t="str"/>
      <x:c r="T70" s="34" t="str"/>
      <x:c r="U70" s="34" t="str"/>
      <x:c r="V70" s="34" t="str"/>
      <x:c r="W70" s="34" t="str"/>
      <x:c r="X70" s="34" t="str"/>
    </x:row>
    <x:row r="71">
      <x:c r="A71" s="34" t="str">
        <x:v>M5-EVT-0066</x:v>
      </x:c>
      <x:c r="B71" s="34" t="str"/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/>
      <x:c r="N71" s="34" t="str"/>
      <x:c r="O71" s="34" t="str"/>
      <x:c r="P71" s="34" t="str"/>
      <x:c r="Q71" s="34" t="str"/>
      <x:c r="R71" s="34" t="str"/>
      <x:c r="S71" s="34" t="str"/>
      <x:c r="T71" s="34" t="str"/>
      <x:c r="U71" s="34" t="str"/>
      <x:c r="V71" s="34" t="str"/>
      <x:c r="W71" s="34" t="str"/>
      <x:c r="X71" s="34" t="str"/>
    </x:row>
    <x:row r="72">
      <x:c r="A72" s="34" t="str">
        <x:v>M5-EVT-0067</x:v>
      </x:c>
      <x:c r="B72" s="34" t="str"/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/>
      <x:c r="N72" s="34" t="str"/>
      <x:c r="O72" s="34" t="str"/>
      <x:c r="P72" s="34" t="str"/>
      <x:c r="Q72" s="34" t="str"/>
      <x:c r="R72" s="34" t="str"/>
      <x:c r="S72" s="34" t="str"/>
      <x:c r="T72" s="34" t="str"/>
      <x:c r="U72" s="34" t="str"/>
      <x:c r="V72" s="34" t="str"/>
      <x:c r="W72" s="34" t="str"/>
      <x:c r="X72" s="34" t="str"/>
    </x:row>
    <x:row r="73">
      <x:c r="A73" s="34" t="str">
        <x:v>M5-EVT-0068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/>
      <x:c r="N73" s="34" t="str"/>
      <x:c r="O73" s="34" t="str"/>
      <x:c r="P73" s="34" t="str"/>
      <x:c r="Q73" s="34" t="str"/>
      <x:c r="R73" s="34" t="str"/>
      <x:c r="S73" s="34" t="str"/>
      <x:c r="T73" s="34" t="str"/>
      <x:c r="U73" s="34" t="str"/>
      <x:c r="V73" s="34" t="str"/>
      <x:c r="W73" s="34" t="str"/>
      <x:c r="X73" s="34" t="str"/>
    </x:row>
    <x:row r="74">
      <x:c r="A74" s="34" t="str">
        <x:v>M5-EVT-0069</x:v>
      </x:c>
      <x:c r="B74" s="34" t="str"/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/>
      <x:c r="N74" s="34" t="str"/>
      <x:c r="O74" s="34" t="str"/>
      <x:c r="P74" s="34" t="str"/>
      <x:c r="Q74" s="34" t="str"/>
      <x:c r="R74" s="34" t="str"/>
      <x:c r="S74" s="34" t="str"/>
      <x:c r="T74" s="34" t="str"/>
      <x:c r="U74" s="34" t="str"/>
      <x:c r="V74" s="34" t="str"/>
      <x:c r="W74" s="34" t="str"/>
      <x:c r="X74" s="34" t="str"/>
    </x:row>
    <x:row r="75">
      <x:c r="A75" s="34" t="str">
        <x:v>M5-EVT-0070</x:v>
      </x:c>
      <x:c r="B75" s="34" t="str"/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/>
      <x:c r="N75" s="34" t="str"/>
      <x:c r="O75" s="34" t="str"/>
      <x:c r="P75" s="34" t="str"/>
      <x:c r="Q75" s="34" t="str"/>
      <x:c r="R75" s="34" t="str"/>
      <x:c r="S75" s="34" t="str"/>
      <x:c r="T75" s="34" t="str"/>
      <x:c r="U75" s="34" t="str"/>
      <x:c r="V75" s="34" t="str"/>
      <x:c r="W75" s="34" t="str"/>
      <x:c r="X75" s="34" t="str"/>
    </x:row>
    <x:row r="76">
      <x:c r="A76" s="34" t="str">
        <x:v>M5-EVT-0071</x:v>
      </x:c>
      <x:c r="B76" s="34" t="str"/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/>
      <x:c r="N76" s="34" t="str"/>
      <x:c r="O76" s="34" t="str"/>
      <x:c r="P76" s="34" t="str"/>
      <x:c r="Q76" s="34" t="str"/>
      <x:c r="R76" s="34" t="str"/>
      <x:c r="S76" s="34" t="str"/>
      <x:c r="T76" s="34" t="str"/>
      <x:c r="U76" s="34" t="str"/>
      <x:c r="V76" s="34" t="str"/>
      <x:c r="W76" s="34" t="str"/>
      <x:c r="X76" s="34" t="str"/>
    </x:row>
    <x:row r="77">
      <x:c r="A77" s="34" t="str">
        <x:v>M5-EVT-0072</x:v>
      </x:c>
      <x:c r="B77" s="34" t="str"/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/>
      <x:c r="N77" s="34" t="str"/>
      <x:c r="O77" s="34" t="str"/>
      <x:c r="P77" s="34" t="str"/>
      <x:c r="Q77" s="34" t="str"/>
      <x:c r="R77" s="34" t="str"/>
      <x:c r="S77" s="34" t="str"/>
      <x:c r="T77" s="34" t="str"/>
      <x:c r="U77" s="34" t="str"/>
      <x:c r="V77" s="34" t="str"/>
      <x:c r="W77" s="34" t="str"/>
      <x:c r="X77" s="34" t="str"/>
    </x:row>
    <x:row r="78">
      <x:c r="A78" s="34" t="str">
        <x:v>M5-EVT-0073</x:v>
      </x:c>
      <x:c r="B78" s="34" t="str"/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/>
      <x:c r="N78" s="34" t="str"/>
      <x:c r="O78" s="34" t="str"/>
      <x:c r="P78" s="34" t="str"/>
      <x:c r="Q78" s="34" t="str"/>
      <x:c r="R78" s="34" t="str"/>
      <x:c r="S78" s="34" t="str"/>
      <x:c r="T78" s="34" t="str"/>
      <x:c r="U78" s="34" t="str"/>
      <x:c r="V78" s="34" t="str"/>
      <x:c r="W78" s="34" t="str"/>
      <x:c r="X78" s="34" t="str"/>
    </x:row>
    <x:row r="79">
      <x:c r="A79" s="34" t="str">
        <x:v>M5-EVT-0074</x:v>
      </x:c>
      <x:c r="B79" s="34" t="str"/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/>
      <x:c r="N79" s="34" t="str"/>
      <x:c r="O79" s="34" t="str"/>
      <x:c r="P79" s="34" t="str"/>
      <x:c r="Q79" s="34" t="str"/>
      <x:c r="R79" s="34" t="str"/>
      <x:c r="S79" s="34" t="str"/>
      <x:c r="T79" s="34" t="str"/>
      <x:c r="U79" s="34" t="str"/>
      <x:c r="V79" s="34" t="str"/>
      <x:c r="W79" s="34" t="str"/>
      <x:c r="X79" s="34" t="str"/>
    </x:row>
    <x:row r="80">
      <x:c r="A80" s="34" t="str">
        <x:v>M5-EVT-0075</x:v>
      </x:c>
      <x:c r="B80" s="34" t="str"/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/>
      <x:c r="N80" s="34" t="str"/>
      <x:c r="O80" s="34" t="str"/>
      <x:c r="P80" s="34" t="str"/>
      <x:c r="Q80" s="34" t="str"/>
      <x:c r="R80" s="34" t="str"/>
      <x:c r="S80" s="34" t="str"/>
      <x:c r="T80" s="34" t="str"/>
      <x:c r="U80" s="34" t="str"/>
      <x:c r="V80" s="34" t="str"/>
      <x:c r="W80" s="34" t="str"/>
      <x:c r="X80" s="34" t="str"/>
    </x:row>
    <x:row r="81">
      <x:c r="A81" s="34" t="str">
        <x:v>M5-EVT-0076</x:v>
      </x:c>
      <x:c r="B81" s="34" t="str"/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/>
      <x:c r="N81" s="34" t="str"/>
      <x:c r="O81" s="34" t="str"/>
      <x:c r="P81" s="34" t="str"/>
      <x:c r="Q81" s="34" t="str"/>
      <x:c r="R81" s="34" t="str"/>
      <x:c r="S81" s="34" t="str"/>
      <x:c r="T81" s="34" t="str"/>
      <x:c r="U81" s="34" t="str"/>
      <x:c r="V81" s="34" t="str"/>
      <x:c r="W81" s="34" t="str"/>
      <x:c r="X81" s="34" t="str"/>
    </x:row>
    <x:row r="82">
      <x:c r="A82" s="34" t="str">
        <x:v>M5-EVT-0077</x:v>
      </x:c>
      <x:c r="B82" s="34" t="str"/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/>
      <x:c r="K82" s="34" t="str"/>
      <x:c r="L82" s="34" t="str"/>
      <x:c r="M82" s="34" t="str"/>
      <x:c r="N82" s="34" t="str"/>
      <x:c r="O82" s="34" t="str"/>
      <x:c r="P82" s="34" t="str"/>
      <x:c r="Q82" s="34" t="str"/>
      <x:c r="R82" s="34" t="str"/>
      <x:c r="S82" s="34" t="str"/>
      <x:c r="T82" s="34" t="str"/>
      <x:c r="U82" s="34" t="str"/>
      <x:c r="V82" s="34" t="str"/>
      <x:c r="W82" s="34" t="str"/>
      <x:c r="X82" s="34" t="str"/>
    </x:row>
    <x:row r="83">
      <x:c r="A83" s="34" t="str">
        <x:v>M5-EVT-0078</x:v>
      </x:c>
      <x:c r="B83" s="34" t="str"/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/>
      <x:c r="L83" s="34" t="str"/>
      <x:c r="M83" s="34" t="str"/>
      <x:c r="N83" s="34" t="str"/>
      <x:c r="O83" s="34" t="str"/>
      <x:c r="P83" s="34" t="str"/>
      <x:c r="Q83" s="34" t="str"/>
      <x:c r="R83" s="34" t="str"/>
      <x:c r="S83" s="34" t="str"/>
      <x:c r="T83" s="34" t="str"/>
      <x:c r="U83" s="34" t="str"/>
      <x:c r="V83" s="34" t="str"/>
      <x:c r="W83" s="34" t="str"/>
      <x:c r="X83" s="34" t="str"/>
    </x:row>
    <x:row r="84">
      <x:c r="A84" s="34" t="str">
        <x:v>M5-EVT-0079</x:v>
      </x:c>
      <x:c r="B84" s="34" t="str"/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/>
      <x:c r="K84" s="34" t="str"/>
      <x:c r="L84" s="34" t="str"/>
      <x:c r="M84" s="34" t="str"/>
      <x:c r="N84" s="34" t="str"/>
      <x:c r="O84" s="34" t="str"/>
      <x:c r="P84" s="34" t="str"/>
      <x:c r="Q84" s="34" t="str"/>
      <x:c r="R84" s="34" t="str"/>
      <x:c r="S84" s="34" t="str"/>
      <x:c r="T84" s="34" t="str"/>
      <x:c r="U84" s="34" t="str"/>
      <x:c r="V84" s="34" t="str"/>
      <x:c r="W84" s="34" t="str"/>
      <x:c r="X84" s="34" t="str"/>
    </x:row>
    <x:row r="85">
      <x:c r="A85" s="34" t="str">
        <x:v>M5-EVT-0080</x:v>
      </x:c>
      <x:c r="B85" s="34" t="str"/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/>
      <x:c r="K85" s="34" t="str"/>
      <x:c r="L85" s="34" t="str"/>
      <x:c r="M85" s="34" t="str"/>
      <x:c r="N85" s="34" t="str"/>
      <x:c r="O85" s="34" t="str"/>
      <x:c r="P85" s="34" t="str"/>
      <x:c r="Q85" s="34" t="str"/>
      <x:c r="R85" s="34" t="str"/>
      <x:c r="S85" s="34" t="str"/>
      <x:c r="T85" s="34" t="str"/>
      <x:c r="U85" s="34" t="str"/>
      <x:c r="V85" s="34" t="str"/>
      <x:c r="W85" s="34" t="str"/>
      <x:c r="X85" s="34" t="str"/>
    </x:row>
    <x:row r="86">
      <x:c r="A86" s="34" t="str">
        <x:v>M5-EVT-0081</x:v>
      </x:c>
      <x:c r="B86" s="34" t="str"/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  <x:c r="M86" s="34" t="str"/>
      <x:c r="N86" s="34" t="str"/>
      <x:c r="O86" s="34" t="str"/>
      <x:c r="P86" s="34" t="str"/>
      <x:c r="Q86" s="34" t="str"/>
      <x:c r="R86" s="34" t="str"/>
      <x:c r="S86" s="34" t="str"/>
      <x:c r="T86" s="34" t="str"/>
      <x:c r="U86" s="34" t="str"/>
      <x:c r="V86" s="34" t="str"/>
      <x:c r="W86" s="34" t="str"/>
      <x:c r="X86" s="34" t="str"/>
    </x:row>
    <x:row r="87">
      <x:c r="A87" s="34" t="str">
        <x:v>M5-EVT-0082</x:v>
      </x:c>
      <x:c r="B87" s="34" t="str"/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/>
      <x:c r="K87" s="34" t="str"/>
      <x:c r="L87" s="34" t="str"/>
      <x:c r="M87" s="34" t="str"/>
      <x:c r="N87" s="34" t="str"/>
      <x:c r="O87" s="34" t="str"/>
      <x:c r="P87" s="34" t="str"/>
      <x:c r="Q87" s="34" t="str"/>
      <x:c r="R87" s="34" t="str"/>
      <x:c r="S87" s="34" t="str"/>
      <x:c r="T87" s="34" t="str"/>
      <x:c r="U87" s="34" t="str"/>
      <x:c r="V87" s="34" t="str"/>
      <x:c r="W87" s="34" t="str"/>
      <x:c r="X87" s="34" t="str"/>
    </x:row>
    <x:row r="88">
      <x:c r="A88" s="34" t="str">
        <x:v>M5-EVT-0083</x:v>
      </x:c>
      <x:c r="B88" s="34" t="str"/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  <x:c r="M88" s="34" t="str"/>
      <x:c r="N88" s="34" t="str"/>
      <x:c r="O88" s="34" t="str"/>
      <x:c r="P88" s="34" t="str"/>
      <x:c r="Q88" s="34" t="str"/>
      <x:c r="R88" s="34" t="str"/>
      <x:c r="S88" s="34" t="str"/>
      <x:c r="T88" s="34" t="str"/>
      <x:c r="U88" s="34" t="str"/>
      <x:c r="V88" s="34" t="str"/>
      <x:c r="W88" s="34" t="str"/>
      <x:c r="X88" s="34" t="str"/>
    </x:row>
    <x:row r="89">
      <x:c r="A89" s="34" t="str">
        <x:v>M5-EVT-0084</x:v>
      </x:c>
      <x:c r="B89" s="34" t="str"/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/>
      <x:c r="K89" s="34" t="str"/>
      <x:c r="L89" s="34" t="str"/>
      <x:c r="M89" s="34" t="str"/>
      <x:c r="N89" s="34" t="str"/>
      <x:c r="O89" s="34" t="str"/>
      <x:c r="P89" s="34" t="str"/>
      <x:c r="Q89" s="34" t="str"/>
      <x:c r="R89" s="34" t="str"/>
      <x:c r="S89" s="34" t="str"/>
      <x:c r="T89" s="34" t="str"/>
      <x:c r="U89" s="34" t="str"/>
      <x:c r="V89" s="34" t="str"/>
      <x:c r="W89" s="34" t="str"/>
      <x:c r="X89" s="34" t="str"/>
    </x:row>
    <x:row r="90">
      <x:c r="A90" s="34" t="str">
        <x:v>M5-EVT-0085</x:v>
      </x:c>
      <x:c r="B90" s="34" t="str"/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/>
      <x:c r="K90" s="34" t="str"/>
      <x:c r="L90" s="34" t="str"/>
      <x:c r="M90" s="34" t="str"/>
      <x:c r="N90" s="34" t="str"/>
      <x:c r="O90" s="34" t="str"/>
      <x:c r="P90" s="34" t="str"/>
      <x:c r="Q90" s="34" t="str"/>
      <x:c r="R90" s="34" t="str"/>
      <x:c r="S90" s="34" t="str"/>
      <x:c r="T90" s="34" t="str"/>
      <x:c r="U90" s="34" t="str"/>
      <x:c r="V90" s="34" t="str"/>
      <x:c r="W90" s="34" t="str"/>
      <x:c r="X90" s="34" t="str"/>
    </x:row>
    <x:row r="91">
      <x:c r="A91" s="34" t="str">
        <x:v>M5-EVT-0086</x:v>
      </x:c>
      <x:c r="B91" s="34" t="str"/>
      <x:c r="C91" s="34" t="str"/>
      <x:c r="D91" s="34" t="str"/>
      <x:c r="E91" s="34" t="str"/>
      <x:c r="F91" s="34" t="str"/>
      <x:c r="G91" s="34" t="str"/>
      <x:c r="H91" s="34" t="str"/>
      <x:c r="I91" s="34" t="str"/>
      <x:c r="J91" s="34" t="str"/>
      <x:c r="K91" s="34" t="str"/>
      <x:c r="L91" s="34" t="str"/>
      <x:c r="M91" s="34" t="str"/>
      <x:c r="N91" s="34" t="str"/>
      <x:c r="O91" s="34" t="str"/>
      <x:c r="P91" s="34" t="str"/>
      <x:c r="Q91" s="34" t="str"/>
      <x:c r="R91" s="34" t="str"/>
      <x:c r="S91" s="34" t="str"/>
      <x:c r="T91" s="34" t="str"/>
      <x:c r="U91" s="34" t="str"/>
      <x:c r="V91" s="34" t="str"/>
      <x:c r="W91" s="34" t="str"/>
      <x:c r="X91" s="34" t="str"/>
    </x:row>
    <x:row r="92">
      <x:c r="A92" s="34" t="str">
        <x:v>M5-EVT-0087</x:v>
      </x:c>
      <x:c r="B92" s="34" t="str"/>
      <x:c r="C92" s="34" t="str"/>
      <x:c r="D92" s="34" t="str"/>
      <x:c r="E92" s="34" t="str"/>
      <x:c r="F92" s="34" t="str"/>
      <x:c r="G92" s="34" t="str"/>
      <x:c r="H92" s="34" t="str"/>
      <x:c r="I92" s="34" t="str"/>
      <x:c r="J92" s="34" t="str"/>
      <x:c r="K92" s="34" t="str"/>
      <x:c r="L92" s="34" t="str"/>
      <x:c r="M92" s="34" t="str"/>
      <x:c r="N92" s="34" t="str"/>
      <x:c r="O92" s="34" t="str"/>
      <x:c r="P92" s="34" t="str"/>
      <x:c r="Q92" s="34" t="str"/>
      <x:c r="R92" s="34" t="str"/>
      <x:c r="S92" s="34" t="str"/>
      <x:c r="T92" s="34" t="str"/>
      <x:c r="U92" s="34" t="str"/>
      <x:c r="V92" s="34" t="str"/>
      <x:c r="W92" s="34" t="str"/>
      <x:c r="X92" s="34" t="str"/>
    </x:row>
    <x:row r="93">
      <x:c r="A93" s="34" t="str">
        <x:v>M5-EVT-0088</x:v>
      </x:c>
      <x:c r="B93" s="34" t="str"/>
      <x:c r="C93" s="34" t="str"/>
      <x:c r="D93" s="34" t="str"/>
      <x:c r="E93" s="34" t="str"/>
      <x:c r="F93" s="34" t="str"/>
      <x:c r="G93" s="34" t="str"/>
      <x:c r="H93" s="34" t="str"/>
      <x:c r="I93" s="34" t="str"/>
      <x:c r="J93" s="34" t="str"/>
      <x:c r="K93" s="34" t="str"/>
      <x:c r="L93" s="34" t="str"/>
      <x:c r="M93" s="34" t="str"/>
      <x:c r="N93" s="34" t="str"/>
      <x:c r="O93" s="34" t="str"/>
      <x:c r="P93" s="34" t="str"/>
      <x:c r="Q93" s="34" t="str"/>
      <x:c r="R93" s="34" t="str"/>
      <x:c r="S93" s="34" t="str"/>
      <x:c r="T93" s="34" t="str"/>
      <x:c r="U93" s="34" t="str"/>
      <x:c r="V93" s="34" t="str"/>
      <x:c r="W93" s="34" t="str"/>
      <x:c r="X93" s="34" t="str"/>
    </x:row>
    <x:row r="94">
      <x:c r="A94" s="34" t="str">
        <x:v>M5-EVT-0089</x:v>
      </x:c>
      <x:c r="B94" s="34" t="str"/>
      <x:c r="C94" s="34" t="str"/>
      <x:c r="D94" s="34" t="str"/>
      <x:c r="E94" s="34" t="str"/>
      <x:c r="F94" s="34" t="str"/>
      <x:c r="G94" s="34" t="str"/>
      <x:c r="H94" s="34" t="str"/>
      <x:c r="I94" s="34" t="str"/>
      <x:c r="J94" s="34" t="str"/>
      <x:c r="K94" s="34" t="str"/>
      <x:c r="L94" s="34" t="str"/>
      <x:c r="M94" s="34" t="str"/>
      <x:c r="N94" s="34" t="str"/>
      <x:c r="O94" s="34" t="str"/>
      <x:c r="P94" s="34" t="str"/>
      <x:c r="Q94" s="34" t="str"/>
      <x:c r="R94" s="34" t="str"/>
      <x:c r="S94" s="34" t="str"/>
      <x:c r="T94" s="34" t="str"/>
      <x:c r="U94" s="34" t="str"/>
      <x:c r="V94" s="34" t="str"/>
      <x:c r="W94" s="34" t="str"/>
      <x:c r="X94" s="34" t="str"/>
    </x:row>
    <x:row r="95">
      <x:c r="A95" s="34" t="str">
        <x:v>M5-EVT-0090</x:v>
      </x:c>
      <x:c r="B95" s="34" t="str"/>
      <x:c r="C95" s="34" t="str"/>
      <x:c r="D95" s="34" t="str"/>
      <x:c r="E95" s="34" t="str"/>
      <x:c r="F95" s="34" t="str"/>
      <x:c r="G95" s="34" t="str"/>
      <x:c r="H95" s="34" t="str"/>
      <x:c r="I95" s="34" t="str"/>
      <x:c r="J95" s="34" t="str"/>
      <x:c r="K95" s="34" t="str"/>
      <x:c r="L95" s="34" t="str"/>
      <x:c r="M95" s="34" t="str"/>
      <x:c r="N95" s="34" t="str"/>
      <x:c r="O95" s="34" t="str"/>
      <x:c r="P95" s="34" t="str"/>
      <x:c r="Q95" s="34" t="str"/>
      <x:c r="R95" s="34" t="str"/>
      <x:c r="S95" s="34" t="str"/>
      <x:c r="T95" s="34" t="str"/>
      <x:c r="U95" s="34" t="str"/>
      <x:c r="V95" s="34" t="str"/>
      <x:c r="W95" s="34" t="str"/>
      <x:c r="X95" s="34" t="str"/>
    </x:row>
    <x:row r="96">
      <x:c r="A96" s="34" t="str">
        <x:v>M5-EVT-0091</x:v>
      </x:c>
      <x:c r="B96" s="34" t="str"/>
      <x:c r="C96" s="34" t="str"/>
      <x:c r="D96" s="34" t="str"/>
      <x:c r="E96" s="34" t="str"/>
      <x:c r="F96" s="34" t="str"/>
      <x:c r="G96" s="34" t="str"/>
      <x:c r="H96" s="34" t="str"/>
      <x:c r="I96" s="34" t="str"/>
      <x:c r="J96" s="34" t="str"/>
      <x:c r="K96" s="34" t="str"/>
      <x:c r="L96" s="34" t="str"/>
      <x:c r="M96" s="34" t="str"/>
      <x:c r="N96" s="34" t="str"/>
      <x:c r="O96" s="34" t="str"/>
      <x:c r="P96" s="34" t="str"/>
      <x:c r="Q96" s="34" t="str"/>
      <x:c r="R96" s="34" t="str"/>
      <x:c r="S96" s="34" t="str"/>
      <x:c r="T96" s="34" t="str"/>
      <x:c r="U96" s="34" t="str"/>
      <x:c r="V96" s="34" t="str"/>
      <x:c r="W96" s="34" t="str"/>
      <x:c r="X96" s="34" t="str"/>
    </x:row>
    <x:row r="97">
      <x:c r="A97" s="34" t="str">
        <x:v>M5-EVT-0092</x:v>
      </x:c>
      <x:c r="B97" s="34" t="str"/>
      <x:c r="C97" s="34" t="str"/>
      <x:c r="D97" s="34" t="str"/>
      <x:c r="E97" s="34" t="str"/>
      <x:c r="F97" s="34" t="str"/>
      <x:c r="G97" s="34" t="str"/>
      <x:c r="H97" s="34" t="str"/>
      <x:c r="I97" s="34" t="str"/>
      <x:c r="J97" s="34" t="str"/>
      <x:c r="K97" s="34" t="str"/>
      <x:c r="L97" s="34" t="str"/>
      <x:c r="M97" s="34" t="str"/>
      <x:c r="N97" s="34" t="str"/>
      <x:c r="O97" s="34" t="str"/>
      <x:c r="P97" s="34" t="str"/>
      <x:c r="Q97" s="34" t="str"/>
      <x:c r="R97" s="34" t="str"/>
      <x:c r="S97" s="34" t="str"/>
      <x:c r="T97" s="34" t="str"/>
      <x:c r="U97" s="34" t="str"/>
      <x:c r="V97" s="34" t="str"/>
      <x:c r="W97" s="34" t="str"/>
      <x:c r="X97" s="34" t="str"/>
    </x:row>
    <x:row r="98">
      <x:c r="A98" s="34" t="str">
        <x:v>M5-EVT-0093</x:v>
      </x:c>
      <x:c r="B98" s="34" t="str"/>
      <x:c r="C98" s="34" t="str"/>
      <x:c r="D98" s="34" t="str"/>
      <x:c r="E98" s="34" t="str"/>
      <x:c r="F98" s="34" t="str"/>
      <x:c r="G98" s="34" t="str"/>
      <x:c r="H98" s="34" t="str"/>
      <x:c r="I98" s="34" t="str"/>
      <x:c r="J98" s="34" t="str"/>
      <x:c r="K98" s="34" t="str"/>
      <x:c r="L98" s="34" t="str"/>
      <x:c r="M98" s="34" t="str"/>
      <x:c r="N98" s="34" t="str"/>
      <x:c r="O98" s="34" t="str"/>
      <x:c r="P98" s="34" t="str"/>
      <x:c r="Q98" s="34" t="str"/>
      <x:c r="R98" s="34" t="str"/>
      <x:c r="S98" s="34" t="str"/>
      <x:c r="T98" s="34" t="str"/>
      <x:c r="U98" s="34" t="str"/>
      <x:c r="V98" s="34" t="str"/>
      <x:c r="W98" s="34" t="str"/>
      <x:c r="X98" s="34" t="str"/>
    </x:row>
    <x:row r="99">
      <x:c r="A99" s="34" t="str">
        <x:v>M5-EVT-0094</x:v>
      </x:c>
      <x:c r="B99" s="34" t="str"/>
      <x:c r="C99" s="34" t="str"/>
      <x:c r="D99" s="34" t="str"/>
      <x:c r="E99" s="34" t="str"/>
      <x:c r="F99" s="34" t="str"/>
      <x:c r="G99" s="34" t="str"/>
      <x:c r="H99" s="34" t="str"/>
      <x:c r="I99" s="34" t="str"/>
      <x:c r="J99" s="34" t="str"/>
      <x:c r="K99" s="34" t="str"/>
      <x:c r="L99" s="34" t="str"/>
      <x:c r="M99" s="34" t="str"/>
      <x:c r="N99" s="34" t="str"/>
      <x:c r="O99" s="34" t="str"/>
      <x:c r="P99" s="34" t="str"/>
      <x:c r="Q99" s="34" t="str"/>
      <x:c r="R99" s="34" t="str"/>
      <x:c r="S99" s="34" t="str"/>
      <x:c r="T99" s="34" t="str"/>
      <x:c r="U99" s="34" t="str"/>
      <x:c r="V99" s="34" t="str"/>
      <x:c r="W99" s="34" t="str"/>
      <x:c r="X99" s="34" t="str"/>
    </x:row>
    <x:row r="100">
      <x:c r="A100" s="34" t="str">
        <x:v>M5-EVT-0095</x:v>
      </x:c>
      <x:c r="B100" s="34" t="str"/>
      <x:c r="C100" s="34" t="str"/>
      <x:c r="D100" s="34" t="str"/>
      <x:c r="E100" s="34" t="str"/>
      <x:c r="F100" s="34" t="str"/>
      <x:c r="G100" s="34" t="str"/>
      <x:c r="H100" s="34" t="str"/>
      <x:c r="I100" s="34" t="str"/>
      <x:c r="J100" s="34" t="str"/>
      <x:c r="K100" s="34" t="str"/>
      <x:c r="L100" s="34" t="str"/>
      <x:c r="M100" s="34" t="str"/>
      <x:c r="N100" s="34" t="str"/>
      <x:c r="O100" s="34" t="str"/>
      <x:c r="P100" s="34" t="str"/>
      <x:c r="Q100" s="34" t="str"/>
      <x:c r="R100" s="34" t="str"/>
      <x:c r="S100" s="34" t="str"/>
      <x:c r="T100" s="34" t="str"/>
      <x:c r="U100" s="34" t="str"/>
      <x:c r="V100" s="34" t="str"/>
      <x:c r="W100" s="34" t="str"/>
      <x:c r="X100" s="34" t="str"/>
    </x:row>
    <x:row r="101">
      <x:c r="A101" s="34" t="str">
        <x:v>M5-EVT-0096</x:v>
      </x:c>
      <x:c r="B101" s="34" t="str"/>
      <x:c r="C101" s="34" t="str"/>
      <x:c r="D101" s="34" t="str"/>
      <x:c r="E101" s="34" t="str"/>
      <x:c r="F101" s="34" t="str"/>
      <x:c r="G101" s="34" t="str"/>
      <x:c r="H101" s="34" t="str"/>
      <x:c r="I101" s="34" t="str"/>
      <x:c r="J101" s="34" t="str"/>
      <x:c r="K101" s="34" t="str"/>
      <x:c r="L101" s="34" t="str"/>
      <x:c r="M101" s="34" t="str"/>
      <x:c r="N101" s="34" t="str"/>
      <x:c r="O101" s="34" t="str"/>
      <x:c r="P101" s="34" t="str"/>
      <x:c r="Q101" s="34" t="str"/>
      <x:c r="R101" s="34" t="str"/>
      <x:c r="S101" s="34" t="str"/>
      <x:c r="T101" s="34" t="str"/>
      <x:c r="U101" s="34" t="str"/>
      <x:c r="V101" s="34" t="str"/>
      <x:c r="W101" s="34" t="str"/>
      <x:c r="X101" s="34" t="str"/>
    </x:row>
    <x:row r="102">
      <x:c r="A102" s="34" t="str">
        <x:v>M5-EVT-0097</x:v>
      </x:c>
      <x:c r="B102" s="34" t="str"/>
      <x:c r="C102" s="34" t="str"/>
      <x:c r="D102" s="34" t="str"/>
      <x:c r="E102" s="34" t="str"/>
      <x:c r="F102" s="34" t="str"/>
      <x:c r="G102" s="34" t="str"/>
      <x:c r="H102" s="34" t="str"/>
      <x:c r="I102" s="34" t="str"/>
      <x:c r="J102" s="34" t="str"/>
      <x:c r="K102" s="34" t="str"/>
      <x:c r="L102" s="34" t="str"/>
      <x:c r="M102" s="34" t="str"/>
      <x:c r="N102" s="34" t="str"/>
      <x:c r="O102" s="34" t="str"/>
      <x:c r="P102" s="34" t="str"/>
      <x:c r="Q102" s="34" t="str"/>
      <x:c r="R102" s="34" t="str"/>
      <x:c r="S102" s="34" t="str"/>
      <x:c r="T102" s="34" t="str"/>
      <x:c r="U102" s="34" t="str"/>
      <x:c r="V102" s="34" t="str"/>
      <x:c r="W102" s="34" t="str"/>
      <x:c r="X102" s="34" t="str"/>
    </x:row>
    <x:row r="103">
      <x:c r="A103" s="34" t="str">
        <x:v>M5-EVT-0098</x:v>
      </x:c>
      <x:c r="B103" s="34" t="str"/>
      <x:c r="C103" s="34" t="str"/>
      <x:c r="D103" s="34" t="str"/>
      <x:c r="E103" s="34" t="str"/>
      <x:c r="F103" s="34" t="str"/>
      <x:c r="G103" s="34" t="str"/>
      <x:c r="H103" s="34" t="str"/>
      <x:c r="I103" s="34" t="str"/>
      <x:c r="J103" s="34" t="str"/>
      <x:c r="K103" s="34" t="str"/>
      <x:c r="L103" s="34" t="str"/>
      <x:c r="M103" s="34" t="str"/>
      <x:c r="N103" s="34" t="str"/>
      <x:c r="O103" s="34" t="str"/>
      <x:c r="P103" s="34" t="str"/>
      <x:c r="Q103" s="34" t="str"/>
      <x:c r="R103" s="34" t="str"/>
      <x:c r="S103" s="34" t="str"/>
      <x:c r="T103" s="34" t="str"/>
      <x:c r="U103" s="34" t="str"/>
      <x:c r="V103" s="34" t="str"/>
      <x:c r="W103" s="34" t="str"/>
      <x:c r="X103" s="34" t="str"/>
    </x:row>
    <x:row r="104">
      <x:c r="A104" s="34" t="str">
        <x:v>M5-EVT-0099</x:v>
      </x:c>
      <x:c r="B104" s="34" t="str"/>
      <x:c r="C104" s="34" t="str"/>
      <x:c r="D104" s="34" t="str"/>
      <x:c r="E104" s="34" t="str"/>
      <x:c r="F104" s="34" t="str"/>
      <x:c r="G104" s="34" t="str"/>
      <x:c r="H104" s="34" t="str"/>
      <x:c r="I104" s="34" t="str"/>
      <x:c r="J104" s="34" t="str"/>
      <x:c r="K104" s="34" t="str"/>
      <x:c r="L104" s="34" t="str"/>
      <x:c r="M104" s="34" t="str"/>
      <x:c r="N104" s="34" t="str"/>
      <x:c r="O104" s="34" t="str"/>
      <x:c r="P104" s="34" t="str"/>
      <x:c r="Q104" s="34" t="str"/>
      <x:c r="R104" s="34" t="str"/>
      <x:c r="S104" s="34" t="str"/>
      <x:c r="T104" s="34" t="str"/>
      <x:c r="U104" s="34" t="str"/>
      <x:c r="V104" s="34" t="str"/>
      <x:c r="W104" s="34" t="str"/>
      <x:c r="X104" s="34" t="str"/>
    </x:row>
    <x:row r="105">
      <x:c r="A105" s="34" t="str">
        <x:v>M5-EVT-0100</x:v>
      </x:c>
      <x:c r="B105" s="34" t="str"/>
      <x:c r="C105" s="34" t="str"/>
      <x:c r="D105" s="34" t="str"/>
      <x:c r="E105" s="34" t="str"/>
      <x:c r="F105" s="34" t="str"/>
      <x:c r="G105" s="34" t="str"/>
      <x:c r="H105" s="34" t="str"/>
      <x:c r="I105" s="34" t="str"/>
      <x:c r="J105" s="34" t="str"/>
      <x:c r="K105" s="34" t="str"/>
      <x:c r="L105" s="34" t="str"/>
      <x:c r="M105" s="34" t="str"/>
      <x:c r="N105" s="34" t="str"/>
      <x:c r="O105" s="34" t="str"/>
      <x:c r="P105" s="34" t="str"/>
      <x:c r="Q105" s="34" t="str"/>
      <x:c r="R105" s="34" t="str"/>
      <x:c r="S105" s="34" t="str"/>
      <x:c r="T105" s="34" t="str"/>
      <x:c r="U105" s="34" t="str"/>
      <x:c r="V105" s="34" t="str"/>
      <x:c r="W105" s="34" t="str"/>
      <x:c r="X105" s="34" t="str"/>
    </x:row>
    <x:row r="106">
      <x:c r="A106" s="34" t="str">
        <x:v>M5-EVT-0101</x:v>
      </x:c>
      <x:c r="B106" s="34" t="str"/>
      <x:c r="C106" s="34" t="str"/>
      <x:c r="D106" s="34" t="str"/>
      <x:c r="E106" s="34" t="str"/>
      <x:c r="F106" s="34" t="str"/>
      <x:c r="G106" s="34" t="str"/>
      <x:c r="H106" s="34" t="str"/>
      <x:c r="I106" s="34" t="str"/>
      <x:c r="J106" s="34" t="str"/>
      <x:c r="K106" s="34" t="str"/>
      <x:c r="L106" s="34" t="str"/>
      <x:c r="M106" s="34" t="str"/>
      <x:c r="N106" s="34" t="str"/>
      <x:c r="O106" s="34" t="str"/>
      <x:c r="P106" s="34" t="str"/>
      <x:c r="Q106" s="34" t="str"/>
      <x:c r="R106" s="34" t="str"/>
      <x:c r="S106" s="34" t="str"/>
      <x:c r="T106" s="34" t="str"/>
      <x:c r="U106" s="34" t="str"/>
      <x:c r="V106" s="34" t="str"/>
      <x:c r="W106" s="34" t="str"/>
      <x:c r="X106" s="34" t="str"/>
    </x:row>
    <x:row r="107">
      <x:c r="A107" s="34" t="str">
        <x:v>M5-EVT-0102</x:v>
      </x:c>
      <x:c r="B107" s="34" t="str"/>
      <x:c r="C107" s="34" t="str"/>
      <x:c r="D107" s="34" t="str"/>
      <x:c r="E107" s="34" t="str"/>
      <x:c r="F107" s="34" t="str"/>
      <x:c r="G107" s="34" t="str"/>
      <x:c r="H107" s="34" t="str"/>
      <x:c r="I107" s="34" t="str"/>
      <x:c r="J107" s="34" t="str"/>
      <x:c r="K107" s="34" t="str"/>
      <x:c r="L107" s="34" t="str"/>
      <x:c r="M107" s="34" t="str"/>
      <x:c r="N107" s="34" t="str"/>
      <x:c r="O107" s="34" t="str"/>
      <x:c r="P107" s="34" t="str"/>
      <x:c r="Q107" s="34" t="str"/>
      <x:c r="R107" s="34" t="str"/>
      <x:c r="S107" s="34" t="str"/>
      <x:c r="T107" s="34" t="str"/>
      <x:c r="U107" s="34" t="str"/>
      <x:c r="V107" s="34" t="str"/>
      <x:c r="W107" s="34" t="str"/>
      <x:c r="X107" s="34" t="str"/>
    </x:row>
    <x:row r="108">
      <x:c r="A108" s="34" t="str">
        <x:v>M5-EVT-0103</x:v>
      </x:c>
      <x:c r="B108" s="34" t="str"/>
      <x:c r="C108" s="34" t="str"/>
      <x:c r="D108" s="34" t="str"/>
      <x:c r="E108" s="34" t="str"/>
      <x:c r="F108" s="34" t="str"/>
      <x:c r="G108" s="34" t="str"/>
      <x:c r="H108" s="34" t="str"/>
      <x:c r="I108" s="34" t="str"/>
      <x:c r="J108" s="34" t="str"/>
      <x:c r="K108" s="34" t="str"/>
      <x:c r="L108" s="34" t="str"/>
      <x:c r="M108" s="34" t="str"/>
      <x:c r="N108" s="34" t="str"/>
      <x:c r="O108" s="34" t="str"/>
      <x:c r="P108" s="34" t="str"/>
      <x:c r="Q108" s="34" t="str"/>
      <x:c r="R108" s="34" t="str"/>
      <x:c r="S108" s="34" t="str"/>
      <x:c r="T108" s="34" t="str"/>
      <x:c r="U108" s="34" t="str"/>
      <x:c r="V108" s="34" t="str"/>
      <x:c r="W108" s="34" t="str"/>
      <x:c r="X108" s="34" t="str"/>
    </x:row>
    <x:row r="109">
      <x:c r="A109" s="34" t="str">
        <x:v>M5-EVT-0104</x:v>
      </x:c>
      <x:c r="B109" s="34" t="str"/>
      <x:c r="C109" s="34" t="str"/>
      <x:c r="D109" s="34" t="str"/>
      <x:c r="E109" s="34" t="str"/>
      <x:c r="F109" s="34" t="str"/>
      <x:c r="G109" s="34" t="str"/>
      <x:c r="H109" s="34" t="str"/>
      <x:c r="I109" s="34" t="str"/>
      <x:c r="J109" s="34" t="str"/>
      <x:c r="K109" s="34" t="str"/>
      <x:c r="L109" s="34" t="str"/>
      <x:c r="M109" s="34" t="str"/>
      <x:c r="N109" s="34" t="str"/>
      <x:c r="O109" s="34" t="str"/>
      <x:c r="P109" s="34" t="str"/>
      <x:c r="Q109" s="34" t="str"/>
      <x:c r="R109" s="34" t="str"/>
      <x:c r="S109" s="34" t="str"/>
      <x:c r="T109" s="34" t="str"/>
      <x:c r="U109" s="34" t="str"/>
      <x:c r="V109" s="34" t="str"/>
      <x:c r="W109" s="34" t="str"/>
      <x:c r="X109" s="34" t="str"/>
    </x:row>
    <x:row r="110">
      <x:c r="A110" s="34" t="str">
        <x:v>M5-EVT-0105</x:v>
      </x:c>
      <x:c r="B110" s="34" t="str"/>
      <x:c r="C110" s="34" t="str"/>
      <x:c r="D110" s="34" t="str"/>
      <x:c r="E110" s="34" t="str"/>
      <x:c r="F110" s="34" t="str"/>
      <x:c r="G110" s="34" t="str"/>
      <x:c r="H110" s="34" t="str"/>
      <x:c r="I110" s="34" t="str"/>
      <x:c r="J110" s="34" t="str"/>
      <x:c r="K110" s="34" t="str"/>
      <x:c r="L110" s="34" t="str"/>
      <x:c r="M110" s="34" t="str"/>
      <x:c r="N110" s="34" t="str"/>
      <x:c r="O110" s="34" t="str"/>
      <x:c r="P110" s="34" t="str"/>
      <x:c r="Q110" s="34" t="str"/>
      <x:c r="R110" s="34" t="str"/>
      <x:c r="S110" s="34" t="str"/>
      <x:c r="T110" s="34" t="str"/>
      <x:c r="U110" s="34" t="str"/>
      <x:c r="V110" s="34" t="str"/>
      <x:c r="W110" s="34" t="str"/>
      <x:c r="X110" s="34" t="str"/>
    </x:row>
    <x:row r="111">
      <x:c r="A111" s="34" t="str">
        <x:v>M5-EVT-0106</x:v>
      </x:c>
      <x:c r="B111" s="34" t="str"/>
      <x:c r="C111" s="34" t="str"/>
      <x:c r="D111" s="34" t="str"/>
      <x:c r="E111" s="34" t="str"/>
      <x:c r="F111" s="34" t="str"/>
      <x:c r="G111" s="34" t="str"/>
      <x:c r="H111" s="34" t="str"/>
      <x:c r="I111" s="34" t="str"/>
      <x:c r="J111" s="34" t="str"/>
      <x:c r="K111" s="34" t="str"/>
      <x:c r="L111" s="34" t="str"/>
      <x:c r="M111" s="34" t="str"/>
      <x:c r="N111" s="34" t="str"/>
      <x:c r="O111" s="34" t="str"/>
      <x:c r="P111" s="34" t="str"/>
      <x:c r="Q111" s="34" t="str"/>
      <x:c r="R111" s="34" t="str"/>
      <x:c r="S111" s="34" t="str"/>
      <x:c r="T111" s="34" t="str"/>
      <x:c r="U111" s="34" t="str"/>
      <x:c r="V111" s="34" t="str"/>
      <x:c r="W111" s="34" t="str"/>
      <x:c r="X111" s="34" t="str"/>
    </x:row>
    <x:row r="112">
      <x:c r="A112" s="34" t="str">
        <x:v>M5-EVT-0107</x:v>
      </x:c>
      <x:c r="B112" s="34" t="str"/>
      <x:c r="C112" s="34" t="str"/>
      <x:c r="D112" s="34" t="str"/>
      <x:c r="E112" s="34" t="str"/>
      <x:c r="F112" s="34" t="str"/>
      <x:c r="G112" s="34" t="str"/>
      <x:c r="H112" s="34" t="str"/>
      <x:c r="I112" s="34" t="str"/>
      <x:c r="J112" s="34" t="str"/>
      <x:c r="K112" s="34" t="str"/>
      <x:c r="L112" s="34" t="str"/>
      <x:c r="M112" s="34" t="str"/>
      <x:c r="N112" s="34" t="str"/>
      <x:c r="O112" s="34" t="str"/>
      <x:c r="P112" s="34" t="str"/>
      <x:c r="Q112" s="34" t="str"/>
      <x:c r="R112" s="34" t="str"/>
      <x:c r="S112" s="34" t="str"/>
      <x:c r="T112" s="34" t="str"/>
      <x:c r="U112" s="34" t="str"/>
      <x:c r="V112" s="34" t="str"/>
      <x:c r="W112" s="34" t="str"/>
      <x:c r="X112" s="34" t="str"/>
    </x:row>
    <x:row r="113">
      <x:c r="A113" s="34" t="str">
        <x:v>M5-EVT-0108</x:v>
      </x:c>
      <x:c r="B113" s="34" t="str"/>
      <x:c r="C113" s="34" t="str"/>
      <x:c r="D113" s="34" t="str"/>
      <x:c r="E113" s="34" t="str"/>
      <x:c r="F113" s="34" t="str"/>
      <x:c r="G113" s="34" t="str"/>
      <x:c r="H113" s="34" t="str"/>
      <x:c r="I113" s="34" t="str"/>
      <x:c r="J113" s="34" t="str"/>
      <x:c r="K113" s="34" t="str"/>
      <x:c r="L113" s="34" t="str"/>
      <x:c r="M113" s="34" t="str"/>
      <x:c r="N113" s="34" t="str"/>
      <x:c r="O113" s="34" t="str"/>
      <x:c r="P113" s="34" t="str"/>
      <x:c r="Q113" s="34" t="str"/>
      <x:c r="R113" s="34" t="str"/>
      <x:c r="S113" s="34" t="str"/>
      <x:c r="T113" s="34" t="str"/>
      <x:c r="U113" s="34" t="str"/>
      <x:c r="V113" s="34" t="str"/>
      <x:c r="W113" s="34" t="str"/>
      <x:c r="X113" s="34" t="str"/>
    </x:row>
    <x:row r="114">
      <x:c r="A114" s="34" t="str">
        <x:v>M5-EVT-0109</x:v>
      </x:c>
      <x:c r="B114" s="34" t="str"/>
      <x:c r="C114" s="34" t="str"/>
      <x:c r="D114" s="34" t="str"/>
      <x:c r="E114" s="34" t="str"/>
      <x:c r="F114" s="34" t="str"/>
      <x:c r="G114" s="34" t="str"/>
      <x:c r="H114" s="34" t="str"/>
      <x:c r="I114" s="34" t="str"/>
      <x:c r="J114" s="34" t="str"/>
      <x:c r="K114" s="34" t="str"/>
      <x:c r="L114" s="34" t="str"/>
      <x:c r="M114" s="34" t="str"/>
      <x:c r="N114" s="34" t="str"/>
      <x:c r="O114" s="34" t="str"/>
      <x:c r="P114" s="34" t="str"/>
      <x:c r="Q114" s="34" t="str"/>
      <x:c r="R114" s="34" t="str"/>
      <x:c r="S114" s="34" t="str"/>
      <x:c r="T114" s="34" t="str"/>
      <x:c r="U114" s="34" t="str"/>
      <x:c r="V114" s="34" t="str"/>
      <x:c r="W114" s="34" t="str"/>
      <x:c r="X114" s="34" t="str"/>
    </x:row>
    <x:row r="115">
      <x:c r="A115" s="34" t="str">
        <x:v>M5-EVT-0110</x:v>
      </x:c>
      <x:c r="B115" s="34" t="str"/>
      <x:c r="C115" s="34" t="str"/>
      <x:c r="D115" s="34" t="str"/>
      <x:c r="E115" s="34" t="str"/>
      <x:c r="F115" s="34" t="str"/>
      <x:c r="G115" s="34" t="str"/>
      <x:c r="H115" s="34" t="str"/>
      <x:c r="I115" s="34" t="str"/>
      <x:c r="J115" s="34" t="str"/>
      <x:c r="K115" s="34" t="str"/>
      <x:c r="L115" s="34" t="str"/>
      <x:c r="M115" s="34" t="str"/>
      <x:c r="N115" s="34" t="str"/>
      <x:c r="O115" s="34" t="str"/>
      <x:c r="P115" s="34" t="str"/>
      <x:c r="Q115" s="34" t="str"/>
      <x:c r="R115" s="34" t="str"/>
      <x:c r="S115" s="34" t="str"/>
      <x:c r="T115" s="34" t="str"/>
      <x:c r="U115" s="34" t="str"/>
      <x:c r="V115" s="34" t="str"/>
      <x:c r="W115" s="34" t="str"/>
      <x:c r="X115" s="34" t="str"/>
    </x:row>
    <x:row r="116">
      <x:c r="A116" s="34" t="str">
        <x:v>M5-EVT-0111</x:v>
      </x:c>
      <x:c r="B116" s="34" t="str"/>
      <x:c r="C116" s="34" t="str"/>
      <x:c r="D116" s="34" t="str"/>
      <x:c r="E116" s="34" t="str"/>
      <x:c r="F116" s="34" t="str"/>
      <x:c r="G116" s="34" t="str"/>
      <x:c r="H116" s="34" t="str"/>
      <x:c r="I116" s="34" t="str"/>
      <x:c r="J116" s="34" t="str"/>
      <x:c r="K116" s="34" t="str"/>
      <x:c r="L116" s="34" t="str"/>
      <x:c r="M116" s="34" t="str"/>
      <x:c r="N116" s="34" t="str"/>
      <x:c r="O116" s="34" t="str"/>
      <x:c r="P116" s="34" t="str"/>
      <x:c r="Q116" s="34" t="str"/>
      <x:c r="R116" s="34" t="str"/>
      <x:c r="S116" s="34" t="str"/>
      <x:c r="T116" s="34" t="str"/>
      <x:c r="U116" s="34" t="str"/>
      <x:c r="V116" s="34" t="str"/>
      <x:c r="W116" s="34" t="str"/>
      <x:c r="X116" s="34" t="str"/>
    </x:row>
    <x:row r="117">
      <x:c r="A117" s="34" t="str">
        <x:v>M5-EVT-0112</x:v>
      </x:c>
      <x:c r="B117" s="34" t="str"/>
      <x:c r="C117" s="34" t="str"/>
      <x:c r="D117" s="34" t="str"/>
      <x:c r="E117" s="34" t="str"/>
      <x:c r="F117" s="34" t="str"/>
      <x:c r="G117" s="34" t="str"/>
      <x:c r="H117" s="34" t="str"/>
      <x:c r="I117" s="34" t="str"/>
      <x:c r="J117" s="34" t="str"/>
      <x:c r="K117" s="34" t="str"/>
      <x:c r="L117" s="34" t="str"/>
      <x:c r="M117" s="34" t="str"/>
      <x:c r="N117" s="34" t="str"/>
      <x:c r="O117" s="34" t="str"/>
      <x:c r="P117" s="34" t="str"/>
      <x:c r="Q117" s="34" t="str"/>
      <x:c r="R117" s="34" t="str"/>
      <x:c r="S117" s="34" t="str"/>
      <x:c r="T117" s="34" t="str"/>
      <x:c r="U117" s="34" t="str"/>
      <x:c r="V117" s="34" t="str"/>
      <x:c r="W117" s="34" t="str"/>
      <x:c r="X117" s="34" t="str"/>
    </x:row>
    <x:row r="118">
      <x:c r="A118" s="34" t="str">
        <x:v>M5-EVT-0113</x:v>
      </x:c>
      <x:c r="B118" s="34" t="str"/>
      <x:c r="C118" s="34" t="str"/>
      <x:c r="D118" s="34" t="str"/>
      <x:c r="E118" s="34" t="str"/>
      <x:c r="F118" s="34" t="str"/>
      <x:c r="G118" s="34" t="str"/>
      <x:c r="H118" s="34" t="str"/>
      <x:c r="I118" s="34" t="str"/>
      <x:c r="J118" s="34" t="str"/>
      <x:c r="K118" s="34" t="str"/>
      <x:c r="L118" s="34" t="str"/>
      <x:c r="M118" s="34" t="str"/>
      <x:c r="N118" s="34" t="str"/>
      <x:c r="O118" s="34" t="str"/>
      <x:c r="P118" s="34" t="str"/>
      <x:c r="Q118" s="34" t="str"/>
      <x:c r="R118" s="34" t="str"/>
      <x:c r="S118" s="34" t="str"/>
      <x:c r="T118" s="34" t="str"/>
      <x:c r="U118" s="34" t="str"/>
      <x:c r="V118" s="34" t="str"/>
      <x:c r="W118" s="34" t="str"/>
      <x:c r="X118" s="34" t="str"/>
    </x:row>
    <x:row r="119">
      <x:c r="A119" s="34" t="str">
        <x:v>M5-EVT-0114</x:v>
      </x:c>
      <x:c r="B119" s="34" t="str"/>
      <x:c r="C119" s="34" t="str"/>
      <x:c r="D119" s="34" t="str"/>
      <x:c r="E119" s="34" t="str"/>
      <x:c r="F119" s="34" t="str"/>
      <x:c r="G119" s="34" t="str"/>
      <x:c r="H119" s="34" t="str"/>
      <x:c r="I119" s="34" t="str"/>
      <x:c r="J119" s="34" t="str"/>
      <x:c r="K119" s="34" t="str"/>
      <x:c r="L119" s="34" t="str"/>
      <x:c r="M119" s="34" t="str"/>
      <x:c r="N119" s="34" t="str"/>
      <x:c r="O119" s="34" t="str"/>
      <x:c r="P119" s="34" t="str"/>
      <x:c r="Q119" s="34" t="str"/>
      <x:c r="R119" s="34" t="str"/>
      <x:c r="S119" s="34" t="str"/>
      <x:c r="T119" s="34" t="str"/>
      <x:c r="U119" s="34" t="str"/>
      <x:c r="V119" s="34" t="str"/>
      <x:c r="W119" s="34" t="str"/>
      <x:c r="X119" s="34" t="str"/>
    </x:row>
    <x:row r="120">
      <x:c r="A120" s="34" t="str">
        <x:v>M5-EVT-0115</x:v>
      </x:c>
      <x:c r="B120" s="34" t="str"/>
      <x:c r="C120" s="34" t="str"/>
      <x:c r="D120" s="34" t="str"/>
      <x:c r="E120" s="34" t="str"/>
      <x:c r="F120" s="34" t="str"/>
      <x:c r="G120" s="34" t="str"/>
      <x:c r="H120" s="34" t="str"/>
      <x:c r="I120" s="34" t="str"/>
      <x:c r="J120" s="34" t="str"/>
      <x:c r="K120" s="34" t="str"/>
      <x:c r="L120" s="34" t="str"/>
      <x:c r="M120" s="34" t="str"/>
      <x:c r="N120" s="34" t="str"/>
      <x:c r="O120" s="34" t="str"/>
      <x:c r="P120" s="34" t="str"/>
      <x:c r="Q120" s="34" t="str"/>
      <x:c r="R120" s="34" t="str"/>
      <x:c r="S120" s="34" t="str"/>
      <x:c r="T120" s="34" t="str"/>
      <x:c r="U120" s="34" t="str"/>
      <x:c r="V120" s="34" t="str"/>
      <x:c r="W120" s="34" t="str"/>
      <x:c r="X120" s="34" t="str"/>
    </x:row>
    <x:row r="121">
      <x:c r="A121" s="34" t="str">
        <x:v>M5-EVT-0116</x:v>
      </x:c>
      <x:c r="B121" s="34" t="str"/>
      <x:c r="C121" s="34" t="str"/>
      <x:c r="D121" s="34" t="str"/>
      <x:c r="E121" s="34" t="str"/>
      <x:c r="F121" s="34" t="str"/>
      <x:c r="G121" s="34" t="str"/>
      <x:c r="H121" s="34" t="str"/>
      <x:c r="I121" s="34" t="str"/>
      <x:c r="J121" s="34" t="str"/>
      <x:c r="K121" s="34" t="str"/>
      <x:c r="L121" s="34" t="str"/>
      <x:c r="M121" s="34" t="str"/>
      <x:c r="N121" s="34" t="str"/>
      <x:c r="O121" s="34" t="str"/>
      <x:c r="P121" s="34" t="str"/>
      <x:c r="Q121" s="34" t="str"/>
      <x:c r="R121" s="34" t="str"/>
      <x:c r="S121" s="34" t="str"/>
      <x:c r="T121" s="34" t="str"/>
      <x:c r="U121" s="34" t="str"/>
      <x:c r="V121" s="34" t="str"/>
      <x:c r="W121" s="34" t="str"/>
      <x:c r="X121" s="34" t="str"/>
    </x:row>
    <x:row r="122">
      <x:c r="A122" s="34" t="str">
        <x:v>M5-EVT-0117</x:v>
      </x:c>
      <x:c r="B122" s="34" t="str"/>
      <x:c r="C122" s="34" t="str"/>
      <x:c r="D122" s="34" t="str"/>
      <x:c r="E122" s="34" t="str"/>
      <x:c r="F122" s="34" t="str"/>
      <x:c r="G122" s="34" t="str"/>
      <x:c r="H122" s="34" t="str"/>
      <x:c r="I122" s="34" t="str"/>
      <x:c r="J122" s="34" t="str"/>
      <x:c r="K122" s="34" t="str"/>
      <x:c r="L122" s="34" t="str"/>
      <x:c r="M122" s="34" t="str"/>
      <x:c r="N122" s="34" t="str"/>
      <x:c r="O122" s="34" t="str"/>
      <x:c r="P122" s="34" t="str"/>
      <x:c r="Q122" s="34" t="str"/>
      <x:c r="R122" s="34" t="str"/>
      <x:c r="S122" s="34" t="str"/>
      <x:c r="T122" s="34" t="str"/>
      <x:c r="U122" s="34" t="str"/>
      <x:c r="V122" s="34" t="str"/>
      <x:c r="W122" s="34" t="str"/>
      <x:c r="X122" s="34" t="str"/>
    </x:row>
    <x:row r="123">
      <x:c r="A123" s="34" t="str">
        <x:v>M5-EVT-0118</x:v>
      </x:c>
      <x:c r="B123" s="34" t="str"/>
      <x:c r="C123" s="34" t="str"/>
      <x:c r="D123" s="34" t="str"/>
      <x:c r="E123" s="34" t="str"/>
      <x:c r="F123" s="34" t="str"/>
      <x:c r="G123" s="34" t="str"/>
      <x:c r="H123" s="34" t="str"/>
      <x:c r="I123" s="34" t="str"/>
      <x:c r="J123" s="34" t="str"/>
      <x:c r="K123" s="34" t="str"/>
      <x:c r="L123" s="34" t="str"/>
      <x:c r="M123" s="34" t="str"/>
      <x:c r="N123" s="34" t="str"/>
      <x:c r="O123" s="34" t="str"/>
      <x:c r="P123" s="34" t="str"/>
      <x:c r="Q123" s="34" t="str"/>
      <x:c r="R123" s="34" t="str"/>
      <x:c r="S123" s="34" t="str"/>
      <x:c r="T123" s="34" t="str"/>
      <x:c r="U123" s="34" t="str"/>
      <x:c r="V123" s="34" t="str"/>
      <x:c r="W123" s="34" t="str"/>
      <x:c r="X123" s="34" t="str"/>
    </x:row>
    <x:row r="124">
      <x:c r="A124" s="34" t="str">
        <x:v>M5-EVT-0119</x:v>
      </x:c>
      <x:c r="B124" s="34" t="str"/>
      <x:c r="C124" s="34" t="str"/>
      <x:c r="D124" s="34" t="str"/>
      <x:c r="E124" s="34" t="str"/>
      <x:c r="F124" s="34" t="str"/>
      <x:c r="G124" s="34" t="str"/>
      <x:c r="H124" s="34" t="str"/>
      <x:c r="I124" s="34" t="str"/>
      <x:c r="J124" s="34" t="str"/>
      <x:c r="K124" s="34" t="str"/>
      <x:c r="L124" s="34" t="str"/>
      <x:c r="M124" s="34" t="str"/>
      <x:c r="N124" s="34" t="str"/>
      <x:c r="O124" s="34" t="str"/>
      <x:c r="P124" s="34" t="str"/>
      <x:c r="Q124" s="34" t="str"/>
      <x:c r="R124" s="34" t="str"/>
      <x:c r="S124" s="34" t="str"/>
      <x:c r="T124" s="34" t="str"/>
      <x:c r="U124" s="34" t="str"/>
      <x:c r="V124" s="34" t="str"/>
      <x:c r="W124" s="34" t="str"/>
      <x:c r="X124" s="34" t="str"/>
    </x:row>
    <x:row r="125">
      <x:c r="A125" s="34" t="str">
        <x:v>M5-EVT-0120</x:v>
      </x:c>
      <x:c r="B125" s="34" t="str"/>
      <x:c r="C125" s="34" t="str"/>
      <x:c r="D125" s="34" t="str"/>
      <x:c r="E125" s="34" t="str"/>
      <x:c r="F125" s="34" t="str"/>
      <x:c r="G125" s="34" t="str"/>
      <x:c r="H125" s="34" t="str"/>
      <x:c r="I125" s="34" t="str"/>
      <x:c r="J125" s="34" t="str"/>
      <x:c r="K125" s="34" t="str"/>
      <x:c r="L125" s="34" t="str"/>
      <x:c r="M125" s="34" t="str"/>
      <x:c r="N125" s="34" t="str"/>
      <x:c r="O125" s="34" t="str"/>
      <x:c r="P125" s="34" t="str"/>
      <x:c r="Q125" s="34" t="str"/>
      <x:c r="R125" s="34" t="str"/>
      <x:c r="S125" s="34" t="str"/>
      <x:c r="T125" s="34" t="str"/>
      <x:c r="U125" s="34" t="str"/>
      <x:c r="V125" s="34" t="str"/>
      <x:c r="W125" s="34" t="str"/>
      <x:c r="X125" s="34" t="str"/>
    </x:row>
    <x:row r="126">
      <x:c r="A126" s="34" t="str">
        <x:v>M5-EVT-0121</x:v>
      </x:c>
      <x:c r="B126" s="34" t="str"/>
      <x:c r="C126" s="34" t="str"/>
      <x:c r="D126" s="34" t="str"/>
      <x:c r="E126" s="34" t="str"/>
      <x:c r="F126" s="34" t="str"/>
      <x:c r="G126" s="34" t="str"/>
      <x:c r="H126" s="34" t="str"/>
      <x:c r="I126" s="34" t="str"/>
      <x:c r="J126" s="34" t="str"/>
      <x:c r="K126" s="34" t="str"/>
      <x:c r="L126" s="34" t="str"/>
      <x:c r="M126" s="34" t="str"/>
      <x:c r="N126" s="34" t="str"/>
      <x:c r="O126" s="34" t="str"/>
      <x:c r="P126" s="34" t="str"/>
      <x:c r="Q126" s="34" t="str"/>
      <x:c r="R126" s="34" t="str"/>
      <x:c r="S126" s="34" t="str"/>
      <x:c r="T126" s="34" t="str"/>
      <x:c r="U126" s="34" t="str"/>
      <x:c r="V126" s="34" t="str"/>
      <x:c r="W126" s="34" t="str"/>
      <x:c r="X126" s="34" t="str"/>
    </x:row>
    <x:row r="127">
      <x:c r="A127" s="34" t="str">
        <x:v>M5-EVT-0122</x:v>
      </x:c>
      <x:c r="B127" s="34" t="str"/>
      <x:c r="C127" s="34" t="str"/>
      <x:c r="D127" s="34" t="str"/>
      <x:c r="E127" s="34" t="str"/>
      <x:c r="F127" s="34" t="str"/>
      <x:c r="G127" s="34" t="str"/>
      <x:c r="H127" s="34" t="str"/>
      <x:c r="I127" s="34" t="str"/>
      <x:c r="J127" s="34" t="str"/>
      <x:c r="K127" s="34" t="str"/>
      <x:c r="L127" s="34" t="str"/>
      <x:c r="M127" s="34" t="str"/>
      <x:c r="N127" s="34" t="str"/>
      <x:c r="O127" s="34" t="str"/>
      <x:c r="P127" s="34" t="str"/>
      <x:c r="Q127" s="34" t="str"/>
      <x:c r="R127" s="34" t="str"/>
      <x:c r="S127" s="34" t="str"/>
      <x:c r="T127" s="34" t="str"/>
      <x:c r="U127" s="34" t="str"/>
      <x:c r="V127" s="34" t="str"/>
      <x:c r="W127" s="34" t="str"/>
      <x:c r="X127" s="34" t="str"/>
    </x:row>
    <x:row r="128">
      <x:c r="A128" s="34" t="str">
        <x:v>M5-EVT-0123</x:v>
      </x:c>
      <x:c r="B128" s="34" t="str"/>
      <x:c r="C128" s="34" t="str"/>
      <x:c r="D128" s="34" t="str"/>
      <x:c r="E128" s="34" t="str"/>
      <x:c r="F128" s="34" t="str"/>
      <x:c r="G128" s="34" t="str"/>
      <x:c r="H128" s="34" t="str"/>
      <x:c r="I128" s="34" t="str"/>
      <x:c r="J128" s="34" t="str"/>
      <x:c r="K128" s="34" t="str"/>
      <x:c r="L128" s="34" t="str"/>
      <x:c r="M128" s="34" t="str"/>
      <x:c r="N128" s="34" t="str"/>
      <x:c r="O128" s="34" t="str"/>
      <x:c r="P128" s="34" t="str"/>
      <x:c r="Q128" s="34" t="str"/>
      <x:c r="R128" s="34" t="str"/>
      <x:c r="S128" s="34" t="str"/>
      <x:c r="T128" s="34" t="str"/>
      <x:c r="U128" s="34" t="str"/>
      <x:c r="V128" s="34" t="str"/>
      <x:c r="W128" s="34" t="str"/>
      <x:c r="X128" s="34" t="str"/>
    </x:row>
    <x:row r="129">
      <x:c r="A129" s="34" t="str">
        <x:v>M5-EVT-0124</x:v>
      </x:c>
      <x:c r="B129" s="34" t="str"/>
      <x:c r="C129" s="34" t="str"/>
      <x:c r="D129" s="34" t="str"/>
      <x:c r="E129" s="34" t="str"/>
      <x:c r="F129" s="34" t="str"/>
      <x:c r="G129" s="34" t="str"/>
      <x:c r="H129" s="34" t="str"/>
      <x:c r="I129" s="34" t="str"/>
      <x:c r="J129" s="34" t="str"/>
      <x:c r="K129" s="34" t="str"/>
      <x:c r="L129" s="34" t="str"/>
      <x:c r="M129" s="34" t="str"/>
      <x:c r="N129" s="34" t="str"/>
      <x:c r="O129" s="34" t="str"/>
      <x:c r="P129" s="34" t="str"/>
      <x:c r="Q129" s="34" t="str"/>
      <x:c r="R129" s="34" t="str"/>
      <x:c r="S129" s="34" t="str"/>
      <x:c r="T129" s="34" t="str"/>
      <x:c r="U129" s="34" t="str"/>
      <x:c r="V129" s="34" t="str"/>
      <x:c r="W129" s="34" t="str"/>
      <x:c r="X129" s="34" t="str"/>
    </x:row>
    <x:row r="130">
      <x:c r="A130" s="34" t="str">
        <x:v>M5-EVT-0125</x:v>
      </x:c>
      <x:c r="B130" s="34" t="str"/>
      <x:c r="C130" s="34" t="str"/>
      <x:c r="D130" s="34" t="str"/>
      <x:c r="E130" s="34" t="str"/>
      <x:c r="F130" s="34" t="str"/>
      <x:c r="G130" s="34" t="str"/>
      <x:c r="H130" s="34" t="str"/>
      <x:c r="I130" s="34" t="str"/>
      <x:c r="J130" s="34" t="str"/>
      <x:c r="K130" s="34" t="str"/>
      <x:c r="L130" s="34" t="str"/>
      <x:c r="M130" s="34" t="str"/>
      <x:c r="N130" s="34" t="str"/>
      <x:c r="O130" s="34" t="str"/>
      <x:c r="P130" s="34" t="str"/>
      <x:c r="Q130" s="34" t="str"/>
      <x:c r="R130" s="34" t="str"/>
      <x:c r="S130" s="34" t="str"/>
      <x:c r="T130" s="34" t="str"/>
      <x:c r="U130" s="34" t="str"/>
      <x:c r="V130" s="34" t="str"/>
      <x:c r="W130" s="34" t="str"/>
      <x:c r="X130" s="34" t="str"/>
    </x:row>
    <x:row r="131">
      <x:c r="A131" s="34" t="str">
        <x:v>M5-EVT-0126</x:v>
      </x:c>
      <x:c r="B131" s="34" t="str"/>
      <x:c r="C131" s="34" t="str"/>
      <x:c r="D131" s="34" t="str"/>
      <x:c r="E131" s="34" t="str"/>
      <x:c r="F131" s="34" t="str"/>
      <x:c r="G131" s="34" t="str"/>
      <x:c r="H131" s="34" t="str"/>
      <x:c r="I131" s="34" t="str"/>
      <x:c r="J131" s="34" t="str"/>
      <x:c r="K131" s="34" t="str"/>
      <x:c r="L131" s="34" t="str"/>
      <x:c r="M131" s="34" t="str"/>
      <x:c r="N131" s="34" t="str"/>
      <x:c r="O131" s="34" t="str"/>
      <x:c r="P131" s="34" t="str"/>
      <x:c r="Q131" s="34" t="str"/>
      <x:c r="R131" s="34" t="str"/>
      <x:c r="S131" s="34" t="str"/>
      <x:c r="T131" s="34" t="str"/>
      <x:c r="U131" s="34" t="str"/>
      <x:c r="V131" s="34" t="str"/>
      <x:c r="W131" s="34" t="str"/>
      <x:c r="X131" s="34" t="str"/>
    </x:row>
    <x:row r="132">
      <x:c r="A132" s="34" t="str">
        <x:v>M5-EVT-0127</x:v>
      </x:c>
      <x:c r="B132" s="34" t="str"/>
      <x:c r="C132" s="34" t="str"/>
      <x:c r="D132" s="34" t="str"/>
      <x:c r="E132" s="34" t="str"/>
      <x:c r="F132" s="34" t="str"/>
      <x:c r="G132" s="34" t="str"/>
      <x:c r="H132" s="34" t="str"/>
      <x:c r="I132" s="34" t="str"/>
      <x:c r="J132" s="34" t="str"/>
      <x:c r="K132" s="34" t="str"/>
      <x:c r="L132" s="34" t="str"/>
      <x:c r="M132" s="34" t="str"/>
      <x:c r="N132" s="34" t="str"/>
      <x:c r="O132" s="34" t="str"/>
      <x:c r="P132" s="34" t="str"/>
      <x:c r="Q132" s="34" t="str"/>
      <x:c r="R132" s="34" t="str"/>
      <x:c r="S132" s="34" t="str"/>
      <x:c r="T132" s="34" t="str"/>
      <x:c r="U132" s="34" t="str"/>
      <x:c r="V132" s="34" t="str"/>
      <x:c r="W132" s="34" t="str"/>
      <x:c r="X132" s="34" t="str"/>
    </x:row>
    <x:row r="133">
      <x:c r="A133" s="34" t="str">
        <x:v>M5-EVT-0128</x:v>
      </x:c>
      <x:c r="B133" s="34" t="str"/>
      <x:c r="C133" s="34" t="str"/>
      <x:c r="D133" s="34" t="str"/>
      <x:c r="E133" s="34" t="str"/>
      <x:c r="F133" s="34" t="str"/>
      <x:c r="G133" s="34" t="str"/>
      <x:c r="H133" s="34" t="str"/>
      <x:c r="I133" s="34" t="str"/>
      <x:c r="J133" s="34" t="str"/>
      <x:c r="K133" s="34" t="str"/>
      <x:c r="L133" s="34" t="str"/>
      <x:c r="M133" s="34" t="str"/>
      <x:c r="N133" s="34" t="str"/>
      <x:c r="O133" s="34" t="str"/>
      <x:c r="P133" s="34" t="str"/>
      <x:c r="Q133" s="34" t="str"/>
      <x:c r="R133" s="34" t="str"/>
      <x:c r="S133" s="34" t="str"/>
      <x:c r="T133" s="34" t="str"/>
      <x:c r="U133" s="34" t="str"/>
      <x:c r="V133" s="34" t="str"/>
      <x:c r="W133" s="34" t="str"/>
      <x:c r="X133" s="34" t="str"/>
    </x:row>
    <x:row r="134">
      <x:c r="A134" s="34" t="str">
        <x:v>M5-EVT-0129</x:v>
      </x:c>
      <x:c r="B134" s="34" t="str"/>
      <x:c r="C134" s="34" t="str"/>
      <x:c r="D134" s="34" t="str"/>
      <x:c r="E134" s="34" t="str"/>
      <x:c r="F134" s="34" t="str"/>
      <x:c r="G134" s="34" t="str"/>
      <x:c r="H134" s="34" t="str"/>
      <x:c r="I134" s="34" t="str"/>
      <x:c r="J134" s="34" t="str"/>
      <x:c r="K134" s="34" t="str"/>
      <x:c r="L134" s="34" t="str"/>
      <x:c r="M134" s="34" t="str"/>
      <x:c r="N134" s="34" t="str"/>
      <x:c r="O134" s="34" t="str"/>
      <x:c r="P134" s="34" t="str"/>
      <x:c r="Q134" s="34" t="str"/>
      <x:c r="R134" s="34" t="str"/>
      <x:c r="S134" s="34" t="str"/>
      <x:c r="T134" s="34" t="str"/>
      <x:c r="U134" s="34" t="str"/>
      <x:c r="V134" s="34" t="str"/>
      <x:c r="W134" s="34" t="str"/>
      <x:c r="X134" s="34" t="str"/>
    </x:row>
    <x:row r="135">
      <x:c r="A135" s="34" t="str">
        <x:v>M5-EVT-0130</x:v>
      </x:c>
      <x:c r="B135" s="34" t="str"/>
      <x:c r="C135" s="34" t="str"/>
      <x:c r="D135" s="34" t="str"/>
      <x:c r="E135" s="34" t="str"/>
      <x:c r="F135" s="34" t="str"/>
      <x:c r="G135" s="34" t="str"/>
      <x:c r="H135" s="34" t="str"/>
      <x:c r="I135" s="34" t="str"/>
      <x:c r="J135" s="34" t="str"/>
      <x:c r="K135" s="34" t="str"/>
      <x:c r="L135" s="34" t="str"/>
      <x:c r="M135" s="34" t="str"/>
      <x:c r="N135" s="34" t="str"/>
      <x:c r="O135" s="34" t="str"/>
      <x:c r="P135" s="34" t="str"/>
      <x:c r="Q135" s="34" t="str"/>
      <x:c r="R135" s="34" t="str"/>
      <x:c r="S135" s="34" t="str"/>
      <x:c r="T135" s="34" t="str"/>
      <x:c r="U135" s="34" t="str"/>
      <x:c r="V135" s="34" t="str"/>
      <x:c r="W135" s="34" t="str"/>
      <x:c r="X135" s="34" t="str"/>
    </x:row>
    <x:row r="136">
      <x:c r="A136" s="34" t="str">
        <x:v>M5-EVT-0131</x:v>
      </x:c>
      <x:c r="B136" s="34" t="str"/>
      <x:c r="C136" s="34" t="str"/>
      <x:c r="D136" s="34" t="str"/>
      <x:c r="E136" s="34" t="str"/>
      <x:c r="F136" s="34" t="str"/>
      <x:c r="G136" s="34" t="str"/>
      <x:c r="H136" s="34" t="str"/>
      <x:c r="I136" s="34" t="str"/>
      <x:c r="J136" s="34" t="str"/>
      <x:c r="K136" s="34" t="str"/>
      <x:c r="L136" s="34" t="str"/>
      <x:c r="M136" s="34" t="str"/>
      <x:c r="N136" s="34" t="str"/>
      <x:c r="O136" s="34" t="str"/>
      <x:c r="P136" s="34" t="str"/>
      <x:c r="Q136" s="34" t="str"/>
      <x:c r="R136" s="34" t="str"/>
      <x:c r="S136" s="34" t="str"/>
      <x:c r="T136" s="34" t="str"/>
      <x:c r="U136" s="34" t="str"/>
      <x:c r="V136" s="34" t="str"/>
      <x:c r="W136" s="34" t="str"/>
      <x:c r="X136" s="34" t="str"/>
    </x:row>
    <x:row r="137">
      <x:c r="A137" s="34" t="str">
        <x:v>M5-EVT-0132</x:v>
      </x:c>
      <x:c r="B137" s="34" t="str"/>
      <x:c r="C137" s="34" t="str"/>
      <x:c r="D137" s="34" t="str"/>
      <x:c r="E137" s="34" t="str"/>
      <x:c r="F137" s="34" t="str"/>
      <x:c r="G137" s="34" t="str"/>
      <x:c r="H137" s="34" t="str"/>
      <x:c r="I137" s="34" t="str"/>
      <x:c r="J137" s="34" t="str"/>
      <x:c r="K137" s="34" t="str"/>
      <x:c r="L137" s="34" t="str"/>
      <x:c r="M137" s="34" t="str"/>
      <x:c r="N137" s="34" t="str"/>
      <x:c r="O137" s="34" t="str"/>
      <x:c r="P137" s="34" t="str"/>
      <x:c r="Q137" s="34" t="str"/>
      <x:c r="R137" s="34" t="str"/>
      <x:c r="S137" s="34" t="str"/>
      <x:c r="T137" s="34" t="str"/>
      <x:c r="U137" s="34" t="str"/>
      <x:c r="V137" s="34" t="str"/>
      <x:c r="W137" s="34" t="str"/>
      <x:c r="X137" s="34" t="str"/>
    </x:row>
    <x:row r="138">
      <x:c r="A138" s="34" t="str">
        <x:v>M5-EVT-0133</x:v>
      </x:c>
      <x:c r="B138" s="34" t="str"/>
      <x:c r="C138" s="34" t="str"/>
      <x:c r="D138" s="34" t="str"/>
      <x:c r="E138" s="34" t="str"/>
      <x:c r="F138" s="34" t="str"/>
      <x:c r="G138" s="34" t="str"/>
      <x:c r="H138" s="34" t="str"/>
      <x:c r="I138" s="34" t="str"/>
      <x:c r="J138" s="34" t="str"/>
      <x:c r="K138" s="34" t="str"/>
      <x:c r="L138" s="34" t="str"/>
      <x:c r="M138" s="34" t="str"/>
      <x:c r="N138" s="34" t="str"/>
      <x:c r="O138" s="34" t="str"/>
      <x:c r="P138" s="34" t="str"/>
      <x:c r="Q138" s="34" t="str"/>
      <x:c r="R138" s="34" t="str"/>
      <x:c r="S138" s="34" t="str"/>
      <x:c r="T138" s="34" t="str"/>
      <x:c r="U138" s="34" t="str"/>
      <x:c r="V138" s="34" t="str"/>
      <x:c r="W138" s="34" t="str"/>
      <x:c r="X138" s="34" t="str"/>
    </x:row>
    <x:row r="139">
      <x:c r="A139" s="34" t="str">
        <x:v>M5-EVT-0134</x:v>
      </x:c>
      <x:c r="B139" s="34" t="str"/>
      <x:c r="C139" s="34" t="str"/>
      <x:c r="D139" s="34" t="str"/>
      <x:c r="E139" s="34" t="str"/>
      <x:c r="F139" s="34" t="str"/>
      <x:c r="G139" s="34" t="str"/>
      <x:c r="H139" s="34" t="str"/>
      <x:c r="I139" s="34" t="str"/>
      <x:c r="J139" s="34" t="str"/>
      <x:c r="K139" s="34" t="str"/>
      <x:c r="L139" s="34" t="str"/>
      <x:c r="M139" s="34" t="str"/>
      <x:c r="N139" s="34" t="str"/>
      <x:c r="O139" s="34" t="str"/>
      <x:c r="P139" s="34" t="str"/>
      <x:c r="Q139" s="34" t="str"/>
      <x:c r="R139" s="34" t="str"/>
      <x:c r="S139" s="34" t="str"/>
      <x:c r="T139" s="34" t="str"/>
      <x:c r="U139" s="34" t="str"/>
      <x:c r="V139" s="34" t="str"/>
      <x:c r="W139" s="34" t="str"/>
      <x:c r="X139" s="34" t="str"/>
    </x:row>
    <x:row r="140">
      <x:c r="A140" s="34" t="str">
        <x:v>M5-EVT-0135</x:v>
      </x:c>
      <x:c r="B140" s="34" t="str"/>
      <x:c r="C140" s="34" t="str"/>
      <x:c r="D140" s="34" t="str"/>
      <x:c r="E140" s="34" t="str"/>
      <x:c r="F140" s="34" t="str"/>
      <x:c r="G140" s="34" t="str"/>
      <x:c r="H140" s="34" t="str"/>
      <x:c r="I140" s="34" t="str"/>
      <x:c r="J140" s="34" t="str"/>
      <x:c r="K140" s="34" t="str"/>
      <x:c r="L140" s="34" t="str"/>
      <x:c r="M140" s="34" t="str"/>
      <x:c r="N140" s="34" t="str"/>
      <x:c r="O140" s="34" t="str"/>
      <x:c r="P140" s="34" t="str"/>
      <x:c r="Q140" s="34" t="str"/>
      <x:c r="R140" s="34" t="str"/>
      <x:c r="S140" s="34" t="str"/>
      <x:c r="T140" s="34" t="str"/>
      <x:c r="U140" s="34" t="str"/>
      <x:c r="V140" s="34" t="str"/>
      <x:c r="W140" s="34" t="str"/>
      <x:c r="X140" s="34" t="str"/>
    </x:row>
    <x:row r="141">
      <x:c r="A141" s="34" t="str">
        <x:v>M5-EVT-0136</x:v>
      </x:c>
      <x:c r="B141" s="34" t="str"/>
      <x:c r="C141" s="34" t="str"/>
      <x:c r="D141" s="34" t="str"/>
      <x:c r="E141" s="34" t="str"/>
      <x:c r="F141" s="34" t="str"/>
      <x:c r="G141" s="34" t="str"/>
      <x:c r="H141" s="34" t="str"/>
      <x:c r="I141" s="34" t="str"/>
      <x:c r="J141" s="34" t="str"/>
      <x:c r="K141" s="34" t="str"/>
      <x:c r="L141" s="34" t="str"/>
      <x:c r="M141" s="34" t="str"/>
      <x:c r="N141" s="34" t="str"/>
      <x:c r="O141" s="34" t="str"/>
      <x:c r="P141" s="34" t="str"/>
      <x:c r="Q141" s="34" t="str"/>
      <x:c r="R141" s="34" t="str"/>
      <x:c r="S141" s="34" t="str"/>
      <x:c r="T141" s="34" t="str"/>
      <x:c r="U141" s="34" t="str"/>
      <x:c r="V141" s="34" t="str"/>
      <x:c r="W141" s="34" t="str"/>
      <x:c r="X141" s="34" t="str"/>
    </x:row>
    <x:row r="142">
      <x:c r="A142" s="34" t="str">
        <x:v>M5-EVT-0137</x:v>
      </x:c>
      <x:c r="B142" s="34" t="str"/>
      <x:c r="C142" s="34" t="str"/>
      <x:c r="D142" s="34" t="str"/>
      <x:c r="E142" s="34" t="str"/>
      <x:c r="F142" s="34" t="str"/>
      <x:c r="G142" s="34" t="str"/>
      <x:c r="H142" s="34" t="str"/>
      <x:c r="I142" s="34" t="str"/>
      <x:c r="J142" s="34" t="str"/>
      <x:c r="K142" s="34" t="str"/>
      <x:c r="L142" s="34" t="str"/>
      <x:c r="M142" s="34" t="str"/>
      <x:c r="N142" s="34" t="str"/>
      <x:c r="O142" s="34" t="str"/>
      <x:c r="P142" s="34" t="str"/>
      <x:c r="Q142" s="34" t="str"/>
      <x:c r="R142" s="34" t="str"/>
      <x:c r="S142" s="34" t="str"/>
      <x:c r="T142" s="34" t="str"/>
      <x:c r="U142" s="34" t="str"/>
      <x:c r="V142" s="34" t="str"/>
      <x:c r="W142" s="34" t="str"/>
      <x:c r="X142" s="34" t="str"/>
    </x:row>
    <x:row r="143">
      <x:c r="A143" s="34" t="str">
        <x:v>M5-EVT-0138</x:v>
      </x:c>
      <x:c r="B143" s="34" t="str"/>
      <x:c r="C143" s="34" t="str"/>
      <x:c r="D143" s="34" t="str"/>
      <x:c r="E143" s="34" t="str"/>
      <x:c r="F143" s="34" t="str"/>
      <x:c r="G143" s="34" t="str"/>
      <x:c r="H143" s="34" t="str"/>
      <x:c r="I143" s="34" t="str"/>
      <x:c r="J143" s="34" t="str"/>
      <x:c r="K143" s="34" t="str"/>
      <x:c r="L143" s="34" t="str"/>
      <x:c r="M143" s="34" t="str"/>
      <x:c r="N143" s="34" t="str"/>
      <x:c r="O143" s="34" t="str"/>
      <x:c r="P143" s="34" t="str"/>
      <x:c r="Q143" s="34" t="str"/>
      <x:c r="R143" s="34" t="str"/>
      <x:c r="S143" s="34" t="str"/>
      <x:c r="T143" s="34" t="str"/>
      <x:c r="U143" s="34" t="str"/>
      <x:c r="V143" s="34" t="str"/>
      <x:c r="W143" s="34" t="str"/>
      <x:c r="X143" s="34" t="str"/>
    </x:row>
    <x:row r="144">
      <x:c r="A144" s="34" t="str">
        <x:v>M5-EVT-0139</x:v>
      </x:c>
      <x:c r="B144" s="34" t="str"/>
      <x:c r="C144" s="34" t="str"/>
      <x:c r="D144" s="34" t="str"/>
      <x:c r="E144" s="34" t="str"/>
      <x:c r="F144" s="34" t="str"/>
      <x:c r="G144" s="34" t="str"/>
      <x:c r="H144" s="34" t="str"/>
      <x:c r="I144" s="34" t="str"/>
      <x:c r="J144" s="34" t="str"/>
      <x:c r="K144" s="34" t="str"/>
      <x:c r="L144" s="34" t="str"/>
      <x:c r="M144" s="34" t="str"/>
      <x:c r="N144" s="34" t="str"/>
      <x:c r="O144" s="34" t="str"/>
      <x:c r="P144" s="34" t="str"/>
      <x:c r="Q144" s="34" t="str"/>
      <x:c r="R144" s="34" t="str"/>
      <x:c r="S144" s="34" t="str"/>
      <x:c r="T144" s="34" t="str"/>
      <x:c r="U144" s="34" t="str"/>
      <x:c r="V144" s="34" t="str"/>
      <x:c r="W144" s="34" t="str"/>
      <x:c r="X144" s="34" t="str"/>
    </x:row>
    <x:row r="145">
      <x:c r="A145" s="34" t="str">
        <x:v>M5-EVT-0140</x:v>
      </x:c>
      <x:c r="B145" s="34" t="str"/>
      <x:c r="C145" s="34" t="str"/>
      <x:c r="D145" s="34" t="str"/>
      <x:c r="E145" s="34" t="str"/>
      <x:c r="F145" s="34" t="str"/>
      <x:c r="G145" s="34" t="str"/>
      <x:c r="H145" s="34" t="str"/>
      <x:c r="I145" s="34" t="str"/>
      <x:c r="J145" s="34" t="str"/>
      <x:c r="K145" s="34" t="str"/>
      <x:c r="L145" s="34" t="str"/>
      <x:c r="M145" s="34" t="str"/>
      <x:c r="N145" s="34" t="str"/>
      <x:c r="O145" s="34" t="str"/>
      <x:c r="P145" s="34" t="str"/>
      <x:c r="Q145" s="34" t="str"/>
      <x:c r="R145" s="34" t="str"/>
      <x:c r="S145" s="34" t="str"/>
      <x:c r="T145" s="34" t="str"/>
      <x:c r="U145" s="34" t="str"/>
      <x:c r="V145" s="34" t="str"/>
      <x:c r="W145" s="34" t="str"/>
      <x:c r="X145" s="34" t="str"/>
    </x:row>
    <x:row r="146">
      <x:c r="A146" s="34" t="str">
        <x:v>M5-EVT-0141</x:v>
      </x:c>
      <x:c r="B146" s="34" t="str"/>
      <x:c r="C146" s="34" t="str"/>
      <x:c r="D146" s="34" t="str"/>
      <x:c r="E146" s="34" t="str"/>
      <x:c r="F146" s="34" t="str"/>
      <x:c r="G146" s="34" t="str"/>
      <x:c r="H146" s="34" t="str"/>
      <x:c r="I146" s="34" t="str"/>
      <x:c r="J146" s="34" t="str"/>
      <x:c r="K146" s="34" t="str"/>
      <x:c r="L146" s="34" t="str"/>
      <x:c r="M146" s="34" t="str"/>
      <x:c r="N146" s="34" t="str"/>
      <x:c r="O146" s="34" t="str"/>
      <x:c r="P146" s="34" t="str"/>
      <x:c r="Q146" s="34" t="str"/>
      <x:c r="R146" s="34" t="str"/>
      <x:c r="S146" s="34" t="str"/>
      <x:c r="T146" s="34" t="str"/>
      <x:c r="U146" s="34" t="str"/>
      <x:c r="V146" s="34" t="str"/>
      <x:c r="W146" s="34" t="str"/>
      <x:c r="X146" s="34" t="str"/>
    </x:row>
    <x:row r="147">
      <x:c r="A147" s="34" t="str">
        <x:v>M5-EVT-0142</x:v>
      </x:c>
      <x:c r="B147" s="34" t="str"/>
      <x:c r="C147" s="34" t="str"/>
      <x:c r="D147" s="34" t="str"/>
      <x:c r="E147" s="34" t="str"/>
      <x:c r="F147" s="34" t="str"/>
      <x:c r="G147" s="34" t="str"/>
      <x:c r="H147" s="34" t="str"/>
      <x:c r="I147" s="34" t="str"/>
      <x:c r="J147" s="34" t="str"/>
      <x:c r="K147" s="34" t="str"/>
      <x:c r="L147" s="34" t="str"/>
      <x:c r="M147" s="34" t="str"/>
      <x:c r="N147" s="34" t="str"/>
      <x:c r="O147" s="34" t="str"/>
      <x:c r="P147" s="34" t="str"/>
      <x:c r="Q147" s="34" t="str"/>
      <x:c r="R147" s="34" t="str"/>
      <x:c r="S147" s="34" t="str"/>
      <x:c r="T147" s="34" t="str"/>
      <x:c r="U147" s="34" t="str"/>
      <x:c r="V147" s="34" t="str"/>
      <x:c r="W147" s="34" t="str"/>
      <x:c r="X147" s="34" t="str"/>
    </x:row>
    <x:row r="148">
      <x:c r="A148" s="34" t="str">
        <x:v>M5-EVT-0143</x:v>
      </x:c>
      <x:c r="B148" s="34" t="str"/>
      <x:c r="C148" s="34" t="str"/>
      <x:c r="D148" s="34" t="str"/>
      <x:c r="E148" s="34" t="str"/>
      <x:c r="F148" s="34" t="str"/>
      <x:c r="G148" s="34" t="str"/>
      <x:c r="H148" s="34" t="str"/>
      <x:c r="I148" s="34" t="str"/>
      <x:c r="J148" s="34" t="str"/>
      <x:c r="K148" s="34" t="str"/>
      <x:c r="L148" s="34" t="str"/>
      <x:c r="M148" s="34" t="str"/>
      <x:c r="N148" s="34" t="str"/>
      <x:c r="O148" s="34" t="str"/>
      <x:c r="P148" s="34" t="str"/>
      <x:c r="Q148" s="34" t="str"/>
      <x:c r="R148" s="34" t="str"/>
      <x:c r="S148" s="34" t="str"/>
      <x:c r="T148" s="34" t="str"/>
      <x:c r="U148" s="34" t="str"/>
      <x:c r="V148" s="34" t="str"/>
      <x:c r="W148" s="34" t="str"/>
      <x:c r="X148" s="34" t="str"/>
    </x:row>
    <x:row r="149">
      <x:c r="A149" s="34" t="str">
        <x:v>M5-EVT-0144</x:v>
      </x:c>
      <x:c r="B149" s="34" t="str"/>
      <x:c r="C149" s="34" t="str"/>
      <x:c r="D149" s="34" t="str"/>
      <x:c r="E149" s="34" t="str"/>
      <x:c r="F149" s="34" t="str"/>
      <x:c r="G149" s="34" t="str"/>
      <x:c r="H149" s="34" t="str"/>
      <x:c r="I149" s="34" t="str"/>
      <x:c r="J149" s="34" t="str"/>
      <x:c r="K149" s="34" t="str"/>
      <x:c r="L149" s="34" t="str"/>
      <x:c r="M149" s="34" t="str"/>
      <x:c r="N149" s="34" t="str"/>
      <x:c r="O149" s="34" t="str"/>
      <x:c r="P149" s="34" t="str"/>
      <x:c r="Q149" s="34" t="str"/>
      <x:c r="R149" s="34" t="str"/>
      <x:c r="S149" s="34" t="str"/>
      <x:c r="T149" s="34" t="str"/>
      <x:c r="U149" s="34" t="str"/>
      <x:c r="V149" s="34" t="str"/>
      <x:c r="W149" s="34" t="str"/>
      <x:c r="X149" s="34" t="str"/>
    </x:row>
    <x:row r="150">
      <x:c r="A150" s="34" t="str">
        <x:v>M5-EVT-0145</x:v>
      </x:c>
      <x:c r="B150" s="34" t="str"/>
      <x:c r="C150" s="34" t="str"/>
      <x:c r="D150" s="34" t="str"/>
      <x:c r="E150" s="34" t="str"/>
      <x:c r="F150" s="34" t="str"/>
      <x:c r="G150" s="34" t="str"/>
      <x:c r="H150" s="34" t="str"/>
      <x:c r="I150" s="34" t="str"/>
      <x:c r="J150" s="34" t="str"/>
      <x:c r="K150" s="34" t="str"/>
      <x:c r="L150" s="34" t="str"/>
      <x:c r="M150" s="34" t="str"/>
      <x:c r="N150" s="34" t="str"/>
      <x:c r="O150" s="34" t="str"/>
      <x:c r="P150" s="34" t="str"/>
      <x:c r="Q150" s="34" t="str"/>
      <x:c r="R150" s="34" t="str"/>
      <x:c r="S150" s="34" t="str"/>
      <x:c r="T150" s="34" t="str"/>
      <x:c r="U150" s="34" t="str"/>
      <x:c r="V150" s="34" t="str"/>
      <x:c r="W150" s="34" t="str"/>
      <x:c r="X150" s="34" t="str"/>
    </x:row>
    <x:row r="151">
      <x:c r="A151" s="34" t="str">
        <x:v>M5-EVT-0146</x:v>
      </x:c>
      <x:c r="B151" s="34" t="str"/>
      <x:c r="C151" s="34" t="str"/>
      <x:c r="D151" s="34" t="str"/>
      <x:c r="E151" s="34" t="str"/>
      <x:c r="F151" s="34" t="str"/>
      <x:c r="G151" s="34" t="str"/>
      <x:c r="H151" s="34" t="str"/>
      <x:c r="I151" s="34" t="str"/>
      <x:c r="J151" s="34" t="str"/>
      <x:c r="K151" s="34" t="str"/>
      <x:c r="L151" s="34" t="str"/>
      <x:c r="M151" s="34" t="str"/>
      <x:c r="N151" s="34" t="str"/>
      <x:c r="O151" s="34" t="str"/>
      <x:c r="P151" s="34" t="str"/>
      <x:c r="Q151" s="34" t="str"/>
      <x:c r="R151" s="34" t="str"/>
      <x:c r="S151" s="34" t="str"/>
      <x:c r="T151" s="34" t="str"/>
      <x:c r="U151" s="34" t="str"/>
      <x:c r="V151" s="34" t="str"/>
      <x:c r="W151" s="34" t="str"/>
      <x:c r="X151" s="34" t="str"/>
    </x:row>
    <x:row r="152">
      <x:c r="A152" s="34" t="str">
        <x:v>M5-EVT-0147</x:v>
      </x:c>
      <x:c r="B152" s="34" t="str"/>
      <x:c r="C152" s="34" t="str"/>
      <x:c r="D152" s="34" t="str"/>
      <x:c r="E152" s="34" t="str"/>
      <x:c r="F152" s="34" t="str"/>
      <x:c r="G152" s="34" t="str"/>
      <x:c r="H152" s="34" t="str"/>
      <x:c r="I152" s="34" t="str"/>
      <x:c r="J152" s="34" t="str"/>
      <x:c r="K152" s="34" t="str"/>
      <x:c r="L152" s="34" t="str"/>
      <x:c r="M152" s="34" t="str"/>
      <x:c r="N152" s="34" t="str"/>
      <x:c r="O152" s="34" t="str"/>
      <x:c r="P152" s="34" t="str"/>
      <x:c r="Q152" s="34" t="str"/>
      <x:c r="R152" s="34" t="str"/>
      <x:c r="S152" s="34" t="str"/>
      <x:c r="T152" s="34" t="str"/>
      <x:c r="U152" s="34" t="str"/>
      <x:c r="V152" s="34" t="str"/>
      <x:c r="W152" s="34" t="str"/>
      <x:c r="X152" s="34" t="str"/>
    </x:row>
    <x:row r="153">
      <x:c r="A153" s="34" t="str">
        <x:v>M5-EVT-0148</x:v>
      </x:c>
      <x:c r="B153" s="34" t="str"/>
      <x:c r="C153" s="34" t="str"/>
      <x:c r="D153" s="34" t="str"/>
      <x:c r="E153" s="34" t="str"/>
      <x:c r="F153" s="34" t="str"/>
      <x:c r="G153" s="34" t="str"/>
      <x:c r="H153" s="34" t="str"/>
      <x:c r="I153" s="34" t="str"/>
      <x:c r="J153" s="34" t="str"/>
      <x:c r="K153" s="34" t="str"/>
      <x:c r="L153" s="34" t="str"/>
      <x:c r="M153" s="34" t="str"/>
      <x:c r="N153" s="34" t="str"/>
      <x:c r="O153" s="34" t="str"/>
      <x:c r="P153" s="34" t="str"/>
      <x:c r="Q153" s="34" t="str"/>
      <x:c r="R153" s="34" t="str"/>
      <x:c r="S153" s="34" t="str"/>
      <x:c r="T153" s="34" t="str"/>
      <x:c r="U153" s="34" t="str"/>
      <x:c r="V153" s="34" t="str"/>
      <x:c r="W153" s="34" t="str"/>
      <x:c r="X153" s="34" t="str"/>
    </x:row>
    <x:row r="154">
      <x:c r="A154" s="34" t="str">
        <x:v>M5-EVT-0149</x:v>
      </x:c>
      <x:c r="B154" s="34" t="str"/>
      <x:c r="C154" s="34" t="str"/>
      <x:c r="D154" s="34" t="str"/>
      <x:c r="E154" s="34" t="str"/>
      <x:c r="F154" s="34" t="str"/>
      <x:c r="G154" s="34" t="str"/>
      <x:c r="H154" s="34" t="str"/>
      <x:c r="I154" s="34" t="str"/>
      <x:c r="J154" s="34" t="str"/>
      <x:c r="K154" s="34" t="str"/>
      <x:c r="L154" s="34" t="str"/>
      <x:c r="M154" s="34" t="str"/>
      <x:c r="N154" s="34" t="str"/>
      <x:c r="O154" s="34" t="str"/>
      <x:c r="P154" s="34" t="str"/>
      <x:c r="Q154" s="34" t="str"/>
      <x:c r="R154" s="34" t="str"/>
      <x:c r="S154" s="34" t="str"/>
      <x:c r="T154" s="34" t="str"/>
      <x:c r="U154" s="34" t="str"/>
      <x:c r="V154" s="34" t="str"/>
      <x:c r="W154" s="34" t="str"/>
      <x:c r="X154" s="34" t="str"/>
    </x:row>
    <x:row r="155">
      <x:c r="A155" s="34" t="str">
        <x:v>M5-EVT-0150</x:v>
      </x:c>
      <x:c r="B155" s="34" t="str"/>
      <x:c r="C155" s="34" t="str"/>
      <x:c r="D155" s="34" t="str"/>
      <x:c r="E155" s="34" t="str"/>
      <x:c r="F155" s="34" t="str"/>
      <x:c r="G155" s="34" t="str"/>
      <x:c r="H155" s="34" t="str"/>
      <x:c r="I155" s="34" t="str"/>
      <x:c r="J155" s="34" t="str"/>
      <x:c r="K155" s="34" t="str"/>
      <x:c r="L155" s="34" t="str"/>
      <x:c r="M155" s="34" t="str"/>
      <x:c r="N155" s="34" t="str"/>
      <x:c r="O155" s="34" t="str"/>
      <x:c r="P155" s="34" t="str"/>
      <x:c r="Q155" s="34" t="str"/>
      <x:c r="R155" s="34" t="str"/>
      <x:c r="S155" s="34" t="str"/>
      <x:c r="T155" s="34" t="str"/>
      <x:c r="U155" s="34" t="str"/>
      <x:c r="V155" s="34" t="str"/>
      <x:c r="W155" s="34" t="str"/>
      <x:c r="X155" s="34" t="str"/>
    </x:row>
    <x:row r="156">
      <x:c r="A156" s="34" t="str">
        <x:v>M5-EVT-0151</x:v>
      </x:c>
      <x:c r="B156" s="34" t="str"/>
      <x:c r="C156" s="34" t="str"/>
      <x:c r="D156" s="34" t="str"/>
      <x:c r="E156" s="34" t="str"/>
      <x:c r="F156" s="34" t="str"/>
      <x:c r="G156" s="34" t="str"/>
      <x:c r="H156" s="34" t="str"/>
      <x:c r="I156" s="34" t="str"/>
      <x:c r="J156" s="34" t="str"/>
      <x:c r="K156" s="34" t="str"/>
      <x:c r="L156" s="34" t="str"/>
      <x:c r="M156" s="34" t="str"/>
      <x:c r="N156" s="34" t="str"/>
      <x:c r="O156" s="34" t="str"/>
      <x:c r="P156" s="34" t="str"/>
      <x:c r="Q156" s="34" t="str"/>
      <x:c r="R156" s="34" t="str"/>
      <x:c r="S156" s="34" t="str"/>
      <x:c r="T156" s="34" t="str"/>
      <x:c r="U156" s="34" t="str"/>
      <x:c r="V156" s="34" t="str"/>
      <x:c r="W156" s="34" t="str"/>
      <x:c r="X156" s="34" t="str"/>
    </x:row>
    <x:row r="157">
      <x:c r="A157" s="34" t="str">
        <x:v>M5-EVT-0152</x:v>
      </x:c>
      <x:c r="B157" s="34" t="str"/>
      <x:c r="C157" s="34" t="str"/>
      <x:c r="D157" s="34" t="str"/>
      <x:c r="E157" s="34" t="str"/>
      <x:c r="F157" s="34" t="str"/>
      <x:c r="G157" s="34" t="str"/>
      <x:c r="H157" s="34" t="str"/>
      <x:c r="I157" s="34" t="str"/>
      <x:c r="J157" s="34" t="str"/>
      <x:c r="K157" s="34" t="str"/>
      <x:c r="L157" s="34" t="str"/>
      <x:c r="M157" s="34" t="str"/>
      <x:c r="N157" s="34" t="str"/>
      <x:c r="O157" s="34" t="str"/>
      <x:c r="P157" s="34" t="str"/>
      <x:c r="Q157" s="34" t="str"/>
      <x:c r="R157" s="34" t="str"/>
      <x:c r="S157" s="34" t="str"/>
      <x:c r="T157" s="34" t="str"/>
      <x:c r="U157" s="34" t="str"/>
      <x:c r="V157" s="34" t="str"/>
      <x:c r="W157" s="34" t="str"/>
      <x:c r="X157" s="34" t="str"/>
    </x:row>
    <x:row r="158">
      <x:c r="A158" s="34" t="str">
        <x:v>M5-EVT-0153</x:v>
      </x:c>
      <x:c r="B158" s="34" t="str"/>
      <x:c r="C158" s="34" t="str"/>
      <x:c r="D158" s="34" t="str"/>
      <x:c r="E158" s="34" t="str"/>
      <x:c r="F158" s="34" t="str"/>
      <x:c r="G158" s="34" t="str"/>
      <x:c r="H158" s="34" t="str"/>
      <x:c r="I158" s="34" t="str"/>
      <x:c r="J158" s="34" t="str"/>
      <x:c r="K158" s="34" t="str"/>
      <x:c r="L158" s="34" t="str"/>
      <x:c r="M158" s="34" t="str"/>
      <x:c r="N158" s="34" t="str"/>
      <x:c r="O158" s="34" t="str"/>
      <x:c r="P158" s="34" t="str"/>
      <x:c r="Q158" s="34" t="str"/>
      <x:c r="R158" s="34" t="str"/>
      <x:c r="S158" s="34" t="str"/>
      <x:c r="T158" s="34" t="str"/>
      <x:c r="U158" s="34" t="str"/>
      <x:c r="V158" s="34" t="str"/>
      <x:c r="W158" s="34" t="str"/>
      <x:c r="X158" s="34" t="str"/>
    </x:row>
    <x:row r="159">
      <x:c r="A159" s="34" t="str">
        <x:v>M5-EVT-0154</x:v>
      </x:c>
      <x:c r="B159" s="34" t="str"/>
      <x:c r="C159" s="34" t="str"/>
      <x:c r="D159" s="34" t="str"/>
      <x:c r="E159" s="34" t="str"/>
      <x:c r="F159" s="34" t="str"/>
      <x:c r="G159" s="34" t="str"/>
      <x:c r="H159" s="34" t="str"/>
      <x:c r="I159" s="34" t="str"/>
      <x:c r="J159" s="34" t="str"/>
      <x:c r="K159" s="34" t="str"/>
      <x:c r="L159" s="34" t="str"/>
      <x:c r="M159" s="34" t="str"/>
      <x:c r="N159" s="34" t="str"/>
      <x:c r="O159" s="34" t="str"/>
      <x:c r="P159" s="34" t="str"/>
      <x:c r="Q159" s="34" t="str"/>
      <x:c r="R159" s="34" t="str"/>
      <x:c r="S159" s="34" t="str"/>
      <x:c r="T159" s="34" t="str"/>
      <x:c r="U159" s="34" t="str"/>
      <x:c r="V159" s="34" t="str"/>
      <x:c r="W159" s="34" t="str"/>
      <x:c r="X159" s="34" t="str"/>
    </x:row>
    <x:row r="160">
      <x:c r="A160" s="34" t="str">
        <x:v>M5-EVT-0155</x:v>
      </x:c>
      <x:c r="B160" s="34" t="str"/>
      <x:c r="C160" s="34" t="str"/>
      <x:c r="D160" s="34" t="str"/>
      <x:c r="E160" s="34" t="str"/>
      <x:c r="F160" s="34" t="str"/>
      <x:c r="G160" s="34" t="str"/>
      <x:c r="H160" s="34" t="str"/>
      <x:c r="I160" s="34" t="str"/>
      <x:c r="J160" s="34" t="str"/>
      <x:c r="K160" s="34" t="str"/>
      <x:c r="L160" s="34" t="str"/>
      <x:c r="M160" s="34" t="str"/>
      <x:c r="N160" s="34" t="str"/>
      <x:c r="O160" s="34" t="str"/>
      <x:c r="P160" s="34" t="str"/>
      <x:c r="Q160" s="34" t="str"/>
      <x:c r="R160" s="34" t="str"/>
      <x:c r="S160" s="34" t="str"/>
      <x:c r="T160" s="34" t="str"/>
      <x:c r="U160" s="34" t="str"/>
      <x:c r="V160" s="34" t="str"/>
      <x:c r="W160" s="34" t="str"/>
      <x:c r="X160" s="34" t="str"/>
    </x:row>
    <x:row r="161">
      <x:c r="A161" s="34" t="str">
        <x:v>M5-EVT-0156</x:v>
      </x:c>
      <x:c r="B161" s="34" t="str"/>
      <x:c r="C161" s="34" t="str"/>
      <x:c r="D161" s="34" t="str"/>
      <x:c r="E161" s="34" t="str"/>
      <x:c r="F161" s="34" t="str"/>
      <x:c r="G161" s="34" t="str"/>
      <x:c r="H161" s="34" t="str"/>
      <x:c r="I161" s="34" t="str"/>
      <x:c r="J161" s="34" t="str"/>
      <x:c r="K161" s="34" t="str"/>
      <x:c r="L161" s="34" t="str"/>
      <x:c r="M161" s="34" t="str"/>
      <x:c r="N161" s="34" t="str"/>
      <x:c r="O161" s="34" t="str"/>
      <x:c r="P161" s="34" t="str"/>
      <x:c r="Q161" s="34" t="str"/>
      <x:c r="R161" s="34" t="str"/>
      <x:c r="S161" s="34" t="str"/>
      <x:c r="T161" s="34" t="str"/>
      <x:c r="U161" s="34" t="str"/>
      <x:c r="V161" s="34" t="str"/>
      <x:c r="W161" s="34" t="str"/>
      <x:c r="X161" s="34" t="str"/>
    </x:row>
    <x:row r="162">
      <x:c r="A162" s="34" t="str">
        <x:v>M5-EVT-0157</x:v>
      </x:c>
      <x:c r="B162" s="34" t="str"/>
      <x:c r="C162" s="34" t="str"/>
      <x:c r="D162" s="34" t="str"/>
      <x:c r="E162" s="34" t="str"/>
      <x:c r="F162" s="34" t="str"/>
      <x:c r="G162" s="34" t="str"/>
      <x:c r="H162" s="34" t="str"/>
      <x:c r="I162" s="34" t="str"/>
      <x:c r="J162" s="34" t="str"/>
      <x:c r="K162" s="34" t="str"/>
      <x:c r="L162" s="34" t="str"/>
      <x:c r="M162" s="34" t="str"/>
      <x:c r="N162" s="34" t="str"/>
      <x:c r="O162" s="34" t="str"/>
      <x:c r="P162" s="34" t="str"/>
      <x:c r="Q162" s="34" t="str"/>
      <x:c r="R162" s="34" t="str"/>
      <x:c r="S162" s="34" t="str"/>
      <x:c r="T162" s="34" t="str"/>
      <x:c r="U162" s="34" t="str"/>
      <x:c r="V162" s="34" t="str"/>
      <x:c r="W162" s="34" t="str"/>
      <x:c r="X162" s="34" t="str"/>
    </x:row>
    <x:row r="163">
      <x:c r="A163" s="34" t="str">
        <x:v>M5-EVT-0158</x:v>
      </x:c>
      <x:c r="B163" s="34" t="str"/>
      <x:c r="C163" s="34" t="str"/>
      <x:c r="D163" s="34" t="str"/>
      <x:c r="E163" s="34" t="str"/>
      <x:c r="F163" s="34" t="str"/>
      <x:c r="G163" s="34" t="str"/>
      <x:c r="H163" s="34" t="str"/>
      <x:c r="I163" s="34" t="str"/>
      <x:c r="J163" s="34" t="str"/>
      <x:c r="K163" s="34" t="str"/>
      <x:c r="L163" s="34" t="str"/>
      <x:c r="M163" s="34" t="str"/>
      <x:c r="N163" s="34" t="str"/>
      <x:c r="O163" s="34" t="str"/>
      <x:c r="P163" s="34" t="str"/>
      <x:c r="Q163" s="34" t="str"/>
      <x:c r="R163" s="34" t="str"/>
      <x:c r="S163" s="34" t="str"/>
      <x:c r="T163" s="34" t="str"/>
      <x:c r="U163" s="34" t="str"/>
      <x:c r="V163" s="34" t="str"/>
      <x:c r="W163" s="34" t="str"/>
      <x:c r="X163" s="34" t="str"/>
    </x:row>
    <x:row r="164">
      <x:c r="A164" s="34" t="str">
        <x:v>M5-EVT-0159</x:v>
      </x:c>
      <x:c r="B164" s="34" t="str"/>
      <x:c r="C164" s="34" t="str"/>
      <x:c r="D164" s="34" t="str"/>
      <x:c r="E164" s="34" t="str"/>
      <x:c r="F164" s="34" t="str"/>
      <x:c r="G164" s="34" t="str"/>
      <x:c r="H164" s="34" t="str"/>
      <x:c r="I164" s="34" t="str"/>
      <x:c r="J164" s="34" t="str"/>
      <x:c r="K164" s="34" t="str"/>
      <x:c r="L164" s="34" t="str"/>
      <x:c r="M164" s="34" t="str"/>
      <x:c r="N164" s="34" t="str"/>
      <x:c r="O164" s="34" t="str"/>
      <x:c r="P164" s="34" t="str"/>
      <x:c r="Q164" s="34" t="str"/>
      <x:c r="R164" s="34" t="str"/>
      <x:c r="S164" s="34" t="str"/>
      <x:c r="T164" s="34" t="str"/>
      <x:c r="U164" s="34" t="str"/>
      <x:c r="V164" s="34" t="str"/>
      <x:c r="W164" s="34" t="str"/>
      <x:c r="X164" s="34" t="str"/>
    </x:row>
    <x:row r="165">
      <x:c r="A165" s="34" t="str">
        <x:v>M5-EVT-0160</x:v>
      </x:c>
      <x:c r="B165" s="34" t="str"/>
      <x:c r="C165" s="34" t="str"/>
      <x:c r="D165" s="34" t="str"/>
      <x:c r="E165" s="34" t="str"/>
      <x:c r="F165" s="34" t="str"/>
      <x:c r="G165" s="34" t="str"/>
      <x:c r="H165" s="34" t="str"/>
      <x:c r="I165" s="34" t="str"/>
      <x:c r="J165" s="34" t="str"/>
      <x:c r="K165" s="34" t="str"/>
      <x:c r="L165" s="34" t="str"/>
      <x:c r="M165" s="34" t="str"/>
      <x:c r="N165" s="34" t="str"/>
      <x:c r="O165" s="34" t="str"/>
      <x:c r="P165" s="34" t="str"/>
      <x:c r="Q165" s="34" t="str"/>
      <x:c r="R165" s="34" t="str"/>
      <x:c r="S165" s="34" t="str"/>
      <x:c r="T165" s="34" t="str"/>
      <x:c r="U165" s="34" t="str"/>
      <x:c r="V165" s="34" t="str"/>
      <x:c r="W165" s="34" t="str"/>
      <x:c r="X165" s="34" t="str"/>
    </x:row>
    <x:row r="166">
      <x:c r="A166" s="34" t="str">
        <x:v>M5-EVT-0161</x:v>
      </x:c>
      <x:c r="B166" s="34" t="str"/>
      <x:c r="C166" s="34" t="str"/>
      <x:c r="D166" s="34" t="str"/>
      <x:c r="E166" s="34" t="str"/>
      <x:c r="F166" s="34" t="str"/>
      <x:c r="G166" s="34" t="str"/>
      <x:c r="H166" s="34" t="str"/>
      <x:c r="I166" s="34" t="str"/>
      <x:c r="J166" s="34" t="str"/>
      <x:c r="K166" s="34" t="str"/>
      <x:c r="L166" s="34" t="str"/>
      <x:c r="M166" s="34" t="str"/>
      <x:c r="N166" s="34" t="str"/>
      <x:c r="O166" s="34" t="str"/>
      <x:c r="P166" s="34" t="str"/>
      <x:c r="Q166" s="34" t="str"/>
      <x:c r="R166" s="34" t="str"/>
      <x:c r="S166" s="34" t="str"/>
      <x:c r="T166" s="34" t="str"/>
      <x:c r="U166" s="34" t="str"/>
      <x:c r="V166" s="34" t="str"/>
      <x:c r="W166" s="34" t="str"/>
      <x:c r="X166" s="34" t="str"/>
    </x:row>
    <x:row r="167">
      <x:c r="A167" s="34" t="str">
        <x:v>M5-EVT-0162</x:v>
      </x:c>
      <x:c r="B167" s="34" t="str"/>
      <x:c r="C167" s="34" t="str"/>
      <x:c r="D167" s="34" t="str"/>
      <x:c r="E167" s="34" t="str"/>
      <x:c r="F167" s="34" t="str"/>
      <x:c r="G167" s="34" t="str"/>
      <x:c r="H167" s="34" t="str"/>
      <x:c r="I167" s="34" t="str"/>
      <x:c r="J167" s="34" t="str"/>
      <x:c r="K167" s="34" t="str"/>
      <x:c r="L167" s="34" t="str"/>
      <x:c r="M167" s="34" t="str"/>
      <x:c r="N167" s="34" t="str"/>
      <x:c r="O167" s="34" t="str"/>
      <x:c r="P167" s="34" t="str"/>
      <x:c r="Q167" s="34" t="str"/>
      <x:c r="R167" s="34" t="str"/>
      <x:c r="S167" s="34" t="str"/>
      <x:c r="T167" s="34" t="str"/>
      <x:c r="U167" s="34" t="str"/>
      <x:c r="V167" s="34" t="str"/>
      <x:c r="W167" s="34" t="str"/>
      <x:c r="X167" s="34" t="str"/>
    </x:row>
    <x:row r="168">
      <x:c r="A168" s="34" t="str">
        <x:v>M5-EVT-0163</x:v>
      </x:c>
      <x:c r="B168" s="34" t="str"/>
      <x:c r="C168" s="34" t="str"/>
      <x:c r="D168" s="34" t="str"/>
      <x:c r="E168" s="34" t="str"/>
      <x:c r="F168" s="34" t="str"/>
      <x:c r="G168" s="34" t="str"/>
      <x:c r="H168" s="34" t="str"/>
      <x:c r="I168" s="34" t="str"/>
      <x:c r="J168" s="34" t="str"/>
      <x:c r="K168" s="34" t="str"/>
      <x:c r="L168" s="34" t="str"/>
      <x:c r="M168" s="34" t="str"/>
      <x:c r="N168" s="34" t="str"/>
      <x:c r="O168" s="34" t="str"/>
      <x:c r="P168" s="34" t="str"/>
      <x:c r="Q168" s="34" t="str"/>
      <x:c r="R168" s="34" t="str"/>
      <x:c r="S168" s="34" t="str"/>
      <x:c r="T168" s="34" t="str"/>
      <x:c r="U168" s="34" t="str"/>
      <x:c r="V168" s="34" t="str"/>
      <x:c r="W168" s="34" t="str"/>
      <x:c r="X168" s="34" t="str"/>
    </x:row>
    <x:row r="169">
      <x:c r="A169" s="34" t="str">
        <x:v>M5-EVT-0164</x:v>
      </x:c>
      <x:c r="B169" s="34" t="str"/>
      <x:c r="C169" s="34" t="str"/>
      <x:c r="D169" s="34" t="str"/>
      <x:c r="E169" s="34" t="str"/>
      <x:c r="F169" s="34" t="str"/>
      <x:c r="G169" s="34" t="str"/>
      <x:c r="H169" s="34" t="str"/>
      <x:c r="I169" s="34" t="str"/>
      <x:c r="J169" s="34" t="str"/>
      <x:c r="K169" s="34" t="str"/>
      <x:c r="L169" s="34" t="str"/>
      <x:c r="M169" s="34" t="str"/>
      <x:c r="N169" s="34" t="str"/>
      <x:c r="O169" s="34" t="str"/>
      <x:c r="P169" s="34" t="str"/>
      <x:c r="Q169" s="34" t="str"/>
      <x:c r="R169" s="34" t="str"/>
      <x:c r="S169" s="34" t="str"/>
      <x:c r="T169" s="34" t="str"/>
      <x:c r="U169" s="34" t="str"/>
      <x:c r="V169" s="34" t="str"/>
      <x:c r="W169" s="34" t="str"/>
      <x:c r="X169" s="34" t="str"/>
    </x:row>
    <x:row r="170">
      <x:c r="A170" s="34" t="str">
        <x:v>M5-EVT-0165</x:v>
      </x:c>
      <x:c r="B170" s="34" t="str"/>
      <x:c r="C170" s="34" t="str"/>
      <x:c r="D170" s="34" t="str"/>
      <x:c r="E170" s="34" t="str"/>
      <x:c r="F170" s="34" t="str"/>
      <x:c r="G170" s="34" t="str"/>
      <x:c r="H170" s="34" t="str"/>
      <x:c r="I170" s="34" t="str"/>
      <x:c r="J170" s="34" t="str"/>
      <x:c r="K170" s="34" t="str"/>
      <x:c r="L170" s="34" t="str"/>
      <x:c r="M170" s="34" t="str"/>
      <x:c r="N170" s="34" t="str"/>
      <x:c r="O170" s="34" t="str"/>
      <x:c r="P170" s="34" t="str"/>
      <x:c r="Q170" s="34" t="str"/>
      <x:c r="R170" s="34" t="str"/>
      <x:c r="S170" s="34" t="str"/>
      <x:c r="T170" s="34" t="str"/>
      <x:c r="U170" s="34" t="str"/>
      <x:c r="V170" s="34" t="str"/>
      <x:c r="W170" s="34" t="str"/>
      <x:c r="X170" s="34" t="str"/>
    </x:row>
    <x:row r="171">
      <x:c r="A171" s="34" t="str">
        <x:v>M5-EVT-0166</x:v>
      </x:c>
      <x:c r="B171" s="34" t="str"/>
      <x:c r="C171" s="34" t="str"/>
      <x:c r="D171" s="34" t="str"/>
      <x:c r="E171" s="34" t="str"/>
      <x:c r="F171" s="34" t="str"/>
      <x:c r="G171" s="34" t="str"/>
      <x:c r="H171" s="34" t="str"/>
      <x:c r="I171" s="34" t="str"/>
      <x:c r="J171" s="34" t="str"/>
      <x:c r="K171" s="34" t="str"/>
      <x:c r="L171" s="34" t="str"/>
      <x:c r="M171" s="34" t="str"/>
      <x:c r="N171" s="34" t="str"/>
      <x:c r="O171" s="34" t="str"/>
      <x:c r="P171" s="34" t="str"/>
      <x:c r="Q171" s="34" t="str"/>
      <x:c r="R171" s="34" t="str"/>
      <x:c r="S171" s="34" t="str"/>
      <x:c r="T171" s="34" t="str"/>
      <x:c r="U171" s="34" t="str"/>
      <x:c r="V171" s="34" t="str"/>
      <x:c r="W171" s="34" t="str"/>
      <x:c r="X171" s="34" t="str"/>
    </x:row>
    <x:row r="172">
      <x:c r="A172" s="34" t="str">
        <x:v>M5-EVT-0167</x:v>
      </x:c>
      <x:c r="B172" s="34" t="str"/>
      <x:c r="C172" s="34" t="str"/>
      <x:c r="D172" s="34" t="str"/>
      <x:c r="E172" s="34" t="str"/>
      <x:c r="F172" s="34" t="str"/>
      <x:c r="G172" s="34" t="str"/>
      <x:c r="H172" s="34" t="str"/>
      <x:c r="I172" s="34" t="str"/>
      <x:c r="J172" s="34" t="str"/>
      <x:c r="K172" s="34" t="str"/>
      <x:c r="L172" s="34" t="str"/>
      <x:c r="M172" s="34" t="str"/>
      <x:c r="N172" s="34" t="str"/>
      <x:c r="O172" s="34" t="str"/>
      <x:c r="P172" s="34" t="str"/>
      <x:c r="Q172" s="34" t="str"/>
      <x:c r="R172" s="34" t="str"/>
      <x:c r="S172" s="34" t="str"/>
      <x:c r="T172" s="34" t="str"/>
      <x:c r="U172" s="34" t="str"/>
      <x:c r="V172" s="34" t="str"/>
      <x:c r="W172" s="34" t="str"/>
      <x:c r="X172" s="34" t="str"/>
    </x:row>
    <x:row r="173">
      <x:c r="A173" s="34" t="str">
        <x:v>M5-EVT-0168</x:v>
      </x:c>
      <x:c r="B173" s="34" t="str"/>
      <x:c r="C173" s="34" t="str"/>
      <x:c r="D173" s="34" t="str"/>
      <x:c r="E173" s="34" t="str"/>
      <x:c r="F173" s="34" t="str"/>
      <x:c r="G173" s="34" t="str"/>
      <x:c r="H173" s="34" t="str"/>
      <x:c r="I173" s="34" t="str"/>
      <x:c r="J173" s="34" t="str"/>
      <x:c r="K173" s="34" t="str"/>
      <x:c r="L173" s="34" t="str"/>
      <x:c r="M173" s="34" t="str"/>
      <x:c r="N173" s="34" t="str"/>
      <x:c r="O173" s="34" t="str"/>
      <x:c r="P173" s="34" t="str"/>
      <x:c r="Q173" s="34" t="str"/>
      <x:c r="R173" s="34" t="str"/>
      <x:c r="S173" s="34" t="str"/>
      <x:c r="T173" s="34" t="str"/>
      <x:c r="U173" s="34" t="str"/>
      <x:c r="V173" s="34" t="str"/>
      <x:c r="W173" s="34" t="str"/>
      <x:c r="X173" s="34" t="str"/>
    </x:row>
    <x:row r="174">
      <x:c r="A174" s="34" t="str">
        <x:v>M5-EVT-0169</x:v>
      </x:c>
      <x:c r="B174" s="34" t="str"/>
      <x:c r="C174" s="34" t="str"/>
      <x:c r="D174" s="34" t="str"/>
      <x:c r="E174" s="34" t="str"/>
      <x:c r="F174" s="34" t="str"/>
      <x:c r="G174" s="34" t="str"/>
      <x:c r="H174" s="34" t="str"/>
      <x:c r="I174" s="34" t="str"/>
      <x:c r="J174" s="34" t="str"/>
      <x:c r="K174" s="34" t="str"/>
      <x:c r="L174" s="34" t="str"/>
      <x:c r="M174" s="34" t="str"/>
      <x:c r="N174" s="34" t="str"/>
      <x:c r="O174" s="34" t="str"/>
      <x:c r="P174" s="34" t="str"/>
      <x:c r="Q174" s="34" t="str"/>
      <x:c r="R174" s="34" t="str"/>
      <x:c r="S174" s="34" t="str"/>
      <x:c r="T174" s="34" t="str"/>
      <x:c r="U174" s="34" t="str"/>
      <x:c r="V174" s="34" t="str"/>
      <x:c r="W174" s="34" t="str"/>
      <x:c r="X174" s="34" t="str"/>
    </x:row>
    <x:row r="175">
      <x:c r="A175" s="34" t="str">
        <x:v>M5-EVT-0170</x:v>
      </x:c>
      <x:c r="B175" s="34" t="str"/>
      <x:c r="C175" s="34" t="str"/>
      <x:c r="D175" s="34" t="str"/>
      <x:c r="E175" s="34" t="str"/>
      <x:c r="F175" s="34" t="str"/>
      <x:c r="G175" s="34" t="str"/>
      <x:c r="H175" s="34" t="str"/>
      <x:c r="I175" s="34" t="str"/>
      <x:c r="J175" s="34" t="str"/>
      <x:c r="K175" s="34" t="str"/>
      <x:c r="L175" s="34" t="str"/>
      <x:c r="M175" s="34" t="str"/>
      <x:c r="N175" s="34" t="str"/>
      <x:c r="O175" s="34" t="str"/>
      <x:c r="P175" s="34" t="str"/>
      <x:c r="Q175" s="34" t="str"/>
      <x:c r="R175" s="34" t="str"/>
      <x:c r="S175" s="34" t="str"/>
      <x:c r="T175" s="34" t="str"/>
      <x:c r="U175" s="34" t="str"/>
      <x:c r="V175" s="34" t="str"/>
      <x:c r="W175" s="34" t="str"/>
      <x:c r="X175" s="34" t="str"/>
    </x:row>
    <x:row r="176">
      <x:c r="A176" s="34" t="str">
        <x:v>M5-EVT-0171</x:v>
      </x:c>
      <x:c r="B176" s="34" t="str"/>
      <x:c r="C176" s="34" t="str"/>
      <x:c r="D176" s="34" t="str"/>
      <x:c r="E176" s="34" t="str"/>
      <x:c r="F176" s="34" t="str"/>
      <x:c r="G176" s="34" t="str"/>
      <x:c r="H176" s="34" t="str"/>
      <x:c r="I176" s="34" t="str"/>
      <x:c r="J176" s="34" t="str"/>
      <x:c r="K176" s="34" t="str"/>
      <x:c r="L176" s="34" t="str"/>
      <x:c r="M176" s="34" t="str"/>
      <x:c r="N176" s="34" t="str"/>
      <x:c r="O176" s="34" t="str"/>
      <x:c r="P176" s="34" t="str"/>
      <x:c r="Q176" s="34" t="str"/>
      <x:c r="R176" s="34" t="str"/>
      <x:c r="S176" s="34" t="str"/>
      <x:c r="T176" s="34" t="str"/>
      <x:c r="U176" s="34" t="str"/>
      <x:c r="V176" s="34" t="str"/>
      <x:c r="W176" s="34" t="str"/>
      <x:c r="X176" s="34" t="str"/>
    </x:row>
    <x:row r="177">
      <x:c r="A177" s="34" t="str">
        <x:v>M5-EVT-0172</x:v>
      </x:c>
      <x:c r="B177" s="34" t="str"/>
      <x:c r="C177" s="34" t="str"/>
      <x:c r="D177" s="34" t="str"/>
      <x:c r="E177" s="34" t="str"/>
      <x:c r="F177" s="34" t="str"/>
      <x:c r="G177" s="34" t="str"/>
      <x:c r="H177" s="34" t="str"/>
      <x:c r="I177" s="34" t="str"/>
      <x:c r="J177" s="34" t="str"/>
      <x:c r="K177" s="34" t="str"/>
      <x:c r="L177" s="34" t="str"/>
      <x:c r="M177" s="34" t="str"/>
      <x:c r="N177" s="34" t="str"/>
      <x:c r="O177" s="34" t="str"/>
      <x:c r="P177" s="34" t="str"/>
      <x:c r="Q177" s="34" t="str"/>
      <x:c r="R177" s="34" t="str"/>
      <x:c r="S177" s="34" t="str"/>
      <x:c r="T177" s="34" t="str"/>
      <x:c r="U177" s="34" t="str"/>
      <x:c r="V177" s="34" t="str"/>
      <x:c r="W177" s="34" t="str"/>
      <x:c r="X177" s="34" t="str"/>
    </x:row>
    <x:row r="178">
      <x:c r="A178" s="34" t="str">
        <x:v>M5-EVT-0173</x:v>
      </x:c>
      <x:c r="B178" s="34" t="str"/>
      <x:c r="C178" s="34" t="str"/>
      <x:c r="D178" s="34" t="str"/>
      <x:c r="E178" s="34" t="str"/>
      <x:c r="F178" s="34" t="str"/>
      <x:c r="G178" s="34" t="str"/>
      <x:c r="H178" s="34" t="str"/>
      <x:c r="I178" s="34" t="str"/>
      <x:c r="J178" s="34" t="str"/>
      <x:c r="K178" s="34" t="str"/>
      <x:c r="L178" s="34" t="str"/>
      <x:c r="M178" s="34" t="str"/>
      <x:c r="N178" s="34" t="str"/>
      <x:c r="O178" s="34" t="str"/>
      <x:c r="P178" s="34" t="str"/>
      <x:c r="Q178" s="34" t="str"/>
      <x:c r="R178" s="34" t="str"/>
      <x:c r="S178" s="34" t="str"/>
      <x:c r="T178" s="34" t="str"/>
      <x:c r="U178" s="34" t="str"/>
      <x:c r="V178" s="34" t="str"/>
      <x:c r="W178" s="34" t="str"/>
      <x:c r="X178" s="34" t="str"/>
    </x:row>
    <x:row r="179">
      <x:c r="A179" s="34" t="str">
        <x:v>M5-EVT-0174</x:v>
      </x:c>
      <x:c r="B179" s="34" t="str"/>
      <x:c r="C179" s="34" t="str"/>
      <x:c r="D179" s="34" t="str"/>
      <x:c r="E179" s="34" t="str"/>
      <x:c r="F179" s="34" t="str"/>
      <x:c r="G179" s="34" t="str"/>
      <x:c r="H179" s="34" t="str"/>
      <x:c r="I179" s="34" t="str"/>
      <x:c r="J179" s="34" t="str"/>
      <x:c r="K179" s="34" t="str"/>
      <x:c r="L179" s="34" t="str"/>
      <x:c r="M179" s="34" t="str"/>
      <x:c r="N179" s="34" t="str"/>
      <x:c r="O179" s="34" t="str"/>
      <x:c r="P179" s="34" t="str"/>
      <x:c r="Q179" s="34" t="str"/>
      <x:c r="R179" s="34" t="str"/>
      <x:c r="S179" s="34" t="str"/>
      <x:c r="T179" s="34" t="str"/>
      <x:c r="U179" s="34" t="str"/>
      <x:c r="V179" s="34" t="str"/>
      <x:c r="W179" s="34" t="str"/>
      <x:c r="X179" s="34" t="str"/>
    </x:row>
    <x:row r="180">
      <x:c r="A180" s="34" t="str">
        <x:v>M5-EVT-0175</x:v>
      </x:c>
      <x:c r="B180" s="34" t="str"/>
      <x:c r="C180" s="34" t="str"/>
      <x:c r="D180" s="34" t="str"/>
      <x:c r="E180" s="34" t="str"/>
      <x:c r="F180" s="34" t="str"/>
      <x:c r="G180" s="34" t="str"/>
      <x:c r="H180" s="34" t="str"/>
      <x:c r="I180" s="34" t="str"/>
      <x:c r="J180" s="34" t="str"/>
      <x:c r="K180" s="34" t="str"/>
      <x:c r="L180" s="34" t="str"/>
      <x:c r="M180" s="34" t="str"/>
      <x:c r="N180" s="34" t="str"/>
      <x:c r="O180" s="34" t="str"/>
      <x:c r="P180" s="34" t="str"/>
      <x:c r="Q180" s="34" t="str"/>
      <x:c r="R180" s="34" t="str"/>
      <x:c r="S180" s="34" t="str"/>
      <x:c r="T180" s="34" t="str"/>
      <x:c r="U180" s="34" t="str"/>
      <x:c r="V180" s="34" t="str"/>
      <x:c r="W180" s="34" t="str"/>
      <x:c r="X180" s="34" t="str"/>
    </x:row>
    <x:row r="181">
      <x:c r="A181" s="34" t="str">
        <x:v>M5-EVT-0176</x:v>
      </x:c>
      <x:c r="B181" s="34" t="str"/>
      <x:c r="C181" s="34" t="str"/>
      <x:c r="D181" s="34" t="str"/>
      <x:c r="E181" s="34" t="str"/>
      <x:c r="F181" s="34" t="str"/>
      <x:c r="G181" s="34" t="str"/>
      <x:c r="H181" s="34" t="str"/>
      <x:c r="I181" s="34" t="str"/>
      <x:c r="J181" s="34" t="str"/>
      <x:c r="K181" s="34" t="str"/>
      <x:c r="L181" s="34" t="str"/>
      <x:c r="M181" s="34" t="str"/>
      <x:c r="N181" s="34" t="str"/>
      <x:c r="O181" s="34" t="str"/>
      <x:c r="P181" s="34" t="str"/>
      <x:c r="Q181" s="34" t="str"/>
      <x:c r="R181" s="34" t="str"/>
      <x:c r="S181" s="34" t="str"/>
      <x:c r="T181" s="34" t="str"/>
      <x:c r="U181" s="34" t="str"/>
      <x:c r="V181" s="34" t="str"/>
      <x:c r="W181" s="34" t="str"/>
      <x:c r="X181" s="34" t="str"/>
    </x:row>
    <x:row r="182">
      <x:c r="A182" s="34" t="str">
        <x:v>M5-EVT-0177</x:v>
      </x:c>
      <x:c r="B182" s="34" t="str"/>
      <x:c r="C182" s="34" t="str"/>
      <x:c r="D182" s="34" t="str"/>
      <x:c r="E182" s="34" t="str"/>
      <x:c r="F182" s="34" t="str"/>
      <x:c r="G182" s="34" t="str"/>
      <x:c r="H182" s="34" t="str"/>
      <x:c r="I182" s="34" t="str"/>
      <x:c r="J182" s="34" t="str"/>
      <x:c r="K182" s="34" t="str"/>
      <x:c r="L182" s="34" t="str"/>
      <x:c r="M182" s="34" t="str"/>
      <x:c r="N182" s="34" t="str"/>
      <x:c r="O182" s="34" t="str"/>
      <x:c r="P182" s="34" t="str"/>
      <x:c r="Q182" s="34" t="str"/>
      <x:c r="R182" s="34" t="str"/>
      <x:c r="S182" s="34" t="str"/>
      <x:c r="T182" s="34" t="str"/>
      <x:c r="U182" s="34" t="str"/>
      <x:c r="V182" s="34" t="str"/>
      <x:c r="W182" s="34" t="str"/>
      <x:c r="X182" s="34" t="str"/>
    </x:row>
    <x:row r="183">
      <x:c r="A183" s="34" t="str">
        <x:v>M5-EVT-0178</x:v>
      </x:c>
      <x:c r="B183" s="34" t="str"/>
      <x:c r="C183" s="34" t="str"/>
      <x:c r="D183" s="34" t="str"/>
      <x:c r="E183" s="34" t="str"/>
      <x:c r="F183" s="34" t="str"/>
      <x:c r="G183" s="34" t="str"/>
      <x:c r="H183" s="34" t="str"/>
      <x:c r="I183" s="34" t="str"/>
      <x:c r="J183" s="34" t="str"/>
      <x:c r="K183" s="34" t="str"/>
      <x:c r="L183" s="34" t="str"/>
      <x:c r="M183" s="34" t="str"/>
      <x:c r="N183" s="34" t="str"/>
      <x:c r="O183" s="34" t="str"/>
      <x:c r="P183" s="34" t="str"/>
      <x:c r="Q183" s="34" t="str"/>
      <x:c r="R183" s="34" t="str"/>
      <x:c r="S183" s="34" t="str"/>
      <x:c r="T183" s="34" t="str"/>
      <x:c r="U183" s="34" t="str"/>
      <x:c r="V183" s="34" t="str"/>
      <x:c r="W183" s="34" t="str"/>
      <x:c r="X183" s="34" t="str"/>
    </x:row>
    <x:row r="184">
      <x:c r="A184" s="34" t="str">
        <x:v>M5-EVT-0179</x:v>
      </x:c>
      <x:c r="B184" s="34" t="str"/>
      <x:c r="C184" s="34" t="str"/>
      <x:c r="D184" s="34" t="str"/>
      <x:c r="E184" s="34" t="str"/>
      <x:c r="F184" s="34" t="str"/>
      <x:c r="G184" s="34" t="str"/>
      <x:c r="H184" s="34" t="str"/>
      <x:c r="I184" s="34" t="str"/>
      <x:c r="J184" s="34" t="str"/>
      <x:c r="K184" s="34" t="str"/>
      <x:c r="L184" s="34" t="str"/>
      <x:c r="M184" s="34" t="str"/>
      <x:c r="N184" s="34" t="str"/>
      <x:c r="O184" s="34" t="str"/>
      <x:c r="P184" s="34" t="str"/>
      <x:c r="Q184" s="34" t="str"/>
      <x:c r="R184" s="34" t="str"/>
      <x:c r="S184" s="34" t="str"/>
      <x:c r="T184" s="34" t="str"/>
      <x:c r="U184" s="34" t="str"/>
      <x:c r="V184" s="34" t="str"/>
      <x:c r="W184" s="34" t="str"/>
      <x:c r="X184" s="34" t="str"/>
    </x:row>
    <x:row r="185">
      <x:c r="A185" s="34" t="str">
        <x:v>M5-EVT-0180</x:v>
      </x:c>
      <x:c r="B185" s="34" t="str"/>
      <x:c r="C185" s="34" t="str"/>
      <x:c r="D185" s="34" t="str"/>
      <x:c r="E185" s="34" t="str"/>
      <x:c r="F185" s="34" t="str"/>
      <x:c r="G185" s="34" t="str"/>
      <x:c r="H185" s="34" t="str"/>
      <x:c r="I185" s="34" t="str"/>
      <x:c r="J185" s="34" t="str"/>
      <x:c r="K185" s="34" t="str"/>
      <x:c r="L185" s="34" t="str"/>
      <x:c r="M185" s="34" t="str"/>
      <x:c r="N185" s="34" t="str"/>
      <x:c r="O185" s="34" t="str"/>
      <x:c r="P185" s="34" t="str"/>
      <x:c r="Q185" s="34" t="str"/>
      <x:c r="R185" s="34" t="str"/>
      <x:c r="S185" s="34" t="str"/>
      <x:c r="T185" s="34" t="str"/>
      <x:c r="U185" s="34" t="str"/>
      <x:c r="V185" s="34" t="str"/>
      <x:c r="W185" s="34" t="str"/>
      <x:c r="X185" s="34" t="str"/>
    </x:row>
    <x:row r="186">
      <x:c r="A186" s="34" t="str">
        <x:v>M5-EVT-0181</x:v>
      </x:c>
      <x:c r="B186" s="34" t="str"/>
      <x:c r="C186" s="34" t="str"/>
      <x:c r="D186" s="34" t="str"/>
      <x:c r="E186" s="34" t="str"/>
      <x:c r="F186" s="34" t="str"/>
      <x:c r="G186" s="34" t="str"/>
      <x:c r="H186" s="34" t="str"/>
      <x:c r="I186" s="34" t="str"/>
      <x:c r="J186" s="34" t="str"/>
      <x:c r="K186" s="34" t="str"/>
      <x:c r="L186" s="34" t="str"/>
      <x:c r="M186" s="34" t="str"/>
      <x:c r="N186" s="34" t="str"/>
      <x:c r="O186" s="34" t="str"/>
      <x:c r="P186" s="34" t="str"/>
      <x:c r="Q186" s="34" t="str"/>
      <x:c r="R186" s="34" t="str"/>
      <x:c r="S186" s="34" t="str"/>
      <x:c r="T186" s="34" t="str"/>
      <x:c r="U186" s="34" t="str"/>
      <x:c r="V186" s="34" t="str"/>
      <x:c r="W186" s="34" t="str"/>
      <x:c r="X186" s="34" t="str"/>
    </x:row>
    <x:row r="187">
      <x:c r="A187" s="34" t="str">
        <x:v>M5-EVT-0182</x:v>
      </x:c>
      <x:c r="B187" s="34" t="str"/>
      <x:c r="C187" s="34" t="str"/>
      <x:c r="D187" s="34" t="str"/>
      <x:c r="E187" s="34" t="str"/>
      <x:c r="F187" s="34" t="str"/>
      <x:c r="G187" s="34" t="str"/>
      <x:c r="H187" s="34" t="str"/>
      <x:c r="I187" s="34" t="str"/>
      <x:c r="J187" s="34" t="str"/>
      <x:c r="K187" s="34" t="str"/>
      <x:c r="L187" s="34" t="str"/>
      <x:c r="M187" s="34" t="str"/>
      <x:c r="N187" s="34" t="str"/>
      <x:c r="O187" s="34" t="str"/>
      <x:c r="P187" s="34" t="str"/>
      <x:c r="Q187" s="34" t="str"/>
      <x:c r="R187" s="34" t="str"/>
      <x:c r="S187" s="34" t="str"/>
      <x:c r="T187" s="34" t="str"/>
      <x:c r="U187" s="34" t="str"/>
      <x:c r="V187" s="34" t="str"/>
      <x:c r="W187" s="34" t="str"/>
      <x:c r="X187" s="34" t="str"/>
    </x:row>
    <x:row r="188">
      <x:c r="A188" s="34" t="str">
        <x:v>M5-EVT-0183</x:v>
      </x:c>
      <x:c r="B188" s="34" t="str"/>
      <x:c r="C188" s="34" t="str"/>
      <x:c r="D188" s="34" t="str"/>
      <x:c r="E188" s="34" t="str"/>
      <x:c r="F188" s="34" t="str"/>
      <x:c r="G188" s="34" t="str"/>
      <x:c r="H188" s="34" t="str"/>
      <x:c r="I188" s="34" t="str"/>
      <x:c r="J188" s="34" t="str"/>
      <x:c r="K188" s="34" t="str"/>
      <x:c r="L188" s="34" t="str"/>
      <x:c r="M188" s="34" t="str"/>
      <x:c r="N188" s="34" t="str"/>
      <x:c r="O188" s="34" t="str"/>
      <x:c r="P188" s="34" t="str"/>
      <x:c r="Q188" s="34" t="str"/>
      <x:c r="R188" s="34" t="str"/>
      <x:c r="S188" s="34" t="str"/>
      <x:c r="T188" s="34" t="str"/>
      <x:c r="U188" s="34" t="str"/>
      <x:c r="V188" s="34" t="str"/>
      <x:c r="W188" s="34" t="str"/>
      <x:c r="X188" s="34" t="str"/>
    </x:row>
    <x:row r="189">
      <x:c r="A189" s="34" t="str">
        <x:v>M5-EVT-0184</x:v>
      </x:c>
      <x:c r="B189" s="34" t="str"/>
      <x:c r="C189" s="34" t="str"/>
      <x:c r="D189" s="34" t="str"/>
      <x:c r="E189" s="34" t="str"/>
      <x:c r="F189" s="34" t="str"/>
      <x:c r="G189" s="34" t="str"/>
      <x:c r="H189" s="34" t="str"/>
      <x:c r="I189" s="34" t="str"/>
      <x:c r="J189" s="34" t="str"/>
      <x:c r="K189" s="34" t="str"/>
      <x:c r="L189" s="34" t="str"/>
      <x:c r="M189" s="34" t="str"/>
      <x:c r="N189" s="34" t="str"/>
      <x:c r="O189" s="34" t="str"/>
      <x:c r="P189" s="34" t="str"/>
      <x:c r="Q189" s="34" t="str"/>
      <x:c r="R189" s="34" t="str"/>
      <x:c r="S189" s="34" t="str"/>
      <x:c r="T189" s="34" t="str"/>
      <x:c r="U189" s="34" t="str"/>
      <x:c r="V189" s="34" t="str"/>
      <x:c r="W189" s="34" t="str"/>
      <x:c r="X189" s="34" t="str"/>
    </x:row>
    <x:row r="190">
      <x:c r="A190" s="34" t="str">
        <x:v>M5-EVT-0185</x:v>
      </x:c>
      <x:c r="B190" s="34" t="str"/>
      <x:c r="C190" s="34" t="str"/>
      <x:c r="D190" s="34" t="str"/>
      <x:c r="E190" s="34" t="str"/>
      <x:c r="F190" s="34" t="str"/>
      <x:c r="G190" s="34" t="str"/>
      <x:c r="H190" s="34" t="str"/>
      <x:c r="I190" s="34" t="str"/>
      <x:c r="J190" s="34" t="str"/>
      <x:c r="K190" s="34" t="str"/>
      <x:c r="L190" s="34" t="str"/>
      <x:c r="M190" s="34" t="str"/>
      <x:c r="N190" s="34" t="str"/>
      <x:c r="O190" s="34" t="str"/>
      <x:c r="P190" s="34" t="str"/>
      <x:c r="Q190" s="34" t="str"/>
      <x:c r="R190" s="34" t="str"/>
      <x:c r="S190" s="34" t="str"/>
      <x:c r="T190" s="34" t="str"/>
      <x:c r="U190" s="34" t="str"/>
      <x:c r="V190" s="34" t="str"/>
      <x:c r="W190" s="34" t="str"/>
      <x:c r="X190" s="34" t="str"/>
    </x:row>
    <x:row r="191">
      <x:c r="A191" s="34" t="str">
        <x:v>M5-EVT-0186</x:v>
      </x:c>
      <x:c r="B191" s="34" t="str"/>
      <x:c r="C191" s="34" t="str"/>
      <x:c r="D191" s="34" t="str"/>
      <x:c r="E191" s="34" t="str"/>
      <x:c r="F191" s="34" t="str"/>
      <x:c r="G191" s="34" t="str"/>
      <x:c r="H191" s="34" t="str"/>
      <x:c r="I191" s="34" t="str"/>
      <x:c r="J191" s="34" t="str"/>
      <x:c r="K191" s="34" t="str"/>
      <x:c r="L191" s="34" t="str"/>
      <x:c r="M191" s="34" t="str"/>
      <x:c r="N191" s="34" t="str"/>
      <x:c r="O191" s="34" t="str"/>
      <x:c r="P191" s="34" t="str"/>
      <x:c r="Q191" s="34" t="str"/>
      <x:c r="R191" s="34" t="str"/>
      <x:c r="S191" s="34" t="str"/>
      <x:c r="T191" s="34" t="str"/>
      <x:c r="U191" s="34" t="str"/>
      <x:c r="V191" s="34" t="str"/>
      <x:c r="W191" s="34" t="str"/>
      <x:c r="X191" s="34" t="str"/>
    </x:row>
    <x:row r="192">
      <x:c r="A192" s="34" t="str">
        <x:v>M5-EVT-0187</x:v>
      </x:c>
      <x:c r="B192" s="34" t="str"/>
      <x:c r="C192" s="34" t="str"/>
      <x:c r="D192" s="34" t="str"/>
      <x:c r="E192" s="34" t="str"/>
      <x:c r="F192" s="34" t="str"/>
      <x:c r="G192" s="34" t="str"/>
      <x:c r="H192" s="34" t="str"/>
      <x:c r="I192" s="34" t="str"/>
      <x:c r="J192" s="34" t="str"/>
      <x:c r="K192" s="34" t="str"/>
      <x:c r="L192" s="34" t="str"/>
      <x:c r="M192" s="34" t="str"/>
      <x:c r="N192" s="34" t="str"/>
      <x:c r="O192" s="34" t="str"/>
      <x:c r="P192" s="34" t="str"/>
      <x:c r="Q192" s="34" t="str"/>
      <x:c r="R192" s="34" t="str"/>
      <x:c r="S192" s="34" t="str"/>
      <x:c r="T192" s="34" t="str"/>
      <x:c r="U192" s="34" t="str"/>
      <x:c r="V192" s="34" t="str"/>
      <x:c r="W192" s="34" t="str"/>
      <x:c r="X192" s="34" t="str"/>
    </x:row>
    <x:row r="193">
      <x:c r="A193" s="34" t="str">
        <x:v>M5-EVT-0188</x:v>
      </x:c>
      <x:c r="B193" s="34" t="str"/>
      <x:c r="C193" s="34" t="str"/>
      <x:c r="D193" s="34" t="str"/>
      <x:c r="E193" s="34" t="str"/>
      <x:c r="F193" s="34" t="str"/>
      <x:c r="G193" s="34" t="str"/>
      <x:c r="H193" s="34" t="str"/>
      <x:c r="I193" s="34" t="str"/>
      <x:c r="J193" s="34" t="str"/>
      <x:c r="K193" s="34" t="str"/>
      <x:c r="L193" s="34" t="str"/>
      <x:c r="M193" s="34" t="str"/>
      <x:c r="N193" s="34" t="str"/>
      <x:c r="O193" s="34" t="str"/>
      <x:c r="P193" s="34" t="str"/>
      <x:c r="Q193" s="34" t="str"/>
      <x:c r="R193" s="34" t="str"/>
      <x:c r="S193" s="34" t="str"/>
      <x:c r="T193" s="34" t="str"/>
      <x:c r="U193" s="34" t="str"/>
      <x:c r="V193" s="34" t="str"/>
      <x:c r="W193" s="34" t="str"/>
      <x:c r="X193" s="34" t="str"/>
    </x:row>
    <x:row r="194">
      <x:c r="A194" s="34" t="str">
        <x:v>M5-EVT-0189</x:v>
      </x:c>
      <x:c r="B194" s="34" t="str"/>
      <x:c r="C194" s="34" t="str"/>
      <x:c r="D194" s="34" t="str"/>
      <x:c r="E194" s="34" t="str"/>
      <x:c r="F194" s="34" t="str"/>
      <x:c r="G194" s="34" t="str"/>
      <x:c r="H194" s="34" t="str"/>
      <x:c r="I194" s="34" t="str"/>
      <x:c r="J194" s="34" t="str"/>
      <x:c r="K194" s="34" t="str"/>
      <x:c r="L194" s="34" t="str"/>
      <x:c r="M194" s="34" t="str"/>
      <x:c r="N194" s="34" t="str"/>
      <x:c r="O194" s="34" t="str"/>
      <x:c r="P194" s="34" t="str"/>
      <x:c r="Q194" s="34" t="str"/>
      <x:c r="R194" s="34" t="str"/>
      <x:c r="S194" s="34" t="str"/>
      <x:c r="T194" s="34" t="str"/>
      <x:c r="U194" s="34" t="str"/>
      <x:c r="V194" s="34" t="str"/>
      <x:c r="W194" s="34" t="str"/>
      <x:c r="X194" s="34" t="str"/>
    </x:row>
    <x:row r="195">
      <x:c r="A195" s="34" t="str">
        <x:v>M5-EVT-0190</x:v>
      </x:c>
      <x:c r="B195" s="34" t="str"/>
      <x:c r="C195" s="34" t="str"/>
      <x:c r="D195" s="34" t="str"/>
      <x:c r="E195" s="34" t="str"/>
      <x:c r="F195" s="34" t="str"/>
      <x:c r="G195" s="34" t="str"/>
      <x:c r="H195" s="34" t="str"/>
      <x:c r="I195" s="34" t="str"/>
      <x:c r="J195" s="34" t="str"/>
      <x:c r="K195" s="34" t="str"/>
      <x:c r="L195" s="34" t="str"/>
      <x:c r="M195" s="34" t="str"/>
      <x:c r="N195" s="34" t="str"/>
      <x:c r="O195" s="34" t="str"/>
      <x:c r="P195" s="34" t="str"/>
      <x:c r="Q195" s="34" t="str"/>
      <x:c r="R195" s="34" t="str"/>
      <x:c r="S195" s="34" t="str"/>
      <x:c r="T195" s="34" t="str"/>
      <x:c r="U195" s="34" t="str"/>
      <x:c r="V195" s="34" t="str"/>
      <x:c r="W195" s="34" t="str"/>
      <x:c r="X195" s="34" t="str"/>
    </x:row>
    <x:row r="196">
      <x:c r="A196" s="34" t="str">
        <x:v>M5-EVT-0191</x:v>
      </x:c>
      <x:c r="B196" s="34" t="str"/>
      <x:c r="C196" s="34" t="str"/>
      <x:c r="D196" s="34" t="str"/>
      <x:c r="E196" s="34" t="str"/>
      <x:c r="F196" s="34" t="str"/>
      <x:c r="G196" s="34" t="str"/>
      <x:c r="H196" s="34" t="str"/>
      <x:c r="I196" s="34" t="str"/>
      <x:c r="J196" s="34" t="str"/>
      <x:c r="K196" s="34" t="str"/>
      <x:c r="L196" s="34" t="str"/>
      <x:c r="M196" s="34" t="str"/>
      <x:c r="N196" s="34" t="str"/>
      <x:c r="O196" s="34" t="str"/>
      <x:c r="P196" s="34" t="str"/>
      <x:c r="Q196" s="34" t="str"/>
      <x:c r="R196" s="34" t="str"/>
      <x:c r="S196" s="34" t="str"/>
      <x:c r="T196" s="34" t="str"/>
      <x:c r="U196" s="34" t="str"/>
      <x:c r="V196" s="34" t="str"/>
      <x:c r="W196" s="34" t="str"/>
      <x:c r="X196" s="34" t="str"/>
    </x:row>
    <x:row r="197">
      <x:c r="A197" s="34" t="str">
        <x:v>M5-EVT-0192</x:v>
      </x:c>
      <x:c r="B197" s="34" t="str"/>
      <x:c r="C197" s="34" t="str"/>
      <x:c r="D197" s="34" t="str"/>
      <x:c r="E197" s="34" t="str"/>
      <x:c r="F197" s="34" t="str"/>
      <x:c r="G197" s="34" t="str"/>
      <x:c r="H197" s="34" t="str"/>
      <x:c r="I197" s="34" t="str"/>
      <x:c r="J197" s="34" t="str"/>
      <x:c r="K197" s="34" t="str"/>
      <x:c r="L197" s="34" t="str"/>
      <x:c r="M197" s="34" t="str"/>
      <x:c r="N197" s="34" t="str"/>
      <x:c r="O197" s="34" t="str"/>
      <x:c r="P197" s="34" t="str"/>
      <x:c r="Q197" s="34" t="str"/>
      <x:c r="R197" s="34" t="str"/>
      <x:c r="S197" s="34" t="str"/>
      <x:c r="T197" s="34" t="str"/>
      <x:c r="U197" s="34" t="str"/>
      <x:c r="V197" s="34" t="str"/>
      <x:c r="W197" s="34" t="str"/>
      <x:c r="X197" s="34" t="str"/>
    </x:row>
    <x:row r="198">
      <x:c r="A198" s="34" t="str">
        <x:v>M5-EVT-0193</x:v>
      </x:c>
      <x:c r="B198" s="34" t="str"/>
      <x:c r="C198" s="34" t="str"/>
      <x:c r="D198" s="34" t="str"/>
      <x:c r="E198" s="34" t="str"/>
      <x:c r="F198" s="34" t="str"/>
      <x:c r="G198" s="34" t="str"/>
      <x:c r="H198" s="34" t="str"/>
      <x:c r="I198" s="34" t="str"/>
      <x:c r="J198" s="34" t="str"/>
      <x:c r="K198" s="34" t="str"/>
      <x:c r="L198" s="34" t="str"/>
      <x:c r="M198" s="34" t="str"/>
      <x:c r="N198" s="34" t="str"/>
      <x:c r="O198" s="34" t="str"/>
      <x:c r="P198" s="34" t="str"/>
      <x:c r="Q198" s="34" t="str"/>
      <x:c r="R198" s="34" t="str"/>
      <x:c r="S198" s="34" t="str"/>
      <x:c r="T198" s="34" t="str"/>
      <x:c r="U198" s="34" t="str"/>
      <x:c r="V198" s="34" t="str"/>
      <x:c r="W198" s="34" t="str"/>
      <x:c r="X198" s="34" t="str"/>
    </x:row>
    <x:row r="199">
      <x:c r="A199" s="34" t="str">
        <x:v>M5-EVT-0194</x:v>
      </x:c>
      <x:c r="B199" s="34" t="str"/>
      <x:c r="C199" s="34" t="str"/>
      <x:c r="D199" s="34" t="str"/>
      <x:c r="E199" s="34" t="str"/>
      <x:c r="F199" s="34" t="str"/>
      <x:c r="G199" s="34" t="str"/>
      <x:c r="H199" s="34" t="str"/>
      <x:c r="I199" s="34" t="str"/>
      <x:c r="J199" s="34" t="str"/>
      <x:c r="K199" s="34" t="str"/>
      <x:c r="L199" s="34" t="str"/>
      <x:c r="M199" s="34" t="str"/>
      <x:c r="N199" s="34" t="str"/>
      <x:c r="O199" s="34" t="str"/>
      <x:c r="P199" s="34" t="str"/>
      <x:c r="Q199" s="34" t="str"/>
      <x:c r="R199" s="34" t="str"/>
      <x:c r="S199" s="34" t="str"/>
      <x:c r="T199" s="34" t="str"/>
      <x:c r="U199" s="34" t="str"/>
      <x:c r="V199" s="34" t="str"/>
      <x:c r="W199" s="34" t="str"/>
      <x:c r="X199" s="34" t="str"/>
    </x:row>
    <x:row r="200">
      <x:c r="A200" s="34" t="str">
        <x:v>M5-EVT-0195</x:v>
      </x:c>
      <x:c r="B200" s="34" t="str"/>
      <x:c r="C200" s="34" t="str"/>
      <x:c r="D200" s="34" t="str"/>
      <x:c r="E200" s="34" t="str"/>
      <x:c r="F200" s="34" t="str"/>
      <x:c r="G200" s="34" t="str"/>
      <x:c r="H200" s="34" t="str"/>
      <x:c r="I200" s="34" t="str"/>
      <x:c r="J200" s="34" t="str"/>
      <x:c r="K200" s="34" t="str"/>
      <x:c r="L200" s="34" t="str"/>
      <x:c r="M200" s="34" t="str"/>
      <x:c r="N200" s="34" t="str"/>
      <x:c r="O200" s="34" t="str"/>
      <x:c r="P200" s="34" t="str"/>
      <x:c r="Q200" s="34" t="str"/>
      <x:c r="R200" s="34" t="str"/>
      <x:c r="S200" s="34" t="str"/>
      <x:c r="T200" s="34" t="str"/>
      <x:c r="U200" s="34" t="str"/>
      <x:c r="V200" s="34" t="str"/>
      <x:c r="W200" s="34" t="str"/>
      <x:c r="X200" s="34" t="str"/>
    </x:row>
    <x:row r="201">
      <x:c r="A201" s="34" t="str">
        <x:v>M5-EVT-0196</x:v>
      </x:c>
      <x:c r="B201" s="34" t="str"/>
      <x:c r="C201" s="34" t="str"/>
      <x:c r="D201" s="34" t="str"/>
      <x:c r="E201" s="34" t="str"/>
      <x:c r="F201" s="34" t="str"/>
      <x:c r="G201" s="34" t="str"/>
      <x:c r="H201" s="34" t="str"/>
      <x:c r="I201" s="34" t="str"/>
      <x:c r="J201" s="34" t="str"/>
      <x:c r="K201" s="34" t="str"/>
      <x:c r="L201" s="34" t="str"/>
      <x:c r="M201" s="34" t="str"/>
      <x:c r="N201" s="34" t="str"/>
      <x:c r="O201" s="34" t="str"/>
      <x:c r="P201" s="34" t="str"/>
      <x:c r="Q201" s="34" t="str"/>
      <x:c r="R201" s="34" t="str"/>
      <x:c r="S201" s="34" t="str"/>
      <x:c r="T201" s="34" t="str"/>
      <x:c r="U201" s="34" t="str"/>
      <x:c r="V201" s="34" t="str"/>
      <x:c r="W201" s="34" t="str"/>
      <x:c r="X201" s="34" t="str"/>
    </x:row>
    <x:row r="202">
      <x:c r="A202" s="34" t="str">
        <x:v>M5-EVT-0197</x:v>
      </x:c>
      <x:c r="B202" s="34" t="str"/>
      <x:c r="C202" s="34" t="str"/>
      <x:c r="D202" s="34" t="str"/>
      <x:c r="E202" s="34" t="str"/>
      <x:c r="F202" s="34" t="str"/>
      <x:c r="G202" s="34" t="str"/>
      <x:c r="H202" s="34" t="str"/>
      <x:c r="I202" s="34" t="str"/>
      <x:c r="J202" s="34" t="str"/>
      <x:c r="K202" s="34" t="str"/>
      <x:c r="L202" s="34" t="str"/>
      <x:c r="M202" s="34" t="str"/>
      <x:c r="N202" s="34" t="str"/>
      <x:c r="O202" s="34" t="str"/>
      <x:c r="P202" s="34" t="str"/>
      <x:c r="Q202" s="34" t="str"/>
      <x:c r="R202" s="34" t="str"/>
      <x:c r="S202" s="34" t="str"/>
      <x:c r="T202" s="34" t="str"/>
      <x:c r="U202" s="34" t="str"/>
      <x:c r="V202" s="34" t="str"/>
      <x:c r="W202" s="34" t="str"/>
      <x:c r="X202" s="34" t="str"/>
    </x:row>
    <x:row r="203">
      <x:c r="A203" s="34" t="str">
        <x:v>M5-EVT-0198</x:v>
      </x:c>
      <x:c r="B203" s="34" t="str"/>
      <x:c r="C203" s="34" t="str"/>
      <x:c r="D203" s="34" t="str"/>
      <x:c r="E203" s="34" t="str"/>
      <x:c r="F203" s="34" t="str"/>
      <x:c r="G203" s="34" t="str"/>
      <x:c r="H203" s="34" t="str"/>
      <x:c r="I203" s="34" t="str"/>
      <x:c r="J203" s="34" t="str"/>
      <x:c r="K203" s="34" t="str"/>
      <x:c r="L203" s="34" t="str"/>
      <x:c r="M203" s="34" t="str"/>
      <x:c r="N203" s="34" t="str"/>
      <x:c r="O203" s="34" t="str"/>
      <x:c r="P203" s="34" t="str"/>
      <x:c r="Q203" s="34" t="str"/>
      <x:c r="R203" s="34" t="str"/>
      <x:c r="S203" s="34" t="str"/>
      <x:c r="T203" s="34" t="str"/>
      <x:c r="U203" s="34" t="str"/>
      <x:c r="V203" s="34" t="str"/>
      <x:c r="W203" s="34" t="str"/>
      <x:c r="X203" s="34" t="str"/>
    </x:row>
    <x:row r="204">
      <x:c r="A204" s="34" t="str">
        <x:v>M5-EVT-0199</x:v>
      </x:c>
      <x:c r="B204" s="34" t="str"/>
      <x:c r="C204" s="34" t="str"/>
      <x:c r="D204" s="34" t="str"/>
      <x:c r="E204" s="34" t="str"/>
      <x:c r="F204" s="34" t="str"/>
      <x:c r="G204" s="34" t="str"/>
      <x:c r="H204" s="34" t="str"/>
      <x:c r="I204" s="34" t="str"/>
      <x:c r="J204" s="34" t="str"/>
      <x:c r="K204" s="34" t="str"/>
      <x:c r="L204" s="34" t="str"/>
      <x:c r="M204" s="34" t="str"/>
      <x:c r="N204" s="34" t="str"/>
      <x:c r="O204" s="34" t="str"/>
      <x:c r="P204" s="34" t="str"/>
      <x:c r="Q204" s="34" t="str"/>
      <x:c r="R204" s="34" t="str"/>
      <x:c r="S204" s="34" t="str"/>
      <x:c r="T204" s="34" t="str"/>
      <x:c r="U204" s="34" t="str"/>
      <x:c r="V204" s="34" t="str"/>
      <x:c r="W204" s="34" t="str"/>
      <x:c r="X204" s="34" t="str"/>
    </x:row>
    <x:row r="205">
      <x:c r="A205" s="34" t="str">
        <x:v>M5-EVT-0200</x:v>
      </x:c>
      <x:c r="B205" s="34" t="str"/>
      <x:c r="C205" s="34" t="str"/>
      <x:c r="D205" s="34" t="str"/>
      <x:c r="E205" s="34" t="str"/>
      <x:c r="F205" s="34" t="str"/>
      <x:c r="G205" s="34" t="str"/>
      <x:c r="H205" s="34" t="str"/>
      <x:c r="I205" s="34" t="str"/>
      <x:c r="J205" s="34" t="str"/>
      <x:c r="K205" s="34" t="str"/>
      <x:c r="L205" s="34" t="str"/>
      <x:c r="M205" s="34" t="str"/>
      <x:c r="N205" s="34" t="str"/>
      <x:c r="O205" s="34" t="str"/>
      <x:c r="P205" s="34" t="str"/>
      <x:c r="Q205" s="34" t="str"/>
      <x:c r="R205" s="34" t="str"/>
      <x:c r="S205" s="34" t="str"/>
      <x:c r="T205" s="34" t="str"/>
      <x:c r="U205" s="34" t="str"/>
      <x:c r="V205" s="34" t="str"/>
      <x:c r="W205" s="34" t="str"/>
      <x:c r="X205" s="34" t="str"/>
    </x:row>
    <x:row r="206">
      <x:c r="A206" s="34" t="str">
        <x:v>M5-EVT-0201</x:v>
      </x:c>
      <x:c r="B206" s="34" t="str"/>
      <x:c r="C206" s="34" t="str"/>
      <x:c r="D206" s="34" t="str"/>
      <x:c r="E206" s="34" t="str"/>
      <x:c r="F206" s="34" t="str"/>
      <x:c r="G206" s="34" t="str"/>
      <x:c r="H206" s="34" t="str"/>
      <x:c r="I206" s="34" t="str"/>
      <x:c r="J206" s="34" t="str"/>
      <x:c r="K206" s="34" t="str"/>
      <x:c r="L206" s="34" t="str"/>
      <x:c r="M206" s="34" t="str"/>
      <x:c r="N206" s="34" t="str"/>
      <x:c r="O206" s="34" t="str"/>
      <x:c r="P206" s="34" t="str"/>
      <x:c r="Q206" s="34" t="str"/>
      <x:c r="R206" s="34" t="str"/>
      <x:c r="S206" s="34" t="str"/>
      <x:c r="T206" s="34" t="str"/>
      <x:c r="U206" s="34" t="str"/>
      <x:c r="V206" s="34" t="str"/>
      <x:c r="W206" s="34" t="str"/>
      <x:c r="X206" s="34" t="str"/>
    </x:row>
    <x:row r="207">
      <x:c r="A207" s="34" t="str">
        <x:v>M5-EVT-0202</x:v>
      </x:c>
      <x:c r="B207" s="34" t="str"/>
      <x:c r="C207" s="34" t="str"/>
      <x:c r="D207" s="34" t="str"/>
      <x:c r="E207" s="34" t="str"/>
      <x:c r="F207" s="34" t="str"/>
      <x:c r="G207" s="34" t="str"/>
      <x:c r="H207" s="34" t="str"/>
      <x:c r="I207" s="34" t="str"/>
      <x:c r="J207" s="34" t="str"/>
      <x:c r="K207" s="34" t="str"/>
      <x:c r="L207" s="34" t="str"/>
      <x:c r="M207" s="34" t="str"/>
      <x:c r="N207" s="34" t="str"/>
      <x:c r="O207" s="34" t="str"/>
      <x:c r="P207" s="34" t="str"/>
      <x:c r="Q207" s="34" t="str"/>
      <x:c r="R207" s="34" t="str"/>
      <x:c r="S207" s="34" t="str"/>
      <x:c r="T207" s="34" t="str"/>
      <x:c r="U207" s="34" t="str"/>
      <x:c r="V207" s="34" t="str"/>
      <x:c r="W207" s="34" t="str"/>
      <x:c r="X207" s="34" t="str"/>
    </x:row>
    <x:row r="208">
      <x:c r="A208" s="34" t="str">
        <x:v>M5-EVT-0203</x:v>
      </x:c>
      <x:c r="B208" s="34" t="str"/>
      <x:c r="C208" s="34" t="str"/>
      <x:c r="D208" s="34" t="str"/>
      <x:c r="E208" s="34" t="str"/>
      <x:c r="F208" s="34" t="str"/>
      <x:c r="G208" s="34" t="str"/>
      <x:c r="H208" s="34" t="str"/>
      <x:c r="I208" s="34" t="str"/>
      <x:c r="J208" s="34" t="str"/>
      <x:c r="K208" s="34" t="str"/>
      <x:c r="L208" s="34" t="str"/>
      <x:c r="M208" s="34" t="str"/>
      <x:c r="N208" s="34" t="str"/>
      <x:c r="O208" s="34" t="str"/>
      <x:c r="P208" s="34" t="str"/>
      <x:c r="Q208" s="34" t="str"/>
      <x:c r="R208" s="34" t="str"/>
      <x:c r="S208" s="34" t="str"/>
      <x:c r="T208" s="34" t="str"/>
      <x:c r="U208" s="34" t="str"/>
      <x:c r="V208" s="34" t="str"/>
      <x:c r="W208" s="34" t="str"/>
      <x:c r="X208" s="34" t="str"/>
    </x:row>
    <x:row r="209">
      <x:c r="A209" s="34" t="str">
        <x:v>M5-EVT-0204</x:v>
      </x:c>
      <x:c r="B209" s="34" t="str"/>
      <x:c r="C209" s="34" t="str"/>
      <x:c r="D209" s="34" t="str"/>
      <x:c r="E209" s="34" t="str"/>
      <x:c r="F209" s="34" t="str"/>
      <x:c r="G209" s="34" t="str"/>
      <x:c r="H209" s="34" t="str"/>
      <x:c r="I209" s="34" t="str"/>
      <x:c r="J209" s="34" t="str"/>
      <x:c r="K209" s="34" t="str"/>
      <x:c r="L209" s="34" t="str"/>
      <x:c r="M209" s="34" t="str"/>
      <x:c r="N209" s="34" t="str"/>
      <x:c r="O209" s="34" t="str"/>
      <x:c r="P209" s="34" t="str"/>
      <x:c r="Q209" s="34" t="str"/>
      <x:c r="R209" s="34" t="str"/>
      <x:c r="S209" s="34" t="str"/>
      <x:c r="T209" s="34" t="str"/>
      <x:c r="U209" s="34" t="str"/>
      <x:c r="V209" s="34" t="str"/>
      <x:c r="W209" s="34" t="str"/>
      <x:c r="X209" s="34" t="str"/>
    </x:row>
    <x:row r="210">
      <x:c r="A210" s="34" t="str">
        <x:v>M5-EVT-0205</x:v>
      </x:c>
      <x:c r="B210" s="34" t="str"/>
      <x:c r="C210" s="34" t="str"/>
      <x:c r="D210" s="34" t="str"/>
      <x:c r="E210" s="34" t="str"/>
      <x:c r="F210" s="34" t="str"/>
      <x:c r="G210" s="34" t="str"/>
      <x:c r="H210" s="34" t="str"/>
      <x:c r="I210" s="34" t="str"/>
      <x:c r="J210" s="34" t="str"/>
      <x:c r="K210" s="34" t="str"/>
      <x:c r="L210" s="34" t="str"/>
      <x:c r="M210" s="34" t="str"/>
      <x:c r="N210" s="34" t="str"/>
      <x:c r="O210" s="34" t="str"/>
      <x:c r="P210" s="34" t="str"/>
      <x:c r="Q210" s="34" t="str"/>
      <x:c r="R210" s="34" t="str"/>
      <x:c r="S210" s="34" t="str"/>
      <x:c r="T210" s="34" t="str"/>
      <x:c r="U210" s="34" t="str"/>
      <x:c r="V210" s="34" t="str"/>
      <x:c r="W210" s="34" t="str"/>
      <x:c r="X210" s="34" t="str"/>
    </x:row>
    <x:row r="211">
      <x:c r="A211" s="34" t="str">
        <x:v>M5-EVT-0206</x:v>
      </x:c>
      <x:c r="B211" s="34" t="str"/>
      <x:c r="C211" s="34" t="str"/>
      <x:c r="D211" s="34" t="str"/>
      <x:c r="E211" s="34" t="str"/>
      <x:c r="F211" s="34" t="str"/>
      <x:c r="G211" s="34" t="str"/>
      <x:c r="H211" s="34" t="str"/>
      <x:c r="I211" s="34" t="str"/>
      <x:c r="J211" s="34" t="str"/>
      <x:c r="K211" s="34" t="str"/>
      <x:c r="L211" s="34" t="str"/>
      <x:c r="M211" s="34" t="str"/>
      <x:c r="N211" s="34" t="str"/>
      <x:c r="O211" s="34" t="str"/>
      <x:c r="P211" s="34" t="str"/>
      <x:c r="Q211" s="34" t="str"/>
      <x:c r="R211" s="34" t="str"/>
      <x:c r="S211" s="34" t="str"/>
      <x:c r="T211" s="34" t="str"/>
      <x:c r="U211" s="34" t="str"/>
      <x:c r="V211" s="34" t="str"/>
      <x:c r="W211" s="34" t="str"/>
      <x:c r="X211" s="34" t="str"/>
    </x:row>
    <x:row r="212">
      <x:c r="A212" s="34" t="str">
        <x:v>M5-EVT-0207</x:v>
      </x:c>
      <x:c r="B212" s="34" t="str"/>
      <x:c r="C212" s="34" t="str"/>
      <x:c r="D212" s="34" t="str"/>
      <x:c r="E212" s="34" t="str"/>
      <x:c r="F212" s="34" t="str"/>
      <x:c r="G212" s="34" t="str"/>
      <x:c r="H212" s="34" t="str"/>
      <x:c r="I212" s="34" t="str"/>
      <x:c r="J212" s="34" t="str"/>
      <x:c r="K212" s="34" t="str"/>
      <x:c r="L212" s="34" t="str"/>
      <x:c r="M212" s="34" t="str"/>
      <x:c r="N212" s="34" t="str"/>
      <x:c r="O212" s="34" t="str"/>
      <x:c r="P212" s="34" t="str"/>
      <x:c r="Q212" s="34" t="str"/>
      <x:c r="R212" s="34" t="str"/>
      <x:c r="S212" s="34" t="str"/>
      <x:c r="T212" s="34" t="str"/>
      <x:c r="U212" s="34" t="str"/>
      <x:c r="V212" s="34" t="str"/>
      <x:c r="W212" s="34" t="str"/>
      <x:c r="X212" s="34" t="str"/>
    </x:row>
    <x:row r="213">
      <x:c r="A213" s="34" t="str">
        <x:v>M5-EVT-0208</x:v>
      </x:c>
      <x:c r="B213" s="34" t="str"/>
      <x:c r="C213" s="34" t="str"/>
      <x:c r="D213" s="34" t="str"/>
      <x:c r="E213" s="34" t="str"/>
      <x:c r="F213" s="34" t="str"/>
      <x:c r="G213" s="34" t="str"/>
      <x:c r="H213" s="34" t="str"/>
      <x:c r="I213" s="34" t="str"/>
      <x:c r="J213" s="34" t="str"/>
      <x:c r="K213" s="34" t="str"/>
      <x:c r="L213" s="34" t="str"/>
      <x:c r="M213" s="34" t="str"/>
      <x:c r="N213" s="34" t="str"/>
      <x:c r="O213" s="34" t="str"/>
      <x:c r="P213" s="34" t="str"/>
      <x:c r="Q213" s="34" t="str"/>
      <x:c r="R213" s="34" t="str"/>
      <x:c r="S213" s="34" t="str"/>
      <x:c r="T213" s="34" t="str"/>
      <x:c r="U213" s="34" t="str"/>
      <x:c r="V213" s="34" t="str"/>
      <x:c r="W213" s="34" t="str"/>
      <x:c r="X213" s="34" t="str"/>
    </x:row>
    <x:row r="214">
      <x:c r="A214" s="34" t="str">
        <x:v>M5-EVT-0209</x:v>
      </x:c>
      <x:c r="B214" s="34" t="str"/>
      <x:c r="C214" s="34" t="str"/>
      <x:c r="D214" s="34" t="str"/>
      <x:c r="E214" s="34" t="str"/>
      <x:c r="F214" s="34" t="str"/>
      <x:c r="G214" s="34" t="str"/>
      <x:c r="H214" s="34" t="str"/>
      <x:c r="I214" s="34" t="str"/>
      <x:c r="J214" s="34" t="str"/>
      <x:c r="K214" s="34" t="str"/>
      <x:c r="L214" s="34" t="str"/>
      <x:c r="M214" s="34" t="str"/>
      <x:c r="N214" s="34" t="str"/>
      <x:c r="O214" s="34" t="str"/>
      <x:c r="P214" s="34" t="str"/>
      <x:c r="Q214" s="34" t="str"/>
      <x:c r="R214" s="34" t="str"/>
      <x:c r="S214" s="34" t="str"/>
      <x:c r="T214" s="34" t="str"/>
      <x:c r="U214" s="34" t="str"/>
      <x:c r="V214" s="34" t="str"/>
      <x:c r="W214" s="34" t="str"/>
      <x:c r="X214" s="34" t="str"/>
    </x:row>
    <x:row r="215">
      <x:c r="A215" s="34" t="str">
        <x:v>M5-EVT-0210</x:v>
      </x:c>
      <x:c r="B215" s="34" t="str"/>
      <x:c r="C215" s="34" t="str"/>
      <x:c r="D215" s="34" t="str"/>
      <x:c r="E215" s="34" t="str"/>
      <x:c r="F215" s="34" t="str"/>
      <x:c r="G215" s="34" t="str"/>
      <x:c r="H215" s="34" t="str"/>
      <x:c r="I215" s="34" t="str"/>
      <x:c r="J215" s="34" t="str"/>
      <x:c r="K215" s="34" t="str"/>
      <x:c r="L215" s="34" t="str"/>
      <x:c r="M215" s="34" t="str"/>
      <x:c r="N215" s="34" t="str"/>
      <x:c r="O215" s="34" t="str"/>
      <x:c r="P215" s="34" t="str"/>
      <x:c r="Q215" s="34" t="str"/>
      <x:c r="R215" s="34" t="str"/>
      <x:c r="S215" s="34" t="str"/>
      <x:c r="T215" s="34" t="str"/>
      <x:c r="U215" s="34" t="str"/>
      <x:c r="V215" s="34" t="str"/>
      <x:c r="W215" s="34" t="str"/>
      <x:c r="X215" s="34" t="str"/>
    </x:row>
    <x:row r="216">
      <x:c r="A216" s="34" t="str">
        <x:v>M5-EVT-0211</x:v>
      </x:c>
      <x:c r="B216" s="34" t="str"/>
      <x:c r="C216" s="34" t="str"/>
      <x:c r="D216" s="34" t="str"/>
      <x:c r="E216" s="34" t="str"/>
      <x:c r="F216" s="34" t="str"/>
      <x:c r="G216" s="34" t="str"/>
      <x:c r="H216" s="34" t="str"/>
      <x:c r="I216" s="34" t="str"/>
      <x:c r="J216" s="34" t="str"/>
      <x:c r="K216" s="34" t="str"/>
      <x:c r="L216" s="34" t="str"/>
      <x:c r="M216" s="34" t="str"/>
      <x:c r="N216" s="34" t="str"/>
      <x:c r="O216" s="34" t="str"/>
      <x:c r="P216" s="34" t="str"/>
      <x:c r="Q216" s="34" t="str"/>
      <x:c r="R216" s="34" t="str"/>
      <x:c r="S216" s="34" t="str"/>
      <x:c r="T216" s="34" t="str"/>
      <x:c r="U216" s="34" t="str"/>
      <x:c r="V216" s="34" t="str"/>
      <x:c r="W216" s="34" t="str"/>
      <x:c r="X216" s="34" t="str"/>
    </x:row>
    <x:row r="217">
      <x:c r="A217" s="34" t="str">
        <x:v>M5-EVT-0212</x:v>
      </x:c>
      <x:c r="B217" s="34" t="str"/>
      <x:c r="C217" s="34" t="str"/>
      <x:c r="D217" s="34" t="str"/>
      <x:c r="E217" s="34" t="str"/>
      <x:c r="F217" s="34" t="str"/>
      <x:c r="G217" s="34" t="str"/>
      <x:c r="H217" s="34" t="str"/>
      <x:c r="I217" s="34" t="str"/>
      <x:c r="J217" s="34" t="str"/>
      <x:c r="K217" s="34" t="str"/>
      <x:c r="L217" s="34" t="str"/>
      <x:c r="M217" s="34" t="str"/>
      <x:c r="N217" s="34" t="str"/>
      <x:c r="O217" s="34" t="str"/>
      <x:c r="P217" s="34" t="str"/>
      <x:c r="Q217" s="34" t="str"/>
      <x:c r="R217" s="34" t="str"/>
      <x:c r="S217" s="34" t="str"/>
      <x:c r="T217" s="34" t="str"/>
      <x:c r="U217" s="34" t="str"/>
      <x:c r="V217" s="34" t="str"/>
      <x:c r="W217" s="34" t="str"/>
      <x:c r="X217" s="34" t="str"/>
    </x:row>
    <x:row r="218">
      <x:c r="A218" s="34" t="str">
        <x:v>M5-EVT-0213</x:v>
      </x:c>
      <x:c r="B218" s="34" t="str"/>
      <x:c r="C218" s="34" t="str"/>
      <x:c r="D218" s="34" t="str"/>
      <x:c r="E218" s="34" t="str"/>
      <x:c r="F218" s="34" t="str"/>
      <x:c r="G218" s="34" t="str"/>
      <x:c r="H218" s="34" t="str"/>
      <x:c r="I218" s="34" t="str"/>
      <x:c r="J218" s="34" t="str"/>
      <x:c r="K218" s="34" t="str"/>
      <x:c r="L218" s="34" t="str"/>
      <x:c r="M218" s="34" t="str"/>
      <x:c r="N218" s="34" t="str"/>
      <x:c r="O218" s="34" t="str"/>
      <x:c r="P218" s="34" t="str"/>
      <x:c r="Q218" s="34" t="str"/>
      <x:c r="R218" s="34" t="str"/>
      <x:c r="S218" s="34" t="str"/>
      <x:c r="T218" s="34" t="str"/>
      <x:c r="U218" s="34" t="str"/>
      <x:c r="V218" s="34" t="str"/>
      <x:c r="W218" s="34" t="str"/>
      <x:c r="X218" s="34" t="str"/>
    </x:row>
    <x:row r="219">
      <x:c r="A219" s="34" t="str">
        <x:v>M5-EVT-0214</x:v>
      </x:c>
      <x:c r="B219" s="34" t="str"/>
      <x:c r="C219" s="34" t="str"/>
      <x:c r="D219" s="34" t="str"/>
      <x:c r="E219" s="34" t="str"/>
      <x:c r="F219" s="34" t="str"/>
      <x:c r="G219" s="34" t="str"/>
      <x:c r="H219" s="34" t="str"/>
      <x:c r="I219" s="34" t="str"/>
      <x:c r="J219" s="34" t="str"/>
      <x:c r="K219" s="34" t="str"/>
      <x:c r="L219" s="34" t="str"/>
      <x:c r="M219" s="34" t="str"/>
      <x:c r="N219" s="34" t="str"/>
      <x:c r="O219" s="34" t="str"/>
      <x:c r="P219" s="34" t="str"/>
      <x:c r="Q219" s="34" t="str"/>
      <x:c r="R219" s="34" t="str"/>
      <x:c r="S219" s="34" t="str"/>
      <x:c r="T219" s="34" t="str"/>
      <x:c r="U219" s="34" t="str"/>
      <x:c r="V219" s="34" t="str"/>
      <x:c r="W219" s="34" t="str"/>
      <x:c r="X219" s="34" t="str"/>
    </x:row>
    <x:row r="220">
      <x:c r="A220" s="34" t="str">
        <x:v>M5-EVT-0215</x:v>
      </x:c>
      <x:c r="B220" s="34" t="str"/>
      <x:c r="C220" s="34" t="str"/>
      <x:c r="D220" s="34" t="str"/>
      <x:c r="E220" s="34" t="str"/>
      <x:c r="F220" s="34" t="str"/>
      <x:c r="G220" s="34" t="str"/>
      <x:c r="H220" s="34" t="str"/>
      <x:c r="I220" s="34" t="str"/>
      <x:c r="J220" s="34" t="str"/>
      <x:c r="K220" s="34" t="str"/>
      <x:c r="L220" s="34" t="str"/>
      <x:c r="M220" s="34" t="str"/>
      <x:c r="N220" s="34" t="str"/>
      <x:c r="O220" s="34" t="str"/>
      <x:c r="P220" s="34" t="str"/>
      <x:c r="Q220" s="34" t="str"/>
      <x:c r="R220" s="34" t="str"/>
      <x:c r="S220" s="34" t="str"/>
      <x:c r="T220" s="34" t="str"/>
      <x:c r="U220" s="34" t="str"/>
      <x:c r="V220" s="34" t="str"/>
      <x:c r="W220" s="34" t="str"/>
      <x:c r="X220" s="34" t="str"/>
    </x:row>
    <x:row r="221">
      <x:c r="A221" s="34" t="str">
        <x:v>M5-EVT-0216</x:v>
      </x:c>
      <x:c r="B221" s="34" t="str"/>
      <x:c r="C221" s="34" t="str"/>
      <x:c r="D221" s="34" t="str"/>
      <x:c r="E221" s="34" t="str"/>
      <x:c r="F221" s="34" t="str"/>
      <x:c r="G221" s="34" t="str"/>
      <x:c r="H221" s="34" t="str"/>
      <x:c r="I221" s="34" t="str"/>
      <x:c r="J221" s="34" t="str"/>
      <x:c r="K221" s="34" t="str"/>
      <x:c r="L221" s="34" t="str"/>
      <x:c r="M221" s="34" t="str"/>
      <x:c r="N221" s="34" t="str"/>
      <x:c r="O221" s="34" t="str"/>
      <x:c r="P221" s="34" t="str"/>
      <x:c r="Q221" s="34" t="str"/>
      <x:c r="R221" s="34" t="str"/>
      <x:c r="S221" s="34" t="str"/>
      <x:c r="T221" s="34" t="str"/>
      <x:c r="U221" s="34" t="str"/>
      <x:c r="V221" s="34" t="str"/>
      <x:c r="W221" s="34" t="str"/>
      <x:c r="X221" s="34" t="str"/>
    </x:row>
    <x:row r="222">
      <x:c r="A222" s="34" t="str">
        <x:v>M5-EVT-0217</x:v>
      </x:c>
      <x:c r="B222" s="34" t="str"/>
      <x:c r="C222" s="34" t="str"/>
      <x:c r="D222" s="34" t="str"/>
      <x:c r="E222" s="34" t="str"/>
      <x:c r="F222" s="34" t="str"/>
      <x:c r="G222" s="34" t="str"/>
      <x:c r="H222" s="34" t="str"/>
      <x:c r="I222" s="34" t="str"/>
      <x:c r="J222" s="34" t="str"/>
      <x:c r="K222" s="34" t="str"/>
      <x:c r="L222" s="34" t="str"/>
      <x:c r="M222" s="34" t="str"/>
      <x:c r="N222" s="34" t="str"/>
      <x:c r="O222" s="34" t="str"/>
      <x:c r="P222" s="34" t="str"/>
      <x:c r="Q222" s="34" t="str"/>
      <x:c r="R222" s="34" t="str"/>
      <x:c r="S222" s="34" t="str"/>
      <x:c r="T222" s="34" t="str"/>
      <x:c r="U222" s="34" t="str"/>
      <x:c r="V222" s="34" t="str"/>
      <x:c r="W222" s="34" t="str"/>
      <x:c r="X222" s="34" t="str"/>
    </x:row>
    <x:row r="223">
      <x:c r="A223" s="34" t="str">
        <x:v>M5-EVT-0218</x:v>
      </x:c>
      <x:c r="B223" s="34" t="str"/>
      <x:c r="C223" s="34" t="str"/>
      <x:c r="D223" s="34" t="str"/>
      <x:c r="E223" s="34" t="str"/>
      <x:c r="F223" s="34" t="str"/>
      <x:c r="G223" s="34" t="str"/>
      <x:c r="H223" s="34" t="str"/>
      <x:c r="I223" s="34" t="str"/>
      <x:c r="J223" s="34" t="str"/>
      <x:c r="K223" s="34" t="str"/>
      <x:c r="L223" s="34" t="str"/>
      <x:c r="M223" s="34" t="str"/>
      <x:c r="N223" s="34" t="str"/>
      <x:c r="O223" s="34" t="str"/>
      <x:c r="P223" s="34" t="str"/>
      <x:c r="Q223" s="34" t="str"/>
      <x:c r="R223" s="34" t="str"/>
      <x:c r="S223" s="34" t="str"/>
      <x:c r="T223" s="34" t="str"/>
      <x:c r="U223" s="34" t="str"/>
      <x:c r="V223" s="34" t="str"/>
      <x:c r="W223" s="34" t="str"/>
      <x:c r="X223" s="34" t="str"/>
    </x:row>
    <x:row r="224">
      <x:c r="A224" s="34" t="str">
        <x:v>M5-EVT-0219</x:v>
      </x:c>
      <x:c r="B224" s="34" t="str"/>
      <x:c r="C224" s="34" t="str"/>
      <x:c r="D224" s="34" t="str"/>
      <x:c r="E224" s="34" t="str"/>
      <x:c r="F224" s="34" t="str"/>
      <x:c r="G224" s="34" t="str"/>
      <x:c r="H224" s="34" t="str"/>
      <x:c r="I224" s="34" t="str"/>
      <x:c r="J224" s="34" t="str"/>
      <x:c r="K224" s="34" t="str"/>
      <x:c r="L224" s="34" t="str"/>
      <x:c r="M224" s="34" t="str"/>
      <x:c r="N224" s="34" t="str"/>
      <x:c r="O224" s="34" t="str"/>
      <x:c r="P224" s="34" t="str"/>
      <x:c r="Q224" s="34" t="str"/>
      <x:c r="R224" s="34" t="str"/>
      <x:c r="S224" s="34" t="str"/>
      <x:c r="T224" s="34" t="str"/>
      <x:c r="U224" s="34" t="str"/>
      <x:c r="V224" s="34" t="str"/>
      <x:c r="W224" s="34" t="str"/>
      <x:c r="X224" s="34" t="str"/>
    </x:row>
    <x:row r="225">
      <x:c r="A225" s="34" t="str">
        <x:v>M5-EVT-0220</x:v>
      </x:c>
      <x:c r="B225" s="34" t="str"/>
      <x:c r="C225" s="34" t="str"/>
      <x:c r="D225" s="34" t="str"/>
      <x:c r="E225" s="34" t="str"/>
      <x:c r="F225" s="34" t="str"/>
      <x:c r="G225" s="34" t="str"/>
      <x:c r="H225" s="34" t="str"/>
      <x:c r="I225" s="34" t="str"/>
      <x:c r="J225" s="34" t="str"/>
      <x:c r="K225" s="34" t="str"/>
      <x:c r="L225" s="34" t="str"/>
      <x:c r="M225" s="34" t="str"/>
      <x:c r="N225" s="34" t="str"/>
      <x:c r="O225" s="34" t="str"/>
      <x:c r="P225" s="34" t="str"/>
      <x:c r="Q225" s="34" t="str"/>
      <x:c r="R225" s="34" t="str"/>
      <x:c r="S225" s="34" t="str"/>
      <x:c r="T225" s="34" t="str"/>
      <x:c r="U225" s="34" t="str"/>
      <x:c r="V225" s="34" t="str"/>
      <x:c r="W225" s="34" t="str"/>
      <x:c r="X225" s="34" t="str"/>
    </x:row>
    <x:row r="226">
      <x:c r="A226" s="34" t="str">
        <x:v>M5-EVT-0221</x:v>
      </x:c>
      <x:c r="B226" s="34" t="str"/>
      <x:c r="C226" s="34" t="str"/>
      <x:c r="D226" s="34" t="str"/>
      <x:c r="E226" s="34" t="str"/>
      <x:c r="F226" s="34" t="str"/>
      <x:c r="G226" s="34" t="str"/>
      <x:c r="H226" s="34" t="str"/>
      <x:c r="I226" s="34" t="str"/>
      <x:c r="J226" s="34" t="str"/>
      <x:c r="K226" s="34" t="str"/>
      <x:c r="L226" s="34" t="str"/>
      <x:c r="M226" s="34" t="str"/>
      <x:c r="N226" s="34" t="str"/>
      <x:c r="O226" s="34" t="str"/>
      <x:c r="P226" s="34" t="str"/>
      <x:c r="Q226" s="34" t="str"/>
      <x:c r="R226" s="34" t="str"/>
      <x:c r="S226" s="34" t="str"/>
      <x:c r="T226" s="34" t="str"/>
      <x:c r="U226" s="34" t="str"/>
      <x:c r="V226" s="34" t="str"/>
      <x:c r="W226" s="34" t="str"/>
      <x:c r="X226" s="34" t="str"/>
    </x:row>
    <x:row r="227">
      <x:c r="A227" s="34" t="str">
        <x:v>M5-EVT-0222</x:v>
      </x:c>
      <x:c r="B227" s="34" t="str"/>
      <x:c r="C227" s="34" t="str"/>
      <x:c r="D227" s="34" t="str"/>
      <x:c r="E227" s="34" t="str"/>
      <x:c r="F227" s="34" t="str"/>
      <x:c r="G227" s="34" t="str"/>
      <x:c r="H227" s="34" t="str"/>
      <x:c r="I227" s="34" t="str"/>
      <x:c r="J227" s="34" t="str"/>
      <x:c r="K227" s="34" t="str"/>
      <x:c r="L227" s="34" t="str"/>
      <x:c r="M227" s="34" t="str"/>
      <x:c r="N227" s="34" t="str"/>
      <x:c r="O227" s="34" t="str"/>
      <x:c r="P227" s="34" t="str"/>
      <x:c r="Q227" s="34" t="str"/>
      <x:c r="R227" s="34" t="str"/>
      <x:c r="S227" s="34" t="str"/>
      <x:c r="T227" s="34" t="str"/>
      <x:c r="U227" s="34" t="str"/>
      <x:c r="V227" s="34" t="str"/>
      <x:c r="W227" s="34" t="str"/>
      <x:c r="X227" s="34" t="str"/>
    </x:row>
    <x:row r="228">
      <x:c r="A228" s="34" t="str">
        <x:v>M5-EVT-0223</x:v>
      </x:c>
      <x:c r="B228" s="34" t="str"/>
      <x:c r="C228" s="34" t="str"/>
      <x:c r="D228" s="34" t="str"/>
      <x:c r="E228" s="34" t="str"/>
      <x:c r="F228" s="34" t="str"/>
      <x:c r="G228" s="34" t="str"/>
      <x:c r="H228" s="34" t="str"/>
      <x:c r="I228" s="34" t="str"/>
      <x:c r="J228" s="34" t="str"/>
      <x:c r="K228" s="34" t="str"/>
      <x:c r="L228" s="34" t="str"/>
      <x:c r="M228" s="34" t="str"/>
      <x:c r="N228" s="34" t="str"/>
      <x:c r="O228" s="34" t="str"/>
      <x:c r="P228" s="34" t="str"/>
      <x:c r="Q228" s="34" t="str"/>
      <x:c r="R228" s="34" t="str"/>
      <x:c r="S228" s="34" t="str"/>
      <x:c r="T228" s="34" t="str"/>
      <x:c r="U228" s="34" t="str"/>
      <x:c r="V228" s="34" t="str"/>
      <x:c r="W228" s="34" t="str"/>
      <x:c r="X228" s="34" t="str"/>
    </x:row>
    <x:row r="229">
      <x:c r="A229" s="34" t="str">
        <x:v>M5-EVT-0224</x:v>
      </x:c>
      <x:c r="B229" s="34" t="str"/>
      <x:c r="C229" s="34" t="str"/>
      <x:c r="D229" s="34" t="str"/>
      <x:c r="E229" s="34" t="str"/>
      <x:c r="F229" s="34" t="str"/>
      <x:c r="G229" s="34" t="str"/>
      <x:c r="H229" s="34" t="str"/>
      <x:c r="I229" s="34" t="str"/>
      <x:c r="J229" s="34" t="str"/>
      <x:c r="K229" s="34" t="str"/>
      <x:c r="L229" s="34" t="str"/>
      <x:c r="M229" s="34" t="str"/>
      <x:c r="N229" s="34" t="str"/>
      <x:c r="O229" s="34" t="str"/>
      <x:c r="P229" s="34" t="str"/>
      <x:c r="Q229" s="34" t="str"/>
      <x:c r="R229" s="34" t="str"/>
      <x:c r="S229" s="34" t="str"/>
      <x:c r="T229" s="34" t="str"/>
      <x:c r="U229" s="34" t="str"/>
      <x:c r="V229" s="34" t="str"/>
      <x:c r="W229" s="34" t="str"/>
      <x:c r="X229" s="34" t="str"/>
    </x:row>
    <x:row r="230">
      <x:c r="A230" s="34" t="str">
        <x:v>M5-EVT-0225</x:v>
      </x:c>
      <x:c r="B230" s="34" t="str"/>
      <x:c r="C230" s="34" t="str"/>
      <x:c r="D230" s="34" t="str"/>
      <x:c r="E230" s="34" t="str"/>
      <x:c r="F230" s="34" t="str"/>
      <x:c r="G230" s="34" t="str"/>
      <x:c r="H230" s="34" t="str"/>
      <x:c r="I230" s="34" t="str"/>
      <x:c r="J230" s="34" t="str"/>
      <x:c r="K230" s="34" t="str"/>
      <x:c r="L230" s="34" t="str"/>
      <x:c r="M230" s="34" t="str"/>
      <x:c r="N230" s="34" t="str"/>
      <x:c r="O230" s="34" t="str"/>
      <x:c r="P230" s="34" t="str"/>
      <x:c r="Q230" s="34" t="str"/>
      <x:c r="R230" s="34" t="str"/>
      <x:c r="S230" s="34" t="str"/>
      <x:c r="T230" s="34" t="str"/>
      <x:c r="U230" s="34" t="str"/>
      <x:c r="V230" s="34" t="str"/>
      <x:c r="W230" s="34" t="str"/>
      <x:c r="X230" s="34" t="str"/>
    </x:row>
    <x:row r="231">
      <x:c r="A231" s="34" t="str">
        <x:v>M5-EVT-0226</x:v>
      </x:c>
      <x:c r="B231" s="34" t="str"/>
      <x:c r="C231" s="34" t="str"/>
      <x:c r="D231" s="34" t="str"/>
      <x:c r="E231" s="34" t="str"/>
      <x:c r="F231" s="34" t="str"/>
      <x:c r="G231" s="34" t="str"/>
      <x:c r="H231" s="34" t="str"/>
      <x:c r="I231" s="34" t="str"/>
      <x:c r="J231" s="34" t="str"/>
      <x:c r="K231" s="34" t="str"/>
      <x:c r="L231" s="34" t="str"/>
      <x:c r="M231" s="34" t="str"/>
      <x:c r="N231" s="34" t="str"/>
      <x:c r="O231" s="34" t="str"/>
      <x:c r="P231" s="34" t="str"/>
      <x:c r="Q231" s="34" t="str"/>
      <x:c r="R231" s="34" t="str"/>
      <x:c r="S231" s="34" t="str"/>
      <x:c r="T231" s="34" t="str"/>
      <x:c r="U231" s="34" t="str"/>
      <x:c r="V231" s="34" t="str"/>
      <x:c r="W231" s="34" t="str"/>
      <x:c r="X231" s="34" t="str"/>
    </x:row>
    <x:row r="232">
      <x:c r="A232" s="34" t="str">
        <x:v>M5-EVT-0227</x:v>
      </x:c>
      <x:c r="B232" s="34" t="str"/>
      <x:c r="C232" s="34" t="str"/>
      <x:c r="D232" s="34" t="str"/>
      <x:c r="E232" s="34" t="str"/>
      <x:c r="F232" s="34" t="str"/>
      <x:c r="G232" s="34" t="str"/>
      <x:c r="H232" s="34" t="str"/>
      <x:c r="I232" s="34" t="str"/>
      <x:c r="J232" s="34" t="str"/>
      <x:c r="K232" s="34" t="str"/>
      <x:c r="L232" s="34" t="str"/>
      <x:c r="M232" s="34" t="str"/>
      <x:c r="N232" s="34" t="str"/>
      <x:c r="O232" s="34" t="str"/>
      <x:c r="P232" s="34" t="str"/>
      <x:c r="Q232" s="34" t="str"/>
      <x:c r="R232" s="34" t="str"/>
      <x:c r="S232" s="34" t="str"/>
      <x:c r="T232" s="34" t="str"/>
      <x:c r="U232" s="34" t="str"/>
      <x:c r="V232" s="34" t="str"/>
      <x:c r="W232" s="34" t="str"/>
      <x:c r="X232" s="34" t="str"/>
    </x:row>
    <x:row r="233">
      <x:c r="A233" s="34" t="str">
        <x:v>M5-EVT-0228</x:v>
      </x:c>
      <x:c r="B233" s="34" t="str"/>
      <x:c r="C233" s="34" t="str"/>
      <x:c r="D233" s="34" t="str"/>
      <x:c r="E233" s="34" t="str"/>
      <x:c r="F233" s="34" t="str"/>
      <x:c r="G233" s="34" t="str"/>
      <x:c r="H233" s="34" t="str"/>
      <x:c r="I233" s="34" t="str"/>
      <x:c r="J233" s="34" t="str"/>
      <x:c r="K233" s="34" t="str"/>
      <x:c r="L233" s="34" t="str"/>
      <x:c r="M233" s="34" t="str"/>
      <x:c r="N233" s="34" t="str"/>
      <x:c r="O233" s="34" t="str"/>
      <x:c r="P233" s="34" t="str"/>
      <x:c r="Q233" s="34" t="str"/>
      <x:c r="R233" s="34" t="str"/>
      <x:c r="S233" s="34" t="str"/>
      <x:c r="T233" s="34" t="str"/>
      <x:c r="U233" s="34" t="str"/>
      <x:c r="V233" s="34" t="str"/>
      <x:c r="W233" s="34" t="str"/>
      <x:c r="X233" s="34" t="str"/>
    </x:row>
    <x:row r="234">
      <x:c r="A234" s="34" t="str">
        <x:v>M5-EVT-0229</x:v>
      </x:c>
      <x:c r="B234" s="34" t="str"/>
      <x:c r="C234" s="34" t="str"/>
      <x:c r="D234" s="34" t="str"/>
      <x:c r="E234" s="34" t="str"/>
      <x:c r="F234" s="34" t="str"/>
      <x:c r="G234" s="34" t="str"/>
      <x:c r="H234" s="34" t="str"/>
      <x:c r="I234" s="34" t="str"/>
      <x:c r="J234" s="34" t="str"/>
      <x:c r="K234" s="34" t="str"/>
      <x:c r="L234" s="34" t="str"/>
      <x:c r="M234" s="34" t="str"/>
      <x:c r="N234" s="34" t="str"/>
      <x:c r="O234" s="34" t="str"/>
      <x:c r="P234" s="34" t="str"/>
      <x:c r="Q234" s="34" t="str"/>
      <x:c r="R234" s="34" t="str"/>
      <x:c r="S234" s="34" t="str"/>
      <x:c r="T234" s="34" t="str"/>
      <x:c r="U234" s="34" t="str"/>
      <x:c r="V234" s="34" t="str"/>
      <x:c r="W234" s="34" t="str"/>
      <x:c r="X234" s="34" t="str"/>
    </x:row>
    <x:row r="235">
      <x:c r="A235" s="34" t="str">
        <x:v>M5-EVT-0230</x:v>
      </x:c>
      <x:c r="B235" s="34" t="str"/>
      <x:c r="C235" s="34" t="str"/>
      <x:c r="D235" s="34" t="str"/>
      <x:c r="E235" s="34" t="str"/>
      <x:c r="F235" s="34" t="str"/>
      <x:c r="G235" s="34" t="str"/>
      <x:c r="H235" s="34" t="str"/>
      <x:c r="I235" s="34" t="str"/>
      <x:c r="J235" s="34" t="str"/>
      <x:c r="K235" s="34" t="str"/>
      <x:c r="L235" s="34" t="str"/>
      <x:c r="M235" s="34" t="str"/>
      <x:c r="N235" s="34" t="str"/>
      <x:c r="O235" s="34" t="str"/>
      <x:c r="P235" s="34" t="str"/>
      <x:c r="Q235" s="34" t="str"/>
      <x:c r="R235" s="34" t="str"/>
      <x:c r="S235" s="34" t="str"/>
      <x:c r="T235" s="34" t="str"/>
      <x:c r="U235" s="34" t="str"/>
      <x:c r="V235" s="34" t="str"/>
      <x:c r="W235" s="34" t="str"/>
      <x:c r="X235" s="34" t="str"/>
    </x:row>
    <x:row r="236">
      <x:c r="A236" s="34" t="str">
        <x:v>M5-EVT-0231</x:v>
      </x:c>
      <x:c r="B236" s="34" t="str"/>
      <x:c r="C236" s="34" t="str"/>
      <x:c r="D236" s="34" t="str"/>
      <x:c r="E236" s="34" t="str"/>
      <x:c r="F236" s="34" t="str"/>
      <x:c r="G236" s="34" t="str"/>
      <x:c r="H236" s="34" t="str"/>
      <x:c r="I236" s="34" t="str"/>
      <x:c r="J236" s="34" t="str"/>
      <x:c r="K236" s="34" t="str"/>
      <x:c r="L236" s="34" t="str"/>
      <x:c r="M236" s="34" t="str"/>
      <x:c r="N236" s="34" t="str"/>
      <x:c r="O236" s="34" t="str"/>
      <x:c r="P236" s="34" t="str"/>
      <x:c r="Q236" s="34" t="str"/>
      <x:c r="R236" s="34" t="str"/>
      <x:c r="S236" s="34" t="str"/>
      <x:c r="T236" s="34" t="str"/>
      <x:c r="U236" s="34" t="str"/>
      <x:c r="V236" s="34" t="str"/>
      <x:c r="W236" s="34" t="str"/>
      <x:c r="X236" s="34" t="str"/>
    </x:row>
    <x:row r="237">
      <x:c r="A237" s="34" t="str">
        <x:v>M5-EVT-0232</x:v>
      </x:c>
      <x:c r="B237" s="34" t="str"/>
      <x:c r="C237" s="34" t="str"/>
      <x:c r="D237" s="34" t="str"/>
      <x:c r="E237" s="34" t="str"/>
      <x:c r="F237" s="34" t="str"/>
      <x:c r="G237" s="34" t="str"/>
      <x:c r="H237" s="34" t="str"/>
      <x:c r="I237" s="34" t="str"/>
      <x:c r="J237" s="34" t="str"/>
      <x:c r="K237" s="34" t="str"/>
      <x:c r="L237" s="34" t="str"/>
      <x:c r="M237" s="34" t="str"/>
      <x:c r="N237" s="34" t="str"/>
      <x:c r="O237" s="34" t="str"/>
      <x:c r="P237" s="34" t="str"/>
      <x:c r="Q237" s="34" t="str"/>
      <x:c r="R237" s="34" t="str"/>
      <x:c r="S237" s="34" t="str"/>
      <x:c r="T237" s="34" t="str"/>
      <x:c r="U237" s="34" t="str"/>
      <x:c r="V237" s="34" t="str"/>
      <x:c r="W237" s="34" t="str"/>
      <x:c r="X237" s="34" t="str"/>
    </x:row>
    <x:row r="238">
      <x:c r="A238" s="34" t="str">
        <x:v>M5-EVT-0233</x:v>
      </x:c>
      <x:c r="B238" s="34" t="str"/>
      <x:c r="C238" s="34" t="str"/>
      <x:c r="D238" s="34" t="str"/>
      <x:c r="E238" s="34" t="str"/>
      <x:c r="F238" s="34" t="str"/>
      <x:c r="G238" s="34" t="str"/>
      <x:c r="H238" s="34" t="str"/>
      <x:c r="I238" s="34" t="str"/>
      <x:c r="J238" s="34" t="str"/>
      <x:c r="K238" s="34" t="str"/>
      <x:c r="L238" s="34" t="str"/>
      <x:c r="M238" s="34" t="str"/>
      <x:c r="N238" s="34" t="str"/>
      <x:c r="O238" s="34" t="str"/>
      <x:c r="P238" s="34" t="str"/>
      <x:c r="Q238" s="34" t="str"/>
      <x:c r="R238" s="34" t="str"/>
      <x:c r="S238" s="34" t="str"/>
      <x:c r="T238" s="34" t="str"/>
      <x:c r="U238" s="34" t="str"/>
      <x:c r="V238" s="34" t="str"/>
      <x:c r="W238" s="34" t="str"/>
      <x:c r="X238" s="34" t="str"/>
    </x:row>
    <x:row r="239">
      <x:c r="A239" s="34" t="str">
        <x:v>M5-EVT-0234</x:v>
      </x:c>
      <x:c r="B239" s="34" t="str"/>
      <x:c r="C239" s="34" t="str"/>
      <x:c r="D239" s="34" t="str"/>
      <x:c r="E239" s="34" t="str"/>
      <x:c r="F239" s="34" t="str"/>
      <x:c r="G239" s="34" t="str"/>
      <x:c r="H239" s="34" t="str"/>
      <x:c r="I239" s="34" t="str"/>
      <x:c r="J239" s="34" t="str"/>
      <x:c r="K239" s="34" t="str"/>
      <x:c r="L239" s="34" t="str"/>
      <x:c r="M239" s="34" t="str"/>
      <x:c r="N239" s="34" t="str"/>
      <x:c r="O239" s="34" t="str"/>
      <x:c r="P239" s="34" t="str"/>
      <x:c r="Q239" s="34" t="str"/>
      <x:c r="R239" s="34" t="str"/>
      <x:c r="S239" s="34" t="str"/>
      <x:c r="T239" s="34" t="str"/>
      <x:c r="U239" s="34" t="str"/>
      <x:c r="V239" s="34" t="str"/>
      <x:c r="W239" s="34" t="str"/>
      <x:c r="X239" s="34" t="str"/>
    </x:row>
    <x:row r="240">
      <x:c r="A240" s="34" t="str">
        <x:v>M5-EVT-0235</x:v>
      </x:c>
      <x:c r="B240" s="34" t="str"/>
      <x:c r="C240" s="34" t="str"/>
      <x:c r="D240" s="34" t="str"/>
      <x:c r="E240" s="34" t="str"/>
      <x:c r="F240" s="34" t="str"/>
      <x:c r="G240" s="34" t="str"/>
      <x:c r="H240" s="34" t="str"/>
      <x:c r="I240" s="34" t="str"/>
      <x:c r="J240" s="34" t="str"/>
      <x:c r="K240" s="34" t="str"/>
      <x:c r="L240" s="34" t="str"/>
      <x:c r="M240" s="34" t="str"/>
      <x:c r="N240" s="34" t="str"/>
      <x:c r="O240" s="34" t="str"/>
      <x:c r="P240" s="34" t="str"/>
      <x:c r="Q240" s="34" t="str"/>
      <x:c r="R240" s="34" t="str"/>
      <x:c r="S240" s="34" t="str"/>
      <x:c r="T240" s="34" t="str"/>
      <x:c r="U240" s="34" t="str"/>
      <x:c r="V240" s="34" t="str"/>
      <x:c r="W240" s="34" t="str"/>
      <x:c r="X240" s="34" t="str"/>
    </x:row>
    <x:row r="241">
      <x:c r="A241" s="34" t="str">
        <x:v>M5-EVT-0236</x:v>
      </x:c>
      <x:c r="B241" s="34" t="str"/>
      <x:c r="C241" s="34" t="str"/>
      <x:c r="D241" s="34" t="str"/>
      <x:c r="E241" s="34" t="str"/>
      <x:c r="F241" s="34" t="str"/>
      <x:c r="G241" s="34" t="str"/>
      <x:c r="H241" s="34" t="str"/>
      <x:c r="I241" s="34" t="str"/>
      <x:c r="J241" s="34" t="str"/>
      <x:c r="K241" s="34" t="str"/>
      <x:c r="L241" s="34" t="str"/>
      <x:c r="M241" s="34" t="str"/>
      <x:c r="N241" s="34" t="str"/>
      <x:c r="O241" s="34" t="str"/>
      <x:c r="P241" s="34" t="str"/>
      <x:c r="Q241" s="34" t="str"/>
      <x:c r="R241" s="34" t="str"/>
      <x:c r="S241" s="34" t="str"/>
      <x:c r="T241" s="34" t="str"/>
      <x:c r="U241" s="34" t="str"/>
      <x:c r="V241" s="34" t="str"/>
      <x:c r="W241" s="34" t="str"/>
      <x:c r="X241" s="34" t="str"/>
    </x:row>
    <x:row r="242">
      <x:c r="A242" s="34" t="str">
        <x:v>M5-EVT-0237</x:v>
      </x:c>
      <x:c r="B242" s="34" t="str"/>
      <x:c r="C242" s="34" t="str"/>
      <x:c r="D242" s="34" t="str"/>
      <x:c r="E242" s="34" t="str"/>
      <x:c r="F242" s="34" t="str"/>
      <x:c r="G242" s="34" t="str"/>
      <x:c r="H242" s="34" t="str"/>
      <x:c r="I242" s="34" t="str"/>
      <x:c r="J242" s="34" t="str"/>
      <x:c r="K242" s="34" t="str"/>
      <x:c r="L242" s="34" t="str"/>
      <x:c r="M242" s="34" t="str"/>
      <x:c r="N242" s="34" t="str"/>
      <x:c r="O242" s="34" t="str"/>
      <x:c r="P242" s="34" t="str"/>
      <x:c r="Q242" s="34" t="str"/>
      <x:c r="R242" s="34" t="str"/>
      <x:c r="S242" s="34" t="str"/>
      <x:c r="T242" s="34" t="str"/>
      <x:c r="U242" s="34" t="str"/>
      <x:c r="V242" s="34" t="str"/>
      <x:c r="W242" s="34" t="str"/>
      <x:c r="X242" s="34" t="str"/>
    </x:row>
    <x:row r="243">
      <x:c r="A243" s="34" t="str">
        <x:v>M5-EVT-0238</x:v>
      </x:c>
      <x:c r="B243" s="34" t="str"/>
      <x:c r="C243" s="34" t="str"/>
      <x:c r="D243" s="34" t="str"/>
      <x:c r="E243" s="34" t="str"/>
      <x:c r="F243" s="34" t="str"/>
      <x:c r="G243" s="34" t="str"/>
      <x:c r="H243" s="34" t="str"/>
      <x:c r="I243" s="34" t="str"/>
      <x:c r="J243" s="34" t="str"/>
      <x:c r="K243" s="34" t="str"/>
      <x:c r="L243" s="34" t="str"/>
      <x:c r="M243" s="34" t="str"/>
      <x:c r="N243" s="34" t="str"/>
      <x:c r="O243" s="34" t="str"/>
      <x:c r="P243" s="34" t="str"/>
      <x:c r="Q243" s="34" t="str"/>
      <x:c r="R243" s="34" t="str"/>
      <x:c r="S243" s="34" t="str"/>
      <x:c r="T243" s="34" t="str"/>
      <x:c r="U243" s="34" t="str"/>
      <x:c r="V243" s="34" t="str"/>
      <x:c r="W243" s="34" t="str"/>
      <x:c r="X243" s="34" t="str"/>
    </x:row>
    <x:row r="244">
      <x:c r="A244" s="34" t="str">
        <x:v>M5-EVT-0239</x:v>
      </x:c>
      <x:c r="B244" s="34" t="str"/>
      <x:c r="C244" s="34" t="str"/>
      <x:c r="D244" s="34" t="str"/>
      <x:c r="E244" s="34" t="str"/>
      <x:c r="F244" s="34" t="str"/>
      <x:c r="G244" s="34" t="str"/>
      <x:c r="H244" s="34" t="str"/>
      <x:c r="I244" s="34" t="str"/>
      <x:c r="J244" s="34" t="str"/>
      <x:c r="K244" s="34" t="str"/>
      <x:c r="L244" s="34" t="str"/>
      <x:c r="M244" s="34" t="str"/>
      <x:c r="N244" s="34" t="str"/>
      <x:c r="O244" s="34" t="str"/>
      <x:c r="P244" s="34" t="str"/>
      <x:c r="Q244" s="34" t="str"/>
      <x:c r="R244" s="34" t="str"/>
      <x:c r="S244" s="34" t="str"/>
      <x:c r="T244" s="34" t="str"/>
      <x:c r="U244" s="34" t="str"/>
      <x:c r="V244" s="34" t="str"/>
      <x:c r="W244" s="34" t="str"/>
      <x:c r="X244" s="34" t="str"/>
    </x:row>
    <x:row r="245">
      <x:c r="A245" s="34" t="str">
        <x:v>M5-EVT-0240</x:v>
      </x:c>
      <x:c r="B245" s="34" t="str"/>
      <x:c r="C245" s="34" t="str"/>
      <x:c r="D245" s="34" t="str"/>
      <x:c r="E245" s="34" t="str"/>
      <x:c r="F245" s="34" t="str"/>
      <x:c r="G245" s="34" t="str"/>
      <x:c r="H245" s="34" t="str"/>
      <x:c r="I245" s="34" t="str"/>
      <x:c r="J245" s="34" t="str"/>
      <x:c r="K245" s="34" t="str"/>
      <x:c r="L245" s="34" t="str"/>
      <x:c r="M245" s="34" t="str"/>
      <x:c r="N245" s="34" t="str"/>
      <x:c r="O245" s="34" t="str"/>
      <x:c r="P245" s="34" t="str"/>
      <x:c r="Q245" s="34" t="str"/>
      <x:c r="R245" s="34" t="str"/>
      <x:c r="S245" s="34" t="str"/>
      <x:c r="T245" s="34" t="str"/>
      <x:c r="U245" s="34" t="str"/>
      <x:c r="V245" s="34" t="str"/>
      <x:c r="W245" s="34" t="str"/>
      <x:c r="X245" s="34" t="str"/>
    </x:row>
    <x:row r="246">
      <x:c r="A246" s="34" t="str">
        <x:v>M5-EVT-0241</x:v>
      </x:c>
      <x:c r="B246" s="34" t="str"/>
      <x:c r="C246" s="34" t="str"/>
      <x:c r="D246" s="34" t="str"/>
      <x:c r="E246" s="34" t="str"/>
      <x:c r="F246" s="34" t="str"/>
      <x:c r="G246" s="34" t="str"/>
      <x:c r="H246" s="34" t="str"/>
      <x:c r="I246" s="34" t="str"/>
      <x:c r="J246" s="34" t="str"/>
      <x:c r="K246" s="34" t="str"/>
      <x:c r="L246" s="34" t="str"/>
      <x:c r="M246" s="34" t="str"/>
      <x:c r="N246" s="34" t="str"/>
      <x:c r="O246" s="34" t="str"/>
      <x:c r="P246" s="34" t="str"/>
      <x:c r="Q246" s="34" t="str"/>
      <x:c r="R246" s="34" t="str"/>
      <x:c r="S246" s="34" t="str"/>
      <x:c r="T246" s="34" t="str"/>
      <x:c r="U246" s="34" t="str"/>
      <x:c r="V246" s="34" t="str"/>
      <x:c r="W246" s="34" t="str"/>
      <x:c r="X246" s="34" t="str"/>
    </x:row>
    <x:row r="247">
      <x:c r="A247" s="34" t="str">
        <x:v>M5-EVT-0242</x:v>
      </x:c>
      <x:c r="B247" s="34" t="str"/>
      <x:c r="C247" s="34" t="str"/>
      <x:c r="D247" s="34" t="str"/>
      <x:c r="E247" s="34" t="str"/>
      <x:c r="F247" s="34" t="str"/>
      <x:c r="G247" s="34" t="str"/>
      <x:c r="H247" s="34" t="str"/>
      <x:c r="I247" s="34" t="str"/>
      <x:c r="J247" s="34" t="str"/>
      <x:c r="K247" s="34" t="str"/>
      <x:c r="L247" s="34" t="str"/>
      <x:c r="M247" s="34" t="str"/>
      <x:c r="N247" s="34" t="str"/>
      <x:c r="O247" s="34" t="str"/>
      <x:c r="P247" s="34" t="str"/>
      <x:c r="Q247" s="34" t="str"/>
      <x:c r="R247" s="34" t="str"/>
      <x:c r="S247" s="34" t="str"/>
      <x:c r="T247" s="34" t="str"/>
      <x:c r="U247" s="34" t="str"/>
      <x:c r="V247" s="34" t="str"/>
      <x:c r="W247" s="34" t="str"/>
      <x:c r="X247" s="34" t="str"/>
    </x:row>
    <x:row r="248">
      <x:c r="A248" s="34" t="str">
        <x:v>M5-EVT-0243</x:v>
      </x:c>
      <x:c r="B248" s="34" t="str"/>
      <x:c r="C248" s="34" t="str"/>
      <x:c r="D248" s="34" t="str"/>
      <x:c r="E248" s="34" t="str"/>
      <x:c r="F248" s="34" t="str"/>
      <x:c r="G248" s="34" t="str"/>
      <x:c r="H248" s="34" t="str"/>
      <x:c r="I248" s="34" t="str"/>
      <x:c r="J248" s="34" t="str"/>
      <x:c r="K248" s="34" t="str"/>
      <x:c r="L248" s="34" t="str"/>
      <x:c r="M248" s="34" t="str"/>
      <x:c r="N248" s="34" t="str"/>
      <x:c r="O248" s="34" t="str"/>
      <x:c r="P248" s="34" t="str"/>
      <x:c r="Q248" s="34" t="str"/>
      <x:c r="R248" s="34" t="str"/>
      <x:c r="S248" s="34" t="str"/>
      <x:c r="T248" s="34" t="str"/>
      <x:c r="U248" s="34" t="str"/>
      <x:c r="V248" s="34" t="str"/>
      <x:c r="W248" s="34" t="str"/>
      <x:c r="X248" s="34" t="str"/>
    </x:row>
    <x:row r="249">
      <x:c r="A249" s="34" t="str">
        <x:v>M5-EVT-0244</x:v>
      </x:c>
      <x:c r="B249" s="34" t="str"/>
      <x:c r="C249" s="34" t="str"/>
      <x:c r="D249" s="34" t="str"/>
      <x:c r="E249" s="34" t="str"/>
      <x:c r="F249" s="34" t="str"/>
      <x:c r="G249" s="34" t="str"/>
      <x:c r="H249" s="34" t="str"/>
      <x:c r="I249" s="34" t="str"/>
      <x:c r="J249" s="34" t="str"/>
      <x:c r="K249" s="34" t="str"/>
      <x:c r="L249" s="34" t="str"/>
      <x:c r="M249" s="34" t="str"/>
      <x:c r="N249" s="34" t="str"/>
      <x:c r="O249" s="34" t="str"/>
      <x:c r="P249" s="34" t="str"/>
      <x:c r="Q249" s="34" t="str"/>
      <x:c r="R249" s="34" t="str"/>
      <x:c r="S249" s="34" t="str"/>
      <x:c r="T249" s="34" t="str"/>
      <x:c r="U249" s="34" t="str"/>
      <x:c r="V249" s="34" t="str"/>
      <x:c r="W249" s="34" t="str"/>
      <x:c r="X249" s="34" t="str"/>
    </x:row>
    <x:row r="250">
      <x:c r="A250" s="34" t="str">
        <x:v>M5-EVT-0245</x:v>
      </x:c>
      <x:c r="B250" s="34" t="str"/>
      <x:c r="C250" s="34" t="str"/>
      <x:c r="D250" s="34" t="str"/>
      <x:c r="E250" s="34" t="str"/>
      <x:c r="F250" s="34" t="str"/>
      <x:c r="G250" s="34" t="str"/>
      <x:c r="H250" s="34" t="str"/>
      <x:c r="I250" s="34" t="str"/>
      <x:c r="J250" s="34" t="str"/>
      <x:c r="K250" s="34" t="str"/>
      <x:c r="L250" s="34" t="str"/>
      <x:c r="M250" s="34" t="str"/>
      <x:c r="N250" s="34" t="str"/>
      <x:c r="O250" s="34" t="str"/>
      <x:c r="P250" s="34" t="str"/>
      <x:c r="Q250" s="34" t="str"/>
      <x:c r="R250" s="34" t="str"/>
      <x:c r="S250" s="34" t="str"/>
      <x:c r="T250" s="34" t="str"/>
      <x:c r="U250" s="34" t="str"/>
      <x:c r="V250" s="34" t="str"/>
      <x:c r="W250" s="34" t="str"/>
      <x:c r="X250" s="34" t="str"/>
    </x:row>
    <x:row r="251">
      <x:c r="A251" s="34" t="str">
        <x:v>M5-EVT-0246</x:v>
      </x:c>
      <x:c r="B251" s="34" t="str"/>
      <x:c r="C251" s="34" t="str"/>
      <x:c r="D251" s="34" t="str"/>
      <x:c r="E251" s="34" t="str"/>
      <x:c r="F251" s="34" t="str"/>
      <x:c r="G251" s="34" t="str"/>
      <x:c r="H251" s="34" t="str"/>
      <x:c r="I251" s="34" t="str"/>
      <x:c r="J251" s="34" t="str"/>
      <x:c r="K251" s="34" t="str"/>
      <x:c r="L251" s="34" t="str"/>
      <x:c r="M251" s="34" t="str"/>
      <x:c r="N251" s="34" t="str"/>
      <x:c r="O251" s="34" t="str"/>
      <x:c r="P251" s="34" t="str"/>
      <x:c r="Q251" s="34" t="str"/>
      <x:c r="R251" s="34" t="str"/>
      <x:c r="S251" s="34" t="str"/>
      <x:c r="T251" s="34" t="str"/>
      <x:c r="U251" s="34" t="str"/>
      <x:c r="V251" s="34" t="str"/>
      <x:c r="W251" s="34" t="str"/>
      <x:c r="X251" s="34" t="str"/>
    </x:row>
    <x:row r="252">
      <x:c r="A252" s="34" t="str">
        <x:v>M5-EVT-0247</x:v>
      </x:c>
      <x:c r="B252" s="34" t="str"/>
      <x:c r="C252" s="34" t="str"/>
      <x:c r="D252" s="34" t="str"/>
      <x:c r="E252" s="34" t="str"/>
      <x:c r="F252" s="34" t="str"/>
      <x:c r="G252" s="34" t="str"/>
      <x:c r="H252" s="34" t="str"/>
      <x:c r="I252" s="34" t="str"/>
      <x:c r="J252" s="34" t="str"/>
      <x:c r="K252" s="34" t="str"/>
      <x:c r="L252" s="34" t="str"/>
      <x:c r="M252" s="34" t="str"/>
      <x:c r="N252" s="34" t="str"/>
      <x:c r="O252" s="34" t="str"/>
      <x:c r="P252" s="34" t="str"/>
      <x:c r="Q252" s="34" t="str"/>
      <x:c r="R252" s="34" t="str"/>
      <x:c r="S252" s="34" t="str"/>
      <x:c r="T252" s="34" t="str"/>
      <x:c r="U252" s="34" t="str"/>
      <x:c r="V252" s="34" t="str"/>
      <x:c r="W252" s="34" t="str"/>
      <x:c r="X252" s="34" t="str"/>
    </x:row>
    <x:row r="253">
      <x:c r="A253" s="34" t="str">
        <x:v>M5-EVT-0248</x:v>
      </x:c>
      <x:c r="B253" s="34" t="str"/>
      <x:c r="C253" s="34" t="str"/>
      <x:c r="D253" s="34" t="str"/>
      <x:c r="E253" s="34" t="str"/>
      <x:c r="F253" s="34" t="str"/>
      <x:c r="G253" s="34" t="str"/>
      <x:c r="H253" s="34" t="str"/>
      <x:c r="I253" s="34" t="str"/>
      <x:c r="J253" s="34" t="str"/>
      <x:c r="K253" s="34" t="str"/>
      <x:c r="L253" s="34" t="str"/>
      <x:c r="M253" s="34" t="str"/>
      <x:c r="N253" s="34" t="str"/>
      <x:c r="O253" s="34" t="str"/>
      <x:c r="P253" s="34" t="str"/>
      <x:c r="Q253" s="34" t="str"/>
      <x:c r="R253" s="34" t="str"/>
      <x:c r="S253" s="34" t="str"/>
      <x:c r="T253" s="34" t="str"/>
      <x:c r="U253" s="34" t="str"/>
      <x:c r="V253" s="34" t="str"/>
      <x:c r="W253" s="34" t="str"/>
      <x:c r="X253" s="34" t="str"/>
    </x:row>
    <x:row r="254">
      <x:c r="A254" s="34" t="str">
        <x:v>M5-EVT-0249</x:v>
      </x:c>
      <x:c r="B254" s="34" t="str"/>
      <x:c r="C254" s="34" t="str"/>
      <x:c r="D254" s="34" t="str"/>
      <x:c r="E254" s="34" t="str"/>
      <x:c r="F254" s="34" t="str"/>
      <x:c r="G254" s="34" t="str"/>
      <x:c r="H254" s="34" t="str"/>
      <x:c r="I254" s="34" t="str"/>
      <x:c r="J254" s="34" t="str"/>
      <x:c r="K254" s="34" t="str"/>
      <x:c r="L254" s="34" t="str"/>
      <x:c r="M254" s="34" t="str"/>
      <x:c r="N254" s="34" t="str"/>
      <x:c r="O254" s="34" t="str"/>
      <x:c r="P254" s="34" t="str"/>
      <x:c r="Q254" s="34" t="str"/>
      <x:c r="R254" s="34" t="str"/>
      <x:c r="S254" s="34" t="str"/>
      <x:c r="T254" s="34" t="str"/>
      <x:c r="U254" s="34" t="str"/>
      <x:c r="V254" s="34" t="str"/>
      <x:c r="W254" s="34" t="str"/>
      <x:c r="X254" s="34" t="str"/>
    </x:row>
    <x:row r="255">
      <x:c r="A255" s="34" t="str">
        <x:v>M5-EVT-0250</x:v>
      </x:c>
      <x:c r="B255" s="34" t="str"/>
      <x:c r="C255" s="34" t="str"/>
      <x:c r="D255" s="34" t="str"/>
      <x:c r="E255" s="34" t="str"/>
      <x:c r="F255" s="34" t="str"/>
      <x:c r="G255" s="34" t="str"/>
      <x:c r="H255" s="34" t="str"/>
      <x:c r="I255" s="34" t="str"/>
      <x:c r="J255" s="34" t="str"/>
      <x:c r="K255" s="34" t="str"/>
      <x:c r="L255" s="34" t="str"/>
      <x:c r="M255" s="34" t="str"/>
      <x:c r="N255" s="34" t="str"/>
      <x:c r="O255" s="34" t="str"/>
      <x:c r="P255" s="34" t="str"/>
      <x:c r="Q255" s="34" t="str"/>
      <x:c r="R255" s="34" t="str"/>
      <x:c r="S255" s="34" t="str"/>
      <x:c r="T255" s="34" t="str"/>
      <x:c r="U255" s="34" t="str"/>
      <x:c r="V255" s="34" t="str"/>
      <x:c r="W255" s="34" t="str"/>
      <x:c r="X255" s="34" t="str"/>
    </x:row>
    <x:row r="256">
      <x:c r="A256" s="34" t="str">
        <x:v>M5-EVT-0251</x:v>
      </x:c>
      <x:c r="B256" s="34" t="str"/>
      <x:c r="C256" s="34" t="str"/>
      <x:c r="D256" s="34" t="str"/>
      <x:c r="E256" s="34" t="str"/>
      <x:c r="F256" s="34" t="str"/>
      <x:c r="G256" s="34" t="str"/>
      <x:c r="H256" s="34" t="str"/>
      <x:c r="I256" s="34" t="str"/>
      <x:c r="J256" s="34" t="str"/>
      <x:c r="K256" s="34" t="str"/>
      <x:c r="L256" s="34" t="str"/>
      <x:c r="M256" s="34" t="str"/>
      <x:c r="N256" s="34" t="str"/>
      <x:c r="O256" s="34" t="str"/>
      <x:c r="P256" s="34" t="str"/>
      <x:c r="Q256" s="34" t="str"/>
      <x:c r="R256" s="34" t="str"/>
      <x:c r="S256" s="34" t="str"/>
      <x:c r="T256" s="34" t="str"/>
      <x:c r="U256" s="34" t="str"/>
      <x:c r="V256" s="34" t="str"/>
      <x:c r="W256" s="34" t="str"/>
      <x:c r="X256" s="34" t="str"/>
    </x:row>
    <x:row r="257">
      <x:c r="A257" s="34" t="str">
        <x:v>M5-EVT-0252</x:v>
      </x:c>
      <x:c r="B257" s="34" t="str"/>
      <x:c r="C257" s="34" t="str"/>
      <x:c r="D257" s="34" t="str"/>
      <x:c r="E257" s="34" t="str"/>
      <x:c r="F257" s="34" t="str"/>
      <x:c r="G257" s="34" t="str"/>
      <x:c r="H257" s="34" t="str"/>
      <x:c r="I257" s="34" t="str"/>
      <x:c r="J257" s="34" t="str"/>
      <x:c r="K257" s="34" t="str"/>
      <x:c r="L257" s="34" t="str"/>
      <x:c r="M257" s="34" t="str"/>
      <x:c r="N257" s="34" t="str"/>
      <x:c r="O257" s="34" t="str"/>
      <x:c r="P257" s="34" t="str"/>
      <x:c r="Q257" s="34" t="str"/>
      <x:c r="R257" s="34" t="str"/>
      <x:c r="S257" s="34" t="str"/>
      <x:c r="T257" s="34" t="str"/>
      <x:c r="U257" s="34" t="str"/>
      <x:c r="V257" s="34" t="str"/>
      <x:c r="W257" s="34" t="str"/>
      <x:c r="X257" s="34" t="str"/>
    </x:row>
    <x:row r="258">
      <x:c r="A258" s="34" t="str">
        <x:v>M5-EVT-0253</x:v>
      </x:c>
      <x:c r="B258" s="34" t="str"/>
      <x:c r="C258" s="34" t="str"/>
      <x:c r="D258" s="34" t="str"/>
      <x:c r="E258" s="34" t="str"/>
      <x:c r="F258" s="34" t="str"/>
      <x:c r="G258" s="34" t="str"/>
      <x:c r="H258" s="34" t="str"/>
      <x:c r="I258" s="34" t="str"/>
      <x:c r="J258" s="34" t="str"/>
      <x:c r="K258" s="34" t="str"/>
      <x:c r="L258" s="34" t="str"/>
      <x:c r="M258" s="34" t="str"/>
      <x:c r="N258" s="34" t="str"/>
      <x:c r="O258" s="34" t="str"/>
      <x:c r="P258" s="34" t="str"/>
      <x:c r="Q258" s="34" t="str"/>
      <x:c r="R258" s="34" t="str"/>
      <x:c r="S258" s="34" t="str"/>
      <x:c r="T258" s="34" t="str"/>
      <x:c r="U258" s="34" t="str"/>
      <x:c r="V258" s="34" t="str"/>
      <x:c r="W258" s="34" t="str"/>
      <x:c r="X258" s="34" t="str"/>
    </x:row>
    <x:row r="259">
      <x:c r="A259" s="34" t="str">
        <x:v>M5-EVT-0254</x:v>
      </x:c>
      <x:c r="B259" s="34" t="str"/>
      <x:c r="C259" s="34" t="str"/>
      <x:c r="D259" s="34" t="str"/>
      <x:c r="E259" s="34" t="str"/>
      <x:c r="F259" s="34" t="str"/>
      <x:c r="G259" s="34" t="str"/>
      <x:c r="H259" s="34" t="str"/>
      <x:c r="I259" s="34" t="str"/>
      <x:c r="J259" s="34" t="str"/>
      <x:c r="K259" s="34" t="str"/>
      <x:c r="L259" s="34" t="str"/>
      <x:c r="M259" s="34" t="str"/>
      <x:c r="N259" s="34" t="str"/>
      <x:c r="O259" s="34" t="str"/>
      <x:c r="P259" s="34" t="str"/>
      <x:c r="Q259" s="34" t="str"/>
      <x:c r="R259" s="34" t="str"/>
      <x:c r="S259" s="34" t="str"/>
      <x:c r="T259" s="34" t="str"/>
      <x:c r="U259" s="34" t="str"/>
      <x:c r="V259" s="34" t="str"/>
      <x:c r="W259" s="34" t="str"/>
      <x:c r="X259" s="34" t="str"/>
    </x:row>
    <x:row r="260">
      <x:c r="A260" s="34" t="str">
        <x:v>M5-EVT-0255</x:v>
      </x:c>
      <x:c r="B260" s="34" t="str"/>
      <x:c r="C260" s="34" t="str"/>
      <x:c r="D260" s="34" t="str"/>
      <x:c r="E260" s="34" t="str"/>
      <x:c r="F260" s="34" t="str"/>
      <x:c r="G260" s="34" t="str"/>
      <x:c r="H260" s="34" t="str"/>
      <x:c r="I260" s="34" t="str"/>
      <x:c r="J260" s="34" t="str"/>
      <x:c r="K260" s="34" t="str"/>
      <x:c r="L260" s="34" t="str"/>
      <x:c r="M260" s="34" t="str"/>
      <x:c r="N260" s="34" t="str"/>
      <x:c r="O260" s="34" t="str"/>
      <x:c r="P260" s="34" t="str"/>
      <x:c r="Q260" s="34" t="str"/>
      <x:c r="R260" s="34" t="str"/>
      <x:c r="S260" s="34" t="str"/>
      <x:c r="T260" s="34" t="str"/>
      <x:c r="U260" s="34" t="str"/>
      <x:c r="V260" s="34" t="str"/>
      <x:c r="W260" s="34" t="str"/>
      <x:c r="X260" s="34" t="str"/>
    </x:row>
    <x:row r="261">
      <x:c r="A261" s="34" t="str">
        <x:v>M5-EVT-0256</x:v>
      </x:c>
      <x:c r="B261" s="34" t="str"/>
      <x:c r="C261" s="34" t="str"/>
      <x:c r="D261" s="34" t="str"/>
      <x:c r="E261" s="34" t="str"/>
      <x:c r="F261" s="34" t="str"/>
      <x:c r="G261" s="34" t="str"/>
      <x:c r="H261" s="34" t="str"/>
      <x:c r="I261" s="34" t="str"/>
      <x:c r="J261" s="34" t="str"/>
      <x:c r="K261" s="34" t="str"/>
      <x:c r="L261" s="34" t="str"/>
      <x:c r="M261" s="34" t="str"/>
      <x:c r="N261" s="34" t="str"/>
      <x:c r="O261" s="34" t="str"/>
      <x:c r="P261" s="34" t="str"/>
      <x:c r="Q261" s="34" t="str"/>
      <x:c r="R261" s="34" t="str"/>
      <x:c r="S261" s="34" t="str"/>
      <x:c r="T261" s="34" t="str"/>
      <x:c r="U261" s="34" t="str"/>
      <x:c r="V261" s="34" t="str"/>
      <x:c r="W261" s="34" t="str"/>
      <x:c r="X261" s="34" t="str"/>
    </x:row>
    <x:row r="262">
      <x:c r="A262" s="34" t="str">
        <x:v>M5-EVT-0257</x:v>
      </x:c>
      <x:c r="B262" s="34" t="str"/>
      <x:c r="C262" s="34" t="str"/>
      <x:c r="D262" s="34" t="str"/>
      <x:c r="E262" s="34" t="str"/>
      <x:c r="F262" s="34" t="str"/>
      <x:c r="G262" s="34" t="str"/>
      <x:c r="H262" s="34" t="str"/>
      <x:c r="I262" s="34" t="str"/>
      <x:c r="J262" s="34" t="str"/>
      <x:c r="K262" s="34" t="str"/>
      <x:c r="L262" s="34" t="str"/>
      <x:c r="M262" s="34" t="str"/>
      <x:c r="N262" s="34" t="str"/>
      <x:c r="O262" s="34" t="str"/>
      <x:c r="P262" s="34" t="str"/>
      <x:c r="Q262" s="34" t="str"/>
      <x:c r="R262" s="34" t="str"/>
      <x:c r="S262" s="34" t="str"/>
      <x:c r="T262" s="34" t="str"/>
      <x:c r="U262" s="34" t="str"/>
      <x:c r="V262" s="34" t="str"/>
      <x:c r="W262" s="34" t="str"/>
      <x:c r="X262" s="34" t="str"/>
    </x:row>
    <x:row r="263">
      <x:c r="A263" s="34" t="str">
        <x:v>M5-EVT-0258</x:v>
      </x:c>
      <x:c r="B263" s="34" t="str"/>
      <x:c r="C263" s="34" t="str"/>
      <x:c r="D263" s="34" t="str"/>
      <x:c r="E263" s="34" t="str"/>
      <x:c r="F263" s="34" t="str"/>
      <x:c r="G263" s="34" t="str"/>
      <x:c r="H263" s="34" t="str"/>
      <x:c r="I263" s="34" t="str"/>
      <x:c r="J263" s="34" t="str"/>
      <x:c r="K263" s="34" t="str"/>
      <x:c r="L263" s="34" t="str"/>
      <x:c r="M263" s="34" t="str"/>
      <x:c r="N263" s="34" t="str"/>
      <x:c r="O263" s="34" t="str"/>
      <x:c r="P263" s="34" t="str"/>
      <x:c r="Q263" s="34" t="str"/>
      <x:c r="R263" s="34" t="str"/>
      <x:c r="S263" s="34" t="str"/>
      <x:c r="T263" s="34" t="str"/>
      <x:c r="U263" s="34" t="str"/>
      <x:c r="V263" s="34" t="str"/>
      <x:c r="W263" s="34" t="str"/>
      <x:c r="X263" s="34" t="str"/>
    </x:row>
    <x:row r="264">
      <x:c r="A264" s="34" t="str">
        <x:v>M5-EVT-0259</x:v>
      </x:c>
      <x:c r="B264" s="34" t="str"/>
      <x:c r="C264" s="34" t="str"/>
      <x:c r="D264" s="34" t="str"/>
      <x:c r="E264" s="34" t="str"/>
      <x:c r="F264" s="34" t="str"/>
      <x:c r="G264" s="34" t="str"/>
      <x:c r="H264" s="34" t="str"/>
      <x:c r="I264" s="34" t="str"/>
      <x:c r="J264" s="34" t="str"/>
      <x:c r="K264" s="34" t="str"/>
      <x:c r="L264" s="34" t="str"/>
      <x:c r="M264" s="34" t="str"/>
      <x:c r="N264" s="34" t="str"/>
      <x:c r="O264" s="34" t="str"/>
      <x:c r="P264" s="34" t="str"/>
      <x:c r="Q264" s="34" t="str"/>
      <x:c r="R264" s="34" t="str"/>
      <x:c r="S264" s="34" t="str"/>
      <x:c r="T264" s="34" t="str"/>
      <x:c r="U264" s="34" t="str"/>
      <x:c r="V264" s="34" t="str"/>
      <x:c r="W264" s="34" t="str"/>
      <x:c r="X264" s="34" t="str"/>
    </x:row>
    <x:row r="265">
      <x:c r="A265" s="34" t="str">
        <x:v>M5-EVT-0260</x:v>
      </x:c>
      <x:c r="B265" s="34" t="str"/>
      <x:c r="C265" s="34" t="str"/>
      <x:c r="D265" s="34" t="str"/>
      <x:c r="E265" s="34" t="str"/>
      <x:c r="F265" s="34" t="str"/>
      <x:c r="G265" s="34" t="str"/>
      <x:c r="H265" s="34" t="str"/>
      <x:c r="I265" s="34" t="str"/>
      <x:c r="J265" s="34" t="str"/>
      <x:c r="K265" s="34" t="str"/>
      <x:c r="L265" s="34" t="str"/>
      <x:c r="M265" s="34" t="str"/>
      <x:c r="N265" s="34" t="str"/>
      <x:c r="O265" s="34" t="str"/>
      <x:c r="P265" s="34" t="str"/>
      <x:c r="Q265" s="34" t="str"/>
      <x:c r="R265" s="34" t="str"/>
      <x:c r="S265" s="34" t="str"/>
      <x:c r="T265" s="34" t="str"/>
      <x:c r="U265" s="34" t="str"/>
      <x:c r="V265" s="34" t="str"/>
      <x:c r="W265" s="34" t="str"/>
      <x:c r="X265" s="34" t="str"/>
    </x:row>
    <x:row r="266">
      <x:c r="A266" s="34" t="str">
        <x:v>M5-EVT-0261</x:v>
      </x:c>
      <x:c r="B266" s="34" t="str"/>
      <x:c r="C266" s="34" t="str"/>
      <x:c r="D266" s="34" t="str"/>
      <x:c r="E266" s="34" t="str"/>
      <x:c r="F266" s="34" t="str"/>
      <x:c r="G266" s="34" t="str"/>
      <x:c r="H266" s="34" t="str"/>
      <x:c r="I266" s="34" t="str"/>
      <x:c r="J266" s="34" t="str"/>
      <x:c r="K266" s="34" t="str"/>
      <x:c r="L266" s="34" t="str"/>
      <x:c r="M266" s="34" t="str"/>
      <x:c r="N266" s="34" t="str"/>
      <x:c r="O266" s="34" t="str"/>
      <x:c r="P266" s="34" t="str"/>
      <x:c r="Q266" s="34" t="str"/>
      <x:c r="R266" s="34" t="str"/>
      <x:c r="S266" s="34" t="str"/>
      <x:c r="T266" s="34" t="str"/>
      <x:c r="U266" s="34" t="str"/>
      <x:c r="V266" s="34" t="str"/>
      <x:c r="W266" s="34" t="str"/>
      <x:c r="X266" s="34" t="str"/>
    </x:row>
    <x:row r="267">
      <x:c r="A267" s="34" t="str">
        <x:v>M5-EVT-0262</x:v>
      </x:c>
      <x:c r="B267" s="34" t="str"/>
      <x:c r="C267" s="34" t="str"/>
      <x:c r="D267" s="34" t="str"/>
      <x:c r="E267" s="34" t="str"/>
      <x:c r="F267" s="34" t="str"/>
      <x:c r="G267" s="34" t="str"/>
      <x:c r="H267" s="34" t="str"/>
      <x:c r="I267" s="34" t="str"/>
      <x:c r="J267" s="34" t="str"/>
      <x:c r="K267" s="34" t="str"/>
      <x:c r="L267" s="34" t="str"/>
      <x:c r="M267" s="34" t="str"/>
      <x:c r="N267" s="34" t="str"/>
      <x:c r="O267" s="34" t="str"/>
      <x:c r="P267" s="34" t="str"/>
      <x:c r="Q267" s="34" t="str"/>
      <x:c r="R267" s="34" t="str"/>
      <x:c r="S267" s="34" t="str"/>
      <x:c r="T267" s="34" t="str"/>
      <x:c r="U267" s="34" t="str"/>
      <x:c r="V267" s="34" t="str"/>
      <x:c r="W267" s="34" t="str"/>
      <x:c r="X267" s="34" t="str"/>
    </x:row>
    <x:row r="268">
      <x:c r="A268" s="34" t="str">
        <x:v>M5-EVT-0263</x:v>
      </x:c>
      <x:c r="B268" s="34" t="str"/>
      <x:c r="C268" s="34" t="str"/>
      <x:c r="D268" s="34" t="str"/>
      <x:c r="E268" s="34" t="str"/>
      <x:c r="F268" s="34" t="str"/>
      <x:c r="G268" s="34" t="str"/>
      <x:c r="H268" s="34" t="str"/>
      <x:c r="I268" s="34" t="str"/>
      <x:c r="J268" s="34" t="str"/>
      <x:c r="K268" s="34" t="str"/>
      <x:c r="L268" s="34" t="str"/>
      <x:c r="M268" s="34" t="str"/>
      <x:c r="N268" s="34" t="str"/>
      <x:c r="O268" s="34" t="str"/>
      <x:c r="P268" s="34" t="str"/>
      <x:c r="Q268" s="34" t="str"/>
      <x:c r="R268" s="34" t="str"/>
      <x:c r="S268" s="34" t="str"/>
      <x:c r="T268" s="34" t="str"/>
      <x:c r="U268" s="34" t="str"/>
      <x:c r="V268" s="34" t="str"/>
      <x:c r="W268" s="34" t="str"/>
      <x:c r="X268" s="34" t="str"/>
    </x:row>
    <x:row r="269">
      <x:c r="A269" s="34" t="str">
        <x:v>M5-EVT-0264</x:v>
      </x:c>
      <x:c r="B269" s="34" t="str"/>
      <x:c r="C269" s="34" t="str"/>
      <x:c r="D269" s="34" t="str"/>
      <x:c r="E269" s="34" t="str"/>
      <x:c r="F269" s="34" t="str"/>
      <x:c r="G269" s="34" t="str"/>
      <x:c r="H269" s="34" t="str"/>
      <x:c r="I269" s="34" t="str"/>
      <x:c r="J269" s="34" t="str"/>
      <x:c r="K269" s="34" t="str"/>
      <x:c r="L269" s="34" t="str"/>
      <x:c r="M269" s="34" t="str"/>
      <x:c r="N269" s="34" t="str"/>
      <x:c r="O269" s="34" t="str"/>
      <x:c r="P269" s="34" t="str"/>
      <x:c r="Q269" s="34" t="str"/>
      <x:c r="R269" s="34" t="str"/>
      <x:c r="S269" s="34" t="str"/>
      <x:c r="T269" s="34" t="str"/>
      <x:c r="U269" s="34" t="str"/>
      <x:c r="V269" s="34" t="str"/>
      <x:c r="W269" s="34" t="str"/>
      <x:c r="X269" s="34" t="str"/>
    </x:row>
    <x:row r="270">
      <x:c r="A270" s="34" t="str">
        <x:v>M5-EVT-0265</x:v>
      </x:c>
      <x:c r="B270" s="34" t="str"/>
      <x:c r="C270" s="34" t="str"/>
      <x:c r="D270" s="34" t="str"/>
      <x:c r="E270" s="34" t="str"/>
      <x:c r="F270" s="34" t="str"/>
      <x:c r="G270" s="34" t="str"/>
      <x:c r="H270" s="34" t="str"/>
      <x:c r="I270" s="34" t="str"/>
      <x:c r="J270" s="34" t="str"/>
      <x:c r="K270" s="34" t="str"/>
      <x:c r="L270" s="34" t="str"/>
      <x:c r="M270" s="34" t="str"/>
      <x:c r="N270" s="34" t="str"/>
      <x:c r="O270" s="34" t="str"/>
      <x:c r="P270" s="34" t="str"/>
      <x:c r="Q270" s="34" t="str"/>
      <x:c r="R270" s="34" t="str"/>
      <x:c r="S270" s="34" t="str"/>
      <x:c r="T270" s="34" t="str"/>
      <x:c r="U270" s="34" t="str"/>
      <x:c r="V270" s="34" t="str"/>
      <x:c r="W270" s="34" t="str"/>
      <x:c r="X270" s="34" t="str"/>
    </x:row>
    <x:row r="271">
      <x:c r="A271" s="34" t="str">
        <x:v>M5-EVT-0266</x:v>
      </x:c>
      <x:c r="B271" s="34" t="str"/>
      <x:c r="C271" s="34" t="str"/>
      <x:c r="D271" s="34" t="str"/>
      <x:c r="E271" s="34" t="str"/>
      <x:c r="F271" s="34" t="str"/>
      <x:c r="G271" s="34" t="str"/>
      <x:c r="H271" s="34" t="str"/>
      <x:c r="I271" s="34" t="str"/>
      <x:c r="J271" s="34" t="str"/>
      <x:c r="K271" s="34" t="str"/>
      <x:c r="L271" s="34" t="str"/>
      <x:c r="M271" s="34" t="str"/>
      <x:c r="N271" s="34" t="str"/>
      <x:c r="O271" s="34" t="str"/>
      <x:c r="P271" s="34" t="str"/>
      <x:c r="Q271" s="34" t="str"/>
      <x:c r="R271" s="34" t="str"/>
      <x:c r="S271" s="34" t="str"/>
      <x:c r="T271" s="34" t="str"/>
      <x:c r="U271" s="34" t="str"/>
      <x:c r="V271" s="34" t="str"/>
      <x:c r="W271" s="34" t="str"/>
      <x:c r="X271" s="34" t="str"/>
    </x:row>
    <x:row r="272">
      <x:c r="A272" s="34" t="str">
        <x:v>M5-EVT-0267</x:v>
      </x:c>
      <x:c r="B272" s="34" t="str"/>
      <x:c r="C272" s="34" t="str"/>
      <x:c r="D272" s="34" t="str"/>
      <x:c r="E272" s="34" t="str"/>
      <x:c r="F272" s="34" t="str"/>
      <x:c r="G272" s="34" t="str"/>
      <x:c r="H272" s="34" t="str"/>
      <x:c r="I272" s="34" t="str"/>
      <x:c r="J272" s="34" t="str"/>
      <x:c r="K272" s="34" t="str"/>
      <x:c r="L272" s="34" t="str"/>
      <x:c r="M272" s="34" t="str"/>
      <x:c r="N272" s="34" t="str"/>
      <x:c r="O272" s="34" t="str"/>
      <x:c r="P272" s="34" t="str"/>
      <x:c r="Q272" s="34" t="str"/>
      <x:c r="R272" s="34" t="str"/>
      <x:c r="S272" s="34" t="str"/>
      <x:c r="T272" s="34" t="str"/>
      <x:c r="U272" s="34" t="str"/>
      <x:c r="V272" s="34" t="str"/>
      <x:c r="W272" s="34" t="str"/>
      <x:c r="X272" s="34" t="str"/>
    </x:row>
    <x:row r="273">
      <x:c r="A273" s="34" t="str">
        <x:v>M5-EVT-0268</x:v>
      </x:c>
      <x:c r="B273" s="34" t="str"/>
      <x:c r="C273" s="34" t="str"/>
      <x:c r="D273" s="34" t="str"/>
      <x:c r="E273" s="34" t="str"/>
      <x:c r="F273" s="34" t="str"/>
      <x:c r="G273" s="34" t="str"/>
      <x:c r="H273" s="34" t="str"/>
      <x:c r="I273" s="34" t="str"/>
      <x:c r="J273" s="34" t="str"/>
      <x:c r="K273" s="34" t="str"/>
      <x:c r="L273" s="34" t="str"/>
      <x:c r="M273" s="34" t="str"/>
      <x:c r="N273" s="34" t="str"/>
      <x:c r="O273" s="34" t="str"/>
      <x:c r="P273" s="34" t="str"/>
      <x:c r="Q273" s="34" t="str"/>
      <x:c r="R273" s="34" t="str"/>
      <x:c r="S273" s="34" t="str"/>
      <x:c r="T273" s="34" t="str"/>
      <x:c r="U273" s="34" t="str"/>
      <x:c r="V273" s="34" t="str"/>
      <x:c r="W273" s="34" t="str"/>
      <x:c r="X273" s="34" t="str"/>
    </x:row>
    <x:row r="274">
      <x:c r="A274" s="34" t="str">
        <x:v>M5-EVT-0269</x:v>
      </x:c>
      <x:c r="B274" s="34" t="str"/>
      <x:c r="C274" s="34" t="str"/>
      <x:c r="D274" s="34" t="str"/>
      <x:c r="E274" s="34" t="str"/>
      <x:c r="F274" s="34" t="str"/>
      <x:c r="G274" s="34" t="str"/>
      <x:c r="H274" s="34" t="str"/>
      <x:c r="I274" s="34" t="str"/>
      <x:c r="J274" s="34" t="str"/>
      <x:c r="K274" s="34" t="str"/>
      <x:c r="L274" s="34" t="str"/>
      <x:c r="M274" s="34" t="str"/>
      <x:c r="N274" s="34" t="str"/>
      <x:c r="O274" s="34" t="str"/>
      <x:c r="P274" s="34" t="str"/>
      <x:c r="Q274" s="34" t="str"/>
      <x:c r="R274" s="34" t="str"/>
      <x:c r="S274" s="34" t="str"/>
      <x:c r="T274" s="34" t="str"/>
      <x:c r="U274" s="34" t="str"/>
      <x:c r="V274" s="34" t="str"/>
      <x:c r="W274" s="34" t="str"/>
      <x:c r="X274" s="34" t="str"/>
    </x:row>
    <x:row r="275">
      <x:c r="A275" s="34" t="str">
        <x:v>M5-EVT-0270</x:v>
      </x:c>
      <x:c r="B275" s="34" t="str"/>
      <x:c r="C275" s="34" t="str"/>
      <x:c r="D275" s="34" t="str"/>
      <x:c r="E275" s="34" t="str"/>
      <x:c r="F275" s="34" t="str"/>
      <x:c r="G275" s="34" t="str"/>
      <x:c r="H275" s="34" t="str"/>
      <x:c r="I275" s="34" t="str"/>
      <x:c r="J275" s="34" t="str"/>
      <x:c r="K275" s="34" t="str"/>
      <x:c r="L275" s="34" t="str"/>
      <x:c r="M275" s="34" t="str"/>
      <x:c r="N275" s="34" t="str"/>
      <x:c r="O275" s="34" t="str"/>
      <x:c r="P275" s="34" t="str"/>
      <x:c r="Q275" s="34" t="str"/>
      <x:c r="R275" s="34" t="str"/>
      <x:c r="S275" s="34" t="str"/>
      <x:c r="T275" s="34" t="str"/>
      <x:c r="U275" s="34" t="str"/>
      <x:c r="V275" s="34" t="str"/>
      <x:c r="W275" s="34" t="str"/>
      <x:c r="X275" s="34" t="str"/>
    </x:row>
    <x:row r="276">
      <x:c r="A276" s="34" t="str">
        <x:v>M5-EVT-0271</x:v>
      </x:c>
      <x:c r="B276" s="34" t="str"/>
      <x:c r="C276" s="34" t="str"/>
      <x:c r="D276" s="34" t="str"/>
      <x:c r="E276" s="34" t="str"/>
      <x:c r="F276" s="34" t="str"/>
      <x:c r="G276" s="34" t="str"/>
      <x:c r="H276" s="34" t="str"/>
      <x:c r="I276" s="34" t="str"/>
      <x:c r="J276" s="34" t="str"/>
      <x:c r="K276" s="34" t="str"/>
      <x:c r="L276" s="34" t="str"/>
      <x:c r="M276" s="34" t="str"/>
      <x:c r="N276" s="34" t="str"/>
      <x:c r="O276" s="34" t="str"/>
      <x:c r="P276" s="34" t="str"/>
      <x:c r="Q276" s="34" t="str"/>
      <x:c r="R276" s="34" t="str"/>
      <x:c r="S276" s="34" t="str"/>
      <x:c r="T276" s="34" t="str"/>
      <x:c r="U276" s="34" t="str"/>
      <x:c r="V276" s="34" t="str"/>
      <x:c r="W276" s="34" t="str"/>
      <x:c r="X276" s="34" t="str"/>
    </x:row>
    <x:row r="277">
      <x:c r="A277" s="34" t="str">
        <x:v>M5-EVT-0272</x:v>
      </x:c>
      <x:c r="B277" s="34" t="str"/>
      <x:c r="C277" s="34" t="str"/>
      <x:c r="D277" s="34" t="str"/>
      <x:c r="E277" s="34" t="str"/>
      <x:c r="F277" s="34" t="str"/>
      <x:c r="G277" s="34" t="str"/>
      <x:c r="H277" s="34" t="str"/>
      <x:c r="I277" s="34" t="str"/>
      <x:c r="J277" s="34" t="str"/>
      <x:c r="K277" s="34" t="str"/>
      <x:c r="L277" s="34" t="str"/>
      <x:c r="M277" s="34" t="str"/>
      <x:c r="N277" s="34" t="str"/>
      <x:c r="O277" s="34" t="str"/>
      <x:c r="P277" s="34" t="str"/>
      <x:c r="Q277" s="34" t="str"/>
      <x:c r="R277" s="34" t="str"/>
      <x:c r="S277" s="34" t="str"/>
      <x:c r="T277" s="34" t="str"/>
      <x:c r="U277" s="34" t="str"/>
      <x:c r="V277" s="34" t="str"/>
      <x:c r="W277" s="34" t="str"/>
      <x:c r="X277" s="34" t="str"/>
    </x:row>
    <x:row r="278">
      <x:c r="A278" s="34" t="str">
        <x:v>M5-EVT-0273</x:v>
      </x:c>
      <x:c r="B278" s="34" t="str"/>
      <x:c r="C278" s="34" t="str"/>
      <x:c r="D278" s="34" t="str"/>
      <x:c r="E278" s="34" t="str"/>
      <x:c r="F278" s="34" t="str"/>
      <x:c r="G278" s="34" t="str"/>
      <x:c r="H278" s="34" t="str"/>
      <x:c r="I278" s="34" t="str"/>
      <x:c r="J278" s="34" t="str"/>
      <x:c r="K278" s="34" t="str"/>
      <x:c r="L278" s="34" t="str"/>
      <x:c r="M278" s="34" t="str"/>
      <x:c r="N278" s="34" t="str"/>
      <x:c r="O278" s="34" t="str"/>
      <x:c r="P278" s="34" t="str"/>
      <x:c r="Q278" s="34" t="str"/>
      <x:c r="R278" s="34" t="str"/>
      <x:c r="S278" s="34" t="str"/>
      <x:c r="T278" s="34" t="str"/>
      <x:c r="U278" s="34" t="str"/>
      <x:c r="V278" s="34" t="str"/>
      <x:c r="W278" s="34" t="str"/>
      <x:c r="X278" s="34" t="str"/>
    </x:row>
    <x:row r="279">
      <x:c r="A279" s="34" t="str">
        <x:v>M5-EVT-0274</x:v>
      </x:c>
      <x:c r="B279" s="34" t="str"/>
      <x:c r="C279" s="34" t="str"/>
      <x:c r="D279" s="34" t="str"/>
      <x:c r="E279" s="34" t="str"/>
      <x:c r="F279" s="34" t="str"/>
      <x:c r="G279" s="34" t="str"/>
      <x:c r="H279" s="34" t="str"/>
      <x:c r="I279" s="34" t="str"/>
      <x:c r="J279" s="34" t="str"/>
      <x:c r="K279" s="34" t="str"/>
      <x:c r="L279" s="34" t="str"/>
      <x:c r="M279" s="34" t="str"/>
      <x:c r="N279" s="34" t="str"/>
      <x:c r="O279" s="34" t="str"/>
      <x:c r="P279" s="34" t="str"/>
      <x:c r="Q279" s="34" t="str"/>
      <x:c r="R279" s="34" t="str"/>
      <x:c r="S279" s="34" t="str"/>
      <x:c r="T279" s="34" t="str"/>
      <x:c r="U279" s="34" t="str"/>
      <x:c r="V279" s="34" t="str"/>
      <x:c r="W279" s="34" t="str"/>
      <x:c r="X279" s="34" t="str"/>
    </x:row>
    <x:row r="280">
      <x:c r="A280" s="34" t="str">
        <x:v>M5-EVT-0275</x:v>
      </x:c>
      <x:c r="B280" s="34" t="str"/>
      <x:c r="C280" s="34" t="str"/>
      <x:c r="D280" s="34" t="str"/>
      <x:c r="E280" s="34" t="str"/>
      <x:c r="F280" s="34" t="str"/>
      <x:c r="G280" s="34" t="str"/>
      <x:c r="H280" s="34" t="str"/>
      <x:c r="I280" s="34" t="str"/>
      <x:c r="J280" s="34" t="str"/>
      <x:c r="K280" s="34" t="str"/>
      <x:c r="L280" s="34" t="str"/>
      <x:c r="M280" s="34" t="str"/>
      <x:c r="N280" s="34" t="str"/>
      <x:c r="O280" s="34" t="str"/>
      <x:c r="P280" s="34" t="str"/>
      <x:c r="Q280" s="34" t="str"/>
      <x:c r="R280" s="34" t="str"/>
      <x:c r="S280" s="34" t="str"/>
      <x:c r="T280" s="34" t="str"/>
      <x:c r="U280" s="34" t="str"/>
      <x:c r="V280" s="34" t="str"/>
      <x:c r="W280" s="34" t="str"/>
      <x:c r="X280" s="34" t="str"/>
    </x:row>
    <x:row r="281">
      <x:c r="A281" s="34" t="str">
        <x:v>M5-EVT-0276</x:v>
      </x:c>
      <x:c r="B281" s="34" t="str"/>
      <x:c r="C281" s="34" t="str"/>
      <x:c r="D281" s="34" t="str"/>
      <x:c r="E281" s="34" t="str"/>
      <x:c r="F281" s="34" t="str"/>
      <x:c r="G281" s="34" t="str"/>
      <x:c r="H281" s="34" t="str"/>
      <x:c r="I281" s="34" t="str"/>
      <x:c r="J281" s="34" t="str"/>
      <x:c r="K281" s="34" t="str"/>
      <x:c r="L281" s="34" t="str"/>
      <x:c r="M281" s="34" t="str"/>
      <x:c r="N281" s="34" t="str"/>
      <x:c r="O281" s="34" t="str"/>
      <x:c r="P281" s="34" t="str"/>
      <x:c r="Q281" s="34" t="str"/>
      <x:c r="R281" s="34" t="str"/>
      <x:c r="S281" s="34" t="str"/>
      <x:c r="T281" s="34" t="str"/>
      <x:c r="U281" s="34" t="str"/>
      <x:c r="V281" s="34" t="str"/>
      <x:c r="W281" s="34" t="str"/>
      <x:c r="X281" s="34" t="str"/>
    </x:row>
    <x:row r="282">
      <x:c r="A282" s="34" t="str">
        <x:v>M5-EVT-0277</x:v>
      </x:c>
      <x:c r="B282" s="34" t="str"/>
      <x:c r="C282" s="34" t="str"/>
      <x:c r="D282" s="34" t="str"/>
      <x:c r="E282" s="34" t="str"/>
      <x:c r="F282" s="34" t="str"/>
      <x:c r="G282" s="34" t="str"/>
      <x:c r="H282" s="34" t="str"/>
      <x:c r="I282" s="34" t="str"/>
      <x:c r="J282" s="34" t="str"/>
      <x:c r="K282" s="34" t="str"/>
      <x:c r="L282" s="34" t="str"/>
      <x:c r="M282" s="34" t="str"/>
      <x:c r="N282" s="34" t="str"/>
      <x:c r="O282" s="34" t="str"/>
      <x:c r="P282" s="34" t="str"/>
      <x:c r="Q282" s="34" t="str"/>
      <x:c r="R282" s="34" t="str"/>
      <x:c r="S282" s="34" t="str"/>
      <x:c r="T282" s="34" t="str"/>
      <x:c r="U282" s="34" t="str"/>
      <x:c r="V282" s="34" t="str"/>
      <x:c r="W282" s="34" t="str"/>
      <x:c r="X282" s="34" t="str"/>
    </x:row>
    <x:row r="283">
      <x:c r="A283" s="34" t="str">
        <x:v>M5-EVT-0278</x:v>
      </x:c>
      <x:c r="B283" s="34" t="str"/>
      <x:c r="C283" s="34" t="str"/>
      <x:c r="D283" s="34" t="str"/>
      <x:c r="E283" s="34" t="str"/>
      <x:c r="F283" s="34" t="str"/>
      <x:c r="G283" s="34" t="str"/>
      <x:c r="H283" s="34" t="str"/>
      <x:c r="I283" s="34" t="str"/>
      <x:c r="J283" s="34" t="str"/>
      <x:c r="K283" s="34" t="str"/>
      <x:c r="L283" s="34" t="str"/>
      <x:c r="M283" s="34" t="str"/>
      <x:c r="N283" s="34" t="str"/>
      <x:c r="O283" s="34" t="str"/>
      <x:c r="P283" s="34" t="str"/>
      <x:c r="Q283" s="34" t="str"/>
      <x:c r="R283" s="34" t="str"/>
      <x:c r="S283" s="34" t="str"/>
      <x:c r="T283" s="34" t="str"/>
      <x:c r="U283" s="34" t="str"/>
      <x:c r="V283" s="34" t="str"/>
      <x:c r="W283" s="34" t="str"/>
      <x:c r="X283" s="34" t="str"/>
    </x:row>
    <x:row r="284">
      <x:c r="A284" s="34" t="str">
        <x:v>M5-EVT-0279</x:v>
      </x:c>
      <x:c r="B284" s="34" t="str"/>
      <x:c r="C284" s="34" t="str"/>
      <x:c r="D284" s="34" t="str"/>
      <x:c r="E284" s="34" t="str"/>
      <x:c r="F284" s="34" t="str"/>
      <x:c r="G284" s="34" t="str"/>
      <x:c r="H284" s="34" t="str"/>
      <x:c r="I284" s="34" t="str"/>
      <x:c r="J284" s="34" t="str"/>
      <x:c r="K284" s="34" t="str"/>
      <x:c r="L284" s="34" t="str"/>
      <x:c r="M284" s="34" t="str"/>
      <x:c r="N284" s="34" t="str"/>
      <x:c r="O284" s="34" t="str"/>
      <x:c r="P284" s="34" t="str"/>
      <x:c r="Q284" s="34" t="str"/>
      <x:c r="R284" s="34" t="str"/>
      <x:c r="S284" s="34" t="str"/>
      <x:c r="T284" s="34" t="str"/>
      <x:c r="U284" s="34" t="str"/>
      <x:c r="V284" s="34" t="str"/>
      <x:c r="W284" s="34" t="str"/>
      <x:c r="X284" s="34" t="str"/>
    </x:row>
    <x:row r="285">
      <x:c r="A285" s="34" t="str">
        <x:v>M5-EVT-0280</x:v>
      </x:c>
      <x:c r="B285" s="34" t="str"/>
      <x:c r="C285" s="34" t="str"/>
      <x:c r="D285" s="34" t="str"/>
      <x:c r="E285" s="34" t="str"/>
      <x:c r="F285" s="34" t="str"/>
      <x:c r="G285" s="34" t="str"/>
      <x:c r="H285" s="34" t="str"/>
      <x:c r="I285" s="34" t="str"/>
      <x:c r="J285" s="34" t="str"/>
      <x:c r="K285" s="34" t="str"/>
      <x:c r="L285" s="34" t="str"/>
      <x:c r="M285" s="34" t="str"/>
      <x:c r="N285" s="34" t="str"/>
      <x:c r="O285" s="34" t="str"/>
      <x:c r="P285" s="34" t="str"/>
      <x:c r="Q285" s="34" t="str"/>
      <x:c r="R285" s="34" t="str"/>
      <x:c r="S285" s="34" t="str"/>
      <x:c r="T285" s="34" t="str"/>
      <x:c r="U285" s="34" t="str"/>
      <x:c r="V285" s="34" t="str"/>
      <x:c r="W285" s="34" t="str"/>
      <x:c r="X285" s="34" t="str"/>
    </x:row>
    <x:row r="286">
      <x:c r="A286" s="34" t="str">
        <x:v>M5-EVT-0281</x:v>
      </x:c>
      <x:c r="B286" s="34" t="str"/>
      <x:c r="C286" s="34" t="str"/>
      <x:c r="D286" s="34" t="str"/>
      <x:c r="E286" s="34" t="str"/>
      <x:c r="F286" s="34" t="str"/>
      <x:c r="G286" s="34" t="str"/>
      <x:c r="H286" s="34" t="str"/>
      <x:c r="I286" s="34" t="str"/>
      <x:c r="J286" s="34" t="str"/>
      <x:c r="K286" s="34" t="str"/>
      <x:c r="L286" s="34" t="str"/>
      <x:c r="M286" s="34" t="str"/>
      <x:c r="N286" s="34" t="str"/>
      <x:c r="O286" s="34" t="str"/>
      <x:c r="P286" s="34" t="str"/>
      <x:c r="Q286" s="34" t="str"/>
      <x:c r="R286" s="34" t="str"/>
      <x:c r="S286" s="34" t="str"/>
      <x:c r="T286" s="34" t="str"/>
      <x:c r="U286" s="34" t="str"/>
      <x:c r="V286" s="34" t="str"/>
      <x:c r="W286" s="34" t="str"/>
      <x:c r="X286" s="34" t="str"/>
    </x:row>
    <x:row r="287">
      <x:c r="A287" s="34" t="str">
        <x:v>M5-EVT-0282</x:v>
      </x:c>
      <x:c r="B287" s="34" t="str"/>
      <x:c r="C287" s="34" t="str"/>
      <x:c r="D287" s="34" t="str"/>
      <x:c r="E287" s="34" t="str"/>
      <x:c r="F287" s="34" t="str"/>
      <x:c r="G287" s="34" t="str"/>
      <x:c r="H287" s="34" t="str"/>
      <x:c r="I287" s="34" t="str"/>
      <x:c r="J287" s="34" t="str"/>
      <x:c r="K287" s="34" t="str"/>
      <x:c r="L287" s="34" t="str"/>
      <x:c r="M287" s="34" t="str"/>
      <x:c r="N287" s="34" t="str"/>
      <x:c r="O287" s="34" t="str"/>
      <x:c r="P287" s="34" t="str"/>
      <x:c r="Q287" s="34" t="str"/>
      <x:c r="R287" s="34" t="str"/>
      <x:c r="S287" s="34" t="str"/>
      <x:c r="T287" s="34" t="str"/>
      <x:c r="U287" s="34" t="str"/>
      <x:c r="V287" s="34" t="str"/>
      <x:c r="W287" s="34" t="str"/>
      <x:c r="X287" s="34" t="str"/>
    </x:row>
    <x:row r="288">
      <x:c r="A288" s="34" t="str">
        <x:v>M5-EVT-0283</x:v>
      </x:c>
      <x:c r="B288" s="34" t="str"/>
      <x:c r="C288" s="34" t="str"/>
      <x:c r="D288" s="34" t="str"/>
      <x:c r="E288" s="34" t="str"/>
      <x:c r="F288" s="34" t="str"/>
      <x:c r="G288" s="34" t="str"/>
      <x:c r="H288" s="34" t="str"/>
      <x:c r="I288" s="34" t="str"/>
      <x:c r="J288" s="34" t="str"/>
      <x:c r="K288" s="34" t="str"/>
      <x:c r="L288" s="34" t="str"/>
      <x:c r="M288" s="34" t="str"/>
      <x:c r="N288" s="34" t="str"/>
      <x:c r="O288" s="34" t="str"/>
      <x:c r="P288" s="34" t="str"/>
      <x:c r="Q288" s="34" t="str"/>
      <x:c r="R288" s="34" t="str"/>
      <x:c r="S288" s="34" t="str"/>
      <x:c r="T288" s="34" t="str"/>
      <x:c r="U288" s="34" t="str"/>
      <x:c r="V288" s="34" t="str"/>
      <x:c r="W288" s="34" t="str"/>
      <x:c r="X288" s="34" t="str"/>
    </x:row>
    <x:row r="289">
      <x:c r="A289" s="34" t="str">
        <x:v>M5-EVT-0284</x:v>
      </x:c>
      <x:c r="B289" s="34" t="str"/>
      <x:c r="C289" s="34" t="str"/>
      <x:c r="D289" s="34" t="str"/>
      <x:c r="E289" s="34" t="str"/>
      <x:c r="F289" s="34" t="str"/>
      <x:c r="G289" s="34" t="str"/>
      <x:c r="H289" s="34" t="str"/>
      <x:c r="I289" s="34" t="str"/>
      <x:c r="J289" s="34" t="str"/>
      <x:c r="K289" s="34" t="str"/>
      <x:c r="L289" s="34" t="str"/>
      <x:c r="M289" s="34" t="str"/>
      <x:c r="N289" s="34" t="str"/>
      <x:c r="O289" s="34" t="str"/>
      <x:c r="P289" s="34" t="str"/>
      <x:c r="Q289" s="34" t="str"/>
      <x:c r="R289" s="34" t="str"/>
      <x:c r="S289" s="34" t="str"/>
      <x:c r="T289" s="34" t="str"/>
      <x:c r="U289" s="34" t="str"/>
      <x:c r="V289" s="34" t="str"/>
      <x:c r="W289" s="34" t="str"/>
      <x:c r="X289" s="34" t="str"/>
    </x:row>
    <x:row r="290">
      <x:c r="A290" s="34" t="str">
        <x:v>M5-EVT-0285</x:v>
      </x:c>
      <x:c r="B290" s="34" t="str"/>
      <x:c r="C290" s="34" t="str"/>
      <x:c r="D290" s="34" t="str"/>
      <x:c r="E290" s="34" t="str"/>
      <x:c r="F290" s="34" t="str"/>
      <x:c r="G290" s="34" t="str"/>
      <x:c r="H290" s="34" t="str"/>
      <x:c r="I290" s="34" t="str"/>
      <x:c r="J290" s="34" t="str"/>
      <x:c r="K290" s="34" t="str"/>
      <x:c r="L290" s="34" t="str"/>
      <x:c r="M290" s="34" t="str"/>
      <x:c r="N290" s="34" t="str"/>
      <x:c r="O290" s="34" t="str"/>
      <x:c r="P290" s="34" t="str"/>
      <x:c r="Q290" s="34" t="str"/>
      <x:c r="R290" s="34" t="str"/>
      <x:c r="S290" s="34" t="str"/>
      <x:c r="T290" s="34" t="str"/>
      <x:c r="U290" s="34" t="str"/>
      <x:c r="V290" s="34" t="str"/>
      <x:c r="W290" s="34" t="str"/>
      <x:c r="X290" s="34" t="str"/>
    </x:row>
    <x:row r="291">
      <x:c r="A291" s="34" t="str">
        <x:v>M5-EVT-0286</x:v>
      </x:c>
      <x:c r="B291" s="34" t="str"/>
      <x:c r="C291" s="34" t="str"/>
      <x:c r="D291" s="34" t="str"/>
      <x:c r="E291" s="34" t="str"/>
      <x:c r="F291" s="34" t="str"/>
      <x:c r="G291" s="34" t="str"/>
      <x:c r="H291" s="34" t="str"/>
      <x:c r="I291" s="34" t="str"/>
      <x:c r="J291" s="34" t="str"/>
      <x:c r="K291" s="34" t="str"/>
      <x:c r="L291" s="34" t="str"/>
      <x:c r="M291" s="34" t="str"/>
      <x:c r="N291" s="34" t="str"/>
      <x:c r="O291" s="34" t="str"/>
      <x:c r="P291" s="34" t="str"/>
      <x:c r="Q291" s="34" t="str"/>
      <x:c r="R291" s="34" t="str"/>
      <x:c r="S291" s="34" t="str"/>
      <x:c r="T291" s="34" t="str"/>
      <x:c r="U291" s="34" t="str"/>
      <x:c r="V291" s="34" t="str"/>
      <x:c r="W291" s="34" t="str"/>
      <x:c r="X291" s="34" t="str"/>
    </x:row>
    <x:row r="292">
      <x:c r="A292" s="34" t="str">
        <x:v>M5-EVT-0287</x:v>
      </x:c>
      <x:c r="B292" s="34" t="str"/>
      <x:c r="C292" s="34" t="str"/>
      <x:c r="D292" s="34" t="str"/>
      <x:c r="E292" s="34" t="str"/>
      <x:c r="F292" s="34" t="str"/>
      <x:c r="G292" s="34" t="str"/>
      <x:c r="H292" s="34" t="str"/>
      <x:c r="I292" s="34" t="str"/>
      <x:c r="J292" s="34" t="str"/>
      <x:c r="K292" s="34" t="str"/>
      <x:c r="L292" s="34" t="str"/>
      <x:c r="M292" s="34" t="str"/>
      <x:c r="N292" s="34" t="str"/>
      <x:c r="O292" s="34" t="str"/>
      <x:c r="P292" s="34" t="str"/>
      <x:c r="Q292" s="34" t="str"/>
      <x:c r="R292" s="34" t="str"/>
      <x:c r="S292" s="34" t="str"/>
      <x:c r="T292" s="34" t="str"/>
      <x:c r="U292" s="34" t="str"/>
      <x:c r="V292" s="34" t="str"/>
      <x:c r="W292" s="34" t="str"/>
      <x:c r="X292" s="34" t="str"/>
    </x:row>
    <x:row r="293">
      <x:c r="A293" s="34" t="str">
        <x:v>M5-EVT-0288</x:v>
      </x:c>
      <x:c r="B293" s="34" t="str"/>
      <x:c r="C293" s="34" t="str"/>
      <x:c r="D293" s="34" t="str"/>
      <x:c r="E293" s="34" t="str"/>
      <x:c r="F293" s="34" t="str"/>
      <x:c r="G293" s="34" t="str"/>
      <x:c r="H293" s="34" t="str"/>
      <x:c r="I293" s="34" t="str"/>
      <x:c r="J293" s="34" t="str"/>
      <x:c r="K293" s="34" t="str"/>
      <x:c r="L293" s="34" t="str"/>
      <x:c r="M293" s="34" t="str"/>
      <x:c r="N293" s="34" t="str"/>
      <x:c r="O293" s="34" t="str"/>
      <x:c r="P293" s="34" t="str"/>
      <x:c r="Q293" s="34" t="str"/>
      <x:c r="R293" s="34" t="str"/>
      <x:c r="S293" s="34" t="str"/>
      <x:c r="T293" s="34" t="str"/>
      <x:c r="U293" s="34" t="str"/>
      <x:c r="V293" s="34" t="str"/>
      <x:c r="W293" s="34" t="str"/>
      <x:c r="X293" s="34" t="str"/>
    </x:row>
    <x:row r="294">
      <x:c r="A294" s="34" t="str">
        <x:v>M5-EVT-0289</x:v>
      </x:c>
      <x:c r="B294" s="34" t="str"/>
      <x:c r="C294" s="34" t="str"/>
      <x:c r="D294" s="34" t="str"/>
      <x:c r="E294" s="34" t="str"/>
      <x:c r="F294" s="34" t="str"/>
      <x:c r="G294" s="34" t="str"/>
      <x:c r="H294" s="34" t="str"/>
      <x:c r="I294" s="34" t="str"/>
      <x:c r="J294" s="34" t="str"/>
      <x:c r="K294" s="34" t="str"/>
      <x:c r="L294" s="34" t="str"/>
      <x:c r="M294" s="34" t="str"/>
      <x:c r="N294" s="34" t="str"/>
      <x:c r="O294" s="34" t="str"/>
      <x:c r="P294" s="34" t="str"/>
      <x:c r="Q294" s="34" t="str"/>
      <x:c r="R294" s="34" t="str"/>
      <x:c r="S294" s="34" t="str"/>
      <x:c r="T294" s="34" t="str"/>
      <x:c r="U294" s="34" t="str"/>
      <x:c r="V294" s="34" t="str"/>
      <x:c r="W294" s="34" t="str"/>
      <x:c r="X294" s="34" t="str"/>
    </x:row>
    <x:row r="295">
      <x:c r="A295" s="34" t="str">
        <x:v>M5-EVT-0290</x:v>
      </x:c>
      <x:c r="B295" s="34" t="str"/>
      <x:c r="C295" s="34" t="str"/>
      <x:c r="D295" s="34" t="str"/>
      <x:c r="E295" s="34" t="str"/>
      <x:c r="F295" s="34" t="str"/>
      <x:c r="G295" s="34" t="str"/>
      <x:c r="H295" s="34" t="str"/>
      <x:c r="I295" s="34" t="str"/>
      <x:c r="J295" s="34" t="str"/>
      <x:c r="K295" s="34" t="str"/>
      <x:c r="L295" s="34" t="str"/>
      <x:c r="M295" s="34" t="str"/>
      <x:c r="N295" s="34" t="str"/>
      <x:c r="O295" s="34" t="str"/>
      <x:c r="P295" s="34" t="str"/>
      <x:c r="Q295" s="34" t="str"/>
      <x:c r="R295" s="34" t="str"/>
      <x:c r="S295" s="34" t="str"/>
      <x:c r="T295" s="34" t="str"/>
      <x:c r="U295" s="34" t="str"/>
      <x:c r="V295" s="34" t="str"/>
      <x:c r="W295" s="34" t="str"/>
      <x:c r="X295" s="34" t="str"/>
    </x:row>
    <x:row r="296">
      <x:c r="A296" s="34" t="str">
        <x:v>M5-EVT-0291</x:v>
      </x:c>
      <x:c r="B296" s="34" t="str"/>
      <x:c r="C296" s="34" t="str"/>
      <x:c r="D296" s="34" t="str"/>
      <x:c r="E296" s="34" t="str"/>
      <x:c r="F296" s="34" t="str"/>
      <x:c r="G296" s="34" t="str"/>
      <x:c r="H296" s="34" t="str"/>
      <x:c r="I296" s="34" t="str"/>
      <x:c r="J296" s="34" t="str"/>
      <x:c r="K296" s="34" t="str"/>
      <x:c r="L296" s="34" t="str"/>
      <x:c r="M296" s="34" t="str"/>
      <x:c r="N296" s="34" t="str"/>
      <x:c r="O296" s="34" t="str"/>
      <x:c r="P296" s="34" t="str"/>
      <x:c r="Q296" s="34" t="str"/>
      <x:c r="R296" s="34" t="str"/>
      <x:c r="S296" s="34" t="str"/>
      <x:c r="T296" s="34" t="str"/>
      <x:c r="U296" s="34" t="str"/>
      <x:c r="V296" s="34" t="str"/>
      <x:c r="W296" s="34" t="str"/>
      <x:c r="X296" s="34" t="str"/>
    </x:row>
    <x:row r="297">
      <x:c r="A297" s="34" t="str">
        <x:v>M5-EVT-0292</x:v>
      </x:c>
      <x:c r="B297" s="34" t="str"/>
      <x:c r="C297" s="34" t="str"/>
      <x:c r="D297" s="34" t="str"/>
      <x:c r="E297" s="34" t="str"/>
      <x:c r="F297" s="34" t="str"/>
      <x:c r="G297" s="34" t="str"/>
      <x:c r="H297" s="34" t="str"/>
      <x:c r="I297" s="34" t="str"/>
      <x:c r="J297" s="34" t="str"/>
      <x:c r="K297" s="34" t="str"/>
      <x:c r="L297" s="34" t="str"/>
      <x:c r="M297" s="34" t="str"/>
      <x:c r="N297" s="34" t="str"/>
      <x:c r="O297" s="34" t="str"/>
      <x:c r="P297" s="34" t="str"/>
      <x:c r="Q297" s="34" t="str"/>
      <x:c r="R297" s="34" t="str"/>
      <x:c r="S297" s="34" t="str"/>
      <x:c r="T297" s="34" t="str"/>
      <x:c r="U297" s="34" t="str"/>
      <x:c r="V297" s="34" t="str"/>
      <x:c r="W297" s="34" t="str"/>
      <x:c r="X297" s="34" t="str"/>
    </x:row>
    <x:row r="298">
      <x:c r="A298" s="34" t="str">
        <x:v>M5-EVT-0293</x:v>
      </x:c>
      <x:c r="B298" s="34" t="str"/>
      <x:c r="C298" s="34" t="str"/>
      <x:c r="D298" s="34" t="str"/>
      <x:c r="E298" s="34" t="str"/>
      <x:c r="F298" s="34" t="str"/>
      <x:c r="G298" s="34" t="str"/>
      <x:c r="H298" s="34" t="str"/>
      <x:c r="I298" s="34" t="str"/>
      <x:c r="J298" s="34" t="str"/>
      <x:c r="K298" s="34" t="str"/>
      <x:c r="L298" s="34" t="str"/>
      <x:c r="M298" s="34" t="str"/>
      <x:c r="N298" s="34" t="str"/>
      <x:c r="O298" s="34" t="str"/>
      <x:c r="P298" s="34" t="str"/>
      <x:c r="Q298" s="34" t="str"/>
      <x:c r="R298" s="34" t="str"/>
      <x:c r="S298" s="34" t="str"/>
      <x:c r="T298" s="34" t="str"/>
      <x:c r="U298" s="34" t="str"/>
      <x:c r="V298" s="34" t="str"/>
      <x:c r="W298" s="34" t="str"/>
      <x:c r="X298" s="34" t="str"/>
    </x:row>
    <x:row r="299">
      <x:c r="A299" s="34" t="str">
        <x:v>M5-EVT-0294</x:v>
      </x:c>
      <x:c r="B299" s="34" t="str"/>
      <x:c r="C299" s="34" t="str"/>
      <x:c r="D299" s="34" t="str"/>
      <x:c r="E299" s="34" t="str"/>
      <x:c r="F299" s="34" t="str"/>
      <x:c r="G299" s="34" t="str"/>
      <x:c r="H299" s="34" t="str"/>
      <x:c r="I299" s="34" t="str"/>
      <x:c r="J299" s="34" t="str"/>
      <x:c r="K299" s="34" t="str"/>
      <x:c r="L299" s="34" t="str"/>
      <x:c r="M299" s="34" t="str"/>
      <x:c r="N299" s="34" t="str"/>
      <x:c r="O299" s="34" t="str"/>
      <x:c r="P299" s="34" t="str"/>
      <x:c r="Q299" s="34" t="str"/>
      <x:c r="R299" s="34" t="str"/>
      <x:c r="S299" s="34" t="str"/>
      <x:c r="T299" s="34" t="str"/>
      <x:c r="U299" s="34" t="str"/>
      <x:c r="V299" s="34" t="str"/>
      <x:c r="W299" s="34" t="str"/>
      <x:c r="X299" s="34" t="str"/>
    </x:row>
    <x:row r="300">
      <x:c r="A300" s="34" t="str">
        <x:v>M5-EVT-0295</x:v>
      </x:c>
      <x:c r="B300" s="34" t="str"/>
      <x:c r="C300" s="34" t="str"/>
      <x:c r="D300" s="34" t="str"/>
      <x:c r="E300" s="34" t="str"/>
      <x:c r="F300" s="34" t="str"/>
      <x:c r="G300" s="34" t="str"/>
      <x:c r="H300" s="34" t="str"/>
      <x:c r="I300" s="34" t="str"/>
      <x:c r="J300" s="34" t="str"/>
      <x:c r="K300" s="34" t="str"/>
      <x:c r="L300" s="34" t="str"/>
      <x:c r="M300" s="34" t="str"/>
      <x:c r="N300" s="34" t="str"/>
      <x:c r="O300" s="34" t="str"/>
      <x:c r="P300" s="34" t="str"/>
      <x:c r="Q300" s="34" t="str"/>
      <x:c r="R300" s="34" t="str"/>
      <x:c r="S300" s="34" t="str"/>
      <x:c r="T300" s="34" t="str"/>
      <x:c r="U300" s="34" t="str"/>
      <x:c r="V300" s="34" t="str"/>
      <x:c r="W300" s="34" t="str"/>
      <x:c r="X300" s="34" t="str"/>
    </x:row>
    <x:row r="301">
      <x:c r="A301" s="34" t="str">
        <x:v>M5-EVT-0296</x:v>
      </x:c>
      <x:c r="B301" s="34" t="str"/>
      <x:c r="C301" s="34" t="str"/>
      <x:c r="D301" s="34" t="str"/>
      <x:c r="E301" s="34" t="str"/>
      <x:c r="F301" s="34" t="str"/>
      <x:c r="G301" s="34" t="str"/>
      <x:c r="H301" s="34" t="str"/>
      <x:c r="I301" s="34" t="str"/>
      <x:c r="J301" s="34" t="str"/>
      <x:c r="K301" s="34" t="str"/>
      <x:c r="L301" s="34" t="str"/>
      <x:c r="M301" s="34" t="str"/>
      <x:c r="N301" s="34" t="str"/>
      <x:c r="O301" s="34" t="str"/>
      <x:c r="P301" s="34" t="str"/>
      <x:c r="Q301" s="34" t="str"/>
      <x:c r="R301" s="34" t="str"/>
      <x:c r="S301" s="34" t="str"/>
      <x:c r="T301" s="34" t="str"/>
      <x:c r="U301" s="34" t="str"/>
      <x:c r="V301" s="34" t="str"/>
      <x:c r="W301" s="34" t="str"/>
      <x:c r="X301" s="34" t="str"/>
    </x:row>
    <x:row r="302">
      <x:c r="A302" s="34" t="str">
        <x:v>M5-EVT-0297</x:v>
      </x:c>
      <x:c r="B302" s="34" t="str"/>
      <x:c r="C302" s="34" t="str"/>
      <x:c r="D302" s="34" t="str"/>
      <x:c r="E302" s="34" t="str"/>
      <x:c r="F302" s="34" t="str"/>
      <x:c r="G302" s="34" t="str"/>
      <x:c r="H302" s="34" t="str"/>
      <x:c r="I302" s="34" t="str"/>
      <x:c r="J302" s="34" t="str"/>
      <x:c r="K302" s="34" t="str"/>
      <x:c r="L302" s="34" t="str"/>
      <x:c r="M302" s="34" t="str"/>
      <x:c r="N302" s="34" t="str"/>
      <x:c r="O302" s="34" t="str"/>
      <x:c r="P302" s="34" t="str"/>
      <x:c r="Q302" s="34" t="str"/>
      <x:c r="R302" s="34" t="str"/>
      <x:c r="S302" s="34" t="str"/>
      <x:c r="T302" s="34" t="str"/>
      <x:c r="U302" s="34" t="str"/>
      <x:c r="V302" s="34" t="str"/>
      <x:c r="W302" s="34" t="str"/>
      <x:c r="X302" s="34" t="str"/>
    </x:row>
    <x:row r="303">
      <x:c r="A303" s="34" t="str">
        <x:v>M5-EVT-0298</x:v>
      </x:c>
      <x:c r="B303" s="34" t="str"/>
      <x:c r="C303" s="34" t="str"/>
      <x:c r="D303" s="34" t="str"/>
      <x:c r="E303" s="34" t="str"/>
      <x:c r="F303" s="34" t="str"/>
      <x:c r="G303" s="34" t="str"/>
      <x:c r="H303" s="34" t="str"/>
      <x:c r="I303" s="34" t="str"/>
      <x:c r="J303" s="34" t="str"/>
      <x:c r="K303" s="34" t="str"/>
      <x:c r="L303" s="34" t="str"/>
      <x:c r="M303" s="34" t="str"/>
      <x:c r="N303" s="34" t="str"/>
      <x:c r="O303" s="34" t="str"/>
      <x:c r="P303" s="34" t="str"/>
      <x:c r="Q303" s="34" t="str"/>
      <x:c r="R303" s="34" t="str"/>
      <x:c r="S303" s="34" t="str"/>
      <x:c r="T303" s="34" t="str"/>
      <x:c r="U303" s="34" t="str"/>
      <x:c r="V303" s="34" t="str"/>
      <x:c r="W303" s="34" t="str"/>
      <x:c r="X303" s="34" t="str"/>
    </x:row>
    <x:row r="304">
      <x:c r="A304" s="34" t="str">
        <x:v>M5-EVT-0299</x:v>
      </x:c>
      <x:c r="B304" s="34" t="str"/>
      <x:c r="C304" s="34" t="str"/>
      <x:c r="D304" s="34" t="str"/>
      <x:c r="E304" s="34" t="str"/>
      <x:c r="F304" s="34" t="str"/>
      <x:c r="G304" s="34" t="str"/>
      <x:c r="H304" s="34" t="str"/>
      <x:c r="I304" s="34" t="str"/>
      <x:c r="J304" s="34" t="str"/>
      <x:c r="K304" s="34" t="str"/>
      <x:c r="L304" s="34" t="str"/>
      <x:c r="M304" s="34" t="str"/>
      <x:c r="N304" s="34" t="str"/>
      <x:c r="O304" s="34" t="str"/>
      <x:c r="P304" s="34" t="str"/>
      <x:c r="Q304" s="34" t="str"/>
      <x:c r="R304" s="34" t="str"/>
      <x:c r="S304" s="34" t="str"/>
      <x:c r="T304" s="34" t="str"/>
      <x:c r="U304" s="34" t="str"/>
      <x:c r="V304" s="34" t="str"/>
      <x:c r="W304" s="34" t="str"/>
      <x:c r="X304" s="34" t="str"/>
    </x:row>
    <x:row r="305">
      <x:c r="A305" s="34" t="str">
        <x:v>M5-EVT-0300</x:v>
      </x:c>
      <x:c r="B305" s="34" t="str"/>
      <x:c r="C305" s="34" t="str"/>
      <x:c r="D305" s="34" t="str"/>
      <x:c r="E305" s="34" t="str"/>
      <x:c r="F305" s="34" t="str"/>
      <x:c r="G305" s="34" t="str"/>
      <x:c r="H305" s="34" t="str"/>
      <x:c r="I305" s="34" t="str"/>
      <x:c r="J305" s="34" t="str"/>
      <x:c r="K305" s="34" t="str"/>
      <x:c r="L305" s="34" t="str"/>
      <x:c r="M305" s="34" t="str"/>
      <x:c r="N305" s="34" t="str"/>
      <x:c r="O305" s="34" t="str"/>
      <x:c r="P305" s="34" t="str"/>
      <x:c r="Q305" s="34" t="str"/>
      <x:c r="R305" s="34" t="str"/>
      <x:c r="S305" s="34" t="str"/>
      <x:c r="T305" s="34" t="str"/>
      <x:c r="U305" s="34" t="str"/>
      <x:c r="V305" s="34" t="str"/>
      <x:c r="W305" s="34" t="str"/>
      <x:c r="X305" s="34" t="str"/>
    </x:row>
    <x:row r="306">
      <x:c r="A306" s="34" t="str">
        <x:v>M5-EVT-0301</x:v>
      </x:c>
      <x:c r="B306" s="34" t="str"/>
      <x:c r="C306" s="34" t="str"/>
      <x:c r="D306" s="34" t="str"/>
      <x:c r="E306" s="34" t="str"/>
      <x:c r="F306" s="34" t="str"/>
      <x:c r="G306" s="34" t="str"/>
      <x:c r="H306" s="34" t="str"/>
      <x:c r="I306" s="34" t="str"/>
      <x:c r="J306" s="34" t="str"/>
      <x:c r="K306" s="34" t="str"/>
      <x:c r="L306" s="34" t="str"/>
      <x:c r="M306" s="34" t="str"/>
      <x:c r="N306" s="34" t="str"/>
      <x:c r="O306" s="34" t="str"/>
      <x:c r="P306" s="34" t="str"/>
      <x:c r="Q306" s="34" t="str"/>
      <x:c r="R306" s="34" t="str"/>
      <x:c r="S306" s="34" t="str"/>
      <x:c r="T306" s="34" t="str"/>
      <x:c r="U306" s="34" t="str"/>
      <x:c r="V306" s="34" t="str"/>
      <x:c r="W306" s="34" t="str"/>
      <x:c r="X306" s="34" t="str"/>
    </x:row>
    <x:row r="307">
      <x:c r="A307" s="34" t="str">
        <x:v>M5-EVT-0302</x:v>
      </x:c>
      <x:c r="B307" s="34" t="str"/>
      <x:c r="C307" s="34" t="str"/>
      <x:c r="D307" s="34" t="str"/>
      <x:c r="E307" s="34" t="str"/>
      <x:c r="F307" s="34" t="str"/>
      <x:c r="G307" s="34" t="str"/>
      <x:c r="H307" s="34" t="str"/>
      <x:c r="I307" s="34" t="str"/>
      <x:c r="J307" s="34" t="str"/>
      <x:c r="K307" s="34" t="str"/>
      <x:c r="L307" s="34" t="str"/>
      <x:c r="M307" s="34" t="str"/>
      <x:c r="N307" s="34" t="str"/>
      <x:c r="O307" s="34" t="str"/>
      <x:c r="P307" s="34" t="str"/>
      <x:c r="Q307" s="34" t="str"/>
      <x:c r="R307" s="34" t="str"/>
      <x:c r="S307" s="34" t="str"/>
      <x:c r="T307" s="34" t="str"/>
      <x:c r="U307" s="34" t="str"/>
      <x:c r="V307" s="34" t="str"/>
      <x:c r="W307" s="34" t="str"/>
      <x:c r="X307" s="34" t="str"/>
    </x:row>
    <x:row r="308">
      <x:c r="A308" s="34" t="str">
        <x:v>M5-EVT-0303</x:v>
      </x:c>
      <x:c r="B308" s="34" t="str"/>
      <x:c r="C308" s="34" t="str"/>
      <x:c r="D308" s="34" t="str"/>
      <x:c r="E308" s="34" t="str"/>
      <x:c r="F308" s="34" t="str"/>
      <x:c r="G308" s="34" t="str"/>
      <x:c r="H308" s="34" t="str"/>
      <x:c r="I308" s="34" t="str"/>
      <x:c r="J308" s="34" t="str"/>
      <x:c r="K308" s="34" t="str"/>
      <x:c r="L308" s="34" t="str"/>
      <x:c r="M308" s="34" t="str"/>
      <x:c r="N308" s="34" t="str"/>
      <x:c r="O308" s="34" t="str"/>
      <x:c r="P308" s="34" t="str"/>
      <x:c r="Q308" s="34" t="str"/>
      <x:c r="R308" s="34" t="str"/>
      <x:c r="S308" s="34" t="str"/>
      <x:c r="T308" s="34" t="str"/>
      <x:c r="U308" s="34" t="str"/>
      <x:c r="V308" s="34" t="str"/>
      <x:c r="W308" s="34" t="str"/>
      <x:c r="X308" s="34" t="str"/>
    </x:row>
    <x:row r="309">
      <x:c r="A309" s="34" t="str">
        <x:v>M5-EVT-0304</x:v>
      </x:c>
      <x:c r="B309" s="34" t="str"/>
      <x:c r="C309" s="34" t="str"/>
      <x:c r="D309" s="34" t="str"/>
      <x:c r="E309" s="34" t="str"/>
      <x:c r="F309" s="34" t="str"/>
      <x:c r="G309" s="34" t="str"/>
      <x:c r="H309" s="34" t="str"/>
      <x:c r="I309" s="34" t="str"/>
      <x:c r="J309" s="34" t="str"/>
      <x:c r="K309" s="34" t="str"/>
      <x:c r="L309" s="34" t="str"/>
      <x:c r="M309" s="34" t="str"/>
      <x:c r="N309" s="34" t="str"/>
      <x:c r="O309" s="34" t="str"/>
      <x:c r="P309" s="34" t="str"/>
      <x:c r="Q309" s="34" t="str"/>
      <x:c r="R309" s="34" t="str"/>
      <x:c r="S309" s="34" t="str"/>
      <x:c r="T309" s="34" t="str"/>
      <x:c r="U309" s="34" t="str"/>
      <x:c r="V309" s="34" t="str"/>
      <x:c r="W309" s="34" t="str"/>
      <x:c r="X309" s="34" t="str"/>
    </x:row>
    <x:row r="310">
      <x:c r="A310" s="34" t="str">
        <x:v>M5-EVT-0305</x:v>
      </x:c>
      <x:c r="B310" s="34" t="str"/>
      <x:c r="C310" s="34" t="str"/>
      <x:c r="D310" s="34" t="str"/>
      <x:c r="E310" s="34" t="str"/>
      <x:c r="F310" s="34" t="str"/>
      <x:c r="G310" s="34" t="str"/>
      <x:c r="H310" s="34" t="str"/>
      <x:c r="I310" s="34" t="str"/>
      <x:c r="J310" s="34" t="str"/>
      <x:c r="K310" s="34" t="str"/>
      <x:c r="L310" s="34" t="str"/>
      <x:c r="M310" s="34" t="str"/>
      <x:c r="N310" s="34" t="str"/>
      <x:c r="O310" s="34" t="str"/>
      <x:c r="P310" s="34" t="str"/>
      <x:c r="Q310" s="34" t="str"/>
      <x:c r="R310" s="34" t="str"/>
      <x:c r="S310" s="34" t="str"/>
      <x:c r="T310" s="34" t="str"/>
      <x:c r="U310" s="34" t="str"/>
      <x:c r="V310" s="34" t="str"/>
      <x:c r="W310" s="34" t="str"/>
      <x:c r="X310" s="34" t="str"/>
    </x:row>
    <x:row r="311">
      <x:c r="A311" s="34" t="str">
        <x:v>M5-EVT-0306</x:v>
      </x:c>
      <x:c r="B311" s="34" t="str"/>
      <x:c r="C311" s="34" t="str"/>
      <x:c r="D311" s="34" t="str"/>
      <x:c r="E311" s="34" t="str"/>
      <x:c r="F311" s="34" t="str"/>
      <x:c r="G311" s="34" t="str"/>
      <x:c r="H311" s="34" t="str"/>
      <x:c r="I311" s="34" t="str"/>
      <x:c r="J311" s="34" t="str"/>
      <x:c r="K311" s="34" t="str"/>
      <x:c r="L311" s="34" t="str"/>
      <x:c r="M311" s="34" t="str"/>
      <x:c r="N311" s="34" t="str"/>
      <x:c r="O311" s="34" t="str"/>
      <x:c r="P311" s="34" t="str"/>
      <x:c r="Q311" s="34" t="str"/>
      <x:c r="R311" s="34" t="str"/>
      <x:c r="S311" s="34" t="str"/>
      <x:c r="T311" s="34" t="str"/>
      <x:c r="U311" s="34" t="str"/>
      <x:c r="V311" s="34" t="str"/>
      <x:c r="W311" s="34" t="str"/>
      <x:c r="X311" s="34" t="str"/>
    </x:row>
    <x:row r="312">
      <x:c r="A312" s="34" t="str">
        <x:v>M5-EVT-0307</x:v>
      </x:c>
      <x:c r="B312" s="34" t="str"/>
      <x:c r="C312" s="34" t="str"/>
      <x:c r="D312" s="34" t="str"/>
      <x:c r="E312" s="34" t="str"/>
      <x:c r="F312" s="34" t="str"/>
      <x:c r="G312" s="34" t="str"/>
      <x:c r="H312" s="34" t="str"/>
      <x:c r="I312" s="34" t="str"/>
      <x:c r="J312" s="34" t="str"/>
      <x:c r="K312" s="34" t="str"/>
      <x:c r="L312" s="34" t="str"/>
      <x:c r="M312" s="34" t="str"/>
      <x:c r="N312" s="34" t="str"/>
      <x:c r="O312" s="34" t="str"/>
      <x:c r="P312" s="34" t="str"/>
      <x:c r="Q312" s="34" t="str"/>
      <x:c r="R312" s="34" t="str"/>
      <x:c r="S312" s="34" t="str"/>
      <x:c r="T312" s="34" t="str"/>
      <x:c r="U312" s="34" t="str"/>
      <x:c r="V312" s="34" t="str"/>
      <x:c r="W312" s="34" t="str"/>
      <x:c r="X312" s="34" t="str"/>
    </x:row>
    <x:row r="313">
      <x:c r="A313" s="34" t="str">
        <x:v>M5-EVT-0308</x:v>
      </x:c>
      <x:c r="B313" s="34" t="str"/>
      <x:c r="C313" s="34" t="str"/>
      <x:c r="D313" s="34" t="str"/>
      <x:c r="E313" s="34" t="str"/>
      <x:c r="F313" s="34" t="str"/>
      <x:c r="G313" s="34" t="str"/>
      <x:c r="H313" s="34" t="str"/>
      <x:c r="I313" s="34" t="str"/>
      <x:c r="J313" s="34" t="str"/>
      <x:c r="K313" s="34" t="str"/>
      <x:c r="L313" s="34" t="str"/>
      <x:c r="M313" s="34" t="str"/>
      <x:c r="N313" s="34" t="str"/>
      <x:c r="O313" s="34" t="str"/>
      <x:c r="P313" s="34" t="str"/>
      <x:c r="Q313" s="34" t="str"/>
      <x:c r="R313" s="34" t="str"/>
      <x:c r="S313" s="34" t="str"/>
      <x:c r="T313" s="34" t="str"/>
      <x:c r="U313" s="34" t="str"/>
      <x:c r="V313" s="34" t="str"/>
      <x:c r="W313" s="34" t="str"/>
      <x:c r="X313" s="34" t="str"/>
    </x:row>
    <x:row r="314">
      <x:c r="A314" s="34" t="str">
        <x:v>M5-EVT-0309</x:v>
      </x:c>
      <x:c r="B314" s="34" t="str"/>
      <x:c r="C314" s="34" t="str"/>
      <x:c r="D314" s="34" t="str"/>
      <x:c r="E314" s="34" t="str"/>
      <x:c r="F314" s="34" t="str"/>
      <x:c r="G314" s="34" t="str"/>
      <x:c r="H314" s="34" t="str"/>
      <x:c r="I314" s="34" t="str"/>
      <x:c r="J314" s="34" t="str"/>
      <x:c r="K314" s="34" t="str"/>
      <x:c r="L314" s="34" t="str"/>
      <x:c r="M314" s="34" t="str"/>
      <x:c r="N314" s="34" t="str"/>
      <x:c r="O314" s="34" t="str"/>
      <x:c r="P314" s="34" t="str"/>
      <x:c r="Q314" s="34" t="str"/>
      <x:c r="R314" s="34" t="str"/>
      <x:c r="S314" s="34" t="str"/>
      <x:c r="T314" s="34" t="str"/>
      <x:c r="U314" s="34" t="str"/>
      <x:c r="V314" s="34" t="str"/>
      <x:c r="W314" s="34" t="str"/>
      <x:c r="X314" s="34" t="str"/>
    </x:row>
    <x:row r="315">
      <x:c r="A315" s="34" t="str">
        <x:v>M5-EVT-0310</x:v>
      </x:c>
      <x:c r="B315" s="34" t="str"/>
      <x:c r="C315" s="34" t="str"/>
      <x:c r="D315" s="34" t="str"/>
      <x:c r="E315" s="34" t="str"/>
      <x:c r="F315" s="34" t="str"/>
      <x:c r="G315" s="34" t="str"/>
      <x:c r="H315" s="34" t="str"/>
      <x:c r="I315" s="34" t="str"/>
      <x:c r="J315" s="34" t="str"/>
      <x:c r="K315" s="34" t="str"/>
      <x:c r="L315" s="34" t="str"/>
      <x:c r="M315" s="34" t="str"/>
      <x:c r="N315" s="34" t="str"/>
      <x:c r="O315" s="34" t="str"/>
      <x:c r="P315" s="34" t="str"/>
      <x:c r="Q315" s="34" t="str"/>
      <x:c r="R315" s="34" t="str"/>
      <x:c r="S315" s="34" t="str"/>
      <x:c r="T315" s="34" t="str"/>
      <x:c r="U315" s="34" t="str"/>
      <x:c r="V315" s="34" t="str"/>
      <x:c r="W315" s="34" t="str"/>
      <x:c r="X315" s="34" t="str"/>
    </x:row>
    <x:row r="316">
      <x:c r="A316" s="34" t="str">
        <x:v>M5-EVT-0311</x:v>
      </x:c>
      <x:c r="B316" s="34" t="str"/>
      <x:c r="C316" s="34" t="str"/>
      <x:c r="D316" s="34" t="str"/>
      <x:c r="E316" s="34" t="str"/>
      <x:c r="F316" s="34" t="str"/>
      <x:c r="G316" s="34" t="str"/>
      <x:c r="H316" s="34" t="str"/>
      <x:c r="I316" s="34" t="str"/>
      <x:c r="J316" s="34" t="str"/>
      <x:c r="K316" s="34" t="str"/>
      <x:c r="L316" s="34" t="str"/>
      <x:c r="M316" s="34" t="str"/>
      <x:c r="N316" s="34" t="str"/>
      <x:c r="O316" s="34" t="str"/>
      <x:c r="P316" s="34" t="str"/>
      <x:c r="Q316" s="34" t="str"/>
      <x:c r="R316" s="34" t="str"/>
      <x:c r="S316" s="34" t="str"/>
      <x:c r="T316" s="34" t="str"/>
      <x:c r="U316" s="34" t="str"/>
      <x:c r="V316" s="34" t="str"/>
      <x:c r="W316" s="34" t="str"/>
      <x:c r="X316" s="34" t="str"/>
    </x:row>
    <x:row r="317">
      <x:c r="A317" s="34" t="str">
        <x:v>M5-EVT-0312</x:v>
      </x:c>
      <x:c r="B317" s="34" t="str"/>
      <x:c r="C317" s="34" t="str"/>
      <x:c r="D317" s="34" t="str"/>
      <x:c r="E317" s="34" t="str"/>
      <x:c r="F317" s="34" t="str"/>
      <x:c r="G317" s="34" t="str"/>
      <x:c r="H317" s="34" t="str"/>
      <x:c r="I317" s="34" t="str"/>
      <x:c r="J317" s="34" t="str"/>
      <x:c r="K317" s="34" t="str"/>
      <x:c r="L317" s="34" t="str"/>
      <x:c r="M317" s="34" t="str"/>
      <x:c r="N317" s="34" t="str"/>
      <x:c r="O317" s="34" t="str"/>
      <x:c r="P317" s="34" t="str"/>
      <x:c r="Q317" s="34" t="str"/>
      <x:c r="R317" s="34" t="str"/>
      <x:c r="S317" s="34" t="str"/>
      <x:c r="T317" s="34" t="str"/>
      <x:c r="U317" s="34" t="str"/>
      <x:c r="V317" s="34" t="str"/>
      <x:c r="W317" s="34" t="str"/>
      <x:c r="X317" s="34" t="str"/>
    </x:row>
    <x:row r="318">
      <x:c r="A318" s="34" t="str">
        <x:v>M5-EVT-0313</x:v>
      </x:c>
      <x:c r="B318" s="34" t="str"/>
      <x:c r="C318" s="34" t="str"/>
      <x:c r="D318" s="34" t="str"/>
      <x:c r="E318" s="34" t="str"/>
      <x:c r="F318" s="34" t="str"/>
      <x:c r="G318" s="34" t="str"/>
      <x:c r="H318" s="34" t="str"/>
      <x:c r="I318" s="34" t="str"/>
      <x:c r="J318" s="34" t="str"/>
      <x:c r="K318" s="34" t="str"/>
      <x:c r="L318" s="34" t="str"/>
      <x:c r="M318" s="34" t="str"/>
      <x:c r="N318" s="34" t="str"/>
      <x:c r="O318" s="34" t="str"/>
      <x:c r="P318" s="34" t="str"/>
      <x:c r="Q318" s="34" t="str"/>
      <x:c r="R318" s="34" t="str"/>
      <x:c r="S318" s="34" t="str"/>
      <x:c r="T318" s="34" t="str"/>
      <x:c r="U318" s="34" t="str"/>
      <x:c r="V318" s="34" t="str"/>
      <x:c r="W318" s="34" t="str"/>
      <x:c r="X318" s="34" t="str"/>
    </x:row>
    <x:row r="319">
      <x:c r="A319" s="34" t="str">
        <x:v>M5-EVT-0314</x:v>
      </x:c>
      <x:c r="B319" s="34" t="str"/>
      <x:c r="C319" s="34" t="str"/>
      <x:c r="D319" s="34" t="str"/>
      <x:c r="E319" s="34" t="str"/>
      <x:c r="F319" s="34" t="str"/>
      <x:c r="G319" s="34" t="str"/>
      <x:c r="H319" s="34" t="str"/>
      <x:c r="I319" s="34" t="str"/>
      <x:c r="J319" s="34" t="str"/>
      <x:c r="K319" s="34" t="str"/>
      <x:c r="L319" s="34" t="str"/>
      <x:c r="M319" s="34" t="str"/>
      <x:c r="N319" s="34" t="str"/>
      <x:c r="O319" s="34" t="str"/>
      <x:c r="P319" s="34" t="str"/>
      <x:c r="Q319" s="34" t="str"/>
      <x:c r="R319" s="34" t="str"/>
      <x:c r="S319" s="34" t="str"/>
      <x:c r="T319" s="34" t="str"/>
      <x:c r="U319" s="34" t="str"/>
      <x:c r="V319" s="34" t="str"/>
      <x:c r="W319" s="34" t="str"/>
      <x:c r="X319" s="34" t="str"/>
    </x:row>
    <x:row r="320">
      <x:c r="A320" s="34" t="str">
        <x:v>M5-EVT-0315</x:v>
      </x:c>
      <x:c r="B320" s="34" t="str"/>
      <x:c r="C320" s="34" t="str"/>
      <x:c r="D320" s="34" t="str"/>
      <x:c r="E320" s="34" t="str"/>
      <x:c r="F320" s="34" t="str"/>
      <x:c r="G320" s="34" t="str"/>
      <x:c r="H320" s="34" t="str"/>
      <x:c r="I320" s="34" t="str"/>
      <x:c r="J320" s="34" t="str"/>
      <x:c r="K320" s="34" t="str"/>
      <x:c r="L320" s="34" t="str"/>
      <x:c r="M320" s="34" t="str"/>
      <x:c r="N320" s="34" t="str"/>
      <x:c r="O320" s="34" t="str"/>
      <x:c r="P320" s="34" t="str"/>
      <x:c r="Q320" s="34" t="str"/>
      <x:c r="R320" s="34" t="str"/>
      <x:c r="S320" s="34" t="str"/>
      <x:c r="T320" s="34" t="str"/>
      <x:c r="U320" s="34" t="str"/>
      <x:c r="V320" s="34" t="str"/>
      <x:c r="W320" s="34" t="str"/>
      <x:c r="X320" s="34" t="str"/>
    </x:row>
    <x:row r="321">
      <x:c r="A321" s="34" t="str">
        <x:v>M5-EVT-0316</x:v>
      </x:c>
      <x:c r="B321" s="34" t="str"/>
      <x:c r="C321" s="34" t="str"/>
      <x:c r="D321" s="34" t="str"/>
      <x:c r="E321" s="34" t="str"/>
      <x:c r="F321" s="34" t="str"/>
      <x:c r="G321" s="34" t="str"/>
      <x:c r="H321" s="34" t="str"/>
      <x:c r="I321" s="34" t="str"/>
      <x:c r="J321" s="34" t="str"/>
      <x:c r="K321" s="34" t="str"/>
      <x:c r="L321" s="34" t="str"/>
      <x:c r="M321" s="34" t="str"/>
      <x:c r="N321" s="34" t="str"/>
      <x:c r="O321" s="34" t="str"/>
      <x:c r="P321" s="34" t="str"/>
      <x:c r="Q321" s="34" t="str"/>
      <x:c r="R321" s="34" t="str"/>
      <x:c r="S321" s="34" t="str"/>
      <x:c r="T321" s="34" t="str"/>
      <x:c r="U321" s="34" t="str"/>
      <x:c r="V321" s="34" t="str"/>
      <x:c r="W321" s="34" t="str"/>
      <x:c r="X321" s="34" t="str"/>
    </x:row>
    <x:row r="322">
      <x:c r="A322" s="34" t="str">
        <x:v>M5-EVT-0317</x:v>
      </x:c>
      <x:c r="B322" s="34" t="str"/>
      <x:c r="C322" s="34" t="str"/>
      <x:c r="D322" s="34" t="str"/>
      <x:c r="E322" s="34" t="str"/>
      <x:c r="F322" s="34" t="str"/>
      <x:c r="G322" s="34" t="str"/>
      <x:c r="H322" s="34" t="str"/>
      <x:c r="I322" s="34" t="str"/>
      <x:c r="J322" s="34" t="str"/>
      <x:c r="K322" s="34" t="str"/>
      <x:c r="L322" s="34" t="str"/>
      <x:c r="M322" s="34" t="str"/>
      <x:c r="N322" s="34" t="str"/>
      <x:c r="O322" s="34" t="str"/>
      <x:c r="P322" s="34" t="str"/>
      <x:c r="Q322" s="34" t="str"/>
      <x:c r="R322" s="34" t="str"/>
      <x:c r="S322" s="34" t="str"/>
      <x:c r="T322" s="34" t="str"/>
      <x:c r="U322" s="34" t="str"/>
      <x:c r="V322" s="34" t="str"/>
      <x:c r="W322" s="34" t="str"/>
      <x:c r="X322" s="34" t="str"/>
    </x:row>
    <x:row r="323">
      <x:c r="A323" s="34" t="str">
        <x:v>M5-EVT-0318</x:v>
      </x:c>
      <x:c r="B323" s="34" t="str"/>
      <x:c r="C323" s="34" t="str"/>
      <x:c r="D323" s="34" t="str"/>
      <x:c r="E323" s="34" t="str"/>
      <x:c r="F323" s="34" t="str"/>
      <x:c r="G323" s="34" t="str"/>
      <x:c r="H323" s="34" t="str"/>
      <x:c r="I323" s="34" t="str"/>
      <x:c r="J323" s="34" t="str"/>
      <x:c r="K323" s="34" t="str"/>
      <x:c r="L323" s="34" t="str"/>
      <x:c r="M323" s="34" t="str"/>
      <x:c r="N323" s="34" t="str"/>
      <x:c r="O323" s="34" t="str"/>
      <x:c r="P323" s="34" t="str"/>
      <x:c r="Q323" s="34" t="str"/>
      <x:c r="R323" s="34" t="str"/>
      <x:c r="S323" s="34" t="str"/>
      <x:c r="T323" s="34" t="str"/>
      <x:c r="U323" s="34" t="str"/>
      <x:c r="V323" s="34" t="str"/>
      <x:c r="W323" s="34" t="str"/>
      <x:c r="X323" s="34" t="str"/>
    </x:row>
    <x:row r="324">
      <x:c r="A324" s="34" t="str">
        <x:v>M5-EVT-0319</x:v>
      </x:c>
      <x:c r="B324" s="34" t="str"/>
      <x:c r="C324" s="34" t="str"/>
      <x:c r="D324" s="34" t="str"/>
      <x:c r="E324" s="34" t="str"/>
      <x:c r="F324" s="34" t="str"/>
      <x:c r="G324" s="34" t="str"/>
      <x:c r="H324" s="34" t="str"/>
      <x:c r="I324" s="34" t="str"/>
      <x:c r="J324" s="34" t="str"/>
      <x:c r="K324" s="34" t="str"/>
      <x:c r="L324" s="34" t="str"/>
      <x:c r="M324" s="34" t="str"/>
      <x:c r="N324" s="34" t="str"/>
      <x:c r="O324" s="34" t="str"/>
      <x:c r="P324" s="34" t="str"/>
      <x:c r="Q324" s="34" t="str"/>
      <x:c r="R324" s="34" t="str"/>
      <x:c r="S324" s="34" t="str"/>
      <x:c r="T324" s="34" t="str"/>
      <x:c r="U324" s="34" t="str"/>
      <x:c r="V324" s="34" t="str"/>
      <x:c r="W324" s="34" t="str"/>
      <x:c r="X324" s="34" t="str"/>
    </x:row>
    <x:row r="325">
      <x:c r="A325" s="34" t="str">
        <x:v>M5-EVT-0320</x:v>
      </x:c>
      <x:c r="B325" s="34" t="str"/>
      <x:c r="C325" s="34" t="str"/>
      <x:c r="D325" s="34" t="str"/>
      <x:c r="E325" s="34" t="str"/>
      <x:c r="F325" s="34" t="str"/>
      <x:c r="G325" s="34" t="str"/>
      <x:c r="H325" s="34" t="str"/>
      <x:c r="I325" s="34" t="str"/>
      <x:c r="J325" s="34" t="str"/>
      <x:c r="K325" s="34" t="str"/>
      <x:c r="L325" s="34" t="str"/>
      <x:c r="M325" s="34" t="str"/>
      <x:c r="N325" s="34" t="str"/>
      <x:c r="O325" s="34" t="str"/>
      <x:c r="P325" s="34" t="str"/>
      <x:c r="Q325" s="34" t="str"/>
      <x:c r="R325" s="34" t="str"/>
      <x:c r="S325" s="34" t="str"/>
      <x:c r="T325" s="34" t="str"/>
      <x:c r="U325" s="34" t="str"/>
      <x:c r="V325" s="34" t="str"/>
      <x:c r="W325" s="34" t="str"/>
      <x:c r="X325" s="34" t="str"/>
    </x:row>
    <x:row r="326">
      <x:c r="A326" s="34" t="str">
        <x:v>M5-EVT-0321</x:v>
      </x:c>
      <x:c r="B326" s="34" t="str"/>
      <x:c r="C326" s="34" t="str"/>
      <x:c r="D326" s="34" t="str"/>
      <x:c r="E326" s="34" t="str"/>
      <x:c r="F326" s="34" t="str"/>
      <x:c r="G326" s="34" t="str"/>
      <x:c r="H326" s="34" t="str"/>
      <x:c r="I326" s="34" t="str"/>
      <x:c r="J326" s="34" t="str"/>
      <x:c r="K326" s="34" t="str"/>
      <x:c r="L326" s="34" t="str"/>
      <x:c r="M326" s="34" t="str"/>
      <x:c r="N326" s="34" t="str"/>
      <x:c r="O326" s="34" t="str"/>
      <x:c r="P326" s="34" t="str"/>
      <x:c r="Q326" s="34" t="str"/>
      <x:c r="R326" s="34" t="str"/>
      <x:c r="S326" s="34" t="str"/>
      <x:c r="T326" s="34" t="str"/>
      <x:c r="U326" s="34" t="str"/>
      <x:c r="V326" s="34" t="str"/>
      <x:c r="W326" s="34" t="str"/>
      <x:c r="X326" s="34" t="str"/>
    </x:row>
    <x:row r="327">
      <x:c r="A327" s="34" t="str">
        <x:v>M5-EVT-0322</x:v>
      </x:c>
      <x:c r="B327" s="34" t="str"/>
      <x:c r="C327" s="34" t="str"/>
      <x:c r="D327" s="34" t="str"/>
      <x:c r="E327" s="34" t="str"/>
      <x:c r="F327" s="34" t="str"/>
      <x:c r="G327" s="34" t="str"/>
      <x:c r="H327" s="34" t="str"/>
      <x:c r="I327" s="34" t="str"/>
      <x:c r="J327" s="34" t="str"/>
      <x:c r="K327" s="34" t="str"/>
      <x:c r="L327" s="34" t="str"/>
      <x:c r="M327" s="34" t="str"/>
      <x:c r="N327" s="34" t="str"/>
      <x:c r="O327" s="34" t="str"/>
      <x:c r="P327" s="34" t="str"/>
      <x:c r="Q327" s="34" t="str"/>
      <x:c r="R327" s="34" t="str"/>
      <x:c r="S327" s="34" t="str"/>
      <x:c r="T327" s="34" t="str"/>
      <x:c r="U327" s="34" t="str"/>
      <x:c r="V327" s="34" t="str"/>
      <x:c r="W327" s="34" t="str"/>
      <x:c r="X327" s="34" t="str"/>
    </x:row>
    <x:row r="328">
      <x:c r="A328" s="34" t="str">
        <x:v>M5-EVT-0323</x:v>
      </x:c>
      <x:c r="B328" s="34" t="str"/>
      <x:c r="C328" s="34" t="str"/>
      <x:c r="D328" s="34" t="str"/>
      <x:c r="E328" s="34" t="str"/>
      <x:c r="F328" s="34" t="str"/>
      <x:c r="G328" s="34" t="str"/>
      <x:c r="H328" s="34" t="str"/>
      <x:c r="I328" s="34" t="str"/>
      <x:c r="J328" s="34" t="str"/>
      <x:c r="K328" s="34" t="str"/>
      <x:c r="L328" s="34" t="str"/>
      <x:c r="M328" s="34" t="str"/>
      <x:c r="N328" s="34" t="str"/>
      <x:c r="O328" s="34" t="str"/>
      <x:c r="P328" s="34" t="str"/>
      <x:c r="Q328" s="34" t="str"/>
      <x:c r="R328" s="34" t="str"/>
      <x:c r="S328" s="34" t="str"/>
      <x:c r="T328" s="34" t="str"/>
      <x:c r="U328" s="34" t="str"/>
      <x:c r="V328" s="34" t="str"/>
      <x:c r="W328" s="34" t="str"/>
      <x:c r="X328" s="34" t="str"/>
    </x:row>
    <x:row r="329">
      <x:c r="A329" s="34" t="str">
        <x:v>M5-EVT-0324</x:v>
      </x:c>
      <x:c r="B329" s="34" t="str"/>
      <x:c r="C329" s="34" t="str"/>
      <x:c r="D329" s="34" t="str"/>
      <x:c r="E329" s="34" t="str"/>
      <x:c r="F329" s="34" t="str"/>
      <x:c r="G329" s="34" t="str"/>
      <x:c r="H329" s="34" t="str"/>
      <x:c r="I329" s="34" t="str"/>
      <x:c r="J329" s="34" t="str"/>
      <x:c r="K329" s="34" t="str"/>
      <x:c r="L329" s="34" t="str"/>
      <x:c r="M329" s="34" t="str"/>
      <x:c r="N329" s="34" t="str"/>
      <x:c r="O329" s="34" t="str"/>
      <x:c r="P329" s="34" t="str"/>
      <x:c r="Q329" s="34" t="str"/>
      <x:c r="R329" s="34" t="str"/>
      <x:c r="S329" s="34" t="str"/>
      <x:c r="T329" s="34" t="str"/>
      <x:c r="U329" s="34" t="str"/>
      <x:c r="V329" s="34" t="str"/>
      <x:c r="W329" s="34" t="str"/>
      <x:c r="X329" s="34" t="str"/>
    </x:row>
    <x:row r="330">
      <x:c r="A330" s="34" t="str">
        <x:v>M5-EVT-0325</x:v>
      </x:c>
      <x:c r="B330" s="34" t="str"/>
      <x:c r="C330" s="34" t="str"/>
      <x:c r="D330" s="34" t="str"/>
      <x:c r="E330" s="34" t="str"/>
      <x:c r="F330" s="34" t="str"/>
      <x:c r="G330" s="34" t="str"/>
      <x:c r="H330" s="34" t="str"/>
      <x:c r="I330" s="34" t="str"/>
      <x:c r="J330" s="34" t="str"/>
      <x:c r="K330" s="34" t="str"/>
      <x:c r="L330" s="34" t="str"/>
      <x:c r="M330" s="34" t="str"/>
      <x:c r="N330" s="34" t="str"/>
      <x:c r="O330" s="34" t="str"/>
      <x:c r="P330" s="34" t="str"/>
      <x:c r="Q330" s="34" t="str"/>
      <x:c r="R330" s="34" t="str"/>
      <x:c r="S330" s="34" t="str"/>
      <x:c r="T330" s="34" t="str"/>
      <x:c r="U330" s="34" t="str"/>
      <x:c r="V330" s="34" t="str"/>
      <x:c r="W330" s="34" t="str"/>
      <x:c r="X330" s="34" t="str"/>
    </x:row>
    <x:row r="331">
      <x:c r="A331" s="34" t="str">
        <x:v>M5-EVT-0326</x:v>
      </x:c>
      <x:c r="B331" s="34" t="str"/>
      <x:c r="C331" s="34" t="str"/>
      <x:c r="D331" s="34" t="str"/>
      <x:c r="E331" s="34" t="str"/>
      <x:c r="F331" s="34" t="str"/>
      <x:c r="G331" s="34" t="str"/>
      <x:c r="H331" s="34" t="str"/>
      <x:c r="I331" s="34" t="str"/>
      <x:c r="J331" s="34" t="str"/>
      <x:c r="K331" s="34" t="str"/>
      <x:c r="L331" s="34" t="str"/>
      <x:c r="M331" s="34" t="str"/>
      <x:c r="N331" s="34" t="str"/>
      <x:c r="O331" s="34" t="str"/>
      <x:c r="P331" s="34" t="str"/>
      <x:c r="Q331" s="34" t="str"/>
      <x:c r="R331" s="34" t="str"/>
      <x:c r="S331" s="34" t="str"/>
      <x:c r="T331" s="34" t="str"/>
      <x:c r="U331" s="34" t="str"/>
      <x:c r="V331" s="34" t="str"/>
      <x:c r="W331" s="34" t="str"/>
      <x:c r="X331" s="34" t="str"/>
    </x:row>
    <x:row r="332">
      <x:c r="A332" s="34" t="str">
        <x:v>M5-EVT-0327</x:v>
      </x:c>
      <x:c r="B332" s="34" t="str"/>
      <x:c r="C332" s="34" t="str"/>
      <x:c r="D332" s="34" t="str"/>
      <x:c r="E332" s="34" t="str"/>
      <x:c r="F332" s="34" t="str"/>
      <x:c r="G332" s="34" t="str"/>
      <x:c r="H332" s="34" t="str"/>
      <x:c r="I332" s="34" t="str"/>
      <x:c r="J332" s="34" t="str"/>
      <x:c r="K332" s="34" t="str"/>
      <x:c r="L332" s="34" t="str"/>
      <x:c r="M332" s="34" t="str"/>
      <x:c r="N332" s="34" t="str"/>
      <x:c r="O332" s="34" t="str"/>
      <x:c r="P332" s="34" t="str"/>
      <x:c r="Q332" s="34" t="str"/>
      <x:c r="R332" s="34" t="str"/>
      <x:c r="S332" s="34" t="str"/>
      <x:c r="T332" s="34" t="str"/>
      <x:c r="U332" s="34" t="str"/>
      <x:c r="V332" s="34" t="str"/>
      <x:c r="W332" s="34" t="str"/>
      <x:c r="X332" s="34" t="str"/>
    </x:row>
    <x:row r="333">
      <x:c r="A333" s="34" t="str">
        <x:v>M5-EVT-0328</x:v>
      </x:c>
      <x:c r="B333" s="34" t="str"/>
      <x:c r="C333" s="34" t="str"/>
      <x:c r="D333" s="34" t="str"/>
      <x:c r="E333" s="34" t="str"/>
      <x:c r="F333" s="34" t="str"/>
      <x:c r="G333" s="34" t="str"/>
      <x:c r="H333" s="34" t="str"/>
      <x:c r="I333" s="34" t="str"/>
      <x:c r="J333" s="34" t="str"/>
      <x:c r="K333" s="34" t="str"/>
      <x:c r="L333" s="34" t="str"/>
      <x:c r="M333" s="34" t="str"/>
      <x:c r="N333" s="34" t="str"/>
      <x:c r="O333" s="34" t="str"/>
      <x:c r="P333" s="34" t="str"/>
      <x:c r="Q333" s="34" t="str"/>
      <x:c r="R333" s="34" t="str"/>
      <x:c r="S333" s="34" t="str"/>
      <x:c r="T333" s="34" t="str"/>
      <x:c r="U333" s="34" t="str"/>
      <x:c r="V333" s="34" t="str"/>
      <x:c r="W333" s="34" t="str"/>
      <x:c r="X333" s="34" t="str"/>
    </x:row>
    <x:row r="334">
      <x:c r="A334" s="34" t="str">
        <x:v>M5-EVT-0329</x:v>
      </x:c>
      <x:c r="B334" s="34" t="str"/>
      <x:c r="C334" s="34" t="str"/>
      <x:c r="D334" s="34" t="str"/>
      <x:c r="E334" s="34" t="str"/>
      <x:c r="F334" s="34" t="str"/>
      <x:c r="G334" s="34" t="str"/>
      <x:c r="H334" s="34" t="str"/>
      <x:c r="I334" s="34" t="str"/>
      <x:c r="J334" s="34" t="str"/>
      <x:c r="K334" s="34" t="str"/>
      <x:c r="L334" s="34" t="str"/>
      <x:c r="M334" s="34" t="str"/>
      <x:c r="N334" s="34" t="str"/>
      <x:c r="O334" s="34" t="str"/>
      <x:c r="P334" s="34" t="str"/>
      <x:c r="Q334" s="34" t="str"/>
      <x:c r="R334" s="34" t="str"/>
      <x:c r="S334" s="34" t="str"/>
      <x:c r="T334" s="34" t="str"/>
      <x:c r="U334" s="34" t="str"/>
      <x:c r="V334" s="34" t="str"/>
      <x:c r="W334" s="34" t="str"/>
      <x:c r="X334" s="34" t="str"/>
    </x:row>
    <x:row r="335">
      <x:c r="A335" s="34" t="str">
        <x:v>M5-EVT-0330</x:v>
      </x:c>
      <x:c r="B335" s="34" t="str"/>
      <x:c r="C335" s="34" t="str"/>
      <x:c r="D335" s="34" t="str"/>
      <x:c r="E335" s="34" t="str"/>
      <x:c r="F335" s="34" t="str"/>
      <x:c r="G335" s="34" t="str"/>
      <x:c r="H335" s="34" t="str"/>
      <x:c r="I335" s="34" t="str"/>
      <x:c r="J335" s="34" t="str"/>
      <x:c r="K335" s="34" t="str"/>
      <x:c r="L335" s="34" t="str"/>
      <x:c r="M335" s="34" t="str"/>
      <x:c r="N335" s="34" t="str"/>
      <x:c r="O335" s="34" t="str"/>
      <x:c r="P335" s="34" t="str"/>
      <x:c r="Q335" s="34" t="str"/>
      <x:c r="R335" s="34" t="str"/>
      <x:c r="S335" s="34" t="str"/>
      <x:c r="T335" s="34" t="str"/>
      <x:c r="U335" s="34" t="str"/>
      <x:c r="V335" s="34" t="str"/>
      <x:c r="W335" s="34" t="str"/>
      <x:c r="X335" s="34" t="str"/>
    </x:row>
    <x:row r="336">
      <x:c r="A336" s="34" t="str">
        <x:v>M5-EVT-0331</x:v>
      </x:c>
      <x:c r="B336" s="34" t="str"/>
      <x:c r="C336" s="34" t="str"/>
      <x:c r="D336" s="34" t="str"/>
      <x:c r="E336" s="34" t="str"/>
      <x:c r="F336" s="34" t="str"/>
      <x:c r="G336" s="34" t="str"/>
      <x:c r="H336" s="34" t="str"/>
      <x:c r="I336" s="34" t="str"/>
      <x:c r="J336" s="34" t="str"/>
      <x:c r="K336" s="34" t="str"/>
      <x:c r="L336" s="34" t="str"/>
      <x:c r="M336" s="34" t="str"/>
      <x:c r="N336" s="34" t="str"/>
      <x:c r="O336" s="34" t="str"/>
      <x:c r="P336" s="34" t="str"/>
      <x:c r="Q336" s="34" t="str"/>
      <x:c r="R336" s="34" t="str"/>
      <x:c r="S336" s="34" t="str"/>
      <x:c r="T336" s="34" t="str"/>
      <x:c r="U336" s="34" t="str"/>
      <x:c r="V336" s="34" t="str"/>
      <x:c r="W336" s="34" t="str"/>
      <x:c r="X336" s="34" t="str"/>
    </x:row>
    <x:row r="337">
      <x:c r="A337" s="34" t="str">
        <x:v>M5-EVT-0332</x:v>
      </x:c>
      <x:c r="B337" s="34" t="str"/>
      <x:c r="C337" s="34" t="str"/>
      <x:c r="D337" s="34" t="str"/>
      <x:c r="E337" s="34" t="str"/>
      <x:c r="F337" s="34" t="str"/>
      <x:c r="G337" s="34" t="str"/>
      <x:c r="H337" s="34" t="str"/>
      <x:c r="I337" s="34" t="str"/>
      <x:c r="J337" s="34" t="str"/>
      <x:c r="K337" s="34" t="str"/>
      <x:c r="L337" s="34" t="str"/>
      <x:c r="M337" s="34" t="str"/>
      <x:c r="N337" s="34" t="str"/>
      <x:c r="O337" s="34" t="str"/>
      <x:c r="P337" s="34" t="str"/>
      <x:c r="Q337" s="34" t="str"/>
      <x:c r="R337" s="34" t="str"/>
      <x:c r="S337" s="34" t="str"/>
      <x:c r="T337" s="34" t="str"/>
      <x:c r="U337" s="34" t="str"/>
      <x:c r="V337" s="34" t="str"/>
      <x:c r="W337" s="34" t="str"/>
      <x:c r="X337" s="34" t="str"/>
    </x:row>
    <x:row r="338">
      <x:c r="A338" s="34" t="str">
        <x:v>M5-EVT-0333</x:v>
      </x:c>
      <x:c r="B338" s="34" t="str"/>
      <x:c r="C338" s="34" t="str"/>
      <x:c r="D338" s="34" t="str"/>
      <x:c r="E338" s="34" t="str"/>
      <x:c r="F338" s="34" t="str"/>
      <x:c r="G338" s="34" t="str"/>
      <x:c r="H338" s="34" t="str"/>
      <x:c r="I338" s="34" t="str"/>
      <x:c r="J338" s="34" t="str"/>
      <x:c r="K338" s="34" t="str"/>
      <x:c r="L338" s="34" t="str"/>
      <x:c r="M338" s="34" t="str"/>
      <x:c r="N338" s="34" t="str"/>
      <x:c r="O338" s="34" t="str"/>
      <x:c r="P338" s="34" t="str"/>
      <x:c r="Q338" s="34" t="str"/>
      <x:c r="R338" s="34" t="str"/>
      <x:c r="S338" s="34" t="str"/>
      <x:c r="T338" s="34" t="str"/>
      <x:c r="U338" s="34" t="str"/>
      <x:c r="V338" s="34" t="str"/>
      <x:c r="W338" s="34" t="str"/>
      <x:c r="X338" s="34" t="str"/>
    </x:row>
    <x:row r="339">
      <x:c r="A339" s="34" t="str">
        <x:v>M5-EVT-0334</x:v>
      </x:c>
      <x:c r="B339" s="34" t="str"/>
      <x:c r="C339" s="34" t="str"/>
      <x:c r="D339" s="34" t="str"/>
      <x:c r="E339" s="34" t="str"/>
      <x:c r="F339" s="34" t="str"/>
      <x:c r="G339" s="34" t="str"/>
      <x:c r="H339" s="34" t="str"/>
      <x:c r="I339" s="34" t="str"/>
      <x:c r="J339" s="34" t="str"/>
      <x:c r="K339" s="34" t="str"/>
      <x:c r="L339" s="34" t="str"/>
      <x:c r="M339" s="34" t="str"/>
      <x:c r="N339" s="34" t="str"/>
      <x:c r="O339" s="34" t="str"/>
      <x:c r="P339" s="34" t="str"/>
      <x:c r="Q339" s="34" t="str"/>
      <x:c r="R339" s="34" t="str"/>
      <x:c r="S339" s="34" t="str"/>
      <x:c r="T339" s="34" t="str"/>
      <x:c r="U339" s="34" t="str"/>
      <x:c r="V339" s="34" t="str"/>
      <x:c r="W339" s="34" t="str"/>
      <x:c r="X339" s="34" t="str"/>
    </x:row>
    <x:row r="340">
      <x:c r="A340" s="34" t="str">
        <x:v>M5-EVT-0335</x:v>
      </x:c>
      <x:c r="B340" s="34" t="str"/>
      <x:c r="C340" s="34" t="str"/>
      <x:c r="D340" s="34" t="str"/>
      <x:c r="E340" s="34" t="str"/>
      <x:c r="F340" s="34" t="str"/>
      <x:c r="G340" s="34" t="str"/>
      <x:c r="H340" s="34" t="str"/>
      <x:c r="I340" s="34" t="str"/>
      <x:c r="J340" s="34" t="str"/>
      <x:c r="K340" s="34" t="str"/>
      <x:c r="L340" s="34" t="str"/>
      <x:c r="M340" s="34" t="str"/>
      <x:c r="N340" s="34" t="str"/>
      <x:c r="O340" s="34" t="str"/>
      <x:c r="P340" s="34" t="str"/>
      <x:c r="Q340" s="34" t="str"/>
      <x:c r="R340" s="34" t="str"/>
      <x:c r="S340" s="34" t="str"/>
      <x:c r="T340" s="34" t="str"/>
      <x:c r="U340" s="34" t="str"/>
      <x:c r="V340" s="34" t="str"/>
      <x:c r="W340" s="34" t="str"/>
      <x:c r="X340" s="34" t="str"/>
    </x:row>
    <x:row r="341">
      <x:c r="A341" s="34" t="str">
        <x:v>M5-EVT-0336</x:v>
      </x:c>
      <x:c r="B341" s="34" t="str"/>
      <x:c r="C341" s="34" t="str"/>
      <x:c r="D341" s="34" t="str"/>
      <x:c r="E341" s="34" t="str"/>
      <x:c r="F341" s="34" t="str"/>
      <x:c r="G341" s="34" t="str"/>
      <x:c r="H341" s="34" t="str"/>
      <x:c r="I341" s="34" t="str"/>
      <x:c r="J341" s="34" t="str"/>
      <x:c r="K341" s="34" t="str"/>
      <x:c r="L341" s="34" t="str"/>
      <x:c r="M341" s="34" t="str"/>
      <x:c r="N341" s="34" t="str"/>
      <x:c r="O341" s="34" t="str"/>
      <x:c r="P341" s="34" t="str"/>
      <x:c r="Q341" s="34" t="str"/>
      <x:c r="R341" s="34" t="str"/>
      <x:c r="S341" s="34" t="str"/>
      <x:c r="T341" s="34" t="str"/>
      <x:c r="U341" s="34" t="str"/>
      <x:c r="V341" s="34" t="str"/>
      <x:c r="W341" s="34" t="str"/>
      <x:c r="X341" s="34" t="str"/>
    </x:row>
    <x:row r="342">
      <x:c r="A342" s="34" t="str">
        <x:v>M5-EVT-0337</x:v>
      </x:c>
      <x:c r="B342" s="34" t="str"/>
      <x:c r="C342" s="34" t="str"/>
      <x:c r="D342" s="34" t="str"/>
      <x:c r="E342" s="34" t="str"/>
      <x:c r="F342" s="34" t="str"/>
      <x:c r="G342" s="34" t="str"/>
      <x:c r="H342" s="34" t="str"/>
      <x:c r="I342" s="34" t="str"/>
      <x:c r="J342" s="34" t="str"/>
      <x:c r="K342" s="34" t="str"/>
      <x:c r="L342" s="34" t="str"/>
      <x:c r="M342" s="34" t="str"/>
      <x:c r="N342" s="34" t="str"/>
      <x:c r="O342" s="34" t="str"/>
      <x:c r="P342" s="34" t="str"/>
      <x:c r="Q342" s="34" t="str"/>
      <x:c r="R342" s="34" t="str"/>
      <x:c r="S342" s="34" t="str"/>
      <x:c r="T342" s="34" t="str"/>
      <x:c r="U342" s="34" t="str"/>
      <x:c r="V342" s="34" t="str"/>
      <x:c r="W342" s="34" t="str"/>
      <x:c r="X342" s="34" t="str"/>
    </x:row>
    <x:row r="343">
      <x:c r="A343" s="34" t="str">
        <x:v>M5-EVT-0338</x:v>
      </x:c>
      <x:c r="B343" s="34" t="str"/>
      <x:c r="C343" s="34" t="str"/>
      <x:c r="D343" s="34" t="str"/>
      <x:c r="E343" s="34" t="str"/>
      <x:c r="F343" s="34" t="str"/>
      <x:c r="G343" s="34" t="str"/>
      <x:c r="H343" s="34" t="str"/>
      <x:c r="I343" s="34" t="str"/>
      <x:c r="J343" s="34" t="str"/>
      <x:c r="K343" s="34" t="str"/>
      <x:c r="L343" s="34" t="str"/>
      <x:c r="M343" s="34" t="str"/>
      <x:c r="N343" s="34" t="str"/>
      <x:c r="O343" s="34" t="str"/>
      <x:c r="P343" s="34" t="str"/>
      <x:c r="Q343" s="34" t="str"/>
      <x:c r="R343" s="34" t="str"/>
      <x:c r="S343" s="34" t="str"/>
      <x:c r="T343" s="34" t="str"/>
      <x:c r="U343" s="34" t="str"/>
      <x:c r="V343" s="34" t="str"/>
      <x:c r="W343" s="34" t="str"/>
      <x:c r="X343" s="34" t="str"/>
    </x:row>
    <x:row r="344">
      <x:c r="A344" s="34" t="str">
        <x:v>M5-EVT-0339</x:v>
      </x:c>
      <x:c r="B344" s="34" t="str"/>
      <x:c r="C344" s="34" t="str"/>
      <x:c r="D344" s="34" t="str"/>
      <x:c r="E344" s="34" t="str"/>
      <x:c r="F344" s="34" t="str"/>
      <x:c r="G344" s="34" t="str"/>
      <x:c r="H344" s="34" t="str"/>
      <x:c r="I344" s="34" t="str"/>
      <x:c r="J344" s="34" t="str"/>
      <x:c r="K344" s="34" t="str"/>
      <x:c r="L344" s="34" t="str"/>
      <x:c r="M344" s="34" t="str"/>
      <x:c r="N344" s="34" t="str"/>
      <x:c r="O344" s="34" t="str"/>
      <x:c r="P344" s="34" t="str"/>
      <x:c r="Q344" s="34" t="str"/>
      <x:c r="R344" s="34" t="str"/>
      <x:c r="S344" s="34" t="str"/>
      <x:c r="T344" s="34" t="str"/>
      <x:c r="U344" s="34" t="str"/>
      <x:c r="V344" s="34" t="str"/>
      <x:c r="W344" s="34" t="str"/>
      <x:c r="X344" s="34" t="str"/>
    </x:row>
    <x:row r="345">
      <x:c r="A345" s="34" t="str">
        <x:v>M5-EVT-0340</x:v>
      </x:c>
      <x:c r="B345" s="34" t="str"/>
      <x:c r="C345" s="34" t="str"/>
      <x:c r="D345" s="34" t="str"/>
      <x:c r="E345" s="34" t="str"/>
      <x:c r="F345" s="34" t="str"/>
      <x:c r="G345" s="34" t="str"/>
      <x:c r="H345" s="34" t="str"/>
      <x:c r="I345" s="34" t="str"/>
      <x:c r="J345" s="34" t="str"/>
      <x:c r="K345" s="34" t="str"/>
      <x:c r="L345" s="34" t="str"/>
      <x:c r="M345" s="34" t="str"/>
      <x:c r="N345" s="34" t="str"/>
      <x:c r="O345" s="34" t="str"/>
      <x:c r="P345" s="34" t="str"/>
      <x:c r="Q345" s="34" t="str"/>
      <x:c r="R345" s="34" t="str"/>
      <x:c r="S345" s="34" t="str"/>
      <x:c r="T345" s="34" t="str"/>
      <x:c r="U345" s="34" t="str"/>
      <x:c r="V345" s="34" t="str"/>
      <x:c r="W345" s="34" t="str"/>
      <x:c r="X345" s="34" t="str"/>
    </x:row>
    <x:row r="346">
      <x:c r="A346" s="34" t="str">
        <x:v>M5-EVT-0341</x:v>
      </x:c>
      <x:c r="B346" s="34" t="str"/>
      <x:c r="C346" s="34" t="str"/>
      <x:c r="D346" s="34" t="str"/>
      <x:c r="E346" s="34" t="str"/>
      <x:c r="F346" s="34" t="str"/>
      <x:c r="G346" s="34" t="str"/>
      <x:c r="H346" s="34" t="str"/>
      <x:c r="I346" s="34" t="str"/>
      <x:c r="J346" s="34" t="str"/>
      <x:c r="K346" s="34" t="str"/>
      <x:c r="L346" s="34" t="str"/>
      <x:c r="M346" s="34" t="str"/>
      <x:c r="N346" s="34" t="str"/>
      <x:c r="O346" s="34" t="str"/>
      <x:c r="P346" s="34" t="str"/>
      <x:c r="Q346" s="34" t="str"/>
      <x:c r="R346" s="34" t="str"/>
      <x:c r="S346" s="34" t="str"/>
      <x:c r="T346" s="34" t="str"/>
      <x:c r="U346" s="34" t="str"/>
      <x:c r="V346" s="34" t="str"/>
      <x:c r="W346" s="34" t="str"/>
      <x:c r="X346" s="34" t="str"/>
    </x:row>
    <x:row r="347">
      <x:c r="A347" s="34" t="str">
        <x:v>M5-EVT-0342</x:v>
      </x:c>
      <x:c r="B347" s="34" t="str"/>
      <x:c r="C347" s="34" t="str"/>
      <x:c r="D347" s="34" t="str"/>
      <x:c r="E347" s="34" t="str"/>
      <x:c r="F347" s="34" t="str"/>
      <x:c r="G347" s="34" t="str"/>
      <x:c r="H347" s="34" t="str"/>
      <x:c r="I347" s="34" t="str"/>
      <x:c r="J347" s="34" t="str"/>
      <x:c r="K347" s="34" t="str"/>
      <x:c r="L347" s="34" t="str"/>
      <x:c r="M347" s="34" t="str"/>
      <x:c r="N347" s="34" t="str"/>
      <x:c r="O347" s="34" t="str"/>
      <x:c r="P347" s="34" t="str"/>
      <x:c r="Q347" s="34" t="str"/>
      <x:c r="R347" s="34" t="str"/>
      <x:c r="S347" s="34" t="str"/>
      <x:c r="T347" s="34" t="str"/>
      <x:c r="U347" s="34" t="str"/>
      <x:c r="V347" s="34" t="str"/>
      <x:c r="W347" s="34" t="str"/>
      <x:c r="X347" s="34" t="str"/>
    </x:row>
    <x:row r="348">
      <x:c r="A348" s="34" t="str">
        <x:v>M5-EVT-0343</x:v>
      </x:c>
      <x:c r="B348" s="34" t="str"/>
      <x:c r="C348" s="34" t="str"/>
      <x:c r="D348" s="34" t="str"/>
      <x:c r="E348" s="34" t="str"/>
      <x:c r="F348" s="34" t="str"/>
      <x:c r="G348" s="34" t="str"/>
      <x:c r="H348" s="34" t="str"/>
      <x:c r="I348" s="34" t="str"/>
      <x:c r="J348" s="34" t="str"/>
      <x:c r="K348" s="34" t="str"/>
      <x:c r="L348" s="34" t="str"/>
      <x:c r="M348" s="34" t="str"/>
      <x:c r="N348" s="34" t="str"/>
      <x:c r="O348" s="34" t="str"/>
      <x:c r="P348" s="34" t="str"/>
      <x:c r="Q348" s="34" t="str"/>
      <x:c r="R348" s="34" t="str"/>
      <x:c r="S348" s="34" t="str"/>
      <x:c r="T348" s="34" t="str"/>
      <x:c r="U348" s="34" t="str"/>
      <x:c r="V348" s="34" t="str"/>
      <x:c r="W348" s="34" t="str"/>
      <x:c r="X348" s="34" t="str"/>
    </x:row>
    <x:row r="349">
      <x:c r="A349" s="34" t="str">
        <x:v>M5-EVT-0344</x:v>
      </x:c>
      <x:c r="B349" s="34" t="str"/>
      <x:c r="C349" s="34" t="str"/>
      <x:c r="D349" s="34" t="str"/>
      <x:c r="E349" s="34" t="str"/>
      <x:c r="F349" s="34" t="str"/>
      <x:c r="G349" s="34" t="str"/>
      <x:c r="H349" s="34" t="str"/>
      <x:c r="I349" s="34" t="str"/>
      <x:c r="J349" s="34" t="str"/>
      <x:c r="K349" s="34" t="str"/>
      <x:c r="L349" s="34" t="str"/>
      <x:c r="M349" s="34" t="str"/>
      <x:c r="N349" s="34" t="str"/>
      <x:c r="O349" s="34" t="str"/>
      <x:c r="P349" s="34" t="str"/>
      <x:c r="Q349" s="34" t="str"/>
      <x:c r="R349" s="34" t="str"/>
      <x:c r="S349" s="34" t="str"/>
      <x:c r="T349" s="34" t="str"/>
      <x:c r="U349" s="34" t="str"/>
      <x:c r="V349" s="34" t="str"/>
      <x:c r="W349" s="34" t="str"/>
      <x:c r="X349" s="34" t="str"/>
    </x:row>
    <x:row r="350">
      <x:c r="A350" s="34" t="str">
        <x:v>M5-EVT-0345</x:v>
      </x:c>
      <x:c r="B350" s="34" t="str"/>
      <x:c r="C350" s="34" t="str"/>
      <x:c r="D350" s="34" t="str"/>
      <x:c r="E350" s="34" t="str"/>
      <x:c r="F350" s="34" t="str"/>
      <x:c r="G350" s="34" t="str"/>
      <x:c r="H350" s="34" t="str"/>
      <x:c r="I350" s="34" t="str"/>
      <x:c r="J350" s="34" t="str"/>
      <x:c r="K350" s="34" t="str"/>
      <x:c r="L350" s="34" t="str"/>
      <x:c r="M350" s="34" t="str"/>
      <x:c r="N350" s="34" t="str"/>
      <x:c r="O350" s="34" t="str"/>
      <x:c r="P350" s="34" t="str"/>
      <x:c r="Q350" s="34" t="str"/>
      <x:c r="R350" s="34" t="str"/>
      <x:c r="S350" s="34" t="str"/>
      <x:c r="T350" s="34" t="str"/>
      <x:c r="U350" s="34" t="str"/>
      <x:c r="V350" s="34" t="str"/>
      <x:c r="W350" s="34" t="str"/>
      <x:c r="X350" s="34" t="str"/>
    </x:row>
    <x:row r="351">
      <x:c r="A351" s="34" t="str">
        <x:v>M5-EVT-0346</x:v>
      </x:c>
      <x:c r="B351" s="34" t="str"/>
      <x:c r="C351" s="34" t="str"/>
      <x:c r="D351" s="34" t="str"/>
      <x:c r="E351" s="34" t="str"/>
      <x:c r="F351" s="34" t="str"/>
      <x:c r="G351" s="34" t="str"/>
      <x:c r="H351" s="34" t="str"/>
      <x:c r="I351" s="34" t="str"/>
      <x:c r="J351" s="34" t="str"/>
      <x:c r="K351" s="34" t="str"/>
      <x:c r="L351" s="34" t="str"/>
      <x:c r="M351" s="34" t="str"/>
      <x:c r="N351" s="34" t="str"/>
      <x:c r="O351" s="34" t="str"/>
      <x:c r="P351" s="34" t="str"/>
      <x:c r="Q351" s="34" t="str"/>
      <x:c r="R351" s="34" t="str"/>
      <x:c r="S351" s="34" t="str"/>
      <x:c r="T351" s="34" t="str"/>
      <x:c r="U351" s="34" t="str"/>
      <x:c r="V351" s="34" t="str"/>
      <x:c r="W351" s="34" t="str"/>
      <x:c r="X351" s="34" t="str"/>
    </x:row>
    <x:row r="352">
      <x:c r="A352" s="34" t="str">
        <x:v>M5-EVT-0347</x:v>
      </x:c>
      <x:c r="B352" s="34" t="str"/>
      <x:c r="C352" s="34" t="str"/>
      <x:c r="D352" s="34" t="str"/>
      <x:c r="E352" s="34" t="str"/>
      <x:c r="F352" s="34" t="str"/>
      <x:c r="G352" s="34" t="str"/>
      <x:c r="H352" s="34" t="str"/>
      <x:c r="I352" s="34" t="str"/>
      <x:c r="J352" s="34" t="str"/>
      <x:c r="K352" s="34" t="str"/>
      <x:c r="L352" s="34" t="str"/>
      <x:c r="M352" s="34" t="str"/>
      <x:c r="N352" s="34" t="str"/>
      <x:c r="O352" s="34" t="str"/>
      <x:c r="P352" s="34" t="str"/>
      <x:c r="Q352" s="34" t="str"/>
      <x:c r="R352" s="34" t="str"/>
      <x:c r="S352" s="34" t="str"/>
      <x:c r="T352" s="34" t="str"/>
      <x:c r="U352" s="34" t="str"/>
      <x:c r="V352" s="34" t="str"/>
      <x:c r="W352" s="34" t="str"/>
      <x:c r="X352" s="34" t="str"/>
    </x:row>
    <x:row r="353">
      <x:c r="A353" s="34" t="str">
        <x:v>M5-EVT-0348</x:v>
      </x:c>
      <x:c r="B353" s="34" t="str"/>
      <x:c r="C353" s="34" t="str"/>
      <x:c r="D353" s="34" t="str"/>
      <x:c r="E353" s="34" t="str"/>
      <x:c r="F353" s="34" t="str"/>
      <x:c r="G353" s="34" t="str"/>
      <x:c r="H353" s="34" t="str"/>
      <x:c r="I353" s="34" t="str"/>
      <x:c r="J353" s="34" t="str"/>
      <x:c r="K353" s="34" t="str"/>
      <x:c r="L353" s="34" t="str"/>
      <x:c r="M353" s="34" t="str"/>
      <x:c r="N353" s="34" t="str"/>
      <x:c r="O353" s="34" t="str"/>
      <x:c r="P353" s="34" t="str"/>
      <x:c r="Q353" s="34" t="str"/>
      <x:c r="R353" s="34" t="str"/>
      <x:c r="S353" s="34" t="str"/>
      <x:c r="T353" s="34" t="str"/>
      <x:c r="U353" s="34" t="str"/>
      <x:c r="V353" s="34" t="str"/>
      <x:c r="W353" s="34" t="str"/>
      <x:c r="X353" s="34" t="str"/>
    </x:row>
    <x:row r="354">
      <x:c r="A354" s="34" t="str">
        <x:v>M5-EVT-0349</x:v>
      </x:c>
      <x:c r="B354" s="34" t="str"/>
      <x:c r="C354" s="34" t="str"/>
      <x:c r="D354" s="34" t="str"/>
      <x:c r="E354" s="34" t="str"/>
      <x:c r="F354" s="34" t="str"/>
      <x:c r="G354" s="34" t="str"/>
      <x:c r="H354" s="34" t="str"/>
      <x:c r="I354" s="34" t="str"/>
      <x:c r="J354" s="34" t="str"/>
      <x:c r="K354" s="34" t="str"/>
      <x:c r="L354" s="34" t="str"/>
      <x:c r="M354" s="34" t="str"/>
      <x:c r="N354" s="34" t="str"/>
      <x:c r="O354" s="34" t="str"/>
      <x:c r="P354" s="34" t="str"/>
      <x:c r="Q354" s="34" t="str"/>
      <x:c r="R354" s="34" t="str"/>
      <x:c r="S354" s="34" t="str"/>
      <x:c r="T354" s="34" t="str"/>
      <x:c r="U354" s="34" t="str"/>
      <x:c r="V354" s="34" t="str"/>
      <x:c r="W354" s="34" t="str"/>
      <x:c r="X354" s="34" t="str"/>
    </x:row>
    <x:row r="355">
      <x:c r="A355" s="34" t="str">
        <x:v>M5-EVT-0350</x:v>
      </x:c>
      <x:c r="B355" s="34" t="str"/>
      <x:c r="C355" s="34" t="str"/>
      <x:c r="D355" s="34" t="str"/>
      <x:c r="E355" s="34" t="str"/>
      <x:c r="F355" s="34" t="str"/>
      <x:c r="G355" s="34" t="str"/>
      <x:c r="H355" s="34" t="str"/>
      <x:c r="I355" s="34" t="str"/>
      <x:c r="J355" s="34" t="str"/>
      <x:c r="K355" s="34" t="str"/>
      <x:c r="L355" s="34" t="str"/>
      <x:c r="M355" s="34" t="str"/>
      <x:c r="N355" s="34" t="str"/>
      <x:c r="O355" s="34" t="str"/>
      <x:c r="P355" s="34" t="str"/>
      <x:c r="Q355" s="34" t="str"/>
      <x:c r="R355" s="34" t="str"/>
      <x:c r="S355" s="34" t="str"/>
      <x:c r="T355" s="34" t="str"/>
      <x:c r="U355" s="34" t="str"/>
      <x:c r="V355" s="34" t="str"/>
      <x:c r="W355" s="34" t="str"/>
      <x:c r="X355" s="34" t="str"/>
    </x:row>
    <x:row r="356">
      <x:c r="A356" s="34" t="str">
        <x:v>M5-EVT-0351</x:v>
      </x:c>
      <x:c r="B356" s="34" t="str"/>
      <x:c r="C356" s="34" t="str"/>
      <x:c r="D356" s="34" t="str"/>
      <x:c r="E356" s="34" t="str"/>
      <x:c r="F356" s="34" t="str"/>
      <x:c r="G356" s="34" t="str"/>
      <x:c r="H356" s="34" t="str"/>
      <x:c r="I356" s="34" t="str"/>
      <x:c r="J356" s="34" t="str"/>
      <x:c r="K356" s="34" t="str"/>
      <x:c r="L356" s="34" t="str"/>
      <x:c r="M356" s="34" t="str"/>
      <x:c r="N356" s="34" t="str"/>
      <x:c r="O356" s="34" t="str"/>
      <x:c r="P356" s="34" t="str"/>
      <x:c r="Q356" s="34" t="str"/>
      <x:c r="R356" s="34" t="str"/>
      <x:c r="S356" s="34" t="str"/>
      <x:c r="T356" s="34" t="str"/>
      <x:c r="U356" s="34" t="str"/>
      <x:c r="V356" s="34" t="str"/>
      <x:c r="W356" s="34" t="str"/>
      <x:c r="X356" s="34" t="str"/>
    </x:row>
    <x:row r="357">
      <x:c r="A357" s="34" t="str">
        <x:v>M5-EVT-0352</x:v>
      </x:c>
      <x:c r="B357" s="34" t="str"/>
      <x:c r="C357" s="34" t="str"/>
      <x:c r="D357" s="34" t="str"/>
      <x:c r="E357" s="34" t="str"/>
      <x:c r="F357" s="34" t="str"/>
      <x:c r="G357" s="34" t="str"/>
      <x:c r="H357" s="34" t="str"/>
      <x:c r="I357" s="34" t="str"/>
      <x:c r="J357" s="34" t="str"/>
      <x:c r="K357" s="34" t="str"/>
      <x:c r="L357" s="34" t="str"/>
      <x:c r="M357" s="34" t="str"/>
      <x:c r="N357" s="34" t="str"/>
      <x:c r="O357" s="34" t="str"/>
      <x:c r="P357" s="34" t="str"/>
      <x:c r="Q357" s="34" t="str"/>
      <x:c r="R357" s="34" t="str"/>
      <x:c r="S357" s="34" t="str"/>
      <x:c r="T357" s="34" t="str"/>
      <x:c r="U357" s="34" t="str"/>
      <x:c r="V357" s="34" t="str"/>
      <x:c r="W357" s="34" t="str"/>
      <x:c r="X357" s="34" t="str"/>
    </x:row>
    <x:row r="358">
      <x:c r="A358" s="34" t="str">
        <x:v>M5-EVT-0353</x:v>
      </x:c>
      <x:c r="B358" s="34" t="str"/>
      <x:c r="C358" s="34" t="str"/>
      <x:c r="D358" s="34" t="str"/>
      <x:c r="E358" s="34" t="str"/>
      <x:c r="F358" s="34" t="str"/>
      <x:c r="G358" s="34" t="str"/>
      <x:c r="H358" s="34" t="str"/>
      <x:c r="I358" s="34" t="str"/>
      <x:c r="J358" s="34" t="str"/>
      <x:c r="K358" s="34" t="str"/>
      <x:c r="L358" s="34" t="str"/>
      <x:c r="M358" s="34" t="str"/>
      <x:c r="N358" s="34" t="str"/>
      <x:c r="O358" s="34" t="str"/>
      <x:c r="P358" s="34" t="str"/>
      <x:c r="Q358" s="34" t="str"/>
      <x:c r="R358" s="34" t="str"/>
      <x:c r="S358" s="34" t="str"/>
      <x:c r="T358" s="34" t="str"/>
      <x:c r="U358" s="34" t="str"/>
      <x:c r="V358" s="34" t="str"/>
      <x:c r="W358" s="34" t="str"/>
      <x:c r="X358" s="34" t="str"/>
    </x:row>
    <x:row r="359">
      <x:c r="A359" s="34" t="str">
        <x:v>M5-EVT-0354</x:v>
      </x:c>
      <x:c r="B359" s="34" t="str"/>
      <x:c r="C359" s="34" t="str"/>
      <x:c r="D359" s="34" t="str"/>
      <x:c r="E359" s="34" t="str"/>
      <x:c r="F359" s="34" t="str"/>
      <x:c r="G359" s="34" t="str"/>
      <x:c r="H359" s="34" t="str"/>
      <x:c r="I359" s="34" t="str"/>
      <x:c r="J359" s="34" t="str"/>
      <x:c r="K359" s="34" t="str"/>
      <x:c r="L359" s="34" t="str"/>
      <x:c r="M359" s="34" t="str"/>
      <x:c r="N359" s="34" t="str"/>
      <x:c r="O359" s="34" t="str"/>
      <x:c r="P359" s="34" t="str"/>
      <x:c r="Q359" s="34" t="str"/>
      <x:c r="R359" s="34" t="str"/>
      <x:c r="S359" s="34" t="str"/>
      <x:c r="T359" s="34" t="str"/>
      <x:c r="U359" s="34" t="str"/>
      <x:c r="V359" s="34" t="str"/>
      <x:c r="W359" s="34" t="str"/>
      <x:c r="X359" s="34" t="str"/>
    </x:row>
    <x:row r="360">
      <x:c r="A360" s="34" t="str">
        <x:v>M5-EVT-0355</x:v>
      </x:c>
      <x:c r="B360" s="34" t="str"/>
      <x:c r="C360" s="34" t="str"/>
      <x:c r="D360" s="34" t="str"/>
      <x:c r="E360" s="34" t="str"/>
      <x:c r="F360" s="34" t="str"/>
      <x:c r="G360" s="34" t="str"/>
      <x:c r="H360" s="34" t="str"/>
      <x:c r="I360" s="34" t="str"/>
      <x:c r="J360" s="34" t="str"/>
      <x:c r="K360" s="34" t="str"/>
      <x:c r="L360" s="34" t="str"/>
      <x:c r="M360" s="34" t="str"/>
      <x:c r="N360" s="34" t="str"/>
      <x:c r="O360" s="34" t="str"/>
      <x:c r="P360" s="34" t="str"/>
      <x:c r="Q360" s="34" t="str"/>
      <x:c r="R360" s="34" t="str"/>
      <x:c r="S360" s="34" t="str"/>
      <x:c r="T360" s="34" t="str"/>
      <x:c r="U360" s="34" t="str"/>
      <x:c r="V360" s="34" t="str"/>
      <x:c r="W360" s="34" t="str"/>
      <x:c r="X360" s="34" t="str"/>
    </x:row>
    <x:row r="361">
      <x:c r="A361" s="34" t="str">
        <x:v>M5-EVT-0356</x:v>
      </x:c>
      <x:c r="B361" s="34" t="str"/>
      <x:c r="C361" s="34" t="str"/>
      <x:c r="D361" s="34" t="str"/>
      <x:c r="E361" s="34" t="str"/>
      <x:c r="F361" s="34" t="str"/>
      <x:c r="G361" s="34" t="str"/>
      <x:c r="H361" s="34" t="str"/>
      <x:c r="I361" s="34" t="str"/>
      <x:c r="J361" s="34" t="str"/>
      <x:c r="K361" s="34" t="str"/>
      <x:c r="L361" s="34" t="str"/>
      <x:c r="M361" s="34" t="str"/>
      <x:c r="N361" s="34" t="str"/>
      <x:c r="O361" s="34" t="str"/>
      <x:c r="P361" s="34" t="str"/>
      <x:c r="Q361" s="34" t="str"/>
      <x:c r="R361" s="34" t="str"/>
      <x:c r="S361" s="34" t="str"/>
      <x:c r="T361" s="34" t="str"/>
      <x:c r="U361" s="34" t="str"/>
      <x:c r="V361" s="34" t="str"/>
      <x:c r="W361" s="34" t="str"/>
      <x:c r="X361" s="34" t="str"/>
    </x:row>
    <x:row r="362">
      <x:c r="A362" s="34" t="str">
        <x:v>M5-EVT-0357</x:v>
      </x:c>
      <x:c r="B362" s="34" t="str"/>
      <x:c r="C362" s="34" t="str"/>
      <x:c r="D362" s="34" t="str"/>
      <x:c r="E362" s="34" t="str"/>
      <x:c r="F362" s="34" t="str"/>
      <x:c r="G362" s="34" t="str"/>
      <x:c r="H362" s="34" t="str"/>
      <x:c r="I362" s="34" t="str"/>
      <x:c r="J362" s="34" t="str"/>
      <x:c r="K362" s="34" t="str"/>
      <x:c r="L362" s="34" t="str"/>
      <x:c r="M362" s="34" t="str"/>
      <x:c r="N362" s="34" t="str"/>
      <x:c r="O362" s="34" t="str"/>
      <x:c r="P362" s="34" t="str"/>
      <x:c r="Q362" s="34" t="str"/>
      <x:c r="R362" s="34" t="str"/>
      <x:c r="S362" s="34" t="str"/>
      <x:c r="T362" s="34" t="str"/>
      <x:c r="U362" s="34" t="str"/>
      <x:c r="V362" s="34" t="str"/>
      <x:c r="W362" s="34" t="str"/>
      <x:c r="X362" s="34" t="str"/>
    </x:row>
    <x:row r="363">
      <x:c r="A363" s="34" t="str">
        <x:v>M5-EVT-0358</x:v>
      </x:c>
      <x:c r="B363" s="34" t="str"/>
      <x:c r="C363" s="34" t="str"/>
      <x:c r="D363" s="34" t="str"/>
      <x:c r="E363" s="34" t="str"/>
      <x:c r="F363" s="34" t="str"/>
      <x:c r="G363" s="34" t="str"/>
      <x:c r="H363" s="34" t="str"/>
      <x:c r="I363" s="34" t="str"/>
      <x:c r="J363" s="34" t="str"/>
      <x:c r="K363" s="34" t="str"/>
      <x:c r="L363" s="34" t="str"/>
      <x:c r="M363" s="34" t="str"/>
      <x:c r="N363" s="34" t="str"/>
      <x:c r="O363" s="34" t="str"/>
      <x:c r="P363" s="34" t="str"/>
      <x:c r="Q363" s="34" t="str"/>
      <x:c r="R363" s="34" t="str"/>
      <x:c r="S363" s="34" t="str"/>
      <x:c r="T363" s="34" t="str"/>
      <x:c r="U363" s="34" t="str"/>
      <x:c r="V363" s="34" t="str"/>
      <x:c r="W363" s="34" t="str"/>
      <x:c r="X363" s="34" t="str"/>
    </x:row>
    <x:row r="364">
      <x:c r="A364" s="34" t="str">
        <x:v>M5-EVT-0359</x:v>
      </x:c>
      <x:c r="B364" s="34" t="str"/>
      <x:c r="C364" s="34" t="str"/>
      <x:c r="D364" s="34" t="str"/>
      <x:c r="E364" s="34" t="str"/>
      <x:c r="F364" s="34" t="str"/>
      <x:c r="G364" s="34" t="str"/>
      <x:c r="H364" s="34" t="str"/>
      <x:c r="I364" s="34" t="str"/>
      <x:c r="J364" s="34" t="str"/>
      <x:c r="K364" s="34" t="str"/>
      <x:c r="L364" s="34" t="str"/>
      <x:c r="M364" s="34" t="str"/>
      <x:c r="N364" s="34" t="str"/>
      <x:c r="O364" s="34" t="str"/>
      <x:c r="P364" s="34" t="str"/>
      <x:c r="Q364" s="34" t="str"/>
      <x:c r="R364" s="34" t="str"/>
      <x:c r="S364" s="34" t="str"/>
      <x:c r="T364" s="34" t="str"/>
      <x:c r="U364" s="34" t="str"/>
      <x:c r="V364" s="34" t="str"/>
      <x:c r="W364" s="34" t="str"/>
      <x:c r="X364" s="34" t="str"/>
    </x:row>
    <x:row r="365">
      <x:c r="A365" s="34" t="str">
        <x:v>M5-EVT-0360</x:v>
      </x:c>
      <x:c r="B365" s="34" t="str"/>
      <x:c r="C365" s="34" t="str"/>
      <x:c r="D365" s="34" t="str"/>
      <x:c r="E365" s="34" t="str"/>
      <x:c r="F365" s="34" t="str"/>
      <x:c r="G365" s="34" t="str"/>
      <x:c r="H365" s="34" t="str"/>
      <x:c r="I365" s="34" t="str"/>
      <x:c r="J365" s="34" t="str"/>
      <x:c r="K365" s="34" t="str"/>
      <x:c r="L365" s="34" t="str"/>
      <x:c r="M365" s="34" t="str"/>
      <x:c r="N365" s="34" t="str"/>
      <x:c r="O365" s="34" t="str"/>
      <x:c r="P365" s="34" t="str"/>
      <x:c r="Q365" s="34" t="str"/>
      <x:c r="R365" s="34" t="str"/>
      <x:c r="S365" s="34" t="str"/>
      <x:c r="T365" s="34" t="str"/>
      <x:c r="U365" s="34" t="str"/>
      <x:c r="V365" s="34" t="str"/>
      <x:c r="W365" s="34" t="str"/>
      <x:c r="X365" s="34" t="str"/>
    </x:row>
    <x:row r="366">
      <x:c r="A366" s="34" t="str">
        <x:v>M5-EVT-0361</x:v>
      </x:c>
      <x:c r="B366" s="34" t="str"/>
      <x:c r="C366" s="34" t="str"/>
      <x:c r="D366" s="34" t="str"/>
      <x:c r="E366" s="34" t="str"/>
      <x:c r="F366" s="34" t="str"/>
      <x:c r="G366" s="34" t="str"/>
      <x:c r="H366" s="34" t="str"/>
      <x:c r="I366" s="34" t="str"/>
      <x:c r="J366" s="34" t="str"/>
      <x:c r="K366" s="34" t="str"/>
      <x:c r="L366" s="34" t="str"/>
      <x:c r="M366" s="34" t="str"/>
      <x:c r="N366" s="34" t="str"/>
      <x:c r="O366" s="34" t="str"/>
      <x:c r="P366" s="34" t="str"/>
      <x:c r="Q366" s="34" t="str"/>
      <x:c r="R366" s="34" t="str"/>
      <x:c r="S366" s="34" t="str"/>
      <x:c r="T366" s="34" t="str"/>
      <x:c r="U366" s="34" t="str"/>
      <x:c r="V366" s="34" t="str"/>
      <x:c r="W366" s="34" t="str"/>
      <x:c r="X366" s="34" t="str"/>
    </x:row>
    <x:row r="367">
      <x:c r="A367" s="34" t="str">
        <x:v>M5-EVT-0362</x:v>
      </x:c>
      <x:c r="B367" s="34" t="str"/>
      <x:c r="C367" s="34" t="str"/>
      <x:c r="D367" s="34" t="str"/>
      <x:c r="E367" s="34" t="str"/>
      <x:c r="F367" s="34" t="str"/>
      <x:c r="G367" s="34" t="str"/>
      <x:c r="H367" s="34" t="str"/>
      <x:c r="I367" s="34" t="str"/>
      <x:c r="J367" s="34" t="str"/>
      <x:c r="K367" s="34" t="str"/>
      <x:c r="L367" s="34" t="str"/>
      <x:c r="M367" s="34" t="str"/>
      <x:c r="N367" s="34" t="str"/>
      <x:c r="O367" s="34" t="str"/>
      <x:c r="P367" s="34" t="str"/>
      <x:c r="Q367" s="34" t="str"/>
      <x:c r="R367" s="34" t="str"/>
      <x:c r="S367" s="34" t="str"/>
      <x:c r="T367" s="34" t="str"/>
      <x:c r="U367" s="34" t="str"/>
      <x:c r="V367" s="34" t="str"/>
      <x:c r="W367" s="34" t="str"/>
      <x:c r="X367" s="34" t="str"/>
    </x:row>
    <x:row r="368">
      <x:c r="A368" s="34" t="str">
        <x:v>M5-EVT-0363</x:v>
      </x:c>
      <x:c r="B368" s="34" t="str"/>
      <x:c r="C368" s="34" t="str"/>
      <x:c r="D368" s="34" t="str"/>
      <x:c r="E368" s="34" t="str"/>
      <x:c r="F368" s="34" t="str"/>
      <x:c r="G368" s="34" t="str"/>
      <x:c r="H368" s="34" t="str"/>
      <x:c r="I368" s="34" t="str"/>
      <x:c r="J368" s="34" t="str"/>
      <x:c r="K368" s="34" t="str"/>
      <x:c r="L368" s="34" t="str"/>
      <x:c r="M368" s="34" t="str"/>
      <x:c r="N368" s="34" t="str"/>
      <x:c r="O368" s="34" t="str"/>
      <x:c r="P368" s="34" t="str"/>
      <x:c r="Q368" s="34" t="str"/>
      <x:c r="R368" s="34" t="str"/>
      <x:c r="S368" s="34" t="str"/>
      <x:c r="T368" s="34" t="str"/>
      <x:c r="U368" s="34" t="str"/>
      <x:c r="V368" s="34" t="str"/>
      <x:c r="W368" s="34" t="str"/>
      <x:c r="X368" s="34" t="str"/>
    </x:row>
    <x:row r="369">
      <x:c r="A369" s="34" t="str">
        <x:v>M5-EVT-0364</x:v>
      </x:c>
      <x:c r="B369" s="34" t="str"/>
      <x:c r="C369" s="34" t="str"/>
      <x:c r="D369" s="34" t="str"/>
      <x:c r="E369" s="34" t="str"/>
      <x:c r="F369" s="34" t="str"/>
      <x:c r="G369" s="34" t="str"/>
      <x:c r="H369" s="34" t="str"/>
      <x:c r="I369" s="34" t="str"/>
      <x:c r="J369" s="34" t="str"/>
      <x:c r="K369" s="34" t="str"/>
      <x:c r="L369" s="34" t="str"/>
      <x:c r="M369" s="34" t="str"/>
      <x:c r="N369" s="34" t="str"/>
      <x:c r="O369" s="34" t="str"/>
      <x:c r="P369" s="34" t="str"/>
      <x:c r="Q369" s="34" t="str"/>
      <x:c r="R369" s="34" t="str"/>
      <x:c r="S369" s="34" t="str"/>
      <x:c r="T369" s="34" t="str"/>
      <x:c r="U369" s="34" t="str"/>
      <x:c r="V369" s="34" t="str"/>
      <x:c r="W369" s="34" t="str"/>
      <x:c r="X369" s="34" t="str"/>
    </x:row>
    <x:row r="370">
      <x:c r="A370" s="34" t="str">
        <x:v>M5-EVT-0365</x:v>
      </x:c>
      <x:c r="B370" s="34" t="str"/>
      <x:c r="C370" s="34" t="str"/>
      <x:c r="D370" s="34" t="str"/>
      <x:c r="E370" s="34" t="str"/>
      <x:c r="F370" s="34" t="str"/>
      <x:c r="G370" s="34" t="str"/>
      <x:c r="H370" s="34" t="str"/>
      <x:c r="I370" s="34" t="str"/>
      <x:c r="J370" s="34" t="str"/>
      <x:c r="K370" s="34" t="str"/>
      <x:c r="L370" s="34" t="str"/>
      <x:c r="M370" s="34" t="str"/>
      <x:c r="N370" s="34" t="str"/>
      <x:c r="O370" s="34" t="str"/>
      <x:c r="P370" s="34" t="str"/>
      <x:c r="Q370" s="34" t="str"/>
      <x:c r="R370" s="34" t="str"/>
      <x:c r="S370" s="34" t="str"/>
      <x:c r="T370" s="34" t="str"/>
      <x:c r="U370" s="34" t="str"/>
      <x:c r="V370" s="34" t="str"/>
      <x:c r="W370" s="34" t="str"/>
      <x:c r="X370" s="34" t="str"/>
    </x:row>
    <x:row r="371">
      <x:c r="A371" s="34" t="str">
        <x:v>M5-EVT-0366</x:v>
      </x:c>
      <x:c r="B371" s="34" t="str"/>
      <x:c r="C371" s="34" t="str"/>
      <x:c r="D371" s="34" t="str"/>
      <x:c r="E371" s="34" t="str"/>
      <x:c r="F371" s="34" t="str"/>
      <x:c r="G371" s="34" t="str"/>
      <x:c r="H371" s="34" t="str"/>
      <x:c r="I371" s="34" t="str"/>
      <x:c r="J371" s="34" t="str"/>
      <x:c r="K371" s="34" t="str"/>
      <x:c r="L371" s="34" t="str"/>
      <x:c r="M371" s="34" t="str"/>
      <x:c r="N371" s="34" t="str"/>
      <x:c r="O371" s="34" t="str"/>
      <x:c r="P371" s="34" t="str"/>
      <x:c r="Q371" s="34" t="str"/>
      <x:c r="R371" s="34" t="str"/>
      <x:c r="S371" s="34" t="str"/>
      <x:c r="T371" s="34" t="str"/>
      <x:c r="U371" s="34" t="str"/>
      <x:c r="V371" s="34" t="str"/>
      <x:c r="W371" s="34" t="str"/>
      <x:c r="X371" s="34" t="str"/>
    </x:row>
    <x:row r="372">
      <x:c r="A372" s="34" t="str">
        <x:v>M5-EVT-0367</x:v>
      </x:c>
      <x:c r="B372" s="34" t="str"/>
      <x:c r="C372" s="34" t="str"/>
      <x:c r="D372" s="34" t="str"/>
      <x:c r="E372" s="34" t="str"/>
      <x:c r="F372" s="34" t="str"/>
      <x:c r="G372" s="34" t="str"/>
      <x:c r="H372" s="34" t="str"/>
      <x:c r="I372" s="34" t="str"/>
      <x:c r="J372" s="34" t="str"/>
      <x:c r="K372" s="34" t="str"/>
      <x:c r="L372" s="34" t="str"/>
      <x:c r="M372" s="34" t="str"/>
      <x:c r="N372" s="34" t="str"/>
      <x:c r="O372" s="34" t="str"/>
      <x:c r="P372" s="34" t="str"/>
      <x:c r="Q372" s="34" t="str"/>
      <x:c r="R372" s="34" t="str"/>
      <x:c r="S372" s="34" t="str"/>
      <x:c r="T372" s="34" t="str"/>
      <x:c r="U372" s="34" t="str"/>
      <x:c r="V372" s="34" t="str"/>
      <x:c r="W372" s="34" t="str"/>
      <x:c r="X372" s="34" t="str"/>
    </x:row>
    <x:row r="373">
      <x:c r="A373" s="34" t="str">
        <x:v>M5-EVT-0368</x:v>
      </x:c>
      <x:c r="B373" s="34" t="str"/>
      <x:c r="C373" s="34" t="str"/>
      <x:c r="D373" s="34" t="str"/>
      <x:c r="E373" s="34" t="str"/>
      <x:c r="F373" s="34" t="str"/>
      <x:c r="G373" s="34" t="str"/>
      <x:c r="H373" s="34" t="str"/>
      <x:c r="I373" s="34" t="str"/>
      <x:c r="J373" s="34" t="str"/>
      <x:c r="K373" s="34" t="str"/>
      <x:c r="L373" s="34" t="str"/>
      <x:c r="M373" s="34" t="str"/>
      <x:c r="N373" s="34" t="str"/>
      <x:c r="O373" s="34" t="str"/>
      <x:c r="P373" s="34" t="str"/>
      <x:c r="Q373" s="34" t="str"/>
      <x:c r="R373" s="34" t="str"/>
      <x:c r="S373" s="34" t="str"/>
      <x:c r="T373" s="34" t="str"/>
      <x:c r="U373" s="34" t="str"/>
      <x:c r="V373" s="34" t="str"/>
      <x:c r="W373" s="34" t="str"/>
      <x:c r="X373" s="34" t="str"/>
    </x:row>
    <x:row r="374">
      <x:c r="A374" s="34" t="str">
        <x:v>M5-EVT-0369</x:v>
      </x:c>
      <x:c r="B374" s="34" t="str"/>
      <x:c r="C374" s="34" t="str"/>
      <x:c r="D374" s="34" t="str"/>
      <x:c r="E374" s="34" t="str"/>
      <x:c r="F374" s="34" t="str"/>
      <x:c r="G374" s="34" t="str"/>
      <x:c r="H374" s="34" t="str"/>
      <x:c r="I374" s="34" t="str"/>
      <x:c r="J374" s="34" t="str"/>
      <x:c r="K374" s="34" t="str"/>
      <x:c r="L374" s="34" t="str"/>
      <x:c r="M374" s="34" t="str"/>
      <x:c r="N374" s="34" t="str"/>
      <x:c r="O374" s="34" t="str"/>
      <x:c r="P374" s="34" t="str"/>
      <x:c r="Q374" s="34" t="str"/>
      <x:c r="R374" s="34" t="str"/>
      <x:c r="S374" s="34" t="str"/>
      <x:c r="T374" s="34" t="str"/>
      <x:c r="U374" s="34" t="str"/>
      <x:c r="V374" s="34" t="str"/>
      <x:c r="W374" s="34" t="str"/>
      <x:c r="X374" s="34" t="str"/>
    </x:row>
    <x:row r="375">
      <x:c r="A375" s="34" t="str">
        <x:v>M5-EVT-0370</x:v>
      </x:c>
      <x:c r="B375" s="34" t="str"/>
      <x:c r="C375" s="34" t="str"/>
      <x:c r="D375" s="34" t="str"/>
      <x:c r="E375" s="34" t="str"/>
      <x:c r="F375" s="34" t="str"/>
      <x:c r="G375" s="34" t="str"/>
      <x:c r="H375" s="34" t="str"/>
      <x:c r="I375" s="34" t="str"/>
      <x:c r="J375" s="34" t="str"/>
      <x:c r="K375" s="34" t="str"/>
      <x:c r="L375" s="34" t="str"/>
      <x:c r="M375" s="34" t="str"/>
      <x:c r="N375" s="34" t="str"/>
      <x:c r="O375" s="34" t="str"/>
      <x:c r="P375" s="34" t="str"/>
      <x:c r="Q375" s="34" t="str"/>
      <x:c r="R375" s="34" t="str"/>
      <x:c r="S375" s="34" t="str"/>
      <x:c r="T375" s="34" t="str"/>
      <x:c r="U375" s="34" t="str"/>
      <x:c r="V375" s="34" t="str"/>
      <x:c r="W375" s="34" t="str"/>
      <x:c r="X375" s="34" t="str"/>
    </x:row>
    <x:row r="376">
      <x:c r="A376" s="34" t="str">
        <x:v>M5-EVT-0371</x:v>
      </x:c>
      <x:c r="B376" s="34" t="str"/>
      <x:c r="C376" s="34" t="str"/>
      <x:c r="D376" s="34" t="str"/>
      <x:c r="E376" s="34" t="str"/>
      <x:c r="F376" s="34" t="str"/>
      <x:c r="G376" s="34" t="str"/>
      <x:c r="H376" s="34" t="str"/>
      <x:c r="I376" s="34" t="str"/>
      <x:c r="J376" s="34" t="str"/>
      <x:c r="K376" s="34" t="str"/>
      <x:c r="L376" s="34" t="str"/>
      <x:c r="M376" s="34" t="str"/>
      <x:c r="N376" s="34" t="str"/>
      <x:c r="O376" s="34" t="str"/>
      <x:c r="P376" s="34" t="str"/>
      <x:c r="Q376" s="34" t="str"/>
      <x:c r="R376" s="34" t="str"/>
      <x:c r="S376" s="34" t="str"/>
      <x:c r="T376" s="34" t="str"/>
      <x:c r="U376" s="34" t="str"/>
      <x:c r="V376" s="34" t="str"/>
      <x:c r="W376" s="34" t="str"/>
      <x:c r="X376" s="34" t="str"/>
    </x:row>
    <x:row r="377">
      <x:c r="A377" s="34" t="str">
        <x:v>M5-EVT-0372</x:v>
      </x:c>
      <x:c r="B377" s="34" t="str"/>
      <x:c r="C377" s="34" t="str"/>
      <x:c r="D377" s="34" t="str"/>
      <x:c r="E377" s="34" t="str"/>
      <x:c r="F377" s="34" t="str"/>
      <x:c r="G377" s="34" t="str"/>
      <x:c r="H377" s="34" t="str"/>
      <x:c r="I377" s="34" t="str"/>
      <x:c r="J377" s="34" t="str"/>
      <x:c r="K377" s="34" t="str"/>
      <x:c r="L377" s="34" t="str"/>
      <x:c r="M377" s="34" t="str"/>
      <x:c r="N377" s="34" t="str"/>
      <x:c r="O377" s="34" t="str"/>
      <x:c r="P377" s="34" t="str"/>
      <x:c r="Q377" s="34" t="str"/>
      <x:c r="R377" s="34" t="str"/>
      <x:c r="S377" s="34" t="str"/>
      <x:c r="T377" s="34" t="str"/>
      <x:c r="U377" s="34" t="str"/>
      <x:c r="V377" s="34" t="str"/>
      <x:c r="W377" s="34" t="str"/>
      <x:c r="X377" s="34" t="str"/>
    </x:row>
    <x:row r="378">
      <x:c r="A378" s="34" t="str">
        <x:v>M5-EVT-0373</x:v>
      </x:c>
      <x:c r="B378" s="34" t="str"/>
      <x:c r="C378" s="34" t="str"/>
      <x:c r="D378" s="34" t="str"/>
      <x:c r="E378" s="34" t="str"/>
      <x:c r="F378" s="34" t="str"/>
      <x:c r="G378" s="34" t="str"/>
      <x:c r="H378" s="34" t="str"/>
      <x:c r="I378" s="34" t="str"/>
      <x:c r="J378" s="34" t="str"/>
      <x:c r="K378" s="34" t="str"/>
      <x:c r="L378" s="34" t="str"/>
      <x:c r="M378" s="34" t="str"/>
      <x:c r="N378" s="34" t="str"/>
      <x:c r="O378" s="34" t="str"/>
      <x:c r="P378" s="34" t="str"/>
      <x:c r="Q378" s="34" t="str"/>
      <x:c r="R378" s="34" t="str"/>
      <x:c r="S378" s="34" t="str"/>
      <x:c r="T378" s="34" t="str"/>
      <x:c r="U378" s="34" t="str"/>
      <x:c r="V378" s="34" t="str"/>
      <x:c r="W378" s="34" t="str"/>
      <x:c r="X378" s="34" t="str"/>
    </x:row>
    <x:row r="379">
      <x:c r="A379" s="34" t="str">
        <x:v>M5-EVT-0374</x:v>
      </x:c>
      <x:c r="B379" s="34" t="str"/>
      <x:c r="C379" s="34" t="str"/>
      <x:c r="D379" s="34" t="str"/>
      <x:c r="E379" s="34" t="str"/>
      <x:c r="F379" s="34" t="str"/>
      <x:c r="G379" s="34" t="str"/>
      <x:c r="H379" s="34" t="str"/>
      <x:c r="I379" s="34" t="str"/>
      <x:c r="J379" s="34" t="str"/>
      <x:c r="K379" s="34" t="str"/>
      <x:c r="L379" s="34" t="str"/>
      <x:c r="M379" s="34" t="str"/>
      <x:c r="N379" s="34" t="str"/>
      <x:c r="O379" s="34" t="str"/>
      <x:c r="P379" s="34" t="str"/>
      <x:c r="Q379" s="34" t="str"/>
      <x:c r="R379" s="34" t="str"/>
      <x:c r="S379" s="34" t="str"/>
      <x:c r="T379" s="34" t="str"/>
      <x:c r="U379" s="34" t="str"/>
      <x:c r="V379" s="34" t="str"/>
      <x:c r="W379" s="34" t="str"/>
      <x:c r="X379" s="34" t="str"/>
    </x:row>
    <x:row r="380">
      <x:c r="A380" s="34" t="str">
        <x:v>M5-EVT-0375</x:v>
      </x:c>
      <x:c r="B380" s="34" t="str"/>
      <x:c r="C380" s="34" t="str"/>
      <x:c r="D380" s="34" t="str"/>
      <x:c r="E380" s="34" t="str"/>
      <x:c r="F380" s="34" t="str"/>
      <x:c r="G380" s="34" t="str"/>
      <x:c r="H380" s="34" t="str"/>
      <x:c r="I380" s="34" t="str"/>
      <x:c r="J380" s="34" t="str"/>
      <x:c r="K380" s="34" t="str"/>
      <x:c r="L380" s="34" t="str"/>
      <x:c r="M380" s="34" t="str"/>
      <x:c r="N380" s="34" t="str"/>
      <x:c r="O380" s="34" t="str"/>
      <x:c r="P380" s="34" t="str"/>
      <x:c r="Q380" s="34" t="str"/>
      <x:c r="R380" s="34" t="str"/>
      <x:c r="S380" s="34" t="str"/>
      <x:c r="T380" s="34" t="str"/>
      <x:c r="U380" s="34" t="str"/>
      <x:c r="V380" s="34" t="str"/>
      <x:c r="W380" s="34" t="str"/>
      <x:c r="X380" s="34" t="str"/>
    </x:row>
    <x:row r="381">
      <x:c r="A381" s="34" t="str">
        <x:v>M5-EVT-0376</x:v>
      </x:c>
      <x:c r="B381" s="34" t="str"/>
      <x:c r="C381" s="34" t="str"/>
      <x:c r="D381" s="34" t="str"/>
      <x:c r="E381" s="34" t="str"/>
      <x:c r="F381" s="34" t="str"/>
      <x:c r="G381" s="34" t="str"/>
      <x:c r="H381" s="34" t="str"/>
      <x:c r="I381" s="34" t="str"/>
      <x:c r="J381" s="34" t="str"/>
      <x:c r="K381" s="34" t="str"/>
      <x:c r="L381" s="34" t="str"/>
      <x:c r="M381" s="34" t="str"/>
      <x:c r="N381" s="34" t="str"/>
      <x:c r="O381" s="34" t="str"/>
      <x:c r="P381" s="34" t="str"/>
      <x:c r="Q381" s="34" t="str"/>
      <x:c r="R381" s="34" t="str"/>
      <x:c r="S381" s="34" t="str"/>
      <x:c r="T381" s="34" t="str"/>
      <x:c r="U381" s="34" t="str"/>
      <x:c r="V381" s="34" t="str"/>
      <x:c r="W381" s="34" t="str"/>
      <x:c r="X381" s="34" t="str"/>
    </x:row>
    <x:row r="382">
      <x:c r="A382" s="34" t="str">
        <x:v>M5-EVT-0377</x:v>
      </x:c>
      <x:c r="B382" s="34" t="str"/>
      <x:c r="C382" s="34" t="str"/>
      <x:c r="D382" s="34" t="str"/>
      <x:c r="E382" s="34" t="str"/>
      <x:c r="F382" s="34" t="str"/>
      <x:c r="G382" s="34" t="str"/>
      <x:c r="H382" s="34" t="str"/>
      <x:c r="I382" s="34" t="str"/>
      <x:c r="J382" s="34" t="str"/>
      <x:c r="K382" s="34" t="str"/>
      <x:c r="L382" s="34" t="str"/>
      <x:c r="M382" s="34" t="str"/>
      <x:c r="N382" s="34" t="str"/>
      <x:c r="O382" s="34" t="str"/>
      <x:c r="P382" s="34" t="str"/>
      <x:c r="Q382" s="34" t="str"/>
      <x:c r="R382" s="34" t="str"/>
      <x:c r="S382" s="34" t="str"/>
      <x:c r="T382" s="34" t="str"/>
      <x:c r="U382" s="34" t="str"/>
      <x:c r="V382" s="34" t="str"/>
      <x:c r="W382" s="34" t="str"/>
      <x:c r="X382" s="34" t="str"/>
    </x:row>
    <x:row r="383">
      <x:c r="A383" s="34" t="str">
        <x:v>M5-EVT-0378</x:v>
      </x:c>
      <x:c r="B383" s="34" t="str"/>
      <x:c r="C383" s="34" t="str"/>
      <x:c r="D383" s="34" t="str"/>
      <x:c r="E383" s="34" t="str"/>
      <x:c r="F383" s="34" t="str"/>
      <x:c r="G383" s="34" t="str"/>
      <x:c r="H383" s="34" t="str"/>
      <x:c r="I383" s="34" t="str"/>
      <x:c r="J383" s="34" t="str"/>
      <x:c r="K383" s="34" t="str"/>
      <x:c r="L383" s="34" t="str"/>
      <x:c r="M383" s="34" t="str"/>
      <x:c r="N383" s="34" t="str"/>
      <x:c r="O383" s="34" t="str"/>
      <x:c r="P383" s="34" t="str"/>
      <x:c r="Q383" s="34" t="str"/>
      <x:c r="R383" s="34" t="str"/>
      <x:c r="S383" s="34" t="str"/>
      <x:c r="T383" s="34" t="str"/>
      <x:c r="U383" s="34" t="str"/>
      <x:c r="V383" s="34" t="str"/>
      <x:c r="W383" s="34" t="str"/>
      <x:c r="X383" s="34" t="str"/>
    </x:row>
    <x:row r="384">
      <x:c r="A384" s="34" t="str">
        <x:v>M5-EVT-0379</x:v>
      </x:c>
      <x:c r="B384" s="34" t="str"/>
      <x:c r="C384" s="34" t="str"/>
      <x:c r="D384" s="34" t="str"/>
      <x:c r="E384" s="34" t="str"/>
      <x:c r="F384" s="34" t="str"/>
      <x:c r="G384" s="34" t="str"/>
      <x:c r="H384" s="34" t="str"/>
      <x:c r="I384" s="34" t="str"/>
      <x:c r="J384" s="34" t="str"/>
      <x:c r="K384" s="34" t="str"/>
      <x:c r="L384" s="34" t="str"/>
      <x:c r="M384" s="34" t="str"/>
      <x:c r="N384" s="34" t="str"/>
      <x:c r="O384" s="34" t="str"/>
      <x:c r="P384" s="34" t="str"/>
      <x:c r="Q384" s="34" t="str"/>
      <x:c r="R384" s="34" t="str"/>
      <x:c r="S384" s="34" t="str"/>
      <x:c r="T384" s="34" t="str"/>
      <x:c r="U384" s="34" t="str"/>
      <x:c r="V384" s="34" t="str"/>
      <x:c r="W384" s="34" t="str"/>
      <x:c r="X384" s="34" t="str"/>
    </x:row>
    <x:row r="385">
      <x:c r="A385" s="34" t="str">
        <x:v>M5-EVT-0380</x:v>
      </x:c>
      <x:c r="B385" s="34" t="str"/>
      <x:c r="C385" s="34" t="str"/>
      <x:c r="D385" s="34" t="str"/>
      <x:c r="E385" s="34" t="str"/>
      <x:c r="F385" s="34" t="str"/>
      <x:c r="G385" s="34" t="str"/>
      <x:c r="H385" s="34" t="str"/>
      <x:c r="I385" s="34" t="str"/>
      <x:c r="J385" s="34" t="str"/>
      <x:c r="K385" s="34" t="str"/>
      <x:c r="L385" s="34" t="str"/>
      <x:c r="M385" s="34" t="str"/>
      <x:c r="N385" s="34" t="str"/>
      <x:c r="O385" s="34" t="str"/>
      <x:c r="P385" s="34" t="str"/>
      <x:c r="Q385" s="34" t="str"/>
      <x:c r="R385" s="34" t="str"/>
      <x:c r="S385" s="34" t="str"/>
      <x:c r="T385" s="34" t="str"/>
      <x:c r="U385" s="34" t="str"/>
      <x:c r="V385" s="34" t="str"/>
      <x:c r="W385" s="34" t="str"/>
      <x:c r="X385" s="34" t="str"/>
    </x:row>
    <x:row r="386">
      <x:c r="A386" s="34" t="str">
        <x:v>M5-EVT-0381</x:v>
      </x:c>
      <x:c r="B386" s="34" t="str"/>
      <x:c r="C386" s="34" t="str"/>
      <x:c r="D386" s="34" t="str"/>
      <x:c r="E386" s="34" t="str"/>
      <x:c r="F386" s="34" t="str"/>
      <x:c r="G386" s="34" t="str"/>
      <x:c r="H386" s="34" t="str"/>
      <x:c r="I386" s="34" t="str"/>
      <x:c r="J386" s="34" t="str"/>
      <x:c r="K386" s="34" t="str"/>
      <x:c r="L386" s="34" t="str"/>
      <x:c r="M386" s="34" t="str"/>
      <x:c r="N386" s="34" t="str"/>
      <x:c r="O386" s="34" t="str"/>
      <x:c r="P386" s="34" t="str"/>
      <x:c r="Q386" s="34" t="str"/>
      <x:c r="R386" s="34" t="str"/>
      <x:c r="S386" s="34" t="str"/>
      <x:c r="T386" s="34" t="str"/>
      <x:c r="U386" s="34" t="str"/>
      <x:c r="V386" s="34" t="str"/>
      <x:c r="W386" s="34" t="str"/>
      <x:c r="X386" s="34" t="str"/>
    </x:row>
    <x:row r="387">
      <x:c r="A387" s="34" t="str">
        <x:v>M5-EVT-0382</x:v>
      </x:c>
      <x:c r="B387" s="34" t="str"/>
      <x:c r="C387" s="34" t="str"/>
      <x:c r="D387" s="34" t="str"/>
      <x:c r="E387" s="34" t="str"/>
      <x:c r="F387" s="34" t="str"/>
      <x:c r="G387" s="34" t="str"/>
      <x:c r="H387" s="34" t="str"/>
      <x:c r="I387" s="34" t="str"/>
      <x:c r="J387" s="34" t="str"/>
      <x:c r="K387" s="34" t="str"/>
      <x:c r="L387" s="34" t="str"/>
      <x:c r="M387" s="34" t="str"/>
      <x:c r="N387" s="34" t="str"/>
      <x:c r="O387" s="34" t="str"/>
      <x:c r="P387" s="34" t="str"/>
      <x:c r="Q387" s="34" t="str"/>
      <x:c r="R387" s="34" t="str"/>
      <x:c r="S387" s="34" t="str"/>
      <x:c r="T387" s="34" t="str"/>
      <x:c r="U387" s="34" t="str"/>
      <x:c r="V387" s="34" t="str"/>
      <x:c r="W387" s="34" t="str"/>
      <x:c r="X387" s="34" t="str"/>
    </x:row>
    <x:row r="388">
      <x:c r="A388" s="34" t="str">
        <x:v>M5-EVT-0383</x:v>
      </x:c>
      <x:c r="B388" s="34" t="str"/>
      <x:c r="C388" s="34" t="str"/>
      <x:c r="D388" s="34" t="str"/>
      <x:c r="E388" s="34" t="str"/>
      <x:c r="F388" s="34" t="str"/>
      <x:c r="G388" s="34" t="str"/>
      <x:c r="H388" s="34" t="str"/>
      <x:c r="I388" s="34" t="str"/>
      <x:c r="J388" s="34" t="str"/>
      <x:c r="K388" s="34" t="str"/>
      <x:c r="L388" s="34" t="str"/>
      <x:c r="M388" s="34" t="str"/>
      <x:c r="N388" s="34" t="str"/>
      <x:c r="O388" s="34" t="str"/>
      <x:c r="P388" s="34" t="str"/>
      <x:c r="Q388" s="34" t="str"/>
      <x:c r="R388" s="34" t="str"/>
      <x:c r="S388" s="34" t="str"/>
      <x:c r="T388" s="34" t="str"/>
      <x:c r="U388" s="34" t="str"/>
      <x:c r="V388" s="34" t="str"/>
      <x:c r="W388" s="34" t="str"/>
      <x:c r="X388" s="34" t="str"/>
    </x:row>
    <x:row r="389">
      <x:c r="A389" s="34" t="str">
        <x:v>M5-EVT-0384</x:v>
      </x:c>
      <x:c r="B389" s="34" t="str"/>
      <x:c r="C389" s="34" t="str"/>
      <x:c r="D389" s="34" t="str"/>
      <x:c r="E389" s="34" t="str"/>
      <x:c r="F389" s="34" t="str"/>
      <x:c r="G389" s="34" t="str"/>
      <x:c r="H389" s="34" t="str"/>
      <x:c r="I389" s="34" t="str"/>
      <x:c r="J389" s="34" t="str"/>
      <x:c r="K389" s="34" t="str"/>
      <x:c r="L389" s="34" t="str"/>
      <x:c r="M389" s="34" t="str"/>
      <x:c r="N389" s="34" t="str"/>
      <x:c r="O389" s="34" t="str"/>
      <x:c r="P389" s="34" t="str"/>
      <x:c r="Q389" s="34" t="str"/>
      <x:c r="R389" s="34" t="str"/>
      <x:c r="S389" s="34" t="str"/>
      <x:c r="T389" s="34" t="str"/>
      <x:c r="U389" s="34" t="str"/>
      <x:c r="V389" s="34" t="str"/>
      <x:c r="W389" s="34" t="str"/>
      <x:c r="X389" s="34" t="str"/>
    </x:row>
    <x:row r="390">
      <x:c r="A390" s="34" t="str">
        <x:v>M5-EVT-0385</x:v>
      </x:c>
      <x:c r="B390" s="34" t="str"/>
      <x:c r="C390" s="34" t="str"/>
      <x:c r="D390" s="34" t="str"/>
      <x:c r="E390" s="34" t="str"/>
      <x:c r="F390" s="34" t="str"/>
      <x:c r="G390" s="34" t="str"/>
      <x:c r="H390" s="34" t="str"/>
      <x:c r="I390" s="34" t="str"/>
      <x:c r="J390" s="34" t="str"/>
      <x:c r="K390" s="34" t="str"/>
      <x:c r="L390" s="34" t="str"/>
      <x:c r="M390" s="34" t="str"/>
      <x:c r="N390" s="34" t="str"/>
      <x:c r="O390" s="34" t="str"/>
      <x:c r="P390" s="34" t="str"/>
      <x:c r="Q390" s="34" t="str"/>
      <x:c r="R390" s="34" t="str"/>
      <x:c r="S390" s="34" t="str"/>
      <x:c r="T390" s="34" t="str"/>
      <x:c r="U390" s="34" t="str"/>
      <x:c r="V390" s="34" t="str"/>
      <x:c r="W390" s="34" t="str"/>
      <x:c r="X390" s="34" t="str"/>
    </x:row>
    <x:row r="391">
      <x:c r="A391" s="34" t="str">
        <x:v>M5-EVT-0386</x:v>
      </x:c>
      <x:c r="B391" s="34" t="str"/>
      <x:c r="C391" s="34" t="str"/>
      <x:c r="D391" s="34" t="str"/>
      <x:c r="E391" s="34" t="str"/>
      <x:c r="F391" s="34" t="str"/>
      <x:c r="G391" s="34" t="str"/>
      <x:c r="H391" s="34" t="str"/>
      <x:c r="I391" s="34" t="str"/>
      <x:c r="J391" s="34" t="str"/>
      <x:c r="K391" s="34" t="str"/>
      <x:c r="L391" s="34" t="str"/>
      <x:c r="M391" s="34" t="str"/>
      <x:c r="N391" s="34" t="str"/>
      <x:c r="O391" s="34" t="str"/>
      <x:c r="P391" s="34" t="str"/>
      <x:c r="Q391" s="34" t="str"/>
      <x:c r="R391" s="34" t="str"/>
      <x:c r="S391" s="34" t="str"/>
      <x:c r="T391" s="34" t="str"/>
      <x:c r="U391" s="34" t="str"/>
      <x:c r="V391" s="34" t="str"/>
      <x:c r="W391" s="34" t="str"/>
      <x:c r="X391" s="34" t="str"/>
    </x:row>
    <x:row r="392">
      <x:c r="A392" s="34" t="str">
        <x:v>M5-EVT-0387</x:v>
      </x:c>
      <x:c r="B392" s="34" t="str"/>
      <x:c r="C392" s="34" t="str"/>
      <x:c r="D392" s="34" t="str"/>
      <x:c r="E392" s="34" t="str"/>
      <x:c r="F392" s="34" t="str"/>
      <x:c r="G392" s="34" t="str"/>
      <x:c r="H392" s="34" t="str"/>
      <x:c r="I392" s="34" t="str"/>
      <x:c r="J392" s="34" t="str"/>
      <x:c r="K392" s="34" t="str"/>
      <x:c r="L392" s="34" t="str"/>
      <x:c r="M392" s="34" t="str"/>
      <x:c r="N392" s="34" t="str"/>
      <x:c r="O392" s="34" t="str"/>
      <x:c r="P392" s="34" t="str"/>
      <x:c r="Q392" s="34" t="str"/>
      <x:c r="R392" s="34" t="str"/>
      <x:c r="S392" s="34" t="str"/>
      <x:c r="T392" s="34" t="str"/>
      <x:c r="U392" s="34" t="str"/>
      <x:c r="V392" s="34" t="str"/>
      <x:c r="W392" s="34" t="str"/>
      <x:c r="X392" s="34" t="str"/>
    </x:row>
    <x:row r="393">
      <x:c r="A393" s="34" t="str">
        <x:v>M5-EVT-0388</x:v>
      </x:c>
      <x:c r="B393" s="34" t="str"/>
      <x:c r="C393" s="34" t="str"/>
      <x:c r="D393" s="34" t="str"/>
      <x:c r="E393" s="34" t="str"/>
      <x:c r="F393" s="34" t="str"/>
      <x:c r="G393" s="34" t="str"/>
      <x:c r="H393" s="34" t="str"/>
      <x:c r="I393" s="34" t="str"/>
      <x:c r="J393" s="34" t="str"/>
      <x:c r="K393" s="34" t="str"/>
      <x:c r="L393" s="34" t="str"/>
      <x:c r="M393" s="34" t="str"/>
      <x:c r="N393" s="34" t="str"/>
      <x:c r="O393" s="34" t="str"/>
      <x:c r="P393" s="34" t="str"/>
      <x:c r="Q393" s="34" t="str"/>
      <x:c r="R393" s="34" t="str"/>
      <x:c r="S393" s="34" t="str"/>
      <x:c r="T393" s="34" t="str"/>
      <x:c r="U393" s="34" t="str"/>
      <x:c r="V393" s="34" t="str"/>
      <x:c r="W393" s="34" t="str"/>
      <x:c r="X393" s="34" t="str"/>
    </x:row>
    <x:row r="394">
      <x:c r="A394" s="34" t="str">
        <x:v>M5-EVT-0389</x:v>
      </x:c>
      <x:c r="B394" s="34" t="str"/>
      <x:c r="C394" s="34" t="str"/>
      <x:c r="D394" s="34" t="str"/>
      <x:c r="E394" s="34" t="str"/>
      <x:c r="F394" s="34" t="str"/>
      <x:c r="G394" s="34" t="str"/>
      <x:c r="H394" s="34" t="str"/>
      <x:c r="I394" s="34" t="str"/>
      <x:c r="J394" s="34" t="str"/>
      <x:c r="K394" s="34" t="str"/>
      <x:c r="L394" s="34" t="str"/>
      <x:c r="M394" s="34" t="str"/>
      <x:c r="N394" s="34" t="str"/>
      <x:c r="O394" s="34" t="str"/>
      <x:c r="P394" s="34" t="str"/>
      <x:c r="Q394" s="34" t="str"/>
      <x:c r="R394" s="34" t="str"/>
      <x:c r="S394" s="34" t="str"/>
      <x:c r="T394" s="34" t="str"/>
      <x:c r="U394" s="34" t="str"/>
      <x:c r="V394" s="34" t="str"/>
      <x:c r="W394" s="34" t="str"/>
      <x:c r="X394" s="34" t="str"/>
    </x:row>
    <x:row r="395">
      <x:c r="A395" s="34" t="str">
        <x:v>M5-EVT-0390</x:v>
      </x:c>
      <x:c r="B395" s="34" t="str"/>
      <x:c r="C395" s="34" t="str"/>
      <x:c r="D395" s="34" t="str"/>
      <x:c r="E395" s="34" t="str"/>
      <x:c r="F395" s="34" t="str"/>
      <x:c r="G395" s="34" t="str"/>
      <x:c r="H395" s="34" t="str"/>
      <x:c r="I395" s="34" t="str"/>
      <x:c r="J395" s="34" t="str"/>
      <x:c r="K395" s="34" t="str"/>
      <x:c r="L395" s="34" t="str"/>
      <x:c r="M395" s="34" t="str"/>
      <x:c r="N395" s="34" t="str"/>
      <x:c r="O395" s="34" t="str"/>
      <x:c r="P395" s="34" t="str"/>
      <x:c r="Q395" s="34" t="str"/>
      <x:c r="R395" s="34" t="str"/>
      <x:c r="S395" s="34" t="str"/>
      <x:c r="T395" s="34" t="str"/>
      <x:c r="U395" s="34" t="str"/>
      <x:c r="V395" s="34" t="str"/>
      <x:c r="W395" s="34" t="str"/>
      <x:c r="X395" s="34" t="str"/>
    </x:row>
    <x:row r="396">
      <x:c r="A396" s="34" t="str">
        <x:v>M5-EVT-0391</x:v>
      </x:c>
      <x:c r="B396" s="34" t="str"/>
      <x:c r="C396" s="34" t="str"/>
      <x:c r="D396" s="34" t="str"/>
      <x:c r="E396" s="34" t="str"/>
      <x:c r="F396" s="34" t="str"/>
      <x:c r="G396" s="34" t="str"/>
      <x:c r="H396" s="34" t="str"/>
      <x:c r="I396" s="34" t="str"/>
      <x:c r="J396" s="34" t="str"/>
      <x:c r="K396" s="34" t="str"/>
      <x:c r="L396" s="34" t="str"/>
      <x:c r="M396" s="34" t="str"/>
      <x:c r="N396" s="34" t="str"/>
      <x:c r="O396" s="34" t="str"/>
      <x:c r="P396" s="34" t="str"/>
      <x:c r="Q396" s="34" t="str"/>
      <x:c r="R396" s="34" t="str"/>
      <x:c r="S396" s="34" t="str"/>
      <x:c r="T396" s="34" t="str"/>
      <x:c r="U396" s="34" t="str"/>
      <x:c r="V396" s="34" t="str"/>
      <x:c r="W396" s="34" t="str"/>
      <x:c r="X396" s="34" t="str"/>
    </x:row>
    <x:row r="397">
      <x:c r="A397" s="34" t="str">
        <x:v>M5-EVT-0392</x:v>
      </x:c>
      <x:c r="B397" s="34" t="str"/>
      <x:c r="C397" s="34" t="str"/>
      <x:c r="D397" s="34" t="str"/>
      <x:c r="E397" s="34" t="str"/>
      <x:c r="F397" s="34" t="str"/>
      <x:c r="G397" s="34" t="str"/>
      <x:c r="H397" s="34" t="str"/>
      <x:c r="I397" s="34" t="str"/>
      <x:c r="J397" s="34" t="str"/>
      <x:c r="K397" s="34" t="str"/>
      <x:c r="L397" s="34" t="str"/>
      <x:c r="M397" s="34" t="str"/>
      <x:c r="N397" s="34" t="str"/>
      <x:c r="O397" s="34" t="str"/>
      <x:c r="P397" s="34" t="str"/>
      <x:c r="Q397" s="34" t="str"/>
      <x:c r="R397" s="34" t="str"/>
      <x:c r="S397" s="34" t="str"/>
      <x:c r="T397" s="34" t="str"/>
      <x:c r="U397" s="34" t="str"/>
      <x:c r="V397" s="34" t="str"/>
      <x:c r="W397" s="34" t="str"/>
      <x:c r="X397" s="34" t="str"/>
    </x:row>
    <x:row r="398">
      <x:c r="A398" s="34" t="str">
        <x:v>M5-EVT-0393</x:v>
      </x:c>
      <x:c r="B398" s="34" t="str"/>
      <x:c r="C398" s="34" t="str"/>
      <x:c r="D398" s="34" t="str"/>
      <x:c r="E398" s="34" t="str"/>
      <x:c r="F398" s="34" t="str"/>
      <x:c r="G398" s="34" t="str"/>
      <x:c r="H398" s="34" t="str"/>
      <x:c r="I398" s="34" t="str"/>
      <x:c r="J398" s="34" t="str"/>
      <x:c r="K398" s="34" t="str"/>
      <x:c r="L398" s="34" t="str"/>
      <x:c r="M398" s="34" t="str"/>
      <x:c r="N398" s="34" t="str"/>
      <x:c r="O398" s="34" t="str"/>
      <x:c r="P398" s="34" t="str"/>
      <x:c r="Q398" s="34" t="str"/>
      <x:c r="R398" s="34" t="str"/>
      <x:c r="S398" s="34" t="str"/>
      <x:c r="T398" s="34" t="str"/>
      <x:c r="U398" s="34" t="str"/>
      <x:c r="V398" s="34" t="str"/>
      <x:c r="W398" s="34" t="str"/>
      <x:c r="X398" s="34" t="str"/>
    </x:row>
    <x:row r="399">
      <x:c r="A399" s="34" t="str">
        <x:v>M5-EVT-0394</x:v>
      </x:c>
      <x:c r="B399" s="34" t="str"/>
      <x:c r="C399" s="34" t="str"/>
      <x:c r="D399" s="34" t="str"/>
      <x:c r="E399" s="34" t="str"/>
      <x:c r="F399" s="34" t="str"/>
      <x:c r="G399" s="34" t="str"/>
      <x:c r="H399" s="34" t="str"/>
      <x:c r="I399" s="34" t="str"/>
      <x:c r="J399" s="34" t="str"/>
      <x:c r="K399" s="34" t="str"/>
      <x:c r="L399" s="34" t="str"/>
      <x:c r="M399" s="34" t="str"/>
      <x:c r="N399" s="34" t="str"/>
      <x:c r="O399" s="34" t="str"/>
      <x:c r="P399" s="34" t="str"/>
      <x:c r="Q399" s="34" t="str"/>
      <x:c r="R399" s="34" t="str"/>
      <x:c r="S399" s="34" t="str"/>
      <x:c r="T399" s="34" t="str"/>
      <x:c r="U399" s="34" t="str"/>
      <x:c r="V399" s="34" t="str"/>
      <x:c r="W399" s="34" t="str"/>
      <x:c r="X399" s="34" t="str"/>
    </x:row>
    <x:row r="400">
      <x:c r="A400" s="34" t="str">
        <x:v>M5-EVT-0395</x:v>
      </x:c>
      <x:c r="B400" s="34" t="str"/>
      <x:c r="C400" s="34" t="str"/>
      <x:c r="D400" s="34" t="str"/>
      <x:c r="E400" s="34" t="str"/>
      <x:c r="F400" s="34" t="str"/>
      <x:c r="G400" s="34" t="str"/>
      <x:c r="H400" s="34" t="str"/>
      <x:c r="I400" s="34" t="str"/>
      <x:c r="J400" s="34" t="str"/>
      <x:c r="K400" s="34" t="str"/>
      <x:c r="L400" s="34" t="str"/>
      <x:c r="M400" s="34" t="str"/>
      <x:c r="N400" s="34" t="str"/>
      <x:c r="O400" s="34" t="str"/>
      <x:c r="P400" s="34" t="str"/>
      <x:c r="Q400" s="34" t="str"/>
      <x:c r="R400" s="34" t="str"/>
      <x:c r="S400" s="34" t="str"/>
      <x:c r="T400" s="34" t="str"/>
      <x:c r="U400" s="34" t="str"/>
      <x:c r="V400" s="34" t="str"/>
      <x:c r="W400" s="34" t="str"/>
      <x:c r="X400" s="34" t="str"/>
    </x:row>
    <x:row r="401">
      <x:c r="A401" s="34" t="str">
        <x:v>M5-EVT-0396</x:v>
      </x:c>
      <x:c r="B401" s="34" t="str"/>
      <x:c r="C401" s="34" t="str"/>
      <x:c r="D401" s="34" t="str"/>
      <x:c r="E401" s="34" t="str"/>
      <x:c r="F401" s="34" t="str"/>
      <x:c r="G401" s="34" t="str"/>
      <x:c r="H401" s="34" t="str"/>
      <x:c r="I401" s="34" t="str"/>
      <x:c r="J401" s="34" t="str"/>
      <x:c r="K401" s="34" t="str"/>
      <x:c r="L401" s="34" t="str"/>
      <x:c r="M401" s="34" t="str"/>
      <x:c r="N401" s="34" t="str"/>
      <x:c r="O401" s="34" t="str"/>
      <x:c r="P401" s="34" t="str"/>
      <x:c r="Q401" s="34" t="str"/>
      <x:c r="R401" s="34" t="str"/>
      <x:c r="S401" s="34" t="str"/>
      <x:c r="T401" s="34" t="str"/>
      <x:c r="U401" s="34" t="str"/>
      <x:c r="V401" s="34" t="str"/>
      <x:c r="W401" s="34" t="str"/>
      <x:c r="X401" s="34" t="str"/>
    </x:row>
    <x:row r="402">
      <x:c r="A402" s="34" t="str">
        <x:v>M5-EVT-0397</x:v>
      </x:c>
      <x:c r="B402" s="34" t="str"/>
      <x:c r="C402" s="34" t="str"/>
      <x:c r="D402" s="34" t="str"/>
      <x:c r="E402" s="34" t="str"/>
      <x:c r="F402" s="34" t="str"/>
      <x:c r="G402" s="34" t="str"/>
      <x:c r="H402" s="34" t="str"/>
      <x:c r="I402" s="34" t="str"/>
      <x:c r="J402" s="34" t="str"/>
      <x:c r="K402" s="34" t="str"/>
      <x:c r="L402" s="34" t="str"/>
      <x:c r="M402" s="34" t="str"/>
      <x:c r="N402" s="34" t="str"/>
      <x:c r="O402" s="34" t="str"/>
      <x:c r="P402" s="34" t="str"/>
      <x:c r="Q402" s="34" t="str"/>
      <x:c r="R402" s="34" t="str"/>
      <x:c r="S402" s="34" t="str"/>
      <x:c r="T402" s="34" t="str"/>
      <x:c r="U402" s="34" t="str"/>
      <x:c r="V402" s="34" t="str"/>
      <x:c r="W402" s="34" t="str"/>
      <x:c r="X402" s="34" t="str"/>
    </x:row>
    <x:row r="403">
      <x:c r="A403" s="34" t="str">
        <x:v>M5-EVT-0398</x:v>
      </x:c>
      <x:c r="B403" s="34" t="str"/>
      <x:c r="C403" s="34" t="str"/>
      <x:c r="D403" s="34" t="str"/>
      <x:c r="E403" s="34" t="str"/>
      <x:c r="F403" s="34" t="str"/>
      <x:c r="G403" s="34" t="str"/>
      <x:c r="H403" s="34" t="str"/>
      <x:c r="I403" s="34" t="str"/>
      <x:c r="J403" s="34" t="str"/>
      <x:c r="K403" s="34" t="str"/>
      <x:c r="L403" s="34" t="str"/>
      <x:c r="M403" s="34" t="str"/>
      <x:c r="N403" s="34" t="str"/>
      <x:c r="O403" s="34" t="str"/>
      <x:c r="P403" s="34" t="str"/>
      <x:c r="Q403" s="34" t="str"/>
      <x:c r="R403" s="34" t="str"/>
      <x:c r="S403" s="34" t="str"/>
      <x:c r="T403" s="34" t="str"/>
      <x:c r="U403" s="34" t="str"/>
      <x:c r="V403" s="34" t="str"/>
      <x:c r="W403" s="34" t="str"/>
      <x:c r="X403" s="34" t="str"/>
    </x:row>
    <x:row r="404">
      <x:c r="A404" s="34" t="str">
        <x:v>M5-EVT-0399</x:v>
      </x:c>
      <x:c r="B404" s="34" t="str"/>
      <x:c r="C404" s="34" t="str"/>
      <x:c r="D404" s="34" t="str"/>
      <x:c r="E404" s="34" t="str"/>
      <x:c r="F404" s="34" t="str"/>
      <x:c r="G404" s="34" t="str"/>
      <x:c r="H404" s="34" t="str"/>
      <x:c r="I404" s="34" t="str"/>
      <x:c r="J404" s="34" t="str"/>
      <x:c r="K404" s="34" t="str"/>
      <x:c r="L404" s="34" t="str"/>
      <x:c r="M404" s="34" t="str"/>
      <x:c r="N404" s="34" t="str"/>
      <x:c r="O404" s="34" t="str"/>
      <x:c r="P404" s="34" t="str"/>
      <x:c r="Q404" s="34" t="str"/>
      <x:c r="R404" s="34" t="str"/>
      <x:c r="S404" s="34" t="str"/>
      <x:c r="T404" s="34" t="str"/>
      <x:c r="U404" s="34" t="str"/>
      <x:c r="V404" s="34" t="str"/>
      <x:c r="W404" s="34" t="str"/>
      <x:c r="X404" s="34" t="str"/>
    </x:row>
    <x:row r="405">
      <x:c r="A405" s="34" t="str">
        <x:v>M5-EVT-0400</x:v>
      </x:c>
      <x:c r="B405" s="34" t="str"/>
      <x:c r="C405" s="34" t="str"/>
      <x:c r="D405" s="34" t="str"/>
      <x:c r="E405" s="34" t="str"/>
      <x:c r="F405" s="34" t="str"/>
      <x:c r="G405" s="34" t="str"/>
      <x:c r="H405" s="34" t="str"/>
      <x:c r="I405" s="34" t="str"/>
      <x:c r="J405" s="34" t="str"/>
      <x:c r="K405" s="34" t="str"/>
      <x:c r="L405" s="34" t="str"/>
      <x:c r="M405" s="34" t="str"/>
      <x:c r="N405" s="34" t="str"/>
      <x:c r="O405" s="34" t="str"/>
      <x:c r="P405" s="34" t="str"/>
      <x:c r="Q405" s="34" t="str"/>
      <x:c r="R405" s="34" t="str"/>
      <x:c r="S405" s="34" t="str"/>
      <x:c r="T405" s="34" t="str"/>
      <x:c r="U405" s="34" t="str"/>
      <x:c r="V405" s="34" t="str"/>
      <x:c r="W405" s="34" t="str"/>
      <x:c r="X405" s="34" t="str"/>
    </x:row>
    <x:row r="406">
      <x:c r="A406" s="34" t="str">
        <x:v>M5-EVT-0401</x:v>
      </x:c>
      <x:c r="B406" s="34" t="str"/>
      <x:c r="C406" s="34" t="str"/>
      <x:c r="D406" s="34" t="str"/>
      <x:c r="E406" s="34" t="str"/>
      <x:c r="F406" s="34" t="str"/>
      <x:c r="G406" s="34" t="str"/>
      <x:c r="H406" s="34" t="str"/>
      <x:c r="I406" s="34" t="str"/>
      <x:c r="J406" s="34" t="str"/>
      <x:c r="K406" s="34" t="str"/>
      <x:c r="L406" s="34" t="str"/>
      <x:c r="M406" s="34" t="str"/>
      <x:c r="N406" s="34" t="str"/>
      <x:c r="O406" s="34" t="str"/>
      <x:c r="P406" s="34" t="str"/>
      <x:c r="Q406" s="34" t="str"/>
      <x:c r="R406" s="34" t="str"/>
      <x:c r="S406" s="34" t="str"/>
      <x:c r="T406" s="34" t="str"/>
      <x:c r="U406" s="34" t="str"/>
      <x:c r="V406" s="34" t="str"/>
      <x:c r="W406" s="34" t="str"/>
      <x:c r="X406" s="34" t="str"/>
    </x:row>
    <x:row r="407">
      <x:c r="A407" s="34" t="str">
        <x:v>M5-EVT-0402</x:v>
      </x:c>
      <x:c r="B407" s="34" t="str"/>
      <x:c r="C407" s="34" t="str"/>
      <x:c r="D407" s="34" t="str"/>
      <x:c r="E407" s="34" t="str"/>
      <x:c r="F407" s="34" t="str"/>
      <x:c r="G407" s="34" t="str"/>
      <x:c r="H407" s="34" t="str"/>
      <x:c r="I407" s="34" t="str"/>
      <x:c r="J407" s="34" t="str"/>
      <x:c r="K407" s="34" t="str"/>
      <x:c r="L407" s="34" t="str"/>
      <x:c r="M407" s="34" t="str"/>
      <x:c r="N407" s="34" t="str"/>
      <x:c r="O407" s="34" t="str"/>
      <x:c r="P407" s="34" t="str"/>
      <x:c r="Q407" s="34" t="str"/>
      <x:c r="R407" s="34" t="str"/>
      <x:c r="S407" s="34" t="str"/>
      <x:c r="T407" s="34" t="str"/>
      <x:c r="U407" s="34" t="str"/>
      <x:c r="V407" s="34" t="str"/>
      <x:c r="W407" s="34" t="str"/>
      <x:c r="X407" s="34" t="str"/>
    </x:row>
    <x:row r="408">
      <x:c r="A408" s="34" t="str">
        <x:v>M5-EVT-0403</x:v>
      </x:c>
      <x:c r="B408" s="34" t="str"/>
      <x:c r="C408" s="34" t="str"/>
      <x:c r="D408" s="34" t="str"/>
      <x:c r="E408" s="34" t="str"/>
      <x:c r="F408" s="34" t="str"/>
      <x:c r="G408" s="34" t="str"/>
      <x:c r="H408" s="34" t="str"/>
      <x:c r="I408" s="34" t="str"/>
      <x:c r="J408" s="34" t="str"/>
      <x:c r="K408" s="34" t="str"/>
      <x:c r="L408" s="34" t="str"/>
      <x:c r="M408" s="34" t="str"/>
      <x:c r="N408" s="34" t="str"/>
      <x:c r="O408" s="34" t="str"/>
      <x:c r="P408" s="34" t="str"/>
      <x:c r="Q408" s="34" t="str"/>
      <x:c r="R408" s="34" t="str"/>
      <x:c r="S408" s="34" t="str"/>
      <x:c r="T408" s="34" t="str"/>
      <x:c r="U408" s="34" t="str"/>
      <x:c r="V408" s="34" t="str"/>
      <x:c r="W408" s="34" t="str"/>
      <x:c r="X408" s="34" t="str"/>
    </x:row>
    <x:row r="409">
      <x:c r="A409" s="34" t="str">
        <x:v>M5-EVT-0404</x:v>
      </x:c>
      <x:c r="B409" s="34" t="str"/>
      <x:c r="C409" s="34" t="str"/>
      <x:c r="D409" s="34" t="str"/>
      <x:c r="E409" s="34" t="str"/>
      <x:c r="F409" s="34" t="str"/>
      <x:c r="G409" s="34" t="str"/>
      <x:c r="H409" s="34" t="str"/>
      <x:c r="I409" s="34" t="str"/>
      <x:c r="J409" s="34" t="str"/>
      <x:c r="K409" s="34" t="str"/>
      <x:c r="L409" s="34" t="str"/>
      <x:c r="M409" s="34" t="str"/>
      <x:c r="N409" s="34" t="str"/>
      <x:c r="O409" s="34" t="str"/>
      <x:c r="P409" s="34" t="str"/>
      <x:c r="Q409" s="34" t="str"/>
      <x:c r="R409" s="34" t="str"/>
      <x:c r="S409" s="34" t="str"/>
      <x:c r="T409" s="34" t="str"/>
      <x:c r="U409" s="34" t="str"/>
      <x:c r="V409" s="34" t="str"/>
      <x:c r="W409" s="34" t="str"/>
      <x:c r="X409" s="34" t="str"/>
    </x:row>
    <x:row r="410">
      <x:c r="A410" s="34" t="str">
        <x:v>M5-EVT-0405</x:v>
      </x:c>
      <x:c r="B410" s="34" t="str"/>
      <x:c r="C410" s="34" t="str"/>
      <x:c r="D410" s="34" t="str"/>
      <x:c r="E410" s="34" t="str"/>
      <x:c r="F410" s="34" t="str"/>
      <x:c r="G410" s="34" t="str"/>
      <x:c r="H410" s="34" t="str"/>
      <x:c r="I410" s="34" t="str"/>
      <x:c r="J410" s="34" t="str"/>
      <x:c r="K410" s="34" t="str"/>
      <x:c r="L410" s="34" t="str"/>
      <x:c r="M410" s="34" t="str"/>
      <x:c r="N410" s="34" t="str"/>
      <x:c r="O410" s="34" t="str"/>
      <x:c r="P410" s="34" t="str"/>
      <x:c r="Q410" s="34" t="str"/>
      <x:c r="R410" s="34" t="str"/>
      <x:c r="S410" s="34" t="str"/>
      <x:c r="T410" s="34" t="str"/>
      <x:c r="U410" s="34" t="str"/>
      <x:c r="V410" s="34" t="str"/>
      <x:c r="W410" s="34" t="str"/>
      <x:c r="X410" s="34" t="str"/>
    </x:row>
    <x:row r="411">
      <x:c r="A411" s="34" t="str">
        <x:v>M5-EVT-0406</x:v>
      </x:c>
      <x:c r="B411" s="34" t="str"/>
      <x:c r="C411" s="34" t="str"/>
      <x:c r="D411" s="34" t="str"/>
      <x:c r="E411" s="34" t="str"/>
      <x:c r="F411" s="34" t="str"/>
      <x:c r="G411" s="34" t="str"/>
      <x:c r="H411" s="34" t="str"/>
      <x:c r="I411" s="34" t="str"/>
      <x:c r="J411" s="34" t="str"/>
      <x:c r="K411" s="34" t="str"/>
      <x:c r="L411" s="34" t="str"/>
      <x:c r="M411" s="34" t="str"/>
      <x:c r="N411" s="34" t="str"/>
      <x:c r="O411" s="34" t="str"/>
      <x:c r="P411" s="34" t="str"/>
      <x:c r="Q411" s="34" t="str"/>
      <x:c r="R411" s="34" t="str"/>
      <x:c r="S411" s="34" t="str"/>
      <x:c r="T411" s="34" t="str"/>
      <x:c r="U411" s="34" t="str"/>
      <x:c r="V411" s="34" t="str"/>
      <x:c r="W411" s="34" t="str"/>
      <x:c r="X411" s="34" t="str"/>
    </x:row>
    <x:row r="412">
      <x:c r="A412" s="34" t="str">
        <x:v>M5-EVT-0407</x:v>
      </x:c>
      <x:c r="B412" s="34" t="str"/>
      <x:c r="C412" s="34" t="str"/>
      <x:c r="D412" s="34" t="str"/>
      <x:c r="E412" s="34" t="str"/>
      <x:c r="F412" s="34" t="str"/>
      <x:c r="G412" s="34" t="str"/>
      <x:c r="H412" s="34" t="str"/>
      <x:c r="I412" s="34" t="str"/>
      <x:c r="J412" s="34" t="str"/>
      <x:c r="K412" s="34" t="str"/>
      <x:c r="L412" s="34" t="str"/>
      <x:c r="M412" s="34" t="str"/>
      <x:c r="N412" s="34" t="str"/>
      <x:c r="O412" s="34" t="str"/>
      <x:c r="P412" s="34" t="str"/>
      <x:c r="Q412" s="34" t="str"/>
      <x:c r="R412" s="34" t="str"/>
      <x:c r="S412" s="34" t="str"/>
      <x:c r="T412" s="34" t="str"/>
      <x:c r="U412" s="34" t="str"/>
      <x:c r="V412" s="34" t="str"/>
      <x:c r="W412" s="34" t="str"/>
      <x:c r="X412" s="34" t="str"/>
    </x:row>
    <x:row r="413">
      <x:c r="A413" s="34" t="str">
        <x:v>M5-EVT-0408</x:v>
      </x:c>
      <x:c r="B413" s="34" t="str"/>
      <x:c r="C413" s="34" t="str"/>
      <x:c r="D413" s="34" t="str"/>
      <x:c r="E413" s="34" t="str"/>
      <x:c r="F413" s="34" t="str"/>
      <x:c r="G413" s="34" t="str"/>
      <x:c r="H413" s="34" t="str"/>
      <x:c r="I413" s="34" t="str"/>
      <x:c r="J413" s="34" t="str"/>
      <x:c r="K413" s="34" t="str"/>
      <x:c r="L413" s="34" t="str"/>
      <x:c r="M413" s="34" t="str"/>
      <x:c r="N413" s="34" t="str"/>
      <x:c r="O413" s="34" t="str"/>
      <x:c r="P413" s="34" t="str"/>
      <x:c r="Q413" s="34" t="str"/>
      <x:c r="R413" s="34" t="str"/>
      <x:c r="S413" s="34" t="str"/>
      <x:c r="T413" s="34" t="str"/>
      <x:c r="U413" s="34" t="str"/>
      <x:c r="V413" s="34" t="str"/>
      <x:c r="W413" s="34" t="str"/>
      <x:c r="X413" s="34" t="str"/>
    </x:row>
    <x:row r="414">
      <x:c r="A414" s="34" t="str">
        <x:v>M5-EVT-0409</x:v>
      </x:c>
      <x:c r="B414" s="34" t="str"/>
      <x:c r="C414" s="34" t="str"/>
      <x:c r="D414" s="34" t="str"/>
      <x:c r="E414" s="34" t="str"/>
      <x:c r="F414" s="34" t="str"/>
      <x:c r="G414" s="34" t="str"/>
      <x:c r="H414" s="34" t="str"/>
      <x:c r="I414" s="34" t="str"/>
      <x:c r="J414" s="34" t="str"/>
      <x:c r="K414" s="34" t="str"/>
      <x:c r="L414" s="34" t="str"/>
      <x:c r="M414" s="34" t="str"/>
      <x:c r="N414" s="34" t="str"/>
      <x:c r="O414" s="34" t="str"/>
      <x:c r="P414" s="34" t="str"/>
      <x:c r="Q414" s="34" t="str"/>
      <x:c r="R414" s="34" t="str"/>
      <x:c r="S414" s="34" t="str"/>
      <x:c r="T414" s="34" t="str"/>
      <x:c r="U414" s="34" t="str"/>
      <x:c r="V414" s="34" t="str"/>
      <x:c r="W414" s="34" t="str"/>
      <x:c r="X414" s="34" t="str"/>
    </x:row>
    <x:row r="415">
      <x:c r="A415" s="34" t="str">
        <x:v>M5-EVT-0410</x:v>
      </x:c>
      <x:c r="B415" s="34" t="str"/>
      <x:c r="C415" s="34" t="str"/>
      <x:c r="D415" s="34" t="str"/>
      <x:c r="E415" s="34" t="str"/>
      <x:c r="F415" s="34" t="str"/>
      <x:c r="G415" s="34" t="str"/>
      <x:c r="H415" s="34" t="str"/>
      <x:c r="I415" s="34" t="str"/>
      <x:c r="J415" s="34" t="str"/>
      <x:c r="K415" s="34" t="str"/>
      <x:c r="L415" s="34" t="str"/>
      <x:c r="M415" s="34" t="str"/>
      <x:c r="N415" s="34" t="str"/>
      <x:c r="O415" s="34" t="str"/>
      <x:c r="P415" s="34" t="str"/>
      <x:c r="Q415" s="34" t="str"/>
      <x:c r="R415" s="34" t="str"/>
      <x:c r="S415" s="34" t="str"/>
      <x:c r="T415" s="34" t="str"/>
      <x:c r="U415" s="34" t="str"/>
      <x:c r="V415" s="34" t="str"/>
      <x:c r="W415" s="34" t="str"/>
      <x:c r="X415" s="34" t="str"/>
    </x:row>
    <x:row r="416">
      <x:c r="A416" s="34" t="str">
        <x:v>M5-EVT-0411</x:v>
      </x:c>
      <x:c r="B416" s="34" t="str"/>
      <x:c r="C416" s="34" t="str"/>
      <x:c r="D416" s="34" t="str"/>
      <x:c r="E416" s="34" t="str"/>
      <x:c r="F416" s="34" t="str"/>
      <x:c r="G416" s="34" t="str"/>
      <x:c r="H416" s="34" t="str"/>
      <x:c r="I416" s="34" t="str"/>
      <x:c r="J416" s="34" t="str"/>
      <x:c r="K416" s="34" t="str"/>
      <x:c r="L416" s="34" t="str"/>
      <x:c r="M416" s="34" t="str"/>
      <x:c r="N416" s="34" t="str"/>
      <x:c r="O416" s="34" t="str"/>
      <x:c r="P416" s="34" t="str"/>
      <x:c r="Q416" s="34" t="str"/>
      <x:c r="R416" s="34" t="str"/>
      <x:c r="S416" s="34" t="str"/>
      <x:c r="T416" s="34" t="str"/>
      <x:c r="U416" s="34" t="str"/>
      <x:c r="V416" s="34" t="str"/>
      <x:c r="W416" s="34" t="str"/>
      <x:c r="X416" s="34" t="str"/>
    </x:row>
    <x:row r="417">
      <x:c r="A417" s="34" t="str">
        <x:v>M5-EVT-0412</x:v>
      </x:c>
      <x:c r="B417" s="34" t="str"/>
      <x:c r="C417" s="34" t="str"/>
      <x:c r="D417" s="34" t="str"/>
      <x:c r="E417" s="34" t="str"/>
      <x:c r="F417" s="34" t="str"/>
      <x:c r="G417" s="34" t="str"/>
      <x:c r="H417" s="34" t="str"/>
      <x:c r="I417" s="34" t="str"/>
      <x:c r="J417" s="34" t="str"/>
      <x:c r="K417" s="34" t="str"/>
      <x:c r="L417" s="34" t="str"/>
      <x:c r="M417" s="34" t="str"/>
      <x:c r="N417" s="34" t="str"/>
      <x:c r="O417" s="34" t="str"/>
      <x:c r="P417" s="34" t="str"/>
      <x:c r="Q417" s="34" t="str"/>
      <x:c r="R417" s="34" t="str"/>
      <x:c r="S417" s="34" t="str"/>
      <x:c r="T417" s="34" t="str"/>
      <x:c r="U417" s="34" t="str"/>
      <x:c r="V417" s="34" t="str"/>
      <x:c r="W417" s="34" t="str"/>
      <x:c r="X417" s="34" t="str"/>
    </x:row>
    <x:row r="418">
      <x:c r="A418" s="34" t="str">
        <x:v>M5-EVT-0413</x:v>
      </x:c>
      <x:c r="B418" s="34" t="str"/>
      <x:c r="C418" s="34" t="str"/>
      <x:c r="D418" s="34" t="str"/>
      <x:c r="E418" s="34" t="str"/>
      <x:c r="F418" s="34" t="str"/>
      <x:c r="G418" s="34" t="str"/>
      <x:c r="H418" s="34" t="str"/>
      <x:c r="I418" s="34" t="str"/>
      <x:c r="J418" s="34" t="str"/>
      <x:c r="K418" s="34" t="str"/>
      <x:c r="L418" s="34" t="str"/>
      <x:c r="M418" s="34" t="str"/>
      <x:c r="N418" s="34" t="str"/>
      <x:c r="O418" s="34" t="str"/>
      <x:c r="P418" s="34" t="str"/>
      <x:c r="Q418" s="34" t="str"/>
      <x:c r="R418" s="34" t="str"/>
      <x:c r="S418" s="34" t="str"/>
      <x:c r="T418" s="34" t="str"/>
      <x:c r="U418" s="34" t="str"/>
      <x:c r="V418" s="34" t="str"/>
      <x:c r="W418" s="34" t="str"/>
      <x:c r="X418" s="34" t="str"/>
    </x:row>
    <x:row r="419">
      <x:c r="A419" s="34" t="str">
        <x:v>M5-EVT-0414</x:v>
      </x:c>
      <x:c r="B419" s="34" t="str"/>
      <x:c r="C419" s="34" t="str"/>
      <x:c r="D419" s="34" t="str"/>
      <x:c r="E419" s="34" t="str"/>
      <x:c r="F419" s="34" t="str"/>
      <x:c r="G419" s="34" t="str"/>
      <x:c r="H419" s="34" t="str"/>
      <x:c r="I419" s="34" t="str"/>
      <x:c r="J419" s="34" t="str"/>
      <x:c r="K419" s="34" t="str"/>
      <x:c r="L419" s="34" t="str"/>
      <x:c r="M419" s="34" t="str"/>
      <x:c r="N419" s="34" t="str"/>
      <x:c r="O419" s="34" t="str"/>
      <x:c r="P419" s="34" t="str"/>
      <x:c r="Q419" s="34" t="str"/>
      <x:c r="R419" s="34" t="str"/>
      <x:c r="S419" s="34" t="str"/>
      <x:c r="T419" s="34" t="str"/>
      <x:c r="U419" s="34" t="str"/>
      <x:c r="V419" s="34" t="str"/>
      <x:c r="W419" s="34" t="str"/>
      <x:c r="X419" s="34" t="str"/>
    </x:row>
    <x:row r="420">
      <x:c r="A420" s="34" t="str">
        <x:v>M5-EVT-0415</x:v>
      </x:c>
      <x:c r="B420" s="34" t="str"/>
      <x:c r="C420" s="34" t="str"/>
      <x:c r="D420" s="34" t="str"/>
      <x:c r="E420" s="34" t="str"/>
      <x:c r="F420" s="34" t="str"/>
      <x:c r="G420" s="34" t="str"/>
      <x:c r="H420" s="34" t="str"/>
      <x:c r="I420" s="34" t="str"/>
      <x:c r="J420" s="34" t="str"/>
      <x:c r="K420" s="34" t="str"/>
      <x:c r="L420" s="34" t="str"/>
      <x:c r="M420" s="34" t="str"/>
      <x:c r="N420" s="34" t="str"/>
      <x:c r="O420" s="34" t="str"/>
      <x:c r="P420" s="34" t="str"/>
      <x:c r="Q420" s="34" t="str"/>
      <x:c r="R420" s="34" t="str"/>
      <x:c r="S420" s="34" t="str"/>
      <x:c r="T420" s="34" t="str"/>
      <x:c r="U420" s="34" t="str"/>
      <x:c r="V420" s="34" t="str"/>
      <x:c r="W420" s="34" t="str"/>
      <x:c r="X420" s="34" t="str"/>
    </x:row>
    <x:row r="421">
      <x:c r="A421" s="34" t="str">
        <x:v>M5-EVT-0416</x:v>
      </x:c>
      <x:c r="B421" s="34" t="str"/>
      <x:c r="C421" s="34" t="str"/>
      <x:c r="D421" s="34" t="str"/>
      <x:c r="E421" s="34" t="str"/>
      <x:c r="F421" s="34" t="str"/>
      <x:c r="G421" s="34" t="str"/>
      <x:c r="H421" s="34" t="str"/>
      <x:c r="I421" s="34" t="str"/>
      <x:c r="J421" s="34" t="str"/>
      <x:c r="K421" s="34" t="str"/>
      <x:c r="L421" s="34" t="str"/>
      <x:c r="M421" s="34" t="str"/>
      <x:c r="N421" s="34" t="str"/>
      <x:c r="O421" s="34" t="str"/>
      <x:c r="P421" s="34" t="str"/>
      <x:c r="Q421" s="34" t="str"/>
      <x:c r="R421" s="34" t="str"/>
      <x:c r="S421" s="34" t="str"/>
      <x:c r="T421" s="34" t="str"/>
      <x:c r="U421" s="34" t="str"/>
      <x:c r="V421" s="34" t="str"/>
      <x:c r="W421" s="34" t="str"/>
      <x:c r="X421" s="34" t="str"/>
    </x:row>
    <x:row r="422">
      <x:c r="A422" s="34" t="str">
        <x:v>M5-EVT-0417</x:v>
      </x:c>
      <x:c r="B422" s="34" t="str"/>
      <x:c r="C422" s="34" t="str"/>
      <x:c r="D422" s="34" t="str"/>
      <x:c r="E422" s="34" t="str"/>
      <x:c r="F422" s="34" t="str"/>
      <x:c r="G422" s="34" t="str"/>
      <x:c r="H422" s="34" t="str"/>
      <x:c r="I422" s="34" t="str"/>
      <x:c r="J422" s="34" t="str"/>
      <x:c r="K422" s="34" t="str"/>
      <x:c r="L422" s="34" t="str"/>
      <x:c r="M422" s="34" t="str"/>
      <x:c r="N422" s="34" t="str"/>
      <x:c r="O422" s="34" t="str"/>
      <x:c r="P422" s="34" t="str"/>
      <x:c r="Q422" s="34" t="str"/>
      <x:c r="R422" s="34" t="str"/>
      <x:c r="S422" s="34" t="str"/>
      <x:c r="T422" s="34" t="str"/>
      <x:c r="U422" s="34" t="str"/>
      <x:c r="V422" s="34" t="str"/>
      <x:c r="W422" s="34" t="str"/>
      <x:c r="X422" s="34" t="str"/>
    </x:row>
    <x:row r="423">
      <x:c r="A423" s="34" t="str">
        <x:v>M5-EVT-0418</x:v>
      </x:c>
      <x:c r="B423" s="34" t="str"/>
      <x:c r="C423" s="34" t="str"/>
      <x:c r="D423" s="34" t="str"/>
      <x:c r="E423" s="34" t="str"/>
      <x:c r="F423" s="34" t="str"/>
      <x:c r="G423" s="34" t="str"/>
      <x:c r="H423" s="34" t="str"/>
      <x:c r="I423" s="34" t="str"/>
      <x:c r="J423" s="34" t="str"/>
      <x:c r="K423" s="34" t="str"/>
      <x:c r="L423" s="34" t="str"/>
      <x:c r="M423" s="34" t="str"/>
      <x:c r="N423" s="34" t="str"/>
      <x:c r="O423" s="34" t="str"/>
      <x:c r="P423" s="34" t="str"/>
      <x:c r="Q423" s="34" t="str"/>
      <x:c r="R423" s="34" t="str"/>
      <x:c r="S423" s="34" t="str"/>
      <x:c r="T423" s="34" t="str"/>
      <x:c r="U423" s="34" t="str"/>
      <x:c r="V423" s="34" t="str"/>
      <x:c r="W423" s="34" t="str"/>
      <x:c r="X423" s="34" t="str"/>
    </x:row>
    <x:row r="424">
      <x:c r="A424" s="34" t="str">
        <x:v>M5-EVT-0419</x:v>
      </x:c>
      <x:c r="B424" s="34" t="str"/>
      <x:c r="C424" s="34" t="str"/>
      <x:c r="D424" s="34" t="str"/>
      <x:c r="E424" s="34" t="str"/>
      <x:c r="F424" s="34" t="str"/>
      <x:c r="G424" s="34" t="str"/>
      <x:c r="H424" s="34" t="str"/>
      <x:c r="I424" s="34" t="str"/>
      <x:c r="J424" s="34" t="str"/>
      <x:c r="K424" s="34" t="str"/>
      <x:c r="L424" s="34" t="str"/>
      <x:c r="M424" s="34" t="str"/>
      <x:c r="N424" s="34" t="str"/>
      <x:c r="O424" s="34" t="str"/>
      <x:c r="P424" s="34" t="str"/>
      <x:c r="Q424" s="34" t="str"/>
      <x:c r="R424" s="34" t="str"/>
      <x:c r="S424" s="34" t="str"/>
      <x:c r="T424" s="34" t="str"/>
      <x:c r="U424" s="34" t="str"/>
      <x:c r="V424" s="34" t="str"/>
      <x:c r="W424" s="34" t="str"/>
      <x:c r="X424" s="34" t="str"/>
    </x:row>
    <x:row r="425">
      <x:c r="A425" s="34" t="str">
        <x:v>M5-EVT-0420</x:v>
      </x:c>
      <x:c r="B425" s="34" t="str"/>
      <x:c r="C425" s="34" t="str"/>
      <x:c r="D425" s="34" t="str"/>
      <x:c r="E425" s="34" t="str"/>
      <x:c r="F425" s="34" t="str"/>
      <x:c r="G425" s="34" t="str"/>
      <x:c r="H425" s="34" t="str"/>
      <x:c r="I425" s="34" t="str"/>
      <x:c r="J425" s="34" t="str"/>
      <x:c r="K425" s="34" t="str"/>
      <x:c r="L425" s="34" t="str"/>
      <x:c r="M425" s="34" t="str"/>
      <x:c r="N425" s="34" t="str"/>
      <x:c r="O425" s="34" t="str"/>
      <x:c r="P425" s="34" t="str"/>
      <x:c r="Q425" s="34" t="str"/>
      <x:c r="R425" s="34" t="str"/>
      <x:c r="S425" s="34" t="str"/>
      <x:c r="T425" s="34" t="str"/>
      <x:c r="U425" s="34" t="str"/>
      <x:c r="V425" s="34" t="str"/>
      <x:c r="W425" s="34" t="str"/>
      <x:c r="X425" s="34" t="str"/>
    </x:row>
    <x:row r="426">
      <x:c r="A426" s="34" t="str">
        <x:v>M5-EVT-0421</x:v>
      </x:c>
      <x:c r="B426" s="34" t="str"/>
      <x:c r="C426" s="34" t="str"/>
      <x:c r="D426" s="34" t="str"/>
      <x:c r="E426" s="34" t="str"/>
      <x:c r="F426" s="34" t="str"/>
      <x:c r="G426" s="34" t="str"/>
      <x:c r="H426" s="34" t="str"/>
      <x:c r="I426" s="34" t="str"/>
      <x:c r="J426" s="34" t="str"/>
      <x:c r="K426" s="34" t="str"/>
      <x:c r="L426" s="34" t="str"/>
      <x:c r="M426" s="34" t="str"/>
      <x:c r="N426" s="34" t="str"/>
      <x:c r="O426" s="34" t="str"/>
      <x:c r="P426" s="34" t="str"/>
      <x:c r="Q426" s="34" t="str"/>
      <x:c r="R426" s="34" t="str"/>
      <x:c r="S426" s="34" t="str"/>
      <x:c r="T426" s="34" t="str"/>
      <x:c r="U426" s="34" t="str"/>
      <x:c r="V426" s="34" t="str"/>
      <x:c r="W426" s="34" t="str"/>
      <x:c r="X426" s="34" t="str"/>
    </x:row>
    <x:row r="427">
      <x:c r="A427" s="34" t="str">
        <x:v>M5-EVT-0422</x:v>
      </x:c>
      <x:c r="B427" s="34" t="str"/>
      <x:c r="C427" s="34" t="str"/>
      <x:c r="D427" s="34" t="str"/>
      <x:c r="E427" s="34" t="str"/>
      <x:c r="F427" s="34" t="str"/>
      <x:c r="G427" s="34" t="str"/>
      <x:c r="H427" s="34" t="str"/>
      <x:c r="I427" s="34" t="str"/>
      <x:c r="J427" s="34" t="str"/>
      <x:c r="K427" s="34" t="str"/>
      <x:c r="L427" s="34" t="str"/>
      <x:c r="M427" s="34" t="str"/>
      <x:c r="N427" s="34" t="str"/>
      <x:c r="O427" s="34" t="str"/>
      <x:c r="P427" s="34" t="str"/>
      <x:c r="Q427" s="34" t="str"/>
      <x:c r="R427" s="34" t="str"/>
      <x:c r="S427" s="34" t="str"/>
      <x:c r="T427" s="34" t="str"/>
      <x:c r="U427" s="34" t="str"/>
      <x:c r="V427" s="34" t="str"/>
      <x:c r="W427" s="34" t="str"/>
      <x:c r="X427" s="34" t="str"/>
    </x:row>
    <x:row r="428">
      <x:c r="A428" s="34" t="str">
        <x:v>M5-EVT-0423</x:v>
      </x:c>
      <x:c r="B428" s="34" t="str"/>
      <x:c r="C428" s="34" t="str"/>
      <x:c r="D428" s="34" t="str"/>
      <x:c r="E428" s="34" t="str"/>
      <x:c r="F428" s="34" t="str"/>
      <x:c r="G428" s="34" t="str"/>
      <x:c r="H428" s="34" t="str"/>
      <x:c r="I428" s="34" t="str"/>
      <x:c r="J428" s="34" t="str"/>
      <x:c r="K428" s="34" t="str"/>
      <x:c r="L428" s="34" t="str"/>
      <x:c r="M428" s="34" t="str"/>
      <x:c r="N428" s="34" t="str"/>
      <x:c r="O428" s="34" t="str"/>
      <x:c r="P428" s="34" t="str"/>
      <x:c r="Q428" s="34" t="str"/>
      <x:c r="R428" s="34" t="str"/>
      <x:c r="S428" s="34" t="str"/>
      <x:c r="T428" s="34" t="str"/>
      <x:c r="U428" s="34" t="str"/>
      <x:c r="V428" s="34" t="str"/>
      <x:c r="W428" s="34" t="str"/>
      <x:c r="X428" s="34" t="str"/>
    </x:row>
    <x:row r="429">
      <x:c r="A429" s="34" t="str">
        <x:v>M5-EVT-0424</x:v>
      </x:c>
      <x:c r="B429" s="34" t="str"/>
      <x:c r="C429" s="34" t="str"/>
      <x:c r="D429" s="34" t="str"/>
      <x:c r="E429" s="34" t="str"/>
      <x:c r="F429" s="34" t="str"/>
      <x:c r="G429" s="34" t="str"/>
      <x:c r="H429" s="34" t="str"/>
      <x:c r="I429" s="34" t="str"/>
      <x:c r="J429" s="34" t="str"/>
      <x:c r="K429" s="34" t="str"/>
      <x:c r="L429" s="34" t="str"/>
      <x:c r="M429" s="34" t="str"/>
      <x:c r="N429" s="34" t="str"/>
      <x:c r="O429" s="34" t="str"/>
      <x:c r="P429" s="34" t="str"/>
      <x:c r="Q429" s="34" t="str"/>
      <x:c r="R429" s="34" t="str"/>
      <x:c r="S429" s="34" t="str"/>
      <x:c r="T429" s="34" t="str"/>
      <x:c r="U429" s="34" t="str"/>
      <x:c r="V429" s="34" t="str"/>
      <x:c r="W429" s="34" t="str"/>
      <x:c r="X429" s="34" t="str"/>
    </x:row>
    <x:row r="430">
      <x:c r="A430" s="34" t="str">
        <x:v>M5-EVT-0425</x:v>
      </x:c>
      <x:c r="B430" s="34" t="str"/>
      <x:c r="C430" s="34" t="str"/>
      <x:c r="D430" s="34" t="str"/>
      <x:c r="E430" s="34" t="str"/>
      <x:c r="F430" s="34" t="str"/>
      <x:c r="G430" s="34" t="str"/>
      <x:c r="H430" s="34" t="str"/>
      <x:c r="I430" s="34" t="str"/>
      <x:c r="J430" s="34" t="str"/>
      <x:c r="K430" s="34" t="str"/>
      <x:c r="L430" s="34" t="str"/>
      <x:c r="M430" s="34" t="str"/>
      <x:c r="N430" s="34" t="str"/>
      <x:c r="O430" s="34" t="str"/>
      <x:c r="P430" s="34" t="str"/>
      <x:c r="Q430" s="34" t="str"/>
      <x:c r="R430" s="34" t="str"/>
      <x:c r="S430" s="34" t="str"/>
      <x:c r="T430" s="34" t="str"/>
      <x:c r="U430" s="34" t="str"/>
      <x:c r="V430" s="34" t="str"/>
      <x:c r="W430" s="34" t="str"/>
      <x:c r="X430" s="34" t="str"/>
    </x:row>
    <x:row r="431">
      <x:c r="A431" s="34" t="str">
        <x:v>M5-EVT-0426</x:v>
      </x:c>
      <x:c r="B431" s="34" t="str"/>
      <x:c r="C431" s="34" t="str"/>
      <x:c r="D431" s="34" t="str"/>
      <x:c r="E431" s="34" t="str"/>
      <x:c r="F431" s="34" t="str"/>
      <x:c r="G431" s="34" t="str"/>
      <x:c r="H431" s="34" t="str"/>
      <x:c r="I431" s="34" t="str"/>
      <x:c r="J431" s="34" t="str"/>
      <x:c r="K431" s="34" t="str"/>
      <x:c r="L431" s="34" t="str"/>
      <x:c r="M431" s="34" t="str"/>
      <x:c r="N431" s="34" t="str"/>
      <x:c r="O431" s="34" t="str"/>
      <x:c r="P431" s="34" t="str"/>
      <x:c r="Q431" s="34" t="str"/>
      <x:c r="R431" s="34" t="str"/>
      <x:c r="S431" s="34" t="str"/>
      <x:c r="T431" s="34" t="str"/>
      <x:c r="U431" s="34" t="str"/>
      <x:c r="V431" s="34" t="str"/>
      <x:c r="W431" s="34" t="str"/>
      <x:c r="X431" s="34" t="str"/>
    </x:row>
    <x:row r="432">
      <x:c r="A432" s="34" t="str">
        <x:v>M5-EVT-0427</x:v>
      </x:c>
      <x:c r="B432" s="34" t="str"/>
      <x:c r="C432" s="34" t="str"/>
      <x:c r="D432" s="34" t="str"/>
      <x:c r="E432" s="34" t="str"/>
      <x:c r="F432" s="34" t="str"/>
      <x:c r="G432" s="34" t="str"/>
      <x:c r="H432" s="34" t="str"/>
      <x:c r="I432" s="34" t="str"/>
      <x:c r="J432" s="34" t="str"/>
      <x:c r="K432" s="34" t="str"/>
      <x:c r="L432" s="34" t="str"/>
      <x:c r="M432" s="34" t="str"/>
      <x:c r="N432" s="34" t="str"/>
      <x:c r="O432" s="34" t="str"/>
      <x:c r="P432" s="34" t="str"/>
      <x:c r="Q432" s="34" t="str"/>
      <x:c r="R432" s="34" t="str"/>
      <x:c r="S432" s="34" t="str"/>
      <x:c r="T432" s="34" t="str"/>
      <x:c r="U432" s="34" t="str"/>
      <x:c r="V432" s="34" t="str"/>
      <x:c r="W432" s="34" t="str"/>
      <x:c r="X432" s="34" t="str"/>
    </x:row>
    <x:row r="433">
      <x:c r="A433" s="34" t="str">
        <x:v>M5-EVT-0428</x:v>
      </x:c>
      <x:c r="B433" s="34" t="str"/>
      <x:c r="C433" s="34" t="str"/>
      <x:c r="D433" s="34" t="str"/>
      <x:c r="E433" s="34" t="str"/>
      <x:c r="F433" s="34" t="str"/>
      <x:c r="G433" s="34" t="str"/>
      <x:c r="H433" s="34" t="str"/>
      <x:c r="I433" s="34" t="str"/>
      <x:c r="J433" s="34" t="str"/>
      <x:c r="K433" s="34" t="str"/>
      <x:c r="L433" s="34" t="str"/>
      <x:c r="M433" s="34" t="str"/>
      <x:c r="N433" s="34" t="str"/>
      <x:c r="O433" s="34" t="str"/>
      <x:c r="P433" s="34" t="str"/>
      <x:c r="Q433" s="34" t="str"/>
      <x:c r="R433" s="34" t="str"/>
      <x:c r="S433" s="34" t="str"/>
      <x:c r="T433" s="34" t="str"/>
      <x:c r="U433" s="34" t="str"/>
      <x:c r="V433" s="34" t="str"/>
      <x:c r="W433" s="34" t="str"/>
      <x:c r="X433" s="34" t="str"/>
    </x:row>
    <x:row r="434">
      <x:c r="A434" s="34" t="str">
        <x:v>M5-EVT-0429</x:v>
      </x:c>
      <x:c r="B434" s="34" t="str"/>
      <x:c r="C434" s="34" t="str"/>
      <x:c r="D434" s="34" t="str"/>
      <x:c r="E434" s="34" t="str"/>
      <x:c r="F434" s="34" t="str"/>
      <x:c r="G434" s="34" t="str"/>
      <x:c r="H434" s="34" t="str"/>
      <x:c r="I434" s="34" t="str"/>
      <x:c r="J434" s="34" t="str"/>
      <x:c r="K434" s="34" t="str"/>
      <x:c r="L434" s="34" t="str"/>
      <x:c r="M434" s="34" t="str"/>
      <x:c r="N434" s="34" t="str"/>
      <x:c r="O434" s="34" t="str"/>
      <x:c r="P434" s="34" t="str"/>
      <x:c r="Q434" s="34" t="str"/>
      <x:c r="R434" s="34" t="str"/>
      <x:c r="S434" s="34" t="str"/>
      <x:c r="T434" s="34" t="str"/>
      <x:c r="U434" s="34" t="str"/>
      <x:c r="V434" s="34" t="str"/>
      <x:c r="W434" s="34" t="str"/>
      <x:c r="X434" s="34" t="str"/>
    </x:row>
    <x:row r="435">
      <x:c r="A435" s="34" t="str">
        <x:v>M5-EVT-0430</x:v>
      </x:c>
      <x:c r="B435" s="34" t="str"/>
      <x:c r="C435" s="34" t="str"/>
      <x:c r="D435" s="34" t="str"/>
      <x:c r="E435" s="34" t="str"/>
      <x:c r="F435" s="34" t="str"/>
      <x:c r="G435" s="34" t="str"/>
      <x:c r="H435" s="34" t="str"/>
      <x:c r="I435" s="34" t="str"/>
      <x:c r="J435" s="34" t="str"/>
      <x:c r="K435" s="34" t="str"/>
      <x:c r="L435" s="34" t="str"/>
      <x:c r="M435" s="34" t="str"/>
      <x:c r="N435" s="34" t="str"/>
      <x:c r="O435" s="34" t="str"/>
      <x:c r="P435" s="34" t="str"/>
      <x:c r="Q435" s="34" t="str"/>
      <x:c r="R435" s="34" t="str"/>
      <x:c r="S435" s="34" t="str"/>
      <x:c r="T435" s="34" t="str"/>
      <x:c r="U435" s="34" t="str"/>
      <x:c r="V435" s="34" t="str"/>
      <x:c r="W435" s="34" t="str"/>
      <x:c r="X435" s="34" t="str"/>
    </x:row>
    <x:row r="436">
      <x:c r="A436" s="34" t="str">
        <x:v>M5-EVT-0431</x:v>
      </x:c>
      <x:c r="B436" s="34" t="str"/>
      <x:c r="C436" s="34" t="str"/>
      <x:c r="D436" s="34" t="str"/>
      <x:c r="E436" s="34" t="str"/>
      <x:c r="F436" s="34" t="str"/>
      <x:c r="G436" s="34" t="str"/>
      <x:c r="H436" s="34" t="str"/>
      <x:c r="I436" s="34" t="str"/>
      <x:c r="J436" s="34" t="str"/>
      <x:c r="K436" s="34" t="str"/>
      <x:c r="L436" s="34" t="str"/>
      <x:c r="M436" s="34" t="str"/>
      <x:c r="N436" s="34" t="str"/>
      <x:c r="O436" s="34" t="str"/>
      <x:c r="P436" s="34" t="str"/>
      <x:c r="Q436" s="34" t="str"/>
      <x:c r="R436" s="34" t="str"/>
      <x:c r="S436" s="34" t="str"/>
      <x:c r="T436" s="34" t="str"/>
      <x:c r="U436" s="34" t="str"/>
      <x:c r="V436" s="34" t="str"/>
      <x:c r="W436" s="34" t="str"/>
      <x:c r="X436" s="34" t="str"/>
    </x:row>
    <x:row r="437">
      <x:c r="A437" s="34" t="str">
        <x:v>M5-EVT-0432</x:v>
      </x:c>
      <x:c r="B437" s="34" t="str"/>
      <x:c r="C437" s="34" t="str"/>
      <x:c r="D437" s="34" t="str"/>
      <x:c r="E437" s="34" t="str"/>
      <x:c r="F437" s="34" t="str"/>
      <x:c r="G437" s="34" t="str"/>
      <x:c r="H437" s="34" t="str"/>
      <x:c r="I437" s="34" t="str"/>
      <x:c r="J437" s="34" t="str"/>
      <x:c r="K437" s="34" t="str"/>
      <x:c r="L437" s="34" t="str"/>
      <x:c r="M437" s="34" t="str"/>
      <x:c r="N437" s="34" t="str"/>
      <x:c r="O437" s="34" t="str"/>
      <x:c r="P437" s="34" t="str"/>
      <x:c r="Q437" s="34" t="str"/>
      <x:c r="R437" s="34" t="str"/>
      <x:c r="S437" s="34" t="str"/>
      <x:c r="T437" s="34" t="str"/>
      <x:c r="U437" s="34" t="str"/>
      <x:c r="V437" s="34" t="str"/>
      <x:c r="W437" s="34" t="str"/>
      <x:c r="X437" s="34" t="str"/>
    </x:row>
    <x:row r="438">
      <x:c r="A438" s="34" t="str">
        <x:v>M5-EVT-0433</x:v>
      </x:c>
      <x:c r="B438" s="34" t="str"/>
      <x:c r="C438" s="34" t="str"/>
      <x:c r="D438" s="34" t="str"/>
      <x:c r="E438" s="34" t="str"/>
      <x:c r="F438" s="34" t="str"/>
      <x:c r="G438" s="34" t="str"/>
      <x:c r="H438" s="34" t="str"/>
      <x:c r="I438" s="34" t="str"/>
      <x:c r="J438" s="34" t="str"/>
      <x:c r="K438" s="34" t="str"/>
      <x:c r="L438" s="34" t="str"/>
      <x:c r="M438" s="34" t="str"/>
      <x:c r="N438" s="34" t="str"/>
      <x:c r="O438" s="34" t="str"/>
      <x:c r="P438" s="34" t="str"/>
      <x:c r="Q438" s="34" t="str"/>
      <x:c r="R438" s="34" t="str"/>
      <x:c r="S438" s="34" t="str"/>
      <x:c r="T438" s="34" t="str"/>
      <x:c r="U438" s="34" t="str"/>
      <x:c r="V438" s="34" t="str"/>
      <x:c r="W438" s="34" t="str"/>
      <x:c r="X438" s="34" t="str"/>
    </x:row>
    <x:row r="439">
      <x:c r="A439" s="34" t="str">
        <x:v>M5-EVT-0434</x:v>
      </x:c>
      <x:c r="B439" s="34" t="str"/>
      <x:c r="C439" s="34" t="str"/>
      <x:c r="D439" s="34" t="str"/>
      <x:c r="E439" s="34" t="str"/>
      <x:c r="F439" s="34" t="str"/>
      <x:c r="G439" s="34" t="str"/>
      <x:c r="H439" s="34" t="str"/>
      <x:c r="I439" s="34" t="str"/>
      <x:c r="J439" s="34" t="str"/>
      <x:c r="K439" s="34" t="str"/>
      <x:c r="L439" s="34" t="str"/>
      <x:c r="M439" s="34" t="str"/>
      <x:c r="N439" s="34" t="str"/>
      <x:c r="O439" s="34" t="str"/>
      <x:c r="P439" s="34" t="str"/>
      <x:c r="Q439" s="34" t="str"/>
      <x:c r="R439" s="34" t="str"/>
      <x:c r="S439" s="34" t="str"/>
      <x:c r="T439" s="34" t="str"/>
      <x:c r="U439" s="34" t="str"/>
      <x:c r="V439" s="34" t="str"/>
      <x:c r="W439" s="34" t="str"/>
      <x:c r="X439" s="34" t="str"/>
    </x:row>
    <x:row r="440">
      <x:c r="A440" s="34" t="str">
        <x:v>M5-EVT-0435</x:v>
      </x:c>
      <x:c r="B440" s="34" t="str"/>
      <x:c r="C440" s="34" t="str"/>
      <x:c r="D440" s="34" t="str"/>
      <x:c r="E440" s="34" t="str"/>
      <x:c r="F440" s="34" t="str"/>
      <x:c r="G440" s="34" t="str"/>
      <x:c r="H440" s="34" t="str"/>
      <x:c r="I440" s="34" t="str"/>
      <x:c r="J440" s="34" t="str"/>
      <x:c r="K440" s="34" t="str"/>
      <x:c r="L440" s="34" t="str"/>
      <x:c r="M440" s="34" t="str"/>
      <x:c r="N440" s="34" t="str"/>
      <x:c r="O440" s="34" t="str"/>
      <x:c r="P440" s="34" t="str"/>
      <x:c r="Q440" s="34" t="str"/>
      <x:c r="R440" s="34" t="str"/>
      <x:c r="S440" s="34" t="str"/>
      <x:c r="T440" s="34" t="str"/>
      <x:c r="U440" s="34" t="str"/>
      <x:c r="V440" s="34" t="str"/>
      <x:c r="W440" s="34" t="str"/>
      <x:c r="X440" s="34" t="str"/>
    </x:row>
    <x:row r="441">
      <x:c r="A441" s="34" t="str">
        <x:v>M5-EVT-0436</x:v>
      </x:c>
      <x:c r="B441" s="34" t="str"/>
      <x:c r="C441" s="34" t="str"/>
      <x:c r="D441" s="34" t="str"/>
      <x:c r="E441" s="34" t="str"/>
      <x:c r="F441" s="34" t="str"/>
      <x:c r="G441" s="34" t="str"/>
      <x:c r="H441" s="34" t="str"/>
      <x:c r="I441" s="34" t="str"/>
      <x:c r="J441" s="34" t="str"/>
      <x:c r="K441" s="34" t="str"/>
      <x:c r="L441" s="34" t="str"/>
      <x:c r="M441" s="34" t="str"/>
      <x:c r="N441" s="34" t="str"/>
      <x:c r="O441" s="34" t="str"/>
      <x:c r="P441" s="34" t="str"/>
      <x:c r="Q441" s="34" t="str"/>
      <x:c r="R441" s="34" t="str"/>
      <x:c r="S441" s="34" t="str"/>
      <x:c r="T441" s="34" t="str"/>
      <x:c r="U441" s="34" t="str"/>
      <x:c r="V441" s="34" t="str"/>
      <x:c r="W441" s="34" t="str"/>
      <x:c r="X441" s="34" t="str"/>
    </x:row>
    <x:row r="442">
      <x:c r="A442" s="34" t="str">
        <x:v>M5-EVT-0437</x:v>
      </x:c>
      <x:c r="B442" s="34" t="str"/>
      <x:c r="C442" s="34" t="str"/>
      <x:c r="D442" s="34" t="str"/>
      <x:c r="E442" s="34" t="str"/>
      <x:c r="F442" s="34" t="str"/>
      <x:c r="G442" s="34" t="str"/>
      <x:c r="H442" s="34" t="str"/>
      <x:c r="I442" s="34" t="str"/>
      <x:c r="J442" s="34" t="str"/>
      <x:c r="K442" s="34" t="str"/>
      <x:c r="L442" s="34" t="str"/>
      <x:c r="M442" s="34" t="str"/>
      <x:c r="N442" s="34" t="str"/>
      <x:c r="O442" s="34" t="str"/>
      <x:c r="P442" s="34" t="str"/>
      <x:c r="Q442" s="34" t="str"/>
      <x:c r="R442" s="34" t="str"/>
      <x:c r="S442" s="34" t="str"/>
      <x:c r="T442" s="34" t="str"/>
      <x:c r="U442" s="34" t="str"/>
      <x:c r="V442" s="34" t="str"/>
      <x:c r="W442" s="34" t="str"/>
      <x:c r="X442" s="34" t="str"/>
    </x:row>
    <x:row r="443">
      <x:c r="A443" s="34" t="str">
        <x:v>M5-EVT-0438</x:v>
      </x:c>
      <x:c r="B443" s="34" t="str"/>
      <x:c r="C443" s="34" t="str"/>
      <x:c r="D443" s="34" t="str"/>
      <x:c r="E443" s="34" t="str"/>
      <x:c r="F443" s="34" t="str"/>
      <x:c r="G443" s="34" t="str"/>
      <x:c r="H443" s="34" t="str"/>
      <x:c r="I443" s="34" t="str"/>
      <x:c r="J443" s="34" t="str"/>
      <x:c r="K443" s="34" t="str"/>
      <x:c r="L443" s="34" t="str"/>
      <x:c r="M443" s="34" t="str"/>
      <x:c r="N443" s="34" t="str"/>
      <x:c r="O443" s="34" t="str"/>
      <x:c r="P443" s="34" t="str"/>
      <x:c r="Q443" s="34" t="str"/>
      <x:c r="R443" s="34" t="str"/>
      <x:c r="S443" s="34" t="str"/>
      <x:c r="T443" s="34" t="str"/>
      <x:c r="U443" s="34" t="str"/>
      <x:c r="V443" s="34" t="str"/>
      <x:c r="W443" s="34" t="str"/>
      <x:c r="X443" s="34" t="str"/>
    </x:row>
    <x:row r="444">
      <x:c r="A444" s="34" t="str">
        <x:v>M5-EVT-0439</x:v>
      </x:c>
      <x:c r="B444" s="34" t="str"/>
      <x:c r="C444" s="34" t="str"/>
      <x:c r="D444" s="34" t="str"/>
      <x:c r="E444" s="34" t="str"/>
      <x:c r="F444" s="34" t="str"/>
      <x:c r="G444" s="34" t="str"/>
      <x:c r="H444" s="34" t="str"/>
      <x:c r="I444" s="34" t="str"/>
      <x:c r="J444" s="34" t="str"/>
      <x:c r="K444" s="34" t="str"/>
      <x:c r="L444" s="34" t="str"/>
      <x:c r="M444" s="34" t="str"/>
      <x:c r="N444" s="34" t="str"/>
      <x:c r="O444" s="34" t="str"/>
      <x:c r="P444" s="34" t="str"/>
      <x:c r="Q444" s="34" t="str"/>
      <x:c r="R444" s="34" t="str"/>
      <x:c r="S444" s="34" t="str"/>
      <x:c r="T444" s="34" t="str"/>
      <x:c r="U444" s="34" t="str"/>
      <x:c r="V444" s="34" t="str"/>
      <x:c r="W444" s="34" t="str"/>
      <x:c r="X444" s="34" t="str"/>
    </x:row>
    <x:row r="445">
      <x:c r="A445" s="34" t="str">
        <x:v>M5-EVT-0440</x:v>
      </x:c>
      <x:c r="B445" s="34" t="str"/>
      <x:c r="C445" s="34" t="str"/>
      <x:c r="D445" s="34" t="str"/>
      <x:c r="E445" s="34" t="str"/>
      <x:c r="F445" s="34" t="str"/>
      <x:c r="G445" s="34" t="str"/>
      <x:c r="H445" s="34" t="str"/>
      <x:c r="I445" s="34" t="str"/>
      <x:c r="J445" s="34" t="str"/>
      <x:c r="K445" s="34" t="str"/>
      <x:c r="L445" s="34" t="str"/>
      <x:c r="M445" s="34" t="str"/>
      <x:c r="N445" s="34" t="str"/>
      <x:c r="O445" s="34" t="str"/>
      <x:c r="P445" s="34" t="str"/>
      <x:c r="Q445" s="34" t="str"/>
      <x:c r="R445" s="34" t="str"/>
      <x:c r="S445" s="34" t="str"/>
      <x:c r="T445" s="34" t="str"/>
      <x:c r="U445" s="34" t="str"/>
      <x:c r="V445" s="34" t="str"/>
      <x:c r="W445" s="34" t="str"/>
      <x:c r="X445" s="34" t="str"/>
    </x:row>
    <x:row r="446">
      <x:c r="A446" s="34" t="str">
        <x:v>M5-EVT-0441</x:v>
      </x:c>
      <x:c r="B446" s="34" t="str"/>
      <x:c r="C446" s="34" t="str"/>
      <x:c r="D446" s="34" t="str"/>
      <x:c r="E446" s="34" t="str"/>
      <x:c r="F446" s="34" t="str"/>
      <x:c r="G446" s="34" t="str"/>
      <x:c r="H446" s="34" t="str"/>
      <x:c r="I446" s="34" t="str"/>
      <x:c r="J446" s="34" t="str"/>
      <x:c r="K446" s="34" t="str"/>
      <x:c r="L446" s="34" t="str"/>
      <x:c r="M446" s="34" t="str"/>
      <x:c r="N446" s="34" t="str"/>
      <x:c r="O446" s="34" t="str"/>
      <x:c r="P446" s="34" t="str"/>
      <x:c r="Q446" s="34" t="str"/>
      <x:c r="R446" s="34" t="str"/>
      <x:c r="S446" s="34" t="str"/>
      <x:c r="T446" s="34" t="str"/>
      <x:c r="U446" s="34" t="str"/>
      <x:c r="V446" s="34" t="str"/>
      <x:c r="W446" s="34" t="str"/>
      <x:c r="X446" s="34" t="str"/>
    </x:row>
    <x:row r="447">
      <x:c r="A447" s="34" t="str">
        <x:v>M5-EVT-0442</x:v>
      </x:c>
      <x:c r="B447" s="34" t="str"/>
      <x:c r="C447" s="34" t="str"/>
      <x:c r="D447" s="34" t="str"/>
      <x:c r="E447" s="34" t="str"/>
      <x:c r="F447" s="34" t="str"/>
      <x:c r="G447" s="34" t="str"/>
      <x:c r="H447" s="34" t="str"/>
      <x:c r="I447" s="34" t="str"/>
      <x:c r="J447" s="34" t="str"/>
      <x:c r="K447" s="34" t="str"/>
      <x:c r="L447" s="34" t="str"/>
      <x:c r="M447" s="34" t="str"/>
      <x:c r="N447" s="34" t="str"/>
      <x:c r="O447" s="34" t="str"/>
      <x:c r="P447" s="34" t="str"/>
      <x:c r="Q447" s="34" t="str"/>
      <x:c r="R447" s="34" t="str"/>
      <x:c r="S447" s="34" t="str"/>
      <x:c r="T447" s="34" t="str"/>
      <x:c r="U447" s="34" t="str"/>
      <x:c r="V447" s="34" t="str"/>
      <x:c r="W447" s="34" t="str"/>
      <x:c r="X447" s="34" t="str"/>
    </x:row>
    <x:row r="448">
      <x:c r="A448" s="34" t="str">
        <x:v>M5-EVT-0443</x:v>
      </x:c>
      <x:c r="B448" s="34" t="str"/>
      <x:c r="C448" s="34" t="str"/>
      <x:c r="D448" s="34" t="str"/>
      <x:c r="E448" s="34" t="str"/>
      <x:c r="F448" s="34" t="str"/>
      <x:c r="G448" s="34" t="str"/>
      <x:c r="H448" s="34" t="str"/>
      <x:c r="I448" s="34" t="str"/>
      <x:c r="J448" s="34" t="str"/>
      <x:c r="K448" s="34" t="str"/>
      <x:c r="L448" s="34" t="str"/>
      <x:c r="M448" s="34" t="str"/>
      <x:c r="N448" s="34" t="str"/>
      <x:c r="O448" s="34" t="str"/>
      <x:c r="P448" s="34" t="str"/>
      <x:c r="Q448" s="34" t="str"/>
      <x:c r="R448" s="34" t="str"/>
      <x:c r="S448" s="34" t="str"/>
      <x:c r="T448" s="34" t="str"/>
      <x:c r="U448" s="34" t="str"/>
      <x:c r="V448" s="34" t="str"/>
      <x:c r="W448" s="34" t="str"/>
      <x:c r="X448" s="34" t="str"/>
    </x:row>
    <x:row r="449">
      <x:c r="A449" s="34" t="str">
        <x:v>M5-EVT-0444</x:v>
      </x:c>
      <x:c r="B449" s="34" t="str"/>
      <x:c r="C449" s="34" t="str"/>
      <x:c r="D449" s="34" t="str"/>
      <x:c r="E449" s="34" t="str"/>
      <x:c r="F449" s="34" t="str"/>
      <x:c r="G449" s="34" t="str"/>
      <x:c r="H449" s="34" t="str"/>
      <x:c r="I449" s="34" t="str"/>
      <x:c r="J449" s="34" t="str"/>
      <x:c r="K449" s="34" t="str"/>
      <x:c r="L449" s="34" t="str"/>
      <x:c r="M449" s="34" t="str"/>
      <x:c r="N449" s="34" t="str"/>
      <x:c r="O449" s="34" t="str"/>
      <x:c r="P449" s="34" t="str"/>
      <x:c r="Q449" s="34" t="str"/>
      <x:c r="R449" s="34" t="str"/>
      <x:c r="S449" s="34" t="str"/>
      <x:c r="T449" s="34" t="str"/>
      <x:c r="U449" s="34" t="str"/>
      <x:c r="V449" s="34" t="str"/>
      <x:c r="W449" s="34" t="str"/>
      <x:c r="X449" s="34" t="str"/>
    </x:row>
    <x:row r="450">
      <x:c r="A450" s="34" t="str">
        <x:v>M5-EVT-0445</x:v>
      </x:c>
      <x:c r="B450" s="34" t="str"/>
      <x:c r="C450" s="34" t="str"/>
      <x:c r="D450" s="34" t="str"/>
      <x:c r="E450" s="34" t="str"/>
      <x:c r="F450" s="34" t="str"/>
      <x:c r="G450" s="34" t="str"/>
      <x:c r="H450" s="34" t="str"/>
      <x:c r="I450" s="34" t="str"/>
      <x:c r="J450" s="34" t="str"/>
      <x:c r="K450" s="34" t="str"/>
      <x:c r="L450" s="34" t="str"/>
      <x:c r="M450" s="34" t="str"/>
      <x:c r="N450" s="34" t="str"/>
      <x:c r="O450" s="34" t="str"/>
      <x:c r="P450" s="34" t="str"/>
      <x:c r="Q450" s="34" t="str"/>
      <x:c r="R450" s="34" t="str"/>
      <x:c r="S450" s="34" t="str"/>
      <x:c r="T450" s="34" t="str"/>
      <x:c r="U450" s="34" t="str"/>
      <x:c r="V450" s="34" t="str"/>
      <x:c r="W450" s="34" t="str"/>
      <x:c r="X450" s="34" t="str"/>
    </x:row>
    <x:row r="451">
      <x:c r="A451" s="34" t="str">
        <x:v>M5-EVT-0446</x:v>
      </x:c>
      <x:c r="B451" s="34" t="str"/>
      <x:c r="C451" s="34" t="str"/>
      <x:c r="D451" s="34" t="str"/>
      <x:c r="E451" s="34" t="str"/>
      <x:c r="F451" s="34" t="str"/>
      <x:c r="G451" s="34" t="str"/>
      <x:c r="H451" s="34" t="str"/>
      <x:c r="I451" s="34" t="str"/>
      <x:c r="J451" s="34" t="str"/>
      <x:c r="K451" s="34" t="str"/>
      <x:c r="L451" s="34" t="str"/>
      <x:c r="M451" s="34" t="str"/>
      <x:c r="N451" s="34" t="str"/>
      <x:c r="O451" s="34" t="str"/>
      <x:c r="P451" s="34" t="str"/>
      <x:c r="Q451" s="34" t="str"/>
      <x:c r="R451" s="34" t="str"/>
      <x:c r="S451" s="34" t="str"/>
      <x:c r="T451" s="34" t="str"/>
      <x:c r="U451" s="34" t="str"/>
      <x:c r="V451" s="34" t="str"/>
      <x:c r="W451" s="34" t="str"/>
      <x:c r="X451" s="34" t="str"/>
    </x:row>
    <x:row r="452">
      <x:c r="A452" s="34" t="str">
        <x:v>M5-EVT-0447</x:v>
      </x:c>
      <x:c r="B452" s="34" t="str"/>
      <x:c r="C452" s="34" t="str"/>
      <x:c r="D452" s="34" t="str"/>
      <x:c r="E452" s="34" t="str"/>
      <x:c r="F452" s="34" t="str"/>
      <x:c r="G452" s="34" t="str"/>
      <x:c r="H452" s="34" t="str"/>
      <x:c r="I452" s="34" t="str"/>
      <x:c r="J452" s="34" t="str"/>
      <x:c r="K452" s="34" t="str"/>
      <x:c r="L452" s="34" t="str"/>
      <x:c r="M452" s="34" t="str"/>
      <x:c r="N452" s="34" t="str"/>
      <x:c r="O452" s="34" t="str"/>
      <x:c r="P452" s="34" t="str"/>
      <x:c r="Q452" s="34" t="str"/>
      <x:c r="R452" s="34" t="str"/>
      <x:c r="S452" s="34" t="str"/>
      <x:c r="T452" s="34" t="str"/>
      <x:c r="U452" s="34" t="str"/>
      <x:c r="V452" s="34" t="str"/>
      <x:c r="W452" s="34" t="str"/>
      <x:c r="X452" s="34" t="str"/>
    </x:row>
    <x:row r="453">
      <x:c r="A453" s="34" t="str">
        <x:v>M5-EVT-0448</x:v>
      </x:c>
      <x:c r="B453" s="34" t="str"/>
      <x:c r="C453" s="34" t="str"/>
      <x:c r="D453" s="34" t="str"/>
      <x:c r="E453" s="34" t="str"/>
      <x:c r="F453" s="34" t="str"/>
      <x:c r="G453" s="34" t="str"/>
      <x:c r="H453" s="34" t="str"/>
      <x:c r="I453" s="34" t="str"/>
      <x:c r="J453" s="34" t="str"/>
      <x:c r="K453" s="34" t="str"/>
      <x:c r="L453" s="34" t="str"/>
      <x:c r="M453" s="34" t="str"/>
      <x:c r="N453" s="34" t="str"/>
      <x:c r="O453" s="34" t="str"/>
      <x:c r="P453" s="34" t="str"/>
      <x:c r="Q453" s="34" t="str"/>
      <x:c r="R453" s="34" t="str"/>
      <x:c r="S453" s="34" t="str"/>
      <x:c r="T453" s="34" t="str"/>
      <x:c r="U453" s="34" t="str"/>
      <x:c r="V453" s="34" t="str"/>
      <x:c r="W453" s="34" t="str"/>
      <x:c r="X453" s="34" t="str"/>
    </x:row>
    <x:row r="454">
      <x:c r="A454" s="34" t="str">
        <x:v>M5-EVT-0449</x:v>
      </x:c>
      <x:c r="B454" s="34" t="str"/>
      <x:c r="C454" s="34" t="str"/>
      <x:c r="D454" s="34" t="str"/>
      <x:c r="E454" s="34" t="str"/>
      <x:c r="F454" s="34" t="str"/>
      <x:c r="G454" s="34" t="str"/>
      <x:c r="H454" s="34" t="str"/>
      <x:c r="I454" s="34" t="str"/>
      <x:c r="J454" s="34" t="str"/>
      <x:c r="K454" s="34" t="str"/>
      <x:c r="L454" s="34" t="str"/>
      <x:c r="M454" s="34" t="str"/>
      <x:c r="N454" s="34" t="str"/>
      <x:c r="O454" s="34" t="str"/>
      <x:c r="P454" s="34" t="str"/>
      <x:c r="Q454" s="34" t="str"/>
      <x:c r="R454" s="34" t="str"/>
      <x:c r="S454" s="34" t="str"/>
      <x:c r="T454" s="34" t="str"/>
      <x:c r="U454" s="34" t="str"/>
      <x:c r="V454" s="34" t="str"/>
      <x:c r="W454" s="34" t="str"/>
      <x:c r="X454" s="34" t="str"/>
    </x:row>
    <x:row r="455">
      <x:c r="A455" s="34" t="str">
        <x:v>M5-EVT-0450</x:v>
      </x:c>
      <x:c r="B455" s="34" t="str"/>
      <x:c r="C455" s="34" t="str"/>
      <x:c r="D455" s="34" t="str"/>
      <x:c r="E455" s="34" t="str"/>
      <x:c r="F455" s="34" t="str"/>
      <x:c r="G455" s="34" t="str"/>
      <x:c r="H455" s="34" t="str"/>
      <x:c r="I455" s="34" t="str"/>
      <x:c r="J455" s="34" t="str"/>
      <x:c r="K455" s="34" t="str"/>
      <x:c r="L455" s="34" t="str"/>
      <x:c r="M455" s="34" t="str"/>
      <x:c r="N455" s="34" t="str"/>
      <x:c r="O455" s="34" t="str"/>
      <x:c r="P455" s="34" t="str"/>
      <x:c r="Q455" s="34" t="str"/>
      <x:c r="R455" s="34" t="str"/>
      <x:c r="S455" s="34" t="str"/>
      <x:c r="T455" s="34" t="str"/>
      <x:c r="U455" s="34" t="str"/>
      <x:c r="V455" s="34" t="str"/>
      <x:c r="W455" s="34" t="str"/>
      <x:c r="X455" s="34" t="str"/>
    </x:row>
    <x:row r="456">
      <x:c r="A456" s="34" t="str">
        <x:v>M5-EVT-0451</x:v>
      </x:c>
      <x:c r="B456" s="34" t="str"/>
      <x:c r="C456" s="34" t="str"/>
      <x:c r="D456" s="34" t="str"/>
      <x:c r="E456" s="34" t="str"/>
      <x:c r="F456" s="34" t="str"/>
      <x:c r="G456" s="34" t="str"/>
      <x:c r="H456" s="34" t="str"/>
      <x:c r="I456" s="34" t="str"/>
      <x:c r="J456" s="34" t="str"/>
      <x:c r="K456" s="34" t="str"/>
      <x:c r="L456" s="34" t="str"/>
      <x:c r="M456" s="34" t="str"/>
      <x:c r="N456" s="34" t="str"/>
      <x:c r="O456" s="34" t="str"/>
      <x:c r="P456" s="34" t="str"/>
      <x:c r="Q456" s="34" t="str"/>
      <x:c r="R456" s="34" t="str"/>
      <x:c r="S456" s="34" t="str"/>
      <x:c r="T456" s="34" t="str"/>
      <x:c r="U456" s="34" t="str"/>
      <x:c r="V456" s="34" t="str"/>
      <x:c r="W456" s="34" t="str"/>
      <x:c r="X456" s="34" t="str"/>
    </x:row>
    <x:row r="457">
      <x:c r="A457" s="34" t="str">
        <x:v>M5-EVT-0452</x:v>
      </x:c>
      <x:c r="B457" s="34" t="str"/>
      <x:c r="C457" s="34" t="str"/>
      <x:c r="D457" s="34" t="str"/>
      <x:c r="E457" s="34" t="str"/>
      <x:c r="F457" s="34" t="str"/>
      <x:c r="G457" s="34" t="str"/>
      <x:c r="H457" s="34" t="str"/>
      <x:c r="I457" s="34" t="str"/>
      <x:c r="J457" s="34" t="str"/>
      <x:c r="K457" s="34" t="str"/>
      <x:c r="L457" s="34" t="str"/>
      <x:c r="M457" s="34" t="str"/>
      <x:c r="N457" s="34" t="str"/>
      <x:c r="O457" s="34" t="str"/>
      <x:c r="P457" s="34" t="str"/>
      <x:c r="Q457" s="34" t="str"/>
      <x:c r="R457" s="34" t="str"/>
      <x:c r="S457" s="34" t="str"/>
      <x:c r="T457" s="34" t="str"/>
      <x:c r="U457" s="34" t="str"/>
      <x:c r="V457" s="34" t="str"/>
      <x:c r="W457" s="34" t="str"/>
      <x:c r="X457" s="34" t="str"/>
    </x:row>
    <x:row r="458">
      <x:c r="A458" s="34" t="str">
        <x:v>M5-EVT-0453</x:v>
      </x:c>
      <x:c r="B458" s="34" t="str"/>
      <x:c r="C458" s="34" t="str"/>
      <x:c r="D458" s="34" t="str"/>
      <x:c r="E458" s="34" t="str"/>
      <x:c r="F458" s="34" t="str"/>
      <x:c r="G458" s="34" t="str"/>
      <x:c r="H458" s="34" t="str"/>
      <x:c r="I458" s="34" t="str"/>
      <x:c r="J458" s="34" t="str"/>
      <x:c r="K458" s="34" t="str"/>
      <x:c r="L458" s="34" t="str"/>
      <x:c r="M458" s="34" t="str"/>
      <x:c r="N458" s="34" t="str"/>
      <x:c r="O458" s="34" t="str"/>
      <x:c r="P458" s="34" t="str"/>
      <x:c r="Q458" s="34" t="str"/>
      <x:c r="R458" s="34" t="str"/>
      <x:c r="S458" s="34" t="str"/>
      <x:c r="T458" s="34" t="str"/>
      <x:c r="U458" s="34" t="str"/>
      <x:c r="V458" s="34" t="str"/>
      <x:c r="W458" s="34" t="str"/>
      <x:c r="X458" s="34" t="str"/>
    </x:row>
    <x:row r="459">
      <x:c r="A459" s="34" t="str">
        <x:v>M5-EVT-0454</x:v>
      </x:c>
      <x:c r="B459" s="34" t="str"/>
      <x:c r="C459" s="34" t="str"/>
      <x:c r="D459" s="34" t="str"/>
      <x:c r="E459" s="34" t="str"/>
      <x:c r="F459" s="34" t="str"/>
      <x:c r="G459" s="34" t="str"/>
      <x:c r="H459" s="34" t="str"/>
      <x:c r="I459" s="34" t="str"/>
      <x:c r="J459" s="34" t="str"/>
      <x:c r="K459" s="34" t="str"/>
      <x:c r="L459" s="34" t="str"/>
      <x:c r="M459" s="34" t="str"/>
      <x:c r="N459" s="34" t="str"/>
      <x:c r="O459" s="34" t="str"/>
      <x:c r="P459" s="34" t="str"/>
      <x:c r="Q459" s="34" t="str"/>
      <x:c r="R459" s="34" t="str"/>
      <x:c r="S459" s="34" t="str"/>
      <x:c r="T459" s="34" t="str"/>
      <x:c r="U459" s="34" t="str"/>
      <x:c r="V459" s="34" t="str"/>
      <x:c r="W459" s="34" t="str"/>
      <x:c r="X459" s="34" t="str"/>
    </x:row>
    <x:row r="460">
      <x:c r="A460" s="34" t="str">
        <x:v>M5-EVT-0455</x:v>
      </x:c>
      <x:c r="B460" s="34" t="str"/>
      <x:c r="C460" s="34" t="str"/>
      <x:c r="D460" s="34" t="str"/>
      <x:c r="E460" s="34" t="str"/>
      <x:c r="F460" s="34" t="str"/>
      <x:c r="G460" s="34" t="str"/>
      <x:c r="H460" s="34" t="str"/>
      <x:c r="I460" s="34" t="str"/>
      <x:c r="J460" s="34" t="str"/>
      <x:c r="K460" s="34" t="str"/>
      <x:c r="L460" s="34" t="str"/>
      <x:c r="M460" s="34" t="str"/>
      <x:c r="N460" s="34" t="str"/>
      <x:c r="O460" s="34" t="str"/>
      <x:c r="P460" s="34" t="str"/>
      <x:c r="Q460" s="34" t="str"/>
      <x:c r="R460" s="34" t="str"/>
      <x:c r="S460" s="34" t="str"/>
      <x:c r="T460" s="34" t="str"/>
      <x:c r="U460" s="34" t="str"/>
      <x:c r="V460" s="34" t="str"/>
      <x:c r="W460" s="34" t="str"/>
      <x:c r="X460" s="34" t="str"/>
    </x:row>
    <x:row r="461">
      <x:c r="A461" s="34" t="str">
        <x:v>M5-EVT-0456</x:v>
      </x:c>
      <x:c r="B461" s="34" t="str"/>
      <x:c r="C461" s="34" t="str"/>
      <x:c r="D461" s="34" t="str"/>
      <x:c r="E461" s="34" t="str"/>
      <x:c r="F461" s="34" t="str"/>
      <x:c r="G461" s="34" t="str"/>
      <x:c r="H461" s="34" t="str"/>
      <x:c r="I461" s="34" t="str"/>
      <x:c r="J461" s="34" t="str"/>
      <x:c r="K461" s="34" t="str"/>
      <x:c r="L461" s="34" t="str"/>
      <x:c r="M461" s="34" t="str"/>
      <x:c r="N461" s="34" t="str"/>
      <x:c r="O461" s="34" t="str"/>
      <x:c r="P461" s="34" t="str"/>
      <x:c r="Q461" s="34" t="str"/>
      <x:c r="R461" s="34" t="str"/>
      <x:c r="S461" s="34" t="str"/>
      <x:c r="T461" s="34" t="str"/>
      <x:c r="U461" s="34" t="str"/>
      <x:c r="V461" s="34" t="str"/>
      <x:c r="W461" s="34" t="str"/>
      <x:c r="X461" s="34" t="str"/>
    </x:row>
    <x:row r="462">
      <x:c r="A462" s="34" t="str">
        <x:v>M5-EVT-0457</x:v>
      </x:c>
      <x:c r="B462" s="34" t="str"/>
      <x:c r="C462" s="34" t="str"/>
      <x:c r="D462" s="34" t="str"/>
      <x:c r="E462" s="34" t="str"/>
      <x:c r="F462" s="34" t="str"/>
      <x:c r="G462" s="34" t="str"/>
      <x:c r="H462" s="34" t="str"/>
      <x:c r="I462" s="34" t="str"/>
      <x:c r="J462" s="34" t="str"/>
      <x:c r="K462" s="34" t="str"/>
      <x:c r="L462" s="34" t="str"/>
      <x:c r="M462" s="34" t="str"/>
      <x:c r="N462" s="34" t="str"/>
      <x:c r="O462" s="34" t="str"/>
      <x:c r="P462" s="34" t="str"/>
      <x:c r="Q462" s="34" t="str"/>
      <x:c r="R462" s="34" t="str"/>
      <x:c r="S462" s="34" t="str"/>
      <x:c r="T462" s="34" t="str"/>
      <x:c r="U462" s="34" t="str"/>
      <x:c r="V462" s="34" t="str"/>
      <x:c r="W462" s="34" t="str"/>
      <x:c r="X462" s="34" t="str"/>
    </x:row>
    <x:row r="463">
      <x:c r="A463" s="34" t="str">
        <x:v>M5-EVT-0458</x:v>
      </x:c>
      <x:c r="B463" s="34" t="str"/>
      <x:c r="C463" s="34" t="str"/>
      <x:c r="D463" s="34" t="str"/>
      <x:c r="E463" s="34" t="str"/>
      <x:c r="F463" s="34" t="str"/>
      <x:c r="G463" s="34" t="str"/>
      <x:c r="H463" s="34" t="str"/>
      <x:c r="I463" s="34" t="str"/>
      <x:c r="J463" s="34" t="str"/>
      <x:c r="K463" s="34" t="str"/>
      <x:c r="L463" s="34" t="str"/>
      <x:c r="M463" s="34" t="str"/>
      <x:c r="N463" s="34" t="str"/>
      <x:c r="O463" s="34" t="str"/>
      <x:c r="P463" s="34" t="str"/>
      <x:c r="Q463" s="34" t="str"/>
      <x:c r="R463" s="34" t="str"/>
      <x:c r="S463" s="34" t="str"/>
      <x:c r="T463" s="34" t="str"/>
      <x:c r="U463" s="34" t="str"/>
      <x:c r="V463" s="34" t="str"/>
      <x:c r="W463" s="34" t="str"/>
      <x:c r="X463" s="34" t="str"/>
    </x:row>
    <x:row r="464">
      <x:c r="A464" s="34" t="str">
        <x:v>M5-EVT-0459</x:v>
      </x:c>
      <x:c r="B464" s="34" t="str"/>
      <x:c r="C464" s="34" t="str"/>
      <x:c r="D464" s="34" t="str"/>
      <x:c r="E464" s="34" t="str"/>
      <x:c r="F464" s="34" t="str"/>
      <x:c r="G464" s="34" t="str"/>
      <x:c r="H464" s="34" t="str"/>
      <x:c r="I464" s="34" t="str"/>
      <x:c r="J464" s="34" t="str"/>
      <x:c r="K464" s="34" t="str"/>
      <x:c r="L464" s="34" t="str"/>
      <x:c r="M464" s="34" t="str"/>
      <x:c r="N464" s="34" t="str"/>
      <x:c r="O464" s="34" t="str"/>
      <x:c r="P464" s="34" t="str"/>
      <x:c r="Q464" s="34" t="str"/>
      <x:c r="R464" s="34" t="str"/>
      <x:c r="S464" s="34" t="str"/>
      <x:c r="T464" s="34" t="str"/>
      <x:c r="U464" s="34" t="str"/>
      <x:c r="V464" s="34" t="str"/>
      <x:c r="W464" s="34" t="str"/>
      <x:c r="X464" s="34" t="str"/>
    </x:row>
    <x:row r="465">
      <x:c r="A465" s="34" t="str">
        <x:v>M5-EVT-0460</x:v>
      </x:c>
      <x:c r="B465" s="34" t="str"/>
      <x:c r="C465" s="34" t="str"/>
      <x:c r="D465" s="34" t="str"/>
      <x:c r="E465" s="34" t="str"/>
      <x:c r="F465" s="34" t="str"/>
      <x:c r="G465" s="34" t="str"/>
      <x:c r="H465" s="34" t="str"/>
      <x:c r="I465" s="34" t="str"/>
      <x:c r="J465" s="34" t="str"/>
      <x:c r="K465" s="34" t="str"/>
      <x:c r="L465" s="34" t="str"/>
      <x:c r="M465" s="34" t="str"/>
      <x:c r="N465" s="34" t="str"/>
      <x:c r="O465" s="34" t="str"/>
      <x:c r="P465" s="34" t="str"/>
      <x:c r="Q465" s="34" t="str"/>
      <x:c r="R465" s="34" t="str"/>
      <x:c r="S465" s="34" t="str"/>
      <x:c r="T465" s="34" t="str"/>
      <x:c r="U465" s="34" t="str"/>
      <x:c r="V465" s="34" t="str"/>
      <x:c r="W465" s="34" t="str"/>
      <x:c r="X465" s="34" t="str"/>
    </x:row>
    <x:row r="466">
      <x:c r="A466" s="34" t="str">
        <x:v>M5-EVT-0461</x:v>
      </x:c>
      <x:c r="B466" s="34" t="str"/>
      <x:c r="C466" s="34" t="str"/>
      <x:c r="D466" s="34" t="str"/>
      <x:c r="E466" s="34" t="str"/>
      <x:c r="F466" s="34" t="str"/>
      <x:c r="G466" s="34" t="str"/>
      <x:c r="H466" s="34" t="str"/>
      <x:c r="I466" s="34" t="str"/>
      <x:c r="J466" s="34" t="str"/>
      <x:c r="K466" s="34" t="str"/>
      <x:c r="L466" s="34" t="str"/>
      <x:c r="M466" s="34" t="str"/>
      <x:c r="N466" s="34" t="str"/>
      <x:c r="O466" s="34" t="str"/>
      <x:c r="P466" s="34" t="str"/>
      <x:c r="Q466" s="34" t="str"/>
      <x:c r="R466" s="34" t="str"/>
      <x:c r="S466" s="34" t="str"/>
      <x:c r="T466" s="34" t="str"/>
      <x:c r="U466" s="34" t="str"/>
      <x:c r="V466" s="34" t="str"/>
      <x:c r="W466" s="34" t="str"/>
      <x:c r="X466" s="34" t="str"/>
    </x:row>
    <x:row r="467">
      <x:c r="A467" s="34" t="str">
        <x:v>M5-EVT-0462</x:v>
      </x:c>
      <x:c r="B467" s="34" t="str"/>
      <x:c r="C467" s="34" t="str"/>
      <x:c r="D467" s="34" t="str"/>
      <x:c r="E467" s="34" t="str"/>
      <x:c r="F467" s="34" t="str"/>
      <x:c r="G467" s="34" t="str"/>
      <x:c r="H467" s="34" t="str"/>
      <x:c r="I467" s="34" t="str"/>
      <x:c r="J467" s="34" t="str"/>
      <x:c r="K467" s="34" t="str"/>
      <x:c r="L467" s="34" t="str"/>
      <x:c r="M467" s="34" t="str"/>
      <x:c r="N467" s="34" t="str"/>
      <x:c r="O467" s="34" t="str"/>
      <x:c r="P467" s="34" t="str"/>
      <x:c r="Q467" s="34" t="str"/>
      <x:c r="R467" s="34" t="str"/>
      <x:c r="S467" s="34" t="str"/>
      <x:c r="T467" s="34" t="str"/>
      <x:c r="U467" s="34" t="str"/>
      <x:c r="V467" s="34" t="str"/>
      <x:c r="W467" s="34" t="str"/>
      <x:c r="X467" s="34" t="str"/>
    </x:row>
    <x:row r="468">
      <x:c r="A468" s="34" t="str">
        <x:v>M5-EVT-0463</x:v>
      </x:c>
      <x:c r="B468" s="34" t="str"/>
      <x:c r="C468" s="34" t="str"/>
      <x:c r="D468" s="34" t="str"/>
      <x:c r="E468" s="34" t="str"/>
      <x:c r="F468" s="34" t="str"/>
      <x:c r="G468" s="34" t="str"/>
      <x:c r="H468" s="34" t="str"/>
      <x:c r="I468" s="34" t="str"/>
      <x:c r="J468" s="34" t="str"/>
      <x:c r="K468" s="34" t="str"/>
      <x:c r="L468" s="34" t="str"/>
      <x:c r="M468" s="34" t="str"/>
      <x:c r="N468" s="34" t="str"/>
      <x:c r="O468" s="34" t="str"/>
      <x:c r="P468" s="34" t="str"/>
      <x:c r="Q468" s="34" t="str"/>
      <x:c r="R468" s="34" t="str"/>
      <x:c r="S468" s="34" t="str"/>
      <x:c r="T468" s="34" t="str"/>
      <x:c r="U468" s="34" t="str"/>
      <x:c r="V468" s="34" t="str"/>
      <x:c r="W468" s="34" t="str"/>
      <x:c r="X468" s="34" t="str"/>
    </x:row>
    <x:row r="469">
      <x:c r="A469" s="34" t="str">
        <x:v>M5-EVT-0464</x:v>
      </x:c>
      <x:c r="B469" s="34" t="str"/>
      <x:c r="C469" s="34" t="str"/>
      <x:c r="D469" s="34" t="str"/>
      <x:c r="E469" s="34" t="str"/>
      <x:c r="F469" s="34" t="str"/>
      <x:c r="G469" s="34" t="str"/>
      <x:c r="H469" s="34" t="str"/>
      <x:c r="I469" s="34" t="str"/>
      <x:c r="J469" s="34" t="str"/>
      <x:c r="K469" s="34" t="str"/>
      <x:c r="L469" s="34" t="str"/>
      <x:c r="M469" s="34" t="str"/>
      <x:c r="N469" s="34" t="str"/>
      <x:c r="O469" s="34" t="str"/>
      <x:c r="P469" s="34" t="str"/>
      <x:c r="Q469" s="34" t="str"/>
      <x:c r="R469" s="34" t="str"/>
      <x:c r="S469" s="34" t="str"/>
      <x:c r="T469" s="34" t="str"/>
      <x:c r="U469" s="34" t="str"/>
      <x:c r="V469" s="34" t="str"/>
      <x:c r="W469" s="34" t="str"/>
      <x:c r="X469" s="34" t="str"/>
    </x:row>
    <x:row r="470">
      <x:c r="A470" s="34" t="str">
        <x:v>M5-EVT-0465</x:v>
      </x:c>
      <x:c r="B470" s="34" t="str"/>
      <x:c r="C470" s="34" t="str"/>
      <x:c r="D470" s="34" t="str"/>
      <x:c r="E470" s="34" t="str"/>
      <x:c r="F470" s="34" t="str"/>
      <x:c r="G470" s="34" t="str"/>
      <x:c r="H470" s="34" t="str"/>
      <x:c r="I470" s="34" t="str"/>
      <x:c r="J470" s="34" t="str"/>
      <x:c r="K470" s="34" t="str"/>
      <x:c r="L470" s="34" t="str"/>
      <x:c r="M470" s="34" t="str"/>
      <x:c r="N470" s="34" t="str"/>
      <x:c r="O470" s="34" t="str"/>
      <x:c r="P470" s="34" t="str"/>
      <x:c r="Q470" s="34" t="str"/>
      <x:c r="R470" s="34" t="str"/>
      <x:c r="S470" s="34" t="str"/>
      <x:c r="T470" s="34" t="str"/>
      <x:c r="U470" s="34" t="str"/>
      <x:c r="V470" s="34" t="str"/>
      <x:c r="W470" s="34" t="str"/>
      <x:c r="X470" s="34" t="str"/>
    </x:row>
    <x:row r="471">
      <x:c r="A471" s="34" t="str">
        <x:v>M5-EVT-0466</x:v>
      </x:c>
      <x:c r="B471" s="34" t="str"/>
      <x:c r="C471" s="34" t="str"/>
      <x:c r="D471" s="34" t="str"/>
      <x:c r="E471" s="34" t="str"/>
      <x:c r="F471" s="34" t="str"/>
      <x:c r="G471" s="34" t="str"/>
      <x:c r="H471" s="34" t="str"/>
      <x:c r="I471" s="34" t="str"/>
      <x:c r="J471" s="34" t="str"/>
      <x:c r="K471" s="34" t="str"/>
      <x:c r="L471" s="34" t="str"/>
      <x:c r="M471" s="34" t="str"/>
      <x:c r="N471" s="34" t="str"/>
      <x:c r="O471" s="34" t="str"/>
      <x:c r="P471" s="34" t="str"/>
      <x:c r="Q471" s="34" t="str"/>
      <x:c r="R471" s="34" t="str"/>
      <x:c r="S471" s="34" t="str"/>
      <x:c r="T471" s="34" t="str"/>
      <x:c r="U471" s="34" t="str"/>
      <x:c r="V471" s="34" t="str"/>
      <x:c r="W471" s="34" t="str"/>
      <x:c r="X471" s="34" t="str"/>
    </x:row>
    <x:row r="472">
      <x:c r="A472" s="34" t="str">
        <x:v>M5-EVT-0467</x:v>
      </x:c>
      <x:c r="B472" s="34" t="str"/>
      <x:c r="C472" s="34" t="str"/>
      <x:c r="D472" s="34" t="str"/>
      <x:c r="E472" s="34" t="str"/>
      <x:c r="F472" s="34" t="str"/>
      <x:c r="G472" s="34" t="str"/>
      <x:c r="H472" s="34" t="str"/>
      <x:c r="I472" s="34" t="str"/>
      <x:c r="J472" s="34" t="str"/>
      <x:c r="K472" s="34" t="str"/>
      <x:c r="L472" s="34" t="str"/>
      <x:c r="M472" s="34" t="str"/>
      <x:c r="N472" s="34" t="str"/>
      <x:c r="O472" s="34" t="str"/>
      <x:c r="P472" s="34" t="str"/>
      <x:c r="Q472" s="34" t="str"/>
      <x:c r="R472" s="34" t="str"/>
      <x:c r="S472" s="34" t="str"/>
      <x:c r="T472" s="34" t="str"/>
      <x:c r="U472" s="34" t="str"/>
      <x:c r="V472" s="34" t="str"/>
      <x:c r="W472" s="34" t="str"/>
      <x:c r="X472" s="34" t="str"/>
    </x:row>
    <x:row r="473">
      <x:c r="A473" s="34" t="str">
        <x:v>M5-EVT-0468</x:v>
      </x:c>
      <x:c r="B473" s="34" t="str"/>
      <x:c r="C473" s="34" t="str"/>
      <x:c r="D473" s="34" t="str"/>
      <x:c r="E473" s="34" t="str"/>
      <x:c r="F473" s="34" t="str"/>
      <x:c r="G473" s="34" t="str"/>
      <x:c r="H473" s="34" t="str"/>
      <x:c r="I473" s="34" t="str"/>
      <x:c r="J473" s="34" t="str"/>
      <x:c r="K473" s="34" t="str"/>
      <x:c r="L473" s="34" t="str"/>
      <x:c r="M473" s="34" t="str"/>
      <x:c r="N473" s="34" t="str"/>
      <x:c r="O473" s="34" t="str"/>
      <x:c r="P473" s="34" t="str"/>
      <x:c r="Q473" s="34" t="str"/>
      <x:c r="R473" s="34" t="str"/>
      <x:c r="S473" s="34" t="str"/>
      <x:c r="T473" s="34" t="str"/>
      <x:c r="U473" s="34" t="str"/>
      <x:c r="V473" s="34" t="str"/>
      <x:c r="W473" s="34" t="str"/>
      <x:c r="X473" s="34" t="str"/>
    </x:row>
    <x:row r="474">
      <x:c r="A474" s="34" t="str">
        <x:v>M5-EVT-0469</x:v>
      </x:c>
      <x:c r="B474" s="34" t="str"/>
      <x:c r="C474" s="34" t="str"/>
      <x:c r="D474" s="34" t="str"/>
      <x:c r="E474" s="34" t="str"/>
      <x:c r="F474" s="34" t="str"/>
      <x:c r="G474" s="34" t="str"/>
      <x:c r="H474" s="34" t="str"/>
      <x:c r="I474" s="34" t="str"/>
      <x:c r="J474" s="34" t="str"/>
      <x:c r="K474" s="34" t="str"/>
      <x:c r="L474" s="34" t="str"/>
      <x:c r="M474" s="34" t="str"/>
      <x:c r="N474" s="34" t="str"/>
      <x:c r="O474" s="34" t="str"/>
      <x:c r="P474" s="34" t="str"/>
      <x:c r="Q474" s="34" t="str"/>
      <x:c r="R474" s="34" t="str"/>
      <x:c r="S474" s="34" t="str"/>
      <x:c r="T474" s="34" t="str"/>
      <x:c r="U474" s="34" t="str"/>
      <x:c r="V474" s="34" t="str"/>
      <x:c r="W474" s="34" t="str"/>
      <x:c r="X474" s="34" t="str"/>
    </x:row>
    <x:row r="475">
      <x:c r="A475" s="34" t="str">
        <x:v>M5-EVT-0470</x:v>
      </x:c>
      <x:c r="B475" s="34" t="str"/>
      <x:c r="C475" s="34" t="str"/>
      <x:c r="D475" s="34" t="str"/>
      <x:c r="E475" s="34" t="str"/>
      <x:c r="F475" s="34" t="str"/>
      <x:c r="G475" s="34" t="str"/>
      <x:c r="H475" s="34" t="str"/>
      <x:c r="I475" s="34" t="str"/>
      <x:c r="J475" s="34" t="str"/>
      <x:c r="K475" s="34" t="str"/>
      <x:c r="L475" s="34" t="str"/>
      <x:c r="M475" s="34" t="str"/>
      <x:c r="N475" s="34" t="str"/>
      <x:c r="O475" s="34" t="str"/>
      <x:c r="P475" s="34" t="str"/>
      <x:c r="Q475" s="34" t="str"/>
      <x:c r="R475" s="34" t="str"/>
      <x:c r="S475" s="34" t="str"/>
      <x:c r="T475" s="34" t="str"/>
      <x:c r="U475" s="34" t="str"/>
      <x:c r="V475" s="34" t="str"/>
      <x:c r="W475" s="34" t="str"/>
      <x:c r="X475" s="34" t="str"/>
    </x:row>
    <x:row r="476">
      <x:c r="A476" s="34" t="str">
        <x:v>M5-EVT-0471</x:v>
      </x:c>
      <x:c r="B476" s="34" t="str"/>
      <x:c r="C476" s="34" t="str"/>
      <x:c r="D476" s="34" t="str"/>
      <x:c r="E476" s="34" t="str"/>
      <x:c r="F476" s="34" t="str"/>
      <x:c r="G476" s="34" t="str"/>
      <x:c r="H476" s="34" t="str"/>
      <x:c r="I476" s="34" t="str"/>
      <x:c r="J476" s="34" t="str"/>
      <x:c r="K476" s="34" t="str"/>
      <x:c r="L476" s="34" t="str"/>
      <x:c r="M476" s="34" t="str"/>
      <x:c r="N476" s="34" t="str"/>
      <x:c r="O476" s="34" t="str"/>
      <x:c r="P476" s="34" t="str"/>
      <x:c r="Q476" s="34" t="str"/>
      <x:c r="R476" s="34" t="str"/>
      <x:c r="S476" s="34" t="str"/>
      <x:c r="T476" s="34" t="str"/>
      <x:c r="U476" s="34" t="str"/>
      <x:c r="V476" s="34" t="str"/>
      <x:c r="W476" s="34" t="str"/>
      <x:c r="X476" s="34" t="str"/>
    </x:row>
    <x:row r="477">
      <x:c r="A477" s="34" t="str">
        <x:v>M5-EVT-0472</x:v>
      </x:c>
      <x:c r="B477" s="34" t="str"/>
      <x:c r="C477" s="34" t="str"/>
      <x:c r="D477" s="34" t="str"/>
      <x:c r="E477" s="34" t="str"/>
      <x:c r="F477" s="34" t="str"/>
      <x:c r="G477" s="34" t="str"/>
      <x:c r="H477" s="34" t="str"/>
      <x:c r="I477" s="34" t="str"/>
      <x:c r="J477" s="34" t="str"/>
      <x:c r="K477" s="34" t="str"/>
      <x:c r="L477" s="34" t="str"/>
      <x:c r="M477" s="34" t="str"/>
      <x:c r="N477" s="34" t="str"/>
      <x:c r="O477" s="34" t="str"/>
      <x:c r="P477" s="34" t="str"/>
      <x:c r="Q477" s="34" t="str"/>
      <x:c r="R477" s="34" t="str"/>
      <x:c r="S477" s="34" t="str"/>
      <x:c r="T477" s="34" t="str"/>
      <x:c r="U477" s="34" t="str"/>
      <x:c r="V477" s="34" t="str"/>
      <x:c r="W477" s="34" t="str"/>
      <x:c r="X477" s="34" t="str"/>
    </x:row>
    <x:row r="478">
      <x:c r="A478" s="34" t="str">
        <x:v>M5-EVT-0473</x:v>
      </x:c>
      <x:c r="B478" s="34" t="str"/>
      <x:c r="C478" s="34" t="str"/>
      <x:c r="D478" s="34" t="str"/>
      <x:c r="E478" s="34" t="str"/>
      <x:c r="F478" s="34" t="str"/>
      <x:c r="G478" s="34" t="str"/>
      <x:c r="H478" s="34" t="str"/>
      <x:c r="I478" s="34" t="str"/>
      <x:c r="J478" s="34" t="str"/>
      <x:c r="K478" s="34" t="str"/>
      <x:c r="L478" s="34" t="str"/>
      <x:c r="M478" s="34" t="str"/>
      <x:c r="N478" s="34" t="str"/>
      <x:c r="O478" s="34" t="str"/>
      <x:c r="P478" s="34" t="str"/>
      <x:c r="Q478" s="34" t="str"/>
      <x:c r="R478" s="34" t="str"/>
      <x:c r="S478" s="34" t="str"/>
      <x:c r="T478" s="34" t="str"/>
      <x:c r="U478" s="34" t="str"/>
      <x:c r="V478" s="34" t="str"/>
      <x:c r="W478" s="34" t="str"/>
      <x:c r="X478" s="34" t="str"/>
    </x:row>
    <x:row r="479">
      <x:c r="A479" s="34" t="str">
        <x:v>M5-EVT-0474</x:v>
      </x:c>
      <x:c r="B479" s="34" t="str"/>
      <x:c r="C479" s="34" t="str"/>
      <x:c r="D479" s="34" t="str"/>
      <x:c r="E479" s="34" t="str"/>
      <x:c r="F479" s="34" t="str"/>
      <x:c r="G479" s="34" t="str"/>
      <x:c r="H479" s="34" t="str"/>
      <x:c r="I479" s="34" t="str"/>
      <x:c r="J479" s="34" t="str"/>
      <x:c r="K479" s="34" t="str"/>
      <x:c r="L479" s="34" t="str"/>
      <x:c r="M479" s="34" t="str"/>
      <x:c r="N479" s="34" t="str"/>
      <x:c r="O479" s="34" t="str"/>
      <x:c r="P479" s="34" t="str"/>
      <x:c r="Q479" s="34" t="str"/>
      <x:c r="R479" s="34" t="str"/>
      <x:c r="S479" s="34" t="str"/>
      <x:c r="T479" s="34" t="str"/>
      <x:c r="U479" s="34" t="str"/>
      <x:c r="V479" s="34" t="str"/>
      <x:c r="W479" s="34" t="str"/>
      <x:c r="X479" s="34" t="str"/>
    </x:row>
    <x:row r="480">
      <x:c r="A480" s="34" t="str">
        <x:v>M5-EVT-0475</x:v>
      </x:c>
      <x:c r="B480" s="34" t="str"/>
      <x:c r="C480" s="34" t="str"/>
      <x:c r="D480" s="34" t="str"/>
      <x:c r="E480" s="34" t="str"/>
      <x:c r="F480" s="34" t="str"/>
      <x:c r="G480" s="34" t="str"/>
      <x:c r="H480" s="34" t="str"/>
      <x:c r="I480" s="34" t="str"/>
      <x:c r="J480" s="34" t="str"/>
      <x:c r="K480" s="34" t="str"/>
      <x:c r="L480" s="34" t="str"/>
      <x:c r="M480" s="34" t="str"/>
      <x:c r="N480" s="34" t="str"/>
      <x:c r="O480" s="34" t="str"/>
      <x:c r="P480" s="34" t="str"/>
      <x:c r="Q480" s="34" t="str"/>
      <x:c r="R480" s="34" t="str"/>
      <x:c r="S480" s="34" t="str"/>
      <x:c r="T480" s="34" t="str"/>
      <x:c r="U480" s="34" t="str"/>
      <x:c r="V480" s="34" t="str"/>
      <x:c r="W480" s="34" t="str"/>
      <x:c r="X480" s="34" t="str"/>
    </x:row>
    <x:row r="481">
      <x:c r="A481" s="34" t="str">
        <x:v>M5-EVT-0476</x:v>
      </x:c>
      <x:c r="B481" s="34" t="str"/>
      <x:c r="C481" s="34" t="str"/>
      <x:c r="D481" s="34" t="str"/>
      <x:c r="E481" s="34" t="str"/>
      <x:c r="F481" s="34" t="str"/>
      <x:c r="G481" s="34" t="str"/>
      <x:c r="H481" s="34" t="str"/>
      <x:c r="I481" s="34" t="str"/>
      <x:c r="J481" s="34" t="str"/>
      <x:c r="K481" s="34" t="str"/>
      <x:c r="L481" s="34" t="str"/>
      <x:c r="M481" s="34" t="str"/>
      <x:c r="N481" s="34" t="str"/>
      <x:c r="O481" s="34" t="str"/>
      <x:c r="P481" s="34" t="str"/>
      <x:c r="Q481" s="34" t="str"/>
      <x:c r="R481" s="34" t="str"/>
      <x:c r="S481" s="34" t="str"/>
      <x:c r="T481" s="34" t="str"/>
      <x:c r="U481" s="34" t="str"/>
      <x:c r="V481" s="34" t="str"/>
      <x:c r="W481" s="34" t="str"/>
      <x:c r="X481" s="34" t="str"/>
    </x:row>
    <x:row r="482">
      <x:c r="A482" s="34" t="str">
        <x:v>M5-EVT-0477</x:v>
      </x:c>
      <x:c r="B482" s="34" t="str"/>
      <x:c r="C482" s="34" t="str"/>
      <x:c r="D482" s="34" t="str"/>
      <x:c r="E482" s="34" t="str"/>
      <x:c r="F482" s="34" t="str"/>
      <x:c r="G482" s="34" t="str"/>
      <x:c r="H482" s="34" t="str"/>
      <x:c r="I482" s="34" t="str"/>
      <x:c r="J482" s="34" t="str"/>
      <x:c r="K482" s="34" t="str"/>
      <x:c r="L482" s="34" t="str"/>
      <x:c r="M482" s="34" t="str"/>
      <x:c r="N482" s="34" t="str"/>
      <x:c r="O482" s="34" t="str"/>
      <x:c r="P482" s="34" t="str"/>
      <x:c r="Q482" s="34" t="str"/>
      <x:c r="R482" s="34" t="str"/>
      <x:c r="S482" s="34" t="str"/>
      <x:c r="T482" s="34" t="str"/>
      <x:c r="U482" s="34" t="str"/>
      <x:c r="V482" s="34" t="str"/>
      <x:c r="W482" s="34" t="str"/>
      <x:c r="X482" s="34" t="str"/>
    </x:row>
    <x:row r="483">
      <x:c r="A483" s="34" t="str">
        <x:v>M5-EVT-0478</x:v>
      </x:c>
      <x:c r="B483" s="34" t="str"/>
      <x:c r="C483" s="34" t="str"/>
      <x:c r="D483" s="34" t="str"/>
      <x:c r="E483" s="34" t="str"/>
      <x:c r="F483" s="34" t="str"/>
      <x:c r="G483" s="34" t="str"/>
      <x:c r="H483" s="34" t="str"/>
      <x:c r="I483" s="34" t="str"/>
      <x:c r="J483" s="34" t="str"/>
      <x:c r="K483" s="34" t="str"/>
      <x:c r="L483" s="34" t="str"/>
      <x:c r="M483" s="34" t="str"/>
      <x:c r="N483" s="34" t="str"/>
      <x:c r="O483" s="34" t="str"/>
      <x:c r="P483" s="34" t="str"/>
      <x:c r="Q483" s="34" t="str"/>
      <x:c r="R483" s="34" t="str"/>
      <x:c r="S483" s="34" t="str"/>
      <x:c r="T483" s="34" t="str"/>
      <x:c r="U483" s="34" t="str"/>
      <x:c r="V483" s="34" t="str"/>
      <x:c r="W483" s="34" t="str"/>
      <x:c r="X483" s="34" t="str"/>
    </x:row>
    <x:row r="484">
      <x:c r="A484" s="34" t="str">
        <x:v>M5-EVT-0479</x:v>
      </x:c>
      <x:c r="B484" s="34" t="str"/>
      <x:c r="C484" s="34" t="str"/>
      <x:c r="D484" s="34" t="str"/>
      <x:c r="E484" s="34" t="str"/>
      <x:c r="F484" s="34" t="str"/>
      <x:c r="G484" s="34" t="str"/>
      <x:c r="H484" s="34" t="str"/>
      <x:c r="I484" s="34" t="str"/>
      <x:c r="J484" s="34" t="str"/>
      <x:c r="K484" s="34" t="str"/>
      <x:c r="L484" s="34" t="str"/>
      <x:c r="M484" s="34" t="str"/>
      <x:c r="N484" s="34" t="str"/>
      <x:c r="O484" s="34" t="str"/>
      <x:c r="P484" s="34" t="str"/>
      <x:c r="Q484" s="34" t="str"/>
      <x:c r="R484" s="34" t="str"/>
      <x:c r="S484" s="34" t="str"/>
      <x:c r="T484" s="34" t="str"/>
      <x:c r="U484" s="34" t="str"/>
      <x:c r="V484" s="34" t="str"/>
      <x:c r="W484" s="34" t="str"/>
      <x:c r="X484" s="34" t="str"/>
    </x:row>
    <x:row r="485">
      <x:c r="A485" s="34" t="str">
        <x:v>M5-EVT-0480</x:v>
      </x:c>
      <x:c r="B485" s="34" t="str"/>
      <x:c r="C485" s="34" t="str"/>
      <x:c r="D485" s="34" t="str"/>
      <x:c r="E485" s="34" t="str"/>
      <x:c r="F485" s="34" t="str"/>
      <x:c r="G485" s="34" t="str"/>
      <x:c r="H485" s="34" t="str"/>
      <x:c r="I485" s="34" t="str"/>
      <x:c r="J485" s="34" t="str"/>
      <x:c r="K485" s="34" t="str"/>
      <x:c r="L485" s="34" t="str"/>
      <x:c r="M485" s="34" t="str"/>
      <x:c r="N485" s="34" t="str"/>
      <x:c r="O485" s="34" t="str"/>
      <x:c r="P485" s="34" t="str"/>
      <x:c r="Q485" s="34" t="str"/>
      <x:c r="R485" s="34" t="str"/>
      <x:c r="S485" s="34" t="str"/>
      <x:c r="T485" s="34" t="str"/>
      <x:c r="U485" s="34" t="str"/>
      <x:c r="V485" s="34" t="str"/>
      <x:c r="W485" s="34" t="str"/>
      <x:c r="X485" s="34" t="str"/>
    </x:row>
    <x:row r="486">
      <x:c r="A486" s="34" t="str">
        <x:v>M5-EVT-0481</x:v>
      </x:c>
      <x:c r="B486" s="34" t="str"/>
      <x:c r="C486" s="34" t="str"/>
      <x:c r="D486" s="34" t="str"/>
      <x:c r="E486" s="34" t="str"/>
      <x:c r="F486" s="34" t="str"/>
      <x:c r="G486" s="34" t="str"/>
      <x:c r="H486" s="34" t="str"/>
      <x:c r="I486" s="34" t="str"/>
      <x:c r="J486" s="34" t="str"/>
      <x:c r="K486" s="34" t="str"/>
      <x:c r="L486" s="34" t="str"/>
      <x:c r="M486" s="34" t="str"/>
      <x:c r="N486" s="34" t="str"/>
      <x:c r="O486" s="34" t="str"/>
      <x:c r="P486" s="34" t="str"/>
      <x:c r="Q486" s="34" t="str"/>
      <x:c r="R486" s="34" t="str"/>
      <x:c r="S486" s="34" t="str"/>
      <x:c r="T486" s="34" t="str"/>
      <x:c r="U486" s="34" t="str"/>
      <x:c r="V486" s="34" t="str"/>
      <x:c r="W486" s="34" t="str"/>
      <x:c r="X486" s="34" t="str"/>
    </x:row>
    <x:row r="487">
      <x:c r="A487" s="34" t="str">
        <x:v>M5-EVT-0482</x:v>
      </x:c>
      <x:c r="B487" s="34" t="str"/>
      <x:c r="C487" s="34" t="str"/>
      <x:c r="D487" s="34" t="str"/>
      <x:c r="E487" s="34" t="str"/>
      <x:c r="F487" s="34" t="str"/>
      <x:c r="G487" s="34" t="str"/>
      <x:c r="H487" s="34" t="str"/>
      <x:c r="I487" s="34" t="str"/>
      <x:c r="J487" s="34" t="str"/>
      <x:c r="K487" s="34" t="str"/>
      <x:c r="L487" s="34" t="str"/>
      <x:c r="M487" s="34" t="str"/>
      <x:c r="N487" s="34" t="str"/>
      <x:c r="O487" s="34" t="str"/>
      <x:c r="P487" s="34" t="str"/>
      <x:c r="Q487" s="34" t="str"/>
      <x:c r="R487" s="34" t="str"/>
      <x:c r="S487" s="34" t="str"/>
      <x:c r="T487" s="34" t="str"/>
      <x:c r="U487" s="34" t="str"/>
      <x:c r="V487" s="34" t="str"/>
      <x:c r="W487" s="34" t="str"/>
      <x:c r="X487" s="34" t="str"/>
    </x:row>
    <x:row r="488">
      <x:c r="A488" s="34" t="str">
        <x:v>M5-EVT-0483</x:v>
      </x:c>
      <x:c r="B488" s="34" t="str"/>
      <x:c r="C488" s="34" t="str"/>
      <x:c r="D488" s="34" t="str"/>
      <x:c r="E488" s="34" t="str"/>
      <x:c r="F488" s="34" t="str"/>
      <x:c r="G488" s="34" t="str"/>
      <x:c r="H488" s="34" t="str"/>
      <x:c r="I488" s="34" t="str"/>
      <x:c r="J488" s="34" t="str"/>
      <x:c r="K488" s="34" t="str"/>
      <x:c r="L488" s="34" t="str"/>
      <x:c r="M488" s="34" t="str"/>
      <x:c r="N488" s="34" t="str"/>
      <x:c r="O488" s="34" t="str"/>
      <x:c r="P488" s="34" t="str"/>
      <x:c r="Q488" s="34" t="str"/>
      <x:c r="R488" s="34" t="str"/>
      <x:c r="S488" s="34" t="str"/>
      <x:c r="T488" s="34" t="str"/>
      <x:c r="U488" s="34" t="str"/>
      <x:c r="V488" s="34" t="str"/>
      <x:c r="W488" s="34" t="str"/>
      <x:c r="X488" s="34" t="str"/>
    </x:row>
    <x:row r="489">
      <x:c r="A489" s="34" t="str">
        <x:v>M5-EVT-0484</x:v>
      </x:c>
      <x:c r="B489" s="34" t="str"/>
      <x:c r="C489" s="34" t="str"/>
      <x:c r="D489" s="34" t="str"/>
      <x:c r="E489" s="34" t="str"/>
      <x:c r="F489" s="34" t="str"/>
      <x:c r="G489" s="34" t="str"/>
      <x:c r="H489" s="34" t="str"/>
      <x:c r="I489" s="34" t="str"/>
      <x:c r="J489" s="34" t="str"/>
      <x:c r="K489" s="34" t="str"/>
      <x:c r="L489" s="34" t="str"/>
      <x:c r="M489" s="34" t="str"/>
      <x:c r="N489" s="34" t="str"/>
      <x:c r="O489" s="34" t="str"/>
      <x:c r="P489" s="34" t="str"/>
      <x:c r="Q489" s="34" t="str"/>
      <x:c r="R489" s="34" t="str"/>
      <x:c r="S489" s="34" t="str"/>
      <x:c r="T489" s="34" t="str"/>
      <x:c r="U489" s="34" t="str"/>
      <x:c r="V489" s="34" t="str"/>
      <x:c r="W489" s="34" t="str"/>
      <x:c r="X489" s="34" t="str"/>
    </x:row>
    <x:row r="490">
      <x:c r="A490" s="34" t="str">
        <x:v>M5-EVT-0485</x:v>
      </x:c>
      <x:c r="B490" s="34" t="str"/>
      <x:c r="C490" s="34" t="str"/>
      <x:c r="D490" s="34" t="str"/>
      <x:c r="E490" s="34" t="str"/>
      <x:c r="F490" s="34" t="str"/>
      <x:c r="G490" s="34" t="str"/>
      <x:c r="H490" s="34" t="str"/>
      <x:c r="I490" s="34" t="str"/>
      <x:c r="J490" s="34" t="str"/>
      <x:c r="K490" s="34" t="str"/>
      <x:c r="L490" s="34" t="str"/>
      <x:c r="M490" s="34" t="str"/>
      <x:c r="N490" s="34" t="str"/>
      <x:c r="O490" s="34" t="str"/>
      <x:c r="P490" s="34" t="str"/>
      <x:c r="Q490" s="34" t="str"/>
      <x:c r="R490" s="34" t="str"/>
      <x:c r="S490" s="34" t="str"/>
      <x:c r="T490" s="34" t="str"/>
      <x:c r="U490" s="34" t="str"/>
      <x:c r="V490" s="34" t="str"/>
      <x:c r="W490" s="34" t="str"/>
      <x:c r="X490" s="34" t="str"/>
    </x:row>
    <x:row r="491">
      <x:c r="A491" s="34" t="str">
        <x:v>M5-EVT-0486</x:v>
      </x:c>
      <x:c r="B491" s="34" t="str"/>
      <x:c r="C491" s="34" t="str"/>
      <x:c r="D491" s="34" t="str"/>
      <x:c r="E491" s="34" t="str"/>
      <x:c r="F491" s="34" t="str"/>
      <x:c r="G491" s="34" t="str"/>
      <x:c r="H491" s="34" t="str"/>
      <x:c r="I491" s="34" t="str"/>
      <x:c r="J491" s="34" t="str"/>
      <x:c r="K491" s="34" t="str"/>
      <x:c r="L491" s="34" t="str"/>
      <x:c r="M491" s="34" t="str"/>
      <x:c r="N491" s="34" t="str"/>
      <x:c r="O491" s="34" t="str"/>
      <x:c r="P491" s="34" t="str"/>
      <x:c r="Q491" s="34" t="str"/>
      <x:c r="R491" s="34" t="str"/>
      <x:c r="S491" s="34" t="str"/>
      <x:c r="T491" s="34" t="str"/>
      <x:c r="U491" s="34" t="str"/>
      <x:c r="V491" s="34" t="str"/>
      <x:c r="W491" s="34" t="str"/>
      <x:c r="X491" s="34" t="str"/>
    </x:row>
    <x:row r="492">
      <x:c r="A492" s="34" t="str">
        <x:v>M5-EVT-0487</x:v>
      </x:c>
      <x:c r="B492" s="34" t="str"/>
      <x:c r="C492" s="34" t="str"/>
      <x:c r="D492" s="34" t="str"/>
      <x:c r="E492" s="34" t="str"/>
      <x:c r="F492" s="34" t="str"/>
      <x:c r="G492" s="34" t="str"/>
      <x:c r="H492" s="34" t="str"/>
      <x:c r="I492" s="34" t="str"/>
      <x:c r="J492" s="34" t="str"/>
      <x:c r="K492" s="34" t="str"/>
      <x:c r="L492" s="34" t="str"/>
      <x:c r="M492" s="34" t="str"/>
      <x:c r="N492" s="34" t="str"/>
      <x:c r="O492" s="34" t="str"/>
      <x:c r="P492" s="34" t="str"/>
      <x:c r="Q492" s="34" t="str"/>
      <x:c r="R492" s="34" t="str"/>
      <x:c r="S492" s="34" t="str"/>
      <x:c r="T492" s="34" t="str"/>
      <x:c r="U492" s="34" t="str"/>
      <x:c r="V492" s="34" t="str"/>
      <x:c r="W492" s="34" t="str"/>
      <x:c r="X492" s="34" t="str"/>
    </x:row>
    <x:row r="493">
      <x:c r="A493" s="34" t="str">
        <x:v>M5-EVT-0488</x:v>
      </x:c>
      <x:c r="B493" s="34" t="str"/>
      <x:c r="C493" s="34" t="str"/>
      <x:c r="D493" s="34" t="str"/>
      <x:c r="E493" s="34" t="str"/>
      <x:c r="F493" s="34" t="str"/>
      <x:c r="G493" s="34" t="str"/>
      <x:c r="H493" s="34" t="str"/>
      <x:c r="I493" s="34" t="str"/>
      <x:c r="J493" s="34" t="str"/>
      <x:c r="K493" s="34" t="str"/>
      <x:c r="L493" s="34" t="str"/>
      <x:c r="M493" s="34" t="str"/>
      <x:c r="N493" s="34" t="str"/>
      <x:c r="O493" s="34" t="str"/>
      <x:c r="P493" s="34" t="str"/>
      <x:c r="Q493" s="34" t="str"/>
      <x:c r="R493" s="34" t="str"/>
      <x:c r="S493" s="34" t="str"/>
      <x:c r="T493" s="34" t="str"/>
      <x:c r="U493" s="34" t="str"/>
      <x:c r="V493" s="34" t="str"/>
      <x:c r="W493" s="34" t="str"/>
      <x:c r="X493" s="34" t="str"/>
    </x:row>
    <x:row r="494">
      <x:c r="A494" s="34" t="str">
        <x:v>M5-EVT-0489</x:v>
      </x:c>
      <x:c r="B494" s="34" t="str"/>
      <x:c r="C494" s="34" t="str"/>
      <x:c r="D494" s="34" t="str"/>
      <x:c r="E494" s="34" t="str"/>
      <x:c r="F494" s="34" t="str"/>
      <x:c r="G494" s="34" t="str"/>
      <x:c r="H494" s="34" t="str"/>
      <x:c r="I494" s="34" t="str"/>
      <x:c r="J494" s="34" t="str"/>
      <x:c r="K494" s="34" t="str"/>
      <x:c r="L494" s="34" t="str"/>
      <x:c r="M494" s="34" t="str"/>
      <x:c r="N494" s="34" t="str"/>
      <x:c r="O494" s="34" t="str"/>
      <x:c r="P494" s="34" t="str"/>
      <x:c r="Q494" s="34" t="str"/>
      <x:c r="R494" s="34" t="str"/>
      <x:c r="S494" s="34" t="str"/>
      <x:c r="T494" s="34" t="str"/>
      <x:c r="U494" s="34" t="str"/>
      <x:c r="V494" s="34" t="str"/>
      <x:c r="W494" s="34" t="str"/>
      <x:c r="X494" s="34" t="str"/>
    </x:row>
    <x:row r="495">
      <x:c r="A495" s="34" t="str">
        <x:v>M5-EVT-0490</x:v>
      </x:c>
      <x:c r="B495" s="34" t="str"/>
      <x:c r="C495" s="34" t="str"/>
      <x:c r="D495" s="34" t="str"/>
      <x:c r="E495" s="34" t="str"/>
      <x:c r="F495" s="34" t="str"/>
      <x:c r="G495" s="34" t="str"/>
      <x:c r="H495" s="34" t="str"/>
      <x:c r="I495" s="34" t="str"/>
      <x:c r="J495" s="34" t="str"/>
      <x:c r="K495" s="34" t="str"/>
      <x:c r="L495" s="34" t="str"/>
      <x:c r="M495" s="34" t="str"/>
      <x:c r="N495" s="34" t="str"/>
      <x:c r="O495" s="34" t="str"/>
      <x:c r="P495" s="34" t="str"/>
      <x:c r="Q495" s="34" t="str"/>
      <x:c r="R495" s="34" t="str"/>
      <x:c r="S495" s="34" t="str"/>
      <x:c r="T495" s="34" t="str"/>
      <x:c r="U495" s="34" t="str"/>
      <x:c r="V495" s="34" t="str"/>
      <x:c r="W495" s="34" t="str"/>
      <x:c r="X495" s="34" t="str"/>
    </x:row>
    <x:row r="496">
      <x:c r="A496" s="34" t="str">
        <x:v>M5-EVT-0491</x:v>
      </x:c>
      <x:c r="B496" s="34" t="str"/>
      <x:c r="C496" s="34" t="str"/>
      <x:c r="D496" s="34" t="str"/>
      <x:c r="E496" s="34" t="str"/>
      <x:c r="F496" s="34" t="str"/>
      <x:c r="G496" s="34" t="str"/>
      <x:c r="H496" s="34" t="str"/>
      <x:c r="I496" s="34" t="str"/>
      <x:c r="J496" s="34" t="str"/>
      <x:c r="K496" s="34" t="str"/>
      <x:c r="L496" s="34" t="str"/>
      <x:c r="M496" s="34" t="str"/>
      <x:c r="N496" s="34" t="str"/>
      <x:c r="O496" s="34" t="str"/>
      <x:c r="P496" s="34" t="str"/>
      <x:c r="Q496" s="34" t="str"/>
      <x:c r="R496" s="34" t="str"/>
      <x:c r="S496" s="34" t="str"/>
      <x:c r="T496" s="34" t="str"/>
      <x:c r="U496" s="34" t="str"/>
      <x:c r="V496" s="34" t="str"/>
      <x:c r="W496" s="34" t="str"/>
      <x:c r="X496" s="34" t="str"/>
    </x:row>
    <x:row r="497">
      <x:c r="A497" s="34" t="str">
        <x:v>M5-EVT-0492</x:v>
      </x:c>
      <x:c r="B497" s="34" t="str"/>
      <x:c r="C497" s="34" t="str"/>
      <x:c r="D497" s="34" t="str"/>
      <x:c r="E497" s="34" t="str"/>
      <x:c r="F497" s="34" t="str"/>
      <x:c r="G497" s="34" t="str"/>
      <x:c r="H497" s="34" t="str"/>
      <x:c r="I497" s="34" t="str"/>
      <x:c r="J497" s="34" t="str"/>
      <x:c r="K497" s="34" t="str"/>
      <x:c r="L497" s="34" t="str"/>
      <x:c r="M497" s="34" t="str"/>
      <x:c r="N497" s="34" t="str"/>
      <x:c r="O497" s="34" t="str"/>
      <x:c r="P497" s="34" t="str"/>
      <x:c r="Q497" s="34" t="str"/>
      <x:c r="R497" s="34" t="str"/>
      <x:c r="S497" s="34" t="str"/>
      <x:c r="T497" s="34" t="str"/>
      <x:c r="U497" s="34" t="str"/>
      <x:c r="V497" s="34" t="str"/>
      <x:c r="W497" s="34" t="str"/>
      <x:c r="X497" s="34" t="str"/>
    </x:row>
    <x:row r="498">
      <x:c r="A498" s="34" t="str">
        <x:v>M5-EVT-0493</x:v>
      </x:c>
      <x:c r="B498" s="34" t="str"/>
      <x:c r="C498" s="34" t="str"/>
      <x:c r="D498" s="34" t="str"/>
      <x:c r="E498" s="34" t="str"/>
      <x:c r="F498" s="34" t="str"/>
      <x:c r="G498" s="34" t="str"/>
      <x:c r="H498" s="34" t="str"/>
      <x:c r="I498" s="34" t="str"/>
      <x:c r="J498" s="34" t="str"/>
      <x:c r="K498" s="34" t="str"/>
      <x:c r="L498" s="34" t="str"/>
      <x:c r="M498" s="34" t="str"/>
      <x:c r="N498" s="34" t="str"/>
      <x:c r="O498" s="34" t="str"/>
      <x:c r="P498" s="34" t="str"/>
      <x:c r="Q498" s="34" t="str"/>
      <x:c r="R498" s="34" t="str"/>
      <x:c r="S498" s="34" t="str"/>
      <x:c r="T498" s="34" t="str"/>
      <x:c r="U498" s="34" t="str"/>
      <x:c r="V498" s="34" t="str"/>
      <x:c r="W498" s="34" t="str"/>
      <x:c r="X498" s="34" t="str"/>
    </x:row>
    <x:row r="499">
      <x:c r="A499" s="34" t="str">
        <x:v>M5-EVT-0494</x:v>
      </x:c>
      <x:c r="B499" s="34" t="str"/>
      <x:c r="C499" s="34" t="str"/>
      <x:c r="D499" s="34" t="str"/>
      <x:c r="E499" s="34" t="str"/>
      <x:c r="F499" s="34" t="str"/>
      <x:c r="G499" s="34" t="str"/>
      <x:c r="H499" s="34" t="str"/>
      <x:c r="I499" s="34" t="str"/>
      <x:c r="J499" s="34" t="str"/>
      <x:c r="K499" s="34" t="str"/>
      <x:c r="L499" s="34" t="str"/>
      <x:c r="M499" s="34" t="str"/>
      <x:c r="N499" s="34" t="str"/>
      <x:c r="O499" s="34" t="str"/>
      <x:c r="P499" s="34" t="str"/>
      <x:c r="Q499" s="34" t="str"/>
      <x:c r="R499" s="34" t="str"/>
      <x:c r="S499" s="34" t="str"/>
      <x:c r="T499" s="34" t="str"/>
      <x:c r="U499" s="34" t="str"/>
      <x:c r="V499" s="34" t="str"/>
      <x:c r="W499" s="34" t="str"/>
      <x:c r="X499" s="34" t="str"/>
    </x:row>
    <x:row r="500">
      <x:c r="A500" s="34" t="str">
        <x:v>M5-EVT-0495</x:v>
      </x:c>
      <x:c r="B500" s="34" t="str"/>
      <x:c r="C500" s="34" t="str"/>
      <x:c r="D500" s="34" t="str"/>
      <x:c r="E500" s="34" t="str"/>
      <x:c r="F500" s="34" t="str"/>
      <x:c r="G500" s="34" t="str"/>
      <x:c r="H500" s="34" t="str"/>
      <x:c r="I500" s="34" t="str"/>
      <x:c r="J500" s="34" t="str"/>
      <x:c r="K500" s="34" t="str"/>
      <x:c r="L500" s="34" t="str"/>
      <x:c r="M500" s="34" t="str"/>
      <x:c r="N500" s="34" t="str"/>
      <x:c r="O500" s="34" t="str"/>
      <x:c r="P500" s="34" t="str"/>
      <x:c r="Q500" s="34" t="str"/>
      <x:c r="R500" s="34" t="str"/>
      <x:c r="S500" s="34" t="str"/>
      <x:c r="T500" s="34" t="str"/>
      <x:c r="U500" s="34" t="str"/>
      <x:c r="V500" s="34" t="str"/>
      <x:c r="W500" s="34" t="str"/>
      <x:c r="X500" s="34" t="str"/>
    </x:row>
    <x:row r="501">
      <x:c r="A501" s="34" t="str">
        <x:v>M5-EVT-0496</x:v>
      </x:c>
      <x:c r="B501" s="34" t="str"/>
      <x:c r="C501" s="34" t="str"/>
      <x:c r="D501" s="34" t="str"/>
      <x:c r="E501" s="34" t="str"/>
      <x:c r="F501" s="34" t="str"/>
      <x:c r="G501" s="34" t="str"/>
      <x:c r="H501" s="34" t="str"/>
      <x:c r="I501" s="34" t="str"/>
      <x:c r="J501" s="34" t="str"/>
      <x:c r="K501" s="34" t="str"/>
      <x:c r="L501" s="34" t="str"/>
      <x:c r="M501" s="34" t="str"/>
      <x:c r="N501" s="34" t="str"/>
      <x:c r="O501" s="34" t="str"/>
      <x:c r="P501" s="34" t="str"/>
      <x:c r="Q501" s="34" t="str"/>
      <x:c r="R501" s="34" t="str"/>
      <x:c r="S501" s="34" t="str"/>
      <x:c r="T501" s="34" t="str"/>
      <x:c r="U501" s="34" t="str"/>
      <x:c r="V501" s="34" t="str"/>
      <x:c r="W501" s="34" t="str"/>
      <x:c r="X501" s="34" t="str"/>
    </x:row>
    <x:row r="502">
      <x:c r="A502" s="34" t="str">
        <x:v>M5-EVT-0497</x:v>
      </x:c>
      <x:c r="B502" s="34" t="str"/>
      <x:c r="C502" s="34" t="str"/>
      <x:c r="D502" s="34" t="str"/>
      <x:c r="E502" s="34" t="str"/>
      <x:c r="F502" s="34" t="str"/>
      <x:c r="G502" s="34" t="str"/>
      <x:c r="H502" s="34" t="str"/>
      <x:c r="I502" s="34" t="str"/>
      <x:c r="J502" s="34" t="str"/>
      <x:c r="K502" s="34" t="str"/>
      <x:c r="L502" s="34" t="str"/>
      <x:c r="M502" s="34" t="str"/>
      <x:c r="N502" s="34" t="str"/>
      <x:c r="O502" s="34" t="str"/>
      <x:c r="P502" s="34" t="str"/>
      <x:c r="Q502" s="34" t="str"/>
      <x:c r="R502" s="34" t="str"/>
      <x:c r="S502" s="34" t="str"/>
      <x:c r="T502" s="34" t="str"/>
      <x:c r="U502" s="34" t="str"/>
      <x:c r="V502" s="34" t="str"/>
      <x:c r="W502" s="34" t="str"/>
      <x:c r="X502" s="34" t="str"/>
    </x:row>
    <x:row r="503">
      <x:c r="A503" s="34" t="str">
        <x:v>M5-EVT-0498</x:v>
      </x:c>
      <x:c r="B503" s="34" t="str"/>
      <x:c r="C503" s="34" t="str"/>
      <x:c r="D503" s="34" t="str"/>
      <x:c r="E503" s="34" t="str"/>
      <x:c r="F503" s="34" t="str"/>
      <x:c r="G503" s="34" t="str"/>
      <x:c r="H503" s="34" t="str"/>
      <x:c r="I503" s="34" t="str"/>
      <x:c r="J503" s="34" t="str"/>
      <x:c r="K503" s="34" t="str"/>
      <x:c r="L503" s="34" t="str"/>
      <x:c r="M503" s="34" t="str"/>
      <x:c r="N503" s="34" t="str"/>
      <x:c r="O503" s="34" t="str"/>
      <x:c r="P503" s="34" t="str"/>
      <x:c r="Q503" s="34" t="str"/>
      <x:c r="R503" s="34" t="str"/>
      <x:c r="S503" s="34" t="str"/>
      <x:c r="T503" s="34" t="str"/>
      <x:c r="U503" s="34" t="str"/>
      <x:c r="V503" s="34" t="str"/>
      <x:c r="W503" s="34" t="str"/>
      <x:c r="X503" s="34" t="str"/>
    </x:row>
    <x:row r="504">
      <x:c r="A504" s="34" t="str">
        <x:v>M5-EVT-0499</x:v>
      </x:c>
      <x:c r="B504" s="34" t="str"/>
      <x:c r="C504" s="34" t="str"/>
      <x:c r="D504" s="34" t="str"/>
      <x:c r="E504" s="34" t="str"/>
      <x:c r="F504" s="34" t="str"/>
      <x:c r="G504" s="34" t="str"/>
      <x:c r="H504" s="34" t="str"/>
      <x:c r="I504" s="34" t="str"/>
      <x:c r="J504" s="34" t="str"/>
      <x:c r="K504" s="34" t="str"/>
      <x:c r="L504" s="34" t="str"/>
      <x:c r="M504" s="34" t="str"/>
      <x:c r="N504" s="34" t="str"/>
      <x:c r="O504" s="34" t="str"/>
      <x:c r="P504" s="34" t="str"/>
      <x:c r="Q504" s="34" t="str"/>
      <x:c r="R504" s="34" t="str"/>
      <x:c r="S504" s="34" t="str"/>
      <x:c r="T504" s="34" t="str"/>
      <x:c r="U504" s="34" t="str"/>
      <x:c r="V504" s="34" t="str"/>
      <x:c r="W504" s="34" t="str"/>
      <x:c r="X504" s="34" t="str"/>
    </x:row>
    <x:row r="505">
      <x:c r="A505" s="34" t="str">
        <x:v>M5-EVT-0500</x:v>
      </x:c>
      <x:c r="B505" s="34" t="str"/>
      <x:c r="C505" s="34" t="str"/>
      <x:c r="D505" s="34" t="str"/>
      <x:c r="E505" s="34" t="str"/>
      <x:c r="F505" s="34" t="str"/>
      <x:c r="G505" s="34" t="str"/>
      <x:c r="H505" s="34" t="str"/>
      <x:c r="I505" s="34" t="str"/>
      <x:c r="J505" s="34" t="str"/>
      <x:c r="K505" s="34" t="str"/>
      <x:c r="L505" s="34" t="str"/>
      <x:c r="M505" s="34" t="str"/>
      <x:c r="N505" s="34" t="str"/>
      <x:c r="O505" s="34" t="str"/>
      <x:c r="P505" s="34" t="str"/>
      <x:c r="Q505" s="34" t="str"/>
      <x:c r="R505" s="34" t="str"/>
      <x:c r="S505" s="34" t="str"/>
      <x:c r="T505" s="34" t="str"/>
      <x:c r="U505" s="34" t="str"/>
      <x:c r="V505" s="34" t="str"/>
      <x:c r="W505" s="34" t="str"/>
      <x:c r="X505" s="34" t="str"/>
    </x:row>
  </x:sheetData>
  <x:mergeCells>
    <x:mergeCell ref="A1:X2"/>
    <x:mergeCell ref="A3:X3"/>
  </x:mergeCells>
  <x:dataValidations count="6">
    <x:dataValidation type="list" sqref="E6:E505">
      <x:formula1>"PH01_平稳日常,PH02_升温靠近,PH03_加速承诺,PH04_高负荷压缩,PH05_降频距离,PH06_恢复重连,PH07_转折重组,PH08_未定停止"</x:formula1>
    </x:dataValidation>
    <x:dataValidation type="list" sqref="G6:G505">
      <x:formula1>"日常互动,承诺推进,交换与分工,边界与决定,冲突与修复,联系与节奏,家庭与照护,金钱与资源,身体与亲密,重大转折,安全事件,其他"</x:formula1>
    </x:dataValidation>
    <x:dataValidation type="list" sqref="H6:H505">
      <x:formula1>"结构化访谈,自由叙述,聊天记录,日记／时间线,计划／账单／材料,对方自述,双方共同复盘,第三方材料,其他"</x:formula1>
    </x:dataValidation>
    <x:dataValidation type="list" sqref="I6:I505">
      <x:formula1>"S0,S1,S2,S3,S4"</x:formula1>
    </x:dataValidation>
    <x:dataValidation type="list" sqref="J6:J505">
      <x:formula1>"是,否,待判断"</x:formula1>
    </x:dataValidation>
    <x:dataValidation type="list" sqref="T6:T505">
      <x:formula1>"无,需筛查,安全停止"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844ce55e1548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2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56" hidden="0" customWidth="1"/>
    <x:col min="10" max="10" width="34" hidden="0" customWidth="1"/>
    <x:col min="11" max="11" width="42" hidden="0" customWidth="1"/>
    <x:col min="12" max="12" width="42" hidden="0" customWidth="1"/>
    <x:col min="13" max="13" width="16" hidden="0" customWidth="1"/>
    <x:col min="14" max="14" width="16" hidden="0" customWidth="1"/>
    <x:col min="15" max="15" width="42" hidden="0" customWidth="1"/>
  </x:cols>
  <x:sheetData>
    <x:row r="1">
      <x:c r="A1" s="6" t="str">
        <x:v>RG01—RG08逐项现实核验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6" t="str">
        <x:v>fail、unknown和not_assessed必须分开。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</x:row>
    <x:row r="5">
      <x:c r="A5" s="26" t="str">
        <x:v>rg_eval_id</x:v>
      </x:c>
      <x:c r="B5" s="26" t="str">
        <x:v>case_id</x:v>
      </x:c>
      <x:c r="C5" s="26" t="str">
        <x:v>snapshot_id</x:v>
      </x:c>
      <x:c r="D5" s="26" t="str">
        <x:v>RG代码</x:v>
      </x:c>
      <x:c r="E5" s="26" t="str">
        <x:v>RG名称</x:v>
      </x:c>
      <x:c r="F5" s="26" t="str">
        <x:v>预测状态</x:v>
      </x:c>
      <x:c r="G5" s="26" t="str">
        <x:v>现实状态</x:v>
      </x:c>
      <x:c r="H5" s="26" t="str">
        <x:v>匹配等级</x:v>
      </x:c>
      <x:c r="I5" s="26" t="str">
        <x:v>证据摘要</x:v>
      </x:c>
      <x:c r="J5" s="26" t="str">
        <x:v>event_ids</x:v>
      </x:c>
      <x:c r="K5" s="26" t="str">
        <x:v>有效条件</x:v>
      </x:c>
      <x:c r="L5" s="26" t="str">
        <x:v>失效点</x:v>
      </x:c>
      <x:c r="M5" s="26" t="str">
        <x:v>门槛级别</x:v>
      </x:c>
      <x:c r="N5" s="26" t="str">
        <x:v>复核者</x:v>
      </x:c>
      <x:c r="O5" s="26" t="str">
        <x:v>备注</x:v>
      </x:c>
    </x:row>
    <x:row r="6">
      <x:c r="A6" s="34" t="str">
        <x:v>M5-RG-0001</x:v>
      </x:c>
      <x:c r="B6" s="34" t="str"/>
      <x:c r="C6" s="34" t="str"/>
      <x:c r="D6" s="34" t="str"/>
      <x:c r="E6" s="34" t="str">
        <x:f>IF(D6="","",IF(D6="RG01","安全、同意与尊重",IF(D6="RG02","关系意图与承诺",IF(D6="RG03","价值观与人生目标",IF(D6="RG04","时间、地域与生活节奏",IF(D6="RG05","金钱、资源与劳动分配",IF(D6="RG06","家庭、婚育与照护责任",IF(D6="RG07","身体、亲密、隐私与健康",IF(D6="RG08","冲突、修复与学习意愿","")))))))))</x:f>
      </x:c>
      <x:c r="F6" s="34" t="str"/>
      <x:c r="G6" s="34" t="str"/>
      <x:c r="H6" s="34" t="str"/>
      <x:c r="I6" s="34" t="str"/>
      <x:c r="J6" s="34" t="str"/>
      <x:c r="K6" s="34" t="str"/>
      <x:c r="L6" s="34" t="str"/>
      <x:c r="M6" s="34" t="str">
        <x:f>IF(D6="","",IF(OR(D6="RG01",D6="RG02",D6="RG03",D6="RG06",D6="RG07",D6="RG08"),"核心","结构"))</x:f>
      </x:c>
      <x:c r="N6" s="34" t="str"/>
      <x:c r="O6" s="34" t="str"/>
    </x:row>
    <x:row r="7">
      <x:c r="A7" s="34" t="str">
        <x:v>M5-RG-0002</x:v>
      </x:c>
      <x:c r="B7" s="34" t="str"/>
      <x:c r="C7" s="34" t="str"/>
      <x:c r="D7" s="34" t="str"/>
      <x:c r="E7" s="34" t="str">
        <x:f>IF(D7="","",IF(D7="RG01","安全、同意与尊重",IF(D7="RG02","关系意图与承诺",IF(D7="RG03","价值观与人生目标",IF(D7="RG04","时间、地域与生活节奏",IF(D7="RG05","金钱、资源与劳动分配",IF(D7="RG06","家庭、婚育与照护责任",IF(D7="RG07","身体、亲密、隐私与健康",IF(D7="RG08","冲突、修复与学习意愿","")))))))))</x:f>
      </x:c>
      <x:c r="F7" s="34" t="str"/>
      <x:c r="G7" s="34" t="str"/>
      <x:c r="H7" s="34" t="str"/>
      <x:c r="I7" s="34" t="str"/>
      <x:c r="J7" s="34" t="str"/>
      <x:c r="K7" s="34" t="str"/>
      <x:c r="L7" s="34" t="str"/>
      <x:c r="M7" s="34" t="str">
        <x:f>IF(D7="","",IF(OR(D7="RG01",D7="RG02",D7="RG03",D7="RG06",D7="RG07",D7="RG08"),"核心","结构"))</x:f>
      </x:c>
      <x:c r="N7" s="34" t="str"/>
      <x:c r="O7" s="34" t="str"/>
    </x:row>
    <x:row r="8">
      <x:c r="A8" s="34" t="str">
        <x:v>M5-RG-0003</x:v>
      </x:c>
      <x:c r="B8" s="34" t="str"/>
      <x:c r="C8" s="34" t="str"/>
      <x:c r="D8" s="34" t="str"/>
      <x:c r="E8" s="34" t="str">
        <x:f>IF(D8="","",IF(D8="RG01","安全、同意与尊重",IF(D8="RG02","关系意图与承诺",IF(D8="RG03","价值观与人生目标",IF(D8="RG04","时间、地域与生活节奏",IF(D8="RG05","金钱、资源与劳动分配",IF(D8="RG06","家庭、婚育与照护责任",IF(D8="RG07","身体、亲密、隐私与健康",IF(D8="RG08","冲突、修复与学习意愿","")))))))))</x:f>
      </x:c>
      <x:c r="F8" s="34" t="str"/>
      <x:c r="G8" s="34" t="str"/>
      <x:c r="H8" s="34" t="str"/>
      <x:c r="I8" s="34" t="str"/>
      <x:c r="J8" s="34" t="str"/>
      <x:c r="K8" s="34" t="str"/>
      <x:c r="L8" s="34" t="str"/>
      <x:c r="M8" s="34" t="str">
        <x:f>IF(D8="","",IF(OR(D8="RG01",D8="RG02",D8="RG03",D8="RG06",D8="RG07",D8="RG08"),"核心","结构"))</x:f>
      </x:c>
      <x:c r="N8" s="34" t="str"/>
      <x:c r="O8" s="34" t="str"/>
    </x:row>
    <x:row r="9">
      <x:c r="A9" s="34" t="str">
        <x:v>M5-RG-0004</x:v>
      </x:c>
      <x:c r="B9" s="34" t="str"/>
      <x:c r="C9" s="34" t="str"/>
      <x:c r="D9" s="34" t="str"/>
      <x:c r="E9" s="34" t="str">
        <x:f>IF(D9="","",IF(D9="RG01","安全、同意与尊重",IF(D9="RG02","关系意图与承诺",IF(D9="RG03","价值观与人生目标",IF(D9="RG04","时间、地域与生活节奏",IF(D9="RG05","金钱、资源与劳动分配",IF(D9="RG06","家庭、婚育与照护责任",IF(D9="RG07","身体、亲密、隐私与健康",IF(D9="RG08","冲突、修复与学习意愿","")))))))))</x:f>
      </x:c>
      <x:c r="F9" s="34" t="str"/>
      <x:c r="G9" s="34" t="str"/>
      <x:c r="H9" s="34" t="str"/>
      <x:c r="I9" s="34" t="str"/>
      <x:c r="J9" s="34" t="str"/>
      <x:c r="K9" s="34" t="str"/>
      <x:c r="L9" s="34" t="str"/>
      <x:c r="M9" s="34" t="str">
        <x:f>IF(D9="","",IF(OR(D9="RG01",D9="RG02",D9="RG03",D9="RG06",D9="RG07",D9="RG08"),"核心","结构"))</x:f>
      </x:c>
      <x:c r="N9" s="34" t="str"/>
      <x:c r="O9" s="34" t="str"/>
    </x:row>
    <x:row r="10">
      <x:c r="A10" s="34" t="str">
        <x:v>M5-RG-0005</x:v>
      </x:c>
      <x:c r="B10" s="34" t="str"/>
      <x:c r="C10" s="34" t="str"/>
      <x:c r="D10" s="34" t="str"/>
      <x:c r="E10" s="34" t="str">
        <x:f>IF(D10="","",IF(D10="RG01","安全、同意与尊重",IF(D10="RG02","关系意图与承诺",IF(D10="RG03","价值观与人生目标",IF(D10="RG04","时间、地域与生活节奏",IF(D10="RG05","金钱、资源与劳动分配",IF(D10="RG06","家庭、婚育与照护责任",IF(D10="RG07","身体、亲密、隐私与健康",IF(D10="RG08","冲突、修复与学习意愿","")))))))))</x:f>
      </x:c>
      <x:c r="F10" s="34" t="str"/>
      <x:c r="G10" s="34" t="str"/>
      <x:c r="H10" s="34" t="str"/>
      <x:c r="I10" s="34" t="str"/>
      <x:c r="J10" s="34" t="str"/>
      <x:c r="K10" s="34" t="str"/>
      <x:c r="L10" s="34" t="str"/>
      <x:c r="M10" s="34" t="str">
        <x:f>IF(D10="","",IF(OR(D10="RG01",D10="RG02",D10="RG03",D10="RG06",D10="RG07",D10="RG08"),"核心","结构"))</x:f>
      </x:c>
      <x:c r="N10" s="34" t="str"/>
      <x:c r="O10" s="34" t="str"/>
    </x:row>
    <x:row r="11">
      <x:c r="A11" s="34" t="str">
        <x:v>M5-RG-0006</x:v>
      </x:c>
      <x:c r="B11" s="34" t="str"/>
      <x:c r="C11" s="34" t="str"/>
      <x:c r="D11" s="34" t="str"/>
      <x:c r="E11" s="34" t="str">
        <x:f>IF(D11="","",IF(D11="RG01","安全、同意与尊重",IF(D11="RG02","关系意图与承诺",IF(D11="RG03","价值观与人生目标",IF(D11="RG04","时间、地域与生活节奏",IF(D11="RG05","金钱、资源与劳动分配",IF(D11="RG06","家庭、婚育与照护责任",IF(D11="RG07","身体、亲密、隐私与健康",IF(D11="RG08","冲突、修复与学习意愿","")))))))))</x:f>
      </x:c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>
        <x:f>IF(D11="","",IF(OR(D11="RG01",D11="RG02",D11="RG03",D11="RG06",D11="RG07",D11="RG08"),"核心","结构"))</x:f>
      </x:c>
      <x:c r="N11" s="34" t="str"/>
      <x:c r="O11" s="34" t="str"/>
    </x:row>
    <x:row r="12">
      <x:c r="A12" s="34" t="str">
        <x:v>M5-RG-0007</x:v>
      </x:c>
      <x:c r="B12" s="34" t="str"/>
      <x:c r="C12" s="34" t="str"/>
      <x:c r="D12" s="34" t="str"/>
      <x:c r="E12" s="34" t="str">
        <x:f>IF(D12="","",IF(D12="RG01","安全、同意与尊重",IF(D12="RG02","关系意图与承诺",IF(D12="RG03","价值观与人生目标",IF(D12="RG04","时间、地域与生活节奏",IF(D12="RG05","金钱、资源与劳动分配",IF(D12="RG06","家庭、婚育与照护责任",IF(D12="RG07","身体、亲密、隐私与健康",IF(D12="RG08","冲突、修复与学习意愿","")))))))))</x:f>
      </x:c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>
        <x:f>IF(D12="","",IF(OR(D12="RG01",D12="RG02",D12="RG03",D12="RG06",D12="RG07",D12="RG08"),"核心","结构"))</x:f>
      </x:c>
      <x:c r="N12" s="34" t="str"/>
      <x:c r="O12" s="34" t="str"/>
    </x:row>
    <x:row r="13">
      <x:c r="A13" s="34" t="str">
        <x:v>M5-RG-0008</x:v>
      </x:c>
      <x:c r="B13" s="34" t="str"/>
      <x:c r="C13" s="34" t="str"/>
      <x:c r="D13" s="34" t="str"/>
      <x:c r="E13" s="34" t="str">
        <x:f>IF(D13="","",IF(D13="RG01","安全、同意与尊重",IF(D13="RG02","关系意图与承诺",IF(D13="RG03","价值观与人生目标",IF(D13="RG04","时间、地域与生活节奏",IF(D13="RG05","金钱、资源与劳动分配",IF(D13="RG06","家庭、婚育与照护责任",IF(D13="RG07","身体、亲密、隐私与健康",IF(D13="RG08","冲突、修复与学习意愿","")))))))))</x:f>
      </x:c>
      <x:c r="F13" s="34" t="str"/>
      <x:c r="G13" s="34" t="str"/>
      <x:c r="H13" s="34" t="str"/>
      <x:c r="I13" s="34" t="str"/>
      <x:c r="J13" s="34" t="str"/>
      <x:c r="K13" s="34" t="str"/>
      <x:c r="L13" s="34" t="str"/>
      <x:c r="M13" s="34" t="str">
        <x:f>IF(D13="","",IF(OR(D13="RG01",D13="RG02",D13="RG03",D13="RG06",D13="RG07",D13="RG08"),"核心","结构"))</x:f>
      </x:c>
      <x:c r="N13" s="34" t="str"/>
      <x:c r="O13" s="34" t="str"/>
    </x:row>
    <x:row r="14">
      <x:c r="A14" s="34" t="str">
        <x:v>M5-RG-0009</x:v>
      </x:c>
      <x:c r="B14" s="34" t="str"/>
      <x:c r="C14" s="34" t="str"/>
      <x:c r="D14" s="34" t="str"/>
      <x:c r="E14" s="34" t="str">
        <x:f>IF(D14="","",IF(D14="RG01","安全、同意与尊重",IF(D14="RG02","关系意图与承诺",IF(D14="RG03","价值观与人生目标",IF(D14="RG04","时间、地域与生活节奏",IF(D14="RG05","金钱、资源与劳动分配",IF(D14="RG06","家庭、婚育与照护责任",IF(D14="RG07","身体、亲密、隐私与健康",IF(D14="RG08","冲突、修复与学习意愿","")))))))))</x:f>
      </x:c>
      <x:c r="F14" s="34" t="str"/>
      <x:c r="G14" s="34" t="str"/>
      <x:c r="H14" s="34" t="str"/>
      <x:c r="I14" s="34" t="str"/>
      <x:c r="J14" s="34" t="str"/>
      <x:c r="K14" s="34" t="str"/>
      <x:c r="L14" s="34" t="str"/>
      <x:c r="M14" s="34" t="str">
        <x:f>IF(D14="","",IF(OR(D14="RG01",D14="RG02",D14="RG03",D14="RG06",D14="RG07",D14="RG08"),"核心","结构"))</x:f>
      </x:c>
      <x:c r="N14" s="34" t="str"/>
      <x:c r="O14" s="34" t="str"/>
    </x:row>
    <x:row r="15">
      <x:c r="A15" s="34" t="str">
        <x:v>M5-RG-0010</x:v>
      </x:c>
      <x:c r="B15" s="34" t="str"/>
      <x:c r="C15" s="34" t="str"/>
      <x:c r="D15" s="34" t="str"/>
      <x:c r="E15" s="34" t="str">
        <x:f>IF(D15="","",IF(D15="RG01","安全、同意与尊重",IF(D15="RG02","关系意图与承诺",IF(D15="RG03","价值观与人生目标",IF(D15="RG04","时间、地域与生活节奏",IF(D15="RG05","金钱、资源与劳动分配",IF(D15="RG06","家庭、婚育与照护责任",IF(D15="RG07","身体、亲密、隐私与健康",IF(D15="RG08","冲突、修复与学习意愿","")))))))))</x:f>
      </x:c>
      <x:c r="F15" s="34" t="str"/>
      <x:c r="G15" s="34" t="str"/>
      <x:c r="H15" s="34" t="str"/>
      <x:c r="I15" s="34" t="str"/>
      <x:c r="J15" s="34" t="str"/>
      <x:c r="K15" s="34" t="str"/>
      <x:c r="L15" s="34" t="str"/>
      <x:c r="M15" s="34" t="str">
        <x:f>IF(D15="","",IF(OR(D15="RG01",D15="RG02",D15="RG03",D15="RG06",D15="RG07",D15="RG08"),"核心","结构"))</x:f>
      </x:c>
      <x:c r="N15" s="34" t="str"/>
      <x:c r="O15" s="34" t="str"/>
    </x:row>
    <x:row r="16">
      <x:c r="A16" s="34" t="str">
        <x:v>M5-RG-0011</x:v>
      </x:c>
      <x:c r="B16" s="34" t="str"/>
      <x:c r="C16" s="34" t="str"/>
      <x:c r="D16" s="34" t="str"/>
      <x:c r="E16" s="34" t="str">
        <x:f>IF(D16="","",IF(D16="RG01","安全、同意与尊重",IF(D16="RG02","关系意图与承诺",IF(D16="RG03","价值观与人生目标",IF(D16="RG04","时间、地域与生活节奏",IF(D16="RG05","金钱、资源与劳动分配",IF(D16="RG06","家庭、婚育与照护责任",IF(D16="RG07","身体、亲密、隐私与健康",IF(D16="RG08","冲突、修复与学习意愿","")))))))))</x:f>
      </x:c>
      <x:c r="F16" s="34" t="str"/>
      <x:c r="G16" s="34" t="str"/>
      <x:c r="H16" s="34" t="str"/>
      <x:c r="I16" s="34" t="str"/>
      <x:c r="J16" s="34" t="str"/>
      <x:c r="K16" s="34" t="str"/>
      <x:c r="L16" s="34" t="str"/>
      <x:c r="M16" s="34" t="str">
        <x:f>IF(D16="","",IF(OR(D16="RG01",D16="RG02",D16="RG03",D16="RG06",D16="RG07",D16="RG08"),"核心","结构"))</x:f>
      </x:c>
      <x:c r="N16" s="34" t="str"/>
      <x:c r="O16" s="34" t="str"/>
    </x:row>
    <x:row r="17">
      <x:c r="A17" s="34" t="str">
        <x:v>M5-RG-0012</x:v>
      </x:c>
      <x:c r="B17" s="34" t="str"/>
      <x:c r="C17" s="34" t="str"/>
      <x:c r="D17" s="34" t="str"/>
      <x:c r="E17" s="34" t="str">
        <x:f>IF(D17="","",IF(D17="RG01","安全、同意与尊重",IF(D17="RG02","关系意图与承诺",IF(D17="RG03","价值观与人生目标",IF(D17="RG04","时间、地域与生活节奏",IF(D17="RG05","金钱、资源与劳动分配",IF(D17="RG06","家庭、婚育与照护责任",IF(D17="RG07","身体、亲密、隐私与健康",IF(D17="RG08","冲突、修复与学习意愿","")))))))))</x:f>
      </x:c>
      <x:c r="F17" s="34" t="str"/>
      <x:c r="G17" s="34" t="str"/>
      <x:c r="H17" s="34" t="str"/>
      <x:c r="I17" s="34" t="str"/>
      <x:c r="J17" s="34" t="str"/>
      <x:c r="K17" s="34" t="str"/>
      <x:c r="L17" s="34" t="str"/>
      <x:c r="M17" s="34" t="str">
        <x:f>IF(D17="","",IF(OR(D17="RG01",D17="RG02",D17="RG03",D17="RG06",D17="RG07",D17="RG08"),"核心","结构"))</x:f>
      </x:c>
      <x:c r="N17" s="34" t="str"/>
      <x:c r="O17" s="34" t="str"/>
    </x:row>
    <x:row r="18">
      <x:c r="A18" s="34" t="str">
        <x:v>M5-RG-0013</x:v>
      </x:c>
      <x:c r="B18" s="34" t="str"/>
      <x:c r="C18" s="34" t="str"/>
      <x:c r="D18" s="34" t="str"/>
      <x:c r="E18" s="34" t="str">
        <x:f>IF(D18="","",IF(D18="RG01","安全、同意与尊重",IF(D18="RG02","关系意图与承诺",IF(D18="RG03","价值观与人生目标",IF(D18="RG04","时间、地域与生活节奏",IF(D18="RG05","金钱、资源与劳动分配",IF(D18="RG06","家庭、婚育与照护责任",IF(D18="RG07","身体、亲密、隐私与健康",IF(D18="RG08","冲突、修复与学习意愿","")))))))))</x:f>
      </x:c>
      <x:c r="F18" s="34" t="str"/>
      <x:c r="G18" s="34" t="str"/>
      <x:c r="H18" s="34" t="str"/>
      <x:c r="I18" s="34" t="str"/>
      <x:c r="J18" s="34" t="str"/>
      <x:c r="K18" s="34" t="str"/>
      <x:c r="L18" s="34" t="str"/>
      <x:c r="M18" s="34" t="str">
        <x:f>IF(D18="","",IF(OR(D18="RG01",D18="RG02",D18="RG03",D18="RG06",D18="RG07",D18="RG08"),"核心","结构"))</x:f>
      </x:c>
      <x:c r="N18" s="34" t="str"/>
      <x:c r="O18" s="34" t="str"/>
    </x:row>
    <x:row r="19">
      <x:c r="A19" s="34" t="str">
        <x:v>M5-RG-0014</x:v>
      </x:c>
      <x:c r="B19" s="34" t="str"/>
      <x:c r="C19" s="34" t="str"/>
      <x:c r="D19" s="34" t="str"/>
      <x:c r="E19" s="34" t="str">
        <x:f>IF(D19="","",IF(D19="RG01","安全、同意与尊重",IF(D19="RG02","关系意图与承诺",IF(D19="RG03","价值观与人生目标",IF(D19="RG04","时间、地域与生活节奏",IF(D19="RG05","金钱、资源与劳动分配",IF(D19="RG06","家庭、婚育与照护责任",IF(D19="RG07","身体、亲密、隐私与健康",IF(D19="RG08","冲突、修复与学习意愿","")))))))))</x:f>
      </x:c>
      <x:c r="F19" s="34" t="str"/>
      <x:c r="G19" s="34" t="str"/>
      <x:c r="H19" s="34" t="str"/>
      <x:c r="I19" s="34" t="str"/>
      <x:c r="J19" s="34" t="str"/>
      <x:c r="K19" s="34" t="str"/>
      <x:c r="L19" s="34" t="str"/>
      <x:c r="M19" s="34" t="str">
        <x:f>IF(D19="","",IF(OR(D19="RG01",D19="RG02",D19="RG03",D19="RG06",D19="RG07",D19="RG08"),"核心","结构"))</x:f>
      </x:c>
      <x:c r="N19" s="34" t="str"/>
      <x:c r="O19" s="34" t="str"/>
    </x:row>
    <x:row r="20">
      <x:c r="A20" s="34" t="str">
        <x:v>M5-RG-0015</x:v>
      </x:c>
      <x:c r="B20" s="34" t="str"/>
      <x:c r="C20" s="34" t="str"/>
      <x:c r="D20" s="34" t="str"/>
      <x:c r="E20" s="34" t="str">
        <x:f>IF(D20="","",IF(D20="RG01","安全、同意与尊重",IF(D20="RG02","关系意图与承诺",IF(D20="RG03","价值观与人生目标",IF(D20="RG04","时间、地域与生活节奏",IF(D20="RG05","金钱、资源与劳动分配",IF(D20="RG06","家庭、婚育与照护责任",IF(D20="RG07","身体、亲密、隐私与健康",IF(D20="RG08","冲突、修复与学习意愿","")))))))))</x:f>
      </x:c>
      <x:c r="F20" s="34" t="str"/>
      <x:c r="G20" s="34" t="str"/>
      <x:c r="H20" s="34" t="str"/>
      <x:c r="I20" s="34" t="str"/>
      <x:c r="J20" s="34" t="str"/>
      <x:c r="K20" s="34" t="str"/>
      <x:c r="L20" s="34" t="str"/>
      <x:c r="M20" s="34" t="str">
        <x:f>IF(D20="","",IF(OR(D20="RG01",D20="RG02",D20="RG03",D20="RG06",D20="RG07",D20="RG08"),"核心","结构"))</x:f>
      </x:c>
      <x:c r="N20" s="34" t="str"/>
      <x:c r="O20" s="34" t="str"/>
    </x:row>
    <x:row r="21">
      <x:c r="A21" s="34" t="str">
        <x:v>M5-RG-0016</x:v>
      </x:c>
      <x:c r="B21" s="34" t="str"/>
      <x:c r="C21" s="34" t="str"/>
      <x:c r="D21" s="34" t="str"/>
      <x:c r="E21" s="34" t="str">
        <x:f>IF(D21="","",IF(D21="RG01","安全、同意与尊重",IF(D21="RG02","关系意图与承诺",IF(D21="RG03","价值观与人生目标",IF(D21="RG04","时间、地域与生活节奏",IF(D21="RG05","金钱、资源与劳动分配",IF(D21="RG06","家庭、婚育与照护责任",IF(D21="RG07","身体、亲密、隐私与健康",IF(D21="RG08","冲突、修复与学习意愿","")))))))))</x:f>
      </x:c>
      <x:c r="F21" s="34" t="str"/>
      <x:c r="G21" s="34" t="str"/>
      <x:c r="H21" s="34" t="str"/>
      <x:c r="I21" s="34" t="str"/>
      <x:c r="J21" s="34" t="str"/>
      <x:c r="K21" s="34" t="str"/>
      <x:c r="L21" s="34" t="str"/>
      <x:c r="M21" s="34" t="str">
        <x:f>IF(D21="","",IF(OR(D21="RG01",D21="RG02",D21="RG03",D21="RG06",D21="RG07",D21="RG08"),"核心","结构"))</x:f>
      </x:c>
      <x:c r="N21" s="34" t="str"/>
      <x:c r="O21" s="34" t="str"/>
    </x:row>
    <x:row r="22">
      <x:c r="A22" s="34" t="str">
        <x:v>M5-RG-0017</x:v>
      </x:c>
      <x:c r="B22" s="34" t="str"/>
      <x:c r="C22" s="34" t="str"/>
      <x:c r="D22" s="34" t="str"/>
      <x:c r="E22" s="34" t="str">
        <x:f>IF(D22="","",IF(D22="RG01","安全、同意与尊重",IF(D22="RG02","关系意图与承诺",IF(D22="RG03","价值观与人生目标",IF(D22="RG04","时间、地域与生活节奏",IF(D22="RG05","金钱、资源与劳动分配",IF(D22="RG06","家庭、婚育与照护责任",IF(D22="RG07","身体、亲密、隐私与健康",IF(D22="RG08","冲突、修复与学习意愿","")))))))))</x:f>
      </x:c>
      <x:c r="F22" s="34" t="str"/>
      <x:c r="G22" s="34" t="str"/>
      <x:c r="H22" s="34" t="str"/>
      <x:c r="I22" s="34" t="str"/>
      <x:c r="J22" s="34" t="str"/>
      <x:c r="K22" s="34" t="str"/>
      <x:c r="L22" s="34" t="str"/>
      <x:c r="M22" s="34" t="str">
        <x:f>IF(D22="","",IF(OR(D22="RG01",D22="RG02",D22="RG03",D22="RG06",D22="RG07",D22="RG08"),"核心","结构"))</x:f>
      </x:c>
      <x:c r="N22" s="34" t="str"/>
      <x:c r="O22" s="34" t="str"/>
    </x:row>
    <x:row r="23">
      <x:c r="A23" s="34" t="str">
        <x:v>M5-RG-0018</x:v>
      </x:c>
      <x:c r="B23" s="34" t="str"/>
      <x:c r="C23" s="34" t="str"/>
      <x:c r="D23" s="34" t="str"/>
      <x:c r="E23" s="34" t="str">
        <x:f>IF(D23="","",IF(D23="RG01","安全、同意与尊重",IF(D23="RG02","关系意图与承诺",IF(D23="RG03","价值观与人生目标",IF(D23="RG04","时间、地域与生活节奏",IF(D23="RG05","金钱、资源与劳动分配",IF(D23="RG06","家庭、婚育与照护责任",IF(D23="RG07","身体、亲密、隐私与健康",IF(D23="RG08","冲突、修复与学习意愿","")))))))))</x:f>
      </x:c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>
        <x:f>IF(D23="","",IF(OR(D23="RG01",D23="RG02",D23="RG03",D23="RG06",D23="RG07",D23="RG08"),"核心","结构"))</x:f>
      </x:c>
      <x:c r="N23" s="34" t="str"/>
      <x:c r="O23" s="34" t="str"/>
    </x:row>
    <x:row r="24">
      <x:c r="A24" s="34" t="str">
        <x:v>M5-RG-0019</x:v>
      </x:c>
      <x:c r="B24" s="34" t="str"/>
      <x:c r="C24" s="34" t="str"/>
      <x:c r="D24" s="34" t="str"/>
      <x:c r="E24" s="34" t="str">
        <x:f>IF(D24="","",IF(D24="RG01","安全、同意与尊重",IF(D24="RG02","关系意图与承诺",IF(D24="RG03","价值观与人生目标",IF(D24="RG04","时间、地域与生活节奏",IF(D24="RG05","金钱、资源与劳动分配",IF(D24="RG06","家庭、婚育与照护责任",IF(D24="RG07","身体、亲密、隐私与健康",IF(D24="RG08","冲突、修复与学习意愿","")))))))))</x:f>
      </x:c>
      <x:c r="F24" s="34" t="str"/>
      <x:c r="G24" s="34" t="str"/>
      <x:c r="H24" s="34" t="str"/>
      <x:c r="I24" s="34" t="str"/>
      <x:c r="J24" s="34" t="str"/>
      <x:c r="K24" s="34" t="str"/>
      <x:c r="L24" s="34" t="str"/>
      <x:c r="M24" s="34" t="str">
        <x:f>IF(D24="","",IF(OR(D24="RG01",D24="RG02",D24="RG03",D24="RG06",D24="RG07",D24="RG08"),"核心","结构"))</x:f>
      </x:c>
      <x:c r="N24" s="34" t="str"/>
      <x:c r="O24" s="34" t="str"/>
    </x:row>
    <x:row r="25">
      <x:c r="A25" s="34" t="str">
        <x:v>M5-RG-0020</x:v>
      </x:c>
      <x:c r="B25" s="34" t="str"/>
      <x:c r="C25" s="34" t="str"/>
      <x:c r="D25" s="34" t="str"/>
      <x:c r="E25" s="34" t="str">
        <x:f>IF(D25="","",IF(D25="RG01","安全、同意与尊重",IF(D25="RG02","关系意图与承诺",IF(D25="RG03","价值观与人生目标",IF(D25="RG04","时间、地域与生活节奏",IF(D25="RG05","金钱、资源与劳动分配",IF(D25="RG06","家庭、婚育与照护责任",IF(D25="RG07","身体、亲密、隐私与健康",IF(D25="RG08","冲突、修复与学习意愿","")))))))))</x:f>
      </x:c>
      <x:c r="F25" s="34" t="str"/>
      <x:c r="G25" s="34" t="str"/>
      <x:c r="H25" s="34" t="str"/>
      <x:c r="I25" s="34" t="str"/>
      <x:c r="J25" s="34" t="str"/>
      <x:c r="K25" s="34" t="str"/>
      <x:c r="L25" s="34" t="str"/>
      <x:c r="M25" s="34" t="str">
        <x:f>IF(D25="","",IF(OR(D25="RG01",D25="RG02",D25="RG03",D25="RG06",D25="RG07",D25="RG08"),"核心","结构"))</x:f>
      </x:c>
      <x:c r="N25" s="34" t="str"/>
      <x:c r="O25" s="34" t="str"/>
    </x:row>
    <x:row r="26">
      <x:c r="A26" s="34" t="str">
        <x:v>M5-RG-0021</x:v>
      </x:c>
      <x:c r="B26" s="34" t="str"/>
      <x:c r="C26" s="34" t="str"/>
      <x:c r="D26" s="34" t="str"/>
      <x:c r="E26" s="34" t="str">
        <x:f>IF(D26="","",IF(D26="RG01","安全、同意与尊重",IF(D26="RG02","关系意图与承诺",IF(D26="RG03","价值观与人生目标",IF(D26="RG04","时间、地域与生活节奏",IF(D26="RG05","金钱、资源与劳动分配",IF(D26="RG06","家庭、婚育与照护责任",IF(D26="RG07","身体、亲密、隐私与健康",IF(D26="RG08","冲突、修复与学习意愿","")))))))))</x:f>
      </x:c>
      <x:c r="F26" s="34" t="str"/>
      <x:c r="G26" s="34" t="str"/>
      <x:c r="H26" s="34" t="str"/>
      <x:c r="I26" s="34" t="str"/>
      <x:c r="J26" s="34" t="str"/>
      <x:c r="K26" s="34" t="str"/>
      <x:c r="L26" s="34" t="str"/>
      <x:c r="M26" s="34" t="str">
        <x:f>IF(D26="","",IF(OR(D26="RG01",D26="RG02",D26="RG03",D26="RG06",D26="RG07",D26="RG08"),"核心","结构"))</x:f>
      </x:c>
      <x:c r="N26" s="34" t="str"/>
      <x:c r="O26" s="34" t="str"/>
    </x:row>
    <x:row r="27">
      <x:c r="A27" s="34" t="str">
        <x:v>M5-RG-0022</x:v>
      </x:c>
      <x:c r="B27" s="34" t="str"/>
      <x:c r="C27" s="34" t="str"/>
      <x:c r="D27" s="34" t="str"/>
      <x:c r="E27" s="34" t="str">
        <x:f>IF(D27="","",IF(D27="RG01","安全、同意与尊重",IF(D27="RG02","关系意图与承诺",IF(D27="RG03","价值观与人生目标",IF(D27="RG04","时间、地域与生活节奏",IF(D27="RG05","金钱、资源与劳动分配",IF(D27="RG06","家庭、婚育与照护责任",IF(D27="RG07","身体、亲密、隐私与健康",IF(D27="RG08","冲突、修复与学习意愿","")))))))))</x:f>
      </x:c>
      <x:c r="F27" s="34" t="str"/>
      <x:c r="G27" s="34" t="str"/>
      <x:c r="H27" s="34" t="str"/>
      <x:c r="I27" s="34" t="str"/>
      <x:c r="J27" s="34" t="str"/>
      <x:c r="K27" s="34" t="str"/>
      <x:c r="L27" s="34" t="str"/>
      <x:c r="M27" s="34" t="str">
        <x:f>IF(D27="","",IF(OR(D27="RG01",D27="RG02",D27="RG03",D27="RG06",D27="RG07",D27="RG08"),"核心","结构"))</x:f>
      </x:c>
      <x:c r="N27" s="34" t="str"/>
      <x:c r="O27" s="34" t="str"/>
    </x:row>
    <x:row r="28">
      <x:c r="A28" s="34" t="str">
        <x:v>M5-RG-0023</x:v>
      </x:c>
      <x:c r="B28" s="34" t="str"/>
      <x:c r="C28" s="34" t="str"/>
      <x:c r="D28" s="34" t="str"/>
      <x:c r="E28" s="34" t="str">
        <x:f>IF(D28="","",IF(D28="RG01","安全、同意与尊重",IF(D28="RG02","关系意图与承诺",IF(D28="RG03","价值观与人生目标",IF(D28="RG04","时间、地域与生活节奏",IF(D28="RG05","金钱、资源与劳动分配",IF(D28="RG06","家庭、婚育与照护责任",IF(D28="RG07","身体、亲密、隐私与健康",IF(D28="RG08","冲突、修复与学习意愿","")))))))))</x:f>
      </x:c>
      <x:c r="F28" s="34" t="str"/>
      <x:c r="G28" s="34" t="str"/>
      <x:c r="H28" s="34" t="str"/>
      <x:c r="I28" s="34" t="str"/>
      <x:c r="J28" s="34" t="str"/>
      <x:c r="K28" s="34" t="str"/>
      <x:c r="L28" s="34" t="str"/>
      <x:c r="M28" s="34" t="str">
        <x:f>IF(D28="","",IF(OR(D28="RG01",D28="RG02",D28="RG03",D28="RG06",D28="RG07",D28="RG08"),"核心","结构"))</x:f>
      </x:c>
      <x:c r="N28" s="34" t="str"/>
      <x:c r="O28" s="34" t="str"/>
    </x:row>
    <x:row r="29">
      <x:c r="A29" s="34" t="str">
        <x:v>M5-RG-0024</x:v>
      </x:c>
      <x:c r="B29" s="34" t="str"/>
      <x:c r="C29" s="34" t="str"/>
      <x:c r="D29" s="34" t="str"/>
      <x:c r="E29" s="34" t="str">
        <x:f>IF(D29="","",IF(D29="RG01","安全、同意与尊重",IF(D29="RG02","关系意图与承诺",IF(D29="RG03","价值观与人生目标",IF(D29="RG04","时间、地域与生活节奏",IF(D29="RG05","金钱、资源与劳动分配",IF(D29="RG06","家庭、婚育与照护责任",IF(D29="RG07","身体、亲密、隐私与健康",IF(D29="RG08","冲突、修复与学习意愿","")))))))))</x:f>
      </x:c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>
        <x:f>IF(D29="","",IF(OR(D29="RG01",D29="RG02",D29="RG03",D29="RG06",D29="RG07",D29="RG08"),"核心","结构"))</x:f>
      </x:c>
      <x:c r="N29" s="34" t="str"/>
      <x:c r="O29" s="34" t="str"/>
    </x:row>
    <x:row r="30">
      <x:c r="A30" s="34" t="str">
        <x:v>M5-RG-0025</x:v>
      </x:c>
      <x:c r="B30" s="34" t="str"/>
      <x:c r="C30" s="34" t="str"/>
      <x:c r="D30" s="34" t="str"/>
      <x:c r="E30" s="34" t="str">
        <x:f>IF(D30="","",IF(D30="RG01","安全、同意与尊重",IF(D30="RG02","关系意图与承诺",IF(D30="RG03","价值观与人生目标",IF(D30="RG04","时间、地域与生活节奏",IF(D30="RG05","金钱、资源与劳动分配",IF(D30="RG06","家庭、婚育与照护责任",IF(D30="RG07","身体、亲密、隐私与健康",IF(D30="RG08","冲突、修复与学习意愿","")))))))))</x:f>
      </x:c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>
        <x:f>IF(D30="","",IF(OR(D30="RG01",D30="RG02",D30="RG03",D30="RG06",D30="RG07",D30="RG08"),"核心","结构"))</x:f>
      </x:c>
      <x:c r="N30" s="34" t="str"/>
      <x:c r="O30" s="34" t="str"/>
    </x:row>
    <x:row r="31">
      <x:c r="A31" s="34" t="str">
        <x:v>M5-RG-0026</x:v>
      </x:c>
      <x:c r="B31" s="34" t="str"/>
      <x:c r="C31" s="34" t="str"/>
      <x:c r="D31" s="34" t="str"/>
      <x:c r="E31" s="34" t="str">
        <x:f>IF(D31="","",IF(D31="RG01","安全、同意与尊重",IF(D31="RG02","关系意图与承诺",IF(D31="RG03","价值观与人生目标",IF(D31="RG04","时间、地域与生活节奏",IF(D31="RG05","金钱、资源与劳动分配",IF(D31="RG06","家庭、婚育与照护责任",IF(D31="RG07","身体、亲密、隐私与健康",IF(D31="RG08","冲突、修复与学习意愿","")))))))))</x:f>
      </x:c>
      <x:c r="F31" s="34" t="str"/>
      <x:c r="G31" s="34" t="str"/>
      <x:c r="H31" s="34" t="str"/>
      <x:c r="I31" s="34" t="str"/>
      <x:c r="J31" s="34" t="str"/>
      <x:c r="K31" s="34" t="str"/>
      <x:c r="L31" s="34" t="str"/>
      <x:c r="M31" s="34" t="str">
        <x:f>IF(D31="","",IF(OR(D31="RG01",D31="RG02",D31="RG03",D31="RG06",D31="RG07",D31="RG08"),"核心","结构"))</x:f>
      </x:c>
      <x:c r="N31" s="34" t="str"/>
      <x:c r="O31" s="34" t="str"/>
    </x:row>
    <x:row r="32">
      <x:c r="A32" s="34" t="str">
        <x:v>M5-RG-0027</x:v>
      </x:c>
      <x:c r="B32" s="34" t="str"/>
      <x:c r="C32" s="34" t="str"/>
      <x:c r="D32" s="34" t="str"/>
      <x:c r="E32" s="34" t="str">
        <x:f>IF(D32="","",IF(D32="RG01","安全、同意与尊重",IF(D32="RG02","关系意图与承诺",IF(D32="RG03","价值观与人生目标",IF(D32="RG04","时间、地域与生活节奏",IF(D32="RG05","金钱、资源与劳动分配",IF(D32="RG06","家庭、婚育与照护责任",IF(D32="RG07","身体、亲密、隐私与健康",IF(D32="RG08","冲突、修复与学习意愿","")))))))))</x:f>
      </x:c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>
        <x:f>IF(D32="","",IF(OR(D32="RG01",D32="RG02",D32="RG03",D32="RG06",D32="RG07",D32="RG08"),"核心","结构"))</x:f>
      </x:c>
      <x:c r="N32" s="34" t="str"/>
      <x:c r="O32" s="34" t="str"/>
    </x:row>
    <x:row r="33">
      <x:c r="A33" s="34" t="str">
        <x:v>M5-RG-0028</x:v>
      </x:c>
      <x:c r="B33" s="34" t="str"/>
      <x:c r="C33" s="34" t="str"/>
      <x:c r="D33" s="34" t="str"/>
      <x:c r="E33" s="34" t="str">
        <x:f>IF(D33="","",IF(D33="RG01","安全、同意与尊重",IF(D33="RG02","关系意图与承诺",IF(D33="RG03","价值观与人生目标",IF(D33="RG04","时间、地域与生活节奏",IF(D33="RG05","金钱、资源与劳动分配",IF(D33="RG06","家庭、婚育与照护责任",IF(D33="RG07","身体、亲密、隐私与健康",IF(D33="RG08","冲突、修复与学习意愿","")))))))))</x:f>
      </x:c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>
        <x:f>IF(D33="","",IF(OR(D33="RG01",D33="RG02",D33="RG03",D33="RG06",D33="RG07",D33="RG08"),"核心","结构"))</x:f>
      </x:c>
      <x:c r="N33" s="34" t="str"/>
      <x:c r="O33" s="34" t="str"/>
    </x:row>
    <x:row r="34">
      <x:c r="A34" s="34" t="str">
        <x:v>M5-RG-0029</x:v>
      </x:c>
      <x:c r="B34" s="34" t="str"/>
      <x:c r="C34" s="34" t="str"/>
      <x:c r="D34" s="34" t="str"/>
      <x:c r="E34" s="34" t="str">
        <x:f>IF(D34="","",IF(D34="RG01","安全、同意与尊重",IF(D34="RG02","关系意图与承诺",IF(D34="RG03","价值观与人生目标",IF(D34="RG04","时间、地域与生活节奏",IF(D34="RG05","金钱、资源与劳动分配",IF(D34="RG06","家庭、婚育与照护责任",IF(D34="RG07","身体、亲密、隐私与健康",IF(D34="RG08","冲突、修复与学习意愿","")))))))))</x:f>
      </x:c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>
        <x:f>IF(D34="","",IF(OR(D34="RG01",D34="RG02",D34="RG03",D34="RG06",D34="RG07",D34="RG08"),"核心","结构"))</x:f>
      </x:c>
      <x:c r="N34" s="34" t="str"/>
      <x:c r="O34" s="34" t="str"/>
    </x:row>
    <x:row r="35">
      <x:c r="A35" s="34" t="str">
        <x:v>M5-RG-0030</x:v>
      </x:c>
      <x:c r="B35" s="34" t="str"/>
      <x:c r="C35" s="34" t="str"/>
      <x:c r="D35" s="34" t="str"/>
      <x:c r="E35" s="34" t="str">
        <x:f>IF(D35="","",IF(D35="RG01","安全、同意与尊重",IF(D35="RG02","关系意图与承诺",IF(D35="RG03","价值观与人生目标",IF(D35="RG04","时间、地域与生活节奏",IF(D35="RG05","金钱、资源与劳动分配",IF(D35="RG06","家庭、婚育与照护责任",IF(D35="RG07","身体、亲密、隐私与健康",IF(D35="RG08","冲突、修复与学习意愿","")))))))))</x:f>
      </x:c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>
        <x:f>IF(D35="","",IF(OR(D35="RG01",D35="RG02",D35="RG03",D35="RG06",D35="RG07",D35="RG08"),"核心","结构"))</x:f>
      </x:c>
      <x:c r="N35" s="34" t="str"/>
      <x:c r="O35" s="34" t="str"/>
    </x:row>
    <x:row r="36">
      <x:c r="A36" s="34" t="str">
        <x:v>M5-RG-0031</x:v>
      </x:c>
      <x:c r="B36" s="34" t="str"/>
      <x:c r="C36" s="34" t="str"/>
      <x:c r="D36" s="34" t="str"/>
      <x:c r="E36" s="34" t="str">
        <x:f>IF(D36="","",IF(D36="RG01","安全、同意与尊重",IF(D36="RG02","关系意图与承诺",IF(D36="RG03","价值观与人生目标",IF(D36="RG04","时间、地域与生活节奏",IF(D36="RG05","金钱、资源与劳动分配",IF(D36="RG06","家庭、婚育与照护责任",IF(D36="RG07","身体、亲密、隐私与健康",IF(D36="RG08","冲突、修复与学习意愿","")))))))))</x:f>
      </x:c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>
        <x:f>IF(D36="","",IF(OR(D36="RG01",D36="RG02",D36="RG03",D36="RG06",D36="RG07",D36="RG08"),"核心","结构"))</x:f>
      </x:c>
      <x:c r="N36" s="34" t="str"/>
      <x:c r="O36" s="34" t="str"/>
    </x:row>
    <x:row r="37">
      <x:c r="A37" s="34" t="str">
        <x:v>M5-RG-0032</x:v>
      </x:c>
      <x:c r="B37" s="34" t="str"/>
      <x:c r="C37" s="34" t="str"/>
      <x:c r="D37" s="34" t="str"/>
      <x:c r="E37" s="34" t="str">
        <x:f>IF(D37="","",IF(D37="RG01","安全、同意与尊重",IF(D37="RG02","关系意图与承诺",IF(D37="RG03","价值观与人生目标",IF(D37="RG04","时间、地域与生活节奏",IF(D37="RG05","金钱、资源与劳动分配",IF(D37="RG06","家庭、婚育与照护责任",IF(D37="RG07","身体、亲密、隐私与健康",IF(D37="RG08","冲突、修复与学习意愿","")))))))))</x:f>
      </x:c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>
        <x:f>IF(D37="","",IF(OR(D37="RG01",D37="RG02",D37="RG03",D37="RG06",D37="RG07",D37="RG08"),"核心","结构"))</x:f>
      </x:c>
      <x:c r="N37" s="34" t="str"/>
      <x:c r="O37" s="34" t="str"/>
    </x:row>
    <x:row r="38">
      <x:c r="A38" s="34" t="str">
        <x:v>M5-RG-0033</x:v>
      </x:c>
      <x:c r="B38" s="34" t="str"/>
      <x:c r="C38" s="34" t="str"/>
      <x:c r="D38" s="34" t="str"/>
      <x:c r="E38" s="34" t="str">
        <x:f>IF(D38="","",IF(D38="RG01","安全、同意与尊重",IF(D38="RG02","关系意图与承诺",IF(D38="RG03","价值观与人生目标",IF(D38="RG04","时间、地域与生活节奏",IF(D38="RG05","金钱、资源与劳动分配",IF(D38="RG06","家庭、婚育与照护责任",IF(D38="RG07","身体、亲密、隐私与健康",IF(D38="RG08","冲突、修复与学习意愿","")))))))))</x:f>
      </x:c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>
        <x:f>IF(D38="","",IF(OR(D38="RG01",D38="RG02",D38="RG03",D38="RG06",D38="RG07",D38="RG08"),"核心","结构"))</x:f>
      </x:c>
      <x:c r="N38" s="34" t="str"/>
      <x:c r="O38" s="34" t="str"/>
    </x:row>
    <x:row r="39">
      <x:c r="A39" s="34" t="str">
        <x:v>M5-RG-0034</x:v>
      </x:c>
      <x:c r="B39" s="34" t="str"/>
      <x:c r="C39" s="34" t="str"/>
      <x:c r="D39" s="34" t="str"/>
      <x:c r="E39" s="34" t="str">
        <x:f>IF(D39="","",IF(D39="RG01","安全、同意与尊重",IF(D39="RG02","关系意图与承诺",IF(D39="RG03","价值观与人生目标",IF(D39="RG04","时间、地域与生活节奏",IF(D39="RG05","金钱、资源与劳动分配",IF(D39="RG06","家庭、婚育与照护责任",IF(D39="RG07","身体、亲密、隐私与健康",IF(D39="RG08","冲突、修复与学习意愿","")))))))))</x:f>
      </x:c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>
        <x:f>IF(D39="","",IF(OR(D39="RG01",D39="RG02",D39="RG03",D39="RG06",D39="RG07",D39="RG08"),"核心","结构"))</x:f>
      </x:c>
      <x:c r="N39" s="34" t="str"/>
      <x:c r="O39" s="34" t="str"/>
    </x:row>
    <x:row r="40">
      <x:c r="A40" s="34" t="str">
        <x:v>M5-RG-0035</x:v>
      </x:c>
      <x:c r="B40" s="34" t="str"/>
      <x:c r="C40" s="34" t="str"/>
      <x:c r="D40" s="34" t="str"/>
      <x:c r="E40" s="34" t="str">
        <x:f>IF(D40="","",IF(D40="RG01","安全、同意与尊重",IF(D40="RG02","关系意图与承诺",IF(D40="RG03","价值观与人生目标",IF(D40="RG04","时间、地域与生活节奏",IF(D40="RG05","金钱、资源与劳动分配",IF(D40="RG06","家庭、婚育与照护责任",IF(D40="RG07","身体、亲密、隐私与健康",IF(D40="RG08","冲突、修复与学习意愿","")))))))))</x:f>
      </x:c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>
        <x:f>IF(D40="","",IF(OR(D40="RG01",D40="RG02",D40="RG03",D40="RG06",D40="RG07",D40="RG08"),"核心","结构"))</x:f>
      </x:c>
      <x:c r="N40" s="34" t="str"/>
      <x:c r="O40" s="34" t="str"/>
    </x:row>
    <x:row r="41">
      <x:c r="A41" s="34" t="str">
        <x:v>M5-RG-0036</x:v>
      </x:c>
      <x:c r="B41" s="34" t="str"/>
      <x:c r="C41" s="34" t="str"/>
      <x:c r="D41" s="34" t="str"/>
      <x:c r="E41" s="34" t="str">
        <x:f>IF(D41="","",IF(D41="RG01","安全、同意与尊重",IF(D41="RG02","关系意图与承诺",IF(D41="RG03","价值观与人生目标",IF(D41="RG04","时间、地域与生活节奏",IF(D41="RG05","金钱、资源与劳动分配",IF(D41="RG06","家庭、婚育与照护责任",IF(D41="RG07","身体、亲密、隐私与健康",IF(D41="RG08","冲突、修复与学习意愿","")))))))))</x:f>
      </x:c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>
        <x:f>IF(D41="","",IF(OR(D41="RG01",D41="RG02",D41="RG03",D41="RG06",D41="RG07",D41="RG08"),"核心","结构"))</x:f>
      </x:c>
      <x:c r="N41" s="34" t="str"/>
      <x:c r="O41" s="34" t="str"/>
    </x:row>
    <x:row r="42">
      <x:c r="A42" s="34" t="str">
        <x:v>M5-RG-0037</x:v>
      </x:c>
      <x:c r="B42" s="34" t="str"/>
      <x:c r="C42" s="34" t="str"/>
      <x:c r="D42" s="34" t="str"/>
      <x:c r="E42" s="34" t="str">
        <x:f>IF(D42="","",IF(D42="RG01","安全、同意与尊重",IF(D42="RG02","关系意图与承诺",IF(D42="RG03","价值观与人生目标",IF(D42="RG04","时间、地域与生活节奏",IF(D42="RG05","金钱、资源与劳动分配",IF(D42="RG06","家庭、婚育与照护责任",IF(D42="RG07","身体、亲密、隐私与健康",IF(D42="RG08","冲突、修复与学习意愿","")))))))))</x:f>
      </x:c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>
        <x:f>IF(D42="","",IF(OR(D42="RG01",D42="RG02",D42="RG03",D42="RG06",D42="RG07",D42="RG08"),"核心","结构"))</x:f>
      </x:c>
      <x:c r="N42" s="34" t="str"/>
      <x:c r="O42" s="34" t="str"/>
    </x:row>
    <x:row r="43">
      <x:c r="A43" s="34" t="str">
        <x:v>M5-RG-0038</x:v>
      </x:c>
      <x:c r="B43" s="34" t="str"/>
      <x:c r="C43" s="34" t="str"/>
      <x:c r="D43" s="34" t="str"/>
      <x:c r="E43" s="34" t="str">
        <x:f>IF(D43="","",IF(D43="RG01","安全、同意与尊重",IF(D43="RG02","关系意图与承诺",IF(D43="RG03","价值观与人生目标",IF(D43="RG04","时间、地域与生活节奏",IF(D43="RG05","金钱、资源与劳动分配",IF(D43="RG06","家庭、婚育与照护责任",IF(D43="RG07","身体、亲密、隐私与健康",IF(D43="RG08","冲突、修复与学习意愿","")))))))))</x:f>
      </x:c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>
        <x:f>IF(D43="","",IF(OR(D43="RG01",D43="RG02",D43="RG03",D43="RG06",D43="RG07",D43="RG08"),"核心","结构"))</x:f>
      </x:c>
      <x:c r="N43" s="34" t="str"/>
      <x:c r="O43" s="34" t="str"/>
    </x:row>
    <x:row r="44">
      <x:c r="A44" s="34" t="str">
        <x:v>M5-RG-0039</x:v>
      </x:c>
      <x:c r="B44" s="34" t="str"/>
      <x:c r="C44" s="34" t="str"/>
      <x:c r="D44" s="34" t="str"/>
      <x:c r="E44" s="34" t="str">
        <x:f>IF(D44="","",IF(D44="RG01","安全、同意与尊重",IF(D44="RG02","关系意图与承诺",IF(D44="RG03","价值观与人生目标",IF(D44="RG04","时间、地域与生活节奏",IF(D44="RG05","金钱、资源与劳动分配",IF(D44="RG06","家庭、婚育与照护责任",IF(D44="RG07","身体、亲密、隐私与健康",IF(D44="RG08","冲突、修复与学习意愿","")))))))))</x:f>
      </x:c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>
        <x:f>IF(D44="","",IF(OR(D44="RG01",D44="RG02",D44="RG03",D44="RG06",D44="RG07",D44="RG08"),"核心","结构"))</x:f>
      </x:c>
      <x:c r="N44" s="34" t="str"/>
      <x:c r="O44" s="34" t="str"/>
    </x:row>
    <x:row r="45">
      <x:c r="A45" s="34" t="str">
        <x:v>M5-RG-0040</x:v>
      </x:c>
      <x:c r="B45" s="34" t="str"/>
      <x:c r="C45" s="34" t="str"/>
      <x:c r="D45" s="34" t="str"/>
      <x:c r="E45" s="34" t="str">
        <x:f>IF(D45="","",IF(D45="RG01","安全、同意与尊重",IF(D45="RG02","关系意图与承诺",IF(D45="RG03","价值观与人生目标",IF(D45="RG04","时间、地域与生活节奏",IF(D45="RG05","金钱、资源与劳动分配",IF(D45="RG06","家庭、婚育与照护责任",IF(D45="RG07","身体、亲密、隐私与健康",IF(D45="RG08","冲突、修复与学习意愿","")))))))))</x:f>
      </x:c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>
        <x:f>IF(D45="","",IF(OR(D45="RG01",D45="RG02",D45="RG03",D45="RG06",D45="RG07",D45="RG08"),"核心","结构"))</x:f>
      </x:c>
      <x:c r="N45" s="34" t="str"/>
      <x:c r="O45" s="34" t="str"/>
    </x:row>
    <x:row r="46">
      <x:c r="A46" s="34" t="str">
        <x:v>M5-RG-0041</x:v>
      </x:c>
      <x:c r="B46" s="34" t="str"/>
      <x:c r="C46" s="34" t="str"/>
      <x:c r="D46" s="34" t="str"/>
      <x:c r="E46" s="34" t="str">
        <x:f>IF(D46="","",IF(D46="RG01","安全、同意与尊重",IF(D46="RG02","关系意图与承诺",IF(D46="RG03","价值观与人生目标",IF(D46="RG04","时间、地域与生活节奏",IF(D46="RG05","金钱、资源与劳动分配",IF(D46="RG06","家庭、婚育与照护责任",IF(D46="RG07","身体、亲密、隐私与健康",IF(D46="RG08","冲突、修复与学习意愿","")))))))))</x:f>
      </x:c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>
        <x:f>IF(D46="","",IF(OR(D46="RG01",D46="RG02",D46="RG03",D46="RG06",D46="RG07",D46="RG08"),"核心","结构"))</x:f>
      </x:c>
      <x:c r="N46" s="34" t="str"/>
      <x:c r="O46" s="34" t="str"/>
    </x:row>
    <x:row r="47">
      <x:c r="A47" s="34" t="str">
        <x:v>M5-RG-0042</x:v>
      </x:c>
      <x:c r="B47" s="34" t="str"/>
      <x:c r="C47" s="34" t="str"/>
      <x:c r="D47" s="34" t="str"/>
      <x:c r="E47" s="34" t="str">
        <x:f>IF(D47="","",IF(D47="RG01","安全、同意与尊重",IF(D47="RG02","关系意图与承诺",IF(D47="RG03","价值观与人生目标",IF(D47="RG04","时间、地域与生活节奏",IF(D47="RG05","金钱、资源与劳动分配",IF(D47="RG06","家庭、婚育与照护责任",IF(D47="RG07","身体、亲密、隐私与健康",IF(D47="RG08","冲突、修复与学习意愿","")))))))))</x:f>
      </x:c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>
        <x:f>IF(D47="","",IF(OR(D47="RG01",D47="RG02",D47="RG03",D47="RG06",D47="RG07",D47="RG08"),"核心","结构"))</x:f>
      </x:c>
      <x:c r="N47" s="34" t="str"/>
      <x:c r="O47" s="34" t="str"/>
    </x:row>
    <x:row r="48">
      <x:c r="A48" s="34" t="str">
        <x:v>M5-RG-0043</x:v>
      </x:c>
      <x:c r="B48" s="34" t="str"/>
      <x:c r="C48" s="34" t="str"/>
      <x:c r="D48" s="34" t="str"/>
      <x:c r="E48" s="34" t="str">
        <x:f>IF(D48="","",IF(D48="RG01","安全、同意与尊重",IF(D48="RG02","关系意图与承诺",IF(D48="RG03","价值观与人生目标",IF(D48="RG04","时间、地域与生活节奏",IF(D48="RG05","金钱、资源与劳动分配",IF(D48="RG06","家庭、婚育与照护责任",IF(D48="RG07","身体、亲密、隐私与健康",IF(D48="RG08","冲突、修复与学习意愿","")))))))))</x:f>
      </x:c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>
        <x:f>IF(D48="","",IF(OR(D48="RG01",D48="RG02",D48="RG03",D48="RG06",D48="RG07",D48="RG08"),"核心","结构"))</x:f>
      </x:c>
      <x:c r="N48" s="34" t="str"/>
      <x:c r="O48" s="34" t="str"/>
    </x:row>
    <x:row r="49">
      <x:c r="A49" s="34" t="str">
        <x:v>M5-RG-0044</x:v>
      </x:c>
      <x:c r="B49" s="34" t="str"/>
      <x:c r="C49" s="34" t="str"/>
      <x:c r="D49" s="34" t="str"/>
      <x:c r="E49" s="34" t="str">
        <x:f>IF(D49="","",IF(D49="RG01","安全、同意与尊重",IF(D49="RG02","关系意图与承诺",IF(D49="RG03","价值观与人生目标",IF(D49="RG04","时间、地域与生活节奏",IF(D49="RG05","金钱、资源与劳动分配",IF(D49="RG06","家庭、婚育与照护责任",IF(D49="RG07","身体、亲密、隐私与健康",IF(D49="RG08","冲突、修复与学习意愿","")))))))))</x:f>
      </x:c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>
        <x:f>IF(D49="","",IF(OR(D49="RG01",D49="RG02",D49="RG03",D49="RG06",D49="RG07",D49="RG08"),"核心","结构"))</x:f>
      </x:c>
      <x:c r="N49" s="34" t="str"/>
      <x:c r="O49" s="34" t="str"/>
    </x:row>
    <x:row r="50">
      <x:c r="A50" s="34" t="str">
        <x:v>M5-RG-0045</x:v>
      </x:c>
      <x:c r="B50" s="34" t="str"/>
      <x:c r="C50" s="34" t="str"/>
      <x:c r="D50" s="34" t="str"/>
      <x:c r="E50" s="34" t="str">
        <x:f>IF(D50="","",IF(D50="RG01","安全、同意与尊重",IF(D50="RG02","关系意图与承诺",IF(D50="RG03","价值观与人生目标",IF(D50="RG04","时间、地域与生活节奏",IF(D50="RG05","金钱、资源与劳动分配",IF(D50="RG06","家庭、婚育与照护责任",IF(D50="RG07","身体、亲密、隐私与健康",IF(D50="RG08","冲突、修复与学习意愿","")))))))))</x:f>
      </x:c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>
        <x:f>IF(D50="","",IF(OR(D50="RG01",D50="RG02",D50="RG03",D50="RG06",D50="RG07",D50="RG08"),"核心","结构"))</x:f>
      </x:c>
      <x:c r="N50" s="34" t="str"/>
      <x:c r="O50" s="34" t="str"/>
    </x:row>
    <x:row r="51">
      <x:c r="A51" s="34" t="str">
        <x:v>M5-RG-0046</x:v>
      </x:c>
      <x:c r="B51" s="34" t="str"/>
      <x:c r="C51" s="34" t="str"/>
      <x:c r="D51" s="34" t="str"/>
      <x:c r="E51" s="34" t="str">
        <x:f>IF(D51="","",IF(D51="RG01","安全、同意与尊重",IF(D51="RG02","关系意图与承诺",IF(D51="RG03","价值观与人生目标",IF(D51="RG04","时间、地域与生活节奏",IF(D51="RG05","金钱、资源与劳动分配",IF(D51="RG06","家庭、婚育与照护责任",IF(D51="RG07","身体、亲密、隐私与健康",IF(D51="RG08","冲突、修复与学习意愿","")))))))))</x:f>
      </x:c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>
        <x:f>IF(D51="","",IF(OR(D51="RG01",D51="RG02",D51="RG03",D51="RG06",D51="RG07",D51="RG08"),"核心","结构"))</x:f>
      </x:c>
      <x:c r="N51" s="34" t="str"/>
      <x:c r="O51" s="34" t="str"/>
    </x:row>
    <x:row r="52">
      <x:c r="A52" s="34" t="str">
        <x:v>M5-RG-0047</x:v>
      </x:c>
      <x:c r="B52" s="34" t="str"/>
      <x:c r="C52" s="34" t="str"/>
      <x:c r="D52" s="34" t="str"/>
      <x:c r="E52" s="34" t="str">
        <x:f>IF(D52="","",IF(D52="RG01","安全、同意与尊重",IF(D52="RG02","关系意图与承诺",IF(D52="RG03","价值观与人生目标",IF(D52="RG04","时间、地域与生活节奏",IF(D52="RG05","金钱、资源与劳动分配",IF(D52="RG06","家庭、婚育与照护责任",IF(D52="RG07","身体、亲密、隐私与健康",IF(D52="RG08","冲突、修复与学习意愿","")))))))))</x:f>
      </x:c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>
        <x:f>IF(D52="","",IF(OR(D52="RG01",D52="RG02",D52="RG03",D52="RG06",D52="RG07",D52="RG08"),"核心","结构"))</x:f>
      </x:c>
      <x:c r="N52" s="34" t="str"/>
      <x:c r="O52" s="34" t="str"/>
    </x:row>
    <x:row r="53">
      <x:c r="A53" s="34" t="str">
        <x:v>M5-RG-0048</x:v>
      </x:c>
      <x:c r="B53" s="34" t="str"/>
      <x:c r="C53" s="34" t="str"/>
      <x:c r="D53" s="34" t="str"/>
      <x:c r="E53" s="34" t="str">
        <x:f>IF(D53="","",IF(D53="RG01","安全、同意与尊重",IF(D53="RG02","关系意图与承诺",IF(D53="RG03","价值观与人生目标",IF(D53="RG04","时间、地域与生活节奏",IF(D53="RG05","金钱、资源与劳动分配",IF(D53="RG06","家庭、婚育与照护责任",IF(D53="RG07","身体、亲密、隐私与健康",IF(D53="RG08","冲突、修复与学习意愿","")))))))))</x:f>
      </x:c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>
        <x:f>IF(D53="","",IF(OR(D53="RG01",D53="RG02",D53="RG03",D53="RG06",D53="RG07",D53="RG08"),"核心","结构"))</x:f>
      </x:c>
      <x:c r="N53" s="34" t="str"/>
      <x:c r="O53" s="34" t="str"/>
    </x:row>
    <x:row r="54">
      <x:c r="A54" s="34" t="str">
        <x:v>M5-RG-0049</x:v>
      </x:c>
      <x:c r="B54" s="34" t="str"/>
      <x:c r="C54" s="34" t="str"/>
      <x:c r="D54" s="34" t="str"/>
      <x:c r="E54" s="34" t="str">
        <x:f>IF(D54="","",IF(D54="RG01","安全、同意与尊重",IF(D54="RG02","关系意图与承诺",IF(D54="RG03","价值观与人生目标",IF(D54="RG04","时间、地域与生活节奏",IF(D54="RG05","金钱、资源与劳动分配",IF(D54="RG06","家庭、婚育与照护责任",IF(D54="RG07","身体、亲密、隐私与健康",IF(D54="RG08","冲突、修复与学习意愿","")))))))))</x:f>
      </x:c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>
        <x:f>IF(D54="","",IF(OR(D54="RG01",D54="RG02",D54="RG03",D54="RG06",D54="RG07",D54="RG08"),"核心","结构"))</x:f>
      </x:c>
      <x:c r="N54" s="34" t="str"/>
      <x:c r="O54" s="34" t="str"/>
    </x:row>
    <x:row r="55">
      <x:c r="A55" s="34" t="str">
        <x:v>M5-RG-0050</x:v>
      </x:c>
      <x:c r="B55" s="34" t="str"/>
      <x:c r="C55" s="34" t="str"/>
      <x:c r="D55" s="34" t="str"/>
      <x:c r="E55" s="34" t="str">
        <x:f>IF(D55="","",IF(D55="RG01","安全、同意与尊重",IF(D55="RG02","关系意图与承诺",IF(D55="RG03","价值观与人生目标",IF(D55="RG04","时间、地域与生活节奏",IF(D55="RG05","金钱、资源与劳动分配",IF(D55="RG06","家庭、婚育与照护责任",IF(D55="RG07","身体、亲密、隐私与健康",IF(D55="RG08","冲突、修复与学习意愿","")))))))))</x:f>
      </x:c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>
        <x:f>IF(D55="","",IF(OR(D55="RG01",D55="RG02",D55="RG03",D55="RG06",D55="RG07",D55="RG08"),"核心","结构"))</x:f>
      </x:c>
      <x:c r="N55" s="34" t="str"/>
      <x:c r="O55" s="34" t="str"/>
    </x:row>
    <x:row r="56">
      <x:c r="A56" s="34" t="str">
        <x:v>M5-RG-0051</x:v>
      </x:c>
      <x:c r="B56" s="34" t="str"/>
      <x:c r="C56" s="34" t="str"/>
      <x:c r="D56" s="34" t="str"/>
      <x:c r="E56" s="34" t="str">
        <x:f>IF(D56="","",IF(D56="RG01","安全、同意与尊重",IF(D56="RG02","关系意图与承诺",IF(D56="RG03","价值观与人生目标",IF(D56="RG04","时间、地域与生活节奏",IF(D56="RG05","金钱、资源与劳动分配",IF(D56="RG06","家庭、婚育与照护责任",IF(D56="RG07","身体、亲密、隐私与健康",IF(D56="RG08","冲突、修复与学习意愿","")))))))))</x:f>
      </x:c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>
        <x:f>IF(D56="","",IF(OR(D56="RG01",D56="RG02",D56="RG03",D56="RG06",D56="RG07",D56="RG08"),"核心","结构"))</x:f>
      </x:c>
      <x:c r="N56" s="34" t="str"/>
      <x:c r="O56" s="34" t="str"/>
    </x:row>
    <x:row r="57">
      <x:c r="A57" s="34" t="str">
        <x:v>M5-RG-0052</x:v>
      </x:c>
      <x:c r="B57" s="34" t="str"/>
      <x:c r="C57" s="34" t="str"/>
      <x:c r="D57" s="34" t="str"/>
      <x:c r="E57" s="34" t="str">
        <x:f>IF(D57="","",IF(D57="RG01","安全、同意与尊重",IF(D57="RG02","关系意图与承诺",IF(D57="RG03","价值观与人生目标",IF(D57="RG04","时间、地域与生活节奏",IF(D57="RG05","金钱、资源与劳动分配",IF(D57="RG06","家庭、婚育与照护责任",IF(D57="RG07","身体、亲密、隐私与健康",IF(D57="RG08","冲突、修复与学习意愿","")))))))))</x:f>
      </x:c>
      <x:c r="F57" s="34" t="str"/>
      <x:c r="G57" s="34" t="str"/>
      <x:c r="H57" s="34" t="str"/>
      <x:c r="I57" s="34" t="str"/>
      <x:c r="J57" s="34" t="str"/>
      <x:c r="K57" s="34" t="str"/>
      <x:c r="L57" s="34" t="str"/>
      <x:c r="M57" s="34" t="str">
        <x:f>IF(D57="","",IF(OR(D57="RG01",D57="RG02",D57="RG03",D57="RG06",D57="RG07",D57="RG08"),"核心","结构"))</x:f>
      </x:c>
      <x:c r="N57" s="34" t="str"/>
      <x:c r="O57" s="34" t="str"/>
    </x:row>
    <x:row r="58">
      <x:c r="A58" s="34" t="str">
        <x:v>M5-RG-0053</x:v>
      </x:c>
      <x:c r="B58" s="34" t="str"/>
      <x:c r="C58" s="34" t="str"/>
      <x:c r="D58" s="34" t="str"/>
      <x:c r="E58" s="34" t="str">
        <x:f>IF(D58="","",IF(D58="RG01","安全、同意与尊重",IF(D58="RG02","关系意图与承诺",IF(D58="RG03","价值观与人生目标",IF(D58="RG04","时间、地域与生活节奏",IF(D58="RG05","金钱、资源与劳动分配",IF(D58="RG06","家庭、婚育与照护责任",IF(D58="RG07","身体、亲密、隐私与健康",IF(D58="RG08","冲突、修复与学习意愿","")))))))))</x:f>
      </x:c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>
        <x:f>IF(D58="","",IF(OR(D58="RG01",D58="RG02",D58="RG03",D58="RG06",D58="RG07",D58="RG08"),"核心","结构"))</x:f>
      </x:c>
      <x:c r="N58" s="34" t="str"/>
      <x:c r="O58" s="34" t="str"/>
    </x:row>
    <x:row r="59">
      <x:c r="A59" s="34" t="str">
        <x:v>M5-RG-0054</x:v>
      </x:c>
      <x:c r="B59" s="34" t="str"/>
      <x:c r="C59" s="34" t="str"/>
      <x:c r="D59" s="34" t="str"/>
      <x:c r="E59" s="34" t="str">
        <x:f>IF(D59="","",IF(D59="RG01","安全、同意与尊重",IF(D59="RG02","关系意图与承诺",IF(D59="RG03","价值观与人生目标",IF(D59="RG04","时间、地域与生活节奏",IF(D59="RG05","金钱、资源与劳动分配",IF(D59="RG06","家庭、婚育与照护责任",IF(D59="RG07","身体、亲密、隐私与健康",IF(D59="RG08","冲突、修复与学习意愿","")))))))))</x:f>
      </x:c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>
        <x:f>IF(D59="","",IF(OR(D59="RG01",D59="RG02",D59="RG03",D59="RG06",D59="RG07",D59="RG08"),"核心","结构"))</x:f>
      </x:c>
      <x:c r="N59" s="34" t="str"/>
      <x:c r="O59" s="34" t="str"/>
    </x:row>
    <x:row r="60">
      <x:c r="A60" s="34" t="str">
        <x:v>M5-RG-0055</x:v>
      </x:c>
      <x:c r="B60" s="34" t="str"/>
      <x:c r="C60" s="34" t="str"/>
      <x:c r="D60" s="34" t="str"/>
      <x:c r="E60" s="34" t="str">
        <x:f>IF(D60="","",IF(D60="RG01","安全、同意与尊重",IF(D60="RG02","关系意图与承诺",IF(D60="RG03","价值观与人生目标",IF(D60="RG04","时间、地域与生活节奏",IF(D60="RG05","金钱、资源与劳动分配",IF(D60="RG06","家庭、婚育与照护责任",IF(D60="RG07","身体、亲密、隐私与健康",IF(D60="RG08","冲突、修复与学习意愿","")))))))))</x:f>
      </x:c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>
        <x:f>IF(D60="","",IF(OR(D60="RG01",D60="RG02",D60="RG03",D60="RG06",D60="RG07",D60="RG08"),"核心","结构"))</x:f>
      </x:c>
      <x:c r="N60" s="34" t="str"/>
      <x:c r="O60" s="34" t="str"/>
    </x:row>
    <x:row r="61">
      <x:c r="A61" s="34" t="str">
        <x:v>M5-RG-0056</x:v>
      </x:c>
      <x:c r="B61" s="34" t="str"/>
      <x:c r="C61" s="34" t="str"/>
      <x:c r="D61" s="34" t="str"/>
      <x:c r="E61" s="34" t="str">
        <x:f>IF(D61="","",IF(D61="RG01","安全、同意与尊重",IF(D61="RG02","关系意图与承诺",IF(D61="RG03","价值观与人生目标",IF(D61="RG04","时间、地域与生活节奏",IF(D61="RG05","金钱、资源与劳动分配",IF(D61="RG06","家庭、婚育与照护责任",IF(D61="RG07","身体、亲密、隐私与健康",IF(D61="RG08","冲突、修复与学习意愿","")))))))))</x:f>
      </x:c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>
        <x:f>IF(D61="","",IF(OR(D61="RG01",D61="RG02",D61="RG03",D61="RG06",D61="RG07",D61="RG08"),"核心","结构"))</x:f>
      </x:c>
      <x:c r="N61" s="34" t="str"/>
      <x:c r="O61" s="34" t="str"/>
    </x:row>
    <x:row r="62">
      <x:c r="A62" s="34" t="str">
        <x:v>M5-RG-0057</x:v>
      </x:c>
      <x:c r="B62" s="34" t="str"/>
      <x:c r="C62" s="34" t="str"/>
      <x:c r="D62" s="34" t="str"/>
      <x:c r="E62" s="34" t="str">
        <x:f>IF(D62="","",IF(D62="RG01","安全、同意与尊重",IF(D62="RG02","关系意图与承诺",IF(D62="RG03","价值观与人生目标",IF(D62="RG04","时间、地域与生活节奏",IF(D62="RG05","金钱、资源与劳动分配",IF(D62="RG06","家庭、婚育与照护责任",IF(D62="RG07","身体、亲密、隐私与健康",IF(D62="RG08","冲突、修复与学习意愿","")))))))))</x:f>
      </x:c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>
        <x:f>IF(D62="","",IF(OR(D62="RG01",D62="RG02",D62="RG03",D62="RG06",D62="RG07",D62="RG08"),"核心","结构"))</x:f>
      </x:c>
      <x:c r="N62" s="34" t="str"/>
      <x:c r="O62" s="34" t="str"/>
    </x:row>
    <x:row r="63">
      <x:c r="A63" s="34" t="str">
        <x:v>M5-RG-0058</x:v>
      </x:c>
      <x:c r="B63" s="34" t="str"/>
      <x:c r="C63" s="34" t="str"/>
      <x:c r="D63" s="34" t="str"/>
      <x:c r="E63" s="34" t="str">
        <x:f>IF(D63="","",IF(D63="RG01","安全、同意与尊重",IF(D63="RG02","关系意图与承诺",IF(D63="RG03","价值观与人生目标",IF(D63="RG04","时间、地域与生活节奏",IF(D63="RG05","金钱、资源与劳动分配",IF(D63="RG06","家庭、婚育与照护责任",IF(D63="RG07","身体、亲密、隐私与健康",IF(D63="RG08","冲突、修复与学习意愿","")))))))))</x:f>
      </x:c>
      <x:c r="F63" s="34" t="str"/>
      <x:c r="G63" s="34" t="str"/>
      <x:c r="H63" s="34" t="str"/>
      <x:c r="I63" s="34" t="str"/>
      <x:c r="J63" s="34" t="str"/>
      <x:c r="K63" s="34" t="str"/>
      <x:c r="L63" s="34" t="str"/>
      <x:c r="M63" s="34" t="str">
        <x:f>IF(D63="","",IF(OR(D63="RG01",D63="RG02",D63="RG03",D63="RG06",D63="RG07",D63="RG08"),"核心","结构"))</x:f>
      </x:c>
      <x:c r="N63" s="34" t="str"/>
      <x:c r="O63" s="34" t="str"/>
    </x:row>
    <x:row r="64">
      <x:c r="A64" s="34" t="str">
        <x:v>M5-RG-0059</x:v>
      </x:c>
      <x:c r="B64" s="34" t="str"/>
      <x:c r="C64" s="34" t="str"/>
      <x:c r="D64" s="34" t="str"/>
      <x:c r="E64" s="34" t="str">
        <x:f>IF(D64="","",IF(D64="RG01","安全、同意与尊重",IF(D64="RG02","关系意图与承诺",IF(D64="RG03","价值观与人生目标",IF(D64="RG04","时间、地域与生活节奏",IF(D64="RG05","金钱、资源与劳动分配",IF(D64="RG06","家庭、婚育与照护责任",IF(D64="RG07","身体、亲密、隐私与健康",IF(D64="RG08","冲突、修复与学习意愿","")))))))))</x:f>
      </x:c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>
        <x:f>IF(D64="","",IF(OR(D64="RG01",D64="RG02",D64="RG03",D64="RG06",D64="RG07",D64="RG08"),"核心","结构"))</x:f>
      </x:c>
      <x:c r="N64" s="34" t="str"/>
      <x:c r="O64" s="34" t="str"/>
    </x:row>
    <x:row r="65">
      <x:c r="A65" s="34" t="str">
        <x:v>M5-RG-0060</x:v>
      </x:c>
      <x:c r="B65" s="34" t="str"/>
      <x:c r="C65" s="34" t="str"/>
      <x:c r="D65" s="34" t="str"/>
      <x:c r="E65" s="34" t="str">
        <x:f>IF(D65="","",IF(D65="RG01","安全、同意与尊重",IF(D65="RG02","关系意图与承诺",IF(D65="RG03","价值观与人生目标",IF(D65="RG04","时间、地域与生活节奏",IF(D65="RG05","金钱、资源与劳动分配",IF(D65="RG06","家庭、婚育与照护责任",IF(D65="RG07","身体、亲密、隐私与健康",IF(D65="RG08","冲突、修复与学习意愿","")))))))))</x:f>
      </x:c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>
        <x:f>IF(D65="","",IF(OR(D65="RG01",D65="RG02",D65="RG03",D65="RG06",D65="RG07",D65="RG08"),"核心","结构"))</x:f>
      </x:c>
      <x:c r="N65" s="34" t="str"/>
      <x:c r="O65" s="34" t="str"/>
    </x:row>
    <x:row r="66">
      <x:c r="A66" s="34" t="str">
        <x:v>M5-RG-0061</x:v>
      </x:c>
      <x:c r="B66" s="34" t="str"/>
      <x:c r="C66" s="34" t="str"/>
      <x:c r="D66" s="34" t="str"/>
      <x:c r="E66" s="34" t="str">
        <x:f>IF(D66="","",IF(D66="RG01","安全、同意与尊重",IF(D66="RG02","关系意图与承诺",IF(D66="RG03","价值观与人生目标",IF(D66="RG04","时间、地域与生活节奏",IF(D66="RG05","金钱、资源与劳动分配",IF(D66="RG06","家庭、婚育与照护责任",IF(D66="RG07","身体、亲密、隐私与健康",IF(D66="RG08","冲突、修复与学习意愿","")))))))))</x:f>
      </x:c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>
        <x:f>IF(D66="","",IF(OR(D66="RG01",D66="RG02",D66="RG03",D66="RG06",D66="RG07",D66="RG08"),"核心","结构"))</x:f>
      </x:c>
      <x:c r="N66" s="34" t="str"/>
      <x:c r="O66" s="34" t="str"/>
    </x:row>
    <x:row r="67">
      <x:c r="A67" s="34" t="str">
        <x:v>M5-RG-0062</x:v>
      </x:c>
      <x:c r="B67" s="34" t="str"/>
      <x:c r="C67" s="34" t="str"/>
      <x:c r="D67" s="34" t="str"/>
      <x:c r="E67" s="34" t="str">
        <x:f>IF(D67="","",IF(D67="RG01","安全、同意与尊重",IF(D67="RG02","关系意图与承诺",IF(D67="RG03","价值观与人生目标",IF(D67="RG04","时间、地域与生活节奏",IF(D67="RG05","金钱、资源与劳动分配",IF(D67="RG06","家庭、婚育与照护责任",IF(D67="RG07","身体、亲密、隐私与健康",IF(D67="RG08","冲突、修复与学习意愿","")))))))))</x:f>
      </x:c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>
        <x:f>IF(D67="","",IF(OR(D67="RG01",D67="RG02",D67="RG03",D67="RG06",D67="RG07",D67="RG08"),"核心","结构"))</x:f>
      </x:c>
      <x:c r="N67" s="34" t="str"/>
      <x:c r="O67" s="34" t="str"/>
    </x:row>
    <x:row r="68">
      <x:c r="A68" s="34" t="str">
        <x:v>M5-RG-0063</x:v>
      </x:c>
      <x:c r="B68" s="34" t="str"/>
      <x:c r="C68" s="34" t="str"/>
      <x:c r="D68" s="34" t="str"/>
      <x:c r="E68" s="34" t="str">
        <x:f>IF(D68="","",IF(D68="RG01","安全、同意与尊重",IF(D68="RG02","关系意图与承诺",IF(D68="RG03","价值观与人生目标",IF(D68="RG04","时间、地域与生活节奏",IF(D68="RG05","金钱、资源与劳动分配",IF(D68="RG06","家庭、婚育与照护责任",IF(D68="RG07","身体、亲密、隐私与健康",IF(D68="RG08","冲突、修复与学习意愿","")))))))))</x:f>
      </x:c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>
        <x:f>IF(D68="","",IF(OR(D68="RG01",D68="RG02",D68="RG03",D68="RG06",D68="RG07",D68="RG08"),"核心","结构"))</x:f>
      </x:c>
      <x:c r="N68" s="34" t="str"/>
      <x:c r="O68" s="34" t="str"/>
    </x:row>
    <x:row r="69">
      <x:c r="A69" s="34" t="str">
        <x:v>M5-RG-0064</x:v>
      </x:c>
      <x:c r="B69" s="34" t="str"/>
      <x:c r="C69" s="34" t="str"/>
      <x:c r="D69" s="34" t="str"/>
      <x:c r="E69" s="34" t="str">
        <x:f>IF(D69="","",IF(D69="RG01","安全、同意与尊重",IF(D69="RG02","关系意图与承诺",IF(D69="RG03","价值观与人生目标",IF(D69="RG04","时间、地域与生活节奏",IF(D69="RG05","金钱、资源与劳动分配",IF(D69="RG06","家庭、婚育与照护责任",IF(D69="RG07","身体、亲密、隐私与健康",IF(D69="RG08","冲突、修复与学习意愿","")))))))))</x:f>
      </x:c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>
        <x:f>IF(D69="","",IF(OR(D69="RG01",D69="RG02",D69="RG03",D69="RG06",D69="RG07",D69="RG08"),"核心","结构"))</x:f>
      </x:c>
      <x:c r="N69" s="34" t="str"/>
      <x:c r="O69" s="34" t="str"/>
    </x:row>
    <x:row r="70">
      <x:c r="A70" s="34" t="str">
        <x:v>M5-RG-0065</x:v>
      </x:c>
      <x:c r="B70" s="34" t="str"/>
      <x:c r="C70" s="34" t="str"/>
      <x:c r="D70" s="34" t="str"/>
      <x:c r="E70" s="34" t="str">
        <x:f>IF(D70="","",IF(D70="RG01","安全、同意与尊重",IF(D70="RG02","关系意图与承诺",IF(D70="RG03","价值观与人生目标",IF(D70="RG04","时间、地域与生活节奏",IF(D70="RG05","金钱、资源与劳动分配",IF(D70="RG06","家庭、婚育与照护责任",IF(D70="RG07","身体、亲密、隐私与健康",IF(D70="RG08","冲突、修复与学习意愿","")))))))))</x:f>
      </x:c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>
        <x:f>IF(D70="","",IF(OR(D70="RG01",D70="RG02",D70="RG03",D70="RG06",D70="RG07",D70="RG08"),"核心","结构"))</x:f>
      </x:c>
      <x:c r="N70" s="34" t="str"/>
      <x:c r="O70" s="34" t="str"/>
    </x:row>
    <x:row r="71">
      <x:c r="A71" s="34" t="str">
        <x:v>M5-RG-0066</x:v>
      </x:c>
      <x:c r="B71" s="34" t="str"/>
      <x:c r="C71" s="34" t="str"/>
      <x:c r="D71" s="34" t="str"/>
      <x:c r="E71" s="34" t="str">
        <x:f>IF(D71="","",IF(D71="RG01","安全、同意与尊重",IF(D71="RG02","关系意图与承诺",IF(D71="RG03","价值观与人生目标",IF(D71="RG04","时间、地域与生活节奏",IF(D71="RG05","金钱、资源与劳动分配",IF(D71="RG06","家庭、婚育与照护责任",IF(D71="RG07","身体、亲密、隐私与健康",IF(D71="RG08","冲突、修复与学习意愿","")))))))))</x:f>
      </x:c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>
        <x:f>IF(D71="","",IF(OR(D71="RG01",D71="RG02",D71="RG03",D71="RG06",D71="RG07",D71="RG08"),"核心","结构"))</x:f>
      </x:c>
      <x:c r="N71" s="34" t="str"/>
      <x:c r="O71" s="34" t="str"/>
    </x:row>
    <x:row r="72">
      <x:c r="A72" s="34" t="str">
        <x:v>M5-RG-0067</x:v>
      </x:c>
      <x:c r="B72" s="34" t="str"/>
      <x:c r="C72" s="34" t="str"/>
      <x:c r="D72" s="34" t="str"/>
      <x:c r="E72" s="34" t="str">
        <x:f>IF(D72="","",IF(D72="RG01","安全、同意与尊重",IF(D72="RG02","关系意图与承诺",IF(D72="RG03","价值观与人生目标",IF(D72="RG04","时间、地域与生活节奏",IF(D72="RG05","金钱、资源与劳动分配",IF(D72="RG06","家庭、婚育与照护责任",IF(D72="RG07","身体、亲密、隐私与健康",IF(D72="RG08","冲突、修复与学习意愿","")))))))))</x:f>
      </x:c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>
        <x:f>IF(D72="","",IF(OR(D72="RG01",D72="RG02",D72="RG03",D72="RG06",D72="RG07",D72="RG08"),"核心","结构"))</x:f>
      </x:c>
      <x:c r="N72" s="34" t="str"/>
      <x:c r="O72" s="34" t="str"/>
    </x:row>
    <x:row r="73">
      <x:c r="A73" s="34" t="str">
        <x:v>M5-RG-0068</x:v>
      </x:c>
      <x:c r="B73" s="34" t="str"/>
      <x:c r="C73" s="34" t="str"/>
      <x:c r="D73" s="34" t="str"/>
      <x:c r="E73" s="34" t="str">
        <x:f>IF(D73="","",IF(D73="RG01","安全、同意与尊重",IF(D73="RG02","关系意图与承诺",IF(D73="RG03","价值观与人生目标",IF(D73="RG04","时间、地域与生活节奏",IF(D73="RG05","金钱、资源与劳动分配",IF(D73="RG06","家庭、婚育与照护责任",IF(D73="RG07","身体、亲密、隐私与健康",IF(D73="RG08","冲突、修复与学习意愿","")))))))))</x:f>
      </x:c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>
        <x:f>IF(D73="","",IF(OR(D73="RG01",D73="RG02",D73="RG03",D73="RG06",D73="RG07",D73="RG08"),"核心","结构"))</x:f>
      </x:c>
      <x:c r="N73" s="34" t="str"/>
      <x:c r="O73" s="34" t="str"/>
    </x:row>
    <x:row r="74">
      <x:c r="A74" s="34" t="str">
        <x:v>M5-RG-0069</x:v>
      </x:c>
      <x:c r="B74" s="34" t="str"/>
      <x:c r="C74" s="34" t="str"/>
      <x:c r="D74" s="34" t="str"/>
      <x:c r="E74" s="34" t="str">
        <x:f>IF(D74="","",IF(D74="RG01","安全、同意与尊重",IF(D74="RG02","关系意图与承诺",IF(D74="RG03","价值观与人生目标",IF(D74="RG04","时间、地域与生活节奏",IF(D74="RG05","金钱、资源与劳动分配",IF(D74="RG06","家庭、婚育与照护责任",IF(D74="RG07","身体、亲密、隐私与健康",IF(D74="RG08","冲突、修复与学习意愿","")))))))))</x:f>
      </x:c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>
        <x:f>IF(D74="","",IF(OR(D74="RG01",D74="RG02",D74="RG03",D74="RG06",D74="RG07",D74="RG08"),"核心","结构"))</x:f>
      </x:c>
      <x:c r="N74" s="34" t="str"/>
      <x:c r="O74" s="34" t="str"/>
    </x:row>
    <x:row r="75">
      <x:c r="A75" s="34" t="str">
        <x:v>M5-RG-0070</x:v>
      </x:c>
      <x:c r="B75" s="34" t="str"/>
      <x:c r="C75" s="34" t="str"/>
      <x:c r="D75" s="34" t="str"/>
      <x:c r="E75" s="34" t="str">
        <x:f>IF(D75="","",IF(D75="RG01","安全、同意与尊重",IF(D75="RG02","关系意图与承诺",IF(D75="RG03","价值观与人生目标",IF(D75="RG04","时间、地域与生活节奏",IF(D75="RG05","金钱、资源与劳动分配",IF(D75="RG06","家庭、婚育与照护责任",IF(D75="RG07","身体、亲密、隐私与健康",IF(D75="RG08","冲突、修复与学习意愿","")))))))))</x:f>
      </x:c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>
        <x:f>IF(D75="","",IF(OR(D75="RG01",D75="RG02",D75="RG03",D75="RG06",D75="RG07",D75="RG08"),"核心","结构"))</x:f>
      </x:c>
      <x:c r="N75" s="34" t="str"/>
      <x:c r="O75" s="34" t="str"/>
    </x:row>
    <x:row r="76">
      <x:c r="A76" s="34" t="str">
        <x:v>M5-RG-0071</x:v>
      </x:c>
      <x:c r="B76" s="34" t="str"/>
      <x:c r="C76" s="34" t="str"/>
      <x:c r="D76" s="34" t="str"/>
      <x:c r="E76" s="34" t="str">
        <x:f>IF(D76="","",IF(D76="RG01","安全、同意与尊重",IF(D76="RG02","关系意图与承诺",IF(D76="RG03","价值观与人生目标",IF(D76="RG04","时间、地域与生活节奏",IF(D76="RG05","金钱、资源与劳动分配",IF(D76="RG06","家庭、婚育与照护责任",IF(D76="RG07","身体、亲密、隐私与健康",IF(D76="RG08","冲突、修复与学习意愿","")))))))))</x:f>
      </x:c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>
        <x:f>IF(D76="","",IF(OR(D76="RG01",D76="RG02",D76="RG03",D76="RG06",D76="RG07",D76="RG08"),"核心","结构"))</x:f>
      </x:c>
      <x:c r="N76" s="34" t="str"/>
      <x:c r="O76" s="34" t="str"/>
    </x:row>
    <x:row r="77">
      <x:c r="A77" s="34" t="str">
        <x:v>M5-RG-0072</x:v>
      </x:c>
      <x:c r="B77" s="34" t="str"/>
      <x:c r="C77" s="34" t="str"/>
      <x:c r="D77" s="34" t="str"/>
      <x:c r="E77" s="34" t="str">
        <x:f>IF(D77="","",IF(D77="RG01","安全、同意与尊重",IF(D77="RG02","关系意图与承诺",IF(D77="RG03","价值观与人生目标",IF(D77="RG04","时间、地域与生活节奏",IF(D77="RG05","金钱、资源与劳动分配",IF(D77="RG06","家庭、婚育与照护责任",IF(D77="RG07","身体、亲密、隐私与健康",IF(D77="RG08","冲突、修复与学习意愿","")))))))))</x:f>
      </x:c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>
        <x:f>IF(D77="","",IF(OR(D77="RG01",D77="RG02",D77="RG03",D77="RG06",D77="RG07",D77="RG08"),"核心","结构"))</x:f>
      </x:c>
      <x:c r="N77" s="34" t="str"/>
      <x:c r="O77" s="34" t="str"/>
    </x:row>
    <x:row r="78">
      <x:c r="A78" s="34" t="str">
        <x:v>M5-RG-0073</x:v>
      </x:c>
      <x:c r="B78" s="34" t="str"/>
      <x:c r="C78" s="34" t="str"/>
      <x:c r="D78" s="34" t="str"/>
      <x:c r="E78" s="34" t="str">
        <x:f>IF(D78="","",IF(D78="RG01","安全、同意与尊重",IF(D78="RG02","关系意图与承诺",IF(D78="RG03","价值观与人生目标",IF(D78="RG04","时间、地域与生活节奏",IF(D78="RG05","金钱、资源与劳动分配",IF(D78="RG06","家庭、婚育与照护责任",IF(D78="RG07","身体、亲密、隐私与健康",IF(D78="RG08","冲突、修复与学习意愿","")))))))))</x:f>
      </x:c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>
        <x:f>IF(D78="","",IF(OR(D78="RG01",D78="RG02",D78="RG03",D78="RG06",D78="RG07",D78="RG08"),"核心","结构"))</x:f>
      </x:c>
      <x:c r="N78" s="34" t="str"/>
      <x:c r="O78" s="34" t="str"/>
    </x:row>
    <x:row r="79">
      <x:c r="A79" s="34" t="str">
        <x:v>M5-RG-0074</x:v>
      </x:c>
      <x:c r="B79" s="34" t="str"/>
      <x:c r="C79" s="34" t="str"/>
      <x:c r="D79" s="34" t="str"/>
      <x:c r="E79" s="34" t="str">
        <x:f>IF(D79="","",IF(D79="RG01","安全、同意与尊重",IF(D79="RG02","关系意图与承诺",IF(D79="RG03","价值观与人生目标",IF(D79="RG04","时间、地域与生活节奏",IF(D79="RG05","金钱、资源与劳动分配",IF(D79="RG06","家庭、婚育与照护责任",IF(D79="RG07","身体、亲密、隐私与健康",IF(D79="RG08","冲突、修复与学习意愿","")))))))))</x:f>
      </x:c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>
        <x:f>IF(D79="","",IF(OR(D79="RG01",D79="RG02",D79="RG03",D79="RG06",D79="RG07",D79="RG08"),"核心","结构"))</x:f>
      </x:c>
      <x:c r="N79" s="34" t="str"/>
      <x:c r="O79" s="34" t="str"/>
    </x:row>
    <x:row r="80">
      <x:c r="A80" s="34" t="str">
        <x:v>M5-RG-0075</x:v>
      </x:c>
      <x:c r="B80" s="34" t="str"/>
      <x:c r="C80" s="34" t="str"/>
      <x:c r="D80" s="34" t="str"/>
      <x:c r="E80" s="34" t="str">
        <x:f>IF(D80="","",IF(D80="RG01","安全、同意与尊重",IF(D80="RG02","关系意图与承诺",IF(D80="RG03","价值观与人生目标",IF(D80="RG04","时间、地域与生活节奏",IF(D80="RG05","金钱、资源与劳动分配",IF(D80="RG06","家庭、婚育与照护责任",IF(D80="RG07","身体、亲密、隐私与健康",IF(D80="RG08","冲突、修复与学习意愿","")))))))))</x:f>
      </x:c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>
        <x:f>IF(D80="","",IF(OR(D80="RG01",D80="RG02",D80="RG03",D80="RG06",D80="RG07",D80="RG08"),"核心","结构"))</x:f>
      </x:c>
      <x:c r="N80" s="34" t="str"/>
      <x:c r="O80" s="34" t="str"/>
    </x:row>
    <x:row r="81">
      <x:c r="A81" s="34" t="str">
        <x:v>M5-RG-0076</x:v>
      </x:c>
      <x:c r="B81" s="34" t="str"/>
      <x:c r="C81" s="34" t="str"/>
      <x:c r="D81" s="34" t="str"/>
      <x:c r="E81" s="34" t="str">
        <x:f>IF(D81="","",IF(D81="RG01","安全、同意与尊重",IF(D81="RG02","关系意图与承诺",IF(D81="RG03","价值观与人生目标",IF(D81="RG04","时间、地域与生活节奏",IF(D81="RG05","金钱、资源与劳动分配",IF(D81="RG06","家庭、婚育与照护责任",IF(D81="RG07","身体、亲密、隐私与健康",IF(D81="RG08","冲突、修复与学习意愿","")))))))))</x:f>
      </x:c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>
        <x:f>IF(D81="","",IF(OR(D81="RG01",D81="RG02",D81="RG03",D81="RG06",D81="RG07",D81="RG08"),"核心","结构"))</x:f>
      </x:c>
      <x:c r="N81" s="34" t="str"/>
      <x:c r="O81" s="34" t="str"/>
    </x:row>
    <x:row r="82">
      <x:c r="A82" s="34" t="str">
        <x:v>M5-RG-0077</x:v>
      </x:c>
      <x:c r="B82" s="34" t="str"/>
      <x:c r="C82" s="34" t="str"/>
      <x:c r="D82" s="34" t="str"/>
      <x:c r="E82" s="34" t="str">
        <x:f>IF(D82="","",IF(D82="RG01","安全、同意与尊重",IF(D82="RG02","关系意图与承诺",IF(D82="RG03","价值观与人生目标",IF(D82="RG04","时间、地域与生活节奏",IF(D82="RG05","金钱、资源与劳动分配",IF(D82="RG06","家庭、婚育与照护责任",IF(D82="RG07","身体、亲密、隐私与健康",IF(D82="RG08","冲突、修复与学习意愿","")))))))))</x:f>
      </x:c>
      <x:c r="F82" s="34" t="str"/>
      <x:c r="G82" s="34" t="str"/>
      <x:c r="H82" s="34" t="str"/>
      <x:c r="I82" s="34" t="str"/>
      <x:c r="J82" s="34" t="str"/>
      <x:c r="K82" s="34" t="str"/>
      <x:c r="L82" s="34" t="str"/>
      <x:c r="M82" s="34" t="str">
        <x:f>IF(D82="","",IF(OR(D82="RG01",D82="RG02",D82="RG03",D82="RG06",D82="RG07",D82="RG08"),"核心","结构"))</x:f>
      </x:c>
      <x:c r="N82" s="34" t="str"/>
      <x:c r="O82" s="34" t="str"/>
    </x:row>
    <x:row r="83">
      <x:c r="A83" s="34" t="str">
        <x:v>M5-RG-0078</x:v>
      </x:c>
      <x:c r="B83" s="34" t="str"/>
      <x:c r="C83" s="34" t="str"/>
      <x:c r="D83" s="34" t="str"/>
      <x:c r="E83" s="34" t="str">
        <x:f>IF(D83="","",IF(D83="RG01","安全、同意与尊重",IF(D83="RG02","关系意图与承诺",IF(D83="RG03","价值观与人生目标",IF(D83="RG04","时间、地域与生活节奏",IF(D83="RG05","金钱、资源与劳动分配",IF(D83="RG06","家庭、婚育与照护责任",IF(D83="RG07","身体、亲密、隐私与健康",IF(D83="RG08","冲突、修复与学习意愿","")))))))))</x:f>
      </x:c>
      <x:c r="F83" s="34" t="str"/>
      <x:c r="G83" s="34" t="str"/>
      <x:c r="H83" s="34" t="str"/>
      <x:c r="I83" s="34" t="str"/>
      <x:c r="J83" s="34" t="str"/>
      <x:c r="K83" s="34" t="str"/>
      <x:c r="L83" s="34" t="str"/>
      <x:c r="M83" s="34" t="str">
        <x:f>IF(D83="","",IF(OR(D83="RG01",D83="RG02",D83="RG03",D83="RG06",D83="RG07",D83="RG08"),"核心","结构"))</x:f>
      </x:c>
      <x:c r="N83" s="34" t="str"/>
      <x:c r="O83" s="34" t="str"/>
    </x:row>
    <x:row r="84">
      <x:c r="A84" s="34" t="str">
        <x:v>M5-RG-0079</x:v>
      </x:c>
      <x:c r="B84" s="34" t="str"/>
      <x:c r="C84" s="34" t="str"/>
      <x:c r="D84" s="34" t="str"/>
      <x:c r="E84" s="34" t="str">
        <x:f>IF(D84="","",IF(D84="RG01","安全、同意与尊重",IF(D84="RG02","关系意图与承诺",IF(D84="RG03","价值观与人生目标",IF(D84="RG04","时间、地域与生活节奏",IF(D84="RG05","金钱、资源与劳动分配",IF(D84="RG06","家庭、婚育与照护责任",IF(D84="RG07","身体、亲密、隐私与健康",IF(D84="RG08","冲突、修复与学习意愿","")))))))))</x:f>
      </x:c>
      <x:c r="F84" s="34" t="str"/>
      <x:c r="G84" s="34" t="str"/>
      <x:c r="H84" s="34" t="str"/>
      <x:c r="I84" s="34" t="str"/>
      <x:c r="J84" s="34" t="str"/>
      <x:c r="K84" s="34" t="str"/>
      <x:c r="L84" s="34" t="str"/>
      <x:c r="M84" s="34" t="str">
        <x:f>IF(D84="","",IF(OR(D84="RG01",D84="RG02",D84="RG03",D84="RG06",D84="RG07",D84="RG08"),"核心","结构"))</x:f>
      </x:c>
      <x:c r="N84" s="34" t="str"/>
      <x:c r="O84" s="34" t="str"/>
    </x:row>
    <x:row r="85">
      <x:c r="A85" s="34" t="str">
        <x:v>M5-RG-0080</x:v>
      </x:c>
      <x:c r="B85" s="34" t="str"/>
      <x:c r="C85" s="34" t="str"/>
      <x:c r="D85" s="34" t="str"/>
      <x:c r="E85" s="34" t="str">
        <x:f>IF(D85="","",IF(D85="RG01","安全、同意与尊重",IF(D85="RG02","关系意图与承诺",IF(D85="RG03","价值观与人生目标",IF(D85="RG04","时间、地域与生活节奏",IF(D85="RG05","金钱、资源与劳动分配",IF(D85="RG06","家庭、婚育与照护责任",IF(D85="RG07","身体、亲密、隐私与健康",IF(D85="RG08","冲突、修复与学习意愿","")))))))))</x:f>
      </x:c>
      <x:c r="F85" s="34" t="str"/>
      <x:c r="G85" s="34" t="str"/>
      <x:c r="H85" s="34" t="str"/>
      <x:c r="I85" s="34" t="str"/>
      <x:c r="J85" s="34" t="str"/>
      <x:c r="K85" s="34" t="str"/>
      <x:c r="L85" s="34" t="str"/>
      <x:c r="M85" s="34" t="str">
        <x:f>IF(D85="","",IF(OR(D85="RG01",D85="RG02",D85="RG03",D85="RG06",D85="RG07",D85="RG08"),"核心","结构"))</x:f>
      </x:c>
      <x:c r="N85" s="34" t="str"/>
      <x:c r="O85" s="34" t="str"/>
    </x:row>
    <x:row r="86">
      <x:c r="A86" s="34" t="str">
        <x:v>M5-RG-0081</x:v>
      </x:c>
      <x:c r="B86" s="34" t="str"/>
      <x:c r="C86" s="34" t="str"/>
      <x:c r="D86" s="34" t="str"/>
      <x:c r="E86" s="34" t="str">
        <x:f>IF(D86="","",IF(D86="RG01","安全、同意与尊重",IF(D86="RG02","关系意图与承诺",IF(D86="RG03","价值观与人生目标",IF(D86="RG04","时间、地域与生活节奏",IF(D86="RG05","金钱、资源与劳动分配",IF(D86="RG06","家庭、婚育与照护责任",IF(D86="RG07","身体、亲密、隐私与健康",IF(D86="RG08","冲突、修复与学习意愿","")))))))))</x:f>
      </x:c>
      <x:c r="F86" s="34" t="str"/>
      <x:c r="G86" s="34" t="str"/>
      <x:c r="H86" s="34" t="str"/>
      <x:c r="I86" s="34" t="str"/>
      <x:c r="J86" s="34" t="str"/>
      <x:c r="K86" s="34" t="str"/>
      <x:c r="L86" s="34" t="str"/>
      <x:c r="M86" s="34" t="str">
        <x:f>IF(D86="","",IF(OR(D86="RG01",D86="RG02",D86="RG03",D86="RG06",D86="RG07",D86="RG08"),"核心","结构"))</x:f>
      </x:c>
      <x:c r="N86" s="34" t="str"/>
      <x:c r="O86" s="34" t="str"/>
    </x:row>
    <x:row r="87">
      <x:c r="A87" s="34" t="str">
        <x:v>M5-RG-0082</x:v>
      </x:c>
      <x:c r="B87" s="34" t="str"/>
      <x:c r="C87" s="34" t="str"/>
      <x:c r="D87" s="34" t="str"/>
      <x:c r="E87" s="34" t="str">
        <x:f>IF(D87="","",IF(D87="RG01","安全、同意与尊重",IF(D87="RG02","关系意图与承诺",IF(D87="RG03","价值观与人生目标",IF(D87="RG04","时间、地域与生活节奏",IF(D87="RG05","金钱、资源与劳动分配",IF(D87="RG06","家庭、婚育与照护责任",IF(D87="RG07","身体、亲密、隐私与健康",IF(D87="RG08","冲突、修复与学习意愿","")))))))))</x:f>
      </x:c>
      <x:c r="F87" s="34" t="str"/>
      <x:c r="G87" s="34" t="str"/>
      <x:c r="H87" s="34" t="str"/>
      <x:c r="I87" s="34" t="str"/>
      <x:c r="J87" s="34" t="str"/>
      <x:c r="K87" s="34" t="str"/>
      <x:c r="L87" s="34" t="str"/>
      <x:c r="M87" s="34" t="str">
        <x:f>IF(D87="","",IF(OR(D87="RG01",D87="RG02",D87="RG03",D87="RG06",D87="RG07",D87="RG08"),"核心","结构"))</x:f>
      </x:c>
      <x:c r="N87" s="34" t="str"/>
      <x:c r="O87" s="34" t="str"/>
    </x:row>
    <x:row r="88">
      <x:c r="A88" s="34" t="str">
        <x:v>M5-RG-0083</x:v>
      </x:c>
      <x:c r="B88" s="34" t="str"/>
      <x:c r="C88" s="34" t="str"/>
      <x:c r="D88" s="34" t="str"/>
      <x:c r="E88" s="34" t="str">
        <x:f>IF(D88="","",IF(D88="RG01","安全、同意与尊重",IF(D88="RG02","关系意图与承诺",IF(D88="RG03","价值观与人生目标",IF(D88="RG04","时间、地域与生活节奏",IF(D88="RG05","金钱、资源与劳动分配",IF(D88="RG06","家庭、婚育与照护责任",IF(D88="RG07","身体、亲密、隐私与健康",IF(D88="RG08","冲突、修复与学习意愿","")))))))))</x:f>
      </x:c>
      <x:c r="F88" s="34" t="str"/>
      <x:c r="G88" s="34" t="str"/>
      <x:c r="H88" s="34" t="str"/>
      <x:c r="I88" s="34" t="str"/>
      <x:c r="J88" s="34" t="str"/>
      <x:c r="K88" s="34" t="str"/>
      <x:c r="L88" s="34" t="str"/>
      <x:c r="M88" s="34" t="str">
        <x:f>IF(D88="","",IF(OR(D88="RG01",D88="RG02",D88="RG03",D88="RG06",D88="RG07",D88="RG08"),"核心","结构"))</x:f>
      </x:c>
      <x:c r="N88" s="34" t="str"/>
      <x:c r="O88" s="34" t="str"/>
    </x:row>
    <x:row r="89">
      <x:c r="A89" s="34" t="str">
        <x:v>M5-RG-0084</x:v>
      </x:c>
      <x:c r="B89" s="34" t="str"/>
      <x:c r="C89" s="34" t="str"/>
      <x:c r="D89" s="34" t="str"/>
      <x:c r="E89" s="34" t="str">
        <x:f>IF(D89="","",IF(D89="RG01","安全、同意与尊重",IF(D89="RG02","关系意图与承诺",IF(D89="RG03","价值观与人生目标",IF(D89="RG04","时间、地域与生活节奏",IF(D89="RG05","金钱、资源与劳动分配",IF(D89="RG06","家庭、婚育与照护责任",IF(D89="RG07","身体、亲密、隐私与健康",IF(D89="RG08","冲突、修复与学习意愿","")))))))))</x:f>
      </x:c>
      <x:c r="F89" s="34" t="str"/>
      <x:c r="G89" s="34" t="str"/>
      <x:c r="H89" s="34" t="str"/>
      <x:c r="I89" s="34" t="str"/>
      <x:c r="J89" s="34" t="str"/>
      <x:c r="K89" s="34" t="str"/>
      <x:c r="L89" s="34" t="str"/>
      <x:c r="M89" s="34" t="str">
        <x:f>IF(D89="","",IF(OR(D89="RG01",D89="RG02",D89="RG03",D89="RG06",D89="RG07",D89="RG08"),"核心","结构"))</x:f>
      </x:c>
      <x:c r="N89" s="34" t="str"/>
      <x:c r="O89" s="34" t="str"/>
    </x:row>
    <x:row r="90">
      <x:c r="A90" s="34" t="str">
        <x:v>M5-RG-0085</x:v>
      </x:c>
      <x:c r="B90" s="34" t="str"/>
      <x:c r="C90" s="34" t="str"/>
      <x:c r="D90" s="34" t="str"/>
      <x:c r="E90" s="34" t="str">
        <x:f>IF(D90="","",IF(D90="RG01","安全、同意与尊重",IF(D90="RG02","关系意图与承诺",IF(D90="RG03","价值观与人生目标",IF(D90="RG04","时间、地域与生活节奏",IF(D90="RG05","金钱、资源与劳动分配",IF(D90="RG06","家庭、婚育与照护责任",IF(D90="RG07","身体、亲密、隐私与健康",IF(D90="RG08","冲突、修复与学习意愿","")))))))))</x:f>
      </x:c>
      <x:c r="F90" s="34" t="str"/>
      <x:c r="G90" s="34" t="str"/>
      <x:c r="H90" s="34" t="str"/>
      <x:c r="I90" s="34" t="str"/>
      <x:c r="J90" s="34" t="str"/>
      <x:c r="K90" s="34" t="str"/>
      <x:c r="L90" s="34" t="str"/>
      <x:c r="M90" s="34" t="str">
        <x:f>IF(D90="","",IF(OR(D90="RG01",D90="RG02",D90="RG03",D90="RG06",D90="RG07",D90="RG08"),"核心","结构"))</x:f>
      </x:c>
      <x:c r="N90" s="34" t="str"/>
      <x:c r="O90" s="34" t="str"/>
    </x:row>
    <x:row r="91">
      <x:c r="A91" s="34" t="str">
        <x:v>M5-RG-0086</x:v>
      </x:c>
      <x:c r="B91" s="34" t="str"/>
      <x:c r="C91" s="34" t="str"/>
      <x:c r="D91" s="34" t="str"/>
      <x:c r="E91" s="34" t="str">
        <x:f>IF(D91="","",IF(D91="RG01","安全、同意与尊重",IF(D91="RG02","关系意图与承诺",IF(D91="RG03","价值观与人生目标",IF(D91="RG04","时间、地域与生活节奏",IF(D91="RG05","金钱、资源与劳动分配",IF(D91="RG06","家庭、婚育与照护责任",IF(D91="RG07","身体、亲密、隐私与健康",IF(D91="RG08","冲突、修复与学习意愿","")))))))))</x:f>
      </x:c>
      <x:c r="F91" s="34" t="str"/>
      <x:c r="G91" s="34" t="str"/>
      <x:c r="H91" s="34" t="str"/>
      <x:c r="I91" s="34" t="str"/>
      <x:c r="J91" s="34" t="str"/>
      <x:c r="K91" s="34" t="str"/>
      <x:c r="L91" s="34" t="str"/>
      <x:c r="M91" s="34" t="str">
        <x:f>IF(D91="","",IF(OR(D91="RG01",D91="RG02",D91="RG03",D91="RG06",D91="RG07",D91="RG08"),"核心","结构"))</x:f>
      </x:c>
      <x:c r="N91" s="34" t="str"/>
      <x:c r="O91" s="34" t="str"/>
    </x:row>
    <x:row r="92">
      <x:c r="A92" s="34" t="str">
        <x:v>M5-RG-0087</x:v>
      </x:c>
      <x:c r="B92" s="34" t="str"/>
      <x:c r="C92" s="34" t="str"/>
      <x:c r="D92" s="34" t="str"/>
      <x:c r="E92" s="34" t="str">
        <x:f>IF(D92="","",IF(D92="RG01","安全、同意与尊重",IF(D92="RG02","关系意图与承诺",IF(D92="RG03","价值观与人生目标",IF(D92="RG04","时间、地域与生活节奏",IF(D92="RG05","金钱、资源与劳动分配",IF(D92="RG06","家庭、婚育与照护责任",IF(D92="RG07","身体、亲密、隐私与健康",IF(D92="RG08","冲突、修复与学习意愿","")))))))))</x:f>
      </x:c>
      <x:c r="F92" s="34" t="str"/>
      <x:c r="G92" s="34" t="str"/>
      <x:c r="H92" s="34" t="str"/>
      <x:c r="I92" s="34" t="str"/>
      <x:c r="J92" s="34" t="str"/>
      <x:c r="K92" s="34" t="str"/>
      <x:c r="L92" s="34" t="str"/>
      <x:c r="M92" s="34" t="str">
        <x:f>IF(D92="","",IF(OR(D92="RG01",D92="RG02",D92="RG03",D92="RG06",D92="RG07",D92="RG08"),"核心","结构"))</x:f>
      </x:c>
      <x:c r="N92" s="34" t="str"/>
      <x:c r="O92" s="34" t="str"/>
    </x:row>
    <x:row r="93">
      <x:c r="A93" s="34" t="str">
        <x:v>M5-RG-0088</x:v>
      </x:c>
      <x:c r="B93" s="34" t="str"/>
      <x:c r="C93" s="34" t="str"/>
      <x:c r="D93" s="34" t="str"/>
      <x:c r="E93" s="34" t="str">
        <x:f>IF(D93="","",IF(D93="RG01","安全、同意与尊重",IF(D93="RG02","关系意图与承诺",IF(D93="RG03","价值观与人生目标",IF(D93="RG04","时间、地域与生活节奏",IF(D93="RG05","金钱、资源与劳动分配",IF(D93="RG06","家庭、婚育与照护责任",IF(D93="RG07","身体、亲密、隐私与健康",IF(D93="RG08","冲突、修复与学习意愿","")))))))))</x:f>
      </x:c>
      <x:c r="F93" s="34" t="str"/>
      <x:c r="G93" s="34" t="str"/>
      <x:c r="H93" s="34" t="str"/>
      <x:c r="I93" s="34" t="str"/>
      <x:c r="J93" s="34" t="str"/>
      <x:c r="K93" s="34" t="str"/>
      <x:c r="L93" s="34" t="str"/>
      <x:c r="M93" s="34" t="str">
        <x:f>IF(D93="","",IF(OR(D93="RG01",D93="RG02",D93="RG03",D93="RG06",D93="RG07",D93="RG08"),"核心","结构"))</x:f>
      </x:c>
      <x:c r="N93" s="34" t="str"/>
      <x:c r="O93" s="34" t="str"/>
    </x:row>
    <x:row r="94">
      <x:c r="A94" s="34" t="str">
        <x:v>M5-RG-0089</x:v>
      </x:c>
      <x:c r="B94" s="34" t="str"/>
      <x:c r="C94" s="34" t="str"/>
      <x:c r="D94" s="34" t="str"/>
      <x:c r="E94" s="34" t="str">
        <x:f>IF(D94="","",IF(D94="RG01","安全、同意与尊重",IF(D94="RG02","关系意图与承诺",IF(D94="RG03","价值观与人生目标",IF(D94="RG04","时间、地域与生活节奏",IF(D94="RG05","金钱、资源与劳动分配",IF(D94="RG06","家庭、婚育与照护责任",IF(D94="RG07","身体、亲密、隐私与健康",IF(D94="RG08","冲突、修复与学习意愿","")))))))))</x:f>
      </x:c>
      <x:c r="F94" s="34" t="str"/>
      <x:c r="G94" s="34" t="str"/>
      <x:c r="H94" s="34" t="str"/>
      <x:c r="I94" s="34" t="str"/>
      <x:c r="J94" s="34" t="str"/>
      <x:c r="K94" s="34" t="str"/>
      <x:c r="L94" s="34" t="str"/>
      <x:c r="M94" s="34" t="str">
        <x:f>IF(D94="","",IF(OR(D94="RG01",D94="RG02",D94="RG03",D94="RG06",D94="RG07",D94="RG08"),"核心","结构"))</x:f>
      </x:c>
      <x:c r="N94" s="34" t="str"/>
      <x:c r="O94" s="34" t="str"/>
    </x:row>
    <x:row r="95">
      <x:c r="A95" s="34" t="str">
        <x:v>M5-RG-0090</x:v>
      </x:c>
      <x:c r="B95" s="34" t="str"/>
      <x:c r="C95" s="34" t="str"/>
      <x:c r="D95" s="34" t="str"/>
      <x:c r="E95" s="34" t="str">
        <x:f>IF(D95="","",IF(D95="RG01","安全、同意与尊重",IF(D95="RG02","关系意图与承诺",IF(D95="RG03","价值观与人生目标",IF(D95="RG04","时间、地域与生活节奏",IF(D95="RG05","金钱、资源与劳动分配",IF(D95="RG06","家庭、婚育与照护责任",IF(D95="RG07","身体、亲密、隐私与健康",IF(D95="RG08","冲突、修复与学习意愿","")))))))))</x:f>
      </x:c>
      <x:c r="F95" s="34" t="str"/>
      <x:c r="G95" s="34" t="str"/>
      <x:c r="H95" s="34" t="str"/>
      <x:c r="I95" s="34" t="str"/>
      <x:c r="J95" s="34" t="str"/>
      <x:c r="K95" s="34" t="str"/>
      <x:c r="L95" s="34" t="str"/>
      <x:c r="M95" s="34" t="str">
        <x:f>IF(D95="","",IF(OR(D95="RG01",D95="RG02",D95="RG03",D95="RG06",D95="RG07",D95="RG08"),"核心","结构"))</x:f>
      </x:c>
      <x:c r="N95" s="34" t="str"/>
      <x:c r="O95" s="34" t="str"/>
    </x:row>
    <x:row r="96">
      <x:c r="A96" s="34" t="str">
        <x:v>M5-RG-0091</x:v>
      </x:c>
      <x:c r="B96" s="34" t="str"/>
      <x:c r="C96" s="34" t="str"/>
      <x:c r="D96" s="34" t="str"/>
      <x:c r="E96" s="34" t="str">
        <x:f>IF(D96="","",IF(D96="RG01","安全、同意与尊重",IF(D96="RG02","关系意图与承诺",IF(D96="RG03","价值观与人生目标",IF(D96="RG04","时间、地域与生活节奏",IF(D96="RG05","金钱、资源与劳动分配",IF(D96="RG06","家庭、婚育与照护责任",IF(D96="RG07","身体、亲密、隐私与健康",IF(D96="RG08","冲突、修复与学习意愿","")))))))))</x:f>
      </x:c>
      <x:c r="F96" s="34" t="str"/>
      <x:c r="G96" s="34" t="str"/>
      <x:c r="H96" s="34" t="str"/>
      <x:c r="I96" s="34" t="str"/>
      <x:c r="J96" s="34" t="str"/>
      <x:c r="K96" s="34" t="str"/>
      <x:c r="L96" s="34" t="str"/>
      <x:c r="M96" s="34" t="str">
        <x:f>IF(D96="","",IF(OR(D96="RG01",D96="RG02",D96="RG03",D96="RG06",D96="RG07",D96="RG08"),"核心","结构"))</x:f>
      </x:c>
      <x:c r="N96" s="34" t="str"/>
      <x:c r="O96" s="34" t="str"/>
    </x:row>
    <x:row r="97">
      <x:c r="A97" s="34" t="str">
        <x:v>M5-RG-0092</x:v>
      </x:c>
      <x:c r="B97" s="34" t="str"/>
      <x:c r="C97" s="34" t="str"/>
      <x:c r="D97" s="34" t="str"/>
      <x:c r="E97" s="34" t="str">
        <x:f>IF(D97="","",IF(D97="RG01","安全、同意与尊重",IF(D97="RG02","关系意图与承诺",IF(D97="RG03","价值观与人生目标",IF(D97="RG04","时间、地域与生活节奏",IF(D97="RG05","金钱、资源与劳动分配",IF(D97="RG06","家庭、婚育与照护责任",IF(D97="RG07","身体、亲密、隐私与健康",IF(D97="RG08","冲突、修复与学习意愿","")))))))))</x:f>
      </x:c>
      <x:c r="F97" s="34" t="str"/>
      <x:c r="G97" s="34" t="str"/>
      <x:c r="H97" s="34" t="str"/>
      <x:c r="I97" s="34" t="str"/>
      <x:c r="J97" s="34" t="str"/>
      <x:c r="K97" s="34" t="str"/>
      <x:c r="L97" s="34" t="str"/>
      <x:c r="M97" s="34" t="str">
        <x:f>IF(D97="","",IF(OR(D97="RG01",D97="RG02",D97="RG03",D97="RG06",D97="RG07",D97="RG08"),"核心","结构"))</x:f>
      </x:c>
      <x:c r="N97" s="34" t="str"/>
      <x:c r="O97" s="34" t="str"/>
    </x:row>
    <x:row r="98">
      <x:c r="A98" s="34" t="str">
        <x:v>M5-RG-0093</x:v>
      </x:c>
      <x:c r="B98" s="34" t="str"/>
      <x:c r="C98" s="34" t="str"/>
      <x:c r="D98" s="34" t="str"/>
      <x:c r="E98" s="34" t="str">
        <x:f>IF(D98="","",IF(D98="RG01","安全、同意与尊重",IF(D98="RG02","关系意图与承诺",IF(D98="RG03","价值观与人生目标",IF(D98="RG04","时间、地域与生活节奏",IF(D98="RG05","金钱、资源与劳动分配",IF(D98="RG06","家庭、婚育与照护责任",IF(D98="RG07","身体、亲密、隐私与健康",IF(D98="RG08","冲突、修复与学习意愿","")))))))))</x:f>
      </x:c>
      <x:c r="F98" s="34" t="str"/>
      <x:c r="G98" s="34" t="str"/>
      <x:c r="H98" s="34" t="str"/>
      <x:c r="I98" s="34" t="str"/>
      <x:c r="J98" s="34" t="str"/>
      <x:c r="K98" s="34" t="str"/>
      <x:c r="L98" s="34" t="str"/>
      <x:c r="M98" s="34" t="str">
        <x:f>IF(D98="","",IF(OR(D98="RG01",D98="RG02",D98="RG03",D98="RG06",D98="RG07",D98="RG08"),"核心","结构"))</x:f>
      </x:c>
      <x:c r="N98" s="34" t="str"/>
      <x:c r="O98" s="34" t="str"/>
    </x:row>
    <x:row r="99">
      <x:c r="A99" s="34" t="str">
        <x:v>M5-RG-0094</x:v>
      </x:c>
      <x:c r="B99" s="34" t="str"/>
      <x:c r="C99" s="34" t="str"/>
      <x:c r="D99" s="34" t="str"/>
      <x:c r="E99" s="34" t="str">
        <x:f>IF(D99="","",IF(D99="RG01","安全、同意与尊重",IF(D99="RG02","关系意图与承诺",IF(D99="RG03","价值观与人生目标",IF(D99="RG04","时间、地域与生活节奏",IF(D99="RG05","金钱、资源与劳动分配",IF(D99="RG06","家庭、婚育与照护责任",IF(D99="RG07","身体、亲密、隐私与健康",IF(D99="RG08","冲突、修复与学习意愿","")))))))))</x:f>
      </x:c>
      <x:c r="F99" s="34" t="str"/>
      <x:c r="G99" s="34" t="str"/>
      <x:c r="H99" s="34" t="str"/>
      <x:c r="I99" s="34" t="str"/>
      <x:c r="J99" s="34" t="str"/>
      <x:c r="K99" s="34" t="str"/>
      <x:c r="L99" s="34" t="str"/>
      <x:c r="M99" s="34" t="str">
        <x:f>IF(D99="","",IF(OR(D99="RG01",D99="RG02",D99="RG03",D99="RG06",D99="RG07",D99="RG08"),"核心","结构"))</x:f>
      </x:c>
      <x:c r="N99" s="34" t="str"/>
      <x:c r="O99" s="34" t="str"/>
    </x:row>
    <x:row r="100">
      <x:c r="A100" s="34" t="str">
        <x:v>M5-RG-0095</x:v>
      </x:c>
      <x:c r="B100" s="34" t="str"/>
      <x:c r="C100" s="34" t="str"/>
      <x:c r="D100" s="34" t="str"/>
      <x:c r="E100" s="34" t="str">
        <x:f>IF(D100="","",IF(D100="RG01","安全、同意与尊重",IF(D100="RG02","关系意图与承诺",IF(D100="RG03","价值观与人生目标",IF(D100="RG04","时间、地域与生活节奏",IF(D100="RG05","金钱、资源与劳动分配",IF(D100="RG06","家庭、婚育与照护责任",IF(D100="RG07","身体、亲密、隐私与健康",IF(D100="RG08","冲突、修复与学习意愿","")))))))))</x:f>
      </x:c>
      <x:c r="F100" s="34" t="str"/>
      <x:c r="G100" s="34" t="str"/>
      <x:c r="H100" s="34" t="str"/>
      <x:c r="I100" s="34" t="str"/>
      <x:c r="J100" s="34" t="str"/>
      <x:c r="K100" s="34" t="str"/>
      <x:c r="L100" s="34" t="str"/>
      <x:c r="M100" s="34" t="str">
        <x:f>IF(D100="","",IF(OR(D100="RG01",D100="RG02",D100="RG03",D100="RG06",D100="RG07",D100="RG08"),"核心","结构"))</x:f>
      </x:c>
      <x:c r="N100" s="34" t="str"/>
      <x:c r="O100" s="34" t="str"/>
    </x:row>
    <x:row r="101">
      <x:c r="A101" s="34" t="str">
        <x:v>M5-RG-0096</x:v>
      </x:c>
      <x:c r="B101" s="34" t="str"/>
      <x:c r="C101" s="34" t="str"/>
      <x:c r="D101" s="34" t="str"/>
      <x:c r="E101" s="34" t="str">
        <x:f>IF(D101="","",IF(D101="RG01","安全、同意与尊重",IF(D101="RG02","关系意图与承诺",IF(D101="RG03","价值观与人生目标",IF(D101="RG04","时间、地域与生活节奏",IF(D101="RG05","金钱、资源与劳动分配",IF(D101="RG06","家庭、婚育与照护责任",IF(D101="RG07","身体、亲密、隐私与健康",IF(D101="RG08","冲突、修复与学习意愿","")))))))))</x:f>
      </x:c>
      <x:c r="F101" s="34" t="str"/>
      <x:c r="G101" s="34" t="str"/>
      <x:c r="H101" s="34" t="str"/>
      <x:c r="I101" s="34" t="str"/>
      <x:c r="J101" s="34" t="str"/>
      <x:c r="K101" s="34" t="str"/>
      <x:c r="L101" s="34" t="str"/>
      <x:c r="M101" s="34" t="str">
        <x:f>IF(D101="","",IF(OR(D101="RG01",D101="RG02",D101="RG03",D101="RG06",D101="RG07",D101="RG08"),"核心","结构"))</x:f>
      </x:c>
      <x:c r="N101" s="34" t="str"/>
      <x:c r="O101" s="34" t="str"/>
    </x:row>
    <x:row r="102">
      <x:c r="A102" s="34" t="str">
        <x:v>M5-RG-0097</x:v>
      </x:c>
      <x:c r="B102" s="34" t="str"/>
      <x:c r="C102" s="34" t="str"/>
      <x:c r="D102" s="34" t="str"/>
      <x:c r="E102" s="34" t="str">
        <x:f>IF(D102="","",IF(D102="RG01","安全、同意与尊重",IF(D102="RG02","关系意图与承诺",IF(D102="RG03","价值观与人生目标",IF(D102="RG04","时间、地域与生活节奏",IF(D102="RG05","金钱、资源与劳动分配",IF(D102="RG06","家庭、婚育与照护责任",IF(D102="RG07","身体、亲密、隐私与健康",IF(D102="RG08","冲突、修复与学习意愿","")))))))))</x:f>
      </x:c>
      <x:c r="F102" s="34" t="str"/>
      <x:c r="G102" s="34" t="str"/>
      <x:c r="H102" s="34" t="str"/>
      <x:c r="I102" s="34" t="str"/>
      <x:c r="J102" s="34" t="str"/>
      <x:c r="K102" s="34" t="str"/>
      <x:c r="L102" s="34" t="str"/>
      <x:c r="M102" s="34" t="str">
        <x:f>IF(D102="","",IF(OR(D102="RG01",D102="RG02",D102="RG03",D102="RG06",D102="RG07",D102="RG08"),"核心","结构"))</x:f>
      </x:c>
      <x:c r="N102" s="34" t="str"/>
      <x:c r="O102" s="34" t="str"/>
    </x:row>
    <x:row r="103">
      <x:c r="A103" s="34" t="str">
        <x:v>M5-RG-0098</x:v>
      </x:c>
      <x:c r="B103" s="34" t="str"/>
      <x:c r="C103" s="34" t="str"/>
      <x:c r="D103" s="34" t="str"/>
      <x:c r="E103" s="34" t="str">
        <x:f>IF(D103="","",IF(D103="RG01","安全、同意与尊重",IF(D103="RG02","关系意图与承诺",IF(D103="RG03","价值观与人生目标",IF(D103="RG04","时间、地域与生活节奏",IF(D103="RG05","金钱、资源与劳动分配",IF(D103="RG06","家庭、婚育与照护责任",IF(D103="RG07","身体、亲密、隐私与健康",IF(D103="RG08","冲突、修复与学习意愿","")))))))))</x:f>
      </x:c>
      <x:c r="F103" s="34" t="str"/>
      <x:c r="G103" s="34" t="str"/>
      <x:c r="H103" s="34" t="str"/>
      <x:c r="I103" s="34" t="str"/>
      <x:c r="J103" s="34" t="str"/>
      <x:c r="K103" s="34" t="str"/>
      <x:c r="L103" s="34" t="str"/>
      <x:c r="M103" s="34" t="str">
        <x:f>IF(D103="","",IF(OR(D103="RG01",D103="RG02",D103="RG03",D103="RG06",D103="RG07",D103="RG08"),"核心","结构"))</x:f>
      </x:c>
      <x:c r="N103" s="34" t="str"/>
      <x:c r="O103" s="34" t="str"/>
    </x:row>
    <x:row r="104">
      <x:c r="A104" s="34" t="str">
        <x:v>M5-RG-0099</x:v>
      </x:c>
      <x:c r="B104" s="34" t="str"/>
      <x:c r="C104" s="34" t="str"/>
      <x:c r="D104" s="34" t="str"/>
      <x:c r="E104" s="34" t="str">
        <x:f>IF(D104="","",IF(D104="RG01","安全、同意与尊重",IF(D104="RG02","关系意图与承诺",IF(D104="RG03","价值观与人生目标",IF(D104="RG04","时间、地域与生活节奏",IF(D104="RG05","金钱、资源与劳动分配",IF(D104="RG06","家庭、婚育与照护责任",IF(D104="RG07","身体、亲密、隐私与健康",IF(D104="RG08","冲突、修复与学习意愿","")))))))))</x:f>
      </x:c>
      <x:c r="F104" s="34" t="str"/>
      <x:c r="G104" s="34" t="str"/>
      <x:c r="H104" s="34" t="str"/>
      <x:c r="I104" s="34" t="str"/>
      <x:c r="J104" s="34" t="str"/>
      <x:c r="K104" s="34" t="str"/>
      <x:c r="L104" s="34" t="str"/>
      <x:c r="M104" s="34" t="str">
        <x:f>IF(D104="","",IF(OR(D104="RG01",D104="RG02",D104="RG03",D104="RG06",D104="RG07",D104="RG08"),"核心","结构"))</x:f>
      </x:c>
      <x:c r="N104" s="34" t="str"/>
      <x:c r="O104" s="34" t="str"/>
    </x:row>
    <x:row r="105">
      <x:c r="A105" s="34" t="str">
        <x:v>M5-RG-0100</x:v>
      </x:c>
      <x:c r="B105" s="34" t="str"/>
      <x:c r="C105" s="34" t="str"/>
      <x:c r="D105" s="34" t="str"/>
      <x:c r="E105" s="34" t="str">
        <x:f>IF(D105="","",IF(D105="RG01","安全、同意与尊重",IF(D105="RG02","关系意图与承诺",IF(D105="RG03","价值观与人生目标",IF(D105="RG04","时间、地域与生活节奏",IF(D105="RG05","金钱、资源与劳动分配",IF(D105="RG06","家庭、婚育与照护责任",IF(D105="RG07","身体、亲密、隐私与健康",IF(D105="RG08","冲突、修复与学习意愿","")))))))))</x:f>
      </x:c>
      <x:c r="F105" s="34" t="str"/>
      <x:c r="G105" s="34" t="str"/>
      <x:c r="H105" s="34" t="str"/>
      <x:c r="I105" s="34" t="str"/>
      <x:c r="J105" s="34" t="str"/>
      <x:c r="K105" s="34" t="str"/>
      <x:c r="L105" s="34" t="str"/>
      <x:c r="M105" s="34" t="str">
        <x:f>IF(D105="","",IF(OR(D105="RG01",D105="RG02",D105="RG03",D105="RG06",D105="RG07",D105="RG08"),"核心","结构"))</x:f>
      </x:c>
      <x:c r="N105" s="34" t="str"/>
      <x:c r="O105" s="34" t="str"/>
    </x:row>
    <x:row r="106">
      <x:c r="A106" s="34" t="str">
        <x:v>M5-RG-0101</x:v>
      </x:c>
      <x:c r="B106" s="34" t="str"/>
      <x:c r="C106" s="34" t="str"/>
      <x:c r="D106" s="34" t="str"/>
      <x:c r="E106" s="34" t="str">
        <x:f>IF(D106="","",IF(D106="RG01","安全、同意与尊重",IF(D106="RG02","关系意图与承诺",IF(D106="RG03","价值观与人生目标",IF(D106="RG04","时间、地域与生活节奏",IF(D106="RG05","金钱、资源与劳动分配",IF(D106="RG06","家庭、婚育与照护责任",IF(D106="RG07","身体、亲密、隐私与健康",IF(D106="RG08","冲突、修复与学习意愿","")))))))))</x:f>
      </x:c>
      <x:c r="F106" s="34" t="str"/>
      <x:c r="G106" s="34" t="str"/>
      <x:c r="H106" s="34" t="str"/>
      <x:c r="I106" s="34" t="str"/>
      <x:c r="J106" s="34" t="str"/>
      <x:c r="K106" s="34" t="str"/>
      <x:c r="L106" s="34" t="str"/>
      <x:c r="M106" s="34" t="str">
        <x:f>IF(D106="","",IF(OR(D106="RG01",D106="RG02",D106="RG03",D106="RG06",D106="RG07",D106="RG08"),"核心","结构"))</x:f>
      </x:c>
      <x:c r="N106" s="34" t="str"/>
      <x:c r="O106" s="34" t="str"/>
    </x:row>
    <x:row r="107">
      <x:c r="A107" s="34" t="str">
        <x:v>M5-RG-0102</x:v>
      </x:c>
      <x:c r="B107" s="34" t="str"/>
      <x:c r="C107" s="34" t="str"/>
      <x:c r="D107" s="34" t="str"/>
      <x:c r="E107" s="34" t="str">
        <x:f>IF(D107="","",IF(D107="RG01","安全、同意与尊重",IF(D107="RG02","关系意图与承诺",IF(D107="RG03","价值观与人生目标",IF(D107="RG04","时间、地域与生活节奏",IF(D107="RG05","金钱、资源与劳动分配",IF(D107="RG06","家庭、婚育与照护责任",IF(D107="RG07","身体、亲密、隐私与健康",IF(D107="RG08","冲突、修复与学习意愿","")))))))))</x:f>
      </x:c>
      <x:c r="F107" s="34" t="str"/>
      <x:c r="G107" s="34" t="str"/>
      <x:c r="H107" s="34" t="str"/>
      <x:c r="I107" s="34" t="str"/>
      <x:c r="J107" s="34" t="str"/>
      <x:c r="K107" s="34" t="str"/>
      <x:c r="L107" s="34" t="str"/>
      <x:c r="M107" s="34" t="str">
        <x:f>IF(D107="","",IF(OR(D107="RG01",D107="RG02",D107="RG03",D107="RG06",D107="RG07",D107="RG08"),"核心","结构"))</x:f>
      </x:c>
      <x:c r="N107" s="34" t="str"/>
      <x:c r="O107" s="34" t="str"/>
    </x:row>
    <x:row r="108">
      <x:c r="A108" s="34" t="str">
        <x:v>M5-RG-0103</x:v>
      </x:c>
      <x:c r="B108" s="34" t="str"/>
      <x:c r="C108" s="34" t="str"/>
      <x:c r="D108" s="34" t="str"/>
      <x:c r="E108" s="34" t="str">
        <x:f>IF(D108="","",IF(D108="RG01","安全、同意与尊重",IF(D108="RG02","关系意图与承诺",IF(D108="RG03","价值观与人生目标",IF(D108="RG04","时间、地域与生活节奏",IF(D108="RG05","金钱、资源与劳动分配",IF(D108="RG06","家庭、婚育与照护责任",IF(D108="RG07","身体、亲密、隐私与健康",IF(D108="RG08","冲突、修复与学习意愿","")))))))))</x:f>
      </x:c>
      <x:c r="F108" s="34" t="str"/>
      <x:c r="G108" s="34" t="str"/>
      <x:c r="H108" s="34" t="str"/>
      <x:c r="I108" s="34" t="str"/>
      <x:c r="J108" s="34" t="str"/>
      <x:c r="K108" s="34" t="str"/>
      <x:c r="L108" s="34" t="str"/>
      <x:c r="M108" s="34" t="str">
        <x:f>IF(D108="","",IF(OR(D108="RG01",D108="RG02",D108="RG03",D108="RG06",D108="RG07",D108="RG08"),"核心","结构"))</x:f>
      </x:c>
      <x:c r="N108" s="34" t="str"/>
      <x:c r="O108" s="34" t="str"/>
    </x:row>
    <x:row r="109">
      <x:c r="A109" s="34" t="str">
        <x:v>M5-RG-0104</x:v>
      </x:c>
      <x:c r="B109" s="34" t="str"/>
      <x:c r="C109" s="34" t="str"/>
      <x:c r="D109" s="34" t="str"/>
      <x:c r="E109" s="34" t="str">
        <x:f>IF(D109="","",IF(D109="RG01","安全、同意与尊重",IF(D109="RG02","关系意图与承诺",IF(D109="RG03","价值观与人生目标",IF(D109="RG04","时间、地域与生活节奏",IF(D109="RG05","金钱、资源与劳动分配",IF(D109="RG06","家庭、婚育与照护责任",IF(D109="RG07","身体、亲密、隐私与健康",IF(D109="RG08","冲突、修复与学习意愿","")))))))))</x:f>
      </x:c>
      <x:c r="F109" s="34" t="str"/>
      <x:c r="G109" s="34" t="str"/>
      <x:c r="H109" s="34" t="str"/>
      <x:c r="I109" s="34" t="str"/>
      <x:c r="J109" s="34" t="str"/>
      <x:c r="K109" s="34" t="str"/>
      <x:c r="L109" s="34" t="str"/>
      <x:c r="M109" s="34" t="str">
        <x:f>IF(D109="","",IF(OR(D109="RG01",D109="RG02",D109="RG03",D109="RG06",D109="RG07",D109="RG08"),"核心","结构"))</x:f>
      </x:c>
      <x:c r="N109" s="34" t="str"/>
      <x:c r="O109" s="34" t="str"/>
    </x:row>
    <x:row r="110">
      <x:c r="A110" s="34" t="str">
        <x:v>M5-RG-0105</x:v>
      </x:c>
      <x:c r="B110" s="34" t="str"/>
      <x:c r="C110" s="34" t="str"/>
      <x:c r="D110" s="34" t="str"/>
      <x:c r="E110" s="34" t="str">
        <x:f>IF(D110="","",IF(D110="RG01","安全、同意与尊重",IF(D110="RG02","关系意图与承诺",IF(D110="RG03","价值观与人生目标",IF(D110="RG04","时间、地域与生活节奏",IF(D110="RG05","金钱、资源与劳动分配",IF(D110="RG06","家庭、婚育与照护责任",IF(D110="RG07","身体、亲密、隐私与健康",IF(D110="RG08","冲突、修复与学习意愿","")))))))))</x:f>
      </x:c>
      <x:c r="F110" s="34" t="str"/>
      <x:c r="G110" s="34" t="str"/>
      <x:c r="H110" s="34" t="str"/>
      <x:c r="I110" s="34" t="str"/>
      <x:c r="J110" s="34" t="str"/>
      <x:c r="K110" s="34" t="str"/>
      <x:c r="L110" s="34" t="str"/>
      <x:c r="M110" s="34" t="str">
        <x:f>IF(D110="","",IF(OR(D110="RG01",D110="RG02",D110="RG03",D110="RG06",D110="RG07",D110="RG08"),"核心","结构"))</x:f>
      </x:c>
      <x:c r="N110" s="34" t="str"/>
      <x:c r="O110" s="34" t="str"/>
    </x:row>
    <x:row r="111">
      <x:c r="A111" s="34" t="str">
        <x:v>M5-RG-0106</x:v>
      </x:c>
      <x:c r="B111" s="34" t="str"/>
      <x:c r="C111" s="34" t="str"/>
      <x:c r="D111" s="34" t="str"/>
      <x:c r="E111" s="34" t="str">
        <x:f>IF(D111="","",IF(D111="RG01","安全、同意与尊重",IF(D111="RG02","关系意图与承诺",IF(D111="RG03","价值观与人生目标",IF(D111="RG04","时间、地域与生活节奏",IF(D111="RG05","金钱、资源与劳动分配",IF(D111="RG06","家庭、婚育与照护责任",IF(D111="RG07","身体、亲密、隐私与健康",IF(D111="RG08","冲突、修复与学习意愿","")))))))))</x:f>
      </x:c>
      <x:c r="F111" s="34" t="str"/>
      <x:c r="G111" s="34" t="str"/>
      <x:c r="H111" s="34" t="str"/>
      <x:c r="I111" s="34" t="str"/>
      <x:c r="J111" s="34" t="str"/>
      <x:c r="K111" s="34" t="str"/>
      <x:c r="L111" s="34" t="str"/>
      <x:c r="M111" s="34" t="str">
        <x:f>IF(D111="","",IF(OR(D111="RG01",D111="RG02",D111="RG03",D111="RG06",D111="RG07",D111="RG08"),"核心","结构"))</x:f>
      </x:c>
      <x:c r="N111" s="34" t="str"/>
      <x:c r="O111" s="34" t="str"/>
    </x:row>
    <x:row r="112">
      <x:c r="A112" s="34" t="str">
        <x:v>M5-RG-0107</x:v>
      </x:c>
      <x:c r="B112" s="34" t="str"/>
      <x:c r="C112" s="34" t="str"/>
      <x:c r="D112" s="34" t="str"/>
      <x:c r="E112" s="34" t="str">
        <x:f>IF(D112="","",IF(D112="RG01","安全、同意与尊重",IF(D112="RG02","关系意图与承诺",IF(D112="RG03","价值观与人生目标",IF(D112="RG04","时间、地域与生活节奏",IF(D112="RG05","金钱、资源与劳动分配",IF(D112="RG06","家庭、婚育与照护责任",IF(D112="RG07","身体、亲密、隐私与健康",IF(D112="RG08","冲突、修复与学习意愿","")))))))))</x:f>
      </x:c>
      <x:c r="F112" s="34" t="str"/>
      <x:c r="G112" s="34" t="str"/>
      <x:c r="H112" s="34" t="str"/>
      <x:c r="I112" s="34" t="str"/>
      <x:c r="J112" s="34" t="str"/>
      <x:c r="K112" s="34" t="str"/>
      <x:c r="L112" s="34" t="str"/>
      <x:c r="M112" s="34" t="str">
        <x:f>IF(D112="","",IF(OR(D112="RG01",D112="RG02",D112="RG03",D112="RG06",D112="RG07",D112="RG08"),"核心","结构"))</x:f>
      </x:c>
      <x:c r="N112" s="34" t="str"/>
      <x:c r="O112" s="34" t="str"/>
    </x:row>
    <x:row r="113">
      <x:c r="A113" s="34" t="str">
        <x:v>M5-RG-0108</x:v>
      </x:c>
      <x:c r="B113" s="34" t="str"/>
      <x:c r="C113" s="34" t="str"/>
      <x:c r="D113" s="34" t="str"/>
      <x:c r="E113" s="34" t="str">
        <x:f>IF(D113="","",IF(D113="RG01","安全、同意与尊重",IF(D113="RG02","关系意图与承诺",IF(D113="RG03","价值观与人生目标",IF(D113="RG04","时间、地域与生活节奏",IF(D113="RG05","金钱、资源与劳动分配",IF(D113="RG06","家庭、婚育与照护责任",IF(D113="RG07","身体、亲密、隐私与健康",IF(D113="RG08","冲突、修复与学习意愿","")))))))))</x:f>
      </x:c>
      <x:c r="F113" s="34" t="str"/>
      <x:c r="G113" s="34" t="str"/>
      <x:c r="H113" s="34" t="str"/>
      <x:c r="I113" s="34" t="str"/>
      <x:c r="J113" s="34" t="str"/>
      <x:c r="K113" s="34" t="str"/>
      <x:c r="L113" s="34" t="str"/>
      <x:c r="M113" s="34" t="str">
        <x:f>IF(D113="","",IF(OR(D113="RG01",D113="RG02",D113="RG03",D113="RG06",D113="RG07",D113="RG08"),"核心","结构"))</x:f>
      </x:c>
      <x:c r="N113" s="34" t="str"/>
      <x:c r="O113" s="34" t="str"/>
    </x:row>
    <x:row r="114">
      <x:c r="A114" s="34" t="str">
        <x:v>M5-RG-0109</x:v>
      </x:c>
      <x:c r="B114" s="34" t="str"/>
      <x:c r="C114" s="34" t="str"/>
      <x:c r="D114" s="34" t="str"/>
      <x:c r="E114" s="34" t="str">
        <x:f>IF(D114="","",IF(D114="RG01","安全、同意与尊重",IF(D114="RG02","关系意图与承诺",IF(D114="RG03","价值观与人生目标",IF(D114="RG04","时间、地域与生活节奏",IF(D114="RG05","金钱、资源与劳动分配",IF(D114="RG06","家庭、婚育与照护责任",IF(D114="RG07","身体、亲密、隐私与健康",IF(D114="RG08","冲突、修复与学习意愿","")))))))))</x:f>
      </x:c>
      <x:c r="F114" s="34" t="str"/>
      <x:c r="G114" s="34" t="str"/>
      <x:c r="H114" s="34" t="str"/>
      <x:c r="I114" s="34" t="str"/>
      <x:c r="J114" s="34" t="str"/>
      <x:c r="K114" s="34" t="str"/>
      <x:c r="L114" s="34" t="str"/>
      <x:c r="M114" s="34" t="str">
        <x:f>IF(D114="","",IF(OR(D114="RG01",D114="RG02",D114="RG03",D114="RG06",D114="RG07",D114="RG08"),"核心","结构"))</x:f>
      </x:c>
      <x:c r="N114" s="34" t="str"/>
      <x:c r="O114" s="34" t="str"/>
    </x:row>
    <x:row r="115">
      <x:c r="A115" s="34" t="str">
        <x:v>M5-RG-0110</x:v>
      </x:c>
      <x:c r="B115" s="34" t="str"/>
      <x:c r="C115" s="34" t="str"/>
      <x:c r="D115" s="34" t="str"/>
      <x:c r="E115" s="34" t="str">
        <x:f>IF(D115="","",IF(D115="RG01","安全、同意与尊重",IF(D115="RG02","关系意图与承诺",IF(D115="RG03","价值观与人生目标",IF(D115="RG04","时间、地域与生活节奏",IF(D115="RG05","金钱、资源与劳动分配",IF(D115="RG06","家庭、婚育与照护责任",IF(D115="RG07","身体、亲密、隐私与健康",IF(D115="RG08","冲突、修复与学习意愿","")))))))))</x:f>
      </x:c>
      <x:c r="F115" s="34" t="str"/>
      <x:c r="G115" s="34" t="str"/>
      <x:c r="H115" s="34" t="str"/>
      <x:c r="I115" s="34" t="str"/>
      <x:c r="J115" s="34" t="str"/>
      <x:c r="K115" s="34" t="str"/>
      <x:c r="L115" s="34" t="str"/>
      <x:c r="M115" s="34" t="str">
        <x:f>IF(D115="","",IF(OR(D115="RG01",D115="RG02",D115="RG03",D115="RG06",D115="RG07",D115="RG08"),"核心","结构"))</x:f>
      </x:c>
      <x:c r="N115" s="34" t="str"/>
      <x:c r="O115" s="34" t="str"/>
    </x:row>
    <x:row r="116">
      <x:c r="A116" s="34" t="str">
        <x:v>M5-RG-0111</x:v>
      </x:c>
      <x:c r="B116" s="34" t="str"/>
      <x:c r="C116" s="34" t="str"/>
      <x:c r="D116" s="34" t="str"/>
      <x:c r="E116" s="34" t="str">
        <x:f>IF(D116="","",IF(D116="RG01","安全、同意与尊重",IF(D116="RG02","关系意图与承诺",IF(D116="RG03","价值观与人生目标",IF(D116="RG04","时间、地域与生活节奏",IF(D116="RG05","金钱、资源与劳动分配",IF(D116="RG06","家庭、婚育与照护责任",IF(D116="RG07","身体、亲密、隐私与健康",IF(D116="RG08","冲突、修复与学习意愿","")))))))))</x:f>
      </x:c>
      <x:c r="F116" s="34" t="str"/>
      <x:c r="G116" s="34" t="str"/>
      <x:c r="H116" s="34" t="str"/>
      <x:c r="I116" s="34" t="str"/>
      <x:c r="J116" s="34" t="str"/>
      <x:c r="K116" s="34" t="str"/>
      <x:c r="L116" s="34" t="str"/>
      <x:c r="M116" s="34" t="str">
        <x:f>IF(D116="","",IF(OR(D116="RG01",D116="RG02",D116="RG03",D116="RG06",D116="RG07",D116="RG08"),"核心","结构"))</x:f>
      </x:c>
      <x:c r="N116" s="34" t="str"/>
      <x:c r="O116" s="34" t="str"/>
    </x:row>
    <x:row r="117">
      <x:c r="A117" s="34" t="str">
        <x:v>M5-RG-0112</x:v>
      </x:c>
      <x:c r="B117" s="34" t="str"/>
      <x:c r="C117" s="34" t="str"/>
      <x:c r="D117" s="34" t="str"/>
      <x:c r="E117" s="34" t="str">
        <x:f>IF(D117="","",IF(D117="RG01","安全、同意与尊重",IF(D117="RG02","关系意图与承诺",IF(D117="RG03","价值观与人生目标",IF(D117="RG04","时间、地域与生活节奏",IF(D117="RG05","金钱、资源与劳动分配",IF(D117="RG06","家庭、婚育与照护责任",IF(D117="RG07","身体、亲密、隐私与健康",IF(D117="RG08","冲突、修复与学习意愿","")))))))))</x:f>
      </x:c>
      <x:c r="F117" s="34" t="str"/>
      <x:c r="G117" s="34" t="str"/>
      <x:c r="H117" s="34" t="str"/>
      <x:c r="I117" s="34" t="str"/>
      <x:c r="J117" s="34" t="str"/>
      <x:c r="K117" s="34" t="str"/>
      <x:c r="L117" s="34" t="str"/>
      <x:c r="M117" s="34" t="str">
        <x:f>IF(D117="","",IF(OR(D117="RG01",D117="RG02",D117="RG03",D117="RG06",D117="RG07",D117="RG08"),"核心","结构"))</x:f>
      </x:c>
      <x:c r="N117" s="34" t="str"/>
      <x:c r="O117" s="34" t="str"/>
    </x:row>
    <x:row r="118">
      <x:c r="A118" s="34" t="str">
        <x:v>M5-RG-0113</x:v>
      </x:c>
      <x:c r="B118" s="34" t="str"/>
      <x:c r="C118" s="34" t="str"/>
      <x:c r="D118" s="34" t="str"/>
      <x:c r="E118" s="34" t="str">
        <x:f>IF(D118="","",IF(D118="RG01","安全、同意与尊重",IF(D118="RG02","关系意图与承诺",IF(D118="RG03","价值观与人生目标",IF(D118="RG04","时间、地域与生活节奏",IF(D118="RG05","金钱、资源与劳动分配",IF(D118="RG06","家庭、婚育与照护责任",IF(D118="RG07","身体、亲密、隐私与健康",IF(D118="RG08","冲突、修复与学习意愿","")))))))))</x:f>
      </x:c>
      <x:c r="F118" s="34" t="str"/>
      <x:c r="G118" s="34" t="str"/>
      <x:c r="H118" s="34" t="str"/>
      <x:c r="I118" s="34" t="str"/>
      <x:c r="J118" s="34" t="str"/>
      <x:c r="K118" s="34" t="str"/>
      <x:c r="L118" s="34" t="str"/>
      <x:c r="M118" s="34" t="str">
        <x:f>IF(D118="","",IF(OR(D118="RG01",D118="RG02",D118="RG03",D118="RG06",D118="RG07",D118="RG08"),"核心","结构"))</x:f>
      </x:c>
      <x:c r="N118" s="34" t="str"/>
      <x:c r="O118" s="34" t="str"/>
    </x:row>
    <x:row r="119">
      <x:c r="A119" s="34" t="str">
        <x:v>M5-RG-0114</x:v>
      </x:c>
      <x:c r="B119" s="34" t="str"/>
      <x:c r="C119" s="34" t="str"/>
      <x:c r="D119" s="34" t="str"/>
      <x:c r="E119" s="34" t="str">
        <x:f>IF(D119="","",IF(D119="RG01","安全、同意与尊重",IF(D119="RG02","关系意图与承诺",IF(D119="RG03","价值观与人生目标",IF(D119="RG04","时间、地域与生活节奏",IF(D119="RG05","金钱、资源与劳动分配",IF(D119="RG06","家庭、婚育与照护责任",IF(D119="RG07","身体、亲密、隐私与健康",IF(D119="RG08","冲突、修复与学习意愿","")))))))))</x:f>
      </x:c>
      <x:c r="F119" s="34" t="str"/>
      <x:c r="G119" s="34" t="str"/>
      <x:c r="H119" s="34" t="str"/>
      <x:c r="I119" s="34" t="str"/>
      <x:c r="J119" s="34" t="str"/>
      <x:c r="K119" s="34" t="str"/>
      <x:c r="L119" s="34" t="str"/>
      <x:c r="M119" s="34" t="str">
        <x:f>IF(D119="","",IF(OR(D119="RG01",D119="RG02",D119="RG03",D119="RG06",D119="RG07",D119="RG08"),"核心","结构"))</x:f>
      </x:c>
      <x:c r="N119" s="34" t="str"/>
      <x:c r="O119" s="34" t="str"/>
    </x:row>
    <x:row r="120">
      <x:c r="A120" s="34" t="str">
        <x:v>M5-RG-0115</x:v>
      </x:c>
      <x:c r="B120" s="34" t="str"/>
      <x:c r="C120" s="34" t="str"/>
      <x:c r="D120" s="34" t="str"/>
      <x:c r="E120" s="34" t="str">
        <x:f>IF(D120="","",IF(D120="RG01","安全、同意与尊重",IF(D120="RG02","关系意图与承诺",IF(D120="RG03","价值观与人生目标",IF(D120="RG04","时间、地域与生活节奏",IF(D120="RG05","金钱、资源与劳动分配",IF(D120="RG06","家庭、婚育与照护责任",IF(D120="RG07","身体、亲密、隐私与健康",IF(D120="RG08","冲突、修复与学习意愿","")))))))))</x:f>
      </x:c>
      <x:c r="F120" s="34" t="str"/>
      <x:c r="G120" s="34" t="str"/>
      <x:c r="H120" s="34" t="str"/>
      <x:c r="I120" s="34" t="str"/>
      <x:c r="J120" s="34" t="str"/>
      <x:c r="K120" s="34" t="str"/>
      <x:c r="L120" s="34" t="str"/>
      <x:c r="M120" s="34" t="str">
        <x:f>IF(D120="","",IF(OR(D120="RG01",D120="RG02",D120="RG03",D120="RG06",D120="RG07",D120="RG08"),"核心","结构"))</x:f>
      </x:c>
      <x:c r="N120" s="34" t="str"/>
      <x:c r="O120" s="34" t="str"/>
    </x:row>
    <x:row r="121">
      <x:c r="A121" s="34" t="str">
        <x:v>M5-RG-0116</x:v>
      </x:c>
      <x:c r="B121" s="34" t="str"/>
      <x:c r="C121" s="34" t="str"/>
      <x:c r="D121" s="34" t="str"/>
      <x:c r="E121" s="34" t="str">
        <x:f>IF(D121="","",IF(D121="RG01","安全、同意与尊重",IF(D121="RG02","关系意图与承诺",IF(D121="RG03","价值观与人生目标",IF(D121="RG04","时间、地域与生活节奏",IF(D121="RG05","金钱、资源与劳动分配",IF(D121="RG06","家庭、婚育与照护责任",IF(D121="RG07","身体、亲密、隐私与健康",IF(D121="RG08","冲突、修复与学习意愿","")))))))))</x:f>
      </x:c>
      <x:c r="F121" s="34" t="str"/>
      <x:c r="G121" s="34" t="str"/>
      <x:c r="H121" s="34" t="str"/>
      <x:c r="I121" s="34" t="str"/>
      <x:c r="J121" s="34" t="str"/>
      <x:c r="K121" s="34" t="str"/>
      <x:c r="L121" s="34" t="str"/>
      <x:c r="M121" s="34" t="str">
        <x:f>IF(D121="","",IF(OR(D121="RG01",D121="RG02",D121="RG03",D121="RG06",D121="RG07",D121="RG08"),"核心","结构"))</x:f>
      </x:c>
      <x:c r="N121" s="34" t="str"/>
      <x:c r="O121" s="34" t="str"/>
    </x:row>
    <x:row r="122">
      <x:c r="A122" s="34" t="str">
        <x:v>M5-RG-0117</x:v>
      </x:c>
      <x:c r="B122" s="34" t="str"/>
      <x:c r="C122" s="34" t="str"/>
      <x:c r="D122" s="34" t="str"/>
      <x:c r="E122" s="34" t="str">
        <x:f>IF(D122="","",IF(D122="RG01","安全、同意与尊重",IF(D122="RG02","关系意图与承诺",IF(D122="RG03","价值观与人生目标",IF(D122="RG04","时间、地域与生活节奏",IF(D122="RG05","金钱、资源与劳动分配",IF(D122="RG06","家庭、婚育与照护责任",IF(D122="RG07","身体、亲密、隐私与健康",IF(D122="RG08","冲突、修复与学习意愿","")))))))))</x:f>
      </x:c>
      <x:c r="F122" s="34" t="str"/>
      <x:c r="G122" s="34" t="str"/>
      <x:c r="H122" s="34" t="str"/>
      <x:c r="I122" s="34" t="str"/>
      <x:c r="J122" s="34" t="str"/>
      <x:c r="K122" s="34" t="str"/>
      <x:c r="L122" s="34" t="str"/>
      <x:c r="M122" s="34" t="str">
        <x:f>IF(D122="","",IF(OR(D122="RG01",D122="RG02",D122="RG03",D122="RG06",D122="RG07",D122="RG08"),"核心","结构"))</x:f>
      </x:c>
      <x:c r="N122" s="34" t="str"/>
      <x:c r="O122" s="34" t="str"/>
    </x:row>
    <x:row r="123">
      <x:c r="A123" s="34" t="str">
        <x:v>M5-RG-0118</x:v>
      </x:c>
      <x:c r="B123" s="34" t="str"/>
      <x:c r="C123" s="34" t="str"/>
      <x:c r="D123" s="34" t="str"/>
      <x:c r="E123" s="34" t="str">
        <x:f>IF(D123="","",IF(D123="RG01","安全、同意与尊重",IF(D123="RG02","关系意图与承诺",IF(D123="RG03","价值观与人生目标",IF(D123="RG04","时间、地域与生活节奏",IF(D123="RG05","金钱、资源与劳动分配",IF(D123="RG06","家庭、婚育与照护责任",IF(D123="RG07","身体、亲密、隐私与健康",IF(D123="RG08","冲突、修复与学习意愿","")))))))))</x:f>
      </x:c>
      <x:c r="F123" s="34" t="str"/>
      <x:c r="G123" s="34" t="str"/>
      <x:c r="H123" s="34" t="str"/>
      <x:c r="I123" s="34" t="str"/>
      <x:c r="J123" s="34" t="str"/>
      <x:c r="K123" s="34" t="str"/>
      <x:c r="L123" s="34" t="str"/>
      <x:c r="M123" s="34" t="str">
        <x:f>IF(D123="","",IF(OR(D123="RG01",D123="RG02",D123="RG03",D123="RG06",D123="RG07",D123="RG08"),"核心","结构"))</x:f>
      </x:c>
      <x:c r="N123" s="34" t="str"/>
      <x:c r="O123" s="34" t="str"/>
    </x:row>
    <x:row r="124">
      <x:c r="A124" s="34" t="str">
        <x:v>M5-RG-0119</x:v>
      </x:c>
      <x:c r="B124" s="34" t="str"/>
      <x:c r="C124" s="34" t="str"/>
      <x:c r="D124" s="34" t="str"/>
      <x:c r="E124" s="34" t="str">
        <x:f>IF(D124="","",IF(D124="RG01","安全、同意与尊重",IF(D124="RG02","关系意图与承诺",IF(D124="RG03","价值观与人生目标",IF(D124="RG04","时间、地域与生活节奏",IF(D124="RG05","金钱、资源与劳动分配",IF(D124="RG06","家庭、婚育与照护责任",IF(D124="RG07","身体、亲密、隐私与健康",IF(D124="RG08","冲突、修复与学习意愿","")))))))))</x:f>
      </x:c>
      <x:c r="F124" s="34" t="str"/>
      <x:c r="G124" s="34" t="str"/>
      <x:c r="H124" s="34" t="str"/>
      <x:c r="I124" s="34" t="str"/>
      <x:c r="J124" s="34" t="str"/>
      <x:c r="K124" s="34" t="str"/>
      <x:c r="L124" s="34" t="str"/>
      <x:c r="M124" s="34" t="str">
        <x:f>IF(D124="","",IF(OR(D124="RG01",D124="RG02",D124="RG03",D124="RG06",D124="RG07",D124="RG08"),"核心","结构"))</x:f>
      </x:c>
      <x:c r="N124" s="34" t="str"/>
      <x:c r="O124" s="34" t="str"/>
    </x:row>
    <x:row r="125">
      <x:c r="A125" s="34" t="str">
        <x:v>M5-RG-0120</x:v>
      </x:c>
      <x:c r="B125" s="34" t="str"/>
      <x:c r="C125" s="34" t="str"/>
      <x:c r="D125" s="34" t="str"/>
      <x:c r="E125" s="34" t="str">
        <x:f>IF(D125="","",IF(D125="RG01","安全、同意与尊重",IF(D125="RG02","关系意图与承诺",IF(D125="RG03","价值观与人生目标",IF(D125="RG04","时间、地域与生活节奏",IF(D125="RG05","金钱、资源与劳动分配",IF(D125="RG06","家庭、婚育与照护责任",IF(D125="RG07","身体、亲密、隐私与健康",IF(D125="RG08","冲突、修复与学习意愿","")))))))))</x:f>
      </x:c>
      <x:c r="F125" s="34" t="str"/>
      <x:c r="G125" s="34" t="str"/>
      <x:c r="H125" s="34" t="str"/>
      <x:c r="I125" s="34" t="str"/>
      <x:c r="J125" s="34" t="str"/>
      <x:c r="K125" s="34" t="str"/>
      <x:c r="L125" s="34" t="str"/>
      <x:c r="M125" s="34" t="str">
        <x:f>IF(D125="","",IF(OR(D125="RG01",D125="RG02",D125="RG03",D125="RG06",D125="RG07",D125="RG08"),"核心","结构"))</x:f>
      </x:c>
      <x:c r="N125" s="34" t="str"/>
      <x:c r="O125" s="34" t="str"/>
    </x:row>
    <x:row r="126">
      <x:c r="A126" s="34" t="str">
        <x:v>M5-RG-0121</x:v>
      </x:c>
      <x:c r="B126" s="34" t="str"/>
      <x:c r="C126" s="34" t="str"/>
      <x:c r="D126" s="34" t="str"/>
      <x:c r="E126" s="34" t="str">
        <x:f>IF(D126="","",IF(D126="RG01","安全、同意与尊重",IF(D126="RG02","关系意图与承诺",IF(D126="RG03","价值观与人生目标",IF(D126="RG04","时间、地域与生活节奏",IF(D126="RG05","金钱、资源与劳动分配",IF(D126="RG06","家庭、婚育与照护责任",IF(D126="RG07","身体、亲密、隐私与健康",IF(D126="RG08","冲突、修复与学习意愿","")))))))))</x:f>
      </x:c>
      <x:c r="F126" s="34" t="str"/>
      <x:c r="G126" s="34" t="str"/>
      <x:c r="H126" s="34" t="str"/>
      <x:c r="I126" s="34" t="str"/>
      <x:c r="J126" s="34" t="str"/>
      <x:c r="K126" s="34" t="str"/>
      <x:c r="L126" s="34" t="str"/>
      <x:c r="M126" s="34" t="str">
        <x:f>IF(D126="","",IF(OR(D126="RG01",D126="RG02",D126="RG03",D126="RG06",D126="RG07",D126="RG08"),"核心","结构"))</x:f>
      </x:c>
      <x:c r="N126" s="34" t="str"/>
      <x:c r="O126" s="34" t="str"/>
    </x:row>
    <x:row r="127">
      <x:c r="A127" s="34" t="str">
        <x:v>M5-RG-0122</x:v>
      </x:c>
      <x:c r="B127" s="34" t="str"/>
      <x:c r="C127" s="34" t="str"/>
      <x:c r="D127" s="34" t="str"/>
      <x:c r="E127" s="34" t="str">
        <x:f>IF(D127="","",IF(D127="RG01","安全、同意与尊重",IF(D127="RG02","关系意图与承诺",IF(D127="RG03","价值观与人生目标",IF(D127="RG04","时间、地域与生活节奏",IF(D127="RG05","金钱、资源与劳动分配",IF(D127="RG06","家庭、婚育与照护责任",IF(D127="RG07","身体、亲密、隐私与健康",IF(D127="RG08","冲突、修复与学习意愿","")))))))))</x:f>
      </x:c>
      <x:c r="F127" s="34" t="str"/>
      <x:c r="G127" s="34" t="str"/>
      <x:c r="H127" s="34" t="str"/>
      <x:c r="I127" s="34" t="str"/>
      <x:c r="J127" s="34" t="str"/>
      <x:c r="K127" s="34" t="str"/>
      <x:c r="L127" s="34" t="str"/>
      <x:c r="M127" s="34" t="str">
        <x:f>IF(D127="","",IF(OR(D127="RG01",D127="RG02",D127="RG03",D127="RG06",D127="RG07",D127="RG08"),"核心","结构"))</x:f>
      </x:c>
      <x:c r="N127" s="34" t="str"/>
      <x:c r="O127" s="34" t="str"/>
    </x:row>
    <x:row r="128">
      <x:c r="A128" s="34" t="str">
        <x:v>M5-RG-0123</x:v>
      </x:c>
      <x:c r="B128" s="34" t="str"/>
      <x:c r="C128" s="34" t="str"/>
      <x:c r="D128" s="34" t="str"/>
      <x:c r="E128" s="34" t="str">
        <x:f>IF(D128="","",IF(D128="RG01","安全、同意与尊重",IF(D128="RG02","关系意图与承诺",IF(D128="RG03","价值观与人生目标",IF(D128="RG04","时间、地域与生活节奏",IF(D128="RG05","金钱、资源与劳动分配",IF(D128="RG06","家庭、婚育与照护责任",IF(D128="RG07","身体、亲密、隐私与健康",IF(D128="RG08","冲突、修复与学习意愿","")))))))))</x:f>
      </x:c>
      <x:c r="F128" s="34" t="str"/>
      <x:c r="G128" s="34" t="str"/>
      <x:c r="H128" s="34" t="str"/>
      <x:c r="I128" s="34" t="str"/>
      <x:c r="J128" s="34" t="str"/>
      <x:c r="K128" s="34" t="str"/>
      <x:c r="L128" s="34" t="str"/>
      <x:c r="M128" s="34" t="str">
        <x:f>IF(D128="","",IF(OR(D128="RG01",D128="RG02",D128="RG03",D128="RG06",D128="RG07",D128="RG08"),"核心","结构"))</x:f>
      </x:c>
      <x:c r="N128" s="34" t="str"/>
      <x:c r="O128" s="34" t="str"/>
    </x:row>
    <x:row r="129">
      <x:c r="A129" s="34" t="str">
        <x:v>M5-RG-0124</x:v>
      </x:c>
      <x:c r="B129" s="34" t="str"/>
      <x:c r="C129" s="34" t="str"/>
      <x:c r="D129" s="34" t="str"/>
      <x:c r="E129" s="34" t="str">
        <x:f>IF(D129="","",IF(D129="RG01","安全、同意与尊重",IF(D129="RG02","关系意图与承诺",IF(D129="RG03","价值观与人生目标",IF(D129="RG04","时间、地域与生活节奏",IF(D129="RG05","金钱、资源与劳动分配",IF(D129="RG06","家庭、婚育与照护责任",IF(D129="RG07","身体、亲密、隐私与健康",IF(D129="RG08","冲突、修复与学习意愿","")))))))))</x:f>
      </x:c>
      <x:c r="F129" s="34" t="str"/>
      <x:c r="G129" s="34" t="str"/>
      <x:c r="H129" s="34" t="str"/>
      <x:c r="I129" s="34" t="str"/>
      <x:c r="J129" s="34" t="str"/>
      <x:c r="K129" s="34" t="str"/>
      <x:c r="L129" s="34" t="str"/>
      <x:c r="M129" s="34" t="str">
        <x:f>IF(D129="","",IF(OR(D129="RG01",D129="RG02",D129="RG03",D129="RG06",D129="RG07",D129="RG08"),"核心","结构"))</x:f>
      </x:c>
      <x:c r="N129" s="34" t="str"/>
      <x:c r="O129" s="34" t="str"/>
    </x:row>
    <x:row r="130">
      <x:c r="A130" s="34" t="str">
        <x:v>M5-RG-0125</x:v>
      </x:c>
      <x:c r="B130" s="34" t="str"/>
      <x:c r="C130" s="34" t="str"/>
      <x:c r="D130" s="34" t="str"/>
      <x:c r="E130" s="34" t="str">
        <x:f>IF(D130="","",IF(D130="RG01","安全、同意与尊重",IF(D130="RG02","关系意图与承诺",IF(D130="RG03","价值观与人生目标",IF(D130="RG04","时间、地域与生活节奏",IF(D130="RG05","金钱、资源与劳动分配",IF(D130="RG06","家庭、婚育与照护责任",IF(D130="RG07","身体、亲密、隐私与健康",IF(D130="RG08","冲突、修复与学习意愿","")))))))))</x:f>
      </x:c>
      <x:c r="F130" s="34" t="str"/>
      <x:c r="G130" s="34" t="str"/>
      <x:c r="H130" s="34" t="str"/>
      <x:c r="I130" s="34" t="str"/>
      <x:c r="J130" s="34" t="str"/>
      <x:c r="K130" s="34" t="str"/>
      <x:c r="L130" s="34" t="str"/>
      <x:c r="M130" s="34" t="str">
        <x:f>IF(D130="","",IF(OR(D130="RG01",D130="RG02",D130="RG03",D130="RG06",D130="RG07",D130="RG08"),"核心","结构"))</x:f>
      </x:c>
      <x:c r="N130" s="34" t="str"/>
      <x:c r="O130" s="34" t="str"/>
    </x:row>
    <x:row r="131">
      <x:c r="A131" s="34" t="str">
        <x:v>M5-RG-0126</x:v>
      </x:c>
      <x:c r="B131" s="34" t="str"/>
      <x:c r="C131" s="34" t="str"/>
      <x:c r="D131" s="34" t="str"/>
      <x:c r="E131" s="34" t="str">
        <x:f>IF(D131="","",IF(D131="RG01","安全、同意与尊重",IF(D131="RG02","关系意图与承诺",IF(D131="RG03","价值观与人生目标",IF(D131="RG04","时间、地域与生活节奏",IF(D131="RG05","金钱、资源与劳动分配",IF(D131="RG06","家庭、婚育与照护责任",IF(D131="RG07","身体、亲密、隐私与健康",IF(D131="RG08","冲突、修复与学习意愿","")))))))))</x:f>
      </x:c>
      <x:c r="F131" s="34" t="str"/>
      <x:c r="G131" s="34" t="str"/>
      <x:c r="H131" s="34" t="str"/>
      <x:c r="I131" s="34" t="str"/>
      <x:c r="J131" s="34" t="str"/>
      <x:c r="K131" s="34" t="str"/>
      <x:c r="L131" s="34" t="str"/>
      <x:c r="M131" s="34" t="str">
        <x:f>IF(D131="","",IF(OR(D131="RG01",D131="RG02",D131="RG03",D131="RG06",D131="RG07",D131="RG08"),"核心","结构"))</x:f>
      </x:c>
      <x:c r="N131" s="34" t="str"/>
      <x:c r="O131" s="34" t="str"/>
    </x:row>
    <x:row r="132">
      <x:c r="A132" s="34" t="str">
        <x:v>M5-RG-0127</x:v>
      </x:c>
      <x:c r="B132" s="34" t="str"/>
      <x:c r="C132" s="34" t="str"/>
      <x:c r="D132" s="34" t="str"/>
      <x:c r="E132" s="34" t="str">
        <x:f>IF(D132="","",IF(D132="RG01","安全、同意与尊重",IF(D132="RG02","关系意图与承诺",IF(D132="RG03","价值观与人生目标",IF(D132="RG04","时间、地域与生活节奏",IF(D132="RG05","金钱、资源与劳动分配",IF(D132="RG06","家庭、婚育与照护责任",IF(D132="RG07","身体、亲密、隐私与健康",IF(D132="RG08","冲突、修复与学习意愿","")))))))))</x:f>
      </x:c>
      <x:c r="F132" s="34" t="str"/>
      <x:c r="G132" s="34" t="str"/>
      <x:c r="H132" s="34" t="str"/>
      <x:c r="I132" s="34" t="str"/>
      <x:c r="J132" s="34" t="str"/>
      <x:c r="K132" s="34" t="str"/>
      <x:c r="L132" s="34" t="str"/>
      <x:c r="M132" s="34" t="str">
        <x:f>IF(D132="","",IF(OR(D132="RG01",D132="RG02",D132="RG03",D132="RG06",D132="RG07",D132="RG08"),"核心","结构"))</x:f>
      </x:c>
      <x:c r="N132" s="34" t="str"/>
      <x:c r="O132" s="34" t="str"/>
    </x:row>
    <x:row r="133">
      <x:c r="A133" s="34" t="str">
        <x:v>M5-RG-0128</x:v>
      </x:c>
      <x:c r="B133" s="34" t="str"/>
      <x:c r="C133" s="34" t="str"/>
      <x:c r="D133" s="34" t="str"/>
      <x:c r="E133" s="34" t="str">
        <x:f>IF(D133="","",IF(D133="RG01","安全、同意与尊重",IF(D133="RG02","关系意图与承诺",IF(D133="RG03","价值观与人生目标",IF(D133="RG04","时间、地域与生活节奏",IF(D133="RG05","金钱、资源与劳动分配",IF(D133="RG06","家庭、婚育与照护责任",IF(D133="RG07","身体、亲密、隐私与健康",IF(D133="RG08","冲突、修复与学习意愿","")))))))))</x:f>
      </x:c>
      <x:c r="F133" s="34" t="str"/>
      <x:c r="G133" s="34" t="str"/>
      <x:c r="H133" s="34" t="str"/>
      <x:c r="I133" s="34" t="str"/>
      <x:c r="J133" s="34" t="str"/>
      <x:c r="K133" s="34" t="str"/>
      <x:c r="L133" s="34" t="str"/>
      <x:c r="M133" s="34" t="str">
        <x:f>IF(D133="","",IF(OR(D133="RG01",D133="RG02",D133="RG03",D133="RG06",D133="RG07",D133="RG08"),"核心","结构"))</x:f>
      </x:c>
      <x:c r="N133" s="34" t="str"/>
      <x:c r="O133" s="34" t="str"/>
    </x:row>
    <x:row r="134">
      <x:c r="A134" s="34" t="str">
        <x:v>M5-RG-0129</x:v>
      </x:c>
      <x:c r="B134" s="34" t="str"/>
      <x:c r="C134" s="34" t="str"/>
      <x:c r="D134" s="34" t="str"/>
      <x:c r="E134" s="34" t="str">
        <x:f>IF(D134="","",IF(D134="RG01","安全、同意与尊重",IF(D134="RG02","关系意图与承诺",IF(D134="RG03","价值观与人生目标",IF(D134="RG04","时间、地域与生活节奏",IF(D134="RG05","金钱、资源与劳动分配",IF(D134="RG06","家庭、婚育与照护责任",IF(D134="RG07","身体、亲密、隐私与健康",IF(D134="RG08","冲突、修复与学习意愿","")))))))))</x:f>
      </x:c>
      <x:c r="F134" s="34" t="str"/>
      <x:c r="G134" s="34" t="str"/>
      <x:c r="H134" s="34" t="str"/>
      <x:c r="I134" s="34" t="str"/>
      <x:c r="J134" s="34" t="str"/>
      <x:c r="K134" s="34" t="str"/>
      <x:c r="L134" s="34" t="str"/>
      <x:c r="M134" s="34" t="str">
        <x:f>IF(D134="","",IF(OR(D134="RG01",D134="RG02",D134="RG03",D134="RG06",D134="RG07",D134="RG08"),"核心","结构"))</x:f>
      </x:c>
      <x:c r="N134" s="34" t="str"/>
      <x:c r="O134" s="34" t="str"/>
    </x:row>
    <x:row r="135">
      <x:c r="A135" s="34" t="str">
        <x:v>M5-RG-0130</x:v>
      </x:c>
      <x:c r="B135" s="34" t="str"/>
      <x:c r="C135" s="34" t="str"/>
      <x:c r="D135" s="34" t="str"/>
      <x:c r="E135" s="34" t="str">
        <x:f>IF(D135="","",IF(D135="RG01","安全、同意与尊重",IF(D135="RG02","关系意图与承诺",IF(D135="RG03","价值观与人生目标",IF(D135="RG04","时间、地域与生活节奏",IF(D135="RG05","金钱、资源与劳动分配",IF(D135="RG06","家庭、婚育与照护责任",IF(D135="RG07","身体、亲密、隐私与健康",IF(D135="RG08","冲突、修复与学习意愿","")))))))))</x:f>
      </x:c>
      <x:c r="F135" s="34" t="str"/>
      <x:c r="G135" s="34" t="str"/>
      <x:c r="H135" s="34" t="str"/>
      <x:c r="I135" s="34" t="str"/>
      <x:c r="J135" s="34" t="str"/>
      <x:c r="K135" s="34" t="str"/>
      <x:c r="L135" s="34" t="str"/>
      <x:c r="M135" s="34" t="str">
        <x:f>IF(D135="","",IF(OR(D135="RG01",D135="RG02",D135="RG03",D135="RG06",D135="RG07",D135="RG08"),"核心","结构"))</x:f>
      </x:c>
      <x:c r="N135" s="34" t="str"/>
      <x:c r="O135" s="34" t="str"/>
    </x:row>
    <x:row r="136">
      <x:c r="A136" s="34" t="str">
        <x:v>M5-RG-0131</x:v>
      </x:c>
      <x:c r="B136" s="34" t="str"/>
      <x:c r="C136" s="34" t="str"/>
      <x:c r="D136" s="34" t="str"/>
      <x:c r="E136" s="34" t="str">
        <x:f>IF(D136="","",IF(D136="RG01","安全、同意与尊重",IF(D136="RG02","关系意图与承诺",IF(D136="RG03","价值观与人生目标",IF(D136="RG04","时间、地域与生活节奏",IF(D136="RG05","金钱、资源与劳动分配",IF(D136="RG06","家庭、婚育与照护责任",IF(D136="RG07","身体、亲密、隐私与健康",IF(D136="RG08","冲突、修复与学习意愿","")))))))))</x:f>
      </x:c>
      <x:c r="F136" s="34" t="str"/>
      <x:c r="G136" s="34" t="str"/>
      <x:c r="H136" s="34" t="str"/>
      <x:c r="I136" s="34" t="str"/>
      <x:c r="J136" s="34" t="str"/>
      <x:c r="K136" s="34" t="str"/>
      <x:c r="L136" s="34" t="str"/>
      <x:c r="M136" s="34" t="str">
        <x:f>IF(D136="","",IF(OR(D136="RG01",D136="RG02",D136="RG03",D136="RG06",D136="RG07",D136="RG08"),"核心","结构"))</x:f>
      </x:c>
      <x:c r="N136" s="34" t="str"/>
      <x:c r="O136" s="34" t="str"/>
    </x:row>
    <x:row r="137">
      <x:c r="A137" s="34" t="str">
        <x:v>M5-RG-0132</x:v>
      </x:c>
      <x:c r="B137" s="34" t="str"/>
      <x:c r="C137" s="34" t="str"/>
      <x:c r="D137" s="34" t="str"/>
      <x:c r="E137" s="34" t="str">
        <x:f>IF(D137="","",IF(D137="RG01","安全、同意与尊重",IF(D137="RG02","关系意图与承诺",IF(D137="RG03","价值观与人生目标",IF(D137="RG04","时间、地域与生活节奏",IF(D137="RG05","金钱、资源与劳动分配",IF(D137="RG06","家庭、婚育与照护责任",IF(D137="RG07","身体、亲密、隐私与健康",IF(D137="RG08","冲突、修复与学习意愿","")))))))))</x:f>
      </x:c>
      <x:c r="F137" s="34" t="str"/>
      <x:c r="G137" s="34" t="str"/>
      <x:c r="H137" s="34" t="str"/>
      <x:c r="I137" s="34" t="str"/>
      <x:c r="J137" s="34" t="str"/>
      <x:c r="K137" s="34" t="str"/>
      <x:c r="L137" s="34" t="str"/>
      <x:c r="M137" s="34" t="str">
        <x:f>IF(D137="","",IF(OR(D137="RG01",D137="RG02",D137="RG03",D137="RG06",D137="RG07",D137="RG08"),"核心","结构"))</x:f>
      </x:c>
      <x:c r="N137" s="34" t="str"/>
      <x:c r="O137" s="34" t="str"/>
    </x:row>
    <x:row r="138">
      <x:c r="A138" s="34" t="str">
        <x:v>M5-RG-0133</x:v>
      </x:c>
      <x:c r="B138" s="34" t="str"/>
      <x:c r="C138" s="34" t="str"/>
      <x:c r="D138" s="34" t="str"/>
      <x:c r="E138" s="34" t="str">
        <x:f>IF(D138="","",IF(D138="RG01","安全、同意与尊重",IF(D138="RG02","关系意图与承诺",IF(D138="RG03","价值观与人生目标",IF(D138="RG04","时间、地域与生活节奏",IF(D138="RG05","金钱、资源与劳动分配",IF(D138="RG06","家庭、婚育与照护责任",IF(D138="RG07","身体、亲密、隐私与健康",IF(D138="RG08","冲突、修复与学习意愿","")))))))))</x:f>
      </x:c>
      <x:c r="F138" s="34" t="str"/>
      <x:c r="G138" s="34" t="str"/>
      <x:c r="H138" s="34" t="str"/>
      <x:c r="I138" s="34" t="str"/>
      <x:c r="J138" s="34" t="str"/>
      <x:c r="K138" s="34" t="str"/>
      <x:c r="L138" s="34" t="str"/>
      <x:c r="M138" s="34" t="str">
        <x:f>IF(D138="","",IF(OR(D138="RG01",D138="RG02",D138="RG03",D138="RG06",D138="RG07",D138="RG08"),"核心","结构"))</x:f>
      </x:c>
      <x:c r="N138" s="34" t="str"/>
      <x:c r="O138" s="34" t="str"/>
    </x:row>
    <x:row r="139">
      <x:c r="A139" s="34" t="str">
        <x:v>M5-RG-0134</x:v>
      </x:c>
      <x:c r="B139" s="34" t="str"/>
      <x:c r="C139" s="34" t="str"/>
      <x:c r="D139" s="34" t="str"/>
      <x:c r="E139" s="34" t="str">
        <x:f>IF(D139="","",IF(D139="RG01","安全、同意与尊重",IF(D139="RG02","关系意图与承诺",IF(D139="RG03","价值观与人生目标",IF(D139="RG04","时间、地域与生活节奏",IF(D139="RG05","金钱、资源与劳动分配",IF(D139="RG06","家庭、婚育与照护责任",IF(D139="RG07","身体、亲密、隐私与健康",IF(D139="RG08","冲突、修复与学习意愿","")))))))))</x:f>
      </x:c>
      <x:c r="F139" s="34" t="str"/>
      <x:c r="G139" s="34" t="str"/>
      <x:c r="H139" s="34" t="str"/>
      <x:c r="I139" s="34" t="str"/>
      <x:c r="J139" s="34" t="str"/>
      <x:c r="K139" s="34" t="str"/>
      <x:c r="L139" s="34" t="str"/>
      <x:c r="M139" s="34" t="str">
        <x:f>IF(D139="","",IF(OR(D139="RG01",D139="RG02",D139="RG03",D139="RG06",D139="RG07",D139="RG08"),"核心","结构"))</x:f>
      </x:c>
      <x:c r="N139" s="34" t="str"/>
      <x:c r="O139" s="34" t="str"/>
    </x:row>
    <x:row r="140">
      <x:c r="A140" s="34" t="str">
        <x:v>M5-RG-0135</x:v>
      </x:c>
      <x:c r="B140" s="34" t="str"/>
      <x:c r="C140" s="34" t="str"/>
      <x:c r="D140" s="34" t="str"/>
      <x:c r="E140" s="34" t="str">
        <x:f>IF(D140="","",IF(D140="RG01","安全、同意与尊重",IF(D140="RG02","关系意图与承诺",IF(D140="RG03","价值观与人生目标",IF(D140="RG04","时间、地域与生活节奏",IF(D140="RG05","金钱、资源与劳动分配",IF(D140="RG06","家庭、婚育与照护责任",IF(D140="RG07","身体、亲密、隐私与健康",IF(D140="RG08","冲突、修复与学习意愿","")))))))))</x:f>
      </x:c>
      <x:c r="F140" s="34" t="str"/>
      <x:c r="G140" s="34" t="str"/>
      <x:c r="H140" s="34" t="str"/>
      <x:c r="I140" s="34" t="str"/>
      <x:c r="J140" s="34" t="str"/>
      <x:c r="K140" s="34" t="str"/>
      <x:c r="L140" s="34" t="str"/>
      <x:c r="M140" s="34" t="str">
        <x:f>IF(D140="","",IF(OR(D140="RG01",D140="RG02",D140="RG03",D140="RG06",D140="RG07",D140="RG08"),"核心","结构"))</x:f>
      </x:c>
      <x:c r="N140" s="34" t="str"/>
      <x:c r="O140" s="34" t="str"/>
    </x:row>
    <x:row r="141">
      <x:c r="A141" s="34" t="str">
        <x:v>M5-RG-0136</x:v>
      </x:c>
      <x:c r="B141" s="34" t="str"/>
      <x:c r="C141" s="34" t="str"/>
      <x:c r="D141" s="34" t="str"/>
      <x:c r="E141" s="34" t="str">
        <x:f>IF(D141="","",IF(D141="RG01","安全、同意与尊重",IF(D141="RG02","关系意图与承诺",IF(D141="RG03","价值观与人生目标",IF(D141="RG04","时间、地域与生活节奏",IF(D141="RG05","金钱、资源与劳动分配",IF(D141="RG06","家庭、婚育与照护责任",IF(D141="RG07","身体、亲密、隐私与健康",IF(D141="RG08","冲突、修复与学习意愿","")))))))))</x:f>
      </x:c>
      <x:c r="F141" s="34" t="str"/>
      <x:c r="G141" s="34" t="str"/>
      <x:c r="H141" s="34" t="str"/>
      <x:c r="I141" s="34" t="str"/>
      <x:c r="J141" s="34" t="str"/>
      <x:c r="K141" s="34" t="str"/>
      <x:c r="L141" s="34" t="str"/>
      <x:c r="M141" s="34" t="str">
        <x:f>IF(D141="","",IF(OR(D141="RG01",D141="RG02",D141="RG03",D141="RG06",D141="RG07",D141="RG08"),"核心","结构"))</x:f>
      </x:c>
      <x:c r="N141" s="34" t="str"/>
      <x:c r="O141" s="34" t="str"/>
    </x:row>
    <x:row r="142">
      <x:c r="A142" s="34" t="str">
        <x:v>M5-RG-0137</x:v>
      </x:c>
      <x:c r="B142" s="34" t="str"/>
      <x:c r="C142" s="34" t="str"/>
      <x:c r="D142" s="34" t="str"/>
      <x:c r="E142" s="34" t="str">
        <x:f>IF(D142="","",IF(D142="RG01","安全、同意与尊重",IF(D142="RG02","关系意图与承诺",IF(D142="RG03","价值观与人生目标",IF(D142="RG04","时间、地域与生活节奏",IF(D142="RG05","金钱、资源与劳动分配",IF(D142="RG06","家庭、婚育与照护责任",IF(D142="RG07","身体、亲密、隐私与健康",IF(D142="RG08","冲突、修复与学习意愿","")))))))))</x:f>
      </x:c>
      <x:c r="F142" s="34" t="str"/>
      <x:c r="G142" s="34" t="str"/>
      <x:c r="H142" s="34" t="str"/>
      <x:c r="I142" s="34" t="str"/>
      <x:c r="J142" s="34" t="str"/>
      <x:c r="K142" s="34" t="str"/>
      <x:c r="L142" s="34" t="str"/>
      <x:c r="M142" s="34" t="str">
        <x:f>IF(D142="","",IF(OR(D142="RG01",D142="RG02",D142="RG03",D142="RG06",D142="RG07",D142="RG08"),"核心","结构"))</x:f>
      </x:c>
      <x:c r="N142" s="34" t="str"/>
      <x:c r="O142" s="34" t="str"/>
    </x:row>
    <x:row r="143">
      <x:c r="A143" s="34" t="str">
        <x:v>M5-RG-0138</x:v>
      </x:c>
      <x:c r="B143" s="34" t="str"/>
      <x:c r="C143" s="34" t="str"/>
      <x:c r="D143" s="34" t="str"/>
      <x:c r="E143" s="34" t="str">
        <x:f>IF(D143="","",IF(D143="RG01","安全、同意与尊重",IF(D143="RG02","关系意图与承诺",IF(D143="RG03","价值观与人生目标",IF(D143="RG04","时间、地域与生活节奏",IF(D143="RG05","金钱、资源与劳动分配",IF(D143="RG06","家庭、婚育与照护责任",IF(D143="RG07","身体、亲密、隐私与健康",IF(D143="RG08","冲突、修复与学习意愿","")))))))))</x:f>
      </x:c>
      <x:c r="F143" s="34" t="str"/>
      <x:c r="G143" s="34" t="str"/>
      <x:c r="H143" s="34" t="str"/>
      <x:c r="I143" s="34" t="str"/>
      <x:c r="J143" s="34" t="str"/>
      <x:c r="K143" s="34" t="str"/>
      <x:c r="L143" s="34" t="str"/>
      <x:c r="M143" s="34" t="str">
        <x:f>IF(D143="","",IF(OR(D143="RG01",D143="RG02",D143="RG03",D143="RG06",D143="RG07",D143="RG08"),"核心","结构"))</x:f>
      </x:c>
      <x:c r="N143" s="34" t="str"/>
      <x:c r="O143" s="34" t="str"/>
    </x:row>
    <x:row r="144">
      <x:c r="A144" s="34" t="str">
        <x:v>M5-RG-0139</x:v>
      </x:c>
      <x:c r="B144" s="34" t="str"/>
      <x:c r="C144" s="34" t="str"/>
      <x:c r="D144" s="34" t="str"/>
      <x:c r="E144" s="34" t="str">
        <x:f>IF(D144="","",IF(D144="RG01","安全、同意与尊重",IF(D144="RG02","关系意图与承诺",IF(D144="RG03","价值观与人生目标",IF(D144="RG04","时间、地域与生活节奏",IF(D144="RG05","金钱、资源与劳动分配",IF(D144="RG06","家庭、婚育与照护责任",IF(D144="RG07","身体、亲密、隐私与健康",IF(D144="RG08","冲突、修复与学习意愿","")))))))))</x:f>
      </x:c>
      <x:c r="F144" s="34" t="str"/>
      <x:c r="G144" s="34" t="str"/>
      <x:c r="H144" s="34" t="str"/>
      <x:c r="I144" s="34" t="str"/>
      <x:c r="J144" s="34" t="str"/>
      <x:c r="K144" s="34" t="str"/>
      <x:c r="L144" s="34" t="str"/>
      <x:c r="M144" s="34" t="str">
        <x:f>IF(D144="","",IF(OR(D144="RG01",D144="RG02",D144="RG03",D144="RG06",D144="RG07",D144="RG08"),"核心","结构"))</x:f>
      </x:c>
      <x:c r="N144" s="34" t="str"/>
      <x:c r="O144" s="34" t="str"/>
    </x:row>
    <x:row r="145">
      <x:c r="A145" s="34" t="str">
        <x:v>M5-RG-0140</x:v>
      </x:c>
      <x:c r="B145" s="34" t="str"/>
      <x:c r="C145" s="34" t="str"/>
      <x:c r="D145" s="34" t="str"/>
      <x:c r="E145" s="34" t="str">
        <x:f>IF(D145="","",IF(D145="RG01","安全、同意与尊重",IF(D145="RG02","关系意图与承诺",IF(D145="RG03","价值观与人生目标",IF(D145="RG04","时间、地域与生活节奏",IF(D145="RG05","金钱、资源与劳动分配",IF(D145="RG06","家庭、婚育与照护责任",IF(D145="RG07","身体、亲密、隐私与健康",IF(D145="RG08","冲突、修复与学习意愿","")))))))))</x:f>
      </x:c>
      <x:c r="F145" s="34" t="str"/>
      <x:c r="G145" s="34" t="str"/>
      <x:c r="H145" s="34" t="str"/>
      <x:c r="I145" s="34" t="str"/>
      <x:c r="J145" s="34" t="str"/>
      <x:c r="K145" s="34" t="str"/>
      <x:c r="L145" s="34" t="str"/>
      <x:c r="M145" s="34" t="str">
        <x:f>IF(D145="","",IF(OR(D145="RG01",D145="RG02",D145="RG03",D145="RG06",D145="RG07",D145="RG08"),"核心","结构"))</x:f>
      </x:c>
      <x:c r="N145" s="34" t="str"/>
      <x:c r="O145" s="34" t="str"/>
    </x:row>
    <x:row r="146">
      <x:c r="A146" s="34" t="str">
        <x:v>M5-RG-0141</x:v>
      </x:c>
      <x:c r="B146" s="34" t="str"/>
      <x:c r="C146" s="34" t="str"/>
      <x:c r="D146" s="34" t="str"/>
      <x:c r="E146" s="34" t="str">
        <x:f>IF(D146="","",IF(D146="RG01","安全、同意与尊重",IF(D146="RG02","关系意图与承诺",IF(D146="RG03","价值观与人生目标",IF(D146="RG04","时间、地域与生活节奏",IF(D146="RG05","金钱、资源与劳动分配",IF(D146="RG06","家庭、婚育与照护责任",IF(D146="RG07","身体、亲密、隐私与健康",IF(D146="RG08","冲突、修复与学习意愿","")))))))))</x:f>
      </x:c>
      <x:c r="F146" s="34" t="str"/>
      <x:c r="G146" s="34" t="str"/>
      <x:c r="H146" s="34" t="str"/>
      <x:c r="I146" s="34" t="str"/>
      <x:c r="J146" s="34" t="str"/>
      <x:c r="K146" s="34" t="str"/>
      <x:c r="L146" s="34" t="str"/>
      <x:c r="M146" s="34" t="str">
        <x:f>IF(D146="","",IF(OR(D146="RG01",D146="RG02",D146="RG03",D146="RG06",D146="RG07",D146="RG08"),"核心","结构"))</x:f>
      </x:c>
      <x:c r="N146" s="34" t="str"/>
      <x:c r="O146" s="34" t="str"/>
    </x:row>
    <x:row r="147">
      <x:c r="A147" s="34" t="str">
        <x:v>M5-RG-0142</x:v>
      </x:c>
      <x:c r="B147" s="34" t="str"/>
      <x:c r="C147" s="34" t="str"/>
      <x:c r="D147" s="34" t="str"/>
      <x:c r="E147" s="34" t="str">
        <x:f>IF(D147="","",IF(D147="RG01","安全、同意与尊重",IF(D147="RG02","关系意图与承诺",IF(D147="RG03","价值观与人生目标",IF(D147="RG04","时间、地域与生活节奏",IF(D147="RG05","金钱、资源与劳动分配",IF(D147="RG06","家庭、婚育与照护责任",IF(D147="RG07","身体、亲密、隐私与健康",IF(D147="RG08","冲突、修复与学习意愿","")))))))))</x:f>
      </x:c>
      <x:c r="F147" s="34" t="str"/>
      <x:c r="G147" s="34" t="str"/>
      <x:c r="H147" s="34" t="str"/>
      <x:c r="I147" s="34" t="str"/>
      <x:c r="J147" s="34" t="str"/>
      <x:c r="K147" s="34" t="str"/>
      <x:c r="L147" s="34" t="str"/>
      <x:c r="M147" s="34" t="str">
        <x:f>IF(D147="","",IF(OR(D147="RG01",D147="RG02",D147="RG03",D147="RG06",D147="RG07",D147="RG08"),"核心","结构"))</x:f>
      </x:c>
      <x:c r="N147" s="34" t="str"/>
      <x:c r="O147" s="34" t="str"/>
    </x:row>
    <x:row r="148">
      <x:c r="A148" s="34" t="str">
        <x:v>M5-RG-0143</x:v>
      </x:c>
      <x:c r="B148" s="34" t="str"/>
      <x:c r="C148" s="34" t="str"/>
      <x:c r="D148" s="34" t="str"/>
      <x:c r="E148" s="34" t="str">
        <x:f>IF(D148="","",IF(D148="RG01","安全、同意与尊重",IF(D148="RG02","关系意图与承诺",IF(D148="RG03","价值观与人生目标",IF(D148="RG04","时间、地域与生活节奏",IF(D148="RG05","金钱、资源与劳动分配",IF(D148="RG06","家庭、婚育与照护责任",IF(D148="RG07","身体、亲密、隐私与健康",IF(D148="RG08","冲突、修复与学习意愿","")))))))))</x:f>
      </x:c>
      <x:c r="F148" s="34" t="str"/>
      <x:c r="G148" s="34" t="str"/>
      <x:c r="H148" s="34" t="str"/>
      <x:c r="I148" s="34" t="str"/>
      <x:c r="J148" s="34" t="str"/>
      <x:c r="K148" s="34" t="str"/>
      <x:c r="L148" s="34" t="str"/>
      <x:c r="M148" s="34" t="str">
        <x:f>IF(D148="","",IF(OR(D148="RG01",D148="RG02",D148="RG03",D148="RG06",D148="RG07",D148="RG08"),"核心","结构"))</x:f>
      </x:c>
      <x:c r="N148" s="34" t="str"/>
      <x:c r="O148" s="34" t="str"/>
    </x:row>
    <x:row r="149">
      <x:c r="A149" s="34" t="str">
        <x:v>M5-RG-0144</x:v>
      </x:c>
      <x:c r="B149" s="34" t="str"/>
      <x:c r="C149" s="34" t="str"/>
      <x:c r="D149" s="34" t="str"/>
      <x:c r="E149" s="34" t="str">
        <x:f>IF(D149="","",IF(D149="RG01","安全、同意与尊重",IF(D149="RG02","关系意图与承诺",IF(D149="RG03","价值观与人生目标",IF(D149="RG04","时间、地域与生活节奏",IF(D149="RG05","金钱、资源与劳动分配",IF(D149="RG06","家庭、婚育与照护责任",IF(D149="RG07","身体、亲密、隐私与健康",IF(D149="RG08","冲突、修复与学习意愿","")))))))))</x:f>
      </x:c>
      <x:c r="F149" s="34" t="str"/>
      <x:c r="G149" s="34" t="str"/>
      <x:c r="H149" s="34" t="str"/>
      <x:c r="I149" s="34" t="str"/>
      <x:c r="J149" s="34" t="str"/>
      <x:c r="K149" s="34" t="str"/>
      <x:c r="L149" s="34" t="str"/>
      <x:c r="M149" s="34" t="str">
        <x:f>IF(D149="","",IF(OR(D149="RG01",D149="RG02",D149="RG03",D149="RG06",D149="RG07",D149="RG08"),"核心","结构"))</x:f>
      </x:c>
      <x:c r="N149" s="34" t="str"/>
      <x:c r="O149" s="34" t="str"/>
    </x:row>
    <x:row r="150">
      <x:c r="A150" s="34" t="str">
        <x:v>M5-RG-0145</x:v>
      </x:c>
      <x:c r="B150" s="34" t="str"/>
      <x:c r="C150" s="34" t="str"/>
      <x:c r="D150" s="34" t="str"/>
      <x:c r="E150" s="34" t="str">
        <x:f>IF(D150="","",IF(D150="RG01","安全、同意与尊重",IF(D150="RG02","关系意图与承诺",IF(D150="RG03","价值观与人生目标",IF(D150="RG04","时间、地域与生活节奏",IF(D150="RG05","金钱、资源与劳动分配",IF(D150="RG06","家庭、婚育与照护责任",IF(D150="RG07","身体、亲密、隐私与健康",IF(D150="RG08","冲突、修复与学习意愿","")))))))))</x:f>
      </x:c>
      <x:c r="F150" s="34" t="str"/>
      <x:c r="G150" s="34" t="str"/>
      <x:c r="H150" s="34" t="str"/>
      <x:c r="I150" s="34" t="str"/>
      <x:c r="J150" s="34" t="str"/>
      <x:c r="K150" s="34" t="str"/>
      <x:c r="L150" s="34" t="str"/>
      <x:c r="M150" s="34" t="str">
        <x:f>IF(D150="","",IF(OR(D150="RG01",D150="RG02",D150="RG03",D150="RG06",D150="RG07",D150="RG08"),"核心","结构"))</x:f>
      </x:c>
      <x:c r="N150" s="34" t="str"/>
      <x:c r="O150" s="34" t="str"/>
    </x:row>
    <x:row r="151">
      <x:c r="A151" s="34" t="str">
        <x:v>M5-RG-0146</x:v>
      </x:c>
      <x:c r="B151" s="34" t="str"/>
      <x:c r="C151" s="34" t="str"/>
      <x:c r="D151" s="34" t="str"/>
      <x:c r="E151" s="34" t="str">
        <x:f>IF(D151="","",IF(D151="RG01","安全、同意与尊重",IF(D151="RG02","关系意图与承诺",IF(D151="RG03","价值观与人生目标",IF(D151="RG04","时间、地域与生活节奏",IF(D151="RG05","金钱、资源与劳动分配",IF(D151="RG06","家庭、婚育与照护责任",IF(D151="RG07","身体、亲密、隐私与健康",IF(D151="RG08","冲突、修复与学习意愿","")))))))))</x:f>
      </x:c>
      <x:c r="F151" s="34" t="str"/>
      <x:c r="G151" s="34" t="str"/>
      <x:c r="H151" s="34" t="str"/>
      <x:c r="I151" s="34" t="str"/>
      <x:c r="J151" s="34" t="str"/>
      <x:c r="K151" s="34" t="str"/>
      <x:c r="L151" s="34" t="str"/>
      <x:c r="M151" s="34" t="str">
        <x:f>IF(D151="","",IF(OR(D151="RG01",D151="RG02",D151="RG03",D151="RG06",D151="RG07",D151="RG08"),"核心","结构"))</x:f>
      </x:c>
      <x:c r="N151" s="34" t="str"/>
      <x:c r="O151" s="34" t="str"/>
    </x:row>
    <x:row r="152">
      <x:c r="A152" s="34" t="str">
        <x:v>M5-RG-0147</x:v>
      </x:c>
      <x:c r="B152" s="34" t="str"/>
      <x:c r="C152" s="34" t="str"/>
      <x:c r="D152" s="34" t="str"/>
      <x:c r="E152" s="34" t="str">
        <x:f>IF(D152="","",IF(D152="RG01","安全、同意与尊重",IF(D152="RG02","关系意图与承诺",IF(D152="RG03","价值观与人生目标",IF(D152="RG04","时间、地域与生活节奏",IF(D152="RG05","金钱、资源与劳动分配",IF(D152="RG06","家庭、婚育与照护责任",IF(D152="RG07","身体、亲密、隐私与健康",IF(D152="RG08","冲突、修复与学习意愿","")))))))))</x:f>
      </x:c>
      <x:c r="F152" s="34" t="str"/>
      <x:c r="G152" s="34" t="str"/>
      <x:c r="H152" s="34" t="str"/>
      <x:c r="I152" s="34" t="str"/>
      <x:c r="J152" s="34" t="str"/>
      <x:c r="K152" s="34" t="str"/>
      <x:c r="L152" s="34" t="str"/>
      <x:c r="M152" s="34" t="str">
        <x:f>IF(D152="","",IF(OR(D152="RG01",D152="RG02",D152="RG03",D152="RG06",D152="RG07",D152="RG08"),"核心","结构"))</x:f>
      </x:c>
      <x:c r="N152" s="34" t="str"/>
      <x:c r="O152" s="34" t="str"/>
    </x:row>
    <x:row r="153">
      <x:c r="A153" s="34" t="str">
        <x:v>M5-RG-0148</x:v>
      </x:c>
      <x:c r="B153" s="34" t="str"/>
      <x:c r="C153" s="34" t="str"/>
      <x:c r="D153" s="34" t="str"/>
      <x:c r="E153" s="34" t="str">
        <x:f>IF(D153="","",IF(D153="RG01","安全、同意与尊重",IF(D153="RG02","关系意图与承诺",IF(D153="RG03","价值观与人生目标",IF(D153="RG04","时间、地域与生活节奏",IF(D153="RG05","金钱、资源与劳动分配",IF(D153="RG06","家庭、婚育与照护责任",IF(D153="RG07","身体、亲密、隐私与健康",IF(D153="RG08","冲突、修复与学习意愿","")))))))))</x:f>
      </x:c>
      <x:c r="F153" s="34" t="str"/>
      <x:c r="G153" s="34" t="str"/>
      <x:c r="H153" s="34" t="str"/>
      <x:c r="I153" s="34" t="str"/>
      <x:c r="J153" s="34" t="str"/>
      <x:c r="K153" s="34" t="str"/>
      <x:c r="L153" s="34" t="str"/>
      <x:c r="M153" s="34" t="str">
        <x:f>IF(D153="","",IF(OR(D153="RG01",D153="RG02",D153="RG03",D153="RG06",D153="RG07",D153="RG08"),"核心","结构"))</x:f>
      </x:c>
      <x:c r="N153" s="34" t="str"/>
      <x:c r="O153" s="34" t="str"/>
    </x:row>
    <x:row r="154">
      <x:c r="A154" s="34" t="str">
        <x:v>M5-RG-0149</x:v>
      </x:c>
      <x:c r="B154" s="34" t="str"/>
      <x:c r="C154" s="34" t="str"/>
      <x:c r="D154" s="34" t="str"/>
      <x:c r="E154" s="34" t="str">
        <x:f>IF(D154="","",IF(D154="RG01","安全、同意与尊重",IF(D154="RG02","关系意图与承诺",IF(D154="RG03","价值观与人生目标",IF(D154="RG04","时间、地域与生活节奏",IF(D154="RG05","金钱、资源与劳动分配",IF(D154="RG06","家庭、婚育与照护责任",IF(D154="RG07","身体、亲密、隐私与健康",IF(D154="RG08","冲突、修复与学习意愿","")))))))))</x:f>
      </x:c>
      <x:c r="F154" s="34" t="str"/>
      <x:c r="G154" s="34" t="str"/>
      <x:c r="H154" s="34" t="str"/>
      <x:c r="I154" s="34" t="str"/>
      <x:c r="J154" s="34" t="str"/>
      <x:c r="K154" s="34" t="str"/>
      <x:c r="L154" s="34" t="str"/>
      <x:c r="M154" s="34" t="str">
        <x:f>IF(D154="","",IF(OR(D154="RG01",D154="RG02",D154="RG03",D154="RG06",D154="RG07",D154="RG08"),"核心","结构"))</x:f>
      </x:c>
      <x:c r="N154" s="34" t="str"/>
      <x:c r="O154" s="34" t="str"/>
    </x:row>
    <x:row r="155">
      <x:c r="A155" s="34" t="str">
        <x:v>M5-RG-0150</x:v>
      </x:c>
      <x:c r="B155" s="34" t="str"/>
      <x:c r="C155" s="34" t="str"/>
      <x:c r="D155" s="34" t="str"/>
      <x:c r="E155" s="34" t="str">
        <x:f>IF(D155="","",IF(D155="RG01","安全、同意与尊重",IF(D155="RG02","关系意图与承诺",IF(D155="RG03","价值观与人生目标",IF(D155="RG04","时间、地域与生活节奏",IF(D155="RG05","金钱、资源与劳动分配",IF(D155="RG06","家庭、婚育与照护责任",IF(D155="RG07","身体、亲密、隐私与健康",IF(D155="RG08","冲突、修复与学习意愿","")))))))))</x:f>
      </x:c>
      <x:c r="F155" s="34" t="str"/>
      <x:c r="G155" s="34" t="str"/>
      <x:c r="H155" s="34" t="str"/>
      <x:c r="I155" s="34" t="str"/>
      <x:c r="J155" s="34" t="str"/>
      <x:c r="K155" s="34" t="str"/>
      <x:c r="L155" s="34" t="str"/>
      <x:c r="M155" s="34" t="str">
        <x:f>IF(D155="","",IF(OR(D155="RG01",D155="RG02",D155="RG03",D155="RG06",D155="RG07",D155="RG08"),"核心","结构"))</x:f>
      </x:c>
      <x:c r="N155" s="34" t="str"/>
      <x:c r="O155" s="34" t="str"/>
    </x:row>
    <x:row r="156">
      <x:c r="A156" s="34" t="str">
        <x:v>M5-RG-0151</x:v>
      </x:c>
      <x:c r="B156" s="34" t="str"/>
      <x:c r="C156" s="34" t="str"/>
      <x:c r="D156" s="34" t="str"/>
      <x:c r="E156" s="34" t="str">
        <x:f>IF(D156="","",IF(D156="RG01","安全、同意与尊重",IF(D156="RG02","关系意图与承诺",IF(D156="RG03","价值观与人生目标",IF(D156="RG04","时间、地域与生活节奏",IF(D156="RG05","金钱、资源与劳动分配",IF(D156="RG06","家庭、婚育与照护责任",IF(D156="RG07","身体、亲密、隐私与健康",IF(D156="RG08","冲突、修复与学习意愿","")))))))))</x:f>
      </x:c>
      <x:c r="F156" s="34" t="str"/>
      <x:c r="G156" s="34" t="str"/>
      <x:c r="H156" s="34" t="str"/>
      <x:c r="I156" s="34" t="str"/>
      <x:c r="J156" s="34" t="str"/>
      <x:c r="K156" s="34" t="str"/>
      <x:c r="L156" s="34" t="str"/>
      <x:c r="M156" s="34" t="str">
        <x:f>IF(D156="","",IF(OR(D156="RG01",D156="RG02",D156="RG03",D156="RG06",D156="RG07",D156="RG08"),"核心","结构"))</x:f>
      </x:c>
      <x:c r="N156" s="34" t="str"/>
      <x:c r="O156" s="34" t="str"/>
    </x:row>
    <x:row r="157">
      <x:c r="A157" s="34" t="str">
        <x:v>M5-RG-0152</x:v>
      </x:c>
      <x:c r="B157" s="34" t="str"/>
      <x:c r="C157" s="34" t="str"/>
      <x:c r="D157" s="34" t="str"/>
      <x:c r="E157" s="34" t="str">
        <x:f>IF(D157="","",IF(D157="RG01","安全、同意与尊重",IF(D157="RG02","关系意图与承诺",IF(D157="RG03","价值观与人生目标",IF(D157="RG04","时间、地域与生活节奏",IF(D157="RG05","金钱、资源与劳动分配",IF(D157="RG06","家庭、婚育与照护责任",IF(D157="RG07","身体、亲密、隐私与健康",IF(D157="RG08","冲突、修复与学习意愿","")))))))))</x:f>
      </x:c>
      <x:c r="F157" s="34" t="str"/>
      <x:c r="G157" s="34" t="str"/>
      <x:c r="H157" s="34" t="str"/>
      <x:c r="I157" s="34" t="str"/>
      <x:c r="J157" s="34" t="str"/>
      <x:c r="K157" s="34" t="str"/>
      <x:c r="L157" s="34" t="str"/>
      <x:c r="M157" s="34" t="str">
        <x:f>IF(D157="","",IF(OR(D157="RG01",D157="RG02",D157="RG03",D157="RG06",D157="RG07",D157="RG08"),"核心","结构"))</x:f>
      </x:c>
      <x:c r="N157" s="34" t="str"/>
      <x:c r="O157" s="34" t="str"/>
    </x:row>
    <x:row r="158">
      <x:c r="A158" s="34" t="str">
        <x:v>M5-RG-0153</x:v>
      </x:c>
      <x:c r="B158" s="34" t="str"/>
      <x:c r="C158" s="34" t="str"/>
      <x:c r="D158" s="34" t="str"/>
      <x:c r="E158" s="34" t="str">
        <x:f>IF(D158="","",IF(D158="RG01","安全、同意与尊重",IF(D158="RG02","关系意图与承诺",IF(D158="RG03","价值观与人生目标",IF(D158="RG04","时间、地域与生活节奏",IF(D158="RG05","金钱、资源与劳动分配",IF(D158="RG06","家庭、婚育与照护责任",IF(D158="RG07","身体、亲密、隐私与健康",IF(D158="RG08","冲突、修复与学习意愿","")))))))))</x:f>
      </x:c>
      <x:c r="F158" s="34" t="str"/>
      <x:c r="G158" s="34" t="str"/>
      <x:c r="H158" s="34" t="str"/>
      <x:c r="I158" s="34" t="str"/>
      <x:c r="J158" s="34" t="str"/>
      <x:c r="K158" s="34" t="str"/>
      <x:c r="L158" s="34" t="str"/>
      <x:c r="M158" s="34" t="str">
        <x:f>IF(D158="","",IF(OR(D158="RG01",D158="RG02",D158="RG03",D158="RG06",D158="RG07",D158="RG08"),"核心","结构"))</x:f>
      </x:c>
      <x:c r="N158" s="34" t="str"/>
      <x:c r="O158" s="34" t="str"/>
    </x:row>
    <x:row r="159">
      <x:c r="A159" s="34" t="str">
        <x:v>M5-RG-0154</x:v>
      </x:c>
      <x:c r="B159" s="34" t="str"/>
      <x:c r="C159" s="34" t="str"/>
      <x:c r="D159" s="34" t="str"/>
      <x:c r="E159" s="34" t="str">
        <x:f>IF(D159="","",IF(D159="RG01","安全、同意与尊重",IF(D159="RG02","关系意图与承诺",IF(D159="RG03","价值观与人生目标",IF(D159="RG04","时间、地域与生活节奏",IF(D159="RG05","金钱、资源与劳动分配",IF(D159="RG06","家庭、婚育与照护责任",IF(D159="RG07","身体、亲密、隐私与健康",IF(D159="RG08","冲突、修复与学习意愿","")))))))))</x:f>
      </x:c>
      <x:c r="F159" s="34" t="str"/>
      <x:c r="G159" s="34" t="str"/>
      <x:c r="H159" s="34" t="str"/>
      <x:c r="I159" s="34" t="str"/>
      <x:c r="J159" s="34" t="str"/>
      <x:c r="K159" s="34" t="str"/>
      <x:c r="L159" s="34" t="str"/>
      <x:c r="M159" s="34" t="str">
        <x:f>IF(D159="","",IF(OR(D159="RG01",D159="RG02",D159="RG03",D159="RG06",D159="RG07",D159="RG08"),"核心","结构"))</x:f>
      </x:c>
      <x:c r="N159" s="34" t="str"/>
      <x:c r="O159" s="34" t="str"/>
    </x:row>
    <x:row r="160">
      <x:c r="A160" s="34" t="str">
        <x:v>M5-RG-0155</x:v>
      </x:c>
      <x:c r="B160" s="34" t="str"/>
      <x:c r="C160" s="34" t="str"/>
      <x:c r="D160" s="34" t="str"/>
      <x:c r="E160" s="34" t="str">
        <x:f>IF(D160="","",IF(D160="RG01","安全、同意与尊重",IF(D160="RG02","关系意图与承诺",IF(D160="RG03","价值观与人生目标",IF(D160="RG04","时间、地域与生活节奏",IF(D160="RG05","金钱、资源与劳动分配",IF(D160="RG06","家庭、婚育与照护责任",IF(D160="RG07","身体、亲密、隐私与健康",IF(D160="RG08","冲突、修复与学习意愿","")))))))))</x:f>
      </x:c>
      <x:c r="F160" s="34" t="str"/>
      <x:c r="G160" s="34" t="str"/>
      <x:c r="H160" s="34" t="str"/>
      <x:c r="I160" s="34" t="str"/>
      <x:c r="J160" s="34" t="str"/>
      <x:c r="K160" s="34" t="str"/>
      <x:c r="L160" s="34" t="str"/>
      <x:c r="M160" s="34" t="str">
        <x:f>IF(D160="","",IF(OR(D160="RG01",D160="RG02",D160="RG03",D160="RG06",D160="RG07",D160="RG08"),"核心","结构"))</x:f>
      </x:c>
      <x:c r="N160" s="34" t="str"/>
      <x:c r="O160" s="34" t="str"/>
    </x:row>
    <x:row r="161">
      <x:c r="A161" s="34" t="str">
        <x:v>M5-RG-0156</x:v>
      </x:c>
      <x:c r="B161" s="34" t="str"/>
      <x:c r="C161" s="34" t="str"/>
      <x:c r="D161" s="34" t="str"/>
      <x:c r="E161" s="34" t="str">
        <x:f>IF(D161="","",IF(D161="RG01","安全、同意与尊重",IF(D161="RG02","关系意图与承诺",IF(D161="RG03","价值观与人生目标",IF(D161="RG04","时间、地域与生活节奏",IF(D161="RG05","金钱、资源与劳动分配",IF(D161="RG06","家庭、婚育与照护责任",IF(D161="RG07","身体、亲密、隐私与健康",IF(D161="RG08","冲突、修复与学习意愿","")))))))))</x:f>
      </x:c>
      <x:c r="F161" s="34" t="str"/>
      <x:c r="G161" s="34" t="str"/>
      <x:c r="H161" s="34" t="str"/>
      <x:c r="I161" s="34" t="str"/>
      <x:c r="J161" s="34" t="str"/>
      <x:c r="K161" s="34" t="str"/>
      <x:c r="L161" s="34" t="str"/>
      <x:c r="M161" s="34" t="str">
        <x:f>IF(D161="","",IF(OR(D161="RG01",D161="RG02",D161="RG03",D161="RG06",D161="RG07",D161="RG08"),"核心","结构"))</x:f>
      </x:c>
      <x:c r="N161" s="34" t="str"/>
      <x:c r="O161" s="34" t="str"/>
    </x:row>
    <x:row r="162">
      <x:c r="A162" s="34" t="str">
        <x:v>M5-RG-0157</x:v>
      </x:c>
      <x:c r="B162" s="34" t="str"/>
      <x:c r="C162" s="34" t="str"/>
      <x:c r="D162" s="34" t="str"/>
      <x:c r="E162" s="34" t="str">
        <x:f>IF(D162="","",IF(D162="RG01","安全、同意与尊重",IF(D162="RG02","关系意图与承诺",IF(D162="RG03","价值观与人生目标",IF(D162="RG04","时间、地域与生活节奏",IF(D162="RG05","金钱、资源与劳动分配",IF(D162="RG06","家庭、婚育与照护责任",IF(D162="RG07","身体、亲密、隐私与健康",IF(D162="RG08","冲突、修复与学习意愿","")))))))))</x:f>
      </x:c>
      <x:c r="F162" s="34" t="str"/>
      <x:c r="G162" s="34" t="str"/>
      <x:c r="H162" s="34" t="str"/>
      <x:c r="I162" s="34" t="str"/>
      <x:c r="J162" s="34" t="str"/>
      <x:c r="K162" s="34" t="str"/>
      <x:c r="L162" s="34" t="str"/>
      <x:c r="M162" s="34" t="str">
        <x:f>IF(D162="","",IF(OR(D162="RG01",D162="RG02",D162="RG03",D162="RG06",D162="RG07",D162="RG08"),"核心","结构"))</x:f>
      </x:c>
      <x:c r="N162" s="34" t="str"/>
      <x:c r="O162" s="34" t="str"/>
    </x:row>
    <x:row r="163">
      <x:c r="A163" s="34" t="str">
        <x:v>M5-RG-0158</x:v>
      </x:c>
      <x:c r="B163" s="34" t="str"/>
      <x:c r="C163" s="34" t="str"/>
      <x:c r="D163" s="34" t="str"/>
      <x:c r="E163" s="34" t="str">
        <x:f>IF(D163="","",IF(D163="RG01","安全、同意与尊重",IF(D163="RG02","关系意图与承诺",IF(D163="RG03","价值观与人生目标",IF(D163="RG04","时间、地域与生活节奏",IF(D163="RG05","金钱、资源与劳动分配",IF(D163="RG06","家庭、婚育与照护责任",IF(D163="RG07","身体、亲密、隐私与健康",IF(D163="RG08","冲突、修复与学习意愿","")))))))))</x:f>
      </x:c>
      <x:c r="F163" s="34" t="str"/>
      <x:c r="G163" s="34" t="str"/>
      <x:c r="H163" s="34" t="str"/>
      <x:c r="I163" s="34" t="str"/>
      <x:c r="J163" s="34" t="str"/>
      <x:c r="K163" s="34" t="str"/>
      <x:c r="L163" s="34" t="str"/>
      <x:c r="M163" s="34" t="str">
        <x:f>IF(D163="","",IF(OR(D163="RG01",D163="RG02",D163="RG03",D163="RG06",D163="RG07",D163="RG08"),"核心","结构"))</x:f>
      </x:c>
      <x:c r="N163" s="34" t="str"/>
      <x:c r="O163" s="34" t="str"/>
    </x:row>
    <x:row r="164">
      <x:c r="A164" s="34" t="str">
        <x:v>M5-RG-0159</x:v>
      </x:c>
      <x:c r="B164" s="34" t="str"/>
      <x:c r="C164" s="34" t="str"/>
      <x:c r="D164" s="34" t="str"/>
      <x:c r="E164" s="34" t="str">
        <x:f>IF(D164="","",IF(D164="RG01","安全、同意与尊重",IF(D164="RG02","关系意图与承诺",IF(D164="RG03","价值观与人生目标",IF(D164="RG04","时间、地域与生活节奏",IF(D164="RG05","金钱、资源与劳动分配",IF(D164="RG06","家庭、婚育与照护责任",IF(D164="RG07","身体、亲密、隐私与健康",IF(D164="RG08","冲突、修复与学习意愿","")))))))))</x:f>
      </x:c>
      <x:c r="F164" s="34" t="str"/>
      <x:c r="G164" s="34" t="str"/>
      <x:c r="H164" s="34" t="str"/>
      <x:c r="I164" s="34" t="str"/>
      <x:c r="J164" s="34" t="str"/>
      <x:c r="K164" s="34" t="str"/>
      <x:c r="L164" s="34" t="str"/>
      <x:c r="M164" s="34" t="str">
        <x:f>IF(D164="","",IF(OR(D164="RG01",D164="RG02",D164="RG03",D164="RG06",D164="RG07",D164="RG08"),"核心","结构"))</x:f>
      </x:c>
      <x:c r="N164" s="34" t="str"/>
      <x:c r="O164" s="34" t="str"/>
    </x:row>
    <x:row r="165">
      <x:c r="A165" s="34" t="str">
        <x:v>M5-RG-0160</x:v>
      </x:c>
      <x:c r="B165" s="34" t="str"/>
      <x:c r="C165" s="34" t="str"/>
      <x:c r="D165" s="34" t="str"/>
      <x:c r="E165" s="34" t="str">
        <x:f>IF(D165="","",IF(D165="RG01","安全、同意与尊重",IF(D165="RG02","关系意图与承诺",IF(D165="RG03","价值观与人生目标",IF(D165="RG04","时间、地域与生活节奏",IF(D165="RG05","金钱、资源与劳动分配",IF(D165="RG06","家庭、婚育与照护责任",IF(D165="RG07","身体、亲密、隐私与健康",IF(D165="RG08","冲突、修复与学习意愿","")))))))))</x:f>
      </x:c>
      <x:c r="F165" s="34" t="str"/>
      <x:c r="G165" s="34" t="str"/>
      <x:c r="H165" s="34" t="str"/>
      <x:c r="I165" s="34" t="str"/>
      <x:c r="J165" s="34" t="str"/>
      <x:c r="K165" s="34" t="str"/>
      <x:c r="L165" s="34" t="str"/>
      <x:c r="M165" s="34" t="str">
        <x:f>IF(D165="","",IF(OR(D165="RG01",D165="RG02",D165="RG03",D165="RG06",D165="RG07",D165="RG08"),"核心","结构"))</x:f>
      </x:c>
      <x:c r="N165" s="34" t="str"/>
      <x:c r="O165" s="34" t="str"/>
    </x:row>
    <x:row r="166">
      <x:c r="A166" s="34" t="str">
        <x:v>M5-RG-0161</x:v>
      </x:c>
      <x:c r="B166" s="34" t="str"/>
      <x:c r="C166" s="34" t="str"/>
      <x:c r="D166" s="34" t="str"/>
      <x:c r="E166" s="34" t="str">
        <x:f>IF(D166="","",IF(D166="RG01","安全、同意与尊重",IF(D166="RG02","关系意图与承诺",IF(D166="RG03","价值观与人生目标",IF(D166="RG04","时间、地域与生活节奏",IF(D166="RG05","金钱、资源与劳动分配",IF(D166="RG06","家庭、婚育与照护责任",IF(D166="RG07","身体、亲密、隐私与健康",IF(D166="RG08","冲突、修复与学习意愿","")))))))))</x:f>
      </x:c>
      <x:c r="F166" s="34" t="str"/>
      <x:c r="G166" s="34" t="str"/>
      <x:c r="H166" s="34" t="str"/>
      <x:c r="I166" s="34" t="str"/>
      <x:c r="J166" s="34" t="str"/>
      <x:c r="K166" s="34" t="str"/>
      <x:c r="L166" s="34" t="str"/>
      <x:c r="M166" s="34" t="str">
        <x:f>IF(D166="","",IF(OR(D166="RG01",D166="RG02",D166="RG03",D166="RG06",D166="RG07",D166="RG08"),"核心","结构"))</x:f>
      </x:c>
      <x:c r="N166" s="34" t="str"/>
      <x:c r="O166" s="34" t="str"/>
    </x:row>
    <x:row r="167">
      <x:c r="A167" s="34" t="str">
        <x:v>M5-RG-0162</x:v>
      </x:c>
      <x:c r="B167" s="34" t="str"/>
      <x:c r="C167" s="34" t="str"/>
      <x:c r="D167" s="34" t="str"/>
      <x:c r="E167" s="34" t="str">
        <x:f>IF(D167="","",IF(D167="RG01","安全、同意与尊重",IF(D167="RG02","关系意图与承诺",IF(D167="RG03","价值观与人生目标",IF(D167="RG04","时间、地域与生活节奏",IF(D167="RG05","金钱、资源与劳动分配",IF(D167="RG06","家庭、婚育与照护责任",IF(D167="RG07","身体、亲密、隐私与健康",IF(D167="RG08","冲突、修复与学习意愿","")))))))))</x:f>
      </x:c>
      <x:c r="F167" s="34" t="str"/>
      <x:c r="G167" s="34" t="str"/>
      <x:c r="H167" s="34" t="str"/>
      <x:c r="I167" s="34" t="str"/>
      <x:c r="J167" s="34" t="str"/>
      <x:c r="K167" s="34" t="str"/>
      <x:c r="L167" s="34" t="str"/>
      <x:c r="M167" s="34" t="str">
        <x:f>IF(D167="","",IF(OR(D167="RG01",D167="RG02",D167="RG03",D167="RG06",D167="RG07",D167="RG08"),"核心","结构"))</x:f>
      </x:c>
      <x:c r="N167" s="34" t="str"/>
      <x:c r="O167" s="34" t="str"/>
    </x:row>
    <x:row r="168">
      <x:c r="A168" s="34" t="str">
        <x:v>M5-RG-0163</x:v>
      </x:c>
      <x:c r="B168" s="34" t="str"/>
      <x:c r="C168" s="34" t="str"/>
      <x:c r="D168" s="34" t="str"/>
      <x:c r="E168" s="34" t="str">
        <x:f>IF(D168="","",IF(D168="RG01","安全、同意与尊重",IF(D168="RG02","关系意图与承诺",IF(D168="RG03","价值观与人生目标",IF(D168="RG04","时间、地域与生活节奏",IF(D168="RG05","金钱、资源与劳动分配",IF(D168="RG06","家庭、婚育与照护责任",IF(D168="RG07","身体、亲密、隐私与健康",IF(D168="RG08","冲突、修复与学习意愿","")))))))))</x:f>
      </x:c>
      <x:c r="F168" s="34" t="str"/>
      <x:c r="G168" s="34" t="str"/>
      <x:c r="H168" s="34" t="str"/>
      <x:c r="I168" s="34" t="str"/>
      <x:c r="J168" s="34" t="str"/>
      <x:c r="K168" s="34" t="str"/>
      <x:c r="L168" s="34" t="str"/>
      <x:c r="M168" s="34" t="str">
        <x:f>IF(D168="","",IF(OR(D168="RG01",D168="RG02",D168="RG03",D168="RG06",D168="RG07",D168="RG08"),"核心","结构"))</x:f>
      </x:c>
      <x:c r="N168" s="34" t="str"/>
      <x:c r="O168" s="34" t="str"/>
    </x:row>
    <x:row r="169">
      <x:c r="A169" s="34" t="str">
        <x:v>M5-RG-0164</x:v>
      </x:c>
      <x:c r="B169" s="34" t="str"/>
      <x:c r="C169" s="34" t="str"/>
      <x:c r="D169" s="34" t="str"/>
      <x:c r="E169" s="34" t="str">
        <x:f>IF(D169="","",IF(D169="RG01","安全、同意与尊重",IF(D169="RG02","关系意图与承诺",IF(D169="RG03","价值观与人生目标",IF(D169="RG04","时间、地域与生活节奏",IF(D169="RG05","金钱、资源与劳动分配",IF(D169="RG06","家庭、婚育与照护责任",IF(D169="RG07","身体、亲密、隐私与健康",IF(D169="RG08","冲突、修复与学习意愿","")))))))))</x:f>
      </x:c>
      <x:c r="F169" s="34" t="str"/>
      <x:c r="G169" s="34" t="str"/>
      <x:c r="H169" s="34" t="str"/>
      <x:c r="I169" s="34" t="str"/>
      <x:c r="J169" s="34" t="str"/>
      <x:c r="K169" s="34" t="str"/>
      <x:c r="L169" s="34" t="str"/>
      <x:c r="M169" s="34" t="str">
        <x:f>IF(D169="","",IF(OR(D169="RG01",D169="RG02",D169="RG03",D169="RG06",D169="RG07",D169="RG08"),"核心","结构"))</x:f>
      </x:c>
      <x:c r="N169" s="34" t="str"/>
      <x:c r="O169" s="34" t="str"/>
    </x:row>
    <x:row r="170">
      <x:c r="A170" s="34" t="str">
        <x:v>M5-RG-0165</x:v>
      </x:c>
      <x:c r="B170" s="34" t="str"/>
      <x:c r="C170" s="34" t="str"/>
      <x:c r="D170" s="34" t="str"/>
      <x:c r="E170" s="34" t="str">
        <x:f>IF(D170="","",IF(D170="RG01","安全、同意与尊重",IF(D170="RG02","关系意图与承诺",IF(D170="RG03","价值观与人生目标",IF(D170="RG04","时间、地域与生活节奏",IF(D170="RG05","金钱、资源与劳动分配",IF(D170="RG06","家庭、婚育与照护责任",IF(D170="RG07","身体、亲密、隐私与健康",IF(D170="RG08","冲突、修复与学习意愿","")))))))))</x:f>
      </x:c>
      <x:c r="F170" s="34" t="str"/>
      <x:c r="G170" s="34" t="str"/>
      <x:c r="H170" s="34" t="str"/>
      <x:c r="I170" s="34" t="str"/>
      <x:c r="J170" s="34" t="str"/>
      <x:c r="K170" s="34" t="str"/>
      <x:c r="L170" s="34" t="str"/>
      <x:c r="M170" s="34" t="str">
        <x:f>IF(D170="","",IF(OR(D170="RG01",D170="RG02",D170="RG03",D170="RG06",D170="RG07",D170="RG08"),"核心","结构"))</x:f>
      </x:c>
      <x:c r="N170" s="34" t="str"/>
      <x:c r="O170" s="34" t="str"/>
    </x:row>
    <x:row r="171">
      <x:c r="A171" s="34" t="str">
        <x:v>M5-RG-0166</x:v>
      </x:c>
      <x:c r="B171" s="34" t="str"/>
      <x:c r="C171" s="34" t="str"/>
      <x:c r="D171" s="34" t="str"/>
      <x:c r="E171" s="34" t="str">
        <x:f>IF(D171="","",IF(D171="RG01","安全、同意与尊重",IF(D171="RG02","关系意图与承诺",IF(D171="RG03","价值观与人生目标",IF(D171="RG04","时间、地域与生活节奏",IF(D171="RG05","金钱、资源与劳动分配",IF(D171="RG06","家庭、婚育与照护责任",IF(D171="RG07","身体、亲密、隐私与健康",IF(D171="RG08","冲突、修复与学习意愿","")))))))))</x:f>
      </x:c>
      <x:c r="F171" s="34" t="str"/>
      <x:c r="G171" s="34" t="str"/>
      <x:c r="H171" s="34" t="str"/>
      <x:c r="I171" s="34" t="str"/>
      <x:c r="J171" s="34" t="str"/>
      <x:c r="K171" s="34" t="str"/>
      <x:c r="L171" s="34" t="str"/>
      <x:c r="M171" s="34" t="str">
        <x:f>IF(D171="","",IF(OR(D171="RG01",D171="RG02",D171="RG03",D171="RG06",D171="RG07",D171="RG08"),"核心","结构"))</x:f>
      </x:c>
      <x:c r="N171" s="34" t="str"/>
      <x:c r="O171" s="34" t="str"/>
    </x:row>
    <x:row r="172">
      <x:c r="A172" s="34" t="str">
        <x:v>M5-RG-0167</x:v>
      </x:c>
      <x:c r="B172" s="34" t="str"/>
      <x:c r="C172" s="34" t="str"/>
      <x:c r="D172" s="34" t="str"/>
      <x:c r="E172" s="34" t="str">
        <x:f>IF(D172="","",IF(D172="RG01","安全、同意与尊重",IF(D172="RG02","关系意图与承诺",IF(D172="RG03","价值观与人生目标",IF(D172="RG04","时间、地域与生活节奏",IF(D172="RG05","金钱、资源与劳动分配",IF(D172="RG06","家庭、婚育与照护责任",IF(D172="RG07","身体、亲密、隐私与健康",IF(D172="RG08","冲突、修复与学习意愿","")))))))))</x:f>
      </x:c>
      <x:c r="F172" s="34" t="str"/>
      <x:c r="G172" s="34" t="str"/>
      <x:c r="H172" s="34" t="str"/>
      <x:c r="I172" s="34" t="str"/>
      <x:c r="J172" s="34" t="str"/>
      <x:c r="K172" s="34" t="str"/>
      <x:c r="L172" s="34" t="str"/>
      <x:c r="M172" s="34" t="str">
        <x:f>IF(D172="","",IF(OR(D172="RG01",D172="RG02",D172="RG03",D172="RG06",D172="RG07",D172="RG08"),"核心","结构"))</x:f>
      </x:c>
      <x:c r="N172" s="34" t="str"/>
      <x:c r="O172" s="34" t="str"/>
    </x:row>
    <x:row r="173">
      <x:c r="A173" s="34" t="str">
        <x:v>M5-RG-0168</x:v>
      </x:c>
      <x:c r="B173" s="34" t="str"/>
      <x:c r="C173" s="34" t="str"/>
      <x:c r="D173" s="34" t="str"/>
      <x:c r="E173" s="34" t="str">
        <x:f>IF(D173="","",IF(D173="RG01","安全、同意与尊重",IF(D173="RG02","关系意图与承诺",IF(D173="RG03","价值观与人生目标",IF(D173="RG04","时间、地域与生活节奏",IF(D173="RG05","金钱、资源与劳动分配",IF(D173="RG06","家庭、婚育与照护责任",IF(D173="RG07","身体、亲密、隐私与健康",IF(D173="RG08","冲突、修复与学习意愿","")))))))))</x:f>
      </x:c>
      <x:c r="F173" s="34" t="str"/>
      <x:c r="G173" s="34" t="str"/>
      <x:c r="H173" s="34" t="str"/>
      <x:c r="I173" s="34" t="str"/>
      <x:c r="J173" s="34" t="str"/>
      <x:c r="K173" s="34" t="str"/>
      <x:c r="L173" s="34" t="str"/>
      <x:c r="M173" s="34" t="str">
        <x:f>IF(D173="","",IF(OR(D173="RG01",D173="RG02",D173="RG03",D173="RG06",D173="RG07",D173="RG08"),"核心","结构"))</x:f>
      </x:c>
      <x:c r="N173" s="34" t="str"/>
      <x:c r="O173" s="34" t="str"/>
    </x:row>
    <x:row r="174">
      <x:c r="A174" s="34" t="str">
        <x:v>M5-RG-0169</x:v>
      </x:c>
      <x:c r="B174" s="34" t="str"/>
      <x:c r="C174" s="34" t="str"/>
      <x:c r="D174" s="34" t="str"/>
      <x:c r="E174" s="34" t="str">
        <x:f>IF(D174="","",IF(D174="RG01","安全、同意与尊重",IF(D174="RG02","关系意图与承诺",IF(D174="RG03","价值观与人生目标",IF(D174="RG04","时间、地域与生活节奏",IF(D174="RG05","金钱、资源与劳动分配",IF(D174="RG06","家庭、婚育与照护责任",IF(D174="RG07","身体、亲密、隐私与健康",IF(D174="RG08","冲突、修复与学习意愿","")))))))))</x:f>
      </x:c>
      <x:c r="F174" s="34" t="str"/>
      <x:c r="G174" s="34" t="str"/>
      <x:c r="H174" s="34" t="str"/>
      <x:c r="I174" s="34" t="str"/>
      <x:c r="J174" s="34" t="str"/>
      <x:c r="K174" s="34" t="str"/>
      <x:c r="L174" s="34" t="str"/>
      <x:c r="M174" s="34" t="str">
        <x:f>IF(D174="","",IF(OR(D174="RG01",D174="RG02",D174="RG03",D174="RG06",D174="RG07",D174="RG08"),"核心","结构"))</x:f>
      </x:c>
      <x:c r="N174" s="34" t="str"/>
      <x:c r="O174" s="34" t="str"/>
    </x:row>
    <x:row r="175">
      <x:c r="A175" s="34" t="str">
        <x:v>M5-RG-0170</x:v>
      </x:c>
      <x:c r="B175" s="34" t="str"/>
      <x:c r="C175" s="34" t="str"/>
      <x:c r="D175" s="34" t="str"/>
      <x:c r="E175" s="34" t="str">
        <x:f>IF(D175="","",IF(D175="RG01","安全、同意与尊重",IF(D175="RG02","关系意图与承诺",IF(D175="RG03","价值观与人生目标",IF(D175="RG04","时间、地域与生活节奏",IF(D175="RG05","金钱、资源与劳动分配",IF(D175="RG06","家庭、婚育与照护责任",IF(D175="RG07","身体、亲密、隐私与健康",IF(D175="RG08","冲突、修复与学习意愿","")))))))))</x:f>
      </x:c>
      <x:c r="F175" s="34" t="str"/>
      <x:c r="G175" s="34" t="str"/>
      <x:c r="H175" s="34" t="str"/>
      <x:c r="I175" s="34" t="str"/>
      <x:c r="J175" s="34" t="str"/>
      <x:c r="K175" s="34" t="str"/>
      <x:c r="L175" s="34" t="str"/>
      <x:c r="M175" s="34" t="str">
        <x:f>IF(D175="","",IF(OR(D175="RG01",D175="RG02",D175="RG03",D175="RG06",D175="RG07",D175="RG08"),"核心","结构"))</x:f>
      </x:c>
      <x:c r="N175" s="34" t="str"/>
      <x:c r="O175" s="34" t="str"/>
    </x:row>
    <x:row r="176">
      <x:c r="A176" s="34" t="str">
        <x:v>M5-RG-0171</x:v>
      </x:c>
      <x:c r="B176" s="34" t="str"/>
      <x:c r="C176" s="34" t="str"/>
      <x:c r="D176" s="34" t="str"/>
      <x:c r="E176" s="34" t="str">
        <x:f>IF(D176="","",IF(D176="RG01","安全、同意与尊重",IF(D176="RG02","关系意图与承诺",IF(D176="RG03","价值观与人生目标",IF(D176="RG04","时间、地域与生活节奏",IF(D176="RG05","金钱、资源与劳动分配",IF(D176="RG06","家庭、婚育与照护责任",IF(D176="RG07","身体、亲密、隐私与健康",IF(D176="RG08","冲突、修复与学习意愿","")))))))))</x:f>
      </x:c>
      <x:c r="F176" s="34" t="str"/>
      <x:c r="G176" s="34" t="str"/>
      <x:c r="H176" s="34" t="str"/>
      <x:c r="I176" s="34" t="str"/>
      <x:c r="J176" s="34" t="str"/>
      <x:c r="K176" s="34" t="str"/>
      <x:c r="L176" s="34" t="str"/>
      <x:c r="M176" s="34" t="str">
        <x:f>IF(D176="","",IF(OR(D176="RG01",D176="RG02",D176="RG03",D176="RG06",D176="RG07",D176="RG08"),"核心","结构"))</x:f>
      </x:c>
      <x:c r="N176" s="34" t="str"/>
      <x:c r="O176" s="34" t="str"/>
    </x:row>
    <x:row r="177">
      <x:c r="A177" s="34" t="str">
        <x:v>M5-RG-0172</x:v>
      </x:c>
      <x:c r="B177" s="34" t="str"/>
      <x:c r="C177" s="34" t="str"/>
      <x:c r="D177" s="34" t="str"/>
      <x:c r="E177" s="34" t="str">
        <x:f>IF(D177="","",IF(D177="RG01","安全、同意与尊重",IF(D177="RG02","关系意图与承诺",IF(D177="RG03","价值观与人生目标",IF(D177="RG04","时间、地域与生活节奏",IF(D177="RG05","金钱、资源与劳动分配",IF(D177="RG06","家庭、婚育与照护责任",IF(D177="RG07","身体、亲密、隐私与健康",IF(D177="RG08","冲突、修复与学习意愿","")))))))))</x:f>
      </x:c>
      <x:c r="F177" s="34" t="str"/>
      <x:c r="G177" s="34" t="str"/>
      <x:c r="H177" s="34" t="str"/>
      <x:c r="I177" s="34" t="str"/>
      <x:c r="J177" s="34" t="str"/>
      <x:c r="K177" s="34" t="str"/>
      <x:c r="L177" s="34" t="str"/>
      <x:c r="M177" s="34" t="str">
        <x:f>IF(D177="","",IF(OR(D177="RG01",D177="RG02",D177="RG03",D177="RG06",D177="RG07",D177="RG08"),"核心","结构"))</x:f>
      </x:c>
      <x:c r="N177" s="34" t="str"/>
      <x:c r="O177" s="34" t="str"/>
    </x:row>
    <x:row r="178">
      <x:c r="A178" s="34" t="str">
        <x:v>M5-RG-0173</x:v>
      </x:c>
      <x:c r="B178" s="34" t="str"/>
      <x:c r="C178" s="34" t="str"/>
      <x:c r="D178" s="34" t="str"/>
      <x:c r="E178" s="34" t="str">
        <x:f>IF(D178="","",IF(D178="RG01","安全、同意与尊重",IF(D178="RG02","关系意图与承诺",IF(D178="RG03","价值观与人生目标",IF(D178="RG04","时间、地域与生活节奏",IF(D178="RG05","金钱、资源与劳动分配",IF(D178="RG06","家庭、婚育与照护责任",IF(D178="RG07","身体、亲密、隐私与健康",IF(D178="RG08","冲突、修复与学习意愿","")))))))))</x:f>
      </x:c>
      <x:c r="F178" s="34" t="str"/>
      <x:c r="G178" s="34" t="str"/>
      <x:c r="H178" s="34" t="str"/>
      <x:c r="I178" s="34" t="str"/>
      <x:c r="J178" s="34" t="str"/>
      <x:c r="K178" s="34" t="str"/>
      <x:c r="L178" s="34" t="str"/>
      <x:c r="M178" s="34" t="str">
        <x:f>IF(D178="","",IF(OR(D178="RG01",D178="RG02",D178="RG03",D178="RG06",D178="RG07",D178="RG08"),"核心","结构"))</x:f>
      </x:c>
      <x:c r="N178" s="34" t="str"/>
      <x:c r="O178" s="34" t="str"/>
    </x:row>
    <x:row r="179">
      <x:c r="A179" s="34" t="str">
        <x:v>M5-RG-0174</x:v>
      </x:c>
      <x:c r="B179" s="34" t="str"/>
      <x:c r="C179" s="34" t="str"/>
      <x:c r="D179" s="34" t="str"/>
      <x:c r="E179" s="34" t="str">
        <x:f>IF(D179="","",IF(D179="RG01","安全、同意与尊重",IF(D179="RG02","关系意图与承诺",IF(D179="RG03","价值观与人生目标",IF(D179="RG04","时间、地域与生活节奏",IF(D179="RG05","金钱、资源与劳动分配",IF(D179="RG06","家庭、婚育与照护责任",IF(D179="RG07","身体、亲密、隐私与健康",IF(D179="RG08","冲突、修复与学习意愿","")))))))))</x:f>
      </x:c>
      <x:c r="F179" s="34" t="str"/>
      <x:c r="G179" s="34" t="str"/>
      <x:c r="H179" s="34" t="str"/>
      <x:c r="I179" s="34" t="str"/>
      <x:c r="J179" s="34" t="str"/>
      <x:c r="K179" s="34" t="str"/>
      <x:c r="L179" s="34" t="str"/>
      <x:c r="M179" s="34" t="str">
        <x:f>IF(D179="","",IF(OR(D179="RG01",D179="RG02",D179="RG03",D179="RG06",D179="RG07",D179="RG08"),"核心","结构"))</x:f>
      </x:c>
      <x:c r="N179" s="34" t="str"/>
      <x:c r="O179" s="34" t="str"/>
    </x:row>
    <x:row r="180">
      <x:c r="A180" s="34" t="str">
        <x:v>M5-RG-0175</x:v>
      </x:c>
      <x:c r="B180" s="34" t="str"/>
      <x:c r="C180" s="34" t="str"/>
      <x:c r="D180" s="34" t="str"/>
      <x:c r="E180" s="34" t="str">
        <x:f>IF(D180="","",IF(D180="RG01","安全、同意与尊重",IF(D180="RG02","关系意图与承诺",IF(D180="RG03","价值观与人生目标",IF(D180="RG04","时间、地域与生活节奏",IF(D180="RG05","金钱、资源与劳动分配",IF(D180="RG06","家庭、婚育与照护责任",IF(D180="RG07","身体、亲密、隐私与健康",IF(D180="RG08","冲突、修复与学习意愿","")))))))))</x:f>
      </x:c>
      <x:c r="F180" s="34" t="str"/>
      <x:c r="G180" s="34" t="str"/>
      <x:c r="H180" s="34" t="str"/>
      <x:c r="I180" s="34" t="str"/>
      <x:c r="J180" s="34" t="str"/>
      <x:c r="K180" s="34" t="str"/>
      <x:c r="L180" s="34" t="str"/>
      <x:c r="M180" s="34" t="str">
        <x:f>IF(D180="","",IF(OR(D180="RG01",D180="RG02",D180="RG03",D180="RG06",D180="RG07",D180="RG08"),"核心","结构"))</x:f>
      </x:c>
      <x:c r="N180" s="34" t="str"/>
      <x:c r="O180" s="34" t="str"/>
    </x:row>
    <x:row r="181">
      <x:c r="A181" s="34" t="str">
        <x:v>M5-RG-0176</x:v>
      </x:c>
      <x:c r="B181" s="34" t="str"/>
      <x:c r="C181" s="34" t="str"/>
      <x:c r="D181" s="34" t="str"/>
      <x:c r="E181" s="34" t="str">
        <x:f>IF(D181="","",IF(D181="RG01","安全、同意与尊重",IF(D181="RG02","关系意图与承诺",IF(D181="RG03","价值观与人生目标",IF(D181="RG04","时间、地域与生活节奏",IF(D181="RG05","金钱、资源与劳动分配",IF(D181="RG06","家庭、婚育与照护责任",IF(D181="RG07","身体、亲密、隐私与健康",IF(D181="RG08","冲突、修复与学习意愿","")))))))))</x:f>
      </x:c>
      <x:c r="F181" s="34" t="str"/>
      <x:c r="G181" s="34" t="str"/>
      <x:c r="H181" s="34" t="str"/>
      <x:c r="I181" s="34" t="str"/>
      <x:c r="J181" s="34" t="str"/>
      <x:c r="K181" s="34" t="str"/>
      <x:c r="L181" s="34" t="str"/>
      <x:c r="M181" s="34" t="str">
        <x:f>IF(D181="","",IF(OR(D181="RG01",D181="RG02",D181="RG03",D181="RG06",D181="RG07",D181="RG08"),"核心","结构"))</x:f>
      </x:c>
      <x:c r="N181" s="34" t="str"/>
      <x:c r="O181" s="34" t="str"/>
    </x:row>
    <x:row r="182">
      <x:c r="A182" s="34" t="str">
        <x:v>M5-RG-0177</x:v>
      </x:c>
      <x:c r="B182" s="34" t="str"/>
      <x:c r="C182" s="34" t="str"/>
      <x:c r="D182" s="34" t="str"/>
      <x:c r="E182" s="34" t="str">
        <x:f>IF(D182="","",IF(D182="RG01","安全、同意与尊重",IF(D182="RG02","关系意图与承诺",IF(D182="RG03","价值观与人生目标",IF(D182="RG04","时间、地域与生活节奏",IF(D182="RG05","金钱、资源与劳动分配",IF(D182="RG06","家庭、婚育与照护责任",IF(D182="RG07","身体、亲密、隐私与健康",IF(D182="RG08","冲突、修复与学习意愿","")))))))))</x:f>
      </x:c>
      <x:c r="F182" s="34" t="str"/>
      <x:c r="G182" s="34" t="str"/>
      <x:c r="H182" s="34" t="str"/>
      <x:c r="I182" s="34" t="str"/>
      <x:c r="J182" s="34" t="str"/>
      <x:c r="K182" s="34" t="str"/>
      <x:c r="L182" s="34" t="str"/>
      <x:c r="M182" s="34" t="str">
        <x:f>IF(D182="","",IF(OR(D182="RG01",D182="RG02",D182="RG03",D182="RG06",D182="RG07",D182="RG08"),"核心","结构"))</x:f>
      </x:c>
      <x:c r="N182" s="34" t="str"/>
      <x:c r="O182" s="34" t="str"/>
    </x:row>
    <x:row r="183">
      <x:c r="A183" s="34" t="str">
        <x:v>M5-RG-0178</x:v>
      </x:c>
      <x:c r="B183" s="34" t="str"/>
      <x:c r="C183" s="34" t="str"/>
      <x:c r="D183" s="34" t="str"/>
      <x:c r="E183" s="34" t="str">
        <x:f>IF(D183="","",IF(D183="RG01","安全、同意与尊重",IF(D183="RG02","关系意图与承诺",IF(D183="RG03","价值观与人生目标",IF(D183="RG04","时间、地域与生活节奏",IF(D183="RG05","金钱、资源与劳动分配",IF(D183="RG06","家庭、婚育与照护责任",IF(D183="RG07","身体、亲密、隐私与健康",IF(D183="RG08","冲突、修复与学习意愿","")))))))))</x:f>
      </x:c>
      <x:c r="F183" s="34" t="str"/>
      <x:c r="G183" s="34" t="str"/>
      <x:c r="H183" s="34" t="str"/>
      <x:c r="I183" s="34" t="str"/>
      <x:c r="J183" s="34" t="str"/>
      <x:c r="K183" s="34" t="str"/>
      <x:c r="L183" s="34" t="str"/>
      <x:c r="M183" s="34" t="str">
        <x:f>IF(D183="","",IF(OR(D183="RG01",D183="RG02",D183="RG03",D183="RG06",D183="RG07",D183="RG08"),"核心","结构"))</x:f>
      </x:c>
      <x:c r="N183" s="34" t="str"/>
      <x:c r="O183" s="34" t="str"/>
    </x:row>
    <x:row r="184">
      <x:c r="A184" s="34" t="str">
        <x:v>M5-RG-0179</x:v>
      </x:c>
      <x:c r="B184" s="34" t="str"/>
      <x:c r="C184" s="34" t="str"/>
      <x:c r="D184" s="34" t="str"/>
      <x:c r="E184" s="34" t="str">
        <x:f>IF(D184="","",IF(D184="RG01","安全、同意与尊重",IF(D184="RG02","关系意图与承诺",IF(D184="RG03","价值观与人生目标",IF(D184="RG04","时间、地域与生活节奏",IF(D184="RG05","金钱、资源与劳动分配",IF(D184="RG06","家庭、婚育与照护责任",IF(D184="RG07","身体、亲密、隐私与健康",IF(D184="RG08","冲突、修复与学习意愿","")))))))))</x:f>
      </x:c>
      <x:c r="F184" s="34" t="str"/>
      <x:c r="G184" s="34" t="str"/>
      <x:c r="H184" s="34" t="str"/>
      <x:c r="I184" s="34" t="str"/>
      <x:c r="J184" s="34" t="str"/>
      <x:c r="K184" s="34" t="str"/>
      <x:c r="L184" s="34" t="str"/>
      <x:c r="M184" s="34" t="str">
        <x:f>IF(D184="","",IF(OR(D184="RG01",D184="RG02",D184="RG03",D184="RG06",D184="RG07",D184="RG08"),"核心","结构"))</x:f>
      </x:c>
      <x:c r="N184" s="34" t="str"/>
      <x:c r="O184" s="34" t="str"/>
    </x:row>
    <x:row r="185">
      <x:c r="A185" s="34" t="str">
        <x:v>M5-RG-0180</x:v>
      </x:c>
      <x:c r="B185" s="34" t="str"/>
      <x:c r="C185" s="34" t="str"/>
      <x:c r="D185" s="34" t="str"/>
      <x:c r="E185" s="34" t="str">
        <x:f>IF(D185="","",IF(D185="RG01","安全、同意与尊重",IF(D185="RG02","关系意图与承诺",IF(D185="RG03","价值观与人生目标",IF(D185="RG04","时间、地域与生活节奏",IF(D185="RG05","金钱、资源与劳动分配",IF(D185="RG06","家庭、婚育与照护责任",IF(D185="RG07","身体、亲密、隐私与健康",IF(D185="RG08","冲突、修复与学习意愿","")))))))))</x:f>
      </x:c>
      <x:c r="F185" s="34" t="str"/>
      <x:c r="G185" s="34" t="str"/>
      <x:c r="H185" s="34" t="str"/>
      <x:c r="I185" s="34" t="str"/>
      <x:c r="J185" s="34" t="str"/>
      <x:c r="K185" s="34" t="str"/>
      <x:c r="L185" s="34" t="str"/>
      <x:c r="M185" s="34" t="str">
        <x:f>IF(D185="","",IF(OR(D185="RG01",D185="RG02",D185="RG03",D185="RG06",D185="RG07",D185="RG08"),"核心","结构"))</x:f>
      </x:c>
      <x:c r="N185" s="34" t="str"/>
      <x:c r="O185" s="34" t="str"/>
    </x:row>
    <x:row r="186">
      <x:c r="A186" s="34" t="str">
        <x:v>M5-RG-0181</x:v>
      </x:c>
      <x:c r="B186" s="34" t="str"/>
      <x:c r="C186" s="34" t="str"/>
      <x:c r="D186" s="34" t="str"/>
      <x:c r="E186" s="34" t="str">
        <x:f>IF(D186="","",IF(D186="RG01","安全、同意与尊重",IF(D186="RG02","关系意图与承诺",IF(D186="RG03","价值观与人生目标",IF(D186="RG04","时间、地域与生活节奏",IF(D186="RG05","金钱、资源与劳动分配",IF(D186="RG06","家庭、婚育与照护责任",IF(D186="RG07","身体、亲密、隐私与健康",IF(D186="RG08","冲突、修复与学习意愿","")))))))))</x:f>
      </x:c>
      <x:c r="F186" s="34" t="str"/>
      <x:c r="G186" s="34" t="str"/>
      <x:c r="H186" s="34" t="str"/>
      <x:c r="I186" s="34" t="str"/>
      <x:c r="J186" s="34" t="str"/>
      <x:c r="K186" s="34" t="str"/>
      <x:c r="L186" s="34" t="str"/>
      <x:c r="M186" s="34" t="str">
        <x:f>IF(D186="","",IF(OR(D186="RG01",D186="RG02",D186="RG03",D186="RG06",D186="RG07",D186="RG08"),"核心","结构"))</x:f>
      </x:c>
      <x:c r="N186" s="34" t="str"/>
      <x:c r="O186" s="34" t="str"/>
    </x:row>
    <x:row r="187">
      <x:c r="A187" s="34" t="str">
        <x:v>M5-RG-0182</x:v>
      </x:c>
      <x:c r="B187" s="34" t="str"/>
      <x:c r="C187" s="34" t="str"/>
      <x:c r="D187" s="34" t="str"/>
      <x:c r="E187" s="34" t="str">
        <x:f>IF(D187="","",IF(D187="RG01","安全、同意与尊重",IF(D187="RG02","关系意图与承诺",IF(D187="RG03","价值观与人生目标",IF(D187="RG04","时间、地域与生活节奏",IF(D187="RG05","金钱、资源与劳动分配",IF(D187="RG06","家庭、婚育与照护责任",IF(D187="RG07","身体、亲密、隐私与健康",IF(D187="RG08","冲突、修复与学习意愿","")))))))))</x:f>
      </x:c>
      <x:c r="F187" s="34" t="str"/>
      <x:c r="G187" s="34" t="str"/>
      <x:c r="H187" s="34" t="str"/>
      <x:c r="I187" s="34" t="str"/>
      <x:c r="J187" s="34" t="str"/>
      <x:c r="K187" s="34" t="str"/>
      <x:c r="L187" s="34" t="str"/>
      <x:c r="M187" s="34" t="str">
        <x:f>IF(D187="","",IF(OR(D187="RG01",D187="RG02",D187="RG03",D187="RG06",D187="RG07",D187="RG08"),"核心","结构"))</x:f>
      </x:c>
      <x:c r="N187" s="34" t="str"/>
      <x:c r="O187" s="34" t="str"/>
    </x:row>
    <x:row r="188">
      <x:c r="A188" s="34" t="str">
        <x:v>M5-RG-0183</x:v>
      </x:c>
      <x:c r="B188" s="34" t="str"/>
      <x:c r="C188" s="34" t="str"/>
      <x:c r="D188" s="34" t="str"/>
      <x:c r="E188" s="34" t="str">
        <x:f>IF(D188="","",IF(D188="RG01","安全、同意与尊重",IF(D188="RG02","关系意图与承诺",IF(D188="RG03","价值观与人生目标",IF(D188="RG04","时间、地域与生活节奏",IF(D188="RG05","金钱、资源与劳动分配",IF(D188="RG06","家庭、婚育与照护责任",IF(D188="RG07","身体、亲密、隐私与健康",IF(D188="RG08","冲突、修复与学习意愿","")))))))))</x:f>
      </x:c>
      <x:c r="F188" s="34" t="str"/>
      <x:c r="G188" s="34" t="str"/>
      <x:c r="H188" s="34" t="str"/>
      <x:c r="I188" s="34" t="str"/>
      <x:c r="J188" s="34" t="str"/>
      <x:c r="K188" s="34" t="str"/>
      <x:c r="L188" s="34" t="str"/>
      <x:c r="M188" s="34" t="str">
        <x:f>IF(D188="","",IF(OR(D188="RG01",D188="RG02",D188="RG03",D188="RG06",D188="RG07",D188="RG08"),"核心","结构"))</x:f>
      </x:c>
      <x:c r="N188" s="34" t="str"/>
      <x:c r="O188" s="34" t="str"/>
    </x:row>
    <x:row r="189">
      <x:c r="A189" s="34" t="str">
        <x:v>M5-RG-0184</x:v>
      </x:c>
      <x:c r="B189" s="34" t="str"/>
      <x:c r="C189" s="34" t="str"/>
      <x:c r="D189" s="34" t="str"/>
      <x:c r="E189" s="34" t="str">
        <x:f>IF(D189="","",IF(D189="RG01","安全、同意与尊重",IF(D189="RG02","关系意图与承诺",IF(D189="RG03","价值观与人生目标",IF(D189="RG04","时间、地域与生活节奏",IF(D189="RG05","金钱、资源与劳动分配",IF(D189="RG06","家庭、婚育与照护责任",IF(D189="RG07","身体、亲密、隐私与健康",IF(D189="RG08","冲突、修复与学习意愿","")))))))))</x:f>
      </x:c>
      <x:c r="F189" s="34" t="str"/>
      <x:c r="G189" s="34" t="str"/>
      <x:c r="H189" s="34" t="str"/>
      <x:c r="I189" s="34" t="str"/>
      <x:c r="J189" s="34" t="str"/>
      <x:c r="K189" s="34" t="str"/>
      <x:c r="L189" s="34" t="str"/>
      <x:c r="M189" s="34" t="str">
        <x:f>IF(D189="","",IF(OR(D189="RG01",D189="RG02",D189="RG03",D189="RG06",D189="RG07",D189="RG08"),"核心","结构"))</x:f>
      </x:c>
      <x:c r="N189" s="34" t="str"/>
      <x:c r="O189" s="34" t="str"/>
    </x:row>
    <x:row r="190">
      <x:c r="A190" s="34" t="str">
        <x:v>M5-RG-0185</x:v>
      </x:c>
      <x:c r="B190" s="34" t="str"/>
      <x:c r="C190" s="34" t="str"/>
      <x:c r="D190" s="34" t="str"/>
      <x:c r="E190" s="34" t="str">
        <x:f>IF(D190="","",IF(D190="RG01","安全、同意与尊重",IF(D190="RG02","关系意图与承诺",IF(D190="RG03","价值观与人生目标",IF(D190="RG04","时间、地域与生活节奏",IF(D190="RG05","金钱、资源与劳动分配",IF(D190="RG06","家庭、婚育与照护责任",IF(D190="RG07","身体、亲密、隐私与健康",IF(D190="RG08","冲突、修复与学习意愿","")))))))))</x:f>
      </x:c>
      <x:c r="F190" s="34" t="str"/>
      <x:c r="G190" s="34" t="str"/>
      <x:c r="H190" s="34" t="str"/>
      <x:c r="I190" s="34" t="str"/>
      <x:c r="J190" s="34" t="str"/>
      <x:c r="K190" s="34" t="str"/>
      <x:c r="L190" s="34" t="str"/>
      <x:c r="M190" s="34" t="str">
        <x:f>IF(D190="","",IF(OR(D190="RG01",D190="RG02",D190="RG03",D190="RG06",D190="RG07",D190="RG08"),"核心","结构"))</x:f>
      </x:c>
      <x:c r="N190" s="34" t="str"/>
      <x:c r="O190" s="34" t="str"/>
    </x:row>
    <x:row r="191">
      <x:c r="A191" s="34" t="str">
        <x:v>M5-RG-0186</x:v>
      </x:c>
      <x:c r="B191" s="34" t="str"/>
      <x:c r="C191" s="34" t="str"/>
      <x:c r="D191" s="34" t="str"/>
      <x:c r="E191" s="34" t="str">
        <x:f>IF(D191="","",IF(D191="RG01","安全、同意与尊重",IF(D191="RG02","关系意图与承诺",IF(D191="RG03","价值观与人生目标",IF(D191="RG04","时间、地域与生活节奏",IF(D191="RG05","金钱、资源与劳动分配",IF(D191="RG06","家庭、婚育与照护责任",IF(D191="RG07","身体、亲密、隐私与健康",IF(D191="RG08","冲突、修复与学习意愿","")))))))))</x:f>
      </x:c>
      <x:c r="F191" s="34" t="str"/>
      <x:c r="G191" s="34" t="str"/>
      <x:c r="H191" s="34" t="str"/>
      <x:c r="I191" s="34" t="str"/>
      <x:c r="J191" s="34" t="str"/>
      <x:c r="K191" s="34" t="str"/>
      <x:c r="L191" s="34" t="str"/>
      <x:c r="M191" s="34" t="str">
        <x:f>IF(D191="","",IF(OR(D191="RG01",D191="RG02",D191="RG03",D191="RG06",D191="RG07",D191="RG08"),"核心","结构"))</x:f>
      </x:c>
      <x:c r="N191" s="34" t="str"/>
      <x:c r="O191" s="34" t="str"/>
    </x:row>
    <x:row r="192">
      <x:c r="A192" s="34" t="str">
        <x:v>M5-RG-0187</x:v>
      </x:c>
      <x:c r="B192" s="34" t="str"/>
      <x:c r="C192" s="34" t="str"/>
      <x:c r="D192" s="34" t="str"/>
      <x:c r="E192" s="34" t="str">
        <x:f>IF(D192="","",IF(D192="RG01","安全、同意与尊重",IF(D192="RG02","关系意图与承诺",IF(D192="RG03","价值观与人生目标",IF(D192="RG04","时间、地域与生活节奏",IF(D192="RG05","金钱、资源与劳动分配",IF(D192="RG06","家庭、婚育与照护责任",IF(D192="RG07","身体、亲密、隐私与健康",IF(D192="RG08","冲突、修复与学习意愿","")))))))))</x:f>
      </x:c>
      <x:c r="F192" s="34" t="str"/>
      <x:c r="G192" s="34" t="str"/>
      <x:c r="H192" s="34" t="str"/>
      <x:c r="I192" s="34" t="str"/>
      <x:c r="J192" s="34" t="str"/>
      <x:c r="K192" s="34" t="str"/>
      <x:c r="L192" s="34" t="str"/>
      <x:c r="M192" s="34" t="str">
        <x:f>IF(D192="","",IF(OR(D192="RG01",D192="RG02",D192="RG03",D192="RG06",D192="RG07",D192="RG08"),"核心","结构"))</x:f>
      </x:c>
      <x:c r="N192" s="34" t="str"/>
      <x:c r="O192" s="34" t="str"/>
    </x:row>
    <x:row r="193">
      <x:c r="A193" s="34" t="str">
        <x:v>M5-RG-0188</x:v>
      </x:c>
      <x:c r="B193" s="34" t="str"/>
      <x:c r="C193" s="34" t="str"/>
      <x:c r="D193" s="34" t="str"/>
      <x:c r="E193" s="34" t="str">
        <x:f>IF(D193="","",IF(D193="RG01","安全、同意与尊重",IF(D193="RG02","关系意图与承诺",IF(D193="RG03","价值观与人生目标",IF(D193="RG04","时间、地域与生活节奏",IF(D193="RG05","金钱、资源与劳动分配",IF(D193="RG06","家庭、婚育与照护责任",IF(D193="RG07","身体、亲密、隐私与健康",IF(D193="RG08","冲突、修复与学习意愿","")))))))))</x:f>
      </x:c>
      <x:c r="F193" s="34" t="str"/>
      <x:c r="G193" s="34" t="str"/>
      <x:c r="H193" s="34" t="str"/>
      <x:c r="I193" s="34" t="str"/>
      <x:c r="J193" s="34" t="str"/>
      <x:c r="K193" s="34" t="str"/>
      <x:c r="L193" s="34" t="str"/>
      <x:c r="M193" s="34" t="str">
        <x:f>IF(D193="","",IF(OR(D193="RG01",D193="RG02",D193="RG03",D193="RG06",D193="RG07",D193="RG08"),"核心","结构"))</x:f>
      </x:c>
      <x:c r="N193" s="34" t="str"/>
      <x:c r="O193" s="34" t="str"/>
    </x:row>
    <x:row r="194">
      <x:c r="A194" s="34" t="str">
        <x:v>M5-RG-0189</x:v>
      </x:c>
      <x:c r="B194" s="34" t="str"/>
      <x:c r="C194" s="34" t="str"/>
      <x:c r="D194" s="34" t="str"/>
      <x:c r="E194" s="34" t="str">
        <x:f>IF(D194="","",IF(D194="RG01","安全、同意与尊重",IF(D194="RG02","关系意图与承诺",IF(D194="RG03","价值观与人生目标",IF(D194="RG04","时间、地域与生活节奏",IF(D194="RG05","金钱、资源与劳动分配",IF(D194="RG06","家庭、婚育与照护责任",IF(D194="RG07","身体、亲密、隐私与健康",IF(D194="RG08","冲突、修复与学习意愿","")))))))))</x:f>
      </x:c>
      <x:c r="F194" s="34" t="str"/>
      <x:c r="G194" s="34" t="str"/>
      <x:c r="H194" s="34" t="str"/>
      <x:c r="I194" s="34" t="str"/>
      <x:c r="J194" s="34" t="str"/>
      <x:c r="K194" s="34" t="str"/>
      <x:c r="L194" s="34" t="str"/>
      <x:c r="M194" s="34" t="str">
        <x:f>IF(D194="","",IF(OR(D194="RG01",D194="RG02",D194="RG03",D194="RG06",D194="RG07",D194="RG08"),"核心","结构"))</x:f>
      </x:c>
      <x:c r="N194" s="34" t="str"/>
      <x:c r="O194" s="34" t="str"/>
    </x:row>
    <x:row r="195">
      <x:c r="A195" s="34" t="str">
        <x:v>M5-RG-0190</x:v>
      </x:c>
      <x:c r="B195" s="34" t="str"/>
      <x:c r="C195" s="34" t="str"/>
      <x:c r="D195" s="34" t="str"/>
      <x:c r="E195" s="34" t="str">
        <x:f>IF(D195="","",IF(D195="RG01","安全、同意与尊重",IF(D195="RG02","关系意图与承诺",IF(D195="RG03","价值观与人生目标",IF(D195="RG04","时间、地域与生活节奏",IF(D195="RG05","金钱、资源与劳动分配",IF(D195="RG06","家庭、婚育与照护责任",IF(D195="RG07","身体、亲密、隐私与健康",IF(D195="RG08","冲突、修复与学习意愿","")))))))))</x:f>
      </x:c>
      <x:c r="F195" s="34" t="str"/>
      <x:c r="G195" s="34" t="str"/>
      <x:c r="H195" s="34" t="str"/>
      <x:c r="I195" s="34" t="str"/>
      <x:c r="J195" s="34" t="str"/>
      <x:c r="K195" s="34" t="str"/>
      <x:c r="L195" s="34" t="str"/>
      <x:c r="M195" s="34" t="str">
        <x:f>IF(D195="","",IF(OR(D195="RG01",D195="RG02",D195="RG03",D195="RG06",D195="RG07",D195="RG08"),"核心","结构"))</x:f>
      </x:c>
      <x:c r="N195" s="34" t="str"/>
      <x:c r="O195" s="34" t="str"/>
    </x:row>
    <x:row r="196">
      <x:c r="A196" s="34" t="str">
        <x:v>M5-RG-0191</x:v>
      </x:c>
      <x:c r="B196" s="34" t="str"/>
      <x:c r="C196" s="34" t="str"/>
      <x:c r="D196" s="34" t="str"/>
      <x:c r="E196" s="34" t="str">
        <x:f>IF(D196="","",IF(D196="RG01","安全、同意与尊重",IF(D196="RG02","关系意图与承诺",IF(D196="RG03","价值观与人生目标",IF(D196="RG04","时间、地域与生活节奏",IF(D196="RG05","金钱、资源与劳动分配",IF(D196="RG06","家庭、婚育与照护责任",IF(D196="RG07","身体、亲密、隐私与健康",IF(D196="RG08","冲突、修复与学习意愿","")))))))))</x:f>
      </x:c>
      <x:c r="F196" s="34" t="str"/>
      <x:c r="G196" s="34" t="str"/>
      <x:c r="H196" s="34" t="str"/>
      <x:c r="I196" s="34" t="str"/>
      <x:c r="J196" s="34" t="str"/>
      <x:c r="K196" s="34" t="str"/>
      <x:c r="L196" s="34" t="str"/>
      <x:c r="M196" s="34" t="str">
        <x:f>IF(D196="","",IF(OR(D196="RG01",D196="RG02",D196="RG03",D196="RG06",D196="RG07",D196="RG08"),"核心","结构"))</x:f>
      </x:c>
      <x:c r="N196" s="34" t="str"/>
      <x:c r="O196" s="34" t="str"/>
    </x:row>
    <x:row r="197">
      <x:c r="A197" s="34" t="str">
        <x:v>M5-RG-0192</x:v>
      </x:c>
      <x:c r="B197" s="34" t="str"/>
      <x:c r="C197" s="34" t="str"/>
      <x:c r="D197" s="34" t="str"/>
      <x:c r="E197" s="34" t="str">
        <x:f>IF(D197="","",IF(D197="RG01","安全、同意与尊重",IF(D197="RG02","关系意图与承诺",IF(D197="RG03","价值观与人生目标",IF(D197="RG04","时间、地域与生活节奏",IF(D197="RG05","金钱、资源与劳动分配",IF(D197="RG06","家庭、婚育与照护责任",IF(D197="RG07","身体、亲密、隐私与健康",IF(D197="RG08","冲突、修复与学习意愿","")))))))))</x:f>
      </x:c>
      <x:c r="F197" s="34" t="str"/>
      <x:c r="G197" s="34" t="str"/>
      <x:c r="H197" s="34" t="str"/>
      <x:c r="I197" s="34" t="str"/>
      <x:c r="J197" s="34" t="str"/>
      <x:c r="K197" s="34" t="str"/>
      <x:c r="L197" s="34" t="str"/>
      <x:c r="M197" s="34" t="str">
        <x:f>IF(D197="","",IF(OR(D197="RG01",D197="RG02",D197="RG03",D197="RG06",D197="RG07",D197="RG08"),"核心","结构"))</x:f>
      </x:c>
      <x:c r="N197" s="34" t="str"/>
      <x:c r="O197" s="34" t="str"/>
    </x:row>
    <x:row r="198">
      <x:c r="A198" s="34" t="str">
        <x:v>M5-RG-0193</x:v>
      </x:c>
      <x:c r="B198" s="34" t="str"/>
      <x:c r="C198" s="34" t="str"/>
      <x:c r="D198" s="34" t="str"/>
      <x:c r="E198" s="34" t="str">
        <x:f>IF(D198="","",IF(D198="RG01","安全、同意与尊重",IF(D198="RG02","关系意图与承诺",IF(D198="RG03","价值观与人生目标",IF(D198="RG04","时间、地域与生活节奏",IF(D198="RG05","金钱、资源与劳动分配",IF(D198="RG06","家庭、婚育与照护责任",IF(D198="RG07","身体、亲密、隐私与健康",IF(D198="RG08","冲突、修复与学习意愿","")))))))))</x:f>
      </x:c>
      <x:c r="F198" s="34" t="str"/>
      <x:c r="G198" s="34" t="str"/>
      <x:c r="H198" s="34" t="str"/>
      <x:c r="I198" s="34" t="str"/>
      <x:c r="J198" s="34" t="str"/>
      <x:c r="K198" s="34" t="str"/>
      <x:c r="L198" s="34" t="str"/>
      <x:c r="M198" s="34" t="str">
        <x:f>IF(D198="","",IF(OR(D198="RG01",D198="RG02",D198="RG03",D198="RG06",D198="RG07",D198="RG08"),"核心","结构"))</x:f>
      </x:c>
      <x:c r="N198" s="34" t="str"/>
      <x:c r="O198" s="34" t="str"/>
    </x:row>
    <x:row r="199">
      <x:c r="A199" s="34" t="str">
        <x:v>M5-RG-0194</x:v>
      </x:c>
      <x:c r="B199" s="34" t="str"/>
      <x:c r="C199" s="34" t="str"/>
      <x:c r="D199" s="34" t="str"/>
      <x:c r="E199" s="34" t="str">
        <x:f>IF(D199="","",IF(D199="RG01","安全、同意与尊重",IF(D199="RG02","关系意图与承诺",IF(D199="RG03","价值观与人生目标",IF(D199="RG04","时间、地域与生活节奏",IF(D199="RG05","金钱、资源与劳动分配",IF(D199="RG06","家庭、婚育与照护责任",IF(D199="RG07","身体、亲密、隐私与健康",IF(D199="RG08","冲突、修复与学习意愿","")))))))))</x:f>
      </x:c>
      <x:c r="F199" s="34" t="str"/>
      <x:c r="G199" s="34" t="str"/>
      <x:c r="H199" s="34" t="str"/>
      <x:c r="I199" s="34" t="str"/>
      <x:c r="J199" s="34" t="str"/>
      <x:c r="K199" s="34" t="str"/>
      <x:c r="L199" s="34" t="str"/>
      <x:c r="M199" s="34" t="str">
        <x:f>IF(D199="","",IF(OR(D199="RG01",D199="RG02",D199="RG03",D199="RG06",D199="RG07",D199="RG08"),"核心","结构"))</x:f>
      </x:c>
      <x:c r="N199" s="34" t="str"/>
      <x:c r="O199" s="34" t="str"/>
    </x:row>
    <x:row r="200">
      <x:c r="A200" s="34" t="str">
        <x:v>M5-RG-0195</x:v>
      </x:c>
      <x:c r="B200" s="34" t="str"/>
      <x:c r="C200" s="34" t="str"/>
      <x:c r="D200" s="34" t="str"/>
      <x:c r="E200" s="34" t="str">
        <x:f>IF(D200="","",IF(D200="RG01","安全、同意与尊重",IF(D200="RG02","关系意图与承诺",IF(D200="RG03","价值观与人生目标",IF(D200="RG04","时间、地域与生活节奏",IF(D200="RG05","金钱、资源与劳动分配",IF(D200="RG06","家庭、婚育与照护责任",IF(D200="RG07","身体、亲密、隐私与健康",IF(D200="RG08","冲突、修复与学习意愿","")))))))))</x:f>
      </x:c>
      <x:c r="F200" s="34" t="str"/>
      <x:c r="G200" s="34" t="str"/>
      <x:c r="H200" s="34" t="str"/>
      <x:c r="I200" s="34" t="str"/>
      <x:c r="J200" s="34" t="str"/>
      <x:c r="K200" s="34" t="str"/>
      <x:c r="L200" s="34" t="str"/>
      <x:c r="M200" s="34" t="str">
        <x:f>IF(D200="","",IF(OR(D200="RG01",D200="RG02",D200="RG03",D200="RG06",D200="RG07",D200="RG08"),"核心","结构"))</x:f>
      </x:c>
      <x:c r="N200" s="34" t="str"/>
      <x:c r="O200" s="34" t="str"/>
    </x:row>
    <x:row r="201">
      <x:c r="A201" s="34" t="str">
        <x:v>M5-RG-0196</x:v>
      </x:c>
      <x:c r="B201" s="34" t="str"/>
      <x:c r="C201" s="34" t="str"/>
      <x:c r="D201" s="34" t="str"/>
      <x:c r="E201" s="34" t="str">
        <x:f>IF(D201="","",IF(D201="RG01","安全、同意与尊重",IF(D201="RG02","关系意图与承诺",IF(D201="RG03","价值观与人生目标",IF(D201="RG04","时间、地域与生活节奏",IF(D201="RG05","金钱、资源与劳动分配",IF(D201="RG06","家庭、婚育与照护责任",IF(D201="RG07","身体、亲密、隐私与健康",IF(D201="RG08","冲突、修复与学习意愿","")))))))))</x:f>
      </x:c>
      <x:c r="F201" s="34" t="str"/>
      <x:c r="G201" s="34" t="str"/>
      <x:c r="H201" s="34" t="str"/>
      <x:c r="I201" s="34" t="str"/>
      <x:c r="J201" s="34" t="str"/>
      <x:c r="K201" s="34" t="str"/>
      <x:c r="L201" s="34" t="str"/>
      <x:c r="M201" s="34" t="str">
        <x:f>IF(D201="","",IF(OR(D201="RG01",D201="RG02",D201="RG03",D201="RG06",D201="RG07",D201="RG08"),"核心","结构"))</x:f>
      </x:c>
      <x:c r="N201" s="34" t="str"/>
      <x:c r="O201" s="34" t="str"/>
    </x:row>
    <x:row r="202">
      <x:c r="A202" s="34" t="str">
        <x:v>M5-RG-0197</x:v>
      </x:c>
      <x:c r="B202" s="34" t="str"/>
      <x:c r="C202" s="34" t="str"/>
      <x:c r="D202" s="34" t="str"/>
      <x:c r="E202" s="34" t="str">
        <x:f>IF(D202="","",IF(D202="RG01","安全、同意与尊重",IF(D202="RG02","关系意图与承诺",IF(D202="RG03","价值观与人生目标",IF(D202="RG04","时间、地域与生活节奏",IF(D202="RG05","金钱、资源与劳动分配",IF(D202="RG06","家庭、婚育与照护责任",IF(D202="RG07","身体、亲密、隐私与健康",IF(D202="RG08","冲突、修复与学习意愿","")))))))))</x:f>
      </x:c>
      <x:c r="F202" s="34" t="str"/>
      <x:c r="G202" s="34" t="str"/>
      <x:c r="H202" s="34" t="str"/>
      <x:c r="I202" s="34" t="str"/>
      <x:c r="J202" s="34" t="str"/>
      <x:c r="K202" s="34" t="str"/>
      <x:c r="L202" s="34" t="str"/>
      <x:c r="M202" s="34" t="str">
        <x:f>IF(D202="","",IF(OR(D202="RG01",D202="RG02",D202="RG03",D202="RG06",D202="RG07",D202="RG08"),"核心","结构"))</x:f>
      </x:c>
      <x:c r="N202" s="34" t="str"/>
      <x:c r="O202" s="34" t="str"/>
    </x:row>
    <x:row r="203">
      <x:c r="A203" s="34" t="str">
        <x:v>M5-RG-0198</x:v>
      </x:c>
      <x:c r="B203" s="34" t="str"/>
      <x:c r="C203" s="34" t="str"/>
      <x:c r="D203" s="34" t="str"/>
      <x:c r="E203" s="34" t="str">
        <x:f>IF(D203="","",IF(D203="RG01","安全、同意与尊重",IF(D203="RG02","关系意图与承诺",IF(D203="RG03","价值观与人生目标",IF(D203="RG04","时间、地域与生活节奏",IF(D203="RG05","金钱、资源与劳动分配",IF(D203="RG06","家庭、婚育与照护责任",IF(D203="RG07","身体、亲密、隐私与健康",IF(D203="RG08","冲突、修复与学习意愿","")))))))))</x:f>
      </x:c>
      <x:c r="F203" s="34" t="str"/>
      <x:c r="G203" s="34" t="str"/>
      <x:c r="H203" s="34" t="str"/>
      <x:c r="I203" s="34" t="str"/>
      <x:c r="J203" s="34" t="str"/>
      <x:c r="K203" s="34" t="str"/>
      <x:c r="L203" s="34" t="str"/>
      <x:c r="M203" s="34" t="str">
        <x:f>IF(D203="","",IF(OR(D203="RG01",D203="RG02",D203="RG03",D203="RG06",D203="RG07",D203="RG08"),"核心","结构"))</x:f>
      </x:c>
      <x:c r="N203" s="34" t="str"/>
      <x:c r="O203" s="34" t="str"/>
    </x:row>
    <x:row r="204">
      <x:c r="A204" s="34" t="str">
        <x:v>M5-RG-0199</x:v>
      </x:c>
      <x:c r="B204" s="34" t="str"/>
      <x:c r="C204" s="34" t="str"/>
      <x:c r="D204" s="34" t="str"/>
      <x:c r="E204" s="34" t="str">
        <x:f>IF(D204="","",IF(D204="RG01","安全、同意与尊重",IF(D204="RG02","关系意图与承诺",IF(D204="RG03","价值观与人生目标",IF(D204="RG04","时间、地域与生活节奏",IF(D204="RG05","金钱、资源与劳动分配",IF(D204="RG06","家庭、婚育与照护责任",IF(D204="RG07","身体、亲密、隐私与健康",IF(D204="RG08","冲突、修复与学习意愿","")))))))))</x:f>
      </x:c>
      <x:c r="F204" s="34" t="str"/>
      <x:c r="G204" s="34" t="str"/>
      <x:c r="H204" s="34" t="str"/>
      <x:c r="I204" s="34" t="str"/>
      <x:c r="J204" s="34" t="str"/>
      <x:c r="K204" s="34" t="str"/>
      <x:c r="L204" s="34" t="str"/>
      <x:c r="M204" s="34" t="str">
        <x:f>IF(D204="","",IF(OR(D204="RG01",D204="RG02",D204="RG03",D204="RG06",D204="RG07",D204="RG08"),"核心","结构"))</x:f>
      </x:c>
      <x:c r="N204" s="34" t="str"/>
      <x:c r="O204" s="34" t="str"/>
    </x:row>
    <x:row r="205">
      <x:c r="A205" s="34" t="str">
        <x:v>M5-RG-0200</x:v>
      </x:c>
      <x:c r="B205" s="34" t="str"/>
      <x:c r="C205" s="34" t="str"/>
      <x:c r="D205" s="34" t="str"/>
      <x:c r="E205" s="34" t="str">
        <x:f>IF(D205="","",IF(D205="RG01","安全、同意与尊重",IF(D205="RG02","关系意图与承诺",IF(D205="RG03","价值观与人生目标",IF(D205="RG04","时间、地域与生活节奏",IF(D205="RG05","金钱、资源与劳动分配",IF(D205="RG06","家庭、婚育与照护责任",IF(D205="RG07","身体、亲密、隐私与健康",IF(D205="RG08","冲突、修复与学习意愿","")))))))))</x:f>
      </x:c>
      <x:c r="F205" s="34" t="str"/>
      <x:c r="G205" s="34" t="str"/>
      <x:c r="H205" s="34" t="str"/>
      <x:c r="I205" s="34" t="str"/>
      <x:c r="J205" s="34" t="str"/>
      <x:c r="K205" s="34" t="str"/>
      <x:c r="L205" s="34" t="str"/>
      <x:c r="M205" s="34" t="str">
        <x:f>IF(D205="","",IF(OR(D205="RG01",D205="RG02",D205="RG03",D205="RG06",D205="RG07",D205="RG08"),"核心","结构"))</x:f>
      </x:c>
      <x:c r="N205" s="34" t="str"/>
      <x:c r="O205" s="34" t="str"/>
    </x:row>
    <x:row r="206">
      <x:c r="A206" s="34" t="str">
        <x:v>M5-RG-0201</x:v>
      </x:c>
      <x:c r="B206" s="34" t="str"/>
      <x:c r="C206" s="34" t="str"/>
      <x:c r="D206" s="34" t="str"/>
      <x:c r="E206" s="34" t="str">
        <x:f>IF(D206="","",IF(D206="RG01","安全、同意与尊重",IF(D206="RG02","关系意图与承诺",IF(D206="RG03","价值观与人生目标",IF(D206="RG04","时间、地域与生活节奏",IF(D206="RG05","金钱、资源与劳动分配",IF(D206="RG06","家庭、婚育与照护责任",IF(D206="RG07","身体、亲密、隐私与健康",IF(D206="RG08","冲突、修复与学习意愿","")))))))))</x:f>
      </x:c>
      <x:c r="F206" s="34" t="str"/>
      <x:c r="G206" s="34" t="str"/>
      <x:c r="H206" s="34" t="str"/>
      <x:c r="I206" s="34" t="str"/>
      <x:c r="J206" s="34" t="str"/>
      <x:c r="K206" s="34" t="str"/>
      <x:c r="L206" s="34" t="str"/>
      <x:c r="M206" s="34" t="str">
        <x:f>IF(D206="","",IF(OR(D206="RG01",D206="RG02",D206="RG03",D206="RG06",D206="RG07",D206="RG08"),"核心","结构"))</x:f>
      </x:c>
      <x:c r="N206" s="34" t="str"/>
      <x:c r="O206" s="34" t="str"/>
    </x:row>
    <x:row r="207">
      <x:c r="A207" s="34" t="str">
        <x:v>M5-RG-0202</x:v>
      </x:c>
      <x:c r="B207" s="34" t="str"/>
      <x:c r="C207" s="34" t="str"/>
      <x:c r="D207" s="34" t="str"/>
      <x:c r="E207" s="34" t="str">
        <x:f>IF(D207="","",IF(D207="RG01","安全、同意与尊重",IF(D207="RG02","关系意图与承诺",IF(D207="RG03","价值观与人生目标",IF(D207="RG04","时间、地域与生活节奏",IF(D207="RG05","金钱、资源与劳动分配",IF(D207="RG06","家庭、婚育与照护责任",IF(D207="RG07","身体、亲密、隐私与健康",IF(D207="RG08","冲突、修复与学习意愿","")))))))))</x:f>
      </x:c>
      <x:c r="F207" s="34" t="str"/>
      <x:c r="G207" s="34" t="str"/>
      <x:c r="H207" s="34" t="str"/>
      <x:c r="I207" s="34" t="str"/>
      <x:c r="J207" s="34" t="str"/>
      <x:c r="K207" s="34" t="str"/>
      <x:c r="L207" s="34" t="str"/>
      <x:c r="M207" s="34" t="str">
        <x:f>IF(D207="","",IF(OR(D207="RG01",D207="RG02",D207="RG03",D207="RG06",D207="RG07",D207="RG08"),"核心","结构"))</x:f>
      </x:c>
      <x:c r="N207" s="34" t="str"/>
      <x:c r="O207" s="34" t="str"/>
    </x:row>
    <x:row r="208">
      <x:c r="A208" s="34" t="str">
        <x:v>M5-RG-0203</x:v>
      </x:c>
      <x:c r="B208" s="34" t="str"/>
      <x:c r="C208" s="34" t="str"/>
      <x:c r="D208" s="34" t="str"/>
      <x:c r="E208" s="34" t="str">
        <x:f>IF(D208="","",IF(D208="RG01","安全、同意与尊重",IF(D208="RG02","关系意图与承诺",IF(D208="RG03","价值观与人生目标",IF(D208="RG04","时间、地域与生活节奏",IF(D208="RG05","金钱、资源与劳动分配",IF(D208="RG06","家庭、婚育与照护责任",IF(D208="RG07","身体、亲密、隐私与健康",IF(D208="RG08","冲突、修复与学习意愿","")))))))))</x:f>
      </x:c>
      <x:c r="F208" s="34" t="str"/>
      <x:c r="G208" s="34" t="str"/>
      <x:c r="H208" s="34" t="str"/>
      <x:c r="I208" s="34" t="str"/>
      <x:c r="J208" s="34" t="str"/>
      <x:c r="K208" s="34" t="str"/>
      <x:c r="L208" s="34" t="str"/>
      <x:c r="M208" s="34" t="str">
        <x:f>IF(D208="","",IF(OR(D208="RG01",D208="RG02",D208="RG03",D208="RG06",D208="RG07",D208="RG08"),"核心","结构"))</x:f>
      </x:c>
      <x:c r="N208" s="34" t="str"/>
      <x:c r="O208" s="34" t="str"/>
    </x:row>
    <x:row r="209">
      <x:c r="A209" s="34" t="str">
        <x:v>M5-RG-0204</x:v>
      </x:c>
      <x:c r="B209" s="34" t="str"/>
      <x:c r="C209" s="34" t="str"/>
      <x:c r="D209" s="34" t="str"/>
      <x:c r="E209" s="34" t="str">
        <x:f>IF(D209="","",IF(D209="RG01","安全、同意与尊重",IF(D209="RG02","关系意图与承诺",IF(D209="RG03","价值观与人生目标",IF(D209="RG04","时间、地域与生活节奏",IF(D209="RG05","金钱、资源与劳动分配",IF(D209="RG06","家庭、婚育与照护责任",IF(D209="RG07","身体、亲密、隐私与健康",IF(D209="RG08","冲突、修复与学习意愿","")))))))))</x:f>
      </x:c>
      <x:c r="F209" s="34" t="str"/>
      <x:c r="G209" s="34" t="str"/>
      <x:c r="H209" s="34" t="str"/>
      <x:c r="I209" s="34" t="str"/>
      <x:c r="J209" s="34" t="str"/>
      <x:c r="K209" s="34" t="str"/>
      <x:c r="L209" s="34" t="str"/>
      <x:c r="M209" s="34" t="str">
        <x:f>IF(D209="","",IF(OR(D209="RG01",D209="RG02",D209="RG03",D209="RG06",D209="RG07",D209="RG08"),"核心","结构"))</x:f>
      </x:c>
      <x:c r="N209" s="34" t="str"/>
      <x:c r="O209" s="34" t="str"/>
    </x:row>
    <x:row r="210">
      <x:c r="A210" s="34" t="str">
        <x:v>M5-RG-0205</x:v>
      </x:c>
      <x:c r="B210" s="34" t="str"/>
      <x:c r="C210" s="34" t="str"/>
      <x:c r="D210" s="34" t="str"/>
      <x:c r="E210" s="34" t="str">
        <x:f>IF(D210="","",IF(D210="RG01","安全、同意与尊重",IF(D210="RG02","关系意图与承诺",IF(D210="RG03","价值观与人生目标",IF(D210="RG04","时间、地域与生活节奏",IF(D210="RG05","金钱、资源与劳动分配",IF(D210="RG06","家庭、婚育与照护责任",IF(D210="RG07","身体、亲密、隐私与健康",IF(D210="RG08","冲突、修复与学习意愿","")))))))))</x:f>
      </x:c>
      <x:c r="F210" s="34" t="str"/>
      <x:c r="G210" s="34" t="str"/>
      <x:c r="H210" s="34" t="str"/>
      <x:c r="I210" s="34" t="str"/>
      <x:c r="J210" s="34" t="str"/>
      <x:c r="K210" s="34" t="str"/>
      <x:c r="L210" s="34" t="str"/>
      <x:c r="M210" s="34" t="str">
        <x:f>IF(D210="","",IF(OR(D210="RG01",D210="RG02",D210="RG03",D210="RG06",D210="RG07",D210="RG08"),"核心","结构"))</x:f>
      </x:c>
      <x:c r="N210" s="34" t="str"/>
      <x:c r="O210" s="34" t="str"/>
    </x:row>
    <x:row r="211">
      <x:c r="A211" s="34" t="str">
        <x:v>M5-RG-0206</x:v>
      </x:c>
      <x:c r="B211" s="34" t="str"/>
      <x:c r="C211" s="34" t="str"/>
      <x:c r="D211" s="34" t="str"/>
      <x:c r="E211" s="34" t="str">
        <x:f>IF(D211="","",IF(D211="RG01","安全、同意与尊重",IF(D211="RG02","关系意图与承诺",IF(D211="RG03","价值观与人生目标",IF(D211="RG04","时间、地域与生活节奏",IF(D211="RG05","金钱、资源与劳动分配",IF(D211="RG06","家庭、婚育与照护责任",IF(D211="RG07","身体、亲密、隐私与健康",IF(D211="RG08","冲突、修复与学习意愿","")))))))))</x:f>
      </x:c>
      <x:c r="F211" s="34" t="str"/>
      <x:c r="G211" s="34" t="str"/>
      <x:c r="H211" s="34" t="str"/>
      <x:c r="I211" s="34" t="str"/>
      <x:c r="J211" s="34" t="str"/>
      <x:c r="K211" s="34" t="str"/>
      <x:c r="L211" s="34" t="str"/>
      <x:c r="M211" s="34" t="str">
        <x:f>IF(D211="","",IF(OR(D211="RG01",D211="RG02",D211="RG03",D211="RG06",D211="RG07",D211="RG08"),"核心","结构"))</x:f>
      </x:c>
      <x:c r="N211" s="34" t="str"/>
      <x:c r="O211" s="34" t="str"/>
    </x:row>
    <x:row r="212">
      <x:c r="A212" s="34" t="str">
        <x:v>M5-RG-0207</x:v>
      </x:c>
      <x:c r="B212" s="34" t="str"/>
      <x:c r="C212" s="34" t="str"/>
      <x:c r="D212" s="34" t="str"/>
      <x:c r="E212" s="34" t="str">
        <x:f>IF(D212="","",IF(D212="RG01","安全、同意与尊重",IF(D212="RG02","关系意图与承诺",IF(D212="RG03","价值观与人生目标",IF(D212="RG04","时间、地域与生活节奏",IF(D212="RG05","金钱、资源与劳动分配",IF(D212="RG06","家庭、婚育与照护责任",IF(D212="RG07","身体、亲密、隐私与健康",IF(D212="RG08","冲突、修复与学习意愿","")))))))))</x:f>
      </x:c>
      <x:c r="F212" s="34" t="str"/>
      <x:c r="G212" s="34" t="str"/>
      <x:c r="H212" s="34" t="str"/>
      <x:c r="I212" s="34" t="str"/>
      <x:c r="J212" s="34" t="str"/>
      <x:c r="K212" s="34" t="str"/>
      <x:c r="L212" s="34" t="str"/>
      <x:c r="M212" s="34" t="str">
        <x:f>IF(D212="","",IF(OR(D212="RG01",D212="RG02",D212="RG03",D212="RG06",D212="RG07",D212="RG08"),"核心","结构"))</x:f>
      </x:c>
      <x:c r="N212" s="34" t="str"/>
      <x:c r="O212" s="34" t="str"/>
    </x:row>
    <x:row r="213">
      <x:c r="A213" s="34" t="str">
        <x:v>M5-RG-0208</x:v>
      </x:c>
      <x:c r="B213" s="34" t="str"/>
      <x:c r="C213" s="34" t="str"/>
      <x:c r="D213" s="34" t="str"/>
      <x:c r="E213" s="34" t="str">
        <x:f>IF(D213="","",IF(D213="RG01","安全、同意与尊重",IF(D213="RG02","关系意图与承诺",IF(D213="RG03","价值观与人生目标",IF(D213="RG04","时间、地域与生活节奏",IF(D213="RG05","金钱、资源与劳动分配",IF(D213="RG06","家庭、婚育与照护责任",IF(D213="RG07","身体、亲密、隐私与健康",IF(D213="RG08","冲突、修复与学习意愿","")))))))))</x:f>
      </x:c>
      <x:c r="F213" s="34" t="str"/>
      <x:c r="G213" s="34" t="str"/>
      <x:c r="H213" s="34" t="str"/>
      <x:c r="I213" s="34" t="str"/>
      <x:c r="J213" s="34" t="str"/>
      <x:c r="K213" s="34" t="str"/>
      <x:c r="L213" s="34" t="str"/>
      <x:c r="M213" s="34" t="str">
        <x:f>IF(D213="","",IF(OR(D213="RG01",D213="RG02",D213="RG03",D213="RG06",D213="RG07",D213="RG08"),"核心","结构"))</x:f>
      </x:c>
      <x:c r="N213" s="34" t="str"/>
      <x:c r="O213" s="34" t="str"/>
    </x:row>
    <x:row r="214">
      <x:c r="A214" s="34" t="str">
        <x:v>M5-RG-0209</x:v>
      </x:c>
      <x:c r="B214" s="34" t="str"/>
      <x:c r="C214" s="34" t="str"/>
      <x:c r="D214" s="34" t="str"/>
      <x:c r="E214" s="34" t="str">
        <x:f>IF(D214="","",IF(D214="RG01","安全、同意与尊重",IF(D214="RG02","关系意图与承诺",IF(D214="RG03","价值观与人生目标",IF(D214="RG04","时间、地域与生活节奏",IF(D214="RG05","金钱、资源与劳动分配",IF(D214="RG06","家庭、婚育与照护责任",IF(D214="RG07","身体、亲密、隐私与健康",IF(D214="RG08","冲突、修复与学习意愿","")))))))))</x:f>
      </x:c>
      <x:c r="F214" s="34" t="str"/>
      <x:c r="G214" s="34" t="str"/>
      <x:c r="H214" s="34" t="str"/>
      <x:c r="I214" s="34" t="str"/>
      <x:c r="J214" s="34" t="str"/>
      <x:c r="K214" s="34" t="str"/>
      <x:c r="L214" s="34" t="str"/>
      <x:c r="M214" s="34" t="str">
        <x:f>IF(D214="","",IF(OR(D214="RG01",D214="RG02",D214="RG03",D214="RG06",D214="RG07",D214="RG08"),"核心","结构"))</x:f>
      </x:c>
      <x:c r="N214" s="34" t="str"/>
      <x:c r="O214" s="34" t="str"/>
    </x:row>
    <x:row r="215">
      <x:c r="A215" s="34" t="str">
        <x:v>M5-RG-0210</x:v>
      </x:c>
      <x:c r="B215" s="34" t="str"/>
      <x:c r="C215" s="34" t="str"/>
      <x:c r="D215" s="34" t="str"/>
      <x:c r="E215" s="34" t="str">
        <x:f>IF(D215="","",IF(D215="RG01","安全、同意与尊重",IF(D215="RG02","关系意图与承诺",IF(D215="RG03","价值观与人生目标",IF(D215="RG04","时间、地域与生活节奏",IF(D215="RG05","金钱、资源与劳动分配",IF(D215="RG06","家庭、婚育与照护责任",IF(D215="RG07","身体、亲密、隐私与健康",IF(D215="RG08","冲突、修复与学习意愿","")))))))))</x:f>
      </x:c>
      <x:c r="F215" s="34" t="str"/>
      <x:c r="G215" s="34" t="str"/>
      <x:c r="H215" s="34" t="str"/>
      <x:c r="I215" s="34" t="str"/>
      <x:c r="J215" s="34" t="str"/>
      <x:c r="K215" s="34" t="str"/>
      <x:c r="L215" s="34" t="str"/>
      <x:c r="M215" s="34" t="str">
        <x:f>IF(D215="","",IF(OR(D215="RG01",D215="RG02",D215="RG03",D215="RG06",D215="RG07",D215="RG08"),"核心","结构"))</x:f>
      </x:c>
      <x:c r="N215" s="34" t="str"/>
      <x:c r="O215" s="34" t="str"/>
    </x:row>
    <x:row r="216">
      <x:c r="A216" s="34" t="str">
        <x:v>M5-RG-0211</x:v>
      </x:c>
      <x:c r="B216" s="34" t="str"/>
      <x:c r="C216" s="34" t="str"/>
      <x:c r="D216" s="34" t="str"/>
      <x:c r="E216" s="34" t="str">
        <x:f>IF(D216="","",IF(D216="RG01","安全、同意与尊重",IF(D216="RG02","关系意图与承诺",IF(D216="RG03","价值观与人生目标",IF(D216="RG04","时间、地域与生活节奏",IF(D216="RG05","金钱、资源与劳动分配",IF(D216="RG06","家庭、婚育与照护责任",IF(D216="RG07","身体、亲密、隐私与健康",IF(D216="RG08","冲突、修复与学习意愿","")))))))))</x:f>
      </x:c>
      <x:c r="F216" s="34" t="str"/>
      <x:c r="G216" s="34" t="str"/>
      <x:c r="H216" s="34" t="str"/>
      <x:c r="I216" s="34" t="str"/>
      <x:c r="J216" s="34" t="str"/>
      <x:c r="K216" s="34" t="str"/>
      <x:c r="L216" s="34" t="str"/>
      <x:c r="M216" s="34" t="str">
        <x:f>IF(D216="","",IF(OR(D216="RG01",D216="RG02",D216="RG03",D216="RG06",D216="RG07",D216="RG08"),"核心","结构"))</x:f>
      </x:c>
      <x:c r="N216" s="34" t="str"/>
      <x:c r="O216" s="34" t="str"/>
    </x:row>
    <x:row r="217">
      <x:c r="A217" s="34" t="str">
        <x:v>M5-RG-0212</x:v>
      </x:c>
      <x:c r="B217" s="34" t="str"/>
      <x:c r="C217" s="34" t="str"/>
      <x:c r="D217" s="34" t="str"/>
      <x:c r="E217" s="34" t="str">
        <x:f>IF(D217="","",IF(D217="RG01","安全、同意与尊重",IF(D217="RG02","关系意图与承诺",IF(D217="RG03","价值观与人生目标",IF(D217="RG04","时间、地域与生活节奏",IF(D217="RG05","金钱、资源与劳动分配",IF(D217="RG06","家庭、婚育与照护责任",IF(D217="RG07","身体、亲密、隐私与健康",IF(D217="RG08","冲突、修复与学习意愿","")))))))))</x:f>
      </x:c>
      <x:c r="F217" s="34" t="str"/>
      <x:c r="G217" s="34" t="str"/>
      <x:c r="H217" s="34" t="str"/>
      <x:c r="I217" s="34" t="str"/>
      <x:c r="J217" s="34" t="str"/>
      <x:c r="K217" s="34" t="str"/>
      <x:c r="L217" s="34" t="str"/>
      <x:c r="M217" s="34" t="str">
        <x:f>IF(D217="","",IF(OR(D217="RG01",D217="RG02",D217="RG03",D217="RG06",D217="RG07",D217="RG08"),"核心","结构"))</x:f>
      </x:c>
      <x:c r="N217" s="34" t="str"/>
      <x:c r="O217" s="34" t="str"/>
    </x:row>
    <x:row r="218">
      <x:c r="A218" s="34" t="str">
        <x:v>M5-RG-0213</x:v>
      </x:c>
      <x:c r="B218" s="34" t="str"/>
      <x:c r="C218" s="34" t="str"/>
      <x:c r="D218" s="34" t="str"/>
      <x:c r="E218" s="34" t="str">
        <x:f>IF(D218="","",IF(D218="RG01","安全、同意与尊重",IF(D218="RG02","关系意图与承诺",IF(D218="RG03","价值观与人生目标",IF(D218="RG04","时间、地域与生活节奏",IF(D218="RG05","金钱、资源与劳动分配",IF(D218="RG06","家庭、婚育与照护责任",IF(D218="RG07","身体、亲密、隐私与健康",IF(D218="RG08","冲突、修复与学习意愿","")))))))))</x:f>
      </x:c>
      <x:c r="F218" s="34" t="str"/>
      <x:c r="G218" s="34" t="str"/>
      <x:c r="H218" s="34" t="str"/>
      <x:c r="I218" s="34" t="str"/>
      <x:c r="J218" s="34" t="str"/>
      <x:c r="K218" s="34" t="str"/>
      <x:c r="L218" s="34" t="str"/>
      <x:c r="M218" s="34" t="str">
        <x:f>IF(D218="","",IF(OR(D218="RG01",D218="RG02",D218="RG03",D218="RG06",D218="RG07",D218="RG08"),"核心","结构"))</x:f>
      </x:c>
      <x:c r="N218" s="34" t="str"/>
      <x:c r="O218" s="34" t="str"/>
    </x:row>
    <x:row r="219">
      <x:c r="A219" s="34" t="str">
        <x:v>M5-RG-0214</x:v>
      </x:c>
      <x:c r="B219" s="34" t="str"/>
      <x:c r="C219" s="34" t="str"/>
      <x:c r="D219" s="34" t="str"/>
      <x:c r="E219" s="34" t="str">
        <x:f>IF(D219="","",IF(D219="RG01","安全、同意与尊重",IF(D219="RG02","关系意图与承诺",IF(D219="RG03","价值观与人生目标",IF(D219="RG04","时间、地域与生活节奏",IF(D219="RG05","金钱、资源与劳动分配",IF(D219="RG06","家庭、婚育与照护责任",IF(D219="RG07","身体、亲密、隐私与健康",IF(D219="RG08","冲突、修复与学习意愿","")))))))))</x:f>
      </x:c>
      <x:c r="F219" s="34" t="str"/>
      <x:c r="G219" s="34" t="str"/>
      <x:c r="H219" s="34" t="str"/>
      <x:c r="I219" s="34" t="str"/>
      <x:c r="J219" s="34" t="str"/>
      <x:c r="K219" s="34" t="str"/>
      <x:c r="L219" s="34" t="str"/>
      <x:c r="M219" s="34" t="str">
        <x:f>IF(D219="","",IF(OR(D219="RG01",D219="RG02",D219="RG03",D219="RG06",D219="RG07",D219="RG08"),"核心","结构"))</x:f>
      </x:c>
      <x:c r="N219" s="34" t="str"/>
      <x:c r="O219" s="34" t="str"/>
    </x:row>
    <x:row r="220">
      <x:c r="A220" s="34" t="str">
        <x:v>M5-RG-0215</x:v>
      </x:c>
      <x:c r="B220" s="34" t="str"/>
      <x:c r="C220" s="34" t="str"/>
      <x:c r="D220" s="34" t="str"/>
      <x:c r="E220" s="34" t="str">
        <x:f>IF(D220="","",IF(D220="RG01","安全、同意与尊重",IF(D220="RG02","关系意图与承诺",IF(D220="RG03","价值观与人生目标",IF(D220="RG04","时间、地域与生活节奏",IF(D220="RG05","金钱、资源与劳动分配",IF(D220="RG06","家庭、婚育与照护责任",IF(D220="RG07","身体、亲密、隐私与健康",IF(D220="RG08","冲突、修复与学习意愿","")))))))))</x:f>
      </x:c>
      <x:c r="F220" s="34" t="str"/>
      <x:c r="G220" s="34" t="str"/>
      <x:c r="H220" s="34" t="str"/>
      <x:c r="I220" s="34" t="str"/>
      <x:c r="J220" s="34" t="str"/>
      <x:c r="K220" s="34" t="str"/>
      <x:c r="L220" s="34" t="str"/>
      <x:c r="M220" s="34" t="str">
        <x:f>IF(D220="","",IF(OR(D220="RG01",D220="RG02",D220="RG03",D220="RG06",D220="RG07",D220="RG08"),"核心","结构"))</x:f>
      </x:c>
      <x:c r="N220" s="34" t="str"/>
      <x:c r="O220" s="34" t="str"/>
    </x:row>
    <x:row r="221">
      <x:c r="A221" s="34" t="str">
        <x:v>M5-RG-0216</x:v>
      </x:c>
      <x:c r="B221" s="34" t="str"/>
      <x:c r="C221" s="34" t="str"/>
      <x:c r="D221" s="34" t="str"/>
      <x:c r="E221" s="34" t="str">
        <x:f>IF(D221="","",IF(D221="RG01","安全、同意与尊重",IF(D221="RG02","关系意图与承诺",IF(D221="RG03","价值观与人生目标",IF(D221="RG04","时间、地域与生活节奏",IF(D221="RG05","金钱、资源与劳动分配",IF(D221="RG06","家庭、婚育与照护责任",IF(D221="RG07","身体、亲密、隐私与健康",IF(D221="RG08","冲突、修复与学习意愿","")))))))))</x:f>
      </x:c>
      <x:c r="F221" s="34" t="str"/>
      <x:c r="G221" s="34" t="str"/>
      <x:c r="H221" s="34" t="str"/>
      <x:c r="I221" s="34" t="str"/>
      <x:c r="J221" s="34" t="str"/>
      <x:c r="K221" s="34" t="str"/>
      <x:c r="L221" s="34" t="str"/>
      <x:c r="M221" s="34" t="str">
        <x:f>IF(D221="","",IF(OR(D221="RG01",D221="RG02",D221="RG03",D221="RG06",D221="RG07",D221="RG08"),"核心","结构"))</x:f>
      </x:c>
      <x:c r="N221" s="34" t="str"/>
      <x:c r="O221" s="34" t="str"/>
    </x:row>
    <x:row r="222">
      <x:c r="A222" s="34" t="str">
        <x:v>M5-RG-0217</x:v>
      </x:c>
      <x:c r="B222" s="34" t="str"/>
      <x:c r="C222" s="34" t="str"/>
      <x:c r="D222" s="34" t="str"/>
      <x:c r="E222" s="34" t="str">
        <x:f>IF(D222="","",IF(D222="RG01","安全、同意与尊重",IF(D222="RG02","关系意图与承诺",IF(D222="RG03","价值观与人生目标",IF(D222="RG04","时间、地域与生活节奏",IF(D222="RG05","金钱、资源与劳动分配",IF(D222="RG06","家庭、婚育与照护责任",IF(D222="RG07","身体、亲密、隐私与健康",IF(D222="RG08","冲突、修复与学习意愿","")))))))))</x:f>
      </x:c>
      <x:c r="F222" s="34" t="str"/>
      <x:c r="G222" s="34" t="str"/>
      <x:c r="H222" s="34" t="str"/>
      <x:c r="I222" s="34" t="str"/>
      <x:c r="J222" s="34" t="str"/>
      <x:c r="K222" s="34" t="str"/>
      <x:c r="L222" s="34" t="str"/>
      <x:c r="M222" s="34" t="str">
        <x:f>IF(D222="","",IF(OR(D222="RG01",D222="RG02",D222="RG03",D222="RG06",D222="RG07",D222="RG08"),"核心","结构"))</x:f>
      </x:c>
      <x:c r="N222" s="34" t="str"/>
      <x:c r="O222" s="34" t="str"/>
    </x:row>
    <x:row r="223">
      <x:c r="A223" s="34" t="str">
        <x:v>M5-RG-0218</x:v>
      </x:c>
      <x:c r="B223" s="34" t="str"/>
      <x:c r="C223" s="34" t="str"/>
      <x:c r="D223" s="34" t="str"/>
      <x:c r="E223" s="34" t="str">
        <x:f>IF(D223="","",IF(D223="RG01","安全、同意与尊重",IF(D223="RG02","关系意图与承诺",IF(D223="RG03","价值观与人生目标",IF(D223="RG04","时间、地域与生活节奏",IF(D223="RG05","金钱、资源与劳动分配",IF(D223="RG06","家庭、婚育与照护责任",IF(D223="RG07","身体、亲密、隐私与健康",IF(D223="RG08","冲突、修复与学习意愿","")))))))))</x:f>
      </x:c>
      <x:c r="F223" s="34" t="str"/>
      <x:c r="G223" s="34" t="str"/>
      <x:c r="H223" s="34" t="str"/>
      <x:c r="I223" s="34" t="str"/>
      <x:c r="J223" s="34" t="str"/>
      <x:c r="K223" s="34" t="str"/>
      <x:c r="L223" s="34" t="str"/>
      <x:c r="M223" s="34" t="str">
        <x:f>IF(D223="","",IF(OR(D223="RG01",D223="RG02",D223="RG03",D223="RG06",D223="RG07",D223="RG08"),"核心","结构"))</x:f>
      </x:c>
      <x:c r="N223" s="34" t="str"/>
      <x:c r="O223" s="34" t="str"/>
    </x:row>
    <x:row r="224">
      <x:c r="A224" s="34" t="str">
        <x:v>M5-RG-0219</x:v>
      </x:c>
      <x:c r="B224" s="34" t="str"/>
      <x:c r="C224" s="34" t="str"/>
      <x:c r="D224" s="34" t="str"/>
      <x:c r="E224" s="34" t="str">
        <x:f>IF(D224="","",IF(D224="RG01","安全、同意与尊重",IF(D224="RG02","关系意图与承诺",IF(D224="RG03","价值观与人生目标",IF(D224="RG04","时间、地域与生活节奏",IF(D224="RG05","金钱、资源与劳动分配",IF(D224="RG06","家庭、婚育与照护责任",IF(D224="RG07","身体、亲密、隐私与健康",IF(D224="RG08","冲突、修复与学习意愿","")))))))))</x:f>
      </x:c>
      <x:c r="F224" s="34" t="str"/>
      <x:c r="G224" s="34" t="str"/>
      <x:c r="H224" s="34" t="str"/>
      <x:c r="I224" s="34" t="str"/>
      <x:c r="J224" s="34" t="str"/>
      <x:c r="K224" s="34" t="str"/>
      <x:c r="L224" s="34" t="str"/>
      <x:c r="M224" s="34" t="str">
        <x:f>IF(D224="","",IF(OR(D224="RG01",D224="RG02",D224="RG03",D224="RG06",D224="RG07",D224="RG08"),"核心","结构"))</x:f>
      </x:c>
      <x:c r="N224" s="34" t="str"/>
      <x:c r="O224" s="34" t="str"/>
    </x:row>
    <x:row r="225">
      <x:c r="A225" s="34" t="str">
        <x:v>M5-RG-0220</x:v>
      </x:c>
      <x:c r="B225" s="34" t="str"/>
      <x:c r="C225" s="34" t="str"/>
      <x:c r="D225" s="34" t="str"/>
      <x:c r="E225" s="34" t="str">
        <x:f>IF(D225="","",IF(D225="RG01","安全、同意与尊重",IF(D225="RG02","关系意图与承诺",IF(D225="RG03","价值观与人生目标",IF(D225="RG04","时间、地域与生活节奏",IF(D225="RG05","金钱、资源与劳动分配",IF(D225="RG06","家庭、婚育与照护责任",IF(D225="RG07","身体、亲密、隐私与健康",IF(D225="RG08","冲突、修复与学习意愿","")))))))))</x:f>
      </x:c>
      <x:c r="F225" s="34" t="str"/>
      <x:c r="G225" s="34" t="str"/>
      <x:c r="H225" s="34" t="str"/>
      <x:c r="I225" s="34" t="str"/>
      <x:c r="J225" s="34" t="str"/>
      <x:c r="K225" s="34" t="str"/>
      <x:c r="L225" s="34" t="str"/>
      <x:c r="M225" s="34" t="str">
        <x:f>IF(D225="","",IF(OR(D225="RG01",D225="RG02",D225="RG03",D225="RG06",D225="RG07",D225="RG08"),"核心","结构"))</x:f>
      </x:c>
      <x:c r="N225" s="34" t="str"/>
      <x:c r="O225" s="34" t="str"/>
    </x:row>
    <x:row r="226">
      <x:c r="A226" s="34" t="str">
        <x:v>M5-RG-0221</x:v>
      </x:c>
      <x:c r="B226" s="34" t="str"/>
      <x:c r="C226" s="34" t="str"/>
      <x:c r="D226" s="34" t="str"/>
      <x:c r="E226" s="34" t="str">
        <x:f>IF(D226="","",IF(D226="RG01","安全、同意与尊重",IF(D226="RG02","关系意图与承诺",IF(D226="RG03","价值观与人生目标",IF(D226="RG04","时间、地域与生活节奏",IF(D226="RG05","金钱、资源与劳动分配",IF(D226="RG06","家庭、婚育与照护责任",IF(D226="RG07","身体、亲密、隐私与健康",IF(D226="RG08","冲突、修复与学习意愿","")))))))))</x:f>
      </x:c>
      <x:c r="F226" s="34" t="str"/>
      <x:c r="G226" s="34" t="str"/>
      <x:c r="H226" s="34" t="str"/>
      <x:c r="I226" s="34" t="str"/>
      <x:c r="J226" s="34" t="str"/>
      <x:c r="K226" s="34" t="str"/>
      <x:c r="L226" s="34" t="str"/>
      <x:c r="M226" s="34" t="str">
        <x:f>IF(D226="","",IF(OR(D226="RG01",D226="RG02",D226="RG03",D226="RG06",D226="RG07",D226="RG08"),"核心","结构"))</x:f>
      </x:c>
      <x:c r="N226" s="34" t="str"/>
      <x:c r="O226" s="34" t="str"/>
    </x:row>
    <x:row r="227">
      <x:c r="A227" s="34" t="str">
        <x:v>M5-RG-0222</x:v>
      </x:c>
      <x:c r="B227" s="34" t="str"/>
      <x:c r="C227" s="34" t="str"/>
      <x:c r="D227" s="34" t="str"/>
      <x:c r="E227" s="34" t="str">
        <x:f>IF(D227="","",IF(D227="RG01","安全、同意与尊重",IF(D227="RG02","关系意图与承诺",IF(D227="RG03","价值观与人生目标",IF(D227="RG04","时间、地域与生活节奏",IF(D227="RG05","金钱、资源与劳动分配",IF(D227="RG06","家庭、婚育与照护责任",IF(D227="RG07","身体、亲密、隐私与健康",IF(D227="RG08","冲突、修复与学习意愿","")))))))))</x:f>
      </x:c>
      <x:c r="F227" s="34" t="str"/>
      <x:c r="G227" s="34" t="str"/>
      <x:c r="H227" s="34" t="str"/>
      <x:c r="I227" s="34" t="str"/>
      <x:c r="J227" s="34" t="str"/>
      <x:c r="K227" s="34" t="str"/>
      <x:c r="L227" s="34" t="str"/>
      <x:c r="M227" s="34" t="str">
        <x:f>IF(D227="","",IF(OR(D227="RG01",D227="RG02",D227="RG03",D227="RG06",D227="RG07",D227="RG08"),"核心","结构"))</x:f>
      </x:c>
      <x:c r="N227" s="34" t="str"/>
      <x:c r="O227" s="34" t="str"/>
    </x:row>
    <x:row r="228">
      <x:c r="A228" s="34" t="str">
        <x:v>M5-RG-0223</x:v>
      </x:c>
      <x:c r="B228" s="34" t="str"/>
      <x:c r="C228" s="34" t="str"/>
      <x:c r="D228" s="34" t="str"/>
      <x:c r="E228" s="34" t="str">
        <x:f>IF(D228="","",IF(D228="RG01","安全、同意与尊重",IF(D228="RG02","关系意图与承诺",IF(D228="RG03","价值观与人生目标",IF(D228="RG04","时间、地域与生活节奏",IF(D228="RG05","金钱、资源与劳动分配",IF(D228="RG06","家庭、婚育与照护责任",IF(D228="RG07","身体、亲密、隐私与健康",IF(D228="RG08","冲突、修复与学习意愿","")))))))))</x:f>
      </x:c>
      <x:c r="F228" s="34" t="str"/>
      <x:c r="G228" s="34" t="str"/>
      <x:c r="H228" s="34" t="str"/>
      <x:c r="I228" s="34" t="str"/>
      <x:c r="J228" s="34" t="str"/>
      <x:c r="K228" s="34" t="str"/>
      <x:c r="L228" s="34" t="str"/>
      <x:c r="M228" s="34" t="str">
        <x:f>IF(D228="","",IF(OR(D228="RG01",D228="RG02",D228="RG03",D228="RG06",D228="RG07",D228="RG08"),"核心","结构"))</x:f>
      </x:c>
      <x:c r="N228" s="34" t="str"/>
      <x:c r="O228" s="34" t="str"/>
    </x:row>
    <x:row r="229">
      <x:c r="A229" s="34" t="str">
        <x:v>M5-RG-0224</x:v>
      </x:c>
      <x:c r="B229" s="34" t="str"/>
      <x:c r="C229" s="34" t="str"/>
      <x:c r="D229" s="34" t="str"/>
      <x:c r="E229" s="34" t="str">
        <x:f>IF(D229="","",IF(D229="RG01","安全、同意与尊重",IF(D229="RG02","关系意图与承诺",IF(D229="RG03","价值观与人生目标",IF(D229="RG04","时间、地域与生活节奏",IF(D229="RG05","金钱、资源与劳动分配",IF(D229="RG06","家庭、婚育与照护责任",IF(D229="RG07","身体、亲密、隐私与健康",IF(D229="RG08","冲突、修复与学习意愿","")))))))))</x:f>
      </x:c>
      <x:c r="F229" s="34" t="str"/>
      <x:c r="G229" s="34" t="str"/>
      <x:c r="H229" s="34" t="str"/>
      <x:c r="I229" s="34" t="str"/>
      <x:c r="J229" s="34" t="str"/>
      <x:c r="K229" s="34" t="str"/>
      <x:c r="L229" s="34" t="str"/>
      <x:c r="M229" s="34" t="str">
        <x:f>IF(D229="","",IF(OR(D229="RG01",D229="RG02",D229="RG03",D229="RG06",D229="RG07",D229="RG08"),"核心","结构"))</x:f>
      </x:c>
      <x:c r="N229" s="34" t="str"/>
      <x:c r="O229" s="34" t="str"/>
    </x:row>
    <x:row r="230">
      <x:c r="A230" s="34" t="str">
        <x:v>M5-RG-0225</x:v>
      </x:c>
      <x:c r="B230" s="34" t="str"/>
      <x:c r="C230" s="34" t="str"/>
      <x:c r="D230" s="34" t="str"/>
      <x:c r="E230" s="34" t="str">
        <x:f>IF(D230="","",IF(D230="RG01","安全、同意与尊重",IF(D230="RG02","关系意图与承诺",IF(D230="RG03","价值观与人生目标",IF(D230="RG04","时间、地域与生活节奏",IF(D230="RG05","金钱、资源与劳动分配",IF(D230="RG06","家庭、婚育与照护责任",IF(D230="RG07","身体、亲密、隐私与健康",IF(D230="RG08","冲突、修复与学习意愿","")))))))))</x:f>
      </x:c>
      <x:c r="F230" s="34" t="str"/>
      <x:c r="G230" s="34" t="str"/>
      <x:c r="H230" s="34" t="str"/>
      <x:c r="I230" s="34" t="str"/>
      <x:c r="J230" s="34" t="str"/>
      <x:c r="K230" s="34" t="str"/>
      <x:c r="L230" s="34" t="str"/>
      <x:c r="M230" s="34" t="str">
        <x:f>IF(D230="","",IF(OR(D230="RG01",D230="RG02",D230="RG03",D230="RG06",D230="RG07",D230="RG08"),"核心","结构"))</x:f>
      </x:c>
      <x:c r="N230" s="34" t="str"/>
      <x:c r="O230" s="34" t="str"/>
    </x:row>
    <x:row r="231">
      <x:c r="A231" s="34" t="str">
        <x:v>M5-RG-0226</x:v>
      </x:c>
      <x:c r="B231" s="34" t="str"/>
      <x:c r="C231" s="34" t="str"/>
      <x:c r="D231" s="34" t="str"/>
      <x:c r="E231" s="34" t="str">
        <x:f>IF(D231="","",IF(D231="RG01","安全、同意与尊重",IF(D231="RG02","关系意图与承诺",IF(D231="RG03","价值观与人生目标",IF(D231="RG04","时间、地域与生活节奏",IF(D231="RG05","金钱、资源与劳动分配",IF(D231="RG06","家庭、婚育与照护责任",IF(D231="RG07","身体、亲密、隐私与健康",IF(D231="RG08","冲突、修复与学习意愿","")))))))))</x:f>
      </x:c>
      <x:c r="F231" s="34" t="str"/>
      <x:c r="G231" s="34" t="str"/>
      <x:c r="H231" s="34" t="str"/>
      <x:c r="I231" s="34" t="str"/>
      <x:c r="J231" s="34" t="str"/>
      <x:c r="K231" s="34" t="str"/>
      <x:c r="L231" s="34" t="str"/>
      <x:c r="M231" s="34" t="str">
        <x:f>IF(D231="","",IF(OR(D231="RG01",D231="RG02",D231="RG03",D231="RG06",D231="RG07",D231="RG08"),"核心","结构"))</x:f>
      </x:c>
      <x:c r="N231" s="34" t="str"/>
      <x:c r="O231" s="34" t="str"/>
    </x:row>
    <x:row r="232">
      <x:c r="A232" s="34" t="str">
        <x:v>M5-RG-0227</x:v>
      </x:c>
      <x:c r="B232" s="34" t="str"/>
      <x:c r="C232" s="34" t="str"/>
      <x:c r="D232" s="34" t="str"/>
      <x:c r="E232" s="34" t="str">
        <x:f>IF(D232="","",IF(D232="RG01","安全、同意与尊重",IF(D232="RG02","关系意图与承诺",IF(D232="RG03","价值观与人生目标",IF(D232="RG04","时间、地域与生活节奏",IF(D232="RG05","金钱、资源与劳动分配",IF(D232="RG06","家庭、婚育与照护责任",IF(D232="RG07","身体、亲密、隐私与健康",IF(D232="RG08","冲突、修复与学习意愿","")))))))))</x:f>
      </x:c>
      <x:c r="F232" s="34" t="str"/>
      <x:c r="G232" s="34" t="str"/>
      <x:c r="H232" s="34" t="str"/>
      <x:c r="I232" s="34" t="str"/>
      <x:c r="J232" s="34" t="str"/>
      <x:c r="K232" s="34" t="str"/>
      <x:c r="L232" s="34" t="str"/>
      <x:c r="M232" s="34" t="str">
        <x:f>IF(D232="","",IF(OR(D232="RG01",D232="RG02",D232="RG03",D232="RG06",D232="RG07",D232="RG08"),"核心","结构"))</x:f>
      </x:c>
      <x:c r="N232" s="34" t="str"/>
      <x:c r="O232" s="34" t="str"/>
    </x:row>
    <x:row r="233">
      <x:c r="A233" s="34" t="str">
        <x:v>M5-RG-0228</x:v>
      </x:c>
      <x:c r="B233" s="34" t="str"/>
      <x:c r="C233" s="34" t="str"/>
      <x:c r="D233" s="34" t="str"/>
      <x:c r="E233" s="34" t="str">
        <x:f>IF(D233="","",IF(D233="RG01","安全、同意与尊重",IF(D233="RG02","关系意图与承诺",IF(D233="RG03","价值观与人生目标",IF(D233="RG04","时间、地域与生活节奏",IF(D233="RG05","金钱、资源与劳动分配",IF(D233="RG06","家庭、婚育与照护责任",IF(D233="RG07","身体、亲密、隐私与健康",IF(D233="RG08","冲突、修复与学习意愿","")))))))))</x:f>
      </x:c>
      <x:c r="F233" s="34" t="str"/>
      <x:c r="G233" s="34" t="str"/>
      <x:c r="H233" s="34" t="str"/>
      <x:c r="I233" s="34" t="str"/>
      <x:c r="J233" s="34" t="str"/>
      <x:c r="K233" s="34" t="str"/>
      <x:c r="L233" s="34" t="str"/>
      <x:c r="M233" s="34" t="str">
        <x:f>IF(D233="","",IF(OR(D233="RG01",D233="RG02",D233="RG03",D233="RG06",D233="RG07",D233="RG08"),"核心","结构"))</x:f>
      </x:c>
      <x:c r="N233" s="34" t="str"/>
      <x:c r="O233" s="34" t="str"/>
    </x:row>
    <x:row r="234">
      <x:c r="A234" s="34" t="str">
        <x:v>M5-RG-0229</x:v>
      </x:c>
      <x:c r="B234" s="34" t="str"/>
      <x:c r="C234" s="34" t="str"/>
      <x:c r="D234" s="34" t="str"/>
      <x:c r="E234" s="34" t="str">
        <x:f>IF(D234="","",IF(D234="RG01","安全、同意与尊重",IF(D234="RG02","关系意图与承诺",IF(D234="RG03","价值观与人生目标",IF(D234="RG04","时间、地域与生活节奏",IF(D234="RG05","金钱、资源与劳动分配",IF(D234="RG06","家庭、婚育与照护责任",IF(D234="RG07","身体、亲密、隐私与健康",IF(D234="RG08","冲突、修复与学习意愿","")))))))))</x:f>
      </x:c>
      <x:c r="F234" s="34" t="str"/>
      <x:c r="G234" s="34" t="str"/>
      <x:c r="H234" s="34" t="str"/>
      <x:c r="I234" s="34" t="str"/>
      <x:c r="J234" s="34" t="str"/>
      <x:c r="K234" s="34" t="str"/>
      <x:c r="L234" s="34" t="str"/>
      <x:c r="M234" s="34" t="str">
        <x:f>IF(D234="","",IF(OR(D234="RG01",D234="RG02",D234="RG03",D234="RG06",D234="RG07",D234="RG08"),"核心","结构"))</x:f>
      </x:c>
      <x:c r="N234" s="34" t="str"/>
      <x:c r="O234" s="34" t="str"/>
    </x:row>
    <x:row r="235">
      <x:c r="A235" s="34" t="str">
        <x:v>M5-RG-0230</x:v>
      </x:c>
      <x:c r="B235" s="34" t="str"/>
      <x:c r="C235" s="34" t="str"/>
      <x:c r="D235" s="34" t="str"/>
      <x:c r="E235" s="34" t="str">
        <x:f>IF(D235="","",IF(D235="RG01","安全、同意与尊重",IF(D235="RG02","关系意图与承诺",IF(D235="RG03","价值观与人生目标",IF(D235="RG04","时间、地域与生活节奏",IF(D235="RG05","金钱、资源与劳动分配",IF(D235="RG06","家庭、婚育与照护责任",IF(D235="RG07","身体、亲密、隐私与健康",IF(D235="RG08","冲突、修复与学习意愿","")))))))))</x:f>
      </x:c>
      <x:c r="F235" s="34" t="str"/>
      <x:c r="G235" s="34" t="str"/>
      <x:c r="H235" s="34" t="str"/>
      <x:c r="I235" s="34" t="str"/>
      <x:c r="J235" s="34" t="str"/>
      <x:c r="K235" s="34" t="str"/>
      <x:c r="L235" s="34" t="str"/>
      <x:c r="M235" s="34" t="str">
        <x:f>IF(D235="","",IF(OR(D235="RG01",D235="RG02",D235="RG03",D235="RG06",D235="RG07",D235="RG08"),"核心","结构"))</x:f>
      </x:c>
      <x:c r="N235" s="34" t="str"/>
      <x:c r="O235" s="34" t="str"/>
    </x:row>
    <x:row r="236">
      <x:c r="A236" s="34" t="str">
        <x:v>M5-RG-0231</x:v>
      </x:c>
      <x:c r="B236" s="34" t="str"/>
      <x:c r="C236" s="34" t="str"/>
      <x:c r="D236" s="34" t="str"/>
      <x:c r="E236" s="34" t="str">
        <x:f>IF(D236="","",IF(D236="RG01","安全、同意与尊重",IF(D236="RG02","关系意图与承诺",IF(D236="RG03","价值观与人生目标",IF(D236="RG04","时间、地域与生活节奏",IF(D236="RG05","金钱、资源与劳动分配",IF(D236="RG06","家庭、婚育与照护责任",IF(D236="RG07","身体、亲密、隐私与健康",IF(D236="RG08","冲突、修复与学习意愿","")))))))))</x:f>
      </x:c>
      <x:c r="F236" s="34" t="str"/>
      <x:c r="G236" s="34" t="str"/>
      <x:c r="H236" s="34" t="str"/>
      <x:c r="I236" s="34" t="str"/>
      <x:c r="J236" s="34" t="str"/>
      <x:c r="K236" s="34" t="str"/>
      <x:c r="L236" s="34" t="str"/>
      <x:c r="M236" s="34" t="str">
        <x:f>IF(D236="","",IF(OR(D236="RG01",D236="RG02",D236="RG03",D236="RG06",D236="RG07",D236="RG08"),"核心","结构"))</x:f>
      </x:c>
      <x:c r="N236" s="34" t="str"/>
      <x:c r="O236" s="34" t="str"/>
    </x:row>
    <x:row r="237">
      <x:c r="A237" s="34" t="str">
        <x:v>M5-RG-0232</x:v>
      </x:c>
      <x:c r="B237" s="34" t="str"/>
      <x:c r="C237" s="34" t="str"/>
      <x:c r="D237" s="34" t="str"/>
      <x:c r="E237" s="34" t="str">
        <x:f>IF(D237="","",IF(D237="RG01","安全、同意与尊重",IF(D237="RG02","关系意图与承诺",IF(D237="RG03","价值观与人生目标",IF(D237="RG04","时间、地域与生活节奏",IF(D237="RG05","金钱、资源与劳动分配",IF(D237="RG06","家庭、婚育与照护责任",IF(D237="RG07","身体、亲密、隐私与健康",IF(D237="RG08","冲突、修复与学习意愿","")))))))))</x:f>
      </x:c>
      <x:c r="F237" s="34" t="str"/>
      <x:c r="G237" s="34" t="str"/>
      <x:c r="H237" s="34" t="str"/>
      <x:c r="I237" s="34" t="str"/>
      <x:c r="J237" s="34" t="str"/>
      <x:c r="K237" s="34" t="str"/>
      <x:c r="L237" s="34" t="str"/>
      <x:c r="M237" s="34" t="str">
        <x:f>IF(D237="","",IF(OR(D237="RG01",D237="RG02",D237="RG03",D237="RG06",D237="RG07",D237="RG08"),"核心","结构"))</x:f>
      </x:c>
      <x:c r="N237" s="34" t="str"/>
      <x:c r="O237" s="34" t="str"/>
    </x:row>
    <x:row r="238">
      <x:c r="A238" s="34" t="str">
        <x:v>M5-RG-0233</x:v>
      </x:c>
      <x:c r="B238" s="34" t="str"/>
      <x:c r="C238" s="34" t="str"/>
      <x:c r="D238" s="34" t="str"/>
      <x:c r="E238" s="34" t="str">
        <x:f>IF(D238="","",IF(D238="RG01","安全、同意与尊重",IF(D238="RG02","关系意图与承诺",IF(D238="RG03","价值观与人生目标",IF(D238="RG04","时间、地域与生活节奏",IF(D238="RG05","金钱、资源与劳动分配",IF(D238="RG06","家庭、婚育与照护责任",IF(D238="RG07","身体、亲密、隐私与健康",IF(D238="RG08","冲突、修复与学习意愿","")))))))))</x:f>
      </x:c>
      <x:c r="F238" s="34" t="str"/>
      <x:c r="G238" s="34" t="str"/>
      <x:c r="H238" s="34" t="str"/>
      <x:c r="I238" s="34" t="str"/>
      <x:c r="J238" s="34" t="str"/>
      <x:c r="K238" s="34" t="str"/>
      <x:c r="L238" s="34" t="str"/>
      <x:c r="M238" s="34" t="str">
        <x:f>IF(D238="","",IF(OR(D238="RG01",D238="RG02",D238="RG03",D238="RG06",D238="RG07",D238="RG08"),"核心","结构"))</x:f>
      </x:c>
      <x:c r="N238" s="34" t="str"/>
      <x:c r="O238" s="34" t="str"/>
    </x:row>
    <x:row r="239">
      <x:c r="A239" s="34" t="str">
        <x:v>M5-RG-0234</x:v>
      </x:c>
      <x:c r="B239" s="34" t="str"/>
      <x:c r="C239" s="34" t="str"/>
      <x:c r="D239" s="34" t="str"/>
      <x:c r="E239" s="34" t="str">
        <x:f>IF(D239="","",IF(D239="RG01","安全、同意与尊重",IF(D239="RG02","关系意图与承诺",IF(D239="RG03","价值观与人生目标",IF(D239="RG04","时间、地域与生活节奏",IF(D239="RG05","金钱、资源与劳动分配",IF(D239="RG06","家庭、婚育与照护责任",IF(D239="RG07","身体、亲密、隐私与健康",IF(D239="RG08","冲突、修复与学习意愿","")))))))))</x:f>
      </x:c>
      <x:c r="F239" s="34" t="str"/>
      <x:c r="G239" s="34" t="str"/>
      <x:c r="H239" s="34" t="str"/>
      <x:c r="I239" s="34" t="str"/>
      <x:c r="J239" s="34" t="str"/>
      <x:c r="K239" s="34" t="str"/>
      <x:c r="L239" s="34" t="str"/>
      <x:c r="M239" s="34" t="str">
        <x:f>IF(D239="","",IF(OR(D239="RG01",D239="RG02",D239="RG03",D239="RG06",D239="RG07",D239="RG08"),"核心","结构"))</x:f>
      </x:c>
      <x:c r="N239" s="34" t="str"/>
      <x:c r="O239" s="34" t="str"/>
    </x:row>
    <x:row r="240">
      <x:c r="A240" s="34" t="str">
        <x:v>M5-RG-0235</x:v>
      </x:c>
      <x:c r="B240" s="34" t="str"/>
      <x:c r="C240" s="34" t="str"/>
      <x:c r="D240" s="34" t="str"/>
      <x:c r="E240" s="34" t="str">
        <x:f>IF(D240="","",IF(D240="RG01","安全、同意与尊重",IF(D240="RG02","关系意图与承诺",IF(D240="RG03","价值观与人生目标",IF(D240="RG04","时间、地域与生活节奏",IF(D240="RG05","金钱、资源与劳动分配",IF(D240="RG06","家庭、婚育与照护责任",IF(D240="RG07","身体、亲密、隐私与健康",IF(D240="RG08","冲突、修复与学习意愿","")))))))))</x:f>
      </x:c>
      <x:c r="F240" s="34" t="str"/>
      <x:c r="G240" s="34" t="str"/>
      <x:c r="H240" s="34" t="str"/>
      <x:c r="I240" s="34" t="str"/>
      <x:c r="J240" s="34" t="str"/>
      <x:c r="K240" s="34" t="str"/>
      <x:c r="L240" s="34" t="str"/>
      <x:c r="M240" s="34" t="str">
        <x:f>IF(D240="","",IF(OR(D240="RG01",D240="RG02",D240="RG03",D240="RG06",D240="RG07",D240="RG08"),"核心","结构"))</x:f>
      </x:c>
      <x:c r="N240" s="34" t="str"/>
      <x:c r="O240" s="34" t="str"/>
    </x:row>
    <x:row r="241">
      <x:c r="A241" s="34" t="str">
        <x:v>M5-RG-0236</x:v>
      </x:c>
      <x:c r="B241" s="34" t="str"/>
      <x:c r="C241" s="34" t="str"/>
      <x:c r="D241" s="34" t="str"/>
      <x:c r="E241" s="34" t="str">
        <x:f>IF(D241="","",IF(D241="RG01","安全、同意与尊重",IF(D241="RG02","关系意图与承诺",IF(D241="RG03","价值观与人生目标",IF(D241="RG04","时间、地域与生活节奏",IF(D241="RG05","金钱、资源与劳动分配",IF(D241="RG06","家庭、婚育与照护责任",IF(D241="RG07","身体、亲密、隐私与健康",IF(D241="RG08","冲突、修复与学习意愿","")))))))))</x:f>
      </x:c>
      <x:c r="F241" s="34" t="str"/>
      <x:c r="G241" s="34" t="str"/>
      <x:c r="H241" s="34" t="str"/>
      <x:c r="I241" s="34" t="str"/>
      <x:c r="J241" s="34" t="str"/>
      <x:c r="K241" s="34" t="str"/>
      <x:c r="L241" s="34" t="str"/>
      <x:c r="M241" s="34" t="str">
        <x:f>IF(D241="","",IF(OR(D241="RG01",D241="RG02",D241="RG03",D241="RG06",D241="RG07",D241="RG08"),"核心","结构"))</x:f>
      </x:c>
      <x:c r="N241" s="34" t="str"/>
      <x:c r="O241" s="34" t="str"/>
    </x:row>
    <x:row r="242">
      <x:c r="A242" s="34" t="str">
        <x:v>M5-RG-0237</x:v>
      </x:c>
      <x:c r="B242" s="34" t="str"/>
      <x:c r="C242" s="34" t="str"/>
      <x:c r="D242" s="34" t="str"/>
      <x:c r="E242" s="34" t="str">
        <x:f>IF(D242="","",IF(D242="RG01","安全、同意与尊重",IF(D242="RG02","关系意图与承诺",IF(D242="RG03","价值观与人生目标",IF(D242="RG04","时间、地域与生活节奏",IF(D242="RG05","金钱、资源与劳动分配",IF(D242="RG06","家庭、婚育与照护责任",IF(D242="RG07","身体、亲密、隐私与健康",IF(D242="RG08","冲突、修复与学习意愿","")))))))))</x:f>
      </x:c>
      <x:c r="F242" s="34" t="str"/>
      <x:c r="G242" s="34" t="str"/>
      <x:c r="H242" s="34" t="str"/>
      <x:c r="I242" s="34" t="str"/>
      <x:c r="J242" s="34" t="str"/>
      <x:c r="K242" s="34" t="str"/>
      <x:c r="L242" s="34" t="str"/>
      <x:c r="M242" s="34" t="str">
        <x:f>IF(D242="","",IF(OR(D242="RG01",D242="RG02",D242="RG03",D242="RG06",D242="RG07",D242="RG08"),"核心","结构"))</x:f>
      </x:c>
      <x:c r="N242" s="34" t="str"/>
      <x:c r="O242" s="34" t="str"/>
    </x:row>
    <x:row r="243">
      <x:c r="A243" s="34" t="str">
        <x:v>M5-RG-0238</x:v>
      </x:c>
      <x:c r="B243" s="34" t="str"/>
      <x:c r="C243" s="34" t="str"/>
      <x:c r="D243" s="34" t="str"/>
      <x:c r="E243" s="34" t="str">
        <x:f>IF(D243="","",IF(D243="RG01","安全、同意与尊重",IF(D243="RG02","关系意图与承诺",IF(D243="RG03","价值观与人生目标",IF(D243="RG04","时间、地域与生活节奏",IF(D243="RG05","金钱、资源与劳动分配",IF(D243="RG06","家庭、婚育与照护责任",IF(D243="RG07","身体、亲密、隐私与健康",IF(D243="RG08","冲突、修复与学习意愿","")))))))))</x:f>
      </x:c>
      <x:c r="F243" s="34" t="str"/>
      <x:c r="G243" s="34" t="str"/>
      <x:c r="H243" s="34" t="str"/>
      <x:c r="I243" s="34" t="str"/>
      <x:c r="J243" s="34" t="str"/>
      <x:c r="K243" s="34" t="str"/>
      <x:c r="L243" s="34" t="str"/>
      <x:c r="M243" s="34" t="str">
        <x:f>IF(D243="","",IF(OR(D243="RG01",D243="RG02",D243="RG03",D243="RG06",D243="RG07",D243="RG08"),"核心","结构"))</x:f>
      </x:c>
      <x:c r="N243" s="34" t="str"/>
      <x:c r="O243" s="34" t="str"/>
    </x:row>
    <x:row r="244">
      <x:c r="A244" s="34" t="str">
        <x:v>M5-RG-0239</x:v>
      </x:c>
      <x:c r="B244" s="34" t="str"/>
      <x:c r="C244" s="34" t="str"/>
      <x:c r="D244" s="34" t="str"/>
      <x:c r="E244" s="34" t="str">
        <x:f>IF(D244="","",IF(D244="RG01","安全、同意与尊重",IF(D244="RG02","关系意图与承诺",IF(D244="RG03","价值观与人生目标",IF(D244="RG04","时间、地域与生活节奏",IF(D244="RG05","金钱、资源与劳动分配",IF(D244="RG06","家庭、婚育与照护责任",IF(D244="RG07","身体、亲密、隐私与健康",IF(D244="RG08","冲突、修复与学习意愿","")))))))))</x:f>
      </x:c>
      <x:c r="F244" s="34" t="str"/>
      <x:c r="G244" s="34" t="str"/>
      <x:c r="H244" s="34" t="str"/>
      <x:c r="I244" s="34" t="str"/>
      <x:c r="J244" s="34" t="str"/>
      <x:c r="K244" s="34" t="str"/>
      <x:c r="L244" s="34" t="str"/>
      <x:c r="M244" s="34" t="str">
        <x:f>IF(D244="","",IF(OR(D244="RG01",D244="RG02",D244="RG03",D244="RG06",D244="RG07",D244="RG08"),"核心","结构"))</x:f>
      </x:c>
      <x:c r="N244" s="34" t="str"/>
      <x:c r="O244" s="34" t="str"/>
    </x:row>
    <x:row r="245">
      <x:c r="A245" s="34" t="str">
        <x:v>M5-RG-0240</x:v>
      </x:c>
      <x:c r="B245" s="34" t="str"/>
      <x:c r="C245" s="34" t="str"/>
      <x:c r="D245" s="34" t="str"/>
      <x:c r="E245" s="34" t="str">
        <x:f>IF(D245="","",IF(D245="RG01","安全、同意与尊重",IF(D245="RG02","关系意图与承诺",IF(D245="RG03","价值观与人生目标",IF(D245="RG04","时间、地域与生活节奏",IF(D245="RG05","金钱、资源与劳动分配",IF(D245="RG06","家庭、婚育与照护责任",IF(D245="RG07","身体、亲密、隐私与健康",IF(D245="RG08","冲突、修复与学习意愿","")))))))))</x:f>
      </x:c>
      <x:c r="F245" s="34" t="str"/>
      <x:c r="G245" s="34" t="str"/>
      <x:c r="H245" s="34" t="str"/>
      <x:c r="I245" s="34" t="str"/>
      <x:c r="J245" s="34" t="str"/>
      <x:c r="K245" s="34" t="str"/>
      <x:c r="L245" s="34" t="str"/>
      <x:c r="M245" s="34" t="str">
        <x:f>IF(D245="","",IF(OR(D245="RG01",D245="RG02",D245="RG03",D245="RG06",D245="RG07",D245="RG08"),"核心","结构"))</x:f>
      </x:c>
      <x:c r="N245" s="34" t="str"/>
      <x:c r="O245" s="34" t="str"/>
    </x:row>
    <x:row r="246">
      <x:c r="A246" s="34" t="str">
        <x:v>M5-RG-0241</x:v>
      </x:c>
      <x:c r="B246" s="34" t="str"/>
      <x:c r="C246" s="34" t="str"/>
      <x:c r="D246" s="34" t="str"/>
      <x:c r="E246" s="34" t="str">
        <x:f>IF(D246="","",IF(D246="RG01","安全、同意与尊重",IF(D246="RG02","关系意图与承诺",IF(D246="RG03","价值观与人生目标",IF(D246="RG04","时间、地域与生活节奏",IF(D246="RG05","金钱、资源与劳动分配",IF(D246="RG06","家庭、婚育与照护责任",IF(D246="RG07","身体、亲密、隐私与健康",IF(D246="RG08","冲突、修复与学习意愿","")))))))))</x:f>
      </x:c>
      <x:c r="F246" s="34" t="str"/>
      <x:c r="G246" s="34" t="str"/>
      <x:c r="H246" s="34" t="str"/>
      <x:c r="I246" s="34" t="str"/>
      <x:c r="J246" s="34" t="str"/>
      <x:c r="K246" s="34" t="str"/>
      <x:c r="L246" s="34" t="str"/>
      <x:c r="M246" s="34" t="str">
        <x:f>IF(D246="","",IF(OR(D246="RG01",D246="RG02",D246="RG03",D246="RG06",D246="RG07",D246="RG08"),"核心","结构"))</x:f>
      </x:c>
      <x:c r="N246" s="34" t="str"/>
      <x:c r="O246" s="34" t="str"/>
    </x:row>
    <x:row r="247">
      <x:c r="A247" s="34" t="str">
        <x:v>M5-RG-0242</x:v>
      </x:c>
      <x:c r="B247" s="34" t="str"/>
      <x:c r="C247" s="34" t="str"/>
      <x:c r="D247" s="34" t="str"/>
      <x:c r="E247" s="34" t="str">
        <x:f>IF(D247="","",IF(D247="RG01","安全、同意与尊重",IF(D247="RG02","关系意图与承诺",IF(D247="RG03","价值观与人生目标",IF(D247="RG04","时间、地域与生活节奏",IF(D247="RG05","金钱、资源与劳动分配",IF(D247="RG06","家庭、婚育与照护责任",IF(D247="RG07","身体、亲密、隐私与健康",IF(D247="RG08","冲突、修复与学习意愿","")))))))))</x:f>
      </x:c>
      <x:c r="F247" s="34" t="str"/>
      <x:c r="G247" s="34" t="str"/>
      <x:c r="H247" s="34" t="str"/>
      <x:c r="I247" s="34" t="str"/>
      <x:c r="J247" s="34" t="str"/>
      <x:c r="K247" s="34" t="str"/>
      <x:c r="L247" s="34" t="str"/>
      <x:c r="M247" s="34" t="str">
        <x:f>IF(D247="","",IF(OR(D247="RG01",D247="RG02",D247="RG03",D247="RG06",D247="RG07",D247="RG08"),"核心","结构"))</x:f>
      </x:c>
      <x:c r="N247" s="34" t="str"/>
      <x:c r="O247" s="34" t="str"/>
    </x:row>
    <x:row r="248">
      <x:c r="A248" s="34" t="str">
        <x:v>M5-RG-0243</x:v>
      </x:c>
      <x:c r="B248" s="34" t="str"/>
      <x:c r="C248" s="34" t="str"/>
      <x:c r="D248" s="34" t="str"/>
      <x:c r="E248" s="34" t="str">
        <x:f>IF(D248="","",IF(D248="RG01","安全、同意与尊重",IF(D248="RG02","关系意图与承诺",IF(D248="RG03","价值观与人生目标",IF(D248="RG04","时间、地域与生活节奏",IF(D248="RG05","金钱、资源与劳动分配",IF(D248="RG06","家庭、婚育与照护责任",IF(D248="RG07","身体、亲密、隐私与健康",IF(D248="RG08","冲突、修复与学习意愿","")))))))))</x:f>
      </x:c>
      <x:c r="F248" s="34" t="str"/>
      <x:c r="G248" s="34" t="str"/>
      <x:c r="H248" s="34" t="str"/>
      <x:c r="I248" s="34" t="str"/>
      <x:c r="J248" s="34" t="str"/>
      <x:c r="K248" s="34" t="str"/>
      <x:c r="L248" s="34" t="str"/>
      <x:c r="M248" s="34" t="str">
        <x:f>IF(D248="","",IF(OR(D248="RG01",D248="RG02",D248="RG03",D248="RG06",D248="RG07",D248="RG08"),"核心","结构"))</x:f>
      </x:c>
      <x:c r="N248" s="34" t="str"/>
      <x:c r="O248" s="34" t="str"/>
    </x:row>
    <x:row r="249">
      <x:c r="A249" s="34" t="str">
        <x:v>M5-RG-0244</x:v>
      </x:c>
      <x:c r="B249" s="34" t="str"/>
      <x:c r="C249" s="34" t="str"/>
      <x:c r="D249" s="34" t="str"/>
      <x:c r="E249" s="34" t="str">
        <x:f>IF(D249="","",IF(D249="RG01","安全、同意与尊重",IF(D249="RG02","关系意图与承诺",IF(D249="RG03","价值观与人生目标",IF(D249="RG04","时间、地域与生活节奏",IF(D249="RG05","金钱、资源与劳动分配",IF(D249="RG06","家庭、婚育与照护责任",IF(D249="RG07","身体、亲密、隐私与健康",IF(D249="RG08","冲突、修复与学习意愿","")))))))))</x:f>
      </x:c>
      <x:c r="F249" s="34" t="str"/>
      <x:c r="G249" s="34" t="str"/>
      <x:c r="H249" s="34" t="str"/>
      <x:c r="I249" s="34" t="str"/>
      <x:c r="J249" s="34" t="str"/>
      <x:c r="K249" s="34" t="str"/>
      <x:c r="L249" s="34" t="str"/>
      <x:c r="M249" s="34" t="str">
        <x:f>IF(D249="","",IF(OR(D249="RG01",D249="RG02",D249="RG03",D249="RG06",D249="RG07",D249="RG08"),"核心","结构"))</x:f>
      </x:c>
      <x:c r="N249" s="34" t="str"/>
      <x:c r="O249" s="34" t="str"/>
    </x:row>
    <x:row r="250">
      <x:c r="A250" s="34" t="str">
        <x:v>M5-RG-0245</x:v>
      </x:c>
      <x:c r="B250" s="34" t="str"/>
      <x:c r="C250" s="34" t="str"/>
      <x:c r="D250" s="34" t="str"/>
      <x:c r="E250" s="34" t="str">
        <x:f>IF(D250="","",IF(D250="RG01","安全、同意与尊重",IF(D250="RG02","关系意图与承诺",IF(D250="RG03","价值观与人生目标",IF(D250="RG04","时间、地域与生活节奏",IF(D250="RG05","金钱、资源与劳动分配",IF(D250="RG06","家庭、婚育与照护责任",IF(D250="RG07","身体、亲密、隐私与健康",IF(D250="RG08","冲突、修复与学习意愿","")))))))))</x:f>
      </x:c>
      <x:c r="F250" s="34" t="str"/>
      <x:c r="G250" s="34" t="str"/>
      <x:c r="H250" s="34" t="str"/>
      <x:c r="I250" s="34" t="str"/>
      <x:c r="J250" s="34" t="str"/>
      <x:c r="K250" s="34" t="str"/>
      <x:c r="L250" s="34" t="str"/>
      <x:c r="M250" s="34" t="str">
        <x:f>IF(D250="","",IF(OR(D250="RG01",D250="RG02",D250="RG03",D250="RG06",D250="RG07",D250="RG08"),"核心","结构"))</x:f>
      </x:c>
      <x:c r="N250" s="34" t="str"/>
      <x:c r="O250" s="34" t="str"/>
    </x:row>
    <x:row r="251">
      <x:c r="A251" s="34" t="str">
        <x:v>M5-RG-0246</x:v>
      </x:c>
      <x:c r="B251" s="34" t="str"/>
      <x:c r="C251" s="34" t="str"/>
      <x:c r="D251" s="34" t="str"/>
      <x:c r="E251" s="34" t="str">
        <x:f>IF(D251="","",IF(D251="RG01","安全、同意与尊重",IF(D251="RG02","关系意图与承诺",IF(D251="RG03","价值观与人生目标",IF(D251="RG04","时间、地域与生活节奏",IF(D251="RG05","金钱、资源与劳动分配",IF(D251="RG06","家庭、婚育与照护责任",IF(D251="RG07","身体、亲密、隐私与健康",IF(D251="RG08","冲突、修复与学习意愿","")))))))))</x:f>
      </x:c>
      <x:c r="F251" s="34" t="str"/>
      <x:c r="G251" s="34" t="str"/>
      <x:c r="H251" s="34" t="str"/>
      <x:c r="I251" s="34" t="str"/>
      <x:c r="J251" s="34" t="str"/>
      <x:c r="K251" s="34" t="str"/>
      <x:c r="L251" s="34" t="str"/>
      <x:c r="M251" s="34" t="str">
        <x:f>IF(D251="","",IF(OR(D251="RG01",D251="RG02",D251="RG03",D251="RG06",D251="RG07",D251="RG08"),"核心","结构"))</x:f>
      </x:c>
      <x:c r="N251" s="34" t="str"/>
      <x:c r="O251" s="34" t="str"/>
    </x:row>
    <x:row r="252">
      <x:c r="A252" s="34" t="str">
        <x:v>M5-RG-0247</x:v>
      </x:c>
      <x:c r="B252" s="34" t="str"/>
      <x:c r="C252" s="34" t="str"/>
      <x:c r="D252" s="34" t="str"/>
      <x:c r="E252" s="34" t="str">
        <x:f>IF(D252="","",IF(D252="RG01","安全、同意与尊重",IF(D252="RG02","关系意图与承诺",IF(D252="RG03","价值观与人生目标",IF(D252="RG04","时间、地域与生活节奏",IF(D252="RG05","金钱、资源与劳动分配",IF(D252="RG06","家庭、婚育与照护责任",IF(D252="RG07","身体、亲密、隐私与健康",IF(D252="RG08","冲突、修复与学习意愿","")))))))))</x:f>
      </x:c>
      <x:c r="F252" s="34" t="str"/>
      <x:c r="G252" s="34" t="str"/>
      <x:c r="H252" s="34" t="str"/>
      <x:c r="I252" s="34" t="str"/>
      <x:c r="J252" s="34" t="str"/>
      <x:c r="K252" s="34" t="str"/>
      <x:c r="L252" s="34" t="str"/>
      <x:c r="M252" s="34" t="str">
        <x:f>IF(D252="","",IF(OR(D252="RG01",D252="RG02",D252="RG03",D252="RG06",D252="RG07",D252="RG08"),"核心","结构"))</x:f>
      </x:c>
      <x:c r="N252" s="34" t="str"/>
      <x:c r="O252" s="34" t="str"/>
    </x:row>
    <x:row r="253">
      <x:c r="A253" s="34" t="str">
        <x:v>M5-RG-0248</x:v>
      </x:c>
      <x:c r="B253" s="34" t="str"/>
      <x:c r="C253" s="34" t="str"/>
      <x:c r="D253" s="34" t="str"/>
      <x:c r="E253" s="34" t="str">
        <x:f>IF(D253="","",IF(D253="RG01","安全、同意与尊重",IF(D253="RG02","关系意图与承诺",IF(D253="RG03","价值观与人生目标",IF(D253="RG04","时间、地域与生活节奏",IF(D253="RG05","金钱、资源与劳动分配",IF(D253="RG06","家庭、婚育与照护责任",IF(D253="RG07","身体、亲密、隐私与健康",IF(D253="RG08","冲突、修复与学习意愿","")))))))))</x:f>
      </x:c>
      <x:c r="F253" s="34" t="str"/>
      <x:c r="G253" s="34" t="str"/>
      <x:c r="H253" s="34" t="str"/>
      <x:c r="I253" s="34" t="str"/>
      <x:c r="J253" s="34" t="str"/>
      <x:c r="K253" s="34" t="str"/>
      <x:c r="L253" s="34" t="str"/>
      <x:c r="M253" s="34" t="str">
        <x:f>IF(D253="","",IF(OR(D253="RG01",D253="RG02",D253="RG03",D253="RG06",D253="RG07",D253="RG08"),"核心","结构"))</x:f>
      </x:c>
      <x:c r="N253" s="34" t="str"/>
      <x:c r="O253" s="34" t="str"/>
    </x:row>
    <x:row r="254">
      <x:c r="A254" s="34" t="str">
        <x:v>M5-RG-0249</x:v>
      </x:c>
      <x:c r="B254" s="34" t="str"/>
      <x:c r="C254" s="34" t="str"/>
      <x:c r="D254" s="34" t="str"/>
      <x:c r="E254" s="34" t="str">
        <x:f>IF(D254="","",IF(D254="RG01","安全、同意与尊重",IF(D254="RG02","关系意图与承诺",IF(D254="RG03","价值观与人生目标",IF(D254="RG04","时间、地域与生活节奏",IF(D254="RG05","金钱、资源与劳动分配",IF(D254="RG06","家庭、婚育与照护责任",IF(D254="RG07","身体、亲密、隐私与健康",IF(D254="RG08","冲突、修复与学习意愿","")))))))))</x:f>
      </x:c>
      <x:c r="F254" s="34" t="str"/>
      <x:c r="G254" s="34" t="str"/>
      <x:c r="H254" s="34" t="str"/>
      <x:c r="I254" s="34" t="str"/>
      <x:c r="J254" s="34" t="str"/>
      <x:c r="K254" s="34" t="str"/>
      <x:c r="L254" s="34" t="str"/>
      <x:c r="M254" s="34" t="str">
        <x:f>IF(D254="","",IF(OR(D254="RG01",D254="RG02",D254="RG03",D254="RG06",D254="RG07",D254="RG08"),"核心","结构"))</x:f>
      </x:c>
      <x:c r="N254" s="34" t="str"/>
      <x:c r="O254" s="34" t="str"/>
    </x:row>
    <x:row r="255">
      <x:c r="A255" s="34" t="str">
        <x:v>M5-RG-0250</x:v>
      </x:c>
      <x:c r="B255" s="34" t="str"/>
      <x:c r="C255" s="34" t="str"/>
      <x:c r="D255" s="34" t="str"/>
      <x:c r="E255" s="34" t="str">
        <x:f>IF(D255="","",IF(D255="RG01","安全、同意与尊重",IF(D255="RG02","关系意图与承诺",IF(D255="RG03","价值观与人生目标",IF(D255="RG04","时间、地域与生活节奏",IF(D255="RG05","金钱、资源与劳动分配",IF(D255="RG06","家庭、婚育与照护责任",IF(D255="RG07","身体、亲密、隐私与健康",IF(D255="RG08","冲突、修复与学习意愿","")))))))))</x:f>
      </x:c>
      <x:c r="F255" s="34" t="str"/>
      <x:c r="G255" s="34" t="str"/>
      <x:c r="H255" s="34" t="str"/>
      <x:c r="I255" s="34" t="str"/>
      <x:c r="J255" s="34" t="str"/>
      <x:c r="K255" s="34" t="str"/>
      <x:c r="L255" s="34" t="str"/>
      <x:c r="M255" s="34" t="str">
        <x:f>IF(D255="","",IF(OR(D255="RG01",D255="RG02",D255="RG03",D255="RG06",D255="RG07",D255="RG08"),"核心","结构"))</x:f>
      </x:c>
      <x:c r="N255" s="34" t="str"/>
      <x:c r="O255" s="34" t="str"/>
    </x:row>
    <x:row r="256">
      <x:c r="A256" s="34" t="str">
        <x:v>M5-RG-0251</x:v>
      </x:c>
      <x:c r="B256" s="34" t="str"/>
      <x:c r="C256" s="34" t="str"/>
      <x:c r="D256" s="34" t="str"/>
      <x:c r="E256" s="34" t="str">
        <x:f>IF(D256="","",IF(D256="RG01","安全、同意与尊重",IF(D256="RG02","关系意图与承诺",IF(D256="RG03","价值观与人生目标",IF(D256="RG04","时间、地域与生活节奏",IF(D256="RG05","金钱、资源与劳动分配",IF(D256="RG06","家庭、婚育与照护责任",IF(D256="RG07","身体、亲密、隐私与健康",IF(D256="RG08","冲突、修复与学习意愿","")))))))))</x:f>
      </x:c>
      <x:c r="F256" s="34" t="str"/>
      <x:c r="G256" s="34" t="str"/>
      <x:c r="H256" s="34" t="str"/>
      <x:c r="I256" s="34" t="str"/>
      <x:c r="J256" s="34" t="str"/>
      <x:c r="K256" s="34" t="str"/>
      <x:c r="L256" s="34" t="str"/>
      <x:c r="M256" s="34" t="str">
        <x:f>IF(D256="","",IF(OR(D256="RG01",D256="RG02",D256="RG03",D256="RG06",D256="RG07",D256="RG08"),"核心","结构"))</x:f>
      </x:c>
      <x:c r="N256" s="34" t="str"/>
      <x:c r="O256" s="34" t="str"/>
    </x:row>
    <x:row r="257">
      <x:c r="A257" s="34" t="str">
        <x:v>M5-RG-0252</x:v>
      </x:c>
      <x:c r="B257" s="34" t="str"/>
      <x:c r="C257" s="34" t="str"/>
      <x:c r="D257" s="34" t="str"/>
      <x:c r="E257" s="34" t="str">
        <x:f>IF(D257="","",IF(D257="RG01","安全、同意与尊重",IF(D257="RG02","关系意图与承诺",IF(D257="RG03","价值观与人生目标",IF(D257="RG04","时间、地域与生活节奏",IF(D257="RG05","金钱、资源与劳动分配",IF(D257="RG06","家庭、婚育与照护责任",IF(D257="RG07","身体、亲密、隐私与健康",IF(D257="RG08","冲突、修复与学习意愿","")))))))))</x:f>
      </x:c>
      <x:c r="F257" s="34" t="str"/>
      <x:c r="G257" s="34" t="str"/>
      <x:c r="H257" s="34" t="str"/>
      <x:c r="I257" s="34" t="str"/>
      <x:c r="J257" s="34" t="str"/>
      <x:c r="K257" s="34" t="str"/>
      <x:c r="L257" s="34" t="str"/>
      <x:c r="M257" s="34" t="str">
        <x:f>IF(D257="","",IF(OR(D257="RG01",D257="RG02",D257="RG03",D257="RG06",D257="RG07",D257="RG08"),"核心","结构"))</x:f>
      </x:c>
      <x:c r="N257" s="34" t="str"/>
      <x:c r="O257" s="34" t="str"/>
    </x:row>
    <x:row r="258">
      <x:c r="A258" s="34" t="str">
        <x:v>M5-RG-0253</x:v>
      </x:c>
      <x:c r="B258" s="34" t="str"/>
      <x:c r="C258" s="34" t="str"/>
      <x:c r="D258" s="34" t="str"/>
      <x:c r="E258" s="34" t="str">
        <x:f>IF(D258="","",IF(D258="RG01","安全、同意与尊重",IF(D258="RG02","关系意图与承诺",IF(D258="RG03","价值观与人生目标",IF(D258="RG04","时间、地域与生活节奏",IF(D258="RG05","金钱、资源与劳动分配",IF(D258="RG06","家庭、婚育与照护责任",IF(D258="RG07","身体、亲密、隐私与健康",IF(D258="RG08","冲突、修复与学习意愿","")))))))))</x:f>
      </x:c>
      <x:c r="F258" s="34" t="str"/>
      <x:c r="G258" s="34" t="str"/>
      <x:c r="H258" s="34" t="str"/>
      <x:c r="I258" s="34" t="str"/>
      <x:c r="J258" s="34" t="str"/>
      <x:c r="K258" s="34" t="str"/>
      <x:c r="L258" s="34" t="str"/>
      <x:c r="M258" s="34" t="str">
        <x:f>IF(D258="","",IF(OR(D258="RG01",D258="RG02",D258="RG03",D258="RG06",D258="RG07",D258="RG08"),"核心","结构"))</x:f>
      </x:c>
      <x:c r="N258" s="34" t="str"/>
      <x:c r="O258" s="34" t="str"/>
    </x:row>
    <x:row r="259">
      <x:c r="A259" s="34" t="str">
        <x:v>M5-RG-0254</x:v>
      </x:c>
      <x:c r="B259" s="34" t="str"/>
      <x:c r="C259" s="34" t="str"/>
      <x:c r="D259" s="34" t="str"/>
      <x:c r="E259" s="34" t="str">
        <x:f>IF(D259="","",IF(D259="RG01","安全、同意与尊重",IF(D259="RG02","关系意图与承诺",IF(D259="RG03","价值观与人生目标",IF(D259="RG04","时间、地域与生活节奏",IF(D259="RG05","金钱、资源与劳动分配",IF(D259="RG06","家庭、婚育与照护责任",IF(D259="RG07","身体、亲密、隐私与健康",IF(D259="RG08","冲突、修复与学习意愿","")))))))))</x:f>
      </x:c>
      <x:c r="F259" s="34" t="str"/>
      <x:c r="G259" s="34" t="str"/>
      <x:c r="H259" s="34" t="str"/>
      <x:c r="I259" s="34" t="str"/>
      <x:c r="J259" s="34" t="str"/>
      <x:c r="K259" s="34" t="str"/>
      <x:c r="L259" s="34" t="str"/>
      <x:c r="M259" s="34" t="str">
        <x:f>IF(D259="","",IF(OR(D259="RG01",D259="RG02",D259="RG03",D259="RG06",D259="RG07",D259="RG08"),"核心","结构"))</x:f>
      </x:c>
      <x:c r="N259" s="34" t="str"/>
      <x:c r="O259" s="34" t="str"/>
    </x:row>
    <x:row r="260">
      <x:c r="A260" s="34" t="str">
        <x:v>M5-RG-0255</x:v>
      </x:c>
      <x:c r="B260" s="34" t="str"/>
      <x:c r="C260" s="34" t="str"/>
      <x:c r="D260" s="34" t="str"/>
      <x:c r="E260" s="34" t="str">
        <x:f>IF(D260="","",IF(D260="RG01","安全、同意与尊重",IF(D260="RG02","关系意图与承诺",IF(D260="RG03","价值观与人生目标",IF(D260="RG04","时间、地域与生活节奏",IF(D260="RG05","金钱、资源与劳动分配",IF(D260="RG06","家庭、婚育与照护责任",IF(D260="RG07","身体、亲密、隐私与健康",IF(D260="RG08","冲突、修复与学习意愿","")))))))))</x:f>
      </x:c>
      <x:c r="F260" s="34" t="str"/>
      <x:c r="G260" s="34" t="str"/>
      <x:c r="H260" s="34" t="str"/>
      <x:c r="I260" s="34" t="str"/>
      <x:c r="J260" s="34" t="str"/>
      <x:c r="K260" s="34" t="str"/>
      <x:c r="L260" s="34" t="str"/>
      <x:c r="M260" s="34" t="str">
        <x:f>IF(D260="","",IF(OR(D260="RG01",D260="RG02",D260="RG03",D260="RG06",D260="RG07",D260="RG08"),"核心","结构"))</x:f>
      </x:c>
      <x:c r="N260" s="34" t="str"/>
      <x:c r="O260" s="34" t="str"/>
    </x:row>
    <x:row r="261">
      <x:c r="A261" s="34" t="str">
        <x:v>M5-RG-0256</x:v>
      </x:c>
      <x:c r="B261" s="34" t="str"/>
      <x:c r="C261" s="34" t="str"/>
      <x:c r="D261" s="34" t="str"/>
      <x:c r="E261" s="34" t="str">
        <x:f>IF(D261="","",IF(D261="RG01","安全、同意与尊重",IF(D261="RG02","关系意图与承诺",IF(D261="RG03","价值观与人生目标",IF(D261="RG04","时间、地域与生活节奏",IF(D261="RG05","金钱、资源与劳动分配",IF(D261="RG06","家庭、婚育与照护责任",IF(D261="RG07","身体、亲密、隐私与健康",IF(D261="RG08","冲突、修复与学习意愿","")))))))))</x:f>
      </x:c>
      <x:c r="F261" s="34" t="str"/>
      <x:c r="G261" s="34" t="str"/>
      <x:c r="H261" s="34" t="str"/>
      <x:c r="I261" s="34" t="str"/>
      <x:c r="J261" s="34" t="str"/>
      <x:c r="K261" s="34" t="str"/>
      <x:c r="L261" s="34" t="str"/>
      <x:c r="M261" s="34" t="str">
        <x:f>IF(D261="","",IF(OR(D261="RG01",D261="RG02",D261="RG03",D261="RG06",D261="RG07",D261="RG08"),"核心","结构"))</x:f>
      </x:c>
      <x:c r="N261" s="34" t="str"/>
      <x:c r="O261" s="34" t="str"/>
    </x:row>
    <x:row r="262">
      <x:c r="A262" s="34" t="str">
        <x:v>M5-RG-0257</x:v>
      </x:c>
      <x:c r="B262" s="34" t="str"/>
      <x:c r="C262" s="34" t="str"/>
      <x:c r="D262" s="34" t="str"/>
      <x:c r="E262" s="34" t="str">
        <x:f>IF(D262="","",IF(D262="RG01","安全、同意与尊重",IF(D262="RG02","关系意图与承诺",IF(D262="RG03","价值观与人生目标",IF(D262="RG04","时间、地域与生活节奏",IF(D262="RG05","金钱、资源与劳动分配",IF(D262="RG06","家庭、婚育与照护责任",IF(D262="RG07","身体、亲密、隐私与健康",IF(D262="RG08","冲突、修复与学习意愿","")))))))))</x:f>
      </x:c>
      <x:c r="F262" s="34" t="str"/>
      <x:c r="G262" s="34" t="str"/>
      <x:c r="H262" s="34" t="str"/>
      <x:c r="I262" s="34" t="str"/>
      <x:c r="J262" s="34" t="str"/>
      <x:c r="K262" s="34" t="str"/>
      <x:c r="L262" s="34" t="str"/>
      <x:c r="M262" s="34" t="str">
        <x:f>IF(D262="","",IF(OR(D262="RG01",D262="RG02",D262="RG03",D262="RG06",D262="RG07",D262="RG08"),"核心","结构"))</x:f>
      </x:c>
      <x:c r="N262" s="34" t="str"/>
      <x:c r="O262" s="34" t="str"/>
    </x:row>
    <x:row r="263">
      <x:c r="A263" s="34" t="str">
        <x:v>M5-RG-0258</x:v>
      </x:c>
      <x:c r="B263" s="34" t="str"/>
      <x:c r="C263" s="34" t="str"/>
      <x:c r="D263" s="34" t="str"/>
      <x:c r="E263" s="34" t="str">
        <x:f>IF(D263="","",IF(D263="RG01","安全、同意与尊重",IF(D263="RG02","关系意图与承诺",IF(D263="RG03","价值观与人生目标",IF(D263="RG04","时间、地域与生活节奏",IF(D263="RG05","金钱、资源与劳动分配",IF(D263="RG06","家庭、婚育与照护责任",IF(D263="RG07","身体、亲密、隐私与健康",IF(D263="RG08","冲突、修复与学习意愿","")))))))))</x:f>
      </x:c>
      <x:c r="F263" s="34" t="str"/>
      <x:c r="G263" s="34" t="str"/>
      <x:c r="H263" s="34" t="str"/>
      <x:c r="I263" s="34" t="str"/>
      <x:c r="J263" s="34" t="str"/>
      <x:c r="K263" s="34" t="str"/>
      <x:c r="L263" s="34" t="str"/>
      <x:c r="M263" s="34" t="str">
        <x:f>IF(D263="","",IF(OR(D263="RG01",D263="RG02",D263="RG03",D263="RG06",D263="RG07",D263="RG08"),"核心","结构"))</x:f>
      </x:c>
      <x:c r="N263" s="34" t="str"/>
      <x:c r="O263" s="34" t="str"/>
    </x:row>
    <x:row r="264">
      <x:c r="A264" s="34" t="str">
        <x:v>M5-RG-0259</x:v>
      </x:c>
      <x:c r="B264" s="34" t="str"/>
      <x:c r="C264" s="34" t="str"/>
      <x:c r="D264" s="34" t="str"/>
      <x:c r="E264" s="34" t="str">
        <x:f>IF(D264="","",IF(D264="RG01","安全、同意与尊重",IF(D264="RG02","关系意图与承诺",IF(D264="RG03","价值观与人生目标",IF(D264="RG04","时间、地域与生活节奏",IF(D264="RG05","金钱、资源与劳动分配",IF(D264="RG06","家庭、婚育与照护责任",IF(D264="RG07","身体、亲密、隐私与健康",IF(D264="RG08","冲突、修复与学习意愿","")))))))))</x:f>
      </x:c>
      <x:c r="F264" s="34" t="str"/>
      <x:c r="G264" s="34" t="str"/>
      <x:c r="H264" s="34" t="str"/>
      <x:c r="I264" s="34" t="str"/>
      <x:c r="J264" s="34" t="str"/>
      <x:c r="K264" s="34" t="str"/>
      <x:c r="L264" s="34" t="str"/>
      <x:c r="M264" s="34" t="str">
        <x:f>IF(D264="","",IF(OR(D264="RG01",D264="RG02",D264="RG03",D264="RG06",D264="RG07",D264="RG08"),"核心","结构"))</x:f>
      </x:c>
      <x:c r="N264" s="34" t="str"/>
      <x:c r="O264" s="34" t="str"/>
    </x:row>
    <x:row r="265">
      <x:c r="A265" s="34" t="str">
        <x:v>M5-RG-0260</x:v>
      </x:c>
      <x:c r="B265" s="34" t="str"/>
      <x:c r="C265" s="34" t="str"/>
      <x:c r="D265" s="34" t="str"/>
      <x:c r="E265" s="34" t="str">
        <x:f>IF(D265="","",IF(D265="RG01","安全、同意与尊重",IF(D265="RG02","关系意图与承诺",IF(D265="RG03","价值观与人生目标",IF(D265="RG04","时间、地域与生活节奏",IF(D265="RG05","金钱、资源与劳动分配",IF(D265="RG06","家庭、婚育与照护责任",IF(D265="RG07","身体、亲密、隐私与健康",IF(D265="RG08","冲突、修复与学习意愿","")))))))))</x:f>
      </x:c>
      <x:c r="F265" s="34" t="str"/>
      <x:c r="G265" s="34" t="str"/>
      <x:c r="H265" s="34" t="str"/>
      <x:c r="I265" s="34" t="str"/>
      <x:c r="J265" s="34" t="str"/>
      <x:c r="K265" s="34" t="str"/>
      <x:c r="L265" s="34" t="str"/>
      <x:c r="M265" s="34" t="str">
        <x:f>IF(D265="","",IF(OR(D265="RG01",D265="RG02",D265="RG03",D265="RG06",D265="RG07",D265="RG08"),"核心","结构"))</x:f>
      </x:c>
      <x:c r="N265" s="34" t="str"/>
      <x:c r="O265" s="34" t="str"/>
    </x:row>
    <x:row r="266">
      <x:c r="A266" s="34" t="str">
        <x:v>M5-RG-0261</x:v>
      </x:c>
      <x:c r="B266" s="34" t="str"/>
      <x:c r="C266" s="34" t="str"/>
      <x:c r="D266" s="34" t="str"/>
      <x:c r="E266" s="34" t="str">
        <x:f>IF(D266="","",IF(D266="RG01","安全、同意与尊重",IF(D266="RG02","关系意图与承诺",IF(D266="RG03","价值观与人生目标",IF(D266="RG04","时间、地域与生活节奏",IF(D266="RG05","金钱、资源与劳动分配",IF(D266="RG06","家庭、婚育与照护责任",IF(D266="RG07","身体、亲密、隐私与健康",IF(D266="RG08","冲突、修复与学习意愿","")))))))))</x:f>
      </x:c>
      <x:c r="F266" s="34" t="str"/>
      <x:c r="G266" s="34" t="str"/>
      <x:c r="H266" s="34" t="str"/>
      <x:c r="I266" s="34" t="str"/>
      <x:c r="J266" s="34" t="str"/>
      <x:c r="K266" s="34" t="str"/>
      <x:c r="L266" s="34" t="str"/>
      <x:c r="M266" s="34" t="str">
        <x:f>IF(D266="","",IF(OR(D266="RG01",D266="RG02",D266="RG03",D266="RG06",D266="RG07",D266="RG08"),"核心","结构"))</x:f>
      </x:c>
      <x:c r="N266" s="34" t="str"/>
      <x:c r="O266" s="34" t="str"/>
    </x:row>
    <x:row r="267">
      <x:c r="A267" s="34" t="str">
        <x:v>M5-RG-0262</x:v>
      </x:c>
      <x:c r="B267" s="34" t="str"/>
      <x:c r="C267" s="34" t="str"/>
      <x:c r="D267" s="34" t="str"/>
      <x:c r="E267" s="34" t="str">
        <x:f>IF(D267="","",IF(D267="RG01","安全、同意与尊重",IF(D267="RG02","关系意图与承诺",IF(D267="RG03","价值观与人生目标",IF(D267="RG04","时间、地域与生活节奏",IF(D267="RG05","金钱、资源与劳动分配",IF(D267="RG06","家庭、婚育与照护责任",IF(D267="RG07","身体、亲密、隐私与健康",IF(D267="RG08","冲突、修复与学习意愿","")))))))))</x:f>
      </x:c>
      <x:c r="F267" s="34" t="str"/>
      <x:c r="G267" s="34" t="str"/>
      <x:c r="H267" s="34" t="str"/>
      <x:c r="I267" s="34" t="str"/>
      <x:c r="J267" s="34" t="str"/>
      <x:c r="K267" s="34" t="str"/>
      <x:c r="L267" s="34" t="str"/>
      <x:c r="M267" s="34" t="str">
        <x:f>IF(D267="","",IF(OR(D267="RG01",D267="RG02",D267="RG03",D267="RG06",D267="RG07",D267="RG08"),"核心","结构"))</x:f>
      </x:c>
      <x:c r="N267" s="34" t="str"/>
      <x:c r="O267" s="34" t="str"/>
    </x:row>
    <x:row r="268">
      <x:c r="A268" s="34" t="str">
        <x:v>M5-RG-0263</x:v>
      </x:c>
      <x:c r="B268" s="34" t="str"/>
      <x:c r="C268" s="34" t="str"/>
      <x:c r="D268" s="34" t="str"/>
      <x:c r="E268" s="34" t="str">
        <x:f>IF(D268="","",IF(D268="RG01","安全、同意与尊重",IF(D268="RG02","关系意图与承诺",IF(D268="RG03","价值观与人生目标",IF(D268="RG04","时间、地域与生活节奏",IF(D268="RG05","金钱、资源与劳动分配",IF(D268="RG06","家庭、婚育与照护责任",IF(D268="RG07","身体、亲密、隐私与健康",IF(D268="RG08","冲突、修复与学习意愿","")))))))))</x:f>
      </x:c>
      <x:c r="F268" s="34" t="str"/>
      <x:c r="G268" s="34" t="str"/>
      <x:c r="H268" s="34" t="str"/>
      <x:c r="I268" s="34" t="str"/>
      <x:c r="J268" s="34" t="str"/>
      <x:c r="K268" s="34" t="str"/>
      <x:c r="L268" s="34" t="str"/>
      <x:c r="M268" s="34" t="str">
        <x:f>IF(D268="","",IF(OR(D268="RG01",D268="RG02",D268="RG03",D268="RG06",D268="RG07",D268="RG08"),"核心","结构"))</x:f>
      </x:c>
      <x:c r="N268" s="34" t="str"/>
      <x:c r="O268" s="34" t="str"/>
    </x:row>
    <x:row r="269">
      <x:c r="A269" s="34" t="str">
        <x:v>M5-RG-0264</x:v>
      </x:c>
      <x:c r="B269" s="34" t="str"/>
      <x:c r="C269" s="34" t="str"/>
      <x:c r="D269" s="34" t="str"/>
      <x:c r="E269" s="34" t="str">
        <x:f>IF(D269="","",IF(D269="RG01","安全、同意与尊重",IF(D269="RG02","关系意图与承诺",IF(D269="RG03","价值观与人生目标",IF(D269="RG04","时间、地域与生活节奏",IF(D269="RG05","金钱、资源与劳动分配",IF(D269="RG06","家庭、婚育与照护责任",IF(D269="RG07","身体、亲密、隐私与健康",IF(D269="RG08","冲突、修复与学习意愿","")))))))))</x:f>
      </x:c>
      <x:c r="F269" s="34" t="str"/>
      <x:c r="G269" s="34" t="str"/>
      <x:c r="H269" s="34" t="str"/>
      <x:c r="I269" s="34" t="str"/>
      <x:c r="J269" s="34" t="str"/>
      <x:c r="K269" s="34" t="str"/>
      <x:c r="L269" s="34" t="str"/>
      <x:c r="M269" s="34" t="str">
        <x:f>IF(D269="","",IF(OR(D269="RG01",D269="RG02",D269="RG03",D269="RG06",D269="RG07",D269="RG08"),"核心","结构"))</x:f>
      </x:c>
      <x:c r="N269" s="34" t="str"/>
      <x:c r="O269" s="34" t="str"/>
    </x:row>
    <x:row r="270">
      <x:c r="A270" s="34" t="str">
        <x:v>M5-RG-0265</x:v>
      </x:c>
      <x:c r="B270" s="34" t="str"/>
      <x:c r="C270" s="34" t="str"/>
      <x:c r="D270" s="34" t="str"/>
      <x:c r="E270" s="34" t="str">
        <x:f>IF(D270="","",IF(D270="RG01","安全、同意与尊重",IF(D270="RG02","关系意图与承诺",IF(D270="RG03","价值观与人生目标",IF(D270="RG04","时间、地域与生活节奏",IF(D270="RG05","金钱、资源与劳动分配",IF(D270="RG06","家庭、婚育与照护责任",IF(D270="RG07","身体、亲密、隐私与健康",IF(D270="RG08","冲突、修复与学习意愿","")))))))))</x:f>
      </x:c>
      <x:c r="F270" s="34" t="str"/>
      <x:c r="G270" s="34" t="str"/>
      <x:c r="H270" s="34" t="str"/>
      <x:c r="I270" s="34" t="str"/>
      <x:c r="J270" s="34" t="str"/>
      <x:c r="K270" s="34" t="str"/>
      <x:c r="L270" s="34" t="str"/>
      <x:c r="M270" s="34" t="str">
        <x:f>IF(D270="","",IF(OR(D270="RG01",D270="RG02",D270="RG03",D270="RG06",D270="RG07",D270="RG08"),"核心","结构"))</x:f>
      </x:c>
      <x:c r="N270" s="34" t="str"/>
      <x:c r="O270" s="34" t="str"/>
    </x:row>
    <x:row r="271">
      <x:c r="A271" s="34" t="str">
        <x:v>M5-RG-0266</x:v>
      </x:c>
      <x:c r="B271" s="34" t="str"/>
      <x:c r="C271" s="34" t="str"/>
      <x:c r="D271" s="34" t="str"/>
      <x:c r="E271" s="34" t="str">
        <x:f>IF(D271="","",IF(D271="RG01","安全、同意与尊重",IF(D271="RG02","关系意图与承诺",IF(D271="RG03","价值观与人生目标",IF(D271="RG04","时间、地域与生活节奏",IF(D271="RG05","金钱、资源与劳动分配",IF(D271="RG06","家庭、婚育与照护责任",IF(D271="RG07","身体、亲密、隐私与健康",IF(D271="RG08","冲突、修复与学习意愿","")))))))))</x:f>
      </x:c>
      <x:c r="F271" s="34" t="str"/>
      <x:c r="G271" s="34" t="str"/>
      <x:c r="H271" s="34" t="str"/>
      <x:c r="I271" s="34" t="str"/>
      <x:c r="J271" s="34" t="str"/>
      <x:c r="K271" s="34" t="str"/>
      <x:c r="L271" s="34" t="str"/>
      <x:c r="M271" s="34" t="str">
        <x:f>IF(D271="","",IF(OR(D271="RG01",D271="RG02",D271="RG03",D271="RG06",D271="RG07",D271="RG08"),"核心","结构"))</x:f>
      </x:c>
      <x:c r="N271" s="34" t="str"/>
      <x:c r="O271" s="34" t="str"/>
    </x:row>
    <x:row r="272">
      <x:c r="A272" s="34" t="str">
        <x:v>M5-RG-0267</x:v>
      </x:c>
      <x:c r="B272" s="34" t="str"/>
      <x:c r="C272" s="34" t="str"/>
      <x:c r="D272" s="34" t="str"/>
      <x:c r="E272" s="34" t="str">
        <x:f>IF(D272="","",IF(D272="RG01","安全、同意与尊重",IF(D272="RG02","关系意图与承诺",IF(D272="RG03","价值观与人生目标",IF(D272="RG04","时间、地域与生活节奏",IF(D272="RG05","金钱、资源与劳动分配",IF(D272="RG06","家庭、婚育与照护责任",IF(D272="RG07","身体、亲密、隐私与健康",IF(D272="RG08","冲突、修复与学习意愿","")))))))))</x:f>
      </x:c>
      <x:c r="F272" s="34" t="str"/>
      <x:c r="G272" s="34" t="str"/>
      <x:c r="H272" s="34" t="str"/>
      <x:c r="I272" s="34" t="str"/>
      <x:c r="J272" s="34" t="str"/>
      <x:c r="K272" s="34" t="str"/>
      <x:c r="L272" s="34" t="str"/>
      <x:c r="M272" s="34" t="str">
        <x:f>IF(D272="","",IF(OR(D272="RG01",D272="RG02",D272="RG03",D272="RG06",D272="RG07",D272="RG08"),"核心","结构"))</x:f>
      </x:c>
      <x:c r="N272" s="34" t="str"/>
      <x:c r="O272" s="34" t="str"/>
    </x:row>
    <x:row r="273">
      <x:c r="A273" s="34" t="str">
        <x:v>M5-RG-0268</x:v>
      </x:c>
      <x:c r="B273" s="34" t="str"/>
      <x:c r="C273" s="34" t="str"/>
      <x:c r="D273" s="34" t="str"/>
      <x:c r="E273" s="34" t="str">
        <x:f>IF(D273="","",IF(D273="RG01","安全、同意与尊重",IF(D273="RG02","关系意图与承诺",IF(D273="RG03","价值观与人生目标",IF(D273="RG04","时间、地域与生活节奏",IF(D273="RG05","金钱、资源与劳动分配",IF(D273="RG06","家庭、婚育与照护责任",IF(D273="RG07","身体、亲密、隐私与健康",IF(D273="RG08","冲突、修复与学习意愿","")))))))))</x:f>
      </x:c>
      <x:c r="F273" s="34" t="str"/>
      <x:c r="G273" s="34" t="str"/>
      <x:c r="H273" s="34" t="str"/>
      <x:c r="I273" s="34" t="str"/>
      <x:c r="J273" s="34" t="str"/>
      <x:c r="K273" s="34" t="str"/>
      <x:c r="L273" s="34" t="str"/>
      <x:c r="M273" s="34" t="str">
        <x:f>IF(D273="","",IF(OR(D273="RG01",D273="RG02",D273="RG03",D273="RG06",D273="RG07",D273="RG08"),"核心","结构"))</x:f>
      </x:c>
      <x:c r="N273" s="34" t="str"/>
      <x:c r="O273" s="34" t="str"/>
    </x:row>
    <x:row r="274">
      <x:c r="A274" s="34" t="str">
        <x:v>M5-RG-0269</x:v>
      </x:c>
      <x:c r="B274" s="34" t="str"/>
      <x:c r="C274" s="34" t="str"/>
      <x:c r="D274" s="34" t="str"/>
      <x:c r="E274" s="34" t="str">
        <x:f>IF(D274="","",IF(D274="RG01","安全、同意与尊重",IF(D274="RG02","关系意图与承诺",IF(D274="RG03","价值观与人生目标",IF(D274="RG04","时间、地域与生活节奏",IF(D274="RG05","金钱、资源与劳动分配",IF(D274="RG06","家庭、婚育与照护责任",IF(D274="RG07","身体、亲密、隐私与健康",IF(D274="RG08","冲突、修复与学习意愿","")))))))))</x:f>
      </x:c>
      <x:c r="F274" s="34" t="str"/>
      <x:c r="G274" s="34" t="str"/>
      <x:c r="H274" s="34" t="str"/>
      <x:c r="I274" s="34" t="str"/>
      <x:c r="J274" s="34" t="str"/>
      <x:c r="K274" s="34" t="str"/>
      <x:c r="L274" s="34" t="str"/>
      <x:c r="M274" s="34" t="str">
        <x:f>IF(D274="","",IF(OR(D274="RG01",D274="RG02",D274="RG03",D274="RG06",D274="RG07",D274="RG08"),"核心","结构"))</x:f>
      </x:c>
      <x:c r="N274" s="34" t="str"/>
      <x:c r="O274" s="34" t="str"/>
    </x:row>
    <x:row r="275">
      <x:c r="A275" s="34" t="str">
        <x:v>M5-RG-0270</x:v>
      </x:c>
      <x:c r="B275" s="34" t="str"/>
      <x:c r="C275" s="34" t="str"/>
      <x:c r="D275" s="34" t="str"/>
      <x:c r="E275" s="34" t="str">
        <x:f>IF(D275="","",IF(D275="RG01","安全、同意与尊重",IF(D275="RG02","关系意图与承诺",IF(D275="RG03","价值观与人生目标",IF(D275="RG04","时间、地域与生活节奏",IF(D275="RG05","金钱、资源与劳动分配",IF(D275="RG06","家庭、婚育与照护责任",IF(D275="RG07","身体、亲密、隐私与健康",IF(D275="RG08","冲突、修复与学习意愿","")))))))))</x:f>
      </x:c>
      <x:c r="F275" s="34" t="str"/>
      <x:c r="G275" s="34" t="str"/>
      <x:c r="H275" s="34" t="str"/>
      <x:c r="I275" s="34" t="str"/>
      <x:c r="J275" s="34" t="str"/>
      <x:c r="K275" s="34" t="str"/>
      <x:c r="L275" s="34" t="str"/>
      <x:c r="M275" s="34" t="str">
        <x:f>IF(D275="","",IF(OR(D275="RG01",D275="RG02",D275="RG03",D275="RG06",D275="RG07",D275="RG08"),"核心","结构"))</x:f>
      </x:c>
      <x:c r="N275" s="34" t="str"/>
      <x:c r="O275" s="34" t="str"/>
    </x:row>
    <x:row r="276">
      <x:c r="A276" s="34" t="str">
        <x:v>M5-RG-0271</x:v>
      </x:c>
      <x:c r="B276" s="34" t="str"/>
      <x:c r="C276" s="34" t="str"/>
      <x:c r="D276" s="34" t="str"/>
      <x:c r="E276" s="34" t="str">
        <x:f>IF(D276="","",IF(D276="RG01","安全、同意与尊重",IF(D276="RG02","关系意图与承诺",IF(D276="RG03","价值观与人生目标",IF(D276="RG04","时间、地域与生活节奏",IF(D276="RG05","金钱、资源与劳动分配",IF(D276="RG06","家庭、婚育与照护责任",IF(D276="RG07","身体、亲密、隐私与健康",IF(D276="RG08","冲突、修复与学习意愿","")))))))))</x:f>
      </x:c>
      <x:c r="F276" s="34" t="str"/>
      <x:c r="G276" s="34" t="str"/>
      <x:c r="H276" s="34" t="str"/>
      <x:c r="I276" s="34" t="str"/>
      <x:c r="J276" s="34" t="str"/>
      <x:c r="K276" s="34" t="str"/>
      <x:c r="L276" s="34" t="str"/>
      <x:c r="M276" s="34" t="str">
        <x:f>IF(D276="","",IF(OR(D276="RG01",D276="RG02",D276="RG03",D276="RG06",D276="RG07",D276="RG08"),"核心","结构"))</x:f>
      </x:c>
      <x:c r="N276" s="34" t="str"/>
      <x:c r="O276" s="34" t="str"/>
    </x:row>
    <x:row r="277">
      <x:c r="A277" s="34" t="str">
        <x:v>M5-RG-0272</x:v>
      </x:c>
      <x:c r="B277" s="34" t="str"/>
      <x:c r="C277" s="34" t="str"/>
      <x:c r="D277" s="34" t="str"/>
      <x:c r="E277" s="34" t="str">
        <x:f>IF(D277="","",IF(D277="RG01","安全、同意与尊重",IF(D277="RG02","关系意图与承诺",IF(D277="RG03","价值观与人生目标",IF(D277="RG04","时间、地域与生活节奏",IF(D277="RG05","金钱、资源与劳动分配",IF(D277="RG06","家庭、婚育与照护责任",IF(D277="RG07","身体、亲密、隐私与健康",IF(D277="RG08","冲突、修复与学习意愿","")))))))))</x:f>
      </x:c>
      <x:c r="F277" s="34" t="str"/>
      <x:c r="G277" s="34" t="str"/>
      <x:c r="H277" s="34" t="str"/>
      <x:c r="I277" s="34" t="str"/>
      <x:c r="J277" s="34" t="str"/>
      <x:c r="K277" s="34" t="str"/>
      <x:c r="L277" s="34" t="str"/>
      <x:c r="M277" s="34" t="str">
        <x:f>IF(D277="","",IF(OR(D277="RG01",D277="RG02",D277="RG03",D277="RG06",D277="RG07",D277="RG08"),"核心","结构"))</x:f>
      </x:c>
      <x:c r="N277" s="34" t="str"/>
      <x:c r="O277" s="34" t="str"/>
    </x:row>
    <x:row r="278">
      <x:c r="A278" s="34" t="str">
        <x:v>M5-RG-0273</x:v>
      </x:c>
      <x:c r="B278" s="34" t="str"/>
      <x:c r="C278" s="34" t="str"/>
      <x:c r="D278" s="34" t="str"/>
      <x:c r="E278" s="34" t="str">
        <x:f>IF(D278="","",IF(D278="RG01","安全、同意与尊重",IF(D278="RG02","关系意图与承诺",IF(D278="RG03","价值观与人生目标",IF(D278="RG04","时间、地域与生活节奏",IF(D278="RG05","金钱、资源与劳动分配",IF(D278="RG06","家庭、婚育与照护责任",IF(D278="RG07","身体、亲密、隐私与健康",IF(D278="RG08","冲突、修复与学习意愿","")))))))))</x:f>
      </x:c>
      <x:c r="F278" s="34" t="str"/>
      <x:c r="G278" s="34" t="str"/>
      <x:c r="H278" s="34" t="str"/>
      <x:c r="I278" s="34" t="str"/>
      <x:c r="J278" s="34" t="str"/>
      <x:c r="K278" s="34" t="str"/>
      <x:c r="L278" s="34" t="str"/>
      <x:c r="M278" s="34" t="str">
        <x:f>IF(D278="","",IF(OR(D278="RG01",D278="RG02",D278="RG03",D278="RG06",D278="RG07",D278="RG08"),"核心","结构"))</x:f>
      </x:c>
      <x:c r="N278" s="34" t="str"/>
      <x:c r="O278" s="34" t="str"/>
    </x:row>
    <x:row r="279">
      <x:c r="A279" s="34" t="str">
        <x:v>M5-RG-0274</x:v>
      </x:c>
      <x:c r="B279" s="34" t="str"/>
      <x:c r="C279" s="34" t="str"/>
      <x:c r="D279" s="34" t="str"/>
      <x:c r="E279" s="34" t="str">
        <x:f>IF(D279="","",IF(D279="RG01","安全、同意与尊重",IF(D279="RG02","关系意图与承诺",IF(D279="RG03","价值观与人生目标",IF(D279="RG04","时间、地域与生活节奏",IF(D279="RG05","金钱、资源与劳动分配",IF(D279="RG06","家庭、婚育与照护责任",IF(D279="RG07","身体、亲密、隐私与健康",IF(D279="RG08","冲突、修复与学习意愿","")))))))))</x:f>
      </x:c>
      <x:c r="F279" s="34" t="str"/>
      <x:c r="G279" s="34" t="str"/>
      <x:c r="H279" s="34" t="str"/>
      <x:c r="I279" s="34" t="str"/>
      <x:c r="J279" s="34" t="str"/>
      <x:c r="K279" s="34" t="str"/>
      <x:c r="L279" s="34" t="str"/>
      <x:c r="M279" s="34" t="str">
        <x:f>IF(D279="","",IF(OR(D279="RG01",D279="RG02",D279="RG03",D279="RG06",D279="RG07",D279="RG08"),"核心","结构"))</x:f>
      </x:c>
      <x:c r="N279" s="34" t="str"/>
      <x:c r="O279" s="34" t="str"/>
    </x:row>
    <x:row r="280">
      <x:c r="A280" s="34" t="str">
        <x:v>M5-RG-0275</x:v>
      </x:c>
      <x:c r="B280" s="34" t="str"/>
      <x:c r="C280" s="34" t="str"/>
      <x:c r="D280" s="34" t="str"/>
      <x:c r="E280" s="34" t="str">
        <x:f>IF(D280="","",IF(D280="RG01","安全、同意与尊重",IF(D280="RG02","关系意图与承诺",IF(D280="RG03","价值观与人生目标",IF(D280="RG04","时间、地域与生活节奏",IF(D280="RG05","金钱、资源与劳动分配",IF(D280="RG06","家庭、婚育与照护责任",IF(D280="RG07","身体、亲密、隐私与健康",IF(D280="RG08","冲突、修复与学习意愿","")))))))))</x:f>
      </x:c>
      <x:c r="F280" s="34" t="str"/>
      <x:c r="G280" s="34" t="str"/>
      <x:c r="H280" s="34" t="str"/>
      <x:c r="I280" s="34" t="str"/>
      <x:c r="J280" s="34" t="str"/>
      <x:c r="K280" s="34" t="str"/>
      <x:c r="L280" s="34" t="str"/>
      <x:c r="M280" s="34" t="str">
        <x:f>IF(D280="","",IF(OR(D280="RG01",D280="RG02",D280="RG03",D280="RG06",D280="RG07",D280="RG08"),"核心","结构"))</x:f>
      </x:c>
      <x:c r="N280" s="34" t="str"/>
      <x:c r="O280" s="34" t="str"/>
    </x:row>
    <x:row r="281">
      <x:c r="A281" s="34" t="str">
        <x:v>M5-RG-0276</x:v>
      </x:c>
      <x:c r="B281" s="34" t="str"/>
      <x:c r="C281" s="34" t="str"/>
      <x:c r="D281" s="34" t="str"/>
      <x:c r="E281" s="34" t="str">
        <x:f>IF(D281="","",IF(D281="RG01","安全、同意与尊重",IF(D281="RG02","关系意图与承诺",IF(D281="RG03","价值观与人生目标",IF(D281="RG04","时间、地域与生活节奏",IF(D281="RG05","金钱、资源与劳动分配",IF(D281="RG06","家庭、婚育与照护责任",IF(D281="RG07","身体、亲密、隐私与健康",IF(D281="RG08","冲突、修复与学习意愿","")))))))))</x:f>
      </x:c>
      <x:c r="F281" s="34" t="str"/>
      <x:c r="G281" s="34" t="str"/>
      <x:c r="H281" s="34" t="str"/>
      <x:c r="I281" s="34" t="str"/>
      <x:c r="J281" s="34" t="str"/>
      <x:c r="K281" s="34" t="str"/>
      <x:c r="L281" s="34" t="str"/>
      <x:c r="M281" s="34" t="str">
        <x:f>IF(D281="","",IF(OR(D281="RG01",D281="RG02",D281="RG03",D281="RG06",D281="RG07",D281="RG08"),"核心","结构"))</x:f>
      </x:c>
      <x:c r="N281" s="34" t="str"/>
      <x:c r="O281" s="34" t="str"/>
    </x:row>
    <x:row r="282">
      <x:c r="A282" s="34" t="str">
        <x:v>M5-RG-0277</x:v>
      </x:c>
      <x:c r="B282" s="34" t="str"/>
      <x:c r="C282" s="34" t="str"/>
      <x:c r="D282" s="34" t="str"/>
      <x:c r="E282" s="34" t="str">
        <x:f>IF(D282="","",IF(D282="RG01","安全、同意与尊重",IF(D282="RG02","关系意图与承诺",IF(D282="RG03","价值观与人生目标",IF(D282="RG04","时间、地域与生活节奏",IF(D282="RG05","金钱、资源与劳动分配",IF(D282="RG06","家庭、婚育与照护责任",IF(D282="RG07","身体、亲密、隐私与健康",IF(D282="RG08","冲突、修复与学习意愿","")))))))))</x:f>
      </x:c>
      <x:c r="F282" s="34" t="str"/>
      <x:c r="G282" s="34" t="str"/>
      <x:c r="H282" s="34" t="str"/>
      <x:c r="I282" s="34" t="str"/>
      <x:c r="J282" s="34" t="str"/>
      <x:c r="K282" s="34" t="str"/>
      <x:c r="L282" s="34" t="str"/>
      <x:c r="M282" s="34" t="str">
        <x:f>IF(D282="","",IF(OR(D282="RG01",D282="RG02",D282="RG03",D282="RG06",D282="RG07",D282="RG08"),"核心","结构"))</x:f>
      </x:c>
      <x:c r="N282" s="34" t="str"/>
      <x:c r="O282" s="34" t="str"/>
    </x:row>
    <x:row r="283">
      <x:c r="A283" s="34" t="str">
        <x:v>M5-RG-0278</x:v>
      </x:c>
      <x:c r="B283" s="34" t="str"/>
      <x:c r="C283" s="34" t="str"/>
      <x:c r="D283" s="34" t="str"/>
      <x:c r="E283" s="34" t="str">
        <x:f>IF(D283="","",IF(D283="RG01","安全、同意与尊重",IF(D283="RG02","关系意图与承诺",IF(D283="RG03","价值观与人生目标",IF(D283="RG04","时间、地域与生活节奏",IF(D283="RG05","金钱、资源与劳动分配",IF(D283="RG06","家庭、婚育与照护责任",IF(D283="RG07","身体、亲密、隐私与健康",IF(D283="RG08","冲突、修复与学习意愿","")))))))))</x:f>
      </x:c>
      <x:c r="F283" s="34" t="str"/>
      <x:c r="G283" s="34" t="str"/>
      <x:c r="H283" s="34" t="str"/>
      <x:c r="I283" s="34" t="str"/>
      <x:c r="J283" s="34" t="str"/>
      <x:c r="K283" s="34" t="str"/>
      <x:c r="L283" s="34" t="str"/>
      <x:c r="M283" s="34" t="str">
        <x:f>IF(D283="","",IF(OR(D283="RG01",D283="RG02",D283="RG03",D283="RG06",D283="RG07",D283="RG08"),"核心","结构"))</x:f>
      </x:c>
      <x:c r="N283" s="34" t="str"/>
      <x:c r="O283" s="34" t="str"/>
    </x:row>
    <x:row r="284">
      <x:c r="A284" s="34" t="str">
        <x:v>M5-RG-0279</x:v>
      </x:c>
      <x:c r="B284" s="34" t="str"/>
      <x:c r="C284" s="34" t="str"/>
      <x:c r="D284" s="34" t="str"/>
      <x:c r="E284" s="34" t="str">
        <x:f>IF(D284="","",IF(D284="RG01","安全、同意与尊重",IF(D284="RG02","关系意图与承诺",IF(D284="RG03","价值观与人生目标",IF(D284="RG04","时间、地域与生活节奏",IF(D284="RG05","金钱、资源与劳动分配",IF(D284="RG06","家庭、婚育与照护责任",IF(D284="RG07","身体、亲密、隐私与健康",IF(D284="RG08","冲突、修复与学习意愿","")))))))))</x:f>
      </x:c>
      <x:c r="F284" s="34" t="str"/>
      <x:c r="G284" s="34" t="str"/>
      <x:c r="H284" s="34" t="str"/>
      <x:c r="I284" s="34" t="str"/>
      <x:c r="J284" s="34" t="str"/>
      <x:c r="K284" s="34" t="str"/>
      <x:c r="L284" s="34" t="str"/>
      <x:c r="M284" s="34" t="str">
        <x:f>IF(D284="","",IF(OR(D284="RG01",D284="RG02",D284="RG03",D284="RG06",D284="RG07",D284="RG08"),"核心","结构"))</x:f>
      </x:c>
      <x:c r="N284" s="34" t="str"/>
      <x:c r="O284" s="34" t="str"/>
    </x:row>
    <x:row r="285">
      <x:c r="A285" s="34" t="str">
        <x:v>M5-RG-0280</x:v>
      </x:c>
      <x:c r="B285" s="34" t="str"/>
      <x:c r="C285" s="34" t="str"/>
      <x:c r="D285" s="34" t="str"/>
      <x:c r="E285" s="34" t="str">
        <x:f>IF(D285="","",IF(D285="RG01","安全、同意与尊重",IF(D285="RG02","关系意图与承诺",IF(D285="RG03","价值观与人生目标",IF(D285="RG04","时间、地域与生活节奏",IF(D285="RG05","金钱、资源与劳动分配",IF(D285="RG06","家庭、婚育与照护责任",IF(D285="RG07","身体、亲密、隐私与健康",IF(D285="RG08","冲突、修复与学习意愿","")))))))))</x:f>
      </x:c>
      <x:c r="F285" s="34" t="str"/>
      <x:c r="G285" s="34" t="str"/>
      <x:c r="H285" s="34" t="str"/>
      <x:c r="I285" s="34" t="str"/>
      <x:c r="J285" s="34" t="str"/>
      <x:c r="K285" s="34" t="str"/>
      <x:c r="L285" s="34" t="str"/>
      <x:c r="M285" s="34" t="str">
        <x:f>IF(D285="","",IF(OR(D285="RG01",D285="RG02",D285="RG03",D285="RG06",D285="RG07",D285="RG08"),"核心","结构"))</x:f>
      </x:c>
      <x:c r="N285" s="34" t="str"/>
      <x:c r="O285" s="34" t="str"/>
    </x:row>
    <x:row r="286">
      <x:c r="A286" s="34" t="str">
        <x:v>M5-RG-0281</x:v>
      </x:c>
      <x:c r="B286" s="34" t="str"/>
      <x:c r="C286" s="34" t="str"/>
      <x:c r="D286" s="34" t="str"/>
      <x:c r="E286" s="34" t="str">
        <x:f>IF(D286="","",IF(D286="RG01","安全、同意与尊重",IF(D286="RG02","关系意图与承诺",IF(D286="RG03","价值观与人生目标",IF(D286="RG04","时间、地域与生活节奏",IF(D286="RG05","金钱、资源与劳动分配",IF(D286="RG06","家庭、婚育与照护责任",IF(D286="RG07","身体、亲密、隐私与健康",IF(D286="RG08","冲突、修复与学习意愿","")))))))))</x:f>
      </x:c>
      <x:c r="F286" s="34" t="str"/>
      <x:c r="G286" s="34" t="str"/>
      <x:c r="H286" s="34" t="str"/>
      <x:c r="I286" s="34" t="str"/>
      <x:c r="J286" s="34" t="str"/>
      <x:c r="K286" s="34" t="str"/>
      <x:c r="L286" s="34" t="str"/>
      <x:c r="M286" s="34" t="str">
        <x:f>IF(D286="","",IF(OR(D286="RG01",D286="RG02",D286="RG03",D286="RG06",D286="RG07",D286="RG08"),"核心","结构"))</x:f>
      </x:c>
      <x:c r="N286" s="34" t="str"/>
      <x:c r="O286" s="34" t="str"/>
    </x:row>
    <x:row r="287">
      <x:c r="A287" s="34" t="str">
        <x:v>M5-RG-0282</x:v>
      </x:c>
      <x:c r="B287" s="34" t="str"/>
      <x:c r="C287" s="34" t="str"/>
      <x:c r="D287" s="34" t="str"/>
      <x:c r="E287" s="34" t="str">
        <x:f>IF(D287="","",IF(D287="RG01","安全、同意与尊重",IF(D287="RG02","关系意图与承诺",IF(D287="RG03","价值观与人生目标",IF(D287="RG04","时间、地域与生活节奏",IF(D287="RG05","金钱、资源与劳动分配",IF(D287="RG06","家庭、婚育与照护责任",IF(D287="RG07","身体、亲密、隐私与健康",IF(D287="RG08","冲突、修复与学习意愿","")))))))))</x:f>
      </x:c>
      <x:c r="F287" s="34" t="str"/>
      <x:c r="G287" s="34" t="str"/>
      <x:c r="H287" s="34" t="str"/>
      <x:c r="I287" s="34" t="str"/>
      <x:c r="J287" s="34" t="str"/>
      <x:c r="K287" s="34" t="str"/>
      <x:c r="L287" s="34" t="str"/>
      <x:c r="M287" s="34" t="str">
        <x:f>IF(D287="","",IF(OR(D287="RG01",D287="RG02",D287="RG03",D287="RG06",D287="RG07",D287="RG08"),"核心","结构"))</x:f>
      </x:c>
      <x:c r="N287" s="34" t="str"/>
      <x:c r="O287" s="34" t="str"/>
    </x:row>
    <x:row r="288">
      <x:c r="A288" s="34" t="str">
        <x:v>M5-RG-0283</x:v>
      </x:c>
      <x:c r="B288" s="34" t="str"/>
      <x:c r="C288" s="34" t="str"/>
      <x:c r="D288" s="34" t="str"/>
      <x:c r="E288" s="34" t="str">
        <x:f>IF(D288="","",IF(D288="RG01","安全、同意与尊重",IF(D288="RG02","关系意图与承诺",IF(D288="RG03","价值观与人生目标",IF(D288="RG04","时间、地域与生活节奏",IF(D288="RG05","金钱、资源与劳动分配",IF(D288="RG06","家庭、婚育与照护责任",IF(D288="RG07","身体、亲密、隐私与健康",IF(D288="RG08","冲突、修复与学习意愿","")))))))))</x:f>
      </x:c>
      <x:c r="F288" s="34" t="str"/>
      <x:c r="G288" s="34" t="str"/>
      <x:c r="H288" s="34" t="str"/>
      <x:c r="I288" s="34" t="str"/>
      <x:c r="J288" s="34" t="str"/>
      <x:c r="K288" s="34" t="str"/>
      <x:c r="L288" s="34" t="str"/>
      <x:c r="M288" s="34" t="str">
        <x:f>IF(D288="","",IF(OR(D288="RG01",D288="RG02",D288="RG03",D288="RG06",D288="RG07",D288="RG08"),"核心","结构"))</x:f>
      </x:c>
      <x:c r="N288" s="34" t="str"/>
      <x:c r="O288" s="34" t="str"/>
    </x:row>
    <x:row r="289">
      <x:c r="A289" s="34" t="str">
        <x:v>M5-RG-0284</x:v>
      </x:c>
      <x:c r="B289" s="34" t="str"/>
      <x:c r="C289" s="34" t="str"/>
      <x:c r="D289" s="34" t="str"/>
      <x:c r="E289" s="34" t="str">
        <x:f>IF(D289="","",IF(D289="RG01","安全、同意与尊重",IF(D289="RG02","关系意图与承诺",IF(D289="RG03","价值观与人生目标",IF(D289="RG04","时间、地域与生活节奏",IF(D289="RG05","金钱、资源与劳动分配",IF(D289="RG06","家庭、婚育与照护责任",IF(D289="RG07","身体、亲密、隐私与健康",IF(D289="RG08","冲突、修复与学习意愿","")))))))))</x:f>
      </x:c>
      <x:c r="F289" s="34" t="str"/>
      <x:c r="G289" s="34" t="str"/>
      <x:c r="H289" s="34" t="str"/>
      <x:c r="I289" s="34" t="str"/>
      <x:c r="J289" s="34" t="str"/>
      <x:c r="K289" s="34" t="str"/>
      <x:c r="L289" s="34" t="str"/>
      <x:c r="M289" s="34" t="str">
        <x:f>IF(D289="","",IF(OR(D289="RG01",D289="RG02",D289="RG03",D289="RG06",D289="RG07",D289="RG08"),"核心","结构"))</x:f>
      </x:c>
      <x:c r="N289" s="34" t="str"/>
      <x:c r="O289" s="34" t="str"/>
    </x:row>
    <x:row r="290">
      <x:c r="A290" s="34" t="str">
        <x:v>M5-RG-0285</x:v>
      </x:c>
      <x:c r="B290" s="34" t="str"/>
      <x:c r="C290" s="34" t="str"/>
      <x:c r="D290" s="34" t="str"/>
      <x:c r="E290" s="34" t="str">
        <x:f>IF(D290="","",IF(D290="RG01","安全、同意与尊重",IF(D290="RG02","关系意图与承诺",IF(D290="RG03","价值观与人生目标",IF(D290="RG04","时间、地域与生活节奏",IF(D290="RG05","金钱、资源与劳动分配",IF(D290="RG06","家庭、婚育与照护责任",IF(D290="RG07","身体、亲密、隐私与健康",IF(D290="RG08","冲突、修复与学习意愿","")))))))))</x:f>
      </x:c>
      <x:c r="F290" s="34" t="str"/>
      <x:c r="G290" s="34" t="str"/>
      <x:c r="H290" s="34" t="str"/>
      <x:c r="I290" s="34" t="str"/>
      <x:c r="J290" s="34" t="str"/>
      <x:c r="K290" s="34" t="str"/>
      <x:c r="L290" s="34" t="str"/>
      <x:c r="M290" s="34" t="str">
        <x:f>IF(D290="","",IF(OR(D290="RG01",D290="RG02",D290="RG03",D290="RG06",D290="RG07",D290="RG08"),"核心","结构"))</x:f>
      </x:c>
      <x:c r="N290" s="34" t="str"/>
      <x:c r="O290" s="34" t="str"/>
    </x:row>
    <x:row r="291">
      <x:c r="A291" s="34" t="str">
        <x:v>M5-RG-0286</x:v>
      </x:c>
      <x:c r="B291" s="34" t="str"/>
      <x:c r="C291" s="34" t="str"/>
      <x:c r="D291" s="34" t="str"/>
      <x:c r="E291" s="34" t="str">
        <x:f>IF(D291="","",IF(D291="RG01","安全、同意与尊重",IF(D291="RG02","关系意图与承诺",IF(D291="RG03","价值观与人生目标",IF(D291="RG04","时间、地域与生活节奏",IF(D291="RG05","金钱、资源与劳动分配",IF(D291="RG06","家庭、婚育与照护责任",IF(D291="RG07","身体、亲密、隐私与健康",IF(D291="RG08","冲突、修复与学习意愿","")))))))))</x:f>
      </x:c>
      <x:c r="F291" s="34" t="str"/>
      <x:c r="G291" s="34" t="str"/>
      <x:c r="H291" s="34" t="str"/>
      <x:c r="I291" s="34" t="str"/>
      <x:c r="J291" s="34" t="str"/>
      <x:c r="K291" s="34" t="str"/>
      <x:c r="L291" s="34" t="str"/>
      <x:c r="M291" s="34" t="str">
        <x:f>IF(D291="","",IF(OR(D291="RG01",D291="RG02",D291="RG03",D291="RG06",D291="RG07",D291="RG08"),"核心","结构"))</x:f>
      </x:c>
      <x:c r="N291" s="34" t="str"/>
      <x:c r="O291" s="34" t="str"/>
    </x:row>
    <x:row r="292">
      <x:c r="A292" s="34" t="str">
        <x:v>M5-RG-0287</x:v>
      </x:c>
      <x:c r="B292" s="34" t="str"/>
      <x:c r="C292" s="34" t="str"/>
      <x:c r="D292" s="34" t="str"/>
      <x:c r="E292" s="34" t="str">
        <x:f>IF(D292="","",IF(D292="RG01","安全、同意与尊重",IF(D292="RG02","关系意图与承诺",IF(D292="RG03","价值观与人生目标",IF(D292="RG04","时间、地域与生活节奏",IF(D292="RG05","金钱、资源与劳动分配",IF(D292="RG06","家庭、婚育与照护责任",IF(D292="RG07","身体、亲密、隐私与健康",IF(D292="RG08","冲突、修复与学习意愿","")))))))))</x:f>
      </x:c>
      <x:c r="F292" s="34" t="str"/>
      <x:c r="G292" s="34" t="str"/>
      <x:c r="H292" s="34" t="str"/>
      <x:c r="I292" s="34" t="str"/>
      <x:c r="J292" s="34" t="str"/>
      <x:c r="K292" s="34" t="str"/>
      <x:c r="L292" s="34" t="str"/>
      <x:c r="M292" s="34" t="str">
        <x:f>IF(D292="","",IF(OR(D292="RG01",D292="RG02",D292="RG03",D292="RG06",D292="RG07",D292="RG08"),"核心","结构"))</x:f>
      </x:c>
      <x:c r="N292" s="34" t="str"/>
      <x:c r="O292" s="34" t="str"/>
    </x:row>
    <x:row r="293">
      <x:c r="A293" s="34" t="str">
        <x:v>M5-RG-0288</x:v>
      </x:c>
      <x:c r="B293" s="34" t="str"/>
      <x:c r="C293" s="34" t="str"/>
      <x:c r="D293" s="34" t="str"/>
      <x:c r="E293" s="34" t="str">
        <x:f>IF(D293="","",IF(D293="RG01","安全、同意与尊重",IF(D293="RG02","关系意图与承诺",IF(D293="RG03","价值观与人生目标",IF(D293="RG04","时间、地域与生活节奏",IF(D293="RG05","金钱、资源与劳动分配",IF(D293="RG06","家庭、婚育与照护责任",IF(D293="RG07","身体、亲密、隐私与健康",IF(D293="RG08","冲突、修复与学习意愿","")))))))))</x:f>
      </x:c>
      <x:c r="F293" s="34" t="str"/>
      <x:c r="G293" s="34" t="str"/>
      <x:c r="H293" s="34" t="str"/>
      <x:c r="I293" s="34" t="str"/>
      <x:c r="J293" s="34" t="str"/>
      <x:c r="K293" s="34" t="str"/>
      <x:c r="L293" s="34" t="str"/>
      <x:c r="M293" s="34" t="str">
        <x:f>IF(D293="","",IF(OR(D293="RG01",D293="RG02",D293="RG03",D293="RG06",D293="RG07",D293="RG08"),"核心","结构"))</x:f>
      </x:c>
      <x:c r="N293" s="34" t="str"/>
      <x:c r="O293" s="34" t="str"/>
    </x:row>
    <x:row r="294">
      <x:c r="A294" s="34" t="str">
        <x:v>M5-RG-0289</x:v>
      </x:c>
      <x:c r="B294" s="34" t="str"/>
      <x:c r="C294" s="34" t="str"/>
      <x:c r="D294" s="34" t="str"/>
      <x:c r="E294" s="34" t="str">
        <x:f>IF(D294="","",IF(D294="RG01","安全、同意与尊重",IF(D294="RG02","关系意图与承诺",IF(D294="RG03","价值观与人生目标",IF(D294="RG04","时间、地域与生活节奏",IF(D294="RG05","金钱、资源与劳动分配",IF(D294="RG06","家庭、婚育与照护责任",IF(D294="RG07","身体、亲密、隐私与健康",IF(D294="RG08","冲突、修复与学习意愿","")))))))))</x:f>
      </x:c>
      <x:c r="F294" s="34" t="str"/>
      <x:c r="G294" s="34" t="str"/>
      <x:c r="H294" s="34" t="str"/>
      <x:c r="I294" s="34" t="str"/>
      <x:c r="J294" s="34" t="str"/>
      <x:c r="K294" s="34" t="str"/>
      <x:c r="L294" s="34" t="str"/>
      <x:c r="M294" s="34" t="str">
        <x:f>IF(D294="","",IF(OR(D294="RG01",D294="RG02",D294="RG03",D294="RG06",D294="RG07",D294="RG08"),"核心","结构"))</x:f>
      </x:c>
      <x:c r="N294" s="34" t="str"/>
      <x:c r="O294" s="34" t="str"/>
    </x:row>
    <x:row r="295">
      <x:c r="A295" s="34" t="str">
        <x:v>M5-RG-0290</x:v>
      </x:c>
      <x:c r="B295" s="34" t="str"/>
      <x:c r="C295" s="34" t="str"/>
      <x:c r="D295" s="34" t="str"/>
      <x:c r="E295" s="34" t="str">
        <x:f>IF(D295="","",IF(D295="RG01","安全、同意与尊重",IF(D295="RG02","关系意图与承诺",IF(D295="RG03","价值观与人生目标",IF(D295="RG04","时间、地域与生活节奏",IF(D295="RG05","金钱、资源与劳动分配",IF(D295="RG06","家庭、婚育与照护责任",IF(D295="RG07","身体、亲密、隐私与健康",IF(D295="RG08","冲突、修复与学习意愿","")))))))))</x:f>
      </x:c>
      <x:c r="F295" s="34" t="str"/>
      <x:c r="G295" s="34" t="str"/>
      <x:c r="H295" s="34" t="str"/>
      <x:c r="I295" s="34" t="str"/>
      <x:c r="J295" s="34" t="str"/>
      <x:c r="K295" s="34" t="str"/>
      <x:c r="L295" s="34" t="str"/>
      <x:c r="M295" s="34" t="str">
        <x:f>IF(D295="","",IF(OR(D295="RG01",D295="RG02",D295="RG03",D295="RG06",D295="RG07",D295="RG08"),"核心","结构"))</x:f>
      </x:c>
      <x:c r="N295" s="34" t="str"/>
      <x:c r="O295" s="34" t="str"/>
    </x:row>
    <x:row r="296">
      <x:c r="A296" s="34" t="str">
        <x:v>M5-RG-0291</x:v>
      </x:c>
      <x:c r="B296" s="34" t="str"/>
      <x:c r="C296" s="34" t="str"/>
      <x:c r="D296" s="34" t="str"/>
      <x:c r="E296" s="34" t="str">
        <x:f>IF(D296="","",IF(D296="RG01","安全、同意与尊重",IF(D296="RG02","关系意图与承诺",IF(D296="RG03","价值观与人生目标",IF(D296="RG04","时间、地域与生活节奏",IF(D296="RG05","金钱、资源与劳动分配",IF(D296="RG06","家庭、婚育与照护责任",IF(D296="RG07","身体、亲密、隐私与健康",IF(D296="RG08","冲突、修复与学习意愿","")))))))))</x:f>
      </x:c>
      <x:c r="F296" s="34" t="str"/>
      <x:c r="G296" s="34" t="str"/>
      <x:c r="H296" s="34" t="str"/>
      <x:c r="I296" s="34" t="str"/>
      <x:c r="J296" s="34" t="str"/>
      <x:c r="K296" s="34" t="str"/>
      <x:c r="L296" s="34" t="str"/>
      <x:c r="M296" s="34" t="str">
        <x:f>IF(D296="","",IF(OR(D296="RG01",D296="RG02",D296="RG03",D296="RG06",D296="RG07",D296="RG08"),"核心","结构"))</x:f>
      </x:c>
      <x:c r="N296" s="34" t="str"/>
      <x:c r="O296" s="34" t="str"/>
    </x:row>
    <x:row r="297">
      <x:c r="A297" s="34" t="str">
        <x:v>M5-RG-0292</x:v>
      </x:c>
      <x:c r="B297" s="34" t="str"/>
      <x:c r="C297" s="34" t="str"/>
      <x:c r="D297" s="34" t="str"/>
      <x:c r="E297" s="34" t="str">
        <x:f>IF(D297="","",IF(D297="RG01","安全、同意与尊重",IF(D297="RG02","关系意图与承诺",IF(D297="RG03","价值观与人生目标",IF(D297="RG04","时间、地域与生活节奏",IF(D297="RG05","金钱、资源与劳动分配",IF(D297="RG06","家庭、婚育与照护责任",IF(D297="RG07","身体、亲密、隐私与健康",IF(D297="RG08","冲突、修复与学习意愿","")))))))))</x:f>
      </x:c>
      <x:c r="F297" s="34" t="str"/>
      <x:c r="G297" s="34" t="str"/>
      <x:c r="H297" s="34" t="str"/>
      <x:c r="I297" s="34" t="str"/>
      <x:c r="J297" s="34" t="str"/>
      <x:c r="K297" s="34" t="str"/>
      <x:c r="L297" s="34" t="str"/>
      <x:c r="M297" s="34" t="str">
        <x:f>IF(D297="","",IF(OR(D297="RG01",D297="RG02",D297="RG03",D297="RG06",D297="RG07",D297="RG08"),"核心","结构"))</x:f>
      </x:c>
      <x:c r="N297" s="34" t="str"/>
      <x:c r="O297" s="34" t="str"/>
    </x:row>
    <x:row r="298">
      <x:c r="A298" s="34" t="str">
        <x:v>M5-RG-0293</x:v>
      </x:c>
      <x:c r="B298" s="34" t="str"/>
      <x:c r="C298" s="34" t="str"/>
      <x:c r="D298" s="34" t="str"/>
      <x:c r="E298" s="34" t="str">
        <x:f>IF(D298="","",IF(D298="RG01","安全、同意与尊重",IF(D298="RG02","关系意图与承诺",IF(D298="RG03","价值观与人生目标",IF(D298="RG04","时间、地域与生活节奏",IF(D298="RG05","金钱、资源与劳动分配",IF(D298="RG06","家庭、婚育与照护责任",IF(D298="RG07","身体、亲密、隐私与健康",IF(D298="RG08","冲突、修复与学习意愿","")))))))))</x:f>
      </x:c>
      <x:c r="F298" s="34" t="str"/>
      <x:c r="G298" s="34" t="str"/>
      <x:c r="H298" s="34" t="str"/>
      <x:c r="I298" s="34" t="str"/>
      <x:c r="J298" s="34" t="str"/>
      <x:c r="K298" s="34" t="str"/>
      <x:c r="L298" s="34" t="str"/>
      <x:c r="M298" s="34" t="str">
        <x:f>IF(D298="","",IF(OR(D298="RG01",D298="RG02",D298="RG03",D298="RG06",D298="RG07",D298="RG08"),"核心","结构"))</x:f>
      </x:c>
      <x:c r="N298" s="34" t="str"/>
      <x:c r="O298" s="34" t="str"/>
    </x:row>
    <x:row r="299">
      <x:c r="A299" s="34" t="str">
        <x:v>M5-RG-0294</x:v>
      </x:c>
      <x:c r="B299" s="34" t="str"/>
      <x:c r="C299" s="34" t="str"/>
      <x:c r="D299" s="34" t="str"/>
      <x:c r="E299" s="34" t="str">
        <x:f>IF(D299="","",IF(D299="RG01","安全、同意与尊重",IF(D299="RG02","关系意图与承诺",IF(D299="RG03","价值观与人生目标",IF(D299="RG04","时间、地域与生活节奏",IF(D299="RG05","金钱、资源与劳动分配",IF(D299="RG06","家庭、婚育与照护责任",IF(D299="RG07","身体、亲密、隐私与健康",IF(D299="RG08","冲突、修复与学习意愿","")))))))))</x:f>
      </x:c>
      <x:c r="F299" s="34" t="str"/>
      <x:c r="G299" s="34" t="str"/>
      <x:c r="H299" s="34" t="str"/>
      <x:c r="I299" s="34" t="str"/>
      <x:c r="J299" s="34" t="str"/>
      <x:c r="K299" s="34" t="str"/>
      <x:c r="L299" s="34" t="str"/>
      <x:c r="M299" s="34" t="str">
        <x:f>IF(D299="","",IF(OR(D299="RG01",D299="RG02",D299="RG03",D299="RG06",D299="RG07",D299="RG08"),"核心","结构"))</x:f>
      </x:c>
      <x:c r="N299" s="34" t="str"/>
      <x:c r="O299" s="34" t="str"/>
    </x:row>
    <x:row r="300">
      <x:c r="A300" s="34" t="str">
        <x:v>M5-RG-0295</x:v>
      </x:c>
      <x:c r="B300" s="34" t="str"/>
      <x:c r="C300" s="34" t="str"/>
      <x:c r="D300" s="34" t="str"/>
      <x:c r="E300" s="34" t="str">
        <x:f>IF(D300="","",IF(D300="RG01","安全、同意与尊重",IF(D300="RG02","关系意图与承诺",IF(D300="RG03","价值观与人生目标",IF(D300="RG04","时间、地域与生活节奏",IF(D300="RG05","金钱、资源与劳动分配",IF(D300="RG06","家庭、婚育与照护责任",IF(D300="RG07","身体、亲密、隐私与健康",IF(D300="RG08","冲突、修复与学习意愿","")))))))))</x:f>
      </x:c>
      <x:c r="F300" s="34" t="str"/>
      <x:c r="G300" s="34" t="str"/>
      <x:c r="H300" s="34" t="str"/>
      <x:c r="I300" s="34" t="str"/>
      <x:c r="J300" s="34" t="str"/>
      <x:c r="K300" s="34" t="str"/>
      <x:c r="L300" s="34" t="str"/>
      <x:c r="M300" s="34" t="str">
        <x:f>IF(D300="","",IF(OR(D300="RG01",D300="RG02",D300="RG03",D300="RG06",D300="RG07",D300="RG08"),"核心","结构"))</x:f>
      </x:c>
      <x:c r="N300" s="34" t="str"/>
      <x:c r="O300" s="34" t="str"/>
    </x:row>
    <x:row r="301">
      <x:c r="A301" s="34" t="str">
        <x:v>M5-RG-0296</x:v>
      </x:c>
      <x:c r="B301" s="34" t="str"/>
      <x:c r="C301" s="34" t="str"/>
      <x:c r="D301" s="34" t="str"/>
      <x:c r="E301" s="34" t="str">
        <x:f>IF(D301="","",IF(D301="RG01","安全、同意与尊重",IF(D301="RG02","关系意图与承诺",IF(D301="RG03","价值观与人生目标",IF(D301="RG04","时间、地域与生活节奏",IF(D301="RG05","金钱、资源与劳动分配",IF(D301="RG06","家庭、婚育与照护责任",IF(D301="RG07","身体、亲密、隐私与健康",IF(D301="RG08","冲突、修复与学习意愿","")))))))))</x:f>
      </x:c>
      <x:c r="F301" s="34" t="str"/>
      <x:c r="G301" s="34" t="str"/>
      <x:c r="H301" s="34" t="str"/>
      <x:c r="I301" s="34" t="str"/>
      <x:c r="J301" s="34" t="str"/>
      <x:c r="K301" s="34" t="str"/>
      <x:c r="L301" s="34" t="str"/>
      <x:c r="M301" s="34" t="str">
        <x:f>IF(D301="","",IF(OR(D301="RG01",D301="RG02",D301="RG03",D301="RG06",D301="RG07",D301="RG08"),"核心","结构"))</x:f>
      </x:c>
      <x:c r="N301" s="34" t="str"/>
      <x:c r="O301" s="34" t="str"/>
    </x:row>
    <x:row r="302">
      <x:c r="A302" s="34" t="str">
        <x:v>M5-RG-0297</x:v>
      </x:c>
      <x:c r="B302" s="34" t="str"/>
      <x:c r="C302" s="34" t="str"/>
      <x:c r="D302" s="34" t="str"/>
      <x:c r="E302" s="34" t="str">
        <x:f>IF(D302="","",IF(D302="RG01","安全、同意与尊重",IF(D302="RG02","关系意图与承诺",IF(D302="RG03","价值观与人生目标",IF(D302="RG04","时间、地域与生活节奏",IF(D302="RG05","金钱、资源与劳动分配",IF(D302="RG06","家庭、婚育与照护责任",IF(D302="RG07","身体、亲密、隐私与健康",IF(D302="RG08","冲突、修复与学习意愿","")))))))))</x:f>
      </x:c>
      <x:c r="F302" s="34" t="str"/>
      <x:c r="G302" s="34" t="str"/>
      <x:c r="H302" s="34" t="str"/>
      <x:c r="I302" s="34" t="str"/>
      <x:c r="J302" s="34" t="str"/>
      <x:c r="K302" s="34" t="str"/>
      <x:c r="L302" s="34" t="str"/>
      <x:c r="M302" s="34" t="str">
        <x:f>IF(D302="","",IF(OR(D302="RG01",D302="RG02",D302="RG03",D302="RG06",D302="RG07",D302="RG08"),"核心","结构"))</x:f>
      </x:c>
      <x:c r="N302" s="34" t="str"/>
      <x:c r="O302" s="34" t="str"/>
    </x:row>
    <x:row r="303">
      <x:c r="A303" s="34" t="str">
        <x:v>M5-RG-0298</x:v>
      </x:c>
      <x:c r="B303" s="34" t="str"/>
      <x:c r="C303" s="34" t="str"/>
      <x:c r="D303" s="34" t="str"/>
      <x:c r="E303" s="34" t="str">
        <x:f>IF(D303="","",IF(D303="RG01","安全、同意与尊重",IF(D303="RG02","关系意图与承诺",IF(D303="RG03","价值观与人生目标",IF(D303="RG04","时间、地域与生活节奏",IF(D303="RG05","金钱、资源与劳动分配",IF(D303="RG06","家庭、婚育与照护责任",IF(D303="RG07","身体、亲密、隐私与健康",IF(D303="RG08","冲突、修复与学习意愿","")))))))))</x:f>
      </x:c>
      <x:c r="F303" s="34" t="str"/>
      <x:c r="G303" s="34" t="str"/>
      <x:c r="H303" s="34" t="str"/>
      <x:c r="I303" s="34" t="str"/>
      <x:c r="J303" s="34" t="str"/>
      <x:c r="K303" s="34" t="str"/>
      <x:c r="L303" s="34" t="str"/>
      <x:c r="M303" s="34" t="str">
        <x:f>IF(D303="","",IF(OR(D303="RG01",D303="RG02",D303="RG03",D303="RG06",D303="RG07",D303="RG08"),"核心","结构"))</x:f>
      </x:c>
      <x:c r="N303" s="34" t="str"/>
      <x:c r="O303" s="34" t="str"/>
    </x:row>
    <x:row r="304">
      <x:c r="A304" s="34" t="str">
        <x:v>M5-RG-0299</x:v>
      </x:c>
      <x:c r="B304" s="34" t="str"/>
      <x:c r="C304" s="34" t="str"/>
      <x:c r="D304" s="34" t="str"/>
      <x:c r="E304" s="34" t="str">
        <x:f>IF(D304="","",IF(D304="RG01","安全、同意与尊重",IF(D304="RG02","关系意图与承诺",IF(D304="RG03","价值观与人生目标",IF(D304="RG04","时间、地域与生活节奏",IF(D304="RG05","金钱、资源与劳动分配",IF(D304="RG06","家庭、婚育与照护责任",IF(D304="RG07","身体、亲密、隐私与健康",IF(D304="RG08","冲突、修复与学习意愿","")))))))))</x:f>
      </x:c>
      <x:c r="F304" s="34" t="str"/>
      <x:c r="G304" s="34" t="str"/>
      <x:c r="H304" s="34" t="str"/>
      <x:c r="I304" s="34" t="str"/>
      <x:c r="J304" s="34" t="str"/>
      <x:c r="K304" s="34" t="str"/>
      <x:c r="L304" s="34" t="str"/>
      <x:c r="M304" s="34" t="str">
        <x:f>IF(D304="","",IF(OR(D304="RG01",D304="RG02",D304="RG03",D304="RG06",D304="RG07",D304="RG08"),"核心","结构"))</x:f>
      </x:c>
      <x:c r="N304" s="34" t="str"/>
      <x:c r="O304" s="34" t="str"/>
    </x:row>
    <x:row r="305">
      <x:c r="A305" s="34" t="str">
        <x:v>M5-RG-0300</x:v>
      </x:c>
      <x:c r="B305" s="34" t="str"/>
      <x:c r="C305" s="34" t="str"/>
      <x:c r="D305" s="34" t="str"/>
      <x:c r="E305" s="34" t="str">
        <x:f>IF(D305="","",IF(D305="RG01","安全、同意与尊重",IF(D305="RG02","关系意图与承诺",IF(D305="RG03","价值观与人生目标",IF(D305="RG04","时间、地域与生活节奏",IF(D305="RG05","金钱、资源与劳动分配",IF(D305="RG06","家庭、婚育与照护责任",IF(D305="RG07","身体、亲密、隐私与健康",IF(D305="RG08","冲突、修复与学习意愿","")))))))))</x:f>
      </x:c>
      <x:c r="F305" s="34" t="str"/>
      <x:c r="G305" s="34" t="str"/>
      <x:c r="H305" s="34" t="str"/>
      <x:c r="I305" s="34" t="str"/>
      <x:c r="J305" s="34" t="str"/>
      <x:c r="K305" s="34" t="str"/>
      <x:c r="L305" s="34" t="str"/>
      <x:c r="M305" s="34" t="str">
        <x:f>IF(D305="","",IF(OR(D305="RG01",D305="RG02",D305="RG03",D305="RG06",D305="RG07",D305="RG08"),"核心","结构"))</x:f>
      </x:c>
      <x:c r="N305" s="34" t="str"/>
      <x:c r="O305" s="34" t="str"/>
    </x:row>
    <x:row r="306">
      <x:c r="A306" s="34" t="str">
        <x:v>M5-RG-0301</x:v>
      </x:c>
      <x:c r="B306" s="34" t="str"/>
      <x:c r="C306" s="34" t="str"/>
      <x:c r="D306" s="34" t="str"/>
      <x:c r="E306" s="34" t="str">
        <x:f>IF(D306="","",IF(D306="RG01","安全、同意与尊重",IF(D306="RG02","关系意图与承诺",IF(D306="RG03","价值观与人生目标",IF(D306="RG04","时间、地域与生活节奏",IF(D306="RG05","金钱、资源与劳动分配",IF(D306="RG06","家庭、婚育与照护责任",IF(D306="RG07","身体、亲密、隐私与健康",IF(D306="RG08","冲突、修复与学习意愿","")))))))))</x:f>
      </x:c>
      <x:c r="F306" s="34" t="str"/>
      <x:c r="G306" s="34" t="str"/>
      <x:c r="H306" s="34" t="str"/>
      <x:c r="I306" s="34" t="str"/>
      <x:c r="J306" s="34" t="str"/>
      <x:c r="K306" s="34" t="str"/>
      <x:c r="L306" s="34" t="str"/>
      <x:c r="M306" s="34" t="str">
        <x:f>IF(D306="","",IF(OR(D306="RG01",D306="RG02",D306="RG03",D306="RG06",D306="RG07",D306="RG08"),"核心","结构"))</x:f>
      </x:c>
      <x:c r="N306" s="34" t="str"/>
      <x:c r="O306" s="34" t="str"/>
    </x:row>
    <x:row r="307">
      <x:c r="A307" s="34" t="str">
        <x:v>M5-RG-0302</x:v>
      </x:c>
      <x:c r="B307" s="34" t="str"/>
      <x:c r="C307" s="34" t="str"/>
      <x:c r="D307" s="34" t="str"/>
      <x:c r="E307" s="34" t="str">
        <x:f>IF(D307="","",IF(D307="RG01","安全、同意与尊重",IF(D307="RG02","关系意图与承诺",IF(D307="RG03","价值观与人生目标",IF(D307="RG04","时间、地域与生活节奏",IF(D307="RG05","金钱、资源与劳动分配",IF(D307="RG06","家庭、婚育与照护责任",IF(D307="RG07","身体、亲密、隐私与健康",IF(D307="RG08","冲突、修复与学习意愿","")))))))))</x:f>
      </x:c>
      <x:c r="F307" s="34" t="str"/>
      <x:c r="G307" s="34" t="str"/>
      <x:c r="H307" s="34" t="str"/>
      <x:c r="I307" s="34" t="str"/>
      <x:c r="J307" s="34" t="str"/>
      <x:c r="K307" s="34" t="str"/>
      <x:c r="L307" s="34" t="str"/>
      <x:c r="M307" s="34" t="str">
        <x:f>IF(D307="","",IF(OR(D307="RG01",D307="RG02",D307="RG03",D307="RG06",D307="RG07",D307="RG08"),"核心","结构"))</x:f>
      </x:c>
      <x:c r="N307" s="34" t="str"/>
      <x:c r="O307" s="34" t="str"/>
    </x:row>
    <x:row r="308">
      <x:c r="A308" s="34" t="str">
        <x:v>M5-RG-0303</x:v>
      </x:c>
      <x:c r="B308" s="34" t="str"/>
      <x:c r="C308" s="34" t="str"/>
      <x:c r="D308" s="34" t="str"/>
      <x:c r="E308" s="34" t="str">
        <x:f>IF(D308="","",IF(D308="RG01","安全、同意与尊重",IF(D308="RG02","关系意图与承诺",IF(D308="RG03","价值观与人生目标",IF(D308="RG04","时间、地域与生活节奏",IF(D308="RG05","金钱、资源与劳动分配",IF(D308="RG06","家庭、婚育与照护责任",IF(D308="RG07","身体、亲密、隐私与健康",IF(D308="RG08","冲突、修复与学习意愿","")))))))))</x:f>
      </x:c>
      <x:c r="F308" s="34" t="str"/>
      <x:c r="G308" s="34" t="str"/>
      <x:c r="H308" s="34" t="str"/>
      <x:c r="I308" s="34" t="str"/>
      <x:c r="J308" s="34" t="str"/>
      <x:c r="K308" s="34" t="str"/>
      <x:c r="L308" s="34" t="str"/>
      <x:c r="M308" s="34" t="str">
        <x:f>IF(D308="","",IF(OR(D308="RG01",D308="RG02",D308="RG03",D308="RG06",D308="RG07",D308="RG08"),"核心","结构"))</x:f>
      </x:c>
      <x:c r="N308" s="34" t="str"/>
      <x:c r="O308" s="34" t="str"/>
    </x:row>
    <x:row r="309">
      <x:c r="A309" s="34" t="str">
        <x:v>M5-RG-0304</x:v>
      </x:c>
      <x:c r="B309" s="34" t="str"/>
      <x:c r="C309" s="34" t="str"/>
      <x:c r="D309" s="34" t="str"/>
      <x:c r="E309" s="34" t="str">
        <x:f>IF(D309="","",IF(D309="RG01","安全、同意与尊重",IF(D309="RG02","关系意图与承诺",IF(D309="RG03","价值观与人生目标",IF(D309="RG04","时间、地域与生活节奏",IF(D309="RG05","金钱、资源与劳动分配",IF(D309="RG06","家庭、婚育与照护责任",IF(D309="RG07","身体、亲密、隐私与健康",IF(D309="RG08","冲突、修复与学习意愿","")))))))))</x:f>
      </x:c>
      <x:c r="F309" s="34" t="str"/>
      <x:c r="G309" s="34" t="str"/>
      <x:c r="H309" s="34" t="str"/>
      <x:c r="I309" s="34" t="str"/>
      <x:c r="J309" s="34" t="str"/>
      <x:c r="K309" s="34" t="str"/>
      <x:c r="L309" s="34" t="str"/>
      <x:c r="M309" s="34" t="str">
        <x:f>IF(D309="","",IF(OR(D309="RG01",D309="RG02",D309="RG03",D309="RG06",D309="RG07",D309="RG08"),"核心","结构"))</x:f>
      </x:c>
      <x:c r="N309" s="34" t="str"/>
      <x:c r="O309" s="34" t="str"/>
    </x:row>
    <x:row r="310">
      <x:c r="A310" s="34" t="str">
        <x:v>M5-RG-0305</x:v>
      </x:c>
      <x:c r="B310" s="34" t="str"/>
      <x:c r="C310" s="34" t="str"/>
      <x:c r="D310" s="34" t="str"/>
      <x:c r="E310" s="34" t="str">
        <x:f>IF(D310="","",IF(D310="RG01","安全、同意与尊重",IF(D310="RG02","关系意图与承诺",IF(D310="RG03","价值观与人生目标",IF(D310="RG04","时间、地域与生活节奏",IF(D310="RG05","金钱、资源与劳动分配",IF(D310="RG06","家庭、婚育与照护责任",IF(D310="RG07","身体、亲密、隐私与健康",IF(D310="RG08","冲突、修复与学习意愿","")))))))))</x:f>
      </x:c>
      <x:c r="F310" s="34" t="str"/>
      <x:c r="G310" s="34" t="str"/>
      <x:c r="H310" s="34" t="str"/>
      <x:c r="I310" s="34" t="str"/>
      <x:c r="J310" s="34" t="str"/>
      <x:c r="K310" s="34" t="str"/>
      <x:c r="L310" s="34" t="str"/>
      <x:c r="M310" s="34" t="str">
        <x:f>IF(D310="","",IF(OR(D310="RG01",D310="RG02",D310="RG03",D310="RG06",D310="RG07",D310="RG08"),"核心","结构"))</x:f>
      </x:c>
      <x:c r="N310" s="34" t="str"/>
      <x:c r="O310" s="34" t="str"/>
    </x:row>
    <x:row r="311">
      <x:c r="A311" s="34" t="str">
        <x:v>M5-RG-0306</x:v>
      </x:c>
      <x:c r="B311" s="34" t="str"/>
      <x:c r="C311" s="34" t="str"/>
      <x:c r="D311" s="34" t="str"/>
      <x:c r="E311" s="34" t="str">
        <x:f>IF(D311="","",IF(D311="RG01","安全、同意与尊重",IF(D311="RG02","关系意图与承诺",IF(D311="RG03","价值观与人生目标",IF(D311="RG04","时间、地域与生活节奏",IF(D311="RG05","金钱、资源与劳动分配",IF(D311="RG06","家庭、婚育与照护责任",IF(D311="RG07","身体、亲密、隐私与健康",IF(D311="RG08","冲突、修复与学习意愿","")))))))))</x:f>
      </x:c>
      <x:c r="F311" s="34" t="str"/>
      <x:c r="G311" s="34" t="str"/>
      <x:c r="H311" s="34" t="str"/>
      <x:c r="I311" s="34" t="str"/>
      <x:c r="J311" s="34" t="str"/>
      <x:c r="K311" s="34" t="str"/>
      <x:c r="L311" s="34" t="str"/>
      <x:c r="M311" s="34" t="str">
        <x:f>IF(D311="","",IF(OR(D311="RG01",D311="RG02",D311="RG03",D311="RG06",D311="RG07",D311="RG08"),"核心","结构"))</x:f>
      </x:c>
      <x:c r="N311" s="34" t="str"/>
      <x:c r="O311" s="34" t="str"/>
    </x:row>
    <x:row r="312">
      <x:c r="A312" s="34" t="str">
        <x:v>M5-RG-0307</x:v>
      </x:c>
      <x:c r="B312" s="34" t="str"/>
      <x:c r="C312" s="34" t="str"/>
      <x:c r="D312" s="34" t="str"/>
      <x:c r="E312" s="34" t="str">
        <x:f>IF(D312="","",IF(D312="RG01","安全、同意与尊重",IF(D312="RG02","关系意图与承诺",IF(D312="RG03","价值观与人生目标",IF(D312="RG04","时间、地域与生活节奏",IF(D312="RG05","金钱、资源与劳动分配",IF(D312="RG06","家庭、婚育与照护责任",IF(D312="RG07","身体、亲密、隐私与健康",IF(D312="RG08","冲突、修复与学习意愿","")))))))))</x:f>
      </x:c>
      <x:c r="F312" s="34" t="str"/>
      <x:c r="G312" s="34" t="str"/>
      <x:c r="H312" s="34" t="str"/>
      <x:c r="I312" s="34" t="str"/>
      <x:c r="J312" s="34" t="str"/>
      <x:c r="K312" s="34" t="str"/>
      <x:c r="L312" s="34" t="str"/>
      <x:c r="M312" s="34" t="str">
        <x:f>IF(D312="","",IF(OR(D312="RG01",D312="RG02",D312="RG03",D312="RG06",D312="RG07",D312="RG08"),"核心","结构"))</x:f>
      </x:c>
      <x:c r="N312" s="34" t="str"/>
      <x:c r="O312" s="34" t="str"/>
    </x:row>
    <x:row r="313">
      <x:c r="A313" s="34" t="str">
        <x:v>M5-RG-0308</x:v>
      </x:c>
      <x:c r="B313" s="34" t="str"/>
      <x:c r="C313" s="34" t="str"/>
      <x:c r="D313" s="34" t="str"/>
      <x:c r="E313" s="34" t="str">
        <x:f>IF(D313="","",IF(D313="RG01","安全、同意与尊重",IF(D313="RG02","关系意图与承诺",IF(D313="RG03","价值观与人生目标",IF(D313="RG04","时间、地域与生活节奏",IF(D313="RG05","金钱、资源与劳动分配",IF(D313="RG06","家庭、婚育与照护责任",IF(D313="RG07","身体、亲密、隐私与健康",IF(D313="RG08","冲突、修复与学习意愿","")))))))))</x:f>
      </x:c>
      <x:c r="F313" s="34" t="str"/>
      <x:c r="G313" s="34" t="str"/>
      <x:c r="H313" s="34" t="str"/>
      <x:c r="I313" s="34" t="str"/>
      <x:c r="J313" s="34" t="str"/>
      <x:c r="K313" s="34" t="str"/>
      <x:c r="L313" s="34" t="str"/>
      <x:c r="M313" s="34" t="str">
        <x:f>IF(D313="","",IF(OR(D313="RG01",D313="RG02",D313="RG03",D313="RG06",D313="RG07",D313="RG08"),"核心","结构"))</x:f>
      </x:c>
      <x:c r="N313" s="34" t="str"/>
      <x:c r="O313" s="34" t="str"/>
    </x:row>
    <x:row r="314">
      <x:c r="A314" s="34" t="str">
        <x:v>M5-RG-0309</x:v>
      </x:c>
      <x:c r="B314" s="34" t="str"/>
      <x:c r="C314" s="34" t="str"/>
      <x:c r="D314" s="34" t="str"/>
      <x:c r="E314" s="34" t="str">
        <x:f>IF(D314="","",IF(D314="RG01","安全、同意与尊重",IF(D314="RG02","关系意图与承诺",IF(D314="RG03","价值观与人生目标",IF(D314="RG04","时间、地域与生活节奏",IF(D314="RG05","金钱、资源与劳动分配",IF(D314="RG06","家庭、婚育与照护责任",IF(D314="RG07","身体、亲密、隐私与健康",IF(D314="RG08","冲突、修复与学习意愿","")))))))))</x:f>
      </x:c>
      <x:c r="F314" s="34" t="str"/>
      <x:c r="G314" s="34" t="str"/>
      <x:c r="H314" s="34" t="str"/>
      <x:c r="I314" s="34" t="str"/>
      <x:c r="J314" s="34" t="str"/>
      <x:c r="K314" s="34" t="str"/>
      <x:c r="L314" s="34" t="str"/>
      <x:c r="M314" s="34" t="str">
        <x:f>IF(D314="","",IF(OR(D314="RG01",D314="RG02",D314="RG03",D314="RG06",D314="RG07",D314="RG08"),"核心","结构"))</x:f>
      </x:c>
      <x:c r="N314" s="34" t="str"/>
      <x:c r="O314" s="34" t="str"/>
    </x:row>
    <x:row r="315">
      <x:c r="A315" s="34" t="str">
        <x:v>M5-RG-0310</x:v>
      </x:c>
      <x:c r="B315" s="34" t="str"/>
      <x:c r="C315" s="34" t="str"/>
      <x:c r="D315" s="34" t="str"/>
      <x:c r="E315" s="34" t="str">
        <x:f>IF(D315="","",IF(D315="RG01","安全、同意与尊重",IF(D315="RG02","关系意图与承诺",IF(D315="RG03","价值观与人生目标",IF(D315="RG04","时间、地域与生活节奏",IF(D315="RG05","金钱、资源与劳动分配",IF(D315="RG06","家庭、婚育与照护责任",IF(D315="RG07","身体、亲密、隐私与健康",IF(D315="RG08","冲突、修复与学习意愿","")))))))))</x:f>
      </x:c>
      <x:c r="F315" s="34" t="str"/>
      <x:c r="G315" s="34" t="str"/>
      <x:c r="H315" s="34" t="str"/>
      <x:c r="I315" s="34" t="str"/>
      <x:c r="J315" s="34" t="str"/>
      <x:c r="K315" s="34" t="str"/>
      <x:c r="L315" s="34" t="str"/>
      <x:c r="M315" s="34" t="str">
        <x:f>IF(D315="","",IF(OR(D315="RG01",D315="RG02",D315="RG03",D315="RG06",D315="RG07",D315="RG08"),"核心","结构"))</x:f>
      </x:c>
      <x:c r="N315" s="34" t="str"/>
      <x:c r="O315" s="34" t="str"/>
    </x:row>
    <x:row r="316">
      <x:c r="A316" s="34" t="str">
        <x:v>M5-RG-0311</x:v>
      </x:c>
      <x:c r="B316" s="34" t="str"/>
      <x:c r="C316" s="34" t="str"/>
      <x:c r="D316" s="34" t="str"/>
      <x:c r="E316" s="34" t="str">
        <x:f>IF(D316="","",IF(D316="RG01","安全、同意与尊重",IF(D316="RG02","关系意图与承诺",IF(D316="RG03","价值观与人生目标",IF(D316="RG04","时间、地域与生活节奏",IF(D316="RG05","金钱、资源与劳动分配",IF(D316="RG06","家庭、婚育与照护责任",IF(D316="RG07","身体、亲密、隐私与健康",IF(D316="RG08","冲突、修复与学习意愿","")))))))))</x:f>
      </x:c>
      <x:c r="F316" s="34" t="str"/>
      <x:c r="G316" s="34" t="str"/>
      <x:c r="H316" s="34" t="str"/>
      <x:c r="I316" s="34" t="str"/>
      <x:c r="J316" s="34" t="str"/>
      <x:c r="K316" s="34" t="str"/>
      <x:c r="L316" s="34" t="str"/>
      <x:c r="M316" s="34" t="str">
        <x:f>IF(D316="","",IF(OR(D316="RG01",D316="RG02",D316="RG03",D316="RG06",D316="RG07",D316="RG08"),"核心","结构"))</x:f>
      </x:c>
      <x:c r="N316" s="34" t="str"/>
      <x:c r="O316" s="34" t="str"/>
    </x:row>
    <x:row r="317">
      <x:c r="A317" s="34" t="str">
        <x:v>M5-RG-0312</x:v>
      </x:c>
      <x:c r="B317" s="34" t="str"/>
      <x:c r="C317" s="34" t="str"/>
      <x:c r="D317" s="34" t="str"/>
      <x:c r="E317" s="34" t="str">
        <x:f>IF(D317="","",IF(D317="RG01","安全、同意与尊重",IF(D317="RG02","关系意图与承诺",IF(D317="RG03","价值观与人生目标",IF(D317="RG04","时间、地域与生活节奏",IF(D317="RG05","金钱、资源与劳动分配",IF(D317="RG06","家庭、婚育与照护责任",IF(D317="RG07","身体、亲密、隐私与健康",IF(D317="RG08","冲突、修复与学习意愿","")))))))))</x:f>
      </x:c>
      <x:c r="F317" s="34" t="str"/>
      <x:c r="G317" s="34" t="str"/>
      <x:c r="H317" s="34" t="str"/>
      <x:c r="I317" s="34" t="str"/>
      <x:c r="J317" s="34" t="str"/>
      <x:c r="K317" s="34" t="str"/>
      <x:c r="L317" s="34" t="str"/>
      <x:c r="M317" s="34" t="str">
        <x:f>IF(D317="","",IF(OR(D317="RG01",D317="RG02",D317="RG03",D317="RG06",D317="RG07",D317="RG08"),"核心","结构"))</x:f>
      </x:c>
      <x:c r="N317" s="34" t="str"/>
      <x:c r="O317" s="34" t="str"/>
    </x:row>
    <x:row r="318">
      <x:c r="A318" s="34" t="str">
        <x:v>M5-RG-0313</x:v>
      </x:c>
      <x:c r="B318" s="34" t="str"/>
      <x:c r="C318" s="34" t="str"/>
      <x:c r="D318" s="34" t="str"/>
      <x:c r="E318" s="34" t="str">
        <x:f>IF(D318="","",IF(D318="RG01","安全、同意与尊重",IF(D318="RG02","关系意图与承诺",IF(D318="RG03","价值观与人生目标",IF(D318="RG04","时间、地域与生活节奏",IF(D318="RG05","金钱、资源与劳动分配",IF(D318="RG06","家庭、婚育与照护责任",IF(D318="RG07","身体、亲密、隐私与健康",IF(D318="RG08","冲突、修复与学习意愿","")))))))))</x:f>
      </x:c>
      <x:c r="F318" s="34" t="str"/>
      <x:c r="G318" s="34" t="str"/>
      <x:c r="H318" s="34" t="str"/>
      <x:c r="I318" s="34" t="str"/>
      <x:c r="J318" s="34" t="str"/>
      <x:c r="K318" s="34" t="str"/>
      <x:c r="L318" s="34" t="str"/>
      <x:c r="M318" s="34" t="str">
        <x:f>IF(D318="","",IF(OR(D318="RG01",D318="RG02",D318="RG03",D318="RG06",D318="RG07",D318="RG08"),"核心","结构"))</x:f>
      </x:c>
      <x:c r="N318" s="34" t="str"/>
      <x:c r="O318" s="34" t="str"/>
    </x:row>
    <x:row r="319">
      <x:c r="A319" s="34" t="str">
        <x:v>M5-RG-0314</x:v>
      </x:c>
      <x:c r="B319" s="34" t="str"/>
      <x:c r="C319" s="34" t="str"/>
      <x:c r="D319" s="34" t="str"/>
      <x:c r="E319" s="34" t="str">
        <x:f>IF(D319="","",IF(D319="RG01","安全、同意与尊重",IF(D319="RG02","关系意图与承诺",IF(D319="RG03","价值观与人生目标",IF(D319="RG04","时间、地域与生活节奏",IF(D319="RG05","金钱、资源与劳动分配",IF(D319="RG06","家庭、婚育与照护责任",IF(D319="RG07","身体、亲密、隐私与健康",IF(D319="RG08","冲突、修复与学习意愿","")))))))))</x:f>
      </x:c>
      <x:c r="F319" s="34" t="str"/>
      <x:c r="G319" s="34" t="str"/>
      <x:c r="H319" s="34" t="str"/>
      <x:c r="I319" s="34" t="str"/>
      <x:c r="J319" s="34" t="str"/>
      <x:c r="K319" s="34" t="str"/>
      <x:c r="L319" s="34" t="str"/>
      <x:c r="M319" s="34" t="str">
        <x:f>IF(D319="","",IF(OR(D319="RG01",D319="RG02",D319="RG03",D319="RG06",D319="RG07",D319="RG08"),"核心","结构"))</x:f>
      </x:c>
      <x:c r="N319" s="34" t="str"/>
      <x:c r="O319" s="34" t="str"/>
    </x:row>
    <x:row r="320">
      <x:c r="A320" s="34" t="str">
        <x:v>M5-RG-0315</x:v>
      </x:c>
      <x:c r="B320" s="34" t="str"/>
      <x:c r="C320" s="34" t="str"/>
      <x:c r="D320" s="34" t="str"/>
      <x:c r="E320" s="34" t="str">
        <x:f>IF(D320="","",IF(D320="RG01","安全、同意与尊重",IF(D320="RG02","关系意图与承诺",IF(D320="RG03","价值观与人生目标",IF(D320="RG04","时间、地域与生活节奏",IF(D320="RG05","金钱、资源与劳动分配",IF(D320="RG06","家庭、婚育与照护责任",IF(D320="RG07","身体、亲密、隐私与健康",IF(D320="RG08","冲突、修复与学习意愿","")))))))))</x:f>
      </x:c>
      <x:c r="F320" s="34" t="str"/>
      <x:c r="G320" s="34" t="str"/>
      <x:c r="H320" s="34" t="str"/>
      <x:c r="I320" s="34" t="str"/>
      <x:c r="J320" s="34" t="str"/>
      <x:c r="K320" s="34" t="str"/>
      <x:c r="L320" s="34" t="str"/>
      <x:c r="M320" s="34" t="str">
        <x:f>IF(D320="","",IF(OR(D320="RG01",D320="RG02",D320="RG03",D320="RG06",D320="RG07",D320="RG08"),"核心","结构"))</x:f>
      </x:c>
      <x:c r="N320" s="34" t="str"/>
      <x:c r="O320" s="34" t="str"/>
    </x:row>
    <x:row r="321">
      <x:c r="A321" s="34" t="str">
        <x:v>M5-RG-0316</x:v>
      </x:c>
      <x:c r="B321" s="34" t="str"/>
      <x:c r="C321" s="34" t="str"/>
      <x:c r="D321" s="34" t="str"/>
      <x:c r="E321" s="34" t="str">
        <x:f>IF(D321="","",IF(D321="RG01","安全、同意与尊重",IF(D321="RG02","关系意图与承诺",IF(D321="RG03","价值观与人生目标",IF(D321="RG04","时间、地域与生活节奏",IF(D321="RG05","金钱、资源与劳动分配",IF(D321="RG06","家庭、婚育与照护责任",IF(D321="RG07","身体、亲密、隐私与健康",IF(D321="RG08","冲突、修复与学习意愿","")))))))))</x:f>
      </x:c>
      <x:c r="F321" s="34" t="str"/>
      <x:c r="G321" s="34" t="str"/>
      <x:c r="H321" s="34" t="str"/>
      <x:c r="I321" s="34" t="str"/>
      <x:c r="J321" s="34" t="str"/>
      <x:c r="K321" s="34" t="str"/>
      <x:c r="L321" s="34" t="str"/>
      <x:c r="M321" s="34" t="str">
        <x:f>IF(D321="","",IF(OR(D321="RG01",D321="RG02",D321="RG03",D321="RG06",D321="RG07",D321="RG08"),"核心","结构"))</x:f>
      </x:c>
      <x:c r="N321" s="34" t="str"/>
      <x:c r="O321" s="34" t="str"/>
    </x:row>
    <x:row r="322">
      <x:c r="A322" s="34" t="str">
        <x:v>M5-RG-0317</x:v>
      </x:c>
      <x:c r="B322" s="34" t="str"/>
      <x:c r="C322" s="34" t="str"/>
      <x:c r="D322" s="34" t="str"/>
      <x:c r="E322" s="34" t="str">
        <x:f>IF(D322="","",IF(D322="RG01","安全、同意与尊重",IF(D322="RG02","关系意图与承诺",IF(D322="RG03","价值观与人生目标",IF(D322="RG04","时间、地域与生活节奏",IF(D322="RG05","金钱、资源与劳动分配",IF(D322="RG06","家庭、婚育与照护责任",IF(D322="RG07","身体、亲密、隐私与健康",IF(D322="RG08","冲突、修复与学习意愿","")))))))))</x:f>
      </x:c>
      <x:c r="F322" s="34" t="str"/>
      <x:c r="G322" s="34" t="str"/>
      <x:c r="H322" s="34" t="str"/>
      <x:c r="I322" s="34" t="str"/>
      <x:c r="J322" s="34" t="str"/>
      <x:c r="K322" s="34" t="str"/>
      <x:c r="L322" s="34" t="str"/>
      <x:c r="M322" s="34" t="str">
        <x:f>IF(D322="","",IF(OR(D322="RG01",D322="RG02",D322="RG03",D322="RG06",D322="RG07",D322="RG08"),"核心","结构"))</x:f>
      </x:c>
      <x:c r="N322" s="34" t="str"/>
      <x:c r="O322" s="34" t="str"/>
    </x:row>
    <x:row r="323">
      <x:c r="A323" s="34" t="str">
        <x:v>M5-RG-0318</x:v>
      </x:c>
      <x:c r="B323" s="34" t="str"/>
      <x:c r="C323" s="34" t="str"/>
      <x:c r="D323" s="34" t="str"/>
      <x:c r="E323" s="34" t="str">
        <x:f>IF(D323="","",IF(D323="RG01","安全、同意与尊重",IF(D323="RG02","关系意图与承诺",IF(D323="RG03","价值观与人生目标",IF(D323="RG04","时间、地域与生活节奏",IF(D323="RG05","金钱、资源与劳动分配",IF(D323="RG06","家庭、婚育与照护责任",IF(D323="RG07","身体、亲密、隐私与健康",IF(D323="RG08","冲突、修复与学习意愿","")))))))))</x:f>
      </x:c>
      <x:c r="F323" s="34" t="str"/>
      <x:c r="G323" s="34" t="str"/>
      <x:c r="H323" s="34" t="str"/>
      <x:c r="I323" s="34" t="str"/>
      <x:c r="J323" s="34" t="str"/>
      <x:c r="K323" s="34" t="str"/>
      <x:c r="L323" s="34" t="str"/>
      <x:c r="M323" s="34" t="str">
        <x:f>IF(D323="","",IF(OR(D323="RG01",D323="RG02",D323="RG03",D323="RG06",D323="RG07",D323="RG08"),"核心","结构"))</x:f>
      </x:c>
      <x:c r="N323" s="34" t="str"/>
      <x:c r="O323" s="34" t="str"/>
    </x:row>
    <x:row r="324">
      <x:c r="A324" s="34" t="str">
        <x:v>M5-RG-0319</x:v>
      </x:c>
      <x:c r="B324" s="34" t="str"/>
      <x:c r="C324" s="34" t="str"/>
      <x:c r="D324" s="34" t="str"/>
      <x:c r="E324" s="34" t="str">
        <x:f>IF(D324="","",IF(D324="RG01","安全、同意与尊重",IF(D324="RG02","关系意图与承诺",IF(D324="RG03","价值观与人生目标",IF(D324="RG04","时间、地域与生活节奏",IF(D324="RG05","金钱、资源与劳动分配",IF(D324="RG06","家庭、婚育与照护责任",IF(D324="RG07","身体、亲密、隐私与健康",IF(D324="RG08","冲突、修复与学习意愿","")))))))))</x:f>
      </x:c>
      <x:c r="F324" s="34" t="str"/>
      <x:c r="G324" s="34" t="str"/>
      <x:c r="H324" s="34" t="str"/>
      <x:c r="I324" s="34" t="str"/>
      <x:c r="J324" s="34" t="str"/>
      <x:c r="K324" s="34" t="str"/>
      <x:c r="L324" s="34" t="str"/>
      <x:c r="M324" s="34" t="str">
        <x:f>IF(D324="","",IF(OR(D324="RG01",D324="RG02",D324="RG03",D324="RG06",D324="RG07",D324="RG08"),"核心","结构"))</x:f>
      </x:c>
      <x:c r="N324" s="34" t="str"/>
      <x:c r="O324" s="34" t="str"/>
    </x:row>
    <x:row r="325">
      <x:c r="A325" s="34" t="str">
        <x:v>M5-RG-0320</x:v>
      </x:c>
      <x:c r="B325" s="34" t="str"/>
      <x:c r="C325" s="34" t="str"/>
      <x:c r="D325" s="34" t="str"/>
      <x:c r="E325" s="34" t="str">
        <x:f>IF(D325="","",IF(D325="RG01","安全、同意与尊重",IF(D325="RG02","关系意图与承诺",IF(D325="RG03","价值观与人生目标",IF(D325="RG04","时间、地域与生活节奏",IF(D325="RG05","金钱、资源与劳动分配",IF(D325="RG06","家庭、婚育与照护责任",IF(D325="RG07","身体、亲密、隐私与健康",IF(D325="RG08","冲突、修复与学习意愿","")))))))))</x:f>
      </x:c>
      <x:c r="F325" s="34" t="str"/>
      <x:c r="G325" s="34" t="str"/>
      <x:c r="H325" s="34" t="str"/>
      <x:c r="I325" s="34" t="str"/>
      <x:c r="J325" s="34" t="str"/>
      <x:c r="K325" s="34" t="str"/>
      <x:c r="L325" s="34" t="str"/>
      <x:c r="M325" s="34" t="str">
        <x:f>IF(D325="","",IF(OR(D325="RG01",D325="RG02",D325="RG03",D325="RG06",D325="RG07",D325="RG08"),"核心","结构"))</x:f>
      </x:c>
      <x:c r="N325" s="34" t="str"/>
      <x:c r="O325" s="34" t="str"/>
    </x:row>
    <x:row r="326">
      <x:c r="A326" s="34" t="str">
        <x:v>M5-RG-0321</x:v>
      </x:c>
      <x:c r="B326" s="34" t="str"/>
      <x:c r="C326" s="34" t="str"/>
      <x:c r="D326" s="34" t="str"/>
      <x:c r="E326" s="34" t="str">
        <x:f>IF(D326="","",IF(D326="RG01","安全、同意与尊重",IF(D326="RG02","关系意图与承诺",IF(D326="RG03","价值观与人生目标",IF(D326="RG04","时间、地域与生活节奏",IF(D326="RG05","金钱、资源与劳动分配",IF(D326="RG06","家庭、婚育与照护责任",IF(D326="RG07","身体、亲密、隐私与健康",IF(D326="RG08","冲突、修复与学习意愿","")))))))))</x:f>
      </x:c>
      <x:c r="F326" s="34" t="str"/>
      <x:c r="G326" s="34" t="str"/>
      <x:c r="H326" s="34" t="str"/>
      <x:c r="I326" s="34" t="str"/>
      <x:c r="J326" s="34" t="str"/>
      <x:c r="K326" s="34" t="str"/>
      <x:c r="L326" s="34" t="str"/>
      <x:c r="M326" s="34" t="str">
        <x:f>IF(D326="","",IF(OR(D326="RG01",D326="RG02",D326="RG03",D326="RG06",D326="RG07",D326="RG08"),"核心","结构"))</x:f>
      </x:c>
      <x:c r="N326" s="34" t="str"/>
      <x:c r="O326" s="34" t="str"/>
    </x:row>
    <x:row r="327">
      <x:c r="A327" s="34" t="str">
        <x:v>M5-RG-0322</x:v>
      </x:c>
      <x:c r="B327" s="34" t="str"/>
      <x:c r="C327" s="34" t="str"/>
      <x:c r="D327" s="34" t="str"/>
      <x:c r="E327" s="34" t="str">
        <x:f>IF(D327="","",IF(D327="RG01","安全、同意与尊重",IF(D327="RG02","关系意图与承诺",IF(D327="RG03","价值观与人生目标",IF(D327="RG04","时间、地域与生活节奏",IF(D327="RG05","金钱、资源与劳动分配",IF(D327="RG06","家庭、婚育与照护责任",IF(D327="RG07","身体、亲密、隐私与健康",IF(D327="RG08","冲突、修复与学习意愿","")))))))))</x:f>
      </x:c>
      <x:c r="F327" s="34" t="str"/>
      <x:c r="G327" s="34" t="str"/>
      <x:c r="H327" s="34" t="str"/>
      <x:c r="I327" s="34" t="str"/>
      <x:c r="J327" s="34" t="str"/>
      <x:c r="K327" s="34" t="str"/>
      <x:c r="L327" s="34" t="str"/>
      <x:c r="M327" s="34" t="str">
        <x:f>IF(D327="","",IF(OR(D327="RG01",D327="RG02",D327="RG03",D327="RG06",D327="RG07",D327="RG08"),"核心","结构"))</x:f>
      </x:c>
      <x:c r="N327" s="34" t="str"/>
      <x:c r="O327" s="34" t="str"/>
    </x:row>
    <x:row r="328">
      <x:c r="A328" s="34" t="str">
        <x:v>M5-RG-0323</x:v>
      </x:c>
      <x:c r="B328" s="34" t="str"/>
      <x:c r="C328" s="34" t="str"/>
      <x:c r="D328" s="34" t="str"/>
      <x:c r="E328" s="34" t="str">
        <x:f>IF(D328="","",IF(D328="RG01","安全、同意与尊重",IF(D328="RG02","关系意图与承诺",IF(D328="RG03","价值观与人生目标",IF(D328="RG04","时间、地域与生活节奏",IF(D328="RG05","金钱、资源与劳动分配",IF(D328="RG06","家庭、婚育与照护责任",IF(D328="RG07","身体、亲密、隐私与健康",IF(D328="RG08","冲突、修复与学习意愿","")))))))))</x:f>
      </x:c>
      <x:c r="F328" s="34" t="str"/>
      <x:c r="G328" s="34" t="str"/>
      <x:c r="H328" s="34" t="str"/>
      <x:c r="I328" s="34" t="str"/>
      <x:c r="J328" s="34" t="str"/>
      <x:c r="K328" s="34" t="str"/>
      <x:c r="L328" s="34" t="str"/>
      <x:c r="M328" s="34" t="str">
        <x:f>IF(D328="","",IF(OR(D328="RG01",D328="RG02",D328="RG03",D328="RG06",D328="RG07",D328="RG08"),"核心","结构"))</x:f>
      </x:c>
      <x:c r="N328" s="34" t="str"/>
      <x:c r="O328" s="34" t="str"/>
    </x:row>
    <x:row r="329">
      <x:c r="A329" s="34" t="str">
        <x:v>M5-RG-0324</x:v>
      </x:c>
      <x:c r="B329" s="34" t="str"/>
      <x:c r="C329" s="34" t="str"/>
      <x:c r="D329" s="34" t="str"/>
      <x:c r="E329" s="34" t="str">
        <x:f>IF(D329="","",IF(D329="RG01","安全、同意与尊重",IF(D329="RG02","关系意图与承诺",IF(D329="RG03","价值观与人生目标",IF(D329="RG04","时间、地域与生活节奏",IF(D329="RG05","金钱、资源与劳动分配",IF(D329="RG06","家庭、婚育与照护责任",IF(D329="RG07","身体、亲密、隐私与健康",IF(D329="RG08","冲突、修复与学习意愿","")))))))))</x:f>
      </x:c>
      <x:c r="F329" s="34" t="str"/>
      <x:c r="G329" s="34" t="str"/>
      <x:c r="H329" s="34" t="str"/>
      <x:c r="I329" s="34" t="str"/>
      <x:c r="J329" s="34" t="str"/>
      <x:c r="K329" s="34" t="str"/>
      <x:c r="L329" s="34" t="str"/>
      <x:c r="M329" s="34" t="str">
        <x:f>IF(D329="","",IF(OR(D329="RG01",D329="RG02",D329="RG03",D329="RG06",D329="RG07",D329="RG08"),"核心","结构"))</x:f>
      </x:c>
      <x:c r="N329" s="34" t="str"/>
      <x:c r="O329" s="34" t="str"/>
    </x:row>
    <x:row r="330">
      <x:c r="A330" s="34" t="str">
        <x:v>M5-RG-0325</x:v>
      </x:c>
      <x:c r="B330" s="34" t="str"/>
      <x:c r="C330" s="34" t="str"/>
      <x:c r="D330" s="34" t="str"/>
      <x:c r="E330" s="34" t="str">
        <x:f>IF(D330="","",IF(D330="RG01","安全、同意与尊重",IF(D330="RG02","关系意图与承诺",IF(D330="RG03","价值观与人生目标",IF(D330="RG04","时间、地域与生活节奏",IF(D330="RG05","金钱、资源与劳动分配",IF(D330="RG06","家庭、婚育与照护责任",IF(D330="RG07","身体、亲密、隐私与健康",IF(D330="RG08","冲突、修复与学习意愿","")))))))))</x:f>
      </x:c>
      <x:c r="F330" s="34" t="str"/>
      <x:c r="G330" s="34" t="str"/>
      <x:c r="H330" s="34" t="str"/>
      <x:c r="I330" s="34" t="str"/>
      <x:c r="J330" s="34" t="str"/>
      <x:c r="K330" s="34" t="str"/>
      <x:c r="L330" s="34" t="str"/>
      <x:c r="M330" s="34" t="str">
        <x:f>IF(D330="","",IF(OR(D330="RG01",D330="RG02",D330="RG03",D330="RG06",D330="RG07",D330="RG08"),"核心","结构"))</x:f>
      </x:c>
      <x:c r="N330" s="34" t="str"/>
      <x:c r="O330" s="34" t="str"/>
    </x:row>
    <x:row r="331">
      <x:c r="A331" s="34" t="str">
        <x:v>M5-RG-0326</x:v>
      </x:c>
      <x:c r="B331" s="34" t="str"/>
      <x:c r="C331" s="34" t="str"/>
      <x:c r="D331" s="34" t="str"/>
      <x:c r="E331" s="34" t="str">
        <x:f>IF(D331="","",IF(D331="RG01","安全、同意与尊重",IF(D331="RG02","关系意图与承诺",IF(D331="RG03","价值观与人生目标",IF(D331="RG04","时间、地域与生活节奏",IF(D331="RG05","金钱、资源与劳动分配",IF(D331="RG06","家庭、婚育与照护责任",IF(D331="RG07","身体、亲密、隐私与健康",IF(D331="RG08","冲突、修复与学习意愿","")))))))))</x:f>
      </x:c>
      <x:c r="F331" s="34" t="str"/>
      <x:c r="G331" s="34" t="str"/>
      <x:c r="H331" s="34" t="str"/>
      <x:c r="I331" s="34" t="str"/>
      <x:c r="J331" s="34" t="str"/>
      <x:c r="K331" s="34" t="str"/>
      <x:c r="L331" s="34" t="str"/>
      <x:c r="M331" s="34" t="str">
        <x:f>IF(D331="","",IF(OR(D331="RG01",D331="RG02",D331="RG03",D331="RG06",D331="RG07",D331="RG08"),"核心","结构"))</x:f>
      </x:c>
      <x:c r="N331" s="34" t="str"/>
      <x:c r="O331" s="34" t="str"/>
    </x:row>
    <x:row r="332">
      <x:c r="A332" s="34" t="str">
        <x:v>M5-RG-0327</x:v>
      </x:c>
      <x:c r="B332" s="34" t="str"/>
      <x:c r="C332" s="34" t="str"/>
      <x:c r="D332" s="34" t="str"/>
      <x:c r="E332" s="34" t="str">
        <x:f>IF(D332="","",IF(D332="RG01","安全、同意与尊重",IF(D332="RG02","关系意图与承诺",IF(D332="RG03","价值观与人生目标",IF(D332="RG04","时间、地域与生活节奏",IF(D332="RG05","金钱、资源与劳动分配",IF(D332="RG06","家庭、婚育与照护责任",IF(D332="RG07","身体、亲密、隐私与健康",IF(D332="RG08","冲突、修复与学习意愿","")))))))))</x:f>
      </x:c>
      <x:c r="F332" s="34" t="str"/>
      <x:c r="G332" s="34" t="str"/>
      <x:c r="H332" s="34" t="str"/>
      <x:c r="I332" s="34" t="str"/>
      <x:c r="J332" s="34" t="str"/>
      <x:c r="K332" s="34" t="str"/>
      <x:c r="L332" s="34" t="str"/>
      <x:c r="M332" s="34" t="str">
        <x:f>IF(D332="","",IF(OR(D332="RG01",D332="RG02",D332="RG03",D332="RG06",D332="RG07",D332="RG08"),"核心","结构"))</x:f>
      </x:c>
      <x:c r="N332" s="34" t="str"/>
      <x:c r="O332" s="34" t="str"/>
    </x:row>
    <x:row r="333">
      <x:c r="A333" s="34" t="str">
        <x:v>M5-RG-0328</x:v>
      </x:c>
      <x:c r="B333" s="34" t="str"/>
      <x:c r="C333" s="34" t="str"/>
      <x:c r="D333" s="34" t="str"/>
      <x:c r="E333" s="34" t="str">
        <x:f>IF(D333="","",IF(D333="RG01","安全、同意与尊重",IF(D333="RG02","关系意图与承诺",IF(D333="RG03","价值观与人生目标",IF(D333="RG04","时间、地域与生活节奏",IF(D333="RG05","金钱、资源与劳动分配",IF(D333="RG06","家庭、婚育与照护责任",IF(D333="RG07","身体、亲密、隐私与健康",IF(D333="RG08","冲突、修复与学习意愿","")))))))))</x:f>
      </x:c>
      <x:c r="F333" s="34" t="str"/>
      <x:c r="G333" s="34" t="str"/>
      <x:c r="H333" s="34" t="str"/>
      <x:c r="I333" s="34" t="str"/>
      <x:c r="J333" s="34" t="str"/>
      <x:c r="K333" s="34" t="str"/>
      <x:c r="L333" s="34" t="str"/>
      <x:c r="M333" s="34" t="str">
        <x:f>IF(D333="","",IF(OR(D333="RG01",D333="RG02",D333="RG03",D333="RG06",D333="RG07",D333="RG08"),"核心","结构"))</x:f>
      </x:c>
      <x:c r="N333" s="34" t="str"/>
      <x:c r="O333" s="34" t="str"/>
    </x:row>
    <x:row r="334">
      <x:c r="A334" s="34" t="str">
        <x:v>M5-RG-0329</x:v>
      </x:c>
      <x:c r="B334" s="34" t="str"/>
      <x:c r="C334" s="34" t="str"/>
      <x:c r="D334" s="34" t="str"/>
      <x:c r="E334" s="34" t="str">
        <x:f>IF(D334="","",IF(D334="RG01","安全、同意与尊重",IF(D334="RG02","关系意图与承诺",IF(D334="RG03","价值观与人生目标",IF(D334="RG04","时间、地域与生活节奏",IF(D334="RG05","金钱、资源与劳动分配",IF(D334="RG06","家庭、婚育与照护责任",IF(D334="RG07","身体、亲密、隐私与健康",IF(D334="RG08","冲突、修复与学习意愿","")))))))))</x:f>
      </x:c>
      <x:c r="F334" s="34" t="str"/>
      <x:c r="G334" s="34" t="str"/>
      <x:c r="H334" s="34" t="str"/>
      <x:c r="I334" s="34" t="str"/>
      <x:c r="J334" s="34" t="str"/>
      <x:c r="K334" s="34" t="str"/>
      <x:c r="L334" s="34" t="str"/>
      <x:c r="M334" s="34" t="str">
        <x:f>IF(D334="","",IF(OR(D334="RG01",D334="RG02",D334="RG03",D334="RG06",D334="RG07",D334="RG08"),"核心","结构"))</x:f>
      </x:c>
      <x:c r="N334" s="34" t="str"/>
      <x:c r="O334" s="34" t="str"/>
    </x:row>
    <x:row r="335">
      <x:c r="A335" s="34" t="str">
        <x:v>M5-RG-0330</x:v>
      </x:c>
      <x:c r="B335" s="34" t="str"/>
      <x:c r="C335" s="34" t="str"/>
      <x:c r="D335" s="34" t="str"/>
      <x:c r="E335" s="34" t="str">
        <x:f>IF(D335="","",IF(D335="RG01","安全、同意与尊重",IF(D335="RG02","关系意图与承诺",IF(D335="RG03","价值观与人生目标",IF(D335="RG04","时间、地域与生活节奏",IF(D335="RG05","金钱、资源与劳动分配",IF(D335="RG06","家庭、婚育与照护责任",IF(D335="RG07","身体、亲密、隐私与健康",IF(D335="RG08","冲突、修复与学习意愿","")))))))))</x:f>
      </x:c>
      <x:c r="F335" s="34" t="str"/>
      <x:c r="G335" s="34" t="str"/>
      <x:c r="H335" s="34" t="str"/>
      <x:c r="I335" s="34" t="str"/>
      <x:c r="J335" s="34" t="str"/>
      <x:c r="K335" s="34" t="str"/>
      <x:c r="L335" s="34" t="str"/>
      <x:c r="M335" s="34" t="str">
        <x:f>IF(D335="","",IF(OR(D335="RG01",D335="RG02",D335="RG03",D335="RG06",D335="RG07",D335="RG08"),"核心","结构"))</x:f>
      </x:c>
      <x:c r="N335" s="34" t="str"/>
      <x:c r="O335" s="34" t="str"/>
    </x:row>
    <x:row r="336">
      <x:c r="A336" s="34" t="str">
        <x:v>M5-RG-0331</x:v>
      </x:c>
      <x:c r="B336" s="34" t="str"/>
      <x:c r="C336" s="34" t="str"/>
      <x:c r="D336" s="34" t="str"/>
      <x:c r="E336" s="34" t="str">
        <x:f>IF(D336="","",IF(D336="RG01","安全、同意与尊重",IF(D336="RG02","关系意图与承诺",IF(D336="RG03","价值观与人生目标",IF(D336="RG04","时间、地域与生活节奏",IF(D336="RG05","金钱、资源与劳动分配",IF(D336="RG06","家庭、婚育与照护责任",IF(D336="RG07","身体、亲密、隐私与健康",IF(D336="RG08","冲突、修复与学习意愿","")))))))))</x:f>
      </x:c>
      <x:c r="F336" s="34" t="str"/>
      <x:c r="G336" s="34" t="str"/>
      <x:c r="H336" s="34" t="str"/>
      <x:c r="I336" s="34" t="str"/>
      <x:c r="J336" s="34" t="str"/>
      <x:c r="K336" s="34" t="str"/>
      <x:c r="L336" s="34" t="str"/>
      <x:c r="M336" s="34" t="str">
        <x:f>IF(D336="","",IF(OR(D336="RG01",D336="RG02",D336="RG03",D336="RG06",D336="RG07",D336="RG08"),"核心","结构"))</x:f>
      </x:c>
      <x:c r="N336" s="34" t="str"/>
      <x:c r="O336" s="34" t="str"/>
    </x:row>
    <x:row r="337">
      <x:c r="A337" s="34" t="str">
        <x:v>M5-RG-0332</x:v>
      </x:c>
      <x:c r="B337" s="34" t="str"/>
      <x:c r="C337" s="34" t="str"/>
      <x:c r="D337" s="34" t="str"/>
      <x:c r="E337" s="34" t="str">
        <x:f>IF(D337="","",IF(D337="RG01","安全、同意与尊重",IF(D337="RG02","关系意图与承诺",IF(D337="RG03","价值观与人生目标",IF(D337="RG04","时间、地域与生活节奏",IF(D337="RG05","金钱、资源与劳动分配",IF(D337="RG06","家庭、婚育与照护责任",IF(D337="RG07","身体、亲密、隐私与健康",IF(D337="RG08","冲突、修复与学习意愿","")))))))))</x:f>
      </x:c>
      <x:c r="F337" s="34" t="str"/>
      <x:c r="G337" s="34" t="str"/>
      <x:c r="H337" s="34" t="str"/>
      <x:c r="I337" s="34" t="str"/>
      <x:c r="J337" s="34" t="str"/>
      <x:c r="K337" s="34" t="str"/>
      <x:c r="L337" s="34" t="str"/>
      <x:c r="M337" s="34" t="str">
        <x:f>IF(D337="","",IF(OR(D337="RG01",D337="RG02",D337="RG03",D337="RG06",D337="RG07",D337="RG08"),"核心","结构"))</x:f>
      </x:c>
      <x:c r="N337" s="34" t="str"/>
      <x:c r="O337" s="34" t="str"/>
    </x:row>
    <x:row r="338">
      <x:c r="A338" s="34" t="str">
        <x:v>M5-RG-0333</x:v>
      </x:c>
      <x:c r="B338" s="34" t="str"/>
      <x:c r="C338" s="34" t="str"/>
      <x:c r="D338" s="34" t="str"/>
      <x:c r="E338" s="34" t="str">
        <x:f>IF(D338="","",IF(D338="RG01","安全、同意与尊重",IF(D338="RG02","关系意图与承诺",IF(D338="RG03","价值观与人生目标",IF(D338="RG04","时间、地域与生活节奏",IF(D338="RG05","金钱、资源与劳动分配",IF(D338="RG06","家庭、婚育与照护责任",IF(D338="RG07","身体、亲密、隐私与健康",IF(D338="RG08","冲突、修复与学习意愿","")))))))))</x:f>
      </x:c>
      <x:c r="F338" s="34" t="str"/>
      <x:c r="G338" s="34" t="str"/>
      <x:c r="H338" s="34" t="str"/>
      <x:c r="I338" s="34" t="str"/>
      <x:c r="J338" s="34" t="str"/>
      <x:c r="K338" s="34" t="str"/>
      <x:c r="L338" s="34" t="str"/>
      <x:c r="M338" s="34" t="str">
        <x:f>IF(D338="","",IF(OR(D338="RG01",D338="RG02",D338="RG03",D338="RG06",D338="RG07",D338="RG08"),"核心","结构"))</x:f>
      </x:c>
      <x:c r="N338" s="34" t="str"/>
      <x:c r="O338" s="34" t="str"/>
    </x:row>
    <x:row r="339">
      <x:c r="A339" s="34" t="str">
        <x:v>M5-RG-0334</x:v>
      </x:c>
      <x:c r="B339" s="34" t="str"/>
      <x:c r="C339" s="34" t="str"/>
      <x:c r="D339" s="34" t="str"/>
      <x:c r="E339" s="34" t="str">
        <x:f>IF(D339="","",IF(D339="RG01","安全、同意与尊重",IF(D339="RG02","关系意图与承诺",IF(D339="RG03","价值观与人生目标",IF(D339="RG04","时间、地域与生活节奏",IF(D339="RG05","金钱、资源与劳动分配",IF(D339="RG06","家庭、婚育与照护责任",IF(D339="RG07","身体、亲密、隐私与健康",IF(D339="RG08","冲突、修复与学习意愿","")))))))))</x:f>
      </x:c>
      <x:c r="F339" s="34" t="str"/>
      <x:c r="G339" s="34" t="str"/>
      <x:c r="H339" s="34" t="str"/>
      <x:c r="I339" s="34" t="str"/>
      <x:c r="J339" s="34" t="str"/>
      <x:c r="K339" s="34" t="str"/>
      <x:c r="L339" s="34" t="str"/>
      <x:c r="M339" s="34" t="str">
        <x:f>IF(D339="","",IF(OR(D339="RG01",D339="RG02",D339="RG03",D339="RG06",D339="RG07",D339="RG08"),"核心","结构"))</x:f>
      </x:c>
      <x:c r="N339" s="34" t="str"/>
      <x:c r="O339" s="34" t="str"/>
    </x:row>
    <x:row r="340">
      <x:c r="A340" s="34" t="str">
        <x:v>M5-RG-0335</x:v>
      </x:c>
      <x:c r="B340" s="34" t="str"/>
      <x:c r="C340" s="34" t="str"/>
      <x:c r="D340" s="34" t="str"/>
      <x:c r="E340" s="34" t="str">
        <x:f>IF(D340="","",IF(D340="RG01","安全、同意与尊重",IF(D340="RG02","关系意图与承诺",IF(D340="RG03","价值观与人生目标",IF(D340="RG04","时间、地域与生活节奏",IF(D340="RG05","金钱、资源与劳动分配",IF(D340="RG06","家庭、婚育与照护责任",IF(D340="RG07","身体、亲密、隐私与健康",IF(D340="RG08","冲突、修复与学习意愿","")))))))))</x:f>
      </x:c>
      <x:c r="F340" s="34" t="str"/>
      <x:c r="G340" s="34" t="str"/>
      <x:c r="H340" s="34" t="str"/>
      <x:c r="I340" s="34" t="str"/>
      <x:c r="J340" s="34" t="str"/>
      <x:c r="K340" s="34" t="str"/>
      <x:c r="L340" s="34" t="str"/>
      <x:c r="M340" s="34" t="str">
        <x:f>IF(D340="","",IF(OR(D340="RG01",D340="RG02",D340="RG03",D340="RG06",D340="RG07",D340="RG08"),"核心","结构"))</x:f>
      </x:c>
      <x:c r="N340" s="34" t="str"/>
      <x:c r="O340" s="34" t="str"/>
    </x:row>
    <x:row r="341">
      <x:c r="A341" s="34" t="str">
        <x:v>M5-RG-0336</x:v>
      </x:c>
      <x:c r="B341" s="34" t="str"/>
      <x:c r="C341" s="34" t="str"/>
      <x:c r="D341" s="34" t="str"/>
      <x:c r="E341" s="34" t="str">
        <x:f>IF(D341="","",IF(D341="RG01","安全、同意与尊重",IF(D341="RG02","关系意图与承诺",IF(D341="RG03","价值观与人生目标",IF(D341="RG04","时间、地域与生活节奏",IF(D341="RG05","金钱、资源与劳动分配",IF(D341="RG06","家庭、婚育与照护责任",IF(D341="RG07","身体、亲密、隐私与健康",IF(D341="RG08","冲突、修复与学习意愿","")))))))))</x:f>
      </x:c>
      <x:c r="F341" s="34" t="str"/>
      <x:c r="G341" s="34" t="str"/>
      <x:c r="H341" s="34" t="str"/>
      <x:c r="I341" s="34" t="str"/>
      <x:c r="J341" s="34" t="str"/>
      <x:c r="K341" s="34" t="str"/>
      <x:c r="L341" s="34" t="str"/>
      <x:c r="M341" s="34" t="str">
        <x:f>IF(D341="","",IF(OR(D341="RG01",D341="RG02",D341="RG03",D341="RG06",D341="RG07",D341="RG08"),"核心","结构"))</x:f>
      </x:c>
      <x:c r="N341" s="34" t="str"/>
      <x:c r="O341" s="34" t="str"/>
    </x:row>
    <x:row r="342">
      <x:c r="A342" s="34" t="str">
        <x:v>M5-RG-0337</x:v>
      </x:c>
      <x:c r="B342" s="34" t="str"/>
      <x:c r="C342" s="34" t="str"/>
      <x:c r="D342" s="34" t="str"/>
      <x:c r="E342" s="34" t="str">
        <x:f>IF(D342="","",IF(D342="RG01","安全、同意与尊重",IF(D342="RG02","关系意图与承诺",IF(D342="RG03","价值观与人生目标",IF(D342="RG04","时间、地域与生活节奏",IF(D342="RG05","金钱、资源与劳动分配",IF(D342="RG06","家庭、婚育与照护责任",IF(D342="RG07","身体、亲密、隐私与健康",IF(D342="RG08","冲突、修复与学习意愿","")))))))))</x:f>
      </x:c>
      <x:c r="F342" s="34" t="str"/>
      <x:c r="G342" s="34" t="str"/>
      <x:c r="H342" s="34" t="str"/>
      <x:c r="I342" s="34" t="str"/>
      <x:c r="J342" s="34" t="str"/>
      <x:c r="K342" s="34" t="str"/>
      <x:c r="L342" s="34" t="str"/>
      <x:c r="M342" s="34" t="str">
        <x:f>IF(D342="","",IF(OR(D342="RG01",D342="RG02",D342="RG03",D342="RG06",D342="RG07",D342="RG08"),"核心","结构"))</x:f>
      </x:c>
      <x:c r="N342" s="34" t="str"/>
      <x:c r="O342" s="34" t="str"/>
    </x:row>
    <x:row r="343">
      <x:c r="A343" s="34" t="str">
        <x:v>M5-RG-0338</x:v>
      </x:c>
      <x:c r="B343" s="34" t="str"/>
      <x:c r="C343" s="34" t="str"/>
      <x:c r="D343" s="34" t="str"/>
      <x:c r="E343" s="34" t="str">
        <x:f>IF(D343="","",IF(D343="RG01","安全、同意与尊重",IF(D343="RG02","关系意图与承诺",IF(D343="RG03","价值观与人生目标",IF(D343="RG04","时间、地域与生活节奏",IF(D343="RG05","金钱、资源与劳动分配",IF(D343="RG06","家庭、婚育与照护责任",IF(D343="RG07","身体、亲密、隐私与健康",IF(D343="RG08","冲突、修复与学习意愿","")))))))))</x:f>
      </x:c>
      <x:c r="F343" s="34" t="str"/>
      <x:c r="G343" s="34" t="str"/>
      <x:c r="H343" s="34" t="str"/>
      <x:c r="I343" s="34" t="str"/>
      <x:c r="J343" s="34" t="str"/>
      <x:c r="K343" s="34" t="str"/>
      <x:c r="L343" s="34" t="str"/>
      <x:c r="M343" s="34" t="str">
        <x:f>IF(D343="","",IF(OR(D343="RG01",D343="RG02",D343="RG03",D343="RG06",D343="RG07",D343="RG08"),"核心","结构"))</x:f>
      </x:c>
      <x:c r="N343" s="34" t="str"/>
      <x:c r="O343" s="34" t="str"/>
    </x:row>
    <x:row r="344">
      <x:c r="A344" s="34" t="str">
        <x:v>M5-RG-0339</x:v>
      </x:c>
      <x:c r="B344" s="34" t="str"/>
      <x:c r="C344" s="34" t="str"/>
      <x:c r="D344" s="34" t="str"/>
      <x:c r="E344" s="34" t="str">
        <x:f>IF(D344="","",IF(D344="RG01","安全、同意与尊重",IF(D344="RG02","关系意图与承诺",IF(D344="RG03","价值观与人生目标",IF(D344="RG04","时间、地域与生活节奏",IF(D344="RG05","金钱、资源与劳动分配",IF(D344="RG06","家庭、婚育与照护责任",IF(D344="RG07","身体、亲密、隐私与健康",IF(D344="RG08","冲突、修复与学习意愿","")))))))))</x:f>
      </x:c>
      <x:c r="F344" s="34" t="str"/>
      <x:c r="G344" s="34" t="str"/>
      <x:c r="H344" s="34" t="str"/>
      <x:c r="I344" s="34" t="str"/>
      <x:c r="J344" s="34" t="str"/>
      <x:c r="K344" s="34" t="str"/>
      <x:c r="L344" s="34" t="str"/>
      <x:c r="M344" s="34" t="str">
        <x:f>IF(D344="","",IF(OR(D344="RG01",D344="RG02",D344="RG03",D344="RG06",D344="RG07",D344="RG08"),"核心","结构"))</x:f>
      </x:c>
      <x:c r="N344" s="34" t="str"/>
      <x:c r="O344" s="34" t="str"/>
    </x:row>
    <x:row r="345">
      <x:c r="A345" s="34" t="str">
        <x:v>M5-RG-0340</x:v>
      </x:c>
      <x:c r="B345" s="34" t="str"/>
      <x:c r="C345" s="34" t="str"/>
      <x:c r="D345" s="34" t="str"/>
      <x:c r="E345" s="34" t="str">
        <x:f>IF(D345="","",IF(D345="RG01","安全、同意与尊重",IF(D345="RG02","关系意图与承诺",IF(D345="RG03","价值观与人生目标",IF(D345="RG04","时间、地域与生活节奏",IF(D345="RG05","金钱、资源与劳动分配",IF(D345="RG06","家庭、婚育与照护责任",IF(D345="RG07","身体、亲密、隐私与健康",IF(D345="RG08","冲突、修复与学习意愿","")))))))))</x:f>
      </x:c>
      <x:c r="F345" s="34" t="str"/>
      <x:c r="G345" s="34" t="str"/>
      <x:c r="H345" s="34" t="str"/>
      <x:c r="I345" s="34" t="str"/>
      <x:c r="J345" s="34" t="str"/>
      <x:c r="K345" s="34" t="str"/>
      <x:c r="L345" s="34" t="str"/>
      <x:c r="M345" s="34" t="str">
        <x:f>IF(D345="","",IF(OR(D345="RG01",D345="RG02",D345="RG03",D345="RG06",D345="RG07",D345="RG08"),"核心","结构"))</x:f>
      </x:c>
      <x:c r="N345" s="34" t="str"/>
      <x:c r="O345" s="34" t="str"/>
    </x:row>
    <x:row r="346">
      <x:c r="A346" s="34" t="str">
        <x:v>M5-RG-0341</x:v>
      </x:c>
      <x:c r="B346" s="34" t="str"/>
      <x:c r="C346" s="34" t="str"/>
      <x:c r="D346" s="34" t="str"/>
      <x:c r="E346" s="34" t="str">
        <x:f>IF(D346="","",IF(D346="RG01","安全、同意与尊重",IF(D346="RG02","关系意图与承诺",IF(D346="RG03","价值观与人生目标",IF(D346="RG04","时间、地域与生活节奏",IF(D346="RG05","金钱、资源与劳动分配",IF(D346="RG06","家庭、婚育与照护责任",IF(D346="RG07","身体、亲密、隐私与健康",IF(D346="RG08","冲突、修复与学习意愿","")))))))))</x:f>
      </x:c>
      <x:c r="F346" s="34" t="str"/>
      <x:c r="G346" s="34" t="str"/>
      <x:c r="H346" s="34" t="str"/>
      <x:c r="I346" s="34" t="str"/>
      <x:c r="J346" s="34" t="str"/>
      <x:c r="K346" s="34" t="str"/>
      <x:c r="L346" s="34" t="str"/>
      <x:c r="M346" s="34" t="str">
        <x:f>IF(D346="","",IF(OR(D346="RG01",D346="RG02",D346="RG03",D346="RG06",D346="RG07",D346="RG08"),"核心","结构"))</x:f>
      </x:c>
      <x:c r="N346" s="34" t="str"/>
      <x:c r="O346" s="34" t="str"/>
    </x:row>
    <x:row r="347">
      <x:c r="A347" s="34" t="str">
        <x:v>M5-RG-0342</x:v>
      </x:c>
      <x:c r="B347" s="34" t="str"/>
      <x:c r="C347" s="34" t="str"/>
      <x:c r="D347" s="34" t="str"/>
      <x:c r="E347" s="34" t="str">
        <x:f>IF(D347="","",IF(D347="RG01","安全、同意与尊重",IF(D347="RG02","关系意图与承诺",IF(D347="RG03","价值观与人生目标",IF(D347="RG04","时间、地域与生活节奏",IF(D347="RG05","金钱、资源与劳动分配",IF(D347="RG06","家庭、婚育与照护责任",IF(D347="RG07","身体、亲密、隐私与健康",IF(D347="RG08","冲突、修复与学习意愿","")))))))))</x:f>
      </x:c>
      <x:c r="F347" s="34" t="str"/>
      <x:c r="G347" s="34" t="str"/>
      <x:c r="H347" s="34" t="str"/>
      <x:c r="I347" s="34" t="str"/>
      <x:c r="J347" s="34" t="str"/>
      <x:c r="K347" s="34" t="str"/>
      <x:c r="L347" s="34" t="str"/>
      <x:c r="M347" s="34" t="str">
        <x:f>IF(D347="","",IF(OR(D347="RG01",D347="RG02",D347="RG03",D347="RG06",D347="RG07",D347="RG08"),"核心","结构"))</x:f>
      </x:c>
      <x:c r="N347" s="34" t="str"/>
      <x:c r="O347" s="34" t="str"/>
    </x:row>
    <x:row r="348">
      <x:c r="A348" s="34" t="str">
        <x:v>M5-RG-0343</x:v>
      </x:c>
      <x:c r="B348" s="34" t="str"/>
      <x:c r="C348" s="34" t="str"/>
      <x:c r="D348" s="34" t="str"/>
      <x:c r="E348" s="34" t="str">
        <x:f>IF(D348="","",IF(D348="RG01","安全、同意与尊重",IF(D348="RG02","关系意图与承诺",IF(D348="RG03","价值观与人生目标",IF(D348="RG04","时间、地域与生活节奏",IF(D348="RG05","金钱、资源与劳动分配",IF(D348="RG06","家庭、婚育与照护责任",IF(D348="RG07","身体、亲密、隐私与健康",IF(D348="RG08","冲突、修复与学习意愿","")))))))))</x:f>
      </x:c>
      <x:c r="F348" s="34" t="str"/>
      <x:c r="G348" s="34" t="str"/>
      <x:c r="H348" s="34" t="str"/>
      <x:c r="I348" s="34" t="str"/>
      <x:c r="J348" s="34" t="str"/>
      <x:c r="K348" s="34" t="str"/>
      <x:c r="L348" s="34" t="str"/>
      <x:c r="M348" s="34" t="str">
        <x:f>IF(D348="","",IF(OR(D348="RG01",D348="RG02",D348="RG03",D348="RG06",D348="RG07",D348="RG08"),"核心","结构"))</x:f>
      </x:c>
      <x:c r="N348" s="34" t="str"/>
      <x:c r="O348" s="34" t="str"/>
    </x:row>
    <x:row r="349">
      <x:c r="A349" s="34" t="str">
        <x:v>M5-RG-0344</x:v>
      </x:c>
      <x:c r="B349" s="34" t="str"/>
      <x:c r="C349" s="34" t="str"/>
      <x:c r="D349" s="34" t="str"/>
      <x:c r="E349" s="34" t="str">
        <x:f>IF(D349="","",IF(D349="RG01","安全、同意与尊重",IF(D349="RG02","关系意图与承诺",IF(D349="RG03","价值观与人生目标",IF(D349="RG04","时间、地域与生活节奏",IF(D349="RG05","金钱、资源与劳动分配",IF(D349="RG06","家庭、婚育与照护责任",IF(D349="RG07","身体、亲密、隐私与健康",IF(D349="RG08","冲突、修复与学习意愿","")))))))))</x:f>
      </x:c>
      <x:c r="F349" s="34" t="str"/>
      <x:c r="G349" s="34" t="str"/>
      <x:c r="H349" s="34" t="str"/>
      <x:c r="I349" s="34" t="str"/>
      <x:c r="J349" s="34" t="str"/>
      <x:c r="K349" s="34" t="str"/>
      <x:c r="L349" s="34" t="str"/>
      <x:c r="M349" s="34" t="str">
        <x:f>IF(D349="","",IF(OR(D349="RG01",D349="RG02",D349="RG03",D349="RG06",D349="RG07",D349="RG08"),"核心","结构"))</x:f>
      </x:c>
      <x:c r="N349" s="34" t="str"/>
      <x:c r="O349" s="34" t="str"/>
    </x:row>
    <x:row r="350">
      <x:c r="A350" s="34" t="str">
        <x:v>M5-RG-0345</x:v>
      </x:c>
      <x:c r="B350" s="34" t="str"/>
      <x:c r="C350" s="34" t="str"/>
      <x:c r="D350" s="34" t="str"/>
      <x:c r="E350" s="34" t="str">
        <x:f>IF(D350="","",IF(D350="RG01","安全、同意与尊重",IF(D350="RG02","关系意图与承诺",IF(D350="RG03","价值观与人生目标",IF(D350="RG04","时间、地域与生活节奏",IF(D350="RG05","金钱、资源与劳动分配",IF(D350="RG06","家庭、婚育与照护责任",IF(D350="RG07","身体、亲密、隐私与健康",IF(D350="RG08","冲突、修复与学习意愿","")))))))))</x:f>
      </x:c>
      <x:c r="F350" s="34" t="str"/>
      <x:c r="G350" s="34" t="str"/>
      <x:c r="H350" s="34" t="str"/>
      <x:c r="I350" s="34" t="str"/>
      <x:c r="J350" s="34" t="str"/>
      <x:c r="K350" s="34" t="str"/>
      <x:c r="L350" s="34" t="str"/>
      <x:c r="M350" s="34" t="str">
        <x:f>IF(D350="","",IF(OR(D350="RG01",D350="RG02",D350="RG03",D350="RG06",D350="RG07",D350="RG08"),"核心","结构"))</x:f>
      </x:c>
      <x:c r="N350" s="34" t="str"/>
      <x:c r="O350" s="34" t="str"/>
    </x:row>
    <x:row r="351">
      <x:c r="A351" s="34" t="str">
        <x:v>M5-RG-0346</x:v>
      </x:c>
      <x:c r="B351" s="34" t="str"/>
      <x:c r="C351" s="34" t="str"/>
      <x:c r="D351" s="34" t="str"/>
      <x:c r="E351" s="34" t="str">
        <x:f>IF(D351="","",IF(D351="RG01","安全、同意与尊重",IF(D351="RG02","关系意图与承诺",IF(D351="RG03","价值观与人生目标",IF(D351="RG04","时间、地域与生活节奏",IF(D351="RG05","金钱、资源与劳动分配",IF(D351="RG06","家庭、婚育与照护责任",IF(D351="RG07","身体、亲密、隐私与健康",IF(D351="RG08","冲突、修复与学习意愿","")))))))))</x:f>
      </x:c>
      <x:c r="F351" s="34" t="str"/>
      <x:c r="G351" s="34" t="str"/>
      <x:c r="H351" s="34" t="str"/>
      <x:c r="I351" s="34" t="str"/>
      <x:c r="J351" s="34" t="str"/>
      <x:c r="K351" s="34" t="str"/>
      <x:c r="L351" s="34" t="str"/>
      <x:c r="M351" s="34" t="str">
        <x:f>IF(D351="","",IF(OR(D351="RG01",D351="RG02",D351="RG03",D351="RG06",D351="RG07",D351="RG08"),"核心","结构"))</x:f>
      </x:c>
      <x:c r="N351" s="34" t="str"/>
      <x:c r="O351" s="34" t="str"/>
    </x:row>
    <x:row r="352">
      <x:c r="A352" s="34" t="str">
        <x:v>M5-RG-0347</x:v>
      </x:c>
      <x:c r="B352" s="34" t="str"/>
      <x:c r="C352" s="34" t="str"/>
      <x:c r="D352" s="34" t="str"/>
      <x:c r="E352" s="34" t="str">
        <x:f>IF(D352="","",IF(D352="RG01","安全、同意与尊重",IF(D352="RG02","关系意图与承诺",IF(D352="RG03","价值观与人生目标",IF(D352="RG04","时间、地域与生活节奏",IF(D352="RG05","金钱、资源与劳动分配",IF(D352="RG06","家庭、婚育与照护责任",IF(D352="RG07","身体、亲密、隐私与健康",IF(D352="RG08","冲突、修复与学习意愿","")))))))))</x:f>
      </x:c>
      <x:c r="F352" s="34" t="str"/>
      <x:c r="G352" s="34" t="str"/>
      <x:c r="H352" s="34" t="str"/>
      <x:c r="I352" s="34" t="str"/>
      <x:c r="J352" s="34" t="str"/>
      <x:c r="K352" s="34" t="str"/>
      <x:c r="L352" s="34" t="str"/>
      <x:c r="M352" s="34" t="str">
        <x:f>IF(D352="","",IF(OR(D352="RG01",D352="RG02",D352="RG03",D352="RG06",D352="RG07",D352="RG08"),"核心","结构"))</x:f>
      </x:c>
      <x:c r="N352" s="34" t="str"/>
      <x:c r="O352" s="34" t="str"/>
    </x:row>
    <x:row r="353">
      <x:c r="A353" s="34" t="str">
        <x:v>M5-RG-0348</x:v>
      </x:c>
      <x:c r="B353" s="34" t="str"/>
      <x:c r="C353" s="34" t="str"/>
      <x:c r="D353" s="34" t="str"/>
      <x:c r="E353" s="34" t="str">
        <x:f>IF(D353="","",IF(D353="RG01","安全、同意与尊重",IF(D353="RG02","关系意图与承诺",IF(D353="RG03","价值观与人生目标",IF(D353="RG04","时间、地域与生活节奏",IF(D353="RG05","金钱、资源与劳动分配",IF(D353="RG06","家庭、婚育与照护责任",IF(D353="RG07","身体、亲密、隐私与健康",IF(D353="RG08","冲突、修复与学习意愿","")))))))))</x:f>
      </x:c>
      <x:c r="F353" s="34" t="str"/>
      <x:c r="G353" s="34" t="str"/>
      <x:c r="H353" s="34" t="str"/>
      <x:c r="I353" s="34" t="str"/>
      <x:c r="J353" s="34" t="str"/>
      <x:c r="K353" s="34" t="str"/>
      <x:c r="L353" s="34" t="str"/>
      <x:c r="M353" s="34" t="str">
        <x:f>IF(D353="","",IF(OR(D353="RG01",D353="RG02",D353="RG03",D353="RG06",D353="RG07",D353="RG08"),"核心","结构"))</x:f>
      </x:c>
      <x:c r="N353" s="34" t="str"/>
      <x:c r="O353" s="34" t="str"/>
    </x:row>
    <x:row r="354">
      <x:c r="A354" s="34" t="str">
        <x:v>M5-RG-0349</x:v>
      </x:c>
      <x:c r="B354" s="34" t="str"/>
      <x:c r="C354" s="34" t="str"/>
      <x:c r="D354" s="34" t="str"/>
      <x:c r="E354" s="34" t="str">
        <x:f>IF(D354="","",IF(D354="RG01","安全、同意与尊重",IF(D354="RG02","关系意图与承诺",IF(D354="RG03","价值观与人生目标",IF(D354="RG04","时间、地域与生活节奏",IF(D354="RG05","金钱、资源与劳动分配",IF(D354="RG06","家庭、婚育与照护责任",IF(D354="RG07","身体、亲密、隐私与健康",IF(D354="RG08","冲突、修复与学习意愿","")))))))))</x:f>
      </x:c>
      <x:c r="F354" s="34" t="str"/>
      <x:c r="G354" s="34" t="str"/>
      <x:c r="H354" s="34" t="str"/>
      <x:c r="I354" s="34" t="str"/>
      <x:c r="J354" s="34" t="str"/>
      <x:c r="K354" s="34" t="str"/>
      <x:c r="L354" s="34" t="str"/>
      <x:c r="M354" s="34" t="str">
        <x:f>IF(D354="","",IF(OR(D354="RG01",D354="RG02",D354="RG03",D354="RG06",D354="RG07",D354="RG08"),"核心","结构"))</x:f>
      </x:c>
      <x:c r="N354" s="34" t="str"/>
      <x:c r="O354" s="34" t="str"/>
    </x:row>
    <x:row r="355">
      <x:c r="A355" s="34" t="str">
        <x:v>M5-RG-0350</x:v>
      </x:c>
      <x:c r="B355" s="34" t="str"/>
      <x:c r="C355" s="34" t="str"/>
      <x:c r="D355" s="34" t="str"/>
      <x:c r="E355" s="34" t="str">
        <x:f>IF(D355="","",IF(D355="RG01","安全、同意与尊重",IF(D355="RG02","关系意图与承诺",IF(D355="RG03","价值观与人生目标",IF(D355="RG04","时间、地域与生活节奏",IF(D355="RG05","金钱、资源与劳动分配",IF(D355="RG06","家庭、婚育与照护责任",IF(D355="RG07","身体、亲密、隐私与健康",IF(D355="RG08","冲突、修复与学习意愿","")))))))))</x:f>
      </x:c>
      <x:c r="F355" s="34" t="str"/>
      <x:c r="G355" s="34" t="str"/>
      <x:c r="H355" s="34" t="str"/>
      <x:c r="I355" s="34" t="str"/>
      <x:c r="J355" s="34" t="str"/>
      <x:c r="K355" s="34" t="str"/>
      <x:c r="L355" s="34" t="str"/>
      <x:c r="M355" s="34" t="str">
        <x:f>IF(D355="","",IF(OR(D355="RG01",D355="RG02",D355="RG03",D355="RG06",D355="RG07",D355="RG08"),"核心","结构"))</x:f>
      </x:c>
      <x:c r="N355" s="34" t="str"/>
      <x:c r="O355" s="34" t="str"/>
    </x:row>
    <x:row r="356">
      <x:c r="A356" s="34" t="str">
        <x:v>M5-RG-0351</x:v>
      </x:c>
      <x:c r="B356" s="34" t="str"/>
      <x:c r="C356" s="34" t="str"/>
      <x:c r="D356" s="34" t="str"/>
      <x:c r="E356" s="34" t="str">
        <x:f>IF(D356="","",IF(D356="RG01","安全、同意与尊重",IF(D356="RG02","关系意图与承诺",IF(D356="RG03","价值观与人生目标",IF(D356="RG04","时间、地域与生活节奏",IF(D356="RG05","金钱、资源与劳动分配",IF(D356="RG06","家庭、婚育与照护责任",IF(D356="RG07","身体、亲密、隐私与健康",IF(D356="RG08","冲突、修复与学习意愿","")))))))))</x:f>
      </x:c>
      <x:c r="F356" s="34" t="str"/>
      <x:c r="G356" s="34" t="str"/>
      <x:c r="H356" s="34" t="str"/>
      <x:c r="I356" s="34" t="str"/>
      <x:c r="J356" s="34" t="str"/>
      <x:c r="K356" s="34" t="str"/>
      <x:c r="L356" s="34" t="str"/>
      <x:c r="M356" s="34" t="str">
        <x:f>IF(D356="","",IF(OR(D356="RG01",D356="RG02",D356="RG03",D356="RG06",D356="RG07",D356="RG08"),"核心","结构"))</x:f>
      </x:c>
      <x:c r="N356" s="34" t="str"/>
      <x:c r="O356" s="34" t="str"/>
    </x:row>
    <x:row r="357">
      <x:c r="A357" s="34" t="str">
        <x:v>M5-RG-0352</x:v>
      </x:c>
      <x:c r="B357" s="34" t="str"/>
      <x:c r="C357" s="34" t="str"/>
      <x:c r="D357" s="34" t="str"/>
      <x:c r="E357" s="34" t="str">
        <x:f>IF(D357="","",IF(D357="RG01","安全、同意与尊重",IF(D357="RG02","关系意图与承诺",IF(D357="RG03","价值观与人生目标",IF(D357="RG04","时间、地域与生活节奏",IF(D357="RG05","金钱、资源与劳动分配",IF(D357="RG06","家庭、婚育与照护责任",IF(D357="RG07","身体、亲密、隐私与健康",IF(D357="RG08","冲突、修复与学习意愿","")))))))))</x:f>
      </x:c>
      <x:c r="F357" s="34" t="str"/>
      <x:c r="G357" s="34" t="str"/>
      <x:c r="H357" s="34" t="str"/>
      <x:c r="I357" s="34" t="str"/>
      <x:c r="J357" s="34" t="str"/>
      <x:c r="K357" s="34" t="str"/>
      <x:c r="L357" s="34" t="str"/>
      <x:c r="M357" s="34" t="str">
        <x:f>IF(D357="","",IF(OR(D357="RG01",D357="RG02",D357="RG03",D357="RG06",D357="RG07",D357="RG08"),"核心","结构"))</x:f>
      </x:c>
      <x:c r="N357" s="34" t="str"/>
      <x:c r="O357" s="34" t="str"/>
    </x:row>
    <x:row r="358">
      <x:c r="A358" s="34" t="str">
        <x:v>M5-RG-0353</x:v>
      </x:c>
      <x:c r="B358" s="34" t="str"/>
      <x:c r="C358" s="34" t="str"/>
      <x:c r="D358" s="34" t="str"/>
      <x:c r="E358" s="34" t="str">
        <x:f>IF(D358="","",IF(D358="RG01","安全、同意与尊重",IF(D358="RG02","关系意图与承诺",IF(D358="RG03","价值观与人生目标",IF(D358="RG04","时间、地域与生活节奏",IF(D358="RG05","金钱、资源与劳动分配",IF(D358="RG06","家庭、婚育与照护责任",IF(D358="RG07","身体、亲密、隐私与健康",IF(D358="RG08","冲突、修复与学习意愿","")))))))))</x:f>
      </x:c>
      <x:c r="F358" s="34" t="str"/>
      <x:c r="G358" s="34" t="str"/>
      <x:c r="H358" s="34" t="str"/>
      <x:c r="I358" s="34" t="str"/>
      <x:c r="J358" s="34" t="str"/>
      <x:c r="K358" s="34" t="str"/>
      <x:c r="L358" s="34" t="str"/>
      <x:c r="M358" s="34" t="str">
        <x:f>IF(D358="","",IF(OR(D358="RG01",D358="RG02",D358="RG03",D358="RG06",D358="RG07",D358="RG08"),"核心","结构"))</x:f>
      </x:c>
      <x:c r="N358" s="34" t="str"/>
      <x:c r="O358" s="34" t="str"/>
    </x:row>
    <x:row r="359">
      <x:c r="A359" s="34" t="str">
        <x:v>M5-RG-0354</x:v>
      </x:c>
      <x:c r="B359" s="34" t="str"/>
      <x:c r="C359" s="34" t="str"/>
      <x:c r="D359" s="34" t="str"/>
      <x:c r="E359" s="34" t="str">
        <x:f>IF(D359="","",IF(D359="RG01","安全、同意与尊重",IF(D359="RG02","关系意图与承诺",IF(D359="RG03","价值观与人生目标",IF(D359="RG04","时间、地域与生活节奏",IF(D359="RG05","金钱、资源与劳动分配",IF(D359="RG06","家庭、婚育与照护责任",IF(D359="RG07","身体、亲密、隐私与健康",IF(D359="RG08","冲突、修复与学习意愿","")))))))))</x:f>
      </x:c>
      <x:c r="F359" s="34" t="str"/>
      <x:c r="G359" s="34" t="str"/>
      <x:c r="H359" s="34" t="str"/>
      <x:c r="I359" s="34" t="str"/>
      <x:c r="J359" s="34" t="str"/>
      <x:c r="K359" s="34" t="str"/>
      <x:c r="L359" s="34" t="str"/>
      <x:c r="M359" s="34" t="str">
        <x:f>IF(D359="","",IF(OR(D359="RG01",D359="RG02",D359="RG03",D359="RG06",D359="RG07",D359="RG08"),"核心","结构"))</x:f>
      </x:c>
      <x:c r="N359" s="34" t="str"/>
      <x:c r="O359" s="34" t="str"/>
    </x:row>
    <x:row r="360">
      <x:c r="A360" s="34" t="str">
        <x:v>M5-RG-0355</x:v>
      </x:c>
      <x:c r="B360" s="34" t="str"/>
      <x:c r="C360" s="34" t="str"/>
      <x:c r="D360" s="34" t="str"/>
      <x:c r="E360" s="34" t="str">
        <x:f>IF(D360="","",IF(D360="RG01","安全、同意与尊重",IF(D360="RG02","关系意图与承诺",IF(D360="RG03","价值观与人生目标",IF(D360="RG04","时间、地域与生活节奏",IF(D360="RG05","金钱、资源与劳动分配",IF(D360="RG06","家庭、婚育与照护责任",IF(D360="RG07","身体、亲密、隐私与健康",IF(D360="RG08","冲突、修复与学习意愿","")))))))))</x:f>
      </x:c>
      <x:c r="F360" s="34" t="str"/>
      <x:c r="G360" s="34" t="str"/>
      <x:c r="H360" s="34" t="str"/>
      <x:c r="I360" s="34" t="str"/>
      <x:c r="J360" s="34" t="str"/>
      <x:c r="K360" s="34" t="str"/>
      <x:c r="L360" s="34" t="str"/>
      <x:c r="M360" s="34" t="str">
        <x:f>IF(D360="","",IF(OR(D360="RG01",D360="RG02",D360="RG03",D360="RG06",D360="RG07",D360="RG08"),"核心","结构"))</x:f>
      </x:c>
      <x:c r="N360" s="34" t="str"/>
      <x:c r="O360" s="34" t="str"/>
    </x:row>
    <x:row r="361">
      <x:c r="A361" s="34" t="str">
        <x:v>M5-RG-0356</x:v>
      </x:c>
      <x:c r="B361" s="34" t="str"/>
      <x:c r="C361" s="34" t="str"/>
      <x:c r="D361" s="34" t="str"/>
      <x:c r="E361" s="34" t="str">
        <x:f>IF(D361="","",IF(D361="RG01","安全、同意与尊重",IF(D361="RG02","关系意图与承诺",IF(D361="RG03","价值观与人生目标",IF(D361="RG04","时间、地域与生活节奏",IF(D361="RG05","金钱、资源与劳动分配",IF(D361="RG06","家庭、婚育与照护责任",IF(D361="RG07","身体、亲密、隐私与健康",IF(D361="RG08","冲突、修复与学习意愿","")))))))))</x:f>
      </x:c>
      <x:c r="F361" s="34" t="str"/>
      <x:c r="G361" s="34" t="str"/>
      <x:c r="H361" s="34" t="str"/>
      <x:c r="I361" s="34" t="str"/>
      <x:c r="J361" s="34" t="str"/>
      <x:c r="K361" s="34" t="str"/>
      <x:c r="L361" s="34" t="str"/>
      <x:c r="M361" s="34" t="str">
        <x:f>IF(D361="","",IF(OR(D361="RG01",D361="RG02",D361="RG03",D361="RG06",D361="RG07",D361="RG08"),"核心","结构"))</x:f>
      </x:c>
      <x:c r="N361" s="34" t="str"/>
      <x:c r="O361" s="34" t="str"/>
    </x:row>
    <x:row r="362">
      <x:c r="A362" s="34" t="str">
        <x:v>M5-RG-0357</x:v>
      </x:c>
      <x:c r="B362" s="34" t="str"/>
      <x:c r="C362" s="34" t="str"/>
      <x:c r="D362" s="34" t="str"/>
      <x:c r="E362" s="34" t="str">
        <x:f>IF(D362="","",IF(D362="RG01","安全、同意与尊重",IF(D362="RG02","关系意图与承诺",IF(D362="RG03","价值观与人生目标",IF(D362="RG04","时间、地域与生活节奏",IF(D362="RG05","金钱、资源与劳动分配",IF(D362="RG06","家庭、婚育与照护责任",IF(D362="RG07","身体、亲密、隐私与健康",IF(D362="RG08","冲突、修复与学习意愿","")))))))))</x:f>
      </x:c>
      <x:c r="F362" s="34" t="str"/>
      <x:c r="G362" s="34" t="str"/>
      <x:c r="H362" s="34" t="str"/>
      <x:c r="I362" s="34" t="str"/>
      <x:c r="J362" s="34" t="str"/>
      <x:c r="K362" s="34" t="str"/>
      <x:c r="L362" s="34" t="str"/>
      <x:c r="M362" s="34" t="str">
        <x:f>IF(D362="","",IF(OR(D362="RG01",D362="RG02",D362="RG03",D362="RG06",D362="RG07",D362="RG08"),"核心","结构"))</x:f>
      </x:c>
      <x:c r="N362" s="34" t="str"/>
      <x:c r="O362" s="34" t="str"/>
    </x:row>
    <x:row r="363">
      <x:c r="A363" s="34" t="str">
        <x:v>M5-RG-0358</x:v>
      </x:c>
      <x:c r="B363" s="34" t="str"/>
      <x:c r="C363" s="34" t="str"/>
      <x:c r="D363" s="34" t="str"/>
      <x:c r="E363" s="34" t="str">
        <x:f>IF(D363="","",IF(D363="RG01","安全、同意与尊重",IF(D363="RG02","关系意图与承诺",IF(D363="RG03","价值观与人生目标",IF(D363="RG04","时间、地域与生活节奏",IF(D363="RG05","金钱、资源与劳动分配",IF(D363="RG06","家庭、婚育与照护责任",IF(D363="RG07","身体、亲密、隐私与健康",IF(D363="RG08","冲突、修复与学习意愿","")))))))))</x:f>
      </x:c>
      <x:c r="F363" s="34" t="str"/>
      <x:c r="G363" s="34" t="str"/>
      <x:c r="H363" s="34" t="str"/>
      <x:c r="I363" s="34" t="str"/>
      <x:c r="J363" s="34" t="str"/>
      <x:c r="K363" s="34" t="str"/>
      <x:c r="L363" s="34" t="str"/>
      <x:c r="M363" s="34" t="str">
        <x:f>IF(D363="","",IF(OR(D363="RG01",D363="RG02",D363="RG03",D363="RG06",D363="RG07",D363="RG08"),"核心","结构"))</x:f>
      </x:c>
      <x:c r="N363" s="34" t="str"/>
      <x:c r="O363" s="34" t="str"/>
    </x:row>
    <x:row r="364">
      <x:c r="A364" s="34" t="str">
        <x:v>M5-RG-0359</x:v>
      </x:c>
      <x:c r="B364" s="34" t="str"/>
      <x:c r="C364" s="34" t="str"/>
      <x:c r="D364" s="34" t="str"/>
      <x:c r="E364" s="34" t="str">
        <x:f>IF(D364="","",IF(D364="RG01","安全、同意与尊重",IF(D364="RG02","关系意图与承诺",IF(D364="RG03","价值观与人生目标",IF(D364="RG04","时间、地域与生活节奏",IF(D364="RG05","金钱、资源与劳动分配",IF(D364="RG06","家庭、婚育与照护责任",IF(D364="RG07","身体、亲密、隐私与健康",IF(D364="RG08","冲突、修复与学习意愿","")))))))))</x:f>
      </x:c>
      <x:c r="F364" s="34" t="str"/>
      <x:c r="G364" s="34" t="str"/>
      <x:c r="H364" s="34" t="str"/>
      <x:c r="I364" s="34" t="str"/>
      <x:c r="J364" s="34" t="str"/>
      <x:c r="K364" s="34" t="str"/>
      <x:c r="L364" s="34" t="str"/>
      <x:c r="M364" s="34" t="str">
        <x:f>IF(D364="","",IF(OR(D364="RG01",D364="RG02",D364="RG03",D364="RG06",D364="RG07",D364="RG08"),"核心","结构"))</x:f>
      </x:c>
      <x:c r="N364" s="34" t="str"/>
      <x:c r="O364" s="34" t="str"/>
    </x:row>
    <x:row r="365">
      <x:c r="A365" s="34" t="str">
        <x:v>M5-RG-0360</x:v>
      </x:c>
      <x:c r="B365" s="34" t="str"/>
      <x:c r="C365" s="34" t="str"/>
      <x:c r="D365" s="34" t="str"/>
      <x:c r="E365" s="34" t="str">
        <x:f>IF(D365="","",IF(D365="RG01","安全、同意与尊重",IF(D365="RG02","关系意图与承诺",IF(D365="RG03","价值观与人生目标",IF(D365="RG04","时间、地域与生活节奏",IF(D365="RG05","金钱、资源与劳动分配",IF(D365="RG06","家庭、婚育与照护责任",IF(D365="RG07","身体、亲密、隐私与健康",IF(D365="RG08","冲突、修复与学习意愿","")))))))))</x:f>
      </x:c>
      <x:c r="F365" s="34" t="str"/>
      <x:c r="G365" s="34" t="str"/>
      <x:c r="H365" s="34" t="str"/>
      <x:c r="I365" s="34" t="str"/>
      <x:c r="J365" s="34" t="str"/>
      <x:c r="K365" s="34" t="str"/>
      <x:c r="L365" s="34" t="str"/>
      <x:c r="M365" s="34" t="str">
        <x:f>IF(D365="","",IF(OR(D365="RG01",D365="RG02",D365="RG03",D365="RG06",D365="RG07",D365="RG08"),"核心","结构"))</x:f>
      </x:c>
      <x:c r="N365" s="34" t="str"/>
      <x:c r="O365" s="34" t="str"/>
    </x:row>
    <x:row r="366">
      <x:c r="A366" s="34" t="str">
        <x:v>M5-RG-0361</x:v>
      </x:c>
      <x:c r="B366" s="34" t="str"/>
      <x:c r="C366" s="34" t="str"/>
      <x:c r="D366" s="34" t="str"/>
      <x:c r="E366" s="34" t="str">
        <x:f>IF(D366="","",IF(D366="RG01","安全、同意与尊重",IF(D366="RG02","关系意图与承诺",IF(D366="RG03","价值观与人生目标",IF(D366="RG04","时间、地域与生活节奏",IF(D366="RG05","金钱、资源与劳动分配",IF(D366="RG06","家庭、婚育与照护责任",IF(D366="RG07","身体、亲密、隐私与健康",IF(D366="RG08","冲突、修复与学习意愿","")))))))))</x:f>
      </x:c>
      <x:c r="F366" s="34" t="str"/>
      <x:c r="G366" s="34" t="str"/>
      <x:c r="H366" s="34" t="str"/>
      <x:c r="I366" s="34" t="str"/>
      <x:c r="J366" s="34" t="str"/>
      <x:c r="K366" s="34" t="str"/>
      <x:c r="L366" s="34" t="str"/>
      <x:c r="M366" s="34" t="str">
        <x:f>IF(D366="","",IF(OR(D366="RG01",D366="RG02",D366="RG03",D366="RG06",D366="RG07",D366="RG08"),"核心","结构"))</x:f>
      </x:c>
      <x:c r="N366" s="34" t="str"/>
      <x:c r="O366" s="34" t="str"/>
    </x:row>
    <x:row r="367">
      <x:c r="A367" s="34" t="str">
        <x:v>M5-RG-0362</x:v>
      </x:c>
      <x:c r="B367" s="34" t="str"/>
      <x:c r="C367" s="34" t="str"/>
      <x:c r="D367" s="34" t="str"/>
      <x:c r="E367" s="34" t="str">
        <x:f>IF(D367="","",IF(D367="RG01","安全、同意与尊重",IF(D367="RG02","关系意图与承诺",IF(D367="RG03","价值观与人生目标",IF(D367="RG04","时间、地域与生活节奏",IF(D367="RG05","金钱、资源与劳动分配",IF(D367="RG06","家庭、婚育与照护责任",IF(D367="RG07","身体、亲密、隐私与健康",IF(D367="RG08","冲突、修复与学习意愿","")))))))))</x:f>
      </x:c>
      <x:c r="F367" s="34" t="str"/>
      <x:c r="G367" s="34" t="str"/>
      <x:c r="H367" s="34" t="str"/>
      <x:c r="I367" s="34" t="str"/>
      <x:c r="J367" s="34" t="str"/>
      <x:c r="K367" s="34" t="str"/>
      <x:c r="L367" s="34" t="str"/>
      <x:c r="M367" s="34" t="str">
        <x:f>IF(D367="","",IF(OR(D367="RG01",D367="RG02",D367="RG03",D367="RG06",D367="RG07",D367="RG08"),"核心","结构"))</x:f>
      </x:c>
      <x:c r="N367" s="34" t="str"/>
      <x:c r="O367" s="34" t="str"/>
    </x:row>
    <x:row r="368">
      <x:c r="A368" s="34" t="str">
        <x:v>M5-RG-0363</x:v>
      </x:c>
      <x:c r="B368" s="34" t="str"/>
      <x:c r="C368" s="34" t="str"/>
      <x:c r="D368" s="34" t="str"/>
      <x:c r="E368" s="34" t="str">
        <x:f>IF(D368="","",IF(D368="RG01","安全、同意与尊重",IF(D368="RG02","关系意图与承诺",IF(D368="RG03","价值观与人生目标",IF(D368="RG04","时间、地域与生活节奏",IF(D368="RG05","金钱、资源与劳动分配",IF(D368="RG06","家庭、婚育与照护责任",IF(D368="RG07","身体、亲密、隐私与健康",IF(D368="RG08","冲突、修复与学习意愿","")))))))))</x:f>
      </x:c>
      <x:c r="F368" s="34" t="str"/>
      <x:c r="G368" s="34" t="str"/>
      <x:c r="H368" s="34" t="str"/>
      <x:c r="I368" s="34" t="str"/>
      <x:c r="J368" s="34" t="str"/>
      <x:c r="K368" s="34" t="str"/>
      <x:c r="L368" s="34" t="str"/>
      <x:c r="M368" s="34" t="str">
        <x:f>IF(D368="","",IF(OR(D368="RG01",D368="RG02",D368="RG03",D368="RG06",D368="RG07",D368="RG08"),"核心","结构"))</x:f>
      </x:c>
      <x:c r="N368" s="34" t="str"/>
      <x:c r="O368" s="34" t="str"/>
    </x:row>
    <x:row r="369">
      <x:c r="A369" s="34" t="str">
        <x:v>M5-RG-0364</x:v>
      </x:c>
      <x:c r="B369" s="34" t="str"/>
      <x:c r="C369" s="34" t="str"/>
      <x:c r="D369" s="34" t="str"/>
      <x:c r="E369" s="34" t="str">
        <x:f>IF(D369="","",IF(D369="RG01","安全、同意与尊重",IF(D369="RG02","关系意图与承诺",IF(D369="RG03","价值观与人生目标",IF(D369="RG04","时间、地域与生活节奏",IF(D369="RG05","金钱、资源与劳动分配",IF(D369="RG06","家庭、婚育与照护责任",IF(D369="RG07","身体、亲密、隐私与健康",IF(D369="RG08","冲突、修复与学习意愿","")))))))))</x:f>
      </x:c>
      <x:c r="F369" s="34" t="str"/>
      <x:c r="G369" s="34" t="str"/>
      <x:c r="H369" s="34" t="str"/>
      <x:c r="I369" s="34" t="str"/>
      <x:c r="J369" s="34" t="str"/>
      <x:c r="K369" s="34" t="str"/>
      <x:c r="L369" s="34" t="str"/>
      <x:c r="M369" s="34" t="str">
        <x:f>IF(D369="","",IF(OR(D369="RG01",D369="RG02",D369="RG03",D369="RG06",D369="RG07",D369="RG08"),"核心","结构"))</x:f>
      </x:c>
      <x:c r="N369" s="34" t="str"/>
      <x:c r="O369" s="34" t="str"/>
    </x:row>
    <x:row r="370">
      <x:c r="A370" s="34" t="str">
        <x:v>M5-RG-0365</x:v>
      </x:c>
      <x:c r="B370" s="34" t="str"/>
      <x:c r="C370" s="34" t="str"/>
      <x:c r="D370" s="34" t="str"/>
      <x:c r="E370" s="34" t="str">
        <x:f>IF(D370="","",IF(D370="RG01","安全、同意与尊重",IF(D370="RG02","关系意图与承诺",IF(D370="RG03","价值观与人生目标",IF(D370="RG04","时间、地域与生活节奏",IF(D370="RG05","金钱、资源与劳动分配",IF(D370="RG06","家庭、婚育与照护责任",IF(D370="RG07","身体、亲密、隐私与健康",IF(D370="RG08","冲突、修复与学习意愿","")))))))))</x:f>
      </x:c>
      <x:c r="F370" s="34" t="str"/>
      <x:c r="G370" s="34" t="str"/>
      <x:c r="H370" s="34" t="str"/>
      <x:c r="I370" s="34" t="str"/>
      <x:c r="J370" s="34" t="str"/>
      <x:c r="K370" s="34" t="str"/>
      <x:c r="L370" s="34" t="str"/>
      <x:c r="M370" s="34" t="str">
        <x:f>IF(D370="","",IF(OR(D370="RG01",D370="RG02",D370="RG03",D370="RG06",D370="RG07",D370="RG08"),"核心","结构"))</x:f>
      </x:c>
      <x:c r="N370" s="34" t="str"/>
      <x:c r="O370" s="34" t="str"/>
    </x:row>
    <x:row r="371">
      <x:c r="A371" s="34" t="str">
        <x:v>M5-RG-0366</x:v>
      </x:c>
      <x:c r="B371" s="34" t="str"/>
      <x:c r="C371" s="34" t="str"/>
      <x:c r="D371" s="34" t="str"/>
      <x:c r="E371" s="34" t="str">
        <x:f>IF(D371="","",IF(D371="RG01","安全、同意与尊重",IF(D371="RG02","关系意图与承诺",IF(D371="RG03","价值观与人生目标",IF(D371="RG04","时间、地域与生活节奏",IF(D371="RG05","金钱、资源与劳动分配",IF(D371="RG06","家庭、婚育与照护责任",IF(D371="RG07","身体、亲密、隐私与健康",IF(D371="RG08","冲突、修复与学习意愿","")))))))))</x:f>
      </x:c>
      <x:c r="F371" s="34" t="str"/>
      <x:c r="G371" s="34" t="str"/>
      <x:c r="H371" s="34" t="str"/>
      <x:c r="I371" s="34" t="str"/>
      <x:c r="J371" s="34" t="str"/>
      <x:c r="K371" s="34" t="str"/>
      <x:c r="L371" s="34" t="str"/>
      <x:c r="M371" s="34" t="str">
        <x:f>IF(D371="","",IF(OR(D371="RG01",D371="RG02",D371="RG03",D371="RG06",D371="RG07",D371="RG08"),"核心","结构"))</x:f>
      </x:c>
      <x:c r="N371" s="34" t="str"/>
      <x:c r="O371" s="34" t="str"/>
    </x:row>
    <x:row r="372">
      <x:c r="A372" s="34" t="str">
        <x:v>M5-RG-0367</x:v>
      </x:c>
      <x:c r="B372" s="34" t="str"/>
      <x:c r="C372" s="34" t="str"/>
      <x:c r="D372" s="34" t="str"/>
      <x:c r="E372" s="34" t="str">
        <x:f>IF(D372="","",IF(D372="RG01","安全、同意与尊重",IF(D372="RG02","关系意图与承诺",IF(D372="RG03","价值观与人生目标",IF(D372="RG04","时间、地域与生活节奏",IF(D372="RG05","金钱、资源与劳动分配",IF(D372="RG06","家庭、婚育与照护责任",IF(D372="RG07","身体、亲密、隐私与健康",IF(D372="RG08","冲突、修复与学习意愿","")))))))))</x:f>
      </x:c>
      <x:c r="F372" s="34" t="str"/>
      <x:c r="G372" s="34" t="str"/>
      <x:c r="H372" s="34" t="str"/>
      <x:c r="I372" s="34" t="str"/>
      <x:c r="J372" s="34" t="str"/>
      <x:c r="K372" s="34" t="str"/>
      <x:c r="L372" s="34" t="str"/>
      <x:c r="M372" s="34" t="str">
        <x:f>IF(D372="","",IF(OR(D372="RG01",D372="RG02",D372="RG03",D372="RG06",D372="RG07",D372="RG08"),"核心","结构"))</x:f>
      </x:c>
      <x:c r="N372" s="34" t="str"/>
      <x:c r="O372" s="34" t="str"/>
    </x:row>
    <x:row r="373">
      <x:c r="A373" s="34" t="str">
        <x:v>M5-RG-0368</x:v>
      </x:c>
      <x:c r="B373" s="34" t="str"/>
      <x:c r="C373" s="34" t="str"/>
      <x:c r="D373" s="34" t="str"/>
      <x:c r="E373" s="34" t="str">
        <x:f>IF(D373="","",IF(D373="RG01","安全、同意与尊重",IF(D373="RG02","关系意图与承诺",IF(D373="RG03","价值观与人生目标",IF(D373="RG04","时间、地域与生活节奏",IF(D373="RG05","金钱、资源与劳动分配",IF(D373="RG06","家庭、婚育与照护责任",IF(D373="RG07","身体、亲密、隐私与健康",IF(D373="RG08","冲突、修复与学习意愿","")))))))))</x:f>
      </x:c>
      <x:c r="F373" s="34" t="str"/>
      <x:c r="G373" s="34" t="str"/>
      <x:c r="H373" s="34" t="str"/>
      <x:c r="I373" s="34" t="str"/>
      <x:c r="J373" s="34" t="str"/>
      <x:c r="K373" s="34" t="str"/>
      <x:c r="L373" s="34" t="str"/>
      <x:c r="M373" s="34" t="str">
        <x:f>IF(D373="","",IF(OR(D373="RG01",D373="RG02",D373="RG03",D373="RG06",D373="RG07",D373="RG08"),"核心","结构"))</x:f>
      </x:c>
      <x:c r="N373" s="34" t="str"/>
      <x:c r="O373" s="34" t="str"/>
    </x:row>
    <x:row r="374">
      <x:c r="A374" s="34" t="str">
        <x:v>M5-RG-0369</x:v>
      </x:c>
      <x:c r="B374" s="34" t="str"/>
      <x:c r="C374" s="34" t="str"/>
      <x:c r="D374" s="34" t="str"/>
      <x:c r="E374" s="34" t="str">
        <x:f>IF(D374="","",IF(D374="RG01","安全、同意与尊重",IF(D374="RG02","关系意图与承诺",IF(D374="RG03","价值观与人生目标",IF(D374="RG04","时间、地域与生活节奏",IF(D374="RG05","金钱、资源与劳动分配",IF(D374="RG06","家庭、婚育与照护责任",IF(D374="RG07","身体、亲密、隐私与健康",IF(D374="RG08","冲突、修复与学习意愿","")))))))))</x:f>
      </x:c>
      <x:c r="F374" s="34" t="str"/>
      <x:c r="G374" s="34" t="str"/>
      <x:c r="H374" s="34" t="str"/>
      <x:c r="I374" s="34" t="str"/>
      <x:c r="J374" s="34" t="str"/>
      <x:c r="K374" s="34" t="str"/>
      <x:c r="L374" s="34" t="str"/>
      <x:c r="M374" s="34" t="str">
        <x:f>IF(D374="","",IF(OR(D374="RG01",D374="RG02",D374="RG03",D374="RG06",D374="RG07",D374="RG08"),"核心","结构"))</x:f>
      </x:c>
      <x:c r="N374" s="34" t="str"/>
      <x:c r="O374" s="34" t="str"/>
    </x:row>
    <x:row r="375">
      <x:c r="A375" s="34" t="str">
        <x:v>M5-RG-0370</x:v>
      </x:c>
      <x:c r="B375" s="34" t="str"/>
      <x:c r="C375" s="34" t="str"/>
      <x:c r="D375" s="34" t="str"/>
      <x:c r="E375" s="34" t="str">
        <x:f>IF(D375="","",IF(D375="RG01","安全、同意与尊重",IF(D375="RG02","关系意图与承诺",IF(D375="RG03","价值观与人生目标",IF(D375="RG04","时间、地域与生活节奏",IF(D375="RG05","金钱、资源与劳动分配",IF(D375="RG06","家庭、婚育与照护责任",IF(D375="RG07","身体、亲密、隐私与健康",IF(D375="RG08","冲突、修复与学习意愿","")))))))))</x:f>
      </x:c>
      <x:c r="F375" s="34" t="str"/>
      <x:c r="G375" s="34" t="str"/>
      <x:c r="H375" s="34" t="str"/>
      <x:c r="I375" s="34" t="str"/>
      <x:c r="J375" s="34" t="str"/>
      <x:c r="K375" s="34" t="str"/>
      <x:c r="L375" s="34" t="str"/>
      <x:c r="M375" s="34" t="str">
        <x:f>IF(D375="","",IF(OR(D375="RG01",D375="RG02",D375="RG03",D375="RG06",D375="RG07",D375="RG08"),"核心","结构"))</x:f>
      </x:c>
      <x:c r="N375" s="34" t="str"/>
      <x:c r="O375" s="34" t="str"/>
    </x:row>
    <x:row r="376">
      <x:c r="A376" s="34" t="str">
        <x:v>M5-RG-0371</x:v>
      </x:c>
      <x:c r="B376" s="34" t="str"/>
      <x:c r="C376" s="34" t="str"/>
      <x:c r="D376" s="34" t="str"/>
      <x:c r="E376" s="34" t="str">
        <x:f>IF(D376="","",IF(D376="RG01","安全、同意与尊重",IF(D376="RG02","关系意图与承诺",IF(D376="RG03","价值观与人生目标",IF(D376="RG04","时间、地域与生活节奏",IF(D376="RG05","金钱、资源与劳动分配",IF(D376="RG06","家庭、婚育与照护责任",IF(D376="RG07","身体、亲密、隐私与健康",IF(D376="RG08","冲突、修复与学习意愿","")))))))))</x:f>
      </x:c>
      <x:c r="F376" s="34" t="str"/>
      <x:c r="G376" s="34" t="str"/>
      <x:c r="H376" s="34" t="str"/>
      <x:c r="I376" s="34" t="str"/>
      <x:c r="J376" s="34" t="str"/>
      <x:c r="K376" s="34" t="str"/>
      <x:c r="L376" s="34" t="str"/>
      <x:c r="M376" s="34" t="str">
        <x:f>IF(D376="","",IF(OR(D376="RG01",D376="RG02",D376="RG03",D376="RG06",D376="RG07",D376="RG08"),"核心","结构"))</x:f>
      </x:c>
      <x:c r="N376" s="34" t="str"/>
      <x:c r="O376" s="34" t="str"/>
    </x:row>
    <x:row r="377">
      <x:c r="A377" s="34" t="str">
        <x:v>M5-RG-0372</x:v>
      </x:c>
      <x:c r="B377" s="34" t="str"/>
      <x:c r="C377" s="34" t="str"/>
      <x:c r="D377" s="34" t="str"/>
      <x:c r="E377" s="34" t="str">
        <x:f>IF(D377="","",IF(D377="RG01","安全、同意与尊重",IF(D377="RG02","关系意图与承诺",IF(D377="RG03","价值观与人生目标",IF(D377="RG04","时间、地域与生活节奏",IF(D377="RG05","金钱、资源与劳动分配",IF(D377="RG06","家庭、婚育与照护责任",IF(D377="RG07","身体、亲密、隐私与健康",IF(D377="RG08","冲突、修复与学习意愿","")))))))))</x:f>
      </x:c>
      <x:c r="F377" s="34" t="str"/>
      <x:c r="G377" s="34" t="str"/>
      <x:c r="H377" s="34" t="str"/>
      <x:c r="I377" s="34" t="str"/>
      <x:c r="J377" s="34" t="str"/>
      <x:c r="K377" s="34" t="str"/>
      <x:c r="L377" s="34" t="str"/>
      <x:c r="M377" s="34" t="str">
        <x:f>IF(D377="","",IF(OR(D377="RG01",D377="RG02",D377="RG03",D377="RG06",D377="RG07",D377="RG08"),"核心","结构"))</x:f>
      </x:c>
      <x:c r="N377" s="34" t="str"/>
      <x:c r="O377" s="34" t="str"/>
    </x:row>
    <x:row r="378">
      <x:c r="A378" s="34" t="str">
        <x:v>M5-RG-0373</x:v>
      </x:c>
      <x:c r="B378" s="34" t="str"/>
      <x:c r="C378" s="34" t="str"/>
      <x:c r="D378" s="34" t="str"/>
      <x:c r="E378" s="34" t="str">
        <x:f>IF(D378="","",IF(D378="RG01","安全、同意与尊重",IF(D378="RG02","关系意图与承诺",IF(D378="RG03","价值观与人生目标",IF(D378="RG04","时间、地域与生活节奏",IF(D378="RG05","金钱、资源与劳动分配",IF(D378="RG06","家庭、婚育与照护责任",IF(D378="RG07","身体、亲密、隐私与健康",IF(D378="RG08","冲突、修复与学习意愿","")))))))))</x:f>
      </x:c>
      <x:c r="F378" s="34" t="str"/>
      <x:c r="G378" s="34" t="str"/>
      <x:c r="H378" s="34" t="str"/>
      <x:c r="I378" s="34" t="str"/>
      <x:c r="J378" s="34" t="str"/>
      <x:c r="K378" s="34" t="str"/>
      <x:c r="L378" s="34" t="str"/>
      <x:c r="M378" s="34" t="str">
        <x:f>IF(D378="","",IF(OR(D378="RG01",D378="RG02",D378="RG03",D378="RG06",D378="RG07",D378="RG08"),"核心","结构"))</x:f>
      </x:c>
      <x:c r="N378" s="34" t="str"/>
      <x:c r="O378" s="34" t="str"/>
    </x:row>
    <x:row r="379">
      <x:c r="A379" s="34" t="str">
        <x:v>M5-RG-0374</x:v>
      </x:c>
      <x:c r="B379" s="34" t="str"/>
      <x:c r="C379" s="34" t="str"/>
      <x:c r="D379" s="34" t="str"/>
      <x:c r="E379" s="34" t="str">
        <x:f>IF(D379="","",IF(D379="RG01","安全、同意与尊重",IF(D379="RG02","关系意图与承诺",IF(D379="RG03","价值观与人生目标",IF(D379="RG04","时间、地域与生活节奏",IF(D379="RG05","金钱、资源与劳动分配",IF(D379="RG06","家庭、婚育与照护责任",IF(D379="RG07","身体、亲密、隐私与健康",IF(D379="RG08","冲突、修复与学习意愿","")))))))))</x:f>
      </x:c>
      <x:c r="F379" s="34" t="str"/>
      <x:c r="G379" s="34" t="str"/>
      <x:c r="H379" s="34" t="str"/>
      <x:c r="I379" s="34" t="str"/>
      <x:c r="J379" s="34" t="str"/>
      <x:c r="K379" s="34" t="str"/>
      <x:c r="L379" s="34" t="str"/>
      <x:c r="M379" s="34" t="str">
        <x:f>IF(D379="","",IF(OR(D379="RG01",D379="RG02",D379="RG03",D379="RG06",D379="RG07",D379="RG08"),"核心","结构"))</x:f>
      </x:c>
      <x:c r="N379" s="34" t="str"/>
      <x:c r="O379" s="34" t="str"/>
    </x:row>
    <x:row r="380">
      <x:c r="A380" s="34" t="str">
        <x:v>M5-RG-0375</x:v>
      </x:c>
      <x:c r="B380" s="34" t="str"/>
      <x:c r="C380" s="34" t="str"/>
      <x:c r="D380" s="34" t="str"/>
      <x:c r="E380" s="34" t="str">
        <x:f>IF(D380="","",IF(D380="RG01","安全、同意与尊重",IF(D380="RG02","关系意图与承诺",IF(D380="RG03","价值观与人生目标",IF(D380="RG04","时间、地域与生活节奏",IF(D380="RG05","金钱、资源与劳动分配",IF(D380="RG06","家庭、婚育与照护责任",IF(D380="RG07","身体、亲密、隐私与健康",IF(D380="RG08","冲突、修复与学习意愿","")))))))))</x:f>
      </x:c>
      <x:c r="F380" s="34" t="str"/>
      <x:c r="G380" s="34" t="str"/>
      <x:c r="H380" s="34" t="str"/>
      <x:c r="I380" s="34" t="str"/>
      <x:c r="J380" s="34" t="str"/>
      <x:c r="K380" s="34" t="str"/>
      <x:c r="L380" s="34" t="str"/>
      <x:c r="M380" s="34" t="str">
        <x:f>IF(D380="","",IF(OR(D380="RG01",D380="RG02",D380="RG03",D380="RG06",D380="RG07",D380="RG08"),"核心","结构"))</x:f>
      </x:c>
      <x:c r="N380" s="34" t="str"/>
      <x:c r="O380" s="34" t="str"/>
    </x:row>
    <x:row r="381">
      <x:c r="A381" s="34" t="str">
        <x:v>M5-RG-0376</x:v>
      </x:c>
      <x:c r="B381" s="34" t="str"/>
      <x:c r="C381" s="34" t="str"/>
      <x:c r="D381" s="34" t="str"/>
      <x:c r="E381" s="34" t="str">
        <x:f>IF(D381="","",IF(D381="RG01","安全、同意与尊重",IF(D381="RG02","关系意图与承诺",IF(D381="RG03","价值观与人生目标",IF(D381="RG04","时间、地域与生活节奏",IF(D381="RG05","金钱、资源与劳动分配",IF(D381="RG06","家庭、婚育与照护责任",IF(D381="RG07","身体、亲密、隐私与健康",IF(D381="RG08","冲突、修复与学习意愿","")))))))))</x:f>
      </x:c>
      <x:c r="F381" s="34" t="str"/>
      <x:c r="G381" s="34" t="str"/>
      <x:c r="H381" s="34" t="str"/>
      <x:c r="I381" s="34" t="str"/>
      <x:c r="J381" s="34" t="str"/>
      <x:c r="K381" s="34" t="str"/>
      <x:c r="L381" s="34" t="str"/>
      <x:c r="M381" s="34" t="str">
        <x:f>IF(D381="","",IF(OR(D381="RG01",D381="RG02",D381="RG03",D381="RG06",D381="RG07",D381="RG08"),"核心","结构"))</x:f>
      </x:c>
      <x:c r="N381" s="34" t="str"/>
      <x:c r="O381" s="34" t="str"/>
    </x:row>
    <x:row r="382">
      <x:c r="A382" s="34" t="str">
        <x:v>M5-RG-0377</x:v>
      </x:c>
      <x:c r="B382" s="34" t="str"/>
      <x:c r="C382" s="34" t="str"/>
      <x:c r="D382" s="34" t="str"/>
      <x:c r="E382" s="34" t="str">
        <x:f>IF(D382="","",IF(D382="RG01","安全、同意与尊重",IF(D382="RG02","关系意图与承诺",IF(D382="RG03","价值观与人生目标",IF(D382="RG04","时间、地域与生活节奏",IF(D382="RG05","金钱、资源与劳动分配",IF(D382="RG06","家庭、婚育与照护责任",IF(D382="RG07","身体、亲密、隐私与健康",IF(D382="RG08","冲突、修复与学习意愿","")))))))))</x:f>
      </x:c>
      <x:c r="F382" s="34" t="str"/>
      <x:c r="G382" s="34" t="str"/>
      <x:c r="H382" s="34" t="str"/>
      <x:c r="I382" s="34" t="str"/>
      <x:c r="J382" s="34" t="str"/>
      <x:c r="K382" s="34" t="str"/>
      <x:c r="L382" s="34" t="str"/>
      <x:c r="M382" s="34" t="str">
        <x:f>IF(D382="","",IF(OR(D382="RG01",D382="RG02",D382="RG03",D382="RG06",D382="RG07",D382="RG08"),"核心","结构"))</x:f>
      </x:c>
      <x:c r="N382" s="34" t="str"/>
      <x:c r="O382" s="34" t="str"/>
    </x:row>
    <x:row r="383">
      <x:c r="A383" s="34" t="str">
        <x:v>M5-RG-0378</x:v>
      </x:c>
      <x:c r="B383" s="34" t="str"/>
      <x:c r="C383" s="34" t="str"/>
      <x:c r="D383" s="34" t="str"/>
      <x:c r="E383" s="34" t="str">
        <x:f>IF(D383="","",IF(D383="RG01","安全、同意与尊重",IF(D383="RG02","关系意图与承诺",IF(D383="RG03","价值观与人生目标",IF(D383="RG04","时间、地域与生活节奏",IF(D383="RG05","金钱、资源与劳动分配",IF(D383="RG06","家庭、婚育与照护责任",IF(D383="RG07","身体、亲密、隐私与健康",IF(D383="RG08","冲突、修复与学习意愿","")))))))))</x:f>
      </x:c>
      <x:c r="F383" s="34" t="str"/>
      <x:c r="G383" s="34" t="str"/>
      <x:c r="H383" s="34" t="str"/>
      <x:c r="I383" s="34" t="str"/>
      <x:c r="J383" s="34" t="str"/>
      <x:c r="K383" s="34" t="str"/>
      <x:c r="L383" s="34" t="str"/>
      <x:c r="M383" s="34" t="str">
        <x:f>IF(D383="","",IF(OR(D383="RG01",D383="RG02",D383="RG03",D383="RG06",D383="RG07",D383="RG08"),"核心","结构"))</x:f>
      </x:c>
      <x:c r="N383" s="34" t="str"/>
      <x:c r="O383" s="34" t="str"/>
    </x:row>
    <x:row r="384">
      <x:c r="A384" s="34" t="str">
        <x:v>M5-RG-0379</x:v>
      </x:c>
      <x:c r="B384" s="34" t="str"/>
      <x:c r="C384" s="34" t="str"/>
      <x:c r="D384" s="34" t="str"/>
      <x:c r="E384" s="34" t="str">
        <x:f>IF(D384="","",IF(D384="RG01","安全、同意与尊重",IF(D384="RG02","关系意图与承诺",IF(D384="RG03","价值观与人生目标",IF(D384="RG04","时间、地域与生活节奏",IF(D384="RG05","金钱、资源与劳动分配",IF(D384="RG06","家庭、婚育与照护责任",IF(D384="RG07","身体、亲密、隐私与健康",IF(D384="RG08","冲突、修复与学习意愿","")))))))))</x:f>
      </x:c>
      <x:c r="F384" s="34" t="str"/>
      <x:c r="G384" s="34" t="str"/>
      <x:c r="H384" s="34" t="str"/>
      <x:c r="I384" s="34" t="str"/>
      <x:c r="J384" s="34" t="str"/>
      <x:c r="K384" s="34" t="str"/>
      <x:c r="L384" s="34" t="str"/>
      <x:c r="M384" s="34" t="str">
        <x:f>IF(D384="","",IF(OR(D384="RG01",D384="RG02",D384="RG03",D384="RG06",D384="RG07",D384="RG08"),"核心","结构"))</x:f>
      </x:c>
      <x:c r="N384" s="34" t="str"/>
      <x:c r="O384" s="34" t="str"/>
    </x:row>
    <x:row r="385">
      <x:c r="A385" s="34" t="str">
        <x:v>M5-RG-0380</x:v>
      </x:c>
      <x:c r="B385" s="34" t="str"/>
      <x:c r="C385" s="34" t="str"/>
      <x:c r="D385" s="34" t="str"/>
      <x:c r="E385" s="34" t="str">
        <x:f>IF(D385="","",IF(D385="RG01","安全、同意与尊重",IF(D385="RG02","关系意图与承诺",IF(D385="RG03","价值观与人生目标",IF(D385="RG04","时间、地域与生活节奏",IF(D385="RG05","金钱、资源与劳动分配",IF(D385="RG06","家庭、婚育与照护责任",IF(D385="RG07","身体、亲密、隐私与健康",IF(D385="RG08","冲突、修复与学习意愿","")))))))))</x:f>
      </x:c>
      <x:c r="F385" s="34" t="str"/>
      <x:c r="G385" s="34" t="str"/>
      <x:c r="H385" s="34" t="str"/>
      <x:c r="I385" s="34" t="str"/>
      <x:c r="J385" s="34" t="str"/>
      <x:c r="K385" s="34" t="str"/>
      <x:c r="L385" s="34" t="str"/>
      <x:c r="M385" s="34" t="str">
        <x:f>IF(D385="","",IF(OR(D385="RG01",D385="RG02",D385="RG03",D385="RG06",D385="RG07",D385="RG08"),"核心","结构"))</x:f>
      </x:c>
      <x:c r="N385" s="34" t="str"/>
      <x:c r="O385" s="34" t="str"/>
    </x:row>
    <x:row r="386">
      <x:c r="A386" s="34" t="str">
        <x:v>M5-RG-0381</x:v>
      </x:c>
      <x:c r="B386" s="34" t="str"/>
      <x:c r="C386" s="34" t="str"/>
      <x:c r="D386" s="34" t="str"/>
      <x:c r="E386" s="34" t="str">
        <x:f>IF(D386="","",IF(D386="RG01","安全、同意与尊重",IF(D386="RG02","关系意图与承诺",IF(D386="RG03","价值观与人生目标",IF(D386="RG04","时间、地域与生活节奏",IF(D386="RG05","金钱、资源与劳动分配",IF(D386="RG06","家庭、婚育与照护责任",IF(D386="RG07","身体、亲密、隐私与健康",IF(D386="RG08","冲突、修复与学习意愿","")))))))))</x:f>
      </x:c>
      <x:c r="F386" s="34" t="str"/>
      <x:c r="G386" s="34" t="str"/>
      <x:c r="H386" s="34" t="str"/>
      <x:c r="I386" s="34" t="str"/>
      <x:c r="J386" s="34" t="str"/>
      <x:c r="K386" s="34" t="str"/>
      <x:c r="L386" s="34" t="str"/>
      <x:c r="M386" s="34" t="str">
        <x:f>IF(D386="","",IF(OR(D386="RG01",D386="RG02",D386="RG03",D386="RG06",D386="RG07",D386="RG08"),"核心","结构"))</x:f>
      </x:c>
      <x:c r="N386" s="34" t="str"/>
      <x:c r="O386" s="34" t="str"/>
    </x:row>
    <x:row r="387">
      <x:c r="A387" s="34" t="str">
        <x:v>M5-RG-0382</x:v>
      </x:c>
      <x:c r="B387" s="34" t="str"/>
      <x:c r="C387" s="34" t="str"/>
      <x:c r="D387" s="34" t="str"/>
      <x:c r="E387" s="34" t="str">
        <x:f>IF(D387="","",IF(D387="RG01","安全、同意与尊重",IF(D387="RG02","关系意图与承诺",IF(D387="RG03","价值观与人生目标",IF(D387="RG04","时间、地域与生活节奏",IF(D387="RG05","金钱、资源与劳动分配",IF(D387="RG06","家庭、婚育与照护责任",IF(D387="RG07","身体、亲密、隐私与健康",IF(D387="RG08","冲突、修复与学习意愿","")))))))))</x:f>
      </x:c>
      <x:c r="F387" s="34" t="str"/>
      <x:c r="G387" s="34" t="str"/>
      <x:c r="H387" s="34" t="str"/>
      <x:c r="I387" s="34" t="str"/>
      <x:c r="J387" s="34" t="str"/>
      <x:c r="K387" s="34" t="str"/>
      <x:c r="L387" s="34" t="str"/>
      <x:c r="M387" s="34" t="str">
        <x:f>IF(D387="","",IF(OR(D387="RG01",D387="RG02",D387="RG03",D387="RG06",D387="RG07",D387="RG08"),"核心","结构"))</x:f>
      </x:c>
      <x:c r="N387" s="34" t="str"/>
      <x:c r="O387" s="34" t="str"/>
    </x:row>
    <x:row r="388">
      <x:c r="A388" s="34" t="str">
        <x:v>M5-RG-0383</x:v>
      </x:c>
      <x:c r="B388" s="34" t="str"/>
      <x:c r="C388" s="34" t="str"/>
      <x:c r="D388" s="34" t="str"/>
      <x:c r="E388" s="34" t="str">
        <x:f>IF(D388="","",IF(D388="RG01","安全、同意与尊重",IF(D388="RG02","关系意图与承诺",IF(D388="RG03","价值观与人生目标",IF(D388="RG04","时间、地域与生活节奏",IF(D388="RG05","金钱、资源与劳动分配",IF(D388="RG06","家庭、婚育与照护责任",IF(D388="RG07","身体、亲密、隐私与健康",IF(D388="RG08","冲突、修复与学习意愿","")))))))))</x:f>
      </x:c>
      <x:c r="F388" s="34" t="str"/>
      <x:c r="G388" s="34" t="str"/>
      <x:c r="H388" s="34" t="str"/>
      <x:c r="I388" s="34" t="str"/>
      <x:c r="J388" s="34" t="str"/>
      <x:c r="K388" s="34" t="str"/>
      <x:c r="L388" s="34" t="str"/>
      <x:c r="M388" s="34" t="str">
        <x:f>IF(D388="","",IF(OR(D388="RG01",D388="RG02",D388="RG03",D388="RG06",D388="RG07",D388="RG08"),"核心","结构"))</x:f>
      </x:c>
      <x:c r="N388" s="34" t="str"/>
      <x:c r="O388" s="34" t="str"/>
    </x:row>
    <x:row r="389">
      <x:c r="A389" s="34" t="str">
        <x:v>M5-RG-0384</x:v>
      </x:c>
      <x:c r="B389" s="34" t="str"/>
      <x:c r="C389" s="34" t="str"/>
      <x:c r="D389" s="34" t="str"/>
      <x:c r="E389" s="34" t="str">
        <x:f>IF(D389="","",IF(D389="RG01","安全、同意与尊重",IF(D389="RG02","关系意图与承诺",IF(D389="RG03","价值观与人生目标",IF(D389="RG04","时间、地域与生活节奏",IF(D389="RG05","金钱、资源与劳动分配",IF(D389="RG06","家庭、婚育与照护责任",IF(D389="RG07","身体、亲密、隐私与健康",IF(D389="RG08","冲突、修复与学习意愿","")))))))))</x:f>
      </x:c>
      <x:c r="F389" s="34" t="str"/>
      <x:c r="G389" s="34" t="str"/>
      <x:c r="H389" s="34" t="str"/>
      <x:c r="I389" s="34" t="str"/>
      <x:c r="J389" s="34" t="str"/>
      <x:c r="K389" s="34" t="str"/>
      <x:c r="L389" s="34" t="str"/>
      <x:c r="M389" s="34" t="str">
        <x:f>IF(D389="","",IF(OR(D389="RG01",D389="RG02",D389="RG03",D389="RG06",D389="RG07",D389="RG08"),"核心","结构"))</x:f>
      </x:c>
      <x:c r="N389" s="34" t="str"/>
      <x:c r="O389" s="34" t="str"/>
    </x:row>
    <x:row r="390">
      <x:c r="A390" s="34" t="str">
        <x:v>M5-RG-0385</x:v>
      </x:c>
      <x:c r="B390" s="34" t="str"/>
      <x:c r="C390" s="34" t="str"/>
      <x:c r="D390" s="34" t="str"/>
      <x:c r="E390" s="34" t="str">
        <x:f>IF(D390="","",IF(D390="RG01","安全、同意与尊重",IF(D390="RG02","关系意图与承诺",IF(D390="RG03","价值观与人生目标",IF(D390="RG04","时间、地域与生活节奏",IF(D390="RG05","金钱、资源与劳动分配",IF(D390="RG06","家庭、婚育与照护责任",IF(D390="RG07","身体、亲密、隐私与健康",IF(D390="RG08","冲突、修复与学习意愿","")))))))))</x:f>
      </x:c>
      <x:c r="F390" s="34" t="str"/>
      <x:c r="G390" s="34" t="str"/>
      <x:c r="H390" s="34" t="str"/>
      <x:c r="I390" s="34" t="str"/>
      <x:c r="J390" s="34" t="str"/>
      <x:c r="K390" s="34" t="str"/>
      <x:c r="L390" s="34" t="str"/>
      <x:c r="M390" s="34" t="str">
        <x:f>IF(D390="","",IF(OR(D390="RG01",D390="RG02",D390="RG03",D390="RG06",D390="RG07",D390="RG08"),"核心","结构"))</x:f>
      </x:c>
      <x:c r="N390" s="34" t="str"/>
      <x:c r="O390" s="34" t="str"/>
    </x:row>
    <x:row r="391">
      <x:c r="A391" s="34" t="str">
        <x:v>M5-RG-0386</x:v>
      </x:c>
      <x:c r="B391" s="34" t="str"/>
      <x:c r="C391" s="34" t="str"/>
      <x:c r="D391" s="34" t="str"/>
      <x:c r="E391" s="34" t="str">
        <x:f>IF(D391="","",IF(D391="RG01","安全、同意与尊重",IF(D391="RG02","关系意图与承诺",IF(D391="RG03","价值观与人生目标",IF(D391="RG04","时间、地域与生活节奏",IF(D391="RG05","金钱、资源与劳动分配",IF(D391="RG06","家庭、婚育与照护责任",IF(D391="RG07","身体、亲密、隐私与健康",IF(D391="RG08","冲突、修复与学习意愿","")))))))))</x:f>
      </x:c>
      <x:c r="F391" s="34" t="str"/>
      <x:c r="G391" s="34" t="str"/>
      <x:c r="H391" s="34" t="str"/>
      <x:c r="I391" s="34" t="str"/>
      <x:c r="J391" s="34" t="str"/>
      <x:c r="K391" s="34" t="str"/>
      <x:c r="L391" s="34" t="str"/>
      <x:c r="M391" s="34" t="str">
        <x:f>IF(D391="","",IF(OR(D391="RG01",D391="RG02",D391="RG03",D391="RG06",D391="RG07",D391="RG08"),"核心","结构"))</x:f>
      </x:c>
      <x:c r="N391" s="34" t="str"/>
      <x:c r="O391" s="34" t="str"/>
    </x:row>
    <x:row r="392">
      <x:c r="A392" s="34" t="str">
        <x:v>M5-RG-0387</x:v>
      </x:c>
      <x:c r="B392" s="34" t="str"/>
      <x:c r="C392" s="34" t="str"/>
      <x:c r="D392" s="34" t="str"/>
      <x:c r="E392" s="34" t="str">
        <x:f>IF(D392="","",IF(D392="RG01","安全、同意与尊重",IF(D392="RG02","关系意图与承诺",IF(D392="RG03","价值观与人生目标",IF(D392="RG04","时间、地域与生活节奏",IF(D392="RG05","金钱、资源与劳动分配",IF(D392="RG06","家庭、婚育与照护责任",IF(D392="RG07","身体、亲密、隐私与健康",IF(D392="RG08","冲突、修复与学习意愿","")))))))))</x:f>
      </x:c>
      <x:c r="F392" s="34" t="str"/>
      <x:c r="G392" s="34" t="str"/>
      <x:c r="H392" s="34" t="str"/>
      <x:c r="I392" s="34" t="str"/>
      <x:c r="J392" s="34" t="str"/>
      <x:c r="K392" s="34" t="str"/>
      <x:c r="L392" s="34" t="str"/>
      <x:c r="M392" s="34" t="str">
        <x:f>IF(D392="","",IF(OR(D392="RG01",D392="RG02",D392="RG03",D392="RG06",D392="RG07",D392="RG08"),"核心","结构"))</x:f>
      </x:c>
      <x:c r="N392" s="34" t="str"/>
      <x:c r="O392" s="34" t="str"/>
    </x:row>
    <x:row r="393">
      <x:c r="A393" s="34" t="str">
        <x:v>M5-RG-0388</x:v>
      </x:c>
      <x:c r="B393" s="34" t="str"/>
      <x:c r="C393" s="34" t="str"/>
      <x:c r="D393" s="34" t="str"/>
      <x:c r="E393" s="34" t="str">
        <x:f>IF(D393="","",IF(D393="RG01","安全、同意与尊重",IF(D393="RG02","关系意图与承诺",IF(D393="RG03","价值观与人生目标",IF(D393="RG04","时间、地域与生活节奏",IF(D393="RG05","金钱、资源与劳动分配",IF(D393="RG06","家庭、婚育与照护责任",IF(D393="RG07","身体、亲密、隐私与健康",IF(D393="RG08","冲突、修复与学习意愿","")))))))))</x:f>
      </x:c>
      <x:c r="F393" s="34" t="str"/>
      <x:c r="G393" s="34" t="str"/>
      <x:c r="H393" s="34" t="str"/>
      <x:c r="I393" s="34" t="str"/>
      <x:c r="J393" s="34" t="str"/>
      <x:c r="K393" s="34" t="str"/>
      <x:c r="L393" s="34" t="str"/>
      <x:c r="M393" s="34" t="str">
        <x:f>IF(D393="","",IF(OR(D393="RG01",D393="RG02",D393="RG03",D393="RG06",D393="RG07",D393="RG08"),"核心","结构"))</x:f>
      </x:c>
      <x:c r="N393" s="34" t="str"/>
      <x:c r="O393" s="34" t="str"/>
    </x:row>
    <x:row r="394">
      <x:c r="A394" s="34" t="str">
        <x:v>M5-RG-0389</x:v>
      </x:c>
      <x:c r="B394" s="34" t="str"/>
      <x:c r="C394" s="34" t="str"/>
      <x:c r="D394" s="34" t="str"/>
      <x:c r="E394" s="34" t="str">
        <x:f>IF(D394="","",IF(D394="RG01","安全、同意与尊重",IF(D394="RG02","关系意图与承诺",IF(D394="RG03","价值观与人生目标",IF(D394="RG04","时间、地域与生活节奏",IF(D394="RG05","金钱、资源与劳动分配",IF(D394="RG06","家庭、婚育与照护责任",IF(D394="RG07","身体、亲密、隐私与健康",IF(D394="RG08","冲突、修复与学习意愿","")))))))))</x:f>
      </x:c>
      <x:c r="F394" s="34" t="str"/>
      <x:c r="G394" s="34" t="str"/>
      <x:c r="H394" s="34" t="str"/>
      <x:c r="I394" s="34" t="str"/>
      <x:c r="J394" s="34" t="str"/>
      <x:c r="K394" s="34" t="str"/>
      <x:c r="L394" s="34" t="str"/>
      <x:c r="M394" s="34" t="str">
        <x:f>IF(D394="","",IF(OR(D394="RG01",D394="RG02",D394="RG03",D394="RG06",D394="RG07",D394="RG08"),"核心","结构"))</x:f>
      </x:c>
      <x:c r="N394" s="34" t="str"/>
      <x:c r="O394" s="34" t="str"/>
    </x:row>
    <x:row r="395">
      <x:c r="A395" s="34" t="str">
        <x:v>M5-RG-0390</x:v>
      </x:c>
      <x:c r="B395" s="34" t="str"/>
      <x:c r="C395" s="34" t="str"/>
      <x:c r="D395" s="34" t="str"/>
      <x:c r="E395" s="34" t="str">
        <x:f>IF(D395="","",IF(D395="RG01","安全、同意与尊重",IF(D395="RG02","关系意图与承诺",IF(D395="RG03","价值观与人生目标",IF(D395="RG04","时间、地域与生活节奏",IF(D395="RG05","金钱、资源与劳动分配",IF(D395="RG06","家庭、婚育与照护责任",IF(D395="RG07","身体、亲密、隐私与健康",IF(D395="RG08","冲突、修复与学习意愿","")))))))))</x:f>
      </x:c>
      <x:c r="F395" s="34" t="str"/>
      <x:c r="G395" s="34" t="str"/>
      <x:c r="H395" s="34" t="str"/>
      <x:c r="I395" s="34" t="str"/>
      <x:c r="J395" s="34" t="str"/>
      <x:c r="K395" s="34" t="str"/>
      <x:c r="L395" s="34" t="str"/>
      <x:c r="M395" s="34" t="str">
        <x:f>IF(D395="","",IF(OR(D395="RG01",D395="RG02",D395="RG03",D395="RG06",D395="RG07",D395="RG08"),"核心","结构"))</x:f>
      </x:c>
      <x:c r="N395" s="34" t="str"/>
      <x:c r="O395" s="34" t="str"/>
    </x:row>
    <x:row r="396">
      <x:c r="A396" s="34" t="str">
        <x:v>M5-RG-0391</x:v>
      </x:c>
      <x:c r="B396" s="34" t="str"/>
      <x:c r="C396" s="34" t="str"/>
      <x:c r="D396" s="34" t="str"/>
      <x:c r="E396" s="34" t="str">
        <x:f>IF(D396="","",IF(D396="RG01","安全、同意与尊重",IF(D396="RG02","关系意图与承诺",IF(D396="RG03","价值观与人生目标",IF(D396="RG04","时间、地域与生活节奏",IF(D396="RG05","金钱、资源与劳动分配",IF(D396="RG06","家庭、婚育与照护责任",IF(D396="RG07","身体、亲密、隐私与健康",IF(D396="RG08","冲突、修复与学习意愿","")))))))))</x:f>
      </x:c>
      <x:c r="F396" s="34" t="str"/>
      <x:c r="G396" s="34" t="str"/>
      <x:c r="H396" s="34" t="str"/>
      <x:c r="I396" s="34" t="str"/>
      <x:c r="J396" s="34" t="str"/>
      <x:c r="K396" s="34" t="str"/>
      <x:c r="L396" s="34" t="str"/>
      <x:c r="M396" s="34" t="str">
        <x:f>IF(D396="","",IF(OR(D396="RG01",D396="RG02",D396="RG03",D396="RG06",D396="RG07",D396="RG08"),"核心","结构"))</x:f>
      </x:c>
      <x:c r="N396" s="34" t="str"/>
      <x:c r="O396" s="34" t="str"/>
    </x:row>
    <x:row r="397">
      <x:c r="A397" s="34" t="str">
        <x:v>M5-RG-0392</x:v>
      </x:c>
      <x:c r="B397" s="34" t="str"/>
      <x:c r="C397" s="34" t="str"/>
      <x:c r="D397" s="34" t="str"/>
      <x:c r="E397" s="34" t="str">
        <x:f>IF(D397="","",IF(D397="RG01","安全、同意与尊重",IF(D397="RG02","关系意图与承诺",IF(D397="RG03","价值观与人生目标",IF(D397="RG04","时间、地域与生活节奏",IF(D397="RG05","金钱、资源与劳动分配",IF(D397="RG06","家庭、婚育与照护责任",IF(D397="RG07","身体、亲密、隐私与健康",IF(D397="RG08","冲突、修复与学习意愿","")))))))))</x:f>
      </x:c>
      <x:c r="F397" s="34" t="str"/>
      <x:c r="G397" s="34" t="str"/>
      <x:c r="H397" s="34" t="str"/>
      <x:c r="I397" s="34" t="str"/>
      <x:c r="J397" s="34" t="str"/>
      <x:c r="K397" s="34" t="str"/>
      <x:c r="L397" s="34" t="str"/>
      <x:c r="M397" s="34" t="str">
        <x:f>IF(D397="","",IF(OR(D397="RG01",D397="RG02",D397="RG03",D397="RG06",D397="RG07",D397="RG08"),"核心","结构"))</x:f>
      </x:c>
      <x:c r="N397" s="34" t="str"/>
      <x:c r="O397" s="34" t="str"/>
    </x:row>
    <x:row r="398">
      <x:c r="A398" s="34" t="str">
        <x:v>M5-RG-0393</x:v>
      </x:c>
      <x:c r="B398" s="34" t="str"/>
      <x:c r="C398" s="34" t="str"/>
      <x:c r="D398" s="34" t="str"/>
      <x:c r="E398" s="34" t="str">
        <x:f>IF(D398="","",IF(D398="RG01","安全、同意与尊重",IF(D398="RG02","关系意图与承诺",IF(D398="RG03","价值观与人生目标",IF(D398="RG04","时间、地域与生活节奏",IF(D398="RG05","金钱、资源与劳动分配",IF(D398="RG06","家庭、婚育与照护责任",IF(D398="RG07","身体、亲密、隐私与健康",IF(D398="RG08","冲突、修复与学习意愿","")))))))))</x:f>
      </x:c>
      <x:c r="F398" s="34" t="str"/>
      <x:c r="G398" s="34" t="str"/>
      <x:c r="H398" s="34" t="str"/>
      <x:c r="I398" s="34" t="str"/>
      <x:c r="J398" s="34" t="str"/>
      <x:c r="K398" s="34" t="str"/>
      <x:c r="L398" s="34" t="str"/>
      <x:c r="M398" s="34" t="str">
        <x:f>IF(D398="","",IF(OR(D398="RG01",D398="RG02",D398="RG03",D398="RG06",D398="RG07",D398="RG08"),"核心","结构"))</x:f>
      </x:c>
      <x:c r="N398" s="34" t="str"/>
      <x:c r="O398" s="34" t="str"/>
    </x:row>
    <x:row r="399">
      <x:c r="A399" s="34" t="str">
        <x:v>M5-RG-0394</x:v>
      </x:c>
      <x:c r="B399" s="34" t="str"/>
      <x:c r="C399" s="34" t="str"/>
      <x:c r="D399" s="34" t="str"/>
      <x:c r="E399" s="34" t="str">
        <x:f>IF(D399="","",IF(D399="RG01","安全、同意与尊重",IF(D399="RG02","关系意图与承诺",IF(D399="RG03","价值观与人生目标",IF(D399="RG04","时间、地域与生活节奏",IF(D399="RG05","金钱、资源与劳动分配",IF(D399="RG06","家庭、婚育与照护责任",IF(D399="RG07","身体、亲密、隐私与健康",IF(D399="RG08","冲突、修复与学习意愿","")))))))))</x:f>
      </x:c>
      <x:c r="F399" s="34" t="str"/>
      <x:c r="G399" s="34" t="str"/>
      <x:c r="H399" s="34" t="str"/>
      <x:c r="I399" s="34" t="str"/>
      <x:c r="J399" s="34" t="str"/>
      <x:c r="K399" s="34" t="str"/>
      <x:c r="L399" s="34" t="str"/>
      <x:c r="M399" s="34" t="str">
        <x:f>IF(D399="","",IF(OR(D399="RG01",D399="RG02",D399="RG03",D399="RG06",D399="RG07",D399="RG08"),"核心","结构"))</x:f>
      </x:c>
      <x:c r="N399" s="34" t="str"/>
      <x:c r="O399" s="34" t="str"/>
    </x:row>
    <x:row r="400">
      <x:c r="A400" s="34" t="str">
        <x:v>M5-RG-0395</x:v>
      </x:c>
      <x:c r="B400" s="34" t="str"/>
      <x:c r="C400" s="34" t="str"/>
      <x:c r="D400" s="34" t="str"/>
      <x:c r="E400" s="34" t="str">
        <x:f>IF(D400="","",IF(D400="RG01","安全、同意与尊重",IF(D400="RG02","关系意图与承诺",IF(D400="RG03","价值观与人生目标",IF(D400="RG04","时间、地域与生活节奏",IF(D400="RG05","金钱、资源与劳动分配",IF(D400="RG06","家庭、婚育与照护责任",IF(D400="RG07","身体、亲密、隐私与健康",IF(D400="RG08","冲突、修复与学习意愿","")))))))))</x:f>
      </x:c>
      <x:c r="F400" s="34" t="str"/>
      <x:c r="G400" s="34" t="str"/>
      <x:c r="H400" s="34" t="str"/>
      <x:c r="I400" s="34" t="str"/>
      <x:c r="J400" s="34" t="str"/>
      <x:c r="K400" s="34" t="str"/>
      <x:c r="L400" s="34" t="str"/>
      <x:c r="M400" s="34" t="str">
        <x:f>IF(D400="","",IF(OR(D400="RG01",D400="RG02",D400="RG03",D400="RG06",D400="RG07",D400="RG08"),"核心","结构"))</x:f>
      </x:c>
      <x:c r="N400" s="34" t="str"/>
      <x:c r="O400" s="34" t="str"/>
    </x:row>
    <x:row r="401">
      <x:c r="A401" s="34" t="str">
        <x:v>M5-RG-0396</x:v>
      </x:c>
      <x:c r="B401" s="34" t="str"/>
      <x:c r="C401" s="34" t="str"/>
      <x:c r="D401" s="34" t="str"/>
      <x:c r="E401" s="34" t="str">
        <x:f>IF(D401="","",IF(D401="RG01","安全、同意与尊重",IF(D401="RG02","关系意图与承诺",IF(D401="RG03","价值观与人生目标",IF(D401="RG04","时间、地域与生活节奏",IF(D401="RG05","金钱、资源与劳动分配",IF(D401="RG06","家庭、婚育与照护责任",IF(D401="RG07","身体、亲密、隐私与健康",IF(D401="RG08","冲突、修复与学习意愿","")))))))))</x:f>
      </x:c>
      <x:c r="F401" s="34" t="str"/>
      <x:c r="G401" s="34" t="str"/>
      <x:c r="H401" s="34" t="str"/>
      <x:c r="I401" s="34" t="str"/>
      <x:c r="J401" s="34" t="str"/>
      <x:c r="K401" s="34" t="str"/>
      <x:c r="L401" s="34" t="str"/>
      <x:c r="M401" s="34" t="str">
        <x:f>IF(D401="","",IF(OR(D401="RG01",D401="RG02",D401="RG03",D401="RG06",D401="RG07",D401="RG08"),"核心","结构"))</x:f>
      </x:c>
      <x:c r="N401" s="34" t="str"/>
      <x:c r="O401" s="34" t="str"/>
    </x:row>
    <x:row r="402">
      <x:c r="A402" s="34" t="str">
        <x:v>M5-RG-0397</x:v>
      </x:c>
      <x:c r="B402" s="34" t="str"/>
      <x:c r="C402" s="34" t="str"/>
      <x:c r="D402" s="34" t="str"/>
      <x:c r="E402" s="34" t="str">
        <x:f>IF(D402="","",IF(D402="RG01","安全、同意与尊重",IF(D402="RG02","关系意图与承诺",IF(D402="RG03","价值观与人生目标",IF(D402="RG04","时间、地域与生活节奏",IF(D402="RG05","金钱、资源与劳动分配",IF(D402="RG06","家庭、婚育与照护责任",IF(D402="RG07","身体、亲密、隐私与健康",IF(D402="RG08","冲突、修复与学习意愿","")))))))))</x:f>
      </x:c>
      <x:c r="F402" s="34" t="str"/>
      <x:c r="G402" s="34" t="str"/>
      <x:c r="H402" s="34" t="str"/>
      <x:c r="I402" s="34" t="str"/>
      <x:c r="J402" s="34" t="str"/>
      <x:c r="K402" s="34" t="str"/>
      <x:c r="L402" s="34" t="str"/>
      <x:c r="M402" s="34" t="str">
        <x:f>IF(D402="","",IF(OR(D402="RG01",D402="RG02",D402="RG03",D402="RG06",D402="RG07",D402="RG08"),"核心","结构"))</x:f>
      </x:c>
      <x:c r="N402" s="34" t="str"/>
      <x:c r="O402" s="34" t="str"/>
    </x:row>
    <x:row r="403">
      <x:c r="A403" s="34" t="str">
        <x:v>M5-RG-0398</x:v>
      </x:c>
      <x:c r="B403" s="34" t="str"/>
      <x:c r="C403" s="34" t="str"/>
      <x:c r="D403" s="34" t="str"/>
      <x:c r="E403" s="34" t="str">
        <x:f>IF(D403="","",IF(D403="RG01","安全、同意与尊重",IF(D403="RG02","关系意图与承诺",IF(D403="RG03","价值观与人生目标",IF(D403="RG04","时间、地域与生活节奏",IF(D403="RG05","金钱、资源与劳动分配",IF(D403="RG06","家庭、婚育与照护责任",IF(D403="RG07","身体、亲密、隐私与健康",IF(D403="RG08","冲突、修复与学习意愿","")))))))))</x:f>
      </x:c>
      <x:c r="F403" s="34" t="str"/>
      <x:c r="G403" s="34" t="str"/>
      <x:c r="H403" s="34" t="str"/>
      <x:c r="I403" s="34" t="str"/>
      <x:c r="J403" s="34" t="str"/>
      <x:c r="K403" s="34" t="str"/>
      <x:c r="L403" s="34" t="str"/>
      <x:c r="M403" s="34" t="str">
        <x:f>IF(D403="","",IF(OR(D403="RG01",D403="RG02",D403="RG03",D403="RG06",D403="RG07",D403="RG08"),"核心","结构"))</x:f>
      </x:c>
      <x:c r="N403" s="34" t="str"/>
      <x:c r="O403" s="34" t="str"/>
    </x:row>
    <x:row r="404">
      <x:c r="A404" s="34" t="str">
        <x:v>M5-RG-0399</x:v>
      </x:c>
      <x:c r="B404" s="34" t="str"/>
      <x:c r="C404" s="34" t="str"/>
      <x:c r="D404" s="34" t="str"/>
      <x:c r="E404" s="34" t="str">
        <x:f>IF(D404="","",IF(D404="RG01","安全、同意与尊重",IF(D404="RG02","关系意图与承诺",IF(D404="RG03","价值观与人生目标",IF(D404="RG04","时间、地域与生活节奏",IF(D404="RG05","金钱、资源与劳动分配",IF(D404="RG06","家庭、婚育与照护责任",IF(D404="RG07","身体、亲密、隐私与健康",IF(D404="RG08","冲突、修复与学习意愿","")))))))))</x:f>
      </x:c>
      <x:c r="F404" s="34" t="str"/>
      <x:c r="G404" s="34" t="str"/>
      <x:c r="H404" s="34" t="str"/>
      <x:c r="I404" s="34" t="str"/>
      <x:c r="J404" s="34" t="str"/>
      <x:c r="K404" s="34" t="str"/>
      <x:c r="L404" s="34" t="str"/>
      <x:c r="M404" s="34" t="str">
        <x:f>IF(D404="","",IF(OR(D404="RG01",D404="RG02",D404="RG03",D404="RG06",D404="RG07",D404="RG08"),"核心","结构"))</x:f>
      </x:c>
      <x:c r="N404" s="34" t="str"/>
      <x:c r="O404" s="34" t="str"/>
    </x:row>
    <x:row r="405">
      <x:c r="A405" s="34" t="str">
        <x:v>M5-RG-0400</x:v>
      </x:c>
      <x:c r="B405" s="34" t="str"/>
      <x:c r="C405" s="34" t="str"/>
      <x:c r="D405" s="34" t="str"/>
      <x:c r="E405" s="34" t="str">
        <x:f>IF(D405="","",IF(D405="RG01","安全、同意与尊重",IF(D405="RG02","关系意图与承诺",IF(D405="RG03","价值观与人生目标",IF(D405="RG04","时间、地域与生活节奏",IF(D405="RG05","金钱、资源与劳动分配",IF(D405="RG06","家庭、婚育与照护责任",IF(D405="RG07","身体、亲密、隐私与健康",IF(D405="RG08","冲突、修复与学习意愿","")))))))))</x:f>
      </x:c>
      <x:c r="F405" s="34" t="str"/>
      <x:c r="G405" s="34" t="str"/>
      <x:c r="H405" s="34" t="str"/>
      <x:c r="I405" s="34" t="str"/>
      <x:c r="J405" s="34" t="str"/>
      <x:c r="K405" s="34" t="str"/>
      <x:c r="L405" s="34" t="str"/>
      <x:c r="M405" s="34" t="str">
        <x:f>IF(D405="","",IF(OR(D405="RG01",D405="RG02",D405="RG03",D405="RG06",D405="RG07",D405="RG08"),"核心","结构"))</x:f>
      </x:c>
      <x:c r="N405" s="34" t="str"/>
      <x:c r="O405" s="34" t="str"/>
    </x:row>
  </x:sheetData>
  <x:mergeCells>
    <x:mergeCell ref="A1:O2"/>
    <x:mergeCell ref="A3:O3"/>
  </x:mergeCells>
  <x:conditionalFormatting sqref="G6:G405">
    <x:cfRule type="expression" dxfId="2" priority="1">
      <x:formula>$G6="fail"</x:formula>
    </x:cfRule>
    <x:cfRule type="expression" dxfId="3" priority="2">
      <x:formula>$G6="pass"</x:formula>
    </x:cfRule>
  </x:conditionalFormatting>
  <x:dataValidations count="3">
    <x:dataValidation type="list" sqref="D6:D405">
      <x:formula1>"RG01,RG02,RG03,RG04,RG05,RG06,RG07,RG08"</x:formula1>
    </x:dataValidation>
    <x:dataValidation type="list" sqref="F6:G405">
      <x:formula1>"pass,conditional,fail,unknown,not_assessed"</x:formula1>
    </x:dataValidation>
    <x:dataValidation type="list" sqref="H6:H405">
      <x:formula1>"完全吻合,基本吻合,部分吻合,明显不符,不可评估"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6dab0ebacb492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28" hidden="0" customWidth="1"/>
    <x:col min="6" max="6" width="40" hidden="0" customWidth="1"/>
    <x:col min="7" max="7" width="40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8" hidden="0" customWidth="1"/>
    <x:col min="14" max="14" width="32" hidden="0" customWidth="1"/>
    <x:col min="15" max="15" width="40" hidden="0" customWidth="1"/>
    <x:col min="16" max="16" width="18" hidden="0" customWidth="1"/>
    <x:col min="17" max="17" width="28" hidden="0" customWidth="1"/>
    <x:col min="18" max="18" width="16" hidden="0" customWidth="1"/>
    <x:col min="19" max="19" width="16" hidden="0" customWidth="1"/>
    <x:col min="20" max="20" width="40" hidden="0" customWidth="1"/>
  </x:cols>
  <x:sheetData>
    <x:row r="1">
      <x:c r="A1" s="6" t="str">
        <x:v>预测字段与现实值核验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3">
      <x:c r="A3" s="16" t="str">
        <x:v>所有“准／不准”必须落到字段、证据和偏差代码。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</x:row>
    <x:row r="5">
      <x:c r="A5" s="26" t="str">
        <x:v>eval_id</x:v>
      </x:c>
      <x:c r="B5" s="26" t="str">
        <x:v>case_id</x:v>
      </x:c>
      <x:c r="C5" s="26" t="str">
        <x:v>snapshot_id</x:v>
      </x:c>
      <x:c r="D5" s="26" t="str">
        <x:v>模块</x:v>
      </x:c>
      <x:c r="E5" s="26" t="str">
        <x:v>输出字段</x:v>
      </x:c>
      <x:c r="F5" s="26" t="str">
        <x:v>预测值</x:v>
      </x:c>
      <x:c r="G5" s="26" t="str">
        <x:v>现实值</x:v>
      </x:c>
      <x:c r="H5" s="26" t="str">
        <x:v>匹配等级</x:v>
      </x:c>
      <x:c r="I5" s="26" t="str">
        <x:v>匹配分</x:v>
      </x:c>
      <x:c r="J5" s="26" t="str">
        <x:v>假阳性</x:v>
      </x:c>
      <x:c r="K5" s="26" t="str">
        <x:v>假阴性</x:v>
      </x:c>
      <x:c r="L5" s="26" t="str">
        <x:v>可评估</x:v>
      </x:c>
      <x:c r="M5" s="26" t="str">
        <x:v>现实证据等级</x:v>
      </x:c>
      <x:c r="N5" s="26" t="str">
        <x:v>event_ids</x:v>
      </x:c>
      <x:c r="O5" s="26" t="str">
        <x:v>现实反例</x:v>
      </x:c>
      <x:c r="P5" s="26" t="str">
        <x:v>偏差代码</x:v>
      </x:c>
      <x:c r="Q5" s="26" t="str">
        <x:v>语言问题</x:v>
      </x:c>
      <x:c r="R5" s="26" t="str">
        <x:v>复核者</x:v>
      </x:c>
      <x:c r="S5" s="26" t="str">
        <x:v>复核状态</x:v>
      </x:c>
      <x:c r="T5" s="26" t="str">
        <x:v>备注</x:v>
      </x:c>
    </x:row>
    <x:row r="6">
      <x:c r="A6" s="34" t="str">
        <x:v>M5-EVAL-0001</x:v>
      </x:c>
      <x:c r="B6" s="34" t="str"/>
      <x:c r="C6" s="34" t="str"/>
      <x:c r="D6" s="34" t="str"/>
      <x:c r="E6" s="34" t="str"/>
      <x:c r="F6" s="34" t="str"/>
      <x:c r="G6" s="34" t="str"/>
      <x:c r="H6" s="34" t="str"/>
      <x:c r="I6" s="38" t="str">
        <x:f>IF(H6="","",IF(H6="完全吻合",1,IF(H6="基本吻合",0.75,IF(H6="部分吻合",0.5,IF(H6="明显不符",0,"")))))</x:f>
      </x:c>
      <x:c r="J6" s="34" t="str"/>
      <x:c r="K6" s="34" t="str"/>
      <x:c r="L6" s="34" t="str"/>
      <x:c r="M6" s="34" t="str"/>
      <x:c r="N6" s="34" t="str"/>
      <x:c r="O6" s="34" t="str"/>
      <x:c r="P6" s="34" t="str"/>
      <x:c r="Q6" s="34" t="str"/>
      <x:c r="R6" s="34" t="str"/>
      <x:c r="S6" s="34" t="str"/>
      <x:c r="T6" s="34" t="str"/>
    </x:row>
    <x:row r="7">
      <x:c r="A7" s="34" t="str">
        <x:v>M5-EVAL-0002</x:v>
      </x:c>
      <x:c r="B7" s="34" t="str"/>
      <x:c r="C7" s="34" t="str"/>
      <x:c r="D7" s="34" t="str"/>
      <x:c r="E7" s="34" t="str"/>
      <x:c r="F7" s="34" t="str"/>
      <x:c r="G7" s="34" t="str"/>
      <x:c r="H7" s="34" t="str"/>
      <x:c r="I7" s="38" t="str">
        <x:f>IF(H7="","",IF(H7="完全吻合",1,IF(H7="基本吻合",0.75,IF(H7="部分吻合",0.5,IF(H7="明显不符",0,"")))))</x:f>
      </x:c>
      <x:c r="J7" s="34" t="str"/>
      <x:c r="K7" s="34" t="str"/>
      <x:c r="L7" s="34" t="str"/>
      <x:c r="M7" s="34" t="str"/>
      <x:c r="N7" s="34" t="str"/>
      <x:c r="O7" s="34" t="str"/>
      <x:c r="P7" s="34" t="str"/>
      <x:c r="Q7" s="34" t="str"/>
      <x:c r="R7" s="34" t="str"/>
      <x:c r="S7" s="34" t="str"/>
      <x:c r="T7" s="34" t="str"/>
    </x:row>
    <x:row r="8">
      <x:c r="A8" s="34" t="str">
        <x:v>M5-EVAL-0003</x:v>
      </x:c>
      <x:c r="B8" s="34" t="str"/>
      <x:c r="C8" s="34" t="str"/>
      <x:c r="D8" s="34" t="str"/>
      <x:c r="E8" s="34" t="str"/>
      <x:c r="F8" s="34" t="str"/>
      <x:c r="G8" s="34" t="str"/>
      <x:c r="H8" s="34" t="str"/>
      <x:c r="I8" s="38" t="str">
        <x:f>IF(H8="","",IF(H8="完全吻合",1,IF(H8="基本吻合",0.75,IF(H8="部分吻合",0.5,IF(H8="明显不符",0,"")))))</x:f>
      </x:c>
      <x:c r="J8" s="34" t="str"/>
      <x:c r="K8" s="34" t="str"/>
      <x:c r="L8" s="34" t="str"/>
      <x:c r="M8" s="34" t="str"/>
      <x:c r="N8" s="34" t="str"/>
      <x:c r="O8" s="34" t="str"/>
      <x:c r="P8" s="34" t="str"/>
      <x:c r="Q8" s="34" t="str"/>
      <x:c r="R8" s="34" t="str"/>
      <x:c r="S8" s="34" t="str"/>
      <x:c r="T8" s="34" t="str"/>
    </x:row>
    <x:row r="9">
      <x:c r="A9" s="34" t="str">
        <x:v>M5-EVAL-0004</x:v>
      </x:c>
      <x:c r="B9" s="34" t="str"/>
      <x:c r="C9" s="34" t="str"/>
      <x:c r="D9" s="34" t="str"/>
      <x:c r="E9" s="34" t="str"/>
      <x:c r="F9" s="34" t="str"/>
      <x:c r="G9" s="34" t="str"/>
      <x:c r="H9" s="34" t="str"/>
      <x:c r="I9" s="38" t="str">
        <x:f>IF(H9="","",IF(H9="完全吻合",1,IF(H9="基本吻合",0.75,IF(H9="部分吻合",0.5,IF(H9="明显不符",0,"")))))</x:f>
      </x:c>
      <x:c r="J9" s="34" t="str"/>
      <x:c r="K9" s="34" t="str"/>
      <x:c r="L9" s="34" t="str"/>
      <x:c r="M9" s="34" t="str"/>
      <x:c r="N9" s="34" t="str"/>
      <x:c r="O9" s="34" t="str"/>
      <x:c r="P9" s="34" t="str"/>
      <x:c r="Q9" s="34" t="str"/>
      <x:c r="R9" s="34" t="str"/>
      <x:c r="S9" s="34" t="str"/>
      <x:c r="T9" s="34" t="str"/>
    </x:row>
    <x:row r="10">
      <x:c r="A10" s="34" t="str">
        <x:v>M5-EVAL-0005</x:v>
      </x:c>
      <x:c r="B10" s="34" t="str"/>
      <x:c r="C10" s="34" t="str"/>
      <x:c r="D10" s="34" t="str"/>
      <x:c r="E10" s="34" t="str"/>
      <x:c r="F10" s="34" t="str"/>
      <x:c r="G10" s="34" t="str"/>
      <x:c r="H10" s="34" t="str"/>
      <x:c r="I10" s="38" t="str">
        <x:f>IF(H10="","",IF(H10="完全吻合",1,IF(H10="基本吻合",0.75,IF(H10="部分吻合",0.5,IF(H10="明显不符",0,"")))))</x:f>
      </x:c>
      <x:c r="J10" s="34" t="str"/>
      <x:c r="K10" s="34" t="str"/>
      <x:c r="L10" s="34" t="str"/>
      <x:c r="M10" s="34" t="str"/>
      <x:c r="N10" s="34" t="str"/>
      <x:c r="O10" s="34" t="str"/>
      <x:c r="P10" s="34" t="str"/>
      <x:c r="Q10" s="34" t="str"/>
      <x:c r="R10" s="34" t="str"/>
      <x:c r="S10" s="34" t="str"/>
      <x:c r="T10" s="34" t="str"/>
    </x:row>
    <x:row r="11">
      <x:c r="A11" s="34" t="str">
        <x:v>M5-EVAL-0006</x:v>
      </x:c>
      <x:c r="B11" s="34" t="str"/>
      <x:c r="C11" s="34" t="str"/>
      <x:c r="D11" s="34" t="str"/>
      <x:c r="E11" s="34" t="str"/>
      <x:c r="F11" s="34" t="str"/>
      <x:c r="G11" s="34" t="str"/>
      <x:c r="H11" s="34" t="str"/>
      <x:c r="I11" s="38" t="str">
        <x:f>IF(H11="","",IF(H11="完全吻合",1,IF(H11="基本吻合",0.75,IF(H11="部分吻合",0.5,IF(H11="明显不符",0,"")))))</x:f>
      </x:c>
      <x:c r="J11" s="34" t="str"/>
      <x:c r="K11" s="34" t="str"/>
      <x:c r="L11" s="34" t="str"/>
      <x:c r="M11" s="34" t="str"/>
      <x:c r="N11" s="34" t="str"/>
      <x:c r="O11" s="34" t="str"/>
      <x:c r="P11" s="34" t="str"/>
      <x:c r="Q11" s="34" t="str"/>
      <x:c r="R11" s="34" t="str"/>
      <x:c r="S11" s="34" t="str"/>
      <x:c r="T11" s="34" t="str"/>
    </x:row>
    <x:row r="12">
      <x:c r="A12" s="34" t="str">
        <x:v>M5-EVAL-0007</x:v>
      </x:c>
      <x:c r="B12" s="34" t="str"/>
      <x:c r="C12" s="34" t="str"/>
      <x:c r="D12" s="34" t="str"/>
      <x:c r="E12" s="34" t="str"/>
      <x:c r="F12" s="34" t="str"/>
      <x:c r="G12" s="34" t="str"/>
      <x:c r="H12" s="34" t="str"/>
      <x:c r="I12" s="38" t="str">
        <x:f>IF(H12="","",IF(H12="完全吻合",1,IF(H12="基本吻合",0.75,IF(H12="部分吻合",0.5,IF(H12="明显不符",0,"")))))</x:f>
      </x:c>
      <x:c r="J12" s="34" t="str"/>
      <x:c r="K12" s="34" t="str"/>
      <x:c r="L12" s="34" t="str"/>
      <x:c r="M12" s="34" t="str"/>
      <x:c r="N12" s="34" t="str"/>
      <x:c r="O12" s="34" t="str"/>
      <x:c r="P12" s="34" t="str"/>
      <x:c r="Q12" s="34" t="str"/>
      <x:c r="R12" s="34" t="str"/>
      <x:c r="S12" s="34" t="str"/>
      <x:c r="T12" s="34" t="str"/>
    </x:row>
    <x:row r="13">
      <x:c r="A13" s="34" t="str">
        <x:v>M5-EVAL-0008</x:v>
      </x:c>
      <x:c r="B13" s="34" t="str"/>
      <x:c r="C13" s="34" t="str"/>
      <x:c r="D13" s="34" t="str"/>
      <x:c r="E13" s="34" t="str"/>
      <x:c r="F13" s="34" t="str"/>
      <x:c r="G13" s="34" t="str"/>
      <x:c r="H13" s="34" t="str"/>
      <x:c r="I13" s="38" t="str">
        <x:f>IF(H13="","",IF(H13="完全吻合",1,IF(H13="基本吻合",0.75,IF(H13="部分吻合",0.5,IF(H13="明显不符",0,"")))))</x:f>
      </x:c>
      <x:c r="J13" s="34" t="str"/>
      <x:c r="K13" s="34" t="str"/>
      <x:c r="L13" s="34" t="str"/>
      <x:c r="M13" s="34" t="str"/>
      <x:c r="N13" s="34" t="str"/>
      <x:c r="O13" s="34" t="str"/>
      <x:c r="P13" s="34" t="str"/>
      <x:c r="Q13" s="34" t="str"/>
      <x:c r="R13" s="34" t="str"/>
      <x:c r="S13" s="34" t="str"/>
      <x:c r="T13" s="34" t="str"/>
    </x:row>
    <x:row r="14">
      <x:c r="A14" s="34" t="str">
        <x:v>M5-EVAL-0009</x:v>
      </x:c>
      <x:c r="B14" s="34" t="str"/>
      <x:c r="C14" s="34" t="str"/>
      <x:c r="D14" s="34" t="str"/>
      <x:c r="E14" s="34" t="str"/>
      <x:c r="F14" s="34" t="str"/>
      <x:c r="G14" s="34" t="str"/>
      <x:c r="H14" s="34" t="str"/>
      <x:c r="I14" s="38" t="str">
        <x:f>IF(H14="","",IF(H14="完全吻合",1,IF(H14="基本吻合",0.75,IF(H14="部分吻合",0.5,IF(H14="明显不符",0,"")))))</x:f>
      </x:c>
      <x:c r="J14" s="34" t="str"/>
      <x:c r="K14" s="34" t="str"/>
      <x:c r="L14" s="34" t="str"/>
      <x:c r="M14" s="34" t="str"/>
      <x:c r="N14" s="34" t="str"/>
      <x:c r="O14" s="34" t="str"/>
      <x:c r="P14" s="34" t="str"/>
      <x:c r="Q14" s="34" t="str"/>
      <x:c r="R14" s="34" t="str"/>
      <x:c r="S14" s="34" t="str"/>
      <x:c r="T14" s="34" t="str"/>
    </x:row>
    <x:row r="15">
      <x:c r="A15" s="34" t="str">
        <x:v>M5-EVAL-0010</x:v>
      </x:c>
      <x:c r="B15" s="34" t="str"/>
      <x:c r="C15" s="34" t="str"/>
      <x:c r="D15" s="34" t="str"/>
      <x:c r="E15" s="34" t="str"/>
      <x:c r="F15" s="34" t="str"/>
      <x:c r="G15" s="34" t="str"/>
      <x:c r="H15" s="34" t="str"/>
      <x:c r="I15" s="38" t="str">
        <x:f>IF(H15="","",IF(H15="完全吻合",1,IF(H15="基本吻合",0.75,IF(H15="部分吻合",0.5,IF(H15="明显不符",0,"")))))</x:f>
      </x:c>
      <x:c r="J15" s="34" t="str"/>
      <x:c r="K15" s="34" t="str"/>
      <x:c r="L15" s="34" t="str"/>
      <x:c r="M15" s="34" t="str"/>
      <x:c r="N15" s="34" t="str"/>
      <x:c r="O15" s="34" t="str"/>
      <x:c r="P15" s="34" t="str"/>
      <x:c r="Q15" s="34" t="str"/>
      <x:c r="R15" s="34" t="str"/>
      <x:c r="S15" s="34" t="str"/>
      <x:c r="T15" s="34" t="str"/>
    </x:row>
    <x:row r="16">
      <x:c r="A16" s="34" t="str">
        <x:v>M5-EVAL-0011</x:v>
      </x:c>
      <x:c r="B16" s="34" t="str"/>
      <x:c r="C16" s="34" t="str"/>
      <x:c r="D16" s="34" t="str"/>
      <x:c r="E16" s="34" t="str"/>
      <x:c r="F16" s="34" t="str"/>
      <x:c r="G16" s="34" t="str"/>
      <x:c r="H16" s="34" t="str"/>
      <x:c r="I16" s="38" t="str">
        <x:f>IF(H16="","",IF(H16="完全吻合",1,IF(H16="基本吻合",0.75,IF(H16="部分吻合",0.5,IF(H16="明显不符",0,"")))))</x:f>
      </x:c>
      <x:c r="J16" s="34" t="str"/>
      <x:c r="K16" s="34" t="str"/>
      <x:c r="L16" s="34" t="str"/>
      <x:c r="M16" s="34" t="str"/>
      <x:c r="N16" s="34" t="str"/>
      <x:c r="O16" s="34" t="str"/>
      <x:c r="P16" s="34" t="str"/>
      <x:c r="Q16" s="34" t="str"/>
      <x:c r="R16" s="34" t="str"/>
      <x:c r="S16" s="34" t="str"/>
      <x:c r="T16" s="34" t="str"/>
    </x:row>
    <x:row r="17">
      <x:c r="A17" s="34" t="str">
        <x:v>M5-EVAL-0012</x:v>
      </x:c>
      <x:c r="B17" s="34" t="str"/>
      <x:c r="C17" s="34" t="str"/>
      <x:c r="D17" s="34" t="str"/>
      <x:c r="E17" s="34" t="str"/>
      <x:c r="F17" s="34" t="str"/>
      <x:c r="G17" s="34" t="str"/>
      <x:c r="H17" s="34" t="str"/>
      <x:c r="I17" s="38" t="str">
        <x:f>IF(H17="","",IF(H17="完全吻合",1,IF(H17="基本吻合",0.75,IF(H17="部分吻合",0.5,IF(H17="明显不符",0,"")))))</x:f>
      </x:c>
      <x:c r="J17" s="34" t="str"/>
      <x:c r="K17" s="34" t="str"/>
      <x:c r="L17" s="34" t="str"/>
      <x:c r="M17" s="34" t="str"/>
      <x:c r="N17" s="34" t="str"/>
      <x:c r="O17" s="34" t="str"/>
      <x:c r="P17" s="34" t="str"/>
      <x:c r="Q17" s="34" t="str"/>
      <x:c r="R17" s="34" t="str"/>
      <x:c r="S17" s="34" t="str"/>
      <x:c r="T17" s="34" t="str"/>
    </x:row>
    <x:row r="18">
      <x:c r="A18" s="34" t="str">
        <x:v>M5-EVAL-0013</x:v>
      </x:c>
      <x:c r="B18" s="34" t="str"/>
      <x:c r="C18" s="34" t="str"/>
      <x:c r="D18" s="34" t="str"/>
      <x:c r="E18" s="34" t="str"/>
      <x:c r="F18" s="34" t="str"/>
      <x:c r="G18" s="34" t="str"/>
      <x:c r="H18" s="34" t="str"/>
      <x:c r="I18" s="38" t="str">
        <x:f>IF(H18="","",IF(H18="完全吻合",1,IF(H18="基本吻合",0.75,IF(H18="部分吻合",0.5,IF(H18="明显不符",0,"")))))</x:f>
      </x:c>
      <x:c r="J18" s="34" t="str"/>
      <x:c r="K18" s="34" t="str"/>
      <x:c r="L18" s="34" t="str"/>
      <x:c r="M18" s="34" t="str"/>
      <x:c r="N18" s="34" t="str"/>
      <x:c r="O18" s="34" t="str"/>
      <x:c r="P18" s="34" t="str"/>
      <x:c r="Q18" s="34" t="str"/>
      <x:c r="R18" s="34" t="str"/>
      <x:c r="S18" s="34" t="str"/>
      <x:c r="T18" s="34" t="str"/>
    </x:row>
    <x:row r="19">
      <x:c r="A19" s="34" t="str">
        <x:v>M5-EVAL-0014</x:v>
      </x:c>
      <x:c r="B19" s="34" t="str"/>
      <x:c r="C19" s="34" t="str"/>
      <x:c r="D19" s="34" t="str"/>
      <x:c r="E19" s="34" t="str"/>
      <x:c r="F19" s="34" t="str"/>
      <x:c r="G19" s="34" t="str"/>
      <x:c r="H19" s="34" t="str"/>
      <x:c r="I19" s="38" t="str">
        <x:f>IF(H19="","",IF(H19="完全吻合",1,IF(H19="基本吻合",0.75,IF(H19="部分吻合",0.5,IF(H19="明显不符",0,"")))))</x:f>
      </x:c>
      <x:c r="J19" s="34" t="str"/>
      <x:c r="K19" s="34" t="str"/>
      <x:c r="L19" s="34" t="str"/>
      <x:c r="M19" s="34" t="str"/>
      <x:c r="N19" s="34" t="str"/>
      <x:c r="O19" s="34" t="str"/>
      <x:c r="P19" s="34" t="str"/>
      <x:c r="Q19" s="34" t="str"/>
      <x:c r="R19" s="34" t="str"/>
      <x:c r="S19" s="34" t="str"/>
      <x:c r="T19" s="34" t="str"/>
    </x:row>
    <x:row r="20">
      <x:c r="A20" s="34" t="str">
        <x:v>M5-EVAL-0015</x:v>
      </x:c>
      <x:c r="B20" s="34" t="str"/>
      <x:c r="C20" s="34" t="str"/>
      <x:c r="D20" s="34" t="str"/>
      <x:c r="E20" s="34" t="str"/>
      <x:c r="F20" s="34" t="str"/>
      <x:c r="G20" s="34" t="str"/>
      <x:c r="H20" s="34" t="str"/>
      <x:c r="I20" s="38" t="str">
        <x:f>IF(H20="","",IF(H20="完全吻合",1,IF(H20="基本吻合",0.75,IF(H20="部分吻合",0.5,IF(H20="明显不符",0,"")))))</x:f>
      </x:c>
      <x:c r="J20" s="34" t="str"/>
      <x:c r="K20" s="34" t="str"/>
      <x:c r="L20" s="34" t="str"/>
      <x:c r="M20" s="34" t="str"/>
      <x:c r="N20" s="34" t="str"/>
      <x:c r="O20" s="34" t="str"/>
      <x:c r="P20" s="34" t="str"/>
      <x:c r="Q20" s="34" t="str"/>
      <x:c r="R20" s="34" t="str"/>
      <x:c r="S20" s="34" t="str"/>
      <x:c r="T20" s="34" t="str"/>
    </x:row>
    <x:row r="21">
      <x:c r="A21" s="34" t="str">
        <x:v>M5-EVAL-0016</x:v>
      </x:c>
      <x:c r="B21" s="34" t="str"/>
      <x:c r="C21" s="34" t="str"/>
      <x:c r="D21" s="34" t="str"/>
      <x:c r="E21" s="34" t="str"/>
      <x:c r="F21" s="34" t="str"/>
      <x:c r="G21" s="34" t="str"/>
      <x:c r="H21" s="34" t="str"/>
      <x:c r="I21" s="38" t="str">
        <x:f>IF(H21="","",IF(H21="完全吻合",1,IF(H21="基本吻合",0.75,IF(H21="部分吻合",0.5,IF(H21="明显不符",0,"")))))</x:f>
      </x:c>
      <x:c r="J21" s="34" t="str"/>
      <x:c r="K21" s="34" t="str"/>
      <x:c r="L21" s="34" t="str"/>
      <x:c r="M21" s="34" t="str"/>
      <x:c r="N21" s="34" t="str"/>
      <x:c r="O21" s="34" t="str"/>
      <x:c r="P21" s="34" t="str"/>
      <x:c r="Q21" s="34" t="str"/>
      <x:c r="R21" s="34" t="str"/>
      <x:c r="S21" s="34" t="str"/>
      <x:c r="T21" s="34" t="str"/>
    </x:row>
    <x:row r="22">
      <x:c r="A22" s="34" t="str">
        <x:v>M5-EVAL-0017</x:v>
      </x:c>
      <x:c r="B22" s="34" t="str"/>
      <x:c r="C22" s="34" t="str"/>
      <x:c r="D22" s="34" t="str"/>
      <x:c r="E22" s="34" t="str"/>
      <x:c r="F22" s="34" t="str"/>
      <x:c r="G22" s="34" t="str"/>
      <x:c r="H22" s="34" t="str"/>
      <x:c r="I22" s="38" t="str">
        <x:f>IF(H22="","",IF(H22="完全吻合",1,IF(H22="基本吻合",0.75,IF(H22="部分吻合",0.5,IF(H22="明显不符",0,"")))))</x:f>
      </x:c>
      <x:c r="J22" s="34" t="str"/>
      <x:c r="K22" s="34" t="str"/>
      <x:c r="L22" s="34" t="str"/>
      <x:c r="M22" s="34" t="str"/>
      <x:c r="N22" s="34" t="str"/>
      <x:c r="O22" s="34" t="str"/>
      <x:c r="P22" s="34" t="str"/>
      <x:c r="Q22" s="34" t="str"/>
      <x:c r="R22" s="34" t="str"/>
      <x:c r="S22" s="34" t="str"/>
      <x:c r="T22" s="34" t="str"/>
    </x:row>
    <x:row r="23">
      <x:c r="A23" s="34" t="str">
        <x:v>M5-EVAL-0018</x:v>
      </x:c>
      <x:c r="B23" s="34" t="str"/>
      <x:c r="C23" s="34" t="str"/>
      <x:c r="D23" s="34" t="str"/>
      <x:c r="E23" s="34" t="str"/>
      <x:c r="F23" s="34" t="str"/>
      <x:c r="G23" s="34" t="str"/>
      <x:c r="H23" s="34" t="str"/>
      <x:c r="I23" s="38" t="str">
        <x:f>IF(H23="","",IF(H23="完全吻合",1,IF(H23="基本吻合",0.75,IF(H23="部分吻合",0.5,IF(H23="明显不符",0,"")))))</x:f>
      </x:c>
      <x:c r="J23" s="34" t="str"/>
      <x:c r="K23" s="34" t="str"/>
      <x:c r="L23" s="34" t="str"/>
      <x:c r="M23" s="34" t="str"/>
      <x:c r="N23" s="34" t="str"/>
      <x:c r="O23" s="34" t="str"/>
      <x:c r="P23" s="34" t="str"/>
      <x:c r="Q23" s="34" t="str"/>
      <x:c r="R23" s="34" t="str"/>
      <x:c r="S23" s="34" t="str"/>
      <x:c r="T23" s="34" t="str"/>
    </x:row>
    <x:row r="24">
      <x:c r="A24" s="34" t="str">
        <x:v>M5-EVAL-0019</x:v>
      </x:c>
      <x:c r="B24" s="34" t="str"/>
      <x:c r="C24" s="34" t="str"/>
      <x:c r="D24" s="34" t="str"/>
      <x:c r="E24" s="34" t="str"/>
      <x:c r="F24" s="34" t="str"/>
      <x:c r="G24" s="34" t="str"/>
      <x:c r="H24" s="34" t="str"/>
      <x:c r="I24" s="38" t="str">
        <x:f>IF(H24="","",IF(H24="完全吻合",1,IF(H24="基本吻合",0.75,IF(H24="部分吻合",0.5,IF(H24="明显不符",0,"")))))</x:f>
      </x:c>
      <x:c r="J24" s="34" t="str"/>
      <x:c r="K24" s="34" t="str"/>
      <x:c r="L24" s="34" t="str"/>
      <x:c r="M24" s="34" t="str"/>
      <x:c r="N24" s="34" t="str"/>
      <x:c r="O24" s="34" t="str"/>
      <x:c r="P24" s="34" t="str"/>
      <x:c r="Q24" s="34" t="str"/>
      <x:c r="R24" s="34" t="str"/>
      <x:c r="S24" s="34" t="str"/>
      <x:c r="T24" s="34" t="str"/>
    </x:row>
    <x:row r="25">
      <x:c r="A25" s="34" t="str">
        <x:v>M5-EVAL-0020</x:v>
      </x:c>
      <x:c r="B25" s="34" t="str"/>
      <x:c r="C25" s="34" t="str"/>
      <x:c r="D25" s="34" t="str"/>
      <x:c r="E25" s="34" t="str"/>
      <x:c r="F25" s="34" t="str"/>
      <x:c r="G25" s="34" t="str"/>
      <x:c r="H25" s="34" t="str"/>
      <x:c r="I25" s="38" t="str">
        <x:f>IF(H25="","",IF(H25="完全吻合",1,IF(H25="基本吻合",0.75,IF(H25="部分吻合",0.5,IF(H25="明显不符",0,"")))))</x:f>
      </x:c>
      <x:c r="J25" s="34" t="str"/>
      <x:c r="K25" s="34" t="str"/>
      <x:c r="L25" s="34" t="str"/>
      <x:c r="M25" s="34" t="str"/>
      <x:c r="N25" s="34" t="str"/>
      <x:c r="O25" s="34" t="str"/>
      <x:c r="P25" s="34" t="str"/>
      <x:c r="Q25" s="34" t="str"/>
      <x:c r="R25" s="34" t="str"/>
      <x:c r="S25" s="34" t="str"/>
      <x:c r="T25" s="34" t="str"/>
    </x:row>
    <x:row r="26">
      <x:c r="A26" s="34" t="str">
        <x:v>M5-EVAL-0021</x:v>
      </x:c>
      <x:c r="B26" s="34" t="str"/>
      <x:c r="C26" s="34" t="str"/>
      <x:c r="D26" s="34" t="str"/>
      <x:c r="E26" s="34" t="str"/>
      <x:c r="F26" s="34" t="str"/>
      <x:c r="G26" s="34" t="str"/>
      <x:c r="H26" s="34" t="str"/>
      <x:c r="I26" s="38" t="str">
        <x:f>IF(H26="","",IF(H26="完全吻合",1,IF(H26="基本吻合",0.75,IF(H26="部分吻合",0.5,IF(H26="明显不符",0,"")))))</x:f>
      </x:c>
      <x:c r="J26" s="34" t="str"/>
      <x:c r="K26" s="34" t="str"/>
      <x:c r="L26" s="34" t="str"/>
      <x:c r="M26" s="34" t="str"/>
      <x:c r="N26" s="34" t="str"/>
      <x:c r="O26" s="34" t="str"/>
      <x:c r="P26" s="34" t="str"/>
      <x:c r="Q26" s="34" t="str"/>
      <x:c r="R26" s="34" t="str"/>
      <x:c r="S26" s="34" t="str"/>
      <x:c r="T26" s="34" t="str"/>
    </x:row>
    <x:row r="27">
      <x:c r="A27" s="34" t="str">
        <x:v>M5-EVAL-0022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38" t="str">
        <x:f>IF(H27="","",IF(H27="完全吻合",1,IF(H27="基本吻合",0.75,IF(H27="部分吻合",0.5,IF(H27="明显不符",0,"")))))</x:f>
      </x:c>
      <x:c r="J27" s="34" t="str"/>
      <x:c r="K27" s="34" t="str"/>
      <x:c r="L27" s="34" t="str"/>
      <x:c r="M27" s="34" t="str"/>
      <x:c r="N27" s="34" t="str"/>
      <x:c r="O27" s="34" t="str"/>
      <x:c r="P27" s="34" t="str"/>
      <x:c r="Q27" s="34" t="str"/>
      <x:c r="R27" s="34" t="str"/>
      <x:c r="S27" s="34" t="str"/>
      <x:c r="T27" s="34" t="str"/>
    </x:row>
    <x:row r="28">
      <x:c r="A28" s="34" t="str">
        <x:v>M5-EVAL-0023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38" t="str">
        <x:f>IF(H28="","",IF(H28="完全吻合",1,IF(H28="基本吻合",0.75,IF(H28="部分吻合",0.5,IF(H28="明显不符",0,"")))))</x:f>
      </x:c>
      <x:c r="J28" s="34" t="str"/>
      <x:c r="K28" s="34" t="str"/>
      <x:c r="L28" s="34" t="str"/>
      <x:c r="M28" s="34" t="str"/>
      <x:c r="N28" s="34" t="str"/>
      <x:c r="O28" s="34" t="str"/>
      <x:c r="P28" s="34" t="str"/>
      <x:c r="Q28" s="34" t="str"/>
      <x:c r="R28" s="34" t="str"/>
      <x:c r="S28" s="34" t="str"/>
      <x:c r="T28" s="34" t="str"/>
    </x:row>
    <x:row r="29">
      <x:c r="A29" s="34" t="str">
        <x:v>M5-EVAL-0024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8" t="str">
        <x:f>IF(H29="","",IF(H29="完全吻合",1,IF(H29="基本吻合",0.75,IF(H29="部分吻合",0.5,IF(H29="明显不符",0,"")))))</x:f>
      </x:c>
      <x:c r="J29" s="34" t="str"/>
      <x:c r="K29" s="34" t="str"/>
      <x:c r="L29" s="34" t="str"/>
      <x:c r="M29" s="34" t="str"/>
      <x:c r="N29" s="34" t="str"/>
      <x:c r="O29" s="34" t="str"/>
      <x:c r="P29" s="34" t="str"/>
      <x:c r="Q29" s="34" t="str"/>
      <x:c r="R29" s="34" t="str"/>
      <x:c r="S29" s="34" t="str"/>
      <x:c r="T29" s="34" t="str"/>
    </x:row>
    <x:row r="30">
      <x:c r="A30" s="34" t="str">
        <x:v>M5-EVAL-0025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8" t="str">
        <x:f>IF(H30="","",IF(H30="完全吻合",1,IF(H30="基本吻合",0.75,IF(H30="部分吻合",0.5,IF(H30="明显不符",0,"")))))</x:f>
      </x:c>
      <x:c r="J30" s="34" t="str"/>
      <x:c r="K30" s="34" t="str"/>
      <x:c r="L30" s="34" t="str"/>
      <x:c r="M30" s="34" t="str"/>
      <x:c r="N30" s="34" t="str"/>
      <x:c r="O30" s="34" t="str"/>
      <x:c r="P30" s="34" t="str"/>
      <x:c r="Q30" s="34" t="str"/>
      <x:c r="R30" s="34" t="str"/>
      <x:c r="S30" s="34" t="str"/>
      <x:c r="T30" s="34" t="str"/>
    </x:row>
    <x:row r="31">
      <x:c r="A31" s="34" t="str">
        <x:v>M5-EVAL-0026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8" t="str">
        <x:f>IF(H31="","",IF(H31="完全吻合",1,IF(H31="基本吻合",0.75,IF(H31="部分吻合",0.5,IF(H31="明显不符",0,"")))))</x:f>
      </x:c>
      <x:c r="J31" s="34" t="str"/>
      <x:c r="K31" s="34" t="str"/>
      <x:c r="L31" s="34" t="str"/>
      <x:c r="M31" s="34" t="str"/>
      <x:c r="N31" s="34" t="str"/>
      <x:c r="O31" s="34" t="str"/>
      <x:c r="P31" s="34" t="str"/>
      <x:c r="Q31" s="34" t="str"/>
      <x:c r="R31" s="34" t="str"/>
      <x:c r="S31" s="34" t="str"/>
      <x:c r="T31" s="34" t="str"/>
    </x:row>
    <x:row r="32">
      <x:c r="A32" s="34" t="str">
        <x:v>M5-EVAL-0027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8" t="str">
        <x:f>IF(H32="","",IF(H32="完全吻合",1,IF(H32="基本吻合",0.75,IF(H32="部分吻合",0.5,IF(H32="明显不符",0,"")))))</x:f>
      </x:c>
      <x:c r="J32" s="34" t="str"/>
      <x:c r="K32" s="34" t="str"/>
      <x:c r="L32" s="34" t="str"/>
      <x:c r="M32" s="34" t="str"/>
      <x:c r="N32" s="34" t="str"/>
      <x:c r="O32" s="34" t="str"/>
      <x:c r="P32" s="34" t="str"/>
      <x:c r="Q32" s="34" t="str"/>
      <x:c r="R32" s="34" t="str"/>
      <x:c r="S32" s="34" t="str"/>
      <x:c r="T32" s="34" t="str"/>
    </x:row>
    <x:row r="33">
      <x:c r="A33" s="34" t="str">
        <x:v>M5-EVAL-0028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8" t="str">
        <x:f>IF(H33="","",IF(H33="完全吻合",1,IF(H33="基本吻合",0.75,IF(H33="部分吻合",0.5,IF(H33="明显不符",0,"")))))</x:f>
      </x:c>
      <x:c r="J33" s="34" t="str"/>
      <x:c r="K33" s="34" t="str"/>
      <x:c r="L33" s="34" t="str"/>
      <x:c r="M33" s="34" t="str"/>
      <x:c r="N33" s="34" t="str"/>
      <x:c r="O33" s="34" t="str"/>
      <x:c r="P33" s="34" t="str"/>
      <x:c r="Q33" s="34" t="str"/>
      <x:c r="R33" s="34" t="str"/>
      <x:c r="S33" s="34" t="str"/>
      <x:c r="T33" s="34" t="str"/>
    </x:row>
    <x:row r="34">
      <x:c r="A34" s="34" t="str">
        <x:v>M5-EVAL-0029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8" t="str">
        <x:f>IF(H34="","",IF(H34="完全吻合",1,IF(H34="基本吻合",0.75,IF(H34="部分吻合",0.5,IF(H34="明显不符",0,"")))))</x:f>
      </x:c>
      <x:c r="J34" s="34" t="str"/>
      <x:c r="K34" s="34" t="str"/>
      <x:c r="L34" s="34" t="str"/>
      <x:c r="M34" s="34" t="str"/>
      <x:c r="N34" s="34" t="str"/>
      <x:c r="O34" s="34" t="str"/>
      <x:c r="P34" s="34" t="str"/>
      <x:c r="Q34" s="34" t="str"/>
      <x:c r="R34" s="34" t="str"/>
      <x:c r="S34" s="34" t="str"/>
      <x:c r="T34" s="34" t="str"/>
    </x:row>
    <x:row r="35">
      <x:c r="A35" s="34" t="str">
        <x:v>M5-EVAL-0030</x:v>
      </x:c>
      <x:c r="B35" s="34" t="str"/>
      <x:c r="C35" s="34" t="str"/>
      <x:c r="D35" s="34" t="str"/>
      <x:c r="E35" s="34" t="str"/>
      <x:c r="F35" s="34" t="str"/>
      <x:c r="G35" s="34" t="str"/>
      <x:c r="H35" s="34" t="str"/>
      <x:c r="I35" s="38" t="str">
        <x:f>IF(H35="","",IF(H35="完全吻合",1,IF(H35="基本吻合",0.75,IF(H35="部分吻合",0.5,IF(H35="明显不符",0,"")))))</x:f>
      </x:c>
      <x:c r="J35" s="34" t="str"/>
      <x:c r="K35" s="34" t="str"/>
      <x:c r="L35" s="34" t="str"/>
      <x:c r="M35" s="34" t="str"/>
      <x:c r="N35" s="34" t="str"/>
      <x:c r="O35" s="34" t="str"/>
      <x:c r="P35" s="34" t="str"/>
      <x:c r="Q35" s="34" t="str"/>
      <x:c r="R35" s="34" t="str"/>
      <x:c r="S35" s="34" t="str"/>
      <x:c r="T35" s="34" t="str"/>
    </x:row>
    <x:row r="36">
      <x:c r="A36" s="34" t="str">
        <x:v>M5-EVAL-0031</x:v>
      </x:c>
      <x:c r="B36" s="34" t="str"/>
      <x:c r="C36" s="34" t="str"/>
      <x:c r="D36" s="34" t="str"/>
      <x:c r="E36" s="34" t="str"/>
      <x:c r="F36" s="34" t="str"/>
      <x:c r="G36" s="34" t="str"/>
      <x:c r="H36" s="34" t="str"/>
      <x:c r="I36" s="38" t="str">
        <x:f>IF(H36="","",IF(H36="完全吻合",1,IF(H36="基本吻合",0.75,IF(H36="部分吻合",0.5,IF(H36="明显不符",0,"")))))</x:f>
      </x:c>
      <x:c r="J36" s="34" t="str"/>
      <x:c r="K36" s="34" t="str"/>
      <x:c r="L36" s="34" t="str"/>
      <x:c r="M36" s="34" t="str"/>
      <x:c r="N36" s="34" t="str"/>
      <x:c r="O36" s="34" t="str"/>
      <x:c r="P36" s="34" t="str"/>
      <x:c r="Q36" s="34" t="str"/>
      <x:c r="R36" s="34" t="str"/>
      <x:c r="S36" s="34" t="str"/>
      <x:c r="T36" s="34" t="str"/>
    </x:row>
    <x:row r="37">
      <x:c r="A37" s="34" t="str">
        <x:v>M5-EVAL-0032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8" t="str">
        <x:f>IF(H37="","",IF(H37="完全吻合",1,IF(H37="基本吻合",0.75,IF(H37="部分吻合",0.5,IF(H37="明显不符",0,"")))))</x:f>
      </x:c>
      <x:c r="J37" s="34" t="str"/>
      <x:c r="K37" s="34" t="str"/>
      <x:c r="L37" s="34" t="str"/>
      <x:c r="M37" s="34" t="str"/>
      <x:c r="N37" s="34" t="str"/>
      <x:c r="O37" s="34" t="str"/>
      <x:c r="P37" s="34" t="str"/>
      <x:c r="Q37" s="34" t="str"/>
      <x:c r="R37" s="34" t="str"/>
      <x:c r="S37" s="34" t="str"/>
      <x:c r="T37" s="34" t="str"/>
    </x:row>
    <x:row r="38">
      <x:c r="A38" s="34" t="str">
        <x:v>M5-EVAL-0033</x:v>
      </x:c>
      <x:c r="B38" s="34" t="str"/>
      <x:c r="C38" s="34" t="str"/>
      <x:c r="D38" s="34" t="str"/>
      <x:c r="E38" s="34" t="str"/>
      <x:c r="F38" s="34" t="str"/>
      <x:c r="G38" s="34" t="str"/>
      <x:c r="H38" s="34" t="str"/>
      <x:c r="I38" s="38" t="str">
        <x:f>IF(H38="","",IF(H38="完全吻合",1,IF(H38="基本吻合",0.75,IF(H38="部分吻合",0.5,IF(H38="明显不符",0,"")))))</x:f>
      </x:c>
      <x:c r="J38" s="34" t="str"/>
      <x:c r="K38" s="34" t="str"/>
      <x:c r="L38" s="34" t="str"/>
      <x:c r="M38" s="34" t="str"/>
      <x:c r="N38" s="34" t="str"/>
      <x:c r="O38" s="34" t="str"/>
      <x:c r="P38" s="34" t="str"/>
      <x:c r="Q38" s="34" t="str"/>
      <x:c r="R38" s="34" t="str"/>
      <x:c r="S38" s="34" t="str"/>
      <x:c r="T38" s="34" t="str"/>
    </x:row>
    <x:row r="39">
      <x:c r="A39" s="34" t="str">
        <x:v>M5-EVAL-0034</x:v>
      </x:c>
      <x:c r="B39" s="34" t="str"/>
      <x:c r="C39" s="34" t="str"/>
      <x:c r="D39" s="34" t="str"/>
      <x:c r="E39" s="34" t="str"/>
      <x:c r="F39" s="34" t="str"/>
      <x:c r="G39" s="34" t="str"/>
      <x:c r="H39" s="34" t="str"/>
      <x:c r="I39" s="38" t="str">
        <x:f>IF(H39="","",IF(H39="完全吻合",1,IF(H39="基本吻合",0.75,IF(H39="部分吻合",0.5,IF(H39="明显不符",0,"")))))</x:f>
      </x:c>
      <x:c r="J39" s="34" t="str"/>
      <x:c r="K39" s="34" t="str"/>
      <x:c r="L39" s="34" t="str"/>
      <x:c r="M39" s="34" t="str"/>
      <x:c r="N39" s="34" t="str"/>
      <x:c r="O39" s="34" t="str"/>
      <x:c r="P39" s="34" t="str"/>
      <x:c r="Q39" s="34" t="str"/>
      <x:c r="R39" s="34" t="str"/>
      <x:c r="S39" s="34" t="str"/>
      <x:c r="T39" s="34" t="str"/>
    </x:row>
    <x:row r="40">
      <x:c r="A40" s="34" t="str">
        <x:v>M5-EVAL-0035</x:v>
      </x:c>
      <x:c r="B40" s="34" t="str"/>
      <x:c r="C40" s="34" t="str"/>
      <x:c r="D40" s="34" t="str"/>
      <x:c r="E40" s="34" t="str"/>
      <x:c r="F40" s="34" t="str"/>
      <x:c r="G40" s="34" t="str"/>
      <x:c r="H40" s="34" t="str"/>
      <x:c r="I40" s="38" t="str">
        <x:f>IF(H40="","",IF(H40="完全吻合",1,IF(H40="基本吻合",0.75,IF(H40="部分吻合",0.5,IF(H40="明显不符",0,"")))))</x:f>
      </x:c>
      <x:c r="J40" s="34" t="str"/>
      <x:c r="K40" s="34" t="str"/>
      <x:c r="L40" s="34" t="str"/>
      <x:c r="M40" s="34" t="str"/>
      <x:c r="N40" s="34" t="str"/>
      <x:c r="O40" s="34" t="str"/>
      <x:c r="P40" s="34" t="str"/>
      <x:c r="Q40" s="34" t="str"/>
      <x:c r="R40" s="34" t="str"/>
      <x:c r="S40" s="34" t="str"/>
      <x:c r="T40" s="34" t="str"/>
    </x:row>
    <x:row r="41">
      <x:c r="A41" s="34" t="str">
        <x:v>M5-EVAL-0036</x:v>
      </x:c>
      <x:c r="B41" s="34" t="str"/>
      <x:c r="C41" s="34" t="str"/>
      <x:c r="D41" s="34" t="str"/>
      <x:c r="E41" s="34" t="str"/>
      <x:c r="F41" s="34" t="str"/>
      <x:c r="G41" s="34" t="str"/>
      <x:c r="H41" s="34" t="str"/>
      <x:c r="I41" s="38" t="str">
        <x:f>IF(H41="","",IF(H41="完全吻合",1,IF(H41="基本吻合",0.75,IF(H41="部分吻合",0.5,IF(H41="明显不符",0,"")))))</x:f>
      </x:c>
      <x:c r="J41" s="34" t="str"/>
      <x:c r="K41" s="34" t="str"/>
      <x:c r="L41" s="34" t="str"/>
      <x:c r="M41" s="34" t="str"/>
      <x:c r="N41" s="34" t="str"/>
      <x:c r="O41" s="34" t="str"/>
      <x:c r="P41" s="34" t="str"/>
      <x:c r="Q41" s="34" t="str"/>
      <x:c r="R41" s="34" t="str"/>
      <x:c r="S41" s="34" t="str"/>
      <x:c r="T41" s="34" t="str"/>
    </x:row>
    <x:row r="42">
      <x:c r="A42" s="34" t="str">
        <x:v>M5-EVAL-0037</x:v>
      </x:c>
      <x:c r="B42" s="34" t="str"/>
      <x:c r="C42" s="34" t="str"/>
      <x:c r="D42" s="34" t="str"/>
      <x:c r="E42" s="34" t="str"/>
      <x:c r="F42" s="34" t="str"/>
      <x:c r="G42" s="34" t="str"/>
      <x:c r="H42" s="34" t="str"/>
      <x:c r="I42" s="38" t="str">
        <x:f>IF(H42="","",IF(H42="完全吻合",1,IF(H42="基本吻合",0.75,IF(H42="部分吻合",0.5,IF(H42="明显不符",0,"")))))</x:f>
      </x:c>
      <x:c r="J42" s="34" t="str"/>
      <x:c r="K42" s="34" t="str"/>
      <x:c r="L42" s="34" t="str"/>
      <x:c r="M42" s="34" t="str"/>
      <x:c r="N42" s="34" t="str"/>
      <x:c r="O42" s="34" t="str"/>
      <x:c r="P42" s="34" t="str"/>
      <x:c r="Q42" s="34" t="str"/>
      <x:c r="R42" s="34" t="str"/>
      <x:c r="S42" s="34" t="str"/>
      <x:c r="T42" s="34" t="str"/>
    </x:row>
    <x:row r="43">
      <x:c r="A43" s="34" t="str">
        <x:v>M5-EVAL-0038</x:v>
      </x:c>
      <x:c r="B43" s="34" t="str"/>
      <x:c r="C43" s="34" t="str"/>
      <x:c r="D43" s="34" t="str"/>
      <x:c r="E43" s="34" t="str"/>
      <x:c r="F43" s="34" t="str"/>
      <x:c r="G43" s="34" t="str"/>
      <x:c r="H43" s="34" t="str"/>
      <x:c r="I43" s="38" t="str">
        <x:f>IF(H43="","",IF(H43="完全吻合",1,IF(H43="基本吻合",0.75,IF(H43="部分吻合",0.5,IF(H43="明显不符",0,"")))))</x:f>
      </x:c>
      <x:c r="J43" s="34" t="str"/>
      <x:c r="K43" s="34" t="str"/>
      <x:c r="L43" s="34" t="str"/>
      <x:c r="M43" s="34" t="str"/>
      <x:c r="N43" s="34" t="str"/>
      <x:c r="O43" s="34" t="str"/>
      <x:c r="P43" s="34" t="str"/>
      <x:c r="Q43" s="34" t="str"/>
      <x:c r="R43" s="34" t="str"/>
      <x:c r="S43" s="34" t="str"/>
      <x:c r="T43" s="34" t="str"/>
    </x:row>
    <x:row r="44">
      <x:c r="A44" s="34" t="str">
        <x:v>M5-EVAL-0039</x:v>
      </x:c>
      <x:c r="B44" s="34" t="str"/>
      <x:c r="C44" s="34" t="str"/>
      <x:c r="D44" s="34" t="str"/>
      <x:c r="E44" s="34" t="str"/>
      <x:c r="F44" s="34" t="str"/>
      <x:c r="G44" s="34" t="str"/>
      <x:c r="H44" s="34" t="str"/>
      <x:c r="I44" s="38" t="str">
        <x:f>IF(H44="","",IF(H44="完全吻合",1,IF(H44="基本吻合",0.75,IF(H44="部分吻合",0.5,IF(H44="明显不符",0,"")))))</x:f>
      </x:c>
      <x:c r="J44" s="34" t="str"/>
      <x:c r="K44" s="34" t="str"/>
      <x:c r="L44" s="34" t="str"/>
      <x:c r="M44" s="34" t="str"/>
      <x:c r="N44" s="34" t="str"/>
      <x:c r="O44" s="34" t="str"/>
      <x:c r="P44" s="34" t="str"/>
      <x:c r="Q44" s="34" t="str"/>
      <x:c r="R44" s="34" t="str"/>
      <x:c r="S44" s="34" t="str"/>
      <x:c r="T44" s="34" t="str"/>
    </x:row>
    <x:row r="45">
      <x:c r="A45" s="34" t="str">
        <x:v>M5-EVAL-0040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8" t="str">
        <x:f>IF(H45="","",IF(H45="完全吻合",1,IF(H45="基本吻合",0.75,IF(H45="部分吻合",0.5,IF(H45="明显不符",0,"")))))</x:f>
      </x:c>
      <x:c r="J45" s="34" t="str"/>
      <x:c r="K45" s="34" t="str"/>
      <x:c r="L45" s="34" t="str"/>
      <x:c r="M45" s="34" t="str"/>
      <x:c r="N45" s="34" t="str"/>
      <x:c r="O45" s="34" t="str"/>
      <x:c r="P45" s="34" t="str"/>
      <x:c r="Q45" s="34" t="str"/>
      <x:c r="R45" s="34" t="str"/>
      <x:c r="S45" s="34" t="str"/>
      <x:c r="T45" s="34" t="str"/>
    </x:row>
    <x:row r="46">
      <x:c r="A46" s="34" t="str">
        <x:v>M5-EVAL-0041</x:v>
      </x:c>
      <x:c r="B46" s="34" t="str"/>
      <x:c r="C46" s="34" t="str"/>
      <x:c r="D46" s="34" t="str"/>
      <x:c r="E46" s="34" t="str"/>
      <x:c r="F46" s="34" t="str"/>
      <x:c r="G46" s="34" t="str"/>
      <x:c r="H46" s="34" t="str"/>
      <x:c r="I46" s="38" t="str">
        <x:f>IF(H46="","",IF(H46="完全吻合",1,IF(H46="基本吻合",0.75,IF(H46="部分吻合",0.5,IF(H46="明显不符",0,"")))))</x:f>
      </x:c>
      <x:c r="J46" s="34" t="str"/>
      <x:c r="K46" s="34" t="str"/>
      <x:c r="L46" s="34" t="str"/>
      <x:c r="M46" s="34" t="str"/>
      <x:c r="N46" s="34" t="str"/>
      <x:c r="O46" s="34" t="str"/>
      <x:c r="P46" s="34" t="str"/>
      <x:c r="Q46" s="34" t="str"/>
      <x:c r="R46" s="34" t="str"/>
      <x:c r="S46" s="34" t="str"/>
      <x:c r="T46" s="34" t="str"/>
    </x:row>
    <x:row r="47">
      <x:c r="A47" s="34" t="str">
        <x:v>M5-EVAL-0042</x:v>
      </x:c>
      <x:c r="B47" s="34" t="str"/>
      <x:c r="C47" s="34" t="str"/>
      <x:c r="D47" s="34" t="str"/>
      <x:c r="E47" s="34" t="str"/>
      <x:c r="F47" s="34" t="str"/>
      <x:c r="G47" s="34" t="str"/>
      <x:c r="H47" s="34" t="str"/>
      <x:c r="I47" s="38" t="str">
        <x:f>IF(H47="","",IF(H47="完全吻合",1,IF(H47="基本吻合",0.75,IF(H47="部分吻合",0.5,IF(H47="明显不符",0,"")))))</x:f>
      </x:c>
      <x:c r="J47" s="34" t="str"/>
      <x:c r="K47" s="34" t="str"/>
      <x:c r="L47" s="34" t="str"/>
      <x:c r="M47" s="34" t="str"/>
      <x:c r="N47" s="34" t="str"/>
      <x:c r="O47" s="34" t="str"/>
      <x:c r="P47" s="34" t="str"/>
      <x:c r="Q47" s="34" t="str"/>
      <x:c r="R47" s="34" t="str"/>
      <x:c r="S47" s="34" t="str"/>
      <x:c r="T47" s="34" t="str"/>
    </x:row>
    <x:row r="48">
      <x:c r="A48" s="34" t="str">
        <x:v>M5-EVAL-0043</x:v>
      </x:c>
      <x:c r="B48" s="34" t="str"/>
      <x:c r="C48" s="34" t="str"/>
      <x:c r="D48" s="34" t="str"/>
      <x:c r="E48" s="34" t="str"/>
      <x:c r="F48" s="34" t="str"/>
      <x:c r="G48" s="34" t="str"/>
      <x:c r="H48" s="34" t="str"/>
      <x:c r="I48" s="38" t="str">
        <x:f>IF(H48="","",IF(H48="完全吻合",1,IF(H48="基本吻合",0.75,IF(H48="部分吻合",0.5,IF(H48="明显不符",0,"")))))</x:f>
      </x:c>
      <x:c r="J48" s="34" t="str"/>
      <x:c r="K48" s="34" t="str"/>
      <x:c r="L48" s="34" t="str"/>
      <x:c r="M48" s="34" t="str"/>
      <x:c r="N48" s="34" t="str"/>
      <x:c r="O48" s="34" t="str"/>
      <x:c r="P48" s="34" t="str"/>
      <x:c r="Q48" s="34" t="str"/>
      <x:c r="R48" s="34" t="str"/>
      <x:c r="S48" s="34" t="str"/>
      <x:c r="T48" s="34" t="str"/>
    </x:row>
    <x:row r="49">
      <x:c r="A49" s="34" t="str">
        <x:v>M5-EVAL-0044</x:v>
      </x:c>
      <x:c r="B49" s="34" t="str"/>
      <x:c r="C49" s="34" t="str"/>
      <x:c r="D49" s="34" t="str"/>
      <x:c r="E49" s="34" t="str"/>
      <x:c r="F49" s="34" t="str"/>
      <x:c r="G49" s="34" t="str"/>
      <x:c r="H49" s="34" t="str"/>
      <x:c r="I49" s="38" t="str">
        <x:f>IF(H49="","",IF(H49="完全吻合",1,IF(H49="基本吻合",0.75,IF(H49="部分吻合",0.5,IF(H49="明显不符",0,"")))))</x:f>
      </x:c>
      <x:c r="J49" s="34" t="str"/>
      <x:c r="K49" s="34" t="str"/>
      <x:c r="L49" s="34" t="str"/>
      <x:c r="M49" s="34" t="str"/>
      <x:c r="N49" s="34" t="str"/>
      <x:c r="O49" s="34" t="str"/>
      <x:c r="P49" s="34" t="str"/>
      <x:c r="Q49" s="34" t="str"/>
      <x:c r="R49" s="34" t="str"/>
      <x:c r="S49" s="34" t="str"/>
      <x:c r="T49" s="34" t="str"/>
    </x:row>
    <x:row r="50">
      <x:c r="A50" s="34" t="str">
        <x:v>M5-EVAL-0045</x:v>
      </x:c>
      <x:c r="B50" s="34" t="str"/>
      <x:c r="C50" s="34" t="str"/>
      <x:c r="D50" s="34" t="str"/>
      <x:c r="E50" s="34" t="str"/>
      <x:c r="F50" s="34" t="str"/>
      <x:c r="G50" s="34" t="str"/>
      <x:c r="H50" s="34" t="str"/>
      <x:c r="I50" s="38" t="str">
        <x:f>IF(H50="","",IF(H50="完全吻合",1,IF(H50="基本吻合",0.75,IF(H50="部分吻合",0.5,IF(H50="明显不符",0,"")))))</x:f>
      </x:c>
      <x:c r="J50" s="34" t="str"/>
      <x:c r="K50" s="34" t="str"/>
      <x:c r="L50" s="34" t="str"/>
      <x:c r="M50" s="34" t="str"/>
      <x:c r="N50" s="34" t="str"/>
      <x:c r="O50" s="34" t="str"/>
      <x:c r="P50" s="34" t="str"/>
      <x:c r="Q50" s="34" t="str"/>
      <x:c r="R50" s="34" t="str"/>
      <x:c r="S50" s="34" t="str"/>
      <x:c r="T50" s="34" t="str"/>
    </x:row>
    <x:row r="51">
      <x:c r="A51" s="34" t="str">
        <x:v>M5-EVAL-0046</x:v>
      </x:c>
      <x:c r="B51" s="34" t="str"/>
      <x:c r="C51" s="34" t="str"/>
      <x:c r="D51" s="34" t="str"/>
      <x:c r="E51" s="34" t="str"/>
      <x:c r="F51" s="34" t="str"/>
      <x:c r="G51" s="34" t="str"/>
      <x:c r="H51" s="34" t="str"/>
      <x:c r="I51" s="38" t="str">
        <x:f>IF(H51="","",IF(H51="完全吻合",1,IF(H51="基本吻合",0.75,IF(H51="部分吻合",0.5,IF(H51="明显不符",0,"")))))</x:f>
      </x:c>
      <x:c r="J51" s="34" t="str"/>
      <x:c r="K51" s="34" t="str"/>
      <x:c r="L51" s="34" t="str"/>
      <x:c r="M51" s="34" t="str"/>
      <x:c r="N51" s="34" t="str"/>
      <x:c r="O51" s="34" t="str"/>
      <x:c r="P51" s="34" t="str"/>
      <x:c r="Q51" s="34" t="str"/>
      <x:c r="R51" s="34" t="str"/>
      <x:c r="S51" s="34" t="str"/>
      <x:c r="T51" s="34" t="str"/>
    </x:row>
    <x:row r="52">
      <x:c r="A52" s="34" t="str">
        <x:v>M5-EVAL-0047</x:v>
      </x:c>
      <x:c r="B52" s="34" t="str"/>
      <x:c r="C52" s="34" t="str"/>
      <x:c r="D52" s="34" t="str"/>
      <x:c r="E52" s="34" t="str"/>
      <x:c r="F52" s="34" t="str"/>
      <x:c r="G52" s="34" t="str"/>
      <x:c r="H52" s="34" t="str"/>
      <x:c r="I52" s="38" t="str">
        <x:f>IF(H52="","",IF(H52="完全吻合",1,IF(H52="基本吻合",0.75,IF(H52="部分吻合",0.5,IF(H52="明显不符",0,"")))))</x:f>
      </x:c>
      <x:c r="J52" s="34" t="str"/>
      <x:c r="K52" s="34" t="str"/>
      <x:c r="L52" s="34" t="str"/>
      <x:c r="M52" s="34" t="str"/>
      <x:c r="N52" s="34" t="str"/>
      <x:c r="O52" s="34" t="str"/>
      <x:c r="P52" s="34" t="str"/>
      <x:c r="Q52" s="34" t="str"/>
      <x:c r="R52" s="34" t="str"/>
      <x:c r="S52" s="34" t="str"/>
      <x:c r="T52" s="34" t="str"/>
    </x:row>
    <x:row r="53">
      <x:c r="A53" s="34" t="str">
        <x:v>M5-EVAL-0048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8" t="str">
        <x:f>IF(H53="","",IF(H53="完全吻合",1,IF(H53="基本吻合",0.75,IF(H53="部分吻合",0.5,IF(H53="明显不符",0,"")))))</x:f>
      </x:c>
      <x:c r="J53" s="34" t="str"/>
      <x:c r="K53" s="34" t="str"/>
      <x:c r="L53" s="34" t="str"/>
      <x:c r="M53" s="34" t="str"/>
      <x:c r="N53" s="34" t="str"/>
      <x:c r="O53" s="34" t="str"/>
      <x:c r="P53" s="34" t="str"/>
      <x:c r="Q53" s="34" t="str"/>
      <x:c r="R53" s="34" t="str"/>
      <x:c r="S53" s="34" t="str"/>
      <x:c r="T53" s="34" t="str"/>
    </x:row>
    <x:row r="54">
      <x:c r="A54" s="34" t="str">
        <x:v>M5-EVAL-0049</x:v>
      </x:c>
      <x:c r="B54" s="34" t="str"/>
      <x:c r="C54" s="34" t="str"/>
      <x:c r="D54" s="34" t="str"/>
      <x:c r="E54" s="34" t="str"/>
      <x:c r="F54" s="34" t="str"/>
      <x:c r="G54" s="34" t="str"/>
      <x:c r="H54" s="34" t="str"/>
      <x:c r="I54" s="38" t="str">
        <x:f>IF(H54="","",IF(H54="完全吻合",1,IF(H54="基本吻合",0.75,IF(H54="部分吻合",0.5,IF(H54="明显不符",0,"")))))</x:f>
      </x:c>
      <x:c r="J54" s="34" t="str"/>
      <x:c r="K54" s="34" t="str"/>
      <x:c r="L54" s="34" t="str"/>
      <x:c r="M54" s="34" t="str"/>
      <x:c r="N54" s="34" t="str"/>
      <x:c r="O54" s="34" t="str"/>
      <x:c r="P54" s="34" t="str"/>
      <x:c r="Q54" s="34" t="str"/>
      <x:c r="R54" s="34" t="str"/>
      <x:c r="S54" s="34" t="str"/>
      <x:c r="T54" s="34" t="str"/>
    </x:row>
    <x:row r="55">
      <x:c r="A55" s="34" t="str">
        <x:v>M5-EVAL-0050</x:v>
      </x:c>
      <x:c r="B55" s="34" t="str"/>
      <x:c r="C55" s="34" t="str"/>
      <x:c r="D55" s="34" t="str"/>
      <x:c r="E55" s="34" t="str"/>
      <x:c r="F55" s="34" t="str"/>
      <x:c r="G55" s="34" t="str"/>
      <x:c r="H55" s="34" t="str"/>
      <x:c r="I55" s="38" t="str">
        <x:f>IF(H55="","",IF(H55="完全吻合",1,IF(H55="基本吻合",0.75,IF(H55="部分吻合",0.5,IF(H55="明显不符",0,"")))))</x:f>
      </x:c>
      <x:c r="J55" s="34" t="str"/>
      <x:c r="K55" s="34" t="str"/>
      <x:c r="L55" s="34" t="str"/>
      <x:c r="M55" s="34" t="str"/>
      <x:c r="N55" s="34" t="str"/>
      <x:c r="O55" s="34" t="str"/>
      <x:c r="P55" s="34" t="str"/>
      <x:c r="Q55" s="34" t="str"/>
      <x:c r="R55" s="34" t="str"/>
      <x:c r="S55" s="34" t="str"/>
      <x:c r="T55" s="34" t="str"/>
    </x:row>
    <x:row r="56">
      <x:c r="A56" s="34" t="str">
        <x:v>M5-EVAL-0051</x:v>
      </x:c>
      <x:c r="B56" s="34" t="str"/>
      <x:c r="C56" s="34" t="str"/>
      <x:c r="D56" s="34" t="str"/>
      <x:c r="E56" s="34" t="str"/>
      <x:c r="F56" s="34" t="str"/>
      <x:c r="G56" s="34" t="str"/>
      <x:c r="H56" s="34" t="str"/>
      <x:c r="I56" s="38" t="str">
        <x:f>IF(H56="","",IF(H56="完全吻合",1,IF(H56="基本吻合",0.75,IF(H56="部分吻合",0.5,IF(H56="明显不符",0,"")))))</x:f>
      </x:c>
      <x:c r="J56" s="34" t="str"/>
      <x:c r="K56" s="34" t="str"/>
      <x:c r="L56" s="34" t="str"/>
      <x:c r="M56" s="34" t="str"/>
      <x:c r="N56" s="34" t="str"/>
      <x:c r="O56" s="34" t="str"/>
      <x:c r="P56" s="34" t="str"/>
      <x:c r="Q56" s="34" t="str"/>
      <x:c r="R56" s="34" t="str"/>
      <x:c r="S56" s="34" t="str"/>
      <x:c r="T56" s="34" t="str"/>
    </x:row>
    <x:row r="57">
      <x:c r="A57" s="34" t="str">
        <x:v>M5-EVAL-0052</x:v>
      </x:c>
      <x:c r="B57" s="34" t="str"/>
      <x:c r="C57" s="34" t="str"/>
      <x:c r="D57" s="34" t="str"/>
      <x:c r="E57" s="34" t="str"/>
      <x:c r="F57" s="34" t="str"/>
      <x:c r="G57" s="34" t="str"/>
      <x:c r="H57" s="34" t="str"/>
      <x:c r="I57" s="38" t="str">
        <x:f>IF(H57="","",IF(H57="完全吻合",1,IF(H57="基本吻合",0.75,IF(H57="部分吻合",0.5,IF(H57="明显不符",0,"")))))</x:f>
      </x:c>
      <x:c r="J57" s="34" t="str"/>
      <x:c r="K57" s="34" t="str"/>
      <x:c r="L57" s="34" t="str"/>
      <x:c r="M57" s="34" t="str"/>
      <x:c r="N57" s="34" t="str"/>
      <x:c r="O57" s="34" t="str"/>
      <x:c r="P57" s="34" t="str"/>
      <x:c r="Q57" s="34" t="str"/>
      <x:c r="R57" s="34" t="str"/>
      <x:c r="S57" s="34" t="str"/>
      <x:c r="T57" s="34" t="str"/>
    </x:row>
    <x:row r="58">
      <x:c r="A58" s="34" t="str">
        <x:v>M5-EVAL-0053</x:v>
      </x:c>
      <x:c r="B58" s="34" t="str"/>
      <x:c r="C58" s="34" t="str"/>
      <x:c r="D58" s="34" t="str"/>
      <x:c r="E58" s="34" t="str"/>
      <x:c r="F58" s="34" t="str"/>
      <x:c r="G58" s="34" t="str"/>
      <x:c r="H58" s="34" t="str"/>
      <x:c r="I58" s="38" t="str">
        <x:f>IF(H58="","",IF(H58="完全吻合",1,IF(H58="基本吻合",0.75,IF(H58="部分吻合",0.5,IF(H58="明显不符",0,"")))))</x:f>
      </x:c>
      <x:c r="J58" s="34" t="str"/>
      <x:c r="K58" s="34" t="str"/>
      <x:c r="L58" s="34" t="str"/>
      <x:c r="M58" s="34" t="str"/>
      <x:c r="N58" s="34" t="str"/>
      <x:c r="O58" s="34" t="str"/>
      <x:c r="P58" s="34" t="str"/>
      <x:c r="Q58" s="34" t="str"/>
      <x:c r="R58" s="34" t="str"/>
      <x:c r="S58" s="34" t="str"/>
      <x:c r="T58" s="34" t="str"/>
    </x:row>
    <x:row r="59">
      <x:c r="A59" s="34" t="str">
        <x:v>M5-EVAL-0054</x:v>
      </x:c>
      <x:c r="B59" s="34" t="str"/>
      <x:c r="C59" s="34" t="str"/>
      <x:c r="D59" s="34" t="str"/>
      <x:c r="E59" s="34" t="str"/>
      <x:c r="F59" s="34" t="str"/>
      <x:c r="G59" s="34" t="str"/>
      <x:c r="H59" s="34" t="str"/>
      <x:c r="I59" s="38" t="str">
        <x:f>IF(H59="","",IF(H59="完全吻合",1,IF(H59="基本吻合",0.75,IF(H59="部分吻合",0.5,IF(H59="明显不符",0,"")))))</x:f>
      </x:c>
      <x:c r="J59" s="34" t="str"/>
      <x:c r="K59" s="34" t="str"/>
      <x:c r="L59" s="34" t="str"/>
      <x:c r="M59" s="34" t="str"/>
      <x:c r="N59" s="34" t="str"/>
      <x:c r="O59" s="34" t="str"/>
      <x:c r="P59" s="34" t="str"/>
      <x:c r="Q59" s="34" t="str"/>
      <x:c r="R59" s="34" t="str"/>
      <x:c r="S59" s="34" t="str"/>
      <x:c r="T59" s="34" t="str"/>
    </x:row>
    <x:row r="60">
      <x:c r="A60" s="34" t="str">
        <x:v>M5-EVAL-0055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8" t="str">
        <x:f>IF(H60="","",IF(H60="完全吻合",1,IF(H60="基本吻合",0.75,IF(H60="部分吻合",0.5,IF(H60="明显不符",0,"")))))</x:f>
      </x:c>
      <x:c r="J60" s="34" t="str"/>
      <x:c r="K60" s="34" t="str"/>
      <x:c r="L60" s="34" t="str"/>
      <x:c r="M60" s="34" t="str"/>
      <x:c r="N60" s="34" t="str"/>
      <x:c r="O60" s="34" t="str"/>
      <x:c r="P60" s="34" t="str"/>
      <x:c r="Q60" s="34" t="str"/>
      <x:c r="R60" s="34" t="str"/>
      <x:c r="S60" s="34" t="str"/>
      <x:c r="T60" s="34" t="str"/>
    </x:row>
    <x:row r="61">
      <x:c r="A61" s="34" t="str">
        <x:v>M5-EVAL-0056</x:v>
      </x:c>
      <x:c r="B61" s="34" t="str"/>
      <x:c r="C61" s="34" t="str"/>
      <x:c r="D61" s="34" t="str"/>
      <x:c r="E61" s="34" t="str"/>
      <x:c r="F61" s="34" t="str"/>
      <x:c r="G61" s="34" t="str"/>
      <x:c r="H61" s="34" t="str"/>
      <x:c r="I61" s="38" t="str">
        <x:f>IF(H61="","",IF(H61="完全吻合",1,IF(H61="基本吻合",0.75,IF(H61="部分吻合",0.5,IF(H61="明显不符",0,"")))))</x:f>
      </x:c>
      <x:c r="J61" s="34" t="str"/>
      <x:c r="K61" s="34" t="str"/>
      <x:c r="L61" s="34" t="str"/>
      <x:c r="M61" s="34" t="str"/>
      <x:c r="N61" s="34" t="str"/>
      <x:c r="O61" s="34" t="str"/>
      <x:c r="P61" s="34" t="str"/>
      <x:c r="Q61" s="34" t="str"/>
      <x:c r="R61" s="34" t="str"/>
      <x:c r="S61" s="34" t="str"/>
      <x:c r="T61" s="34" t="str"/>
    </x:row>
    <x:row r="62">
      <x:c r="A62" s="34" t="str">
        <x:v>M5-EVAL-0057</x:v>
      </x:c>
      <x:c r="B62" s="34" t="str"/>
      <x:c r="C62" s="34" t="str"/>
      <x:c r="D62" s="34" t="str"/>
      <x:c r="E62" s="34" t="str"/>
      <x:c r="F62" s="34" t="str"/>
      <x:c r="G62" s="34" t="str"/>
      <x:c r="H62" s="34" t="str"/>
      <x:c r="I62" s="38" t="str">
        <x:f>IF(H62="","",IF(H62="完全吻合",1,IF(H62="基本吻合",0.75,IF(H62="部分吻合",0.5,IF(H62="明显不符",0,"")))))</x:f>
      </x:c>
      <x:c r="J62" s="34" t="str"/>
      <x:c r="K62" s="34" t="str"/>
      <x:c r="L62" s="34" t="str"/>
      <x:c r="M62" s="34" t="str"/>
      <x:c r="N62" s="34" t="str"/>
      <x:c r="O62" s="34" t="str"/>
      <x:c r="P62" s="34" t="str"/>
      <x:c r="Q62" s="34" t="str"/>
      <x:c r="R62" s="34" t="str"/>
      <x:c r="S62" s="34" t="str"/>
      <x:c r="T62" s="34" t="str"/>
    </x:row>
    <x:row r="63">
      <x:c r="A63" s="34" t="str">
        <x:v>M5-EVAL-0058</x:v>
      </x:c>
      <x:c r="B63" s="34" t="str"/>
      <x:c r="C63" s="34" t="str"/>
      <x:c r="D63" s="34" t="str"/>
      <x:c r="E63" s="34" t="str"/>
      <x:c r="F63" s="34" t="str"/>
      <x:c r="G63" s="34" t="str"/>
      <x:c r="H63" s="34" t="str"/>
      <x:c r="I63" s="38" t="str">
        <x:f>IF(H63="","",IF(H63="完全吻合",1,IF(H63="基本吻合",0.75,IF(H63="部分吻合",0.5,IF(H63="明显不符",0,"")))))</x:f>
      </x:c>
      <x:c r="J63" s="34" t="str"/>
      <x:c r="K63" s="34" t="str"/>
      <x:c r="L63" s="34" t="str"/>
      <x:c r="M63" s="34" t="str"/>
      <x:c r="N63" s="34" t="str"/>
      <x:c r="O63" s="34" t="str"/>
      <x:c r="P63" s="34" t="str"/>
      <x:c r="Q63" s="34" t="str"/>
      <x:c r="R63" s="34" t="str"/>
      <x:c r="S63" s="34" t="str"/>
      <x:c r="T63" s="34" t="str"/>
    </x:row>
    <x:row r="64">
      <x:c r="A64" s="34" t="str">
        <x:v>M5-EVAL-0059</x:v>
      </x:c>
      <x:c r="B64" s="34" t="str"/>
      <x:c r="C64" s="34" t="str"/>
      <x:c r="D64" s="34" t="str"/>
      <x:c r="E64" s="34" t="str"/>
      <x:c r="F64" s="34" t="str"/>
      <x:c r="G64" s="34" t="str"/>
      <x:c r="H64" s="34" t="str"/>
      <x:c r="I64" s="38" t="str">
        <x:f>IF(H64="","",IF(H64="完全吻合",1,IF(H64="基本吻合",0.75,IF(H64="部分吻合",0.5,IF(H64="明显不符",0,"")))))</x:f>
      </x:c>
      <x:c r="J64" s="34" t="str"/>
      <x:c r="K64" s="34" t="str"/>
      <x:c r="L64" s="34" t="str"/>
      <x:c r="M64" s="34" t="str"/>
      <x:c r="N64" s="34" t="str"/>
      <x:c r="O64" s="34" t="str"/>
      <x:c r="P64" s="34" t="str"/>
      <x:c r="Q64" s="34" t="str"/>
      <x:c r="R64" s="34" t="str"/>
      <x:c r="S64" s="34" t="str"/>
      <x:c r="T64" s="34" t="str"/>
    </x:row>
    <x:row r="65">
      <x:c r="A65" s="34" t="str">
        <x:v>M5-EVAL-0060</x:v>
      </x:c>
      <x:c r="B65" s="34" t="str"/>
      <x:c r="C65" s="34" t="str"/>
      <x:c r="D65" s="34" t="str"/>
      <x:c r="E65" s="34" t="str"/>
      <x:c r="F65" s="34" t="str"/>
      <x:c r="G65" s="34" t="str"/>
      <x:c r="H65" s="34" t="str"/>
      <x:c r="I65" s="38" t="str">
        <x:f>IF(H65="","",IF(H65="完全吻合",1,IF(H65="基本吻合",0.75,IF(H65="部分吻合",0.5,IF(H65="明显不符",0,"")))))</x:f>
      </x:c>
      <x:c r="J65" s="34" t="str"/>
      <x:c r="K65" s="34" t="str"/>
      <x:c r="L65" s="34" t="str"/>
      <x:c r="M65" s="34" t="str"/>
      <x:c r="N65" s="34" t="str"/>
      <x:c r="O65" s="34" t="str"/>
      <x:c r="P65" s="34" t="str"/>
      <x:c r="Q65" s="34" t="str"/>
      <x:c r="R65" s="34" t="str"/>
      <x:c r="S65" s="34" t="str"/>
      <x:c r="T65" s="34" t="str"/>
    </x:row>
    <x:row r="66">
      <x:c r="A66" s="34" t="str">
        <x:v>M5-EVAL-0061</x:v>
      </x:c>
      <x:c r="B66" s="34" t="str"/>
      <x:c r="C66" s="34" t="str"/>
      <x:c r="D66" s="34" t="str"/>
      <x:c r="E66" s="34" t="str"/>
      <x:c r="F66" s="34" t="str"/>
      <x:c r="G66" s="34" t="str"/>
      <x:c r="H66" s="34" t="str"/>
      <x:c r="I66" s="38" t="str">
        <x:f>IF(H66="","",IF(H66="完全吻合",1,IF(H66="基本吻合",0.75,IF(H66="部分吻合",0.5,IF(H66="明显不符",0,"")))))</x:f>
      </x:c>
      <x:c r="J66" s="34" t="str"/>
      <x:c r="K66" s="34" t="str"/>
      <x:c r="L66" s="34" t="str"/>
      <x:c r="M66" s="34" t="str"/>
      <x:c r="N66" s="34" t="str"/>
      <x:c r="O66" s="34" t="str"/>
      <x:c r="P66" s="34" t="str"/>
      <x:c r="Q66" s="34" t="str"/>
      <x:c r="R66" s="34" t="str"/>
      <x:c r="S66" s="34" t="str"/>
      <x:c r="T66" s="34" t="str"/>
    </x:row>
    <x:row r="67">
      <x:c r="A67" s="34" t="str">
        <x:v>M5-EVAL-0062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8" t="str">
        <x:f>IF(H67="","",IF(H67="完全吻合",1,IF(H67="基本吻合",0.75,IF(H67="部分吻合",0.5,IF(H67="明显不符",0,"")))))</x:f>
      </x:c>
      <x:c r="J67" s="34" t="str"/>
      <x:c r="K67" s="34" t="str"/>
      <x:c r="L67" s="34" t="str"/>
      <x:c r="M67" s="34" t="str"/>
      <x:c r="N67" s="34" t="str"/>
      <x:c r="O67" s="34" t="str"/>
      <x:c r="P67" s="34" t="str"/>
      <x:c r="Q67" s="34" t="str"/>
      <x:c r="R67" s="34" t="str"/>
      <x:c r="S67" s="34" t="str"/>
      <x:c r="T67" s="34" t="str"/>
    </x:row>
    <x:row r="68">
      <x:c r="A68" s="34" t="str">
        <x:v>M5-EVAL-0063</x:v>
      </x:c>
      <x:c r="B68" s="34" t="str"/>
      <x:c r="C68" s="34" t="str"/>
      <x:c r="D68" s="34" t="str"/>
      <x:c r="E68" s="34" t="str"/>
      <x:c r="F68" s="34" t="str"/>
      <x:c r="G68" s="34" t="str"/>
      <x:c r="H68" s="34" t="str"/>
      <x:c r="I68" s="38" t="str">
        <x:f>IF(H68="","",IF(H68="完全吻合",1,IF(H68="基本吻合",0.75,IF(H68="部分吻合",0.5,IF(H68="明显不符",0,"")))))</x:f>
      </x:c>
      <x:c r="J68" s="34" t="str"/>
      <x:c r="K68" s="34" t="str"/>
      <x:c r="L68" s="34" t="str"/>
      <x:c r="M68" s="34" t="str"/>
      <x:c r="N68" s="34" t="str"/>
      <x:c r="O68" s="34" t="str"/>
      <x:c r="P68" s="34" t="str"/>
      <x:c r="Q68" s="34" t="str"/>
      <x:c r="R68" s="34" t="str"/>
      <x:c r="S68" s="34" t="str"/>
      <x:c r="T68" s="34" t="str"/>
    </x:row>
    <x:row r="69">
      <x:c r="A69" s="34" t="str">
        <x:v>M5-EVAL-0064</x:v>
      </x:c>
      <x:c r="B69" s="34" t="str"/>
      <x:c r="C69" s="34" t="str"/>
      <x:c r="D69" s="34" t="str"/>
      <x:c r="E69" s="34" t="str"/>
      <x:c r="F69" s="34" t="str"/>
      <x:c r="G69" s="34" t="str"/>
      <x:c r="H69" s="34" t="str"/>
      <x:c r="I69" s="38" t="str">
        <x:f>IF(H69="","",IF(H69="完全吻合",1,IF(H69="基本吻合",0.75,IF(H69="部分吻合",0.5,IF(H69="明显不符",0,"")))))</x:f>
      </x:c>
      <x:c r="J69" s="34" t="str"/>
      <x:c r="K69" s="34" t="str"/>
      <x:c r="L69" s="34" t="str"/>
      <x:c r="M69" s="34" t="str"/>
      <x:c r="N69" s="34" t="str"/>
      <x:c r="O69" s="34" t="str"/>
      <x:c r="P69" s="34" t="str"/>
      <x:c r="Q69" s="34" t="str"/>
      <x:c r="R69" s="34" t="str"/>
      <x:c r="S69" s="34" t="str"/>
      <x:c r="T69" s="34" t="str"/>
    </x:row>
    <x:row r="70">
      <x:c r="A70" s="34" t="str">
        <x:v>M5-EVAL-0065</x:v>
      </x:c>
      <x:c r="B70" s="34" t="str"/>
      <x:c r="C70" s="34" t="str"/>
      <x:c r="D70" s="34" t="str"/>
      <x:c r="E70" s="34" t="str"/>
      <x:c r="F70" s="34" t="str"/>
      <x:c r="G70" s="34" t="str"/>
      <x:c r="H70" s="34" t="str"/>
      <x:c r="I70" s="38" t="str">
        <x:f>IF(H70="","",IF(H70="完全吻合",1,IF(H70="基本吻合",0.75,IF(H70="部分吻合",0.5,IF(H70="明显不符",0,"")))))</x:f>
      </x:c>
      <x:c r="J70" s="34" t="str"/>
      <x:c r="K70" s="34" t="str"/>
      <x:c r="L70" s="34" t="str"/>
      <x:c r="M70" s="34" t="str"/>
      <x:c r="N70" s="34" t="str"/>
      <x:c r="O70" s="34" t="str"/>
      <x:c r="P70" s="34" t="str"/>
      <x:c r="Q70" s="34" t="str"/>
      <x:c r="R70" s="34" t="str"/>
      <x:c r="S70" s="34" t="str"/>
      <x:c r="T70" s="34" t="str"/>
    </x:row>
    <x:row r="71">
      <x:c r="A71" s="34" t="str">
        <x:v>M5-EVAL-0066</x:v>
      </x:c>
      <x:c r="B71" s="34" t="str"/>
      <x:c r="C71" s="34" t="str"/>
      <x:c r="D71" s="34" t="str"/>
      <x:c r="E71" s="34" t="str"/>
      <x:c r="F71" s="34" t="str"/>
      <x:c r="G71" s="34" t="str"/>
      <x:c r="H71" s="34" t="str"/>
      <x:c r="I71" s="38" t="str">
        <x:f>IF(H71="","",IF(H71="完全吻合",1,IF(H71="基本吻合",0.75,IF(H71="部分吻合",0.5,IF(H71="明显不符",0,"")))))</x:f>
      </x:c>
      <x:c r="J71" s="34" t="str"/>
      <x:c r="K71" s="34" t="str"/>
      <x:c r="L71" s="34" t="str"/>
      <x:c r="M71" s="34" t="str"/>
      <x:c r="N71" s="34" t="str"/>
      <x:c r="O71" s="34" t="str"/>
      <x:c r="P71" s="34" t="str"/>
      <x:c r="Q71" s="34" t="str"/>
      <x:c r="R71" s="34" t="str"/>
      <x:c r="S71" s="34" t="str"/>
      <x:c r="T71" s="34" t="str"/>
    </x:row>
    <x:row r="72">
      <x:c r="A72" s="34" t="str">
        <x:v>M5-EVAL-0067</x:v>
      </x:c>
      <x:c r="B72" s="34" t="str"/>
      <x:c r="C72" s="34" t="str"/>
      <x:c r="D72" s="34" t="str"/>
      <x:c r="E72" s="34" t="str"/>
      <x:c r="F72" s="34" t="str"/>
      <x:c r="G72" s="34" t="str"/>
      <x:c r="H72" s="34" t="str"/>
      <x:c r="I72" s="38" t="str">
        <x:f>IF(H72="","",IF(H72="完全吻合",1,IF(H72="基本吻合",0.75,IF(H72="部分吻合",0.5,IF(H72="明显不符",0,"")))))</x:f>
      </x:c>
      <x:c r="J72" s="34" t="str"/>
      <x:c r="K72" s="34" t="str"/>
      <x:c r="L72" s="34" t="str"/>
      <x:c r="M72" s="34" t="str"/>
      <x:c r="N72" s="34" t="str"/>
      <x:c r="O72" s="34" t="str"/>
      <x:c r="P72" s="34" t="str"/>
      <x:c r="Q72" s="34" t="str"/>
      <x:c r="R72" s="34" t="str"/>
      <x:c r="S72" s="34" t="str"/>
      <x:c r="T72" s="34" t="str"/>
    </x:row>
    <x:row r="73">
      <x:c r="A73" s="34" t="str">
        <x:v>M5-EVAL-0068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8" t="str">
        <x:f>IF(H73="","",IF(H73="完全吻合",1,IF(H73="基本吻合",0.75,IF(H73="部分吻合",0.5,IF(H73="明显不符",0,"")))))</x:f>
      </x:c>
      <x:c r="J73" s="34" t="str"/>
      <x:c r="K73" s="34" t="str"/>
      <x:c r="L73" s="34" t="str"/>
      <x:c r="M73" s="34" t="str"/>
      <x:c r="N73" s="34" t="str"/>
      <x:c r="O73" s="34" t="str"/>
      <x:c r="P73" s="34" t="str"/>
      <x:c r="Q73" s="34" t="str"/>
      <x:c r="R73" s="34" t="str"/>
      <x:c r="S73" s="34" t="str"/>
      <x:c r="T73" s="34" t="str"/>
    </x:row>
    <x:row r="74">
      <x:c r="A74" s="34" t="str">
        <x:v>M5-EVAL-0069</x:v>
      </x:c>
      <x:c r="B74" s="34" t="str"/>
      <x:c r="C74" s="34" t="str"/>
      <x:c r="D74" s="34" t="str"/>
      <x:c r="E74" s="34" t="str"/>
      <x:c r="F74" s="34" t="str"/>
      <x:c r="G74" s="34" t="str"/>
      <x:c r="H74" s="34" t="str"/>
      <x:c r="I74" s="38" t="str">
        <x:f>IF(H74="","",IF(H74="完全吻合",1,IF(H74="基本吻合",0.75,IF(H74="部分吻合",0.5,IF(H74="明显不符",0,"")))))</x:f>
      </x:c>
      <x:c r="J74" s="34" t="str"/>
      <x:c r="K74" s="34" t="str"/>
      <x:c r="L74" s="34" t="str"/>
      <x:c r="M74" s="34" t="str"/>
      <x:c r="N74" s="34" t="str"/>
      <x:c r="O74" s="34" t="str"/>
      <x:c r="P74" s="34" t="str"/>
      <x:c r="Q74" s="34" t="str"/>
      <x:c r="R74" s="34" t="str"/>
      <x:c r="S74" s="34" t="str"/>
      <x:c r="T74" s="34" t="str"/>
    </x:row>
    <x:row r="75">
      <x:c r="A75" s="34" t="str">
        <x:v>M5-EVAL-0070</x:v>
      </x:c>
      <x:c r="B75" s="34" t="str"/>
      <x:c r="C75" s="34" t="str"/>
      <x:c r="D75" s="34" t="str"/>
      <x:c r="E75" s="34" t="str"/>
      <x:c r="F75" s="34" t="str"/>
      <x:c r="G75" s="34" t="str"/>
      <x:c r="H75" s="34" t="str"/>
      <x:c r="I75" s="38" t="str">
        <x:f>IF(H75="","",IF(H75="完全吻合",1,IF(H75="基本吻合",0.75,IF(H75="部分吻合",0.5,IF(H75="明显不符",0,"")))))</x:f>
      </x:c>
      <x:c r="J75" s="34" t="str"/>
      <x:c r="K75" s="34" t="str"/>
      <x:c r="L75" s="34" t="str"/>
      <x:c r="M75" s="34" t="str"/>
      <x:c r="N75" s="34" t="str"/>
      <x:c r="O75" s="34" t="str"/>
      <x:c r="P75" s="34" t="str"/>
      <x:c r="Q75" s="34" t="str"/>
      <x:c r="R75" s="34" t="str"/>
      <x:c r="S75" s="34" t="str"/>
      <x:c r="T75" s="34" t="str"/>
    </x:row>
    <x:row r="76">
      <x:c r="A76" s="34" t="str">
        <x:v>M5-EVAL-0071</x:v>
      </x:c>
      <x:c r="B76" s="34" t="str"/>
      <x:c r="C76" s="34" t="str"/>
      <x:c r="D76" s="34" t="str"/>
      <x:c r="E76" s="34" t="str"/>
      <x:c r="F76" s="34" t="str"/>
      <x:c r="G76" s="34" t="str"/>
      <x:c r="H76" s="34" t="str"/>
      <x:c r="I76" s="38" t="str">
        <x:f>IF(H76="","",IF(H76="完全吻合",1,IF(H76="基本吻合",0.75,IF(H76="部分吻合",0.5,IF(H76="明显不符",0,"")))))</x:f>
      </x:c>
      <x:c r="J76" s="34" t="str"/>
      <x:c r="K76" s="34" t="str"/>
      <x:c r="L76" s="34" t="str"/>
      <x:c r="M76" s="34" t="str"/>
      <x:c r="N76" s="34" t="str"/>
      <x:c r="O76" s="34" t="str"/>
      <x:c r="P76" s="34" t="str"/>
      <x:c r="Q76" s="34" t="str"/>
      <x:c r="R76" s="34" t="str"/>
      <x:c r="S76" s="34" t="str"/>
      <x:c r="T76" s="34" t="str"/>
    </x:row>
    <x:row r="77">
      <x:c r="A77" s="34" t="str">
        <x:v>M5-EVAL-0072</x:v>
      </x:c>
      <x:c r="B77" s="34" t="str"/>
      <x:c r="C77" s="34" t="str"/>
      <x:c r="D77" s="34" t="str"/>
      <x:c r="E77" s="34" t="str"/>
      <x:c r="F77" s="34" t="str"/>
      <x:c r="G77" s="34" t="str"/>
      <x:c r="H77" s="34" t="str"/>
      <x:c r="I77" s="38" t="str">
        <x:f>IF(H77="","",IF(H77="完全吻合",1,IF(H77="基本吻合",0.75,IF(H77="部分吻合",0.5,IF(H77="明显不符",0,"")))))</x:f>
      </x:c>
      <x:c r="J77" s="34" t="str"/>
      <x:c r="K77" s="34" t="str"/>
      <x:c r="L77" s="34" t="str"/>
      <x:c r="M77" s="34" t="str"/>
      <x:c r="N77" s="34" t="str"/>
      <x:c r="O77" s="34" t="str"/>
      <x:c r="P77" s="34" t="str"/>
      <x:c r="Q77" s="34" t="str"/>
      <x:c r="R77" s="34" t="str"/>
      <x:c r="S77" s="34" t="str"/>
      <x:c r="T77" s="34" t="str"/>
    </x:row>
    <x:row r="78">
      <x:c r="A78" s="34" t="str">
        <x:v>M5-EVAL-0073</x:v>
      </x:c>
      <x:c r="B78" s="34" t="str"/>
      <x:c r="C78" s="34" t="str"/>
      <x:c r="D78" s="34" t="str"/>
      <x:c r="E78" s="34" t="str"/>
      <x:c r="F78" s="34" t="str"/>
      <x:c r="G78" s="34" t="str"/>
      <x:c r="H78" s="34" t="str"/>
      <x:c r="I78" s="38" t="str">
        <x:f>IF(H78="","",IF(H78="完全吻合",1,IF(H78="基本吻合",0.75,IF(H78="部分吻合",0.5,IF(H78="明显不符",0,"")))))</x:f>
      </x:c>
      <x:c r="J78" s="34" t="str"/>
      <x:c r="K78" s="34" t="str"/>
      <x:c r="L78" s="34" t="str"/>
      <x:c r="M78" s="34" t="str"/>
      <x:c r="N78" s="34" t="str"/>
      <x:c r="O78" s="34" t="str"/>
      <x:c r="P78" s="34" t="str"/>
      <x:c r="Q78" s="34" t="str"/>
      <x:c r="R78" s="34" t="str"/>
      <x:c r="S78" s="34" t="str"/>
      <x:c r="T78" s="34" t="str"/>
    </x:row>
    <x:row r="79">
      <x:c r="A79" s="34" t="str">
        <x:v>M5-EVAL-0074</x:v>
      </x:c>
      <x:c r="B79" s="34" t="str"/>
      <x:c r="C79" s="34" t="str"/>
      <x:c r="D79" s="34" t="str"/>
      <x:c r="E79" s="34" t="str"/>
      <x:c r="F79" s="34" t="str"/>
      <x:c r="G79" s="34" t="str"/>
      <x:c r="H79" s="34" t="str"/>
      <x:c r="I79" s="38" t="str">
        <x:f>IF(H79="","",IF(H79="完全吻合",1,IF(H79="基本吻合",0.75,IF(H79="部分吻合",0.5,IF(H79="明显不符",0,"")))))</x:f>
      </x:c>
      <x:c r="J79" s="34" t="str"/>
      <x:c r="K79" s="34" t="str"/>
      <x:c r="L79" s="34" t="str"/>
      <x:c r="M79" s="34" t="str"/>
      <x:c r="N79" s="34" t="str"/>
      <x:c r="O79" s="34" t="str"/>
      <x:c r="P79" s="34" t="str"/>
      <x:c r="Q79" s="34" t="str"/>
      <x:c r="R79" s="34" t="str"/>
      <x:c r="S79" s="34" t="str"/>
      <x:c r="T79" s="34" t="str"/>
    </x:row>
    <x:row r="80">
      <x:c r="A80" s="34" t="str">
        <x:v>M5-EVAL-0075</x:v>
      </x:c>
      <x:c r="B80" s="34" t="str"/>
      <x:c r="C80" s="34" t="str"/>
      <x:c r="D80" s="34" t="str"/>
      <x:c r="E80" s="34" t="str"/>
      <x:c r="F80" s="34" t="str"/>
      <x:c r="G80" s="34" t="str"/>
      <x:c r="H80" s="34" t="str"/>
      <x:c r="I80" s="38" t="str">
        <x:f>IF(H80="","",IF(H80="完全吻合",1,IF(H80="基本吻合",0.75,IF(H80="部分吻合",0.5,IF(H80="明显不符",0,"")))))</x:f>
      </x:c>
      <x:c r="J80" s="34" t="str"/>
      <x:c r="K80" s="34" t="str"/>
      <x:c r="L80" s="34" t="str"/>
      <x:c r="M80" s="34" t="str"/>
      <x:c r="N80" s="34" t="str"/>
      <x:c r="O80" s="34" t="str"/>
      <x:c r="P80" s="34" t="str"/>
      <x:c r="Q80" s="34" t="str"/>
      <x:c r="R80" s="34" t="str"/>
      <x:c r="S80" s="34" t="str"/>
      <x:c r="T80" s="34" t="str"/>
    </x:row>
    <x:row r="81">
      <x:c r="A81" s="34" t="str">
        <x:v>M5-EVAL-0076</x:v>
      </x:c>
      <x:c r="B81" s="34" t="str"/>
      <x:c r="C81" s="34" t="str"/>
      <x:c r="D81" s="34" t="str"/>
      <x:c r="E81" s="34" t="str"/>
      <x:c r="F81" s="34" t="str"/>
      <x:c r="G81" s="34" t="str"/>
      <x:c r="H81" s="34" t="str"/>
      <x:c r="I81" s="38" t="str">
        <x:f>IF(H81="","",IF(H81="完全吻合",1,IF(H81="基本吻合",0.75,IF(H81="部分吻合",0.5,IF(H81="明显不符",0,"")))))</x:f>
      </x:c>
      <x:c r="J81" s="34" t="str"/>
      <x:c r="K81" s="34" t="str"/>
      <x:c r="L81" s="34" t="str"/>
      <x:c r="M81" s="34" t="str"/>
      <x:c r="N81" s="34" t="str"/>
      <x:c r="O81" s="34" t="str"/>
      <x:c r="P81" s="34" t="str"/>
      <x:c r="Q81" s="34" t="str"/>
      <x:c r="R81" s="34" t="str"/>
      <x:c r="S81" s="34" t="str"/>
      <x:c r="T81" s="34" t="str"/>
    </x:row>
    <x:row r="82">
      <x:c r="A82" s="34" t="str">
        <x:v>M5-EVAL-0077</x:v>
      </x:c>
      <x:c r="B82" s="34" t="str"/>
      <x:c r="C82" s="34" t="str"/>
      <x:c r="D82" s="34" t="str"/>
      <x:c r="E82" s="34" t="str"/>
      <x:c r="F82" s="34" t="str"/>
      <x:c r="G82" s="34" t="str"/>
      <x:c r="H82" s="34" t="str"/>
      <x:c r="I82" s="38" t="str">
        <x:f>IF(H82="","",IF(H82="完全吻合",1,IF(H82="基本吻合",0.75,IF(H82="部分吻合",0.5,IF(H82="明显不符",0,"")))))</x:f>
      </x:c>
      <x:c r="J82" s="34" t="str"/>
      <x:c r="K82" s="34" t="str"/>
      <x:c r="L82" s="34" t="str"/>
      <x:c r="M82" s="34" t="str"/>
      <x:c r="N82" s="34" t="str"/>
      <x:c r="O82" s="34" t="str"/>
      <x:c r="P82" s="34" t="str"/>
      <x:c r="Q82" s="34" t="str"/>
      <x:c r="R82" s="34" t="str"/>
      <x:c r="S82" s="34" t="str"/>
      <x:c r="T82" s="34" t="str"/>
    </x:row>
    <x:row r="83">
      <x:c r="A83" s="34" t="str">
        <x:v>M5-EVAL-0078</x:v>
      </x:c>
      <x:c r="B83" s="34" t="str"/>
      <x:c r="C83" s="34" t="str"/>
      <x:c r="D83" s="34" t="str"/>
      <x:c r="E83" s="34" t="str"/>
      <x:c r="F83" s="34" t="str"/>
      <x:c r="G83" s="34" t="str"/>
      <x:c r="H83" s="34" t="str"/>
      <x:c r="I83" s="38" t="str">
        <x:f>IF(H83="","",IF(H83="完全吻合",1,IF(H83="基本吻合",0.75,IF(H83="部分吻合",0.5,IF(H83="明显不符",0,"")))))</x:f>
      </x:c>
      <x:c r="J83" s="34" t="str"/>
      <x:c r="K83" s="34" t="str"/>
      <x:c r="L83" s="34" t="str"/>
      <x:c r="M83" s="34" t="str"/>
      <x:c r="N83" s="34" t="str"/>
      <x:c r="O83" s="34" t="str"/>
      <x:c r="P83" s="34" t="str"/>
      <x:c r="Q83" s="34" t="str"/>
      <x:c r="R83" s="34" t="str"/>
      <x:c r="S83" s="34" t="str"/>
      <x:c r="T83" s="34" t="str"/>
    </x:row>
    <x:row r="84">
      <x:c r="A84" s="34" t="str">
        <x:v>M5-EVAL-0079</x:v>
      </x:c>
      <x:c r="B84" s="34" t="str"/>
      <x:c r="C84" s="34" t="str"/>
      <x:c r="D84" s="34" t="str"/>
      <x:c r="E84" s="34" t="str"/>
      <x:c r="F84" s="34" t="str"/>
      <x:c r="G84" s="34" t="str"/>
      <x:c r="H84" s="34" t="str"/>
      <x:c r="I84" s="38" t="str">
        <x:f>IF(H84="","",IF(H84="完全吻合",1,IF(H84="基本吻合",0.75,IF(H84="部分吻合",0.5,IF(H84="明显不符",0,"")))))</x:f>
      </x:c>
      <x:c r="J84" s="34" t="str"/>
      <x:c r="K84" s="34" t="str"/>
      <x:c r="L84" s="34" t="str"/>
      <x:c r="M84" s="34" t="str"/>
      <x:c r="N84" s="34" t="str"/>
      <x:c r="O84" s="34" t="str"/>
      <x:c r="P84" s="34" t="str"/>
      <x:c r="Q84" s="34" t="str"/>
      <x:c r="R84" s="34" t="str"/>
      <x:c r="S84" s="34" t="str"/>
      <x:c r="T84" s="34" t="str"/>
    </x:row>
    <x:row r="85">
      <x:c r="A85" s="34" t="str">
        <x:v>M5-EVAL-0080</x:v>
      </x:c>
      <x:c r="B85" s="34" t="str"/>
      <x:c r="C85" s="34" t="str"/>
      <x:c r="D85" s="34" t="str"/>
      <x:c r="E85" s="34" t="str"/>
      <x:c r="F85" s="34" t="str"/>
      <x:c r="G85" s="34" t="str"/>
      <x:c r="H85" s="34" t="str"/>
      <x:c r="I85" s="38" t="str">
        <x:f>IF(H85="","",IF(H85="完全吻合",1,IF(H85="基本吻合",0.75,IF(H85="部分吻合",0.5,IF(H85="明显不符",0,"")))))</x:f>
      </x:c>
      <x:c r="J85" s="34" t="str"/>
      <x:c r="K85" s="34" t="str"/>
      <x:c r="L85" s="34" t="str"/>
      <x:c r="M85" s="34" t="str"/>
      <x:c r="N85" s="34" t="str"/>
      <x:c r="O85" s="34" t="str"/>
      <x:c r="P85" s="34" t="str"/>
      <x:c r="Q85" s="34" t="str"/>
      <x:c r="R85" s="34" t="str"/>
      <x:c r="S85" s="34" t="str"/>
      <x:c r="T85" s="34" t="str"/>
    </x:row>
    <x:row r="86">
      <x:c r="A86" s="34" t="str">
        <x:v>M5-EVAL-0081</x:v>
      </x:c>
      <x:c r="B86" s="34" t="str"/>
      <x:c r="C86" s="34" t="str"/>
      <x:c r="D86" s="34" t="str"/>
      <x:c r="E86" s="34" t="str"/>
      <x:c r="F86" s="34" t="str"/>
      <x:c r="G86" s="34" t="str"/>
      <x:c r="H86" s="34" t="str"/>
      <x:c r="I86" s="38" t="str">
        <x:f>IF(H86="","",IF(H86="完全吻合",1,IF(H86="基本吻合",0.75,IF(H86="部分吻合",0.5,IF(H86="明显不符",0,"")))))</x:f>
      </x:c>
      <x:c r="J86" s="34" t="str"/>
      <x:c r="K86" s="34" t="str"/>
      <x:c r="L86" s="34" t="str"/>
      <x:c r="M86" s="34" t="str"/>
      <x:c r="N86" s="34" t="str"/>
      <x:c r="O86" s="34" t="str"/>
      <x:c r="P86" s="34" t="str"/>
      <x:c r="Q86" s="34" t="str"/>
      <x:c r="R86" s="34" t="str"/>
      <x:c r="S86" s="34" t="str"/>
      <x:c r="T86" s="34" t="str"/>
    </x:row>
    <x:row r="87">
      <x:c r="A87" s="34" t="str">
        <x:v>M5-EVAL-0082</x:v>
      </x:c>
      <x:c r="B87" s="34" t="str"/>
      <x:c r="C87" s="34" t="str"/>
      <x:c r="D87" s="34" t="str"/>
      <x:c r="E87" s="34" t="str"/>
      <x:c r="F87" s="34" t="str"/>
      <x:c r="G87" s="34" t="str"/>
      <x:c r="H87" s="34" t="str"/>
      <x:c r="I87" s="38" t="str">
        <x:f>IF(H87="","",IF(H87="完全吻合",1,IF(H87="基本吻合",0.75,IF(H87="部分吻合",0.5,IF(H87="明显不符",0,"")))))</x:f>
      </x:c>
      <x:c r="J87" s="34" t="str"/>
      <x:c r="K87" s="34" t="str"/>
      <x:c r="L87" s="34" t="str"/>
      <x:c r="M87" s="34" t="str"/>
      <x:c r="N87" s="34" t="str"/>
      <x:c r="O87" s="34" t="str"/>
      <x:c r="P87" s="34" t="str"/>
      <x:c r="Q87" s="34" t="str"/>
      <x:c r="R87" s="34" t="str"/>
      <x:c r="S87" s="34" t="str"/>
      <x:c r="T87" s="34" t="str"/>
    </x:row>
    <x:row r="88">
      <x:c r="A88" s="34" t="str">
        <x:v>M5-EVAL-0083</x:v>
      </x:c>
      <x:c r="B88" s="34" t="str"/>
      <x:c r="C88" s="34" t="str"/>
      <x:c r="D88" s="34" t="str"/>
      <x:c r="E88" s="34" t="str"/>
      <x:c r="F88" s="34" t="str"/>
      <x:c r="G88" s="34" t="str"/>
      <x:c r="H88" s="34" t="str"/>
      <x:c r="I88" s="38" t="str">
        <x:f>IF(H88="","",IF(H88="完全吻合",1,IF(H88="基本吻合",0.75,IF(H88="部分吻合",0.5,IF(H88="明显不符",0,"")))))</x:f>
      </x:c>
      <x:c r="J88" s="34" t="str"/>
      <x:c r="K88" s="34" t="str"/>
      <x:c r="L88" s="34" t="str"/>
      <x:c r="M88" s="34" t="str"/>
      <x:c r="N88" s="34" t="str"/>
      <x:c r="O88" s="34" t="str"/>
      <x:c r="P88" s="34" t="str"/>
      <x:c r="Q88" s="34" t="str"/>
      <x:c r="R88" s="34" t="str"/>
      <x:c r="S88" s="34" t="str"/>
      <x:c r="T88" s="34" t="str"/>
    </x:row>
    <x:row r="89">
      <x:c r="A89" s="34" t="str">
        <x:v>M5-EVAL-0084</x:v>
      </x:c>
      <x:c r="B89" s="34" t="str"/>
      <x:c r="C89" s="34" t="str"/>
      <x:c r="D89" s="34" t="str"/>
      <x:c r="E89" s="34" t="str"/>
      <x:c r="F89" s="34" t="str"/>
      <x:c r="G89" s="34" t="str"/>
      <x:c r="H89" s="34" t="str"/>
      <x:c r="I89" s="38" t="str">
        <x:f>IF(H89="","",IF(H89="完全吻合",1,IF(H89="基本吻合",0.75,IF(H89="部分吻合",0.5,IF(H89="明显不符",0,"")))))</x:f>
      </x:c>
      <x:c r="J89" s="34" t="str"/>
      <x:c r="K89" s="34" t="str"/>
      <x:c r="L89" s="34" t="str"/>
      <x:c r="M89" s="34" t="str"/>
      <x:c r="N89" s="34" t="str"/>
      <x:c r="O89" s="34" t="str"/>
      <x:c r="P89" s="34" t="str"/>
      <x:c r="Q89" s="34" t="str"/>
      <x:c r="R89" s="34" t="str"/>
      <x:c r="S89" s="34" t="str"/>
      <x:c r="T89" s="34" t="str"/>
    </x:row>
    <x:row r="90">
      <x:c r="A90" s="34" t="str">
        <x:v>M5-EVAL-0085</x:v>
      </x:c>
      <x:c r="B90" s="34" t="str"/>
      <x:c r="C90" s="34" t="str"/>
      <x:c r="D90" s="34" t="str"/>
      <x:c r="E90" s="34" t="str"/>
      <x:c r="F90" s="34" t="str"/>
      <x:c r="G90" s="34" t="str"/>
      <x:c r="H90" s="34" t="str"/>
      <x:c r="I90" s="38" t="str">
        <x:f>IF(H90="","",IF(H90="完全吻合",1,IF(H90="基本吻合",0.75,IF(H90="部分吻合",0.5,IF(H90="明显不符",0,"")))))</x:f>
      </x:c>
      <x:c r="J90" s="34" t="str"/>
      <x:c r="K90" s="34" t="str"/>
      <x:c r="L90" s="34" t="str"/>
      <x:c r="M90" s="34" t="str"/>
      <x:c r="N90" s="34" t="str"/>
      <x:c r="O90" s="34" t="str"/>
      <x:c r="P90" s="34" t="str"/>
      <x:c r="Q90" s="34" t="str"/>
      <x:c r="R90" s="34" t="str"/>
      <x:c r="S90" s="34" t="str"/>
      <x:c r="T90" s="34" t="str"/>
    </x:row>
    <x:row r="91">
      <x:c r="A91" s="34" t="str">
        <x:v>M5-EVAL-0086</x:v>
      </x:c>
      <x:c r="B91" s="34" t="str"/>
      <x:c r="C91" s="34" t="str"/>
      <x:c r="D91" s="34" t="str"/>
      <x:c r="E91" s="34" t="str"/>
      <x:c r="F91" s="34" t="str"/>
      <x:c r="G91" s="34" t="str"/>
      <x:c r="H91" s="34" t="str"/>
      <x:c r="I91" s="38" t="str">
        <x:f>IF(H91="","",IF(H91="完全吻合",1,IF(H91="基本吻合",0.75,IF(H91="部分吻合",0.5,IF(H91="明显不符",0,"")))))</x:f>
      </x:c>
      <x:c r="J91" s="34" t="str"/>
      <x:c r="K91" s="34" t="str"/>
      <x:c r="L91" s="34" t="str"/>
      <x:c r="M91" s="34" t="str"/>
      <x:c r="N91" s="34" t="str"/>
      <x:c r="O91" s="34" t="str"/>
      <x:c r="P91" s="34" t="str"/>
      <x:c r="Q91" s="34" t="str"/>
      <x:c r="R91" s="34" t="str"/>
      <x:c r="S91" s="34" t="str"/>
      <x:c r="T91" s="34" t="str"/>
    </x:row>
    <x:row r="92">
      <x:c r="A92" s="34" t="str">
        <x:v>M5-EVAL-0087</x:v>
      </x:c>
      <x:c r="B92" s="34" t="str"/>
      <x:c r="C92" s="34" t="str"/>
      <x:c r="D92" s="34" t="str"/>
      <x:c r="E92" s="34" t="str"/>
      <x:c r="F92" s="34" t="str"/>
      <x:c r="G92" s="34" t="str"/>
      <x:c r="H92" s="34" t="str"/>
      <x:c r="I92" s="38" t="str">
        <x:f>IF(H92="","",IF(H92="完全吻合",1,IF(H92="基本吻合",0.75,IF(H92="部分吻合",0.5,IF(H92="明显不符",0,"")))))</x:f>
      </x:c>
      <x:c r="J92" s="34" t="str"/>
      <x:c r="K92" s="34" t="str"/>
      <x:c r="L92" s="34" t="str"/>
      <x:c r="M92" s="34" t="str"/>
      <x:c r="N92" s="34" t="str"/>
      <x:c r="O92" s="34" t="str"/>
      <x:c r="P92" s="34" t="str"/>
      <x:c r="Q92" s="34" t="str"/>
      <x:c r="R92" s="34" t="str"/>
      <x:c r="S92" s="34" t="str"/>
      <x:c r="T92" s="34" t="str"/>
    </x:row>
    <x:row r="93">
      <x:c r="A93" s="34" t="str">
        <x:v>M5-EVAL-0088</x:v>
      </x:c>
      <x:c r="B93" s="34" t="str"/>
      <x:c r="C93" s="34" t="str"/>
      <x:c r="D93" s="34" t="str"/>
      <x:c r="E93" s="34" t="str"/>
      <x:c r="F93" s="34" t="str"/>
      <x:c r="G93" s="34" t="str"/>
      <x:c r="H93" s="34" t="str"/>
      <x:c r="I93" s="38" t="str">
        <x:f>IF(H93="","",IF(H93="完全吻合",1,IF(H93="基本吻合",0.75,IF(H93="部分吻合",0.5,IF(H93="明显不符",0,"")))))</x:f>
      </x:c>
      <x:c r="J93" s="34" t="str"/>
      <x:c r="K93" s="34" t="str"/>
      <x:c r="L93" s="34" t="str"/>
      <x:c r="M93" s="34" t="str"/>
      <x:c r="N93" s="34" t="str"/>
      <x:c r="O93" s="34" t="str"/>
      <x:c r="P93" s="34" t="str"/>
      <x:c r="Q93" s="34" t="str"/>
      <x:c r="R93" s="34" t="str"/>
      <x:c r="S93" s="34" t="str"/>
      <x:c r="T93" s="34" t="str"/>
    </x:row>
    <x:row r="94">
      <x:c r="A94" s="34" t="str">
        <x:v>M5-EVAL-0089</x:v>
      </x:c>
      <x:c r="B94" s="34" t="str"/>
      <x:c r="C94" s="34" t="str"/>
      <x:c r="D94" s="34" t="str"/>
      <x:c r="E94" s="34" t="str"/>
      <x:c r="F94" s="34" t="str"/>
      <x:c r="G94" s="34" t="str"/>
      <x:c r="H94" s="34" t="str"/>
      <x:c r="I94" s="38" t="str">
        <x:f>IF(H94="","",IF(H94="完全吻合",1,IF(H94="基本吻合",0.75,IF(H94="部分吻合",0.5,IF(H94="明显不符",0,"")))))</x:f>
      </x:c>
      <x:c r="J94" s="34" t="str"/>
      <x:c r="K94" s="34" t="str"/>
      <x:c r="L94" s="34" t="str"/>
      <x:c r="M94" s="34" t="str"/>
      <x:c r="N94" s="34" t="str"/>
      <x:c r="O94" s="34" t="str"/>
      <x:c r="P94" s="34" t="str"/>
      <x:c r="Q94" s="34" t="str"/>
      <x:c r="R94" s="34" t="str"/>
      <x:c r="S94" s="34" t="str"/>
      <x:c r="T94" s="34" t="str"/>
    </x:row>
    <x:row r="95">
      <x:c r="A95" s="34" t="str">
        <x:v>M5-EVAL-0090</x:v>
      </x:c>
      <x:c r="B95" s="34" t="str"/>
      <x:c r="C95" s="34" t="str"/>
      <x:c r="D95" s="34" t="str"/>
      <x:c r="E95" s="34" t="str"/>
      <x:c r="F95" s="34" t="str"/>
      <x:c r="G95" s="34" t="str"/>
      <x:c r="H95" s="34" t="str"/>
      <x:c r="I95" s="38" t="str">
        <x:f>IF(H95="","",IF(H95="完全吻合",1,IF(H95="基本吻合",0.75,IF(H95="部分吻合",0.5,IF(H95="明显不符",0,"")))))</x:f>
      </x:c>
      <x:c r="J95" s="34" t="str"/>
      <x:c r="K95" s="34" t="str"/>
      <x:c r="L95" s="34" t="str"/>
      <x:c r="M95" s="34" t="str"/>
      <x:c r="N95" s="34" t="str"/>
      <x:c r="O95" s="34" t="str"/>
      <x:c r="P95" s="34" t="str"/>
      <x:c r="Q95" s="34" t="str"/>
      <x:c r="R95" s="34" t="str"/>
      <x:c r="S95" s="34" t="str"/>
      <x:c r="T95" s="34" t="str"/>
    </x:row>
    <x:row r="96">
      <x:c r="A96" s="34" t="str">
        <x:v>M5-EVAL-0091</x:v>
      </x:c>
      <x:c r="B96" s="34" t="str"/>
      <x:c r="C96" s="34" t="str"/>
      <x:c r="D96" s="34" t="str"/>
      <x:c r="E96" s="34" t="str"/>
      <x:c r="F96" s="34" t="str"/>
      <x:c r="G96" s="34" t="str"/>
      <x:c r="H96" s="34" t="str"/>
      <x:c r="I96" s="38" t="str">
        <x:f>IF(H96="","",IF(H96="完全吻合",1,IF(H96="基本吻合",0.75,IF(H96="部分吻合",0.5,IF(H96="明显不符",0,"")))))</x:f>
      </x:c>
      <x:c r="J96" s="34" t="str"/>
      <x:c r="K96" s="34" t="str"/>
      <x:c r="L96" s="34" t="str"/>
      <x:c r="M96" s="34" t="str"/>
      <x:c r="N96" s="34" t="str"/>
      <x:c r="O96" s="34" t="str"/>
      <x:c r="P96" s="34" t="str"/>
      <x:c r="Q96" s="34" t="str"/>
      <x:c r="R96" s="34" t="str"/>
      <x:c r="S96" s="34" t="str"/>
      <x:c r="T96" s="34" t="str"/>
    </x:row>
    <x:row r="97">
      <x:c r="A97" s="34" t="str">
        <x:v>M5-EVAL-0092</x:v>
      </x:c>
      <x:c r="B97" s="34" t="str"/>
      <x:c r="C97" s="34" t="str"/>
      <x:c r="D97" s="34" t="str"/>
      <x:c r="E97" s="34" t="str"/>
      <x:c r="F97" s="34" t="str"/>
      <x:c r="G97" s="34" t="str"/>
      <x:c r="H97" s="34" t="str"/>
      <x:c r="I97" s="38" t="str">
        <x:f>IF(H97="","",IF(H97="完全吻合",1,IF(H97="基本吻合",0.75,IF(H97="部分吻合",0.5,IF(H97="明显不符",0,"")))))</x:f>
      </x:c>
      <x:c r="J97" s="34" t="str"/>
      <x:c r="K97" s="34" t="str"/>
      <x:c r="L97" s="34" t="str"/>
      <x:c r="M97" s="34" t="str"/>
      <x:c r="N97" s="34" t="str"/>
      <x:c r="O97" s="34" t="str"/>
      <x:c r="P97" s="34" t="str"/>
      <x:c r="Q97" s="34" t="str"/>
      <x:c r="R97" s="34" t="str"/>
      <x:c r="S97" s="34" t="str"/>
      <x:c r="T97" s="34" t="str"/>
    </x:row>
    <x:row r="98">
      <x:c r="A98" s="34" t="str">
        <x:v>M5-EVAL-0093</x:v>
      </x:c>
      <x:c r="B98" s="34" t="str"/>
      <x:c r="C98" s="34" t="str"/>
      <x:c r="D98" s="34" t="str"/>
      <x:c r="E98" s="34" t="str"/>
      <x:c r="F98" s="34" t="str"/>
      <x:c r="G98" s="34" t="str"/>
      <x:c r="H98" s="34" t="str"/>
      <x:c r="I98" s="38" t="str">
        <x:f>IF(H98="","",IF(H98="完全吻合",1,IF(H98="基本吻合",0.75,IF(H98="部分吻合",0.5,IF(H98="明显不符",0,"")))))</x:f>
      </x:c>
      <x:c r="J98" s="34" t="str"/>
      <x:c r="K98" s="34" t="str"/>
      <x:c r="L98" s="34" t="str"/>
      <x:c r="M98" s="34" t="str"/>
      <x:c r="N98" s="34" t="str"/>
      <x:c r="O98" s="34" t="str"/>
      <x:c r="P98" s="34" t="str"/>
      <x:c r="Q98" s="34" t="str"/>
      <x:c r="R98" s="34" t="str"/>
      <x:c r="S98" s="34" t="str"/>
      <x:c r="T98" s="34" t="str"/>
    </x:row>
    <x:row r="99">
      <x:c r="A99" s="34" t="str">
        <x:v>M5-EVAL-0094</x:v>
      </x:c>
      <x:c r="B99" s="34" t="str"/>
      <x:c r="C99" s="34" t="str"/>
      <x:c r="D99" s="34" t="str"/>
      <x:c r="E99" s="34" t="str"/>
      <x:c r="F99" s="34" t="str"/>
      <x:c r="G99" s="34" t="str"/>
      <x:c r="H99" s="34" t="str"/>
      <x:c r="I99" s="38" t="str">
        <x:f>IF(H99="","",IF(H99="完全吻合",1,IF(H99="基本吻合",0.75,IF(H99="部分吻合",0.5,IF(H99="明显不符",0,"")))))</x:f>
      </x:c>
      <x:c r="J99" s="34" t="str"/>
      <x:c r="K99" s="34" t="str"/>
      <x:c r="L99" s="34" t="str"/>
      <x:c r="M99" s="34" t="str"/>
      <x:c r="N99" s="34" t="str"/>
      <x:c r="O99" s="34" t="str"/>
      <x:c r="P99" s="34" t="str"/>
      <x:c r="Q99" s="34" t="str"/>
      <x:c r="R99" s="34" t="str"/>
      <x:c r="S99" s="34" t="str"/>
      <x:c r="T99" s="34" t="str"/>
    </x:row>
    <x:row r="100">
      <x:c r="A100" s="34" t="str">
        <x:v>M5-EVAL-0095</x:v>
      </x:c>
      <x:c r="B100" s="34" t="str"/>
      <x:c r="C100" s="34" t="str"/>
      <x:c r="D100" s="34" t="str"/>
      <x:c r="E100" s="34" t="str"/>
      <x:c r="F100" s="34" t="str"/>
      <x:c r="G100" s="34" t="str"/>
      <x:c r="H100" s="34" t="str"/>
      <x:c r="I100" s="38" t="str">
        <x:f>IF(H100="","",IF(H100="完全吻合",1,IF(H100="基本吻合",0.75,IF(H100="部分吻合",0.5,IF(H100="明显不符",0,"")))))</x:f>
      </x:c>
      <x:c r="J100" s="34" t="str"/>
      <x:c r="K100" s="34" t="str"/>
      <x:c r="L100" s="34" t="str"/>
      <x:c r="M100" s="34" t="str"/>
      <x:c r="N100" s="34" t="str"/>
      <x:c r="O100" s="34" t="str"/>
      <x:c r="P100" s="34" t="str"/>
      <x:c r="Q100" s="34" t="str"/>
      <x:c r="R100" s="34" t="str"/>
      <x:c r="S100" s="34" t="str"/>
      <x:c r="T100" s="34" t="str"/>
    </x:row>
    <x:row r="101">
      <x:c r="A101" s="34" t="str">
        <x:v>M5-EVAL-0096</x:v>
      </x:c>
      <x:c r="B101" s="34" t="str"/>
      <x:c r="C101" s="34" t="str"/>
      <x:c r="D101" s="34" t="str"/>
      <x:c r="E101" s="34" t="str"/>
      <x:c r="F101" s="34" t="str"/>
      <x:c r="G101" s="34" t="str"/>
      <x:c r="H101" s="34" t="str"/>
      <x:c r="I101" s="38" t="str">
        <x:f>IF(H101="","",IF(H101="完全吻合",1,IF(H101="基本吻合",0.75,IF(H101="部分吻合",0.5,IF(H101="明显不符",0,"")))))</x:f>
      </x:c>
      <x:c r="J101" s="34" t="str"/>
      <x:c r="K101" s="34" t="str"/>
      <x:c r="L101" s="34" t="str"/>
      <x:c r="M101" s="34" t="str"/>
      <x:c r="N101" s="34" t="str"/>
      <x:c r="O101" s="34" t="str"/>
      <x:c r="P101" s="34" t="str"/>
      <x:c r="Q101" s="34" t="str"/>
      <x:c r="R101" s="34" t="str"/>
      <x:c r="S101" s="34" t="str"/>
      <x:c r="T101" s="34" t="str"/>
    </x:row>
    <x:row r="102">
      <x:c r="A102" s="34" t="str">
        <x:v>M5-EVAL-0097</x:v>
      </x:c>
      <x:c r="B102" s="34" t="str"/>
      <x:c r="C102" s="34" t="str"/>
      <x:c r="D102" s="34" t="str"/>
      <x:c r="E102" s="34" t="str"/>
      <x:c r="F102" s="34" t="str"/>
      <x:c r="G102" s="34" t="str"/>
      <x:c r="H102" s="34" t="str"/>
      <x:c r="I102" s="38" t="str">
        <x:f>IF(H102="","",IF(H102="完全吻合",1,IF(H102="基本吻合",0.75,IF(H102="部分吻合",0.5,IF(H102="明显不符",0,"")))))</x:f>
      </x:c>
      <x:c r="J102" s="34" t="str"/>
      <x:c r="K102" s="34" t="str"/>
      <x:c r="L102" s="34" t="str"/>
      <x:c r="M102" s="34" t="str"/>
      <x:c r="N102" s="34" t="str"/>
      <x:c r="O102" s="34" t="str"/>
      <x:c r="P102" s="34" t="str"/>
      <x:c r="Q102" s="34" t="str"/>
      <x:c r="R102" s="34" t="str"/>
      <x:c r="S102" s="34" t="str"/>
      <x:c r="T102" s="34" t="str"/>
    </x:row>
    <x:row r="103">
      <x:c r="A103" s="34" t="str">
        <x:v>M5-EVAL-0098</x:v>
      </x:c>
      <x:c r="B103" s="34" t="str"/>
      <x:c r="C103" s="34" t="str"/>
      <x:c r="D103" s="34" t="str"/>
      <x:c r="E103" s="34" t="str"/>
      <x:c r="F103" s="34" t="str"/>
      <x:c r="G103" s="34" t="str"/>
      <x:c r="H103" s="34" t="str"/>
      <x:c r="I103" s="38" t="str">
        <x:f>IF(H103="","",IF(H103="完全吻合",1,IF(H103="基本吻合",0.75,IF(H103="部分吻合",0.5,IF(H103="明显不符",0,"")))))</x:f>
      </x:c>
      <x:c r="J103" s="34" t="str"/>
      <x:c r="K103" s="34" t="str"/>
      <x:c r="L103" s="34" t="str"/>
      <x:c r="M103" s="34" t="str"/>
      <x:c r="N103" s="34" t="str"/>
      <x:c r="O103" s="34" t="str"/>
      <x:c r="P103" s="34" t="str"/>
      <x:c r="Q103" s="34" t="str"/>
      <x:c r="R103" s="34" t="str"/>
      <x:c r="S103" s="34" t="str"/>
      <x:c r="T103" s="34" t="str"/>
    </x:row>
    <x:row r="104">
      <x:c r="A104" s="34" t="str">
        <x:v>M5-EVAL-0099</x:v>
      </x:c>
      <x:c r="B104" s="34" t="str"/>
      <x:c r="C104" s="34" t="str"/>
      <x:c r="D104" s="34" t="str"/>
      <x:c r="E104" s="34" t="str"/>
      <x:c r="F104" s="34" t="str"/>
      <x:c r="G104" s="34" t="str"/>
      <x:c r="H104" s="34" t="str"/>
      <x:c r="I104" s="38" t="str">
        <x:f>IF(H104="","",IF(H104="完全吻合",1,IF(H104="基本吻合",0.75,IF(H104="部分吻合",0.5,IF(H104="明显不符",0,"")))))</x:f>
      </x:c>
      <x:c r="J104" s="34" t="str"/>
      <x:c r="K104" s="34" t="str"/>
      <x:c r="L104" s="34" t="str"/>
      <x:c r="M104" s="34" t="str"/>
      <x:c r="N104" s="34" t="str"/>
      <x:c r="O104" s="34" t="str"/>
      <x:c r="P104" s="34" t="str"/>
      <x:c r="Q104" s="34" t="str"/>
      <x:c r="R104" s="34" t="str"/>
      <x:c r="S104" s="34" t="str"/>
      <x:c r="T104" s="34" t="str"/>
    </x:row>
    <x:row r="105">
      <x:c r="A105" s="34" t="str">
        <x:v>M5-EVAL-0100</x:v>
      </x:c>
      <x:c r="B105" s="34" t="str"/>
      <x:c r="C105" s="34" t="str"/>
      <x:c r="D105" s="34" t="str"/>
      <x:c r="E105" s="34" t="str"/>
      <x:c r="F105" s="34" t="str"/>
      <x:c r="G105" s="34" t="str"/>
      <x:c r="H105" s="34" t="str"/>
      <x:c r="I105" s="38" t="str">
        <x:f>IF(H105="","",IF(H105="完全吻合",1,IF(H105="基本吻合",0.75,IF(H105="部分吻合",0.5,IF(H105="明显不符",0,"")))))</x:f>
      </x:c>
      <x:c r="J105" s="34" t="str"/>
      <x:c r="K105" s="34" t="str"/>
      <x:c r="L105" s="34" t="str"/>
      <x:c r="M105" s="34" t="str"/>
      <x:c r="N105" s="34" t="str"/>
      <x:c r="O105" s="34" t="str"/>
      <x:c r="P105" s="34" t="str"/>
      <x:c r="Q105" s="34" t="str"/>
      <x:c r="R105" s="34" t="str"/>
      <x:c r="S105" s="34" t="str"/>
      <x:c r="T105" s="34" t="str"/>
    </x:row>
    <x:row r="106">
      <x:c r="A106" s="34" t="str">
        <x:v>M5-EVAL-0101</x:v>
      </x:c>
      <x:c r="B106" s="34" t="str"/>
      <x:c r="C106" s="34" t="str"/>
      <x:c r="D106" s="34" t="str"/>
      <x:c r="E106" s="34" t="str"/>
      <x:c r="F106" s="34" t="str"/>
      <x:c r="G106" s="34" t="str"/>
      <x:c r="H106" s="34" t="str"/>
      <x:c r="I106" s="38" t="str">
        <x:f>IF(H106="","",IF(H106="完全吻合",1,IF(H106="基本吻合",0.75,IF(H106="部分吻合",0.5,IF(H106="明显不符",0,"")))))</x:f>
      </x:c>
      <x:c r="J106" s="34" t="str"/>
      <x:c r="K106" s="34" t="str"/>
      <x:c r="L106" s="34" t="str"/>
      <x:c r="M106" s="34" t="str"/>
      <x:c r="N106" s="34" t="str"/>
      <x:c r="O106" s="34" t="str"/>
      <x:c r="P106" s="34" t="str"/>
      <x:c r="Q106" s="34" t="str"/>
      <x:c r="R106" s="34" t="str"/>
      <x:c r="S106" s="34" t="str"/>
      <x:c r="T106" s="34" t="str"/>
    </x:row>
    <x:row r="107">
      <x:c r="A107" s="34" t="str">
        <x:v>M5-EVAL-0102</x:v>
      </x:c>
      <x:c r="B107" s="34" t="str"/>
      <x:c r="C107" s="34" t="str"/>
      <x:c r="D107" s="34" t="str"/>
      <x:c r="E107" s="34" t="str"/>
      <x:c r="F107" s="34" t="str"/>
      <x:c r="G107" s="34" t="str"/>
      <x:c r="H107" s="34" t="str"/>
      <x:c r="I107" s="38" t="str">
        <x:f>IF(H107="","",IF(H107="完全吻合",1,IF(H107="基本吻合",0.75,IF(H107="部分吻合",0.5,IF(H107="明显不符",0,"")))))</x:f>
      </x:c>
      <x:c r="J107" s="34" t="str"/>
      <x:c r="K107" s="34" t="str"/>
      <x:c r="L107" s="34" t="str"/>
      <x:c r="M107" s="34" t="str"/>
      <x:c r="N107" s="34" t="str"/>
      <x:c r="O107" s="34" t="str"/>
      <x:c r="P107" s="34" t="str"/>
      <x:c r="Q107" s="34" t="str"/>
      <x:c r="R107" s="34" t="str"/>
      <x:c r="S107" s="34" t="str"/>
      <x:c r="T107" s="34" t="str"/>
    </x:row>
    <x:row r="108">
      <x:c r="A108" s="34" t="str">
        <x:v>M5-EVAL-0103</x:v>
      </x:c>
      <x:c r="B108" s="34" t="str"/>
      <x:c r="C108" s="34" t="str"/>
      <x:c r="D108" s="34" t="str"/>
      <x:c r="E108" s="34" t="str"/>
      <x:c r="F108" s="34" t="str"/>
      <x:c r="G108" s="34" t="str"/>
      <x:c r="H108" s="34" t="str"/>
      <x:c r="I108" s="38" t="str">
        <x:f>IF(H108="","",IF(H108="完全吻合",1,IF(H108="基本吻合",0.75,IF(H108="部分吻合",0.5,IF(H108="明显不符",0,"")))))</x:f>
      </x:c>
      <x:c r="J108" s="34" t="str"/>
      <x:c r="K108" s="34" t="str"/>
      <x:c r="L108" s="34" t="str"/>
      <x:c r="M108" s="34" t="str"/>
      <x:c r="N108" s="34" t="str"/>
      <x:c r="O108" s="34" t="str"/>
      <x:c r="P108" s="34" t="str"/>
      <x:c r="Q108" s="34" t="str"/>
      <x:c r="R108" s="34" t="str"/>
      <x:c r="S108" s="34" t="str"/>
      <x:c r="T108" s="34" t="str"/>
    </x:row>
    <x:row r="109">
      <x:c r="A109" s="34" t="str">
        <x:v>M5-EVAL-0104</x:v>
      </x:c>
      <x:c r="B109" s="34" t="str"/>
      <x:c r="C109" s="34" t="str"/>
      <x:c r="D109" s="34" t="str"/>
      <x:c r="E109" s="34" t="str"/>
      <x:c r="F109" s="34" t="str"/>
      <x:c r="G109" s="34" t="str"/>
      <x:c r="H109" s="34" t="str"/>
      <x:c r="I109" s="38" t="str">
        <x:f>IF(H109="","",IF(H109="完全吻合",1,IF(H109="基本吻合",0.75,IF(H109="部分吻合",0.5,IF(H109="明显不符",0,"")))))</x:f>
      </x:c>
      <x:c r="J109" s="34" t="str"/>
      <x:c r="K109" s="34" t="str"/>
      <x:c r="L109" s="34" t="str"/>
      <x:c r="M109" s="34" t="str"/>
      <x:c r="N109" s="34" t="str"/>
      <x:c r="O109" s="34" t="str"/>
      <x:c r="P109" s="34" t="str"/>
      <x:c r="Q109" s="34" t="str"/>
      <x:c r="R109" s="34" t="str"/>
      <x:c r="S109" s="34" t="str"/>
      <x:c r="T109" s="34" t="str"/>
    </x:row>
    <x:row r="110">
      <x:c r="A110" s="34" t="str">
        <x:v>M5-EVAL-0105</x:v>
      </x:c>
      <x:c r="B110" s="34" t="str"/>
      <x:c r="C110" s="34" t="str"/>
      <x:c r="D110" s="34" t="str"/>
      <x:c r="E110" s="34" t="str"/>
      <x:c r="F110" s="34" t="str"/>
      <x:c r="G110" s="34" t="str"/>
      <x:c r="H110" s="34" t="str"/>
      <x:c r="I110" s="38" t="str">
        <x:f>IF(H110="","",IF(H110="完全吻合",1,IF(H110="基本吻合",0.75,IF(H110="部分吻合",0.5,IF(H110="明显不符",0,"")))))</x:f>
      </x:c>
      <x:c r="J110" s="34" t="str"/>
      <x:c r="K110" s="34" t="str"/>
      <x:c r="L110" s="34" t="str"/>
      <x:c r="M110" s="34" t="str"/>
      <x:c r="N110" s="34" t="str"/>
      <x:c r="O110" s="34" t="str"/>
      <x:c r="P110" s="34" t="str"/>
      <x:c r="Q110" s="34" t="str"/>
      <x:c r="R110" s="34" t="str"/>
      <x:c r="S110" s="34" t="str"/>
      <x:c r="T110" s="34" t="str"/>
    </x:row>
    <x:row r="111">
      <x:c r="A111" s="34" t="str">
        <x:v>M5-EVAL-0106</x:v>
      </x:c>
      <x:c r="B111" s="34" t="str"/>
      <x:c r="C111" s="34" t="str"/>
      <x:c r="D111" s="34" t="str"/>
      <x:c r="E111" s="34" t="str"/>
      <x:c r="F111" s="34" t="str"/>
      <x:c r="G111" s="34" t="str"/>
      <x:c r="H111" s="34" t="str"/>
      <x:c r="I111" s="38" t="str">
        <x:f>IF(H111="","",IF(H111="完全吻合",1,IF(H111="基本吻合",0.75,IF(H111="部分吻合",0.5,IF(H111="明显不符",0,"")))))</x:f>
      </x:c>
      <x:c r="J111" s="34" t="str"/>
      <x:c r="K111" s="34" t="str"/>
      <x:c r="L111" s="34" t="str"/>
      <x:c r="M111" s="34" t="str"/>
      <x:c r="N111" s="34" t="str"/>
      <x:c r="O111" s="34" t="str"/>
      <x:c r="P111" s="34" t="str"/>
      <x:c r="Q111" s="34" t="str"/>
      <x:c r="R111" s="34" t="str"/>
      <x:c r="S111" s="34" t="str"/>
      <x:c r="T111" s="34" t="str"/>
    </x:row>
    <x:row r="112">
      <x:c r="A112" s="34" t="str">
        <x:v>M5-EVAL-0107</x:v>
      </x:c>
      <x:c r="B112" s="34" t="str"/>
      <x:c r="C112" s="34" t="str"/>
      <x:c r="D112" s="34" t="str"/>
      <x:c r="E112" s="34" t="str"/>
      <x:c r="F112" s="34" t="str"/>
      <x:c r="G112" s="34" t="str"/>
      <x:c r="H112" s="34" t="str"/>
      <x:c r="I112" s="38" t="str">
        <x:f>IF(H112="","",IF(H112="完全吻合",1,IF(H112="基本吻合",0.75,IF(H112="部分吻合",0.5,IF(H112="明显不符",0,"")))))</x:f>
      </x:c>
      <x:c r="J112" s="34" t="str"/>
      <x:c r="K112" s="34" t="str"/>
      <x:c r="L112" s="34" t="str"/>
      <x:c r="M112" s="34" t="str"/>
      <x:c r="N112" s="34" t="str"/>
      <x:c r="O112" s="34" t="str"/>
      <x:c r="P112" s="34" t="str"/>
      <x:c r="Q112" s="34" t="str"/>
      <x:c r="R112" s="34" t="str"/>
      <x:c r="S112" s="34" t="str"/>
      <x:c r="T112" s="34" t="str"/>
    </x:row>
    <x:row r="113">
      <x:c r="A113" s="34" t="str">
        <x:v>M5-EVAL-0108</x:v>
      </x:c>
      <x:c r="B113" s="34" t="str"/>
      <x:c r="C113" s="34" t="str"/>
      <x:c r="D113" s="34" t="str"/>
      <x:c r="E113" s="34" t="str"/>
      <x:c r="F113" s="34" t="str"/>
      <x:c r="G113" s="34" t="str"/>
      <x:c r="H113" s="34" t="str"/>
      <x:c r="I113" s="38" t="str">
        <x:f>IF(H113="","",IF(H113="完全吻合",1,IF(H113="基本吻合",0.75,IF(H113="部分吻合",0.5,IF(H113="明显不符",0,"")))))</x:f>
      </x:c>
      <x:c r="J113" s="34" t="str"/>
      <x:c r="K113" s="34" t="str"/>
      <x:c r="L113" s="34" t="str"/>
      <x:c r="M113" s="34" t="str"/>
      <x:c r="N113" s="34" t="str"/>
      <x:c r="O113" s="34" t="str"/>
      <x:c r="P113" s="34" t="str"/>
      <x:c r="Q113" s="34" t="str"/>
      <x:c r="R113" s="34" t="str"/>
      <x:c r="S113" s="34" t="str"/>
      <x:c r="T113" s="34" t="str"/>
    </x:row>
    <x:row r="114">
      <x:c r="A114" s="34" t="str">
        <x:v>M5-EVAL-0109</x:v>
      </x:c>
      <x:c r="B114" s="34" t="str"/>
      <x:c r="C114" s="34" t="str"/>
      <x:c r="D114" s="34" t="str"/>
      <x:c r="E114" s="34" t="str"/>
      <x:c r="F114" s="34" t="str"/>
      <x:c r="G114" s="34" t="str"/>
      <x:c r="H114" s="34" t="str"/>
      <x:c r="I114" s="38" t="str">
        <x:f>IF(H114="","",IF(H114="完全吻合",1,IF(H114="基本吻合",0.75,IF(H114="部分吻合",0.5,IF(H114="明显不符",0,"")))))</x:f>
      </x:c>
      <x:c r="J114" s="34" t="str"/>
      <x:c r="K114" s="34" t="str"/>
      <x:c r="L114" s="34" t="str"/>
      <x:c r="M114" s="34" t="str"/>
      <x:c r="N114" s="34" t="str"/>
      <x:c r="O114" s="34" t="str"/>
      <x:c r="P114" s="34" t="str"/>
      <x:c r="Q114" s="34" t="str"/>
      <x:c r="R114" s="34" t="str"/>
      <x:c r="S114" s="34" t="str"/>
      <x:c r="T114" s="34" t="str"/>
    </x:row>
    <x:row r="115">
      <x:c r="A115" s="34" t="str">
        <x:v>M5-EVAL-0110</x:v>
      </x:c>
      <x:c r="B115" s="34" t="str"/>
      <x:c r="C115" s="34" t="str"/>
      <x:c r="D115" s="34" t="str"/>
      <x:c r="E115" s="34" t="str"/>
      <x:c r="F115" s="34" t="str"/>
      <x:c r="G115" s="34" t="str"/>
      <x:c r="H115" s="34" t="str"/>
      <x:c r="I115" s="38" t="str">
        <x:f>IF(H115="","",IF(H115="完全吻合",1,IF(H115="基本吻合",0.75,IF(H115="部分吻合",0.5,IF(H115="明显不符",0,"")))))</x:f>
      </x:c>
      <x:c r="J115" s="34" t="str"/>
      <x:c r="K115" s="34" t="str"/>
      <x:c r="L115" s="34" t="str"/>
      <x:c r="M115" s="34" t="str"/>
      <x:c r="N115" s="34" t="str"/>
      <x:c r="O115" s="34" t="str"/>
      <x:c r="P115" s="34" t="str"/>
      <x:c r="Q115" s="34" t="str"/>
      <x:c r="R115" s="34" t="str"/>
      <x:c r="S115" s="34" t="str"/>
      <x:c r="T115" s="34" t="str"/>
    </x:row>
    <x:row r="116">
      <x:c r="A116" s="34" t="str">
        <x:v>M5-EVAL-0111</x:v>
      </x:c>
      <x:c r="B116" s="34" t="str"/>
      <x:c r="C116" s="34" t="str"/>
      <x:c r="D116" s="34" t="str"/>
      <x:c r="E116" s="34" t="str"/>
      <x:c r="F116" s="34" t="str"/>
      <x:c r="G116" s="34" t="str"/>
      <x:c r="H116" s="34" t="str"/>
      <x:c r="I116" s="38" t="str">
        <x:f>IF(H116="","",IF(H116="完全吻合",1,IF(H116="基本吻合",0.75,IF(H116="部分吻合",0.5,IF(H116="明显不符",0,"")))))</x:f>
      </x:c>
      <x:c r="J116" s="34" t="str"/>
      <x:c r="K116" s="34" t="str"/>
      <x:c r="L116" s="34" t="str"/>
      <x:c r="M116" s="34" t="str"/>
      <x:c r="N116" s="34" t="str"/>
      <x:c r="O116" s="34" t="str"/>
      <x:c r="P116" s="34" t="str"/>
      <x:c r="Q116" s="34" t="str"/>
      <x:c r="R116" s="34" t="str"/>
      <x:c r="S116" s="34" t="str"/>
      <x:c r="T116" s="34" t="str"/>
    </x:row>
    <x:row r="117">
      <x:c r="A117" s="34" t="str">
        <x:v>M5-EVAL-0112</x:v>
      </x:c>
      <x:c r="B117" s="34" t="str"/>
      <x:c r="C117" s="34" t="str"/>
      <x:c r="D117" s="34" t="str"/>
      <x:c r="E117" s="34" t="str"/>
      <x:c r="F117" s="34" t="str"/>
      <x:c r="G117" s="34" t="str"/>
      <x:c r="H117" s="34" t="str"/>
      <x:c r="I117" s="38" t="str">
        <x:f>IF(H117="","",IF(H117="完全吻合",1,IF(H117="基本吻合",0.75,IF(H117="部分吻合",0.5,IF(H117="明显不符",0,"")))))</x:f>
      </x:c>
      <x:c r="J117" s="34" t="str"/>
      <x:c r="K117" s="34" t="str"/>
      <x:c r="L117" s="34" t="str"/>
      <x:c r="M117" s="34" t="str"/>
      <x:c r="N117" s="34" t="str"/>
      <x:c r="O117" s="34" t="str"/>
      <x:c r="P117" s="34" t="str"/>
      <x:c r="Q117" s="34" t="str"/>
      <x:c r="R117" s="34" t="str"/>
      <x:c r="S117" s="34" t="str"/>
      <x:c r="T117" s="34" t="str"/>
    </x:row>
    <x:row r="118">
      <x:c r="A118" s="34" t="str">
        <x:v>M5-EVAL-0113</x:v>
      </x:c>
      <x:c r="B118" s="34" t="str"/>
      <x:c r="C118" s="34" t="str"/>
      <x:c r="D118" s="34" t="str"/>
      <x:c r="E118" s="34" t="str"/>
      <x:c r="F118" s="34" t="str"/>
      <x:c r="G118" s="34" t="str"/>
      <x:c r="H118" s="34" t="str"/>
      <x:c r="I118" s="38" t="str">
        <x:f>IF(H118="","",IF(H118="完全吻合",1,IF(H118="基本吻合",0.75,IF(H118="部分吻合",0.5,IF(H118="明显不符",0,"")))))</x:f>
      </x:c>
      <x:c r="J118" s="34" t="str"/>
      <x:c r="K118" s="34" t="str"/>
      <x:c r="L118" s="34" t="str"/>
      <x:c r="M118" s="34" t="str"/>
      <x:c r="N118" s="34" t="str"/>
      <x:c r="O118" s="34" t="str"/>
      <x:c r="P118" s="34" t="str"/>
      <x:c r="Q118" s="34" t="str"/>
      <x:c r="R118" s="34" t="str"/>
      <x:c r="S118" s="34" t="str"/>
      <x:c r="T118" s="34" t="str"/>
    </x:row>
    <x:row r="119">
      <x:c r="A119" s="34" t="str">
        <x:v>M5-EVAL-0114</x:v>
      </x:c>
      <x:c r="B119" s="34" t="str"/>
      <x:c r="C119" s="34" t="str"/>
      <x:c r="D119" s="34" t="str"/>
      <x:c r="E119" s="34" t="str"/>
      <x:c r="F119" s="34" t="str"/>
      <x:c r="G119" s="34" t="str"/>
      <x:c r="H119" s="34" t="str"/>
      <x:c r="I119" s="38" t="str">
        <x:f>IF(H119="","",IF(H119="完全吻合",1,IF(H119="基本吻合",0.75,IF(H119="部分吻合",0.5,IF(H119="明显不符",0,"")))))</x:f>
      </x:c>
      <x:c r="J119" s="34" t="str"/>
      <x:c r="K119" s="34" t="str"/>
      <x:c r="L119" s="34" t="str"/>
      <x:c r="M119" s="34" t="str"/>
      <x:c r="N119" s="34" t="str"/>
      <x:c r="O119" s="34" t="str"/>
      <x:c r="P119" s="34" t="str"/>
      <x:c r="Q119" s="34" t="str"/>
      <x:c r="R119" s="34" t="str"/>
      <x:c r="S119" s="34" t="str"/>
      <x:c r="T119" s="34" t="str"/>
    </x:row>
    <x:row r="120">
      <x:c r="A120" s="34" t="str">
        <x:v>M5-EVAL-0115</x:v>
      </x:c>
      <x:c r="B120" s="34" t="str"/>
      <x:c r="C120" s="34" t="str"/>
      <x:c r="D120" s="34" t="str"/>
      <x:c r="E120" s="34" t="str"/>
      <x:c r="F120" s="34" t="str"/>
      <x:c r="G120" s="34" t="str"/>
      <x:c r="H120" s="34" t="str"/>
      <x:c r="I120" s="38" t="str">
        <x:f>IF(H120="","",IF(H120="完全吻合",1,IF(H120="基本吻合",0.75,IF(H120="部分吻合",0.5,IF(H120="明显不符",0,"")))))</x:f>
      </x:c>
      <x:c r="J120" s="34" t="str"/>
      <x:c r="K120" s="34" t="str"/>
      <x:c r="L120" s="34" t="str"/>
      <x:c r="M120" s="34" t="str"/>
      <x:c r="N120" s="34" t="str"/>
      <x:c r="O120" s="34" t="str"/>
      <x:c r="P120" s="34" t="str"/>
      <x:c r="Q120" s="34" t="str"/>
      <x:c r="R120" s="34" t="str"/>
      <x:c r="S120" s="34" t="str"/>
      <x:c r="T120" s="34" t="str"/>
    </x:row>
    <x:row r="121">
      <x:c r="A121" s="34" t="str">
        <x:v>M5-EVAL-0116</x:v>
      </x:c>
      <x:c r="B121" s="34" t="str"/>
      <x:c r="C121" s="34" t="str"/>
      <x:c r="D121" s="34" t="str"/>
      <x:c r="E121" s="34" t="str"/>
      <x:c r="F121" s="34" t="str"/>
      <x:c r="G121" s="34" t="str"/>
      <x:c r="H121" s="34" t="str"/>
      <x:c r="I121" s="38" t="str">
        <x:f>IF(H121="","",IF(H121="完全吻合",1,IF(H121="基本吻合",0.75,IF(H121="部分吻合",0.5,IF(H121="明显不符",0,"")))))</x:f>
      </x:c>
      <x:c r="J121" s="34" t="str"/>
      <x:c r="K121" s="34" t="str"/>
      <x:c r="L121" s="34" t="str"/>
      <x:c r="M121" s="34" t="str"/>
      <x:c r="N121" s="34" t="str"/>
      <x:c r="O121" s="34" t="str"/>
      <x:c r="P121" s="34" t="str"/>
      <x:c r="Q121" s="34" t="str"/>
      <x:c r="R121" s="34" t="str"/>
      <x:c r="S121" s="34" t="str"/>
      <x:c r="T121" s="34" t="str"/>
    </x:row>
    <x:row r="122">
      <x:c r="A122" s="34" t="str">
        <x:v>M5-EVAL-0117</x:v>
      </x:c>
      <x:c r="B122" s="34" t="str"/>
      <x:c r="C122" s="34" t="str"/>
      <x:c r="D122" s="34" t="str"/>
      <x:c r="E122" s="34" t="str"/>
      <x:c r="F122" s="34" t="str"/>
      <x:c r="G122" s="34" t="str"/>
      <x:c r="H122" s="34" t="str"/>
      <x:c r="I122" s="38" t="str">
        <x:f>IF(H122="","",IF(H122="完全吻合",1,IF(H122="基本吻合",0.75,IF(H122="部分吻合",0.5,IF(H122="明显不符",0,"")))))</x:f>
      </x:c>
      <x:c r="J122" s="34" t="str"/>
      <x:c r="K122" s="34" t="str"/>
      <x:c r="L122" s="34" t="str"/>
      <x:c r="M122" s="34" t="str"/>
      <x:c r="N122" s="34" t="str"/>
      <x:c r="O122" s="34" t="str"/>
      <x:c r="P122" s="34" t="str"/>
      <x:c r="Q122" s="34" t="str"/>
      <x:c r="R122" s="34" t="str"/>
      <x:c r="S122" s="34" t="str"/>
      <x:c r="T122" s="34" t="str"/>
    </x:row>
    <x:row r="123">
      <x:c r="A123" s="34" t="str">
        <x:v>M5-EVAL-0118</x:v>
      </x:c>
      <x:c r="B123" s="34" t="str"/>
      <x:c r="C123" s="34" t="str"/>
      <x:c r="D123" s="34" t="str"/>
      <x:c r="E123" s="34" t="str"/>
      <x:c r="F123" s="34" t="str"/>
      <x:c r="G123" s="34" t="str"/>
      <x:c r="H123" s="34" t="str"/>
      <x:c r="I123" s="38" t="str">
        <x:f>IF(H123="","",IF(H123="完全吻合",1,IF(H123="基本吻合",0.75,IF(H123="部分吻合",0.5,IF(H123="明显不符",0,"")))))</x:f>
      </x:c>
      <x:c r="J123" s="34" t="str"/>
      <x:c r="K123" s="34" t="str"/>
      <x:c r="L123" s="34" t="str"/>
      <x:c r="M123" s="34" t="str"/>
      <x:c r="N123" s="34" t="str"/>
      <x:c r="O123" s="34" t="str"/>
      <x:c r="P123" s="34" t="str"/>
      <x:c r="Q123" s="34" t="str"/>
      <x:c r="R123" s="34" t="str"/>
      <x:c r="S123" s="34" t="str"/>
      <x:c r="T123" s="34" t="str"/>
    </x:row>
    <x:row r="124">
      <x:c r="A124" s="34" t="str">
        <x:v>M5-EVAL-0119</x:v>
      </x:c>
      <x:c r="B124" s="34" t="str"/>
      <x:c r="C124" s="34" t="str"/>
      <x:c r="D124" s="34" t="str"/>
      <x:c r="E124" s="34" t="str"/>
      <x:c r="F124" s="34" t="str"/>
      <x:c r="G124" s="34" t="str"/>
      <x:c r="H124" s="34" t="str"/>
      <x:c r="I124" s="38" t="str">
        <x:f>IF(H124="","",IF(H124="完全吻合",1,IF(H124="基本吻合",0.75,IF(H124="部分吻合",0.5,IF(H124="明显不符",0,"")))))</x:f>
      </x:c>
      <x:c r="J124" s="34" t="str"/>
      <x:c r="K124" s="34" t="str"/>
      <x:c r="L124" s="34" t="str"/>
      <x:c r="M124" s="34" t="str"/>
      <x:c r="N124" s="34" t="str"/>
      <x:c r="O124" s="34" t="str"/>
      <x:c r="P124" s="34" t="str"/>
      <x:c r="Q124" s="34" t="str"/>
      <x:c r="R124" s="34" t="str"/>
      <x:c r="S124" s="34" t="str"/>
      <x:c r="T124" s="34" t="str"/>
    </x:row>
    <x:row r="125">
      <x:c r="A125" s="34" t="str">
        <x:v>M5-EVAL-0120</x:v>
      </x:c>
      <x:c r="B125" s="34" t="str"/>
      <x:c r="C125" s="34" t="str"/>
      <x:c r="D125" s="34" t="str"/>
      <x:c r="E125" s="34" t="str"/>
      <x:c r="F125" s="34" t="str"/>
      <x:c r="G125" s="34" t="str"/>
      <x:c r="H125" s="34" t="str"/>
      <x:c r="I125" s="38" t="str">
        <x:f>IF(H125="","",IF(H125="完全吻合",1,IF(H125="基本吻合",0.75,IF(H125="部分吻合",0.5,IF(H125="明显不符",0,"")))))</x:f>
      </x:c>
      <x:c r="J125" s="34" t="str"/>
      <x:c r="K125" s="34" t="str"/>
      <x:c r="L125" s="34" t="str"/>
      <x:c r="M125" s="34" t="str"/>
      <x:c r="N125" s="34" t="str"/>
      <x:c r="O125" s="34" t="str"/>
      <x:c r="P125" s="34" t="str"/>
      <x:c r="Q125" s="34" t="str"/>
      <x:c r="R125" s="34" t="str"/>
      <x:c r="S125" s="34" t="str"/>
      <x:c r="T125" s="34" t="str"/>
    </x:row>
    <x:row r="126">
      <x:c r="A126" s="34" t="str">
        <x:v>M5-EVAL-0121</x:v>
      </x:c>
      <x:c r="B126" s="34" t="str"/>
      <x:c r="C126" s="34" t="str"/>
      <x:c r="D126" s="34" t="str"/>
      <x:c r="E126" s="34" t="str"/>
      <x:c r="F126" s="34" t="str"/>
      <x:c r="G126" s="34" t="str"/>
      <x:c r="H126" s="34" t="str"/>
      <x:c r="I126" s="38" t="str">
        <x:f>IF(H126="","",IF(H126="完全吻合",1,IF(H126="基本吻合",0.75,IF(H126="部分吻合",0.5,IF(H126="明显不符",0,"")))))</x:f>
      </x:c>
      <x:c r="J126" s="34" t="str"/>
      <x:c r="K126" s="34" t="str"/>
      <x:c r="L126" s="34" t="str"/>
      <x:c r="M126" s="34" t="str"/>
      <x:c r="N126" s="34" t="str"/>
      <x:c r="O126" s="34" t="str"/>
      <x:c r="P126" s="34" t="str"/>
      <x:c r="Q126" s="34" t="str"/>
      <x:c r="R126" s="34" t="str"/>
      <x:c r="S126" s="34" t="str"/>
      <x:c r="T126" s="34" t="str"/>
    </x:row>
    <x:row r="127">
      <x:c r="A127" s="34" t="str">
        <x:v>M5-EVAL-0122</x:v>
      </x:c>
      <x:c r="B127" s="34" t="str"/>
      <x:c r="C127" s="34" t="str"/>
      <x:c r="D127" s="34" t="str"/>
      <x:c r="E127" s="34" t="str"/>
      <x:c r="F127" s="34" t="str"/>
      <x:c r="G127" s="34" t="str"/>
      <x:c r="H127" s="34" t="str"/>
      <x:c r="I127" s="38" t="str">
        <x:f>IF(H127="","",IF(H127="完全吻合",1,IF(H127="基本吻合",0.75,IF(H127="部分吻合",0.5,IF(H127="明显不符",0,"")))))</x:f>
      </x:c>
      <x:c r="J127" s="34" t="str"/>
      <x:c r="K127" s="34" t="str"/>
      <x:c r="L127" s="34" t="str"/>
      <x:c r="M127" s="34" t="str"/>
      <x:c r="N127" s="34" t="str"/>
      <x:c r="O127" s="34" t="str"/>
      <x:c r="P127" s="34" t="str"/>
      <x:c r="Q127" s="34" t="str"/>
      <x:c r="R127" s="34" t="str"/>
      <x:c r="S127" s="34" t="str"/>
      <x:c r="T127" s="34" t="str"/>
    </x:row>
    <x:row r="128">
      <x:c r="A128" s="34" t="str">
        <x:v>M5-EVAL-0123</x:v>
      </x:c>
      <x:c r="B128" s="34" t="str"/>
      <x:c r="C128" s="34" t="str"/>
      <x:c r="D128" s="34" t="str"/>
      <x:c r="E128" s="34" t="str"/>
      <x:c r="F128" s="34" t="str"/>
      <x:c r="G128" s="34" t="str"/>
      <x:c r="H128" s="34" t="str"/>
      <x:c r="I128" s="38" t="str">
        <x:f>IF(H128="","",IF(H128="完全吻合",1,IF(H128="基本吻合",0.75,IF(H128="部分吻合",0.5,IF(H128="明显不符",0,"")))))</x:f>
      </x:c>
      <x:c r="J128" s="34" t="str"/>
      <x:c r="K128" s="34" t="str"/>
      <x:c r="L128" s="34" t="str"/>
      <x:c r="M128" s="34" t="str"/>
      <x:c r="N128" s="34" t="str"/>
      <x:c r="O128" s="34" t="str"/>
      <x:c r="P128" s="34" t="str"/>
      <x:c r="Q128" s="34" t="str"/>
      <x:c r="R128" s="34" t="str"/>
      <x:c r="S128" s="34" t="str"/>
      <x:c r="T128" s="34" t="str"/>
    </x:row>
    <x:row r="129">
      <x:c r="A129" s="34" t="str">
        <x:v>M5-EVAL-0124</x:v>
      </x:c>
      <x:c r="B129" s="34" t="str"/>
      <x:c r="C129" s="34" t="str"/>
      <x:c r="D129" s="34" t="str"/>
      <x:c r="E129" s="34" t="str"/>
      <x:c r="F129" s="34" t="str"/>
      <x:c r="G129" s="34" t="str"/>
      <x:c r="H129" s="34" t="str"/>
      <x:c r="I129" s="38" t="str">
        <x:f>IF(H129="","",IF(H129="完全吻合",1,IF(H129="基本吻合",0.75,IF(H129="部分吻合",0.5,IF(H129="明显不符",0,"")))))</x:f>
      </x:c>
      <x:c r="J129" s="34" t="str"/>
      <x:c r="K129" s="34" t="str"/>
      <x:c r="L129" s="34" t="str"/>
      <x:c r="M129" s="34" t="str"/>
      <x:c r="N129" s="34" t="str"/>
      <x:c r="O129" s="34" t="str"/>
      <x:c r="P129" s="34" t="str"/>
      <x:c r="Q129" s="34" t="str"/>
      <x:c r="R129" s="34" t="str"/>
      <x:c r="S129" s="34" t="str"/>
      <x:c r="T129" s="34" t="str"/>
    </x:row>
    <x:row r="130">
      <x:c r="A130" s="34" t="str">
        <x:v>M5-EVAL-0125</x:v>
      </x:c>
      <x:c r="B130" s="34" t="str"/>
      <x:c r="C130" s="34" t="str"/>
      <x:c r="D130" s="34" t="str"/>
      <x:c r="E130" s="34" t="str"/>
      <x:c r="F130" s="34" t="str"/>
      <x:c r="G130" s="34" t="str"/>
      <x:c r="H130" s="34" t="str"/>
      <x:c r="I130" s="38" t="str">
        <x:f>IF(H130="","",IF(H130="完全吻合",1,IF(H130="基本吻合",0.75,IF(H130="部分吻合",0.5,IF(H130="明显不符",0,"")))))</x:f>
      </x:c>
      <x:c r="J130" s="34" t="str"/>
      <x:c r="K130" s="34" t="str"/>
      <x:c r="L130" s="34" t="str"/>
      <x:c r="M130" s="34" t="str"/>
      <x:c r="N130" s="34" t="str"/>
      <x:c r="O130" s="34" t="str"/>
      <x:c r="P130" s="34" t="str"/>
      <x:c r="Q130" s="34" t="str"/>
      <x:c r="R130" s="34" t="str"/>
      <x:c r="S130" s="34" t="str"/>
      <x:c r="T130" s="34" t="str"/>
    </x:row>
    <x:row r="131">
      <x:c r="A131" s="34" t="str">
        <x:v>M5-EVAL-0126</x:v>
      </x:c>
      <x:c r="B131" s="34" t="str"/>
      <x:c r="C131" s="34" t="str"/>
      <x:c r="D131" s="34" t="str"/>
      <x:c r="E131" s="34" t="str"/>
      <x:c r="F131" s="34" t="str"/>
      <x:c r="G131" s="34" t="str"/>
      <x:c r="H131" s="34" t="str"/>
      <x:c r="I131" s="38" t="str">
        <x:f>IF(H131="","",IF(H131="完全吻合",1,IF(H131="基本吻合",0.75,IF(H131="部分吻合",0.5,IF(H131="明显不符",0,"")))))</x:f>
      </x:c>
      <x:c r="J131" s="34" t="str"/>
      <x:c r="K131" s="34" t="str"/>
      <x:c r="L131" s="34" t="str"/>
      <x:c r="M131" s="34" t="str"/>
      <x:c r="N131" s="34" t="str"/>
      <x:c r="O131" s="34" t="str"/>
      <x:c r="P131" s="34" t="str"/>
      <x:c r="Q131" s="34" t="str"/>
      <x:c r="R131" s="34" t="str"/>
      <x:c r="S131" s="34" t="str"/>
      <x:c r="T131" s="34" t="str"/>
    </x:row>
    <x:row r="132">
      <x:c r="A132" s="34" t="str">
        <x:v>M5-EVAL-0127</x:v>
      </x:c>
      <x:c r="B132" s="34" t="str"/>
      <x:c r="C132" s="34" t="str"/>
      <x:c r="D132" s="34" t="str"/>
      <x:c r="E132" s="34" t="str"/>
      <x:c r="F132" s="34" t="str"/>
      <x:c r="G132" s="34" t="str"/>
      <x:c r="H132" s="34" t="str"/>
      <x:c r="I132" s="38" t="str">
        <x:f>IF(H132="","",IF(H132="完全吻合",1,IF(H132="基本吻合",0.75,IF(H132="部分吻合",0.5,IF(H132="明显不符",0,"")))))</x:f>
      </x:c>
      <x:c r="J132" s="34" t="str"/>
      <x:c r="K132" s="34" t="str"/>
      <x:c r="L132" s="34" t="str"/>
      <x:c r="M132" s="34" t="str"/>
      <x:c r="N132" s="34" t="str"/>
      <x:c r="O132" s="34" t="str"/>
      <x:c r="P132" s="34" t="str"/>
      <x:c r="Q132" s="34" t="str"/>
      <x:c r="R132" s="34" t="str"/>
      <x:c r="S132" s="34" t="str"/>
      <x:c r="T132" s="34" t="str"/>
    </x:row>
    <x:row r="133">
      <x:c r="A133" s="34" t="str">
        <x:v>M5-EVAL-0128</x:v>
      </x:c>
      <x:c r="B133" s="34" t="str"/>
      <x:c r="C133" s="34" t="str"/>
      <x:c r="D133" s="34" t="str"/>
      <x:c r="E133" s="34" t="str"/>
      <x:c r="F133" s="34" t="str"/>
      <x:c r="G133" s="34" t="str"/>
      <x:c r="H133" s="34" t="str"/>
      <x:c r="I133" s="38" t="str">
        <x:f>IF(H133="","",IF(H133="完全吻合",1,IF(H133="基本吻合",0.75,IF(H133="部分吻合",0.5,IF(H133="明显不符",0,"")))))</x:f>
      </x:c>
      <x:c r="J133" s="34" t="str"/>
      <x:c r="K133" s="34" t="str"/>
      <x:c r="L133" s="34" t="str"/>
      <x:c r="M133" s="34" t="str"/>
      <x:c r="N133" s="34" t="str"/>
      <x:c r="O133" s="34" t="str"/>
      <x:c r="P133" s="34" t="str"/>
      <x:c r="Q133" s="34" t="str"/>
      <x:c r="R133" s="34" t="str"/>
      <x:c r="S133" s="34" t="str"/>
      <x:c r="T133" s="34" t="str"/>
    </x:row>
    <x:row r="134">
      <x:c r="A134" s="34" t="str">
        <x:v>M5-EVAL-0129</x:v>
      </x:c>
      <x:c r="B134" s="34" t="str"/>
      <x:c r="C134" s="34" t="str"/>
      <x:c r="D134" s="34" t="str"/>
      <x:c r="E134" s="34" t="str"/>
      <x:c r="F134" s="34" t="str"/>
      <x:c r="G134" s="34" t="str"/>
      <x:c r="H134" s="34" t="str"/>
      <x:c r="I134" s="38" t="str">
        <x:f>IF(H134="","",IF(H134="完全吻合",1,IF(H134="基本吻合",0.75,IF(H134="部分吻合",0.5,IF(H134="明显不符",0,"")))))</x:f>
      </x:c>
      <x:c r="J134" s="34" t="str"/>
      <x:c r="K134" s="34" t="str"/>
      <x:c r="L134" s="34" t="str"/>
      <x:c r="M134" s="34" t="str"/>
      <x:c r="N134" s="34" t="str"/>
      <x:c r="O134" s="34" t="str"/>
      <x:c r="P134" s="34" t="str"/>
      <x:c r="Q134" s="34" t="str"/>
      <x:c r="R134" s="34" t="str"/>
      <x:c r="S134" s="34" t="str"/>
      <x:c r="T134" s="34" t="str"/>
    </x:row>
    <x:row r="135">
      <x:c r="A135" s="34" t="str">
        <x:v>M5-EVAL-0130</x:v>
      </x:c>
      <x:c r="B135" s="34" t="str"/>
      <x:c r="C135" s="34" t="str"/>
      <x:c r="D135" s="34" t="str"/>
      <x:c r="E135" s="34" t="str"/>
      <x:c r="F135" s="34" t="str"/>
      <x:c r="G135" s="34" t="str"/>
      <x:c r="H135" s="34" t="str"/>
      <x:c r="I135" s="38" t="str">
        <x:f>IF(H135="","",IF(H135="完全吻合",1,IF(H135="基本吻合",0.75,IF(H135="部分吻合",0.5,IF(H135="明显不符",0,"")))))</x:f>
      </x:c>
      <x:c r="J135" s="34" t="str"/>
      <x:c r="K135" s="34" t="str"/>
      <x:c r="L135" s="34" t="str"/>
      <x:c r="M135" s="34" t="str"/>
      <x:c r="N135" s="34" t="str"/>
      <x:c r="O135" s="34" t="str"/>
      <x:c r="P135" s="34" t="str"/>
      <x:c r="Q135" s="34" t="str"/>
      <x:c r="R135" s="34" t="str"/>
      <x:c r="S135" s="34" t="str"/>
      <x:c r="T135" s="34" t="str"/>
    </x:row>
    <x:row r="136">
      <x:c r="A136" s="34" t="str">
        <x:v>M5-EVAL-0131</x:v>
      </x:c>
      <x:c r="B136" s="34" t="str"/>
      <x:c r="C136" s="34" t="str"/>
      <x:c r="D136" s="34" t="str"/>
      <x:c r="E136" s="34" t="str"/>
      <x:c r="F136" s="34" t="str"/>
      <x:c r="G136" s="34" t="str"/>
      <x:c r="H136" s="34" t="str"/>
      <x:c r="I136" s="38" t="str">
        <x:f>IF(H136="","",IF(H136="完全吻合",1,IF(H136="基本吻合",0.75,IF(H136="部分吻合",0.5,IF(H136="明显不符",0,"")))))</x:f>
      </x:c>
      <x:c r="J136" s="34" t="str"/>
      <x:c r="K136" s="34" t="str"/>
      <x:c r="L136" s="34" t="str"/>
      <x:c r="M136" s="34" t="str"/>
      <x:c r="N136" s="34" t="str"/>
      <x:c r="O136" s="34" t="str"/>
      <x:c r="P136" s="34" t="str"/>
      <x:c r="Q136" s="34" t="str"/>
      <x:c r="R136" s="34" t="str"/>
      <x:c r="S136" s="34" t="str"/>
      <x:c r="T136" s="34" t="str"/>
    </x:row>
    <x:row r="137">
      <x:c r="A137" s="34" t="str">
        <x:v>M5-EVAL-0132</x:v>
      </x:c>
      <x:c r="B137" s="34" t="str"/>
      <x:c r="C137" s="34" t="str"/>
      <x:c r="D137" s="34" t="str"/>
      <x:c r="E137" s="34" t="str"/>
      <x:c r="F137" s="34" t="str"/>
      <x:c r="G137" s="34" t="str"/>
      <x:c r="H137" s="34" t="str"/>
      <x:c r="I137" s="38" t="str">
        <x:f>IF(H137="","",IF(H137="完全吻合",1,IF(H137="基本吻合",0.75,IF(H137="部分吻合",0.5,IF(H137="明显不符",0,"")))))</x:f>
      </x:c>
      <x:c r="J137" s="34" t="str"/>
      <x:c r="K137" s="34" t="str"/>
      <x:c r="L137" s="34" t="str"/>
      <x:c r="M137" s="34" t="str"/>
      <x:c r="N137" s="34" t="str"/>
      <x:c r="O137" s="34" t="str"/>
      <x:c r="P137" s="34" t="str"/>
      <x:c r="Q137" s="34" t="str"/>
      <x:c r="R137" s="34" t="str"/>
      <x:c r="S137" s="34" t="str"/>
      <x:c r="T137" s="34" t="str"/>
    </x:row>
    <x:row r="138">
      <x:c r="A138" s="34" t="str">
        <x:v>M5-EVAL-0133</x:v>
      </x:c>
      <x:c r="B138" s="34" t="str"/>
      <x:c r="C138" s="34" t="str"/>
      <x:c r="D138" s="34" t="str"/>
      <x:c r="E138" s="34" t="str"/>
      <x:c r="F138" s="34" t="str"/>
      <x:c r="G138" s="34" t="str"/>
      <x:c r="H138" s="34" t="str"/>
      <x:c r="I138" s="38" t="str">
        <x:f>IF(H138="","",IF(H138="完全吻合",1,IF(H138="基本吻合",0.75,IF(H138="部分吻合",0.5,IF(H138="明显不符",0,"")))))</x:f>
      </x:c>
      <x:c r="J138" s="34" t="str"/>
      <x:c r="K138" s="34" t="str"/>
      <x:c r="L138" s="34" t="str"/>
      <x:c r="M138" s="34" t="str"/>
      <x:c r="N138" s="34" t="str"/>
      <x:c r="O138" s="34" t="str"/>
      <x:c r="P138" s="34" t="str"/>
      <x:c r="Q138" s="34" t="str"/>
      <x:c r="R138" s="34" t="str"/>
      <x:c r="S138" s="34" t="str"/>
      <x:c r="T138" s="34" t="str"/>
    </x:row>
    <x:row r="139">
      <x:c r="A139" s="34" t="str">
        <x:v>M5-EVAL-0134</x:v>
      </x:c>
      <x:c r="B139" s="34" t="str"/>
      <x:c r="C139" s="34" t="str"/>
      <x:c r="D139" s="34" t="str"/>
      <x:c r="E139" s="34" t="str"/>
      <x:c r="F139" s="34" t="str"/>
      <x:c r="G139" s="34" t="str"/>
      <x:c r="H139" s="34" t="str"/>
      <x:c r="I139" s="38" t="str">
        <x:f>IF(H139="","",IF(H139="完全吻合",1,IF(H139="基本吻合",0.75,IF(H139="部分吻合",0.5,IF(H139="明显不符",0,"")))))</x:f>
      </x:c>
      <x:c r="J139" s="34" t="str"/>
      <x:c r="K139" s="34" t="str"/>
      <x:c r="L139" s="34" t="str"/>
      <x:c r="M139" s="34" t="str"/>
      <x:c r="N139" s="34" t="str"/>
      <x:c r="O139" s="34" t="str"/>
      <x:c r="P139" s="34" t="str"/>
      <x:c r="Q139" s="34" t="str"/>
      <x:c r="R139" s="34" t="str"/>
      <x:c r="S139" s="34" t="str"/>
      <x:c r="T139" s="34" t="str"/>
    </x:row>
    <x:row r="140">
      <x:c r="A140" s="34" t="str">
        <x:v>M5-EVAL-0135</x:v>
      </x:c>
      <x:c r="B140" s="34" t="str"/>
      <x:c r="C140" s="34" t="str"/>
      <x:c r="D140" s="34" t="str"/>
      <x:c r="E140" s="34" t="str"/>
      <x:c r="F140" s="34" t="str"/>
      <x:c r="G140" s="34" t="str"/>
      <x:c r="H140" s="34" t="str"/>
      <x:c r="I140" s="38" t="str">
        <x:f>IF(H140="","",IF(H140="完全吻合",1,IF(H140="基本吻合",0.75,IF(H140="部分吻合",0.5,IF(H140="明显不符",0,"")))))</x:f>
      </x:c>
      <x:c r="J140" s="34" t="str"/>
      <x:c r="K140" s="34" t="str"/>
      <x:c r="L140" s="34" t="str"/>
      <x:c r="M140" s="34" t="str"/>
      <x:c r="N140" s="34" t="str"/>
      <x:c r="O140" s="34" t="str"/>
      <x:c r="P140" s="34" t="str"/>
      <x:c r="Q140" s="34" t="str"/>
      <x:c r="R140" s="34" t="str"/>
      <x:c r="S140" s="34" t="str"/>
      <x:c r="T140" s="34" t="str"/>
    </x:row>
    <x:row r="141">
      <x:c r="A141" s="34" t="str">
        <x:v>M5-EVAL-0136</x:v>
      </x:c>
      <x:c r="B141" s="34" t="str"/>
      <x:c r="C141" s="34" t="str"/>
      <x:c r="D141" s="34" t="str"/>
      <x:c r="E141" s="34" t="str"/>
      <x:c r="F141" s="34" t="str"/>
      <x:c r="G141" s="34" t="str"/>
      <x:c r="H141" s="34" t="str"/>
      <x:c r="I141" s="38" t="str">
        <x:f>IF(H141="","",IF(H141="完全吻合",1,IF(H141="基本吻合",0.75,IF(H141="部分吻合",0.5,IF(H141="明显不符",0,"")))))</x:f>
      </x:c>
      <x:c r="J141" s="34" t="str"/>
      <x:c r="K141" s="34" t="str"/>
      <x:c r="L141" s="34" t="str"/>
      <x:c r="M141" s="34" t="str"/>
      <x:c r="N141" s="34" t="str"/>
      <x:c r="O141" s="34" t="str"/>
      <x:c r="P141" s="34" t="str"/>
      <x:c r="Q141" s="34" t="str"/>
      <x:c r="R141" s="34" t="str"/>
      <x:c r="S141" s="34" t="str"/>
      <x:c r="T141" s="34" t="str"/>
    </x:row>
    <x:row r="142">
      <x:c r="A142" s="34" t="str">
        <x:v>M5-EVAL-0137</x:v>
      </x:c>
      <x:c r="B142" s="34" t="str"/>
      <x:c r="C142" s="34" t="str"/>
      <x:c r="D142" s="34" t="str"/>
      <x:c r="E142" s="34" t="str"/>
      <x:c r="F142" s="34" t="str"/>
      <x:c r="G142" s="34" t="str"/>
      <x:c r="H142" s="34" t="str"/>
      <x:c r="I142" s="38" t="str">
        <x:f>IF(H142="","",IF(H142="完全吻合",1,IF(H142="基本吻合",0.75,IF(H142="部分吻合",0.5,IF(H142="明显不符",0,"")))))</x:f>
      </x:c>
      <x:c r="J142" s="34" t="str"/>
      <x:c r="K142" s="34" t="str"/>
      <x:c r="L142" s="34" t="str"/>
      <x:c r="M142" s="34" t="str"/>
      <x:c r="N142" s="34" t="str"/>
      <x:c r="O142" s="34" t="str"/>
      <x:c r="P142" s="34" t="str"/>
      <x:c r="Q142" s="34" t="str"/>
      <x:c r="R142" s="34" t="str"/>
      <x:c r="S142" s="34" t="str"/>
      <x:c r="T142" s="34" t="str"/>
    </x:row>
    <x:row r="143">
      <x:c r="A143" s="34" t="str">
        <x:v>M5-EVAL-0138</x:v>
      </x:c>
      <x:c r="B143" s="34" t="str"/>
      <x:c r="C143" s="34" t="str"/>
      <x:c r="D143" s="34" t="str"/>
      <x:c r="E143" s="34" t="str"/>
      <x:c r="F143" s="34" t="str"/>
      <x:c r="G143" s="34" t="str"/>
      <x:c r="H143" s="34" t="str"/>
      <x:c r="I143" s="38" t="str">
        <x:f>IF(H143="","",IF(H143="完全吻合",1,IF(H143="基本吻合",0.75,IF(H143="部分吻合",0.5,IF(H143="明显不符",0,"")))))</x:f>
      </x:c>
      <x:c r="J143" s="34" t="str"/>
      <x:c r="K143" s="34" t="str"/>
      <x:c r="L143" s="34" t="str"/>
      <x:c r="M143" s="34" t="str"/>
      <x:c r="N143" s="34" t="str"/>
      <x:c r="O143" s="34" t="str"/>
      <x:c r="P143" s="34" t="str"/>
      <x:c r="Q143" s="34" t="str"/>
      <x:c r="R143" s="34" t="str"/>
      <x:c r="S143" s="34" t="str"/>
      <x:c r="T143" s="34" t="str"/>
    </x:row>
    <x:row r="144">
      <x:c r="A144" s="34" t="str">
        <x:v>M5-EVAL-0139</x:v>
      </x:c>
      <x:c r="B144" s="34" t="str"/>
      <x:c r="C144" s="34" t="str"/>
      <x:c r="D144" s="34" t="str"/>
      <x:c r="E144" s="34" t="str"/>
      <x:c r="F144" s="34" t="str"/>
      <x:c r="G144" s="34" t="str"/>
      <x:c r="H144" s="34" t="str"/>
      <x:c r="I144" s="38" t="str">
        <x:f>IF(H144="","",IF(H144="完全吻合",1,IF(H144="基本吻合",0.75,IF(H144="部分吻合",0.5,IF(H144="明显不符",0,"")))))</x:f>
      </x:c>
      <x:c r="J144" s="34" t="str"/>
      <x:c r="K144" s="34" t="str"/>
      <x:c r="L144" s="34" t="str"/>
      <x:c r="M144" s="34" t="str"/>
      <x:c r="N144" s="34" t="str"/>
      <x:c r="O144" s="34" t="str"/>
      <x:c r="P144" s="34" t="str"/>
      <x:c r="Q144" s="34" t="str"/>
      <x:c r="R144" s="34" t="str"/>
      <x:c r="S144" s="34" t="str"/>
      <x:c r="T144" s="34" t="str"/>
    </x:row>
    <x:row r="145">
      <x:c r="A145" s="34" t="str">
        <x:v>M5-EVAL-0140</x:v>
      </x:c>
      <x:c r="B145" s="34" t="str"/>
      <x:c r="C145" s="34" t="str"/>
      <x:c r="D145" s="34" t="str"/>
      <x:c r="E145" s="34" t="str"/>
      <x:c r="F145" s="34" t="str"/>
      <x:c r="G145" s="34" t="str"/>
      <x:c r="H145" s="34" t="str"/>
      <x:c r="I145" s="38" t="str">
        <x:f>IF(H145="","",IF(H145="完全吻合",1,IF(H145="基本吻合",0.75,IF(H145="部分吻合",0.5,IF(H145="明显不符",0,"")))))</x:f>
      </x:c>
      <x:c r="J145" s="34" t="str"/>
      <x:c r="K145" s="34" t="str"/>
      <x:c r="L145" s="34" t="str"/>
      <x:c r="M145" s="34" t="str"/>
      <x:c r="N145" s="34" t="str"/>
      <x:c r="O145" s="34" t="str"/>
      <x:c r="P145" s="34" t="str"/>
      <x:c r="Q145" s="34" t="str"/>
      <x:c r="R145" s="34" t="str"/>
      <x:c r="S145" s="34" t="str"/>
      <x:c r="T145" s="34" t="str"/>
    </x:row>
    <x:row r="146">
      <x:c r="A146" s="34" t="str">
        <x:v>M5-EVAL-0141</x:v>
      </x:c>
      <x:c r="B146" s="34" t="str"/>
      <x:c r="C146" s="34" t="str"/>
      <x:c r="D146" s="34" t="str"/>
      <x:c r="E146" s="34" t="str"/>
      <x:c r="F146" s="34" t="str"/>
      <x:c r="G146" s="34" t="str"/>
      <x:c r="H146" s="34" t="str"/>
      <x:c r="I146" s="38" t="str">
        <x:f>IF(H146="","",IF(H146="完全吻合",1,IF(H146="基本吻合",0.75,IF(H146="部分吻合",0.5,IF(H146="明显不符",0,"")))))</x:f>
      </x:c>
      <x:c r="J146" s="34" t="str"/>
      <x:c r="K146" s="34" t="str"/>
      <x:c r="L146" s="34" t="str"/>
      <x:c r="M146" s="34" t="str"/>
      <x:c r="N146" s="34" t="str"/>
      <x:c r="O146" s="34" t="str"/>
      <x:c r="P146" s="34" t="str"/>
      <x:c r="Q146" s="34" t="str"/>
      <x:c r="R146" s="34" t="str"/>
      <x:c r="S146" s="34" t="str"/>
      <x:c r="T146" s="34" t="str"/>
    </x:row>
    <x:row r="147">
      <x:c r="A147" s="34" t="str">
        <x:v>M5-EVAL-0142</x:v>
      </x:c>
      <x:c r="B147" s="34" t="str"/>
      <x:c r="C147" s="34" t="str"/>
      <x:c r="D147" s="34" t="str"/>
      <x:c r="E147" s="34" t="str"/>
      <x:c r="F147" s="34" t="str"/>
      <x:c r="G147" s="34" t="str"/>
      <x:c r="H147" s="34" t="str"/>
      <x:c r="I147" s="38" t="str">
        <x:f>IF(H147="","",IF(H147="完全吻合",1,IF(H147="基本吻合",0.75,IF(H147="部分吻合",0.5,IF(H147="明显不符",0,"")))))</x:f>
      </x:c>
      <x:c r="J147" s="34" t="str"/>
      <x:c r="K147" s="34" t="str"/>
      <x:c r="L147" s="34" t="str"/>
      <x:c r="M147" s="34" t="str"/>
      <x:c r="N147" s="34" t="str"/>
      <x:c r="O147" s="34" t="str"/>
      <x:c r="P147" s="34" t="str"/>
      <x:c r="Q147" s="34" t="str"/>
      <x:c r="R147" s="34" t="str"/>
      <x:c r="S147" s="34" t="str"/>
      <x:c r="T147" s="34" t="str"/>
    </x:row>
    <x:row r="148">
      <x:c r="A148" s="34" t="str">
        <x:v>M5-EVAL-0143</x:v>
      </x:c>
      <x:c r="B148" s="34" t="str"/>
      <x:c r="C148" s="34" t="str"/>
      <x:c r="D148" s="34" t="str"/>
      <x:c r="E148" s="34" t="str"/>
      <x:c r="F148" s="34" t="str"/>
      <x:c r="G148" s="34" t="str"/>
      <x:c r="H148" s="34" t="str"/>
      <x:c r="I148" s="38" t="str">
        <x:f>IF(H148="","",IF(H148="完全吻合",1,IF(H148="基本吻合",0.75,IF(H148="部分吻合",0.5,IF(H148="明显不符",0,"")))))</x:f>
      </x:c>
      <x:c r="J148" s="34" t="str"/>
      <x:c r="K148" s="34" t="str"/>
      <x:c r="L148" s="34" t="str"/>
      <x:c r="M148" s="34" t="str"/>
      <x:c r="N148" s="34" t="str"/>
      <x:c r="O148" s="34" t="str"/>
      <x:c r="P148" s="34" t="str"/>
      <x:c r="Q148" s="34" t="str"/>
      <x:c r="R148" s="34" t="str"/>
      <x:c r="S148" s="34" t="str"/>
      <x:c r="T148" s="34" t="str"/>
    </x:row>
    <x:row r="149">
      <x:c r="A149" s="34" t="str">
        <x:v>M5-EVAL-0144</x:v>
      </x:c>
      <x:c r="B149" s="34" t="str"/>
      <x:c r="C149" s="34" t="str"/>
      <x:c r="D149" s="34" t="str"/>
      <x:c r="E149" s="34" t="str"/>
      <x:c r="F149" s="34" t="str"/>
      <x:c r="G149" s="34" t="str"/>
      <x:c r="H149" s="34" t="str"/>
      <x:c r="I149" s="38" t="str">
        <x:f>IF(H149="","",IF(H149="完全吻合",1,IF(H149="基本吻合",0.75,IF(H149="部分吻合",0.5,IF(H149="明显不符",0,"")))))</x:f>
      </x:c>
      <x:c r="J149" s="34" t="str"/>
      <x:c r="K149" s="34" t="str"/>
      <x:c r="L149" s="34" t="str"/>
      <x:c r="M149" s="34" t="str"/>
      <x:c r="N149" s="34" t="str"/>
      <x:c r="O149" s="34" t="str"/>
      <x:c r="P149" s="34" t="str"/>
      <x:c r="Q149" s="34" t="str"/>
      <x:c r="R149" s="34" t="str"/>
      <x:c r="S149" s="34" t="str"/>
      <x:c r="T149" s="34" t="str"/>
    </x:row>
    <x:row r="150">
      <x:c r="A150" s="34" t="str">
        <x:v>M5-EVAL-0145</x:v>
      </x:c>
      <x:c r="B150" s="34" t="str"/>
      <x:c r="C150" s="34" t="str"/>
      <x:c r="D150" s="34" t="str"/>
      <x:c r="E150" s="34" t="str"/>
      <x:c r="F150" s="34" t="str"/>
      <x:c r="G150" s="34" t="str"/>
      <x:c r="H150" s="34" t="str"/>
      <x:c r="I150" s="38" t="str">
        <x:f>IF(H150="","",IF(H150="完全吻合",1,IF(H150="基本吻合",0.75,IF(H150="部分吻合",0.5,IF(H150="明显不符",0,"")))))</x:f>
      </x:c>
      <x:c r="J150" s="34" t="str"/>
      <x:c r="K150" s="34" t="str"/>
      <x:c r="L150" s="34" t="str"/>
      <x:c r="M150" s="34" t="str"/>
      <x:c r="N150" s="34" t="str"/>
      <x:c r="O150" s="34" t="str"/>
      <x:c r="P150" s="34" t="str"/>
      <x:c r="Q150" s="34" t="str"/>
      <x:c r="R150" s="34" t="str"/>
      <x:c r="S150" s="34" t="str"/>
      <x:c r="T150" s="34" t="str"/>
    </x:row>
    <x:row r="151">
      <x:c r="A151" s="34" t="str">
        <x:v>M5-EVAL-0146</x:v>
      </x:c>
      <x:c r="B151" s="34" t="str"/>
      <x:c r="C151" s="34" t="str"/>
      <x:c r="D151" s="34" t="str"/>
      <x:c r="E151" s="34" t="str"/>
      <x:c r="F151" s="34" t="str"/>
      <x:c r="G151" s="34" t="str"/>
      <x:c r="H151" s="34" t="str"/>
      <x:c r="I151" s="38" t="str">
        <x:f>IF(H151="","",IF(H151="完全吻合",1,IF(H151="基本吻合",0.75,IF(H151="部分吻合",0.5,IF(H151="明显不符",0,"")))))</x:f>
      </x:c>
      <x:c r="J151" s="34" t="str"/>
      <x:c r="K151" s="34" t="str"/>
      <x:c r="L151" s="34" t="str"/>
      <x:c r="M151" s="34" t="str"/>
      <x:c r="N151" s="34" t="str"/>
      <x:c r="O151" s="34" t="str"/>
      <x:c r="P151" s="34" t="str"/>
      <x:c r="Q151" s="34" t="str"/>
      <x:c r="R151" s="34" t="str"/>
      <x:c r="S151" s="34" t="str"/>
      <x:c r="T151" s="34" t="str"/>
    </x:row>
    <x:row r="152">
      <x:c r="A152" s="34" t="str">
        <x:v>M5-EVAL-0147</x:v>
      </x:c>
      <x:c r="B152" s="34" t="str"/>
      <x:c r="C152" s="34" t="str"/>
      <x:c r="D152" s="34" t="str"/>
      <x:c r="E152" s="34" t="str"/>
      <x:c r="F152" s="34" t="str"/>
      <x:c r="G152" s="34" t="str"/>
      <x:c r="H152" s="34" t="str"/>
      <x:c r="I152" s="38" t="str">
        <x:f>IF(H152="","",IF(H152="完全吻合",1,IF(H152="基本吻合",0.75,IF(H152="部分吻合",0.5,IF(H152="明显不符",0,"")))))</x:f>
      </x:c>
      <x:c r="J152" s="34" t="str"/>
      <x:c r="K152" s="34" t="str"/>
      <x:c r="L152" s="34" t="str"/>
      <x:c r="M152" s="34" t="str"/>
      <x:c r="N152" s="34" t="str"/>
      <x:c r="O152" s="34" t="str"/>
      <x:c r="P152" s="34" t="str"/>
      <x:c r="Q152" s="34" t="str"/>
      <x:c r="R152" s="34" t="str"/>
      <x:c r="S152" s="34" t="str"/>
      <x:c r="T152" s="34" t="str"/>
    </x:row>
    <x:row r="153">
      <x:c r="A153" s="34" t="str">
        <x:v>M5-EVAL-0148</x:v>
      </x:c>
      <x:c r="B153" s="34" t="str"/>
      <x:c r="C153" s="34" t="str"/>
      <x:c r="D153" s="34" t="str"/>
      <x:c r="E153" s="34" t="str"/>
      <x:c r="F153" s="34" t="str"/>
      <x:c r="G153" s="34" t="str"/>
      <x:c r="H153" s="34" t="str"/>
      <x:c r="I153" s="38" t="str">
        <x:f>IF(H153="","",IF(H153="完全吻合",1,IF(H153="基本吻合",0.75,IF(H153="部分吻合",0.5,IF(H153="明显不符",0,"")))))</x:f>
      </x:c>
      <x:c r="J153" s="34" t="str"/>
      <x:c r="K153" s="34" t="str"/>
      <x:c r="L153" s="34" t="str"/>
      <x:c r="M153" s="34" t="str"/>
      <x:c r="N153" s="34" t="str"/>
      <x:c r="O153" s="34" t="str"/>
      <x:c r="P153" s="34" t="str"/>
      <x:c r="Q153" s="34" t="str"/>
      <x:c r="R153" s="34" t="str"/>
      <x:c r="S153" s="34" t="str"/>
      <x:c r="T153" s="34" t="str"/>
    </x:row>
    <x:row r="154">
      <x:c r="A154" s="34" t="str">
        <x:v>M5-EVAL-0149</x:v>
      </x:c>
      <x:c r="B154" s="34" t="str"/>
      <x:c r="C154" s="34" t="str"/>
      <x:c r="D154" s="34" t="str"/>
      <x:c r="E154" s="34" t="str"/>
      <x:c r="F154" s="34" t="str"/>
      <x:c r="G154" s="34" t="str"/>
      <x:c r="H154" s="34" t="str"/>
      <x:c r="I154" s="38" t="str">
        <x:f>IF(H154="","",IF(H154="完全吻合",1,IF(H154="基本吻合",0.75,IF(H154="部分吻合",0.5,IF(H154="明显不符",0,"")))))</x:f>
      </x:c>
      <x:c r="J154" s="34" t="str"/>
      <x:c r="K154" s="34" t="str"/>
      <x:c r="L154" s="34" t="str"/>
      <x:c r="M154" s="34" t="str"/>
      <x:c r="N154" s="34" t="str"/>
      <x:c r="O154" s="34" t="str"/>
      <x:c r="P154" s="34" t="str"/>
      <x:c r="Q154" s="34" t="str"/>
      <x:c r="R154" s="34" t="str"/>
      <x:c r="S154" s="34" t="str"/>
      <x:c r="T154" s="34" t="str"/>
    </x:row>
    <x:row r="155">
      <x:c r="A155" s="34" t="str">
        <x:v>M5-EVAL-0150</x:v>
      </x:c>
      <x:c r="B155" s="34" t="str"/>
      <x:c r="C155" s="34" t="str"/>
      <x:c r="D155" s="34" t="str"/>
      <x:c r="E155" s="34" t="str"/>
      <x:c r="F155" s="34" t="str"/>
      <x:c r="G155" s="34" t="str"/>
      <x:c r="H155" s="34" t="str"/>
      <x:c r="I155" s="38" t="str">
        <x:f>IF(H155="","",IF(H155="完全吻合",1,IF(H155="基本吻合",0.75,IF(H155="部分吻合",0.5,IF(H155="明显不符",0,"")))))</x:f>
      </x:c>
      <x:c r="J155" s="34" t="str"/>
      <x:c r="K155" s="34" t="str"/>
      <x:c r="L155" s="34" t="str"/>
      <x:c r="M155" s="34" t="str"/>
      <x:c r="N155" s="34" t="str"/>
      <x:c r="O155" s="34" t="str"/>
      <x:c r="P155" s="34" t="str"/>
      <x:c r="Q155" s="34" t="str"/>
      <x:c r="R155" s="34" t="str"/>
      <x:c r="S155" s="34" t="str"/>
      <x:c r="T155" s="34" t="str"/>
    </x:row>
    <x:row r="156">
      <x:c r="A156" s="34" t="str">
        <x:v>M5-EVAL-0151</x:v>
      </x:c>
      <x:c r="B156" s="34" t="str"/>
      <x:c r="C156" s="34" t="str"/>
      <x:c r="D156" s="34" t="str"/>
      <x:c r="E156" s="34" t="str"/>
      <x:c r="F156" s="34" t="str"/>
      <x:c r="G156" s="34" t="str"/>
      <x:c r="H156" s="34" t="str"/>
      <x:c r="I156" s="38" t="str">
        <x:f>IF(H156="","",IF(H156="完全吻合",1,IF(H156="基本吻合",0.75,IF(H156="部分吻合",0.5,IF(H156="明显不符",0,"")))))</x:f>
      </x:c>
      <x:c r="J156" s="34" t="str"/>
      <x:c r="K156" s="34" t="str"/>
      <x:c r="L156" s="34" t="str"/>
      <x:c r="M156" s="34" t="str"/>
      <x:c r="N156" s="34" t="str"/>
      <x:c r="O156" s="34" t="str"/>
      <x:c r="P156" s="34" t="str"/>
      <x:c r="Q156" s="34" t="str"/>
      <x:c r="R156" s="34" t="str"/>
      <x:c r="S156" s="34" t="str"/>
      <x:c r="T156" s="34" t="str"/>
    </x:row>
    <x:row r="157">
      <x:c r="A157" s="34" t="str">
        <x:v>M5-EVAL-0152</x:v>
      </x:c>
      <x:c r="B157" s="34" t="str"/>
      <x:c r="C157" s="34" t="str"/>
      <x:c r="D157" s="34" t="str"/>
      <x:c r="E157" s="34" t="str"/>
      <x:c r="F157" s="34" t="str"/>
      <x:c r="G157" s="34" t="str"/>
      <x:c r="H157" s="34" t="str"/>
      <x:c r="I157" s="38" t="str">
        <x:f>IF(H157="","",IF(H157="完全吻合",1,IF(H157="基本吻合",0.75,IF(H157="部分吻合",0.5,IF(H157="明显不符",0,"")))))</x:f>
      </x:c>
      <x:c r="J157" s="34" t="str"/>
      <x:c r="K157" s="34" t="str"/>
      <x:c r="L157" s="34" t="str"/>
      <x:c r="M157" s="34" t="str"/>
      <x:c r="N157" s="34" t="str"/>
      <x:c r="O157" s="34" t="str"/>
      <x:c r="P157" s="34" t="str"/>
      <x:c r="Q157" s="34" t="str"/>
      <x:c r="R157" s="34" t="str"/>
      <x:c r="S157" s="34" t="str"/>
      <x:c r="T157" s="34" t="str"/>
    </x:row>
    <x:row r="158">
      <x:c r="A158" s="34" t="str">
        <x:v>M5-EVAL-0153</x:v>
      </x:c>
      <x:c r="B158" s="34" t="str"/>
      <x:c r="C158" s="34" t="str"/>
      <x:c r="D158" s="34" t="str"/>
      <x:c r="E158" s="34" t="str"/>
      <x:c r="F158" s="34" t="str"/>
      <x:c r="G158" s="34" t="str"/>
      <x:c r="H158" s="34" t="str"/>
      <x:c r="I158" s="38" t="str">
        <x:f>IF(H158="","",IF(H158="完全吻合",1,IF(H158="基本吻合",0.75,IF(H158="部分吻合",0.5,IF(H158="明显不符",0,"")))))</x:f>
      </x:c>
      <x:c r="J158" s="34" t="str"/>
      <x:c r="K158" s="34" t="str"/>
      <x:c r="L158" s="34" t="str"/>
      <x:c r="M158" s="34" t="str"/>
      <x:c r="N158" s="34" t="str"/>
      <x:c r="O158" s="34" t="str"/>
      <x:c r="P158" s="34" t="str"/>
      <x:c r="Q158" s="34" t="str"/>
      <x:c r="R158" s="34" t="str"/>
      <x:c r="S158" s="34" t="str"/>
      <x:c r="T158" s="34" t="str"/>
    </x:row>
    <x:row r="159">
      <x:c r="A159" s="34" t="str">
        <x:v>M5-EVAL-0154</x:v>
      </x:c>
      <x:c r="B159" s="34" t="str"/>
      <x:c r="C159" s="34" t="str"/>
      <x:c r="D159" s="34" t="str"/>
      <x:c r="E159" s="34" t="str"/>
      <x:c r="F159" s="34" t="str"/>
      <x:c r="G159" s="34" t="str"/>
      <x:c r="H159" s="34" t="str"/>
      <x:c r="I159" s="38" t="str">
        <x:f>IF(H159="","",IF(H159="完全吻合",1,IF(H159="基本吻合",0.75,IF(H159="部分吻合",0.5,IF(H159="明显不符",0,"")))))</x:f>
      </x:c>
      <x:c r="J159" s="34" t="str"/>
      <x:c r="K159" s="34" t="str"/>
      <x:c r="L159" s="34" t="str"/>
      <x:c r="M159" s="34" t="str"/>
      <x:c r="N159" s="34" t="str"/>
      <x:c r="O159" s="34" t="str"/>
      <x:c r="P159" s="34" t="str"/>
      <x:c r="Q159" s="34" t="str"/>
      <x:c r="R159" s="34" t="str"/>
      <x:c r="S159" s="34" t="str"/>
      <x:c r="T159" s="34" t="str"/>
    </x:row>
    <x:row r="160">
      <x:c r="A160" s="34" t="str">
        <x:v>M5-EVAL-0155</x:v>
      </x:c>
      <x:c r="B160" s="34" t="str"/>
      <x:c r="C160" s="34" t="str"/>
      <x:c r="D160" s="34" t="str"/>
      <x:c r="E160" s="34" t="str"/>
      <x:c r="F160" s="34" t="str"/>
      <x:c r="G160" s="34" t="str"/>
      <x:c r="H160" s="34" t="str"/>
      <x:c r="I160" s="38" t="str">
        <x:f>IF(H160="","",IF(H160="完全吻合",1,IF(H160="基本吻合",0.75,IF(H160="部分吻合",0.5,IF(H160="明显不符",0,"")))))</x:f>
      </x:c>
      <x:c r="J160" s="34" t="str"/>
      <x:c r="K160" s="34" t="str"/>
      <x:c r="L160" s="34" t="str"/>
      <x:c r="M160" s="34" t="str"/>
      <x:c r="N160" s="34" t="str"/>
      <x:c r="O160" s="34" t="str"/>
      <x:c r="P160" s="34" t="str"/>
      <x:c r="Q160" s="34" t="str"/>
      <x:c r="R160" s="34" t="str"/>
      <x:c r="S160" s="34" t="str"/>
      <x:c r="T160" s="34" t="str"/>
    </x:row>
    <x:row r="161">
      <x:c r="A161" s="34" t="str">
        <x:v>M5-EVAL-0156</x:v>
      </x:c>
      <x:c r="B161" s="34" t="str"/>
      <x:c r="C161" s="34" t="str"/>
      <x:c r="D161" s="34" t="str"/>
      <x:c r="E161" s="34" t="str"/>
      <x:c r="F161" s="34" t="str"/>
      <x:c r="G161" s="34" t="str"/>
      <x:c r="H161" s="34" t="str"/>
      <x:c r="I161" s="38" t="str">
        <x:f>IF(H161="","",IF(H161="完全吻合",1,IF(H161="基本吻合",0.75,IF(H161="部分吻合",0.5,IF(H161="明显不符",0,"")))))</x:f>
      </x:c>
      <x:c r="J161" s="34" t="str"/>
      <x:c r="K161" s="34" t="str"/>
      <x:c r="L161" s="34" t="str"/>
      <x:c r="M161" s="34" t="str"/>
      <x:c r="N161" s="34" t="str"/>
      <x:c r="O161" s="34" t="str"/>
      <x:c r="P161" s="34" t="str"/>
      <x:c r="Q161" s="34" t="str"/>
      <x:c r="R161" s="34" t="str"/>
      <x:c r="S161" s="34" t="str"/>
      <x:c r="T161" s="34" t="str"/>
    </x:row>
    <x:row r="162">
      <x:c r="A162" s="34" t="str">
        <x:v>M5-EVAL-0157</x:v>
      </x:c>
      <x:c r="B162" s="34" t="str"/>
      <x:c r="C162" s="34" t="str"/>
      <x:c r="D162" s="34" t="str"/>
      <x:c r="E162" s="34" t="str"/>
      <x:c r="F162" s="34" t="str"/>
      <x:c r="G162" s="34" t="str"/>
      <x:c r="H162" s="34" t="str"/>
      <x:c r="I162" s="38" t="str">
        <x:f>IF(H162="","",IF(H162="完全吻合",1,IF(H162="基本吻合",0.75,IF(H162="部分吻合",0.5,IF(H162="明显不符",0,"")))))</x:f>
      </x:c>
      <x:c r="J162" s="34" t="str"/>
      <x:c r="K162" s="34" t="str"/>
      <x:c r="L162" s="34" t="str"/>
      <x:c r="M162" s="34" t="str"/>
      <x:c r="N162" s="34" t="str"/>
      <x:c r="O162" s="34" t="str"/>
      <x:c r="P162" s="34" t="str"/>
      <x:c r="Q162" s="34" t="str"/>
      <x:c r="R162" s="34" t="str"/>
      <x:c r="S162" s="34" t="str"/>
      <x:c r="T162" s="34" t="str"/>
    </x:row>
    <x:row r="163">
      <x:c r="A163" s="34" t="str">
        <x:v>M5-EVAL-0158</x:v>
      </x:c>
      <x:c r="B163" s="34" t="str"/>
      <x:c r="C163" s="34" t="str"/>
      <x:c r="D163" s="34" t="str"/>
      <x:c r="E163" s="34" t="str"/>
      <x:c r="F163" s="34" t="str"/>
      <x:c r="G163" s="34" t="str"/>
      <x:c r="H163" s="34" t="str"/>
      <x:c r="I163" s="38" t="str">
        <x:f>IF(H163="","",IF(H163="完全吻合",1,IF(H163="基本吻合",0.75,IF(H163="部分吻合",0.5,IF(H163="明显不符",0,"")))))</x:f>
      </x:c>
      <x:c r="J163" s="34" t="str"/>
      <x:c r="K163" s="34" t="str"/>
      <x:c r="L163" s="34" t="str"/>
      <x:c r="M163" s="34" t="str"/>
      <x:c r="N163" s="34" t="str"/>
      <x:c r="O163" s="34" t="str"/>
      <x:c r="P163" s="34" t="str"/>
      <x:c r="Q163" s="34" t="str"/>
      <x:c r="R163" s="34" t="str"/>
      <x:c r="S163" s="34" t="str"/>
      <x:c r="T163" s="34" t="str"/>
    </x:row>
    <x:row r="164">
      <x:c r="A164" s="34" t="str">
        <x:v>M5-EVAL-0159</x:v>
      </x:c>
      <x:c r="B164" s="34" t="str"/>
      <x:c r="C164" s="34" t="str"/>
      <x:c r="D164" s="34" t="str"/>
      <x:c r="E164" s="34" t="str"/>
      <x:c r="F164" s="34" t="str"/>
      <x:c r="G164" s="34" t="str"/>
      <x:c r="H164" s="34" t="str"/>
      <x:c r="I164" s="38" t="str">
        <x:f>IF(H164="","",IF(H164="完全吻合",1,IF(H164="基本吻合",0.75,IF(H164="部分吻合",0.5,IF(H164="明显不符",0,"")))))</x:f>
      </x:c>
      <x:c r="J164" s="34" t="str"/>
      <x:c r="K164" s="34" t="str"/>
      <x:c r="L164" s="34" t="str"/>
      <x:c r="M164" s="34" t="str"/>
      <x:c r="N164" s="34" t="str"/>
      <x:c r="O164" s="34" t="str"/>
      <x:c r="P164" s="34" t="str"/>
      <x:c r="Q164" s="34" t="str"/>
      <x:c r="R164" s="34" t="str"/>
      <x:c r="S164" s="34" t="str"/>
      <x:c r="T164" s="34" t="str"/>
    </x:row>
    <x:row r="165">
      <x:c r="A165" s="34" t="str">
        <x:v>M5-EVAL-0160</x:v>
      </x:c>
      <x:c r="B165" s="34" t="str"/>
      <x:c r="C165" s="34" t="str"/>
      <x:c r="D165" s="34" t="str"/>
      <x:c r="E165" s="34" t="str"/>
      <x:c r="F165" s="34" t="str"/>
      <x:c r="G165" s="34" t="str"/>
      <x:c r="H165" s="34" t="str"/>
      <x:c r="I165" s="38" t="str">
        <x:f>IF(H165="","",IF(H165="完全吻合",1,IF(H165="基本吻合",0.75,IF(H165="部分吻合",0.5,IF(H165="明显不符",0,"")))))</x:f>
      </x:c>
      <x:c r="J165" s="34" t="str"/>
      <x:c r="K165" s="34" t="str"/>
      <x:c r="L165" s="34" t="str"/>
      <x:c r="M165" s="34" t="str"/>
      <x:c r="N165" s="34" t="str"/>
      <x:c r="O165" s="34" t="str"/>
      <x:c r="P165" s="34" t="str"/>
      <x:c r="Q165" s="34" t="str"/>
      <x:c r="R165" s="34" t="str"/>
      <x:c r="S165" s="34" t="str"/>
      <x:c r="T165" s="34" t="str"/>
    </x:row>
    <x:row r="166">
      <x:c r="A166" s="34" t="str">
        <x:v>M5-EVAL-0161</x:v>
      </x:c>
      <x:c r="B166" s="34" t="str"/>
      <x:c r="C166" s="34" t="str"/>
      <x:c r="D166" s="34" t="str"/>
      <x:c r="E166" s="34" t="str"/>
      <x:c r="F166" s="34" t="str"/>
      <x:c r="G166" s="34" t="str"/>
      <x:c r="H166" s="34" t="str"/>
      <x:c r="I166" s="38" t="str">
        <x:f>IF(H166="","",IF(H166="完全吻合",1,IF(H166="基本吻合",0.75,IF(H166="部分吻合",0.5,IF(H166="明显不符",0,"")))))</x:f>
      </x:c>
      <x:c r="J166" s="34" t="str"/>
      <x:c r="K166" s="34" t="str"/>
      <x:c r="L166" s="34" t="str"/>
      <x:c r="M166" s="34" t="str"/>
      <x:c r="N166" s="34" t="str"/>
      <x:c r="O166" s="34" t="str"/>
      <x:c r="P166" s="34" t="str"/>
      <x:c r="Q166" s="34" t="str"/>
      <x:c r="R166" s="34" t="str"/>
      <x:c r="S166" s="34" t="str"/>
      <x:c r="T166" s="34" t="str"/>
    </x:row>
    <x:row r="167">
      <x:c r="A167" s="34" t="str">
        <x:v>M5-EVAL-0162</x:v>
      </x:c>
      <x:c r="B167" s="34" t="str"/>
      <x:c r="C167" s="34" t="str"/>
      <x:c r="D167" s="34" t="str"/>
      <x:c r="E167" s="34" t="str"/>
      <x:c r="F167" s="34" t="str"/>
      <x:c r="G167" s="34" t="str"/>
      <x:c r="H167" s="34" t="str"/>
      <x:c r="I167" s="38" t="str">
        <x:f>IF(H167="","",IF(H167="完全吻合",1,IF(H167="基本吻合",0.75,IF(H167="部分吻合",0.5,IF(H167="明显不符",0,"")))))</x:f>
      </x:c>
      <x:c r="J167" s="34" t="str"/>
      <x:c r="K167" s="34" t="str"/>
      <x:c r="L167" s="34" t="str"/>
      <x:c r="M167" s="34" t="str"/>
      <x:c r="N167" s="34" t="str"/>
      <x:c r="O167" s="34" t="str"/>
      <x:c r="P167" s="34" t="str"/>
      <x:c r="Q167" s="34" t="str"/>
      <x:c r="R167" s="34" t="str"/>
      <x:c r="S167" s="34" t="str"/>
      <x:c r="T167" s="34" t="str"/>
    </x:row>
    <x:row r="168">
      <x:c r="A168" s="34" t="str">
        <x:v>M5-EVAL-0163</x:v>
      </x:c>
      <x:c r="B168" s="34" t="str"/>
      <x:c r="C168" s="34" t="str"/>
      <x:c r="D168" s="34" t="str"/>
      <x:c r="E168" s="34" t="str"/>
      <x:c r="F168" s="34" t="str"/>
      <x:c r="G168" s="34" t="str"/>
      <x:c r="H168" s="34" t="str"/>
      <x:c r="I168" s="38" t="str">
        <x:f>IF(H168="","",IF(H168="完全吻合",1,IF(H168="基本吻合",0.75,IF(H168="部分吻合",0.5,IF(H168="明显不符",0,"")))))</x:f>
      </x:c>
      <x:c r="J168" s="34" t="str"/>
      <x:c r="K168" s="34" t="str"/>
      <x:c r="L168" s="34" t="str"/>
      <x:c r="M168" s="34" t="str"/>
      <x:c r="N168" s="34" t="str"/>
      <x:c r="O168" s="34" t="str"/>
      <x:c r="P168" s="34" t="str"/>
      <x:c r="Q168" s="34" t="str"/>
      <x:c r="R168" s="34" t="str"/>
      <x:c r="S168" s="34" t="str"/>
      <x:c r="T168" s="34" t="str"/>
    </x:row>
    <x:row r="169">
      <x:c r="A169" s="34" t="str">
        <x:v>M5-EVAL-0164</x:v>
      </x:c>
      <x:c r="B169" s="34" t="str"/>
      <x:c r="C169" s="34" t="str"/>
      <x:c r="D169" s="34" t="str"/>
      <x:c r="E169" s="34" t="str"/>
      <x:c r="F169" s="34" t="str"/>
      <x:c r="G169" s="34" t="str"/>
      <x:c r="H169" s="34" t="str"/>
      <x:c r="I169" s="38" t="str">
        <x:f>IF(H169="","",IF(H169="完全吻合",1,IF(H169="基本吻合",0.75,IF(H169="部分吻合",0.5,IF(H169="明显不符",0,"")))))</x:f>
      </x:c>
      <x:c r="J169" s="34" t="str"/>
      <x:c r="K169" s="34" t="str"/>
      <x:c r="L169" s="34" t="str"/>
      <x:c r="M169" s="34" t="str"/>
      <x:c r="N169" s="34" t="str"/>
      <x:c r="O169" s="34" t="str"/>
      <x:c r="P169" s="34" t="str"/>
      <x:c r="Q169" s="34" t="str"/>
      <x:c r="R169" s="34" t="str"/>
      <x:c r="S169" s="34" t="str"/>
      <x:c r="T169" s="34" t="str"/>
    </x:row>
    <x:row r="170">
      <x:c r="A170" s="34" t="str">
        <x:v>M5-EVAL-0165</x:v>
      </x:c>
      <x:c r="B170" s="34" t="str"/>
      <x:c r="C170" s="34" t="str"/>
      <x:c r="D170" s="34" t="str"/>
      <x:c r="E170" s="34" t="str"/>
      <x:c r="F170" s="34" t="str"/>
      <x:c r="G170" s="34" t="str"/>
      <x:c r="H170" s="34" t="str"/>
      <x:c r="I170" s="38" t="str">
        <x:f>IF(H170="","",IF(H170="完全吻合",1,IF(H170="基本吻合",0.75,IF(H170="部分吻合",0.5,IF(H170="明显不符",0,"")))))</x:f>
      </x:c>
      <x:c r="J170" s="34" t="str"/>
      <x:c r="K170" s="34" t="str"/>
      <x:c r="L170" s="34" t="str"/>
      <x:c r="M170" s="34" t="str"/>
      <x:c r="N170" s="34" t="str"/>
      <x:c r="O170" s="34" t="str"/>
      <x:c r="P170" s="34" t="str"/>
      <x:c r="Q170" s="34" t="str"/>
      <x:c r="R170" s="34" t="str"/>
      <x:c r="S170" s="34" t="str"/>
      <x:c r="T170" s="34" t="str"/>
    </x:row>
    <x:row r="171">
      <x:c r="A171" s="34" t="str">
        <x:v>M5-EVAL-0166</x:v>
      </x:c>
      <x:c r="B171" s="34" t="str"/>
      <x:c r="C171" s="34" t="str"/>
      <x:c r="D171" s="34" t="str"/>
      <x:c r="E171" s="34" t="str"/>
      <x:c r="F171" s="34" t="str"/>
      <x:c r="G171" s="34" t="str"/>
      <x:c r="H171" s="34" t="str"/>
      <x:c r="I171" s="38" t="str">
        <x:f>IF(H171="","",IF(H171="完全吻合",1,IF(H171="基本吻合",0.75,IF(H171="部分吻合",0.5,IF(H171="明显不符",0,"")))))</x:f>
      </x:c>
      <x:c r="J171" s="34" t="str"/>
      <x:c r="K171" s="34" t="str"/>
      <x:c r="L171" s="34" t="str"/>
      <x:c r="M171" s="34" t="str"/>
      <x:c r="N171" s="34" t="str"/>
      <x:c r="O171" s="34" t="str"/>
      <x:c r="P171" s="34" t="str"/>
      <x:c r="Q171" s="34" t="str"/>
      <x:c r="R171" s="34" t="str"/>
      <x:c r="S171" s="34" t="str"/>
      <x:c r="T171" s="34" t="str"/>
    </x:row>
    <x:row r="172">
      <x:c r="A172" s="34" t="str">
        <x:v>M5-EVAL-0167</x:v>
      </x:c>
      <x:c r="B172" s="34" t="str"/>
      <x:c r="C172" s="34" t="str"/>
      <x:c r="D172" s="34" t="str"/>
      <x:c r="E172" s="34" t="str"/>
      <x:c r="F172" s="34" t="str"/>
      <x:c r="G172" s="34" t="str"/>
      <x:c r="H172" s="34" t="str"/>
      <x:c r="I172" s="38" t="str">
        <x:f>IF(H172="","",IF(H172="完全吻合",1,IF(H172="基本吻合",0.75,IF(H172="部分吻合",0.5,IF(H172="明显不符",0,"")))))</x:f>
      </x:c>
      <x:c r="J172" s="34" t="str"/>
      <x:c r="K172" s="34" t="str"/>
      <x:c r="L172" s="34" t="str"/>
      <x:c r="M172" s="34" t="str"/>
      <x:c r="N172" s="34" t="str"/>
      <x:c r="O172" s="34" t="str"/>
      <x:c r="P172" s="34" t="str"/>
      <x:c r="Q172" s="34" t="str"/>
      <x:c r="R172" s="34" t="str"/>
      <x:c r="S172" s="34" t="str"/>
      <x:c r="T172" s="34" t="str"/>
    </x:row>
    <x:row r="173">
      <x:c r="A173" s="34" t="str">
        <x:v>M5-EVAL-0168</x:v>
      </x:c>
      <x:c r="B173" s="34" t="str"/>
      <x:c r="C173" s="34" t="str"/>
      <x:c r="D173" s="34" t="str"/>
      <x:c r="E173" s="34" t="str"/>
      <x:c r="F173" s="34" t="str"/>
      <x:c r="G173" s="34" t="str"/>
      <x:c r="H173" s="34" t="str"/>
      <x:c r="I173" s="38" t="str">
        <x:f>IF(H173="","",IF(H173="完全吻合",1,IF(H173="基本吻合",0.75,IF(H173="部分吻合",0.5,IF(H173="明显不符",0,"")))))</x:f>
      </x:c>
      <x:c r="J173" s="34" t="str"/>
      <x:c r="K173" s="34" t="str"/>
      <x:c r="L173" s="34" t="str"/>
      <x:c r="M173" s="34" t="str"/>
      <x:c r="N173" s="34" t="str"/>
      <x:c r="O173" s="34" t="str"/>
      <x:c r="P173" s="34" t="str"/>
      <x:c r="Q173" s="34" t="str"/>
      <x:c r="R173" s="34" t="str"/>
      <x:c r="S173" s="34" t="str"/>
      <x:c r="T173" s="34" t="str"/>
    </x:row>
    <x:row r="174">
      <x:c r="A174" s="34" t="str">
        <x:v>M5-EVAL-0169</x:v>
      </x:c>
      <x:c r="B174" s="34" t="str"/>
      <x:c r="C174" s="34" t="str"/>
      <x:c r="D174" s="34" t="str"/>
      <x:c r="E174" s="34" t="str"/>
      <x:c r="F174" s="34" t="str"/>
      <x:c r="G174" s="34" t="str"/>
      <x:c r="H174" s="34" t="str"/>
      <x:c r="I174" s="38" t="str">
        <x:f>IF(H174="","",IF(H174="完全吻合",1,IF(H174="基本吻合",0.75,IF(H174="部分吻合",0.5,IF(H174="明显不符",0,"")))))</x:f>
      </x:c>
      <x:c r="J174" s="34" t="str"/>
      <x:c r="K174" s="34" t="str"/>
      <x:c r="L174" s="34" t="str"/>
      <x:c r="M174" s="34" t="str"/>
      <x:c r="N174" s="34" t="str"/>
      <x:c r="O174" s="34" t="str"/>
      <x:c r="P174" s="34" t="str"/>
      <x:c r="Q174" s="34" t="str"/>
      <x:c r="R174" s="34" t="str"/>
      <x:c r="S174" s="34" t="str"/>
      <x:c r="T174" s="34" t="str"/>
    </x:row>
    <x:row r="175">
      <x:c r="A175" s="34" t="str">
        <x:v>M5-EVAL-0170</x:v>
      </x:c>
      <x:c r="B175" s="34" t="str"/>
      <x:c r="C175" s="34" t="str"/>
      <x:c r="D175" s="34" t="str"/>
      <x:c r="E175" s="34" t="str"/>
      <x:c r="F175" s="34" t="str"/>
      <x:c r="G175" s="34" t="str"/>
      <x:c r="H175" s="34" t="str"/>
      <x:c r="I175" s="38" t="str">
        <x:f>IF(H175="","",IF(H175="完全吻合",1,IF(H175="基本吻合",0.75,IF(H175="部分吻合",0.5,IF(H175="明显不符",0,"")))))</x:f>
      </x:c>
      <x:c r="J175" s="34" t="str"/>
      <x:c r="K175" s="34" t="str"/>
      <x:c r="L175" s="34" t="str"/>
      <x:c r="M175" s="34" t="str"/>
      <x:c r="N175" s="34" t="str"/>
      <x:c r="O175" s="34" t="str"/>
      <x:c r="P175" s="34" t="str"/>
      <x:c r="Q175" s="34" t="str"/>
      <x:c r="R175" s="34" t="str"/>
      <x:c r="S175" s="34" t="str"/>
      <x:c r="T175" s="34" t="str"/>
    </x:row>
    <x:row r="176">
      <x:c r="A176" s="34" t="str">
        <x:v>M5-EVAL-0171</x:v>
      </x:c>
      <x:c r="B176" s="34" t="str"/>
      <x:c r="C176" s="34" t="str"/>
      <x:c r="D176" s="34" t="str"/>
      <x:c r="E176" s="34" t="str"/>
      <x:c r="F176" s="34" t="str"/>
      <x:c r="G176" s="34" t="str"/>
      <x:c r="H176" s="34" t="str"/>
      <x:c r="I176" s="38" t="str">
        <x:f>IF(H176="","",IF(H176="完全吻合",1,IF(H176="基本吻合",0.75,IF(H176="部分吻合",0.5,IF(H176="明显不符",0,"")))))</x:f>
      </x:c>
      <x:c r="J176" s="34" t="str"/>
      <x:c r="K176" s="34" t="str"/>
      <x:c r="L176" s="34" t="str"/>
      <x:c r="M176" s="34" t="str"/>
      <x:c r="N176" s="34" t="str"/>
      <x:c r="O176" s="34" t="str"/>
      <x:c r="P176" s="34" t="str"/>
      <x:c r="Q176" s="34" t="str"/>
      <x:c r="R176" s="34" t="str"/>
      <x:c r="S176" s="34" t="str"/>
      <x:c r="T176" s="34" t="str"/>
    </x:row>
    <x:row r="177">
      <x:c r="A177" s="34" t="str">
        <x:v>M5-EVAL-0172</x:v>
      </x:c>
      <x:c r="B177" s="34" t="str"/>
      <x:c r="C177" s="34" t="str"/>
      <x:c r="D177" s="34" t="str"/>
      <x:c r="E177" s="34" t="str"/>
      <x:c r="F177" s="34" t="str"/>
      <x:c r="G177" s="34" t="str"/>
      <x:c r="H177" s="34" t="str"/>
      <x:c r="I177" s="38" t="str">
        <x:f>IF(H177="","",IF(H177="完全吻合",1,IF(H177="基本吻合",0.75,IF(H177="部分吻合",0.5,IF(H177="明显不符",0,"")))))</x:f>
      </x:c>
      <x:c r="J177" s="34" t="str"/>
      <x:c r="K177" s="34" t="str"/>
      <x:c r="L177" s="34" t="str"/>
      <x:c r="M177" s="34" t="str"/>
      <x:c r="N177" s="34" t="str"/>
      <x:c r="O177" s="34" t="str"/>
      <x:c r="P177" s="34" t="str"/>
      <x:c r="Q177" s="34" t="str"/>
      <x:c r="R177" s="34" t="str"/>
      <x:c r="S177" s="34" t="str"/>
      <x:c r="T177" s="34" t="str"/>
    </x:row>
    <x:row r="178">
      <x:c r="A178" s="34" t="str">
        <x:v>M5-EVAL-0173</x:v>
      </x:c>
      <x:c r="B178" s="34" t="str"/>
      <x:c r="C178" s="34" t="str"/>
      <x:c r="D178" s="34" t="str"/>
      <x:c r="E178" s="34" t="str"/>
      <x:c r="F178" s="34" t="str"/>
      <x:c r="G178" s="34" t="str"/>
      <x:c r="H178" s="34" t="str"/>
      <x:c r="I178" s="38" t="str">
        <x:f>IF(H178="","",IF(H178="完全吻合",1,IF(H178="基本吻合",0.75,IF(H178="部分吻合",0.5,IF(H178="明显不符",0,"")))))</x:f>
      </x:c>
      <x:c r="J178" s="34" t="str"/>
      <x:c r="K178" s="34" t="str"/>
      <x:c r="L178" s="34" t="str"/>
      <x:c r="M178" s="34" t="str"/>
      <x:c r="N178" s="34" t="str"/>
      <x:c r="O178" s="34" t="str"/>
      <x:c r="P178" s="34" t="str"/>
      <x:c r="Q178" s="34" t="str"/>
      <x:c r="R178" s="34" t="str"/>
      <x:c r="S178" s="34" t="str"/>
      <x:c r="T178" s="34" t="str"/>
    </x:row>
    <x:row r="179">
      <x:c r="A179" s="34" t="str">
        <x:v>M5-EVAL-0174</x:v>
      </x:c>
      <x:c r="B179" s="34" t="str"/>
      <x:c r="C179" s="34" t="str"/>
      <x:c r="D179" s="34" t="str"/>
      <x:c r="E179" s="34" t="str"/>
      <x:c r="F179" s="34" t="str"/>
      <x:c r="G179" s="34" t="str"/>
      <x:c r="H179" s="34" t="str"/>
      <x:c r="I179" s="38" t="str">
        <x:f>IF(H179="","",IF(H179="完全吻合",1,IF(H179="基本吻合",0.75,IF(H179="部分吻合",0.5,IF(H179="明显不符",0,"")))))</x:f>
      </x:c>
      <x:c r="J179" s="34" t="str"/>
      <x:c r="K179" s="34" t="str"/>
      <x:c r="L179" s="34" t="str"/>
      <x:c r="M179" s="34" t="str"/>
      <x:c r="N179" s="34" t="str"/>
      <x:c r="O179" s="34" t="str"/>
      <x:c r="P179" s="34" t="str"/>
      <x:c r="Q179" s="34" t="str"/>
      <x:c r="R179" s="34" t="str"/>
      <x:c r="S179" s="34" t="str"/>
      <x:c r="T179" s="34" t="str"/>
    </x:row>
    <x:row r="180">
      <x:c r="A180" s="34" t="str">
        <x:v>M5-EVAL-0175</x:v>
      </x:c>
      <x:c r="B180" s="34" t="str"/>
      <x:c r="C180" s="34" t="str"/>
      <x:c r="D180" s="34" t="str"/>
      <x:c r="E180" s="34" t="str"/>
      <x:c r="F180" s="34" t="str"/>
      <x:c r="G180" s="34" t="str"/>
      <x:c r="H180" s="34" t="str"/>
      <x:c r="I180" s="38" t="str">
        <x:f>IF(H180="","",IF(H180="完全吻合",1,IF(H180="基本吻合",0.75,IF(H180="部分吻合",0.5,IF(H180="明显不符",0,"")))))</x:f>
      </x:c>
      <x:c r="J180" s="34" t="str"/>
      <x:c r="K180" s="34" t="str"/>
      <x:c r="L180" s="34" t="str"/>
      <x:c r="M180" s="34" t="str"/>
      <x:c r="N180" s="34" t="str"/>
      <x:c r="O180" s="34" t="str"/>
      <x:c r="P180" s="34" t="str"/>
      <x:c r="Q180" s="34" t="str"/>
      <x:c r="R180" s="34" t="str"/>
      <x:c r="S180" s="34" t="str"/>
      <x:c r="T180" s="34" t="str"/>
    </x:row>
    <x:row r="181">
      <x:c r="A181" s="34" t="str">
        <x:v>M5-EVAL-0176</x:v>
      </x:c>
      <x:c r="B181" s="34" t="str"/>
      <x:c r="C181" s="34" t="str"/>
      <x:c r="D181" s="34" t="str"/>
      <x:c r="E181" s="34" t="str"/>
      <x:c r="F181" s="34" t="str"/>
      <x:c r="G181" s="34" t="str"/>
      <x:c r="H181" s="34" t="str"/>
      <x:c r="I181" s="38" t="str">
        <x:f>IF(H181="","",IF(H181="完全吻合",1,IF(H181="基本吻合",0.75,IF(H181="部分吻合",0.5,IF(H181="明显不符",0,"")))))</x:f>
      </x:c>
      <x:c r="J181" s="34" t="str"/>
      <x:c r="K181" s="34" t="str"/>
      <x:c r="L181" s="34" t="str"/>
      <x:c r="M181" s="34" t="str"/>
      <x:c r="N181" s="34" t="str"/>
      <x:c r="O181" s="34" t="str"/>
      <x:c r="P181" s="34" t="str"/>
      <x:c r="Q181" s="34" t="str"/>
      <x:c r="R181" s="34" t="str"/>
      <x:c r="S181" s="34" t="str"/>
      <x:c r="T181" s="34" t="str"/>
    </x:row>
    <x:row r="182">
      <x:c r="A182" s="34" t="str">
        <x:v>M5-EVAL-0177</x:v>
      </x:c>
      <x:c r="B182" s="34" t="str"/>
      <x:c r="C182" s="34" t="str"/>
      <x:c r="D182" s="34" t="str"/>
      <x:c r="E182" s="34" t="str"/>
      <x:c r="F182" s="34" t="str"/>
      <x:c r="G182" s="34" t="str"/>
      <x:c r="H182" s="34" t="str"/>
      <x:c r="I182" s="38" t="str">
        <x:f>IF(H182="","",IF(H182="完全吻合",1,IF(H182="基本吻合",0.75,IF(H182="部分吻合",0.5,IF(H182="明显不符",0,"")))))</x:f>
      </x:c>
      <x:c r="J182" s="34" t="str"/>
      <x:c r="K182" s="34" t="str"/>
      <x:c r="L182" s="34" t="str"/>
      <x:c r="M182" s="34" t="str"/>
      <x:c r="N182" s="34" t="str"/>
      <x:c r="O182" s="34" t="str"/>
      <x:c r="P182" s="34" t="str"/>
      <x:c r="Q182" s="34" t="str"/>
      <x:c r="R182" s="34" t="str"/>
      <x:c r="S182" s="34" t="str"/>
      <x:c r="T182" s="34" t="str"/>
    </x:row>
    <x:row r="183">
      <x:c r="A183" s="34" t="str">
        <x:v>M5-EVAL-0178</x:v>
      </x:c>
      <x:c r="B183" s="34" t="str"/>
      <x:c r="C183" s="34" t="str"/>
      <x:c r="D183" s="34" t="str"/>
      <x:c r="E183" s="34" t="str"/>
      <x:c r="F183" s="34" t="str"/>
      <x:c r="G183" s="34" t="str"/>
      <x:c r="H183" s="34" t="str"/>
      <x:c r="I183" s="38" t="str">
        <x:f>IF(H183="","",IF(H183="完全吻合",1,IF(H183="基本吻合",0.75,IF(H183="部分吻合",0.5,IF(H183="明显不符",0,"")))))</x:f>
      </x:c>
      <x:c r="J183" s="34" t="str"/>
      <x:c r="K183" s="34" t="str"/>
      <x:c r="L183" s="34" t="str"/>
      <x:c r="M183" s="34" t="str"/>
      <x:c r="N183" s="34" t="str"/>
      <x:c r="O183" s="34" t="str"/>
      <x:c r="P183" s="34" t="str"/>
      <x:c r="Q183" s="34" t="str"/>
      <x:c r="R183" s="34" t="str"/>
      <x:c r="S183" s="34" t="str"/>
      <x:c r="T183" s="34" t="str"/>
    </x:row>
    <x:row r="184">
      <x:c r="A184" s="34" t="str">
        <x:v>M5-EVAL-0179</x:v>
      </x:c>
      <x:c r="B184" s="34" t="str"/>
      <x:c r="C184" s="34" t="str"/>
      <x:c r="D184" s="34" t="str"/>
      <x:c r="E184" s="34" t="str"/>
      <x:c r="F184" s="34" t="str"/>
      <x:c r="G184" s="34" t="str"/>
      <x:c r="H184" s="34" t="str"/>
      <x:c r="I184" s="38" t="str">
        <x:f>IF(H184="","",IF(H184="完全吻合",1,IF(H184="基本吻合",0.75,IF(H184="部分吻合",0.5,IF(H184="明显不符",0,"")))))</x:f>
      </x:c>
      <x:c r="J184" s="34" t="str"/>
      <x:c r="K184" s="34" t="str"/>
      <x:c r="L184" s="34" t="str"/>
      <x:c r="M184" s="34" t="str"/>
      <x:c r="N184" s="34" t="str"/>
      <x:c r="O184" s="34" t="str"/>
      <x:c r="P184" s="34" t="str"/>
      <x:c r="Q184" s="34" t="str"/>
      <x:c r="R184" s="34" t="str"/>
      <x:c r="S184" s="34" t="str"/>
      <x:c r="T184" s="34" t="str"/>
    </x:row>
    <x:row r="185">
      <x:c r="A185" s="34" t="str">
        <x:v>M5-EVAL-0180</x:v>
      </x:c>
      <x:c r="B185" s="34" t="str"/>
      <x:c r="C185" s="34" t="str"/>
      <x:c r="D185" s="34" t="str"/>
      <x:c r="E185" s="34" t="str"/>
      <x:c r="F185" s="34" t="str"/>
      <x:c r="G185" s="34" t="str"/>
      <x:c r="H185" s="34" t="str"/>
      <x:c r="I185" s="38" t="str">
        <x:f>IF(H185="","",IF(H185="完全吻合",1,IF(H185="基本吻合",0.75,IF(H185="部分吻合",0.5,IF(H185="明显不符",0,"")))))</x:f>
      </x:c>
      <x:c r="J185" s="34" t="str"/>
      <x:c r="K185" s="34" t="str"/>
      <x:c r="L185" s="34" t="str"/>
      <x:c r="M185" s="34" t="str"/>
      <x:c r="N185" s="34" t="str"/>
      <x:c r="O185" s="34" t="str"/>
      <x:c r="P185" s="34" t="str"/>
      <x:c r="Q185" s="34" t="str"/>
      <x:c r="R185" s="34" t="str"/>
      <x:c r="S185" s="34" t="str"/>
      <x:c r="T185" s="34" t="str"/>
    </x:row>
    <x:row r="186">
      <x:c r="A186" s="34" t="str">
        <x:v>M5-EVAL-0181</x:v>
      </x:c>
      <x:c r="B186" s="34" t="str"/>
      <x:c r="C186" s="34" t="str"/>
      <x:c r="D186" s="34" t="str"/>
      <x:c r="E186" s="34" t="str"/>
      <x:c r="F186" s="34" t="str"/>
      <x:c r="G186" s="34" t="str"/>
      <x:c r="H186" s="34" t="str"/>
      <x:c r="I186" s="38" t="str">
        <x:f>IF(H186="","",IF(H186="完全吻合",1,IF(H186="基本吻合",0.75,IF(H186="部分吻合",0.5,IF(H186="明显不符",0,"")))))</x:f>
      </x:c>
      <x:c r="J186" s="34" t="str"/>
      <x:c r="K186" s="34" t="str"/>
      <x:c r="L186" s="34" t="str"/>
      <x:c r="M186" s="34" t="str"/>
      <x:c r="N186" s="34" t="str"/>
      <x:c r="O186" s="34" t="str"/>
      <x:c r="P186" s="34" t="str"/>
      <x:c r="Q186" s="34" t="str"/>
      <x:c r="R186" s="34" t="str"/>
      <x:c r="S186" s="34" t="str"/>
      <x:c r="T186" s="34" t="str"/>
    </x:row>
    <x:row r="187">
      <x:c r="A187" s="34" t="str">
        <x:v>M5-EVAL-0182</x:v>
      </x:c>
      <x:c r="B187" s="34" t="str"/>
      <x:c r="C187" s="34" t="str"/>
      <x:c r="D187" s="34" t="str"/>
      <x:c r="E187" s="34" t="str"/>
      <x:c r="F187" s="34" t="str"/>
      <x:c r="G187" s="34" t="str"/>
      <x:c r="H187" s="34" t="str"/>
      <x:c r="I187" s="38" t="str">
        <x:f>IF(H187="","",IF(H187="完全吻合",1,IF(H187="基本吻合",0.75,IF(H187="部分吻合",0.5,IF(H187="明显不符",0,"")))))</x:f>
      </x:c>
      <x:c r="J187" s="34" t="str"/>
      <x:c r="K187" s="34" t="str"/>
      <x:c r="L187" s="34" t="str"/>
      <x:c r="M187" s="34" t="str"/>
      <x:c r="N187" s="34" t="str"/>
      <x:c r="O187" s="34" t="str"/>
      <x:c r="P187" s="34" t="str"/>
      <x:c r="Q187" s="34" t="str"/>
      <x:c r="R187" s="34" t="str"/>
      <x:c r="S187" s="34" t="str"/>
      <x:c r="T187" s="34" t="str"/>
    </x:row>
    <x:row r="188">
      <x:c r="A188" s="34" t="str">
        <x:v>M5-EVAL-0183</x:v>
      </x:c>
      <x:c r="B188" s="34" t="str"/>
      <x:c r="C188" s="34" t="str"/>
      <x:c r="D188" s="34" t="str"/>
      <x:c r="E188" s="34" t="str"/>
      <x:c r="F188" s="34" t="str"/>
      <x:c r="G188" s="34" t="str"/>
      <x:c r="H188" s="34" t="str"/>
      <x:c r="I188" s="38" t="str">
        <x:f>IF(H188="","",IF(H188="完全吻合",1,IF(H188="基本吻合",0.75,IF(H188="部分吻合",0.5,IF(H188="明显不符",0,"")))))</x:f>
      </x:c>
      <x:c r="J188" s="34" t="str"/>
      <x:c r="K188" s="34" t="str"/>
      <x:c r="L188" s="34" t="str"/>
      <x:c r="M188" s="34" t="str"/>
      <x:c r="N188" s="34" t="str"/>
      <x:c r="O188" s="34" t="str"/>
      <x:c r="P188" s="34" t="str"/>
      <x:c r="Q188" s="34" t="str"/>
      <x:c r="R188" s="34" t="str"/>
      <x:c r="S188" s="34" t="str"/>
      <x:c r="T188" s="34" t="str"/>
    </x:row>
    <x:row r="189">
      <x:c r="A189" s="34" t="str">
        <x:v>M5-EVAL-0184</x:v>
      </x:c>
      <x:c r="B189" s="34" t="str"/>
      <x:c r="C189" s="34" t="str"/>
      <x:c r="D189" s="34" t="str"/>
      <x:c r="E189" s="34" t="str"/>
      <x:c r="F189" s="34" t="str"/>
      <x:c r="G189" s="34" t="str"/>
      <x:c r="H189" s="34" t="str"/>
      <x:c r="I189" s="38" t="str">
        <x:f>IF(H189="","",IF(H189="完全吻合",1,IF(H189="基本吻合",0.75,IF(H189="部分吻合",0.5,IF(H189="明显不符",0,"")))))</x:f>
      </x:c>
      <x:c r="J189" s="34" t="str"/>
      <x:c r="K189" s="34" t="str"/>
      <x:c r="L189" s="34" t="str"/>
      <x:c r="M189" s="34" t="str"/>
      <x:c r="N189" s="34" t="str"/>
      <x:c r="O189" s="34" t="str"/>
      <x:c r="P189" s="34" t="str"/>
      <x:c r="Q189" s="34" t="str"/>
      <x:c r="R189" s="34" t="str"/>
      <x:c r="S189" s="34" t="str"/>
      <x:c r="T189" s="34" t="str"/>
    </x:row>
    <x:row r="190">
      <x:c r="A190" s="34" t="str">
        <x:v>M5-EVAL-0185</x:v>
      </x:c>
      <x:c r="B190" s="34" t="str"/>
      <x:c r="C190" s="34" t="str"/>
      <x:c r="D190" s="34" t="str"/>
      <x:c r="E190" s="34" t="str"/>
      <x:c r="F190" s="34" t="str"/>
      <x:c r="G190" s="34" t="str"/>
      <x:c r="H190" s="34" t="str"/>
      <x:c r="I190" s="38" t="str">
        <x:f>IF(H190="","",IF(H190="完全吻合",1,IF(H190="基本吻合",0.75,IF(H190="部分吻合",0.5,IF(H190="明显不符",0,"")))))</x:f>
      </x:c>
      <x:c r="J190" s="34" t="str"/>
      <x:c r="K190" s="34" t="str"/>
      <x:c r="L190" s="34" t="str"/>
      <x:c r="M190" s="34" t="str"/>
      <x:c r="N190" s="34" t="str"/>
      <x:c r="O190" s="34" t="str"/>
      <x:c r="P190" s="34" t="str"/>
      <x:c r="Q190" s="34" t="str"/>
      <x:c r="R190" s="34" t="str"/>
      <x:c r="S190" s="34" t="str"/>
      <x:c r="T190" s="34" t="str"/>
    </x:row>
    <x:row r="191">
      <x:c r="A191" s="34" t="str">
        <x:v>M5-EVAL-0186</x:v>
      </x:c>
      <x:c r="B191" s="34" t="str"/>
      <x:c r="C191" s="34" t="str"/>
      <x:c r="D191" s="34" t="str"/>
      <x:c r="E191" s="34" t="str"/>
      <x:c r="F191" s="34" t="str"/>
      <x:c r="G191" s="34" t="str"/>
      <x:c r="H191" s="34" t="str"/>
      <x:c r="I191" s="38" t="str">
        <x:f>IF(H191="","",IF(H191="完全吻合",1,IF(H191="基本吻合",0.75,IF(H191="部分吻合",0.5,IF(H191="明显不符",0,"")))))</x:f>
      </x:c>
      <x:c r="J191" s="34" t="str"/>
      <x:c r="K191" s="34" t="str"/>
      <x:c r="L191" s="34" t="str"/>
      <x:c r="M191" s="34" t="str"/>
      <x:c r="N191" s="34" t="str"/>
      <x:c r="O191" s="34" t="str"/>
      <x:c r="P191" s="34" t="str"/>
      <x:c r="Q191" s="34" t="str"/>
      <x:c r="R191" s="34" t="str"/>
      <x:c r="S191" s="34" t="str"/>
      <x:c r="T191" s="34" t="str"/>
    </x:row>
    <x:row r="192">
      <x:c r="A192" s="34" t="str">
        <x:v>M5-EVAL-0187</x:v>
      </x:c>
      <x:c r="B192" s="34" t="str"/>
      <x:c r="C192" s="34" t="str"/>
      <x:c r="D192" s="34" t="str"/>
      <x:c r="E192" s="34" t="str"/>
      <x:c r="F192" s="34" t="str"/>
      <x:c r="G192" s="34" t="str"/>
      <x:c r="H192" s="34" t="str"/>
      <x:c r="I192" s="38" t="str">
        <x:f>IF(H192="","",IF(H192="完全吻合",1,IF(H192="基本吻合",0.75,IF(H192="部分吻合",0.5,IF(H192="明显不符",0,"")))))</x:f>
      </x:c>
      <x:c r="J192" s="34" t="str"/>
      <x:c r="K192" s="34" t="str"/>
      <x:c r="L192" s="34" t="str"/>
      <x:c r="M192" s="34" t="str"/>
      <x:c r="N192" s="34" t="str"/>
      <x:c r="O192" s="34" t="str"/>
      <x:c r="P192" s="34" t="str"/>
      <x:c r="Q192" s="34" t="str"/>
      <x:c r="R192" s="34" t="str"/>
      <x:c r="S192" s="34" t="str"/>
      <x:c r="T192" s="34" t="str"/>
    </x:row>
    <x:row r="193">
      <x:c r="A193" s="34" t="str">
        <x:v>M5-EVAL-0188</x:v>
      </x:c>
      <x:c r="B193" s="34" t="str"/>
      <x:c r="C193" s="34" t="str"/>
      <x:c r="D193" s="34" t="str"/>
      <x:c r="E193" s="34" t="str"/>
      <x:c r="F193" s="34" t="str"/>
      <x:c r="G193" s="34" t="str"/>
      <x:c r="H193" s="34" t="str"/>
      <x:c r="I193" s="38" t="str">
        <x:f>IF(H193="","",IF(H193="完全吻合",1,IF(H193="基本吻合",0.75,IF(H193="部分吻合",0.5,IF(H193="明显不符",0,"")))))</x:f>
      </x:c>
      <x:c r="J193" s="34" t="str"/>
      <x:c r="K193" s="34" t="str"/>
      <x:c r="L193" s="34" t="str"/>
      <x:c r="M193" s="34" t="str"/>
      <x:c r="N193" s="34" t="str"/>
      <x:c r="O193" s="34" t="str"/>
      <x:c r="P193" s="34" t="str"/>
      <x:c r="Q193" s="34" t="str"/>
      <x:c r="R193" s="34" t="str"/>
      <x:c r="S193" s="34" t="str"/>
      <x:c r="T193" s="34" t="str"/>
    </x:row>
    <x:row r="194">
      <x:c r="A194" s="34" t="str">
        <x:v>M5-EVAL-0189</x:v>
      </x:c>
      <x:c r="B194" s="34" t="str"/>
      <x:c r="C194" s="34" t="str"/>
      <x:c r="D194" s="34" t="str"/>
      <x:c r="E194" s="34" t="str"/>
      <x:c r="F194" s="34" t="str"/>
      <x:c r="G194" s="34" t="str"/>
      <x:c r="H194" s="34" t="str"/>
      <x:c r="I194" s="38" t="str">
        <x:f>IF(H194="","",IF(H194="完全吻合",1,IF(H194="基本吻合",0.75,IF(H194="部分吻合",0.5,IF(H194="明显不符",0,"")))))</x:f>
      </x:c>
      <x:c r="J194" s="34" t="str"/>
      <x:c r="K194" s="34" t="str"/>
      <x:c r="L194" s="34" t="str"/>
      <x:c r="M194" s="34" t="str"/>
      <x:c r="N194" s="34" t="str"/>
      <x:c r="O194" s="34" t="str"/>
      <x:c r="P194" s="34" t="str"/>
      <x:c r="Q194" s="34" t="str"/>
      <x:c r="R194" s="34" t="str"/>
      <x:c r="S194" s="34" t="str"/>
      <x:c r="T194" s="34" t="str"/>
    </x:row>
    <x:row r="195">
      <x:c r="A195" s="34" t="str">
        <x:v>M5-EVAL-0190</x:v>
      </x:c>
      <x:c r="B195" s="34" t="str"/>
      <x:c r="C195" s="34" t="str"/>
      <x:c r="D195" s="34" t="str"/>
      <x:c r="E195" s="34" t="str"/>
      <x:c r="F195" s="34" t="str"/>
      <x:c r="G195" s="34" t="str"/>
      <x:c r="H195" s="34" t="str"/>
      <x:c r="I195" s="38" t="str">
        <x:f>IF(H195="","",IF(H195="完全吻合",1,IF(H195="基本吻合",0.75,IF(H195="部分吻合",0.5,IF(H195="明显不符",0,"")))))</x:f>
      </x:c>
      <x:c r="J195" s="34" t="str"/>
      <x:c r="K195" s="34" t="str"/>
      <x:c r="L195" s="34" t="str"/>
      <x:c r="M195" s="34" t="str"/>
      <x:c r="N195" s="34" t="str"/>
      <x:c r="O195" s="34" t="str"/>
      <x:c r="P195" s="34" t="str"/>
      <x:c r="Q195" s="34" t="str"/>
      <x:c r="R195" s="34" t="str"/>
      <x:c r="S195" s="34" t="str"/>
      <x:c r="T195" s="34" t="str"/>
    </x:row>
    <x:row r="196">
      <x:c r="A196" s="34" t="str">
        <x:v>M5-EVAL-0191</x:v>
      </x:c>
      <x:c r="B196" s="34" t="str"/>
      <x:c r="C196" s="34" t="str"/>
      <x:c r="D196" s="34" t="str"/>
      <x:c r="E196" s="34" t="str"/>
      <x:c r="F196" s="34" t="str"/>
      <x:c r="G196" s="34" t="str"/>
      <x:c r="H196" s="34" t="str"/>
      <x:c r="I196" s="38" t="str">
        <x:f>IF(H196="","",IF(H196="完全吻合",1,IF(H196="基本吻合",0.75,IF(H196="部分吻合",0.5,IF(H196="明显不符",0,"")))))</x:f>
      </x:c>
      <x:c r="J196" s="34" t="str"/>
      <x:c r="K196" s="34" t="str"/>
      <x:c r="L196" s="34" t="str"/>
      <x:c r="M196" s="34" t="str"/>
      <x:c r="N196" s="34" t="str"/>
      <x:c r="O196" s="34" t="str"/>
      <x:c r="P196" s="34" t="str"/>
      <x:c r="Q196" s="34" t="str"/>
      <x:c r="R196" s="34" t="str"/>
      <x:c r="S196" s="34" t="str"/>
      <x:c r="T196" s="34" t="str"/>
    </x:row>
    <x:row r="197">
      <x:c r="A197" s="34" t="str">
        <x:v>M5-EVAL-0192</x:v>
      </x:c>
      <x:c r="B197" s="34" t="str"/>
      <x:c r="C197" s="34" t="str"/>
      <x:c r="D197" s="34" t="str"/>
      <x:c r="E197" s="34" t="str"/>
      <x:c r="F197" s="34" t="str"/>
      <x:c r="G197" s="34" t="str"/>
      <x:c r="H197" s="34" t="str"/>
      <x:c r="I197" s="38" t="str">
        <x:f>IF(H197="","",IF(H197="完全吻合",1,IF(H197="基本吻合",0.75,IF(H197="部分吻合",0.5,IF(H197="明显不符",0,"")))))</x:f>
      </x:c>
      <x:c r="J197" s="34" t="str"/>
      <x:c r="K197" s="34" t="str"/>
      <x:c r="L197" s="34" t="str"/>
      <x:c r="M197" s="34" t="str"/>
      <x:c r="N197" s="34" t="str"/>
      <x:c r="O197" s="34" t="str"/>
      <x:c r="P197" s="34" t="str"/>
      <x:c r="Q197" s="34" t="str"/>
      <x:c r="R197" s="34" t="str"/>
      <x:c r="S197" s="34" t="str"/>
      <x:c r="T197" s="34" t="str"/>
    </x:row>
    <x:row r="198">
      <x:c r="A198" s="34" t="str">
        <x:v>M5-EVAL-0193</x:v>
      </x:c>
      <x:c r="B198" s="34" t="str"/>
      <x:c r="C198" s="34" t="str"/>
      <x:c r="D198" s="34" t="str"/>
      <x:c r="E198" s="34" t="str"/>
      <x:c r="F198" s="34" t="str"/>
      <x:c r="G198" s="34" t="str"/>
      <x:c r="H198" s="34" t="str"/>
      <x:c r="I198" s="38" t="str">
        <x:f>IF(H198="","",IF(H198="完全吻合",1,IF(H198="基本吻合",0.75,IF(H198="部分吻合",0.5,IF(H198="明显不符",0,"")))))</x:f>
      </x:c>
      <x:c r="J198" s="34" t="str"/>
      <x:c r="K198" s="34" t="str"/>
      <x:c r="L198" s="34" t="str"/>
      <x:c r="M198" s="34" t="str"/>
      <x:c r="N198" s="34" t="str"/>
      <x:c r="O198" s="34" t="str"/>
      <x:c r="P198" s="34" t="str"/>
      <x:c r="Q198" s="34" t="str"/>
      <x:c r="R198" s="34" t="str"/>
      <x:c r="S198" s="34" t="str"/>
      <x:c r="T198" s="34" t="str"/>
    </x:row>
    <x:row r="199">
      <x:c r="A199" s="34" t="str">
        <x:v>M5-EVAL-0194</x:v>
      </x:c>
      <x:c r="B199" s="34" t="str"/>
      <x:c r="C199" s="34" t="str"/>
      <x:c r="D199" s="34" t="str"/>
      <x:c r="E199" s="34" t="str"/>
      <x:c r="F199" s="34" t="str"/>
      <x:c r="G199" s="34" t="str"/>
      <x:c r="H199" s="34" t="str"/>
      <x:c r="I199" s="38" t="str">
        <x:f>IF(H199="","",IF(H199="完全吻合",1,IF(H199="基本吻合",0.75,IF(H199="部分吻合",0.5,IF(H199="明显不符",0,"")))))</x:f>
      </x:c>
      <x:c r="J199" s="34" t="str"/>
      <x:c r="K199" s="34" t="str"/>
      <x:c r="L199" s="34" t="str"/>
      <x:c r="M199" s="34" t="str"/>
      <x:c r="N199" s="34" t="str"/>
      <x:c r="O199" s="34" t="str"/>
      <x:c r="P199" s="34" t="str"/>
      <x:c r="Q199" s="34" t="str"/>
      <x:c r="R199" s="34" t="str"/>
      <x:c r="S199" s="34" t="str"/>
      <x:c r="T199" s="34" t="str"/>
    </x:row>
    <x:row r="200">
      <x:c r="A200" s="34" t="str">
        <x:v>M5-EVAL-0195</x:v>
      </x:c>
      <x:c r="B200" s="34" t="str"/>
      <x:c r="C200" s="34" t="str"/>
      <x:c r="D200" s="34" t="str"/>
      <x:c r="E200" s="34" t="str"/>
      <x:c r="F200" s="34" t="str"/>
      <x:c r="G200" s="34" t="str"/>
      <x:c r="H200" s="34" t="str"/>
      <x:c r="I200" s="38" t="str">
        <x:f>IF(H200="","",IF(H200="完全吻合",1,IF(H200="基本吻合",0.75,IF(H200="部分吻合",0.5,IF(H200="明显不符",0,"")))))</x:f>
      </x:c>
      <x:c r="J200" s="34" t="str"/>
      <x:c r="K200" s="34" t="str"/>
      <x:c r="L200" s="34" t="str"/>
      <x:c r="M200" s="34" t="str"/>
      <x:c r="N200" s="34" t="str"/>
      <x:c r="O200" s="34" t="str"/>
      <x:c r="P200" s="34" t="str"/>
      <x:c r="Q200" s="34" t="str"/>
      <x:c r="R200" s="34" t="str"/>
      <x:c r="S200" s="34" t="str"/>
      <x:c r="T200" s="34" t="str"/>
    </x:row>
    <x:row r="201">
      <x:c r="A201" s="34" t="str">
        <x:v>M5-EVAL-0196</x:v>
      </x:c>
      <x:c r="B201" s="34" t="str"/>
      <x:c r="C201" s="34" t="str"/>
      <x:c r="D201" s="34" t="str"/>
      <x:c r="E201" s="34" t="str"/>
      <x:c r="F201" s="34" t="str"/>
      <x:c r="G201" s="34" t="str"/>
      <x:c r="H201" s="34" t="str"/>
      <x:c r="I201" s="38" t="str">
        <x:f>IF(H201="","",IF(H201="完全吻合",1,IF(H201="基本吻合",0.75,IF(H201="部分吻合",0.5,IF(H201="明显不符",0,"")))))</x:f>
      </x:c>
      <x:c r="J201" s="34" t="str"/>
      <x:c r="K201" s="34" t="str"/>
      <x:c r="L201" s="34" t="str"/>
      <x:c r="M201" s="34" t="str"/>
      <x:c r="N201" s="34" t="str"/>
      <x:c r="O201" s="34" t="str"/>
      <x:c r="P201" s="34" t="str"/>
      <x:c r="Q201" s="34" t="str"/>
      <x:c r="R201" s="34" t="str"/>
      <x:c r="S201" s="34" t="str"/>
      <x:c r="T201" s="34" t="str"/>
    </x:row>
    <x:row r="202">
      <x:c r="A202" s="34" t="str">
        <x:v>M5-EVAL-0197</x:v>
      </x:c>
      <x:c r="B202" s="34" t="str"/>
      <x:c r="C202" s="34" t="str"/>
      <x:c r="D202" s="34" t="str"/>
      <x:c r="E202" s="34" t="str"/>
      <x:c r="F202" s="34" t="str"/>
      <x:c r="G202" s="34" t="str"/>
      <x:c r="H202" s="34" t="str"/>
      <x:c r="I202" s="38" t="str">
        <x:f>IF(H202="","",IF(H202="完全吻合",1,IF(H202="基本吻合",0.75,IF(H202="部分吻合",0.5,IF(H202="明显不符",0,"")))))</x:f>
      </x:c>
      <x:c r="J202" s="34" t="str"/>
      <x:c r="K202" s="34" t="str"/>
      <x:c r="L202" s="34" t="str"/>
      <x:c r="M202" s="34" t="str"/>
      <x:c r="N202" s="34" t="str"/>
      <x:c r="O202" s="34" t="str"/>
      <x:c r="P202" s="34" t="str"/>
      <x:c r="Q202" s="34" t="str"/>
      <x:c r="R202" s="34" t="str"/>
      <x:c r="S202" s="34" t="str"/>
      <x:c r="T202" s="34" t="str"/>
    </x:row>
    <x:row r="203">
      <x:c r="A203" s="34" t="str">
        <x:v>M5-EVAL-0198</x:v>
      </x:c>
      <x:c r="B203" s="34" t="str"/>
      <x:c r="C203" s="34" t="str"/>
      <x:c r="D203" s="34" t="str"/>
      <x:c r="E203" s="34" t="str"/>
      <x:c r="F203" s="34" t="str"/>
      <x:c r="G203" s="34" t="str"/>
      <x:c r="H203" s="34" t="str"/>
      <x:c r="I203" s="38" t="str">
        <x:f>IF(H203="","",IF(H203="完全吻合",1,IF(H203="基本吻合",0.75,IF(H203="部分吻合",0.5,IF(H203="明显不符",0,"")))))</x:f>
      </x:c>
      <x:c r="J203" s="34" t="str"/>
      <x:c r="K203" s="34" t="str"/>
      <x:c r="L203" s="34" t="str"/>
      <x:c r="M203" s="34" t="str"/>
      <x:c r="N203" s="34" t="str"/>
      <x:c r="O203" s="34" t="str"/>
      <x:c r="P203" s="34" t="str"/>
      <x:c r="Q203" s="34" t="str"/>
      <x:c r="R203" s="34" t="str"/>
      <x:c r="S203" s="34" t="str"/>
      <x:c r="T203" s="34" t="str"/>
    </x:row>
    <x:row r="204">
      <x:c r="A204" s="34" t="str">
        <x:v>M5-EVAL-0199</x:v>
      </x:c>
      <x:c r="B204" s="34" t="str"/>
      <x:c r="C204" s="34" t="str"/>
      <x:c r="D204" s="34" t="str"/>
      <x:c r="E204" s="34" t="str"/>
      <x:c r="F204" s="34" t="str"/>
      <x:c r="G204" s="34" t="str"/>
      <x:c r="H204" s="34" t="str"/>
      <x:c r="I204" s="38" t="str">
        <x:f>IF(H204="","",IF(H204="完全吻合",1,IF(H204="基本吻合",0.75,IF(H204="部分吻合",0.5,IF(H204="明显不符",0,"")))))</x:f>
      </x:c>
      <x:c r="J204" s="34" t="str"/>
      <x:c r="K204" s="34" t="str"/>
      <x:c r="L204" s="34" t="str"/>
      <x:c r="M204" s="34" t="str"/>
      <x:c r="N204" s="34" t="str"/>
      <x:c r="O204" s="34" t="str"/>
      <x:c r="P204" s="34" t="str"/>
      <x:c r="Q204" s="34" t="str"/>
      <x:c r="R204" s="34" t="str"/>
      <x:c r="S204" s="34" t="str"/>
      <x:c r="T204" s="34" t="str"/>
    </x:row>
    <x:row r="205">
      <x:c r="A205" s="34" t="str">
        <x:v>M5-EVAL-0200</x:v>
      </x:c>
      <x:c r="B205" s="34" t="str"/>
      <x:c r="C205" s="34" t="str"/>
      <x:c r="D205" s="34" t="str"/>
      <x:c r="E205" s="34" t="str"/>
      <x:c r="F205" s="34" t="str"/>
      <x:c r="G205" s="34" t="str"/>
      <x:c r="H205" s="34" t="str"/>
      <x:c r="I205" s="38" t="str">
        <x:f>IF(H205="","",IF(H205="完全吻合",1,IF(H205="基本吻合",0.75,IF(H205="部分吻合",0.5,IF(H205="明显不符",0,"")))))</x:f>
      </x:c>
      <x:c r="J205" s="34" t="str"/>
      <x:c r="K205" s="34" t="str"/>
      <x:c r="L205" s="34" t="str"/>
      <x:c r="M205" s="34" t="str"/>
      <x:c r="N205" s="34" t="str"/>
      <x:c r="O205" s="34" t="str"/>
      <x:c r="P205" s="34" t="str"/>
      <x:c r="Q205" s="34" t="str"/>
      <x:c r="R205" s="34" t="str"/>
      <x:c r="S205" s="34" t="str"/>
      <x:c r="T205" s="34" t="str"/>
    </x:row>
    <x:row r="206">
      <x:c r="A206" s="34" t="str">
        <x:v>M5-EVAL-0201</x:v>
      </x:c>
      <x:c r="B206" s="34" t="str"/>
      <x:c r="C206" s="34" t="str"/>
      <x:c r="D206" s="34" t="str"/>
      <x:c r="E206" s="34" t="str"/>
      <x:c r="F206" s="34" t="str"/>
      <x:c r="G206" s="34" t="str"/>
      <x:c r="H206" s="34" t="str"/>
      <x:c r="I206" s="38" t="str">
        <x:f>IF(H206="","",IF(H206="完全吻合",1,IF(H206="基本吻合",0.75,IF(H206="部分吻合",0.5,IF(H206="明显不符",0,"")))))</x:f>
      </x:c>
      <x:c r="J206" s="34" t="str"/>
      <x:c r="K206" s="34" t="str"/>
      <x:c r="L206" s="34" t="str"/>
      <x:c r="M206" s="34" t="str"/>
      <x:c r="N206" s="34" t="str"/>
      <x:c r="O206" s="34" t="str"/>
      <x:c r="P206" s="34" t="str"/>
      <x:c r="Q206" s="34" t="str"/>
      <x:c r="R206" s="34" t="str"/>
      <x:c r="S206" s="34" t="str"/>
      <x:c r="T206" s="34" t="str"/>
    </x:row>
    <x:row r="207">
      <x:c r="A207" s="34" t="str">
        <x:v>M5-EVAL-0202</x:v>
      </x:c>
      <x:c r="B207" s="34" t="str"/>
      <x:c r="C207" s="34" t="str"/>
      <x:c r="D207" s="34" t="str"/>
      <x:c r="E207" s="34" t="str"/>
      <x:c r="F207" s="34" t="str"/>
      <x:c r="G207" s="34" t="str"/>
      <x:c r="H207" s="34" t="str"/>
      <x:c r="I207" s="38" t="str">
        <x:f>IF(H207="","",IF(H207="完全吻合",1,IF(H207="基本吻合",0.75,IF(H207="部分吻合",0.5,IF(H207="明显不符",0,"")))))</x:f>
      </x:c>
      <x:c r="J207" s="34" t="str"/>
      <x:c r="K207" s="34" t="str"/>
      <x:c r="L207" s="34" t="str"/>
      <x:c r="M207" s="34" t="str"/>
      <x:c r="N207" s="34" t="str"/>
      <x:c r="O207" s="34" t="str"/>
      <x:c r="P207" s="34" t="str"/>
      <x:c r="Q207" s="34" t="str"/>
      <x:c r="R207" s="34" t="str"/>
      <x:c r="S207" s="34" t="str"/>
      <x:c r="T207" s="34" t="str"/>
    </x:row>
    <x:row r="208">
      <x:c r="A208" s="34" t="str">
        <x:v>M5-EVAL-0203</x:v>
      </x:c>
      <x:c r="B208" s="34" t="str"/>
      <x:c r="C208" s="34" t="str"/>
      <x:c r="D208" s="34" t="str"/>
      <x:c r="E208" s="34" t="str"/>
      <x:c r="F208" s="34" t="str"/>
      <x:c r="G208" s="34" t="str"/>
      <x:c r="H208" s="34" t="str"/>
      <x:c r="I208" s="38" t="str">
        <x:f>IF(H208="","",IF(H208="完全吻合",1,IF(H208="基本吻合",0.75,IF(H208="部分吻合",0.5,IF(H208="明显不符",0,"")))))</x:f>
      </x:c>
      <x:c r="J208" s="34" t="str"/>
      <x:c r="K208" s="34" t="str"/>
      <x:c r="L208" s="34" t="str"/>
      <x:c r="M208" s="34" t="str"/>
      <x:c r="N208" s="34" t="str"/>
      <x:c r="O208" s="34" t="str"/>
      <x:c r="P208" s="34" t="str"/>
      <x:c r="Q208" s="34" t="str"/>
      <x:c r="R208" s="34" t="str"/>
      <x:c r="S208" s="34" t="str"/>
      <x:c r="T208" s="34" t="str"/>
    </x:row>
    <x:row r="209">
      <x:c r="A209" s="34" t="str">
        <x:v>M5-EVAL-0204</x:v>
      </x:c>
      <x:c r="B209" s="34" t="str"/>
      <x:c r="C209" s="34" t="str"/>
      <x:c r="D209" s="34" t="str"/>
      <x:c r="E209" s="34" t="str"/>
      <x:c r="F209" s="34" t="str"/>
      <x:c r="G209" s="34" t="str"/>
      <x:c r="H209" s="34" t="str"/>
      <x:c r="I209" s="38" t="str">
        <x:f>IF(H209="","",IF(H209="完全吻合",1,IF(H209="基本吻合",0.75,IF(H209="部分吻合",0.5,IF(H209="明显不符",0,"")))))</x:f>
      </x:c>
      <x:c r="J209" s="34" t="str"/>
      <x:c r="K209" s="34" t="str"/>
      <x:c r="L209" s="34" t="str"/>
      <x:c r="M209" s="34" t="str"/>
      <x:c r="N209" s="34" t="str"/>
      <x:c r="O209" s="34" t="str"/>
      <x:c r="P209" s="34" t="str"/>
      <x:c r="Q209" s="34" t="str"/>
      <x:c r="R209" s="34" t="str"/>
      <x:c r="S209" s="34" t="str"/>
      <x:c r="T209" s="34" t="str"/>
    </x:row>
    <x:row r="210">
      <x:c r="A210" s="34" t="str">
        <x:v>M5-EVAL-0205</x:v>
      </x:c>
      <x:c r="B210" s="34" t="str"/>
      <x:c r="C210" s="34" t="str"/>
      <x:c r="D210" s="34" t="str"/>
      <x:c r="E210" s="34" t="str"/>
      <x:c r="F210" s="34" t="str"/>
      <x:c r="G210" s="34" t="str"/>
      <x:c r="H210" s="34" t="str"/>
      <x:c r="I210" s="38" t="str">
        <x:f>IF(H210="","",IF(H210="完全吻合",1,IF(H210="基本吻合",0.75,IF(H210="部分吻合",0.5,IF(H210="明显不符",0,"")))))</x:f>
      </x:c>
      <x:c r="J210" s="34" t="str"/>
      <x:c r="K210" s="34" t="str"/>
      <x:c r="L210" s="34" t="str"/>
      <x:c r="M210" s="34" t="str"/>
      <x:c r="N210" s="34" t="str"/>
      <x:c r="O210" s="34" t="str"/>
      <x:c r="P210" s="34" t="str"/>
      <x:c r="Q210" s="34" t="str"/>
      <x:c r="R210" s="34" t="str"/>
      <x:c r="S210" s="34" t="str"/>
      <x:c r="T210" s="34" t="str"/>
    </x:row>
    <x:row r="211">
      <x:c r="A211" s="34" t="str">
        <x:v>M5-EVAL-0206</x:v>
      </x:c>
      <x:c r="B211" s="34" t="str"/>
      <x:c r="C211" s="34" t="str"/>
      <x:c r="D211" s="34" t="str"/>
      <x:c r="E211" s="34" t="str"/>
      <x:c r="F211" s="34" t="str"/>
      <x:c r="G211" s="34" t="str"/>
      <x:c r="H211" s="34" t="str"/>
      <x:c r="I211" s="38" t="str">
        <x:f>IF(H211="","",IF(H211="完全吻合",1,IF(H211="基本吻合",0.75,IF(H211="部分吻合",0.5,IF(H211="明显不符",0,"")))))</x:f>
      </x:c>
      <x:c r="J211" s="34" t="str"/>
      <x:c r="K211" s="34" t="str"/>
      <x:c r="L211" s="34" t="str"/>
      <x:c r="M211" s="34" t="str"/>
      <x:c r="N211" s="34" t="str"/>
      <x:c r="O211" s="34" t="str"/>
      <x:c r="P211" s="34" t="str"/>
      <x:c r="Q211" s="34" t="str"/>
      <x:c r="R211" s="34" t="str"/>
      <x:c r="S211" s="34" t="str"/>
      <x:c r="T211" s="34" t="str"/>
    </x:row>
    <x:row r="212">
      <x:c r="A212" s="34" t="str">
        <x:v>M5-EVAL-0207</x:v>
      </x:c>
      <x:c r="B212" s="34" t="str"/>
      <x:c r="C212" s="34" t="str"/>
      <x:c r="D212" s="34" t="str"/>
      <x:c r="E212" s="34" t="str"/>
      <x:c r="F212" s="34" t="str"/>
      <x:c r="G212" s="34" t="str"/>
      <x:c r="H212" s="34" t="str"/>
      <x:c r="I212" s="38" t="str">
        <x:f>IF(H212="","",IF(H212="完全吻合",1,IF(H212="基本吻合",0.75,IF(H212="部分吻合",0.5,IF(H212="明显不符",0,"")))))</x:f>
      </x:c>
      <x:c r="J212" s="34" t="str"/>
      <x:c r="K212" s="34" t="str"/>
      <x:c r="L212" s="34" t="str"/>
      <x:c r="M212" s="34" t="str"/>
      <x:c r="N212" s="34" t="str"/>
      <x:c r="O212" s="34" t="str"/>
      <x:c r="P212" s="34" t="str"/>
      <x:c r="Q212" s="34" t="str"/>
      <x:c r="R212" s="34" t="str"/>
      <x:c r="S212" s="34" t="str"/>
      <x:c r="T212" s="34" t="str"/>
    </x:row>
    <x:row r="213">
      <x:c r="A213" s="34" t="str">
        <x:v>M5-EVAL-0208</x:v>
      </x:c>
      <x:c r="B213" s="34" t="str"/>
      <x:c r="C213" s="34" t="str"/>
      <x:c r="D213" s="34" t="str"/>
      <x:c r="E213" s="34" t="str"/>
      <x:c r="F213" s="34" t="str"/>
      <x:c r="G213" s="34" t="str"/>
      <x:c r="H213" s="34" t="str"/>
      <x:c r="I213" s="38" t="str">
        <x:f>IF(H213="","",IF(H213="完全吻合",1,IF(H213="基本吻合",0.75,IF(H213="部分吻合",0.5,IF(H213="明显不符",0,"")))))</x:f>
      </x:c>
      <x:c r="J213" s="34" t="str"/>
      <x:c r="K213" s="34" t="str"/>
      <x:c r="L213" s="34" t="str"/>
      <x:c r="M213" s="34" t="str"/>
      <x:c r="N213" s="34" t="str"/>
      <x:c r="O213" s="34" t="str"/>
      <x:c r="P213" s="34" t="str"/>
      <x:c r="Q213" s="34" t="str"/>
      <x:c r="R213" s="34" t="str"/>
      <x:c r="S213" s="34" t="str"/>
      <x:c r="T213" s="34" t="str"/>
    </x:row>
    <x:row r="214">
      <x:c r="A214" s="34" t="str">
        <x:v>M5-EVAL-0209</x:v>
      </x:c>
      <x:c r="B214" s="34" t="str"/>
      <x:c r="C214" s="34" t="str"/>
      <x:c r="D214" s="34" t="str"/>
      <x:c r="E214" s="34" t="str"/>
      <x:c r="F214" s="34" t="str"/>
      <x:c r="G214" s="34" t="str"/>
      <x:c r="H214" s="34" t="str"/>
      <x:c r="I214" s="38" t="str">
        <x:f>IF(H214="","",IF(H214="完全吻合",1,IF(H214="基本吻合",0.75,IF(H214="部分吻合",0.5,IF(H214="明显不符",0,"")))))</x:f>
      </x:c>
      <x:c r="J214" s="34" t="str"/>
      <x:c r="K214" s="34" t="str"/>
      <x:c r="L214" s="34" t="str"/>
      <x:c r="M214" s="34" t="str"/>
      <x:c r="N214" s="34" t="str"/>
      <x:c r="O214" s="34" t="str"/>
      <x:c r="P214" s="34" t="str"/>
      <x:c r="Q214" s="34" t="str"/>
      <x:c r="R214" s="34" t="str"/>
      <x:c r="S214" s="34" t="str"/>
      <x:c r="T214" s="34" t="str"/>
    </x:row>
    <x:row r="215">
      <x:c r="A215" s="34" t="str">
        <x:v>M5-EVAL-0210</x:v>
      </x:c>
      <x:c r="B215" s="34" t="str"/>
      <x:c r="C215" s="34" t="str"/>
      <x:c r="D215" s="34" t="str"/>
      <x:c r="E215" s="34" t="str"/>
      <x:c r="F215" s="34" t="str"/>
      <x:c r="G215" s="34" t="str"/>
      <x:c r="H215" s="34" t="str"/>
      <x:c r="I215" s="38" t="str">
        <x:f>IF(H215="","",IF(H215="完全吻合",1,IF(H215="基本吻合",0.75,IF(H215="部分吻合",0.5,IF(H215="明显不符",0,"")))))</x:f>
      </x:c>
      <x:c r="J215" s="34" t="str"/>
      <x:c r="K215" s="34" t="str"/>
      <x:c r="L215" s="34" t="str"/>
      <x:c r="M215" s="34" t="str"/>
      <x:c r="N215" s="34" t="str"/>
      <x:c r="O215" s="34" t="str"/>
      <x:c r="P215" s="34" t="str"/>
      <x:c r="Q215" s="34" t="str"/>
      <x:c r="R215" s="34" t="str"/>
      <x:c r="S215" s="34" t="str"/>
      <x:c r="T215" s="34" t="str"/>
    </x:row>
    <x:row r="216">
      <x:c r="A216" s="34" t="str">
        <x:v>M5-EVAL-0211</x:v>
      </x:c>
      <x:c r="B216" s="34" t="str"/>
      <x:c r="C216" s="34" t="str"/>
      <x:c r="D216" s="34" t="str"/>
      <x:c r="E216" s="34" t="str"/>
      <x:c r="F216" s="34" t="str"/>
      <x:c r="G216" s="34" t="str"/>
      <x:c r="H216" s="34" t="str"/>
      <x:c r="I216" s="38" t="str">
        <x:f>IF(H216="","",IF(H216="完全吻合",1,IF(H216="基本吻合",0.75,IF(H216="部分吻合",0.5,IF(H216="明显不符",0,"")))))</x:f>
      </x:c>
      <x:c r="J216" s="34" t="str"/>
      <x:c r="K216" s="34" t="str"/>
      <x:c r="L216" s="34" t="str"/>
      <x:c r="M216" s="34" t="str"/>
      <x:c r="N216" s="34" t="str"/>
      <x:c r="O216" s="34" t="str"/>
      <x:c r="P216" s="34" t="str"/>
      <x:c r="Q216" s="34" t="str"/>
      <x:c r="R216" s="34" t="str"/>
      <x:c r="S216" s="34" t="str"/>
      <x:c r="T216" s="34" t="str"/>
    </x:row>
    <x:row r="217">
      <x:c r="A217" s="34" t="str">
        <x:v>M5-EVAL-0212</x:v>
      </x:c>
      <x:c r="B217" s="34" t="str"/>
      <x:c r="C217" s="34" t="str"/>
      <x:c r="D217" s="34" t="str"/>
      <x:c r="E217" s="34" t="str"/>
      <x:c r="F217" s="34" t="str"/>
      <x:c r="G217" s="34" t="str"/>
      <x:c r="H217" s="34" t="str"/>
      <x:c r="I217" s="38" t="str">
        <x:f>IF(H217="","",IF(H217="完全吻合",1,IF(H217="基本吻合",0.75,IF(H217="部分吻合",0.5,IF(H217="明显不符",0,"")))))</x:f>
      </x:c>
      <x:c r="J217" s="34" t="str"/>
      <x:c r="K217" s="34" t="str"/>
      <x:c r="L217" s="34" t="str"/>
      <x:c r="M217" s="34" t="str"/>
      <x:c r="N217" s="34" t="str"/>
      <x:c r="O217" s="34" t="str"/>
      <x:c r="P217" s="34" t="str"/>
      <x:c r="Q217" s="34" t="str"/>
      <x:c r="R217" s="34" t="str"/>
      <x:c r="S217" s="34" t="str"/>
      <x:c r="T217" s="34" t="str"/>
    </x:row>
    <x:row r="218">
      <x:c r="A218" s="34" t="str">
        <x:v>M5-EVAL-0213</x:v>
      </x:c>
      <x:c r="B218" s="34" t="str"/>
      <x:c r="C218" s="34" t="str"/>
      <x:c r="D218" s="34" t="str"/>
      <x:c r="E218" s="34" t="str"/>
      <x:c r="F218" s="34" t="str"/>
      <x:c r="G218" s="34" t="str"/>
      <x:c r="H218" s="34" t="str"/>
      <x:c r="I218" s="38" t="str">
        <x:f>IF(H218="","",IF(H218="完全吻合",1,IF(H218="基本吻合",0.75,IF(H218="部分吻合",0.5,IF(H218="明显不符",0,"")))))</x:f>
      </x:c>
      <x:c r="J218" s="34" t="str"/>
      <x:c r="K218" s="34" t="str"/>
      <x:c r="L218" s="34" t="str"/>
      <x:c r="M218" s="34" t="str"/>
      <x:c r="N218" s="34" t="str"/>
      <x:c r="O218" s="34" t="str"/>
      <x:c r="P218" s="34" t="str"/>
      <x:c r="Q218" s="34" t="str"/>
      <x:c r="R218" s="34" t="str"/>
      <x:c r="S218" s="34" t="str"/>
      <x:c r="T218" s="34" t="str"/>
    </x:row>
    <x:row r="219">
      <x:c r="A219" s="34" t="str">
        <x:v>M5-EVAL-0214</x:v>
      </x:c>
      <x:c r="B219" s="34" t="str"/>
      <x:c r="C219" s="34" t="str"/>
      <x:c r="D219" s="34" t="str"/>
      <x:c r="E219" s="34" t="str"/>
      <x:c r="F219" s="34" t="str"/>
      <x:c r="G219" s="34" t="str"/>
      <x:c r="H219" s="34" t="str"/>
      <x:c r="I219" s="38" t="str">
        <x:f>IF(H219="","",IF(H219="完全吻合",1,IF(H219="基本吻合",0.75,IF(H219="部分吻合",0.5,IF(H219="明显不符",0,"")))))</x:f>
      </x:c>
      <x:c r="J219" s="34" t="str"/>
      <x:c r="K219" s="34" t="str"/>
      <x:c r="L219" s="34" t="str"/>
      <x:c r="M219" s="34" t="str"/>
      <x:c r="N219" s="34" t="str"/>
      <x:c r="O219" s="34" t="str"/>
      <x:c r="P219" s="34" t="str"/>
      <x:c r="Q219" s="34" t="str"/>
      <x:c r="R219" s="34" t="str"/>
      <x:c r="S219" s="34" t="str"/>
      <x:c r="T219" s="34" t="str"/>
    </x:row>
    <x:row r="220">
      <x:c r="A220" s="34" t="str">
        <x:v>M5-EVAL-0215</x:v>
      </x:c>
      <x:c r="B220" s="34" t="str"/>
      <x:c r="C220" s="34" t="str"/>
      <x:c r="D220" s="34" t="str"/>
      <x:c r="E220" s="34" t="str"/>
      <x:c r="F220" s="34" t="str"/>
      <x:c r="G220" s="34" t="str"/>
      <x:c r="H220" s="34" t="str"/>
      <x:c r="I220" s="38" t="str">
        <x:f>IF(H220="","",IF(H220="完全吻合",1,IF(H220="基本吻合",0.75,IF(H220="部分吻合",0.5,IF(H220="明显不符",0,"")))))</x:f>
      </x:c>
      <x:c r="J220" s="34" t="str"/>
      <x:c r="K220" s="34" t="str"/>
      <x:c r="L220" s="34" t="str"/>
      <x:c r="M220" s="34" t="str"/>
      <x:c r="N220" s="34" t="str"/>
      <x:c r="O220" s="34" t="str"/>
      <x:c r="P220" s="34" t="str"/>
      <x:c r="Q220" s="34" t="str"/>
      <x:c r="R220" s="34" t="str"/>
      <x:c r="S220" s="34" t="str"/>
      <x:c r="T220" s="34" t="str"/>
    </x:row>
    <x:row r="221">
      <x:c r="A221" s="34" t="str">
        <x:v>M5-EVAL-0216</x:v>
      </x:c>
      <x:c r="B221" s="34" t="str"/>
      <x:c r="C221" s="34" t="str"/>
      <x:c r="D221" s="34" t="str"/>
      <x:c r="E221" s="34" t="str"/>
      <x:c r="F221" s="34" t="str"/>
      <x:c r="G221" s="34" t="str"/>
      <x:c r="H221" s="34" t="str"/>
      <x:c r="I221" s="38" t="str">
        <x:f>IF(H221="","",IF(H221="完全吻合",1,IF(H221="基本吻合",0.75,IF(H221="部分吻合",0.5,IF(H221="明显不符",0,"")))))</x:f>
      </x:c>
      <x:c r="J221" s="34" t="str"/>
      <x:c r="K221" s="34" t="str"/>
      <x:c r="L221" s="34" t="str"/>
      <x:c r="M221" s="34" t="str"/>
      <x:c r="N221" s="34" t="str"/>
      <x:c r="O221" s="34" t="str"/>
      <x:c r="P221" s="34" t="str"/>
      <x:c r="Q221" s="34" t="str"/>
      <x:c r="R221" s="34" t="str"/>
      <x:c r="S221" s="34" t="str"/>
      <x:c r="T221" s="34" t="str"/>
    </x:row>
    <x:row r="222">
      <x:c r="A222" s="34" t="str">
        <x:v>M5-EVAL-0217</x:v>
      </x:c>
      <x:c r="B222" s="34" t="str"/>
      <x:c r="C222" s="34" t="str"/>
      <x:c r="D222" s="34" t="str"/>
      <x:c r="E222" s="34" t="str"/>
      <x:c r="F222" s="34" t="str"/>
      <x:c r="G222" s="34" t="str"/>
      <x:c r="H222" s="34" t="str"/>
      <x:c r="I222" s="38" t="str">
        <x:f>IF(H222="","",IF(H222="完全吻合",1,IF(H222="基本吻合",0.75,IF(H222="部分吻合",0.5,IF(H222="明显不符",0,"")))))</x:f>
      </x:c>
      <x:c r="J222" s="34" t="str"/>
      <x:c r="K222" s="34" t="str"/>
      <x:c r="L222" s="34" t="str"/>
      <x:c r="M222" s="34" t="str"/>
      <x:c r="N222" s="34" t="str"/>
      <x:c r="O222" s="34" t="str"/>
      <x:c r="P222" s="34" t="str"/>
      <x:c r="Q222" s="34" t="str"/>
      <x:c r="R222" s="34" t="str"/>
      <x:c r="S222" s="34" t="str"/>
      <x:c r="T222" s="34" t="str"/>
    </x:row>
    <x:row r="223">
      <x:c r="A223" s="34" t="str">
        <x:v>M5-EVAL-0218</x:v>
      </x:c>
      <x:c r="B223" s="34" t="str"/>
      <x:c r="C223" s="34" t="str"/>
      <x:c r="D223" s="34" t="str"/>
      <x:c r="E223" s="34" t="str"/>
      <x:c r="F223" s="34" t="str"/>
      <x:c r="G223" s="34" t="str"/>
      <x:c r="H223" s="34" t="str"/>
      <x:c r="I223" s="38" t="str">
        <x:f>IF(H223="","",IF(H223="完全吻合",1,IF(H223="基本吻合",0.75,IF(H223="部分吻合",0.5,IF(H223="明显不符",0,"")))))</x:f>
      </x:c>
      <x:c r="J223" s="34" t="str"/>
      <x:c r="K223" s="34" t="str"/>
      <x:c r="L223" s="34" t="str"/>
      <x:c r="M223" s="34" t="str"/>
      <x:c r="N223" s="34" t="str"/>
      <x:c r="O223" s="34" t="str"/>
      <x:c r="P223" s="34" t="str"/>
      <x:c r="Q223" s="34" t="str"/>
      <x:c r="R223" s="34" t="str"/>
      <x:c r="S223" s="34" t="str"/>
      <x:c r="T223" s="34" t="str"/>
    </x:row>
    <x:row r="224">
      <x:c r="A224" s="34" t="str">
        <x:v>M5-EVAL-0219</x:v>
      </x:c>
      <x:c r="B224" s="34" t="str"/>
      <x:c r="C224" s="34" t="str"/>
      <x:c r="D224" s="34" t="str"/>
      <x:c r="E224" s="34" t="str"/>
      <x:c r="F224" s="34" t="str"/>
      <x:c r="G224" s="34" t="str"/>
      <x:c r="H224" s="34" t="str"/>
      <x:c r="I224" s="38" t="str">
        <x:f>IF(H224="","",IF(H224="完全吻合",1,IF(H224="基本吻合",0.75,IF(H224="部分吻合",0.5,IF(H224="明显不符",0,"")))))</x:f>
      </x:c>
      <x:c r="J224" s="34" t="str"/>
      <x:c r="K224" s="34" t="str"/>
      <x:c r="L224" s="34" t="str"/>
      <x:c r="M224" s="34" t="str"/>
      <x:c r="N224" s="34" t="str"/>
      <x:c r="O224" s="34" t="str"/>
      <x:c r="P224" s="34" t="str"/>
      <x:c r="Q224" s="34" t="str"/>
      <x:c r="R224" s="34" t="str"/>
      <x:c r="S224" s="34" t="str"/>
      <x:c r="T224" s="34" t="str"/>
    </x:row>
    <x:row r="225">
      <x:c r="A225" s="34" t="str">
        <x:v>M5-EVAL-0220</x:v>
      </x:c>
      <x:c r="B225" s="34" t="str"/>
      <x:c r="C225" s="34" t="str"/>
      <x:c r="D225" s="34" t="str"/>
      <x:c r="E225" s="34" t="str"/>
      <x:c r="F225" s="34" t="str"/>
      <x:c r="G225" s="34" t="str"/>
      <x:c r="H225" s="34" t="str"/>
      <x:c r="I225" s="38" t="str">
        <x:f>IF(H225="","",IF(H225="完全吻合",1,IF(H225="基本吻合",0.75,IF(H225="部分吻合",0.5,IF(H225="明显不符",0,"")))))</x:f>
      </x:c>
      <x:c r="J225" s="34" t="str"/>
      <x:c r="K225" s="34" t="str"/>
      <x:c r="L225" s="34" t="str"/>
      <x:c r="M225" s="34" t="str"/>
      <x:c r="N225" s="34" t="str"/>
      <x:c r="O225" s="34" t="str"/>
      <x:c r="P225" s="34" t="str"/>
      <x:c r="Q225" s="34" t="str"/>
      <x:c r="R225" s="34" t="str"/>
      <x:c r="S225" s="34" t="str"/>
      <x:c r="T225" s="34" t="str"/>
    </x:row>
    <x:row r="226">
      <x:c r="A226" s="34" t="str">
        <x:v>M5-EVAL-0221</x:v>
      </x:c>
      <x:c r="B226" s="34" t="str"/>
      <x:c r="C226" s="34" t="str"/>
      <x:c r="D226" s="34" t="str"/>
      <x:c r="E226" s="34" t="str"/>
      <x:c r="F226" s="34" t="str"/>
      <x:c r="G226" s="34" t="str"/>
      <x:c r="H226" s="34" t="str"/>
      <x:c r="I226" s="38" t="str">
        <x:f>IF(H226="","",IF(H226="完全吻合",1,IF(H226="基本吻合",0.75,IF(H226="部分吻合",0.5,IF(H226="明显不符",0,"")))))</x:f>
      </x:c>
      <x:c r="J226" s="34" t="str"/>
      <x:c r="K226" s="34" t="str"/>
      <x:c r="L226" s="34" t="str"/>
      <x:c r="M226" s="34" t="str"/>
      <x:c r="N226" s="34" t="str"/>
      <x:c r="O226" s="34" t="str"/>
      <x:c r="P226" s="34" t="str"/>
      <x:c r="Q226" s="34" t="str"/>
      <x:c r="R226" s="34" t="str"/>
      <x:c r="S226" s="34" t="str"/>
      <x:c r="T226" s="34" t="str"/>
    </x:row>
    <x:row r="227">
      <x:c r="A227" s="34" t="str">
        <x:v>M5-EVAL-0222</x:v>
      </x:c>
      <x:c r="B227" s="34" t="str"/>
      <x:c r="C227" s="34" t="str"/>
      <x:c r="D227" s="34" t="str"/>
      <x:c r="E227" s="34" t="str"/>
      <x:c r="F227" s="34" t="str"/>
      <x:c r="G227" s="34" t="str"/>
      <x:c r="H227" s="34" t="str"/>
      <x:c r="I227" s="38" t="str">
        <x:f>IF(H227="","",IF(H227="完全吻合",1,IF(H227="基本吻合",0.75,IF(H227="部分吻合",0.5,IF(H227="明显不符",0,"")))))</x:f>
      </x:c>
      <x:c r="J227" s="34" t="str"/>
      <x:c r="K227" s="34" t="str"/>
      <x:c r="L227" s="34" t="str"/>
      <x:c r="M227" s="34" t="str"/>
      <x:c r="N227" s="34" t="str"/>
      <x:c r="O227" s="34" t="str"/>
      <x:c r="P227" s="34" t="str"/>
      <x:c r="Q227" s="34" t="str"/>
      <x:c r="R227" s="34" t="str"/>
      <x:c r="S227" s="34" t="str"/>
      <x:c r="T227" s="34" t="str"/>
    </x:row>
    <x:row r="228">
      <x:c r="A228" s="34" t="str">
        <x:v>M5-EVAL-0223</x:v>
      </x:c>
      <x:c r="B228" s="34" t="str"/>
      <x:c r="C228" s="34" t="str"/>
      <x:c r="D228" s="34" t="str"/>
      <x:c r="E228" s="34" t="str"/>
      <x:c r="F228" s="34" t="str"/>
      <x:c r="G228" s="34" t="str"/>
      <x:c r="H228" s="34" t="str"/>
      <x:c r="I228" s="38" t="str">
        <x:f>IF(H228="","",IF(H228="完全吻合",1,IF(H228="基本吻合",0.75,IF(H228="部分吻合",0.5,IF(H228="明显不符",0,"")))))</x:f>
      </x:c>
      <x:c r="J228" s="34" t="str"/>
      <x:c r="K228" s="34" t="str"/>
      <x:c r="L228" s="34" t="str"/>
      <x:c r="M228" s="34" t="str"/>
      <x:c r="N228" s="34" t="str"/>
      <x:c r="O228" s="34" t="str"/>
      <x:c r="P228" s="34" t="str"/>
      <x:c r="Q228" s="34" t="str"/>
      <x:c r="R228" s="34" t="str"/>
      <x:c r="S228" s="34" t="str"/>
      <x:c r="T228" s="34" t="str"/>
    </x:row>
    <x:row r="229">
      <x:c r="A229" s="34" t="str">
        <x:v>M5-EVAL-0224</x:v>
      </x:c>
      <x:c r="B229" s="34" t="str"/>
      <x:c r="C229" s="34" t="str"/>
      <x:c r="D229" s="34" t="str"/>
      <x:c r="E229" s="34" t="str"/>
      <x:c r="F229" s="34" t="str"/>
      <x:c r="G229" s="34" t="str"/>
      <x:c r="H229" s="34" t="str"/>
      <x:c r="I229" s="38" t="str">
        <x:f>IF(H229="","",IF(H229="完全吻合",1,IF(H229="基本吻合",0.75,IF(H229="部分吻合",0.5,IF(H229="明显不符",0,"")))))</x:f>
      </x:c>
      <x:c r="J229" s="34" t="str"/>
      <x:c r="K229" s="34" t="str"/>
      <x:c r="L229" s="34" t="str"/>
      <x:c r="M229" s="34" t="str"/>
      <x:c r="N229" s="34" t="str"/>
      <x:c r="O229" s="34" t="str"/>
      <x:c r="P229" s="34" t="str"/>
      <x:c r="Q229" s="34" t="str"/>
      <x:c r="R229" s="34" t="str"/>
      <x:c r="S229" s="34" t="str"/>
      <x:c r="T229" s="34" t="str"/>
    </x:row>
    <x:row r="230">
      <x:c r="A230" s="34" t="str">
        <x:v>M5-EVAL-0225</x:v>
      </x:c>
      <x:c r="B230" s="34" t="str"/>
      <x:c r="C230" s="34" t="str"/>
      <x:c r="D230" s="34" t="str"/>
      <x:c r="E230" s="34" t="str"/>
      <x:c r="F230" s="34" t="str"/>
      <x:c r="G230" s="34" t="str"/>
      <x:c r="H230" s="34" t="str"/>
      <x:c r="I230" s="38" t="str">
        <x:f>IF(H230="","",IF(H230="完全吻合",1,IF(H230="基本吻合",0.75,IF(H230="部分吻合",0.5,IF(H230="明显不符",0,"")))))</x:f>
      </x:c>
      <x:c r="J230" s="34" t="str"/>
      <x:c r="K230" s="34" t="str"/>
      <x:c r="L230" s="34" t="str"/>
      <x:c r="M230" s="34" t="str"/>
      <x:c r="N230" s="34" t="str"/>
      <x:c r="O230" s="34" t="str"/>
      <x:c r="P230" s="34" t="str"/>
      <x:c r="Q230" s="34" t="str"/>
      <x:c r="R230" s="34" t="str"/>
      <x:c r="S230" s="34" t="str"/>
      <x:c r="T230" s="34" t="str"/>
    </x:row>
    <x:row r="231">
      <x:c r="A231" s="34" t="str">
        <x:v>M5-EVAL-0226</x:v>
      </x:c>
      <x:c r="B231" s="34" t="str"/>
      <x:c r="C231" s="34" t="str"/>
      <x:c r="D231" s="34" t="str"/>
      <x:c r="E231" s="34" t="str"/>
      <x:c r="F231" s="34" t="str"/>
      <x:c r="G231" s="34" t="str"/>
      <x:c r="H231" s="34" t="str"/>
      <x:c r="I231" s="38" t="str">
        <x:f>IF(H231="","",IF(H231="完全吻合",1,IF(H231="基本吻合",0.75,IF(H231="部分吻合",0.5,IF(H231="明显不符",0,"")))))</x:f>
      </x:c>
      <x:c r="J231" s="34" t="str"/>
      <x:c r="K231" s="34" t="str"/>
      <x:c r="L231" s="34" t="str"/>
      <x:c r="M231" s="34" t="str"/>
      <x:c r="N231" s="34" t="str"/>
      <x:c r="O231" s="34" t="str"/>
      <x:c r="P231" s="34" t="str"/>
      <x:c r="Q231" s="34" t="str"/>
      <x:c r="R231" s="34" t="str"/>
      <x:c r="S231" s="34" t="str"/>
      <x:c r="T231" s="34" t="str"/>
    </x:row>
    <x:row r="232">
      <x:c r="A232" s="34" t="str">
        <x:v>M5-EVAL-0227</x:v>
      </x:c>
      <x:c r="B232" s="34" t="str"/>
      <x:c r="C232" s="34" t="str"/>
      <x:c r="D232" s="34" t="str"/>
      <x:c r="E232" s="34" t="str"/>
      <x:c r="F232" s="34" t="str"/>
      <x:c r="G232" s="34" t="str"/>
      <x:c r="H232" s="34" t="str"/>
      <x:c r="I232" s="38" t="str">
        <x:f>IF(H232="","",IF(H232="完全吻合",1,IF(H232="基本吻合",0.75,IF(H232="部分吻合",0.5,IF(H232="明显不符",0,"")))))</x:f>
      </x:c>
      <x:c r="J232" s="34" t="str"/>
      <x:c r="K232" s="34" t="str"/>
      <x:c r="L232" s="34" t="str"/>
      <x:c r="M232" s="34" t="str"/>
      <x:c r="N232" s="34" t="str"/>
      <x:c r="O232" s="34" t="str"/>
      <x:c r="P232" s="34" t="str"/>
      <x:c r="Q232" s="34" t="str"/>
      <x:c r="R232" s="34" t="str"/>
      <x:c r="S232" s="34" t="str"/>
      <x:c r="T232" s="34" t="str"/>
    </x:row>
    <x:row r="233">
      <x:c r="A233" s="34" t="str">
        <x:v>M5-EVAL-0228</x:v>
      </x:c>
      <x:c r="B233" s="34" t="str"/>
      <x:c r="C233" s="34" t="str"/>
      <x:c r="D233" s="34" t="str"/>
      <x:c r="E233" s="34" t="str"/>
      <x:c r="F233" s="34" t="str"/>
      <x:c r="G233" s="34" t="str"/>
      <x:c r="H233" s="34" t="str"/>
      <x:c r="I233" s="38" t="str">
        <x:f>IF(H233="","",IF(H233="完全吻合",1,IF(H233="基本吻合",0.75,IF(H233="部分吻合",0.5,IF(H233="明显不符",0,"")))))</x:f>
      </x:c>
      <x:c r="J233" s="34" t="str"/>
      <x:c r="K233" s="34" t="str"/>
      <x:c r="L233" s="34" t="str"/>
      <x:c r="M233" s="34" t="str"/>
      <x:c r="N233" s="34" t="str"/>
      <x:c r="O233" s="34" t="str"/>
      <x:c r="P233" s="34" t="str"/>
      <x:c r="Q233" s="34" t="str"/>
      <x:c r="R233" s="34" t="str"/>
      <x:c r="S233" s="34" t="str"/>
      <x:c r="T233" s="34" t="str"/>
    </x:row>
    <x:row r="234">
      <x:c r="A234" s="34" t="str">
        <x:v>M5-EVAL-0229</x:v>
      </x:c>
      <x:c r="B234" s="34" t="str"/>
      <x:c r="C234" s="34" t="str"/>
      <x:c r="D234" s="34" t="str"/>
      <x:c r="E234" s="34" t="str"/>
      <x:c r="F234" s="34" t="str"/>
      <x:c r="G234" s="34" t="str"/>
      <x:c r="H234" s="34" t="str"/>
      <x:c r="I234" s="38" t="str">
        <x:f>IF(H234="","",IF(H234="完全吻合",1,IF(H234="基本吻合",0.75,IF(H234="部分吻合",0.5,IF(H234="明显不符",0,"")))))</x:f>
      </x:c>
      <x:c r="J234" s="34" t="str"/>
      <x:c r="K234" s="34" t="str"/>
      <x:c r="L234" s="34" t="str"/>
      <x:c r="M234" s="34" t="str"/>
      <x:c r="N234" s="34" t="str"/>
      <x:c r="O234" s="34" t="str"/>
      <x:c r="P234" s="34" t="str"/>
      <x:c r="Q234" s="34" t="str"/>
      <x:c r="R234" s="34" t="str"/>
      <x:c r="S234" s="34" t="str"/>
      <x:c r="T234" s="34" t="str"/>
    </x:row>
    <x:row r="235">
      <x:c r="A235" s="34" t="str">
        <x:v>M5-EVAL-0230</x:v>
      </x:c>
      <x:c r="B235" s="34" t="str"/>
      <x:c r="C235" s="34" t="str"/>
      <x:c r="D235" s="34" t="str"/>
      <x:c r="E235" s="34" t="str"/>
      <x:c r="F235" s="34" t="str"/>
      <x:c r="G235" s="34" t="str"/>
      <x:c r="H235" s="34" t="str"/>
      <x:c r="I235" s="38" t="str">
        <x:f>IF(H235="","",IF(H235="完全吻合",1,IF(H235="基本吻合",0.75,IF(H235="部分吻合",0.5,IF(H235="明显不符",0,"")))))</x:f>
      </x:c>
      <x:c r="J235" s="34" t="str"/>
      <x:c r="K235" s="34" t="str"/>
      <x:c r="L235" s="34" t="str"/>
      <x:c r="M235" s="34" t="str"/>
      <x:c r="N235" s="34" t="str"/>
      <x:c r="O235" s="34" t="str"/>
      <x:c r="P235" s="34" t="str"/>
      <x:c r="Q235" s="34" t="str"/>
      <x:c r="R235" s="34" t="str"/>
      <x:c r="S235" s="34" t="str"/>
      <x:c r="T235" s="34" t="str"/>
    </x:row>
    <x:row r="236">
      <x:c r="A236" s="34" t="str">
        <x:v>M5-EVAL-0231</x:v>
      </x:c>
      <x:c r="B236" s="34" t="str"/>
      <x:c r="C236" s="34" t="str"/>
      <x:c r="D236" s="34" t="str"/>
      <x:c r="E236" s="34" t="str"/>
      <x:c r="F236" s="34" t="str"/>
      <x:c r="G236" s="34" t="str"/>
      <x:c r="H236" s="34" t="str"/>
      <x:c r="I236" s="38" t="str">
        <x:f>IF(H236="","",IF(H236="完全吻合",1,IF(H236="基本吻合",0.75,IF(H236="部分吻合",0.5,IF(H236="明显不符",0,"")))))</x:f>
      </x:c>
      <x:c r="J236" s="34" t="str"/>
      <x:c r="K236" s="34" t="str"/>
      <x:c r="L236" s="34" t="str"/>
      <x:c r="M236" s="34" t="str"/>
      <x:c r="N236" s="34" t="str"/>
      <x:c r="O236" s="34" t="str"/>
      <x:c r="P236" s="34" t="str"/>
      <x:c r="Q236" s="34" t="str"/>
      <x:c r="R236" s="34" t="str"/>
      <x:c r="S236" s="34" t="str"/>
      <x:c r="T236" s="34" t="str"/>
    </x:row>
    <x:row r="237">
      <x:c r="A237" s="34" t="str">
        <x:v>M5-EVAL-0232</x:v>
      </x:c>
      <x:c r="B237" s="34" t="str"/>
      <x:c r="C237" s="34" t="str"/>
      <x:c r="D237" s="34" t="str"/>
      <x:c r="E237" s="34" t="str"/>
      <x:c r="F237" s="34" t="str"/>
      <x:c r="G237" s="34" t="str"/>
      <x:c r="H237" s="34" t="str"/>
      <x:c r="I237" s="38" t="str">
        <x:f>IF(H237="","",IF(H237="完全吻合",1,IF(H237="基本吻合",0.75,IF(H237="部分吻合",0.5,IF(H237="明显不符",0,"")))))</x:f>
      </x:c>
      <x:c r="J237" s="34" t="str"/>
      <x:c r="K237" s="34" t="str"/>
      <x:c r="L237" s="34" t="str"/>
      <x:c r="M237" s="34" t="str"/>
      <x:c r="N237" s="34" t="str"/>
      <x:c r="O237" s="34" t="str"/>
      <x:c r="P237" s="34" t="str"/>
      <x:c r="Q237" s="34" t="str"/>
      <x:c r="R237" s="34" t="str"/>
      <x:c r="S237" s="34" t="str"/>
      <x:c r="T237" s="34" t="str"/>
    </x:row>
    <x:row r="238">
      <x:c r="A238" s="34" t="str">
        <x:v>M5-EVAL-0233</x:v>
      </x:c>
      <x:c r="B238" s="34" t="str"/>
      <x:c r="C238" s="34" t="str"/>
      <x:c r="D238" s="34" t="str"/>
      <x:c r="E238" s="34" t="str"/>
      <x:c r="F238" s="34" t="str"/>
      <x:c r="G238" s="34" t="str"/>
      <x:c r="H238" s="34" t="str"/>
      <x:c r="I238" s="38" t="str">
        <x:f>IF(H238="","",IF(H238="完全吻合",1,IF(H238="基本吻合",0.75,IF(H238="部分吻合",0.5,IF(H238="明显不符",0,"")))))</x:f>
      </x:c>
      <x:c r="J238" s="34" t="str"/>
      <x:c r="K238" s="34" t="str"/>
      <x:c r="L238" s="34" t="str"/>
      <x:c r="M238" s="34" t="str"/>
      <x:c r="N238" s="34" t="str"/>
      <x:c r="O238" s="34" t="str"/>
      <x:c r="P238" s="34" t="str"/>
      <x:c r="Q238" s="34" t="str"/>
      <x:c r="R238" s="34" t="str"/>
      <x:c r="S238" s="34" t="str"/>
      <x:c r="T238" s="34" t="str"/>
    </x:row>
    <x:row r="239">
      <x:c r="A239" s="34" t="str">
        <x:v>M5-EVAL-0234</x:v>
      </x:c>
      <x:c r="B239" s="34" t="str"/>
      <x:c r="C239" s="34" t="str"/>
      <x:c r="D239" s="34" t="str"/>
      <x:c r="E239" s="34" t="str"/>
      <x:c r="F239" s="34" t="str"/>
      <x:c r="G239" s="34" t="str"/>
      <x:c r="H239" s="34" t="str"/>
      <x:c r="I239" s="38" t="str">
        <x:f>IF(H239="","",IF(H239="完全吻合",1,IF(H239="基本吻合",0.75,IF(H239="部分吻合",0.5,IF(H239="明显不符",0,"")))))</x:f>
      </x:c>
      <x:c r="J239" s="34" t="str"/>
      <x:c r="K239" s="34" t="str"/>
      <x:c r="L239" s="34" t="str"/>
      <x:c r="M239" s="34" t="str"/>
      <x:c r="N239" s="34" t="str"/>
      <x:c r="O239" s="34" t="str"/>
      <x:c r="P239" s="34" t="str"/>
      <x:c r="Q239" s="34" t="str"/>
      <x:c r="R239" s="34" t="str"/>
      <x:c r="S239" s="34" t="str"/>
      <x:c r="T239" s="34" t="str"/>
    </x:row>
    <x:row r="240">
      <x:c r="A240" s="34" t="str">
        <x:v>M5-EVAL-0235</x:v>
      </x:c>
      <x:c r="B240" s="34" t="str"/>
      <x:c r="C240" s="34" t="str"/>
      <x:c r="D240" s="34" t="str"/>
      <x:c r="E240" s="34" t="str"/>
      <x:c r="F240" s="34" t="str"/>
      <x:c r="G240" s="34" t="str"/>
      <x:c r="H240" s="34" t="str"/>
      <x:c r="I240" s="38" t="str">
        <x:f>IF(H240="","",IF(H240="完全吻合",1,IF(H240="基本吻合",0.75,IF(H240="部分吻合",0.5,IF(H240="明显不符",0,"")))))</x:f>
      </x:c>
      <x:c r="J240" s="34" t="str"/>
      <x:c r="K240" s="34" t="str"/>
      <x:c r="L240" s="34" t="str"/>
      <x:c r="M240" s="34" t="str"/>
      <x:c r="N240" s="34" t="str"/>
      <x:c r="O240" s="34" t="str"/>
      <x:c r="P240" s="34" t="str"/>
      <x:c r="Q240" s="34" t="str"/>
      <x:c r="R240" s="34" t="str"/>
      <x:c r="S240" s="34" t="str"/>
      <x:c r="T240" s="34" t="str"/>
    </x:row>
    <x:row r="241">
      <x:c r="A241" s="34" t="str">
        <x:v>M5-EVAL-0236</x:v>
      </x:c>
      <x:c r="B241" s="34" t="str"/>
      <x:c r="C241" s="34" t="str"/>
      <x:c r="D241" s="34" t="str"/>
      <x:c r="E241" s="34" t="str"/>
      <x:c r="F241" s="34" t="str"/>
      <x:c r="G241" s="34" t="str"/>
      <x:c r="H241" s="34" t="str"/>
      <x:c r="I241" s="38" t="str">
        <x:f>IF(H241="","",IF(H241="完全吻合",1,IF(H241="基本吻合",0.75,IF(H241="部分吻合",0.5,IF(H241="明显不符",0,"")))))</x:f>
      </x:c>
      <x:c r="J241" s="34" t="str"/>
      <x:c r="K241" s="34" t="str"/>
      <x:c r="L241" s="34" t="str"/>
      <x:c r="M241" s="34" t="str"/>
      <x:c r="N241" s="34" t="str"/>
      <x:c r="O241" s="34" t="str"/>
      <x:c r="P241" s="34" t="str"/>
      <x:c r="Q241" s="34" t="str"/>
      <x:c r="R241" s="34" t="str"/>
      <x:c r="S241" s="34" t="str"/>
      <x:c r="T241" s="34" t="str"/>
    </x:row>
    <x:row r="242">
      <x:c r="A242" s="34" t="str">
        <x:v>M5-EVAL-0237</x:v>
      </x:c>
      <x:c r="B242" s="34" t="str"/>
      <x:c r="C242" s="34" t="str"/>
      <x:c r="D242" s="34" t="str"/>
      <x:c r="E242" s="34" t="str"/>
      <x:c r="F242" s="34" t="str"/>
      <x:c r="G242" s="34" t="str"/>
      <x:c r="H242" s="34" t="str"/>
      <x:c r="I242" s="38" t="str">
        <x:f>IF(H242="","",IF(H242="完全吻合",1,IF(H242="基本吻合",0.75,IF(H242="部分吻合",0.5,IF(H242="明显不符",0,"")))))</x:f>
      </x:c>
      <x:c r="J242" s="34" t="str"/>
      <x:c r="K242" s="34" t="str"/>
      <x:c r="L242" s="34" t="str"/>
      <x:c r="M242" s="34" t="str"/>
      <x:c r="N242" s="34" t="str"/>
      <x:c r="O242" s="34" t="str"/>
      <x:c r="P242" s="34" t="str"/>
      <x:c r="Q242" s="34" t="str"/>
      <x:c r="R242" s="34" t="str"/>
      <x:c r="S242" s="34" t="str"/>
      <x:c r="T242" s="34" t="str"/>
    </x:row>
    <x:row r="243">
      <x:c r="A243" s="34" t="str">
        <x:v>M5-EVAL-0238</x:v>
      </x:c>
      <x:c r="B243" s="34" t="str"/>
      <x:c r="C243" s="34" t="str"/>
      <x:c r="D243" s="34" t="str"/>
      <x:c r="E243" s="34" t="str"/>
      <x:c r="F243" s="34" t="str"/>
      <x:c r="G243" s="34" t="str"/>
      <x:c r="H243" s="34" t="str"/>
      <x:c r="I243" s="38" t="str">
        <x:f>IF(H243="","",IF(H243="完全吻合",1,IF(H243="基本吻合",0.75,IF(H243="部分吻合",0.5,IF(H243="明显不符",0,"")))))</x:f>
      </x:c>
      <x:c r="J243" s="34" t="str"/>
      <x:c r="K243" s="34" t="str"/>
      <x:c r="L243" s="34" t="str"/>
      <x:c r="M243" s="34" t="str"/>
      <x:c r="N243" s="34" t="str"/>
      <x:c r="O243" s="34" t="str"/>
      <x:c r="P243" s="34" t="str"/>
      <x:c r="Q243" s="34" t="str"/>
      <x:c r="R243" s="34" t="str"/>
      <x:c r="S243" s="34" t="str"/>
      <x:c r="T243" s="34" t="str"/>
    </x:row>
    <x:row r="244">
      <x:c r="A244" s="34" t="str">
        <x:v>M5-EVAL-0239</x:v>
      </x:c>
      <x:c r="B244" s="34" t="str"/>
      <x:c r="C244" s="34" t="str"/>
      <x:c r="D244" s="34" t="str"/>
      <x:c r="E244" s="34" t="str"/>
      <x:c r="F244" s="34" t="str"/>
      <x:c r="G244" s="34" t="str"/>
      <x:c r="H244" s="34" t="str"/>
      <x:c r="I244" s="38" t="str">
        <x:f>IF(H244="","",IF(H244="完全吻合",1,IF(H244="基本吻合",0.75,IF(H244="部分吻合",0.5,IF(H244="明显不符",0,"")))))</x:f>
      </x:c>
      <x:c r="J244" s="34" t="str"/>
      <x:c r="K244" s="34" t="str"/>
      <x:c r="L244" s="34" t="str"/>
      <x:c r="M244" s="34" t="str"/>
      <x:c r="N244" s="34" t="str"/>
      <x:c r="O244" s="34" t="str"/>
      <x:c r="P244" s="34" t="str"/>
      <x:c r="Q244" s="34" t="str"/>
      <x:c r="R244" s="34" t="str"/>
      <x:c r="S244" s="34" t="str"/>
      <x:c r="T244" s="34" t="str"/>
    </x:row>
    <x:row r="245">
      <x:c r="A245" s="34" t="str">
        <x:v>M5-EVAL-0240</x:v>
      </x:c>
      <x:c r="B245" s="34" t="str"/>
      <x:c r="C245" s="34" t="str"/>
      <x:c r="D245" s="34" t="str"/>
      <x:c r="E245" s="34" t="str"/>
      <x:c r="F245" s="34" t="str"/>
      <x:c r="G245" s="34" t="str"/>
      <x:c r="H245" s="34" t="str"/>
      <x:c r="I245" s="38" t="str">
        <x:f>IF(H245="","",IF(H245="完全吻合",1,IF(H245="基本吻合",0.75,IF(H245="部分吻合",0.5,IF(H245="明显不符",0,"")))))</x:f>
      </x:c>
      <x:c r="J245" s="34" t="str"/>
      <x:c r="K245" s="34" t="str"/>
      <x:c r="L245" s="34" t="str"/>
      <x:c r="M245" s="34" t="str"/>
      <x:c r="N245" s="34" t="str"/>
      <x:c r="O245" s="34" t="str"/>
      <x:c r="P245" s="34" t="str"/>
      <x:c r="Q245" s="34" t="str"/>
      <x:c r="R245" s="34" t="str"/>
      <x:c r="S245" s="34" t="str"/>
      <x:c r="T245" s="34" t="str"/>
    </x:row>
    <x:row r="246">
      <x:c r="A246" s="34" t="str">
        <x:v>M5-EVAL-0241</x:v>
      </x:c>
      <x:c r="B246" s="34" t="str"/>
      <x:c r="C246" s="34" t="str"/>
      <x:c r="D246" s="34" t="str"/>
      <x:c r="E246" s="34" t="str"/>
      <x:c r="F246" s="34" t="str"/>
      <x:c r="G246" s="34" t="str"/>
      <x:c r="H246" s="34" t="str"/>
      <x:c r="I246" s="38" t="str">
        <x:f>IF(H246="","",IF(H246="完全吻合",1,IF(H246="基本吻合",0.75,IF(H246="部分吻合",0.5,IF(H246="明显不符",0,"")))))</x:f>
      </x:c>
      <x:c r="J246" s="34" t="str"/>
      <x:c r="K246" s="34" t="str"/>
      <x:c r="L246" s="34" t="str"/>
      <x:c r="M246" s="34" t="str"/>
      <x:c r="N246" s="34" t="str"/>
      <x:c r="O246" s="34" t="str"/>
      <x:c r="P246" s="34" t="str"/>
      <x:c r="Q246" s="34" t="str"/>
      <x:c r="R246" s="34" t="str"/>
      <x:c r="S246" s="34" t="str"/>
      <x:c r="T246" s="34" t="str"/>
    </x:row>
    <x:row r="247">
      <x:c r="A247" s="34" t="str">
        <x:v>M5-EVAL-0242</x:v>
      </x:c>
      <x:c r="B247" s="34" t="str"/>
      <x:c r="C247" s="34" t="str"/>
      <x:c r="D247" s="34" t="str"/>
      <x:c r="E247" s="34" t="str"/>
      <x:c r="F247" s="34" t="str"/>
      <x:c r="G247" s="34" t="str"/>
      <x:c r="H247" s="34" t="str"/>
      <x:c r="I247" s="38" t="str">
        <x:f>IF(H247="","",IF(H247="完全吻合",1,IF(H247="基本吻合",0.75,IF(H247="部分吻合",0.5,IF(H247="明显不符",0,"")))))</x:f>
      </x:c>
      <x:c r="J247" s="34" t="str"/>
      <x:c r="K247" s="34" t="str"/>
      <x:c r="L247" s="34" t="str"/>
      <x:c r="M247" s="34" t="str"/>
      <x:c r="N247" s="34" t="str"/>
      <x:c r="O247" s="34" t="str"/>
      <x:c r="P247" s="34" t="str"/>
      <x:c r="Q247" s="34" t="str"/>
      <x:c r="R247" s="34" t="str"/>
      <x:c r="S247" s="34" t="str"/>
      <x:c r="T247" s="34" t="str"/>
    </x:row>
    <x:row r="248">
      <x:c r="A248" s="34" t="str">
        <x:v>M5-EVAL-0243</x:v>
      </x:c>
      <x:c r="B248" s="34" t="str"/>
      <x:c r="C248" s="34" t="str"/>
      <x:c r="D248" s="34" t="str"/>
      <x:c r="E248" s="34" t="str"/>
      <x:c r="F248" s="34" t="str"/>
      <x:c r="G248" s="34" t="str"/>
      <x:c r="H248" s="34" t="str"/>
      <x:c r="I248" s="38" t="str">
        <x:f>IF(H248="","",IF(H248="完全吻合",1,IF(H248="基本吻合",0.75,IF(H248="部分吻合",0.5,IF(H248="明显不符",0,"")))))</x:f>
      </x:c>
      <x:c r="J248" s="34" t="str"/>
      <x:c r="K248" s="34" t="str"/>
      <x:c r="L248" s="34" t="str"/>
      <x:c r="M248" s="34" t="str"/>
      <x:c r="N248" s="34" t="str"/>
      <x:c r="O248" s="34" t="str"/>
      <x:c r="P248" s="34" t="str"/>
      <x:c r="Q248" s="34" t="str"/>
      <x:c r="R248" s="34" t="str"/>
      <x:c r="S248" s="34" t="str"/>
      <x:c r="T248" s="34" t="str"/>
    </x:row>
    <x:row r="249">
      <x:c r="A249" s="34" t="str">
        <x:v>M5-EVAL-0244</x:v>
      </x:c>
      <x:c r="B249" s="34" t="str"/>
      <x:c r="C249" s="34" t="str"/>
      <x:c r="D249" s="34" t="str"/>
      <x:c r="E249" s="34" t="str"/>
      <x:c r="F249" s="34" t="str"/>
      <x:c r="G249" s="34" t="str"/>
      <x:c r="H249" s="34" t="str"/>
      <x:c r="I249" s="38" t="str">
        <x:f>IF(H249="","",IF(H249="完全吻合",1,IF(H249="基本吻合",0.75,IF(H249="部分吻合",0.5,IF(H249="明显不符",0,"")))))</x:f>
      </x:c>
      <x:c r="J249" s="34" t="str"/>
      <x:c r="K249" s="34" t="str"/>
      <x:c r="L249" s="34" t="str"/>
      <x:c r="M249" s="34" t="str"/>
      <x:c r="N249" s="34" t="str"/>
      <x:c r="O249" s="34" t="str"/>
      <x:c r="P249" s="34" t="str"/>
      <x:c r="Q249" s="34" t="str"/>
      <x:c r="R249" s="34" t="str"/>
      <x:c r="S249" s="34" t="str"/>
      <x:c r="T249" s="34" t="str"/>
    </x:row>
    <x:row r="250">
      <x:c r="A250" s="34" t="str">
        <x:v>M5-EVAL-0245</x:v>
      </x:c>
      <x:c r="B250" s="34" t="str"/>
      <x:c r="C250" s="34" t="str"/>
      <x:c r="D250" s="34" t="str"/>
      <x:c r="E250" s="34" t="str"/>
      <x:c r="F250" s="34" t="str"/>
      <x:c r="G250" s="34" t="str"/>
      <x:c r="H250" s="34" t="str"/>
      <x:c r="I250" s="38" t="str">
        <x:f>IF(H250="","",IF(H250="完全吻合",1,IF(H250="基本吻合",0.75,IF(H250="部分吻合",0.5,IF(H250="明显不符",0,"")))))</x:f>
      </x:c>
      <x:c r="J250" s="34" t="str"/>
      <x:c r="K250" s="34" t="str"/>
      <x:c r="L250" s="34" t="str"/>
      <x:c r="M250" s="34" t="str"/>
      <x:c r="N250" s="34" t="str"/>
      <x:c r="O250" s="34" t="str"/>
      <x:c r="P250" s="34" t="str"/>
      <x:c r="Q250" s="34" t="str"/>
      <x:c r="R250" s="34" t="str"/>
      <x:c r="S250" s="34" t="str"/>
      <x:c r="T250" s="34" t="str"/>
    </x:row>
    <x:row r="251">
      <x:c r="A251" s="34" t="str">
        <x:v>M5-EVAL-0246</x:v>
      </x:c>
      <x:c r="B251" s="34" t="str"/>
      <x:c r="C251" s="34" t="str"/>
      <x:c r="D251" s="34" t="str"/>
      <x:c r="E251" s="34" t="str"/>
      <x:c r="F251" s="34" t="str"/>
      <x:c r="G251" s="34" t="str"/>
      <x:c r="H251" s="34" t="str"/>
      <x:c r="I251" s="38" t="str">
        <x:f>IF(H251="","",IF(H251="完全吻合",1,IF(H251="基本吻合",0.75,IF(H251="部分吻合",0.5,IF(H251="明显不符",0,"")))))</x:f>
      </x:c>
      <x:c r="J251" s="34" t="str"/>
      <x:c r="K251" s="34" t="str"/>
      <x:c r="L251" s="34" t="str"/>
      <x:c r="M251" s="34" t="str"/>
      <x:c r="N251" s="34" t="str"/>
      <x:c r="O251" s="34" t="str"/>
      <x:c r="P251" s="34" t="str"/>
      <x:c r="Q251" s="34" t="str"/>
      <x:c r="R251" s="34" t="str"/>
      <x:c r="S251" s="34" t="str"/>
      <x:c r="T251" s="34" t="str"/>
    </x:row>
    <x:row r="252">
      <x:c r="A252" s="34" t="str">
        <x:v>M5-EVAL-0247</x:v>
      </x:c>
      <x:c r="B252" s="34" t="str"/>
      <x:c r="C252" s="34" t="str"/>
      <x:c r="D252" s="34" t="str"/>
      <x:c r="E252" s="34" t="str"/>
      <x:c r="F252" s="34" t="str"/>
      <x:c r="G252" s="34" t="str"/>
      <x:c r="H252" s="34" t="str"/>
      <x:c r="I252" s="38" t="str">
        <x:f>IF(H252="","",IF(H252="完全吻合",1,IF(H252="基本吻合",0.75,IF(H252="部分吻合",0.5,IF(H252="明显不符",0,"")))))</x:f>
      </x:c>
      <x:c r="J252" s="34" t="str"/>
      <x:c r="K252" s="34" t="str"/>
      <x:c r="L252" s="34" t="str"/>
      <x:c r="M252" s="34" t="str"/>
      <x:c r="N252" s="34" t="str"/>
      <x:c r="O252" s="34" t="str"/>
      <x:c r="P252" s="34" t="str"/>
      <x:c r="Q252" s="34" t="str"/>
      <x:c r="R252" s="34" t="str"/>
      <x:c r="S252" s="34" t="str"/>
      <x:c r="T252" s="34" t="str"/>
    </x:row>
    <x:row r="253">
      <x:c r="A253" s="34" t="str">
        <x:v>M5-EVAL-0248</x:v>
      </x:c>
      <x:c r="B253" s="34" t="str"/>
      <x:c r="C253" s="34" t="str"/>
      <x:c r="D253" s="34" t="str"/>
      <x:c r="E253" s="34" t="str"/>
      <x:c r="F253" s="34" t="str"/>
      <x:c r="G253" s="34" t="str"/>
      <x:c r="H253" s="34" t="str"/>
      <x:c r="I253" s="38" t="str">
        <x:f>IF(H253="","",IF(H253="完全吻合",1,IF(H253="基本吻合",0.75,IF(H253="部分吻合",0.5,IF(H253="明显不符",0,"")))))</x:f>
      </x:c>
      <x:c r="J253" s="34" t="str"/>
      <x:c r="K253" s="34" t="str"/>
      <x:c r="L253" s="34" t="str"/>
      <x:c r="M253" s="34" t="str"/>
      <x:c r="N253" s="34" t="str"/>
      <x:c r="O253" s="34" t="str"/>
      <x:c r="P253" s="34" t="str"/>
      <x:c r="Q253" s="34" t="str"/>
      <x:c r="R253" s="34" t="str"/>
      <x:c r="S253" s="34" t="str"/>
      <x:c r="T253" s="34" t="str"/>
    </x:row>
    <x:row r="254">
      <x:c r="A254" s="34" t="str">
        <x:v>M5-EVAL-0249</x:v>
      </x:c>
      <x:c r="B254" s="34" t="str"/>
      <x:c r="C254" s="34" t="str"/>
      <x:c r="D254" s="34" t="str"/>
      <x:c r="E254" s="34" t="str"/>
      <x:c r="F254" s="34" t="str"/>
      <x:c r="G254" s="34" t="str"/>
      <x:c r="H254" s="34" t="str"/>
      <x:c r="I254" s="38" t="str">
        <x:f>IF(H254="","",IF(H254="完全吻合",1,IF(H254="基本吻合",0.75,IF(H254="部分吻合",0.5,IF(H254="明显不符",0,"")))))</x:f>
      </x:c>
      <x:c r="J254" s="34" t="str"/>
      <x:c r="K254" s="34" t="str"/>
      <x:c r="L254" s="34" t="str"/>
      <x:c r="M254" s="34" t="str"/>
      <x:c r="N254" s="34" t="str"/>
      <x:c r="O254" s="34" t="str"/>
      <x:c r="P254" s="34" t="str"/>
      <x:c r="Q254" s="34" t="str"/>
      <x:c r="R254" s="34" t="str"/>
      <x:c r="S254" s="34" t="str"/>
      <x:c r="T254" s="34" t="str"/>
    </x:row>
    <x:row r="255">
      <x:c r="A255" s="34" t="str">
        <x:v>M5-EVAL-0250</x:v>
      </x:c>
      <x:c r="B255" s="34" t="str"/>
      <x:c r="C255" s="34" t="str"/>
      <x:c r="D255" s="34" t="str"/>
      <x:c r="E255" s="34" t="str"/>
      <x:c r="F255" s="34" t="str"/>
      <x:c r="G255" s="34" t="str"/>
      <x:c r="H255" s="34" t="str"/>
      <x:c r="I255" s="38" t="str">
        <x:f>IF(H255="","",IF(H255="完全吻合",1,IF(H255="基本吻合",0.75,IF(H255="部分吻合",0.5,IF(H255="明显不符",0,"")))))</x:f>
      </x:c>
      <x:c r="J255" s="34" t="str"/>
      <x:c r="K255" s="34" t="str"/>
      <x:c r="L255" s="34" t="str"/>
      <x:c r="M255" s="34" t="str"/>
      <x:c r="N255" s="34" t="str"/>
      <x:c r="O255" s="34" t="str"/>
      <x:c r="P255" s="34" t="str"/>
      <x:c r="Q255" s="34" t="str"/>
      <x:c r="R255" s="34" t="str"/>
      <x:c r="S255" s="34" t="str"/>
      <x:c r="T255" s="34" t="str"/>
    </x:row>
    <x:row r="256">
      <x:c r="A256" s="34" t="str">
        <x:v>M5-EVAL-0251</x:v>
      </x:c>
      <x:c r="B256" s="34" t="str"/>
      <x:c r="C256" s="34" t="str"/>
      <x:c r="D256" s="34" t="str"/>
      <x:c r="E256" s="34" t="str"/>
      <x:c r="F256" s="34" t="str"/>
      <x:c r="G256" s="34" t="str"/>
      <x:c r="H256" s="34" t="str"/>
      <x:c r="I256" s="38" t="str">
        <x:f>IF(H256="","",IF(H256="完全吻合",1,IF(H256="基本吻合",0.75,IF(H256="部分吻合",0.5,IF(H256="明显不符",0,"")))))</x:f>
      </x:c>
      <x:c r="J256" s="34" t="str"/>
      <x:c r="K256" s="34" t="str"/>
      <x:c r="L256" s="34" t="str"/>
      <x:c r="M256" s="34" t="str"/>
      <x:c r="N256" s="34" t="str"/>
      <x:c r="O256" s="34" t="str"/>
      <x:c r="P256" s="34" t="str"/>
      <x:c r="Q256" s="34" t="str"/>
      <x:c r="R256" s="34" t="str"/>
      <x:c r="S256" s="34" t="str"/>
      <x:c r="T256" s="34" t="str"/>
    </x:row>
    <x:row r="257">
      <x:c r="A257" s="34" t="str">
        <x:v>M5-EVAL-0252</x:v>
      </x:c>
      <x:c r="B257" s="34" t="str"/>
      <x:c r="C257" s="34" t="str"/>
      <x:c r="D257" s="34" t="str"/>
      <x:c r="E257" s="34" t="str"/>
      <x:c r="F257" s="34" t="str"/>
      <x:c r="G257" s="34" t="str"/>
      <x:c r="H257" s="34" t="str"/>
      <x:c r="I257" s="38" t="str">
        <x:f>IF(H257="","",IF(H257="完全吻合",1,IF(H257="基本吻合",0.75,IF(H257="部分吻合",0.5,IF(H257="明显不符",0,"")))))</x:f>
      </x:c>
      <x:c r="J257" s="34" t="str"/>
      <x:c r="K257" s="34" t="str"/>
      <x:c r="L257" s="34" t="str"/>
      <x:c r="M257" s="34" t="str"/>
      <x:c r="N257" s="34" t="str"/>
      <x:c r="O257" s="34" t="str"/>
      <x:c r="P257" s="34" t="str"/>
      <x:c r="Q257" s="34" t="str"/>
      <x:c r="R257" s="34" t="str"/>
      <x:c r="S257" s="34" t="str"/>
      <x:c r="T257" s="34" t="str"/>
    </x:row>
    <x:row r="258">
      <x:c r="A258" s="34" t="str">
        <x:v>M5-EVAL-0253</x:v>
      </x:c>
      <x:c r="B258" s="34" t="str"/>
      <x:c r="C258" s="34" t="str"/>
      <x:c r="D258" s="34" t="str"/>
      <x:c r="E258" s="34" t="str"/>
      <x:c r="F258" s="34" t="str"/>
      <x:c r="G258" s="34" t="str"/>
      <x:c r="H258" s="34" t="str"/>
      <x:c r="I258" s="38" t="str">
        <x:f>IF(H258="","",IF(H258="完全吻合",1,IF(H258="基本吻合",0.75,IF(H258="部分吻合",0.5,IF(H258="明显不符",0,"")))))</x:f>
      </x:c>
      <x:c r="J258" s="34" t="str"/>
      <x:c r="K258" s="34" t="str"/>
      <x:c r="L258" s="34" t="str"/>
      <x:c r="M258" s="34" t="str"/>
      <x:c r="N258" s="34" t="str"/>
      <x:c r="O258" s="34" t="str"/>
      <x:c r="P258" s="34" t="str"/>
      <x:c r="Q258" s="34" t="str"/>
      <x:c r="R258" s="34" t="str"/>
      <x:c r="S258" s="34" t="str"/>
      <x:c r="T258" s="34" t="str"/>
    </x:row>
    <x:row r="259">
      <x:c r="A259" s="34" t="str">
        <x:v>M5-EVAL-0254</x:v>
      </x:c>
      <x:c r="B259" s="34" t="str"/>
      <x:c r="C259" s="34" t="str"/>
      <x:c r="D259" s="34" t="str"/>
      <x:c r="E259" s="34" t="str"/>
      <x:c r="F259" s="34" t="str"/>
      <x:c r="G259" s="34" t="str"/>
      <x:c r="H259" s="34" t="str"/>
      <x:c r="I259" s="38" t="str">
        <x:f>IF(H259="","",IF(H259="完全吻合",1,IF(H259="基本吻合",0.75,IF(H259="部分吻合",0.5,IF(H259="明显不符",0,"")))))</x:f>
      </x:c>
      <x:c r="J259" s="34" t="str"/>
      <x:c r="K259" s="34" t="str"/>
      <x:c r="L259" s="34" t="str"/>
      <x:c r="M259" s="34" t="str"/>
      <x:c r="N259" s="34" t="str"/>
      <x:c r="O259" s="34" t="str"/>
      <x:c r="P259" s="34" t="str"/>
      <x:c r="Q259" s="34" t="str"/>
      <x:c r="R259" s="34" t="str"/>
      <x:c r="S259" s="34" t="str"/>
      <x:c r="T259" s="34" t="str"/>
    </x:row>
    <x:row r="260">
      <x:c r="A260" s="34" t="str">
        <x:v>M5-EVAL-0255</x:v>
      </x:c>
      <x:c r="B260" s="34" t="str"/>
      <x:c r="C260" s="34" t="str"/>
      <x:c r="D260" s="34" t="str"/>
      <x:c r="E260" s="34" t="str"/>
      <x:c r="F260" s="34" t="str"/>
      <x:c r="G260" s="34" t="str"/>
      <x:c r="H260" s="34" t="str"/>
      <x:c r="I260" s="38" t="str">
        <x:f>IF(H260="","",IF(H260="完全吻合",1,IF(H260="基本吻合",0.75,IF(H260="部分吻合",0.5,IF(H260="明显不符",0,"")))))</x:f>
      </x:c>
      <x:c r="J260" s="34" t="str"/>
      <x:c r="K260" s="34" t="str"/>
      <x:c r="L260" s="34" t="str"/>
      <x:c r="M260" s="34" t="str"/>
      <x:c r="N260" s="34" t="str"/>
      <x:c r="O260" s="34" t="str"/>
      <x:c r="P260" s="34" t="str"/>
      <x:c r="Q260" s="34" t="str"/>
      <x:c r="R260" s="34" t="str"/>
      <x:c r="S260" s="34" t="str"/>
      <x:c r="T260" s="34" t="str"/>
    </x:row>
    <x:row r="261">
      <x:c r="A261" s="34" t="str">
        <x:v>M5-EVAL-0256</x:v>
      </x:c>
      <x:c r="B261" s="34" t="str"/>
      <x:c r="C261" s="34" t="str"/>
      <x:c r="D261" s="34" t="str"/>
      <x:c r="E261" s="34" t="str"/>
      <x:c r="F261" s="34" t="str"/>
      <x:c r="G261" s="34" t="str"/>
      <x:c r="H261" s="34" t="str"/>
      <x:c r="I261" s="38" t="str">
        <x:f>IF(H261="","",IF(H261="完全吻合",1,IF(H261="基本吻合",0.75,IF(H261="部分吻合",0.5,IF(H261="明显不符",0,"")))))</x:f>
      </x:c>
      <x:c r="J261" s="34" t="str"/>
      <x:c r="K261" s="34" t="str"/>
      <x:c r="L261" s="34" t="str"/>
      <x:c r="M261" s="34" t="str"/>
      <x:c r="N261" s="34" t="str"/>
      <x:c r="O261" s="34" t="str"/>
      <x:c r="P261" s="34" t="str"/>
      <x:c r="Q261" s="34" t="str"/>
      <x:c r="R261" s="34" t="str"/>
      <x:c r="S261" s="34" t="str"/>
      <x:c r="T261" s="34" t="str"/>
    </x:row>
    <x:row r="262">
      <x:c r="A262" s="34" t="str">
        <x:v>M5-EVAL-0257</x:v>
      </x:c>
      <x:c r="B262" s="34" t="str"/>
      <x:c r="C262" s="34" t="str"/>
      <x:c r="D262" s="34" t="str"/>
      <x:c r="E262" s="34" t="str"/>
      <x:c r="F262" s="34" t="str"/>
      <x:c r="G262" s="34" t="str"/>
      <x:c r="H262" s="34" t="str"/>
      <x:c r="I262" s="38" t="str">
        <x:f>IF(H262="","",IF(H262="完全吻合",1,IF(H262="基本吻合",0.75,IF(H262="部分吻合",0.5,IF(H262="明显不符",0,"")))))</x:f>
      </x:c>
      <x:c r="J262" s="34" t="str"/>
      <x:c r="K262" s="34" t="str"/>
      <x:c r="L262" s="34" t="str"/>
      <x:c r="M262" s="34" t="str"/>
      <x:c r="N262" s="34" t="str"/>
      <x:c r="O262" s="34" t="str"/>
      <x:c r="P262" s="34" t="str"/>
      <x:c r="Q262" s="34" t="str"/>
      <x:c r="R262" s="34" t="str"/>
      <x:c r="S262" s="34" t="str"/>
      <x:c r="T262" s="34" t="str"/>
    </x:row>
    <x:row r="263">
      <x:c r="A263" s="34" t="str">
        <x:v>M5-EVAL-0258</x:v>
      </x:c>
      <x:c r="B263" s="34" t="str"/>
      <x:c r="C263" s="34" t="str"/>
      <x:c r="D263" s="34" t="str"/>
      <x:c r="E263" s="34" t="str"/>
      <x:c r="F263" s="34" t="str"/>
      <x:c r="G263" s="34" t="str"/>
      <x:c r="H263" s="34" t="str"/>
      <x:c r="I263" s="38" t="str">
        <x:f>IF(H263="","",IF(H263="完全吻合",1,IF(H263="基本吻合",0.75,IF(H263="部分吻合",0.5,IF(H263="明显不符",0,"")))))</x:f>
      </x:c>
      <x:c r="J263" s="34" t="str"/>
      <x:c r="K263" s="34" t="str"/>
      <x:c r="L263" s="34" t="str"/>
      <x:c r="M263" s="34" t="str"/>
      <x:c r="N263" s="34" t="str"/>
      <x:c r="O263" s="34" t="str"/>
      <x:c r="P263" s="34" t="str"/>
      <x:c r="Q263" s="34" t="str"/>
      <x:c r="R263" s="34" t="str"/>
      <x:c r="S263" s="34" t="str"/>
      <x:c r="T263" s="34" t="str"/>
    </x:row>
    <x:row r="264">
      <x:c r="A264" s="34" t="str">
        <x:v>M5-EVAL-0259</x:v>
      </x:c>
      <x:c r="B264" s="34" t="str"/>
      <x:c r="C264" s="34" t="str"/>
      <x:c r="D264" s="34" t="str"/>
      <x:c r="E264" s="34" t="str"/>
      <x:c r="F264" s="34" t="str"/>
      <x:c r="G264" s="34" t="str"/>
      <x:c r="H264" s="34" t="str"/>
      <x:c r="I264" s="38" t="str">
        <x:f>IF(H264="","",IF(H264="完全吻合",1,IF(H264="基本吻合",0.75,IF(H264="部分吻合",0.5,IF(H264="明显不符",0,"")))))</x:f>
      </x:c>
      <x:c r="J264" s="34" t="str"/>
      <x:c r="K264" s="34" t="str"/>
      <x:c r="L264" s="34" t="str"/>
      <x:c r="M264" s="34" t="str"/>
      <x:c r="N264" s="34" t="str"/>
      <x:c r="O264" s="34" t="str"/>
      <x:c r="P264" s="34" t="str"/>
      <x:c r="Q264" s="34" t="str"/>
      <x:c r="R264" s="34" t="str"/>
      <x:c r="S264" s="34" t="str"/>
      <x:c r="T264" s="34" t="str"/>
    </x:row>
    <x:row r="265">
      <x:c r="A265" s="34" t="str">
        <x:v>M5-EVAL-0260</x:v>
      </x:c>
      <x:c r="B265" s="34" t="str"/>
      <x:c r="C265" s="34" t="str"/>
      <x:c r="D265" s="34" t="str"/>
      <x:c r="E265" s="34" t="str"/>
      <x:c r="F265" s="34" t="str"/>
      <x:c r="G265" s="34" t="str"/>
      <x:c r="H265" s="34" t="str"/>
      <x:c r="I265" s="38" t="str">
        <x:f>IF(H265="","",IF(H265="完全吻合",1,IF(H265="基本吻合",0.75,IF(H265="部分吻合",0.5,IF(H265="明显不符",0,"")))))</x:f>
      </x:c>
      <x:c r="J265" s="34" t="str"/>
      <x:c r="K265" s="34" t="str"/>
      <x:c r="L265" s="34" t="str"/>
      <x:c r="M265" s="34" t="str"/>
      <x:c r="N265" s="34" t="str"/>
      <x:c r="O265" s="34" t="str"/>
      <x:c r="P265" s="34" t="str"/>
      <x:c r="Q265" s="34" t="str"/>
      <x:c r="R265" s="34" t="str"/>
      <x:c r="S265" s="34" t="str"/>
      <x:c r="T265" s="34" t="str"/>
    </x:row>
    <x:row r="266">
      <x:c r="A266" s="34" t="str">
        <x:v>M5-EVAL-0261</x:v>
      </x:c>
      <x:c r="B266" s="34" t="str"/>
      <x:c r="C266" s="34" t="str"/>
      <x:c r="D266" s="34" t="str"/>
      <x:c r="E266" s="34" t="str"/>
      <x:c r="F266" s="34" t="str"/>
      <x:c r="G266" s="34" t="str"/>
      <x:c r="H266" s="34" t="str"/>
      <x:c r="I266" s="38" t="str">
        <x:f>IF(H266="","",IF(H266="完全吻合",1,IF(H266="基本吻合",0.75,IF(H266="部分吻合",0.5,IF(H266="明显不符",0,"")))))</x:f>
      </x:c>
      <x:c r="J266" s="34" t="str"/>
      <x:c r="K266" s="34" t="str"/>
      <x:c r="L266" s="34" t="str"/>
      <x:c r="M266" s="34" t="str"/>
      <x:c r="N266" s="34" t="str"/>
      <x:c r="O266" s="34" t="str"/>
      <x:c r="P266" s="34" t="str"/>
      <x:c r="Q266" s="34" t="str"/>
      <x:c r="R266" s="34" t="str"/>
      <x:c r="S266" s="34" t="str"/>
      <x:c r="T266" s="34" t="str"/>
    </x:row>
    <x:row r="267">
      <x:c r="A267" s="34" t="str">
        <x:v>M5-EVAL-0262</x:v>
      </x:c>
      <x:c r="B267" s="34" t="str"/>
      <x:c r="C267" s="34" t="str"/>
      <x:c r="D267" s="34" t="str"/>
      <x:c r="E267" s="34" t="str"/>
      <x:c r="F267" s="34" t="str"/>
      <x:c r="G267" s="34" t="str"/>
      <x:c r="H267" s="34" t="str"/>
      <x:c r="I267" s="38" t="str">
        <x:f>IF(H267="","",IF(H267="完全吻合",1,IF(H267="基本吻合",0.75,IF(H267="部分吻合",0.5,IF(H267="明显不符",0,"")))))</x:f>
      </x:c>
      <x:c r="J267" s="34" t="str"/>
      <x:c r="K267" s="34" t="str"/>
      <x:c r="L267" s="34" t="str"/>
      <x:c r="M267" s="34" t="str"/>
      <x:c r="N267" s="34" t="str"/>
      <x:c r="O267" s="34" t="str"/>
      <x:c r="P267" s="34" t="str"/>
      <x:c r="Q267" s="34" t="str"/>
      <x:c r="R267" s="34" t="str"/>
      <x:c r="S267" s="34" t="str"/>
      <x:c r="T267" s="34" t="str"/>
    </x:row>
    <x:row r="268">
      <x:c r="A268" s="34" t="str">
        <x:v>M5-EVAL-0263</x:v>
      </x:c>
      <x:c r="B268" s="34" t="str"/>
      <x:c r="C268" s="34" t="str"/>
      <x:c r="D268" s="34" t="str"/>
      <x:c r="E268" s="34" t="str"/>
      <x:c r="F268" s="34" t="str"/>
      <x:c r="G268" s="34" t="str"/>
      <x:c r="H268" s="34" t="str"/>
      <x:c r="I268" s="38" t="str">
        <x:f>IF(H268="","",IF(H268="完全吻合",1,IF(H268="基本吻合",0.75,IF(H268="部分吻合",0.5,IF(H268="明显不符",0,"")))))</x:f>
      </x:c>
      <x:c r="J268" s="34" t="str"/>
      <x:c r="K268" s="34" t="str"/>
      <x:c r="L268" s="34" t="str"/>
      <x:c r="M268" s="34" t="str"/>
      <x:c r="N268" s="34" t="str"/>
      <x:c r="O268" s="34" t="str"/>
      <x:c r="P268" s="34" t="str"/>
      <x:c r="Q268" s="34" t="str"/>
      <x:c r="R268" s="34" t="str"/>
      <x:c r="S268" s="34" t="str"/>
      <x:c r="T268" s="34" t="str"/>
    </x:row>
    <x:row r="269">
      <x:c r="A269" s="34" t="str">
        <x:v>M5-EVAL-0264</x:v>
      </x:c>
      <x:c r="B269" s="34" t="str"/>
      <x:c r="C269" s="34" t="str"/>
      <x:c r="D269" s="34" t="str"/>
      <x:c r="E269" s="34" t="str"/>
      <x:c r="F269" s="34" t="str"/>
      <x:c r="G269" s="34" t="str"/>
      <x:c r="H269" s="34" t="str"/>
      <x:c r="I269" s="38" t="str">
        <x:f>IF(H269="","",IF(H269="完全吻合",1,IF(H269="基本吻合",0.75,IF(H269="部分吻合",0.5,IF(H269="明显不符",0,"")))))</x:f>
      </x:c>
      <x:c r="J269" s="34" t="str"/>
      <x:c r="K269" s="34" t="str"/>
      <x:c r="L269" s="34" t="str"/>
      <x:c r="M269" s="34" t="str"/>
      <x:c r="N269" s="34" t="str"/>
      <x:c r="O269" s="34" t="str"/>
      <x:c r="P269" s="34" t="str"/>
      <x:c r="Q269" s="34" t="str"/>
      <x:c r="R269" s="34" t="str"/>
      <x:c r="S269" s="34" t="str"/>
      <x:c r="T269" s="34" t="str"/>
    </x:row>
    <x:row r="270">
      <x:c r="A270" s="34" t="str">
        <x:v>M5-EVAL-0265</x:v>
      </x:c>
      <x:c r="B270" s="34" t="str"/>
      <x:c r="C270" s="34" t="str"/>
      <x:c r="D270" s="34" t="str"/>
      <x:c r="E270" s="34" t="str"/>
      <x:c r="F270" s="34" t="str"/>
      <x:c r="G270" s="34" t="str"/>
      <x:c r="H270" s="34" t="str"/>
      <x:c r="I270" s="38" t="str">
        <x:f>IF(H270="","",IF(H270="完全吻合",1,IF(H270="基本吻合",0.75,IF(H270="部分吻合",0.5,IF(H270="明显不符",0,"")))))</x:f>
      </x:c>
      <x:c r="J270" s="34" t="str"/>
      <x:c r="K270" s="34" t="str"/>
      <x:c r="L270" s="34" t="str"/>
      <x:c r="M270" s="34" t="str"/>
      <x:c r="N270" s="34" t="str"/>
      <x:c r="O270" s="34" t="str"/>
      <x:c r="P270" s="34" t="str"/>
      <x:c r="Q270" s="34" t="str"/>
      <x:c r="R270" s="34" t="str"/>
      <x:c r="S270" s="34" t="str"/>
      <x:c r="T270" s="34" t="str"/>
    </x:row>
    <x:row r="271">
      <x:c r="A271" s="34" t="str">
        <x:v>M5-EVAL-0266</x:v>
      </x:c>
      <x:c r="B271" s="34" t="str"/>
      <x:c r="C271" s="34" t="str"/>
      <x:c r="D271" s="34" t="str"/>
      <x:c r="E271" s="34" t="str"/>
      <x:c r="F271" s="34" t="str"/>
      <x:c r="G271" s="34" t="str"/>
      <x:c r="H271" s="34" t="str"/>
      <x:c r="I271" s="38" t="str">
        <x:f>IF(H271="","",IF(H271="完全吻合",1,IF(H271="基本吻合",0.75,IF(H271="部分吻合",0.5,IF(H271="明显不符",0,"")))))</x:f>
      </x:c>
      <x:c r="J271" s="34" t="str"/>
      <x:c r="K271" s="34" t="str"/>
      <x:c r="L271" s="34" t="str"/>
      <x:c r="M271" s="34" t="str"/>
      <x:c r="N271" s="34" t="str"/>
      <x:c r="O271" s="34" t="str"/>
      <x:c r="P271" s="34" t="str"/>
      <x:c r="Q271" s="34" t="str"/>
      <x:c r="R271" s="34" t="str"/>
      <x:c r="S271" s="34" t="str"/>
      <x:c r="T271" s="34" t="str"/>
    </x:row>
    <x:row r="272">
      <x:c r="A272" s="34" t="str">
        <x:v>M5-EVAL-0267</x:v>
      </x:c>
      <x:c r="B272" s="34" t="str"/>
      <x:c r="C272" s="34" t="str"/>
      <x:c r="D272" s="34" t="str"/>
      <x:c r="E272" s="34" t="str"/>
      <x:c r="F272" s="34" t="str"/>
      <x:c r="G272" s="34" t="str"/>
      <x:c r="H272" s="34" t="str"/>
      <x:c r="I272" s="38" t="str">
        <x:f>IF(H272="","",IF(H272="完全吻合",1,IF(H272="基本吻合",0.75,IF(H272="部分吻合",0.5,IF(H272="明显不符",0,"")))))</x:f>
      </x:c>
      <x:c r="J272" s="34" t="str"/>
      <x:c r="K272" s="34" t="str"/>
      <x:c r="L272" s="34" t="str"/>
      <x:c r="M272" s="34" t="str"/>
      <x:c r="N272" s="34" t="str"/>
      <x:c r="O272" s="34" t="str"/>
      <x:c r="P272" s="34" t="str"/>
      <x:c r="Q272" s="34" t="str"/>
      <x:c r="R272" s="34" t="str"/>
      <x:c r="S272" s="34" t="str"/>
      <x:c r="T272" s="34" t="str"/>
    </x:row>
    <x:row r="273">
      <x:c r="A273" s="34" t="str">
        <x:v>M5-EVAL-0268</x:v>
      </x:c>
      <x:c r="B273" s="34" t="str"/>
      <x:c r="C273" s="34" t="str"/>
      <x:c r="D273" s="34" t="str"/>
      <x:c r="E273" s="34" t="str"/>
      <x:c r="F273" s="34" t="str"/>
      <x:c r="G273" s="34" t="str"/>
      <x:c r="H273" s="34" t="str"/>
      <x:c r="I273" s="38" t="str">
        <x:f>IF(H273="","",IF(H273="完全吻合",1,IF(H273="基本吻合",0.75,IF(H273="部分吻合",0.5,IF(H273="明显不符",0,"")))))</x:f>
      </x:c>
      <x:c r="J273" s="34" t="str"/>
      <x:c r="K273" s="34" t="str"/>
      <x:c r="L273" s="34" t="str"/>
      <x:c r="M273" s="34" t="str"/>
      <x:c r="N273" s="34" t="str"/>
      <x:c r="O273" s="34" t="str"/>
      <x:c r="P273" s="34" t="str"/>
      <x:c r="Q273" s="34" t="str"/>
      <x:c r="R273" s="34" t="str"/>
      <x:c r="S273" s="34" t="str"/>
      <x:c r="T273" s="34" t="str"/>
    </x:row>
    <x:row r="274">
      <x:c r="A274" s="34" t="str">
        <x:v>M5-EVAL-0269</x:v>
      </x:c>
      <x:c r="B274" s="34" t="str"/>
      <x:c r="C274" s="34" t="str"/>
      <x:c r="D274" s="34" t="str"/>
      <x:c r="E274" s="34" t="str"/>
      <x:c r="F274" s="34" t="str"/>
      <x:c r="G274" s="34" t="str"/>
      <x:c r="H274" s="34" t="str"/>
      <x:c r="I274" s="38" t="str">
        <x:f>IF(H274="","",IF(H274="完全吻合",1,IF(H274="基本吻合",0.75,IF(H274="部分吻合",0.5,IF(H274="明显不符",0,"")))))</x:f>
      </x:c>
      <x:c r="J274" s="34" t="str"/>
      <x:c r="K274" s="34" t="str"/>
      <x:c r="L274" s="34" t="str"/>
      <x:c r="M274" s="34" t="str"/>
      <x:c r="N274" s="34" t="str"/>
      <x:c r="O274" s="34" t="str"/>
      <x:c r="P274" s="34" t="str"/>
      <x:c r="Q274" s="34" t="str"/>
      <x:c r="R274" s="34" t="str"/>
      <x:c r="S274" s="34" t="str"/>
      <x:c r="T274" s="34" t="str"/>
    </x:row>
    <x:row r="275">
      <x:c r="A275" s="34" t="str">
        <x:v>M5-EVAL-0270</x:v>
      </x:c>
      <x:c r="B275" s="34" t="str"/>
      <x:c r="C275" s="34" t="str"/>
      <x:c r="D275" s="34" t="str"/>
      <x:c r="E275" s="34" t="str"/>
      <x:c r="F275" s="34" t="str"/>
      <x:c r="G275" s="34" t="str"/>
      <x:c r="H275" s="34" t="str"/>
      <x:c r="I275" s="38" t="str">
        <x:f>IF(H275="","",IF(H275="完全吻合",1,IF(H275="基本吻合",0.75,IF(H275="部分吻合",0.5,IF(H275="明显不符",0,"")))))</x:f>
      </x:c>
      <x:c r="J275" s="34" t="str"/>
      <x:c r="K275" s="34" t="str"/>
      <x:c r="L275" s="34" t="str"/>
      <x:c r="M275" s="34" t="str"/>
      <x:c r="N275" s="34" t="str"/>
      <x:c r="O275" s="34" t="str"/>
      <x:c r="P275" s="34" t="str"/>
      <x:c r="Q275" s="34" t="str"/>
      <x:c r="R275" s="34" t="str"/>
      <x:c r="S275" s="34" t="str"/>
      <x:c r="T275" s="34" t="str"/>
    </x:row>
    <x:row r="276">
      <x:c r="A276" s="34" t="str">
        <x:v>M5-EVAL-0271</x:v>
      </x:c>
      <x:c r="B276" s="34" t="str"/>
      <x:c r="C276" s="34" t="str"/>
      <x:c r="D276" s="34" t="str"/>
      <x:c r="E276" s="34" t="str"/>
      <x:c r="F276" s="34" t="str"/>
      <x:c r="G276" s="34" t="str"/>
      <x:c r="H276" s="34" t="str"/>
      <x:c r="I276" s="38" t="str">
        <x:f>IF(H276="","",IF(H276="完全吻合",1,IF(H276="基本吻合",0.75,IF(H276="部分吻合",0.5,IF(H276="明显不符",0,"")))))</x:f>
      </x:c>
      <x:c r="J276" s="34" t="str"/>
      <x:c r="K276" s="34" t="str"/>
      <x:c r="L276" s="34" t="str"/>
      <x:c r="M276" s="34" t="str"/>
      <x:c r="N276" s="34" t="str"/>
      <x:c r="O276" s="34" t="str"/>
      <x:c r="P276" s="34" t="str"/>
      <x:c r="Q276" s="34" t="str"/>
      <x:c r="R276" s="34" t="str"/>
      <x:c r="S276" s="34" t="str"/>
      <x:c r="T276" s="34" t="str"/>
    </x:row>
    <x:row r="277">
      <x:c r="A277" s="34" t="str">
        <x:v>M5-EVAL-0272</x:v>
      </x:c>
      <x:c r="B277" s="34" t="str"/>
      <x:c r="C277" s="34" t="str"/>
      <x:c r="D277" s="34" t="str"/>
      <x:c r="E277" s="34" t="str"/>
      <x:c r="F277" s="34" t="str"/>
      <x:c r="G277" s="34" t="str"/>
      <x:c r="H277" s="34" t="str"/>
      <x:c r="I277" s="38" t="str">
        <x:f>IF(H277="","",IF(H277="完全吻合",1,IF(H277="基本吻合",0.75,IF(H277="部分吻合",0.5,IF(H277="明显不符",0,"")))))</x:f>
      </x:c>
      <x:c r="J277" s="34" t="str"/>
      <x:c r="K277" s="34" t="str"/>
      <x:c r="L277" s="34" t="str"/>
      <x:c r="M277" s="34" t="str"/>
      <x:c r="N277" s="34" t="str"/>
      <x:c r="O277" s="34" t="str"/>
      <x:c r="P277" s="34" t="str"/>
      <x:c r="Q277" s="34" t="str"/>
      <x:c r="R277" s="34" t="str"/>
      <x:c r="S277" s="34" t="str"/>
      <x:c r="T277" s="34" t="str"/>
    </x:row>
    <x:row r="278">
      <x:c r="A278" s="34" t="str">
        <x:v>M5-EVAL-0273</x:v>
      </x:c>
      <x:c r="B278" s="34" t="str"/>
      <x:c r="C278" s="34" t="str"/>
      <x:c r="D278" s="34" t="str"/>
      <x:c r="E278" s="34" t="str"/>
      <x:c r="F278" s="34" t="str"/>
      <x:c r="G278" s="34" t="str"/>
      <x:c r="H278" s="34" t="str"/>
      <x:c r="I278" s="38" t="str">
        <x:f>IF(H278="","",IF(H278="完全吻合",1,IF(H278="基本吻合",0.75,IF(H278="部分吻合",0.5,IF(H278="明显不符",0,"")))))</x:f>
      </x:c>
      <x:c r="J278" s="34" t="str"/>
      <x:c r="K278" s="34" t="str"/>
      <x:c r="L278" s="34" t="str"/>
      <x:c r="M278" s="34" t="str"/>
      <x:c r="N278" s="34" t="str"/>
      <x:c r="O278" s="34" t="str"/>
      <x:c r="P278" s="34" t="str"/>
      <x:c r="Q278" s="34" t="str"/>
      <x:c r="R278" s="34" t="str"/>
      <x:c r="S278" s="34" t="str"/>
      <x:c r="T278" s="34" t="str"/>
    </x:row>
    <x:row r="279">
      <x:c r="A279" s="34" t="str">
        <x:v>M5-EVAL-0274</x:v>
      </x:c>
      <x:c r="B279" s="34" t="str"/>
      <x:c r="C279" s="34" t="str"/>
      <x:c r="D279" s="34" t="str"/>
      <x:c r="E279" s="34" t="str"/>
      <x:c r="F279" s="34" t="str"/>
      <x:c r="G279" s="34" t="str"/>
      <x:c r="H279" s="34" t="str"/>
      <x:c r="I279" s="38" t="str">
        <x:f>IF(H279="","",IF(H279="完全吻合",1,IF(H279="基本吻合",0.75,IF(H279="部分吻合",0.5,IF(H279="明显不符",0,"")))))</x:f>
      </x:c>
      <x:c r="J279" s="34" t="str"/>
      <x:c r="K279" s="34" t="str"/>
      <x:c r="L279" s="34" t="str"/>
      <x:c r="M279" s="34" t="str"/>
      <x:c r="N279" s="34" t="str"/>
      <x:c r="O279" s="34" t="str"/>
      <x:c r="P279" s="34" t="str"/>
      <x:c r="Q279" s="34" t="str"/>
      <x:c r="R279" s="34" t="str"/>
      <x:c r="S279" s="34" t="str"/>
      <x:c r="T279" s="34" t="str"/>
    </x:row>
    <x:row r="280">
      <x:c r="A280" s="34" t="str">
        <x:v>M5-EVAL-0275</x:v>
      </x:c>
      <x:c r="B280" s="34" t="str"/>
      <x:c r="C280" s="34" t="str"/>
      <x:c r="D280" s="34" t="str"/>
      <x:c r="E280" s="34" t="str"/>
      <x:c r="F280" s="34" t="str"/>
      <x:c r="G280" s="34" t="str"/>
      <x:c r="H280" s="34" t="str"/>
      <x:c r="I280" s="38" t="str">
        <x:f>IF(H280="","",IF(H280="完全吻合",1,IF(H280="基本吻合",0.75,IF(H280="部分吻合",0.5,IF(H280="明显不符",0,"")))))</x:f>
      </x:c>
      <x:c r="J280" s="34" t="str"/>
      <x:c r="K280" s="34" t="str"/>
      <x:c r="L280" s="34" t="str"/>
      <x:c r="M280" s="34" t="str"/>
      <x:c r="N280" s="34" t="str"/>
      <x:c r="O280" s="34" t="str"/>
      <x:c r="P280" s="34" t="str"/>
      <x:c r="Q280" s="34" t="str"/>
      <x:c r="R280" s="34" t="str"/>
      <x:c r="S280" s="34" t="str"/>
      <x:c r="T280" s="34" t="str"/>
    </x:row>
    <x:row r="281">
      <x:c r="A281" s="34" t="str">
        <x:v>M5-EVAL-0276</x:v>
      </x:c>
      <x:c r="B281" s="34" t="str"/>
      <x:c r="C281" s="34" t="str"/>
      <x:c r="D281" s="34" t="str"/>
      <x:c r="E281" s="34" t="str"/>
      <x:c r="F281" s="34" t="str"/>
      <x:c r="G281" s="34" t="str"/>
      <x:c r="H281" s="34" t="str"/>
      <x:c r="I281" s="38" t="str">
        <x:f>IF(H281="","",IF(H281="完全吻合",1,IF(H281="基本吻合",0.75,IF(H281="部分吻合",0.5,IF(H281="明显不符",0,"")))))</x:f>
      </x:c>
      <x:c r="J281" s="34" t="str"/>
      <x:c r="K281" s="34" t="str"/>
      <x:c r="L281" s="34" t="str"/>
      <x:c r="M281" s="34" t="str"/>
      <x:c r="N281" s="34" t="str"/>
      <x:c r="O281" s="34" t="str"/>
      <x:c r="P281" s="34" t="str"/>
      <x:c r="Q281" s="34" t="str"/>
      <x:c r="R281" s="34" t="str"/>
      <x:c r="S281" s="34" t="str"/>
      <x:c r="T281" s="34" t="str"/>
    </x:row>
    <x:row r="282">
      <x:c r="A282" s="34" t="str">
        <x:v>M5-EVAL-0277</x:v>
      </x:c>
      <x:c r="B282" s="34" t="str"/>
      <x:c r="C282" s="34" t="str"/>
      <x:c r="D282" s="34" t="str"/>
      <x:c r="E282" s="34" t="str"/>
      <x:c r="F282" s="34" t="str"/>
      <x:c r="G282" s="34" t="str"/>
      <x:c r="H282" s="34" t="str"/>
      <x:c r="I282" s="38" t="str">
        <x:f>IF(H282="","",IF(H282="完全吻合",1,IF(H282="基本吻合",0.75,IF(H282="部分吻合",0.5,IF(H282="明显不符",0,"")))))</x:f>
      </x:c>
      <x:c r="J282" s="34" t="str"/>
      <x:c r="K282" s="34" t="str"/>
      <x:c r="L282" s="34" t="str"/>
      <x:c r="M282" s="34" t="str"/>
      <x:c r="N282" s="34" t="str"/>
      <x:c r="O282" s="34" t="str"/>
      <x:c r="P282" s="34" t="str"/>
      <x:c r="Q282" s="34" t="str"/>
      <x:c r="R282" s="34" t="str"/>
      <x:c r="S282" s="34" t="str"/>
      <x:c r="T282" s="34" t="str"/>
    </x:row>
    <x:row r="283">
      <x:c r="A283" s="34" t="str">
        <x:v>M5-EVAL-0278</x:v>
      </x:c>
      <x:c r="B283" s="34" t="str"/>
      <x:c r="C283" s="34" t="str"/>
      <x:c r="D283" s="34" t="str"/>
      <x:c r="E283" s="34" t="str"/>
      <x:c r="F283" s="34" t="str"/>
      <x:c r="G283" s="34" t="str"/>
      <x:c r="H283" s="34" t="str"/>
      <x:c r="I283" s="38" t="str">
        <x:f>IF(H283="","",IF(H283="完全吻合",1,IF(H283="基本吻合",0.75,IF(H283="部分吻合",0.5,IF(H283="明显不符",0,"")))))</x:f>
      </x:c>
      <x:c r="J283" s="34" t="str"/>
      <x:c r="K283" s="34" t="str"/>
      <x:c r="L283" s="34" t="str"/>
      <x:c r="M283" s="34" t="str"/>
      <x:c r="N283" s="34" t="str"/>
      <x:c r="O283" s="34" t="str"/>
      <x:c r="P283" s="34" t="str"/>
      <x:c r="Q283" s="34" t="str"/>
      <x:c r="R283" s="34" t="str"/>
      <x:c r="S283" s="34" t="str"/>
      <x:c r="T283" s="34" t="str"/>
    </x:row>
    <x:row r="284">
      <x:c r="A284" s="34" t="str">
        <x:v>M5-EVAL-0279</x:v>
      </x:c>
      <x:c r="B284" s="34" t="str"/>
      <x:c r="C284" s="34" t="str"/>
      <x:c r="D284" s="34" t="str"/>
      <x:c r="E284" s="34" t="str"/>
      <x:c r="F284" s="34" t="str"/>
      <x:c r="G284" s="34" t="str"/>
      <x:c r="H284" s="34" t="str"/>
      <x:c r="I284" s="38" t="str">
        <x:f>IF(H284="","",IF(H284="完全吻合",1,IF(H284="基本吻合",0.75,IF(H284="部分吻合",0.5,IF(H284="明显不符",0,"")))))</x:f>
      </x:c>
      <x:c r="J284" s="34" t="str"/>
      <x:c r="K284" s="34" t="str"/>
      <x:c r="L284" s="34" t="str"/>
      <x:c r="M284" s="34" t="str"/>
      <x:c r="N284" s="34" t="str"/>
      <x:c r="O284" s="34" t="str"/>
      <x:c r="P284" s="34" t="str"/>
      <x:c r="Q284" s="34" t="str"/>
      <x:c r="R284" s="34" t="str"/>
      <x:c r="S284" s="34" t="str"/>
      <x:c r="T284" s="34" t="str"/>
    </x:row>
    <x:row r="285">
      <x:c r="A285" s="34" t="str">
        <x:v>M5-EVAL-0280</x:v>
      </x:c>
      <x:c r="B285" s="34" t="str"/>
      <x:c r="C285" s="34" t="str"/>
      <x:c r="D285" s="34" t="str"/>
      <x:c r="E285" s="34" t="str"/>
      <x:c r="F285" s="34" t="str"/>
      <x:c r="G285" s="34" t="str"/>
      <x:c r="H285" s="34" t="str"/>
      <x:c r="I285" s="38" t="str">
        <x:f>IF(H285="","",IF(H285="完全吻合",1,IF(H285="基本吻合",0.75,IF(H285="部分吻合",0.5,IF(H285="明显不符",0,"")))))</x:f>
      </x:c>
      <x:c r="J285" s="34" t="str"/>
      <x:c r="K285" s="34" t="str"/>
      <x:c r="L285" s="34" t="str"/>
      <x:c r="M285" s="34" t="str"/>
      <x:c r="N285" s="34" t="str"/>
      <x:c r="O285" s="34" t="str"/>
      <x:c r="P285" s="34" t="str"/>
      <x:c r="Q285" s="34" t="str"/>
      <x:c r="R285" s="34" t="str"/>
      <x:c r="S285" s="34" t="str"/>
      <x:c r="T285" s="34" t="str"/>
    </x:row>
    <x:row r="286">
      <x:c r="A286" s="34" t="str">
        <x:v>M5-EVAL-0281</x:v>
      </x:c>
      <x:c r="B286" s="34" t="str"/>
      <x:c r="C286" s="34" t="str"/>
      <x:c r="D286" s="34" t="str"/>
      <x:c r="E286" s="34" t="str"/>
      <x:c r="F286" s="34" t="str"/>
      <x:c r="G286" s="34" t="str"/>
      <x:c r="H286" s="34" t="str"/>
      <x:c r="I286" s="38" t="str">
        <x:f>IF(H286="","",IF(H286="完全吻合",1,IF(H286="基本吻合",0.75,IF(H286="部分吻合",0.5,IF(H286="明显不符",0,"")))))</x:f>
      </x:c>
      <x:c r="J286" s="34" t="str"/>
      <x:c r="K286" s="34" t="str"/>
      <x:c r="L286" s="34" t="str"/>
      <x:c r="M286" s="34" t="str"/>
      <x:c r="N286" s="34" t="str"/>
      <x:c r="O286" s="34" t="str"/>
      <x:c r="P286" s="34" t="str"/>
      <x:c r="Q286" s="34" t="str"/>
      <x:c r="R286" s="34" t="str"/>
      <x:c r="S286" s="34" t="str"/>
      <x:c r="T286" s="34" t="str"/>
    </x:row>
    <x:row r="287">
      <x:c r="A287" s="34" t="str">
        <x:v>M5-EVAL-0282</x:v>
      </x:c>
      <x:c r="B287" s="34" t="str"/>
      <x:c r="C287" s="34" t="str"/>
      <x:c r="D287" s="34" t="str"/>
      <x:c r="E287" s="34" t="str"/>
      <x:c r="F287" s="34" t="str"/>
      <x:c r="G287" s="34" t="str"/>
      <x:c r="H287" s="34" t="str"/>
      <x:c r="I287" s="38" t="str">
        <x:f>IF(H287="","",IF(H287="完全吻合",1,IF(H287="基本吻合",0.75,IF(H287="部分吻合",0.5,IF(H287="明显不符",0,"")))))</x:f>
      </x:c>
      <x:c r="J287" s="34" t="str"/>
      <x:c r="K287" s="34" t="str"/>
      <x:c r="L287" s="34" t="str"/>
      <x:c r="M287" s="34" t="str"/>
      <x:c r="N287" s="34" t="str"/>
      <x:c r="O287" s="34" t="str"/>
      <x:c r="P287" s="34" t="str"/>
      <x:c r="Q287" s="34" t="str"/>
      <x:c r="R287" s="34" t="str"/>
      <x:c r="S287" s="34" t="str"/>
      <x:c r="T287" s="34" t="str"/>
    </x:row>
    <x:row r="288">
      <x:c r="A288" s="34" t="str">
        <x:v>M5-EVAL-0283</x:v>
      </x:c>
      <x:c r="B288" s="34" t="str"/>
      <x:c r="C288" s="34" t="str"/>
      <x:c r="D288" s="34" t="str"/>
      <x:c r="E288" s="34" t="str"/>
      <x:c r="F288" s="34" t="str"/>
      <x:c r="G288" s="34" t="str"/>
      <x:c r="H288" s="34" t="str"/>
      <x:c r="I288" s="38" t="str">
        <x:f>IF(H288="","",IF(H288="完全吻合",1,IF(H288="基本吻合",0.75,IF(H288="部分吻合",0.5,IF(H288="明显不符",0,"")))))</x:f>
      </x:c>
      <x:c r="J288" s="34" t="str"/>
      <x:c r="K288" s="34" t="str"/>
      <x:c r="L288" s="34" t="str"/>
      <x:c r="M288" s="34" t="str"/>
      <x:c r="N288" s="34" t="str"/>
      <x:c r="O288" s="34" t="str"/>
      <x:c r="P288" s="34" t="str"/>
      <x:c r="Q288" s="34" t="str"/>
      <x:c r="R288" s="34" t="str"/>
      <x:c r="S288" s="34" t="str"/>
      <x:c r="T288" s="34" t="str"/>
    </x:row>
    <x:row r="289">
      <x:c r="A289" s="34" t="str">
        <x:v>M5-EVAL-0284</x:v>
      </x:c>
      <x:c r="B289" s="34" t="str"/>
      <x:c r="C289" s="34" t="str"/>
      <x:c r="D289" s="34" t="str"/>
      <x:c r="E289" s="34" t="str"/>
      <x:c r="F289" s="34" t="str"/>
      <x:c r="G289" s="34" t="str"/>
      <x:c r="H289" s="34" t="str"/>
      <x:c r="I289" s="38" t="str">
        <x:f>IF(H289="","",IF(H289="完全吻合",1,IF(H289="基本吻合",0.75,IF(H289="部分吻合",0.5,IF(H289="明显不符",0,"")))))</x:f>
      </x:c>
      <x:c r="J289" s="34" t="str"/>
      <x:c r="K289" s="34" t="str"/>
      <x:c r="L289" s="34" t="str"/>
      <x:c r="M289" s="34" t="str"/>
      <x:c r="N289" s="34" t="str"/>
      <x:c r="O289" s="34" t="str"/>
      <x:c r="P289" s="34" t="str"/>
      <x:c r="Q289" s="34" t="str"/>
      <x:c r="R289" s="34" t="str"/>
      <x:c r="S289" s="34" t="str"/>
      <x:c r="T289" s="34" t="str"/>
    </x:row>
    <x:row r="290">
      <x:c r="A290" s="34" t="str">
        <x:v>M5-EVAL-0285</x:v>
      </x:c>
      <x:c r="B290" s="34" t="str"/>
      <x:c r="C290" s="34" t="str"/>
      <x:c r="D290" s="34" t="str"/>
      <x:c r="E290" s="34" t="str"/>
      <x:c r="F290" s="34" t="str"/>
      <x:c r="G290" s="34" t="str"/>
      <x:c r="H290" s="34" t="str"/>
      <x:c r="I290" s="38" t="str">
        <x:f>IF(H290="","",IF(H290="完全吻合",1,IF(H290="基本吻合",0.75,IF(H290="部分吻合",0.5,IF(H290="明显不符",0,"")))))</x:f>
      </x:c>
      <x:c r="J290" s="34" t="str"/>
      <x:c r="K290" s="34" t="str"/>
      <x:c r="L290" s="34" t="str"/>
      <x:c r="M290" s="34" t="str"/>
      <x:c r="N290" s="34" t="str"/>
      <x:c r="O290" s="34" t="str"/>
      <x:c r="P290" s="34" t="str"/>
      <x:c r="Q290" s="34" t="str"/>
      <x:c r="R290" s="34" t="str"/>
      <x:c r="S290" s="34" t="str"/>
      <x:c r="T290" s="34" t="str"/>
    </x:row>
    <x:row r="291">
      <x:c r="A291" s="34" t="str">
        <x:v>M5-EVAL-0286</x:v>
      </x:c>
      <x:c r="B291" s="34" t="str"/>
      <x:c r="C291" s="34" t="str"/>
      <x:c r="D291" s="34" t="str"/>
      <x:c r="E291" s="34" t="str"/>
      <x:c r="F291" s="34" t="str"/>
      <x:c r="G291" s="34" t="str"/>
      <x:c r="H291" s="34" t="str"/>
      <x:c r="I291" s="38" t="str">
        <x:f>IF(H291="","",IF(H291="完全吻合",1,IF(H291="基本吻合",0.75,IF(H291="部分吻合",0.5,IF(H291="明显不符",0,"")))))</x:f>
      </x:c>
      <x:c r="J291" s="34" t="str"/>
      <x:c r="K291" s="34" t="str"/>
      <x:c r="L291" s="34" t="str"/>
      <x:c r="M291" s="34" t="str"/>
      <x:c r="N291" s="34" t="str"/>
      <x:c r="O291" s="34" t="str"/>
      <x:c r="P291" s="34" t="str"/>
      <x:c r="Q291" s="34" t="str"/>
      <x:c r="R291" s="34" t="str"/>
      <x:c r="S291" s="34" t="str"/>
      <x:c r="T291" s="34" t="str"/>
    </x:row>
    <x:row r="292">
      <x:c r="A292" s="34" t="str">
        <x:v>M5-EVAL-0287</x:v>
      </x:c>
      <x:c r="B292" s="34" t="str"/>
      <x:c r="C292" s="34" t="str"/>
      <x:c r="D292" s="34" t="str"/>
      <x:c r="E292" s="34" t="str"/>
      <x:c r="F292" s="34" t="str"/>
      <x:c r="G292" s="34" t="str"/>
      <x:c r="H292" s="34" t="str"/>
      <x:c r="I292" s="38" t="str">
        <x:f>IF(H292="","",IF(H292="完全吻合",1,IF(H292="基本吻合",0.75,IF(H292="部分吻合",0.5,IF(H292="明显不符",0,"")))))</x:f>
      </x:c>
      <x:c r="J292" s="34" t="str"/>
      <x:c r="K292" s="34" t="str"/>
      <x:c r="L292" s="34" t="str"/>
      <x:c r="M292" s="34" t="str"/>
      <x:c r="N292" s="34" t="str"/>
      <x:c r="O292" s="34" t="str"/>
      <x:c r="P292" s="34" t="str"/>
      <x:c r="Q292" s="34" t="str"/>
      <x:c r="R292" s="34" t="str"/>
      <x:c r="S292" s="34" t="str"/>
      <x:c r="T292" s="34" t="str"/>
    </x:row>
    <x:row r="293">
      <x:c r="A293" s="34" t="str">
        <x:v>M5-EVAL-0288</x:v>
      </x:c>
      <x:c r="B293" s="34" t="str"/>
      <x:c r="C293" s="34" t="str"/>
      <x:c r="D293" s="34" t="str"/>
      <x:c r="E293" s="34" t="str"/>
      <x:c r="F293" s="34" t="str"/>
      <x:c r="G293" s="34" t="str"/>
      <x:c r="H293" s="34" t="str"/>
      <x:c r="I293" s="38" t="str">
        <x:f>IF(H293="","",IF(H293="完全吻合",1,IF(H293="基本吻合",0.75,IF(H293="部分吻合",0.5,IF(H293="明显不符",0,"")))))</x:f>
      </x:c>
      <x:c r="J293" s="34" t="str"/>
      <x:c r="K293" s="34" t="str"/>
      <x:c r="L293" s="34" t="str"/>
      <x:c r="M293" s="34" t="str"/>
      <x:c r="N293" s="34" t="str"/>
      <x:c r="O293" s="34" t="str"/>
      <x:c r="P293" s="34" t="str"/>
      <x:c r="Q293" s="34" t="str"/>
      <x:c r="R293" s="34" t="str"/>
      <x:c r="S293" s="34" t="str"/>
      <x:c r="T293" s="34" t="str"/>
    </x:row>
    <x:row r="294">
      <x:c r="A294" s="34" t="str">
        <x:v>M5-EVAL-0289</x:v>
      </x:c>
      <x:c r="B294" s="34" t="str"/>
      <x:c r="C294" s="34" t="str"/>
      <x:c r="D294" s="34" t="str"/>
      <x:c r="E294" s="34" t="str"/>
      <x:c r="F294" s="34" t="str"/>
      <x:c r="G294" s="34" t="str"/>
      <x:c r="H294" s="34" t="str"/>
      <x:c r="I294" s="38" t="str">
        <x:f>IF(H294="","",IF(H294="完全吻合",1,IF(H294="基本吻合",0.75,IF(H294="部分吻合",0.5,IF(H294="明显不符",0,"")))))</x:f>
      </x:c>
      <x:c r="J294" s="34" t="str"/>
      <x:c r="K294" s="34" t="str"/>
      <x:c r="L294" s="34" t="str"/>
      <x:c r="M294" s="34" t="str"/>
      <x:c r="N294" s="34" t="str"/>
      <x:c r="O294" s="34" t="str"/>
      <x:c r="P294" s="34" t="str"/>
      <x:c r="Q294" s="34" t="str"/>
      <x:c r="R294" s="34" t="str"/>
      <x:c r="S294" s="34" t="str"/>
      <x:c r="T294" s="34" t="str"/>
    </x:row>
    <x:row r="295">
      <x:c r="A295" s="34" t="str">
        <x:v>M5-EVAL-0290</x:v>
      </x:c>
      <x:c r="B295" s="34" t="str"/>
      <x:c r="C295" s="34" t="str"/>
      <x:c r="D295" s="34" t="str"/>
      <x:c r="E295" s="34" t="str"/>
      <x:c r="F295" s="34" t="str"/>
      <x:c r="G295" s="34" t="str"/>
      <x:c r="H295" s="34" t="str"/>
      <x:c r="I295" s="38" t="str">
        <x:f>IF(H295="","",IF(H295="完全吻合",1,IF(H295="基本吻合",0.75,IF(H295="部分吻合",0.5,IF(H295="明显不符",0,"")))))</x:f>
      </x:c>
      <x:c r="J295" s="34" t="str"/>
      <x:c r="K295" s="34" t="str"/>
      <x:c r="L295" s="34" t="str"/>
      <x:c r="M295" s="34" t="str"/>
      <x:c r="N295" s="34" t="str"/>
      <x:c r="O295" s="34" t="str"/>
      <x:c r="P295" s="34" t="str"/>
      <x:c r="Q295" s="34" t="str"/>
      <x:c r="R295" s="34" t="str"/>
      <x:c r="S295" s="34" t="str"/>
      <x:c r="T295" s="34" t="str"/>
    </x:row>
    <x:row r="296">
      <x:c r="A296" s="34" t="str">
        <x:v>M5-EVAL-0291</x:v>
      </x:c>
      <x:c r="B296" s="34" t="str"/>
      <x:c r="C296" s="34" t="str"/>
      <x:c r="D296" s="34" t="str"/>
      <x:c r="E296" s="34" t="str"/>
      <x:c r="F296" s="34" t="str"/>
      <x:c r="G296" s="34" t="str"/>
      <x:c r="H296" s="34" t="str"/>
      <x:c r="I296" s="38" t="str">
        <x:f>IF(H296="","",IF(H296="完全吻合",1,IF(H296="基本吻合",0.75,IF(H296="部分吻合",0.5,IF(H296="明显不符",0,"")))))</x:f>
      </x:c>
      <x:c r="J296" s="34" t="str"/>
      <x:c r="K296" s="34" t="str"/>
      <x:c r="L296" s="34" t="str"/>
      <x:c r="M296" s="34" t="str"/>
      <x:c r="N296" s="34" t="str"/>
      <x:c r="O296" s="34" t="str"/>
      <x:c r="P296" s="34" t="str"/>
      <x:c r="Q296" s="34" t="str"/>
      <x:c r="R296" s="34" t="str"/>
      <x:c r="S296" s="34" t="str"/>
      <x:c r="T296" s="34" t="str"/>
    </x:row>
    <x:row r="297">
      <x:c r="A297" s="34" t="str">
        <x:v>M5-EVAL-0292</x:v>
      </x:c>
      <x:c r="B297" s="34" t="str"/>
      <x:c r="C297" s="34" t="str"/>
      <x:c r="D297" s="34" t="str"/>
      <x:c r="E297" s="34" t="str"/>
      <x:c r="F297" s="34" t="str"/>
      <x:c r="G297" s="34" t="str"/>
      <x:c r="H297" s="34" t="str"/>
      <x:c r="I297" s="38" t="str">
        <x:f>IF(H297="","",IF(H297="完全吻合",1,IF(H297="基本吻合",0.75,IF(H297="部分吻合",0.5,IF(H297="明显不符",0,"")))))</x:f>
      </x:c>
      <x:c r="J297" s="34" t="str"/>
      <x:c r="K297" s="34" t="str"/>
      <x:c r="L297" s="34" t="str"/>
      <x:c r="M297" s="34" t="str"/>
      <x:c r="N297" s="34" t="str"/>
      <x:c r="O297" s="34" t="str"/>
      <x:c r="P297" s="34" t="str"/>
      <x:c r="Q297" s="34" t="str"/>
      <x:c r="R297" s="34" t="str"/>
      <x:c r="S297" s="34" t="str"/>
      <x:c r="T297" s="34" t="str"/>
    </x:row>
    <x:row r="298">
      <x:c r="A298" s="34" t="str">
        <x:v>M5-EVAL-0293</x:v>
      </x:c>
      <x:c r="B298" s="34" t="str"/>
      <x:c r="C298" s="34" t="str"/>
      <x:c r="D298" s="34" t="str"/>
      <x:c r="E298" s="34" t="str"/>
      <x:c r="F298" s="34" t="str"/>
      <x:c r="G298" s="34" t="str"/>
      <x:c r="H298" s="34" t="str"/>
      <x:c r="I298" s="38" t="str">
        <x:f>IF(H298="","",IF(H298="完全吻合",1,IF(H298="基本吻合",0.75,IF(H298="部分吻合",0.5,IF(H298="明显不符",0,"")))))</x:f>
      </x:c>
      <x:c r="J298" s="34" t="str"/>
      <x:c r="K298" s="34" t="str"/>
      <x:c r="L298" s="34" t="str"/>
      <x:c r="M298" s="34" t="str"/>
      <x:c r="N298" s="34" t="str"/>
      <x:c r="O298" s="34" t="str"/>
      <x:c r="P298" s="34" t="str"/>
      <x:c r="Q298" s="34" t="str"/>
      <x:c r="R298" s="34" t="str"/>
      <x:c r="S298" s="34" t="str"/>
      <x:c r="T298" s="34" t="str"/>
    </x:row>
    <x:row r="299">
      <x:c r="A299" s="34" t="str">
        <x:v>M5-EVAL-0294</x:v>
      </x:c>
      <x:c r="B299" s="34" t="str"/>
      <x:c r="C299" s="34" t="str"/>
      <x:c r="D299" s="34" t="str"/>
      <x:c r="E299" s="34" t="str"/>
      <x:c r="F299" s="34" t="str"/>
      <x:c r="G299" s="34" t="str"/>
      <x:c r="H299" s="34" t="str"/>
      <x:c r="I299" s="38" t="str">
        <x:f>IF(H299="","",IF(H299="完全吻合",1,IF(H299="基本吻合",0.75,IF(H299="部分吻合",0.5,IF(H299="明显不符",0,"")))))</x:f>
      </x:c>
      <x:c r="J299" s="34" t="str"/>
      <x:c r="K299" s="34" t="str"/>
      <x:c r="L299" s="34" t="str"/>
      <x:c r="M299" s="34" t="str"/>
      <x:c r="N299" s="34" t="str"/>
      <x:c r="O299" s="34" t="str"/>
      <x:c r="P299" s="34" t="str"/>
      <x:c r="Q299" s="34" t="str"/>
      <x:c r="R299" s="34" t="str"/>
      <x:c r="S299" s="34" t="str"/>
      <x:c r="T299" s="34" t="str"/>
    </x:row>
    <x:row r="300">
      <x:c r="A300" s="34" t="str">
        <x:v>M5-EVAL-0295</x:v>
      </x:c>
      <x:c r="B300" s="34" t="str"/>
      <x:c r="C300" s="34" t="str"/>
      <x:c r="D300" s="34" t="str"/>
      <x:c r="E300" s="34" t="str"/>
      <x:c r="F300" s="34" t="str"/>
      <x:c r="G300" s="34" t="str"/>
      <x:c r="H300" s="34" t="str"/>
      <x:c r="I300" s="38" t="str">
        <x:f>IF(H300="","",IF(H300="完全吻合",1,IF(H300="基本吻合",0.75,IF(H300="部分吻合",0.5,IF(H300="明显不符",0,"")))))</x:f>
      </x:c>
      <x:c r="J300" s="34" t="str"/>
      <x:c r="K300" s="34" t="str"/>
      <x:c r="L300" s="34" t="str"/>
      <x:c r="M300" s="34" t="str"/>
      <x:c r="N300" s="34" t="str"/>
      <x:c r="O300" s="34" t="str"/>
      <x:c r="P300" s="34" t="str"/>
      <x:c r="Q300" s="34" t="str"/>
      <x:c r="R300" s="34" t="str"/>
      <x:c r="S300" s="34" t="str"/>
      <x:c r="T300" s="34" t="str"/>
    </x:row>
    <x:row r="301">
      <x:c r="A301" s="34" t="str">
        <x:v>M5-EVAL-0296</x:v>
      </x:c>
      <x:c r="B301" s="34" t="str"/>
      <x:c r="C301" s="34" t="str"/>
      <x:c r="D301" s="34" t="str"/>
      <x:c r="E301" s="34" t="str"/>
      <x:c r="F301" s="34" t="str"/>
      <x:c r="G301" s="34" t="str"/>
      <x:c r="H301" s="34" t="str"/>
      <x:c r="I301" s="38" t="str">
        <x:f>IF(H301="","",IF(H301="完全吻合",1,IF(H301="基本吻合",0.75,IF(H301="部分吻合",0.5,IF(H301="明显不符",0,"")))))</x:f>
      </x:c>
      <x:c r="J301" s="34" t="str"/>
      <x:c r="K301" s="34" t="str"/>
      <x:c r="L301" s="34" t="str"/>
      <x:c r="M301" s="34" t="str"/>
      <x:c r="N301" s="34" t="str"/>
      <x:c r="O301" s="34" t="str"/>
      <x:c r="P301" s="34" t="str"/>
      <x:c r="Q301" s="34" t="str"/>
      <x:c r="R301" s="34" t="str"/>
      <x:c r="S301" s="34" t="str"/>
      <x:c r="T301" s="34" t="str"/>
    </x:row>
    <x:row r="302">
      <x:c r="A302" s="34" t="str">
        <x:v>M5-EVAL-0297</x:v>
      </x:c>
      <x:c r="B302" s="34" t="str"/>
      <x:c r="C302" s="34" t="str"/>
      <x:c r="D302" s="34" t="str"/>
      <x:c r="E302" s="34" t="str"/>
      <x:c r="F302" s="34" t="str"/>
      <x:c r="G302" s="34" t="str"/>
      <x:c r="H302" s="34" t="str"/>
      <x:c r="I302" s="38" t="str">
        <x:f>IF(H302="","",IF(H302="完全吻合",1,IF(H302="基本吻合",0.75,IF(H302="部分吻合",0.5,IF(H302="明显不符",0,"")))))</x:f>
      </x:c>
      <x:c r="J302" s="34" t="str"/>
      <x:c r="K302" s="34" t="str"/>
      <x:c r="L302" s="34" t="str"/>
      <x:c r="M302" s="34" t="str"/>
      <x:c r="N302" s="34" t="str"/>
      <x:c r="O302" s="34" t="str"/>
      <x:c r="P302" s="34" t="str"/>
      <x:c r="Q302" s="34" t="str"/>
      <x:c r="R302" s="34" t="str"/>
      <x:c r="S302" s="34" t="str"/>
      <x:c r="T302" s="34" t="str"/>
    </x:row>
    <x:row r="303">
      <x:c r="A303" s="34" t="str">
        <x:v>M5-EVAL-0298</x:v>
      </x:c>
      <x:c r="B303" s="34" t="str"/>
      <x:c r="C303" s="34" t="str"/>
      <x:c r="D303" s="34" t="str"/>
      <x:c r="E303" s="34" t="str"/>
      <x:c r="F303" s="34" t="str"/>
      <x:c r="G303" s="34" t="str"/>
      <x:c r="H303" s="34" t="str"/>
      <x:c r="I303" s="38" t="str">
        <x:f>IF(H303="","",IF(H303="完全吻合",1,IF(H303="基本吻合",0.75,IF(H303="部分吻合",0.5,IF(H303="明显不符",0,"")))))</x:f>
      </x:c>
      <x:c r="J303" s="34" t="str"/>
      <x:c r="K303" s="34" t="str"/>
      <x:c r="L303" s="34" t="str"/>
      <x:c r="M303" s="34" t="str"/>
      <x:c r="N303" s="34" t="str"/>
      <x:c r="O303" s="34" t="str"/>
      <x:c r="P303" s="34" t="str"/>
      <x:c r="Q303" s="34" t="str"/>
      <x:c r="R303" s="34" t="str"/>
      <x:c r="S303" s="34" t="str"/>
      <x:c r="T303" s="34" t="str"/>
    </x:row>
    <x:row r="304">
      <x:c r="A304" s="34" t="str">
        <x:v>M5-EVAL-0299</x:v>
      </x:c>
      <x:c r="B304" s="34" t="str"/>
      <x:c r="C304" s="34" t="str"/>
      <x:c r="D304" s="34" t="str"/>
      <x:c r="E304" s="34" t="str"/>
      <x:c r="F304" s="34" t="str"/>
      <x:c r="G304" s="34" t="str"/>
      <x:c r="H304" s="34" t="str"/>
      <x:c r="I304" s="38" t="str">
        <x:f>IF(H304="","",IF(H304="完全吻合",1,IF(H304="基本吻合",0.75,IF(H304="部分吻合",0.5,IF(H304="明显不符",0,"")))))</x:f>
      </x:c>
      <x:c r="J304" s="34" t="str"/>
      <x:c r="K304" s="34" t="str"/>
      <x:c r="L304" s="34" t="str"/>
      <x:c r="M304" s="34" t="str"/>
      <x:c r="N304" s="34" t="str"/>
      <x:c r="O304" s="34" t="str"/>
      <x:c r="P304" s="34" t="str"/>
      <x:c r="Q304" s="34" t="str"/>
      <x:c r="R304" s="34" t="str"/>
      <x:c r="S304" s="34" t="str"/>
      <x:c r="T304" s="34" t="str"/>
    </x:row>
    <x:row r="305">
      <x:c r="A305" s="34" t="str">
        <x:v>M5-EVAL-0300</x:v>
      </x:c>
      <x:c r="B305" s="34" t="str"/>
      <x:c r="C305" s="34" t="str"/>
      <x:c r="D305" s="34" t="str"/>
      <x:c r="E305" s="34" t="str"/>
      <x:c r="F305" s="34" t="str"/>
      <x:c r="G305" s="34" t="str"/>
      <x:c r="H305" s="34" t="str"/>
      <x:c r="I305" s="38" t="str">
        <x:f>IF(H305="","",IF(H305="完全吻合",1,IF(H305="基本吻合",0.75,IF(H305="部分吻合",0.5,IF(H305="明显不符",0,"")))))</x:f>
      </x:c>
      <x:c r="J305" s="34" t="str"/>
      <x:c r="K305" s="34" t="str"/>
      <x:c r="L305" s="34" t="str"/>
      <x:c r="M305" s="34" t="str"/>
      <x:c r="N305" s="34" t="str"/>
      <x:c r="O305" s="34" t="str"/>
      <x:c r="P305" s="34" t="str"/>
      <x:c r="Q305" s="34" t="str"/>
      <x:c r="R305" s="34" t="str"/>
      <x:c r="S305" s="34" t="str"/>
      <x:c r="T305" s="34" t="str"/>
    </x:row>
    <x:row r="306">
      <x:c r="A306" s="34" t="str">
        <x:v>M5-EVAL-0301</x:v>
      </x:c>
      <x:c r="B306" s="34" t="str"/>
      <x:c r="C306" s="34" t="str"/>
      <x:c r="D306" s="34" t="str"/>
      <x:c r="E306" s="34" t="str"/>
      <x:c r="F306" s="34" t="str"/>
      <x:c r="G306" s="34" t="str"/>
      <x:c r="H306" s="34" t="str"/>
      <x:c r="I306" s="38" t="str">
        <x:f>IF(H306="","",IF(H306="完全吻合",1,IF(H306="基本吻合",0.75,IF(H306="部分吻合",0.5,IF(H306="明显不符",0,"")))))</x:f>
      </x:c>
      <x:c r="J306" s="34" t="str"/>
      <x:c r="K306" s="34" t="str"/>
      <x:c r="L306" s="34" t="str"/>
      <x:c r="M306" s="34" t="str"/>
      <x:c r="N306" s="34" t="str"/>
      <x:c r="O306" s="34" t="str"/>
      <x:c r="P306" s="34" t="str"/>
      <x:c r="Q306" s="34" t="str"/>
      <x:c r="R306" s="34" t="str"/>
      <x:c r="S306" s="34" t="str"/>
      <x:c r="T306" s="34" t="str"/>
    </x:row>
    <x:row r="307">
      <x:c r="A307" s="34" t="str">
        <x:v>M5-EVAL-0302</x:v>
      </x:c>
      <x:c r="B307" s="34" t="str"/>
      <x:c r="C307" s="34" t="str"/>
      <x:c r="D307" s="34" t="str"/>
      <x:c r="E307" s="34" t="str"/>
      <x:c r="F307" s="34" t="str"/>
      <x:c r="G307" s="34" t="str"/>
      <x:c r="H307" s="34" t="str"/>
      <x:c r="I307" s="38" t="str">
        <x:f>IF(H307="","",IF(H307="完全吻合",1,IF(H307="基本吻合",0.75,IF(H307="部分吻合",0.5,IF(H307="明显不符",0,"")))))</x:f>
      </x:c>
      <x:c r="J307" s="34" t="str"/>
      <x:c r="K307" s="34" t="str"/>
      <x:c r="L307" s="34" t="str"/>
      <x:c r="M307" s="34" t="str"/>
      <x:c r="N307" s="34" t="str"/>
      <x:c r="O307" s="34" t="str"/>
      <x:c r="P307" s="34" t="str"/>
      <x:c r="Q307" s="34" t="str"/>
      <x:c r="R307" s="34" t="str"/>
      <x:c r="S307" s="34" t="str"/>
      <x:c r="T307" s="34" t="str"/>
    </x:row>
    <x:row r="308">
      <x:c r="A308" s="34" t="str">
        <x:v>M5-EVAL-0303</x:v>
      </x:c>
      <x:c r="B308" s="34" t="str"/>
      <x:c r="C308" s="34" t="str"/>
      <x:c r="D308" s="34" t="str"/>
      <x:c r="E308" s="34" t="str"/>
      <x:c r="F308" s="34" t="str"/>
      <x:c r="G308" s="34" t="str"/>
      <x:c r="H308" s="34" t="str"/>
      <x:c r="I308" s="38" t="str">
        <x:f>IF(H308="","",IF(H308="完全吻合",1,IF(H308="基本吻合",0.75,IF(H308="部分吻合",0.5,IF(H308="明显不符",0,"")))))</x:f>
      </x:c>
      <x:c r="J308" s="34" t="str"/>
      <x:c r="K308" s="34" t="str"/>
      <x:c r="L308" s="34" t="str"/>
      <x:c r="M308" s="34" t="str"/>
      <x:c r="N308" s="34" t="str"/>
      <x:c r="O308" s="34" t="str"/>
      <x:c r="P308" s="34" t="str"/>
      <x:c r="Q308" s="34" t="str"/>
      <x:c r="R308" s="34" t="str"/>
      <x:c r="S308" s="34" t="str"/>
      <x:c r="T308" s="34" t="str"/>
    </x:row>
    <x:row r="309">
      <x:c r="A309" s="34" t="str">
        <x:v>M5-EVAL-0304</x:v>
      </x:c>
      <x:c r="B309" s="34" t="str"/>
      <x:c r="C309" s="34" t="str"/>
      <x:c r="D309" s="34" t="str"/>
      <x:c r="E309" s="34" t="str"/>
      <x:c r="F309" s="34" t="str"/>
      <x:c r="G309" s="34" t="str"/>
      <x:c r="H309" s="34" t="str"/>
      <x:c r="I309" s="38" t="str">
        <x:f>IF(H309="","",IF(H309="完全吻合",1,IF(H309="基本吻合",0.75,IF(H309="部分吻合",0.5,IF(H309="明显不符",0,"")))))</x:f>
      </x:c>
      <x:c r="J309" s="34" t="str"/>
      <x:c r="K309" s="34" t="str"/>
      <x:c r="L309" s="34" t="str"/>
      <x:c r="M309" s="34" t="str"/>
      <x:c r="N309" s="34" t="str"/>
      <x:c r="O309" s="34" t="str"/>
      <x:c r="P309" s="34" t="str"/>
      <x:c r="Q309" s="34" t="str"/>
      <x:c r="R309" s="34" t="str"/>
      <x:c r="S309" s="34" t="str"/>
      <x:c r="T309" s="34" t="str"/>
    </x:row>
    <x:row r="310">
      <x:c r="A310" s="34" t="str">
        <x:v>M5-EVAL-0305</x:v>
      </x:c>
      <x:c r="B310" s="34" t="str"/>
      <x:c r="C310" s="34" t="str"/>
      <x:c r="D310" s="34" t="str"/>
      <x:c r="E310" s="34" t="str"/>
      <x:c r="F310" s="34" t="str"/>
      <x:c r="G310" s="34" t="str"/>
      <x:c r="H310" s="34" t="str"/>
      <x:c r="I310" s="38" t="str">
        <x:f>IF(H310="","",IF(H310="完全吻合",1,IF(H310="基本吻合",0.75,IF(H310="部分吻合",0.5,IF(H310="明显不符",0,"")))))</x:f>
      </x:c>
      <x:c r="J310" s="34" t="str"/>
      <x:c r="K310" s="34" t="str"/>
      <x:c r="L310" s="34" t="str"/>
      <x:c r="M310" s="34" t="str"/>
      <x:c r="N310" s="34" t="str"/>
      <x:c r="O310" s="34" t="str"/>
      <x:c r="P310" s="34" t="str"/>
      <x:c r="Q310" s="34" t="str"/>
      <x:c r="R310" s="34" t="str"/>
      <x:c r="S310" s="34" t="str"/>
      <x:c r="T310" s="34" t="str"/>
    </x:row>
    <x:row r="311">
      <x:c r="A311" s="34" t="str">
        <x:v>M5-EVAL-0306</x:v>
      </x:c>
      <x:c r="B311" s="34" t="str"/>
      <x:c r="C311" s="34" t="str"/>
      <x:c r="D311" s="34" t="str"/>
      <x:c r="E311" s="34" t="str"/>
      <x:c r="F311" s="34" t="str"/>
      <x:c r="G311" s="34" t="str"/>
      <x:c r="H311" s="34" t="str"/>
      <x:c r="I311" s="38" t="str">
        <x:f>IF(H311="","",IF(H311="完全吻合",1,IF(H311="基本吻合",0.75,IF(H311="部分吻合",0.5,IF(H311="明显不符",0,"")))))</x:f>
      </x:c>
      <x:c r="J311" s="34" t="str"/>
      <x:c r="K311" s="34" t="str"/>
      <x:c r="L311" s="34" t="str"/>
      <x:c r="M311" s="34" t="str"/>
      <x:c r="N311" s="34" t="str"/>
      <x:c r="O311" s="34" t="str"/>
      <x:c r="P311" s="34" t="str"/>
      <x:c r="Q311" s="34" t="str"/>
      <x:c r="R311" s="34" t="str"/>
      <x:c r="S311" s="34" t="str"/>
      <x:c r="T311" s="34" t="str"/>
    </x:row>
    <x:row r="312">
      <x:c r="A312" s="34" t="str">
        <x:v>M5-EVAL-0307</x:v>
      </x:c>
      <x:c r="B312" s="34" t="str"/>
      <x:c r="C312" s="34" t="str"/>
      <x:c r="D312" s="34" t="str"/>
      <x:c r="E312" s="34" t="str"/>
      <x:c r="F312" s="34" t="str"/>
      <x:c r="G312" s="34" t="str"/>
      <x:c r="H312" s="34" t="str"/>
      <x:c r="I312" s="38" t="str">
        <x:f>IF(H312="","",IF(H312="完全吻合",1,IF(H312="基本吻合",0.75,IF(H312="部分吻合",0.5,IF(H312="明显不符",0,"")))))</x:f>
      </x:c>
      <x:c r="J312" s="34" t="str"/>
      <x:c r="K312" s="34" t="str"/>
      <x:c r="L312" s="34" t="str"/>
      <x:c r="M312" s="34" t="str"/>
      <x:c r="N312" s="34" t="str"/>
      <x:c r="O312" s="34" t="str"/>
      <x:c r="P312" s="34" t="str"/>
      <x:c r="Q312" s="34" t="str"/>
      <x:c r="R312" s="34" t="str"/>
      <x:c r="S312" s="34" t="str"/>
      <x:c r="T312" s="34" t="str"/>
    </x:row>
    <x:row r="313">
      <x:c r="A313" s="34" t="str">
        <x:v>M5-EVAL-0308</x:v>
      </x:c>
      <x:c r="B313" s="34" t="str"/>
      <x:c r="C313" s="34" t="str"/>
      <x:c r="D313" s="34" t="str"/>
      <x:c r="E313" s="34" t="str"/>
      <x:c r="F313" s="34" t="str"/>
      <x:c r="G313" s="34" t="str"/>
      <x:c r="H313" s="34" t="str"/>
      <x:c r="I313" s="38" t="str">
        <x:f>IF(H313="","",IF(H313="完全吻合",1,IF(H313="基本吻合",0.75,IF(H313="部分吻合",0.5,IF(H313="明显不符",0,"")))))</x:f>
      </x:c>
      <x:c r="J313" s="34" t="str"/>
      <x:c r="K313" s="34" t="str"/>
      <x:c r="L313" s="34" t="str"/>
      <x:c r="M313" s="34" t="str"/>
      <x:c r="N313" s="34" t="str"/>
      <x:c r="O313" s="34" t="str"/>
      <x:c r="P313" s="34" t="str"/>
      <x:c r="Q313" s="34" t="str"/>
      <x:c r="R313" s="34" t="str"/>
      <x:c r="S313" s="34" t="str"/>
      <x:c r="T313" s="34" t="str"/>
    </x:row>
    <x:row r="314">
      <x:c r="A314" s="34" t="str">
        <x:v>M5-EVAL-0309</x:v>
      </x:c>
      <x:c r="B314" s="34" t="str"/>
      <x:c r="C314" s="34" t="str"/>
      <x:c r="D314" s="34" t="str"/>
      <x:c r="E314" s="34" t="str"/>
      <x:c r="F314" s="34" t="str"/>
      <x:c r="G314" s="34" t="str"/>
      <x:c r="H314" s="34" t="str"/>
      <x:c r="I314" s="38" t="str">
        <x:f>IF(H314="","",IF(H314="完全吻合",1,IF(H314="基本吻合",0.75,IF(H314="部分吻合",0.5,IF(H314="明显不符",0,"")))))</x:f>
      </x:c>
      <x:c r="J314" s="34" t="str"/>
      <x:c r="K314" s="34" t="str"/>
      <x:c r="L314" s="34" t="str"/>
      <x:c r="M314" s="34" t="str"/>
      <x:c r="N314" s="34" t="str"/>
      <x:c r="O314" s="34" t="str"/>
      <x:c r="P314" s="34" t="str"/>
      <x:c r="Q314" s="34" t="str"/>
      <x:c r="R314" s="34" t="str"/>
      <x:c r="S314" s="34" t="str"/>
      <x:c r="T314" s="34" t="str"/>
    </x:row>
    <x:row r="315">
      <x:c r="A315" s="34" t="str">
        <x:v>M5-EVAL-0310</x:v>
      </x:c>
      <x:c r="B315" s="34" t="str"/>
      <x:c r="C315" s="34" t="str"/>
      <x:c r="D315" s="34" t="str"/>
      <x:c r="E315" s="34" t="str"/>
      <x:c r="F315" s="34" t="str"/>
      <x:c r="G315" s="34" t="str"/>
      <x:c r="H315" s="34" t="str"/>
      <x:c r="I315" s="38" t="str">
        <x:f>IF(H315="","",IF(H315="完全吻合",1,IF(H315="基本吻合",0.75,IF(H315="部分吻合",0.5,IF(H315="明显不符",0,"")))))</x:f>
      </x:c>
      <x:c r="J315" s="34" t="str"/>
      <x:c r="K315" s="34" t="str"/>
      <x:c r="L315" s="34" t="str"/>
      <x:c r="M315" s="34" t="str"/>
      <x:c r="N315" s="34" t="str"/>
      <x:c r="O315" s="34" t="str"/>
      <x:c r="P315" s="34" t="str"/>
      <x:c r="Q315" s="34" t="str"/>
      <x:c r="R315" s="34" t="str"/>
      <x:c r="S315" s="34" t="str"/>
      <x:c r="T315" s="34" t="str"/>
    </x:row>
    <x:row r="316">
      <x:c r="A316" s="34" t="str">
        <x:v>M5-EVAL-0311</x:v>
      </x:c>
      <x:c r="B316" s="34" t="str"/>
      <x:c r="C316" s="34" t="str"/>
      <x:c r="D316" s="34" t="str"/>
      <x:c r="E316" s="34" t="str"/>
      <x:c r="F316" s="34" t="str"/>
      <x:c r="G316" s="34" t="str"/>
      <x:c r="H316" s="34" t="str"/>
      <x:c r="I316" s="38" t="str">
        <x:f>IF(H316="","",IF(H316="完全吻合",1,IF(H316="基本吻合",0.75,IF(H316="部分吻合",0.5,IF(H316="明显不符",0,"")))))</x:f>
      </x:c>
      <x:c r="J316" s="34" t="str"/>
      <x:c r="K316" s="34" t="str"/>
      <x:c r="L316" s="34" t="str"/>
      <x:c r="M316" s="34" t="str"/>
      <x:c r="N316" s="34" t="str"/>
      <x:c r="O316" s="34" t="str"/>
      <x:c r="P316" s="34" t="str"/>
      <x:c r="Q316" s="34" t="str"/>
      <x:c r="R316" s="34" t="str"/>
      <x:c r="S316" s="34" t="str"/>
      <x:c r="T316" s="34" t="str"/>
    </x:row>
    <x:row r="317">
      <x:c r="A317" s="34" t="str">
        <x:v>M5-EVAL-0312</x:v>
      </x:c>
      <x:c r="B317" s="34" t="str"/>
      <x:c r="C317" s="34" t="str"/>
      <x:c r="D317" s="34" t="str"/>
      <x:c r="E317" s="34" t="str"/>
      <x:c r="F317" s="34" t="str"/>
      <x:c r="G317" s="34" t="str"/>
      <x:c r="H317" s="34" t="str"/>
      <x:c r="I317" s="38" t="str">
        <x:f>IF(H317="","",IF(H317="完全吻合",1,IF(H317="基本吻合",0.75,IF(H317="部分吻合",0.5,IF(H317="明显不符",0,"")))))</x:f>
      </x:c>
      <x:c r="J317" s="34" t="str"/>
      <x:c r="K317" s="34" t="str"/>
      <x:c r="L317" s="34" t="str"/>
      <x:c r="M317" s="34" t="str"/>
      <x:c r="N317" s="34" t="str"/>
      <x:c r="O317" s="34" t="str"/>
      <x:c r="P317" s="34" t="str"/>
      <x:c r="Q317" s="34" t="str"/>
      <x:c r="R317" s="34" t="str"/>
      <x:c r="S317" s="34" t="str"/>
      <x:c r="T317" s="34" t="str"/>
    </x:row>
    <x:row r="318">
      <x:c r="A318" s="34" t="str">
        <x:v>M5-EVAL-0313</x:v>
      </x:c>
      <x:c r="B318" s="34" t="str"/>
      <x:c r="C318" s="34" t="str"/>
      <x:c r="D318" s="34" t="str"/>
      <x:c r="E318" s="34" t="str"/>
      <x:c r="F318" s="34" t="str"/>
      <x:c r="G318" s="34" t="str"/>
      <x:c r="H318" s="34" t="str"/>
      <x:c r="I318" s="38" t="str">
        <x:f>IF(H318="","",IF(H318="完全吻合",1,IF(H318="基本吻合",0.75,IF(H318="部分吻合",0.5,IF(H318="明显不符",0,"")))))</x:f>
      </x:c>
      <x:c r="J318" s="34" t="str"/>
      <x:c r="K318" s="34" t="str"/>
      <x:c r="L318" s="34" t="str"/>
      <x:c r="M318" s="34" t="str"/>
      <x:c r="N318" s="34" t="str"/>
      <x:c r="O318" s="34" t="str"/>
      <x:c r="P318" s="34" t="str"/>
      <x:c r="Q318" s="34" t="str"/>
      <x:c r="R318" s="34" t="str"/>
      <x:c r="S318" s="34" t="str"/>
      <x:c r="T318" s="34" t="str"/>
    </x:row>
    <x:row r="319">
      <x:c r="A319" s="34" t="str">
        <x:v>M5-EVAL-0314</x:v>
      </x:c>
      <x:c r="B319" s="34" t="str"/>
      <x:c r="C319" s="34" t="str"/>
      <x:c r="D319" s="34" t="str"/>
      <x:c r="E319" s="34" t="str"/>
      <x:c r="F319" s="34" t="str"/>
      <x:c r="G319" s="34" t="str"/>
      <x:c r="H319" s="34" t="str"/>
      <x:c r="I319" s="38" t="str">
        <x:f>IF(H319="","",IF(H319="完全吻合",1,IF(H319="基本吻合",0.75,IF(H319="部分吻合",0.5,IF(H319="明显不符",0,"")))))</x:f>
      </x:c>
      <x:c r="J319" s="34" t="str"/>
      <x:c r="K319" s="34" t="str"/>
      <x:c r="L319" s="34" t="str"/>
      <x:c r="M319" s="34" t="str"/>
      <x:c r="N319" s="34" t="str"/>
      <x:c r="O319" s="34" t="str"/>
      <x:c r="P319" s="34" t="str"/>
      <x:c r="Q319" s="34" t="str"/>
      <x:c r="R319" s="34" t="str"/>
      <x:c r="S319" s="34" t="str"/>
      <x:c r="T319" s="34" t="str"/>
    </x:row>
    <x:row r="320">
      <x:c r="A320" s="34" t="str">
        <x:v>M5-EVAL-0315</x:v>
      </x:c>
      <x:c r="B320" s="34" t="str"/>
      <x:c r="C320" s="34" t="str"/>
      <x:c r="D320" s="34" t="str"/>
      <x:c r="E320" s="34" t="str"/>
      <x:c r="F320" s="34" t="str"/>
      <x:c r="G320" s="34" t="str"/>
      <x:c r="H320" s="34" t="str"/>
      <x:c r="I320" s="38" t="str">
        <x:f>IF(H320="","",IF(H320="完全吻合",1,IF(H320="基本吻合",0.75,IF(H320="部分吻合",0.5,IF(H320="明显不符",0,"")))))</x:f>
      </x:c>
      <x:c r="J320" s="34" t="str"/>
      <x:c r="K320" s="34" t="str"/>
      <x:c r="L320" s="34" t="str"/>
      <x:c r="M320" s="34" t="str"/>
      <x:c r="N320" s="34" t="str"/>
      <x:c r="O320" s="34" t="str"/>
      <x:c r="P320" s="34" t="str"/>
      <x:c r="Q320" s="34" t="str"/>
      <x:c r="R320" s="34" t="str"/>
      <x:c r="S320" s="34" t="str"/>
      <x:c r="T320" s="34" t="str"/>
    </x:row>
    <x:row r="321">
      <x:c r="A321" s="34" t="str">
        <x:v>M5-EVAL-0316</x:v>
      </x:c>
      <x:c r="B321" s="34" t="str"/>
      <x:c r="C321" s="34" t="str"/>
      <x:c r="D321" s="34" t="str"/>
      <x:c r="E321" s="34" t="str"/>
      <x:c r="F321" s="34" t="str"/>
      <x:c r="G321" s="34" t="str"/>
      <x:c r="H321" s="34" t="str"/>
      <x:c r="I321" s="38" t="str">
        <x:f>IF(H321="","",IF(H321="完全吻合",1,IF(H321="基本吻合",0.75,IF(H321="部分吻合",0.5,IF(H321="明显不符",0,"")))))</x:f>
      </x:c>
      <x:c r="J321" s="34" t="str"/>
      <x:c r="K321" s="34" t="str"/>
      <x:c r="L321" s="34" t="str"/>
      <x:c r="M321" s="34" t="str"/>
      <x:c r="N321" s="34" t="str"/>
      <x:c r="O321" s="34" t="str"/>
      <x:c r="P321" s="34" t="str"/>
      <x:c r="Q321" s="34" t="str"/>
      <x:c r="R321" s="34" t="str"/>
      <x:c r="S321" s="34" t="str"/>
      <x:c r="T321" s="34" t="str"/>
    </x:row>
    <x:row r="322">
      <x:c r="A322" s="34" t="str">
        <x:v>M5-EVAL-0317</x:v>
      </x:c>
      <x:c r="B322" s="34" t="str"/>
      <x:c r="C322" s="34" t="str"/>
      <x:c r="D322" s="34" t="str"/>
      <x:c r="E322" s="34" t="str"/>
      <x:c r="F322" s="34" t="str"/>
      <x:c r="G322" s="34" t="str"/>
      <x:c r="H322" s="34" t="str"/>
      <x:c r="I322" s="38" t="str">
        <x:f>IF(H322="","",IF(H322="完全吻合",1,IF(H322="基本吻合",0.75,IF(H322="部分吻合",0.5,IF(H322="明显不符",0,"")))))</x:f>
      </x:c>
      <x:c r="J322" s="34" t="str"/>
      <x:c r="K322" s="34" t="str"/>
      <x:c r="L322" s="34" t="str"/>
      <x:c r="M322" s="34" t="str"/>
      <x:c r="N322" s="34" t="str"/>
      <x:c r="O322" s="34" t="str"/>
      <x:c r="P322" s="34" t="str"/>
      <x:c r="Q322" s="34" t="str"/>
      <x:c r="R322" s="34" t="str"/>
      <x:c r="S322" s="34" t="str"/>
      <x:c r="T322" s="34" t="str"/>
    </x:row>
    <x:row r="323">
      <x:c r="A323" s="34" t="str">
        <x:v>M5-EVAL-0318</x:v>
      </x:c>
      <x:c r="B323" s="34" t="str"/>
      <x:c r="C323" s="34" t="str"/>
      <x:c r="D323" s="34" t="str"/>
      <x:c r="E323" s="34" t="str"/>
      <x:c r="F323" s="34" t="str"/>
      <x:c r="G323" s="34" t="str"/>
      <x:c r="H323" s="34" t="str"/>
      <x:c r="I323" s="38" t="str">
        <x:f>IF(H323="","",IF(H323="完全吻合",1,IF(H323="基本吻合",0.75,IF(H323="部分吻合",0.5,IF(H323="明显不符",0,"")))))</x:f>
      </x:c>
      <x:c r="J323" s="34" t="str"/>
      <x:c r="K323" s="34" t="str"/>
      <x:c r="L323" s="34" t="str"/>
      <x:c r="M323" s="34" t="str"/>
      <x:c r="N323" s="34" t="str"/>
      <x:c r="O323" s="34" t="str"/>
      <x:c r="P323" s="34" t="str"/>
      <x:c r="Q323" s="34" t="str"/>
      <x:c r="R323" s="34" t="str"/>
      <x:c r="S323" s="34" t="str"/>
      <x:c r="T323" s="34" t="str"/>
    </x:row>
    <x:row r="324">
      <x:c r="A324" s="34" t="str">
        <x:v>M5-EVAL-0319</x:v>
      </x:c>
      <x:c r="B324" s="34" t="str"/>
      <x:c r="C324" s="34" t="str"/>
      <x:c r="D324" s="34" t="str"/>
      <x:c r="E324" s="34" t="str"/>
      <x:c r="F324" s="34" t="str"/>
      <x:c r="G324" s="34" t="str"/>
      <x:c r="H324" s="34" t="str"/>
      <x:c r="I324" s="38" t="str">
        <x:f>IF(H324="","",IF(H324="完全吻合",1,IF(H324="基本吻合",0.75,IF(H324="部分吻合",0.5,IF(H324="明显不符",0,"")))))</x:f>
      </x:c>
      <x:c r="J324" s="34" t="str"/>
      <x:c r="K324" s="34" t="str"/>
      <x:c r="L324" s="34" t="str"/>
      <x:c r="M324" s="34" t="str"/>
      <x:c r="N324" s="34" t="str"/>
      <x:c r="O324" s="34" t="str"/>
      <x:c r="P324" s="34" t="str"/>
      <x:c r="Q324" s="34" t="str"/>
      <x:c r="R324" s="34" t="str"/>
      <x:c r="S324" s="34" t="str"/>
      <x:c r="T324" s="34" t="str"/>
    </x:row>
    <x:row r="325">
      <x:c r="A325" s="34" t="str">
        <x:v>M5-EVAL-0320</x:v>
      </x:c>
      <x:c r="B325" s="34" t="str"/>
      <x:c r="C325" s="34" t="str"/>
      <x:c r="D325" s="34" t="str"/>
      <x:c r="E325" s="34" t="str"/>
      <x:c r="F325" s="34" t="str"/>
      <x:c r="G325" s="34" t="str"/>
      <x:c r="H325" s="34" t="str"/>
      <x:c r="I325" s="38" t="str">
        <x:f>IF(H325="","",IF(H325="完全吻合",1,IF(H325="基本吻合",0.75,IF(H325="部分吻合",0.5,IF(H325="明显不符",0,"")))))</x:f>
      </x:c>
      <x:c r="J325" s="34" t="str"/>
      <x:c r="K325" s="34" t="str"/>
      <x:c r="L325" s="34" t="str"/>
      <x:c r="M325" s="34" t="str"/>
      <x:c r="N325" s="34" t="str"/>
      <x:c r="O325" s="34" t="str"/>
      <x:c r="P325" s="34" t="str"/>
      <x:c r="Q325" s="34" t="str"/>
      <x:c r="R325" s="34" t="str"/>
      <x:c r="S325" s="34" t="str"/>
      <x:c r="T325" s="34" t="str"/>
    </x:row>
    <x:row r="326">
      <x:c r="A326" s="34" t="str">
        <x:v>M5-EVAL-0321</x:v>
      </x:c>
      <x:c r="B326" s="34" t="str"/>
      <x:c r="C326" s="34" t="str"/>
      <x:c r="D326" s="34" t="str"/>
      <x:c r="E326" s="34" t="str"/>
      <x:c r="F326" s="34" t="str"/>
      <x:c r="G326" s="34" t="str"/>
      <x:c r="H326" s="34" t="str"/>
      <x:c r="I326" s="38" t="str">
        <x:f>IF(H326="","",IF(H326="完全吻合",1,IF(H326="基本吻合",0.75,IF(H326="部分吻合",0.5,IF(H326="明显不符",0,"")))))</x:f>
      </x:c>
      <x:c r="J326" s="34" t="str"/>
      <x:c r="K326" s="34" t="str"/>
      <x:c r="L326" s="34" t="str"/>
      <x:c r="M326" s="34" t="str"/>
      <x:c r="N326" s="34" t="str"/>
      <x:c r="O326" s="34" t="str"/>
      <x:c r="P326" s="34" t="str"/>
      <x:c r="Q326" s="34" t="str"/>
      <x:c r="R326" s="34" t="str"/>
      <x:c r="S326" s="34" t="str"/>
      <x:c r="T326" s="34" t="str"/>
    </x:row>
    <x:row r="327">
      <x:c r="A327" s="34" t="str">
        <x:v>M5-EVAL-0322</x:v>
      </x:c>
      <x:c r="B327" s="34" t="str"/>
      <x:c r="C327" s="34" t="str"/>
      <x:c r="D327" s="34" t="str"/>
      <x:c r="E327" s="34" t="str"/>
      <x:c r="F327" s="34" t="str"/>
      <x:c r="G327" s="34" t="str"/>
      <x:c r="H327" s="34" t="str"/>
      <x:c r="I327" s="38" t="str">
        <x:f>IF(H327="","",IF(H327="完全吻合",1,IF(H327="基本吻合",0.75,IF(H327="部分吻合",0.5,IF(H327="明显不符",0,"")))))</x:f>
      </x:c>
      <x:c r="J327" s="34" t="str"/>
      <x:c r="K327" s="34" t="str"/>
      <x:c r="L327" s="34" t="str"/>
      <x:c r="M327" s="34" t="str"/>
      <x:c r="N327" s="34" t="str"/>
      <x:c r="O327" s="34" t="str"/>
      <x:c r="P327" s="34" t="str"/>
      <x:c r="Q327" s="34" t="str"/>
      <x:c r="R327" s="34" t="str"/>
      <x:c r="S327" s="34" t="str"/>
      <x:c r="T327" s="34" t="str"/>
    </x:row>
    <x:row r="328">
      <x:c r="A328" s="34" t="str">
        <x:v>M5-EVAL-0323</x:v>
      </x:c>
      <x:c r="B328" s="34" t="str"/>
      <x:c r="C328" s="34" t="str"/>
      <x:c r="D328" s="34" t="str"/>
      <x:c r="E328" s="34" t="str"/>
      <x:c r="F328" s="34" t="str"/>
      <x:c r="G328" s="34" t="str"/>
      <x:c r="H328" s="34" t="str"/>
      <x:c r="I328" s="38" t="str">
        <x:f>IF(H328="","",IF(H328="完全吻合",1,IF(H328="基本吻合",0.75,IF(H328="部分吻合",0.5,IF(H328="明显不符",0,"")))))</x:f>
      </x:c>
      <x:c r="J328" s="34" t="str"/>
      <x:c r="K328" s="34" t="str"/>
      <x:c r="L328" s="34" t="str"/>
      <x:c r="M328" s="34" t="str"/>
      <x:c r="N328" s="34" t="str"/>
      <x:c r="O328" s="34" t="str"/>
      <x:c r="P328" s="34" t="str"/>
      <x:c r="Q328" s="34" t="str"/>
      <x:c r="R328" s="34" t="str"/>
      <x:c r="S328" s="34" t="str"/>
      <x:c r="T328" s="34" t="str"/>
    </x:row>
    <x:row r="329">
      <x:c r="A329" s="34" t="str">
        <x:v>M5-EVAL-0324</x:v>
      </x:c>
      <x:c r="B329" s="34" t="str"/>
      <x:c r="C329" s="34" t="str"/>
      <x:c r="D329" s="34" t="str"/>
      <x:c r="E329" s="34" t="str"/>
      <x:c r="F329" s="34" t="str"/>
      <x:c r="G329" s="34" t="str"/>
      <x:c r="H329" s="34" t="str"/>
      <x:c r="I329" s="38" t="str">
        <x:f>IF(H329="","",IF(H329="完全吻合",1,IF(H329="基本吻合",0.75,IF(H329="部分吻合",0.5,IF(H329="明显不符",0,"")))))</x:f>
      </x:c>
      <x:c r="J329" s="34" t="str"/>
      <x:c r="K329" s="34" t="str"/>
      <x:c r="L329" s="34" t="str"/>
      <x:c r="M329" s="34" t="str"/>
      <x:c r="N329" s="34" t="str"/>
      <x:c r="O329" s="34" t="str"/>
      <x:c r="P329" s="34" t="str"/>
      <x:c r="Q329" s="34" t="str"/>
      <x:c r="R329" s="34" t="str"/>
      <x:c r="S329" s="34" t="str"/>
      <x:c r="T329" s="34" t="str"/>
    </x:row>
    <x:row r="330">
      <x:c r="A330" s="34" t="str">
        <x:v>M5-EVAL-0325</x:v>
      </x:c>
      <x:c r="B330" s="34" t="str"/>
      <x:c r="C330" s="34" t="str"/>
      <x:c r="D330" s="34" t="str"/>
      <x:c r="E330" s="34" t="str"/>
      <x:c r="F330" s="34" t="str"/>
      <x:c r="G330" s="34" t="str"/>
      <x:c r="H330" s="34" t="str"/>
      <x:c r="I330" s="38" t="str">
        <x:f>IF(H330="","",IF(H330="完全吻合",1,IF(H330="基本吻合",0.75,IF(H330="部分吻合",0.5,IF(H330="明显不符",0,"")))))</x:f>
      </x:c>
      <x:c r="J330" s="34" t="str"/>
      <x:c r="K330" s="34" t="str"/>
      <x:c r="L330" s="34" t="str"/>
      <x:c r="M330" s="34" t="str"/>
      <x:c r="N330" s="34" t="str"/>
      <x:c r="O330" s="34" t="str"/>
      <x:c r="P330" s="34" t="str"/>
      <x:c r="Q330" s="34" t="str"/>
      <x:c r="R330" s="34" t="str"/>
      <x:c r="S330" s="34" t="str"/>
      <x:c r="T330" s="34" t="str"/>
    </x:row>
    <x:row r="331">
      <x:c r="A331" s="34" t="str">
        <x:v>M5-EVAL-0326</x:v>
      </x:c>
      <x:c r="B331" s="34" t="str"/>
      <x:c r="C331" s="34" t="str"/>
      <x:c r="D331" s="34" t="str"/>
      <x:c r="E331" s="34" t="str"/>
      <x:c r="F331" s="34" t="str"/>
      <x:c r="G331" s="34" t="str"/>
      <x:c r="H331" s="34" t="str"/>
      <x:c r="I331" s="38" t="str">
        <x:f>IF(H331="","",IF(H331="完全吻合",1,IF(H331="基本吻合",0.75,IF(H331="部分吻合",0.5,IF(H331="明显不符",0,"")))))</x:f>
      </x:c>
      <x:c r="J331" s="34" t="str"/>
      <x:c r="K331" s="34" t="str"/>
      <x:c r="L331" s="34" t="str"/>
      <x:c r="M331" s="34" t="str"/>
      <x:c r="N331" s="34" t="str"/>
      <x:c r="O331" s="34" t="str"/>
      <x:c r="P331" s="34" t="str"/>
      <x:c r="Q331" s="34" t="str"/>
      <x:c r="R331" s="34" t="str"/>
      <x:c r="S331" s="34" t="str"/>
      <x:c r="T331" s="34" t="str"/>
    </x:row>
    <x:row r="332">
      <x:c r="A332" s="34" t="str">
        <x:v>M5-EVAL-0327</x:v>
      </x:c>
      <x:c r="B332" s="34" t="str"/>
      <x:c r="C332" s="34" t="str"/>
      <x:c r="D332" s="34" t="str"/>
      <x:c r="E332" s="34" t="str"/>
      <x:c r="F332" s="34" t="str"/>
      <x:c r="G332" s="34" t="str"/>
      <x:c r="H332" s="34" t="str"/>
      <x:c r="I332" s="38" t="str">
        <x:f>IF(H332="","",IF(H332="完全吻合",1,IF(H332="基本吻合",0.75,IF(H332="部分吻合",0.5,IF(H332="明显不符",0,"")))))</x:f>
      </x:c>
      <x:c r="J332" s="34" t="str"/>
      <x:c r="K332" s="34" t="str"/>
      <x:c r="L332" s="34" t="str"/>
      <x:c r="M332" s="34" t="str"/>
      <x:c r="N332" s="34" t="str"/>
      <x:c r="O332" s="34" t="str"/>
      <x:c r="P332" s="34" t="str"/>
      <x:c r="Q332" s="34" t="str"/>
      <x:c r="R332" s="34" t="str"/>
      <x:c r="S332" s="34" t="str"/>
      <x:c r="T332" s="34" t="str"/>
    </x:row>
    <x:row r="333">
      <x:c r="A333" s="34" t="str">
        <x:v>M5-EVAL-0328</x:v>
      </x:c>
      <x:c r="B333" s="34" t="str"/>
      <x:c r="C333" s="34" t="str"/>
      <x:c r="D333" s="34" t="str"/>
      <x:c r="E333" s="34" t="str"/>
      <x:c r="F333" s="34" t="str"/>
      <x:c r="G333" s="34" t="str"/>
      <x:c r="H333" s="34" t="str"/>
      <x:c r="I333" s="38" t="str">
        <x:f>IF(H333="","",IF(H333="完全吻合",1,IF(H333="基本吻合",0.75,IF(H333="部分吻合",0.5,IF(H333="明显不符",0,"")))))</x:f>
      </x:c>
      <x:c r="J333" s="34" t="str"/>
      <x:c r="K333" s="34" t="str"/>
      <x:c r="L333" s="34" t="str"/>
      <x:c r="M333" s="34" t="str"/>
      <x:c r="N333" s="34" t="str"/>
      <x:c r="O333" s="34" t="str"/>
      <x:c r="P333" s="34" t="str"/>
      <x:c r="Q333" s="34" t="str"/>
      <x:c r="R333" s="34" t="str"/>
      <x:c r="S333" s="34" t="str"/>
      <x:c r="T333" s="34" t="str"/>
    </x:row>
    <x:row r="334">
      <x:c r="A334" s="34" t="str">
        <x:v>M5-EVAL-0329</x:v>
      </x:c>
      <x:c r="B334" s="34" t="str"/>
      <x:c r="C334" s="34" t="str"/>
      <x:c r="D334" s="34" t="str"/>
      <x:c r="E334" s="34" t="str"/>
      <x:c r="F334" s="34" t="str"/>
      <x:c r="G334" s="34" t="str"/>
      <x:c r="H334" s="34" t="str"/>
      <x:c r="I334" s="38" t="str">
        <x:f>IF(H334="","",IF(H334="完全吻合",1,IF(H334="基本吻合",0.75,IF(H334="部分吻合",0.5,IF(H334="明显不符",0,"")))))</x:f>
      </x:c>
      <x:c r="J334" s="34" t="str"/>
      <x:c r="K334" s="34" t="str"/>
      <x:c r="L334" s="34" t="str"/>
      <x:c r="M334" s="34" t="str"/>
      <x:c r="N334" s="34" t="str"/>
      <x:c r="O334" s="34" t="str"/>
      <x:c r="P334" s="34" t="str"/>
      <x:c r="Q334" s="34" t="str"/>
      <x:c r="R334" s="34" t="str"/>
      <x:c r="S334" s="34" t="str"/>
      <x:c r="T334" s="34" t="str"/>
    </x:row>
    <x:row r="335">
      <x:c r="A335" s="34" t="str">
        <x:v>M5-EVAL-0330</x:v>
      </x:c>
      <x:c r="B335" s="34" t="str"/>
      <x:c r="C335" s="34" t="str"/>
      <x:c r="D335" s="34" t="str"/>
      <x:c r="E335" s="34" t="str"/>
      <x:c r="F335" s="34" t="str"/>
      <x:c r="G335" s="34" t="str"/>
      <x:c r="H335" s="34" t="str"/>
      <x:c r="I335" s="38" t="str">
        <x:f>IF(H335="","",IF(H335="完全吻合",1,IF(H335="基本吻合",0.75,IF(H335="部分吻合",0.5,IF(H335="明显不符",0,"")))))</x:f>
      </x:c>
      <x:c r="J335" s="34" t="str"/>
      <x:c r="K335" s="34" t="str"/>
      <x:c r="L335" s="34" t="str"/>
      <x:c r="M335" s="34" t="str"/>
      <x:c r="N335" s="34" t="str"/>
      <x:c r="O335" s="34" t="str"/>
      <x:c r="P335" s="34" t="str"/>
      <x:c r="Q335" s="34" t="str"/>
      <x:c r="R335" s="34" t="str"/>
      <x:c r="S335" s="34" t="str"/>
      <x:c r="T335" s="34" t="str"/>
    </x:row>
    <x:row r="336">
      <x:c r="A336" s="34" t="str">
        <x:v>M5-EVAL-0331</x:v>
      </x:c>
      <x:c r="B336" s="34" t="str"/>
      <x:c r="C336" s="34" t="str"/>
      <x:c r="D336" s="34" t="str"/>
      <x:c r="E336" s="34" t="str"/>
      <x:c r="F336" s="34" t="str"/>
      <x:c r="G336" s="34" t="str"/>
      <x:c r="H336" s="34" t="str"/>
      <x:c r="I336" s="38" t="str">
        <x:f>IF(H336="","",IF(H336="完全吻合",1,IF(H336="基本吻合",0.75,IF(H336="部分吻合",0.5,IF(H336="明显不符",0,"")))))</x:f>
      </x:c>
      <x:c r="J336" s="34" t="str"/>
      <x:c r="K336" s="34" t="str"/>
      <x:c r="L336" s="34" t="str"/>
      <x:c r="M336" s="34" t="str"/>
      <x:c r="N336" s="34" t="str"/>
      <x:c r="O336" s="34" t="str"/>
      <x:c r="P336" s="34" t="str"/>
      <x:c r="Q336" s="34" t="str"/>
      <x:c r="R336" s="34" t="str"/>
      <x:c r="S336" s="34" t="str"/>
      <x:c r="T336" s="34" t="str"/>
    </x:row>
    <x:row r="337">
      <x:c r="A337" s="34" t="str">
        <x:v>M5-EVAL-0332</x:v>
      </x:c>
      <x:c r="B337" s="34" t="str"/>
      <x:c r="C337" s="34" t="str"/>
      <x:c r="D337" s="34" t="str"/>
      <x:c r="E337" s="34" t="str"/>
      <x:c r="F337" s="34" t="str"/>
      <x:c r="G337" s="34" t="str"/>
      <x:c r="H337" s="34" t="str"/>
      <x:c r="I337" s="38" t="str">
        <x:f>IF(H337="","",IF(H337="完全吻合",1,IF(H337="基本吻合",0.75,IF(H337="部分吻合",0.5,IF(H337="明显不符",0,"")))))</x:f>
      </x:c>
      <x:c r="J337" s="34" t="str"/>
      <x:c r="K337" s="34" t="str"/>
      <x:c r="L337" s="34" t="str"/>
      <x:c r="M337" s="34" t="str"/>
      <x:c r="N337" s="34" t="str"/>
      <x:c r="O337" s="34" t="str"/>
      <x:c r="P337" s="34" t="str"/>
      <x:c r="Q337" s="34" t="str"/>
      <x:c r="R337" s="34" t="str"/>
      <x:c r="S337" s="34" t="str"/>
      <x:c r="T337" s="34" t="str"/>
    </x:row>
    <x:row r="338">
      <x:c r="A338" s="34" t="str">
        <x:v>M5-EVAL-0333</x:v>
      </x:c>
      <x:c r="B338" s="34" t="str"/>
      <x:c r="C338" s="34" t="str"/>
      <x:c r="D338" s="34" t="str"/>
      <x:c r="E338" s="34" t="str"/>
      <x:c r="F338" s="34" t="str"/>
      <x:c r="G338" s="34" t="str"/>
      <x:c r="H338" s="34" t="str"/>
      <x:c r="I338" s="38" t="str">
        <x:f>IF(H338="","",IF(H338="完全吻合",1,IF(H338="基本吻合",0.75,IF(H338="部分吻合",0.5,IF(H338="明显不符",0,"")))))</x:f>
      </x:c>
      <x:c r="J338" s="34" t="str"/>
      <x:c r="K338" s="34" t="str"/>
      <x:c r="L338" s="34" t="str"/>
      <x:c r="M338" s="34" t="str"/>
      <x:c r="N338" s="34" t="str"/>
      <x:c r="O338" s="34" t="str"/>
      <x:c r="P338" s="34" t="str"/>
      <x:c r="Q338" s="34" t="str"/>
      <x:c r="R338" s="34" t="str"/>
      <x:c r="S338" s="34" t="str"/>
      <x:c r="T338" s="34" t="str"/>
    </x:row>
    <x:row r="339">
      <x:c r="A339" s="34" t="str">
        <x:v>M5-EVAL-0334</x:v>
      </x:c>
      <x:c r="B339" s="34" t="str"/>
      <x:c r="C339" s="34" t="str"/>
      <x:c r="D339" s="34" t="str"/>
      <x:c r="E339" s="34" t="str"/>
      <x:c r="F339" s="34" t="str"/>
      <x:c r="G339" s="34" t="str"/>
      <x:c r="H339" s="34" t="str"/>
      <x:c r="I339" s="38" t="str">
        <x:f>IF(H339="","",IF(H339="完全吻合",1,IF(H339="基本吻合",0.75,IF(H339="部分吻合",0.5,IF(H339="明显不符",0,"")))))</x:f>
      </x:c>
      <x:c r="J339" s="34" t="str"/>
      <x:c r="K339" s="34" t="str"/>
      <x:c r="L339" s="34" t="str"/>
      <x:c r="M339" s="34" t="str"/>
      <x:c r="N339" s="34" t="str"/>
      <x:c r="O339" s="34" t="str"/>
      <x:c r="P339" s="34" t="str"/>
      <x:c r="Q339" s="34" t="str"/>
      <x:c r="R339" s="34" t="str"/>
      <x:c r="S339" s="34" t="str"/>
      <x:c r="T339" s="34" t="str"/>
    </x:row>
    <x:row r="340">
      <x:c r="A340" s="34" t="str">
        <x:v>M5-EVAL-0335</x:v>
      </x:c>
      <x:c r="B340" s="34" t="str"/>
      <x:c r="C340" s="34" t="str"/>
      <x:c r="D340" s="34" t="str"/>
      <x:c r="E340" s="34" t="str"/>
      <x:c r="F340" s="34" t="str"/>
      <x:c r="G340" s="34" t="str"/>
      <x:c r="H340" s="34" t="str"/>
      <x:c r="I340" s="38" t="str">
        <x:f>IF(H340="","",IF(H340="完全吻合",1,IF(H340="基本吻合",0.75,IF(H340="部分吻合",0.5,IF(H340="明显不符",0,"")))))</x:f>
      </x:c>
      <x:c r="J340" s="34" t="str"/>
      <x:c r="K340" s="34" t="str"/>
      <x:c r="L340" s="34" t="str"/>
      <x:c r="M340" s="34" t="str"/>
      <x:c r="N340" s="34" t="str"/>
      <x:c r="O340" s="34" t="str"/>
      <x:c r="P340" s="34" t="str"/>
      <x:c r="Q340" s="34" t="str"/>
      <x:c r="R340" s="34" t="str"/>
      <x:c r="S340" s="34" t="str"/>
      <x:c r="T340" s="34" t="str"/>
    </x:row>
    <x:row r="341">
      <x:c r="A341" s="34" t="str">
        <x:v>M5-EVAL-0336</x:v>
      </x:c>
      <x:c r="B341" s="34" t="str"/>
      <x:c r="C341" s="34" t="str"/>
      <x:c r="D341" s="34" t="str"/>
      <x:c r="E341" s="34" t="str"/>
      <x:c r="F341" s="34" t="str"/>
      <x:c r="G341" s="34" t="str"/>
      <x:c r="H341" s="34" t="str"/>
      <x:c r="I341" s="38" t="str">
        <x:f>IF(H341="","",IF(H341="完全吻合",1,IF(H341="基本吻合",0.75,IF(H341="部分吻合",0.5,IF(H341="明显不符",0,"")))))</x:f>
      </x:c>
      <x:c r="J341" s="34" t="str"/>
      <x:c r="K341" s="34" t="str"/>
      <x:c r="L341" s="34" t="str"/>
      <x:c r="M341" s="34" t="str"/>
      <x:c r="N341" s="34" t="str"/>
      <x:c r="O341" s="34" t="str"/>
      <x:c r="P341" s="34" t="str"/>
      <x:c r="Q341" s="34" t="str"/>
      <x:c r="R341" s="34" t="str"/>
      <x:c r="S341" s="34" t="str"/>
      <x:c r="T341" s="34" t="str"/>
    </x:row>
    <x:row r="342">
      <x:c r="A342" s="34" t="str">
        <x:v>M5-EVAL-0337</x:v>
      </x:c>
      <x:c r="B342" s="34" t="str"/>
      <x:c r="C342" s="34" t="str"/>
      <x:c r="D342" s="34" t="str"/>
      <x:c r="E342" s="34" t="str"/>
      <x:c r="F342" s="34" t="str"/>
      <x:c r="G342" s="34" t="str"/>
      <x:c r="H342" s="34" t="str"/>
      <x:c r="I342" s="38" t="str">
        <x:f>IF(H342="","",IF(H342="完全吻合",1,IF(H342="基本吻合",0.75,IF(H342="部分吻合",0.5,IF(H342="明显不符",0,"")))))</x:f>
      </x:c>
      <x:c r="J342" s="34" t="str"/>
      <x:c r="K342" s="34" t="str"/>
      <x:c r="L342" s="34" t="str"/>
      <x:c r="M342" s="34" t="str"/>
      <x:c r="N342" s="34" t="str"/>
      <x:c r="O342" s="34" t="str"/>
      <x:c r="P342" s="34" t="str"/>
      <x:c r="Q342" s="34" t="str"/>
      <x:c r="R342" s="34" t="str"/>
      <x:c r="S342" s="34" t="str"/>
      <x:c r="T342" s="34" t="str"/>
    </x:row>
    <x:row r="343">
      <x:c r="A343" s="34" t="str">
        <x:v>M5-EVAL-0338</x:v>
      </x:c>
      <x:c r="B343" s="34" t="str"/>
      <x:c r="C343" s="34" t="str"/>
      <x:c r="D343" s="34" t="str"/>
      <x:c r="E343" s="34" t="str"/>
      <x:c r="F343" s="34" t="str"/>
      <x:c r="G343" s="34" t="str"/>
      <x:c r="H343" s="34" t="str"/>
      <x:c r="I343" s="38" t="str">
        <x:f>IF(H343="","",IF(H343="完全吻合",1,IF(H343="基本吻合",0.75,IF(H343="部分吻合",0.5,IF(H343="明显不符",0,"")))))</x:f>
      </x:c>
      <x:c r="J343" s="34" t="str"/>
      <x:c r="K343" s="34" t="str"/>
      <x:c r="L343" s="34" t="str"/>
      <x:c r="M343" s="34" t="str"/>
      <x:c r="N343" s="34" t="str"/>
      <x:c r="O343" s="34" t="str"/>
      <x:c r="P343" s="34" t="str"/>
      <x:c r="Q343" s="34" t="str"/>
      <x:c r="R343" s="34" t="str"/>
      <x:c r="S343" s="34" t="str"/>
      <x:c r="T343" s="34" t="str"/>
    </x:row>
    <x:row r="344">
      <x:c r="A344" s="34" t="str">
        <x:v>M5-EVAL-0339</x:v>
      </x:c>
      <x:c r="B344" s="34" t="str"/>
      <x:c r="C344" s="34" t="str"/>
      <x:c r="D344" s="34" t="str"/>
      <x:c r="E344" s="34" t="str"/>
      <x:c r="F344" s="34" t="str"/>
      <x:c r="G344" s="34" t="str"/>
      <x:c r="H344" s="34" t="str"/>
      <x:c r="I344" s="38" t="str">
        <x:f>IF(H344="","",IF(H344="完全吻合",1,IF(H344="基本吻合",0.75,IF(H344="部分吻合",0.5,IF(H344="明显不符",0,"")))))</x:f>
      </x:c>
      <x:c r="J344" s="34" t="str"/>
      <x:c r="K344" s="34" t="str"/>
      <x:c r="L344" s="34" t="str"/>
      <x:c r="M344" s="34" t="str"/>
      <x:c r="N344" s="34" t="str"/>
      <x:c r="O344" s="34" t="str"/>
      <x:c r="P344" s="34" t="str"/>
      <x:c r="Q344" s="34" t="str"/>
      <x:c r="R344" s="34" t="str"/>
      <x:c r="S344" s="34" t="str"/>
      <x:c r="T344" s="34" t="str"/>
    </x:row>
    <x:row r="345">
      <x:c r="A345" s="34" t="str">
        <x:v>M5-EVAL-0340</x:v>
      </x:c>
      <x:c r="B345" s="34" t="str"/>
      <x:c r="C345" s="34" t="str"/>
      <x:c r="D345" s="34" t="str"/>
      <x:c r="E345" s="34" t="str"/>
      <x:c r="F345" s="34" t="str"/>
      <x:c r="G345" s="34" t="str"/>
      <x:c r="H345" s="34" t="str"/>
      <x:c r="I345" s="38" t="str">
        <x:f>IF(H345="","",IF(H345="完全吻合",1,IF(H345="基本吻合",0.75,IF(H345="部分吻合",0.5,IF(H345="明显不符",0,"")))))</x:f>
      </x:c>
      <x:c r="J345" s="34" t="str"/>
      <x:c r="K345" s="34" t="str"/>
      <x:c r="L345" s="34" t="str"/>
      <x:c r="M345" s="34" t="str"/>
      <x:c r="N345" s="34" t="str"/>
      <x:c r="O345" s="34" t="str"/>
      <x:c r="P345" s="34" t="str"/>
      <x:c r="Q345" s="34" t="str"/>
      <x:c r="R345" s="34" t="str"/>
      <x:c r="S345" s="34" t="str"/>
      <x:c r="T345" s="34" t="str"/>
    </x:row>
    <x:row r="346">
      <x:c r="A346" s="34" t="str">
        <x:v>M5-EVAL-0341</x:v>
      </x:c>
      <x:c r="B346" s="34" t="str"/>
      <x:c r="C346" s="34" t="str"/>
      <x:c r="D346" s="34" t="str"/>
      <x:c r="E346" s="34" t="str"/>
      <x:c r="F346" s="34" t="str"/>
      <x:c r="G346" s="34" t="str"/>
      <x:c r="H346" s="34" t="str"/>
      <x:c r="I346" s="38" t="str">
        <x:f>IF(H346="","",IF(H346="完全吻合",1,IF(H346="基本吻合",0.75,IF(H346="部分吻合",0.5,IF(H346="明显不符",0,"")))))</x:f>
      </x:c>
      <x:c r="J346" s="34" t="str"/>
      <x:c r="K346" s="34" t="str"/>
      <x:c r="L346" s="34" t="str"/>
      <x:c r="M346" s="34" t="str"/>
      <x:c r="N346" s="34" t="str"/>
      <x:c r="O346" s="34" t="str"/>
      <x:c r="P346" s="34" t="str"/>
      <x:c r="Q346" s="34" t="str"/>
      <x:c r="R346" s="34" t="str"/>
      <x:c r="S346" s="34" t="str"/>
      <x:c r="T346" s="34" t="str"/>
    </x:row>
    <x:row r="347">
      <x:c r="A347" s="34" t="str">
        <x:v>M5-EVAL-0342</x:v>
      </x:c>
      <x:c r="B347" s="34" t="str"/>
      <x:c r="C347" s="34" t="str"/>
      <x:c r="D347" s="34" t="str"/>
      <x:c r="E347" s="34" t="str"/>
      <x:c r="F347" s="34" t="str"/>
      <x:c r="G347" s="34" t="str"/>
      <x:c r="H347" s="34" t="str"/>
      <x:c r="I347" s="38" t="str">
        <x:f>IF(H347="","",IF(H347="完全吻合",1,IF(H347="基本吻合",0.75,IF(H347="部分吻合",0.5,IF(H347="明显不符",0,"")))))</x:f>
      </x:c>
      <x:c r="J347" s="34" t="str"/>
      <x:c r="K347" s="34" t="str"/>
      <x:c r="L347" s="34" t="str"/>
      <x:c r="M347" s="34" t="str"/>
      <x:c r="N347" s="34" t="str"/>
      <x:c r="O347" s="34" t="str"/>
      <x:c r="P347" s="34" t="str"/>
      <x:c r="Q347" s="34" t="str"/>
      <x:c r="R347" s="34" t="str"/>
      <x:c r="S347" s="34" t="str"/>
      <x:c r="T347" s="34" t="str"/>
    </x:row>
    <x:row r="348">
      <x:c r="A348" s="34" t="str">
        <x:v>M5-EVAL-0343</x:v>
      </x:c>
      <x:c r="B348" s="34" t="str"/>
      <x:c r="C348" s="34" t="str"/>
      <x:c r="D348" s="34" t="str"/>
      <x:c r="E348" s="34" t="str"/>
      <x:c r="F348" s="34" t="str"/>
      <x:c r="G348" s="34" t="str"/>
      <x:c r="H348" s="34" t="str"/>
      <x:c r="I348" s="38" t="str">
        <x:f>IF(H348="","",IF(H348="完全吻合",1,IF(H348="基本吻合",0.75,IF(H348="部分吻合",0.5,IF(H348="明显不符",0,"")))))</x:f>
      </x:c>
      <x:c r="J348" s="34" t="str"/>
      <x:c r="K348" s="34" t="str"/>
      <x:c r="L348" s="34" t="str"/>
      <x:c r="M348" s="34" t="str"/>
      <x:c r="N348" s="34" t="str"/>
      <x:c r="O348" s="34" t="str"/>
      <x:c r="P348" s="34" t="str"/>
      <x:c r="Q348" s="34" t="str"/>
      <x:c r="R348" s="34" t="str"/>
      <x:c r="S348" s="34" t="str"/>
      <x:c r="T348" s="34" t="str"/>
    </x:row>
    <x:row r="349">
      <x:c r="A349" s="34" t="str">
        <x:v>M5-EVAL-0344</x:v>
      </x:c>
      <x:c r="B349" s="34" t="str"/>
      <x:c r="C349" s="34" t="str"/>
      <x:c r="D349" s="34" t="str"/>
      <x:c r="E349" s="34" t="str"/>
      <x:c r="F349" s="34" t="str"/>
      <x:c r="G349" s="34" t="str"/>
      <x:c r="H349" s="34" t="str"/>
      <x:c r="I349" s="38" t="str">
        <x:f>IF(H349="","",IF(H349="完全吻合",1,IF(H349="基本吻合",0.75,IF(H349="部分吻合",0.5,IF(H349="明显不符",0,"")))))</x:f>
      </x:c>
      <x:c r="J349" s="34" t="str"/>
      <x:c r="K349" s="34" t="str"/>
      <x:c r="L349" s="34" t="str"/>
      <x:c r="M349" s="34" t="str"/>
      <x:c r="N349" s="34" t="str"/>
      <x:c r="O349" s="34" t="str"/>
      <x:c r="P349" s="34" t="str"/>
      <x:c r="Q349" s="34" t="str"/>
      <x:c r="R349" s="34" t="str"/>
      <x:c r="S349" s="34" t="str"/>
      <x:c r="T349" s="34" t="str"/>
    </x:row>
    <x:row r="350">
      <x:c r="A350" s="34" t="str">
        <x:v>M5-EVAL-0345</x:v>
      </x:c>
      <x:c r="B350" s="34" t="str"/>
      <x:c r="C350" s="34" t="str"/>
      <x:c r="D350" s="34" t="str"/>
      <x:c r="E350" s="34" t="str"/>
      <x:c r="F350" s="34" t="str"/>
      <x:c r="G350" s="34" t="str"/>
      <x:c r="H350" s="34" t="str"/>
      <x:c r="I350" s="38" t="str">
        <x:f>IF(H350="","",IF(H350="完全吻合",1,IF(H350="基本吻合",0.75,IF(H350="部分吻合",0.5,IF(H350="明显不符",0,"")))))</x:f>
      </x:c>
      <x:c r="J350" s="34" t="str"/>
      <x:c r="K350" s="34" t="str"/>
      <x:c r="L350" s="34" t="str"/>
      <x:c r="M350" s="34" t="str"/>
      <x:c r="N350" s="34" t="str"/>
      <x:c r="O350" s="34" t="str"/>
      <x:c r="P350" s="34" t="str"/>
      <x:c r="Q350" s="34" t="str"/>
      <x:c r="R350" s="34" t="str"/>
      <x:c r="S350" s="34" t="str"/>
      <x:c r="T350" s="34" t="str"/>
    </x:row>
    <x:row r="351">
      <x:c r="A351" s="34" t="str">
        <x:v>M5-EVAL-0346</x:v>
      </x:c>
      <x:c r="B351" s="34" t="str"/>
      <x:c r="C351" s="34" t="str"/>
      <x:c r="D351" s="34" t="str"/>
      <x:c r="E351" s="34" t="str"/>
      <x:c r="F351" s="34" t="str"/>
      <x:c r="G351" s="34" t="str"/>
      <x:c r="H351" s="34" t="str"/>
      <x:c r="I351" s="38" t="str">
        <x:f>IF(H351="","",IF(H351="完全吻合",1,IF(H351="基本吻合",0.75,IF(H351="部分吻合",0.5,IF(H351="明显不符",0,"")))))</x:f>
      </x:c>
      <x:c r="J351" s="34" t="str"/>
      <x:c r="K351" s="34" t="str"/>
      <x:c r="L351" s="34" t="str"/>
      <x:c r="M351" s="34" t="str"/>
      <x:c r="N351" s="34" t="str"/>
      <x:c r="O351" s="34" t="str"/>
      <x:c r="P351" s="34" t="str"/>
      <x:c r="Q351" s="34" t="str"/>
      <x:c r="R351" s="34" t="str"/>
      <x:c r="S351" s="34" t="str"/>
      <x:c r="T351" s="34" t="str"/>
    </x:row>
    <x:row r="352">
      <x:c r="A352" s="34" t="str">
        <x:v>M5-EVAL-0347</x:v>
      </x:c>
      <x:c r="B352" s="34" t="str"/>
      <x:c r="C352" s="34" t="str"/>
      <x:c r="D352" s="34" t="str"/>
      <x:c r="E352" s="34" t="str"/>
      <x:c r="F352" s="34" t="str"/>
      <x:c r="G352" s="34" t="str"/>
      <x:c r="H352" s="34" t="str"/>
      <x:c r="I352" s="38" t="str">
        <x:f>IF(H352="","",IF(H352="完全吻合",1,IF(H352="基本吻合",0.75,IF(H352="部分吻合",0.5,IF(H352="明显不符",0,"")))))</x:f>
      </x:c>
      <x:c r="J352" s="34" t="str"/>
      <x:c r="K352" s="34" t="str"/>
      <x:c r="L352" s="34" t="str"/>
      <x:c r="M352" s="34" t="str"/>
      <x:c r="N352" s="34" t="str"/>
      <x:c r="O352" s="34" t="str"/>
      <x:c r="P352" s="34" t="str"/>
      <x:c r="Q352" s="34" t="str"/>
      <x:c r="R352" s="34" t="str"/>
      <x:c r="S352" s="34" t="str"/>
      <x:c r="T352" s="34" t="str"/>
    </x:row>
    <x:row r="353">
      <x:c r="A353" s="34" t="str">
        <x:v>M5-EVAL-0348</x:v>
      </x:c>
      <x:c r="B353" s="34" t="str"/>
      <x:c r="C353" s="34" t="str"/>
      <x:c r="D353" s="34" t="str"/>
      <x:c r="E353" s="34" t="str"/>
      <x:c r="F353" s="34" t="str"/>
      <x:c r="G353" s="34" t="str"/>
      <x:c r="H353" s="34" t="str"/>
      <x:c r="I353" s="38" t="str">
        <x:f>IF(H353="","",IF(H353="完全吻合",1,IF(H353="基本吻合",0.75,IF(H353="部分吻合",0.5,IF(H353="明显不符",0,"")))))</x:f>
      </x:c>
      <x:c r="J353" s="34" t="str"/>
      <x:c r="K353" s="34" t="str"/>
      <x:c r="L353" s="34" t="str"/>
      <x:c r="M353" s="34" t="str"/>
      <x:c r="N353" s="34" t="str"/>
      <x:c r="O353" s="34" t="str"/>
      <x:c r="P353" s="34" t="str"/>
      <x:c r="Q353" s="34" t="str"/>
      <x:c r="R353" s="34" t="str"/>
      <x:c r="S353" s="34" t="str"/>
      <x:c r="T353" s="34" t="str"/>
    </x:row>
    <x:row r="354">
      <x:c r="A354" s="34" t="str">
        <x:v>M5-EVAL-0349</x:v>
      </x:c>
      <x:c r="B354" s="34" t="str"/>
      <x:c r="C354" s="34" t="str"/>
      <x:c r="D354" s="34" t="str"/>
      <x:c r="E354" s="34" t="str"/>
      <x:c r="F354" s="34" t="str"/>
      <x:c r="G354" s="34" t="str"/>
      <x:c r="H354" s="34" t="str"/>
      <x:c r="I354" s="38" t="str">
        <x:f>IF(H354="","",IF(H354="完全吻合",1,IF(H354="基本吻合",0.75,IF(H354="部分吻合",0.5,IF(H354="明显不符",0,"")))))</x:f>
      </x:c>
      <x:c r="J354" s="34" t="str"/>
      <x:c r="K354" s="34" t="str"/>
      <x:c r="L354" s="34" t="str"/>
      <x:c r="M354" s="34" t="str"/>
      <x:c r="N354" s="34" t="str"/>
      <x:c r="O354" s="34" t="str"/>
      <x:c r="P354" s="34" t="str"/>
      <x:c r="Q354" s="34" t="str"/>
      <x:c r="R354" s="34" t="str"/>
      <x:c r="S354" s="34" t="str"/>
      <x:c r="T354" s="34" t="str"/>
    </x:row>
    <x:row r="355">
      <x:c r="A355" s="34" t="str">
        <x:v>M5-EVAL-0350</x:v>
      </x:c>
      <x:c r="B355" s="34" t="str"/>
      <x:c r="C355" s="34" t="str"/>
      <x:c r="D355" s="34" t="str"/>
      <x:c r="E355" s="34" t="str"/>
      <x:c r="F355" s="34" t="str"/>
      <x:c r="G355" s="34" t="str"/>
      <x:c r="H355" s="34" t="str"/>
      <x:c r="I355" s="38" t="str">
        <x:f>IF(H355="","",IF(H355="完全吻合",1,IF(H355="基本吻合",0.75,IF(H355="部分吻合",0.5,IF(H355="明显不符",0,"")))))</x:f>
      </x:c>
      <x:c r="J355" s="34" t="str"/>
      <x:c r="K355" s="34" t="str"/>
      <x:c r="L355" s="34" t="str"/>
      <x:c r="M355" s="34" t="str"/>
      <x:c r="N355" s="34" t="str"/>
      <x:c r="O355" s="34" t="str"/>
      <x:c r="P355" s="34" t="str"/>
      <x:c r="Q355" s="34" t="str"/>
      <x:c r="R355" s="34" t="str"/>
      <x:c r="S355" s="34" t="str"/>
      <x:c r="T355" s="34" t="str"/>
    </x:row>
    <x:row r="356">
      <x:c r="A356" s="34" t="str">
        <x:v>M5-EVAL-0351</x:v>
      </x:c>
      <x:c r="B356" s="34" t="str"/>
      <x:c r="C356" s="34" t="str"/>
      <x:c r="D356" s="34" t="str"/>
      <x:c r="E356" s="34" t="str"/>
      <x:c r="F356" s="34" t="str"/>
      <x:c r="G356" s="34" t="str"/>
      <x:c r="H356" s="34" t="str"/>
      <x:c r="I356" s="38" t="str">
        <x:f>IF(H356="","",IF(H356="完全吻合",1,IF(H356="基本吻合",0.75,IF(H356="部分吻合",0.5,IF(H356="明显不符",0,"")))))</x:f>
      </x:c>
      <x:c r="J356" s="34" t="str"/>
      <x:c r="K356" s="34" t="str"/>
      <x:c r="L356" s="34" t="str"/>
      <x:c r="M356" s="34" t="str"/>
      <x:c r="N356" s="34" t="str"/>
      <x:c r="O356" s="34" t="str"/>
      <x:c r="P356" s="34" t="str"/>
      <x:c r="Q356" s="34" t="str"/>
      <x:c r="R356" s="34" t="str"/>
      <x:c r="S356" s="34" t="str"/>
      <x:c r="T356" s="34" t="str"/>
    </x:row>
    <x:row r="357">
      <x:c r="A357" s="34" t="str">
        <x:v>M5-EVAL-0352</x:v>
      </x:c>
      <x:c r="B357" s="34" t="str"/>
      <x:c r="C357" s="34" t="str"/>
      <x:c r="D357" s="34" t="str"/>
      <x:c r="E357" s="34" t="str"/>
      <x:c r="F357" s="34" t="str"/>
      <x:c r="G357" s="34" t="str"/>
      <x:c r="H357" s="34" t="str"/>
      <x:c r="I357" s="38" t="str">
        <x:f>IF(H357="","",IF(H357="完全吻合",1,IF(H357="基本吻合",0.75,IF(H357="部分吻合",0.5,IF(H357="明显不符",0,"")))))</x:f>
      </x:c>
      <x:c r="J357" s="34" t="str"/>
      <x:c r="K357" s="34" t="str"/>
      <x:c r="L357" s="34" t="str"/>
      <x:c r="M357" s="34" t="str"/>
      <x:c r="N357" s="34" t="str"/>
      <x:c r="O357" s="34" t="str"/>
      <x:c r="P357" s="34" t="str"/>
      <x:c r="Q357" s="34" t="str"/>
      <x:c r="R357" s="34" t="str"/>
      <x:c r="S357" s="34" t="str"/>
      <x:c r="T357" s="34" t="str"/>
    </x:row>
    <x:row r="358">
      <x:c r="A358" s="34" t="str">
        <x:v>M5-EVAL-0353</x:v>
      </x:c>
      <x:c r="B358" s="34" t="str"/>
      <x:c r="C358" s="34" t="str"/>
      <x:c r="D358" s="34" t="str"/>
      <x:c r="E358" s="34" t="str"/>
      <x:c r="F358" s="34" t="str"/>
      <x:c r="G358" s="34" t="str"/>
      <x:c r="H358" s="34" t="str"/>
      <x:c r="I358" s="38" t="str">
        <x:f>IF(H358="","",IF(H358="完全吻合",1,IF(H358="基本吻合",0.75,IF(H358="部分吻合",0.5,IF(H358="明显不符",0,"")))))</x:f>
      </x:c>
      <x:c r="J358" s="34" t="str"/>
      <x:c r="K358" s="34" t="str"/>
      <x:c r="L358" s="34" t="str"/>
      <x:c r="M358" s="34" t="str"/>
      <x:c r="N358" s="34" t="str"/>
      <x:c r="O358" s="34" t="str"/>
      <x:c r="P358" s="34" t="str"/>
      <x:c r="Q358" s="34" t="str"/>
      <x:c r="R358" s="34" t="str"/>
      <x:c r="S358" s="34" t="str"/>
      <x:c r="T358" s="34" t="str"/>
    </x:row>
    <x:row r="359">
      <x:c r="A359" s="34" t="str">
        <x:v>M5-EVAL-0354</x:v>
      </x:c>
      <x:c r="B359" s="34" t="str"/>
      <x:c r="C359" s="34" t="str"/>
      <x:c r="D359" s="34" t="str"/>
      <x:c r="E359" s="34" t="str"/>
      <x:c r="F359" s="34" t="str"/>
      <x:c r="G359" s="34" t="str"/>
      <x:c r="H359" s="34" t="str"/>
      <x:c r="I359" s="38" t="str">
        <x:f>IF(H359="","",IF(H359="完全吻合",1,IF(H359="基本吻合",0.75,IF(H359="部分吻合",0.5,IF(H359="明显不符",0,"")))))</x:f>
      </x:c>
      <x:c r="J359" s="34" t="str"/>
      <x:c r="K359" s="34" t="str"/>
      <x:c r="L359" s="34" t="str"/>
      <x:c r="M359" s="34" t="str"/>
      <x:c r="N359" s="34" t="str"/>
      <x:c r="O359" s="34" t="str"/>
      <x:c r="P359" s="34" t="str"/>
      <x:c r="Q359" s="34" t="str"/>
      <x:c r="R359" s="34" t="str"/>
      <x:c r="S359" s="34" t="str"/>
      <x:c r="T359" s="34" t="str"/>
    </x:row>
    <x:row r="360">
      <x:c r="A360" s="34" t="str">
        <x:v>M5-EVAL-0355</x:v>
      </x:c>
      <x:c r="B360" s="34" t="str"/>
      <x:c r="C360" s="34" t="str"/>
      <x:c r="D360" s="34" t="str"/>
      <x:c r="E360" s="34" t="str"/>
      <x:c r="F360" s="34" t="str"/>
      <x:c r="G360" s="34" t="str"/>
      <x:c r="H360" s="34" t="str"/>
      <x:c r="I360" s="38" t="str">
        <x:f>IF(H360="","",IF(H360="完全吻合",1,IF(H360="基本吻合",0.75,IF(H360="部分吻合",0.5,IF(H360="明显不符",0,"")))))</x:f>
      </x:c>
      <x:c r="J360" s="34" t="str"/>
      <x:c r="K360" s="34" t="str"/>
      <x:c r="L360" s="34" t="str"/>
      <x:c r="M360" s="34" t="str"/>
      <x:c r="N360" s="34" t="str"/>
      <x:c r="O360" s="34" t="str"/>
      <x:c r="P360" s="34" t="str"/>
      <x:c r="Q360" s="34" t="str"/>
      <x:c r="R360" s="34" t="str"/>
      <x:c r="S360" s="34" t="str"/>
      <x:c r="T360" s="34" t="str"/>
    </x:row>
    <x:row r="361">
      <x:c r="A361" s="34" t="str">
        <x:v>M5-EVAL-0356</x:v>
      </x:c>
      <x:c r="B361" s="34" t="str"/>
      <x:c r="C361" s="34" t="str"/>
      <x:c r="D361" s="34" t="str"/>
      <x:c r="E361" s="34" t="str"/>
      <x:c r="F361" s="34" t="str"/>
      <x:c r="G361" s="34" t="str"/>
      <x:c r="H361" s="34" t="str"/>
      <x:c r="I361" s="38" t="str">
        <x:f>IF(H361="","",IF(H361="完全吻合",1,IF(H361="基本吻合",0.75,IF(H361="部分吻合",0.5,IF(H361="明显不符",0,"")))))</x:f>
      </x:c>
      <x:c r="J361" s="34" t="str"/>
      <x:c r="K361" s="34" t="str"/>
      <x:c r="L361" s="34" t="str"/>
      <x:c r="M361" s="34" t="str"/>
      <x:c r="N361" s="34" t="str"/>
      <x:c r="O361" s="34" t="str"/>
      <x:c r="P361" s="34" t="str"/>
      <x:c r="Q361" s="34" t="str"/>
      <x:c r="R361" s="34" t="str"/>
      <x:c r="S361" s="34" t="str"/>
      <x:c r="T361" s="34" t="str"/>
    </x:row>
    <x:row r="362">
      <x:c r="A362" s="34" t="str">
        <x:v>M5-EVAL-0357</x:v>
      </x:c>
      <x:c r="B362" s="34" t="str"/>
      <x:c r="C362" s="34" t="str"/>
      <x:c r="D362" s="34" t="str"/>
      <x:c r="E362" s="34" t="str"/>
      <x:c r="F362" s="34" t="str"/>
      <x:c r="G362" s="34" t="str"/>
      <x:c r="H362" s="34" t="str"/>
      <x:c r="I362" s="38" t="str">
        <x:f>IF(H362="","",IF(H362="完全吻合",1,IF(H362="基本吻合",0.75,IF(H362="部分吻合",0.5,IF(H362="明显不符",0,"")))))</x:f>
      </x:c>
      <x:c r="J362" s="34" t="str"/>
      <x:c r="K362" s="34" t="str"/>
      <x:c r="L362" s="34" t="str"/>
      <x:c r="M362" s="34" t="str"/>
      <x:c r="N362" s="34" t="str"/>
      <x:c r="O362" s="34" t="str"/>
      <x:c r="P362" s="34" t="str"/>
      <x:c r="Q362" s="34" t="str"/>
      <x:c r="R362" s="34" t="str"/>
      <x:c r="S362" s="34" t="str"/>
      <x:c r="T362" s="34" t="str"/>
    </x:row>
    <x:row r="363">
      <x:c r="A363" s="34" t="str">
        <x:v>M5-EVAL-0358</x:v>
      </x:c>
      <x:c r="B363" s="34" t="str"/>
      <x:c r="C363" s="34" t="str"/>
      <x:c r="D363" s="34" t="str"/>
      <x:c r="E363" s="34" t="str"/>
      <x:c r="F363" s="34" t="str"/>
      <x:c r="G363" s="34" t="str"/>
      <x:c r="H363" s="34" t="str"/>
      <x:c r="I363" s="38" t="str">
        <x:f>IF(H363="","",IF(H363="完全吻合",1,IF(H363="基本吻合",0.75,IF(H363="部分吻合",0.5,IF(H363="明显不符",0,"")))))</x:f>
      </x:c>
      <x:c r="J363" s="34" t="str"/>
      <x:c r="K363" s="34" t="str"/>
      <x:c r="L363" s="34" t="str"/>
      <x:c r="M363" s="34" t="str"/>
      <x:c r="N363" s="34" t="str"/>
      <x:c r="O363" s="34" t="str"/>
      <x:c r="P363" s="34" t="str"/>
      <x:c r="Q363" s="34" t="str"/>
      <x:c r="R363" s="34" t="str"/>
      <x:c r="S363" s="34" t="str"/>
      <x:c r="T363" s="34" t="str"/>
    </x:row>
    <x:row r="364">
      <x:c r="A364" s="34" t="str">
        <x:v>M5-EVAL-0359</x:v>
      </x:c>
      <x:c r="B364" s="34" t="str"/>
      <x:c r="C364" s="34" t="str"/>
      <x:c r="D364" s="34" t="str"/>
      <x:c r="E364" s="34" t="str"/>
      <x:c r="F364" s="34" t="str"/>
      <x:c r="G364" s="34" t="str"/>
      <x:c r="H364" s="34" t="str"/>
      <x:c r="I364" s="38" t="str">
        <x:f>IF(H364="","",IF(H364="完全吻合",1,IF(H364="基本吻合",0.75,IF(H364="部分吻合",0.5,IF(H364="明显不符",0,"")))))</x:f>
      </x:c>
      <x:c r="J364" s="34" t="str"/>
      <x:c r="K364" s="34" t="str"/>
      <x:c r="L364" s="34" t="str"/>
      <x:c r="M364" s="34" t="str"/>
      <x:c r="N364" s="34" t="str"/>
      <x:c r="O364" s="34" t="str"/>
      <x:c r="P364" s="34" t="str"/>
      <x:c r="Q364" s="34" t="str"/>
      <x:c r="R364" s="34" t="str"/>
      <x:c r="S364" s="34" t="str"/>
      <x:c r="T364" s="34" t="str"/>
    </x:row>
    <x:row r="365">
      <x:c r="A365" s="34" t="str">
        <x:v>M5-EVAL-0360</x:v>
      </x:c>
      <x:c r="B365" s="34" t="str"/>
      <x:c r="C365" s="34" t="str"/>
      <x:c r="D365" s="34" t="str"/>
      <x:c r="E365" s="34" t="str"/>
      <x:c r="F365" s="34" t="str"/>
      <x:c r="G365" s="34" t="str"/>
      <x:c r="H365" s="34" t="str"/>
      <x:c r="I365" s="38" t="str">
        <x:f>IF(H365="","",IF(H365="完全吻合",1,IF(H365="基本吻合",0.75,IF(H365="部分吻合",0.5,IF(H365="明显不符",0,"")))))</x:f>
      </x:c>
      <x:c r="J365" s="34" t="str"/>
      <x:c r="K365" s="34" t="str"/>
      <x:c r="L365" s="34" t="str"/>
      <x:c r="M365" s="34" t="str"/>
      <x:c r="N365" s="34" t="str"/>
      <x:c r="O365" s="34" t="str"/>
      <x:c r="P365" s="34" t="str"/>
      <x:c r="Q365" s="34" t="str"/>
      <x:c r="R365" s="34" t="str"/>
      <x:c r="S365" s="34" t="str"/>
      <x:c r="T365" s="34" t="str"/>
    </x:row>
    <x:row r="366">
      <x:c r="A366" s="34" t="str">
        <x:v>M5-EVAL-0361</x:v>
      </x:c>
      <x:c r="B366" s="34" t="str"/>
      <x:c r="C366" s="34" t="str"/>
      <x:c r="D366" s="34" t="str"/>
      <x:c r="E366" s="34" t="str"/>
      <x:c r="F366" s="34" t="str"/>
      <x:c r="G366" s="34" t="str"/>
      <x:c r="H366" s="34" t="str"/>
      <x:c r="I366" s="38" t="str">
        <x:f>IF(H366="","",IF(H366="完全吻合",1,IF(H366="基本吻合",0.75,IF(H366="部分吻合",0.5,IF(H366="明显不符",0,"")))))</x:f>
      </x:c>
      <x:c r="J366" s="34" t="str"/>
      <x:c r="K366" s="34" t="str"/>
      <x:c r="L366" s="34" t="str"/>
      <x:c r="M366" s="34" t="str"/>
      <x:c r="N366" s="34" t="str"/>
      <x:c r="O366" s="34" t="str"/>
      <x:c r="P366" s="34" t="str"/>
      <x:c r="Q366" s="34" t="str"/>
      <x:c r="R366" s="34" t="str"/>
      <x:c r="S366" s="34" t="str"/>
      <x:c r="T366" s="34" t="str"/>
    </x:row>
    <x:row r="367">
      <x:c r="A367" s="34" t="str">
        <x:v>M5-EVAL-0362</x:v>
      </x:c>
      <x:c r="B367" s="34" t="str"/>
      <x:c r="C367" s="34" t="str"/>
      <x:c r="D367" s="34" t="str"/>
      <x:c r="E367" s="34" t="str"/>
      <x:c r="F367" s="34" t="str"/>
      <x:c r="G367" s="34" t="str"/>
      <x:c r="H367" s="34" t="str"/>
      <x:c r="I367" s="38" t="str">
        <x:f>IF(H367="","",IF(H367="完全吻合",1,IF(H367="基本吻合",0.75,IF(H367="部分吻合",0.5,IF(H367="明显不符",0,"")))))</x:f>
      </x:c>
      <x:c r="J367" s="34" t="str"/>
      <x:c r="K367" s="34" t="str"/>
      <x:c r="L367" s="34" t="str"/>
      <x:c r="M367" s="34" t="str"/>
      <x:c r="N367" s="34" t="str"/>
      <x:c r="O367" s="34" t="str"/>
      <x:c r="P367" s="34" t="str"/>
      <x:c r="Q367" s="34" t="str"/>
      <x:c r="R367" s="34" t="str"/>
      <x:c r="S367" s="34" t="str"/>
      <x:c r="T367" s="34" t="str"/>
    </x:row>
    <x:row r="368">
      <x:c r="A368" s="34" t="str">
        <x:v>M5-EVAL-0363</x:v>
      </x:c>
      <x:c r="B368" s="34" t="str"/>
      <x:c r="C368" s="34" t="str"/>
      <x:c r="D368" s="34" t="str"/>
      <x:c r="E368" s="34" t="str"/>
      <x:c r="F368" s="34" t="str"/>
      <x:c r="G368" s="34" t="str"/>
      <x:c r="H368" s="34" t="str"/>
      <x:c r="I368" s="38" t="str">
        <x:f>IF(H368="","",IF(H368="完全吻合",1,IF(H368="基本吻合",0.75,IF(H368="部分吻合",0.5,IF(H368="明显不符",0,"")))))</x:f>
      </x:c>
      <x:c r="J368" s="34" t="str"/>
      <x:c r="K368" s="34" t="str"/>
      <x:c r="L368" s="34" t="str"/>
      <x:c r="M368" s="34" t="str"/>
      <x:c r="N368" s="34" t="str"/>
      <x:c r="O368" s="34" t="str"/>
      <x:c r="P368" s="34" t="str"/>
      <x:c r="Q368" s="34" t="str"/>
      <x:c r="R368" s="34" t="str"/>
      <x:c r="S368" s="34" t="str"/>
      <x:c r="T368" s="34" t="str"/>
    </x:row>
    <x:row r="369">
      <x:c r="A369" s="34" t="str">
        <x:v>M5-EVAL-0364</x:v>
      </x:c>
      <x:c r="B369" s="34" t="str"/>
      <x:c r="C369" s="34" t="str"/>
      <x:c r="D369" s="34" t="str"/>
      <x:c r="E369" s="34" t="str"/>
      <x:c r="F369" s="34" t="str"/>
      <x:c r="G369" s="34" t="str"/>
      <x:c r="H369" s="34" t="str"/>
      <x:c r="I369" s="38" t="str">
        <x:f>IF(H369="","",IF(H369="完全吻合",1,IF(H369="基本吻合",0.75,IF(H369="部分吻合",0.5,IF(H369="明显不符",0,"")))))</x:f>
      </x:c>
      <x:c r="J369" s="34" t="str"/>
      <x:c r="K369" s="34" t="str"/>
      <x:c r="L369" s="34" t="str"/>
      <x:c r="M369" s="34" t="str"/>
      <x:c r="N369" s="34" t="str"/>
      <x:c r="O369" s="34" t="str"/>
      <x:c r="P369" s="34" t="str"/>
      <x:c r="Q369" s="34" t="str"/>
      <x:c r="R369" s="34" t="str"/>
      <x:c r="S369" s="34" t="str"/>
      <x:c r="T369" s="34" t="str"/>
    </x:row>
    <x:row r="370">
      <x:c r="A370" s="34" t="str">
        <x:v>M5-EVAL-0365</x:v>
      </x:c>
      <x:c r="B370" s="34" t="str"/>
      <x:c r="C370" s="34" t="str"/>
      <x:c r="D370" s="34" t="str"/>
      <x:c r="E370" s="34" t="str"/>
      <x:c r="F370" s="34" t="str"/>
      <x:c r="G370" s="34" t="str"/>
      <x:c r="H370" s="34" t="str"/>
      <x:c r="I370" s="38" t="str">
        <x:f>IF(H370="","",IF(H370="完全吻合",1,IF(H370="基本吻合",0.75,IF(H370="部分吻合",0.5,IF(H370="明显不符",0,"")))))</x:f>
      </x:c>
      <x:c r="J370" s="34" t="str"/>
      <x:c r="K370" s="34" t="str"/>
      <x:c r="L370" s="34" t="str"/>
      <x:c r="M370" s="34" t="str"/>
      <x:c r="N370" s="34" t="str"/>
      <x:c r="O370" s="34" t="str"/>
      <x:c r="P370" s="34" t="str"/>
      <x:c r="Q370" s="34" t="str"/>
      <x:c r="R370" s="34" t="str"/>
      <x:c r="S370" s="34" t="str"/>
      <x:c r="T370" s="34" t="str"/>
    </x:row>
    <x:row r="371">
      <x:c r="A371" s="34" t="str">
        <x:v>M5-EVAL-0366</x:v>
      </x:c>
      <x:c r="B371" s="34" t="str"/>
      <x:c r="C371" s="34" t="str"/>
      <x:c r="D371" s="34" t="str"/>
      <x:c r="E371" s="34" t="str"/>
      <x:c r="F371" s="34" t="str"/>
      <x:c r="G371" s="34" t="str"/>
      <x:c r="H371" s="34" t="str"/>
      <x:c r="I371" s="38" t="str">
        <x:f>IF(H371="","",IF(H371="完全吻合",1,IF(H371="基本吻合",0.75,IF(H371="部分吻合",0.5,IF(H371="明显不符",0,"")))))</x:f>
      </x:c>
      <x:c r="J371" s="34" t="str"/>
      <x:c r="K371" s="34" t="str"/>
      <x:c r="L371" s="34" t="str"/>
      <x:c r="M371" s="34" t="str"/>
      <x:c r="N371" s="34" t="str"/>
      <x:c r="O371" s="34" t="str"/>
      <x:c r="P371" s="34" t="str"/>
      <x:c r="Q371" s="34" t="str"/>
      <x:c r="R371" s="34" t="str"/>
      <x:c r="S371" s="34" t="str"/>
      <x:c r="T371" s="34" t="str"/>
    </x:row>
    <x:row r="372">
      <x:c r="A372" s="34" t="str">
        <x:v>M5-EVAL-0367</x:v>
      </x:c>
      <x:c r="B372" s="34" t="str"/>
      <x:c r="C372" s="34" t="str"/>
      <x:c r="D372" s="34" t="str"/>
      <x:c r="E372" s="34" t="str"/>
      <x:c r="F372" s="34" t="str"/>
      <x:c r="G372" s="34" t="str"/>
      <x:c r="H372" s="34" t="str"/>
      <x:c r="I372" s="38" t="str">
        <x:f>IF(H372="","",IF(H372="完全吻合",1,IF(H372="基本吻合",0.75,IF(H372="部分吻合",0.5,IF(H372="明显不符",0,"")))))</x:f>
      </x:c>
      <x:c r="J372" s="34" t="str"/>
      <x:c r="K372" s="34" t="str"/>
      <x:c r="L372" s="34" t="str"/>
      <x:c r="M372" s="34" t="str"/>
      <x:c r="N372" s="34" t="str"/>
      <x:c r="O372" s="34" t="str"/>
      <x:c r="P372" s="34" t="str"/>
      <x:c r="Q372" s="34" t="str"/>
      <x:c r="R372" s="34" t="str"/>
      <x:c r="S372" s="34" t="str"/>
      <x:c r="T372" s="34" t="str"/>
    </x:row>
    <x:row r="373">
      <x:c r="A373" s="34" t="str">
        <x:v>M5-EVAL-0368</x:v>
      </x:c>
      <x:c r="B373" s="34" t="str"/>
      <x:c r="C373" s="34" t="str"/>
      <x:c r="D373" s="34" t="str"/>
      <x:c r="E373" s="34" t="str"/>
      <x:c r="F373" s="34" t="str"/>
      <x:c r="G373" s="34" t="str"/>
      <x:c r="H373" s="34" t="str"/>
      <x:c r="I373" s="38" t="str">
        <x:f>IF(H373="","",IF(H373="完全吻合",1,IF(H373="基本吻合",0.75,IF(H373="部分吻合",0.5,IF(H373="明显不符",0,"")))))</x:f>
      </x:c>
      <x:c r="J373" s="34" t="str"/>
      <x:c r="K373" s="34" t="str"/>
      <x:c r="L373" s="34" t="str"/>
      <x:c r="M373" s="34" t="str"/>
      <x:c r="N373" s="34" t="str"/>
      <x:c r="O373" s="34" t="str"/>
      <x:c r="P373" s="34" t="str"/>
      <x:c r="Q373" s="34" t="str"/>
      <x:c r="R373" s="34" t="str"/>
      <x:c r="S373" s="34" t="str"/>
      <x:c r="T373" s="34" t="str"/>
    </x:row>
    <x:row r="374">
      <x:c r="A374" s="34" t="str">
        <x:v>M5-EVAL-0369</x:v>
      </x:c>
      <x:c r="B374" s="34" t="str"/>
      <x:c r="C374" s="34" t="str"/>
      <x:c r="D374" s="34" t="str"/>
      <x:c r="E374" s="34" t="str"/>
      <x:c r="F374" s="34" t="str"/>
      <x:c r="G374" s="34" t="str"/>
      <x:c r="H374" s="34" t="str"/>
      <x:c r="I374" s="38" t="str">
        <x:f>IF(H374="","",IF(H374="完全吻合",1,IF(H374="基本吻合",0.75,IF(H374="部分吻合",0.5,IF(H374="明显不符",0,"")))))</x:f>
      </x:c>
      <x:c r="J374" s="34" t="str"/>
      <x:c r="K374" s="34" t="str"/>
      <x:c r="L374" s="34" t="str"/>
      <x:c r="M374" s="34" t="str"/>
      <x:c r="N374" s="34" t="str"/>
      <x:c r="O374" s="34" t="str"/>
      <x:c r="P374" s="34" t="str"/>
      <x:c r="Q374" s="34" t="str"/>
      <x:c r="R374" s="34" t="str"/>
      <x:c r="S374" s="34" t="str"/>
      <x:c r="T374" s="34" t="str"/>
    </x:row>
    <x:row r="375">
      <x:c r="A375" s="34" t="str">
        <x:v>M5-EVAL-0370</x:v>
      </x:c>
      <x:c r="B375" s="34" t="str"/>
      <x:c r="C375" s="34" t="str"/>
      <x:c r="D375" s="34" t="str"/>
      <x:c r="E375" s="34" t="str"/>
      <x:c r="F375" s="34" t="str"/>
      <x:c r="G375" s="34" t="str"/>
      <x:c r="H375" s="34" t="str"/>
      <x:c r="I375" s="38" t="str">
        <x:f>IF(H375="","",IF(H375="完全吻合",1,IF(H375="基本吻合",0.75,IF(H375="部分吻合",0.5,IF(H375="明显不符",0,"")))))</x:f>
      </x:c>
      <x:c r="J375" s="34" t="str"/>
      <x:c r="K375" s="34" t="str"/>
      <x:c r="L375" s="34" t="str"/>
      <x:c r="M375" s="34" t="str"/>
      <x:c r="N375" s="34" t="str"/>
      <x:c r="O375" s="34" t="str"/>
      <x:c r="P375" s="34" t="str"/>
      <x:c r="Q375" s="34" t="str"/>
      <x:c r="R375" s="34" t="str"/>
      <x:c r="S375" s="34" t="str"/>
      <x:c r="T375" s="34" t="str"/>
    </x:row>
    <x:row r="376">
      <x:c r="A376" s="34" t="str">
        <x:v>M5-EVAL-0371</x:v>
      </x:c>
      <x:c r="B376" s="34" t="str"/>
      <x:c r="C376" s="34" t="str"/>
      <x:c r="D376" s="34" t="str"/>
      <x:c r="E376" s="34" t="str"/>
      <x:c r="F376" s="34" t="str"/>
      <x:c r="G376" s="34" t="str"/>
      <x:c r="H376" s="34" t="str"/>
      <x:c r="I376" s="38" t="str">
        <x:f>IF(H376="","",IF(H376="完全吻合",1,IF(H376="基本吻合",0.75,IF(H376="部分吻合",0.5,IF(H376="明显不符",0,"")))))</x:f>
      </x:c>
      <x:c r="J376" s="34" t="str"/>
      <x:c r="K376" s="34" t="str"/>
      <x:c r="L376" s="34" t="str"/>
      <x:c r="M376" s="34" t="str"/>
      <x:c r="N376" s="34" t="str"/>
      <x:c r="O376" s="34" t="str"/>
      <x:c r="P376" s="34" t="str"/>
      <x:c r="Q376" s="34" t="str"/>
      <x:c r="R376" s="34" t="str"/>
      <x:c r="S376" s="34" t="str"/>
      <x:c r="T376" s="34" t="str"/>
    </x:row>
    <x:row r="377">
      <x:c r="A377" s="34" t="str">
        <x:v>M5-EVAL-0372</x:v>
      </x:c>
      <x:c r="B377" s="34" t="str"/>
      <x:c r="C377" s="34" t="str"/>
      <x:c r="D377" s="34" t="str"/>
      <x:c r="E377" s="34" t="str"/>
      <x:c r="F377" s="34" t="str"/>
      <x:c r="G377" s="34" t="str"/>
      <x:c r="H377" s="34" t="str"/>
      <x:c r="I377" s="38" t="str">
        <x:f>IF(H377="","",IF(H377="完全吻合",1,IF(H377="基本吻合",0.75,IF(H377="部分吻合",0.5,IF(H377="明显不符",0,"")))))</x:f>
      </x:c>
      <x:c r="J377" s="34" t="str"/>
      <x:c r="K377" s="34" t="str"/>
      <x:c r="L377" s="34" t="str"/>
      <x:c r="M377" s="34" t="str"/>
      <x:c r="N377" s="34" t="str"/>
      <x:c r="O377" s="34" t="str"/>
      <x:c r="P377" s="34" t="str"/>
      <x:c r="Q377" s="34" t="str"/>
      <x:c r="R377" s="34" t="str"/>
      <x:c r="S377" s="34" t="str"/>
      <x:c r="T377" s="34" t="str"/>
    </x:row>
    <x:row r="378">
      <x:c r="A378" s="34" t="str">
        <x:v>M5-EVAL-0373</x:v>
      </x:c>
      <x:c r="B378" s="34" t="str"/>
      <x:c r="C378" s="34" t="str"/>
      <x:c r="D378" s="34" t="str"/>
      <x:c r="E378" s="34" t="str"/>
      <x:c r="F378" s="34" t="str"/>
      <x:c r="G378" s="34" t="str"/>
      <x:c r="H378" s="34" t="str"/>
      <x:c r="I378" s="38" t="str">
        <x:f>IF(H378="","",IF(H378="完全吻合",1,IF(H378="基本吻合",0.75,IF(H378="部分吻合",0.5,IF(H378="明显不符",0,"")))))</x:f>
      </x:c>
      <x:c r="J378" s="34" t="str"/>
      <x:c r="K378" s="34" t="str"/>
      <x:c r="L378" s="34" t="str"/>
      <x:c r="M378" s="34" t="str"/>
      <x:c r="N378" s="34" t="str"/>
      <x:c r="O378" s="34" t="str"/>
      <x:c r="P378" s="34" t="str"/>
      <x:c r="Q378" s="34" t="str"/>
      <x:c r="R378" s="34" t="str"/>
      <x:c r="S378" s="34" t="str"/>
      <x:c r="T378" s="34" t="str"/>
    </x:row>
    <x:row r="379">
      <x:c r="A379" s="34" t="str">
        <x:v>M5-EVAL-0374</x:v>
      </x:c>
      <x:c r="B379" s="34" t="str"/>
      <x:c r="C379" s="34" t="str"/>
      <x:c r="D379" s="34" t="str"/>
      <x:c r="E379" s="34" t="str"/>
      <x:c r="F379" s="34" t="str"/>
      <x:c r="G379" s="34" t="str"/>
      <x:c r="H379" s="34" t="str"/>
      <x:c r="I379" s="38" t="str">
        <x:f>IF(H379="","",IF(H379="完全吻合",1,IF(H379="基本吻合",0.75,IF(H379="部分吻合",0.5,IF(H379="明显不符",0,"")))))</x:f>
      </x:c>
      <x:c r="J379" s="34" t="str"/>
      <x:c r="K379" s="34" t="str"/>
      <x:c r="L379" s="34" t="str"/>
      <x:c r="M379" s="34" t="str"/>
      <x:c r="N379" s="34" t="str"/>
      <x:c r="O379" s="34" t="str"/>
      <x:c r="P379" s="34" t="str"/>
      <x:c r="Q379" s="34" t="str"/>
      <x:c r="R379" s="34" t="str"/>
      <x:c r="S379" s="34" t="str"/>
      <x:c r="T379" s="34" t="str"/>
    </x:row>
    <x:row r="380">
      <x:c r="A380" s="34" t="str">
        <x:v>M5-EVAL-0375</x:v>
      </x:c>
      <x:c r="B380" s="34" t="str"/>
      <x:c r="C380" s="34" t="str"/>
      <x:c r="D380" s="34" t="str"/>
      <x:c r="E380" s="34" t="str"/>
      <x:c r="F380" s="34" t="str"/>
      <x:c r="G380" s="34" t="str"/>
      <x:c r="H380" s="34" t="str"/>
      <x:c r="I380" s="38" t="str">
        <x:f>IF(H380="","",IF(H380="完全吻合",1,IF(H380="基本吻合",0.75,IF(H380="部分吻合",0.5,IF(H380="明显不符",0,"")))))</x:f>
      </x:c>
      <x:c r="J380" s="34" t="str"/>
      <x:c r="K380" s="34" t="str"/>
      <x:c r="L380" s="34" t="str"/>
      <x:c r="M380" s="34" t="str"/>
      <x:c r="N380" s="34" t="str"/>
      <x:c r="O380" s="34" t="str"/>
      <x:c r="P380" s="34" t="str"/>
      <x:c r="Q380" s="34" t="str"/>
      <x:c r="R380" s="34" t="str"/>
      <x:c r="S380" s="34" t="str"/>
      <x:c r="T380" s="34" t="str"/>
    </x:row>
    <x:row r="381">
      <x:c r="A381" s="34" t="str">
        <x:v>M5-EVAL-0376</x:v>
      </x:c>
      <x:c r="B381" s="34" t="str"/>
      <x:c r="C381" s="34" t="str"/>
      <x:c r="D381" s="34" t="str"/>
      <x:c r="E381" s="34" t="str"/>
      <x:c r="F381" s="34" t="str"/>
      <x:c r="G381" s="34" t="str"/>
      <x:c r="H381" s="34" t="str"/>
      <x:c r="I381" s="38" t="str">
        <x:f>IF(H381="","",IF(H381="完全吻合",1,IF(H381="基本吻合",0.75,IF(H381="部分吻合",0.5,IF(H381="明显不符",0,"")))))</x:f>
      </x:c>
      <x:c r="J381" s="34" t="str"/>
      <x:c r="K381" s="34" t="str"/>
      <x:c r="L381" s="34" t="str"/>
      <x:c r="M381" s="34" t="str"/>
      <x:c r="N381" s="34" t="str"/>
      <x:c r="O381" s="34" t="str"/>
      <x:c r="P381" s="34" t="str"/>
      <x:c r="Q381" s="34" t="str"/>
      <x:c r="R381" s="34" t="str"/>
      <x:c r="S381" s="34" t="str"/>
      <x:c r="T381" s="34" t="str"/>
    </x:row>
    <x:row r="382">
      <x:c r="A382" s="34" t="str">
        <x:v>M5-EVAL-0377</x:v>
      </x:c>
      <x:c r="B382" s="34" t="str"/>
      <x:c r="C382" s="34" t="str"/>
      <x:c r="D382" s="34" t="str"/>
      <x:c r="E382" s="34" t="str"/>
      <x:c r="F382" s="34" t="str"/>
      <x:c r="G382" s="34" t="str"/>
      <x:c r="H382" s="34" t="str"/>
      <x:c r="I382" s="38" t="str">
        <x:f>IF(H382="","",IF(H382="完全吻合",1,IF(H382="基本吻合",0.75,IF(H382="部分吻合",0.5,IF(H382="明显不符",0,"")))))</x:f>
      </x:c>
      <x:c r="J382" s="34" t="str"/>
      <x:c r="K382" s="34" t="str"/>
      <x:c r="L382" s="34" t="str"/>
      <x:c r="M382" s="34" t="str"/>
      <x:c r="N382" s="34" t="str"/>
      <x:c r="O382" s="34" t="str"/>
      <x:c r="P382" s="34" t="str"/>
      <x:c r="Q382" s="34" t="str"/>
      <x:c r="R382" s="34" t="str"/>
      <x:c r="S382" s="34" t="str"/>
      <x:c r="T382" s="34" t="str"/>
    </x:row>
    <x:row r="383">
      <x:c r="A383" s="34" t="str">
        <x:v>M5-EVAL-0378</x:v>
      </x:c>
      <x:c r="B383" s="34" t="str"/>
      <x:c r="C383" s="34" t="str"/>
      <x:c r="D383" s="34" t="str"/>
      <x:c r="E383" s="34" t="str"/>
      <x:c r="F383" s="34" t="str"/>
      <x:c r="G383" s="34" t="str"/>
      <x:c r="H383" s="34" t="str"/>
      <x:c r="I383" s="38" t="str">
        <x:f>IF(H383="","",IF(H383="完全吻合",1,IF(H383="基本吻合",0.75,IF(H383="部分吻合",0.5,IF(H383="明显不符",0,"")))))</x:f>
      </x:c>
      <x:c r="J383" s="34" t="str"/>
      <x:c r="K383" s="34" t="str"/>
      <x:c r="L383" s="34" t="str"/>
      <x:c r="M383" s="34" t="str"/>
      <x:c r="N383" s="34" t="str"/>
      <x:c r="O383" s="34" t="str"/>
      <x:c r="P383" s="34" t="str"/>
      <x:c r="Q383" s="34" t="str"/>
      <x:c r="R383" s="34" t="str"/>
      <x:c r="S383" s="34" t="str"/>
      <x:c r="T383" s="34" t="str"/>
    </x:row>
    <x:row r="384">
      <x:c r="A384" s="34" t="str">
        <x:v>M5-EVAL-0379</x:v>
      </x:c>
      <x:c r="B384" s="34" t="str"/>
      <x:c r="C384" s="34" t="str"/>
      <x:c r="D384" s="34" t="str"/>
      <x:c r="E384" s="34" t="str"/>
      <x:c r="F384" s="34" t="str"/>
      <x:c r="G384" s="34" t="str"/>
      <x:c r="H384" s="34" t="str"/>
      <x:c r="I384" s="38" t="str">
        <x:f>IF(H384="","",IF(H384="完全吻合",1,IF(H384="基本吻合",0.75,IF(H384="部分吻合",0.5,IF(H384="明显不符",0,"")))))</x:f>
      </x:c>
      <x:c r="J384" s="34" t="str"/>
      <x:c r="K384" s="34" t="str"/>
      <x:c r="L384" s="34" t="str"/>
      <x:c r="M384" s="34" t="str"/>
      <x:c r="N384" s="34" t="str"/>
      <x:c r="O384" s="34" t="str"/>
      <x:c r="P384" s="34" t="str"/>
      <x:c r="Q384" s="34" t="str"/>
      <x:c r="R384" s="34" t="str"/>
      <x:c r="S384" s="34" t="str"/>
      <x:c r="T384" s="34" t="str"/>
    </x:row>
    <x:row r="385">
      <x:c r="A385" s="34" t="str">
        <x:v>M5-EVAL-0380</x:v>
      </x:c>
      <x:c r="B385" s="34" t="str"/>
      <x:c r="C385" s="34" t="str"/>
      <x:c r="D385" s="34" t="str"/>
      <x:c r="E385" s="34" t="str"/>
      <x:c r="F385" s="34" t="str"/>
      <x:c r="G385" s="34" t="str"/>
      <x:c r="H385" s="34" t="str"/>
      <x:c r="I385" s="38" t="str">
        <x:f>IF(H385="","",IF(H385="完全吻合",1,IF(H385="基本吻合",0.75,IF(H385="部分吻合",0.5,IF(H385="明显不符",0,"")))))</x:f>
      </x:c>
      <x:c r="J385" s="34" t="str"/>
      <x:c r="K385" s="34" t="str"/>
      <x:c r="L385" s="34" t="str"/>
      <x:c r="M385" s="34" t="str"/>
      <x:c r="N385" s="34" t="str"/>
      <x:c r="O385" s="34" t="str"/>
      <x:c r="P385" s="34" t="str"/>
      <x:c r="Q385" s="34" t="str"/>
      <x:c r="R385" s="34" t="str"/>
      <x:c r="S385" s="34" t="str"/>
      <x:c r="T385" s="34" t="str"/>
    </x:row>
    <x:row r="386">
      <x:c r="A386" s="34" t="str">
        <x:v>M5-EVAL-0381</x:v>
      </x:c>
      <x:c r="B386" s="34" t="str"/>
      <x:c r="C386" s="34" t="str"/>
      <x:c r="D386" s="34" t="str"/>
      <x:c r="E386" s="34" t="str"/>
      <x:c r="F386" s="34" t="str"/>
      <x:c r="G386" s="34" t="str"/>
      <x:c r="H386" s="34" t="str"/>
      <x:c r="I386" s="38" t="str">
        <x:f>IF(H386="","",IF(H386="完全吻合",1,IF(H386="基本吻合",0.75,IF(H386="部分吻合",0.5,IF(H386="明显不符",0,"")))))</x:f>
      </x:c>
      <x:c r="J386" s="34" t="str"/>
      <x:c r="K386" s="34" t="str"/>
      <x:c r="L386" s="34" t="str"/>
      <x:c r="M386" s="34" t="str"/>
      <x:c r="N386" s="34" t="str"/>
      <x:c r="O386" s="34" t="str"/>
      <x:c r="P386" s="34" t="str"/>
      <x:c r="Q386" s="34" t="str"/>
      <x:c r="R386" s="34" t="str"/>
      <x:c r="S386" s="34" t="str"/>
      <x:c r="T386" s="34" t="str"/>
    </x:row>
    <x:row r="387">
      <x:c r="A387" s="34" t="str">
        <x:v>M5-EVAL-0382</x:v>
      </x:c>
      <x:c r="B387" s="34" t="str"/>
      <x:c r="C387" s="34" t="str"/>
      <x:c r="D387" s="34" t="str"/>
      <x:c r="E387" s="34" t="str"/>
      <x:c r="F387" s="34" t="str"/>
      <x:c r="G387" s="34" t="str"/>
      <x:c r="H387" s="34" t="str"/>
      <x:c r="I387" s="38" t="str">
        <x:f>IF(H387="","",IF(H387="完全吻合",1,IF(H387="基本吻合",0.75,IF(H387="部分吻合",0.5,IF(H387="明显不符",0,"")))))</x:f>
      </x:c>
      <x:c r="J387" s="34" t="str"/>
      <x:c r="K387" s="34" t="str"/>
      <x:c r="L387" s="34" t="str"/>
      <x:c r="M387" s="34" t="str"/>
      <x:c r="N387" s="34" t="str"/>
      <x:c r="O387" s="34" t="str"/>
      <x:c r="P387" s="34" t="str"/>
      <x:c r="Q387" s="34" t="str"/>
      <x:c r="R387" s="34" t="str"/>
      <x:c r="S387" s="34" t="str"/>
      <x:c r="T387" s="34" t="str"/>
    </x:row>
    <x:row r="388">
      <x:c r="A388" s="34" t="str">
        <x:v>M5-EVAL-0383</x:v>
      </x:c>
      <x:c r="B388" s="34" t="str"/>
      <x:c r="C388" s="34" t="str"/>
      <x:c r="D388" s="34" t="str"/>
      <x:c r="E388" s="34" t="str"/>
      <x:c r="F388" s="34" t="str"/>
      <x:c r="G388" s="34" t="str"/>
      <x:c r="H388" s="34" t="str"/>
      <x:c r="I388" s="38" t="str">
        <x:f>IF(H388="","",IF(H388="完全吻合",1,IF(H388="基本吻合",0.75,IF(H388="部分吻合",0.5,IF(H388="明显不符",0,"")))))</x:f>
      </x:c>
      <x:c r="J388" s="34" t="str"/>
      <x:c r="K388" s="34" t="str"/>
      <x:c r="L388" s="34" t="str"/>
      <x:c r="M388" s="34" t="str"/>
      <x:c r="N388" s="34" t="str"/>
      <x:c r="O388" s="34" t="str"/>
      <x:c r="P388" s="34" t="str"/>
      <x:c r="Q388" s="34" t="str"/>
      <x:c r="R388" s="34" t="str"/>
      <x:c r="S388" s="34" t="str"/>
      <x:c r="T388" s="34" t="str"/>
    </x:row>
    <x:row r="389">
      <x:c r="A389" s="34" t="str">
        <x:v>M5-EVAL-0384</x:v>
      </x:c>
      <x:c r="B389" s="34" t="str"/>
      <x:c r="C389" s="34" t="str"/>
      <x:c r="D389" s="34" t="str"/>
      <x:c r="E389" s="34" t="str"/>
      <x:c r="F389" s="34" t="str"/>
      <x:c r="G389" s="34" t="str"/>
      <x:c r="H389" s="34" t="str"/>
      <x:c r="I389" s="38" t="str">
        <x:f>IF(H389="","",IF(H389="完全吻合",1,IF(H389="基本吻合",0.75,IF(H389="部分吻合",0.5,IF(H389="明显不符",0,"")))))</x:f>
      </x:c>
      <x:c r="J389" s="34" t="str"/>
      <x:c r="K389" s="34" t="str"/>
      <x:c r="L389" s="34" t="str"/>
      <x:c r="M389" s="34" t="str"/>
      <x:c r="N389" s="34" t="str"/>
      <x:c r="O389" s="34" t="str"/>
      <x:c r="P389" s="34" t="str"/>
      <x:c r="Q389" s="34" t="str"/>
      <x:c r="R389" s="34" t="str"/>
      <x:c r="S389" s="34" t="str"/>
      <x:c r="T389" s="34" t="str"/>
    </x:row>
    <x:row r="390">
      <x:c r="A390" s="34" t="str">
        <x:v>M5-EVAL-0385</x:v>
      </x:c>
      <x:c r="B390" s="34" t="str"/>
      <x:c r="C390" s="34" t="str"/>
      <x:c r="D390" s="34" t="str"/>
      <x:c r="E390" s="34" t="str"/>
      <x:c r="F390" s="34" t="str"/>
      <x:c r="G390" s="34" t="str"/>
      <x:c r="H390" s="34" t="str"/>
      <x:c r="I390" s="38" t="str">
        <x:f>IF(H390="","",IF(H390="完全吻合",1,IF(H390="基本吻合",0.75,IF(H390="部分吻合",0.5,IF(H390="明显不符",0,"")))))</x:f>
      </x:c>
      <x:c r="J390" s="34" t="str"/>
      <x:c r="K390" s="34" t="str"/>
      <x:c r="L390" s="34" t="str"/>
      <x:c r="M390" s="34" t="str"/>
      <x:c r="N390" s="34" t="str"/>
      <x:c r="O390" s="34" t="str"/>
      <x:c r="P390" s="34" t="str"/>
      <x:c r="Q390" s="34" t="str"/>
      <x:c r="R390" s="34" t="str"/>
      <x:c r="S390" s="34" t="str"/>
      <x:c r="T390" s="34" t="str"/>
    </x:row>
    <x:row r="391">
      <x:c r="A391" s="34" t="str">
        <x:v>M5-EVAL-0386</x:v>
      </x:c>
      <x:c r="B391" s="34" t="str"/>
      <x:c r="C391" s="34" t="str"/>
      <x:c r="D391" s="34" t="str"/>
      <x:c r="E391" s="34" t="str"/>
      <x:c r="F391" s="34" t="str"/>
      <x:c r="G391" s="34" t="str"/>
      <x:c r="H391" s="34" t="str"/>
      <x:c r="I391" s="38" t="str">
        <x:f>IF(H391="","",IF(H391="完全吻合",1,IF(H391="基本吻合",0.75,IF(H391="部分吻合",0.5,IF(H391="明显不符",0,"")))))</x:f>
      </x:c>
      <x:c r="J391" s="34" t="str"/>
      <x:c r="K391" s="34" t="str"/>
      <x:c r="L391" s="34" t="str"/>
      <x:c r="M391" s="34" t="str"/>
      <x:c r="N391" s="34" t="str"/>
      <x:c r="O391" s="34" t="str"/>
      <x:c r="P391" s="34" t="str"/>
      <x:c r="Q391" s="34" t="str"/>
      <x:c r="R391" s="34" t="str"/>
      <x:c r="S391" s="34" t="str"/>
      <x:c r="T391" s="34" t="str"/>
    </x:row>
    <x:row r="392">
      <x:c r="A392" s="34" t="str">
        <x:v>M5-EVAL-0387</x:v>
      </x:c>
      <x:c r="B392" s="34" t="str"/>
      <x:c r="C392" s="34" t="str"/>
      <x:c r="D392" s="34" t="str"/>
      <x:c r="E392" s="34" t="str"/>
      <x:c r="F392" s="34" t="str"/>
      <x:c r="G392" s="34" t="str"/>
      <x:c r="H392" s="34" t="str"/>
      <x:c r="I392" s="38" t="str">
        <x:f>IF(H392="","",IF(H392="完全吻合",1,IF(H392="基本吻合",0.75,IF(H392="部分吻合",0.5,IF(H392="明显不符",0,"")))))</x:f>
      </x:c>
      <x:c r="J392" s="34" t="str"/>
      <x:c r="K392" s="34" t="str"/>
      <x:c r="L392" s="34" t="str"/>
      <x:c r="M392" s="34" t="str"/>
      <x:c r="N392" s="34" t="str"/>
      <x:c r="O392" s="34" t="str"/>
      <x:c r="P392" s="34" t="str"/>
      <x:c r="Q392" s="34" t="str"/>
      <x:c r="R392" s="34" t="str"/>
      <x:c r="S392" s="34" t="str"/>
      <x:c r="T392" s="34" t="str"/>
    </x:row>
    <x:row r="393">
      <x:c r="A393" s="34" t="str">
        <x:v>M5-EVAL-0388</x:v>
      </x:c>
      <x:c r="B393" s="34" t="str"/>
      <x:c r="C393" s="34" t="str"/>
      <x:c r="D393" s="34" t="str"/>
      <x:c r="E393" s="34" t="str"/>
      <x:c r="F393" s="34" t="str"/>
      <x:c r="G393" s="34" t="str"/>
      <x:c r="H393" s="34" t="str"/>
      <x:c r="I393" s="38" t="str">
        <x:f>IF(H393="","",IF(H393="完全吻合",1,IF(H393="基本吻合",0.75,IF(H393="部分吻合",0.5,IF(H393="明显不符",0,"")))))</x:f>
      </x:c>
      <x:c r="J393" s="34" t="str"/>
      <x:c r="K393" s="34" t="str"/>
      <x:c r="L393" s="34" t="str"/>
      <x:c r="M393" s="34" t="str"/>
      <x:c r="N393" s="34" t="str"/>
      <x:c r="O393" s="34" t="str"/>
      <x:c r="P393" s="34" t="str"/>
      <x:c r="Q393" s="34" t="str"/>
      <x:c r="R393" s="34" t="str"/>
      <x:c r="S393" s="34" t="str"/>
      <x:c r="T393" s="34" t="str"/>
    </x:row>
    <x:row r="394">
      <x:c r="A394" s="34" t="str">
        <x:v>M5-EVAL-0389</x:v>
      </x:c>
      <x:c r="B394" s="34" t="str"/>
      <x:c r="C394" s="34" t="str"/>
      <x:c r="D394" s="34" t="str"/>
      <x:c r="E394" s="34" t="str"/>
      <x:c r="F394" s="34" t="str"/>
      <x:c r="G394" s="34" t="str"/>
      <x:c r="H394" s="34" t="str"/>
      <x:c r="I394" s="38" t="str">
        <x:f>IF(H394="","",IF(H394="完全吻合",1,IF(H394="基本吻合",0.75,IF(H394="部分吻合",0.5,IF(H394="明显不符",0,"")))))</x:f>
      </x:c>
      <x:c r="J394" s="34" t="str"/>
      <x:c r="K394" s="34" t="str"/>
      <x:c r="L394" s="34" t="str"/>
      <x:c r="M394" s="34" t="str"/>
      <x:c r="N394" s="34" t="str"/>
      <x:c r="O394" s="34" t="str"/>
      <x:c r="P394" s="34" t="str"/>
      <x:c r="Q394" s="34" t="str"/>
      <x:c r="R394" s="34" t="str"/>
      <x:c r="S394" s="34" t="str"/>
      <x:c r="T394" s="34" t="str"/>
    </x:row>
    <x:row r="395">
      <x:c r="A395" s="34" t="str">
        <x:v>M5-EVAL-0390</x:v>
      </x:c>
      <x:c r="B395" s="34" t="str"/>
      <x:c r="C395" s="34" t="str"/>
      <x:c r="D395" s="34" t="str"/>
      <x:c r="E395" s="34" t="str"/>
      <x:c r="F395" s="34" t="str"/>
      <x:c r="G395" s="34" t="str"/>
      <x:c r="H395" s="34" t="str"/>
      <x:c r="I395" s="38" t="str">
        <x:f>IF(H395="","",IF(H395="完全吻合",1,IF(H395="基本吻合",0.75,IF(H395="部分吻合",0.5,IF(H395="明显不符",0,"")))))</x:f>
      </x:c>
      <x:c r="J395" s="34" t="str"/>
      <x:c r="K395" s="34" t="str"/>
      <x:c r="L395" s="34" t="str"/>
      <x:c r="M395" s="34" t="str"/>
      <x:c r="N395" s="34" t="str"/>
      <x:c r="O395" s="34" t="str"/>
      <x:c r="P395" s="34" t="str"/>
      <x:c r="Q395" s="34" t="str"/>
      <x:c r="R395" s="34" t="str"/>
      <x:c r="S395" s="34" t="str"/>
      <x:c r="T395" s="34" t="str"/>
    </x:row>
    <x:row r="396">
      <x:c r="A396" s="34" t="str">
        <x:v>M5-EVAL-0391</x:v>
      </x:c>
      <x:c r="B396" s="34" t="str"/>
      <x:c r="C396" s="34" t="str"/>
      <x:c r="D396" s="34" t="str"/>
      <x:c r="E396" s="34" t="str"/>
      <x:c r="F396" s="34" t="str"/>
      <x:c r="G396" s="34" t="str"/>
      <x:c r="H396" s="34" t="str"/>
      <x:c r="I396" s="38" t="str">
        <x:f>IF(H396="","",IF(H396="完全吻合",1,IF(H396="基本吻合",0.75,IF(H396="部分吻合",0.5,IF(H396="明显不符",0,"")))))</x:f>
      </x:c>
      <x:c r="J396" s="34" t="str"/>
      <x:c r="K396" s="34" t="str"/>
      <x:c r="L396" s="34" t="str"/>
      <x:c r="M396" s="34" t="str"/>
      <x:c r="N396" s="34" t="str"/>
      <x:c r="O396" s="34" t="str"/>
      <x:c r="P396" s="34" t="str"/>
      <x:c r="Q396" s="34" t="str"/>
      <x:c r="R396" s="34" t="str"/>
      <x:c r="S396" s="34" t="str"/>
      <x:c r="T396" s="34" t="str"/>
    </x:row>
    <x:row r="397">
      <x:c r="A397" s="34" t="str">
        <x:v>M5-EVAL-0392</x:v>
      </x:c>
      <x:c r="B397" s="34" t="str"/>
      <x:c r="C397" s="34" t="str"/>
      <x:c r="D397" s="34" t="str"/>
      <x:c r="E397" s="34" t="str"/>
      <x:c r="F397" s="34" t="str"/>
      <x:c r="G397" s="34" t="str"/>
      <x:c r="H397" s="34" t="str"/>
      <x:c r="I397" s="38" t="str">
        <x:f>IF(H397="","",IF(H397="完全吻合",1,IF(H397="基本吻合",0.75,IF(H397="部分吻合",0.5,IF(H397="明显不符",0,"")))))</x:f>
      </x:c>
      <x:c r="J397" s="34" t="str"/>
      <x:c r="K397" s="34" t="str"/>
      <x:c r="L397" s="34" t="str"/>
      <x:c r="M397" s="34" t="str"/>
      <x:c r="N397" s="34" t="str"/>
      <x:c r="O397" s="34" t="str"/>
      <x:c r="P397" s="34" t="str"/>
      <x:c r="Q397" s="34" t="str"/>
      <x:c r="R397" s="34" t="str"/>
      <x:c r="S397" s="34" t="str"/>
      <x:c r="T397" s="34" t="str"/>
    </x:row>
    <x:row r="398">
      <x:c r="A398" s="34" t="str">
        <x:v>M5-EVAL-0393</x:v>
      </x:c>
      <x:c r="B398" s="34" t="str"/>
      <x:c r="C398" s="34" t="str"/>
      <x:c r="D398" s="34" t="str"/>
      <x:c r="E398" s="34" t="str"/>
      <x:c r="F398" s="34" t="str"/>
      <x:c r="G398" s="34" t="str"/>
      <x:c r="H398" s="34" t="str"/>
      <x:c r="I398" s="38" t="str">
        <x:f>IF(H398="","",IF(H398="完全吻合",1,IF(H398="基本吻合",0.75,IF(H398="部分吻合",0.5,IF(H398="明显不符",0,"")))))</x:f>
      </x:c>
      <x:c r="J398" s="34" t="str"/>
      <x:c r="K398" s="34" t="str"/>
      <x:c r="L398" s="34" t="str"/>
      <x:c r="M398" s="34" t="str"/>
      <x:c r="N398" s="34" t="str"/>
      <x:c r="O398" s="34" t="str"/>
      <x:c r="P398" s="34" t="str"/>
      <x:c r="Q398" s="34" t="str"/>
      <x:c r="R398" s="34" t="str"/>
      <x:c r="S398" s="34" t="str"/>
      <x:c r="T398" s="34" t="str"/>
    </x:row>
    <x:row r="399">
      <x:c r="A399" s="34" t="str">
        <x:v>M5-EVAL-0394</x:v>
      </x:c>
      <x:c r="B399" s="34" t="str"/>
      <x:c r="C399" s="34" t="str"/>
      <x:c r="D399" s="34" t="str"/>
      <x:c r="E399" s="34" t="str"/>
      <x:c r="F399" s="34" t="str"/>
      <x:c r="G399" s="34" t="str"/>
      <x:c r="H399" s="34" t="str"/>
      <x:c r="I399" s="38" t="str">
        <x:f>IF(H399="","",IF(H399="完全吻合",1,IF(H399="基本吻合",0.75,IF(H399="部分吻合",0.5,IF(H399="明显不符",0,"")))))</x:f>
      </x:c>
      <x:c r="J399" s="34" t="str"/>
      <x:c r="K399" s="34" t="str"/>
      <x:c r="L399" s="34" t="str"/>
      <x:c r="M399" s="34" t="str"/>
      <x:c r="N399" s="34" t="str"/>
      <x:c r="O399" s="34" t="str"/>
      <x:c r="P399" s="34" t="str"/>
      <x:c r="Q399" s="34" t="str"/>
      <x:c r="R399" s="34" t="str"/>
      <x:c r="S399" s="34" t="str"/>
      <x:c r="T399" s="34" t="str"/>
    </x:row>
    <x:row r="400">
      <x:c r="A400" s="34" t="str">
        <x:v>M5-EVAL-0395</x:v>
      </x:c>
      <x:c r="B400" s="34" t="str"/>
      <x:c r="C400" s="34" t="str"/>
      <x:c r="D400" s="34" t="str"/>
      <x:c r="E400" s="34" t="str"/>
      <x:c r="F400" s="34" t="str"/>
      <x:c r="G400" s="34" t="str"/>
      <x:c r="H400" s="34" t="str"/>
      <x:c r="I400" s="38" t="str">
        <x:f>IF(H400="","",IF(H400="完全吻合",1,IF(H400="基本吻合",0.75,IF(H400="部分吻合",0.5,IF(H400="明显不符",0,"")))))</x:f>
      </x:c>
      <x:c r="J400" s="34" t="str"/>
      <x:c r="K400" s="34" t="str"/>
      <x:c r="L400" s="34" t="str"/>
      <x:c r="M400" s="34" t="str"/>
      <x:c r="N400" s="34" t="str"/>
      <x:c r="O400" s="34" t="str"/>
      <x:c r="P400" s="34" t="str"/>
      <x:c r="Q400" s="34" t="str"/>
      <x:c r="R400" s="34" t="str"/>
      <x:c r="S400" s="34" t="str"/>
      <x:c r="T400" s="34" t="str"/>
    </x:row>
    <x:row r="401">
      <x:c r="A401" s="34" t="str">
        <x:v>M5-EVAL-0396</x:v>
      </x:c>
      <x:c r="B401" s="34" t="str"/>
      <x:c r="C401" s="34" t="str"/>
      <x:c r="D401" s="34" t="str"/>
      <x:c r="E401" s="34" t="str"/>
      <x:c r="F401" s="34" t="str"/>
      <x:c r="G401" s="34" t="str"/>
      <x:c r="H401" s="34" t="str"/>
      <x:c r="I401" s="38" t="str">
        <x:f>IF(H401="","",IF(H401="完全吻合",1,IF(H401="基本吻合",0.75,IF(H401="部分吻合",0.5,IF(H401="明显不符",0,"")))))</x:f>
      </x:c>
      <x:c r="J401" s="34" t="str"/>
      <x:c r="K401" s="34" t="str"/>
      <x:c r="L401" s="34" t="str"/>
      <x:c r="M401" s="34" t="str"/>
      <x:c r="N401" s="34" t="str"/>
      <x:c r="O401" s="34" t="str"/>
      <x:c r="P401" s="34" t="str"/>
      <x:c r="Q401" s="34" t="str"/>
      <x:c r="R401" s="34" t="str"/>
      <x:c r="S401" s="34" t="str"/>
      <x:c r="T401" s="34" t="str"/>
    </x:row>
    <x:row r="402">
      <x:c r="A402" s="34" t="str">
        <x:v>M5-EVAL-0397</x:v>
      </x:c>
      <x:c r="B402" s="34" t="str"/>
      <x:c r="C402" s="34" t="str"/>
      <x:c r="D402" s="34" t="str"/>
      <x:c r="E402" s="34" t="str"/>
      <x:c r="F402" s="34" t="str"/>
      <x:c r="G402" s="34" t="str"/>
      <x:c r="H402" s="34" t="str"/>
      <x:c r="I402" s="38" t="str">
        <x:f>IF(H402="","",IF(H402="完全吻合",1,IF(H402="基本吻合",0.75,IF(H402="部分吻合",0.5,IF(H402="明显不符",0,"")))))</x:f>
      </x:c>
      <x:c r="J402" s="34" t="str"/>
      <x:c r="K402" s="34" t="str"/>
      <x:c r="L402" s="34" t="str"/>
      <x:c r="M402" s="34" t="str"/>
      <x:c r="N402" s="34" t="str"/>
      <x:c r="O402" s="34" t="str"/>
      <x:c r="P402" s="34" t="str"/>
      <x:c r="Q402" s="34" t="str"/>
      <x:c r="R402" s="34" t="str"/>
      <x:c r="S402" s="34" t="str"/>
      <x:c r="T402" s="34" t="str"/>
    </x:row>
    <x:row r="403">
      <x:c r="A403" s="34" t="str">
        <x:v>M5-EVAL-0398</x:v>
      </x:c>
      <x:c r="B403" s="34" t="str"/>
      <x:c r="C403" s="34" t="str"/>
      <x:c r="D403" s="34" t="str"/>
      <x:c r="E403" s="34" t="str"/>
      <x:c r="F403" s="34" t="str"/>
      <x:c r="G403" s="34" t="str"/>
      <x:c r="H403" s="34" t="str"/>
      <x:c r="I403" s="38" t="str">
        <x:f>IF(H403="","",IF(H403="完全吻合",1,IF(H403="基本吻合",0.75,IF(H403="部分吻合",0.5,IF(H403="明显不符",0,"")))))</x:f>
      </x:c>
      <x:c r="J403" s="34" t="str"/>
      <x:c r="K403" s="34" t="str"/>
      <x:c r="L403" s="34" t="str"/>
      <x:c r="M403" s="34" t="str"/>
      <x:c r="N403" s="34" t="str"/>
      <x:c r="O403" s="34" t="str"/>
      <x:c r="P403" s="34" t="str"/>
      <x:c r="Q403" s="34" t="str"/>
      <x:c r="R403" s="34" t="str"/>
      <x:c r="S403" s="34" t="str"/>
      <x:c r="T403" s="34" t="str"/>
    </x:row>
    <x:row r="404">
      <x:c r="A404" s="34" t="str">
        <x:v>M5-EVAL-0399</x:v>
      </x:c>
      <x:c r="B404" s="34" t="str"/>
      <x:c r="C404" s="34" t="str"/>
      <x:c r="D404" s="34" t="str"/>
      <x:c r="E404" s="34" t="str"/>
      <x:c r="F404" s="34" t="str"/>
      <x:c r="G404" s="34" t="str"/>
      <x:c r="H404" s="34" t="str"/>
      <x:c r="I404" s="38" t="str">
        <x:f>IF(H404="","",IF(H404="完全吻合",1,IF(H404="基本吻合",0.75,IF(H404="部分吻合",0.5,IF(H404="明显不符",0,"")))))</x:f>
      </x:c>
      <x:c r="J404" s="34" t="str"/>
      <x:c r="K404" s="34" t="str"/>
      <x:c r="L404" s="34" t="str"/>
      <x:c r="M404" s="34" t="str"/>
      <x:c r="N404" s="34" t="str"/>
      <x:c r="O404" s="34" t="str"/>
      <x:c r="P404" s="34" t="str"/>
      <x:c r="Q404" s="34" t="str"/>
      <x:c r="R404" s="34" t="str"/>
      <x:c r="S404" s="34" t="str"/>
      <x:c r="T404" s="34" t="str"/>
    </x:row>
    <x:row r="405">
      <x:c r="A405" s="34" t="str">
        <x:v>M5-EVAL-0400</x:v>
      </x:c>
      <x:c r="B405" s="34" t="str"/>
      <x:c r="C405" s="34" t="str"/>
      <x:c r="D405" s="34" t="str"/>
      <x:c r="E405" s="34" t="str"/>
      <x:c r="F405" s="34" t="str"/>
      <x:c r="G405" s="34" t="str"/>
      <x:c r="H405" s="34" t="str"/>
      <x:c r="I405" s="38" t="str">
        <x:f>IF(H405="","",IF(H405="完全吻合",1,IF(H405="基本吻合",0.75,IF(H405="部分吻合",0.5,IF(H405="明显不符",0,"")))))</x:f>
      </x:c>
      <x:c r="J405" s="34" t="str"/>
      <x:c r="K405" s="34" t="str"/>
      <x:c r="L405" s="34" t="str"/>
      <x:c r="M405" s="34" t="str"/>
      <x:c r="N405" s="34" t="str"/>
      <x:c r="O405" s="34" t="str"/>
      <x:c r="P405" s="34" t="str"/>
      <x:c r="Q405" s="34" t="str"/>
      <x:c r="R405" s="34" t="str"/>
      <x:c r="S405" s="34" t="str"/>
      <x:c r="T405" s="34" t="str"/>
    </x:row>
    <x:row r="406">
      <x:c r="A406" s="34" t="str">
        <x:v>M5-EVAL-0401</x:v>
      </x:c>
      <x:c r="B406" s="34" t="str"/>
      <x:c r="C406" s="34" t="str"/>
      <x:c r="D406" s="34" t="str"/>
      <x:c r="E406" s="34" t="str"/>
      <x:c r="F406" s="34" t="str"/>
      <x:c r="G406" s="34" t="str"/>
      <x:c r="H406" s="34" t="str"/>
      <x:c r="I406" s="38" t="str">
        <x:f>IF(H406="","",IF(H406="完全吻合",1,IF(H406="基本吻合",0.75,IF(H406="部分吻合",0.5,IF(H406="明显不符",0,"")))))</x:f>
      </x:c>
      <x:c r="J406" s="34" t="str"/>
      <x:c r="K406" s="34" t="str"/>
      <x:c r="L406" s="34" t="str"/>
      <x:c r="M406" s="34" t="str"/>
      <x:c r="N406" s="34" t="str"/>
      <x:c r="O406" s="34" t="str"/>
      <x:c r="P406" s="34" t="str"/>
      <x:c r="Q406" s="34" t="str"/>
      <x:c r="R406" s="34" t="str"/>
      <x:c r="S406" s="34" t="str"/>
      <x:c r="T406" s="34" t="str"/>
    </x:row>
    <x:row r="407">
      <x:c r="A407" s="34" t="str">
        <x:v>M5-EVAL-0402</x:v>
      </x:c>
      <x:c r="B407" s="34" t="str"/>
      <x:c r="C407" s="34" t="str"/>
      <x:c r="D407" s="34" t="str"/>
      <x:c r="E407" s="34" t="str"/>
      <x:c r="F407" s="34" t="str"/>
      <x:c r="G407" s="34" t="str"/>
      <x:c r="H407" s="34" t="str"/>
      <x:c r="I407" s="38" t="str">
        <x:f>IF(H407="","",IF(H407="完全吻合",1,IF(H407="基本吻合",0.75,IF(H407="部分吻合",0.5,IF(H407="明显不符",0,"")))))</x:f>
      </x:c>
      <x:c r="J407" s="34" t="str"/>
      <x:c r="K407" s="34" t="str"/>
      <x:c r="L407" s="34" t="str"/>
      <x:c r="M407" s="34" t="str"/>
      <x:c r="N407" s="34" t="str"/>
      <x:c r="O407" s="34" t="str"/>
      <x:c r="P407" s="34" t="str"/>
      <x:c r="Q407" s="34" t="str"/>
      <x:c r="R407" s="34" t="str"/>
      <x:c r="S407" s="34" t="str"/>
      <x:c r="T407" s="34" t="str"/>
    </x:row>
    <x:row r="408">
      <x:c r="A408" s="34" t="str">
        <x:v>M5-EVAL-0403</x:v>
      </x:c>
      <x:c r="B408" s="34" t="str"/>
      <x:c r="C408" s="34" t="str"/>
      <x:c r="D408" s="34" t="str"/>
      <x:c r="E408" s="34" t="str"/>
      <x:c r="F408" s="34" t="str"/>
      <x:c r="G408" s="34" t="str"/>
      <x:c r="H408" s="34" t="str"/>
      <x:c r="I408" s="38" t="str">
        <x:f>IF(H408="","",IF(H408="完全吻合",1,IF(H408="基本吻合",0.75,IF(H408="部分吻合",0.5,IF(H408="明显不符",0,"")))))</x:f>
      </x:c>
      <x:c r="J408" s="34" t="str"/>
      <x:c r="K408" s="34" t="str"/>
      <x:c r="L408" s="34" t="str"/>
      <x:c r="M408" s="34" t="str"/>
      <x:c r="N408" s="34" t="str"/>
      <x:c r="O408" s="34" t="str"/>
      <x:c r="P408" s="34" t="str"/>
      <x:c r="Q408" s="34" t="str"/>
      <x:c r="R408" s="34" t="str"/>
      <x:c r="S408" s="34" t="str"/>
      <x:c r="T408" s="34" t="str"/>
    </x:row>
    <x:row r="409">
      <x:c r="A409" s="34" t="str">
        <x:v>M5-EVAL-0404</x:v>
      </x:c>
      <x:c r="B409" s="34" t="str"/>
      <x:c r="C409" s="34" t="str"/>
      <x:c r="D409" s="34" t="str"/>
      <x:c r="E409" s="34" t="str"/>
      <x:c r="F409" s="34" t="str"/>
      <x:c r="G409" s="34" t="str"/>
      <x:c r="H409" s="34" t="str"/>
      <x:c r="I409" s="38" t="str">
        <x:f>IF(H409="","",IF(H409="完全吻合",1,IF(H409="基本吻合",0.75,IF(H409="部分吻合",0.5,IF(H409="明显不符",0,"")))))</x:f>
      </x:c>
      <x:c r="J409" s="34" t="str"/>
      <x:c r="K409" s="34" t="str"/>
      <x:c r="L409" s="34" t="str"/>
      <x:c r="M409" s="34" t="str"/>
      <x:c r="N409" s="34" t="str"/>
      <x:c r="O409" s="34" t="str"/>
      <x:c r="P409" s="34" t="str"/>
      <x:c r="Q409" s="34" t="str"/>
      <x:c r="R409" s="34" t="str"/>
      <x:c r="S409" s="34" t="str"/>
      <x:c r="T409" s="34" t="str"/>
    </x:row>
    <x:row r="410">
      <x:c r="A410" s="34" t="str">
        <x:v>M5-EVAL-0405</x:v>
      </x:c>
      <x:c r="B410" s="34" t="str"/>
      <x:c r="C410" s="34" t="str"/>
      <x:c r="D410" s="34" t="str"/>
      <x:c r="E410" s="34" t="str"/>
      <x:c r="F410" s="34" t="str"/>
      <x:c r="G410" s="34" t="str"/>
      <x:c r="H410" s="34" t="str"/>
      <x:c r="I410" s="38" t="str">
        <x:f>IF(H410="","",IF(H410="完全吻合",1,IF(H410="基本吻合",0.75,IF(H410="部分吻合",0.5,IF(H410="明显不符",0,"")))))</x:f>
      </x:c>
      <x:c r="J410" s="34" t="str"/>
      <x:c r="K410" s="34" t="str"/>
      <x:c r="L410" s="34" t="str"/>
      <x:c r="M410" s="34" t="str"/>
      <x:c r="N410" s="34" t="str"/>
      <x:c r="O410" s="34" t="str"/>
      <x:c r="P410" s="34" t="str"/>
      <x:c r="Q410" s="34" t="str"/>
      <x:c r="R410" s="34" t="str"/>
      <x:c r="S410" s="34" t="str"/>
      <x:c r="T410" s="34" t="str"/>
    </x:row>
    <x:row r="411">
      <x:c r="A411" s="34" t="str">
        <x:v>M5-EVAL-0406</x:v>
      </x:c>
      <x:c r="B411" s="34" t="str"/>
      <x:c r="C411" s="34" t="str"/>
      <x:c r="D411" s="34" t="str"/>
      <x:c r="E411" s="34" t="str"/>
      <x:c r="F411" s="34" t="str"/>
      <x:c r="G411" s="34" t="str"/>
      <x:c r="H411" s="34" t="str"/>
      <x:c r="I411" s="38" t="str">
        <x:f>IF(H411="","",IF(H411="完全吻合",1,IF(H411="基本吻合",0.75,IF(H411="部分吻合",0.5,IF(H411="明显不符",0,"")))))</x:f>
      </x:c>
      <x:c r="J411" s="34" t="str"/>
      <x:c r="K411" s="34" t="str"/>
      <x:c r="L411" s="34" t="str"/>
      <x:c r="M411" s="34" t="str"/>
      <x:c r="N411" s="34" t="str"/>
      <x:c r="O411" s="34" t="str"/>
      <x:c r="P411" s="34" t="str"/>
      <x:c r="Q411" s="34" t="str"/>
      <x:c r="R411" s="34" t="str"/>
      <x:c r="S411" s="34" t="str"/>
      <x:c r="T411" s="34" t="str"/>
    </x:row>
    <x:row r="412">
      <x:c r="A412" s="34" t="str">
        <x:v>M5-EVAL-0407</x:v>
      </x:c>
      <x:c r="B412" s="34" t="str"/>
      <x:c r="C412" s="34" t="str"/>
      <x:c r="D412" s="34" t="str"/>
      <x:c r="E412" s="34" t="str"/>
      <x:c r="F412" s="34" t="str"/>
      <x:c r="G412" s="34" t="str"/>
      <x:c r="H412" s="34" t="str"/>
      <x:c r="I412" s="38" t="str">
        <x:f>IF(H412="","",IF(H412="完全吻合",1,IF(H412="基本吻合",0.75,IF(H412="部分吻合",0.5,IF(H412="明显不符",0,"")))))</x:f>
      </x:c>
      <x:c r="J412" s="34" t="str"/>
      <x:c r="K412" s="34" t="str"/>
      <x:c r="L412" s="34" t="str"/>
      <x:c r="M412" s="34" t="str"/>
      <x:c r="N412" s="34" t="str"/>
      <x:c r="O412" s="34" t="str"/>
      <x:c r="P412" s="34" t="str"/>
      <x:c r="Q412" s="34" t="str"/>
      <x:c r="R412" s="34" t="str"/>
      <x:c r="S412" s="34" t="str"/>
      <x:c r="T412" s="34" t="str"/>
    </x:row>
    <x:row r="413">
      <x:c r="A413" s="34" t="str">
        <x:v>M5-EVAL-0408</x:v>
      </x:c>
      <x:c r="B413" s="34" t="str"/>
      <x:c r="C413" s="34" t="str"/>
      <x:c r="D413" s="34" t="str"/>
      <x:c r="E413" s="34" t="str"/>
      <x:c r="F413" s="34" t="str"/>
      <x:c r="G413" s="34" t="str"/>
      <x:c r="H413" s="34" t="str"/>
      <x:c r="I413" s="38" t="str">
        <x:f>IF(H413="","",IF(H413="完全吻合",1,IF(H413="基本吻合",0.75,IF(H413="部分吻合",0.5,IF(H413="明显不符",0,"")))))</x:f>
      </x:c>
      <x:c r="J413" s="34" t="str"/>
      <x:c r="K413" s="34" t="str"/>
      <x:c r="L413" s="34" t="str"/>
      <x:c r="M413" s="34" t="str"/>
      <x:c r="N413" s="34" t="str"/>
      <x:c r="O413" s="34" t="str"/>
      <x:c r="P413" s="34" t="str"/>
      <x:c r="Q413" s="34" t="str"/>
      <x:c r="R413" s="34" t="str"/>
      <x:c r="S413" s="34" t="str"/>
      <x:c r="T413" s="34" t="str"/>
    </x:row>
    <x:row r="414">
      <x:c r="A414" s="34" t="str">
        <x:v>M5-EVAL-0409</x:v>
      </x:c>
      <x:c r="B414" s="34" t="str"/>
      <x:c r="C414" s="34" t="str"/>
      <x:c r="D414" s="34" t="str"/>
      <x:c r="E414" s="34" t="str"/>
      <x:c r="F414" s="34" t="str"/>
      <x:c r="G414" s="34" t="str"/>
      <x:c r="H414" s="34" t="str"/>
      <x:c r="I414" s="38" t="str">
        <x:f>IF(H414="","",IF(H414="完全吻合",1,IF(H414="基本吻合",0.75,IF(H414="部分吻合",0.5,IF(H414="明显不符",0,"")))))</x:f>
      </x:c>
      <x:c r="J414" s="34" t="str"/>
      <x:c r="K414" s="34" t="str"/>
      <x:c r="L414" s="34" t="str"/>
      <x:c r="M414" s="34" t="str"/>
      <x:c r="N414" s="34" t="str"/>
      <x:c r="O414" s="34" t="str"/>
      <x:c r="P414" s="34" t="str"/>
      <x:c r="Q414" s="34" t="str"/>
      <x:c r="R414" s="34" t="str"/>
      <x:c r="S414" s="34" t="str"/>
      <x:c r="T414" s="34" t="str"/>
    </x:row>
    <x:row r="415">
      <x:c r="A415" s="34" t="str">
        <x:v>M5-EVAL-0410</x:v>
      </x:c>
      <x:c r="B415" s="34" t="str"/>
      <x:c r="C415" s="34" t="str"/>
      <x:c r="D415" s="34" t="str"/>
      <x:c r="E415" s="34" t="str"/>
      <x:c r="F415" s="34" t="str"/>
      <x:c r="G415" s="34" t="str"/>
      <x:c r="H415" s="34" t="str"/>
      <x:c r="I415" s="38" t="str">
        <x:f>IF(H415="","",IF(H415="完全吻合",1,IF(H415="基本吻合",0.75,IF(H415="部分吻合",0.5,IF(H415="明显不符",0,"")))))</x:f>
      </x:c>
      <x:c r="J415" s="34" t="str"/>
      <x:c r="K415" s="34" t="str"/>
      <x:c r="L415" s="34" t="str"/>
      <x:c r="M415" s="34" t="str"/>
      <x:c r="N415" s="34" t="str"/>
      <x:c r="O415" s="34" t="str"/>
      <x:c r="P415" s="34" t="str"/>
      <x:c r="Q415" s="34" t="str"/>
      <x:c r="R415" s="34" t="str"/>
      <x:c r="S415" s="34" t="str"/>
      <x:c r="T415" s="34" t="str"/>
    </x:row>
    <x:row r="416">
      <x:c r="A416" s="34" t="str">
        <x:v>M5-EVAL-0411</x:v>
      </x:c>
      <x:c r="B416" s="34" t="str"/>
      <x:c r="C416" s="34" t="str"/>
      <x:c r="D416" s="34" t="str"/>
      <x:c r="E416" s="34" t="str"/>
      <x:c r="F416" s="34" t="str"/>
      <x:c r="G416" s="34" t="str"/>
      <x:c r="H416" s="34" t="str"/>
      <x:c r="I416" s="38" t="str">
        <x:f>IF(H416="","",IF(H416="完全吻合",1,IF(H416="基本吻合",0.75,IF(H416="部分吻合",0.5,IF(H416="明显不符",0,"")))))</x:f>
      </x:c>
      <x:c r="J416" s="34" t="str"/>
      <x:c r="K416" s="34" t="str"/>
      <x:c r="L416" s="34" t="str"/>
      <x:c r="M416" s="34" t="str"/>
      <x:c r="N416" s="34" t="str"/>
      <x:c r="O416" s="34" t="str"/>
      <x:c r="P416" s="34" t="str"/>
      <x:c r="Q416" s="34" t="str"/>
      <x:c r="R416" s="34" t="str"/>
      <x:c r="S416" s="34" t="str"/>
      <x:c r="T416" s="34" t="str"/>
    </x:row>
    <x:row r="417">
      <x:c r="A417" s="34" t="str">
        <x:v>M5-EVAL-0412</x:v>
      </x:c>
      <x:c r="B417" s="34" t="str"/>
      <x:c r="C417" s="34" t="str"/>
      <x:c r="D417" s="34" t="str"/>
      <x:c r="E417" s="34" t="str"/>
      <x:c r="F417" s="34" t="str"/>
      <x:c r="G417" s="34" t="str"/>
      <x:c r="H417" s="34" t="str"/>
      <x:c r="I417" s="38" t="str">
        <x:f>IF(H417="","",IF(H417="完全吻合",1,IF(H417="基本吻合",0.75,IF(H417="部分吻合",0.5,IF(H417="明显不符",0,"")))))</x:f>
      </x:c>
      <x:c r="J417" s="34" t="str"/>
      <x:c r="K417" s="34" t="str"/>
      <x:c r="L417" s="34" t="str"/>
      <x:c r="M417" s="34" t="str"/>
      <x:c r="N417" s="34" t="str"/>
      <x:c r="O417" s="34" t="str"/>
      <x:c r="P417" s="34" t="str"/>
      <x:c r="Q417" s="34" t="str"/>
      <x:c r="R417" s="34" t="str"/>
      <x:c r="S417" s="34" t="str"/>
      <x:c r="T417" s="34" t="str"/>
    </x:row>
    <x:row r="418">
      <x:c r="A418" s="34" t="str">
        <x:v>M5-EVAL-0413</x:v>
      </x:c>
      <x:c r="B418" s="34" t="str"/>
      <x:c r="C418" s="34" t="str"/>
      <x:c r="D418" s="34" t="str"/>
      <x:c r="E418" s="34" t="str"/>
      <x:c r="F418" s="34" t="str"/>
      <x:c r="G418" s="34" t="str"/>
      <x:c r="H418" s="34" t="str"/>
      <x:c r="I418" s="38" t="str">
        <x:f>IF(H418="","",IF(H418="完全吻合",1,IF(H418="基本吻合",0.75,IF(H418="部分吻合",0.5,IF(H418="明显不符",0,"")))))</x:f>
      </x:c>
      <x:c r="J418" s="34" t="str"/>
      <x:c r="K418" s="34" t="str"/>
      <x:c r="L418" s="34" t="str"/>
      <x:c r="M418" s="34" t="str"/>
      <x:c r="N418" s="34" t="str"/>
      <x:c r="O418" s="34" t="str"/>
      <x:c r="P418" s="34" t="str"/>
      <x:c r="Q418" s="34" t="str"/>
      <x:c r="R418" s="34" t="str"/>
      <x:c r="S418" s="34" t="str"/>
      <x:c r="T418" s="34" t="str"/>
    </x:row>
    <x:row r="419">
      <x:c r="A419" s="34" t="str">
        <x:v>M5-EVAL-0414</x:v>
      </x:c>
      <x:c r="B419" s="34" t="str"/>
      <x:c r="C419" s="34" t="str"/>
      <x:c r="D419" s="34" t="str"/>
      <x:c r="E419" s="34" t="str"/>
      <x:c r="F419" s="34" t="str"/>
      <x:c r="G419" s="34" t="str"/>
      <x:c r="H419" s="34" t="str"/>
      <x:c r="I419" s="38" t="str">
        <x:f>IF(H419="","",IF(H419="完全吻合",1,IF(H419="基本吻合",0.75,IF(H419="部分吻合",0.5,IF(H419="明显不符",0,"")))))</x:f>
      </x:c>
      <x:c r="J419" s="34" t="str"/>
      <x:c r="K419" s="34" t="str"/>
      <x:c r="L419" s="34" t="str"/>
      <x:c r="M419" s="34" t="str"/>
      <x:c r="N419" s="34" t="str"/>
      <x:c r="O419" s="34" t="str"/>
      <x:c r="P419" s="34" t="str"/>
      <x:c r="Q419" s="34" t="str"/>
      <x:c r="R419" s="34" t="str"/>
      <x:c r="S419" s="34" t="str"/>
      <x:c r="T419" s="34" t="str"/>
    </x:row>
    <x:row r="420">
      <x:c r="A420" s="34" t="str">
        <x:v>M5-EVAL-0415</x:v>
      </x:c>
      <x:c r="B420" s="34" t="str"/>
      <x:c r="C420" s="34" t="str"/>
      <x:c r="D420" s="34" t="str"/>
      <x:c r="E420" s="34" t="str"/>
      <x:c r="F420" s="34" t="str"/>
      <x:c r="G420" s="34" t="str"/>
      <x:c r="H420" s="34" t="str"/>
      <x:c r="I420" s="38" t="str">
        <x:f>IF(H420="","",IF(H420="完全吻合",1,IF(H420="基本吻合",0.75,IF(H420="部分吻合",0.5,IF(H420="明显不符",0,"")))))</x:f>
      </x:c>
      <x:c r="J420" s="34" t="str"/>
      <x:c r="K420" s="34" t="str"/>
      <x:c r="L420" s="34" t="str"/>
      <x:c r="M420" s="34" t="str"/>
      <x:c r="N420" s="34" t="str"/>
      <x:c r="O420" s="34" t="str"/>
      <x:c r="P420" s="34" t="str"/>
      <x:c r="Q420" s="34" t="str"/>
      <x:c r="R420" s="34" t="str"/>
      <x:c r="S420" s="34" t="str"/>
      <x:c r="T420" s="34" t="str"/>
    </x:row>
    <x:row r="421">
      <x:c r="A421" s="34" t="str">
        <x:v>M5-EVAL-0416</x:v>
      </x:c>
      <x:c r="B421" s="34" t="str"/>
      <x:c r="C421" s="34" t="str"/>
      <x:c r="D421" s="34" t="str"/>
      <x:c r="E421" s="34" t="str"/>
      <x:c r="F421" s="34" t="str"/>
      <x:c r="G421" s="34" t="str"/>
      <x:c r="H421" s="34" t="str"/>
      <x:c r="I421" s="38" t="str">
        <x:f>IF(H421="","",IF(H421="完全吻合",1,IF(H421="基本吻合",0.75,IF(H421="部分吻合",0.5,IF(H421="明显不符",0,"")))))</x:f>
      </x:c>
      <x:c r="J421" s="34" t="str"/>
      <x:c r="K421" s="34" t="str"/>
      <x:c r="L421" s="34" t="str"/>
      <x:c r="M421" s="34" t="str"/>
      <x:c r="N421" s="34" t="str"/>
      <x:c r="O421" s="34" t="str"/>
      <x:c r="P421" s="34" t="str"/>
      <x:c r="Q421" s="34" t="str"/>
      <x:c r="R421" s="34" t="str"/>
      <x:c r="S421" s="34" t="str"/>
      <x:c r="T421" s="34" t="str"/>
    </x:row>
    <x:row r="422">
      <x:c r="A422" s="34" t="str">
        <x:v>M5-EVAL-0417</x:v>
      </x:c>
      <x:c r="B422" s="34" t="str"/>
      <x:c r="C422" s="34" t="str"/>
      <x:c r="D422" s="34" t="str"/>
      <x:c r="E422" s="34" t="str"/>
      <x:c r="F422" s="34" t="str"/>
      <x:c r="G422" s="34" t="str"/>
      <x:c r="H422" s="34" t="str"/>
      <x:c r="I422" s="38" t="str">
        <x:f>IF(H422="","",IF(H422="完全吻合",1,IF(H422="基本吻合",0.75,IF(H422="部分吻合",0.5,IF(H422="明显不符",0,"")))))</x:f>
      </x:c>
      <x:c r="J422" s="34" t="str"/>
      <x:c r="K422" s="34" t="str"/>
      <x:c r="L422" s="34" t="str"/>
      <x:c r="M422" s="34" t="str"/>
      <x:c r="N422" s="34" t="str"/>
      <x:c r="O422" s="34" t="str"/>
      <x:c r="P422" s="34" t="str"/>
      <x:c r="Q422" s="34" t="str"/>
      <x:c r="R422" s="34" t="str"/>
      <x:c r="S422" s="34" t="str"/>
      <x:c r="T422" s="34" t="str"/>
    </x:row>
    <x:row r="423">
      <x:c r="A423" s="34" t="str">
        <x:v>M5-EVAL-0418</x:v>
      </x:c>
      <x:c r="B423" s="34" t="str"/>
      <x:c r="C423" s="34" t="str"/>
      <x:c r="D423" s="34" t="str"/>
      <x:c r="E423" s="34" t="str"/>
      <x:c r="F423" s="34" t="str"/>
      <x:c r="G423" s="34" t="str"/>
      <x:c r="H423" s="34" t="str"/>
      <x:c r="I423" s="38" t="str">
        <x:f>IF(H423="","",IF(H423="完全吻合",1,IF(H423="基本吻合",0.75,IF(H423="部分吻合",0.5,IF(H423="明显不符",0,"")))))</x:f>
      </x:c>
      <x:c r="J423" s="34" t="str"/>
      <x:c r="K423" s="34" t="str"/>
      <x:c r="L423" s="34" t="str"/>
      <x:c r="M423" s="34" t="str"/>
      <x:c r="N423" s="34" t="str"/>
      <x:c r="O423" s="34" t="str"/>
      <x:c r="P423" s="34" t="str"/>
      <x:c r="Q423" s="34" t="str"/>
      <x:c r="R423" s="34" t="str"/>
      <x:c r="S423" s="34" t="str"/>
      <x:c r="T423" s="34" t="str"/>
    </x:row>
    <x:row r="424">
      <x:c r="A424" s="34" t="str">
        <x:v>M5-EVAL-0419</x:v>
      </x:c>
      <x:c r="B424" s="34" t="str"/>
      <x:c r="C424" s="34" t="str"/>
      <x:c r="D424" s="34" t="str"/>
      <x:c r="E424" s="34" t="str"/>
      <x:c r="F424" s="34" t="str"/>
      <x:c r="G424" s="34" t="str"/>
      <x:c r="H424" s="34" t="str"/>
      <x:c r="I424" s="38" t="str">
        <x:f>IF(H424="","",IF(H424="完全吻合",1,IF(H424="基本吻合",0.75,IF(H424="部分吻合",0.5,IF(H424="明显不符",0,"")))))</x:f>
      </x:c>
      <x:c r="J424" s="34" t="str"/>
      <x:c r="K424" s="34" t="str"/>
      <x:c r="L424" s="34" t="str"/>
      <x:c r="M424" s="34" t="str"/>
      <x:c r="N424" s="34" t="str"/>
      <x:c r="O424" s="34" t="str"/>
      <x:c r="P424" s="34" t="str"/>
      <x:c r="Q424" s="34" t="str"/>
      <x:c r="R424" s="34" t="str"/>
      <x:c r="S424" s="34" t="str"/>
      <x:c r="T424" s="34" t="str"/>
    </x:row>
    <x:row r="425">
      <x:c r="A425" s="34" t="str">
        <x:v>M5-EVAL-0420</x:v>
      </x:c>
      <x:c r="B425" s="34" t="str"/>
      <x:c r="C425" s="34" t="str"/>
      <x:c r="D425" s="34" t="str"/>
      <x:c r="E425" s="34" t="str"/>
      <x:c r="F425" s="34" t="str"/>
      <x:c r="G425" s="34" t="str"/>
      <x:c r="H425" s="34" t="str"/>
      <x:c r="I425" s="38" t="str">
        <x:f>IF(H425="","",IF(H425="完全吻合",1,IF(H425="基本吻合",0.75,IF(H425="部分吻合",0.5,IF(H425="明显不符",0,"")))))</x:f>
      </x:c>
      <x:c r="J425" s="34" t="str"/>
      <x:c r="K425" s="34" t="str"/>
      <x:c r="L425" s="34" t="str"/>
      <x:c r="M425" s="34" t="str"/>
      <x:c r="N425" s="34" t="str"/>
      <x:c r="O425" s="34" t="str"/>
      <x:c r="P425" s="34" t="str"/>
      <x:c r="Q425" s="34" t="str"/>
      <x:c r="R425" s="34" t="str"/>
      <x:c r="S425" s="34" t="str"/>
      <x:c r="T425" s="34" t="str"/>
    </x:row>
    <x:row r="426">
      <x:c r="A426" s="34" t="str">
        <x:v>M5-EVAL-0421</x:v>
      </x:c>
      <x:c r="B426" s="34" t="str"/>
      <x:c r="C426" s="34" t="str"/>
      <x:c r="D426" s="34" t="str"/>
      <x:c r="E426" s="34" t="str"/>
      <x:c r="F426" s="34" t="str"/>
      <x:c r="G426" s="34" t="str"/>
      <x:c r="H426" s="34" t="str"/>
      <x:c r="I426" s="38" t="str">
        <x:f>IF(H426="","",IF(H426="完全吻合",1,IF(H426="基本吻合",0.75,IF(H426="部分吻合",0.5,IF(H426="明显不符",0,"")))))</x:f>
      </x:c>
      <x:c r="J426" s="34" t="str"/>
      <x:c r="K426" s="34" t="str"/>
      <x:c r="L426" s="34" t="str"/>
      <x:c r="M426" s="34" t="str"/>
      <x:c r="N426" s="34" t="str"/>
      <x:c r="O426" s="34" t="str"/>
      <x:c r="P426" s="34" t="str"/>
      <x:c r="Q426" s="34" t="str"/>
      <x:c r="R426" s="34" t="str"/>
      <x:c r="S426" s="34" t="str"/>
      <x:c r="T426" s="34" t="str"/>
    </x:row>
    <x:row r="427">
      <x:c r="A427" s="34" t="str">
        <x:v>M5-EVAL-0422</x:v>
      </x:c>
      <x:c r="B427" s="34" t="str"/>
      <x:c r="C427" s="34" t="str"/>
      <x:c r="D427" s="34" t="str"/>
      <x:c r="E427" s="34" t="str"/>
      <x:c r="F427" s="34" t="str"/>
      <x:c r="G427" s="34" t="str"/>
      <x:c r="H427" s="34" t="str"/>
      <x:c r="I427" s="38" t="str">
        <x:f>IF(H427="","",IF(H427="完全吻合",1,IF(H427="基本吻合",0.75,IF(H427="部分吻合",0.5,IF(H427="明显不符",0,"")))))</x:f>
      </x:c>
      <x:c r="J427" s="34" t="str"/>
      <x:c r="K427" s="34" t="str"/>
      <x:c r="L427" s="34" t="str"/>
      <x:c r="M427" s="34" t="str"/>
      <x:c r="N427" s="34" t="str"/>
      <x:c r="O427" s="34" t="str"/>
      <x:c r="P427" s="34" t="str"/>
      <x:c r="Q427" s="34" t="str"/>
      <x:c r="R427" s="34" t="str"/>
      <x:c r="S427" s="34" t="str"/>
      <x:c r="T427" s="34" t="str"/>
    </x:row>
    <x:row r="428">
      <x:c r="A428" s="34" t="str">
        <x:v>M5-EVAL-0423</x:v>
      </x:c>
      <x:c r="B428" s="34" t="str"/>
      <x:c r="C428" s="34" t="str"/>
      <x:c r="D428" s="34" t="str"/>
      <x:c r="E428" s="34" t="str"/>
      <x:c r="F428" s="34" t="str"/>
      <x:c r="G428" s="34" t="str"/>
      <x:c r="H428" s="34" t="str"/>
      <x:c r="I428" s="38" t="str">
        <x:f>IF(H428="","",IF(H428="完全吻合",1,IF(H428="基本吻合",0.75,IF(H428="部分吻合",0.5,IF(H428="明显不符",0,"")))))</x:f>
      </x:c>
      <x:c r="J428" s="34" t="str"/>
      <x:c r="K428" s="34" t="str"/>
      <x:c r="L428" s="34" t="str"/>
      <x:c r="M428" s="34" t="str"/>
      <x:c r="N428" s="34" t="str"/>
      <x:c r="O428" s="34" t="str"/>
      <x:c r="P428" s="34" t="str"/>
      <x:c r="Q428" s="34" t="str"/>
      <x:c r="R428" s="34" t="str"/>
      <x:c r="S428" s="34" t="str"/>
      <x:c r="T428" s="34" t="str"/>
    </x:row>
    <x:row r="429">
      <x:c r="A429" s="34" t="str">
        <x:v>M5-EVAL-0424</x:v>
      </x:c>
      <x:c r="B429" s="34" t="str"/>
      <x:c r="C429" s="34" t="str"/>
      <x:c r="D429" s="34" t="str"/>
      <x:c r="E429" s="34" t="str"/>
      <x:c r="F429" s="34" t="str"/>
      <x:c r="G429" s="34" t="str"/>
      <x:c r="H429" s="34" t="str"/>
      <x:c r="I429" s="38" t="str">
        <x:f>IF(H429="","",IF(H429="完全吻合",1,IF(H429="基本吻合",0.75,IF(H429="部分吻合",0.5,IF(H429="明显不符",0,"")))))</x:f>
      </x:c>
      <x:c r="J429" s="34" t="str"/>
      <x:c r="K429" s="34" t="str"/>
      <x:c r="L429" s="34" t="str"/>
      <x:c r="M429" s="34" t="str"/>
      <x:c r="N429" s="34" t="str"/>
      <x:c r="O429" s="34" t="str"/>
      <x:c r="P429" s="34" t="str"/>
      <x:c r="Q429" s="34" t="str"/>
      <x:c r="R429" s="34" t="str"/>
      <x:c r="S429" s="34" t="str"/>
      <x:c r="T429" s="34" t="str"/>
    </x:row>
    <x:row r="430">
      <x:c r="A430" s="34" t="str">
        <x:v>M5-EVAL-0425</x:v>
      </x:c>
      <x:c r="B430" s="34" t="str"/>
      <x:c r="C430" s="34" t="str"/>
      <x:c r="D430" s="34" t="str"/>
      <x:c r="E430" s="34" t="str"/>
      <x:c r="F430" s="34" t="str"/>
      <x:c r="G430" s="34" t="str"/>
      <x:c r="H430" s="34" t="str"/>
      <x:c r="I430" s="38" t="str">
        <x:f>IF(H430="","",IF(H430="完全吻合",1,IF(H430="基本吻合",0.75,IF(H430="部分吻合",0.5,IF(H430="明显不符",0,"")))))</x:f>
      </x:c>
      <x:c r="J430" s="34" t="str"/>
      <x:c r="K430" s="34" t="str"/>
      <x:c r="L430" s="34" t="str"/>
      <x:c r="M430" s="34" t="str"/>
      <x:c r="N430" s="34" t="str"/>
      <x:c r="O430" s="34" t="str"/>
      <x:c r="P430" s="34" t="str"/>
      <x:c r="Q430" s="34" t="str"/>
      <x:c r="R430" s="34" t="str"/>
      <x:c r="S430" s="34" t="str"/>
      <x:c r="T430" s="34" t="str"/>
    </x:row>
    <x:row r="431">
      <x:c r="A431" s="34" t="str">
        <x:v>M5-EVAL-0426</x:v>
      </x:c>
      <x:c r="B431" s="34" t="str"/>
      <x:c r="C431" s="34" t="str"/>
      <x:c r="D431" s="34" t="str"/>
      <x:c r="E431" s="34" t="str"/>
      <x:c r="F431" s="34" t="str"/>
      <x:c r="G431" s="34" t="str"/>
      <x:c r="H431" s="34" t="str"/>
      <x:c r="I431" s="38" t="str">
        <x:f>IF(H431="","",IF(H431="完全吻合",1,IF(H431="基本吻合",0.75,IF(H431="部分吻合",0.5,IF(H431="明显不符",0,"")))))</x:f>
      </x:c>
      <x:c r="J431" s="34" t="str"/>
      <x:c r="K431" s="34" t="str"/>
      <x:c r="L431" s="34" t="str"/>
      <x:c r="M431" s="34" t="str"/>
      <x:c r="N431" s="34" t="str"/>
      <x:c r="O431" s="34" t="str"/>
      <x:c r="P431" s="34" t="str"/>
      <x:c r="Q431" s="34" t="str"/>
      <x:c r="R431" s="34" t="str"/>
      <x:c r="S431" s="34" t="str"/>
      <x:c r="T431" s="34" t="str"/>
    </x:row>
    <x:row r="432">
      <x:c r="A432" s="34" t="str">
        <x:v>M5-EVAL-0427</x:v>
      </x:c>
      <x:c r="B432" s="34" t="str"/>
      <x:c r="C432" s="34" t="str"/>
      <x:c r="D432" s="34" t="str"/>
      <x:c r="E432" s="34" t="str"/>
      <x:c r="F432" s="34" t="str"/>
      <x:c r="G432" s="34" t="str"/>
      <x:c r="H432" s="34" t="str"/>
      <x:c r="I432" s="38" t="str">
        <x:f>IF(H432="","",IF(H432="完全吻合",1,IF(H432="基本吻合",0.75,IF(H432="部分吻合",0.5,IF(H432="明显不符",0,"")))))</x:f>
      </x:c>
      <x:c r="J432" s="34" t="str"/>
      <x:c r="K432" s="34" t="str"/>
      <x:c r="L432" s="34" t="str"/>
      <x:c r="M432" s="34" t="str"/>
      <x:c r="N432" s="34" t="str"/>
      <x:c r="O432" s="34" t="str"/>
      <x:c r="P432" s="34" t="str"/>
      <x:c r="Q432" s="34" t="str"/>
      <x:c r="R432" s="34" t="str"/>
      <x:c r="S432" s="34" t="str"/>
      <x:c r="T432" s="34" t="str"/>
    </x:row>
    <x:row r="433">
      <x:c r="A433" s="34" t="str">
        <x:v>M5-EVAL-0428</x:v>
      </x:c>
      <x:c r="B433" s="34" t="str"/>
      <x:c r="C433" s="34" t="str"/>
      <x:c r="D433" s="34" t="str"/>
      <x:c r="E433" s="34" t="str"/>
      <x:c r="F433" s="34" t="str"/>
      <x:c r="G433" s="34" t="str"/>
      <x:c r="H433" s="34" t="str"/>
      <x:c r="I433" s="38" t="str">
        <x:f>IF(H433="","",IF(H433="完全吻合",1,IF(H433="基本吻合",0.75,IF(H433="部分吻合",0.5,IF(H433="明显不符",0,"")))))</x:f>
      </x:c>
      <x:c r="J433" s="34" t="str"/>
      <x:c r="K433" s="34" t="str"/>
      <x:c r="L433" s="34" t="str"/>
      <x:c r="M433" s="34" t="str"/>
      <x:c r="N433" s="34" t="str"/>
      <x:c r="O433" s="34" t="str"/>
      <x:c r="P433" s="34" t="str"/>
      <x:c r="Q433" s="34" t="str"/>
      <x:c r="R433" s="34" t="str"/>
      <x:c r="S433" s="34" t="str"/>
      <x:c r="T433" s="34" t="str"/>
    </x:row>
    <x:row r="434">
      <x:c r="A434" s="34" t="str">
        <x:v>M5-EVAL-0429</x:v>
      </x:c>
      <x:c r="B434" s="34" t="str"/>
      <x:c r="C434" s="34" t="str"/>
      <x:c r="D434" s="34" t="str"/>
      <x:c r="E434" s="34" t="str"/>
      <x:c r="F434" s="34" t="str"/>
      <x:c r="G434" s="34" t="str"/>
      <x:c r="H434" s="34" t="str"/>
      <x:c r="I434" s="38" t="str">
        <x:f>IF(H434="","",IF(H434="完全吻合",1,IF(H434="基本吻合",0.75,IF(H434="部分吻合",0.5,IF(H434="明显不符",0,"")))))</x:f>
      </x:c>
      <x:c r="J434" s="34" t="str"/>
      <x:c r="K434" s="34" t="str"/>
      <x:c r="L434" s="34" t="str"/>
      <x:c r="M434" s="34" t="str"/>
      <x:c r="N434" s="34" t="str"/>
      <x:c r="O434" s="34" t="str"/>
      <x:c r="P434" s="34" t="str"/>
      <x:c r="Q434" s="34" t="str"/>
      <x:c r="R434" s="34" t="str"/>
      <x:c r="S434" s="34" t="str"/>
      <x:c r="T434" s="34" t="str"/>
    </x:row>
    <x:row r="435">
      <x:c r="A435" s="34" t="str">
        <x:v>M5-EVAL-0430</x:v>
      </x:c>
      <x:c r="B435" s="34" t="str"/>
      <x:c r="C435" s="34" t="str"/>
      <x:c r="D435" s="34" t="str"/>
      <x:c r="E435" s="34" t="str"/>
      <x:c r="F435" s="34" t="str"/>
      <x:c r="G435" s="34" t="str"/>
      <x:c r="H435" s="34" t="str"/>
      <x:c r="I435" s="38" t="str">
        <x:f>IF(H435="","",IF(H435="完全吻合",1,IF(H435="基本吻合",0.75,IF(H435="部分吻合",0.5,IF(H435="明显不符",0,"")))))</x:f>
      </x:c>
      <x:c r="J435" s="34" t="str"/>
      <x:c r="K435" s="34" t="str"/>
      <x:c r="L435" s="34" t="str"/>
      <x:c r="M435" s="34" t="str"/>
      <x:c r="N435" s="34" t="str"/>
      <x:c r="O435" s="34" t="str"/>
      <x:c r="P435" s="34" t="str"/>
      <x:c r="Q435" s="34" t="str"/>
      <x:c r="R435" s="34" t="str"/>
      <x:c r="S435" s="34" t="str"/>
      <x:c r="T435" s="34" t="str"/>
    </x:row>
    <x:row r="436">
      <x:c r="A436" s="34" t="str">
        <x:v>M5-EVAL-0431</x:v>
      </x:c>
      <x:c r="B436" s="34" t="str"/>
      <x:c r="C436" s="34" t="str"/>
      <x:c r="D436" s="34" t="str"/>
      <x:c r="E436" s="34" t="str"/>
      <x:c r="F436" s="34" t="str"/>
      <x:c r="G436" s="34" t="str"/>
      <x:c r="H436" s="34" t="str"/>
      <x:c r="I436" s="38" t="str">
        <x:f>IF(H436="","",IF(H436="完全吻合",1,IF(H436="基本吻合",0.75,IF(H436="部分吻合",0.5,IF(H436="明显不符",0,"")))))</x:f>
      </x:c>
      <x:c r="J436" s="34" t="str"/>
      <x:c r="K436" s="34" t="str"/>
      <x:c r="L436" s="34" t="str"/>
      <x:c r="M436" s="34" t="str"/>
      <x:c r="N436" s="34" t="str"/>
      <x:c r="O436" s="34" t="str"/>
      <x:c r="P436" s="34" t="str"/>
      <x:c r="Q436" s="34" t="str"/>
      <x:c r="R436" s="34" t="str"/>
      <x:c r="S436" s="34" t="str"/>
      <x:c r="T436" s="34" t="str"/>
    </x:row>
    <x:row r="437">
      <x:c r="A437" s="34" t="str">
        <x:v>M5-EVAL-0432</x:v>
      </x:c>
      <x:c r="B437" s="34" t="str"/>
      <x:c r="C437" s="34" t="str"/>
      <x:c r="D437" s="34" t="str"/>
      <x:c r="E437" s="34" t="str"/>
      <x:c r="F437" s="34" t="str"/>
      <x:c r="G437" s="34" t="str"/>
      <x:c r="H437" s="34" t="str"/>
      <x:c r="I437" s="38" t="str">
        <x:f>IF(H437="","",IF(H437="完全吻合",1,IF(H437="基本吻合",0.75,IF(H437="部分吻合",0.5,IF(H437="明显不符",0,"")))))</x:f>
      </x:c>
      <x:c r="J437" s="34" t="str"/>
      <x:c r="K437" s="34" t="str"/>
      <x:c r="L437" s="34" t="str"/>
      <x:c r="M437" s="34" t="str"/>
      <x:c r="N437" s="34" t="str"/>
      <x:c r="O437" s="34" t="str"/>
      <x:c r="P437" s="34" t="str"/>
      <x:c r="Q437" s="34" t="str"/>
      <x:c r="R437" s="34" t="str"/>
      <x:c r="S437" s="34" t="str"/>
      <x:c r="T437" s="34" t="str"/>
    </x:row>
    <x:row r="438">
      <x:c r="A438" s="34" t="str">
        <x:v>M5-EVAL-0433</x:v>
      </x:c>
      <x:c r="B438" s="34" t="str"/>
      <x:c r="C438" s="34" t="str"/>
      <x:c r="D438" s="34" t="str"/>
      <x:c r="E438" s="34" t="str"/>
      <x:c r="F438" s="34" t="str"/>
      <x:c r="G438" s="34" t="str"/>
      <x:c r="H438" s="34" t="str"/>
      <x:c r="I438" s="38" t="str">
        <x:f>IF(H438="","",IF(H438="完全吻合",1,IF(H438="基本吻合",0.75,IF(H438="部分吻合",0.5,IF(H438="明显不符",0,"")))))</x:f>
      </x:c>
      <x:c r="J438" s="34" t="str"/>
      <x:c r="K438" s="34" t="str"/>
      <x:c r="L438" s="34" t="str"/>
      <x:c r="M438" s="34" t="str"/>
      <x:c r="N438" s="34" t="str"/>
      <x:c r="O438" s="34" t="str"/>
      <x:c r="P438" s="34" t="str"/>
      <x:c r="Q438" s="34" t="str"/>
      <x:c r="R438" s="34" t="str"/>
      <x:c r="S438" s="34" t="str"/>
      <x:c r="T438" s="34" t="str"/>
    </x:row>
    <x:row r="439">
      <x:c r="A439" s="34" t="str">
        <x:v>M5-EVAL-0434</x:v>
      </x:c>
      <x:c r="B439" s="34" t="str"/>
      <x:c r="C439" s="34" t="str"/>
      <x:c r="D439" s="34" t="str"/>
      <x:c r="E439" s="34" t="str"/>
      <x:c r="F439" s="34" t="str"/>
      <x:c r="G439" s="34" t="str"/>
      <x:c r="H439" s="34" t="str"/>
      <x:c r="I439" s="38" t="str">
        <x:f>IF(H439="","",IF(H439="完全吻合",1,IF(H439="基本吻合",0.75,IF(H439="部分吻合",0.5,IF(H439="明显不符",0,"")))))</x:f>
      </x:c>
      <x:c r="J439" s="34" t="str"/>
      <x:c r="K439" s="34" t="str"/>
      <x:c r="L439" s="34" t="str"/>
      <x:c r="M439" s="34" t="str"/>
      <x:c r="N439" s="34" t="str"/>
      <x:c r="O439" s="34" t="str"/>
      <x:c r="P439" s="34" t="str"/>
      <x:c r="Q439" s="34" t="str"/>
      <x:c r="R439" s="34" t="str"/>
      <x:c r="S439" s="34" t="str"/>
      <x:c r="T439" s="34" t="str"/>
    </x:row>
    <x:row r="440">
      <x:c r="A440" s="34" t="str">
        <x:v>M5-EVAL-0435</x:v>
      </x:c>
      <x:c r="B440" s="34" t="str"/>
      <x:c r="C440" s="34" t="str"/>
      <x:c r="D440" s="34" t="str"/>
      <x:c r="E440" s="34" t="str"/>
      <x:c r="F440" s="34" t="str"/>
      <x:c r="G440" s="34" t="str"/>
      <x:c r="H440" s="34" t="str"/>
      <x:c r="I440" s="38" t="str">
        <x:f>IF(H440="","",IF(H440="完全吻合",1,IF(H440="基本吻合",0.75,IF(H440="部分吻合",0.5,IF(H440="明显不符",0,"")))))</x:f>
      </x:c>
      <x:c r="J440" s="34" t="str"/>
      <x:c r="K440" s="34" t="str"/>
      <x:c r="L440" s="34" t="str"/>
      <x:c r="M440" s="34" t="str"/>
      <x:c r="N440" s="34" t="str"/>
      <x:c r="O440" s="34" t="str"/>
      <x:c r="P440" s="34" t="str"/>
      <x:c r="Q440" s="34" t="str"/>
      <x:c r="R440" s="34" t="str"/>
      <x:c r="S440" s="34" t="str"/>
      <x:c r="T440" s="34" t="str"/>
    </x:row>
    <x:row r="441">
      <x:c r="A441" s="34" t="str">
        <x:v>M5-EVAL-0436</x:v>
      </x:c>
      <x:c r="B441" s="34" t="str"/>
      <x:c r="C441" s="34" t="str"/>
      <x:c r="D441" s="34" t="str"/>
      <x:c r="E441" s="34" t="str"/>
      <x:c r="F441" s="34" t="str"/>
      <x:c r="G441" s="34" t="str"/>
      <x:c r="H441" s="34" t="str"/>
      <x:c r="I441" s="38" t="str">
        <x:f>IF(H441="","",IF(H441="完全吻合",1,IF(H441="基本吻合",0.75,IF(H441="部分吻合",0.5,IF(H441="明显不符",0,"")))))</x:f>
      </x:c>
      <x:c r="J441" s="34" t="str"/>
      <x:c r="K441" s="34" t="str"/>
      <x:c r="L441" s="34" t="str"/>
      <x:c r="M441" s="34" t="str"/>
      <x:c r="N441" s="34" t="str"/>
      <x:c r="O441" s="34" t="str"/>
      <x:c r="P441" s="34" t="str"/>
      <x:c r="Q441" s="34" t="str"/>
      <x:c r="R441" s="34" t="str"/>
      <x:c r="S441" s="34" t="str"/>
      <x:c r="T441" s="34" t="str"/>
    </x:row>
    <x:row r="442">
      <x:c r="A442" s="34" t="str">
        <x:v>M5-EVAL-0437</x:v>
      </x:c>
      <x:c r="B442" s="34" t="str"/>
      <x:c r="C442" s="34" t="str"/>
      <x:c r="D442" s="34" t="str"/>
      <x:c r="E442" s="34" t="str"/>
      <x:c r="F442" s="34" t="str"/>
      <x:c r="G442" s="34" t="str"/>
      <x:c r="H442" s="34" t="str"/>
      <x:c r="I442" s="38" t="str">
        <x:f>IF(H442="","",IF(H442="完全吻合",1,IF(H442="基本吻合",0.75,IF(H442="部分吻合",0.5,IF(H442="明显不符",0,"")))))</x:f>
      </x:c>
      <x:c r="J442" s="34" t="str"/>
      <x:c r="K442" s="34" t="str"/>
      <x:c r="L442" s="34" t="str"/>
      <x:c r="M442" s="34" t="str"/>
      <x:c r="N442" s="34" t="str"/>
      <x:c r="O442" s="34" t="str"/>
      <x:c r="P442" s="34" t="str"/>
      <x:c r="Q442" s="34" t="str"/>
      <x:c r="R442" s="34" t="str"/>
      <x:c r="S442" s="34" t="str"/>
      <x:c r="T442" s="34" t="str"/>
    </x:row>
    <x:row r="443">
      <x:c r="A443" s="34" t="str">
        <x:v>M5-EVAL-0438</x:v>
      </x:c>
      <x:c r="B443" s="34" t="str"/>
      <x:c r="C443" s="34" t="str"/>
      <x:c r="D443" s="34" t="str"/>
      <x:c r="E443" s="34" t="str"/>
      <x:c r="F443" s="34" t="str"/>
      <x:c r="G443" s="34" t="str"/>
      <x:c r="H443" s="34" t="str"/>
      <x:c r="I443" s="38" t="str">
        <x:f>IF(H443="","",IF(H443="完全吻合",1,IF(H443="基本吻合",0.75,IF(H443="部分吻合",0.5,IF(H443="明显不符",0,"")))))</x:f>
      </x:c>
      <x:c r="J443" s="34" t="str"/>
      <x:c r="K443" s="34" t="str"/>
      <x:c r="L443" s="34" t="str"/>
      <x:c r="M443" s="34" t="str"/>
      <x:c r="N443" s="34" t="str"/>
      <x:c r="O443" s="34" t="str"/>
      <x:c r="P443" s="34" t="str"/>
      <x:c r="Q443" s="34" t="str"/>
      <x:c r="R443" s="34" t="str"/>
      <x:c r="S443" s="34" t="str"/>
      <x:c r="T443" s="34" t="str"/>
    </x:row>
    <x:row r="444">
      <x:c r="A444" s="34" t="str">
        <x:v>M5-EVAL-0439</x:v>
      </x:c>
      <x:c r="B444" s="34" t="str"/>
      <x:c r="C444" s="34" t="str"/>
      <x:c r="D444" s="34" t="str"/>
      <x:c r="E444" s="34" t="str"/>
      <x:c r="F444" s="34" t="str"/>
      <x:c r="G444" s="34" t="str"/>
      <x:c r="H444" s="34" t="str"/>
      <x:c r="I444" s="38" t="str">
        <x:f>IF(H444="","",IF(H444="完全吻合",1,IF(H444="基本吻合",0.75,IF(H444="部分吻合",0.5,IF(H444="明显不符",0,"")))))</x:f>
      </x:c>
      <x:c r="J444" s="34" t="str"/>
      <x:c r="K444" s="34" t="str"/>
      <x:c r="L444" s="34" t="str"/>
      <x:c r="M444" s="34" t="str"/>
      <x:c r="N444" s="34" t="str"/>
      <x:c r="O444" s="34" t="str"/>
      <x:c r="P444" s="34" t="str"/>
      <x:c r="Q444" s="34" t="str"/>
      <x:c r="R444" s="34" t="str"/>
      <x:c r="S444" s="34" t="str"/>
      <x:c r="T444" s="34" t="str"/>
    </x:row>
    <x:row r="445">
      <x:c r="A445" s="34" t="str">
        <x:v>M5-EVAL-0440</x:v>
      </x:c>
      <x:c r="B445" s="34" t="str"/>
      <x:c r="C445" s="34" t="str"/>
      <x:c r="D445" s="34" t="str"/>
      <x:c r="E445" s="34" t="str"/>
      <x:c r="F445" s="34" t="str"/>
      <x:c r="G445" s="34" t="str"/>
      <x:c r="H445" s="34" t="str"/>
      <x:c r="I445" s="38" t="str">
        <x:f>IF(H445="","",IF(H445="完全吻合",1,IF(H445="基本吻合",0.75,IF(H445="部分吻合",0.5,IF(H445="明显不符",0,"")))))</x:f>
      </x:c>
      <x:c r="J445" s="34" t="str"/>
      <x:c r="K445" s="34" t="str"/>
      <x:c r="L445" s="34" t="str"/>
      <x:c r="M445" s="34" t="str"/>
      <x:c r="N445" s="34" t="str"/>
      <x:c r="O445" s="34" t="str"/>
      <x:c r="P445" s="34" t="str"/>
      <x:c r="Q445" s="34" t="str"/>
      <x:c r="R445" s="34" t="str"/>
      <x:c r="S445" s="34" t="str"/>
      <x:c r="T445" s="34" t="str"/>
    </x:row>
    <x:row r="446">
      <x:c r="A446" s="34" t="str">
        <x:v>M5-EVAL-0441</x:v>
      </x:c>
      <x:c r="B446" s="34" t="str"/>
      <x:c r="C446" s="34" t="str"/>
      <x:c r="D446" s="34" t="str"/>
      <x:c r="E446" s="34" t="str"/>
      <x:c r="F446" s="34" t="str"/>
      <x:c r="G446" s="34" t="str"/>
      <x:c r="H446" s="34" t="str"/>
      <x:c r="I446" s="38" t="str">
        <x:f>IF(H446="","",IF(H446="完全吻合",1,IF(H446="基本吻合",0.75,IF(H446="部分吻合",0.5,IF(H446="明显不符",0,"")))))</x:f>
      </x:c>
      <x:c r="J446" s="34" t="str"/>
      <x:c r="K446" s="34" t="str"/>
      <x:c r="L446" s="34" t="str"/>
      <x:c r="M446" s="34" t="str"/>
      <x:c r="N446" s="34" t="str"/>
      <x:c r="O446" s="34" t="str"/>
      <x:c r="P446" s="34" t="str"/>
      <x:c r="Q446" s="34" t="str"/>
      <x:c r="R446" s="34" t="str"/>
      <x:c r="S446" s="34" t="str"/>
      <x:c r="T446" s="34" t="str"/>
    </x:row>
    <x:row r="447">
      <x:c r="A447" s="34" t="str">
        <x:v>M5-EVAL-0442</x:v>
      </x:c>
      <x:c r="B447" s="34" t="str"/>
      <x:c r="C447" s="34" t="str"/>
      <x:c r="D447" s="34" t="str"/>
      <x:c r="E447" s="34" t="str"/>
      <x:c r="F447" s="34" t="str"/>
      <x:c r="G447" s="34" t="str"/>
      <x:c r="H447" s="34" t="str"/>
      <x:c r="I447" s="38" t="str">
        <x:f>IF(H447="","",IF(H447="完全吻合",1,IF(H447="基本吻合",0.75,IF(H447="部分吻合",0.5,IF(H447="明显不符",0,"")))))</x:f>
      </x:c>
      <x:c r="J447" s="34" t="str"/>
      <x:c r="K447" s="34" t="str"/>
      <x:c r="L447" s="34" t="str"/>
      <x:c r="M447" s="34" t="str"/>
      <x:c r="N447" s="34" t="str"/>
      <x:c r="O447" s="34" t="str"/>
      <x:c r="P447" s="34" t="str"/>
      <x:c r="Q447" s="34" t="str"/>
      <x:c r="R447" s="34" t="str"/>
      <x:c r="S447" s="34" t="str"/>
      <x:c r="T447" s="34" t="str"/>
    </x:row>
    <x:row r="448">
      <x:c r="A448" s="34" t="str">
        <x:v>M5-EVAL-0443</x:v>
      </x:c>
      <x:c r="B448" s="34" t="str"/>
      <x:c r="C448" s="34" t="str"/>
      <x:c r="D448" s="34" t="str"/>
      <x:c r="E448" s="34" t="str"/>
      <x:c r="F448" s="34" t="str"/>
      <x:c r="G448" s="34" t="str"/>
      <x:c r="H448" s="34" t="str"/>
      <x:c r="I448" s="38" t="str">
        <x:f>IF(H448="","",IF(H448="完全吻合",1,IF(H448="基本吻合",0.75,IF(H448="部分吻合",0.5,IF(H448="明显不符",0,"")))))</x:f>
      </x:c>
      <x:c r="J448" s="34" t="str"/>
      <x:c r="K448" s="34" t="str"/>
      <x:c r="L448" s="34" t="str"/>
      <x:c r="M448" s="34" t="str"/>
      <x:c r="N448" s="34" t="str"/>
      <x:c r="O448" s="34" t="str"/>
      <x:c r="P448" s="34" t="str"/>
      <x:c r="Q448" s="34" t="str"/>
      <x:c r="R448" s="34" t="str"/>
      <x:c r="S448" s="34" t="str"/>
      <x:c r="T448" s="34" t="str"/>
    </x:row>
    <x:row r="449">
      <x:c r="A449" s="34" t="str">
        <x:v>M5-EVAL-0444</x:v>
      </x:c>
      <x:c r="B449" s="34" t="str"/>
      <x:c r="C449" s="34" t="str"/>
      <x:c r="D449" s="34" t="str"/>
      <x:c r="E449" s="34" t="str"/>
      <x:c r="F449" s="34" t="str"/>
      <x:c r="G449" s="34" t="str"/>
      <x:c r="H449" s="34" t="str"/>
      <x:c r="I449" s="38" t="str">
        <x:f>IF(H449="","",IF(H449="完全吻合",1,IF(H449="基本吻合",0.75,IF(H449="部分吻合",0.5,IF(H449="明显不符",0,"")))))</x:f>
      </x:c>
      <x:c r="J449" s="34" t="str"/>
      <x:c r="K449" s="34" t="str"/>
      <x:c r="L449" s="34" t="str"/>
      <x:c r="M449" s="34" t="str"/>
      <x:c r="N449" s="34" t="str"/>
      <x:c r="O449" s="34" t="str"/>
      <x:c r="P449" s="34" t="str"/>
      <x:c r="Q449" s="34" t="str"/>
      <x:c r="R449" s="34" t="str"/>
      <x:c r="S449" s="34" t="str"/>
      <x:c r="T449" s="34" t="str"/>
    </x:row>
    <x:row r="450">
      <x:c r="A450" s="34" t="str">
        <x:v>M5-EVAL-0445</x:v>
      </x:c>
      <x:c r="B450" s="34" t="str"/>
      <x:c r="C450" s="34" t="str"/>
      <x:c r="D450" s="34" t="str"/>
      <x:c r="E450" s="34" t="str"/>
      <x:c r="F450" s="34" t="str"/>
      <x:c r="G450" s="34" t="str"/>
      <x:c r="H450" s="34" t="str"/>
      <x:c r="I450" s="38" t="str">
        <x:f>IF(H450="","",IF(H450="完全吻合",1,IF(H450="基本吻合",0.75,IF(H450="部分吻合",0.5,IF(H450="明显不符",0,"")))))</x:f>
      </x:c>
      <x:c r="J450" s="34" t="str"/>
      <x:c r="K450" s="34" t="str"/>
      <x:c r="L450" s="34" t="str"/>
      <x:c r="M450" s="34" t="str"/>
      <x:c r="N450" s="34" t="str"/>
      <x:c r="O450" s="34" t="str"/>
      <x:c r="P450" s="34" t="str"/>
      <x:c r="Q450" s="34" t="str"/>
      <x:c r="R450" s="34" t="str"/>
      <x:c r="S450" s="34" t="str"/>
      <x:c r="T450" s="34" t="str"/>
    </x:row>
    <x:row r="451">
      <x:c r="A451" s="34" t="str">
        <x:v>M5-EVAL-0446</x:v>
      </x:c>
      <x:c r="B451" s="34" t="str"/>
      <x:c r="C451" s="34" t="str"/>
      <x:c r="D451" s="34" t="str"/>
      <x:c r="E451" s="34" t="str"/>
      <x:c r="F451" s="34" t="str"/>
      <x:c r="G451" s="34" t="str"/>
      <x:c r="H451" s="34" t="str"/>
      <x:c r="I451" s="38" t="str">
        <x:f>IF(H451="","",IF(H451="完全吻合",1,IF(H451="基本吻合",0.75,IF(H451="部分吻合",0.5,IF(H451="明显不符",0,"")))))</x:f>
      </x:c>
      <x:c r="J451" s="34" t="str"/>
      <x:c r="K451" s="34" t="str"/>
      <x:c r="L451" s="34" t="str"/>
      <x:c r="M451" s="34" t="str"/>
      <x:c r="N451" s="34" t="str"/>
      <x:c r="O451" s="34" t="str"/>
      <x:c r="P451" s="34" t="str"/>
      <x:c r="Q451" s="34" t="str"/>
      <x:c r="R451" s="34" t="str"/>
      <x:c r="S451" s="34" t="str"/>
      <x:c r="T451" s="34" t="str"/>
    </x:row>
    <x:row r="452">
      <x:c r="A452" s="34" t="str">
        <x:v>M5-EVAL-0447</x:v>
      </x:c>
      <x:c r="B452" s="34" t="str"/>
      <x:c r="C452" s="34" t="str"/>
      <x:c r="D452" s="34" t="str"/>
      <x:c r="E452" s="34" t="str"/>
      <x:c r="F452" s="34" t="str"/>
      <x:c r="G452" s="34" t="str"/>
      <x:c r="H452" s="34" t="str"/>
      <x:c r="I452" s="38" t="str">
        <x:f>IF(H452="","",IF(H452="完全吻合",1,IF(H452="基本吻合",0.75,IF(H452="部分吻合",0.5,IF(H452="明显不符",0,"")))))</x:f>
      </x:c>
      <x:c r="J452" s="34" t="str"/>
      <x:c r="K452" s="34" t="str"/>
      <x:c r="L452" s="34" t="str"/>
      <x:c r="M452" s="34" t="str"/>
      <x:c r="N452" s="34" t="str"/>
      <x:c r="O452" s="34" t="str"/>
      <x:c r="P452" s="34" t="str"/>
      <x:c r="Q452" s="34" t="str"/>
      <x:c r="R452" s="34" t="str"/>
      <x:c r="S452" s="34" t="str"/>
      <x:c r="T452" s="34" t="str"/>
    </x:row>
    <x:row r="453">
      <x:c r="A453" s="34" t="str">
        <x:v>M5-EVAL-0448</x:v>
      </x:c>
      <x:c r="B453" s="34" t="str"/>
      <x:c r="C453" s="34" t="str"/>
      <x:c r="D453" s="34" t="str"/>
      <x:c r="E453" s="34" t="str"/>
      <x:c r="F453" s="34" t="str"/>
      <x:c r="G453" s="34" t="str"/>
      <x:c r="H453" s="34" t="str"/>
      <x:c r="I453" s="38" t="str">
        <x:f>IF(H453="","",IF(H453="完全吻合",1,IF(H453="基本吻合",0.75,IF(H453="部分吻合",0.5,IF(H453="明显不符",0,"")))))</x:f>
      </x:c>
      <x:c r="J453" s="34" t="str"/>
      <x:c r="K453" s="34" t="str"/>
      <x:c r="L453" s="34" t="str"/>
      <x:c r="M453" s="34" t="str"/>
      <x:c r="N453" s="34" t="str"/>
      <x:c r="O453" s="34" t="str"/>
      <x:c r="P453" s="34" t="str"/>
      <x:c r="Q453" s="34" t="str"/>
      <x:c r="R453" s="34" t="str"/>
      <x:c r="S453" s="34" t="str"/>
      <x:c r="T453" s="34" t="str"/>
    </x:row>
    <x:row r="454">
      <x:c r="A454" s="34" t="str">
        <x:v>M5-EVAL-0449</x:v>
      </x:c>
      <x:c r="B454" s="34" t="str"/>
      <x:c r="C454" s="34" t="str"/>
      <x:c r="D454" s="34" t="str"/>
      <x:c r="E454" s="34" t="str"/>
      <x:c r="F454" s="34" t="str"/>
      <x:c r="G454" s="34" t="str"/>
      <x:c r="H454" s="34" t="str"/>
      <x:c r="I454" s="38" t="str">
        <x:f>IF(H454="","",IF(H454="完全吻合",1,IF(H454="基本吻合",0.75,IF(H454="部分吻合",0.5,IF(H454="明显不符",0,"")))))</x:f>
      </x:c>
      <x:c r="J454" s="34" t="str"/>
      <x:c r="K454" s="34" t="str"/>
      <x:c r="L454" s="34" t="str"/>
      <x:c r="M454" s="34" t="str"/>
      <x:c r="N454" s="34" t="str"/>
      <x:c r="O454" s="34" t="str"/>
      <x:c r="P454" s="34" t="str"/>
      <x:c r="Q454" s="34" t="str"/>
      <x:c r="R454" s="34" t="str"/>
      <x:c r="S454" s="34" t="str"/>
      <x:c r="T454" s="34" t="str"/>
    </x:row>
    <x:row r="455">
      <x:c r="A455" s="34" t="str">
        <x:v>M5-EVAL-0450</x:v>
      </x:c>
      <x:c r="B455" s="34" t="str"/>
      <x:c r="C455" s="34" t="str"/>
      <x:c r="D455" s="34" t="str"/>
      <x:c r="E455" s="34" t="str"/>
      <x:c r="F455" s="34" t="str"/>
      <x:c r="G455" s="34" t="str"/>
      <x:c r="H455" s="34" t="str"/>
      <x:c r="I455" s="38" t="str">
        <x:f>IF(H455="","",IF(H455="完全吻合",1,IF(H455="基本吻合",0.75,IF(H455="部分吻合",0.5,IF(H455="明显不符",0,"")))))</x:f>
      </x:c>
      <x:c r="J455" s="34" t="str"/>
      <x:c r="K455" s="34" t="str"/>
      <x:c r="L455" s="34" t="str"/>
      <x:c r="M455" s="34" t="str"/>
      <x:c r="N455" s="34" t="str"/>
      <x:c r="O455" s="34" t="str"/>
      <x:c r="P455" s="34" t="str"/>
      <x:c r="Q455" s="34" t="str"/>
      <x:c r="R455" s="34" t="str"/>
      <x:c r="S455" s="34" t="str"/>
      <x:c r="T455" s="34" t="str"/>
    </x:row>
    <x:row r="456">
      <x:c r="A456" s="34" t="str">
        <x:v>M5-EVAL-0451</x:v>
      </x:c>
      <x:c r="B456" s="34" t="str"/>
      <x:c r="C456" s="34" t="str"/>
      <x:c r="D456" s="34" t="str"/>
      <x:c r="E456" s="34" t="str"/>
      <x:c r="F456" s="34" t="str"/>
      <x:c r="G456" s="34" t="str"/>
      <x:c r="H456" s="34" t="str"/>
      <x:c r="I456" s="38" t="str">
        <x:f>IF(H456="","",IF(H456="完全吻合",1,IF(H456="基本吻合",0.75,IF(H456="部分吻合",0.5,IF(H456="明显不符",0,"")))))</x:f>
      </x:c>
      <x:c r="J456" s="34" t="str"/>
      <x:c r="K456" s="34" t="str"/>
      <x:c r="L456" s="34" t="str"/>
      <x:c r="M456" s="34" t="str"/>
      <x:c r="N456" s="34" t="str"/>
      <x:c r="O456" s="34" t="str"/>
      <x:c r="P456" s="34" t="str"/>
      <x:c r="Q456" s="34" t="str"/>
      <x:c r="R456" s="34" t="str"/>
      <x:c r="S456" s="34" t="str"/>
      <x:c r="T456" s="34" t="str"/>
    </x:row>
    <x:row r="457">
      <x:c r="A457" s="34" t="str">
        <x:v>M5-EVAL-0452</x:v>
      </x:c>
      <x:c r="B457" s="34" t="str"/>
      <x:c r="C457" s="34" t="str"/>
      <x:c r="D457" s="34" t="str"/>
      <x:c r="E457" s="34" t="str"/>
      <x:c r="F457" s="34" t="str"/>
      <x:c r="G457" s="34" t="str"/>
      <x:c r="H457" s="34" t="str"/>
      <x:c r="I457" s="38" t="str">
        <x:f>IF(H457="","",IF(H457="完全吻合",1,IF(H457="基本吻合",0.75,IF(H457="部分吻合",0.5,IF(H457="明显不符",0,"")))))</x:f>
      </x:c>
      <x:c r="J457" s="34" t="str"/>
      <x:c r="K457" s="34" t="str"/>
      <x:c r="L457" s="34" t="str"/>
      <x:c r="M457" s="34" t="str"/>
      <x:c r="N457" s="34" t="str"/>
      <x:c r="O457" s="34" t="str"/>
      <x:c r="P457" s="34" t="str"/>
      <x:c r="Q457" s="34" t="str"/>
      <x:c r="R457" s="34" t="str"/>
      <x:c r="S457" s="34" t="str"/>
      <x:c r="T457" s="34" t="str"/>
    </x:row>
    <x:row r="458">
      <x:c r="A458" s="34" t="str">
        <x:v>M5-EVAL-0453</x:v>
      </x:c>
      <x:c r="B458" s="34" t="str"/>
      <x:c r="C458" s="34" t="str"/>
      <x:c r="D458" s="34" t="str"/>
      <x:c r="E458" s="34" t="str"/>
      <x:c r="F458" s="34" t="str"/>
      <x:c r="G458" s="34" t="str"/>
      <x:c r="H458" s="34" t="str"/>
      <x:c r="I458" s="38" t="str">
        <x:f>IF(H458="","",IF(H458="完全吻合",1,IF(H458="基本吻合",0.75,IF(H458="部分吻合",0.5,IF(H458="明显不符",0,"")))))</x:f>
      </x:c>
      <x:c r="J458" s="34" t="str"/>
      <x:c r="K458" s="34" t="str"/>
      <x:c r="L458" s="34" t="str"/>
      <x:c r="M458" s="34" t="str"/>
      <x:c r="N458" s="34" t="str"/>
      <x:c r="O458" s="34" t="str"/>
      <x:c r="P458" s="34" t="str"/>
      <x:c r="Q458" s="34" t="str"/>
      <x:c r="R458" s="34" t="str"/>
      <x:c r="S458" s="34" t="str"/>
      <x:c r="T458" s="34" t="str"/>
    </x:row>
    <x:row r="459">
      <x:c r="A459" s="34" t="str">
        <x:v>M5-EVAL-0454</x:v>
      </x:c>
      <x:c r="B459" s="34" t="str"/>
      <x:c r="C459" s="34" t="str"/>
      <x:c r="D459" s="34" t="str"/>
      <x:c r="E459" s="34" t="str"/>
      <x:c r="F459" s="34" t="str"/>
      <x:c r="G459" s="34" t="str"/>
      <x:c r="H459" s="34" t="str"/>
      <x:c r="I459" s="38" t="str">
        <x:f>IF(H459="","",IF(H459="完全吻合",1,IF(H459="基本吻合",0.75,IF(H459="部分吻合",0.5,IF(H459="明显不符",0,"")))))</x:f>
      </x:c>
      <x:c r="J459" s="34" t="str"/>
      <x:c r="K459" s="34" t="str"/>
      <x:c r="L459" s="34" t="str"/>
      <x:c r="M459" s="34" t="str"/>
      <x:c r="N459" s="34" t="str"/>
      <x:c r="O459" s="34" t="str"/>
      <x:c r="P459" s="34" t="str"/>
      <x:c r="Q459" s="34" t="str"/>
      <x:c r="R459" s="34" t="str"/>
      <x:c r="S459" s="34" t="str"/>
      <x:c r="T459" s="34" t="str"/>
    </x:row>
    <x:row r="460">
      <x:c r="A460" s="34" t="str">
        <x:v>M5-EVAL-0455</x:v>
      </x:c>
      <x:c r="B460" s="34" t="str"/>
      <x:c r="C460" s="34" t="str"/>
      <x:c r="D460" s="34" t="str"/>
      <x:c r="E460" s="34" t="str"/>
      <x:c r="F460" s="34" t="str"/>
      <x:c r="G460" s="34" t="str"/>
      <x:c r="H460" s="34" t="str"/>
      <x:c r="I460" s="38" t="str">
        <x:f>IF(H460="","",IF(H460="完全吻合",1,IF(H460="基本吻合",0.75,IF(H460="部分吻合",0.5,IF(H460="明显不符",0,"")))))</x:f>
      </x:c>
      <x:c r="J460" s="34" t="str"/>
      <x:c r="K460" s="34" t="str"/>
      <x:c r="L460" s="34" t="str"/>
      <x:c r="M460" s="34" t="str"/>
      <x:c r="N460" s="34" t="str"/>
      <x:c r="O460" s="34" t="str"/>
      <x:c r="P460" s="34" t="str"/>
      <x:c r="Q460" s="34" t="str"/>
      <x:c r="R460" s="34" t="str"/>
      <x:c r="S460" s="34" t="str"/>
      <x:c r="T460" s="34" t="str"/>
    </x:row>
    <x:row r="461">
      <x:c r="A461" s="34" t="str">
        <x:v>M5-EVAL-0456</x:v>
      </x:c>
      <x:c r="B461" s="34" t="str"/>
      <x:c r="C461" s="34" t="str"/>
      <x:c r="D461" s="34" t="str"/>
      <x:c r="E461" s="34" t="str"/>
      <x:c r="F461" s="34" t="str"/>
      <x:c r="G461" s="34" t="str"/>
      <x:c r="H461" s="34" t="str"/>
      <x:c r="I461" s="38" t="str">
        <x:f>IF(H461="","",IF(H461="完全吻合",1,IF(H461="基本吻合",0.75,IF(H461="部分吻合",0.5,IF(H461="明显不符",0,"")))))</x:f>
      </x:c>
      <x:c r="J461" s="34" t="str"/>
      <x:c r="K461" s="34" t="str"/>
      <x:c r="L461" s="34" t="str"/>
      <x:c r="M461" s="34" t="str"/>
      <x:c r="N461" s="34" t="str"/>
      <x:c r="O461" s="34" t="str"/>
      <x:c r="P461" s="34" t="str"/>
      <x:c r="Q461" s="34" t="str"/>
      <x:c r="R461" s="34" t="str"/>
      <x:c r="S461" s="34" t="str"/>
      <x:c r="T461" s="34" t="str"/>
    </x:row>
    <x:row r="462">
      <x:c r="A462" s="34" t="str">
        <x:v>M5-EVAL-0457</x:v>
      </x:c>
      <x:c r="B462" s="34" t="str"/>
      <x:c r="C462" s="34" t="str"/>
      <x:c r="D462" s="34" t="str"/>
      <x:c r="E462" s="34" t="str"/>
      <x:c r="F462" s="34" t="str"/>
      <x:c r="G462" s="34" t="str"/>
      <x:c r="H462" s="34" t="str"/>
      <x:c r="I462" s="38" t="str">
        <x:f>IF(H462="","",IF(H462="完全吻合",1,IF(H462="基本吻合",0.75,IF(H462="部分吻合",0.5,IF(H462="明显不符",0,"")))))</x:f>
      </x:c>
      <x:c r="J462" s="34" t="str"/>
      <x:c r="K462" s="34" t="str"/>
      <x:c r="L462" s="34" t="str"/>
      <x:c r="M462" s="34" t="str"/>
      <x:c r="N462" s="34" t="str"/>
      <x:c r="O462" s="34" t="str"/>
      <x:c r="P462" s="34" t="str"/>
      <x:c r="Q462" s="34" t="str"/>
      <x:c r="R462" s="34" t="str"/>
      <x:c r="S462" s="34" t="str"/>
      <x:c r="T462" s="34" t="str"/>
    </x:row>
    <x:row r="463">
      <x:c r="A463" s="34" t="str">
        <x:v>M5-EVAL-0458</x:v>
      </x:c>
      <x:c r="B463" s="34" t="str"/>
      <x:c r="C463" s="34" t="str"/>
      <x:c r="D463" s="34" t="str"/>
      <x:c r="E463" s="34" t="str"/>
      <x:c r="F463" s="34" t="str"/>
      <x:c r="G463" s="34" t="str"/>
      <x:c r="H463" s="34" t="str"/>
      <x:c r="I463" s="38" t="str">
        <x:f>IF(H463="","",IF(H463="完全吻合",1,IF(H463="基本吻合",0.75,IF(H463="部分吻合",0.5,IF(H463="明显不符",0,"")))))</x:f>
      </x:c>
      <x:c r="J463" s="34" t="str"/>
      <x:c r="K463" s="34" t="str"/>
      <x:c r="L463" s="34" t="str"/>
      <x:c r="M463" s="34" t="str"/>
      <x:c r="N463" s="34" t="str"/>
      <x:c r="O463" s="34" t="str"/>
      <x:c r="P463" s="34" t="str"/>
      <x:c r="Q463" s="34" t="str"/>
      <x:c r="R463" s="34" t="str"/>
      <x:c r="S463" s="34" t="str"/>
      <x:c r="T463" s="34" t="str"/>
    </x:row>
    <x:row r="464">
      <x:c r="A464" s="34" t="str">
        <x:v>M5-EVAL-0459</x:v>
      </x:c>
      <x:c r="B464" s="34" t="str"/>
      <x:c r="C464" s="34" t="str"/>
      <x:c r="D464" s="34" t="str"/>
      <x:c r="E464" s="34" t="str"/>
      <x:c r="F464" s="34" t="str"/>
      <x:c r="G464" s="34" t="str"/>
      <x:c r="H464" s="34" t="str"/>
      <x:c r="I464" s="38" t="str">
        <x:f>IF(H464="","",IF(H464="完全吻合",1,IF(H464="基本吻合",0.75,IF(H464="部分吻合",0.5,IF(H464="明显不符",0,"")))))</x:f>
      </x:c>
      <x:c r="J464" s="34" t="str"/>
      <x:c r="K464" s="34" t="str"/>
      <x:c r="L464" s="34" t="str"/>
      <x:c r="M464" s="34" t="str"/>
      <x:c r="N464" s="34" t="str"/>
      <x:c r="O464" s="34" t="str"/>
      <x:c r="P464" s="34" t="str"/>
      <x:c r="Q464" s="34" t="str"/>
      <x:c r="R464" s="34" t="str"/>
      <x:c r="S464" s="34" t="str"/>
      <x:c r="T464" s="34" t="str"/>
    </x:row>
    <x:row r="465">
      <x:c r="A465" s="34" t="str">
        <x:v>M5-EVAL-0460</x:v>
      </x:c>
      <x:c r="B465" s="34" t="str"/>
      <x:c r="C465" s="34" t="str"/>
      <x:c r="D465" s="34" t="str"/>
      <x:c r="E465" s="34" t="str"/>
      <x:c r="F465" s="34" t="str"/>
      <x:c r="G465" s="34" t="str"/>
      <x:c r="H465" s="34" t="str"/>
      <x:c r="I465" s="38" t="str">
        <x:f>IF(H465="","",IF(H465="完全吻合",1,IF(H465="基本吻合",0.75,IF(H465="部分吻合",0.5,IF(H465="明显不符",0,"")))))</x:f>
      </x:c>
      <x:c r="J465" s="34" t="str"/>
      <x:c r="K465" s="34" t="str"/>
      <x:c r="L465" s="34" t="str"/>
      <x:c r="M465" s="34" t="str"/>
      <x:c r="N465" s="34" t="str"/>
      <x:c r="O465" s="34" t="str"/>
      <x:c r="P465" s="34" t="str"/>
      <x:c r="Q465" s="34" t="str"/>
      <x:c r="R465" s="34" t="str"/>
      <x:c r="S465" s="34" t="str"/>
      <x:c r="T465" s="34" t="str"/>
    </x:row>
    <x:row r="466">
      <x:c r="A466" s="34" t="str">
        <x:v>M5-EVAL-0461</x:v>
      </x:c>
      <x:c r="B466" s="34" t="str"/>
      <x:c r="C466" s="34" t="str"/>
      <x:c r="D466" s="34" t="str"/>
      <x:c r="E466" s="34" t="str"/>
      <x:c r="F466" s="34" t="str"/>
      <x:c r="G466" s="34" t="str"/>
      <x:c r="H466" s="34" t="str"/>
      <x:c r="I466" s="38" t="str">
        <x:f>IF(H466="","",IF(H466="完全吻合",1,IF(H466="基本吻合",0.75,IF(H466="部分吻合",0.5,IF(H466="明显不符",0,"")))))</x:f>
      </x:c>
      <x:c r="J466" s="34" t="str"/>
      <x:c r="K466" s="34" t="str"/>
      <x:c r="L466" s="34" t="str"/>
      <x:c r="M466" s="34" t="str"/>
      <x:c r="N466" s="34" t="str"/>
      <x:c r="O466" s="34" t="str"/>
      <x:c r="P466" s="34" t="str"/>
      <x:c r="Q466" s="34" t="str"/>
      <x:c r="R466" s="34" t="str"/>
      <x:c r="S466" s="34" t="str"/>
      <x:c r="T466" s="34" t="str"/>
    </x:row>
    <x:row r="467">
      <x:c r="A467" s="34" t="str">
        <x:v>M5-EVAL-0462</x:v>
      </x:c>
      <x:c r="B467" s="34" t="str"/>
      <x:c r="C467" s="34" t="str"/>
      <x:c r="D467" s="34" t="str"/>
      <x:c r="E467" s="34" t="str"/>
      <x:c r="F467" s="34" t="str"/>
      <x:c r="G467" s="34" t="str"/>
      <x:c r="H467" s="34" t="str"/>
      <x:c r="I467" s="38" t="str">
        <x:f>IF(H467="","",IF(H467="完全吻合",1,IF(H467="基本吻合",0.75,IF(H467="部分吻合",0.5,IF(H467="明显不符",0,"")))))</x:f>
      </x:c>
      <x:c r="J467" s="34" t="str"/>
      <x:c r="K467" s="34" t="str"/>
      <x:c r="L467" s="34" t="str"/>
      <x:c r="M467" s="34" t="str"/>
      <x:c r="N467" s="34" t="str"/>
      <x:c r="O467" s="34" t="str"/>
      <x:c r="P467" s="34" t="str"/>
      <x:c r="Q467" s="34" t="str"/>
      <x:c r="R467" s="34" t="str"/>
      <x:c r="S467" s="34" t="str"/>
      <x:c r="T467" s="34" t="str"/>
    </x:row>
    <x:row r="468">
      <x:c r="A468" s="34" t="str">
        <x:v>M5-EVAL-0463</x:v>
      </x:c>
      <x:c r="B468" s="34" t="str"/>
      <x:c r="C468" s="34" t="str"/>
      <x:c r="D468" s="34" t="str"/>
      <x:c r="E468" s="34" t="str"/>
      <x:c r="F468" s="34" t="str"/>
      <x:c r="G468" s="34" t="str"/>
      <x:c r="H468" s="34" t="str"/>
      <x:c r="I468" s="38" t="str">
        <x:f>IF(H468="","",IF(H468="完全吻合",1,IF(H468="基本吻合",0.75,IF(H468="部分吻合",0.5,IF(H468="明显不符",0,"")))))</x:f>
      </x:c>
      <x:c r="J468" s="34" t="str"/>
      <x:c r="K468" s="34" t="str"/>
      <x:c r="L468" s="34" t="str"/>
      <x:c r="M468" s="34" t="str"/>
      <x:c r="N468" s="34" t="str"/>
      <x:c r="O468" s="34" t="str"/>
      <x:c r="P468" s="34" t="str"/>
      <x:c r="Q468" s="34" t="str"/>
      <x:c r="R468" s="34" t="str"/>
      <x:c r="S468" s="34" t="str"/>
      <x:c r="T468" s="34" t="str"/>
    </x:row>
    <x:row r="469">
      <x:c r="A469" s="34" t="str">
        <x:v>M5-EVAL-0464</x:v>
      </x:c>
      <x:c r="B469" s="34" t="str"/>
      <x:c r="C469" s="34" t="str"/>
      <x:c r="D469" s="34" t="str"/>
      <x:c r="E469" s="34" t="str"/>
      <x:c r="F469" s="34" t="str"/>
      <x:c r="G469" s="34" t="str"/>
      <x:c r="H469" s="34" t="str"/>
      <x:c r="I469" s="38" t="str">
        <x:f>IF(H469="","",IF(H469="完全吻合",1,IF(H469="基本吻合",0.75,IF(H469="部分吻合",0.5,IF(H469="明显不符",0,"")))))</x:f>
      </x:c>
      <x:c r="J469" s="34" t="str"/>
      <x:c r="K469" s="34" t="str"/>
      <x:c r="L469" s="34" t="str"/>
      <x:c r="M469" s="34" t="str"/>
      <x:c r="N469" s="34" t="str"/>
      <x:c r="O469" s="34" t="str"/>
      <x:c r="P469" s="34" t="str"/>
      <x:c r="Q469" s="34" t="str"/>
      <x:c r="R469" s="34" t="str"/>
      <x:c r="S469" s="34" t="str"/>
      <x:c r="T469" s="34" t="str"/>
    </x:row>
    <x:row r="470">
      <x:c r="A470" s="34" t="str">
        <x:v>M5-EVAL-0465</x:v>
      </x:c>
      <x:c r="B470" s="34" t="str"/>
      <x:c r="C470" s="34" t="str"/>
      <x:c r="D470" s="34" t="str"/>
      <x:c r="E470" s="34" t="str"/>
      <x:c r="F470" s="34" t="str"/>
      <x:c r="G470" s="34" t="str"/>
      <x:c r="H470" s="34" t="str"/>
      <x:c r="I470" s="38" t="str">
        <x:f>IF(H470="","",IF(H470="完全吻合",1,IF(H470="基本吻合",0.75,IF(H470="部分吻合",0.5,IF(H470="明显不符",0,"")))))</x:f>
      </x:c>
      <x:c r="J470" s="34" t="str"/>
      <x:c r="K470" s="34" t="str"/>
      <x:c r="L470" s="34" t="str"/>
      <x:c r="M470" s="34" t="str"/>
      <x:c r="N470" s="34" t="str"/>
      <x:c r="O470" s="34" t="str"/>
      <x:c r="P470" s="34" t="str"/>
      <x:c r="Q470" s="34" t="str"/>
      <x:c r="R470" s="34" t="str"/>
      <x:c r="S470" s="34" t="str"/>
      <x:c r="T470" s="34" t="str"/>
    </x:row>
    <x:row r="471">
      <x:c r="A471" s="34" t="str">
        <x:v>M5-EVAL-0466</x:v>
      </x:c>
      <x:c r="B471" s="34" t="str"/>
      <x:c r="C471" s="34" t="str"/>
      <x:c r="D471" s="34" t="str"/>
      <x:c r="E471" s="34" t="str"/>
      <x:c r="F471" s="34" t="str"/>
      <x:c r="G471" s="34" t="str"/>
      <x:c r="H471" s="34" t="str"/>
      <x:c r="I471" s="38" t="str">
        <x:f>IF(H471="","",IF(H471="完全吻合",1,IF(H471="基本吻合",0.75,IF(H471="部分吻合",0.5,IF(H471="明显不符",0,"")))))</x:f>
      </x:c>
      <x:c r="J471" s="34" t="str"/>
      <x:c r="K471" s="34" t="str"/>
      <x:c r="L471" s="34" t="str"/>
      <x:c r="M471" s="34" t="str"/>
      <x:c r="N471" s="34" t="str"/>
      <x:c r="O471" s="34" t="str"/>
      <x:c r="P471" s="34" t="str"/>
      <x:c r="Q471" s="34" t="str"/>
      <x:c r="R471" s="34" t="str"/>
      <x:c r="S471" s="34" t="str"/>
      <x:c r="T471" s="34" t="str"/>
    </x:row>
    <x:row r="472">
      <x:c r="A472" s="34" t="str">
        <x:v>M5-EVAL-0467</x:v>
      </x:c>
      <x:c r="B472" s="34" t="str"/>
      <x:c r="C472" s="34" t="str"/>
      <x:c r="D472" s="34" t="str"/>
      <x:c r="E472" s="34" t="str"/>
      <x:c r="F472" s="34" t="str"/>
      <x:c r="G472" s="34" t="str"/>
      <x:c r="H472" s="34" t="str"/>
      <x:c r="I472" s="38" t="str">
        <x:f>IF(H472="","",IF(H472="完全吻合",1,IF(H472="基本吻合",0.75,IF(H472="部分吻合",0.5,IF(H472="明显不符",0,"")))))</x:f>
      </x:c>
      <x:c r="J472" s="34" t="str"/>
      <x:c r="K472" s="34" t="str"/>
      <x:c r="L472" s="34" t="str"/>
      <x:c r="M472" s="34" t="str"/>
      <x:c r="N472" s="34" t="str"/>
      <x:c r="O472" s="34" t="str"/>
      <x:c r="P472" s="34" t="str"/>
      <x:c r="Q472" s="34" t="str"/>
      <x:c r="R472" s="34" t="str"/>
      <x:c r="S472" s="34" t="str"/>
      <x:c r="T472" s="34" t="str"/>
    </x:row>
    <x:row r="473">
      <x:c r="A473" s="34" t="str">
        <x:v>M5-EVAL-0468</x:v>
      </x:c>
      <x:c r="B473" s="34" t="str"/>
      <x:c r="C473" s="34" t="str"/>
      <x:c r="D473" s="34" t="str"/>
      <x:c r="E473" s="34" t="str"/>
      <x:c r="F473" s="34" t="str"/>
      <x:c r="G473" s="34" t="str"/>
      <x:c r="H473" s="34" t="str"/>
      <x:c r="I473" s="38" t="str">
        <x:f>IF(H473="","",IF(H473="完全吻合",1,IF(H473="基本吻合",0.75,IF(H473="部分吻合",0.5,IF(H473="明显不符",0,"")))))</x:f>
      </x:c>
      <x:c r="J473" s="34" t="str"/>
      <x:c r="K473" s="34" t="str"/>
      <x:c r="L473" s="34" t="str"/>
      <x:c r="M473" s="34" t="str"/>
      <x:c r="N473" s="34" t="str"/>
      <x:c r="O473" s="34" t="str"/>
      <x:c r="P473" s="34" t="str"/>
      <x:c r="Q473" s="34" t="str"/>
      <x:c r="R473" s="34" t="str"/>
      <x:c r="S473" s="34" t="str"/>
      <x:c r="T473" s="34" t="str"/>
    </x:row>
    <x:row r="474">
      <x:c r="A474" s="34" t="str">
        <x:v>M5-EVAL-0469</x:v>
      </x:c>
      <x:c r="B474" s="34" t="str"/>
      <x:c r="C474" s="34" t="str"/>
      <x:c r="D474" s="34" t="str"/>
      <x:c r="E474" s="34" t="str"/>
      <x:c r="F474" s="34" t="str"/>
      <x:c r="G474" s="34" t="str"/>
      <x:c r="H474" s="34" t="str"/>
      <x:c r="I474" s="38" t="str">
        <x:f>IF(H474="","",IF(H474="完全吻合",1,IF(H474="基本吻合",0.75,IF(H474="部分吻合",0.5,IF(H474="明显不符",0,"")))))</x:f>
      </x:c>
      <x:c r="J474" s="34" t="str"/>
      <x:c r="K474" s="34" t="str"/>
      <x:c r="L474" s="34" t="str"/>
      <x:c r="M474" s="34" t="str"/>
      <x:c r="N474" s="34" t="str"/>
      <x:c r="O474" s="34" t="str"/>
      <x:c r="P474" s="34" t="str"/>
      <x:c r="Q474" s="34" t="str"/>
      <x:c r="R474" s="34" t="str"/>
      <x:c r="S474" s="34" t="str"/>
      <x:c r="T474" s="34" t="str"/>
    </x:row>
    <x:row r="475">
      <x:c r="A475" s="34" t="str">
        <x:v>M5-EVAL-0470</x:v>
      </x:c>
      <x:c r="B475" s="34" t="str"/>
      <x:c r="C475" s="34" t="str"/>
      <x:c r="D475" s="34" t="str"/>
      <x:c r="E475" s="34" t="str"/>
      <x:c r="F475" s="34" t="str"/>
      <x:c r="G475" s="34" t="str"/>
      <x:c r="H475" s="34" t="str"/>
      <x:c r="I475" s="38" t="str">
        <x:f>IF(H475="","",IF(H475="完全吻合",1,IF(H475="基本吻合",0.75,IF(H475="部分吻合",0.5,IF(H475="明显不符",0,"")))))</x:f>
      </x:c>
      <x:c r="J475" s="34" t="str"/>
      <x:c r="K475" s="34" t="str"/>
      <x:c r="L475" s="34" t="str"/>
      <x:c r="M475" s="34" t="str"/>
      <x:c r="N475" s="34" t="str"/>
      <x:c r="O475" s="34" t="str"/>
      <x:c r="P475" s="34" t="str"/>
      <x:c r="Q475" s="34" t="str"/>
      <x:c r="R475" s="34" t="str"/>
      <x:c r="S475" s="34" t="str"/>
      <x:c r="T475" s="34" t="str"/>
    </x:row>
    <x:row r="476">
      <x:c r="A476" s="34" t="str">
        <x:v>M5-EVAL-0471</x:v>
      </x:c>
      <x:c r="B476" s="34" t="str"/>
      <x:c r="C476" s="34" t="str"/>
      <x:c r="D476" s="34" t="str"/>
      <x:c r="E476" s="34" t="str"/>
      <x:c r="F476" s="34" t="str"/>
      <x:c r="G476" s="34" t="str"/>
      <x:c r="H476" s="34" t="str"/>
      <x:c r="I476" s="38" t="str">
        <x:f>IF(H476="","",IF(H476="完全吻合",1,IF(H476="基本吻合",0.75,IF(H476="部分吻合",0.5,IF(H476="明显不符",0,"")))))</x:f>
      </x:c>
      <x:c r="J476" s="34" t="str"/>
      <x:c r="K476" s="34" t="str"/>
      <x:c r="L476" s="34" t="str"/>
      <x:c r="M476" s="34" t="str"/>
      <x:c r="N476" s="34" t="str"/>
      <x:c r="O476" s="34" t="str"/>
      <x:c r="P476" s="34" t="str"/>
      <x:c r="Q476" s="34" t="str"/>
      <x:c r="R476" s="34" t="str"/>
      <x:c r="S476" s="34" t="str"/>
      <x:c r="T476" s="34" t="str"/>
    </x:row>
    <x:row r="477">
      <x:c r="A477" s="34" t="str">
        <x:v>M5-EVAL-0472</x:v>
      </x:c>
      <x:c r="B477" s="34" t="str"/>
      <x:c r="C477" s="34" t="str"/>
      <x:c r="D477" s="34" t="str"/>
      <x:c r="E477" s="34" t="str"/>
      <x:c r="F477" s="34" t="str"/>
      <x:c r="G477" s="34" t="str"/>
      <x:c r="H477" s="34" t="str"/>
      <x:c r="I477" s="38" t="str">
        <x:f>IF(H477="","",IF(H477="完全吻合",1,IF(H477="基本吻合",0.75,IF(H477="部分吻合",0.5,IF(H477="明显不符",0,"")))))</x:f>
      </x:c>
      <x:c r="J477" s="34" t="str"/>
      <x:c r="K477" s="34" t="str"/>
      <x:c r="L477" s="34" t="str"/>
      <x:c r="M477" s="34" t="str"/>
      <x:c r="N477" s="34" t="str"/>
      <x:c r="O477" s="34" t="str"/>
      <x:c r="P477" s="34" t="str"/>
      <x:c r="Q477" s="34" t="str"/>
      <x:c r="R477" s="34" t="str"/>
      <x:c r="S477" s="34" t="str"/>
      <x:c r="T477" s="34" t="str"/>
    </x:row>
    <x:row r="478">
      <x:c r="A478" s="34" t="str">
        <x:v>M5-EVAL-0473</x:v>
      </x:c>
      <x:c r="B478" s="34" t="str"/>
      <x:c r="C478" s="34" t="str"/>
      <x:c r="D478" s="34" t="str"/>
      <x:c r="E478" s="34" t="str"/>
      <x:c r="F478" s="34" t="str"/>
      <x:c r="G478" s="34" t="str"/>
      <x:c r="H478" s="34" t="str"/>
      <x:c r="I478" s="38" t="str">
        <x:f>IF(H478="","",IF(H478="完全吻合",1,IF(H478="基本吻合",0.75,IF(H478="部分吻合",0.5,IF(H478="明显不符",0,"")))))</x:f>
      </x:c>
      <x:c r="J478" s="34" t="str"/>
      <x:c r="K478" s="34" t="str"/>
      <x:c r="L478" s="34" t="str"/>
      <x:c r="M478" s="34" t="str"/>
      <x:c r="N478" s="34" t="str"/>
      <x:c r="O478" s="34" t="str"/>
      <x:c r="P478" s="34" t="str"/>
      <x:c r="Q478" s="34" t="str"/>
      <x:c r="R478" s="34" t="str"/>
      <x:c r="S478" s="34" t="str"/>
      <x:c r="T478" s="34" t="str"/>
    </x:row>
    <x:row r="479">
      <x:c r="A479" s="34" t="str">
        <x:v>M5-EVAL-0474</x:v>
      </x:c>
      <x:c r="B479" s="34" t="str"/>
      <x:c r="C479" s="34" t="str"/>
      <x:c r="D479" s="34" t="str"/>
      <x:c r="E479" s="34" t="str"/>
      <x:c r="F479" s="34" t="str"/>
      <x:c r="G479" s="34" t="str"/>
      <x:c r="H479" s="34" t="str"/>
      <x:c r="I479" s="38" t="str">
        <x:f>IF(H479="","",IF(H479="完全吻合",1,IF(H479="基本吻合",0.75,IF(H479="部分吻合",0.5,IF(H479="明显不符",0,"")))))</x:f>
      </x:c>
      <x:c r="J479" s="34" t="str"/>
      <x:c r="K479" s="34" t="str"/>
      <x:c r="L479" s="34" t="str"/>
      <x:c r="M479" s="34" t="str"/>
      <x:c r="N479" s="34" t="str"/>
      <x:c r="O479" s="34" t="str"/>
      <x:c r="P479" s="34" t="str"/>
      <x:c r="Q479" s="34" t="str"/>
      <x:c r="R479" s="34" t="str"/>
      <x:c r="S479" s="34" t="str"/>
      <x:c r="T479" s="34" t="str"/>
    </x:row>
    <x:row r="480">
      <x:c r="A480" s="34" t="str">
        <x:v>M5-EVAL-0475</x:v>
      </x:c>
      <x:c r="B480" s="34" t="str"/>
      <x:c r="C480" s="34" t="str"/>
      <x:c r="D480" s="34" t="str"/>
      <x:c r="E480" s="34" t="str"/>
      <x:c r="F480" s="34" t="str"/>
      <x:c r="G480" s="34" t="str"/>
      <x:c r="H480" s="34" t="str"/>
      <x:c r="I480" s="38" t="str">
        <x:f>IF(H480="","",IF(H480="完全吻合",1,IF(H480="基本吻合",0.75,IF(H480="部分吻合",0.5,IF(H480="明显不符",0,"")))))</x:f>
      </x:c>
      <x:c r="J480" s="34" t="str"/>
      <x:c r="K480" s="34" t="str"/>
      <x:c r="L480" s="34" t="str"/>
      <x:c r="M480" s="34" t="str"/>
      <x:c r="N480" s="34" t="str"/>
      <x:c r="O480" s="34" t="str"/>
      <x:c r="P480" s="34" t="str"/>
      <x:c r="Q480" s="34" t="str"/>
      <x:c r="R480" s="34" t="str"/>
      <x:c r="S480" s="34" t="str"/>
      <x:c r="T480" s="34" t="str"/>
    </x:row>
    <x:row r="481">
      <x:c r="A481" s="34" t="str">
        <x:v>M5-EVAL-0476</x:v>
      </x:c>
      <x:c r="B481" s="34" t="str"/>
      <x:c r="C481" s="34" t="str"/>
      <x:c r="D481" s="34" t="str"/>
      <x:c r="E481" s="34" t="str"/>
      <x:c r="F481" s="34" t="str"/>
      <x:c r="G481" s="34" t="str"/>
      <x:c r="H481" s="34" t="str"/>
      <x:c r="I481" s="38" t="str">
        <x:f>IF(H481="","",IF(H481="完全吻合",1,IF(H481="基本吻合",0.75,IF(H481="部分吻合",0.5,IF(H481="明显不符",0,"")))))</x:f>
      </x:c>
      <x:c r="J481" s="34" t="str"/>
      <x:c r="K481" s="34" t="str"/>
      <x:c r="L481" s="34" t="str"/>
      <x:c r="M481" s="34" t="str"/>
      <x:c r="N481" s="34" t="str"/>
      <x:c r="O481" s="34" t="str"/>
      <x:c r="P481" s="34" t="str"/>
      <x:c r="Q481" s="34" t="str"/>
      <x:c r="R481" s="34" t="str"/>
      <x:c r="S481" s="34" t="str"/>
      <x:c r="T481" s="34" t="str"/>
    </x:row>
    <x:row r="482">
      <x:c r="A482" s="34" t="str">
        <x:v>M5-EVAL-0477</x:v>
      </x:c>
      <x:c r="B482" s="34" t="str"/>
      <x:c r="C482" s="34" t="str"/>
      <x:c r="D482" s="34" t="str"/>
      <x:c r="E482" s="34" t="str"/>
      <x:c r="F482" s="34" t="str"/>
      <x:c r="G482" s="34" t="str"/>
      <x:c r="H482" s="34" t="str"/>
      <x:c r="I482" s="38" t="str">
        <x:f>IF(H482="","",IF(H482="完全吻合",1,IF(H482="基本吻合",0.75,IF(H482="部分吻合",0.5,IF(H482="明显不符",0,"")))))</x:f>
      </x:c>
      <x:c r="J482" s="34" t="str"/>
      <x:c r="K482" s="34" t="str"/>
      <x:c r="L482" s="34" t="str"/>
      <x:c r="M482" s="34" t="str"/>
      <x:c r="N482" s="34" t="str"/>
      <x:c r="O482" s="34" t="str"/>
      <x:c r="P482" s="34" t="str"/>
      <x:c r="Q482" s="34" t="str"/>
      <x:c r="R482" s="34" t="str"/>
      <x:c r="S482" s="34" t="str"/>
      <x:c r="T482" s="34" t="str"/>
    </x:row>
    <x:row r="483">
      <x:c r="A483" s="34" t="str">
        <x:v>M5-EVAL-0478</x:v>
      </x:c>
      <x:c r="B483" s="34" t="str"/>
      <x:c r="C483" s="34" t="str"/>
      <x:c r="D483" s="34" t="str"/>
      <x:c r="E483" s="34" t="str"/>
      <x:c r="F483" s="34" t="str"/>
      <x:c r="G483" s="34" t="str"/>
      <x:c r="H483" s="34" t="str"/>
      <x:c r="I483" s="38" t="str">
        <x:f>IF(H483="","",IF(H483="完全吻合",1,IF(H483="基本吻合",0.75,IF(H483="部分吻合",0.5,IF(H483="明显不符",0,"")))))</x:f>
      </x:c>
      <x:c r="J483" s="34" t="str"/>
      <x:c r="K483" s="34" t="str"/>
      <x:c r="L483" s="34" t="str"/>
      <x:c r="M483" s="34" t="str"/>
      <x:c r="N483" s="34" t="str"/>
      <x:c r="O483" s="34" t="str"/>
      <x:c r="P483" s="34" t="str"/>
      <x:c r="Q483" s="34" t="str"/>
      <x:c r="R483" s="34" t="str"/>
      <x:c r="S483" s="34" t="str"/>
      <x:c r="T483" s="34" t="str"/>
    </x:row>
    <x:row r="484">
      <x:c r="A484" s="34" t="str">
        <x:v>M5-EVAL-0479</x:v>
      </x:c>
      <x:c r="B484" s="34" t="str"/>
      <x:c r="C484" s="34" t="str"/>
      <x:c r="D484" s="34" t="str"/>
      <x:c r="E484" s="34" t="str"/>
      <x:c r="F484" s="34" t="str"/>
      <x:c r="G484" s="34" t="str"/>
      <x:c r="H484" s="34" t="str"/>
      <x:c r="I484" s="38" t="str">
        <x:f>IF(H484="","",IF(H484="完全吻合",1,IF(H484="基本吻合",0.75,IF(H484="部分吻合",0.5,IF(H484="明显不符",0,"")))))</x:f>
      </x:c>
      <x:c r="J484" s="34" t="str"/>
      <x:c r="K484" s="34" t="str"/>
      <x:c r="L484" s="34" t="str"/>
      <x:c r="M484" s="34" t="str"/>
      <x:c r="N484" s="34" t="str"/>
      <x:c r="O484" s="34" t="str"/>
      <x:c r="P484" s="34" t="str"/>
      <x:c r="Q484" s="34" t="str"/>
      <x:c r="R484" s="34" t="str"/>
      <x:c r="S484" s="34" t="str"/>
      <x:c r="T484" s="34" t="str"/>
    </x:row>
    <x:row r="485">
      <x:c r="A485" s="34" t="str">
        <x:v>M5-EVAL-0480</x:v>
      </x:c>
      <x:c r="B485" s="34" t="str"/>
      <x:c r="C485" s="34" t="str"/>
      <x:c r="D485" s="34" t="str"/>
      <x:c r="E485" s="34" t="str"/>
      <x:c r="F485" s="34" t="str"/>
      <x:c r="G485" s="34" t="str"/>
      <x:c r="H485" s="34" t="str"/>
      <x:c r="I485" s="38" t="str">
        <x:f>IF(H485="","",IF(H485="完全吻合",1,IF(H485="基本吻合",0.75,IF(H485="部分吻合",0.5,IF(H485="明显不符",0,"")))))</x:f>
      </x:c>
      <x:c r="J485" s="34" t="str"/>
      <x:c r="K485" s="34" t="str"/>
      <x:c r="L485" s="34" t="str"/>
      <x:c r="M485" s="34" t="str"/>
      <x:c r="N485" s="34" t="str"/>
      <x:c r="O485" s="34" t="str"/>
      <x:c r="P485" s="34" t="str"/>
      <x:c r="Q485" s="34" t="str"/>
      <x:c r="R485" s="34" t="str"/>
      <x:c r="S485" s="34" t="str"/>
      <x:c r="T485" s="34" t="str"/>
    </x:row>
    <x:row r="486">
      <x:c r="A486" s="34" t="str">
        <x:v>M5-EVAL-0481</x:v>
      </x:c>
      <x:c r="B486" s="34" t="str"/>
      <x:c r="C486" s="34" t="str"/>
      <x:c r="D486" s="34" t="str"/>
      <x:c r="E486" s="34" t="str"/>
      <x:c r="F486" s="34" t="str"/>
      <x:c r="G486" s="34" t="str"/>
      <x:c r="H486" s="34" t="str"/>
      <x:c r="I486" s="38" t="str">
        <x:f>IF(H486="","",IF(H486="完全吻合",1,IF(H486="基本吻合",0.75,IF(H486="部分吻合",0.5,IF(H486="明显不符",0,"")))))</x:f>
      </x:c>
      <x:c r="J486" s="34" t="str"/>
      <x:c r="K486" s="34" t="str"/>
      <x:c r="L486" s="34" t="str"/>
      <x:c r="M486" s="34" t="str"/>
      <x:c r="N486" s="34" t="str"/>
      <x:c r="O486" s="34" t="str"/>
      <x:c r="P486" s="34" t="str"/>
      <x:c r="Q486" s="34" t="str"/>
      <x:c r="R486" s="34" t="str"/>
      <x:c r="S486" s="34" t="str"/>
      <x:c r="T486" s="34" t="str"/>
    </x:row>
    <x:row r="487">
      <x:c r="A487" s="34" t="str">
        <x:v>M5-EVAL-0482</x:v>
      </x:c>
      <x:c r="B487" s="34" t="str"/>
      <x:c r="C487" s="34" t="str"/>
      <x:c r="D487" s="34" t="str"/>
      <x:c r="E487" s="34" t="str"/>
      <x:c r="F487" s="34" t="str"/>
      <x:c r="G487" s="34" t="str"/>
      <x:c r="H487" s="34" t="str"/>
      <x:c r="I487" s="38" t="str">
        <x:f>IF(H487="","",IF(H487="完全吻合",1,IF(H487="基本吻合",0.75,IF(H487="部分吻合",0.5,IF(H487="明显不符",0,"")))))</x:f>
      </x:c>
      <x:c r="J487" s="34" t="str"/>
      <x:c r="K487" s="34" t="str"/>
      <x:c r="L487" s="34" t="str"/>
      <x:c r="M487" s="34" t="str"/>
      <x:c r="N487" s="34" t="str"/>
      <x:c r="O487" s="34" t="str"/>
      <x:c r="P487" s="34" t="str"/>
      <x:c r="Q487" s="34" t="str"/>
      <x:c r="R487" s="34" t="str"/>
      <x:c r="S487" s="34" t="str"/>
      <x:c r="T487" s="34" t="str"/>
    </x:row>
    <x:row r="488">
      <x:c r="A488" s="34" t="str">
        <x:v>M5-EVAL-0483</x:v>
      </x:c>
      <x:c r="B488" s="34" t="str"/>
      <x:c r="C488" s="34" t="str"/>
      <x:c r="D488" s="34" t="str"/>
      <x:c r="E488" s="34" t="str"/>
      <x:c r="F488" s="34" t="str"/>
      <x:c r="G488" s="34" t="str"/>
      <x:c r="H488" s="34" t="str"/>
      <x:c r="I488" s="38" t="str">
        <x:f>IF(H488="","",IF(H488="完全吻合",1,IF(H488="基本吻合",0.75,IF(H488="部分吻合",0.5,IF(H488="明显不符",0,"")))))</x:f>
      </x:c>
      <x:c r="J488" s="34" t="str"/>
      <x:c r="K488" s="34" t="str"/>
      <x:c r="L488" s="34" t="str"/>
      <x:c r="M488" s="34" t="str"/>
      <x:c r="N488" s="34" t="str"/>
      <x:c r="O488" s="34" t="str"/>
      <x:c r="P488" s="34" t="str"/>
      <x:c r="Q488" s="34" t="str"/>
      <x:c r="R488" s="34" t="str"/>
      <x:c r="S488" s="34" t="str"/>
      <x:c r="T488" s="34" t="str"/>
    </x:row>
    <x:row r="489">
      <x:c r="A489" s="34" t="str">
        <x:v>M5-EVAL-0484</x:v>
      </x:c>
      <x:c r="B489" s="34" t="str"/>
      <x:c r="C489" s="34" t="str"/>
      <x:c r="D489" s="34" t="str"/>
      <x:c r="E489" s="34" t="str"/>
      <x:c r="F489" s="34" t="str"/>
      <x:c r="G489" s="34" t="str"/>
      <x:c r="H489" s="34" t="str"/>
      <x:c r="I489" s="38" t="str">
        <x:f>IF(H489="","",IF(H489="完全吻合",1,IF(H489="基本吻合",0.75,IF(H489="部分吻合",0.5,IF(H489="明显不符",0,"")))))</x:f>
      </x:c>
      <x:c r="J489" s="34" t="str"/>
      <x:c r="K489" s="34" t="str"/>
      <x:c r="L489" s="34" t="str"/>
      <x:c r="M489" s="34" t="str"/>
      <x:c r="N489" s="34" t="str"/>
      <x:c r="O489" s="34" t="str"/>
      <x:c r="P489" s="34" t="str"/>
      <x:c r="Q489" s="34" t="str"/>
      <x:c r="R489" s="34" t="str"/>
      <x:c r="S489" s="34" t="str"/>
      <x:c r="T489" s="34" t="str"/>
    </x:row>
    <x:row r="490">
      <x:c r="A490" s="34" t="str">
        <x:v>M5-EVAL-0485</x:v>
      </x:c>
      <x:c r="B490" s="34" t="str"/>
      <x:c r="C490" s="34" t="str"/>
      <x:c r="D490" s="34" t="str"/>
      <x:c r="E490" s="34" t="str"/>
      <x:c r="F490" s="34" t="str"/>
      <x:c r="G490" s="34" t="str"/>
      <x:c r="H490" s="34" t="str"/>
      <x:c r="I490" s="38" t="str">
        <x:f>IF(H490="","",IF(H490="完全吻合",1,IF(H490="基本吻合",0.75,IF(H490="部分吻合",0.5,IF(H490="明显不符",0,"")))))</x:f>
      </x:c>
      <x:c r="J490" s="34" t="str"/>
      <x:c r="K490" s="34" t="str"/>
      <x:c r="L490" s="34" t="str"/>
      <x:c r="M490" s="34" t="str"/>
      <x:c r="N490" s="34" t="str"/>
      <x:c r="O490" s="34" t="str"/>
      <x:c r="P490" s="34" t="str"/>
      <x:c r="Q490" s="34" t="str"/>
      <x:c r="R490" s="34" t="str"/>
      <x:c r="S490" s="34" t="str"/>
      <x:c r="T490" s="34" t="str"/>
    </x:row>
    <x:row r="491">
      <x:c r="A491" s="34" t="str">
        <x:v>M5-EVAL-0486</x:v>
      </x:c>
      <x:c r="B491" s="34" t="str"/>
      <x:c r="C491" s="34" t="str"/>
      <x:c r="D491" s="34" t="str"/>
      <x:c r="E491" s="34" t="str"/>
      <x:c r="F491" s="34" t="str"/>
      <x:c r="G491" s="34" t="str"/>
      <x:c r="H491" s="34" t="str"/>
      <x:c r="I491" s="38" t="str">
        <x:f>IF(H491="","",IF(H491="完全吻合",1,IF(H491="基本吻合",0.75,IF(H491="部分吻合",0.5,IF(H491="明显不符",0,"")))))</x:f>
      </x:c>
      <x:c r="J491" s="34" t="str"/>
      <x:c r="K491" s="34" t="str"/>
      <x:c r="L491" s="34" t="str"/>
      <x:c r="M491" s="34" t="str"/>
      <x:c r="N491" s="34" t="str"/>
      <x:c r="O491" s="34" t="str"/>
      <x:c r="P491" s="34" t="str"/>
      <x:c r="Q491" s="34" t="str"/>
      <x:c r="R491" s="34" t="str"/>
      <x:c r="S491" s="34" t="str"/>
      <x:c r="T491" s="34" t="str"/>
    </x:row>
    <x:row r="492">
      <x:c r="A492" s="34" t="str">
        <x:v>M5-EVAL-0487</x:v>
      </x:c>
      <x:c r="B492" s="34" t="str"/>
      <x:c r="C492" s="34" t="str"/>
      <x:c r="D492" s="34" t="str"/>
      <x:c r="E492" s="34" t="str"/>
      <x:c r="F492" s="34" t="str"/>
      <x:c r="G492" s="34" t="str"/>
      <x:c r="H492" s="34" t="str"/>
      <x:c r="I492" s="38" t="str">
        <x:f>IF(H492="","",IF(H492="完全吻合",1,IF(H492="基本吻合",0.75,IF(H492="部分吻合",0.5,IF(H492="明显不符",0,"")))))</x:f>
      </x:c>
      <x:c r="J492" s="34" t="str"/>
      <x:c r="K492" s="34" t="str"/>
      <x:c r="L492" s="34" t="str"/>
      <x:c r="M492" s="34" t="str"/>
      <x:c r="N492" s="34" t="str"/>
      <x:c r="O492" s="34" t="str"/>
      <x:c r="P492" s="34" t="str"/>
      <x:c r="Q492" s="34" t="str"/>
      <x:c r="R492" s="34" t="str"/>
      <x:c r="S492" s="34" t="str"/>
      <x:c r="T492" s="34" t="str"/>
    </x:row>
    <x:row r="493">
      <x:c r="A493" s="34" t="str">
        <x:v>M5-EVAL-0488</x:v>
      </x:c>
      <x:c r="B493" s="34" t="str"/>
      <x:c r="C493" s="34" t="str"/>
      <x:c r="D493" s="34" t="str"/>
      <x:c r="E493" s="34" t="str"/>
      <x:c r="F493" s="34" t="str"/>
      <x:c r="G493" s="34" t="str"/>
      <x:c r="H493" s="34" t="str"/>
      <x:c r="I493" s="38" t="str">
        <x:f>IF(H493="","",IF(H493="完全吻合",1,IF(H493="基本吻合",0.75,IF(H493="部分吻合",0.5,IF(H493="明显不符",0,"")))))</x:f>
      </x:c>
      <x:c r="J493" s="34" t="str"/>
      <x:c r="K493" s="34" t="str"/>
      <x:c r="L493" s="34" t="str"/>
      <x:c r="M493" s="34" t="str"/>
      <x:c r="N493" s="34" t="str"/>
      <x:c r="O493" s="34" t="str"/>
      <x:c r="P493" s="34" t="str"/>
      <x:c r="Q493" s="34" t="str"/>
      <x:c r="R493" s="34" t="str"/>
      <x:c r="S493" s="34" t="str"/>
      <x:c r="T493" s="34" t="str"/>
    </x:row>
    <x:row r="494">
      <x:c r="A494" s="34" t="str">
        <x:v>M5-EVAL-0489</x:v>
      </x:c>
      <x:c r="B494" s="34" t="str"/>
      <x:c r="C494" s="34" t="str"/>
      <x:c r="D494" s="34" t="str"/>
      <x:c r="E494" s="34" t="str"/>
      <x:c r="F494" s="34" t="str"/>
      <x:c r="G494" s="34" t="str"/>
      <x:c r="H494" s="34" t="str"/>
      <x:c r="I494" s="38" t="str">
        <x:f>IF(H494="","",IF(H494="完全吻合",1,IF(H494="基本吻合",0.75,IF(H494="部分吻合",0.5,IF(H494="明显不符",0,"")))))</x:f>
      </x:c>
      <x:c r="J494" s="34" t="str"/>
      <x:c r="K494" s="34" t="str"/>
      <x:c r="L494" s="34" t="str"/>
      <x:c r="M494" s="34" t="str"/>
      <x:c r="N494" s="34" t="str"/>
      <x:c r="O494" s="34" t="str"/>
      <x:c r="P494" s="34" t="str"/>
      <x:c r="Q494" s="34" t="str"/>
      <x:c r="R494" s="34" t="str"/>
      <x:c r="S494" s="34" t="str"/>
      <x:c r="T494" s="34" t="str"/>
    </x:row>
    <x:row r="495">
      <x:c r="A495" s="34" t="str">
        <x:v>M5-EVAL-0490</x:v>
      </x:c>
      <x:c r="B495" s="34" t="str"/>
      <x:c r="C495" s="34" t="str"/>
      <x:c r="D495" s="34" t="str"/>
      <x:c r="E495" s="34" t="str"/>
      <x:c r="F495" s="34" t="str"/>
      <x:c r="G495" s="34" t="str"/>
      <x:c r="H495" s="34" t="str"/>
      <x:c r="I495" s="38" t="str">
        <x:f>IF(H495="","",IF(H495="完全吻合",1,IF(H495="基本吻合",0.75,IF(H495="部分吻合",0.5,IF(H495="明显不符",0,"")))))</x:f>
      </x:c>
      <x:c r="J495" s="34" t="str"/>
      <x:c r="K495" s="34" t="str"/>
      <x:c r="L495" s="34" t="str"/>
      <x:c r="M495" s="34" t="str"/>
      <x:c r="N495" s="34" t="str"/>
      <x:c r="O495" s="34" t="str"/>
      <x:c r="P495" s="34" t="str"/>
      <x:c r="Q495" s="34" t="str"/>
      <x:c r="R495" s="34" t="str"/>
      <x:c r="S495" s="34" t="str"/>
      <x:c r="T495" s="34" t="str"/>
    </x:row>
    <x:row r="496">
      <x:c r="A496" s="34" t="str">
        <x:v>M5-EVAL-0491</x:v>
      </x:c>
      <x:c r="B496" s="34" t="str"/>
      <x:c r="C496" s="34" t="str"/>
      <x:c r="D496" s="34" t="str"/>
      <x:c r="E496" s="34" t="str"/>
      <x:c r="F496" s="34" t="str"/>
      <x:c r="G496" s="34" t="str"/>
      <x:c r="H496" s="34" t="str"/>
      <x:c r="I496" s="38" t="str">
        <x:f>IF(H496="","",IF(H496="完全吻合",1,IF(H496="基本吻合",0.75,IF(H496="部分吻合",0.5,IF(H496="明显不符",0,"")))))</x:f>
      </x:c>
      <x:c r="J496" s="34" t="str"/>
      <x:c r="K496" s="34" t="str"/>
      <x:c r="L496" s="34" t="str"/>
      <x:c r="M496" s="34" t="str"/>
      <x:c r="N496" s="34" t="str"/>
      <x:c r="O496" s="34" t="str"/>
      <x:c r="P496" s="34" t="str"/>
      <x:c r="Q496" s="34" t="str"/>
      <x:c r="R496" s="34" t="str"/>
      <x:c r="S496" s="34" t="str"/>
      <x:c r="T496" s="34" t="str"/>
    </x:row>
    <x:row r="497">
      <x:c r="A497" s="34" t="str">
        <x:v>M5-EVAL-0492</x:v>
      </x:c>
      <x:c r="B497" s="34" t="str"/>
      <x:c r="C497" s="34" t="str"/>
      <x:c r="D497" s="34" t="str"/>
      <x:c r="E497" s="34" t="str"/>
      <x:c r="F497" s="34" t="str"/>
      <x:c r="G497" s="34" t="str"/>
      <x:c r="H497" s="34" t="str"/>
      <x:c r="I497" s="38" t="str">
        <x:f>IF(H497="","",IF(H497="完全吻合",1,IF(H497="基本吻合",0.75,IF(H497="部分吻合",0.5,IF(H497="明显不符",0,"")))))</x:f>
      </x:c>
      <x:c r="J497" s="34" t="str"/>
      <x:c r="K497" s="34" t="str"/>
      <x:c r="L497" s="34" t="str"/>
      <x:c r="M497" s="34" t="str"/>
      <x:c r="N497" s="34" t="str"/>
      <x:c r="O497" s="34" t="str"/>
      <x:c r="P497" s="34" t="str"/>
      <x:c r="Q497" s="34" t="str"/>
      <x:c r="R497" s="34" t="str"/>
      <x:c r="S497" s="34" t="str"/>
      <x:c r="T497" s="34" t="str"/>
    </x:row>
    <x:row r="498">
      <x:c r="A498" s="34" t="str">
        <x:v>M5-EVAL-0493</x:v>
      </x:c>
      <x:c r="B498" s="34" t="str"/>
      <x:c r="C498" s="34" t="str"/>
      <x:c r="D498" s="34" t="str"/>
      <x:c r="E498" s="34" t="str"/>
      <x:c r="F498" s="34" t="str"/>
      <x:c r="G498" s="34" t="str"/>
      <x:c r="H498" s="34" t="str"/>
      <x:c r="I498" s="38" t="str">
        <x:f>IF(H498="","",IF(H498="完全吻合",1,IF(H498="基本吻合",0.75,IF(H498="部分吻合",0.5,IF(H498="明显不符",0,"")))))</x:f>
      </x:c>
      <x:c r="J498" s="34" t="str"/>
      <x:c r="K498" s="34" t="str"/>
      <x:c r="L498" s="34" t="str"/>
      <x:c r="M498" s="34" t="str"/>
      <x:c r="N498" s="34" t="str"/>
      <x:c r="O498" s="34" t="str"/>
      <x:c r="P498" s="34" t="str"/>
      <x:c r="Q498" s="34" t="str"/>
      <x:c r="R498" s="34" t="str"/>
      <x:c r="S498" s="34" t="str"/>
      <x:c r="T498" s="34" t="str"/>
    </x:row>
    <x:row r="499">
      <x:c r="A499" s="34" t="str">
        <x:v>M5-EVAL-0494</x:v>
      </x:c>
      <x:c r="B499" s="34" t="str"/>
      <x:c r="C499" s="34" t="str"/>
      <x:c r="D499" s="34" t="str"/>
      <x:c r="E499" s="34" t="str"/>
      <x:c r="F499" s="34" t="str"/>
      <x:c r="G499" s="34" t="str"/>
      <x:c r="H499" s="34" t="str"/>
      <x:c r="I499" s="38" t="str">
        <x:f>IF(H499="","",IF(H499="完全吻合",1,IF(H499="基本吻合",0.75,IF(H499="部分吻合",0.5,IF(H499="明显不符",0,"")))))</x:f>
      </x:c>
      <x:c r="J499" s="34" t="str"/>
      <x:c r="K499" s="34" t="str"/>
      <x:c r="L499" s="34" t="str"/>
      <x:c r="M499" s="34" t="str"/>
      <x:c r="N499" s="34" t="str"/>
      <x:c r="O499" s="34" t="str"/>
      <x:c r="P499" s="34" t="str"/>
      <x:c r="Q499" s="34" t="str"/>
      <x:c r="R499" s="34" t="str"/>
      <x:c r="S499" s="34" t="str"/>
      <x:c r="T499" s="34" t="str"/>
    </x:row>
    <x:row r="500">
      <x:c r="A500" s="34" t="str">
        <x:v>M5-EVAL-0495</x:v>
      </x:c>
      <x:c r="B500" s="34" t="str"/>
      <x:c r="C500" s="34" t="str"/>
      <x:c r="D500" s="34" t="str"/>
      <x:c r="E500" s="34" t="str"/>
      <x:c r="F500" s="34" t="str"/>
      <x:c r="G500" s="34" t="str"/>
      <x:c r="H500" s="34" t="str"/>
      <x:c r="I500" s="38" t="str">
        <x:f>IF(H500="","",IF(H500="完全吻合",1,IF(H500="基本吻合",0.75,IF(H500="部分吻合",0.5,IF(H500="明显不符",0,"")))))</x:f>
      </x:c>
      <x:c r="J500" s="34" t="str"/>
      <x:c r="K500" s="34" t="str"/>
      <x:c r="L500" s="34" t="str"/>
      <x:c r="M500" s="34" t="str"/>
      <x:c r="N500" s="34" t="str"/>
      <x:c r="O500" s="34" t="str"/>
      <x:c r="P500" s="34" t="str"/>
      <x:c r="Q500" s="34" t="str"/>
      <x:c r="R500" s="34" t="str"/>
      <x:c r="S500" s="34" t="str"/>
      <x:c r="T500" s="34" t="str"/>
    </x:row>
    <x:row r="501">
      <x:c r="A501" s="34" t="str">
        <x:v>M5-EVAL-0496</x:v>
      </x:c>
      <x:c r="B501" s="34" t="str"/>
      <x:c r="C501" s="34" t="str"/>
      <x:c r="D501" s="34" t="str"/>
      <x:c r="E501" s="34" t="str"/>
      <x:c r="F501" s="34" t="str"/>
      <x:c r="G501" s="34" t="str"/>
      <x:c r="H501" s="34" t="str"/>
      <x:c r="I501" s="38" t="str">
        <x:f>IF(H501="","",IF(H501="完全吻合",1,IF(H501="基本吻合",0.75,IF(H501="部分吻合",0.5,IF(H501="明显不符",0,"")))))</x:f>
      </x:c>
      <x:c r="J501" s="34" t="str"/>
      <x:c r="K501" s="34" t="str"/>
      <x:c r="L501" s="34" t="str"/>
      <x:c r="M501" s="34" t="str"/>
      <x:c r="N501" s="34" t="str"/>
      <x:c r="O501" s="34" t="str"/>
      <x:c r="P501" s="34" t="str"/>
      <x:c r="Q501" s="34" t="str"/>
      <x:c r="R501" s="34" t="str"/>
      <x:c r="S501" s="34" t="str"/>
      <x:c r="T501" s="34" t="str"/>
    </x:row>
    <x:row r="502">
      <x:c r="A502" s="34" t="str">
        <x:v>M5-EVAL-0497</x:v>
      </x:c>
      <x:c r="B502" s="34" t="str"/>
      <x:c r="C502" s="34" t="str"/>
      <x:c r="D502" s="34" t="str"/>
      <x:c r="E502" s="34" t="str"/>
      <x:c r="F502" s="34" t="str"/>
      <x:c r="G502" s="34" t="str"/>
      <x:c r="H502" s="34" t="str"/>
      <x:c r="I502" s="38" t="str">
        <x:f>IF(H502="","",IF(H502="完全吻合",1,IF(H502="基本吻合",0.75,IF(H502="部分吻合",0.5,IF(H502="明显不符",0,"")))))</x:f>
      </x:c>
      <x:c r="J502" s="34" t="str"/>
      <x:c r="K502" s="34" t="str"/>
      <x:c r="L502" s="34" t="str"/>
      <x:c r="M502" s="34" t="str"/>
      <x:c r="N502" s="34" t="str"/>
      <x:c r="O502" s="34" t="str"/>
      <x:c r="P502" s="34" t="str"/>
      <x:c r="Q502" s="34" t="str"/>
      <x:c r="R502" s="34" t="str"/>
      <x:c r="S502" s="34" t="str"/>
      <x:c r="T502" s="34" t="str"/>
    </x:row>
    <x:row r="503">
      <x:c r="A503" s="34" t="str">
        <x:v>M5-EVAL-0498</x:v>
      </x:c>
      <x:c r="B503" s="34" t="str"/>
      <x:c r="C503" s="34" t="str"/>
      <x:c r="D503" s="34" t="str"/>
      <x:c r="E503" s="34" t="str"/>
      <x:c r="F503" s="34" t="str"/>
      <x:c r="G503" s="34" t="str"/>
      <x:c r="H503" s="34" t="str"/>
      <x:c r="I503" s="38" t="str">
        <x:f>IF(H503="","",IF(H503="完全吻合",1,IF(H503="基本吻合",0.75,IF(H503="部分吻合",0.5,IF(H503="明显不符",0,"")))))</x:f>
      </x:c>
      <x:c r="J503" s="34" t="str"/>
      <x:c r="K503" s="34" t="str"/>
      <x:c r="L503" s="34" t="str"/>
      <x:c r="M503" s="34" t="str"/>
      <x:c r="N503" s="34" t="str"/>
      <x:c r="O503" s="34" t="str"/>
      <x:c r="P503" s="34" t="str"/>
      <x:c r="Q503" s="34" t="str"/>
      <x:c r="R503" s="34" t="str"/>
      <x:c r="S503" s="34" t="str"/>
      <x:c r="T503" s="34" t="str"/>
    </x:row>
    <x:row r="504">
      <x:c r="A504" s="34" t="str">
        <x:v>M5-EVAL-0499</x:v>
      </x:c>
      <x:c r="B504" s="34" t="str"/>
      <x:c r="C504" s="34" t="str"/>
      <x:c r="D504" s="34" t="str"/>
      <x:c r="E504" s="34" t="str"/>
      <x:c r="F504" s="34" t="str"/>
      <x:c r="G504" s="34" t="str"/>
      <x:c r="H504" s="34" t="str"/>
      <x:c r="I504" s="38" t="str">
        <x:f>IF(H504="","",IF(H504="完全吻合",1,IF(H504="基本吻合",0.75,IF(H504="部分吻合",0.5,IF(H504="明显不符",0,"")))))</x:f>
      </x:c>
      <x:c r="J504" s="34" t="str"/>
      <x:c r="K504" s="34" t="str"/>
      <x:c r="L504" s="34" t="str"/>
      <x:c r="M504" s="34" t="str"/>
      <x:c r="N504" s="34" t="str"/>
      <x:c r="O504" s="34" t="str"/>
      <x:c r="P504" s="34" t="str"/>
      <x:c r="Q504" s="34" t="str"/>
      <x:c r="R504" s="34" t="str"/>
      <x:c r="S504" s="34" t="str"/>
      <x:c r="T504" s="34" t="str"/>
    </x:row>
    <x:row r="505">
      <x:c r="A505" s="34" t="str">
        <x:v>M5-EVAL-0500</x:v>
      </x:c>
      <x:c r="B505" s="34" t="str"/>
      <x:c r="C505" s="34" t="str"/>
      <x:c r="D505" s="34" t="str"/>
      <x:c r="E505" s="34" t="str"/>
      <x:c r="F505" s="34" t="str"/>
      <x:c r="G505" s="34" t="str"/>
      <x:c r="H505" s="34" t="str"/>
      <x:c r="I505" s="38" t="str">
        <x:f>IF(H505="","",IF(H505="完全吻合",1,IF(H505="基本吻合",0.75,IF(H505="部分吻合",0.5,IF(H505="明显不符",0,"")))))</x:f>
      </x:c>
      <x:c r="J505" s="34" t="str"/>
      <x:c r="K505" s="34" t="str"/>
      <x:c r="L505" s="34" t="str"/>
      <x:c r="M505" s="34" t="str"/>
      <x:c r="N505" s="34" t="str"/>
      <x:c r="O505" s="34" t="str"/>
      <x:c r="P505" s="34" t="str"/>
      <x:c r="Q505" s="34" t="str"/>
      <x:c r="R505" s="34" t="str"/>
      <x:c r="S505" s="34" t="str"/>
      <x:c r="T505" s="34" t="str"/>
    </x:row>
    <x:row r="506">
      <x:c r="A506" s="34" t="str">
        <x:v>M5-EVAL-0501</x:v>
      </x:c>
      <x:c r="B506" s="34" t="str"/>
      <x:c r="C506" s="34" t="str"/>
      <x:c r="D506" s="34" t="str"/>
      <x:c r="E506" s="34" t="str"/>
      <x:c r="F506" s="34" t="str"/>
      <x:c r="G506" s="34" t="str"/>
      <x:c r="H506" s="34" t="str"/>
      <x:c r="I506" s="38" t="str">
        <x:f>IF(H506="","",IF(H506="完全吻合",1,IF(H506="基本吻合",0.75,IF(H506="部分吻合",0.5,IF(H506="明显不符",0,"")))))</x:f>
      </x:c>
      <x:c r="J506" s="34" t="str"/>
      <x:c r="K506" s="34" t="str"/>
      <x:c r="L506" s="34" t="str"/>
      <x:c r="M506" s="34" t="str"/>
      <x:c r="N506" s="34" t="str"/>
      <x:c r="O506" s="34" t="str"/>
      <x:c r="P506" s="34" t="str"/>
      <x:c r="Q506" s="34" t="str"/>
      <x:c r="R506" s="34" t="str"/>
      <x:c r="S506" s="34" t="str"/>
      <x:c r="T506" s="34" t="str"/>
    </x:row>
    <x:row r="507">
      <x:c r="A507" s="34" t="str">
        <x:v>M5-EVAL-0502</x:v>
      </x:c>
      <x:c r="B507" s="34" t="str"/>
      <x:c r="C507" s="34" t="str"/>
      <x:c r="D507" s="34" t="str"/>
      <x:c r="E507" s="34" t="str"/>
      <x:c r="F507" s="34" t="str"/>
      <x:c r="G507" s="34" t="str"/>
      <x:c r="H507" s="34" t="str"/>
      <x:c r="I507" s="38" t="str">
        <x:f>IF(H507="","",IF(H507="完全吻合",1,IF(H507="基本吻合",0.75,IF(H507="部分吻合",0.5,IF(H507="明显不符",0,"")))))</x:f>
      </x:c>
      <x:c r="J507" s="34" t="str"/>
      <x:c r="K507" s="34" t="str"/>
      <x:c r="L507" s="34" t="str"/>
      <x:c r="M507" s="34" t="str"/>
      <x:c r="N507" s="34" t="str"/>
      <x:c r="O507" s="34" t="str"/>
      <x:c r="P507" s="34" t="str"/>
      <x:c r="Q507" s="34" t="str"/>
      <x:c r="R507" s="34" t="str"/>
      <x:c r="S507" s="34" t="str"/>
      <x:c r="T507" s="34" t="str"/>
    </x:row>
    <x:row r="508">
      <x:c r="A508" s="34" t="str">
        <x:v>M5-EVAL-0503</x:v>
      </x:c>
      <x:c r="B508" s="34" t="str"/>
      <x:c r="C508" s="34" t="str"/>
      <x:c r="D508" s="34" t="str"/>
      <x:c r="E508" s="34" t="str"/>
      <x:c r="F508" s="34" t="str"/>
      <x:c r="G508" s="34" t="str"/>
      <x:c r="H508" s="34" t="str"/>
      <x:c r="I508" s="38" t="str">
        <x:f>IF(H508="","",IF(H508="完全吻合",1,IF(H508="基本吻合",0.75,IF(H508="部分吻合",0.5,IF(H508="明显不符",0,"")))))</x:f>
      </x:c>
      <x:c r="J508" s="34" t="str"/>
      <x:c r="K508" s="34" t="str"/>
      <x:c r="L508" s="34" t="str"/>
      <x:c r="M508" s="34" t="str"/>
      <x:c r="N508" s="34" t="str"/>
      <x:c r="O508" s="34" t="str"/>
      <x:c r="P508" s="34" t="str"/>
      <x:c r="Q508" s="34" t="str"/>
      <x:c r="R508" s="34" t="str"/>
      <x:c r="S508" s="34" t="str"/>
      <x:c r="T508" s="34" t="str"/>
    </x:row>
    <x:row r="509">
      <x:c r="A509" s="34" t="str">
        <x:v>M5-EVAL-0504</x:v>
      </x:c>
      <x:c r="B509" s="34" t="str"/>
      <x:c r="C509" s="34" t="str"/>
      <x:c r="D509" s="34" t="str"/>
      <x:c r="E509" s="34" t="str"/>
      <x:c r="F509" s="34" t="str"/>
      <x:c r="G509" s="34" t="str"/>
      <x:c r="H509" s="34" t="str"/>
      <x:c r="I509" s="38" t="str">
        <x:f>IF(H509="","",IF(H509="完全吻合",1,IF(H509="基本吻合",0.75,IF(H509="部分吻合",0.5,IF(H509="明显不符",0,"")))))</x:f>
      </x:c>
      <x:c r="J509" s="34" t="str"/>
      <x:c r="K509" s="34" t="str"/>
      <x:c r="L509" s="34" t="str"/>
      <x:c r="M509" s="34" t="str"/>
      <x:c r="N509" s="34" t="str"/>
      <x:c r="O509" s="34" t="str"/>
      <x:c r="P509" s="34" t="str"/>
      <x:c r="Q509" s="34" t="str"/>
      <x:c r="R509" s="34" t="str"/>
      <x:c r="S509" s="34" t="str"/>
      <x:c r="T509" s="34" t="str"/>
    </x:row>
    <x:row r="510">
      <x:c r="A510" s="34" t="str">
        <x:v>M5-EVAL-0505</x:v>
      </x:c>
      <x:c r="B510" s="34" t="str"/>
      <x:c r="C510" s="34" t="str"/>
      <x:c r="D510" s="34" t="str"/>
      <x:c r="E510" s="34" t="str"/>
      <x:c r="F510" s="34" t="str"/>
      <x:c r="G510" s="34" t="str"/>
      <x:c r="H510" s="34" t="str"/>
      <x:c r="I510" s="38" t="str">
        <x:f>IF(H510="","",IF(H510="完全吻合",1,IF(H510="基本吻合",0.75,IF(H510="部分吻合",0.5,IF(H510="明显不符",0,"")))))</x:f>
      </x:c>
      <x:c r="J510" s="34" t="str"/>
      <x:c r="K510" s="34" t="str"/>
      <x:c r="L510" s="34" t="str"/>
      <x:c r="M510" s="34" t="str"/>
      <x:c r="N510" s="34" t="str"/>
      <x:c r="O510" s="34" t="str"/>
      <x:c r="P510" s="34" t="str"/>
      <x:c r="Q510" s="34" t="str"/>
      <x:c r="R510" s="34" t="str"/>
      <x:c r="S510" s="34" t="str"/>
      <x:c r="T510" s="34" t="str"/>
    </x:row>
    <x:row r="511">
      <x:c r="A511" s="34" t="str">
        <x:v>M5-EVAL-0506</x:v>
      </x:c>
      <x:c r="B511" s="34" t="str"/>
      <x:c r="C511" s="34" t="str"/>
      <x:c r="D511" s="34" t="str"/>
      <x:c r="E511" s="34" t="str"/>
      <x:c r="F511" s="34" t="str"/>
      <x:c r="G511" s="34" t="str"/>
      <x:c r="H511" s="34" t="str"/>
      <x:c r="I511" s="38" t="str">
        <x:f>IF(H511="","",IF(H511="完全吻合",1,IF(H511="基本吻合",0.75,IF(H511="部分吻合",0.5,IF(H511="明显不符",0,"")))))</x:f>
      </x:c>
      <x:c r="J511" s="34" t="str"/>
      <x:c r="K511" s="34" t="str"/>
      <x:c r="L511" s="34" t="str"/>
      <x:c r="M511" s="34" t="str"/>
      <x:c r="N511" s="34" t="str"/>
      <x:c r="O511" s="34" t="str"/>
      <x:c r="P511" s="34" t="str"/>
      <x:c r="Q511" s="34" t="str"/>
      <x:c r="R511" s="34" t="str"/>
      <x:c r="S511" s="34" t="str"/>
      <x:c r="T511" s="34" t="str"/>
    </x:row>
    <x:row r="512">
      <x:c r="A512" s="34" t="str">
        <x:v>M5-EVAL-0507</x:v>
      </x:c>
      <x:c r="B512" s="34" t="str"/>
      <x:c r="C512" s="34" t="str"/>
      <x:c r="D512" s="34" t="str"/>
      <x:c r="E512" s="34" t="str"/>
      <x:c r="F512" s="34" t="str"/>
      <x:c r="G512" s="34" t="str"/>
      <x:c r="H512" s="34" t="str"/>
      <x:c r="I512" s="38" t="str">
        <x:f>IF(H512="","",IF(H512="完全吻合",1,IF(H512="基本吻合",0.75,IF(H512="部分吻合",0.5,IF(H512="明显不符",0,"")))))</x:f>
      </x:c>
      <x:c r="J512" s="34" t="str"/>
      <x:c r="K512" s="34" t="str"/>
      <x:c r="L512" s="34" t="str"/>
      <x:c r="M512" s="34" t="str"/>
      <x:c r="N512" s="34" t="str"/>
      <x:c r="O512" s="34" t="str"/>
      <x:c r="P512" s="34" t="str"/>
      <x:c r="Q512" s="34" t="str"/>
      <x:c r="R512" s="34" t="str"/>
      <x:c r="S512" s="34" t="str"/>
      <x:c r="T512" s="34" t="str"/>
    </x:row>
    <x:row r="513">
      <x:c r="A513" s="34" t="str">
        <x:v>M5-EVAL-0508</x:v>
      </x:c>
      <x:c r="B513" s="34" t="str"/>
      <x:c r="C513" s="34" t="str"/>
      <x:c r="D513" s="34" t="str"/>
      <x:c r="E513" s="34" t="str"/>
      <x:c r="F513" s="34" t="str"/>
      <x:c r="G513" s="34" t="str"/>
      <x:c r="H513" s="34" t="str"/>
      <x:c r="I513" s="38" t="str">
        <x:f>IF(H513="","",IF(H513="完全吻合",1,IF(H513="基本吻合",0.75,IF(H513="部分吻合",0.5,IF(H513="明显不符",0,"")))))</x:f>
      </x:c>
      <x:c r="J513" s="34" t="str"/>
      <x:c r="K513" s="34" t="str"/>
      <x:c r="L513" s="34" t="str"/>
      <x:c r="M513" s="34" t="str"/>
      <x:c r="N513" s="34" t="str"/>
      <x:c r="O513" s="34" t="str"/>
      <x:c r="P513" s="34" t="str"/>
      <x:c r="Q513" s="34" t="str"/>
      <x:c r="R513" s="34" t="str"/>
      <x:c r="S513" s="34" t="str"/>
      <x:c r="T513" s="34" t="str"/>
    </x:row>
    <x:row r="514">
      <x:c r="A514" s="34" t="str">
        <x:v>M5-EVAL-0509</x:v>
      </x:c>
      <x:c r="B514" s="34" t="str"/>
      <x:c r="C514" s="34" t="str"/>
      <x:c r="D514" s="34" t="str"/>
      <x:c r="E514" s="34" t="str"/>
      <x:c r="F514" s="34" t="str"/>
      <x:c r="G514" s="34" t="str"/>
      <x:c r="H514" s="34" t="str"/>
      <x:c r="I514" s="38" t="str">
        <x:f>IF(H514="","",IF(H514="完全吻合",1,IF(H514="基本吻合",0.75,IF(H514="部分吻合",0.5,IF(H514="明显不符",0,"")))))</x:f>
      </x:c>
      <x:c r="J514" s="34" t="str"/>
      <x:c r="K514" s="34" t="str"/>
      <x:c r="L514" s="34" t="str"/>
      <x:c r="M514" s="34" t="str"/>
      <x:c r="N514" s="34" t="str"/>
      <x:c r="O514" s="34" t="str"/>
      <x:c r="P514" s="34" t="str"/>
      <x:c r="Q514" s="34" t="str"/>
      <x:c r="R514" s="34" t="str"/>
      <x:c r="S514" s="34" t="str"/>
      <x:c r="T514" s="34" t="str"/>
    </x:row>
    <x:row r="515">
      <x:c r="A515" s="34" t="str">
        <x:v>M5-EVAL-0510</x:v>
      </x:c>
      <x:c r="B515" s="34" t="str"/>
      <x:c r="C515" s="34" t="str"/>
      <x:c r="D515" s="34" t="str"/>
      <x:c r="E515" s="34" t="str"/>
      <x:c r="F515" s="34" t="str"/>
      <x:c r="G515" s="34" t="str"/>
      <x:c r="H515" s="34" t="str"/>
      <x:c r="I515" s="38" t="str">
        <x:f>IF(H515="","",IF(H515="完全吻合",1,IF(H515="基本吻合",0.75,IF(H515="部分吻合",0.5,IF(H515="明显不符",0,"")))))</x:f>
      </x:c>
      <x:c r="J515" s="34" t="str"/>
      <x:c r="K515" s="34" t="str"/>
      <x:c r="L515" s="34" t="str"/>
      <x:c r="M515" s="34" t="str"/>
      <x:c r="N515" s="34" t="str"/>
      <x:c r="O515" s="34" t="str"/>
      <x:c r="P515" s="34" t="str"/>
      <x:c r="Q515" s="34" t="str"/>
      <x:c r="R515" s="34" t="str"/>
      <x:c r="S515" s="34" t="str"/>
      <x:c r="T515" s="34" t="str"/>
    </x:row>
    <x:row r="516">
      <x:c r="A516" s="34" t="str">
        <x:v>M5-EVAL-0511</x:v>
      </x:c>
      <x:c r="B516" s="34" t="str"/>
      <x:c r="C516" s="34" t="str"/>
      <x:c r="D516" s="34" t="str"/>
      <x:c r="E516" s="34" t="str"/>
      <x:c r="F516" s="34" t="str"/>
      <x:c r="G516" s="34" t="str"/>
      <x:c r="H516" s="34" t="str"/>
      <x:c r="I516" s="38" t="str">
        <x:f>IF(H516="","",IF(H516="完全吻合",1,IF(H516="基本吻合",0.75,IF(H516="部分吻合",0.5,IF(H516="明显不符",0,"")))))</x:f>
      </x:c>
      <x:c r="J516" s="34" t="str"/>
      <x:c r="K516" s="34" t="str"/>
      <x:c r="L516" s="34" t="str"/>
      <x:c r="M516" s="34" t="str"/>
      <x:c r="N516" s="34" t="str"/>
      <x:c r="O516" s="34" t="str"/>
      <x:c r="P516" s="34" t="str"/>
      <x:c r="Q516" s="34" t="str"/>
      <x:c r="R516" s="34" t="str"/>
      <x:c r="S516" s="34" t="str"/>
      <x:c r="T516" s="34" t="str"/>
    </x:row>
    <x:row r="517">
      <x:c r="A517" s="34" t="str">
        <x:v>M5-EVAL-0512</x:v>
      </x:c>
      <x:c r="B517" s="34" t="str"/>
      <x:c r="C517" s="34" t="str"/>
      <x:c r="D517" s="34" t="str"/>
      <x:c r="E517" s="34" t="str"/>
      <x:c r="F517" s="34" t="str"/>
      <x:c r="G517" s="34" t="str"/>
      <x:c r="H517" s="34" t="str"/>
      <x:c r="I517" s="38" t="str">
        <x:f>IF(H517="","",IF(H517="完全吻合",1,IF(H517="基本吻合",0.75,IF(H517="部分吻合",0.5,IF(H517="明显不符",0,"")))))</x:f>
      </x:c>
      <x:c r="J517" s="34" t="str"/>
      <x:c r="K517" s="34" t="str"/>
      <x:c r="L517" s="34" t="str"/>
      <x:c r="M517" s="34" t="str"/>
      <x:c r="N517" s="34" t="str"/>
      <x:c r="O517" s="34" t="str"/>
      <x:c r="P517" s="34" t="str"/>
      <x:c r="Q517" s="34" t="str"/>
      <x:c r="R517" s="34" t="str"/>
      <x:c r="S517" s="34" t="str"/>
      <x:c r="T517" s="34" t="str"/>
    </x:row>
    <x:row r="518">
      <x:c r="A518" s="34" t="str">
        <x:v>M5-EVAL-0513</x:v>
      </x:c>
      <x:c r="B518" s="34" t="str"/>
      <x:c r="C518" s="34" t="str"/>
      <x:c r="D518" s="34" t="str"/>
      <x:c r="E518" s="34" t="str"/>
      <x:c r="F518" s="34" t="str"/>
      <x:c r="G518" s="34" t="str"/>
      <x:c r="H518" s="34" t="str"/>
      <x:c r="I518" s="38" t="str">
        <x:f>IF(H518="","",IF(H518="完全吻合",1,IF(H518="基本吻合",0.75,IF(H518="部分吻合",0.5,IF(H518="明显不符",0,"")))))</x:f>
      </x:c>
      <x:c r="J518" s="34" t="str"/>
      <x:c r="K518" s="34" t="str"/>
      <x:c r="L518" s="34" t="str"/>
      <x:c r="M518" s="34" t="str"/>
      <x:c r="N518" s="34" t="str"/>
      <x:c r="O518" s="34" t="str"/>
      <x:c r="P518" s="34" t="str"/>
      <x:c r="Q518" s="34" t="str"/>
      <x:c r="R518" s="34" t="str"/>
      <x:c r="S518" s="34" t="str"/>
      <x:c r="T518" s="34" t="str"/>
    </x:row>
    <x:row r="519">
      <x:c r="A519" s="34" t="str">
        <x:v>M5-EVAL-0514</x:v>
      </x:c>
      <x:c r="B519" s="34" t="str"/>
      <x:c r="C519" s="34" t="str"/>
      <x:c r="D519" s="34" t="str"/>
      <x:c r="E519" s="34" t="str"/>
      <x:c r="F519" s="34" t="str"/>
      <x:c r="G519" s="34" t="str"/>
      <x:c r="H519" s="34" t="str"/>
      <x:c r="I519" s="38" t="str">
        <x:f>IF(H519="","",IF(H519="完全吻合",1,IF(H519="基本吻合",0.75,IF(H519="部分吻合",0.5,IF(H519="明显不符",0,"")))))</x:f>
      </x:c>
      <x:c r="J519" s="34" t="str"/>
      <x:c r="K519" s="34" t="str"/>
      <x:c r="L519" s="34" t="str"/>
      <x:c r="M519" s="34" t="str"/>
      <x:c r="N519" s="34" t="str"/>
      <x:c r="O519" s="34" t="str"/>
      <x:c r="P519" s="34" t="str"/>
      <x:c r="Q519" s="34" t="str"/>
      <x:c r="R519" s="34" t="str"/>
      <x:c r="S519" s="34" t="str"/>
      <x:c r="T519" s="34" t="str"/>
    </x:row>
    <x:row r="520">
      <x:c r="A520" s="34" t="str">
        <x:v>M5-EVAL-0515</x:v>
      </x:c>
      <x:c r="B520" s="34" t="str"/>
      <x:c r="C520" s="34" t="str"/>
      <x:c r="D520" s="34" t="str"/>
      <x:c r="E520" s="34" t="str"/>
      <x:c r="F520" s="34" t="str"/>
      <x:c r="G520" s="34" t="str"/>
      <x:c r="H520" s="34" t="str"/>
      <x:c r="I520" s="38" t="str">
        <x:f>IF(H520="","",IF(H520="完全吻合",1,IF(H520="基本吻合",0.75,IF(H520="部分吻合",0.5,IF(H520="明显不符",0,"")))))</x:f>
      </x:c>
      <x:c r="J520" s="34" t="str"/>
      <x:c r="K520" s="34" t="str"/>
      <x:c r="L520" s="34" t="str"/>
      <x:c r="M520" s="34" t="str"/>
      <x:c r="N520" s="34" t="str"/>
      <x:c r="O520" s="34" t="str"/>
      <x:c r="P520" s="34" t="str"/>
      <x:c r="Q520" s="34" t="str"/>
      <x:c r="R520" s="34" t="str"/>
      <x:c r="S520" s="34" t="str"/>
      <x:c r="T520" s="34" t="str"/>
    </x:row>
    <x:row r="521">
      <x:c r="A521" s="34" t="str">
        <x:v>M5-EVAL-0516</x:v>
      </x:c>
      <x:c r="B521" s="34" t="str"/>
      <x:c r="C521" s="34" t="str"/>
      <x:c r="D521" s="34" t="str"/>
      <x:c r="E521" s="34" t="str"/>
      <x:c r="F521" s="34" t="str"/>
      <x:c r="G521" s="34" t="str"/>
      <x:c r="H521" s="34" t="str"/>
      <x:c r="I521" s="38" t="str">
        <x:f>IF(H521="","",IF(H521="完全吻合",1,IF(H521="基本吻合",0.75,IF(H521="部分吻合",0.5,IF(H521="明显不符",0,"")))))</x:f>
      </x:c>
      <x:c r="J521" s="34" t="str"/>
      <x:c r="K521" s="34" t="str"/>
      <x:c r="L521" s="34" t="str"/>
      <x:c r="M521" s="34" t="str"/>
      <x:c r="N521" s="34" t="str"/>
      <x:c r="O521" s="34" t="str"/>
      <x:c r="P521" s="34" t="str"/>
      <x:c r="Q521" s="34" t="str"/>
      <x:c r="R521" s="34" t="str"/>
      <x:c r="S521" s="34" t="str"/>
      <x:c r="T521" s="34" t="str"/>
    </x:row>
    <x:row r="522">
      <x:c r="A522" s="34" t="str">
        <x:v>M5-EVAL-0517</x:v>
      </x:c>
      <x:c r="B522" s="34" t="str"/>
      <x:c r="C522" s="34" t="str"/>
      <x:c r="D522" s="34" t="str"/>
      <x:c r="E522" s="34" t="str"/>
      <x:c r="F522" s="34" t="str"/>
      <x:c r="G522" s="34" t="str"/>
      <x:c r="H522" s="34" t="str"/>
      <x:c r="I522" s="38" t="str">
        <x:f>IF(H522="","",IF(H522="完全吻合",1,IF(H522="基本吻合",0.75,IF(H522="部分吻合",0.5,IF(H522="明显不符",0,"")))))</x:f>
      </x:c>
      <x:c r="J522" s="34" t="str"/>
      <x:c r="K522" s="34" t="str"/>
      <x:c r="L522" s="34" t="str"/>
      <x:c r="M522" s="34" t="str"/>
      <x:c r="N522" s="34" t="str"/>
      <x:c r="O522" s="34" t="str"/>
      <x:c r="P522" s="34" t="str"/>
      <x:c r="Q522" s="34" t="str"/>
      <x:c r="R522" s="34" t="str"/>
      <x:c r="S522" s="34" t="str"/>
      <x:c r="T522" s="34" t="str"/>
    </x:row>
    <x:row r="523">
      <x:c r="A523" s="34" t="str">
        <x:v>M5-EVAL-0518</x:v>
      </x:c>
      <x:c r="B523" s="34" t="str"/>
      <x:c r="C523" s="34" t="str"/>
      <x:c r="D523" s="34" t="str"/>
      <x:c r="E523" s="34" t="str"/>
      <x:c r="F523" s="34" t="str"/>
      <x:c r="G523" s="34" t="str"/>
      <x:c r="H523" s="34" t="str"/>
      <x:c r="I523" s="38" t="str">
        <x:f>IF(H523="","",IF(H523="完全吻合",1,IF(H523="基本吻合",0.75,IF(H523="部分吻合",0.5,IF(H523="明显不符",0,"")))))</x:f>
      </x:c>
      <x:c r="J523" s="34" t="str"/>
      <x:c r="K523" s="34" t="str"/>
      <x:c r="L523" s="34" t="str"/>
      <x:c r="M523" s="34" t="str"/>
      <x:c r="N523" s="34" t="str"/>
      <x:c r="O523" s="34" t="str"/>
      <x:c r="P523" s="34" t="str"/>
      <x:c r="Q523" s="34" t="str"/>
      <x:c r="R523" s="34" t="str"/>
      <x:c r="S523" s="34" t="str"/>
      <x:c r="T523" s="34" t="str"/>
    </x:row>
    <x:row r="524">
      <x:c r="A524" s="34" t="str">
        <x:v>M5-EVAL-0519</x:v>
      </x:c>
      <x:c r="B524" s="34" t="str"/>
      <x:c r="C524" s="34" t="str"/>
      <x:c r="D524" s="34" t="str"/>
      <x:c r="E524" s="34" t="str"/>
      <x:c r="F524" s="34" t="str"/>
      <x:c r="G524" s="34" t="str"/>
      <x:c r="H524" s="34" t="str"/>
      <x:c r="I524" s="38" t="str">
        <x:f>IF(H524="","",IF(H524="完全吻合",1,IF(H524="基本吻合",0.75,IF(H524="部分吻合",0.5,IF(H524="明显不符",0,"")))))</x:f>
      </x:c>
      <x:c r="J524" s="34" t="str"/>
      <x:c r="K524" s="34" t="str"/>
      <x:c r="L524" s="34" t="str"/>
      <x:c r="M524" s="34" t="str"/>
      <x:c r="N524" s="34" t="str"/>
      <x:c r="O524" s="34" t="str"/>
      <x:c r="P524" s="34" t="str"/>
      <x:c r="Q524" s="34" t="str"/>
      <x:c r="R524" s="34" t="str"/>
      <x:c r="S524" s="34" t="str"/>
      <x:c r="T524" s="34" t="str"/>
    </x:row>
    <x:row r="525">
      <x:c r="A525" s="34" t="str">
        <x:v>M5-EVAL-0520</x:v>
      </x:c>
      <x:c r="B525" s="34" t="str"/>
      <x:c r="C525" s="34" t="str"/>
      <x:c r="D525" s="34" t="str"/>
      <x:c r="E525" s="34" t="str"/>
      <x:c r="F525" s="34" t="str"/>
      <x:c r="G525" s="34" t="str"/>
      <x:c r="H525" s="34" t="str"/>
      <x:c r="I525" s="38" t="str">
        <x:f>IF(H525="","",IF(H525="完全吻合",1,IF(H525="基本吻合",0.75,IF(H525="部分吻合",0.5,IF(H525="明显不符",0,"")))))</x:f>
      </x:c>
      <x:c r="J525" s="34" t="str"/>
      <x:c r="K525" s="34" t="str"/>
      <x:c r="L525" s="34" t="str"/>
      <x:c r="M525" s="34" t="str"/>
      <x:c r="N525" s="34" t="str"/>
      <x:c r="O525" s="34" t="str"/>
      <x:c r="P525" s="34" t="str"/>
      <x:c r="Q525" s="34" t="str"/>
      <x:c r="R525" s="34" t="str"/>
      <x:c r="S525" s="34" t="str"/>
      <x:c r="T525" s="34" t="str"/>
    </x:row>
    <x:row r="526">
      <x:c r="A526" s="34" t="str">
        <x:v>M5-EVAL-0521</x:v>
      </x:c>
      <x:c r="B526" s="34" t="str"/>
      <x:c r="C526" s="34" t="str"/>
      <x:c r="D526" s="34" t="str"/>
      <x:c r="E526" s="34" t="str"/>
      <x:c r="F526" s="34" t="str"/>
      <x:c r="G526" s="34" t="str"/>
      <x:c r="H526" s="34" t="str"/>
      <x:c r="I526" s="38" t="str">
        <x:f>IF(H526="","",IF(H526="完全吻合",1,IF(H526="基本吻合",0.75,IF(H526="部分吻合",0.5,IF(H526="明显不符",0,"")))))</x:f>
      </x:c>
      <x:c r="J526" s="34" t="str"/>
      <x:c r="K526" s="34" t="str"/>
      <x:c r="L526" s="34" t="str"/>
      <x:c r="M526" s="34" t="str"/>
      <x:c r="N526" s="34" t="str"/>
      <x:c r="O526" s="34" t="str"/>
      <x:c r="P526" s="34" t="str"/>
      <x:c r="Q526" s="34" t="str"/>
      <x:c r="R526" s="34" t="str"/>
      <x:c r="S526" s="34" t="str"/>
      <x:c r="T526" s="34" t="str"/>
    </x:row>
    <x:row r="527">
      <x:c r="A527" s="34" t="str">
        <x:v>M5-EVAL-0522</x:v>
      </x:c>
      <x:c r="B527" s="34" t="str"/>
      <x:c r="C527" s="34" t="str"/>
      <x:c r="D527" s="34" t="str"/>
      <x:c r="E527" s="34" t="str"/>
      <x:c r="F527" s="34" t="str"/>
      <x:c r="G527" s="34" t="str"/>
      <x:c r="H527" s="34" t="str"/>
      <x:c r="I527" s="38" t="str">
        <x:f>IF(H527="","",IF(H527="完全吻合",1,IF(H527="基本吻合",0.75,IF(H527="部分吻合",0.5,IF(H527="明显不符",0,"")))))</x:f>
      </x:c>
      <x:c r="J527" s="34" t="str"/>
      <x:c r="K527" s="34" t="str"/>
      <x:c r="L527" s="34" t="str"/>
      <x:c r="M527" s="34" t="str"/>
      <x:c r="N527" s="34" t="str"/>
      <x:c r="O527" s="34" t="str"/>
      <x:c r="P527" s="34" t="str"/>
      <x:c r="Q527" s="34" t="str"/>
      <x:c r="R527" s="34" t="str"/>
      <x:c r="S527" s="34" t="str"/>
      <x:c r="T527" s="34" t="str"/>
    </x:row>
    <x:row r="528">
      <x:c r="A528" s="34" t="str">
        <x:v>M5-EVAL-0523</x:v>
      </x:c>
      <x:c r="B528" s="34" t="str"/>
      <x:c r="C528" s="34" t="str"/>
      <x:c r="D528" s="34" t="str"/>
      <x:c r="E528" s="34" t="str"/>
      <x:c r="F528" s="34" t="str"/>
      <x:c r="G528" s="34" t="str"/>
      <x:c r="H528" s="34" t="str"/>
      <x:c r="I528" s="38" t="str">
        <x:f>IF(H528="","",IF(H528="完全吻合",1,IF(H528="基本吻合",0.75,IF(H528="部分吻合",0.5,IF(H528="明显不符",0,"")))))</x:f>
      </x:c>
      <x:c r="J528" s="34" t="str"/>
      <x:c r="K528" s="34" t="str"/>
      <x:c r="L528" s="34" t="str"/>
      <x:c r="M528" s="34" t="str"/>
      <x:c r="N528" s="34" t="str"/>
      <x:c r="O528" s="34" t="str"/>
      <x:c r="P528" s="34" t="str"/>
      <x:c r="Q528" s="34" t="str"/>
      <x:c r="R528" s="34" t="str"/>
      <x:c r="S528" s="34" t="str"/>
      <x:c r="T528" s="34" t="str"/>
    </x:row>
    <x:row r="529">
      <x:c r="A529" s="34" t="str">
        <x:v>M5-EVAL-0524</x:v>
      </x:c>
      <x:c r="B529" s="34" t="str"/>
      <x:c r="C529" s="34" t="str"/>
      <x:c r="D529" s="34" t="str"/>
      <x:c r="E529" s="34" t="str"/>
      <x:c r="F529" s="34" t="str"/>
      <x:c r="G529" s="34" t="str"/>
      <x:c r="H529" s="34" t="str"/>
      <x:c r="I529" s="38" t="str">
        <x:f>IF(H529="","",IF(H529="完全吻合",1,IF(H529="基本吻合",0.75,IF(H529="部分吻合",0.5,IF(H529="明显不符",0,"")))))</x:f>
      </x:c>
      <x:c r="J529" s="34" t="str"/>
      <x:c r="K529" s="34" t="str"/>
      <x:c r="L529" s="34" t="str"/>
      <x:c r="M529" s="34" t="str"/>
      <x:c r="N529" s="34" t="str"/>
      <x:c r="O529" s="34" t="str"/>
      <x:c r="P529" s="34" t="str"/>
      <x:c r="Q529" s="34" t="str"/>
      <x:c r="R529" s="34" t="str"/>
      <x:c r="S529" s="34" t="str"/>
      <x:c r="T529" s="34" t="str"/>
    </x:row>
    <x:row r="530">
      <x:c r="A530" s="34" t="str">
        <x:v>M5-EVAL-0525</x:v>
      </x:c>
      <x:c r="B530" s="34" t="str"/>
      <x:c r="C530" s="34" t="str"/>
      <x:c r="D530" s="34" t="str"/>
      <x:c r="E530" s="34" t="str"/>
      <x:c r="F530" s="34" t="str"/>
      <x:c r="G530" s="34" t="str"/>
      <x:c r="H530" s="34" t="str"/>
      <x:c r="I530" s="38" t="str">
        <x:f>IF(H530="","",IF(H530="完全吻合",1,IF(H530="基本吻合",0.75,IF(H530="部分吻合",0.5,IF(H530="明显不符",0,"")))))</x:f>
      </x:c>
      <x:c r="J530" s="34" t="str"/>
      <x:c r="K530" s="34" t="str"/>
      <x:c r="L530" s="34" t="str"/>
      <x:c r="M530" s="34" t="str"/>
      <x:c r="N530" s="34" t="str"/>
      <x:c r="O530" s="34" t="str"/>
      <x:c r="P530" s="34" t="str"/>
      <x:c r="Q530" s="34" t="str"/>
      <x:c r="R530" s="34" t="str"/>
      <x:c r="S530" s="34" t="str"/>
      <x:c r="T530" s="34" t="str"/>
    </x:row>
    <x:row r="531">
      <x:c r="A531" s="34" t="str">
        <x:v>M5-EVAL-0526</x:v>
      </x:c>
      <x:c r="B531" s="34" t="str"/>
      <x:c r="C531" s="34" t="str"/>
      <x:c r="D531" s="34" t="str"/>
      <x:c r="E531" s="34" t="str"/>
      <x:c r="F531" s="34" t="str"/>
      <x:c r="G531" s="34" t="str"/>
      <x:c r="H531" s="34" t="str"/>
      <x:c r="I531" s="38" t="str">
        <x:f>IF(H531="","",IF(H531="完全吻合",1,IF(H531="基本吻合",0.75,IF(H531="部分吻合",0.5,IF(H531="明显不符",0,"")))))</x:f>
      </x:c>
      <x:c r="J531" s="34" t="str"/>
      <x:c r="K531" s="34" t="str"/>
      <x:c r="L531" s="34" t="str"/>
      <x:c r="M531" s="34" t="str"/>
      <x:c r="N531" s="34" t="str"/>
      <x:c r="O531" s="34" t="str"/>
      <x:c r="P531" s="34" t="str"/>
      <x:c r="Q531" s="34" t="str"/>
      <x:c r="R531" s="34" t="str"/>
      <x:c r="S531" s="34" t="str"/>
      <x:c r="T531" s="34" t="str"/>
    </x:row>
    <x:row r="532">
      <x:c r="A532" s="34" t="str">
        <x:v>M5-EVAL-0527</x:v>
      </x:c>
      <x:c r="B532" s="34" t="str"/>
      <x:c r="C532" s="34" t="str"/>
      <x:c r="D532" s="34" t="str"/>
      <x:c r="E532" s="34" t="str"/>
      <x:c r="F532" s="34" t="str"/>
      <x:c r="G532" s="34" t="str"/>
      <x:c r="H532" s="34" t="str"/>
      <x:c r="I532" s="38" t="str">
        <x:f>IF(H532="","",IF(H532="完全吻合",1,IF(H532="基本吻合",0.75,IF(H532="部分吻合",0.5,IF(H532="明显不符",0,"")))))</x:f>
      </x:c>
      <x:c r="J532" s="34" t="str"/>
      <x:c r="K532" s="34" t="str"/>
      <x:c r="L532" s="34" t="str"/>
      <x:c r="M532" s="34" t="str"/>
      <x:c r="N532" s="34" t="str"/>
      <x:c r="O532" s="34" t="str"/>
      <x:c r="P532" s="34" t="str"/>
      <x:c r="Q532" s="34" t="str"/>
      <x:c r="R532" s="34" t="str"/>
      <x:c r="S532" s="34" t="str"/>
      <x:c r="T532" s="34" t="str"/>
    </x:row>
    <x:row r="533">
      <x:c r="A533" s="34" t="str">
        <x:v>M5-EVAL-0528</x:v>
      </x:c>
      <x:c r="B533" s="34" t="str"/>
      <x:c r="C533" s="34" t="str"/>
      <x:c r="D533" s="34" t="str"/>
      <x:c r="E533" s="34" t="str"/>
      <x:c r="F533" s="34" t="str"/>
      <x:c r="G533" s="34" t="str"/>
      <x:c r="H533" s="34" t="str"/>
      <x:c r="I533" s="38" t="str">
        <x:f>IF(H533="","",IF(H533="完全吻合",1,IF(H533="基本吻合",0.75,IF(H533="部分吻合",0.5,IF(H533="明显不符",0,"")))))</x:f>
      </x:c>
      <x:c r="J533" s="34" t="str"/>
      <x:c r="K533" s="34" t="str"/>
      <x:c r="L533" s="34" t="str"/>
      <x:c r="M533" s="34" t="str"/>
      <x:c r="N533" s="34" t="str"/>
      <x:c r="O533" s="34" t="str"/>
      <x:c r="P533" s="34" t="str"/>
      <x:c r="Q533" s="34" t="str"/>
      <x:c r="R533" s="34" t="str"/>
      <x:c r="S533" s="34" t="str"/>
      <x:c r="T533" s="34" t="str"/>
    </x:row>
    <x:row r="534">
      <x:c r="A534" s="34" t="str">
        <x:v>M5-EVAL-0529</x:v>
      </x:c>
      <x:c r="B534" s="34" t="str"/>
      <x:c r="C534" s="34" t="str"/>
      <x:c r="D534" s="34" t="str"/>
      <x:c r="E534" s="34" t="str"/>
      <x:c r="F534" s="34" t="str"/>
      <x:c r="G534" s="34" t="str"/>
      <x:c r="H534" s="34" t="str"/>
      <x:c r="I534" s="38" t="str">
        <x:f>IF(H534="","",IF(H534="完全吻合",1,IF(H534="基本吻合",0.75,IF(H534="部分吻合",0.5,IF(H534="明显不符",0,"")))))</x:f>
      </x:c>
      <x:c r="J534" s="34" t="str"/>
      <x:c r="K534" s="34" t="str"/>
      <x:c r="L534" s="34" t="str"/>
      <x:c r="M534" s="34" t="str"/>
      <x:c r="N534" s="34" t="str"/>
      <x:c r="O534" s="34" t="str"/>
      <x:c r="P534" s="34" t="str"/>
      <x:c r="Q534" s="34" t="str"/>
      <x:c r="R534" s="34" t="str"/>
      <x:c r="S534" s="34" t="str"/>
      <x:c r="T534" s="34" t="str"/>
    </x:row>
    <x:row r="535">
      <x:c r="A535" s="34" t="str">
        <x:v>M5-EVAL-0530</x:v>
      </x:c>
      <x:c r="B535" s="34" t="str"/>
      <x:c r="C535" s="34" t="str"/>
      <x:c r="D535" s="34" t="str"/>
      <x:c r="E535" s="34" t="str"/>
      <x:c r="F535" s="34" t="str"/>
      <x:c r="G535" s="34" t="str"/>
      <x:c r="H535" s="34" t="str"/>
      <x:c r="I535" s="38" t="str">
        <x:f>IF(H535="","",IF(H535="完全吻合",1,IF(H535="基本吻合",0.75,IF(H535="部分吻合",0.5,IF(H535="明显不符",0,"")))))</x:f>
      </x:c>
      <x:c r="J535" s="34" t="str"/>
      <x:c r="K535" s="34" t="str"/>
      <x:c r="L535" s="34" t="str"/>
      <x:c r="M535" s="34" t="str"/>
      <x:c r="N535" s="34" t="str"/>
      <x:c r="O535" s="34" t="str"/>
      <x:c r="P535" s="34" t="str"/>
      <x:c r="Q535" s="34" t="str"/>
      <x:c r="R535" s="34" t="str"/>
      <x:c r="S535" s="34" t="str"/>
      <x:c r="T535" s="34" t="str"/>
    </x:row>
    <x:row r="536">
      <x:c r="A536" s="34" t="str">
        <x:v>M5-EVAL-0531</x:v>
      </x:c>
      <x:c r="B536" s="34" t="str"/>
      <x:c r="C536" s="34" t="str"/>
      <x:c r="D536" s="34" t="str"/>
      <x:c r="E536" s="34" t="str"/>
      <x:c r="F536" s="34" t="str"/>
      <x:c r="G536" s="34" t="str"/>
      <x:c r="H536" s="34" t="str"/>
      <x:c r="I536" s="38" t="str">
        <x:f>IF(H536="","",IF(H536="完全吻合",1,IF(H536="基本吻合",0.75,IF(H536="部分吻合",0.5,IF(H536="明显不符",0,"")))))</x:f>
      </x:c>
      <x:c r="J536" s="34" t="str"/>
      <x:c r="K536" s="34" t="str"/>
      <x:c r="L536" s="34" t="str"/>
      <x:c r="M536" s="34" t="str"/>
      <x:c r="N536" s="34" t="str"/>
      <x:c r="O536" s="34" t="str"/>
      <x:c r="P536" s="34" t="str"/>
      <x:c r="Q536" s="34" t="str"/>
      <x:c r="R536" s="34" t="str"/>
      <x:c r="S536" s="34" t="str"/>
      <x:c r="T536" s="34" t="str"/>
    </x:row>
    <x:row r="537">
      <x:c r="A537" s="34" t="str">
        <x:v>M5-EVAL-0532</x:v>
      </x:c>
      <x:c r="B537" s="34" t="str"/>
      <x:c r="C537" s="34" t="str"/>
      <x:c r="D537" s="34" t="str"/>
      <x:c r="E537" s="34" t="str"/>
      <x:c r="F537" s="34" t="str"/>
      <x:c r="G537" s="34" t="str"/>
      <x:c r="H537" s="34" t="str"/>
      <x:c r="I537" s="38" t="str">
        <x:f>IF(H537="","",IF(H537="完全吻合",1,IF(H537="基本吻合",0.75,IF(H537="部分吻合",0.5,IF(H537="明显不符",0,"")))))</x:f>
      </x:c>
      <x:c r="J537" s="34" t="str"/>
      <x:c r="K537" s="34" t="str"/>
      <x:c r="L537" s="34" t="str"/>
      <x:c r="M537" s="34" t="str"/>
      <x:c r="N537" s="34" t="str"/>
      <x:c r="O537" s="34" t="str"/>
      <x:c r="P537" s="34" t="str"/>
      <x:c r="Q537" s="34" t="str"/>
      <x:c r="R537" s="34" t="str"/>
      <x:c r="S537" s="34" t="str"/>
      <x:c r="T537" s="34" t="str"/>
    </x:row>
    <x:row r="538">
      <x:c r="A538" s="34" t="str">
        <x:v>M5-EVAL-0533</x:v>
      </x:c>
      <x:c r="B538" s="34" t="str"/>
      <x:c r="C538" s="34" t="str"/>
      <x:c r="D538" s="34" t="str"/>
      <x:c r="E538" s="34" t="str"/>
      <x:c r="F538" s="34" t="str"/>
      <x:c r="G538" s="34" t="str"/>
      <x:c r="H538" s="34" t="str"/>
      <x:c r="I538" s="38" t="str">
        <x:f>IF(H538="","",IF(H538="完全吻合",1,IF(H538="基本吻合",0.75,IF(H538="部分吻合",0.5,IF(H538="明显不符",0,"")))))</x:f>
      </x:c>
      <x:c r="J538" s="34" t="str"/>
      <x:c r="K538" s="34" t="str"/>
      <x:c r="L538" s="34" t="str"/>
      <x:c r="M538" s="34" t="str"/>
      <x:c r="N538" s="34" t="str"/>
      <x:c r="O538" s="34" t="str"/>
      <x:c r="P538" s="34" t="str"/>
      <x:c r="Q538" s="34" t="str"/>
      <x:c r="R538" s="34" t="str"/>
      <x:c r="S538" s="34" t="str"/>
      <x:c r="T538" s="34" t="str"/>
    </x:row>
    <x:row r="539">
      <x:c r="A539" s="34" t="str">
        <x:v>M5-EVAL-0534</x:v>
      </x:c>
      <x:c r="B539" s="34" t="str"/>
      <x:c r="C539" s="34" t="str"/>
      <x:c r="D539" s="34" t="str"/>
      <x:c r="E539" s="34" t="str"/>
      <x:c r="F539" s="34" t="str"/>
      <x:c r="G539" s="34" t="str"/>
      <x:c r="H539" s="34" t="str"/>
      <x:c r="I539" s="38" t="str">
        <x:f>IF(H539="","",IF(H539="完全吻合",1,IF(H539="基本吻合",0.75,IF(H539="部分吻合",0.5,IF(H539="明显不符",0,"")))))</x:f>
      </x:c>
      <x:c r="J539" s="34" t="str"/>
      <x:c r="K539" s="34" t="str"/>
      <x:c r="L539" s="34" t="str"/>
      <x:c r="M539" s="34" t="str"/>
      <x:c r="N539" s="34" t="str"/>
      <x:c r="O539" s="34" t="str"/>
      <x:c r="P539" s="34" t="str"/>
      <x:c r="Q539" s="34" t="str"/>
      <x:c r="R539" s="34" t="str"/>
      <x:c r="S539" s="34" t="str"/>
      <x:c r="T539" s="34" t="str"/>
    </x:row>
    <x:row r="540">
      <x:c r="A540" s="34" t="str">
        <x:v>M5-EVAL-0535</x:v>
      </x:c>
      <x:c r="B540" s="34" t="str"/>
      <x:c r="C540" s="34" t="str"/>
      <x:c r="D540" s="34" t="str"/>
      <x:c r="E540" s="34" t="str"/>
      <x:c r="F540" s="34" t="str"/>
      <x:c r="G540" s="34" t="str"/>
      <x:c r="H540" s="34" t="str"/>
      <x:c r="I540" s="38" t="str">
        <x:f>IF(H540="","",IF(H540="完全吻合",1,IF(H540="基本吻合",0.75,IF(H540="部分吻合",0.5,IF(H540="明显不符",0,"")))))</x:f>
      </x:c>
      <x:c r="J540" s="34" t="str"/>
      <x:c r="K540" s="34" t="str"/>
      <x:c r="L540" s="34" t="str"/>
      <x:c r="M540" s="34" t="str"/>
      <x:c r="N540" s="34" t="str"/>
      <x:c r="O540" s="34" t="str"/>
      <x:c r="P540" s="34" t="str"/>
      <x:c r="Q540" s="34" t="str"/>
      <x:c r="R540" s="34" t="str"/>
      <x:c r="S540" s="34" t="str"/>
      <x:c r="T540" s="34" t="str"/>
    </x:row>
    <x:row r="541">
      <x:c r="A541" s="34" t="str">
        <x:v>M5-EVAL-0536</x:v>
      </x:c>
      <x:c r="B541" s="34" t="str"/>
      <x:c r="C541" s="34" t="str"/>
      <x:c r="D541" s="34" t="str"/>
      <x:c r="E541" s="34" t="str"/>
      <x:c r="F541" s="34" t="str"/>
      <x:c r="G541" s="34" t="str"/>
      <x:c r="H541" s="34" t="str"/>
      <x:c r="I541" s="38" t="str">
        <x:f>IF(H541="","",IF(H541="完全吻合",1,IF(H541="基本吻合",0.75,IF(H541="部分吻合",0.5,IF(H541="明显不符",0,"")))))</x:f>
      </x:c>
      <x:c r="J541" s="34" t="str"/>
      <x:c r="K541" s="34" t="str"/>
      <x:c r="L541" s="34" t="str"/>
      <x:c r="M541" s="34" t="str"/>
      <x:c r="N541" s="34" t="str"/>
      <x:c r="O541" s="34" t="str"/>
      <x:c r="P541" s="34" t="str"/>
      <x:c r="Q541" s="34" t="str"/>
      <x:c r="R541" s="34" t="str"/>
      <x:c r="S541" s="34" t="str"/>
      <x:c r="T541" s="34" t="str"/>
    </x:row>
    <x:row r="542">
      <x:c r="A542" s="34" t="str">
        <x:v>M5-EVAL-0537</x:v>
      </x:c>
      <x:c r="B542" s="34" t="str"/>
      <x:c r="C542" s="34" t="str"/>
      <x:c r="D542" s="34" t="str"/>
      <x:c r="E542" s="34" t="str"/>
      <x:c r="F542" s="34" t="str"/>
      <x:c r="G542" s="34" t="str"/>
      <x:c r="H542" s="34" t="str"/>
      <x:c r="I542" s="38" t="str">
        <x:f>IF(H542="","",IF(H542="完全吻合",1,IF(H542="基本吻合",0.75,IF(H542="部分吻合",0.5,IF(H542="明显不符",0,"")))))</x:f>
      </x:c>
      <x:c r="J542" s="34" t="str"/>
      <x:c r="K542" s="34" t="str"/>
      <x:c r="L542" s="34" t="str"/>
      <x:c r="M542" s="34" t="str"/>
      <x:c r="N542" s="34" t="str"/>
      <x:c r="O542" s="34" t="str"/>
      <x:c r="P542" s="34" t="str"/>
      <x:c r="Q542" s="34" t="str"/>
      <x:c r="R542" s="34" t="str"/>
      <x:c r="S542" s="34" t="str"/>
      <x:c r="T542" s="34" t="str"/>
    </x:row>
    <x:row r="543">
      <x:c r="A543" s="34" t="str">
        <x:v>M5-EVAL-0538</x:v>
      </x:c>
      <x:c r="B543" s="34" t="str"/>
      <x:c r="C543" s="34" t="str"/>
      <x:c r="D543" s="34" t="str"/>
      <x:c r="E543" s="34" t="str"/>
      <x:c r="F543" s="34" t="str"/>
      <x:c r="G543" s="34" t="str"/>
      <x:c r="H543" s="34" t="str"/>
      <x:c r="I543" s="38" t="str">
        <x:f>IF(H543="","",IF(H543="完全吻合",1,IF(H543="基本吻合",0.75,IF(H543="部分吻合",0.5,IF(H543="明显不符",0,"")))))</x:f>
      </x:c>
      <x:c r="J543" s="34" t="str"/>
      <x:c r="K543" s="34" t="str"/>
      <x:c r="L543" s="34" t="str"/>
      <x:c r="M543" s="34" t="str"/>
      <x:c r="N543" s="34" t="str"/>
      <x:c r="O543" s="34" t="str"/>
      <x:c r="P543" s="34" t="str"/>
      <x:c r="Q543" s="34" t="str"/>
      <x:c r="R543" s="34" t="str"/>
      <x:c r="S543" s="34" t="str"/>
      <x:c r="T543" s="34" t="str"/>
    </x:row>
    <x:row r="544">
      <x:c r="A544" s="34" t="str">
        <x:v>M5-EVAL-0539</x:v>
      </x:c>
      <x:c r="B544" s="34" t="str"/>
      <x:c r="C544" s="34" t="str"/>
      <x:c r="D544" s="34" t="str"/>
      <x:c r="E544" s="34" t="str"/>
      <x:c r="F544" s="34" t="str"/>
      <x:c r="G544" s="34" t="str"/>
      <x:c r="H544" s="34" t="str"/>
      <x:c r="I544" s="38" t="str">
        <x:f>IF(H544="","",IF(H544="完全吻合",1,IF(H544="基本吻合",0.75,IF(H544="部分吻合",0.5,IF(H544="明显不符",0,"")))))</x:f>
      </x:c>
      <x:c r="J544" s="34" t="str"/>
      <x:c r="K544" s="34" t="str"/>
      <x:c r="L544" s="34" t="str"/>
      <x:c r="M544" s="34" t="str"/>
      <x:c r="N544" s="34" t="str"/>
      <x:c r="O544" s="34" t="str"/>
      <x:c r="P544" s="34" t="str"/>
      <x:c r="Q544" s="34" t="str"/>
      <x:c r="R544" s="34" t="str"/>
      <x:c r="S544" s="34" t="str"/>
      <x:c r="T544" s="34" t="str"/>
    </x:row>
    <x:row r="545">
      <x:c r="A545" s="34" t="str">
        <x:v>M5-EVAL-0540</x:v>
      </x:c>
      <x:c r="B545" s="34" t="str"/>
      <x:c r="C545" s="34" t="str"/>
      <x:c r="D545" s="34" t="str"/>
      <x:c r="E545" s="34" t="str"/>
      <x:c r="F545" s="34" t="str"/>
      <x:c r="G545" s="34" t="str"/>
      <x:c r="H545" s="34" t="str"/>
      <x:c r="I545" s="38" t="str">
        <x:f>IF(H545="","",IF(H545="完全吻合",1,IF(H545="基本吻合",0.75,IF(H545="部分吻合",0.5,IF(H545="明显不符",0,"")))))</x:f>
      </x:c>
      <x:c r="J545" s="34" t="str"/>
      <x:c r="K545" s="34" t="str"/>
      <x:c r="L545" s="34" t="str"/>
      <x:c r="M545" s="34" t="str"/>
      <x:c r="N545" s="34" t="str"/>
      <x:c r="O545" s="34" t="str"/>
      <x:c r="P545" s="34" t="str"/>
      <x:c r="Q545" s="34" t="str"/>
      <x:c r="R545" s="34" t="str"/>
      <x:c r="S545" s="34" t="str"/>
      <x:c r="T545" s="34" t="str"/>
    </x:row>
    <x:row r="546">
      <x:c r="A546" s="34" t="str">
        <x:v>M5-EVAL-0541</x:v>
      </x:c>
      <x:c r="B546" s="34" t="str"/>
      <x:c r="C546" s="34" t="str"/>
      <x:c r="D546" s="34" t="str"/>
      <x:c r="E546" s="34" t="str"/>
      <x:c r="F546" s="34" t="str"/>
      <x:c r="G546" s="34" t="str"/>
      <x:c r="H546" s="34" t="str"/>
      <x:c r="I546" s="38" t="str">
        <x:f>IF(H546="","",IF(H546="完全吻合",1,IF(H546="基本吻合",0.75,IF(H546="部分吻合",0.5,IF(H546="明显不符",0,"")))))</x:f>
      </x:c>
      <x:c r="J546" s="34" t="str"/>
      <x:c r="K546" s="34" t="str"/>
      <x:c r="L546" s="34" t="str"/>
      <x:c r="M546" s="34" t="str"/>
      <x:c r="N546" s="34" t="str"/>
      <x:c r="O546" s="34" t="str"/>
      <x:c r="P546" s="34" t="str"/>
      <x:c r="Q546" s="34" t="str"/>
      <x:c r="R546" s="34" t="str"/>
      <x:c r="S546" s="34" t="str"/>
      <x:c r="T546" s="34" t="str"/>
    </x:row>
    <x:row r="547">
      <x:c r="A547" s="34" t="str">
        <x:v>M5-EVAL-0542</x:v>
      </x:c>
      <x:c r="B547" s="34" t="str"/>
      <x:c r="C547" s="34" t="str"/>
      <x:c r="D547" s="34" t="str"/>
      <x:c r="E547" s="34" t="str"/>
      <x:c r="F547" s="34" t="str"/>
      <x:c r="G547" s="34" t="str"/>
      <x:c r="H547" s="34" t="str"/>
      <x:c r="I547" s="38" t="str">
        <x:f>IF(H547="","",IF(H547="完全吻合",1,IF(H547="基本吻合",0.75,IF(H547="部分吻合",0.5,IF(H547="明显不符",0,"")))))</x:f>
      </x:c>
      <x:c r="J547" s="34" t="str"/>
      <x:c r="K547" s="34" t="str"/>
      <x:c r="L547" s="34" t="str"/>
      <x:c r="M547" s="34" t="str"/>
      <x:c r="N547" s="34" t="str"/>
      <x:c r="O547" s="34" t="str"/>
      <x:c r="P547" s="34" t="str"/>
      <x:c r="Q547" s="34" t="str"/>
      <x:c r="R547" s="34" t="str"/>
      <x:c r="S547" s="34" t="str"/>
      <x:c r="T547" s="34" t="str"/>
    </x:row>
    <x:row r="548">
      <x:c r="A548" s="34" t="str">
        <x:v>M5-EVAL-0543</x:v>
      </x:c>
      <x:c r="B548" s="34" t="str"/>
      <x:c r="C548" s="34" t="str"/>
      <x:c r="D548" s="34" t="str"/>
      <x:c r="E548" s="34" t="str"/>
      <x:c r="F548" s="34" t="str"/>
      <x:c r="G548" s="34" t="str"/>
      <x:c r="H548" s="34" t="str"/>
      <x:c r="I548" s="38" t="str">
        <x:f>IF(H548="","",IF(H548="完全吻合",1,IF(H548="基本吻合",0.75,IF(H548="部分吻合",0.5,IF(H548="明显不符",0,"")))))</x:f>
      </x:c>
      <x:c r="J548" s="34" t="str"/>
      <x:c r="K548" s="34" t="str"/>
      <x:c r="L548" s="34" t="str"/>
      <x:c r="M548" s="34" t="str"/>
      <x:c r="N548" s="34" t="str"/>
      <x:c r="O548" s="34" t="str"/>
      <x:c r="P548" s="34" t="str"/>
      <x:c r="Q548" s="34" t="str"/>
      <x:c r="R548" s="34" t="str"/>
      <x:c r="S548" s="34" t="str"/>
      <x:c r="T548" s="34" t="str"/>
    </x:row>
    <x:row r="549">
      <x:c r="A549" s="34" t="str">
        <x:v>M5-EVAL-0544</x:v>
      </x:c>
      <x:c r="B549" s="34" t="str"/>
      <x:c r="C549" s="34" t="str"/>
      <x:c r="D549" s="34" t="str"/>
      <x:c r="E549" s="34" t="str"/>
      <x:c r="F549" s="34" t="str"/>
      <x:c r="G549" s="34" t="str"/>
      <x:c r="H549" s="34" t="str"/>
      <x:c r="I549" s="38" t="str">
        <x:f>IF(H549="","",IF(H549="完全吻合",1,IF(H549="基本吻合",0.75,IF(H549="部分吻合",0.5,IF(H549="明显不符",0,"")))))</x:f>
      </x:c>
      <x:c r="J549" s="34" t="str"/>
      <x:c r="K549" s="34" t="str"/>
      <x:c r="L549" s="34" t="str"/>
      <x:c r="M549" s="34" t="str"/>
      <x:c r="N549" s="34" t="str"/>
      <x:c r="O549" s="34" t="str"/>
      <x:c r="P549" s="34" t="str"/>
      <x:c r="Q549" s="34" t="str"/>
      <x:c r="R549" s="34" t="str"/>
      <x:c r="S549" s="34" t="str"/>
      <x:c r="T549" s="34" t="str"/>
    </x:row>
    <x:row r="550">
      <x:c r="A550" s="34" t="str">
        <x:v>M5-EVAL-0545</x:v>
      </x:c>
      <x:c r="B550" s="34" t="str"/>
      <x:c r="C550" s="34" t="str"/>
      <x:c r="D550" s="34" t="str"/>
      <x:c r="E550" s="34" t="str"/>
      <x:c r="F550" s="34" t="str"/>
      <x:c r="G550" s="34" t="str"/>
      <x:c r="H550" s="34" t="str"/>
      <x:c r="I550" s="38" t="str">
        <x:f>IF(H550="","",IF(H550="完全吻合",1,IF(H550="基本吻合",0.75,IF(H550="部分吻合",0.5,IF(H550="明显不符",0,"")))))</x:f>
      </x:c>
      <x:c r="J550" s="34" t="str"/>
      <x:c r="K550" s="34" t="str"/>
      <x:c r="L550" s="34" t="str"/>
      <x:c r="M550" s="34" t="str"/>
      <x:c r="N550" s="34" t="str"/>
      <x:c r="O550" s="34" t="str"/>
      <x:c r="P550" s="34" t="str"/>
      <x:c r="Q550" s="34" t="str"/>
      <x:c r="R550" s="34" t="str"/>
      <x:c r="S550" s="34" t="str"/>
      <x:c r="T550" s="34" t="str"/>
    </x:row>
    <x:row r="551">
      <x:c r="A551" s="34" t="str">
        <x:v>M5-EVAL-0546</x:v>
      </x:c>
      <x:c r="B551" s="34" t="str"/>
      <x:c r="C551" s="34" t="str"/>
      <x:c r="D551" s="34" t="str"/>
      <x:c r="E551" s="34" t="str"/>
      <x:c r="F551" s="34" t="str"/>
      <x:c r="G551" s="34" t="str"/>
      <x:c r="H551" s="34" t="str"/>
      <x:c r="I551" s="38" t="str">
        <x:f>IF(H551="","",IF(H551="完全吻合",1,IF(H551="基本吻合",0.75,IF(H551="部分吻合",0.5,IF(H551="明显不符",0,"")))))</x:f>
      </x:c>
      <x:c r="J551" s="34" t="str"/>
      <x:c r="K551" s="34" t="str"/>
      <x:c r="L551" s="34" t="str"/>
      <x:c r="M551" s="34" t="str"/>
      <x:c r="N551" s="34" t="str"/>
      <x:c r="O551" s="34" t="str"/>
      <x:c r="P551" s="34" t="str"/>
      <x:c r="Q551" s="34" t="str"/>
      <x:c r="R551" s="34" t="str"/>
      <x:c r="S551" s="34" t="str"/>
      <x:c r="T551" s="34" t="str"/>
    </x:row>
    <x:row r="552">
      <x:c r="A552" s="34" t="str">
        <x:v>M5-EVAL-0547</x:v>
      </x:c>
      <x:c r="B552" s="34" t="str"/>
      <x:c r="C552" s="34" t="str"/>
      <x:c r="D552" s="34" t="str"/>
      <x:c r="E552" s="34" t="str"/>
      <x:c r="F552" s="34" t="str"/>
      <x:c r="G552" s="34" t="str"/>
      <x:c r="H552" s="34" t="str"/>
      <x:c r="I552" s="38" t="str">
        <x:f>IF(H552="","",IF(H552="完全吻合",1,IF(H552="基本吻合",0.75,IF(H552="部分吻合",0.5,IF(H552="明显不符",0,"")))))</x:f>
      </x:c>
      <x:c r="J552" s="34" t="str"/>
      <x:c r="K552" s="34" t="str"/>
      <x:c r="L552" s="34" t="str"/>
      <x:c r="M552" s="34" t="str"/>
      <x:c r="N552" s="34" t="str"/>
      <x:c r="O552" s="34" t="str"/>
      <x:c r="P552" s="34" t="str"/>
      <x:c r="Q552" s="34" t="str"/>
      <x:c r="R552" s="34" t="str"/>
      <x:c r="S552" s="34" t="str"/>
      <x:c r="T552" s="34" t="str"/>
    </x:row>
    <x:row r="553">
      <x:c r="A553" s="34" t="str">
        <x:v>M5-EVAL-0548</x:v>
      </x:c>
      <x:c r="B553" s="34" t="str"/>
      <x:c r="C553" s="34" t="str"/>
      <x:c r="D553" s="34" t="str"/>
      <x:c r="E553" s="34" t="str"/>
      <x:c r="F553" s="34" t="str"/>
      <x:c r="G553" s="34" t="str"/>
      <x:c r="H553" s="34" t="str"/>
      <x:c r="I553" s="38" t="str">
        <x:f>IF(H553="","",IF(H553="完全吻合",1,IF(H553="基本吻合",0.75,IF(H553="部分吻合",0.5,IF(H553="明显不符",0,"")))))</x:f>
      </x:c>
      <x:c r="J553" s="34" t="str"/>
      <x:c r="K553" s="34" t="str"/>
      <x:c r="L553" s="34" t="str"/>
      <x:c r="M553" s="34" t="str"/>
      <x:c r="N553" s="34" t="str"/>
      <x:c r="O553" s="34" t="str"/>
      <x:c r="P553" s="34" t="str"/>
      <x:c r="Q553" s="34" t="str"/>
      <x:c r="R553" s="34" t="str"/>
      <x:c r="S553" s="34" t="str"/>
      <x:c r="T553" s="34" t="str"/>
    </x:row>
    <x:row r="554">
      <x:c r="A554" s="34" t="str">
        <x:v>M5-EVAL-0549</x:v>
      </x:c>
      <x:c r="B554" s="34" t="str"/>
      <x:c r="C554" s="34" t="str"/>
      <x:c r="D554" s="34" t="str"/>
      <x:c r="E554" s="34" t="str"/>
      <x:c r="F554" s="34" t="str"/>
      <x:c r="G554" s="34" t="str"/>
      <x:c r="H554" s="34" t="str"/>
      <x:c r="I554" s="38" t="str">
        <x:f>IF(H554="","",IF(H554="完全吻合",1,IF(H554="基本吻合",0.75,IF(H554="部分吻合",0.5,IF(H554="明显不符",0,"")))))</x:f>
      </x:c>
      <x:c r="J554" s="34" t="str"/>
      <x:c r="K554" s="34" t="str"/>
      <x:c r="L554" s="34" t="str"/>
      <x:c r="M554" s="34" t="str"/>
      <x:c r="N554" s="34" t="str"/>
      <x:c r="O554" s="34" t="str"/>
      <x:c r="P554" s="34" t="str"/>
      <x:c r="Q554" s="34" t="str"/>
      <x:c r="R554" s="34" t="str"/>
      <x:c r="S554" s="34" t="str"/>
      <x:c r="T554" s="34" t="str"/>
    </x:row>
    <x:row r="555">
      <x:c r="A555" s="34" t="str">
        <x:v>M5-EVAL-0550</x:v>
      </x:c>
      <x:c r="B555" s="34" t="str"/>
      <x:c r="C555" s="34" t="str"/>
      <x:c r="D555" s="34" t="str"/>
      <x:c r="E555" s="34" t="str"/>
      <x:c r="F555" s="34" t="str"/>
      <x:c r="G555" s="34" t="str"/>
      <x:c r="H555" s="34" t="str"/>
      <x:c r="I555" s="38" t="str">
        <x:f>IF(H555="","",IF(H555="完全吻合",1,IF(H555="基本吻合",0.75,IF(H555="部分吻合",0.5,IF(H555="明显不符",0,"")))))</x:f>
      </x:c>
      <x:c r="J555" s="34" t="str"/>
      <x:c r="K555" s="34" t="str"/>
      <x:c r="L555" s="34" t="str"/>
      <x:c r="M555" s="34" t="str"/>
      <x:c r="N555" s="34" t="str"/>
      <x:c r="O555" s="34" t="str"/>
      <x:c r="P555" s="34" t="str"/>
      <x:c r="Q555" s="34" t="str"/>
      <x:c r="R555" s="34" t="str"/>
      <x:c r="S555" s="34" t="str"/>
      <x:c r="T555" s="34" t="str"/>
    </x:row>
    <x:row r="556">
      <x:c r="A556" s="34" t="str">
        <x:v>M5-EVAL-0551</x:v>
      </x:c>
      <x:c r="B556" s="34" t="str"/>
      <x:c r="C556" s="34" t="str"/>
      <x:c r="D556" s="34" t="str"/>
      <x:c r="E556" s="34" t="str"/>
      <x:c r="F556" s="34" t="str"/>
      <x:c r="G556" s="34" t="str"/>
      <x:c r="H556" s="34" t="str"/>
      <x:c r="I556" s="38" t="str">
        <x:f>IF(H556="","",IF(H556="完全吻合",1,IF(H556="基本吻合",0.75,IF(H556="部分吻合",0.5,IF(H556="明显不符",0,"")))))</x:f>
      </x:c>
      <x:c r="J556" s="34" t="str"/>
      <x:c r="K556" s="34" t="str"/>
      <x:c r="L556" s="34" t="str"/>
      <x:c r="M556" s="34" t="str"/>
      <x:c r="N556" s="34" t="str"/>
      <x:c r="O556" s="34" t="str"/>
      <x:c r="P556" s="34" t="str"/>
      <x:c r="Q556" s="34" t="str"/>
      <x:c r="R556" s="34" t="str"/>
      <x:c r="S556" s="34" t="str"/>
      <x:c r="T556" s="34" t="str"/>
    </x:row>
    <x:row r="557">
      <x:c r="A557" s="34" t="str">
        <x:v>M5-EVAL-0552</x:v>
      </x:c>
      <x:c r="B557" s="34" t="str"/>
      <x:c r="C557" s="34" t="str"/>
      <x:c r="D557" s="34" t="str"/>
      <x:c r="E557" s="34" t="str"/>
      <x:c r="F557" s="34" t="str"/>
      <x:c r="G557" s="34" t="str"/>
      <x:c r="H557" s="34" t="str"/>
      <x:c r="I557" s="38" t="str">
        <x:f>IF(H557="","",IF(H557="完全吻合",1,IF(H557="基本吻合",0.75,IF(H557="部分吻合",0.5,IF(H557="明显不符",0,"")))))</x:f>
      </x:c>
      <x:c r="J557" s="34" t="str"/>
      <x:c r="K557" s="34" t="str"/>
      <x:c r="L557" s="34" t="str"/>
      <x:c r="M557" s="34" t="str"/>
      <x:c r="N557" s="34" t="str"/>
      <x:c r="O557" s="34" t="str"/>
      <x:c r="P557" s="34" t="str"/>
      <x:c r="Q557" s="34" t="str"/>
      <x:c r="R557" s="34" t="str"/>
      <x:c r="S557" s="34" t="str"/>
      <x:c r="T557" s="34" t="str"/>
    </x:row>
    <x:row r="558">
      <x:c r="A558" s="34" t="str">
        <x:v>M5-EVAL-0553</x:v>
      </x:c>
      <x:c r="B558" s="34" t="str"/>
      <x:c r="C558" s="34" t="str"/>
      <x:c r="D558" s="34" t="str"/>
      <x:c r="E558" s="34" t="str"/>
      <x:c r="F558" s="34" t="str"/>
      <x:c r="G558" s="34" t="str"/>
      <x:c r="H558" s="34" t="str"/>
      <x:c r="I558" s="38" t="str">
        <x:f>IF(H558="","",IF(H558="完全吻合",1,IF(H558="基本吻合",0.75,IF(H558="部分吻合",0.5,IF(H558="明显不符",0,"")))))</x:f>
      </x:c>
      <x:c r="J558" s="34" t="str"/>
      <x:c r="K558" s="34" t="str"/>
      <x:c r="L558" s="34" t="str"/>
      <x:c r="M558" s="34" t="str"/>
      <x:c r="N558" s="34" t="str"/>
      <x:c r="O558" s="34" t="str"/>
      <x:c r="P558" s="34" t="str"/>
      <x:c r="Q558" s="34" t="str"/>
      <x:c r="R558" s="34" t="str"/>
      <x:c r="S558" s="34" t="str"/>
      <x:c r="T558" s="34" t="str"/>
    </x:row>
    <x:row r="559">
      <x:c r="A559" s="34" t="str">
        <x:v>M5-EVAL-0554</x:v>
      </x:c>
      <x:c r="B559" s="34" t="str"/>
      <x:c r="C559" s="34" t="str"/>
      <x:c r="D559" s="34" t="str"/>
      <x:c r="E559" s="34" t="str"/>
      <x:c r="F559" s="34" t="str"/>
      <x:c r="G559" s="34" t="str"/>
      <x:c r="H559" s="34" t="str"/>
      <x:c r="I559" s="38" t="str">
        <x:f>IF(H559="","",IF(H559="完全吻合",1,IF(H559="基本吻合",0.75,IF(H559="部分吻合",0.5,IF(H559="明显不符",0,"")))))</x:f>
      </x:c>
      <x:c r="J559" s="34" t="str"/>
      <x:c r="K559" s="34" t="str"/>
      <x:c r="L559" s="34" t="str"/>
      <x:c r="M559" s="34" t="str"/>
      <x:c r="N559" s="34" t="str"/>
      <x:c r="O559" s="34" t="str"/>
      <x:c r="P559" s="34" t="str"/>
      <x:c r="Q559" s="34" t="str"/>
      <x:c r="R559" s="34" t="str"/>
      <x:c r="S559" s="34" t="str"/>
      <x:c r="T559" s="34" t="str"/>
    </x:row>
    <x:row r="560">
      <x:c r="A560" s="34" t="str">
        <x:v>M5-EVAL-0555</x:v>
      </x:c>
      <x:c r="B560" s="34" t="str"/>
      <x:c r="C560" s="34" t="str"/>
      <x:c r="D560" s="34" t="str"/>
      <x:c r="E560" s="34" t="str"/>
      <x:c r="F560" s="34" t="str"/>
      <x:c r="G560" s="34" t="str"/>
      <x:c r="H560" s="34" t="str"/>
      <x:c r="I560" s="38" t="str">
        <x:f>IF(H560="","",IF(H560="完全吻合",1,IF(H560="基本吻合",0.75,IF(H560="部分吻合",0.5,IF(H560="明显不符",0,"")))))</x:f>
      </x:c>
      <x:c r="J560" s="34" t="str"/>
      <x:c r="K560" s="34" t="str"/>
      <x:c r="L560" s="34" t="str"/>
      <x:c r="M560" s="34" t="str"/>
      <x:c r="N560" s="34" t="str"/>
      <x:c r="O560" s="34" t="str"/>
      <x:c r="P560" s="34" t="str"/>
      <x:c r="Q560" s="34" t="str"/>
      <x:c r="R560" s="34" t="str"/>
      <x:c r="S560" s="34" t="str"/>
      <x:c r="T560" s="34" t="str"/>
    </x:row>
    <x:row r="561">
      <x:c r="A561" s="34" t="str">
        <x:v>M5-EVAL-0556</x:v>
      </x:c>
      <x:c r="B561" s="34" t="str"/>
      <x:c r="C561" s="34" t="str"/>
      <x:c r="D561" s="34" t="str"/>
      <x:c r="E561" s="34" t="str"/>
      <x:c r="F561" s="34" t="str"/>
      <x:c r="G561" s="34" t="str"/>
      <x:c r="H561" s="34" t="str"/>
      <x:c r="I561" s="38" t="str">
        <x:f>IF(H561="","",IF(H561="完全吻合",1,IF(H561="基本吻合",0.75,IF(H561="部分吻合",0.5,IF(H561="明显不符",0,"")))))</x:f>
      </x:c>
      <x:c r="J561" s="34" t="str"/>
      <x:c r="K561" s="34" t="str"/>
      <x:c r="L561" s="34" t="str"/>
      <x:c r="M561" s="34" t="str"/>
      <x:c r="N561" s="34" t="str"/>
      <x:c r="O561" s="34" t="str"/>
      <x:c r="P561" s="34" t="str"/>
      <x:c r="Q561" s="34" t="str"/>
      <x:c r="R561" s="34" t="str"/>
      <x:c r="S561" s="34" t="str"/>
      <x:c r="T561" s="34" t="str"/>
    </x:row>
    <x:row r="562">
      <x:c r="A562" s="34" t="str">
        <x:v>M5-EVAL-0557</x:v>
      </x:c>
      <x:c r="B562" s="34" t="str"/>
      <x:c r="C562" s="34" t="str"/>
      <x:c r="D562" s="34" t="str"/>
      <x:c r="E562" s="34" t="str"/>
      <x:c r="F562" s="34" t="str"/>
      <x:c r="G562" s="34" t="str"/>
      <x:c r="H562" s="34" t="str"/>
      <x:c r="I562" s="38" t="str">
        <x:f>IF(H562="","",IF(H562="完全吻合",1,IF(H562="基本吻合",0.75,IF(H562="部分吻合",0.5,IF(H562="明显不符",0,"")))))</x:f>
      </x:c>
      <x:c r="J562" s="34" t="str"/>
      <x:c r="K562" s="34" t="str"/>
      <x:c r="L562" s="34" t="str"/>
      <x:c r="M562" s="34" t="str"/>
      <x:c r="N562" s="34" t="str"/>
      <x:c r="O562" s="34" t="str"/>
      <x:c r="P562" s="34" t="str"/>
      <x:c r="Q562" s="34" t="str"/>
      <x:c r="R562" s="34" t="str"/>
      <x:c r="S562" s="34" t="str"/>
      <x:c r="T562" s="34" t="str"/>
    </x:row>
    <x:row r="563">
      <x:c r="A563" s="34" t="str">
        <x:v>M5-EVAL-0558</x:v>
      </x:c>
      <x:c r="B563" s="34" t="str"/>
      <x:c r="C563" s="34" t="str"/>
      <x:c r="D563" s="34" t="str"/>
      <x:c r="E563" s="34" t="str"/>
      <x:c r="F563" s="34" t="str"/>
      <x:c r="G563" s="34" t="str"/>
      <x:c r="H563" s="34" t="str"/>
      <x:c r="I563" s="38" t="str">
        <x:f>IF(H563="","",IF(H563="完全吻合",1,IF(H563="基本吻合",0.75,IF(H563="部分吻合",0.5,IF(H563="明显不符",0,"")))))</x:f>
      </x:c>
      <x:c r="J563" s="34" t="str"/>
      <x:c r="K563" s="34" t="str"/>
      <x:c r="L563" s="34" t="str"/>
      <x:c r="M563" s="34" t="str"/>
      <x:c r="N563" s="34" t="str"/>
      <x:c r="O563" s="34" t="str"/>
      <x:c r="P563" s="34" t="str"/>
      <x:c r="Q563" s="34" t="str"/>
      <x:c r="R563" s="34" t="str"/>
      <x:c r="S563" s="34" t="str"/>
      <x:c r="T563" s="34" t="str"/>
    </x:row>
    <x:row r="564">
      <x:c r="A564" s="34" t="str">
        <x:v>M5-EVAL-0559</x:v>
      </x:c>
      <x:c r="B564" s="34" t="str"/>
      <x:c r="C564" s="34" t="str"/>
      <x:c r="D564" s="34" t="str"/>
      <x:c r="E564" s="34" t="str"/>
      <x:c r="F564" s="34" t="str"/>
      <x:c r="G564" s="34" t="str"/>
      <x:c r="H564" s="34" t="str"/>
      <x:c r="I564" s="38" t="str">
        <x:f>IF(H564="","",IF(H564="完全吻合",1,IF(H564="基本吻合",0.75,IF(H564="部分吻合",0.5,IF(H564="明显不符",0,"")))))</x:f>
      </x:c>
      <x:c r="J564" s="34" t="str"/>
      <x:c r="K564" s="34" t="str"/>
      <x:c r="L564" s="34" t="str"/>
      <x:c r="M564" s="34" t="str"/>
      <x:c r="N564" s="34" t="str"/>
      <x:c r="O564" s="34" t="str"/>
      <x:c r="P564" s="34" t="str"/>
      <x:c r="Q564" s="34" t="str"/>
      <x:c r="R564" s="34" t="str"/>
      <x:c r="S564" s="34" t="str"/>
      <x:c r="T564" s="34" t="str"/>
    </x:row>
    <x:row r="565">
      <x:c r="A565" s="34" t="str">
        <x:v>M5-EVAL-0560</x:v>
      </x:c>
      <x:c r="B565" s="34" t="str"/>
      <x:c r="C565" s="34" t="str"/>
      <x:c r="D565" s="34" t="str"/>
      <x:c r="E565" s="34" t="str"/>
      <x:c r="F565" s="34" t="str"/>
      <x:c r="G565" s="34" t="str"/>
      <x:c r="H565" s="34" t="str"/>
      <x:c r="I565" s="38" t="str">
        <x:f>IF(H565="","",IF(H565="完全吻合",1,IF(H565="基本吻合",0.75,IF(H565="部分吻合",0.5,IF(H565="明显不符",0,"")))))</x:f>
      </x:c>
      <x:c r="J565" s="34" t="str"/>
      <x:c r="K565" s="34" t="str"/>
      <x:c r="L565" s="34" t="str"/>
      <x:c r="M565" s="34" t="str"/>
      <x:c r="N565" s="34" t="str"/>
      <x:c r="O565" s="34" t="str"/>
      <x:c r="P565" s="34" t="str"/>
      <x:c r="Q565" s="34" t="str"/>
      <x:c r="R565" s="34" t="str"/>
      <x:c r="S565" s="34" t="str"/>
      <x:c r="T565" s="34" t="str"/>
    </x:row>
    <x:row r="566">
      <x:c r="A566" s="34" t="str">
        <x:v>M5-EVAL-0561</x:v>
      </x:c>
      <x:c r="B566" s="34" t="str"/>
      <x:c r="C566" s="34" t="str"/>
      <x:c r="D566" s="34" t="str"/>
      <x:c r="E566" s="34" t="str"/>
      <x:c r="F566" s="34" t="str"/>
      <x:c r="G566" s="34" t="str"/>
      <x:c r="H566" s="34" t="str"/>
      <x:c r="I566" s="38" t="str">
        <x:f>IF(H566="","",IF(H566="完全吻合",1,IF(H566="基本吻合",0.75,IF(H566="部分吻合",0.5,IF(H566="明显不符",0,"")))))</x:f>
      </x:c>
      <x:c r="J566" s="34" t="str"/>
      <x:c r="K566" s="34" t="str"/>
      <x:c r="L566" s="34" t="str"/>
      <x:c r="M566" s="34" t="str"/>
      <x:c r="N566" s="34" t="str"/>
      <x:c r="O566" s="34" t="str"/>
      <x:c r="P566" s="34" t="str"/>
      <x:c r="Q566" s="34" t="str"/>
      <x:c r="R566" s="34" t="str"/>
      <x:c r="S566" s="34" t="str"/>
      <x:c r="T566" s="34" t="str"/>
    </x:row>
    <x:row r="567">
      <x:c r="A567" s="34" t="str">
        <x:v>M5-EVAL-0562</x:v>
      </x:c>
      <x:c r="B567" s="34" t="str"/>
      <x:c r="C567" s="34" t="str"/>
      <x:c r="D567" s="34" t="str"/>
      <x:c r="E567" s="34" t="str"/>
      <x:c r="F567" s="34" t="str"/>
      <x:c r="G567" s="34" t="str"/>
      <x:c r="H567" s="34" t="str"/>
      <x:c r="I567" s="38" t="str">
        <x:f>IF(H567="","",IF(H567="完全吻合",1,IF(H567="基本吻合",0.75,IF(H567="部分吻合",0.5,IF(H567="明显不符",0,"")))))</x:f>
      </x:c>
      <x:c r="J567" s="34" t="str"/>
      <x:c r="K567" s="34" t="str"/>
      <x:c r="L567" s="34" t="str"/>
      <x:c r="M567" s="34" t="str"/>
      <x:c r="N567" s="34" t="str"/>
      <x:c r="O567" s="34" t="str"/>
      <x:c r="P567" s="34" t="str"/>
      <x:c r="Q567" s="34" t="str"/>
      <x:c r="R567" s="34" t="str"/>
      <x:c r="S567" s="34" t="str"/>
      <x:c r="T567" s="34" t="str"/>
    </x:row>
    <x:row r="568">
      <x:c r="A568" s="34" t="str">
        <x:v>M5-EVAL-0563</x:v>
      </x:c>
      <x:c r="B568" s="34" t="str"/>
      <x:c r="C568" s="34" t="str"/>
      <x:c r="D568" s="34" t="str"/>
      <x:c r="E568" s="34" t="str"/>
      <x:c r="F568" s="34" t="str"/>
      <x:c r="G568" s="34" t="str"/>
      <x:c r="H568" s="34" t="str"/>
      <x:c r="I568" s="38" t="str">
        <x:f>IF(H568="","",IF(H568="完全吻合",1,IF(H568="基本吻合",0.75,IF(H568="部分吻合",0.5,IF(H568="明显不符",0,"")))))</x:f>
      </x:c>
      <x:c r="J568" s="34" t="str"/>
      <x:c r="K568" s="34" t="str"/>
      <x:c r="L568" s="34" t="str"/>
      <x:c r="M568" s="34" t="str"/>
      <x:c r="N568" s="34" t="str"/>
      <x:c r="O568" s="34" t="str"/>
      <x:c r="P568" s="34" t="str"/>
      <x:c r="Q568" s="34" t="str"/>
      <x:c r="R568" s="34" t="str"/>
      <x:c r="S568" s="34" t="str"/>
      <x:c r="T568" s="34" t="str"/>
    </x:row>
    <x:row r="569">
      <x:c r="A569" s="34" t="str">
        <x:v>M5-EVAL-0564</x:v>
      </x:c>
      <x:c r="B569" s="34" t="str"/>
      <x:c r="C569" s="34" t="str"/>
      <x:c r="D569" s="34" t="str"/>
      <x:c r="E569" s="34" t="str"/>
      <x:c r="F569" s="34" t="str"/>
      <x:c r="G569" s="34" t="str"/>
      <x:c r="H569" s="34" t="str"/>
      <x:c r="I569" s="38" t="str">
        <x:f>IF(H569="","",IF(H569="完全吻合",1,IF(H569="基本吻合",0.75,IF(H569="部分吻合",0.5,IF(H569="明显不符",0,"")))))</x:f>
      </x:c>
      <x:c r="J569" s="34" t="str"/>
      <x:c r="K569" s="34" t="str"/>
      <x:c r="L569" s="34" t="str"/>
      <x:c r="M569" s="34" t="str"/>
      <x:c r="N569" s="34" t="str"/>
      <x:c r="O569" s="34" t="str"/>
      <x:c r="P569" s="34" t="str"/>
      <x:c r="Q569" s="34" t="str"/>
      <x:c r="R569" s="34" t="str"/>
      <x:c r="S569" s="34" t="str"/>
      <x:c r="T569" s="34" t="str"/>
    </x:row>
    <x:row r="570">
      <x:c r="A570" s="34" t="str">
        <x:v>M5-EVAL-0565</x:v>
      </x:c>
      <x:c r="B570" s="34" t="str"/>
      <x:c r="C570" s="34" t="str"/>
      <x:c r="D570" s="34" t="str"/>
      <x:c r="E570" s="34" t="str"/>
      <x:c r="F570" s="34" t="str"/>
      <x:c r="G570" s="34" t="str"/>
      <x:c r="H570" s="34" t="str"/>
      <x:c r="I570" s="38" t="str">
        <x:f>IF(H570="","",IF(H570="完全吻合",1,IF(H570="基本吻合",0.75,IF(H570="部分吻合",0.5,IF(H570="明显不符",0,"")))))</x:f>
      </x:c>
      <x:c r="J570" s="34" t="str"/>
      <x:c r="K570" s="34" t="str"/>
      <x:c r="L570" s="34" t="str"/>
      <x:c r="M570" s="34" t="str"/>
      <x:c r="N570" s="34" t="str"/>
      <x:c r="O570" s="34" t="str"/>
      <x:c r="P570" s="34" t="str"/>
      <x:c r="Q570" s="34" t="str"/>
      <x:c r="R570" s="34" t="str"/>
      <x:c r="S570" s="34" t="str"/>
      <x:c r="T570" s="34" t="str"/>
    </x:row>
    <x:row r="571">
      <x:c r="A571" s="34" t="str">
        <x:v>M5-EVAL-0566</x:v>
      </x:c>
      <x:c r="B571" s="34" t="str"/>
      <x:c r="C571" s="34" t="str"/>
      <x:c r="D571" s="34" t="str"/>
      <x:c r="E571" s="34" t="str"/>
      <x:c r="F571" s="34" t="str"/>
      <x:c r="G571" s="34" t="str"/>
      <x:c r="H571" s="34" t="str"/>
      <x:c r="I571" s="38" t="str">
        <x:f>IF(H571="","",IF(H571="完全吻合",1,IF(H571="基本吻合",0.75,IF(H571="部分吻合",0.5,IF(H571="明显不符",0,"")))))</x:f>
      </x:c>
      <x:c r="J571" s="34" t="str"/>
      <x:c r="K571" s="34" t="str"/>
      <x:c r="L571" s="34" t="str"/>
      <x:c r="M571" s="34" t="str"/>
      <x:c r="N571" s="34" t="str"/>
      <x:c r="O571" s="34" t="str"/>
      <x:c r="P571" s="34" t="str"/>
      <x:c r="Q571" s="34" t="str"/>
      <x:c r="R571" s="34" t="str"/>
      <x:c r="S571" s="34" t="str"/>
      <x:c r="T571" s="34" t="str"/>
    </x:row>
    <x:row r="572">
      <x:c r="A572" s="34" t="str">
        <x:v>M5-EVAL-0567</x:v>
      </x:c>
      <x:c r="B572" s="34" t="str"/>
      <x:c r="C572" s="34" t="str"/>
      <x:c r="D572" s="34" t="str"/>
      <x:c r="E572" s="34" t="str"/>
      <x:c r="F572" s="34" t="str"/>
      <x:c r="G572" s="34" t="str"/>
      <x:c r="H572" s="34" t="str"/>
      <x:c r="I572" s="38" t="str">
        <x:f>IF(H572="","",IF(H572="完全吻合",1,IF(H572="基本吻合",0.75,IF(H572="部分吻合",0.5,IF(H572="明显不符",0,"")))))</x:f>
      </x:c>
      <x:c r="J572" s="34" t="str"/>
      <x:c r="K572" s="34" t="str"/>
      <x:c r="L572" s="34" t="str"/>
      <x:c r="M572" s="34" t="str"/>
      <x:c r="N572" s="34" t="str"/>
      <x:c r="O572" s="34" t="str"/>
      <x:c r="P572" s="34" t="str"/>
      <x:c r="Q572" s="34" t="str"/>
      <x:c r="R572" s="34" t="str"/>
      <x:c r="S572" s="34" t="str"/>
      <x:c r="T572" s="34" t="str"/>
    </x:row>
    <x:row r="573">
      <x:c r="A573" s="34" t="str">
        <x:v>M5-EVAL-0568</x:v>
      </x:c>
      <x:c r="B573" s="34" t="str"/>
      <x:c r="C573" s="34" t="str"/>
      <x:c r="D573" s="34" t="str"/>
      <x:c r="E573" s="34" t="str"/>
      <x:c r="F573" s="34" t="str"/>
      <x:c r="G573" s="34" t="str"/>
      <x:c r="H573" s="34" t="str"/>
      <x:c r="I573" s="38" t="str">
        <x:f>IF(H573="","",IF(H573="完全吻合",1,IF(H573="基本吻合",0.75,IF(H573="部分吻合",0.5,IF(H573="明显不符",0,"")))))</x:f>
      </x:c>
      <x:c r="J573" s="34" t="str"/>
      <x:c r="K573" s="34" t="str"/>
      <x:c r="L573" s="34" t="str"/>
      <x:c r="M573" s="34" t="str"/>
      <x:c r="N573" s="34" t="str"/>
      <x:c r="O573" s="34" t="str"/>
      <x:c r="P573" s="34" t="str"/>
      <x:c r="Q573" s="34" t="str"/>
      <x:c r="R573" s="34" t="str"/>
      <x:c r="S573" s="34" t="str"/>
      <x:c r="T573" s="34" t="str"/>
    </x:row>
    <x:row r="574">
      <x:c r="A574" s="34" t="str">
        <x:v>M5-EVAL-0569</x:v>
      </x:c>
      <x:c r="B574" s="34" t="str"/>
      <x:c r="C574" s="34" t="str"/>
      <x:c r="D574" s="34" t="str"/>
      <x:c r="E574" s="34" t="str"/>
      <x:c r="F574" s="34" t="str"/>
      <x:c r="G574" s="34" t="str"/>
      <x:c r="H574" s="34" t="str"/>
      <x:c r="I574" s="38" t="str">
        <x:f>IF(H574="","",IF(H574="完全吻合",1,IF(H574="基本吻合",0.75,IF(H574="部分吻合",0.5,IF(H574="明显不符",0,"")))))</x:f>
      </x:c>
      <x:c r="J574" s="34" t="str"/>
      <x:c r="K574" s="34" t="str"/>
      <x:c r="L574" s="34" t="str"/>
      <x:c r="M574" s="34" t="str"/>
      <x:c r="N574" s="34" t="str"/>
      <x:c r="O574" s="34" t="str"/>
      <x:c r="P574" s="34" t="str"/>
      <x:c r="Q574" s="34" t="str"/>
      <x:c r="R574" s="34" t="str"/>
      <x:c r="S574" s="34" t="str"/>
      <x:c r="T574" s="34" t="str"/>
    </x:row>
    <x:row r="575">
      <x:c r="A575" s="34" t="str">
        <x:v>M5-EVAL-0570</x:v>
      </x:c>
      <x:c r="B575" s="34" t="str"/>
      <x:c r="C575" s="34" t="str"/>
      <x:c r="D575" s="34" t="str"/>
      <x:c r="E575" s="34" t="str"/>
      <x:c r="F575" s="34" t="str"/>
      <x:c r="G575" s="34" t="str"/>
      <x:c r="H575" s="34" t="str"/>
      <x:c r="I575" s="38" t="str">
        <x:f>IF(H575="","",IF(H575="完全吻合",1,IF(H575="基本吻合",0.75,IF(H575="部分吻合",0.5,IF(H575="明显不符",0,"")))))</x:f>
      </x:c>
      <x:c r="J575" s="34" t="str"/>
      <x:c r="K575" s="34" t="str"/>
      <x:c r="L575" s="34" t="str"/>
      <x:c r="M575" s="34" t="str"/>
      <x:c r="N575" s="34" t="str"/>
      <x:c r="O575" s="34" t="str"/>
      <x:c r="P575" s="34" t="str"/>
      <x:c r="Q575" s="34" t="str"/>
      <x:c r="R575" s="34" t="str"/>
      <x:c r="S575" s="34" t="str"/>
      <x:c r="T575" s="34" t="str"/>
    </x:row>
    <x:row r="576">
      <x:c r="A576" s="34" t="str">
        <x:v>M5-EVAL-0571</x:v>
      </x:c>
      <x:c r="B576" s="34" t="str"/>
      <x:c r="C576" s="34" t="str"/>
      <x:c r="D576" s="34" t="str"/>
      <x:c r="E576" s="34" t="str"/>
      <x:c r="F576" s="34" t="str"/>
      <x:c r="G576" s="34" t="str"/>
      <x:c r="H576" s="34" t="str"/>
      <x:c r="I576" s="38" t="str">
        <x:f>IF(H576="","",IF(H576="完全吻合",1,IF(H576="基本吻合",0.75,IF(H576="部分吻合",0.5,IF(H576="明显不符",0,"")))))</x:f>
      </x:c>
      <x:c r="J576" s="34" t="str"/>
      <x:c r="K576" s="34" t="str"/>
      <x:c r="L576" s="34" t="str"/>
      <x:c r="M576" s="34" t="str"/>
      <x:c r="N576" s="34" t="str"/>
      <x:c r="O576" s="34" t="str"/>
      <x:c r="P576" s="34" t="str"/>
      <x:c r="Q576" s="34" t="str"/>
      <x:c r="R576" s="34" t="str"/>
      <x:c r="S576" s="34" t="str"/>
      <x:c r="T576" s="34" t="str"/>
    </x:row>
    <x:row r="577">
      <x:c r="A577" s="34" t="str">
        <x:v>M5-EVAL-0572</x:v>
      </x:c>
      <x:c r="B577" s="34" t="str"/>
      <x:c r="C577" s="34" t="str"/>
      <x:c r="D577" s="34" t="str"/>
      <x:c r="E577" s="34" t="str"/>
      <x:c r="F577" s="34" t="str"/>
      <x:c r="G577" s="34" t="str"/>
      <x:c r="H577" s="34" t="str"/>
      <x:c r="I577" s="38" t="str">
        <x:f>IF(H577="","",IF(H577="完全吻合",1,IF(H577="基本吻合",0.75,IF(H577="部分吻合",0.5,IF(H577="明显不符",0,"")))))</x:f>
      </x:c>
      <x:c r="J577" s="34" t="str"/>
      <x:c r="K577" s="34" t="str"/>
      <x:c r="L577" s="34" t="str"/>
      <x:c r="M577" s="34" t="str"/>
      <x:c r="N577" s="34" t="str"/>
      <x:c r="O577" s="34" t="str"/>
      <x:c r="P577" s="34" t="str"/>
      <x:c r="Q577" s="34" t="str"/>
      <x:c r="R577" s="34" t="str"/>
      <x:c r="S577" s="34" t="str"/>
      <x:c r="T577" s="34" t="str"/>
    </x:row>
    <x:row r="578">
      <x:c r="A578" s="34" t="str">
        <x:v>M5-EVAL-0573</x:v>
      </x:c>
      <x:c r="B578" s="34" t="str"/>
      <x:c r="C578" s="34" t="str"/>
      <x:c r="D578" s="34" t="str"/>
      <x:c r="E578" s="34" t="str"/>
      <x:c r="F578" s="34" t="str"/>
      <x:c r="G578" s="34" t="str"/>
      <x:c r="H578" s="34" t="str"/>
      <x:c r="I578" s="38" t="str">
        <x:f>IF(H578="","",IF(H578="完全吻合",1,IF(H578="基本吻合",0.75,IF(H578="部分吻合",0.5,IF(H578="明显不符",0,"")))))</x:f>
      </x:c>
      <x:c r="J578" s="34" t="str"/>
      <x:c r="K578" s="34" t="str"/>
      <x:c r="L578" s="34" t="str"/>
      <x:c r="M578" s="34" t="str"/>
      <x:c r="N578" s="34" t="str"/>
      <x:c r="O578" s="34" t="str"/>
      <x:c r="P578" s="34" t="str"/>
      <x:c r="Q578" s="34" t="str"/>
      <x:c r="R578" s="34" t="str"/>
      <x:c r="S578" s="34" t="str"/>
      <x:c r="T578" s="34" t="str"/>
    </x:row>
    <x:row r="579">
      <x:c r="A579" s="34" t="str">
        <x:v>M5-EVAL-0574</x:v>
      </x:c>
      <x:c r="B579" s="34" t="str"/>
      <x:c r="C579" s="34" t="str"/>
      <x:c r="D579" s="34" t="str"/>
      <x:c r="E579" s="34" t="str"/>
      <x:c r="F579" s="34" t="str"/>
      <x:c r="G579" s="34" t="str"/>
      <x:c r="H579" s="34" t="str"/>
      <x:c r="I579" s="38" t="str">
        <x:f>IF(H579="","",IF(H579="完全吻合",1,IF(H579="基本吻合",0.75,IF(H579="部分吻合",0.5,IF(H579="明显不符",0,"")))))</x:f>
      </x:c>
      <x:c r="J579" s="34" t="str"/>
      <x:c r="K579" s="34" t="str"/>
      <x:c r="L579" s="34" t="str"/>
      <x:c r="M579" s="34" t="str"/>
      <x:c r="N579" s="34" t="str"/>
      <x:c r="O579" s="34" t="str"/>
      <x:c r="P579" s="34" t="str"/>
      <x:c r="Q579" s="34" t="str"/>
      <x:c r="R579" s="34" t="str"/>
      <x:c r="S579" s="34" t="str"/>
      <x:c r="T579" s="34" t="str"/>
    </x:row>
    <x:row r="580">
      <x:c r="A580" s="34" t="str">
        <x:v>M5-EVAL-0575</x:v>
      </x:c>
      <x:c r="B580" s="34" t="str"/>
      <x:c r="C580" s="34" t="str"/>
      <x:c r="D580" s="34" t="str"/>
      <x:c r="E580" s="34" t="str"/>
      <x:c r="F580" s="34" t="str"/>
      <x:c r="G580" s="34" t="str"/>
      <x:c r="H580" s="34" t="str"/>
      <x:c r="I580" s="38" t="str">
        <x:f>IF(H580="","",IF(H580="完全吻合",1,IF(H580="基本吻合",0.75,IF(H580="部分吻合",0.5,IF(H580="明显不符",0,"")))))</x:f>
      </x:c>
      <x:c r="J580" s="34" t="str"/>
      <x:c r="K580" s="34" t="str"/>
      <x:c r="L580" s="34" t="str"/>
      <x:c r="M580" s="34" t="str"/>
      <x:c r="N580" s="34" t="str"/>
      <x:c r="O580" s="34" t="str"/>
      <x:c r="P580" s="34" t="str"/>
      <x:c r="Q580" s="34" t="str"/>
      <x:c r="R580" s="34" t="str"/>
      <x:c r="S580" s="34" t="str"/>
      <x:c r="T580" s="34" t="str"/>
    </x:row>
    <x:row r="581">
      <x:c r="A581" s="34" t="str">
        <x:v>M5-EVAL-0576</x:v>
      </x:c>
      <x:c r="B581" s="34" t="str"/>
      <x:c r="C581" s="34" t="str"/>
      <x:c r="D581" s="34" t="str"/>
      <x:c r="E581" s="34" t="str"/>
      <x:c r="F581" s="34" t="str"/>
      <x:c r="G581" s="34" t="str"/>
      <x:c r="H581" s="34" t="str"/>
      <x:c r="I581" s="38" t="str">
        <x:f>IF(H581="","",IF(H581="完全吻合",1,IF(H581="基本吻合",0.75,IF(H581="部分吻合",0.5,IF(H581="明显不符",0,"")))))</x:f>
      </x:c>
      <x:c r="J581" s="34" t="str"/>
      <x:c r="K581" s="34" t="str"/>
      <x:c r="L581" s="34" t="str"/>
      <x:c r="M581" s="34" t="str"/>
      <x:c r="N581" s="34" t="str"/>
      <x:c r="O581" s="34" t="str"/>
      <x:c r="P581" s="34" t="str"/>
      <x:c r="Q581" s="34" t="str"/>
      <x:c r="R581" s="34" t="str"/>
      <x:c r="S581" s="34" t="str"/>
      <x:c r="T581" s="34" t="str"/>
    </x:row>
    <x:row r="582">
      <x:c r="A582" s="34" t="str">
        <x:v>M5-EVAL-0577</x:v>
      </x:c>
      <x:c r="B582" s="34" t="str"/>
      <x:c r="C582" s="34" t="str"/>
      <x:c r="D582" s="34" t="str"/>
      <x:c r="E582" s="34" t="str"/>
      <x:c r="F582" s="34" t="str"/>
      <x:c r="G582" s="34" t="str"/>
      <x:c r="H582" s="34" t="str"/>
      <x:c r="I582" s="38" t="str">
        <x:f>IF(H582="","",IF(H582="完全吻合",1,IF(H582="基本吻合",0.75,IF(H582="部分吻合",0.5,IF(H582="明显不符",0,"")))))</x:f>
      </x:c>
      <x:c r="J582" s="34" t="str"/>
      <x:c r="K582" s="34" t="str"/>
      <x:c r="L582" s="34" t="str"/>
      <x:c r="M582" s="34" t="str"/>
      <x:c r="N582" s="34" t="str"/>
      <x:c r="O582" s="34" t="str"/>
      <x:c r="P582" s="34" t="str"/>
      <x:c r="Q582" s="34" t="str"/>
      <x:c r="R582" s="34" t="str"/>
      <x:c r="S582" s="34" t="str"/>
      <x:c r="T582" s="34" t="str"/>
    </x:row>
    <x:row r="583">
      <x:c r="A583" s="34" t="str">
        <x:v>M5-EVAL-0578</x:v>
      </x:c>
      <x:c r="B583" s="34" t="str"/>
      <x:c r="C583" s="34" t="str"/>
      <x:c r="D583" s="34" t="str"/>
      <x:c r="E583" s="34" t="str"/>
      <x:c r="F583" s="34" t="str"/>
      <x:c r="G583" s="34" t="str"/>
      <x:c r="H583" s="34" t="str"/>
      <x:c r="I583" s="38" t="str">
        <x:f>IF(H583="","",IF(H583="完全吻合",1,IF(H583="基本吻合",0.75,IF(H583="部分吻合",0.5,IF(H583="明显不符",0,"")))))</x:f>
      </x:c>
      <x:c r="J583" s="34" t="str"/>
      <x:c r="K583" s="34" t="str"/>
      <x:c r="L583" s="34" t="str"/>
      <x:c r="M583" s="34" t="str"/>
      <x:c r="N583" s="34" t="str"/>
      <x:c r="O583" s="34" t="str"/>
      <x:c r="P583" s="34" t="str"/>
      <x:c r="Q583" s="34" t="str"/>
      <x:c r="R583" s="34" t="str"/>
      <x:c r="S583" s="34" t="str"/>
      <x:c r="T583" s="34" t="str"/>
    </x:row>
    <x:row r="584">
      <x:c r="A584" s="34" t="str">
        <x:v>M5-EVAL-0579</x:v>
      </x:c>
      <x:c r="B584" s="34" t="str"/>
      <x:c r="C584" s="34" t="str"/>
      <x:c r="D584" s="34" t="str"/>
      <x:c r="E584" s="34" t="str"/>
      <x:c r="F584" s="34" t="str"/>
      <x:c r="G584" s="34" t="str"/>
      <x:c r="H584" s="34" t="str"/>
      <x:c r="I584" s="38" t="str">
        <x:f>IF(H584="","",IF(H584="完全吻合",1,IF(H584="基本吻合",0.75,IF(H584="部分吻合",0.5,IF(H584="明显不符",0,"")))))</x:f>
      </x:c>
      <x:c r="J584" s="34" t="str"/>
      <x:c r="K584" s="34" t="str"/>
      <x:c r="L584" s="34" t="str"/>
      <x:c r="M584" s="34" t="str"/>
      <x:c r="N584" s="34" t="str"/>
      <x:c r="O584" s="34" t="str"/>
      <x:c r="P584" s="34" t="str"/>
      <x:c r="Q584" s="34" t="str"/>
      <x:c r="R584" s="34" t="str"/>
      <x:c r="S584" s="34" t="str"/>
      <x:c r="T584" s="34" t="str"/>
    </x:row>
    <x:row r="585">
      <x:c r="A585" s="34" t="str">
        <x:v>M5-EVAL-0580</x:v>
      </x:c>
      <x:c r="B585" s="34" t="str"/>
      <x:c r="C585" s="34" t="str"/>
      <x:c r="D585" s="34" t="str"/>
      <x:c r="E585" s="34" t="str"/>
      <x:c r="F585" s="34" t="str"/>
      <x:c r="G585" s="34" t="str"/>
      <x:c r="H585" s="34" t="str"/>
      <x:c r="I585" s="38" t="str">
        <x:f>IF(H585="","",IF(H585="完全吻合",1,IF(H585="基本吻合",0.75,IF(H585="部分吻合",0.5,IF(H585="明显不符",0,"")))))</x:f>
      </x:c>
      <x:c r="J585" s="34" t="str"/>
      <x:c r="K585" s="34" t="str"/>
      <x:c r="L585" s="34" t="str"/>
      <x:c r="M585" s="34" t="str"/>
      <x:c r="N585" s="34" t="str"/>
      <x:c r="O585" s="34" t="str"/>
      <x:c r="P585" s="34" t="str"/>
      <x:c r="Q585" s="34" t="str"/>
      <x:c r="R585" s="34" t="str"/>
      <x:c r="S585" s="34" t="str"/>
      <x:c r="T585" s="34" t="str"/>
    </x:row>
    <x:row r="586">
      <x:c r="A586" s="34" t="str">
        <x:v>M5-EVAL-0581</x:v>
      </x:c>
      <x:c r="B586" s="34" t="str"/>
      <x:c r="C586" s="34" t="str"/>
      <x:c r="D586" s="34" t="str"/>
      <x:c r="E586" s="34" t="str"/>
      <x:c r="F586" s="34" t="str"/>
      <x:c r="G586" s="34" t="str"/>
      <x:c r="H586" s="34" t="str"/>
      <x:c r="I586" s="38" t="str">
        <x:f>IF(H586="","",IF(H586="完全吻合",1,IF(H586="基本吻合",0.75,IF(H586="部分吻合",0.5,IF(H586="明显不符",0,"")))))</x:f>
      </x:c>
      <x:c r="J586" s="34" t="str"/>
      <x:c r="K586" s="34" t="str"/>
      <x:c r="L586" s="34" t="str"/>
      <x:c r="M586" s="34" t="str"/>
      <x:c r="N586" s="34" t="str"/>
      <x:c r="O586" s="34" t="str"/>
      <x:c r="P586" s="34" t="str"/>
      <x:c r="Q586" s="34" t="str"/>
      <x:c r="R586" s="34" t="str"/>
      <x:c r="S586" s="34" t="str"/>
      <x:c r="T586" s="34" t="str"/>
    </x:row>
    <x:row r="587">
      <x:c r="A587" s="34" t="str">
        <x:v>M5-EVAL-0582</x:v>
      </x:c>
      <x:c r="B587" s="34" t="str"/>
      <x:c r="C587" s="34" t="str"/>
      <x:c r="D587" s="34" t="str"/>
      <x:c r="E587" s="34" t="str"/>
      <x:c r="F587" s="34" t="str"/>
      <x:c r="G587" s="34" t="str"/>
      <x:c r="H587" s="34" t="str"/>
      <x:c r="I587" s="38" t="str">
        <x:f>IF(H587="","",IF(H587="完全吻合",1,IF(H587="基本吻合",0.75,IF(H587="部分吻合",0.5,IF(H587="明显不符",0,"")))))</x:f>
      </x:c>
      <x:c r="J587" s="34" t="str"/>
      <x:c r="K587" s="34" t="str"/>
      <x:c r="L587" s="34" t="str"/>
      <x:c r="M587" s="34" t="str"/>
      <x:c r="N587" s="34" t="str"/>
      <x:c r="O587" s="34" t="str"/>
      <x:c r="P587" s="34" t="str"/>
      <x:c r="Q587" s="34" t="str"/>
      <x:c r="R587" s="34" t="str"/>
      <x:c r="S587" s="34" t="str"/>
      <x:c r="T587" s="34" t="str"/>
    </x:row>
    <x:row r="588">
      <x:c r="A588" s="34" t="str">
        <x:v>M5-EVAL-0583</x:v>
      </x:c>
      <x:c r="B588" s="34" t="str"/>
      <x:c r="C588" s="34" t="str"/>
      <x:c r="D588" s="34" t="str"/>
      <x:c r="E588" s="34" t="str"/>
      <x:c r="F588" s="34" t="str"/>
      <x:c r="G588" s="34" t="str"/>
      <x:c r="H588" s="34" t="str"/>
      <x:c r="I588" s="38" t="str">
        <x:f>IF(H588="","",IF(H588="完全吻合",1,IF(H588="基本吻合",0.75,IF(H588="部分吻合",0.5,IF(H588="明显不符",0,"")))))</x:f>
      </x:c>
      <x:c r="J588" s="34" t="str"/>
      <x:c r="K588" s="34" t="str"/>
      <x:c r="L588" s="34" t="str"/>
      <x:c r="M588" s="34" t="str"/>
      <x:c r="N588" s="34" t="str"/>
      <x:c r="O588" s="34" t="str"/>
      <x:c r="P588" s="34" t="str"/>
      <x:c r="Q588" s="34" t="str"/>
      <x:c r="R588" s="34" t="str"/>
      <x:c r="S588" s="34" t="str"/>
      <x:c r="T588" s="34" t="str"/>
    </x:row>
    <x:row r="589">
      <x:c r="A589" s="34" t="str">
        <x:v>M5-EVAL-0584</x:v>
      </x:c>
      <x:c r="B589" s="34" t="str"/>
      <x:c r="C589" s="34" t="str"/>
      <x:c r="D589" s="34" t="str"/>
      <x:c r="E589" s="34" t="str"/>
      <x:c r="F589" s="34" t="str"/>
      <x:c r="G589" s="34" t="str"/>
      <x:c r="H589" s="34" t="str"/>
      <x:c r="I589" s="38" t="str">
        <x:f>IF(H589="","",IF(H589="完全吻合",1,IF(H589="基本吻合",0.75,IF(H589="部分吻合",0.5,IF(H589="明显不符",0,"")))))</x:f>
      </x:c>
      <x:c r="J589" s="34" t="str"/>
      <x:c r="K589" s="34" t="str"/>
      <x:c r="L589" s="34" t="str"/>
      <x:c r="M589" s="34" t="str"/>
      <x:c r="N589" s="34" t="str"/>
      <x:c r="O589" s="34" t="str"/>
      <x:c r="P589" s="34" t="str"/>
      <x:c r="Q589" s="34" t="str"/>
      <x:c r="R589" s="34" t="str"/>
      <x:c r="S589" s="34" t="str"/>
      <x:c r="T589" s="34" t="str"/>
    </x:row>
    <x:row r="590">
      <x:c r="A590" s="34" t="str">
        <x:v>M5-EVAL-0585</x:v>
      </x:c>
      <x:c r="B590" s="34" t="str"/>
      <x:c r="C590" s="34" t="str"/>
      <x:c r="D590" s="34" t="str"/>
      <x:c r="E590" s="34" t="str"/>
      <x:c r="F590" s="34" t="str"/>
      <x:c r="G590" s="34" t="str"/>
      <x:c r="H590" s="34" t="str"/>
      <x:c r="I590" s="38" t="str">
        <x:f>IF(H590="","",IF(H590="完全吻合",1,IF(H590="基本吻合",0.75,IF(H590="部分吻合",0.5,IF(H590="明显不符",0,"")))))</x:f>
      </x:c>
      <x:c r="J590" s="34" t="str"/>
      <x:c r="K590" s="34" t="str"/>
      <x:c r="L590" s="34" t="str"/>
      <x:c r="M590" s="34" t="str"/>
      <x:c r="N590" s="34" t="str"/>
      <x:c r="O590" s="34" t="str"/>
      <x:c r="P590" s="34" t="str"/>
      <x:c r="Q590" s="34" t="str"/>
      <x:c r="R590" s="34" t="str"/>
      <x:c r="S590" s="34" t="str"/>
      <x:c r="T590" s="34" t="str"/>
    </x:row>
    <x:row r="591">
      <x:c r="A591" s="34" t="str">
        <x:v>M5-EVAL-0586</x:v>
      </x:c>
      <x:c r="B591" s="34" t="str"/>
      <x:c r="C591" s="34" t="str"/>
      <x:c r="D591" s="34" t="str"/>
      <x:c r="E591" s="34" t="str"/>
      <x:c r="F591" s="34" t="str"/>
      <x:c r="G591" s="34" t="str"/>
      <x:c r="H591" s="34" t="str"/>
      <x:c r="I591" s="38" t="str">
        <x:f>IF(H591="","",IF(H591="完全吻合",1,IF(H591="基本吻合",0.75,IF(H591="部分吻合",0.5,IF(H591="明显不符",0,"")))))</x:f>
      </x:c>
      <x:c r="J591" s="34" t="str"/>
      <x:c r="K591" s="34" t="str"/>
      <x:c r="L591" s="34" t="str"/>
      <x:c r="M591" s="34" t="str"/>
      <x:c r="N591" s="34" t="str"/>
      <x:c r="O591" s="34" t="str"/>
      <x:c r="P591" s="34" t="str"/>
      <x:c r="Q591" s="34" t="str"/>
      <x:c r="R591" s="34" t="str"/>
      <x:c r="S591" s="34" t="str"/>
      <x:c r="T591" s="34" t="str"/>
    </x:row>
    <x:row r="592">
      <x:c r="A592" s="34" t="str">
        <x:v>M5-EVAL-0587</x:v>
      </x:c>
      <x:c r="B592" s="34" t="str"/>
      <x:c r="C592" s="34" t="str"/>
      <x:c r="D592" s="34" t="str"/>
      <x:c r="E592" s="34" t="str"/>
      <x:c r="F592" s="34" t="str"/>
      <x:c r="G592" s="34" t="str"/>
      <x:c r="H592" s="34" t="str"/>
      <x:c r="I592" s="38" t="str">
        <x:f>IF(H592="","",IF(H592="完全吻合",1,IF(H592="基本吻合",0.75,IF(H592="部分吻合",0.5,IF(H592="明显不符",0,"")))))</x:f>
      </x:c>
      <x:c r="J592" s="34" t="str"/>
      <x:c r="K592" s="34" t="str"/>
      <x:c r="L592" s="34" t="str"/>
      <x:c r="M592" s="34" t="str"/>
      <x:c r="N592" s="34" t="str"/>
      <x:c r="O592" s="34" t="str"/>
      <x:c r="P592" s="34" t="str"/>
      <x:c r="Q592" s="34" t="str"/>
      <x:c r="R592" s="34" t="str"/>
      <x:c r="S592" s="34" t="str"/>
      <x:c r="T592" s="34" t="str"/>
    </x:row>
    <x:row r="593">
      <x:c r="A593" s="34" t="str">
        <x:v>M5-EVAL-0588</x:v>
      </x:c>
      <x:c r="B593" s="34" t="str"/>
      <x:c r="C593" s="34" t="str"/>
      <x:c r="D593" s="34" t="str"/>
      <x:c r="E593" s="34" t="str"/>
      <x:c r="F593" s="34" t="str"/>
      <x:c r="G593" s="34" t="str"/>
      <x:c r="H593" s="34" t="str"/>
      <x:c r="I593" s="38" t="str">
        <x:f>IF(H593="","",IF(H593="完全吻合",1,IF(H593="基本吻合",0.75,IF(H593="部分吻合",0.5,IF(H593="明显不符",0,"")))))</x:f>
      </x:c>
      <x:c r="J593" s="34" t="str"/>
      <x:c r="K593" s="34" t="str"/>
      <x:c r="L593" s="34" t="str"/>
      <x:c r="M593" s="34" t="str"/>
      <x:c r="N593" s="34" t="str"/>
      <x:c r="O593" s="34" t="str"/>
      <x:c r="P593" s="34" t="str"/>
      <x:c r="Q593" s="34" t="str"/>
      <x:c r="R593" s="34" t="str"/>
      <x:c r="S593" s="34" t="str"/>
      <x:c r="T593" s="34" t="str"/>
    </x:row>
    <x:row r="594">
      <x:c r="A594" s="34" t="str">
        <x:v>M5-EVAL-0589</x:v>
      </x:c>
      <x:c r="B594" s="34" t="str"/>
      <x:c r="C594" s="34" t="str"/>
      <x:c r="D594" s="34" t="str"/>
      <x:c r="E594" s="34" t="str"/>
      <x:c r="F594" s="34" t="str"/>
      <x:c r="G594" s="34" t="str"/>
      <x:c r="H594" s="34" t="str"/>
      <x:c r="I594" s="38" t="str">
        <x:f>IF(H594="","",IF(H594="完全吻合",1,IF(H594="基本吻合",0.75,IF(H594="部分吻合",0.5,IF(H594="明显不符",0,"")))))</x:f>
      </x:c>
      <x:c r="J594" s="34" t="str"/>
      <x:c r="K594" s="34" t="str"/>
      <x:c r="L594" s="34" t="str"/>
      <x:c r="M594" s="34" t="str"/>
      <x:c r="N594" s="34" t="str"/>
      <x:c r="O594" s="34" t="str"/>
      <x:c r="P594" s="34" t="str"/>
      <x:c r="Q594" s="34" t="str"/>
      <x:c r="R594" s="34" t="str"/>
      <x:c r="S594" s="34" t="str"/>
      <x:c r="T594" s="34" t="str"/>
    </x:row>
    <x:row r="595">
      <x:c r="A595" s="34" t="str">
        <x:v>M5-EVAL-0590</x:v>
      </x:c>
      <x:c r="B595" s="34" t="str"/>
      <x:c r="C595" s="34" t="str"/>
      <x:c r="D595" s="34" t="str"/>
      <x:c r="E595" s="34" t="str"/>
      <x:c r="F595" s="34" t="str"/>
      <x:c r="G595" s="34" t="str"/>
      <x:c r="H595" s="34" t="str"/>
      <x:c r="I595" s="38" t="str">
        <x:f>IF(H595="","",IF(H595="完全吻合",1,IF(H595="基本吻合",0.75,IF(H595="部分吻合",0.5,IF(H595="明显不符",0,"")))))</x:f>
      </x:c>
      <x:c r="J595" s="34" t="str"/>
      <x:c r="K595" s="34" t="str"/>
      <x:c r="L595" s="34" t="str"/>
      <x:c r="M595" s="34" t="str"/>
      <x:c r="N595" s="34" t="str"/>
      <x:c r="O595" s="34" t="str"/>
      <x:c r="P595" s="34" t="str"/>
      <x:c r="Q595" s="34" t="str"/>
      <x:c r="R595" s="34" t="str"/>
      <x:c r="S595" s="34" t="str"/>
      <x:c r="T595" s="34" t="str"/>
    </x:row>
    <x:row r="596">
      <x:c r="A596" s="34" t="str">
        <x:v>M5-EVAL-0591</x:v>
      </x:c>
      <x:c r="B596" s="34" t="str"/>
      <x:c r="C596" s="34" t="str"/>
      <x:c r="D596" s="34" t="str"/>
      <x:c r="E596" s="34" t="str"/>
      <x:c r="F596" s="34" t="str"/>
      <x:c r="G596" s="34" t="str"/>
      <x:c r="H596" s="34" t="str"/>
      <x:c r="I596" s="38" t="str">
        <x:f>IF(H596="","",IF(H596="完全吻合",1,IF(H596="基本吻合",0.75,IF(H596="部分吻合",0.5,IF(H596="明显不符",0,"")))))</x:f>
      </x:c>
      <x:c r="J596" s="34" t="str"/>
      <x:c r="K596" s="34" t="str"/>
      <x:c r="L596" s="34" t="str"/>
      <x:c r="M596" s="34" t="str"/>
      <x:c r="N596" s="34" t="str"/>
      <x:c r="O596" s="34" t="str"/>
      <x:c r="P596" s="34" t="str"/>
      <x:c r="Q596" s="34" t="str"/>
      <x:c r="R596" s="34" t="str"/>
      <x:c r="S596" s="34" t="str"/>
      <x:c r="T596" s="34" t="str"/>
    </x:row>
    <x:row r="597">
      <x:c r="A597" s="34" t="str">
        <x:v>M5-EVAL-0592</x:v>
      </x:c>
      <x:c r="B597" s="34" t="str"/>
      <x:c r="C597" s="34" t="str"/>
      <x:c r="D597" s="34" t="str"/>
      <x:c r="E597" s="34" t="str"/>
      <x:c r="F597" s="34" t="str"/>
      <x:c r="G597" s="34" t="str"/>
      <x:c r="H597" s="34" t="str"/>
      <x:c r="I597" s="38" t="str">
        <x:f>IF(H597="","",IF(H597="完全吻合",1,IF(H597="基本吻合",0.75,IF(H597="部分吻合",0.5,IF(H597="明显不符",0,"")))))</x:f>
      </x:c>
      <x:c r="J597" s="34" t="str"/>
      <x:c r="K597" s="34" t="str"/>
      <x:c r="L597" s="34" t="str"/>
      <x:c r="M597" s="34" t="str"/>
      <x:c r="N597" s="34" t="str"/>
      <x:c r="O597" s="34" t="str"/>
      <x:c r="P597" s="34" t="str"/>
      <x:c r="Q597" s="34" t="str"/>
      <x:c r="R597" s="34" t="str"/>
      <x:c r="S597" s="34" t="str"/>
      <x:c r="T597" s="34" t="str"/>
    </x:row>
    <x:row r="598">
      <x:c r="A598" s="34" t="str">
        <x:v>M5-EVAL-0593</x:v>
      </x:c>
      <x:c r="B598" s="34" t="str"/>
      <x:c r="C598" s="34" t="str"/>
      <x:c r="D598" s="34" t="str"/>
      <x:c r="E598" s="34" t="str"/>
      <x:c r="F598" s="34" t="str"/>
      <x:c r="G598" s="34" t="str"/>
      <x:c r="H598" s="34" t="str"/>
      <x:c r="I598" s="38" t="str">
        <x:f>IF(H598="","",IF(H598="完全吻合",1,IF(H598="基本吻合",0.75,IF(H598="部分吻合",0.5,IF(H598="明显不符",0,"")))))</x:f>
      </x:c>
      <x:c r="J598" s="34" t="str"/>
      <x:c r="K598" s="34" t="str"/>
      <x:c r="L598" s="34" t="str"/>
      <x:c r="M598" s="34" t="str"/>
      <x:c r="N598" s="34" t="str"/>
      <x:c r="O598" s="34" t="str"/>
      <x:c r="P598" s="34" t="str"/>
      <x:c r="Q598" s="34" t="str"/>
      <x:c r="R598" s="34" t="str"/>
      <x:c r="S598" s="34" t="str"/>
      <x:c r="T598" s="34" t="str"/>
    </x:row>
    <x:row r="599">
      <x:c r="A599" s="34" t="str">
        <x:v>M5-EVAL-0594</x:v>
      </x:c>
      <x:c r="B599" s="34" t="str"/>
      <x:c r="C599" s="34" t="str"/>
      <x:c r="D599" s="34" t="str"/>
      <x:c r="E599" s="34" t="str"/>
      <x:c r="F599" s="34" t="str"/>
      <x:c r="G599" s="34" t="str"/>
      <x:c r="H599" s="34" t="str"/>
      <x:c r="I599" s="38" t="str">
        <x:f>IF(H599="","",IF(H599="完全吻合",1,IF(H599="基本吻合",0.75,IF(H599="部分吻合",0.5,IF(H599="明显不符",0,"")))))</x:f>
      </x:c>
      <x:c r="J599" s="34" t="str"/>
      <x:c r="K599" s="34" t="str"/>
      <x:c r="L599" s="34" t="str"/>
      <x:c r="M599" s="34" t="str"/>
      <x:c r="N599" s="34" t="str"/>
      <x:c r="O599" s="34" t="str"/>
      <x:c r="P599" s="34" t="str"/>
      <x:c r="Q599" s="34" t="str"/>
      <x:c r="R599" s="34" t="str"/>
      <x:c r="S599" s="34" t="str"/>
      <x:c r="T599" s="34" t="str"/>
    </x:row>
    <x:row r="600">
      <x:c r="A600" s="34" t="str">
        <x:v>M5-EVAL-0595</x:v>
      </x:c>
      <x:c r="B600" s="34" t="str"/>
      <x:c r="C600" s="34" t="str"/>
      <x:c r="D600" s="34" t="str"/>
      <x:c r="E600" s="34" t="str"/>
      <x:c r="F600" s="34" t="str"/>
      <x:c r="G600" s="34" t="str"/>
      <x:c r="H600" s="34" t="str"/>
      <x:c r="I600" s="38" t="str">
        <x:f>IF(H600="","",IF(H600="完全吻合",1,IF(H600="基本吻合",0.75,IF(H600="部分吻合",0.5,IF(H600="明显不符",0,"")))))</x:f>
      </x:c>
      <x:c r="J600" s="34" t="str"/>
      <x:c r="K600" s="34" t="str"/>
      <x:c r="L600" s="34" t="str"/>
      <x:c r="M600" s="34" t="str"/>
      <x:c r="N600" s="34" t="str"/>
      <x:c r="O600" s="34" t="str"/>
      <x:c r="P600" s="34" t="str"/>
      <x:c r="Q600" s="34" t="str"/>
      <x:c r="R600" s="34" t="str"/>
      <x:c r="S600" s="34" t="str"/>
      <x:c r="T600" s="34" t="str"/>
    </x:row>
    <x:row r="601">
      <x:c r="A601" s="34" t="str">
        <x:v>M5-EVAL-0596</x:v>
      </x:c>
      <x:c r="B601" s="34" t="str"/>
      <x:c r="C601" s="34" t="str"/>
      <x:c r="D601" s="34" t="str"/>
      <x:c r="E601" s="34" t="str"/>
      <x:c r="F601" s="34" t="str"/>
      <x:c r="G601" s="34" t="str"/>
      <x:c r="H601" s="34" t="str"/>
      <x:c r="I601" s="38" t="str">
        <x:f>IF(H601="","",IF(H601="完全吻合",1,IF(H601="基本吻合",0.75,IF(H601="部分吻合",0.5,IF(H601="明显不符",0,"")))))</x:f>
      </x:c>
      <x:c r="J601" s="34" t="str"/>
      <x:c r="K601" s="34" t="str"/>
      <x:c r="L601" s="34" t="str"/>
      <x:c r="M601" s="34" t="str"/>
      <x:c r="N601" s="34" t="str"/>
      <x:c r="O601" s="34" t="str"/>
      <x:c r="P601" s="34" t="str"/>
      <x:c r="Q601" s="34" t="str"/>
      <x:c r="R601" s="34" t="str"/>
      <x:c r="S601" s="34" t="str"/>
      <x:c r="T601" s="34" t="str"/>
    </x:row>
    <x:row r="602">
      <x:c r="A602" s="34" t="str">
        <x:v>M5-EVAL-0597</x:v>
      </x:c>
      <x:c r="B602" s="34" t="str"/>
      <x:c r="C602" s="34" t="str"/>
      <x:c r="D602" s="34" t="str"/>
      <x:c r="E602" s="34" t="str"/>
      <x:c r="F602" s="34" t="str"/>
      <x:c r="G602" s="34" t="str"/>
      <x:c r="H602" s="34" t="str"/>
      <x:c r="I602" s="38" t="str">
        <x:f>IF(H602="","",IF(H602="完全吻合",1,IF(H602="基本吻合",0.75,IF(H602="部分吻合",0.5,IF(H602="明显不符",0,"")))))</x:f>
      </x:c>
      <x:c r="J602" s="34" t="str"/>
      <x:c r="K602" s="34" t="str"/>
      <x:c r="L602" s="34" t="str"/>
      <x:c r="M602" s="34" t="str"/>
      <x:c r="N602" s="34" t="str"/>
      <x:c r="O602" s="34" t="str"/>
      <x:c r="P602" s="34" t="str"/>
      <x:c r="Q602" s="34" t="str"/>
      <x:c r="R602" s="34" t="str"/>
      <x:c r="S602" s="34" t="str"/>
      <x:c r="T602" s="34" t="str"/>
    </x:row>
    <x:row r="603">
      <x:c r="A603" s="34" t="str">
        <x:v>M5-EVAL-0598</x:v>
      </x:c>
      <x:c r="B603" s="34" t="str"/>
      <x:c r="C603" s="34" t="str"/>
      <x:c r="D603" s="34" t="str"/>
      <x:c r="E603" s="34" t="str"/>
      <x:c r="F603" s="34" t="str"/>
      <x:c r="G603" s="34" t="str"/>
      <x:c r="H603" s="34" t="str"/>
      <x:c r="I603" s="38" t="str">
        <x:f>IF(H603="","",IF(H603="完全吻合",1,IF(H603="基本吻合",0.75,IF(H603="部分吻合",0.5,IF(H603="明显不符",0,"")))))</x:f>
      </x:c>
      <x:c r="J603" s="34" t="str"/>
      <x:c r="K603" s="34" t="str"/>
      <x:c r="L603" s="34" t="str"/>
      <x:c r="M603" s="34" t="str"/>
      <x:c r="N603" s="34" t="str"/>
      <x:c r="O603" s="34" t="str"/>
      <x:c r="P603" s="34" t="str"/>
      <x:c r="Q603" s="34" t="str"/>
      <x:c r="R603" s="34" t="str"/>
      <x:c r="S603" s="34" t="str"/>
      <x:c r="T603" s="34" t="str"/>
    </x:row>
    <x:row r="604">
      <x:c r="A604" s="34" t="str">
        <x:v>M5-EVAL-0599</x:v>
      </x:c>
      <x:c r="B604" s="34" t="str"/>
      <x:c r="C604" s="34" t="str"/>
      <x:c r="D604" s="34" t="str"/>
      <x:c r="E604" s="34" t="str"/>
      <x:c r="F604" s="34" t="str"/>
      <x:c r="G604" s="34" t="str"/>
      <x:c r="H604" s="34" t="str"/>
      <x:c r="I604" s="38" t="str">
        <x:f>IF(H604="","",IF(H604="完全吻合",1,IF(H604="基本吻合",0.75,IF(H604="部分吻合",0.5,IF(H604="明显不符",0,"")))))</x:f>
      </x:c>
      <x:c r="J604" s="34" t="str"/>
      <x:c r="K604" s="34" t="str"/>
      <x:c r="L604" s="34" t="str"/>
      <x:c r="M604" s="34" t="str"/>
      <x:c r="N604" s="34" t="str"/>
      <x:c r="O604" s="34" t="str"/>
      <x:c r="P604" s="34" t="str"/>
      <x:c r="Q604" s="34" t="str"/>
      <x:c r="R604" s="34" t="str"/>
      <x:c r="S604" s="34" t="str"/>
      <x:c r="T604" s="34" t="str"/>
    </x:row>
    <x:row r="605">
      <x:c r="A605" s="34" t="str">
        <x:v>M5-EVAL-0600</x:v>
      </x:c>
      <x:c r="B605" s="34" t="str"/>
      <x:c r="C605" s="34" t="str"/>
      <x:c r="D605" s="34" t="str"/>
      <x:c r="E605" s="34" t="str"/>
      <x:c r="F605" s="34" t="str"/>
      <x:c r="G605" s="34" t="str"/>
      <x:c r="H605" s="34" t="str"/>
      <x:c r="I605" s="38" t="str">
        <x:f>IF(H605="","",IF(H605="完全吻合",1,IF(H605="基本吻合",0.75,IF(H605="部分吻合",0.5,IF(H605="明显不符",0,"")))))</x:f>
      </x:c>
      <x:c r="J605" s="34" t="str"/>
      <x:c r="K605" s="34" t="str"/>
      <x:c r="L605" s="34" t="str"/>
      <x:c r="M605" s="34" t="str"/>
      <x:c r="N605" s="34" t="str"/>
      <x:c r="O605" s="34" t="str"/>
      <x:c r="P605" s="34" t="str"/>
      <x:c r="Q605" s="34" t="str"/>
      <x:c r="R605" s="34" t="str"/>
      <x:c r="S605" s="34" t="str"/>
      <x:c r="T605" s="34" t="str"/>
    </x:row>
    <x:row r="606">
      <x:c r="A606" s="34" t="str">
        <x:v>M5-EVAL-0601</x:v>
      </x:c>
      <x:c r="B606" s="34" t="str"/>
      <x:c r="C606" s="34" t="str"/>
      <x:c r="D606" s="34" t="str"/>
      <x:c r="E606" s="34" t="str"/>
      <x:c r="F606" s="34" t="str"/>
      <x:c r="G606" s="34" t="str"/>
      <x:c r="H606" s="34" t="str"/>
      <x:c r="I606" s="38" t="str">
        <x:f>IF(H606="","",IF(H606="完全吻合",1,IF(H606="基本吻合",0.75,IF(H606="部分吻合",0.5,IF(H606="明显不符",0,"")))))</x:f>
      </x:c>
      <x:c r="J606" s="34" t="str"/>
      <x:c r="K606" s="34" t="str"/>
      <x:c r="L606" s="34" t="str"/>
      <x:c r="M606" s="34" t="str"/>
      <x:c r="N606" s="34" t="str"/>
      <x:c r="O606" s="34" t="str"/>
      <x:c r="P606" s="34" t="str"/>
      <x:c r="Q606" s="34" t="str"/>
      <x:c r="R606" s="34" t="str"/>
      <x:c r="S606" s="34" t="str"/>
      <x:c r="T606" s="34" t="str"/>
    </x:row>
    <x:row r="607">
      <x:c r="A607" s="34" t="str">
        <x:v>M5-EVAL-0602</x:v>
      </x:c>
      <x:c r="B607" s="34" t="str"/>
      <x:c r="C607" s="34" t="str"/>
      <x:c r="D607" s="34" t="str"/>
      <x:c r="E607" s="34" t="str"/>
      <x:c r="F607" s="34" t="str"/>
      <x:c r="G607" s="34" t="str"/>
      <x:c r="H607" s="34" t="str"/>
      <x:c r="I607" s="38" t="str">
        <x:f>IF(H607="","",IF(H607="完全吻合",1,IF(H607="基本吻合",0.75,IF(H607="部分吻合",0.5,IF(H607="明显不符",0,"")))))</x:f>
      </x:c>
      <x:c r="J607" s="34" t="str"/>
      <x:c r="K607" s="34" t="str"/>
      <x:c r="L607" s="34" t="str"/>
      <x:c r="M607" s="34" t="str"/>
      <x:c r="N607" s="34" t="str"/>
      <x:c r="O607" s="34" t="str"/>
      <x:c r="P607" s="34" t="str"/>
      <x:c r="Q607" s="34" t="str"/>
      <x:c r="R607" s="34" t="str"/>
      <x:c r="S607" s="34" t="str"/>
      <x:c r="T607" s="34" t="str"/>
    </x:row>
    <x:row r="608">
      <x:c r="A608" s="34" t="str">
        <x:v>M5-EVAL-0603</x:v>
      </x:c>
      <x:c r="B608" s="34" t="str"/>
      <x:c r="C608" s="34" t="str"/>
      <x:c r="D608" s="34" t="str"/>
      <x:c r="E608" s="34" t="str"/>
      <x:c r="F608" s="34" t="str"/>
      <x:c r="G608" s="34" t="str"/>
      <x:c r="H608" s="34" t="str"/>
      <x:c r="I608" s="38" t="str">
        <x:f>IF(H608="","",IF(H608="完全吻合",1,IF(H608="基本吻合",0.75,IF(H608="部分吻合",0.5,IF(H608="明显不符",0,"")))))</x:f>
      </x:c>
      <x:c r="J608" s="34" t="str"/>
      <x:c r="K608" s="34" t="str"/>
      <x:c r="L608" s="34" t="str"/>
      <x:c r="M608" s="34" t="str"/>
      <x:c r="N608" s="34" t="str"/>
      <x:c r="O608" s="34" t="str"/>
      <x:c r="P608" s="34" t="str"/>
      <x:c r="Q608" s="34" t="str"/>
      <x:c r="R608" s="34" t="str"/>
      <x:c r="S608" s="34" t="str"/>
      <x:c r="T608" s="34" t="str"/>
    </x:row>
    <x:row r="609">
      <x:c r="A609" s="34" t="str">
        <x:v>M5-EVAL-0604</x:v>
      </x:c>
      <x:c r="B609" s="34" t="str"/>
      <x:c r="C609" s="34" t="str"/>
      <x:c r="D609" s="34" t="str"/>
      <x:c r="E609" s="34" t="str"/>
      <x:c r="F609" s="34" t="str"/>
      <x:c r="G609" s="34" t="str"/>
      <x:c r="H609" s="34" t="str"/>
      <x:c r="I609" s="38" t="str">
        <x:f>IF(H609="","",IF(H609="完全吻合",1,IF(H609="基本吻合",0.75,IF(H609="部分吻合",0.5,IF(H609="明显不符",0,"")))))</x:f>
      </x:c>
      <x:c r="J609" s="34" t="str"/>
      <x:c r="K609" s="34" t="str"/>
      <x:c r="L609" s="34" t="str"/>
      <x:c r="M609" s="34" t="str"/>
      <x:c r="N609" s="34" t="str"/>
      <x:c r="O609" s="34" t="str"/>
      <x:c r="P609" s="34" t="str"/>
      <x:c r="Q609" s="34" t="str"/>
      <x:c r="R609" s="34" t="str"/>
      <x:c r="S609" s="34" t="str"/>
      <x:c r="T609" s="34" t="str"/>
    </x:row>
    <x:row r="610">
      <x:c r="A610" s="34" t="str">
        <x:v>M5-EVAL-0605</x:v>
      </x:c>
      <x:c r="B610" s="34" t="str"/>
      <x:c r="C610" s="34" t="str"/>
      <x:c r="D610" s="34" t="str"/>
      <x:c r="E610" s="34" t="str"/>
      <x:c r="F610" s="34" t="str"/>
      <x:c r="G610" s="34" t="str"/>
      <x:c r="H610" s="34" t="str"/>
      <x:c r="I610" s="38" t="str">
        <x:f>IF(H610="","",IF(H610="完全吻合",1,IF(H610="基本吻合",0.75,IF(H610="部分吻合",0.5,IF(H610="明显不符",0,"")))))</x:f>
      </x:c>
      <x:c r="J610" s="34" t="str"/>
      <x:c r="K610" s="34" t="str"/>
      <x:c r="L610" s="34" t="str"/>
      <x:c r="M610" s="34" t="str"/>
      <x:c r="N610" s="34" t="str"/>
      <x:c r="O610" s="34" t="str"/>
      <x:c r="P610" s="34" t="str"/>
      <x:c r="Q610" s="34" t="str"/>
      <x:c r="R610" s="34" t="str"/>
      <x:c r="S610" s="34" t="str"/>
      <x:c r="T610" s="34" t="str"/>
    </x:row>
    <x:row r="611">
      <x:c r="A611" s="34" t="str">
        <x:v>M5-EVAL-0606</x:v>
      </x:c>
      <x:c r="B611" s="34" t="str"/>
      <x:c r="C611" s="34" t="str"/>
      <x:c r="D611" s="34" t="str"/>
      <x:c r="E611" s="34" t="str"/>
      <x:c r="F611" s="34" t="str"/>
      <x:c r="G611" s="34" t="str"/>
      <x:c r="H611" s="34" t="str"/>
      <x:c r="I611" s="38" t="str">
        <x:f>IF(H611="","",IF(H611="完全吻合",1,IF(H611="基本吻合",0.75,IF(H611="部分吻合",0.5,IF(H611="明显不符",0,"")))))</x:f>
      </x:c>
      <x:c r="J611" s="34" t="str"/>
      <x:c r="K611" s="34" t="str"/>
      <x:c r="L611" s="34" t="str"/>
      <x:c r="M611" s="34" t="str"/>
      <x:c r="N611" s="34" t="str"/>
      <x:c r="O611" s="34" t="str"/>
      <x:c r="P611" s="34" t="str"/>
      <x:c r="Q611" s="34" t="str"/>
      <x:c r="R611" s="34" t="str"/>
      <x:c r="S611" s="34" t="str"/>
      <x:c r="T611" s="34" t="str"/>
    </x:row>
    <x:row r="612">
      <x:c r="A612" s="34" t="str">
        <x:v>M5-EVAL-0607</x:v>
      </x:c>
      <x:c r="B612" s="34" t="str"/>
      <x:c r="C612" s="34" t="str"/>
      <x:c r="D612" s="34" t="str"/>
      <x:c r="E612" s="34" t="str"/>
      <x:c r="F612" s="34" t="str"/>
      <x:c r="G612" s="34" t="str"/>
      <x:c r="H612" s="34" t="str"/>
      <x:c r="I612" s="38" t="str">
        <x:f>IF(H612="","",IF(H612="完全吻合",1,IF(H612="基本吻合",0.75,IF(H612="部分吻合",0.5,IF(H612="明显不符",0,"")))))</x:f>
      </x:c>
      <x:c r="J612" s="34" t="str"/>
      <x:c r="K612" s="34" t="str"/>
      <x:c r="L612" s="34" t="str"/>
      <x:c r="M612" s="34" t="str"/>
      <x:c r="N612" s="34" t="str"/>
      <x:c r="O612" s="34" t="str"/>
      <x:c r="P612" s="34" t="str"/>
      <x:c r="Q612" s="34" t="str"/>
      <x:c r="R612" s="34" t="str"/>
      <x:c r="S612" s="34" t="str"/>
      <x:c r="T612" s="34" t="str"/>
    </x:row>
    <x:row r="613">
      <x:c r="A613" s="34" t="str">
        <x:v>M5-EVAL-0608</x:v>
      </x:c>
      <x:c r="B613" s="34" t="str"/>
      <x:c r="C613" s="34" t="str"/>
      <x:c r="D613" s="34" t="str"/>
      <x:c r="E613" s="34" t="str"/>
      <x:c r="F613" s="34" t="str"/>
      <x:c r="G613" s="34" t="str"/>
      <x:c r="H613" s="34" t="str"/>
      <x:c r="I613" s="38" t="str">
        <x:f>IF(H613="","",IF(H613="完全吻合",1,IF(H613="基本吻合",0.75,IF(H613="部分吻合",0.5,IF(H613="明显不符",0,"")))))</x:f>
      </x:c>
      <x:c r="J613" s="34" t="str"/>
      <x:c r="K613" s="34" t="str"/>
      <x:c r="L613" s="34" t="str"/>
      <x:c r="M613" s="34" t="str"/>
      <x:c r="N613" s="34" t="str"/>
      <x:c r="O613" s="34" t="str"/>
      <x:c r="P613" s="34" t="str"/>
      <x:c r="Q613" s="34" t="str"/>
      <x:c r="R613" s="34" t="str"/>
      <x:c r="S613" s="34" t="str"/>
      <x:c r="T613" s="34" t="str"/>
    </x:row>
    <x:row r="614">
      <x:c r="A614" s="34" t="str">
        <x:v>M5-EVAL-0609</x:v>
      </x:c>
      <x:c r="B614" s="34" t="str"/>
      <x:c r="C614" s="34" t="str"/>
      <x:c r="D614" s="34" t="str"/>
      <x:c r="E614" s="34" t="str"/>
      <x:c r="F614" s="34" t="str"/>
      <x:c r="G614" s="34" t="str"/>
      <x:c r="H614" s="34" t="str"/>
      <x:c r="I614" s="38" t="str">
        <x:f>IF(H614="","",IF(H614="完全吻合",1,IF(H614="基本吻合",0.75,IF(H614="部分吻合",0.5,IF(H614="明显不符",0,"")))))</x:f>
      </x:c>
      <x:c r="J614" s="34" t="str"/>
      <x:c r="K614" s="34" t="str"/>
      <x:c r="L614" s="34" t="str"/>
      <x:c r="M614" s="34" t="str"/>
      <x:c r="N614" s="34" t="str"/>
      <x:c r="O614" s="34" t="str"/>
      <x:c r="P614" s="34" t="str"/>
      <x:c r="Q614" s="34" t="str"/>
      <x:c r="R614" s="34" t="str"/>
      <x:c r="S614" s="34" t="str"/>
      <x:c r="T614" s="34" t="str"/>
    </x:row>
    <x:row r="615">
      <x:c r="A615" s="34" t="str">
        <x:v>M5-EVAL-0610</x:v>
      </x:c>
      <x:c r="B615" s="34" t="str"/>
      <x:c r="C615" s="34" t="str"/>
      <x:c r="D615" s="34" t="str"/>
      <x:c r="E615" s="34" t="str"/>
      <x:c r="F615" s="34" t="str"/>
      <x:c r="G615" s="34" t="str"/>
      <x:c r="H615" s="34" t="str"/>
      <x:c r="I615" s="38" t="str">
        <x:f>IF(H615="","",IF(H615="完全吻合",1,IF(H615="基本吻合",0.75,IF(H615="部分吻合",0.5,IF(H615="明显不符",0,"")))))</x:f>
      </x:c>
      <x:c r="J615" s="34" t="str"/>
      <x:c r="K615" s="34" t="str"/>
      <x:c r="L615" s="34" t="str"/>
      <x:c r="M615" s="34" t="str"/>
      <x:c r="N615" s="34" t="str"/>
      <x:c r="O615" s="34" t="str"/>
      <x:c r="P615" s="34" t="str"/>
      <x:c r="Q615" s="34" t="str"/>
      <x:c r="R615" s="34" t="str"/>
      <x:c r="S615" s="34" t="str"/>
      <x:c r="T615" s="34" t="str"/>
    </x:row>
    <x:row r="616">
      <x:c r="A616" s="34" t="str">
        <x:v>M5-EVAL-0611</x:v>
      </x:c>
      <x:c r="B616" s="34" t="str"/>
      <x:c r="C616" s="34" t="str"/>
      <x:c r="D616" s="34" t="str"/>
      <x:c r="E616" s="34" t="str"/>
      <x:c r="F616" s="34" t="str"/>
      <x:c r="G616" s="34" t="str"/>
      <x:c r="H616" s="34" t="str"/>
      <x:c r="I616" s="38" t="str">
        <x:f>IF(H616="","",IF(H616="完全吻合",1,IF(H616="基本吻合",0.75,IF(H616="部分吻合",0.5,IF(H616="明显不符",0,"")))))</x:f>
      </x:c>
      <x:c r="J616" s="34" t="str"/>
      <x:c r="K616" s="34" t="str"/>
      <x:c r="L616" s="34" t="str"/>
      <x:c r="M616" s="34" t="str"/>
      <x:c r="N616" s="34" t="str"/>
      <x:c r="O616" s="34" t="str"/>
      <x:c r="P616" s="34" t="str"/>
      <x:c r="Q616" s="34" t="str"/>
      <x:c r="R616" s="34" t="str"/>
      <x:c r="S616" s="34" t="str"/>
      <x:c r="T616" s="34" t="str"/>
    </x:row>
    <x:row r="617">
      <x:c r="A617" s="34" t="str">
        <x:v>M5-EVAL-0612</x:v>
      </x:c>
      <x:c r="B617" s="34" t="str"/>
      <x:c r="C617" s="34" t="str"/>
      <x:c r="D617" s="34" t="str"/>
      <x:c r="E617" s="34" t="str"/>
      <x:c r="F617" s="34" t="str"/>
      <x:c r="G617" s="34" t="str"/>
      <x:c r="H617" s="34" t="str"/>
      <x:c r="I617" s="38" t="str">
        <x:f>IF(H617="","",IF(H617="完全吻合",1,IF(H617="基本吻合",0.75,IF(H617="部分吻合",0.5,IF(H617="明显不符",0,"")))))</x:f>
      </x:c>
      <x:c r="J617" s="34" t="str"/>
      <x:c r="K617" s="34" t="str"/>
      <x:c r="L617" s="34" t="str"/>
      <x:c r="M617" s="34" t="str"/>
      <x:c r="N617" s="34" t="str"/>
      <x:c r="O617" s="34" t="str"/>
      <x:c r="P617" s="34" t="str"/>
      <x:c r="Q617" s="34" t="str"/>
      <x:c r="R617" s="34" t="str"/>
      <x:c r="S617" s="34" t="str"/>
      <x:c r="T617" s="34" t="str"/>
    </x:row>
    <x:row r="618">
      <x:c r="A618" s="34" t="str">
        <x:v>M5-EVAL-0613</x:v>
      </x:c>
      <x:c r="B618" s="34" t="str"/>
      <x:c r="C618" s="34" t="str"/>
      <x:c r="D618" s="34" t="str"/>
      <x:c r="E618" s="34" t="str"/>
      <x:c r="F618" s="34" t="str"/>
      <x:c r="G618" s="34" t="str"/>
      <x:c r="H618" s="34" t="str"/>
      <x:c r="I618" s="38" t="str">
        <x:f>IF(H618="","",IF(H618="完全吻合",1,IF(H618="基本吻合",0.75,IF(H618="部分吻合",0.5,IF(H618="明显不符",0,"")))))</x:f>
      </x:c>
      <x:c r="J618" s="34" t="str"/>
      <x:c r="K618" s="34" t="str"/>
      <x:c r="L618" s="34" t="str"/>
      <x:c r="M618" s="34" t="str"/>
      <x:c r="N618" s="34" t="str"/>
      <x:c r="O618" s="34" t="str"/>
      <x:c r="P618" s="34" t="str"/>
      <x:c r="Q618" s="34" t="str"/>
      <x:c r="R618" s="34" t="str"/>
      <x:c r="S618" s="34" t="str"/>
      <x:c r="T618" s="34" t="str"/>
    </x:row>
    <x:row r="619">
      <x:c r="A619" s="34" t="str">
        <x:v>M5-EVAL-0614</x:v>
      </x:c>
      <x:c r="B619" s="34" t="str"/>
      <x:c r="C619" s="34" t="str"/>
      <x:c r="D619" s="34" t="str"/>
      <x:c r="E619" s="34" t="str"/>
      <x:c r="F619" s="34" t="str"/>
      <x:c r="G619" s="34" t="str"/>
      <x:c r="H619" s="34" t="str"/>
      <x:c r="I619" s="38" t="str">
        <x:f>IF(H619="","",IF(H619="完全吻合",1,IF(H619="基本吻合",0.75,IF(H619="部分吻合",0.5,IF(H619="明显不符",0,"")))))</x:f>
      </x:c>
      <x:c r="J619" s="34" t="str"/>
      <x:c r="K619" s="34" t="str"/>
      <x:c r="L619" s="34" t="str"/>
      <x:c r="M619" s="34" t="str"/>
      <x:c r="N619" s="34" t="str"/>
      <x:c r="O619" s="34" t="str"/>
      <x:c r="P619" s="34" t="str"/>
      <x:c r="Q619" s="34" t="str"/>
      <x:c r="R619" s="34" t="str"/>
      <x:c r="S619" s="34" t="str"/>
      <x:c r="T619" s="34" t="str"/>
    </x:row>
    <x:row r="620">
      <x:c r="A620" s="34" t="str">
        <x:v>M5-EVAL-0615</x:v>
      </x:c>
      <x:c r="B620" s="34" t="str"/>
      <x:c r="C620" s="34" t="str"/>
      <x:c r="D620" s="34" t="str"/>
      <x:c r="E620" s="34" t="str"/>
      <x:c r="F620" s="34" t="str"/>
      <x:c r="G620" s="34" t="str"/>
      <x:c r="H620" s="34" t="str"/>
      <x:c r="I620" s="38" t="str">
        <x:f>IF(H620="","",IF(H620="完全吻合",1,IF(H620="基本吻合",0.75,IF(H620="部分吻合",0.5,IF(H620="明显不符",0,"")))))</x:f>
      </x:c>
      <x:c r="J620" s="34" t="str"/>
      <x:c r="K620" s="34" t="str"/>
      <x:c r="L620" s="34" t="str"/>
      <x:c r="M620" s="34" t="str"/>
      <x:c r="N620" s="34" t="str"/>
      <x:c r="O620" s="34" t="str"/>
      <x:c r="P620" s="34" t="str"/>
      <x:c r="Q620" s="34" t="str"/>
      <x:c r="R620" s="34" t="str"/>
      <x:c r="S620" s="34" t="str"/>
      <x:c r="T620" s="34" t="str"/>
    </x:row>
    <x:row r="621">
      <x:c r="A621" s="34" t="str">
        <x:v>M5-EVAL-0616</x:v>
      </x:c>
      <x:c r="B621" s="34" t="str"/>
      <x:c r="C621" s="34" t="str"/>
      <x:c r="D621" s="34" t="str"/>
      <x:c r="E621" s="34" t="str"/>
      <x:c r="F621" s="34" t="str"/>
      <x:c r="G621" s="34" t="str"/>
      <x:c r="H621" s="34" t="str"/>
      <x:c r="I621" s="38" t="str">
        <x:f>IF(H621="","",IF(H621="完全吻合",1,IF(H621="基本吻合",0.75,IF(H621="部分吻合",0.5,IF(H621="明显不符",0,"")))))</x:f>
      </x:c>
      <x:c r="J621" s="34" t="str"/>
      <x:c r="K621" s="34" t="str"/>
      <x:c r="L621" s="34" t="str"/>
      <x:c r="M621" s="34" t="str"/>
      <x:c r="N621" s="34" t="str"/>
      <x:c r="O621" s="34" t="str"/>
      <x:c r="P621" s="34" t="str"/>
      <x:c r="Q621" s="34" t="str"/>
      <x:c r="R621" s="34" t="str"/>
      <x:c r="S621" s="34" t="str"/>
      <x:c r="T621" s="34" t="str"/>
    </x:row>
    <x:row r="622">
      <x:c r="A622" s="34" t="str">
        <x:v>M5-EVAL-0617</x:v>
      </x:c>
      <x:c r="B622" s="34" t="str"/>
      <x:c r="C622" s="34" t="str"/>
      <x:c r="D622" s="34" t="str"/>
      <x:c r="E622" s="34" t="str"/>
      <x:c r="F622" s="34" t="str"/>
      <x:c r="G622" s="34" t="str"/>
      <x:c r="H622" s="34" t="str"/>
      <x:c r="I622" s="38" t="str">
        <x:f>IF(H622="","",IF(H622="完全吻合",1,IF(H622="基本吻合",0.75,IF(H622="部分吻合",0.5,IF(H622="明显不符",0,"")))))</x:f>
      </x:c>
      <x:c r="J622" s="34" t="str"/>
      <x:c r="K622" s="34" t="str"/>
      <x:c r="L622" s="34" t="str"/>
      <x:c r="M622" s="34" t="str"/>
      <x:c r="N622" s="34" t="str"/>
      <x:c r="O622" s="34" t="str"/>
      <x:c r="P622" s="34" t="str"/>
      <x:c r="Q622" s="34" t="str"/>
      <x:c r="R622" s="34" t="str"/>
      <x:c r="S622" s="34" t="str"/>
      <x:c r="T622" s="34" t="str"/>
    </x:row>
    <x:row r="623">
      <x:c r="A623" s="34" t="str">
        <x:v>M5-EVAL-0618</x:v>
      </x:c>
      <x:c r="B623" s="34" t="str"/>
      <x:c r="C623" s="34" t="str"/>
      <x:c r="D623" s="34" t="str"/>
      <x:c r="E623" s="34" t="str"/>
      <x:c r="F623" s="34" t="str"/>
      <x:c r="G623" s="34" t="str"/>
      <x:c r="H623" s="34" t="str"/>
      <x:c r="I623" s="38" t="str">
        <x:f>IF(H623="","",IF(H623="完全吻合",1,IF(H623="基本吻合",0.75,IF(H623="部分吻合",0.5,IF(H623="明显不符",0,"")))))</x:f>
      </x:c>
      <x:c r="J623" s="34" t="str"/>
      <x:c r="K623" s="34" t="str"/>
      <x:c r="L623" s="34" t="str"/>
      <x:c r="M623" s="34" t="str"/>
      <x:c r="N623" s="34" t="str"/>
      <x:c r="O623" s="34" t="str"/>
      <x:c r="P623" s="34" t="str"/>
      <x:c r="Q623" s="34" t="str"/>
      <x:c r="R623" s="34" t="str"/>
      <x:c r="S623" s="34" t="str"/>
      <x:c r="T623" s="34" t="str"/>
    </x:row>
    <x:row r="624">
      <x:c r="A624" s="34" t="str">
        <x:v>M5-EVAL-0619</x:v>
      </x:c>
      <x:c r="B624" s="34" t="str"/>
      <x:c r="C624" s="34" t="str"/>
      <x:c r="D624" s="34" t="str"/>
      <x:c r="E624" s="34" t="str"/>
      <x:c r="F624" s="34" t="str"/>
      <x:c r="G624" s="34" t="str"/>
      <x:c r="H624" s="34" t="str"/>
      <x:c r="I624" s="38" t="str">
        <x:f>IF(H624="","",IF(H624="完全吻合",1,IF(H624="基本吻合",0.75,IF(H624="部分吻合",0.5,IF(H624="明显不符",0,"")))))</x:f>
      </x:c>
      <x:c r="J624" s="34" t="str"/>
      <x:c r="K624" s="34" t="str"/>
      <x:c r="L624" s="34" t="str"/>
      <x:c r="M624" s="34" t="str"/>
      <x:c r="N624" s="34" t="str"/>
      <x:c r="O624" s="34" t="str"/>
      <x:c r="P624" s="34" t="str"/>
      <x:c r="Q624" s="34" t="str"/>
      <x:c r="R624" s="34" t="str"/>
      <x:c r="S624" s="34" t="str"/>
      <x:c r="T624" s="34" t="str"/>
    </x:row>
    <x:row r="625">
      <x:c r="A625" s="34" t="str">
        <x:v>M5-EVAL-0620</x:v>
      </x:c>
      <x:c r="B625" s="34" t="str"/>
      <x:c r="C625" s="34" t="str"/>
      <x:c r="D625" s="34" t="str"/>
      <x:c r="E625" s="34" t="str"/>
      <x:c r="F625" s="34" t="str"/>
      <x:c r="G625" s="34" t="str"/>
      <x:c r="H625" s="34" t="str"/>
      <x:c r="I625" s="38" t="str">
        <x:f>IF(H625="","",IF(H625="完全吻合",1,IF(H625="基本吻合",0.75,IF(H625="部分吻合",0.5,IF(H625="明显不符",0,"")))))</x:f>
      </x:c>
      <x:c r="J625" s="34" t="str"/>
      <x:c r="K625" s="34" t="str"/>
      <x:c r="L625" s="34" t="str"/>
      <x:c r="M625" s="34" t="str"/>
      <x:c r="N625" s="34" t="str"/>
      <x:c r="O625" s="34" t="str"/>
      <x:c r="P625" s="34" t="str"/>
      <x:c r="Q625" s="34" t="str"/>
      <x:c r="R625" s="34" t="str"/>
      <x:c r="S625" s="34" t="str"/>
      <x:c r="T625" s="34" t="str"/>
    </x:row>
    <x:row r="626">
      <x:c r="A626" s="34" t="str">
        <x:v>M5-EVAL-0621</x:v>
      </x:c>
      <x:c r="B626" s="34" t="str"/>
      <x:c r="C626" s="34" t="str"/>
      <x:c r="D626" s="34" t="str"/>
      <x:c r="E626" s="34" t="str"/>
      <x:c r="F626" s="34" t="str"/>
      <x:c r="G626" s="34" t="str"/>
      <x:c r="H626" s="34" t="str"/>
      <x:c r="I626" s="38" t="str">
        <x:f>IF(H626="","",IF(H626="完全吻合",1,IF(H626="基本吻合",0.75,IF(H626="部分吻合",0.5,IF(H626="明显不符",0,"")))))</x:f>
      </x:c>
      <x:c r="J626" s="34" t="str"/>
      <x:c r="K626" s="34" t="str"/>
      <x:c r="L626" s="34" t="str"/>
      <x:c r="M626" s="34" t="str"/>
      <x:c r="N626" s="34" t="str"/>
      <x:c r="O626" s="34" t="str"/>
      <x:c r="P626" s="34" t="str"/>
      <x:c r="Q626" s="34" t="str"/>
      <x:c r="R626" s="34" t="str"/>
      <x:c r="S626" s="34" t="str"/>
      <x:c r="T626" s="34" t="str"/>
    </x:row>
    <x:row r="627">
      <x:c r="A627" s="34" t="str">
        <x:v>M5-EVAL-0622</x:v>
      </x:c>
      <x:c r="B627" s="34" t="str"/>
      <x:c r="C627" s="34" t="str"/>
      <x:c r="D627" s="34" t="str"/>
      <x:c r="E627" s="34" t="str"/>
      <x:c r="F627" s="34" t="str"/>
      <x:c r="G627" s="34" t="str"/>
      <x:c r="H627" s="34" t="str"/>
      <x:c r="I627" s="38" t="str">
        <x:f>IF(H627="","",IF(H627="完全吻合",1,IF(H627="基本吻合",0.75,IF(H627="部分吻合",0.5,IF(H627="明显不符",0,"")))))</x:f>
      </x:c>
      <x:c r="J627" s="34" t="str"/>
      <x:c r="K627" s="34" t="str"/>
      <x:c r="L627" s="34" t="str"/>
      <x:c r="M627" s="34" t="str"/>
      <x:c r="N627" s="34" t="str"/>
      <x:c r="O627" s="34" t="str"/>
      <x:c r="P627" s="34" t="str"/>
      <x:c r="Q627" s="34" t="str"/>
      <x:c r="R627" s="34" t="str"/>
      <x:c r="S627" s="34" t="str"/>
      <x:c r="T627" s="34" t="str"/>
    </x:row>
    <x:row r="628">
      <x:c r="A628" s="34" t="str">
        <x:v>M5-EVAL-0623</x:v>
      </x:c>
      <x:c r="B628" s="34" t="str"/>
      <x:c r="C628" s="34" t="str"/>
      <x:c r="D628" s="34" t="str"/>
      <x:c r="E628" s="34" t="str"/>
      <x:c r="F628" s="34" t="str"/>
      <x:c r="G628" s="34" t="str"/>
      <x:c r="H628" s="34" t="str"/>
      <x:c r="I628" s="38" t="str">
        <x:f>IF(H628="","",IF(H628="完全吻合",1,IF(H628="基本吻合",0.75,IF(H628="部分吻合",0.5,IF(H628="明显不符",0,"")))))</x:f>
      </x:c>
      <x:c r="J628" s="34" t="str"/>
      <x:c r="K628" s="34" t="str"/>
      <x:c r="L628" s="34" t="str"/>
      <x:c r="M628" s="34" t="str"/>
      <x:c r="N628" s="34" t="str"/>
      <x:c r="O628" s="34" t="str"/>
      <x:c r="P628" s="34" t="str"/>
      <x:c r="Q628" s="34" t="str"/>
      <x:c r="R628" s="34" t="str"/>
      <x:c r="S628" s="34" t="str"/>
      <x:c r="T628" s="34" t="str"/>
    </x:row>
    <x:row r="629">
      <x:c r="A629" s="34" t="str">
        <x:v>M5-EVAL-0624</x:v>
      </x:c>
      <x:c r="B629" s="34" t="str"/>
      <x:c r="C629" s="34" t="str"/>
      <x:c r="D629" s="34" t="str"/>
      <x:c r="E629" s="34" t="str"/>
      <x:c r="F629" s="34" t="str"/>
      <x:c r="G629" s="34" t="str"/>
      <x:c r="H629" s="34" t="str"/>
      <x:c r="I629" s="38" t="str">
        <x:f>IF(H629="","",IF(H629="完全吻合",1,IF(H629="基本吻合",0.75,IF(H629="部分吻合",0.5,IF(H629="明显不符",0,"")))))</x:f>
      </x:c>
      <x:c r="J629" s="34" t="str"/>
      <x:c r="K629" s="34" t="str"/>
      <x:c r="L629" s="34" t="str"/>
      <x:c r="M629" s="34" t="str"/>
      <x:c r="N629" s="34" t="str"/>
      <x:c r="O629" s="34" t="str"/>
      <x:c r="P629" s="34" t="str"/>
      <x:c r="Q629" s="34" t="str"/>
      <x:c r="R629" s="34" t="str"/>
      <x:c r="S629" s="34" t="str"/>
      <x:c r="T629" s="34" t="str"/>
    </x:row>
    <x:row r="630">
      <x:c r="A630" s="34" t="str">
        <x:v>M5-EVAL-0625</x:v>
      </x:c>
      <x:c r="B630" s="34" t="str"/>
      <x:c r="C630" s="34" t="str"/>
      <x:c r="D630" s="34" t="str"/>
      <x:c r="E630" s="34" t="str"/>
      <x:c r="F630" s="34" t="str"/>
      <x:c r="G630" s="34" t="str"/>
      <x:c r="H630" s="34" t="str"/>
      <x:c r="I630" s="38" t="str">
        <x:f>IF(H630="","",IF(H630="完全吻合",1,IF(H630="基本吻合",0.75,IF(H630="部分吻合",0.5,IF(H630="明显不符",0,"")))))</x:f>
      </x:c>
      <x:c r="J630" s="34" t="str"/>
      <x:c r="K630" s="34" t="str"/>
      <x:c r="L630" s="34" t="str"/>
      <x:c r="M630" s="34" t="str"/>
      <x:c r="N630" s="34" t="str"/>
      <x:c r="O630" s="34" t="str"/>
      <x:c r="P630" s="34" t="str"/>
      <x:c r="Q630" s="34" t="str"/>
      <x:c r="R630" s="34" t="str"/>
      <x:c r="S630" s="34" t="str"/>
      <x:c r="T630" s="34" t="str"/>
    </x:row>
    <x:row r="631">
      <x:c r="A631" s="34" t="str">
        <x:v>M5-EVAL-0626</x:v>
      </x:c>
      <x:c r="B631" s="34" t="str"/>
      <x:c r="C631" s="34" t="str"/>
      <x:c r="D631" s="34" t="str"/>
      <x:c r="E631" s="34" t="str"/>
      <x:c r="F631" s="34" t="str"/>
      <x:c r="G631" s="34" t="str"/>
      <x:c r="H631" s="34" t="str"/>
      <x:c r="I631" s="38" t="str">
        <x:f>IF(H631="","",IF(H631="完全吻合",1,IF(H631="基本吻合",0.75,IF(H631="部分吻合",0.5,IF(H631="明显不符",0,"")))))</x:f>
      </x:c>
      <x:c r="J631" s="34" t="str"/>
      <x:c r="K631" s="34" t="str"/>
      <x:c r="L631" s="34" t="str"/>
      <x:c r="M631" s="34" t="str"/>
      <x:c r="N631" s="34" t="str"/>
      <x:c r="O631" s="34" t="str"/>
      <x:c r="P631" s="34" t="str"/>
      <x:c r="Q631" s="34" t="str"/>
      <x:c r="R631" s="34" t="str"/>
      <x:c r="S631" s="34" t="str"/>
      <x:c r="T631" s="34" t="str"/>
    </x:row>
    <x:row r="632">
      <x:c r="A632" s="34" t="str">
        <x:v>M5-EVAL-0627</x:v>
      </x:c>
      <x:c r="B632" s="34" t="str"/>
      <x:c r="C632" s="34" t="str"/>
      <x:c r="D632" s="34" t="str"/>
      <x:c r="E632" s="34" t="str"/>
      <x:c r="F632" s="34" t="str"/>
      <x:c r="G632" s="34" t="str"/>
      <x:c r="H632" s="34" t="str"/>
      <x:c r="I632" s="38" t="str">
        <x:f>IF(H632="","",IF(H632="完全吻合",1,IF(H632="基本吻合",0.75,IF(H632="部分吻合",0.5,IF(H632="明显不符",0,"")))))</x:f>
      </x:c>
      <x:c r="J632" s="34" t="str"/>
      <x:c r="K632" s="34" t="str"/>
      <x:c r="L632" s="34" t="str"/>
      <x:c r="M632" s="34" t="str"/>
      <x:c r="N632" s="34" t="str"/>
      <x:c r="O632" s="34" t="str"/>
      <x:c r="P632" s="34" t="str"/>
      <x:c r="Q632" s="34" t="str"/>
      <x:c r="R632" s="34" t="str"/>
      <x:c r="S632" s="34" t="str"/>
      <x:c r="T632" s="34" t="str"/>
    </x:row>
    <x:row r="633">
      <x:c r="A633" s="34" t="str">
        <x:v>M5-EVAL-0628</x:v>
      </x:c>
      <x:c r="B633" s="34" t="str"/>
      <x:c r="C633" s="34" t="str"/>
      <x:c r="D633" s="34" t="str"/>
      <x:c r="E633" s="34" t="str"/>
      <x:c r="F633" s="34" t="str"/>
      <x:c r="G633" s="34" t="str"/>
      <x:c r="H633" s="34" t="str"/>
      <x:c r="I633" s="38" t="str">
        <x:f>IF(H633="","",IF(H633="完全吻合",1,IF(H633="基本吻合",0.75,IF(H633="部分吻合",0.5,IF(H633="明显不符",0,"")))))</x:f>
      </x:c>
      <x:c r="J633" s="34" t="str"/>
      <x:c r="K633" s="34" t="str"/>
      <x:c r="L633" s="34" t="str"/>
      <x:c r="M633" s="34" t="str"/>
      <x:c r="N633" s="34" t="str"/>
      <x:c r="O633" s="34" t="str"/>
      <x:c r="P633" s="34" t="str"/>
      <x:c r="Q633" s="34" t="str"/>
      <x:c r="R633" s="34" t="str"/>
      <x:c r="S633" s="34" t="str"/>
      <x:c r="T633" s="34" t="str"/>
    </x:row>
    <x:row r="634">
      <x:c r="A634" s="34" t="str">
        <x:v>M5-EVAL-0629</x:v>
      </x:c>
      <x:c r="B634" s="34" t="str"/>
      <x:c r="C634" s="34" t="str"/>
      <x:c r="D634" s="34" t="str"/>
      <x:c r="E634" s="34" t="str"/>
      <x:c r="F634" s="34" t="str"/>
      <x:c r="G634" s="34" t="str"/>
      <x:c r="H634" s="34" t="str"/>
      <x:c r="I634" s="38" t="str">
        <x:f>IF(H634="","",IF(H634="完全吻合",1,IF(H634="基本吻合",0.75,IF(H634="部分吻合",0.5,IF(H634="明显不符",0,"")))))</x:f>
      </x:c>
      <x:c r="J634" s="34" t="str"/>
      <x:c r="K634" s="34" t="str"/>
      <x:c r="L634" s="34" t="str"/>
      <x:c r="M634" s="34" t="str"/>
      <x:c r="N634" s="34" t="str"/>
      <x:c r="O634" s="34" t="str"/>
      <x:c r="P634" s="34" t="str"/>
      <x:c r="Q634" s="34" t="str"/>
      <x:c r="R634" s="34" t="str"/>
      <x:c r="S634" s="34" t="str"/>
      <x:c r="T634" s="34" t="str"/>
    </x:row>
    <x:row r="635">
      <x:c r="A635" s="34" t="str">
        <x:v>M5-EVAL-0630</x:v>
      </x:c>
      <x:c r="B635" s="34" t="str"/>
      <x:c r="C635" s="34" t="str"/>
      <x:c r="D635" s="34" t="str"/>
      <x:c r="E635" s="34" t="str"/>
      <x:c r="F635" s="34" t="str"/>
      <x:c r="G635" s="34" t="str"/>
      <x:c r="H635" s="34" t="str"/>
      <x:c r="I635" s="38" t="str">
        <x:f>IF(H635="","",IF(H635="完全吻合",1,IF(H635="基本吻合",0.75,IF(H635="部分吻合",0.5,IF(H635="明显不符",0,"")))))</x:f>
      </x:c>
      <x:c r="J635" s="34" t="str"/>
      <x:c r="K635" s="34" t="str"/>
      <x:c r="L635" s="34" t="str"/>
      <x:c r="M635" s="34" t="str"/>
      <x:c r="N635" s="34" t="str"/>
      <x:c r="O635" s="34" t="str"/>
      <x:c r="P635" s="34" t="str"/>
      <x:c r="Q635" s="34" t="str"/>
      <x:c r="R635" s="34" t="str"/>
      <x:c r="S635" s="34" t="str"/>
      <x:c r="T635" s="34" t="str"/>
    </x:row>
    <x:row r="636">
      <x:c r="A636" s="34" t="str">
        <x:v>M5-EVAL-0631</x:v>
      </x:c>
      <x:c r="B636" s="34" t="str"/>
      <x:c r="C636" s="34" t="str"/>
      <x:c r="D636" s="34" t="str"/>
      <x:c r="E636" s="34" t="str"/>
      <x:c r="F636" s="34" t="str"/>
      <x:c r="G636" s="34" t="str"/>
      <x:c r="H636" s="34" t="str"/>
      <x:c r="I636" s="38" t="str">
        <x:f>IF(H636="","",IF(H636="完全吻合",1,IF(H636="基本吻合",0.75,IF(H636="部分吻合",0.5,IF(H636="明显不符",0,"")))))</x:f>
      </x:c>
      <x:c r="J636" s="34" t="str"/>
      <x:c r="K636" s="34" t="str"/>
      <x:c r="L636" s="34" t="str"/>
      <x:c r="M636" s="34" t="str"/>
      <x:c r="N636" s="34" t="str"/>
      <x:c r="O636" s="34" t="str"/>
      <x:c r="P636" s="34" t="str"/>
      <x:c r="Q636" s="34" t="str"/>
      <x:c r="R636" s="34" t="str"/>
      <x:c r="S636" s="34" t="str"/>
      <x:c r="T636" s="34" t="str"/>
    </x:row>
    <x:row r="637">
      <x:c r="A637" s="34" t="str">
        <x:v>M5-EVAL-0632</x:v>
      </x:c>
      <x:c r="B637" s="34" t="str"/>
      <x:c r="C637" s="34" t="str"/>
      <x:c r="D637" s="34" t="str"/>
      <x:c r="E637" s="34" t="str"/>
      <x:c r="F637" s="34" t="str"/>
      <x:c r="G637" s="34" t="str"/>
      <x:c r="H637" s="34" t="str"/>
      <x:c r="I637" s="38" t="str">
        <x:f>IF(H637="","",IF(H637="完全吻合",1,IF(H637="基本吻合",0.75,IF(H637="部分吻合",0.5,IF(H637="明显不符",0,"")))))</x:f>
      </x:c>
      <x:c r="J637" s="34" t="str"/>
      <x:c r="K637" s="34" t="str"/>
      <x:c r="L637" s="34" t="str"/>
      <x:c r="M637" s="34" t="str"/>
      <x:c r="N637" s="34" t="str"/>
      <x:c r="O637" s="34" t="str"/>
      <x:c r="P637" s="34" t="str"/>
      <x:c r="Q637" s="34" t="str"/>
      <x:c r="R637" s="34" t="str"/>
      <x:c r="S637" s="34" t="str"/>
      <x:c r="T637" s="34" t="str"/>
    </x:row>
    <x:row r="638">
      <x:c r="A638" s="34" t="str">
        <x:v>M5-EVAL-0633</x:v>
      </x:c>
      <x:c r="B638" s="34" t="str"/>
      <x:c r="C638" s="34" t="str"/>
      <x:c r="D638" s="34" t="str"/>
      <x:c r="E638" s="34" t="str"/>
      <x:c r="F638" s="34" t="str"/>
      <x:c r="G638" s="34" t="str"/>
      <x:c r="H638" s="34" t="str"/>
      <x:c r="I638" s="38" t="str">
        <x:f>IF(H638="","",IF(H638="完全吻合",1,IF(H638="基本吻合",0.75,IF(H638="部分吻合",0.5,IF(H638="明显不符",0,"")))))</x:f>
      </x:c>
      <x:c r="J638" s="34" t="str"/>
      <x:c r="K638" s="34" t="str"/>
      <x:c r="L638" s="34" t="str"/>
      <x:c r="M638" s="34" t="str"/>
      <x:c r="N638" s="34" t="str"/>
      <x:c r="O638" s="34" t="str"/>
      <x:c r="P638" s="34" t="str"/>
      <x:c r="Q638" s="34" t="str"/>
      <x:c r="R638" s="34" t="str"/>
      <x:c r="S638" s="34" t="str"/>
      <x:c r="T638" s="34" t="str"/>
    </x:row>
    <x:row r="639">
      <x:c r="A639" s="34" t="str">
        <x:v>M5-EVAL-0634</x:v>
      </x:c>
      <x:c r="B639" s="34" t="str"/>
      <x:c r="C639" s="34" t="str"/>
      <x:c r="D639" s="34" t="str"/>
      <x:c r="E639" s="34" t="str"/>
      <x:c r="F639" s="34" t="str"/>
      <x:c r="G639" s="34" t="str"/>
      <x:c r="H639" s="34" t="str"/>
      <x:c r="I639" s="38" t="str">
        <x:f>IF(H639="","",IF(H639="完全吻合",1,IF(H639="基本吻合",0.75,IF(H639="部分吻合",0.5,IF(H639="明显不符",0,"")))))</x:f>
      </x:c>
      <x:c r="J639" s="34" t="str"/>
      <x:c r="K639" s="34" t="str"/>
      <x:c r="L639" s="34" t="str"/>
      <x:c r="M639" s="34" t="str"/>
      <x:c r="N639" s="34" t="str"/>
      <x:c r="O639" s="34" t="str"/>
      <x:c r="P639" s="34" t="str"/>
      <x:c r="Q639" s="34" t="str"/>
      <x:c r="R639" s="34" t="str"/>
      <x:c r="S639" s="34" t="str"/>
      <x:c r="T639" s="34" t="str"/>
    </x:row>
    <x:row r="640">
      <x:c r="A640" s="34" t="str">
        <x:v>M5-EVAL-0635</x:v>
      </x:c>
      <x:c r="B640" s="34" t="str"/>
      <x:c r="C640" s="34" t="str"/>
      <x:c r="D640" s="34" t="str"/>
      <x:c r="E640" s="34" t="str"/>
      <x:c r="F640" s="34" t="str"/>
      <x:c r="G640" s="34" t="str"/>
      <x:c r="H640" s="34" t="str"/>
      <x:c r="I640" s="38" t="str">
        <x:f>IF(H640="","",IF(H640="完全吻合",1,IF(H640="基本吻合",0.75,IF(H640="部分吻合",0.5,IF(H640="明显不符",0,"")))))</x:f>
      </x:c>
      <x:c r="J640" s="34" t="str"/>
      <x:c r="K640" s="34" t="str"/>
      <x:c r="L640" s="34" t="str"/>
      <x:c r="M640" s="34" t="str"/>
      <x:c r="N640" s="34" t="str"/>
      <x:c r="O640" s="34" t="str"/>
      <x:c r="P640" s="34" t="str"/>
      <x:c r="Q640" s="34" t="str"/>
      <x:c r="R640" s="34" t="str"/>
      <x:c r="S640" s="34" t="str"/>
      <x:c r="T640" s="34" t="str"/>
    </x:row>
    <x:row r="641">
      <x:c r="A641" s="34" t="str">
        <x:v>M5-EVAL-0636</x:v>
      </x:c>
      <x:c r="B641" s="34" t="str"/>
      <x:c r="C641" s="34" t="str"/>
      <x:c r="D641" s="34" t="str"/>
      <x:c r="E641" s="34" t="str"/>
      <x:c r="F641" s="34" t="str"/>
      <x:c r="G641" s="34" t="str"/>
      <x:c r="H641" s="34" t="str"/>
      <x:c r="I641" s="38" t="str">
        <x:f>IF(H641="","",IF(H641="完全吻合",1,IF(H641="基本吻合",0.75,IF(H641="部分吻合",0.5,IF(H641="明显不符",0,"")))))</x:f>
      </x:c>
      <x:c r="J641" s="34" t="str"/>
      <x:c r="K641" s="34" t="str"/>
      <x:c r="L641" s="34" t="str"/>
      <x:c r="M641" s="34" t="str"/>
      <x:c r="N641" s="34" t="str"/>
      <x:c r="O641" s="34" t="str"/>
      <x:c r="P641" s="34" t="str"/>
      <x:c r="Q641" s="34" t="str"/>
      <x:c r="R641" s="34" t="str"/>
      <x:c r="S641" s="34" t="str"/>
      <x:c r="T641" s="34" t="str"/>
    </x:row>
    <x:row r="642">
      <x:c r="A642" s="34" t="str">
        <x:v>M5-EVAL-0637</x:v>
      </x:c>
      <x:c r="B642" s="34" t="str"/>
      <x:c r="C642" s="34" t="str"/>
      <x:c r="D642" s="34" t="str"/>
      <x:c r="E642" s="34" t="str"/>
      <x:c r="F642" s="34" t="str"/>
      <x:c r="G642" s="34" t="str"/>
      <x:c r="H642" s="34" t="str"/>
      <x:c r="I642" s="38" t="str">
        <x:f>IF(H642="","",IF(H642="完全吻合",1,IF(H642="基本吻合",0.75,IF(H642="部分吻合",0.5,IF(H642="明显不符",0,"")))))</x:f>
      </x:c>
      <x:c r="J642" s="34" t="str"/>
      <x:c r="K642" s="34" t="str"/>
      <x:c r="L642" s="34" t="str"/>
      <x:c r="M642" s="34" t="str"/>
      <x:c r="N642" s="34" t="str"/>
      <x:c r="O642" s="34" t="str"/>
      <x:c r="P642" s="34" t="str"/>
      <x:c r="Q642" s="34" t="str"/>
      <x:c r="R642" s="34" t="str"/>
      <x:c r="S642" s="34" t="str"/>
      <x:c r="T642" s="34" t="str"/>
    </x:row>
    <x:row r="643">
      <x:c r="A643" s="34" t="str">
        <x:v>M5-EVAL-0638</x:v>
      </x:c>
      <x:c r="B643" s="34" t="str"/>
      <x:c r="C643" s="34" t="str"/>
      <x:c r="D643" s="34" t="str"/>
      <x:c r="E643" s="34" t="str"/>
      <x:c r="F643" s="34" t="str"/>
      <x:c r="G643" s="34" t="str"/>
      <x:c r="H643" s="34" t="str"/>
      <x:c r="I643" s="38" t="str">
        <x:f>IF(H643="","",IF(H643="完全吻合",1,IF(H643="基本吻合",0.75,IF(H643="部分吻合",0.5,IF(H643="明显不符",0,"")))))</x:f>
      </x:c>
      <x:c r="J643" s="34" t="str"/>
      <x:c r="K643" s="34" t="str"/>
      <x:c r="L643" s="34" t="str"/>
      <x:c r="M643" s="34" t="str"/>
      <x:c r="N643" s="34" t="str"/>
      <x:c r="O643" s="34" t="str"/>
      <x:c r="P643" s="34" t="str"/>
      <x:c r="Q643" s="34" t="str"/>
      <x:c r="R643" s="34" t="str"/>
      <x:c r="S643" s="34" t="str"/>
      <x:c r="T643" s="34" t="str"/>
    </x:row>
    <x:row r="644">
      <x:c r="A644" s="34" t="str">
        <x:v>M5-EVAL-0639</x:v>
      </x:c>
      <x:c r="B644" s="34" t="str"/>
      <x:c r="C644" s="34" t="str"/>
      <x:c r="D644" s="34" t="str"/>
      <x:c r="E644" s="34" t="str"/>
      <x:c r="F644" s="34" t="str"/>
      <x:c r="G644" s="34" t="str"/>
      <x:c r="H644" s="34" t="str"/>
      <x:c r="I644" s="38" t="str">
        <x:f>IF(H644="","",IF(H644="完全吻合",1,IF(H644="基本吻合",0.75,IF(H644="部分吻合",0.5,IF(H644="明显不符",0,"")))))</x:f>
      </x:c>
      <x:c r="J644" s="34" t="str"/>
      <x:c r="K644" s="34" t="str"/>
      <x:c r="L644" s="34" t="str"/>
      <x:c r="M644" s="34" t="str"/>
      <x:c r="N644" s="34" t="str"/>
      <x:c r="O644" s="34" t="str"/>
      <x:c r="P644" s="34" t="str"/>
      <x:c r="Q644" s="34" t="str"/>
      <x:c r="R644" s="34" t="str"/>
      <x:c r="S644" s="34" t="str"/>
      <x:c r="T644" s="34" t="str"/>
    </x:row>
    <x:row r="645">
      <x:c r="A645" s="34" t="str">
        <x:v>M5-EVAL-0640</x:v>
      </x:c>
      <x:c r="B645" s="34" t="str"/>
      <x:c r="C645" s="34" t="str"/>
      <x:c r="D645" s="34" t="str"/>
      <x:c r="E645" s="34" t="str"/>
      <x:c r="F645" s="34" t="str"/>
      <x:c r="G645" s="34" t="str"/>
      <x:c r="H645" s="34" t="str"/>
      <x:c r="I645" s="38" t="str">
        <x:f>IF(H645="","",IF(H645="完全吻合",1,IF(H645="基本吻合",0.75,IF(H645="部分吻合",0.5,IF(H645="明显不符",0,"")))))</x:f>
      </x:c>
      <x:c r="J645" s="34" t="str"/>
      <x:c r="K645" s="34" t="str"/>
      <x:c r="L645" s="34" t="str"/>
      <x:c r="M645" s="34" t="str"/>
      <x:c r="N645" s="34" t="str"/>
      <x:c r="O645" s="34" t="str"/>
      <x:c r="P645" s="34" t="str"/>
      <x:c r="Q645" s="34" t="str"/>
      <x:c r="R645" s="34" t="str"/>
      <x:c r="S645" s="34" t="str"/>
      <x:c r="T645" s="34" t="str"/>
    </x:row>
    <x:row r="646">
      <x:c r="A646" s="34" t="str">
        <x:v>M5-EVAL-0641</x:v>
      </x:c>
      <x:c r="B646" s="34" t="str"/>
      <x:c r="C646" s="34" t="str"/>
      <x:c r="D646" s="34" t="str"/>
      <x:c r="E646" s="34" t="str"/>
      <x:c r="F646" s="34" t="str"/>
      <x:c r="G646" s="34" t="str"/>
      <x:c r="H646" s="34" t="str"/>
      <x:c r="I646" s="38" t="str">
        <x:f>IF(H646="","",IF(H646="完全吻合",1,IF(H646="基本吻合",0.75,IF(H646="部分吻合",0.5,IF(H646="明显不符",0,"")))))</x:f>
      </x:c>
      <x:c r="J646" s="34" t="str"/>
      <x:c r="K646" s="34" t="str"/>
      <x:c r="L646" s="34" t="str"/>
      <x:c r="M646" s="34" t="str"/>
      <x:c r="N646" s="34" t="str"/>
      <x:c r="O646" s="34" t="str"/>
      <x:c r="P646" s="34" t="str"/>
      <x:c r="Q646" s="34" t="str"/>
      <x:c r="R646" s="34" t="str"/>
      <x:c r="S646" s="34" t="str"/>
      <x:c r="T646" s="34" t="str"/>
    </x:row>
    <x:row r="647">
      <x:c r="A647" s="34" t="str">
        <x:v>M5-EVAL-0642</x:v>
      </x:c>
      <x:c r="B647" s="34" t="str"/>
      <x:c r="C647" s="34" t="str"/>
      <x:c r="D647" s="34" t="str"/>
      <x:c r="E647" s="34" t="str"/>
      <x:c r="F647" s="34" t="str"/>
      <x:c r="G647" s="34" t="str"/>
      <x:c r="H647" s="34" t="str"/>
      <x:c r="I647" s="38" t="str">
        <x:f>IF(H647="","",IF(H647="完全吻合",1,IF(H647="基本吻合",0.75,IF(H647="部分吻合",0.5,IF(H647="明显不符",0,"")))))</x:f>
      </x:c>
      <x:c r="J647" s="34" t="str"/>
      <x:c r="K647" s="34" t="str"/>
      <x:c r="L647" s="34" t="str"/>
      <x:c r="M647" s="34" t="str"/>
      <x:c r="N647" s="34" t="str"/>
      <x:c r="O647" s="34" t="str"/>
      <x:c r="P647" s="34" t="str"/>
      <x:c r="Q647" s="34" t="str"/>
      <x:c r="R647" s="34" t="str"/>
      <x:c r="S647" s="34" t="str"/>
      <x:c r="T647" s="34" t="str"/>
    </x:row>
    <x:row r="648">
      <x:c r="A648" s="34" t="str">
        <x:v>M5-EVAL-0643</x:v>
      </x:c>
      <x:c r="B648" s="34" t="str"/>
      <x:c r="C648" s="34" t="str"/>
      <x:c r="D648" s="34" t="str"/>
      <x:c r="E648" s="34" t="str"/>
      <x:c r="F648" s="34" t="str"/>
      <x:c r="G648" s="34" t="str"/>
      <x:c r="H648" s="34" t="str"/>
      <x:c r="I648" s="38" t="str">
        <x:f>IF(H648="","",IF(H648="完全吻合",1,IF(H648="基本吻合",0.75,IF(H648="部分吻合",0.5,IF(H648="明显不符",0,"")))))</x:f>
      </x:c>
      <x:c r="J648" s="34" t="str"/>
      <x:c r="K648" s="34" t="str"/>
      <x:c r="L648" s="34" t="str"/>
      <x:c r="M648" s="34" t="str"/>
      <x:c r="N648" s="34" t="str"/>
      <x:c r="O648" s="34" t="str"/>
      <x:c r="P648" s="34" t="str"/>
      <x:c r="Q648" s="34" t="str"/>
      <x:c r="R648" s="34" t="str"/>
      <x:c r="S648" s="34" t="str"/>
      <x:c r="T648" s="34" t="str"/>
    </x:row>
    <x:row r="649">
      <x:c r="A649" s="34" t="str">
        <x:v>M5-EVAL-0644</x:v>
      </x:c>
      <x:c r="B649" s="34" t="str"/>
      <x:c r="C649" s="34" t="str"/>
      <x:c r="D649" s="34" t="str"/>
      <x:c r="E649" s="34" t="str"/>
      <x:c r="F649" s="34" t="str"/>
      <x:c r="G649" s="34" t="str"/>
      <x:c r="H649" s="34" t="str"/>
      <x:c r="I649" s="38" t="str">
        <x:f>IF(H649="","",IF(H649="完全吻合",1,IF(H649="基本吻合",0.75,IF(H649="部分吻合",0.5,IF(H649="明显不符",0,"")))))</x:f>
      </x:c>
      <x:c r="J649" s="34" t="str"/>
      <x:c r="K649" s="34" t="str"/>
      <x:c r="L649" s="34" t="str"/>
      <x:c r="M649" s="34" t="str"/>
      <x:c r="N649" s="34" t="str"/>
      <x:c r="O649" s="34" t="str"/>
      <x:c r="P649" s="34" t="str"/>
      <x:c r="Q649" s="34" t="str"/>
      <x:c r="R649" s="34" t="str"/>
      <x:c r="S649" s="34" t="str"/>
      <x:c r="T649" s="34" t="str"/>
    </x:row>
    <x:row r="650">
      <x:c r="A650" s="34" t="str">
        <x:v>M5-EVAL-0645</x:v>
      </x:c>
      <x:c r="B650" s="34" t="str"/>
      <x:c r="C650" s="34" t="str"/>
      <x:c r="D650" s="34" t="str"/>
      <x:c r="E650" s="34" t="str"/>
      <x:c r="F650" s="34" t="str"/>
      <x:c r="G650" s="34" t="str"/>
      <x:c r="H650" s="34" t="str"/>
      <x:c r="I650" s="38" t="str">
        <x:f>IF(H650="","",IF(H650="完全吻合",1,IF(H650="基本吻合",0.75,IF(H650="部分吻合",0.5,IF(H650="明显不符",0,"")))))</x:f>
      </x:c>
      <x:c r="J650" s="34" t="str"/>
      <x:c r="K650" s="34" t="str"/>
      <x:c r="L650" s="34" t="str"/>
      <x:c r="M650" s="34" t="str"/>
      <x:c r="N650" s="34" t="str"/>
      <x:c r="O650" s="34" t="str"/>
      <x:c r="P650" s="34" t="str"/>
      <x:c r="Q650" s="34" t="str"/>
      <x:c r="R650" s="34" t="str"/>
      <x:c r="S650" s="34" t="str"/>
      <x:c r="T650" s="34" t="str"/>
    </x:row>
    <x:row r="651">
      <x:c r="A651" s="34" t="str">
        <x:v>M5-EVAL-0646</x:v>
      </x:c>
      <x:c r="B651" s="34" t="str"/>
      <x:c r="C651" s="34" t="str"/>
      <x:c r="D651" s="34" t="str"/>
      <x:c r="E651" s="34" t="str"/>
      <x:c r="F651" s="34" t="str"/>
      <x:c r="G651" s="34" t="str"/>
      <x:c r="H651" s="34" t="str"/>
      <x:c r="I651" s="38" t="str">
        <x:f>IF(H651="","",IF(H651="完全吻合",1,IF(H651="基本吻合",0.75,IF(H651="部分吻合",0.5,IF(H651="明显不符",0,"")))))</x:f>
      </x:c>
      <x:c r="J651" s="34" t="str"/>
      <x:c r="K651" s="34" t="str"/>
      <x:c r="L651" s="34" t="str"/>
      <x:c r="M651" s="34" t="str"/>
      <x:c r="N651" s="34" t="str"/>
      <x:c r="O651" s="34" t="str"/>
      <x:c r="P651" s="34" t="str"/>
      <x:c r="Q651" s="34" t="str"/>
      <x:c r="R651" s="34" t="str"/>
      <x:c r="S651" s="34" t="str"/>
      <x:c r="T651" s="34" t="str"/>
    </x:row>
    <x:row r="652">
      <x:c r="A652" s="34" t="str">
        <x:v>M5-EVAL-0647</x:v>
      </x:c>
      <x:c r="B652" s="34" t="str"/>
      <x:c r="C652" s="34" t="str"/>
      <x:c r="D652" s="34" t="str"/>
      <x:c r="E652" s="34" t="str"/>
      <x:c r="F652" s="34" t="str"/>
      <x:c r="G652" s="34" t="str"/>
      <x:c r="H652" s="34" t="str"/>
      <x:c r="I652" s="38" t="str">
        <x:f>IF(H652="","",IF(H652="完全吻合",1,IF(H652="基本吻合",0.75,IF(H652="部分吻合",0.5,IF(H652="明显不符",0,"")))))</x:f>
      </x:c>
      <x:c r="J652" s="34" t="str"/>
      <x:c r="K652" s="34" t="str"/>
      <x:c r="L652" s="34" t="str"/>
      <x:c r="M652" s="34" t="str"/>
      <x:c r="N652" s="34" t="str"/>
      <x:c r="O652" s="34" t="str"/>
      <x:c r="P652" s="34" t="str"/>
      <x:c r="Q652" s="34" t="str"/>
      <x:c r="R652" s="34" t="str"/>
      <x:c r="S652" s="34" t="str"/>
      <x:c r="T652" s="34" t="str"/>
    </x:row>
    <x:row r="653">
      <x:c r="A653" s="34" t="str">
        <x:v>M5-EVAL-0648</x:v>
      </x:c>
      <x:c r="B653" s="34" t="str"/>
      <x:c r="C653" s="34" t="str"/>
      <x:c r="D653" s="34" t="str"/>
      <x:c r="E653" s="34" t="str"/>
      <x:c r="F653" s="34" t="str"/>
      <x:c r="G653" s="34" t="str"/>
      <x:c r="H653" s="34" t="str"/>
      <x:c r="I653" s="38" t="str">
        <x:f>IF(H653="","",IF(H653="完全吻合",1,IF(H653="基本吻合",0.75,IF(H653="部分吻合",0.5,IF(H653="明显不符",0,"")))))</x:f>
      </x:c>
      <x:c r="J653" s="34" t="str"/>
      <x:c r="K653" s="34" t="str"/>
      <x:c r="L653" s="34" t="str"/>
      <x:c r="M653" s="34" t="str"/>
      <x:c r="N653" s="34" t="str"/>
      <x:c r="O653" s="34" t="str"/>
      <x:c r="P653" s="34" t="str"/>
      <x:c r="Q653" s="34" t="str"/>
      <x:c r="R653" s="34" t="str"/>
      <x:c r="S653" s="34" t="str"/>
      <x:c r="T653" s="34" t="str"/>
    </x:row>
    <x:row r="654">
      <x:c r="A654" s="34" t="str">
        <x:v>M5-EVAL-0649</x:v>
      </x:c>
      <x:c r="B654" s="34" t="str"/>
      <x:c r="C654" s="34" t="str"/>
      <x:c r="D654" s="34" t="str"/>
      <x:c r="E654" s="34" t="str"/>
      <x:c r="F654" s="34" t="str"/>
      <x:c r="G654" s="34" t="str"/>
      <x:c r="H654" s="34" t="str"/>
      <x:c r="I654" s="38" t="str">
        <x:f>IF(H654="","",IF(H654="完全吻合",1,IF(H654="基本吻合",0.75,IF(H654="部分吻合",0.5,IF(H654="明显不符",0,"")))))</x:f>
      </x:c>
      <x:c r="J654" s="34" t="str"/>
      <x:c r="K654" s="34" t="str"/>
      <x:c r="L654" s="34" t="str"/>
      <x:c r="M654" s="34" t="str"/>
      <x:c r="N654" s="34" t="str"/>
      <x:c r="O654" s="34" t="str"/>
      <x:c r="P654" s="34" t="str"/>
      <x:c r="Q654" s="34" t="str"/>
      <x:c r="R654" s="34" t="str"/>
      <x:c r="S654" s="34" t="str"/>
      <x:c r="T654" s="34" t="str"/>
    </x:row>
    <x:row r="655">
      <x:c r="A655" s="34" t="str">
        <x:v>M5-EVAL-0650</x:v>
      </x:c>
      <x:c r="B655" s="34" t="str"/>
      <x:c r="C655" s="34" t="str"/>
      <x:c r="D655" s="34" t="str"/>
      <x:c r="E655" s="34" t="str"/>
      <x:c r="F655" s="34" t="str"/>
      <x:c r="G655" s="34" t="str"/>
      <x:c r="H655" s="34" t="str"/>
      <x:c r="I655" s="38" t="str">
        <x:f>IF(H655="","",IF(H655="完全吻合",1,IF(H655="基本吻合",0.75,IF(H655="部分吻合",0.5,IF(H655="明显不符",0,"")))))</x:f>
      </x:c>
      <x:c r="J655" s="34" t="str"/>
      <x:c r="K655" s="34" t="str"/>
      <x:c r="L655" s="34" t="str"/>
      <x:c r="M655" s="34" t="str"/>
      <x:c r="N655" s="34" t="str"/>
      <x:c r="O655" s="34" t="str"/>
      <x:c r="P655" s="34" t="str"/>
      <x:c r="Q655" s="34" t="str"/>
      <x:c r="R655" s="34" t="str"/>
      <x:c r="S655" s="34" t="str"/>
      <x:c r="T655" s="34" t="str"/>
    </x:row>
    <x:row r="656">
      <x:c r="A656" s="34" t="str">
        <x:v>M5-EVAL-0651</x:v>
      </x:c>
      <x:c r="B656" s="34" t="str"/>
      <x:c r="C656" s="34" t="str"/>
      <x:c r="D656" s="34" t="str"/>
      <x:c r="E656" s="34" t="str"/>
      <x:c r="F656" s="34" t="str"/>
      <x:c r="G656" s="34" t="str"/>
      <x:c r="H656" s="34" t="str"/>
      <x:c r="I656" s="38" t="str">
        <x:f>IF(H656="","",IF(H656="完全吻合",1,IF(H656="基本吻合",0.75,IF(H656="部分吻合",0.5,IF(H656="明显不符",0,"")))))</x:f>
      </x:c>
      <x:c r="J656" s="34" t="str"/>
      <x:c r="K656" s="34" t="str"/>
      <x:c r="L656" s="34" t="str"/>
      <x:c r="M656" s="34" t="str"/>
      <x:c r="N656" s="34" t="str"/>
      <x:c r="O656" s="34" t="str"/>
      <x:c r="P656" s="34" t="str"/>
      <x:c r="Q656" s="34" t="str"/>
      <x:c r="R656" s="34" t="str"/>
      <x:c r="S656" s="34" t="str"/>
      <x:c r="T656" s="34" t="str"/>
    </x:row>
    <x:row r="657">
      <x:c r="A657" s="34" t="str">
        <x:v>M5-EVAL-0652</x:v>
      </x:c>
      <x:c r="B657" s="34" t="str"/>
      <x:c r="C657" s="34" t="str"/>
      <x:c r="D657" s="34" t="str"/>
      <x:c r="E657" s="34" t="str"/>
      <x:c r="F657" s="34" t="str"/>
      <x:c r="G657" s="34" t="str"/>
      <x:c r="H657" s="34" t="str"/>
      <x:c r="I657" s="38" t="str">
        <x:f>IF(H657="","",IF(H657="完全吻合",1,IF(H657="基本吻合",0.75,IF(H657="部分吻合",0.5,IF(H657="明显不符",0,"")))))</x:f>
      </x:c>
      <x:c r="J657" s="34" t="str"/>
      <x:c r="K657" s="34" t="str"/>
      <x:c r="L657" s="34" t="str"/>
      <x:c r="M657" s="34" t="str"/>
      <x:c r="N657" s="34" t="str"/>
      <x:c r="O657" s="34" t="str"/>
      <x:c r="P657" s="34" t="str"/>
      <x:c r="Q657" s="34" t="str"/>
      <x:c r="R657" s="34" t="str"/>
      <x:c r="S657" s="34" t="str"/>
      <x:c r="T657" s="34" t="str"/>
    </x:row>
    <x:row r="658">
      <x:c r="A658" s="34" t="str">
        <x:v>M5-EVAL-0653</x:v>
      </x:c>
      <x:c r="B658" s="34" t="str"/>
      <x:c r="C658" s="34" t="str"/>
      <x:c r="D658" s="34" t="str"/>
      <x:c r="E658" s="34" t="str"/>
      <x:c r="F658" s="34" t="str"/>
      <x:c r="G658" s="34" t="str"/>
      <x:c r="H658" s="34" t="str"/>
      <x:c r="I658" s="38" t="str">
        <x:f>IF(H658="","",IF(H658="完全吻合",1,IF(H658="基本吻合",0.75,IF(H658="部分吻合",0.5,IF(H658="明显不符",0,"")))))</x:f>
      </x:c>
      <x:c r="J658" s="34" t="str"/>
      <x:c r="K658" s="34" t="str"/>
      <x:c r="L658" s="34" t="str"/>
      <x:c r="M658" s="34" t="str"/>
      <x:c r="N658" s="34" t="str"/>
      <x:c r="O658" s="34" t="str"/>
      <x:c r="P658" s="34" t="str"/>
      <x:c r="Q658" s="34" t="str"/>
      <x:c r="R658" s="34" t="str"/>
      <x:c r="S658" s="34" t="str"/>
      <x:c r="T658" s="34" t="str"/>
    </x:row>
    <x:row r="659">
      <x:c r="A659" s="34" t="str">
        <x:v>M5-EVAL-0654</x:v>
      </x:c>
      <x:c r="B659" s="34" t="str"/>
      <x:c r="C659" s="34" t="str"/>
      <x:c r="D659" s="34" t="str"/>
      <x:c r="E659" s="34" t="str"/>
      <x:c r="F659" s="34" t="str"/>
      <x:c r="G659" s="34" t="str"/>
      <x:c r="H659" s="34" t="str"/>
      <x:c r="I659" s="38" t="str">
        <x:f>IF(H659="","",IF(H659="完全吻合",1,IF(H659="基本吻合",0.75,IF(H659="部分吻合",0.5,IF(H659="明显不符",0,"")))))</x:f>
      </x:c>
      <x:c r="J659" s="34" t="str"/>
      <x:c r="K659" s="34" t="str"/>
      <x:c r="L659" s="34" t="str"/>
      <x:c r="M659" s="34" t="str"/>
      <x:c r="N659" s="34" t="str"/>
      <x:c r="O659" s="34" t="str"/>
      <x:c r="P659" s="34" t="str"/>
      <x:c r="Q659" s="34" t="str"/>
      <x:c r="R659" s="34" t="str"/>
      <x:c r="S659" s="34" t="str"/>
      <x:c r="T659" s="34" t="str"/>
    </x:row>
    <x:row r="660">
      <x:c r="A660" s="34" t="str">
        <x:v>M5-EVAL-0655</x:v>
      </x:c>
      <x:c r="B660" s="34" t="str"/>
      <x:c r="C660" s="34" t="str"/>
      <x:c r="D660" s="34" t="str"/>
      <x:c r="E660" s="34" t="str"/>
      <x:c r="F660" s="34" t="str"/>
      <x:c r="G660" s="34" t="str"/>
      <x:c r="H660" s="34" t="str"/>
      <x:c r="I660" s="38" t="str">
        <x:f>IF(H660="","",IF(H660="完全吻合",1,IF(H660="基本吻合",0.75,IF(H660="部分吻合",0.5,IF(H660="明显不符",0,"")))))</x:f>
      </x:c>
      <x:c r="J660" s="34" t="str"/>
      <x:c r="K660" s="34" t="str"/>
      <x:c r="L660" s="34" t="str"/>
      <x:c r="M660" s="34" t="str"/>
      <x:c r="N660" s="34" t="str"/>
      <x:c r="O660" s="34" t="str"/>
      <x:c r="P660" s="34" t="str"/>
      <x:c r="Q660" s="34" t="str"/>
      <x:c r="R660" s="34" t="str"/>
      <x:c r="S660" s="34" t="str"/>
      <x:c r="T660" s="34" t="str"/>
    </x:row>
    <x:row r="661">
      <x:c r="A661" s="34" t="str">
        <x:v>M5-EVAL-0656</x:v>
      </x:c>
      <x:c r="B661" s="34" t="str"/>
      <x:c r="C661" s="34" t="str"/>
      <x:c r="D661" s="34" t="str"/>
      <x:c r="E661" s="34" t="str"/>
      <x:c r="F661" s="34" t="str"/>
      <x:c r="G661" s="34" t="str"/>
      <x:c r="H661" s="34" t="str"/>
      <x:c r="I661" s="38" t="str">
        <x:f>IF(H661="","",IF(H661="完全吻合",1,IF(H661="基本吻合",0.75,IF(H661="部分吻合",0.5,IF(H661="明显不符",0,"")))))</x:f>
      </x:c>
      <x:c r="J661" s="34" t="str"/>
      <x:c r="K661" s="34" t="str"/>
      <x:c r="L661" s="34" t="str"/>
      <x:c r="M661" s="34" t="str"/>
      <x:c r="N661" s="34" t="str"/>
      <x:c r="O661" s="34" t="str"/>
      <x:c r="P661" s="34" t="str"/>
      <x:c r="Q661" s="34" t="str"/>
      <x:c r="R661" s="34" t="str"/>
      <x:c r="S661" s="34" t="str"/>
      <x:c r="T661" s="34" t="str"/>
    </x:row>
    <x:row r="662">
      <x:c r="A662" s="34" t="str">
        <x:v>M5-EVAL-0657</x:v>
      </x:c>
      <x:c r="B662" s="34" t="str"/>
      <x:c r="C662" s="34" t="str"/>
      <x:c r="D662" s="34" t="str"/>
      <x:c r="E662" s="34" t="str"/>
      <x:c r="F662" s="34" t="str"/>
      <x:c r="G662" s="34" t="str"/>
      <x:c r="H662" s="34" t="str"/>
      <x:c r="I662" s="38" t="str">
        <x:f>IF(H662="","",IF(H662="完全吻合",1,IF(H662="基本吻合",0.75,IF(H662="部分吻合",0.5,IF(H662="明显不符",0,"")))))</x:f>
      </x:c>
      <x:c r="J662" s="34" t="str"/>
      <x:c r="K662" s="34" t="str"/>
      <x:c r="L662" s="34" t="str"/>
      <x:c r="M662" s="34" t="str"/>
      <x:c r="N662" s="34" t="str"/>
      <x:c r="O662" s="34" t="str"/>
      <x:c r="P662" s="34" t="str"/>
      <x:c r="Q662" s="34" t="str"/>
      <x:c r="R662" s="34" t="str"/>
      <x:c r="S662" s="34" t="str"/>
      <x:c r="T662" s="34" t="str"/>
    </x:row>
    <x:row r="663">
      <x:c r="A663" s="34" t="str">
        <x:v>M5-EVAL-0658</x:v>
      </x:c>
      <x:c r="B663" s="34" t="str"/>
      <x:c r="C663" s="34" t="str"/>
      <x:c r="D663" s="34" t="str"/>
      <x:c r="E663" s="34" t="str"/>
      <x:c r="F663" s="34" t="str"/>
      <x:c r="G663" s="34" t="str"/>
      <x:c r="H663" s="34" t="str"/>
      <x:c r="I663" s="38" t="str">
        <x:f>IF(H663="","",IF(H663="完全吻合",1,IF(H663="基本吻合",0.75,IF(H663="部分吻合",0.5,IF(H663="明显不符",0,"")))))</x:f>
      </x:c>
      <x:c r="J663" s="34" t="str"/>
      <x:c r="K663" s="34" t="str"/>
      <x:c r="L663" s="34" t="str"/>
      <x:c r="M663" s="34" t="str"/>
      <x:c r="N663" s="34" t="str"/>
      <x:c r="O663" s="34" t="str"/>
      <x:c r="P663" s="34" t="str"/>
      <x:c r="Q663" s="34" t="str"/>
      <x:c r="R663" s="34" t="str"/>
      <x:c r="S663" s="34" t="str"/>
      <x:c r="T663" s="34" t="str"/>
    </x:row>
    <x:row r="664">
      <x:c r="A664" s="34" t="str">
        <x:v>M5-EVAL-0659</x:v>
      </x:c>
      <x:c r="B664" s="34" t="str"/>
      <x:c r="C664" s="34" t="str"/>
      <x:c r="D664" s="34" t="str"/>
      <x:c r="E664" s="34" t="str"/>
      <x:c r="F664" s="34" t="str"/>
      <x:c r="G664" s="34" t="str"/>
      <x:c r="H664" s="34" t="str"/>
      <x:c r="I664" s="38" t="str">
        <x:f>IF(H664="","",IF(H664="完全吻合",1,IF(H664="基本吻合",0.75,IF(H664="部分吻合",0.5,IF(H664="明显不符",0,"")))))</x:f>
      </x:c>
      <x:c r="J664" s="34" t="str"/>
      <x:c r="K664" s="34" t="str"/>
      <x:c r="L664" s="34" t="str"/>
      <x:c r="M664" s="34" t="str"/>
      <x:c r="N664" s="34" t="str"/>
      <x:c r="O664" s="34" t="str"/>
      <x:c r="P664" s="34" t="str"/>
      <x:c r="Q664" s="34" t="str"/>
      <x:c r="R664" s="34" t="str"/>
      <x:c r="S664" s="34" t="str"/>
      <x:c r="T664" s="34" t="str"/>
    </x:row>
    <x:row r="665">
      <x:c r="A665" s="34" t="str">
        <x:v>M5-EVAL-0660</x:v>
      </x:c>
      <x:c r="B665" s="34" t="str"/>
      <x:c r="C665" s="34" t="str"/>
      <x:c r="D665" s="34" t="str"/>
      <x:c r="E665" s="34" t="str"/>
      <x:c r="F665" s="34" t="str"/>
      <x:c r="G665" s="34" t="str"/>
      <x:c r="H665" s="34" t="str"/>
      <x:c r="I665" s="38" t="str">
        <x:f>IF(H665="","",IF(H665="完全吻合",1,IF(H665="基本吻合",0.75,IF(H665="部分吻合",0.5,IF(H665="明显不符",0,"")))))</x:f>
      </x:c>
      <x:c r="J665" s="34" t="str"/>
      <x:c r="K665" s="34" t="str"/>
      <x:c r="L665" s="34" t="str"/>
      <x:c r="M665" s="34" t="str"/>
      <x:c r="N665" s="34" t="str"/>
      <x:c r="O665" s="34" t="str"/>
      <x:c r="P665" s="34" t="str"/>
      <x:c r="Q665" s="34" t="str"/>
      <x:c r="R665" s="34" t="str"/>
      <x:c r="S665" s="34" t="str"/>
      <x:c r="T665" s="34" t="str"/>
    </x:row>
    <x:row r="666">
      <x:c r="A666" s="34" t="str">
        <x:v>M5-EVAL-0661</x:v>
      </x:c>
      <x:c r="B666" s="34" t="str"/>
      <x:c r="C666" s="34" t="str"/>
      <x:c r="D666" s="34" t="str"/>
      <x:c r="E666" s="34" t="str"/>
      <x:c r="F666" s="34" t="str"/>
      <x:c r="G666" s="34" t="str"/>
      <x:c r="H666" s="34" t="str"/>
      <x:c r="I666" s="38" t="str">
        <x:f>IF(H666="","",IF(H666="完全吻合",1,IF(H666="基本吻合",0.75,IF(H666="部分吻合",0.5,IF(H666="明显不符",0,"")))))</x:f>
      </x:c>
      <x:c r="J666" s="34" t="str"/>
      <x:c r="K666" s="34" t="str"/>
      <x:c r="L666" s="34" t="str"/>
      <x:c r="M666" s="34" t="str"/>
      <x:c r="N666" s="34" t="str"/>
      <x:c r="O666" s="34" t="str"/>
      <x:c r="P666" s="34" t="str"/>
      <x:c r="Q666" s="34" t="str"/>
      <x:c r="R666" s="34" t="str"/>
      <x:c r="S666" s="34" t="str"/>
      <x:c r="T666" s="34" t="str"/>
    </x:row>
    <x:row r="667">
      <x:c r="A667" s="34" t="str">
        <x:v>M5-EVAL-0662</x:v>
      </x:c>
      <x:c r="B667" s="34" t="str"/>
      <x:c r="C667" s="34" t="str"/>
      <x:c r="D667" s="34" t="str"/>
      <x:c r="E667" s="34" t="str"/>
      <x:c r="F667" s="34" t="str"/>
      <x:c r="G667" s="34" t="str"/>
      <x:c r="H667" s="34" t="str"/>
      <x:c r="I667" s="38" t="str">
        <x:f>IF(H667="","",IF(H667="完全吻合",1,IF(H667="基本吻合",0.75,IF(H667="部分吻合",0.5,IF(H667="明显不符",0,"")))))</x:f>
      </x:c>
      <x:c r="J667" s="34" t="str"/>
      <x:c r="K667" s="34" t="str"/>
      <x:c r="L667" s="34" t="str"/>
      <x:c r="M667" s="34" t="str"/>
      <x:c r="N667" s="34" t="str"/>
      <x:c r="O667" s="34" t="str"/>
      <x:c r="P667" s="34" t="str"/>
      <x:c r="Q667" s="34" t="str"/>
      <x:c r="R667" s="34" t="str"/>
      <x:c r="S667" s="34" t="str"/>
      <x:c r="T667" s="34" t="str"/>
    </x:row>
    <x:row r="668">
      <x:c r="A668" s="34" t="str">
        <x:v>M5-EVAL-0663</x:v>
      </x:c>
      <x:c r="B668" s="34" t="str"/>
      <x:c r="C668" s="34" t="str"/>
      <x:c r="D668" s="34" t="str"/>
      <x:c r="E668" s="34" t="str"/>
      <x:c r="F668" s="34" t="str"/>
      <x:c r="G668" s="34" t="str"/>
      <x:c r="H668" s="34" t="str"/>
      <x:c r="I668" s="38" t="str">
        <x:f>IF(H668="","",IF(H668="完全吻合",1,IF(H668="基本吻合",0.75,IF(H668="部分吻合",0.5,IF(H668="明显不符",0,"")))))</x:f>
      </x:c>
      <x:c r="J668" s="34" t="str"/>
      <x:c r="K668" s="34" t="str"/>
      <x:c r="L668" s="34" t="str"/>
      <x:c r="M668" s="34" t="str"/>
      <x:c r="N668" s="34" t="str"/>
      <x:c r="O668" s="34" t="str"/>
      <x:c r="P668" s="34" t="str"/>
      <x:c r="Q668" s="34" t="str"/>
      <x:c r="R668" s="34" t="str"/>
      <x:c r="S668" s="34" t="str"/>
      <x:c r="T668" s="34" t="str"/>
    </x:row>
    <x:row r="669">
      <x:c r="A669" s="34" t="str">
        <x:v>M5-EVAL-0664</x:v>
      </x:c>
      <x:c r="B669" s="34" t="str"/>
      <x:c r="C669" s="34" t="str"/>
      <x:c r="D669" s="34" t="str"/>
      <x:c r="E669" s="34" t="str"/>
      <x:c r="F669" s="34" t="str"/>
      <x:c r="G669" s="34" t="str"/>
      <x:c r="H669" s="34" t="str"/>
      <x:c r="I669" s="38" t="str">
        <x:f>IF(H669="","",IF(H669="完全吻合",1,IF(H669="基本吻合",0.75,IF(H669="部分吻合",0.5,IF(H669="明显不符",0,"")))))</x:f>
      </x:c>
      <x:c r="J669" s="34" t="str"/>
      <x:c r="K669" s="34" t="str"/>
      <x:c r="L669" s="34" t="str"/>
      <x:c r="M669" s="34" t="str"/>
      <x:c r="N669" s="34" t="str"/>
      <x:c r="O669" s="34" t="str"/>
      <x:c r="P669" s="34" t="str"/>
      <x:c r="Q669" s="34" t="str"/>
      <x:c r="R669" s="34" t="str"/>
      <x:c r="S669" s="34" t="str"/>
      <x:c r="T669" s="34" t="str"/>
    </x:row>
    <x:row r="670">
      <x:c r="A670" s="34" t="str">
        <x:v>M5-EVAL-0665</x:v>
      </x:c>
      <x:c r="B670" s="34" t="str"/>
      <x:c r="C670" s="34" t="str"/>
      <x:c r="D670" s="34" t="str"/>
      <x:c r="E670" s="34" t="str"/>
      <x:c r="F670" s="34" t="str"/>
      <x:c r="G670" s="34" t="str"/>
      <x:c r="H670" s="34" t="str"/>
      <x:c r="I670" s="38" t="str">
        <x:f>IF(H670="","",IF(H670="完全吻合",1,IF(H670="基本吻合",0.75,IF(H670="部分吻合",0.5,IF(H670="明显不符",0,"")))))</x:f>
      </x:c>
      <x:c r="J670" s="34" t="str"/>
      <x:c r="K670" s="34" t="str"/>
      <x:c r="L670" s="34" t="str"/>
      <x:c r="M670" s="34" t="str"/>
      <x:c r="N670" s="34" t="str"/>
      <x:c r="O670" s="34" t="str"/>
      <x:c r="P670" s="34" t="str"/>
      <x:c r="Q670" s="34" t="str"/>
      <x:c r="R670" s="34" t="str"/>
      <x:c r="S670" s="34" t="str"/>
      <x:c r="T670" s="34" t="str"/>
    </x:row>
    <x:row r="671">
      <x:c r="A671" s="34" t="str">
        <x:v>M5-EVAL-0666</x:v>
      </x:c>
      <x:c r="B671" s="34" t="str"/>
      <x:c r="C671" s="34" t="str"/>
      <x:c r="D671" s="34" t="str"/>
      <x:c r="E671" s="34" t="str"/>
      <x:c r="F671" s="34" t="str"/>
      <x:c r="G671" s="34" t="str"/>
      <x:c r="H671" s="34" t="str"/>
      <x:c r="I671" s="38" t="str">
        <x:f>IF(H671="","",IF(H671="完全吻合",1,IF(H671="基本吻合",0.75,IF(H671="部分吻合",0.5,IF(H671="明显不符",0,"")))))</x:f>
      </x:c>
      <x:c r="J671" s="34" t="str"/>
      <x:c r="K671" s="34" t="str"/>
      <x:c r="L671" s="34" t="str"/>
      <x:c r="M671" s="34" t="str"/>
      <x:c r="N671" s="34" t="str"/>
      <x:c r="O671" s="34" t="str"/>
      <x:c r="P671" s="34" t="str"/>
      <x:c r="Q671" s="34" t="str"/>
      <x:c r="R671" s="34" t="str"/>
      <x:c r="S671" s="34" t="str"/>
      <x:c r="T671" s="34" t="str"/>
    </x:row>
    <x:row r="672">
      <x:c r="A672" s="34" t="str">
        <x:v>M5-EVAL-0667</x:v>
      </x:c>
      <x:c r="B672" s="34" t="str"/>
      <x:c r="C672" s="34" t="str"/>
      <x:c r="D672" s="34" t="str"/>
      <x:c r="E672" s="34" t="str"/>
      <x:c r="F672" s="34" t="str"/>
      <x:c r="G672" s="34" t="str"/>
      <x:c r="H672" s="34" t="str"/>
      <x:c r="I672" s="38" t="str">
        <x:f>IF(H672="","",IF(H672="完全吻合",1,IF(H672="基本吻合",0.75,IF(H672="部分吻合",0.5,IF(H672="明显不符",0,"")))))</x:f>
      </x:c>
      <x:c r="J672" s="34" t="str"/>
      <x:c r="K672" s="34" t="str"/>
      <x:c r="L672" s="34" t="str"/>
      <x:c r="M672" s="34" t="str"/>
      <x:c r="N672" s="34" t="str"/>
      <x:c r="O672" s="34" t="str"/>
      <x:c r="P672" s="34" t="str"/>
      <x:c r="Q672" s="34" t="str"/>
      <x:c r="R672" s="34" t="str"/>
      <x:c r="S672" s="34" t="str"/>
      <x:c r="T672" s="34" t="str"/>
    </x:row>
    <x:row r="673">
      <x:c r="A673" s="34" t="str">
        <x:v>M5-EVAL-0668</x:v>
      </x:c>
      <x:c r="B673" s="34" t="str"/>
      <x:c r="C673" s="34" t="str"/>
      <x:c r="D673" s="34" t="str"/>
      <x:c r="E673" s="34" t="str"/>
      <x:c r="F673" s="34" t="str"/>
      <x:c r="G673" s="34" t="str"/>
      <x:c r="H673" s="34" t="str"/>
      <x:c r="I673" s="38" t="str">
        <x:f>IF(H673="","",IF(H673="完全吻合",1,IF(H673="基本吻合",0.75,IF(H673="部分吻合",0.5,IF(H673="明显不符",0,"")))))</x:f>
      </x:c>
      <x:c r="J673" s="34" t="str"/>
      <x:c r="K673" s="34" t="str"/>
      <x:c r="L673" s="34" t="str"/>
      <x:c r="M673" s="34" t="str"/>
      <x:c r="N673" s="34" t="str"/>
      <x:c r="O673" s="34" t="str"/>
      <x:c r="P673" s="34" t="str"/>
      <x:c r="Q673" s="34" t="str"/>
      <x:c r="R673" s="34" t="str"/>
      <x:c r="S673" s="34" t="str"/>
      <x:c r="T673" s="34" t="str"/>
    </x:row>
    <x:row r="674">
      <x:c r="A674" s="34" t="str">
        <x:v>M5-EVAL-0669</x:v>
      </x:c>
      <x:c r="B674" s="34" t="str"/>
      <x:c r="C674" s="34" t="str"/>
      <x:c r="D674" s="34" t="str"/>
      <x:c r="E674" s="34" t="str"/>
      <x:c r="F674" s="34" t="str"/>
      <x:c r="G674" s="34" t="str"/>
      <x:c r="H674" s="34" t="str"/>
      <x:c r="I674" s="38" t="str">
        <x:f>IF(H674="","",IF(H674="完全吻合",1,IF(H674="基本吻合",0.75,IF(H674="部分吻合",0.5,IF(H674="明显不符",0,"")))))</x:f>
      </x:c>
      <x:c r="J674" s="34" t="str"/>
      <x:c r="K674" s="34" t="str"/>
      <x:c r="L674" s="34" t="str"/>
      <x:c r="M674" s="34" t="str"/>
      <x:c r="N674" s="34" t="str"/>
      <x:c r="O674" s="34" t="str"/>
      <x:c r="P674" s="34" t="str"/>
      <x:c r="Q674" s="34" t="str"/>
      <x:c r="R674" s="34" t="str"/>
      <x:c r="S674" s="34" t="str"/>
      <x:c r="T674" s="34" t="str"/>
    </x:row>
    <x:row r="675">
      <x:c r="A675" s="34" t="str">
        <x:v>M5-EVAL-0670</x:v>
      </x:c>
      <x:c r="B675" s="34" t="str"/>
      <x:c r="C675" s="34" t="str"/>
      <x:c r="D675" s="34" t="str"/>
      <x:c r="E675" s="34" t="str"/>
      <x:c r="F675" s="34" t="str"/>
      <x:c r="G675" s="34" t="str"/>
      <x:c r="H675" s="34" t="str"/>
      <x:c r="I675" s="38" t="str">
        <x:f>IF(H675="","",IF(H675="完全吻合",1,IF(H675="基本吻合",0.75,IF(H675="部分吻合",0.5,IF(H675="明显不符",0,"")))))</x:f>
      </x:c>
      <x:c r="J675" s="34" t="str"/>
      <x:c r="K675" s="34" t="str"/>
      <x:c r="L675" s="34" t="str"/>
      <x:c r="M675" s="34" t="str"/>
      <x:c r="N675" s="34" t="str"/>
      <x:c r="O675" s="34" t="str"/>
      <x:c r="P675" s="34" t="str"/>
      <x:c r="Q675" s="34" t="str"/>
      <x:c r="R675" s="34" t="str"/>
      <x:c r="S675" s="34" t="str"/>
      <x:c r="T675" s="34" t="str"/>
    </x:row>
    <x:row r="676">
      <x:c r="A676" s="34" t="str">
        <x:v>M5-EVAL-0671</x:v>
      </x:c>
      <x:c r="B676" s="34" t="str"/>
      <x:c r="C676" s="34" t="str"/>
      <x:c r="D676" s="34" t="str"/>
      <x:c r="E676" s="34" t="str"/>
      <x:c r="F676" s="34" t="str"/>
      <x:c r="G676" s="34" t="str"/>
      <x:c r="H676" s="34" t="str"/>
      <x:c r="I676" s="38" t="str">
        <x:f>IF(H676="","",IF(H676="完全吻合",1,IF(H676="基本吻合",0.75,IF(H676="部分吻合",0.5,IF(H676="明显不符",0,"")))))</x:f>
      </x:c>
      <x:c r="J676" s="34" t="str"/>
      <x:c r="K676" s="34" t="str"/>
      <x:c r="L676" s="34" t="str"/>
      <x:c r="M676" s="34" t="str"/>
      <x:c r="N676" s="34" t="str"/>
      <x:c r="O676" s="34" t="str"/>
      <x:c r="P676" s="34" t="str"/>
      <x:c r="Q676" s="34" t="str"/>
      <x:c r="R676" s="34" t="str"/>
      <x:c r="S676" s="34" t="str"/>
      <x:c r="T676" s="34" t="str"/>
    </x:row>
    <x:row r="677">
      <x:c r="A677" s="34" t="str">
        <x:v>M5-EVAL-0672</x:v>
      </x:c>
      <x:c r="B677" s="34" t="str"/>
      <x:c r="C677" s="34" t="str"/>
      <x:c r="D677" s="34" t="str"/>
      <x:c r="E677" s="34" t="str"/>
      <x:c r="F677" s="34" t="str"/>
      <x:c r="G677" s="34" t="str"/>
      <x:c r="H677" s="34" t="str"/>
      <x:c r="I677" s="38" t="str">
        <x:f>IF(H677="","",IF(H677="完全吻合",1,IF(H677="基本吻合",0.75,IF(H677="部分吻合",0.5,IF(H677="明显不符",0,"")))))</x:f>
      </x:c>
      <x:c r="J677" s="34" t="str"/>
      <x:c r="K677" s="34" t="str"/>
      <x:c r="L677" s="34" t="str"/>
      <x:c r="M677" s="34" t="str"/>
      <x:c r="N677" s="34" t="str"/>
      <x:c r="O677" s="34" t="str"/>
      <x:c r="P677" s="34" t="str"/>
      <x:c r="Q677" s="34" t="str"/>
      <x:c r="R677" s="34" t="str"/>
      <x:c r="S677" s="34" t="str"/>
      <x:c r="T677" s="34" t="str"/>
    </x:row>
    <x:row r="678">
      <x:c r="A678" s="34" t="str">
        <x:v>M5-EVAL-0673</x:v>
      </x:c>
      <x:c r="B678" s="34" t="str"/>
      <x:c r="C678" s="34" t="str"/>
      <x:c r="D678" s="34" t="str"/>
      <x:c r="E678" s="34" t="str"/>
      <x:c r="F678" s="34" t="str"/>
      <x:c r="G678" s="34" t="str"/>
      <x:c r="H678" s="34" t="str"/>
      <x:c r="I678" s="38" t="str">
        <x:f>IF(H678="","",IF(H678="完全吻合",1,IF(H678="基本吻合",0.75,IF(H678="部分吻合",0.5,IF(H678="明显不符",0,"")))))</x:f>
      </x:c>
      <x:c r="J678" s="34" t="str"/>
      <x:c r="K678" s="34" t="str"/>
      <x:c r="L678" s="34" t="str"/>
      <x:c r="M678" s="34" t="str"/>
      <x:c r="N678" s="34" t="str"/>
      <x:c r="O678" s="34" t="str"/>
      <x:c r="P678" s="34" t="str"/>
      <x:c r="Q678" s="34" t="str"/>
      <x:c r="R678" s="34" t="str"/>
      <x:c r="S678" s="34" t="str"/>
      <x:c r="T678" s="34" t="str"/>
    </x:row>
    <x:row r="679">
      <x:c r="A679" s="34" t="str">
        <x:v>M5-EVAL-0674</x:v>
      </x:c>
      <x:c r="B679" s="34" t="str"/>
      <x:c r="C679" s="34" t="str"/>
      <x:c r="D679" s="34" t="str"/>
      <x:c r="E679" s="34" t="str"/>
      <x:c r="F679" s="34" t="str"/>
      <x:c r="G679" s="34" t="str"/>
      <x:c r="H679" s="34" t="str"/>
      <x:c r="I679" s="38" t="str">
        <x:f>IF(H679="","",IF(H679="完全吻合",1,IF(H679="基本吻合",0.75,IF(H679="部分吻合",0.5,IF(H679="明显不符",0,"")))))</x:f>
      </x:c>
      <x:c r="J679" s="34" t="str"/>
      <x:c r="K679" s="34" t="str"/>
      <x:c r="L679" s="34" t="str"/>
      <x:c r="M679" s="34" t="str"/>
      <x:c r="N679" s="34" t="str"/>
      <x:c r="O679" s="34" t="str"/>
      <x:c r="P679" s="34" t="str"/>
      <x:c r="Q679" s="34" t="str"/>
      <x:c r="R679" s="34" t="str"/>
      <x:c r="S679" s="34" t="str"/>
      <x:c r="T679" s="34" t="str"/>
    </x:row>
    <x:row r="680">
      <x:c r="A680" s="34" t="str">
        <x:v>M5-EVAL-0675</x:v>
      </x:c>
      <x:c r="B680" s="34" t="str"/>
      <x:c r="C680" s="34" t="str"/>
      <x:c r="D680" s="34" t="str"/>
      <x:c r="E680" s="34" t="str"/>
      <x:c r="F680" s="34" t="str"/>
      <x:c r="G680" s="34" t="str"/>
      <x:c r="H680" s="34" t="str"/>
      <x:c r="I680" s="38" t="str">
        <x:f>IF(H680="","",IF(H680="完全吻合",1,IF(H680="基本吻合",0.75,IF(H680="部分吻合",0.5,IF(H680="明显不符",0,"")))))</x:f>
      </x:c>
      <x:c r="J680" s="34" t="str"/>
      <x:c r="K680" s="34" t="str"/>
      <x:c r="L680" s="34" t="str"/>
      <x:c r="M680" s="34" t="str"/>
      <x:c r="N680" s="34" t="str"/>
      <x:c r="O680" s="34" t="str"/>
      <x:c r="P680" s="34" t="str"/>
      <x:c r="Q680" s="34" t="str"/>
      <x:c r="R680" s="34" t="str"/>
      <x:c r="S680" s="34" t="str"/>
      <x:c r="T680" s="34" t="str"/>
    </x:row>
    <x:row r="681">
      <x:c r="A681" s="34" t="str">
        <x:v>M5-EVAL-0676</x:v>
      </x:c>
      <x:c r="B681" s="34" t="str"/>
      <x:c r="C681" s="34" t="str"/>
      <x:c r="D681" s="34" t="str"/>
      <x:c r="E681" s="34" t="str"/>
      <x:c r="F681" s="34" t="str"/>
      <x:c r="G681" s="34" t="str"/>
      <x:c r="H681" s="34" t="str"/>
      <x:c r="I681" s="38" t="str">
        <x:f>IF(H681="","",IF(H681="完全吻合",1,IF(H681="基本吻合",0.75,IF(H681="部分吻合",0.5,IF(H681="明显不符",0,"")))))</x:f>
      </x:c>
      <x:c r="J681" s="34" t="str"/>
      <x:c r="K681" s="34" t="str"/>
      <x:c r="L681" s="34" t="str"/>
      <x:c r="M681" s="34" t="str"/>
      <x:c r="N681" s="34" t="str"/>
      <x:c r="O681" s="34" t="str"/>
      <x:c r="P681" s="34" t="str"/>
      <x:c r="Q681" s="34" t="str"/>
      <x:c r="R681" s="34" t="str"/>
      <x:c r="S681" s="34" t="str"/>
      <x:c r="T681" s="34" t="str"/>
    </x:row>
    <x:row r="682">
      <x:c r="A682" s="34" t="str">
        <x:v>M5-EVAL-0677</x:v>
      </x:c>
      <x:c r="B682" s="34" t="str"/>
      <x:c r="C682" s="34" t="str"/>
      <x:c r="D682" s="34" t="str"/>
      <x:c r="E682" s="34" t="str"/>
      <x:c r="F682" s="34" t="str"/>
      <x:c r="G682" s="34" t="str"/>
      <x:c r="H682" s="34" t="str"/>
      <x:c r="I682" s="38" t="str">
        <x:f>IF(H682="","",IF(H682="完全吻合",1,IF(H682="基本吻合",0.75,IF(H682="部分吻合",0.5,IF(H682="明显不符",0,"")))))</x:f>
      </x:c>
      <x:c r="J682" s="34" t="str"/>
      <x:c r="K682" s="34" t="str"/>
      <x:c r="L682" s="34" t="str"/>
      <x:c r="M682" s="34" t="str"/>
      <x:c r="N682" s="34" t="str"/>
      <x:c r="O682" s="34" t="str"/>
      <x:c r="P682" s="34" t="str"/>
      <x:c r="Q682" s="34" t="str"/>
      <x:c r="R682" s="34" t="str"/>
      <x:c r="S682" s="34" t="str"/>
      <x:c r="T682" s="34" t="str"/>
    </x:row>
    <x:row r="683">
      <x:c r="A683" s="34" t="str">
        <x:v>M5-EVAL-0678</x:v>
      </x:c>
      <x:c r="B683" s="34" t="str"/>
      <x:c r="C683" s="34" t="str"/>
      <x:c r="D683" s="34" t="str"/>
      <x:c r="E683" s="34" t="str"/>
      <x:c r="F683" s="34" t="str"/>
      <x:c r="G683" s="34" t="str"/>
      <x:c r="H683" s="34" t="str"/>
      <x:c r="I683" s="38" t="str">
        <x:f>IF(H683="","",IF(H683="完全吻合",1,IF(H683="基本吻合",0.75,IF(H683="部分吻合",0.5,IF(H683="明显不符",0,"")))))</x:f>
      </x:c>
      <x:c r="J683" s="34" t="str"/>
      <x:c r="K683" s="34" t="str"/>
      <x:c r="L683" s="34" t="str"/>
      <x:c r="M683" s="34" t="str"/>
      <x:c r="N683" s="34" t="str"/>
      <x:c r="O683" s="34" t="str"/>
      <x:c r="P683" s="34" t="str"/>
      <x:c r="Q683" s="34" t="str"/>
      <x:c r="R683" s="34" t="str"/>
      <x:c r="S683" s="34" t="str"/>
      <x:c r="T683" s="34" t="str"/>
    </x:row>
    <x:row r="684">
      <x:c r="A684" s="34" t="str">
        <x:v>M5-EVAL-0679</x:v>
      </x:c>
      <x:c r="B684" s="34" t="str"/>
      <x:c r="C684" s="34" t="str"/>
      <x:c r="D684" s="34" t="str"/>
      <x:c r="E684" s="34" t="str"/>
      <x:c r="F684" s="34" t="str"/>
      <x:c r="G684" s="34" t="str"/>
      <x:c r="H684" s="34" t="str"/>
      <x:c r="I684" s="38" t="str">
        <x:f>IF(H684="","",IF(H684="完全吻合",1,IF(H684="基本吻合",0.75,IF(H684="部分吻合",0.5,IF(H684="明显不符",0,"")))))</x:f>
      </x:c>
      <x:c r="J684" s="34" t="str"/>
      <x:c r="K684" s="34" t="str"/>
      <x:c r="L684" s="34" t="str"/>
      <x:c r="M684" s="34" t="str"/>
      <x:c r="N684" s="34" t="str"/>
      <x:c r="O684" s="34" t="str"/>
      <x:c r="P684" s="34" t="str"/>
      <x:c r="Q684" s="34" t="str"/>
      <x:c r="R684" s="34" t="str"/>
      <x:c r="S684" s="34" t="str"/>
      <x:c r="T684" s="34" t="str"/>
    </x:row>
    <x:row r="685">
      <x:c r="A685" s="34" t="str">
        <x:v>M5-EVAL-0680</x:v>
      </x:c>
      <x:c r="B685" s="34" t="str"/>
      <x:c r="C685" s="34" t="str"/>
      <x:c r="D685" s="34" t="str"/>
      <x:c r="E685" s="34" t="str"/>
      <x:c r="F685" s="34" t="str"/>
      <x:c r="G685" s="34" t="str"/>
      <x:c r="H685" s="34" t="str"/>
      <x:c r="I685" s="38" t="str">
        <x:f>IF(H685="","",IF(H685="完全吻合",1,IF(H685="基本吻合",0.75,IF(H685="部分吻合",0.5,IF(H685="明显不符",0,"")))))</x:f>
      </x:c>
      <x:c r="J685" s="34" t="str"/>
      <x:c r="K685" s="34" t="str"/>
      <x:c r="L685" s="34" t="str"/>
      <x:c r="M685" s="34" t="str"/>
      <x:c r="N685" s="34" t="str"/>
      <x:c r="O685" s="34" t="str"/>
      <x:c r="P685" s="34" t="str"/>
      <x:c r="Q685" s="34" t="str"/>
      <x:c r="R685" s="34" t="str"/>
      <x:c r="S685" s="34" t="str"/>
      <x:c r="T685" s="34" t="str"/>
    </x:row>
    <x:row r="686">
      <x:c r="A686" s="34" t="str">
        <x:v>M5-EVAL-0681</x:v>
      </x:c>
      <x:c r="B686" s="34" t="str"/>
      <x:c r="C686" s="34" t="str"/>
      <x:c r="D686" s="34" t="str"/>
      <x:c r="E686" s="34" t="str"/>
      <x:c r="F686" s="34" t="str"/>
      <x:c r="G686" s="34" t="str"/>
      <x:c r="H686" s="34" t="str"/>
      <x:c r="I686" s="38" t="str">
        <x:f>IF(H686="","",IF(H686="完全吻合",1,IF(H686="基本吻合",0.75,IF(H686="部分吻合",0.5,IF(H686="明显不符",0,"")))))</x:f>
      </x:c>
      <x:c r="J686" s="34" t="str"/>
      <x:c r="K686" s="34" t="str"/>
      <x:c r="L686" s="34" t="str"/>
      <x:c r="M686" s="34" t="str"/>
      <x:c r="N686" s="34" t="str"/>
      <x:c r="O686" s="34" t="str"/>
      <x:c r="P686" s="34" t="str"/>
      <x:c r="Q686" s="34" t="str"/>
      <x:c r="R686" s="34" t="str"/>
      <x:c r="S686" s="34" t="str"/>
      <x:c r="T686" s="34" t="str"/>
    </x:row>
    <x:row r="687">
      <x:c r="A687" s="34" t="str">
        <x:v>M5-EVAL-0682</x:v>
      </x:c>
      <x:c r="B687" s="34" t="str"/>
      <x:c r="C687" s="34" t="str"/>
      <x:c r="D687" s="34" t="str"/>
      <x:c r="E687" s="34" t="str"/>
      <x:c r="F687" s="34" t="str"/>
      <x:c r="G687" s="34" t="str"/>
      <x:c r="H687" s="34" t="str"/>
      <x:c r="I687" s="38" t="str">
        <x:f>IF(H687="","",IF(H687="完全吻合",1,IF(H687="基本吻合",0.75,IF(H687="部分吻合",0.5,IF(H687="明显不符",0,"")))))</x:f>
      </x:c>
      <x:c r="J687" s="34" t="str"/>
      <x:c r="K687" s="34" t="str"/>
      <x:c r="L687" s="34" t="str"/>
      <x:c r="M687" s="34" t="str"/>
      <x:c r="N687" s="34" t="str"/>
      <x:c r="O687" s="34" t="str"/>
      <x:c r="P687" s="34" t="str"/>
      <x:c r="Q687" s="34" t="str"/>
      <x:c r="R687" s="34" t="str"/>
      <x:c r="S687" s="34" t="str"/>
      <x:c r="T687" s="34" t="str"/>
    </x:row>
    <x:row r="688">
      <x:c r="A688" s="34" t="str">
        <x:v>M5-EVAL-0683</x:v>
      </x:c>
      <x:c r="B688" s="34" t="str"/>
      <x:c r="C688" s="34" t="str"/>
      <x:c r="D688" s="34" t="str"/>
      <x:c r="E688" s="34" t="str"/>
      <x:c r="F688" s="34" t="str"/>
      <x:c r="G688" s="34" t="str"/>
      <x:c r="H688" s="34" t="str"/>
      <x:c r="I688" s="38" t="str">
        <x:f>IF(H688="","",IF(H688="完全吻合",1,IF(H688="基本吻合",0.75,IF(H688="部分吻合",0.5,IF(H688="明显不符",0,"")))))</x:f>
      </x:c>
      <x:c r="J688" s="34" t="str"/>
      <x:c r="K688" s="34" t="str"/>
      <x:c r="L688" s="34" t="str"/>
      <x:c r="M688" s="34" t="str"/>
      <x:c r="N688" s="34" t="str"/>
      <x:c r="O688" s="34" t="str"/>
      <x:c r="P688" s="34" t="str"/>
      <x:c r="Q688" s="34" t="str"/>
      <x:c r="R688" s="34" t="str"/>
      <x:c r="S688" s="34" t="str"/>
      <x:c r="T688" s="34" t="str"/>
    </x:row>
    <x:row r="689">
      <x:c r="A689" s="34" t="str">
        <x:v>M5-EVAL-0684</x:v>
      </x:c>
      <x:c r="B689" s="34" t="str"/>
      <x:c r="C689" s="34" t="str"/>
      <x:c r="D689" s="34" t="str"/>
      <x:c r="E689" s="34" t="str"/>
      <x:c r="F689" s="34" t="str"/>
      <x:c r="G689" s="34" t="str"/>
      <x:c r="H689" s="34" t="str"/>
      <x:c r="I689" s="38" t="str">
        <x:f>IF(H689="","",IF(H689="完全吻合",1,IF(H689="基本吻合",0.75,IF(H689="部分吻合",0.5,IF(H689="明显不符",0,"")))))</x:f>
      </x:c>
      <x:c r="J689" s="34" t="str"/>
      <x:c r="K689" s="34" t="str"/>
      <x:c r="L689" s="34" t="str"/>
      <x:c r="M689" s="34" t="str"/>
      <x:c r="N689" s="34" t="str"/>
      <x:c r="O689" s="34" t="str"/>
      <x:c r="P689" s="34" t="str"/>
      <x:c r="Q689" s="34" t="str"/>
      <x:c r="R689" s="34" t="str"/>
      <x:c r="S689" s="34" t="str"/>
      <x:c r="T689" s="34" t="str"/>
    </x:row>
    <x:row r="690">
      <x:c r="A690" s="34" t="str">
        <x:v>M5-EVAL-0685</x:v>
      </x:c>
      <x:c r="B690" s="34" t="str"/>
      <x:c r="C690" s="34" t="str"/>
      <x:c r="D690" s="34" t="str"/>
      <x:c r="E690" s="34" t="str"/>
      <x:c r="F690" s="34" t="str"/>
      <x:c r="G690" s="34" t="str"/>
      <x:c r="H690" s="34" t="str"/>
      <x:c r="I690" s="38" t="str">
        <x:f>IF(H690="","",IF(H690="完全吻合",1,IF(H690="基本吻合",0.75,IF(H690="部分吻合",0.5,IF(H690="明显不符",0,"")))))</x:f>
      </x:c>
      <x:c r="J690" s="34" t="str"/>
      <x:c r="K690" s="34" t="str"/>
      <x:c r="L690" s="34" t="str"/>
      <x:c r="M690" s="34" t="str"/>
      <x:c r="N690" s="34" t="str"/>
      <x:c r="O690" s="34" t="str"/>
      <x:c r="P690" s="34" t="str"/>
      <x:c r="Q690" s="34" t="str"/>
      <x:c r="R690" s="34" t="str"/>
      <x:c r="S690" s="34" t="str"/>
      <x:c r="T690" s="34" t="str"/>
    </x:row>
    <x:row r="691">
      <x:c r="A691" s="34" t="str">
        <x:v>M5-EVAL-0686</x:v>
      </x:c>
      <x:c r="B691" s="34" t="str"/>
      <x:c r="C691" s="34" t="str"/>
      <x:c r="D691" s="34" t="str"/>
      <x:c r="E691" s="34" t="str"/>
      <x:c r="F691" s="34" t="str"/>
      <x:c r="G691" s="34" t="str"/>
      <x:c r="H691" s="34" t="str"/>
      <x:c r="I691" s="38" t="str">
        <x:f>IF(H691="","",IF(H691="完全吻合",1,IF(H691="基本吻合",0.75,IF(H691="部分吻合",0.5,IF(H691="明显不符",0,"")))))</x:f>
      </x:c>
      <x:c r="J691" s="34" t="str"/>
      <x:c r="K691" s="34" t="str"/>
      <x:c r="L691" s="34" t="str"/>
      <x:c r="M691" s="34" t="str"/>
      <x:c r="N691" s="34" t="str"/>
      <x:c r="O691" s="34" t="str"/>
      <x:c r="P691" s="34" t="str"/>
      <x:c r="Q691" s="34" t="str"/>
      <x:c r="R691" s="34" t="str"/>
      <x:c r="S691" s="34" t="str"/>
      <x:c r="T691" s="34" t="str"/>
    </x:row>
    <x:row r="692">
      <x:c r="A692" s="34" t="str">
        <x:v>M5-EVAL-0687</x:v>
      </x:c>
      <x:c r="B692" s="34" t="str"/>
      <x:c r="C692" s="34" t="str"/>
      <x:c r="D692" s="34" t="str"/>
      <x:c r="E692" s="34" t="str"/>
      <x:c r="F692" s="34" t="str"/>
      <x:c r="G692" s="34" t="str"/>
      <x:c r="H692" s="34" t="str"/>
      <x:c r="I692" s="38" t="str">
        <x:f>IF(H692="","",IF(H692="完全吻合",1,IF(H692="基本吻合",0.75,IF(H692="部分吻合",0.5,IF(H692="明显不符",0,"")))))</x:f>
      </x:c>
      <x:c r="J692" s="34" t="str"/>
      <x:c r="K692" s="34" t="str"/>
      <x:c r="L692" s="34" t="str"/>
      <x:c r="M692" s="34" t="str"/>
      <x:c r="N692" s="34" t="str"/>
      <x:c r="O692" s="34" t="str"/>
      <x:c r="P692" s="34" t="str"/>
      <x:c r="Q692" s="34" t="str"/>
      <x:c r="R692" s="34" t="str"/>
      <x:c r="S692" s="34" t="str"/>
      <x:c r="T692" s="34" t="str"/>
    </x:row>
    <x:row r="693">
      <x:c r="A693" s="34" t="str">
        <x:v>M5-EVAL-0688</x:v>
      </x:c>
      <x:c r="B693" s="34" t="str"/>
      <x:c r="C693" s="34" t="str"/>
      <x:c r="D693" s="34" t="str"/>
      <x:c r="E693" s="34" t="str"/>
      <x:c r="F693" s="34" t="str"/>
      <x:c r="G693" s="34" t="str"/>
      <x:c r="H693" s="34" t="str"/>
      <x:c r="I693" s="38" t="str">
        <x:f>IF(H693="","",IF(H693="完全吻合",1,IF(H693="基本吻合",0.75,IF(H693="部分吻合",0.5,IF(H693="明显不符",0,"")))))</x:f>
      </x:c>
      <x:c r="J693" s="34" t="str"/>
      <x:c r="K693" s="34" t="str"/>
      <x:c r="L693" s="34" t="str"/>
      <x:c r="M693" s="34" t="str"/>
      <x:c r="N693" s="34" t="str"/>
      <x:c r="O693" s="34" t="str"/>
      <x:c r="P693" s="34" t="str"/>
      <x:c r="Q693" s="34" t="str"/>
      <x:c r="R693" s="34" t="str"/>
      <x:c r="S693" s="34" t="str"/>
      <x:c r="T693" s="34" t="str"/>
    </x:row>
    <x:row r="694">
      <x:c r="A694" s="34" t="str">
        <x:v>M5-EVAL-0689</x:v>
      </x:c>
      <x:c r="B694" s="34" t="str"/>
      <x:c r="C694" s="34" t="str"/>
      <x:c r="D694" s="34" t="str"/>
      <x:c r="E694" s="34" t="str"/>
      <x:c r="F694" s="34" t="str"/>
      <x:c r="G694" s="34" t="str"/>
      <x:c r="H694" s="34" t="str"/>
      <x:c r="I694" s="38" t="str">
        <x:f>IF(H694="","",IF(H694="完全吻合",1,IF(H694="基本吻合",0.75,IF(H694="部分吻合",0.5,IF(H694="明显不符",0,"")))))</x:f>
      </x:c>
      <x:c r="J694" s="34" t="str"/>
      <x:c r="K694" s="34" t="str"/>
      <x:c r="L694" s="34" t="str"/>
      <x:c r="M694" s="34" t="str"/>
      <x:c r="N694" s="34" t="str"/>
      <x:c r="O694" s="34" t="str"/>
      <x:c r="P694" s="34" t="str"/>
      <x:c r="Q694" s="34" t="str"/>
      <x:c r="R694" s="34" t="str"/>
      <x:c r="S694" s="34" t="str"/>
      <x:c r="T694" s="34" t="str"/>
    </x:row>
    <x:row r="695">
      <x:c r="A695" s="34" t="str">
        <x:v>M5-EVAL-0690</x:v>
      </x:c>
      <x:c r="B695" s="34" t="str"/>
      <x:c r="C695" s="34" t="str"/>
      <x:c r="D695" s="34" t="str"/>
      <x:c r="E695" s="34" t="str"/>
      <x:c r="F695" s="34" t="str"/>
      <x:c r="G695" s="34" t="str"/>
      <x:c r="H695" s="34" t="str"/>
      <x:c r="I695" s="38" t="str">
        <x:f>IF(H695="","",IF(H695="完全吻合",1,IF(H695="基本吻合",0.75,IF(H695="部分吻合",0.5,IF(H695="明显不符",0,"")))))</x:f>
      </x:c>
      <x:c r="J695" s="34" t="str"/>
      <x:c r="K695" s="34" t="str"/>
      <x:c r="L695" s="34" t="str"/>
      <x:c r="M695" s="34" t="str"/>
      <x:c r="N695" s="34" t="str"/>
      <x:c r="O695" s="34" t="str"/>
      <x:c r="P695" s="34" t="str"/>
      <x:c r="Q695" s="34" t="str"/>
      <x:c r="R695" s="34" t="str"/>
      <x:c r="S695" s="34" t="str"/>
      <x:c r="T695" s="34" t="str"/>
    </x:row>
    <x:row r="696">
      <x:c r="A696" s="34" t="str">
        <x:v>M5-EVAL-0691</x:v>
      </x:c>
      <x:c r="B696" s="34" t="str"/>
      <x:c r="C696" s="34" t="str"/>
      <x:c r="D696" s="34" t="str"/>
      <x:c r="E696" s="34" t="str"/>
      <x:c r="F696" s="34" t="str"/>
      <x:c r="G696" s="34" t="str"/>
      <x:c r="H696" s="34" t="str"/>
      <x:c r="I696" s="38" t="str">
        <x:f>IF(H696="","",IF(H696="完全吻合",1,IF(H696="基本吻合",0.75,IF(H696="部分吻合",0.5,IF(H696="明显不符",0,"")))))</x:f>
      </x:c>
      <x:c r="J696" s="34" t="str"/>
      <x:c r="K696" s="34" t="str"/>
      <x:c r="L696" s="34" t="str"/>
      <x:c r="M696" s="34" t="str"/>
      <x:c r="N696" s="34" t="str"/>
      <x:c r="O696" s="34" t="str"/>
      <x:c r="P696" s="34" t="str"/>
      <x:c r="Q696" s="34" t="str"/>
      <x:c r="R696" s="34" t="str"/>
      <x:c r="S696" s="34" t="str"/>
      <x:c r="T696" s="34" t="str"/>
    </x:row>
    <x:row r="697">
      <x:c r="A697" s="34" t="str">
        <x:v>M5-EVAL-0692</x:v>
      </x:c>
      <x:c r="B697" s="34" t="str"/>
      <x:c r="C697" s="34" t="str"/>
      <x:c r="D697" s="34" t="str"/>
      <x:c r="E697" s="34" t="str"/>
      <x:c r="F697" s="34" t="str"/>
      <x:c r="G697" s="34" t="str"/>
      <x:c r="H697" s="34" t="str"/>
      <x:c r="I697" s="38" t="str">
        <x:f>IF(H697="","",IF(H697="完全吻合",1,IF(H697="基本吻合",0.75,IF(H697="部分吻合",0.5,IF(H697="明显不符",0,"")))))</x:f>
      </x:c>
      <x:c r="J697" s="34" t="str"/>
      <x:c r="K697" s="34" t="str"/>
      <x:c r="L697" s="34" t="str"/>
      <x:c r="M697" s="34" t="str"/>
      <x:c r="N697" s="34" t="str"/>
      <x:c r="O697" s="34" t="str"/>
      <x:c r="P697" s="34" t="str"/>
      <x:c r="Q697" s="34" t="str"/>
      <x:c r="R697" s="34" t="str"/>
      <x:c r="S697" s="34" t="str"/>
      <x:c r="T697" s="34" t="str"/>
    </x:row>
    <x:row r="698">
      <x:c r="A698" s="34" t="str">
        <x:v>M5-EVAL-0693</x:v>
      </x:c>
      <x:c r="B698" s="34" t="str"/>
      <x:c r="C698" s="34" t="str"/>
      <x:c r="D698" s="34" t="str"/>
      <x:c r="E698" s="34" t="str"/>
      <x:c r="F698" s="34" t="str"/>
      <x:c r="G698" s="34" t="str"/>
      <x:c r="H698" s="34" t="str"/>
      <x:c r="I698" s="38" t="str">
        <x:f>IF(H698="","",IF(H698="完全吻合",1,IF(H698="基本吻合",0.75,IF(H698="部分吻合",0.5,IF(H698="明显不符",0,"")))))</x:f>
      </x:c>
      <x:c r="J698" s="34" t="str"/>
      <x:c r="K698" s="34" t="str"/>
      <x:c r="L698" s="34" t="str"/>
      <x:c r="M698" s="34" t="str"/>
      <x:c r="N698" s="34" t="str"/>
      <x:c r="O698" s="34" t="str"/>
      <x:c r="P698" s="34" t="str"/>
      <x:c r="Q698" s="34" t="str"/>
      <x:c r="R698" s="34" t="str"/>
      <x:c r="S698" s="34" t="str"/>
      <x:c r="T698" s="34" t="str"/>
    </x:row>
    <x:row r="699">
      <x:c r="A699" s="34" t="str">
        <x:v>M5-EVAL-0694</x:v>
      </x:c>
      <x:c r="B699" s="34" t="str"/>
      <x:c r="C699" s="34" t="str"/>
      <x:c r="D699" s="34" t="str"/>
      <x:c r="E699" s="34" t="str"/>
      <x:c r="F699" s="34" t="str"/>
      <x:c r="G699" s="34" t="str"/>
      <x:c r="H699" s="34" t="str"/>
      <x:c r="I699" s="38" t="str">
        <x:f>IF(H699="","",IF(H699="完全吻合",1,IF(H699="基本吻合",0.75,IF(H699="部分吻合",0.5,IF(H699="明显不符",0,"")))))</x:f>
      </x:c>
      <x:c r="J699" s="34" t="str"/>
      <x:c r="K699" s="34" t="str"/>
      <x:c r="L699" s="34" t="str"/>
      <x:c r="M699" s="34" t="str"/>
      <x:c r="N699" s="34" t="str"/>
      <x:c r="O699" s="34" t="str"/>
      <x:c r="P699" s="34" t="str"/>
      <x:c r="Q699" s="34" t="str"/>
      <x:c r="R699" s="34" t="str"/>
      <x:c r="S699" s="34" t="str"/>
      <x:c r="T699" s="34" t="str"/>
    </x:row>
    <x:row r="700">
      <x:c r="A700" s="34" t="str">
        <x:v>M5-EVAL-0695</x:v>
      </x:c>
      <x:c r="B700" s="34" t="str"/>
      <x:c r="C700" s="34" t="str"/>
      <x:c r="D700" s="34" t="str"/>
      <x:c r="E700" s="34" t="str"/>
      <x:c r="F700" s="34" t="str"/>
      <x:c r="G700" s="34" t="str"/>
      <x:c r="H700" s="34" t="str"/>
      <x:c r="I700" s="38" t="str">
        <x:f>IF(H700="","",IF(H700="完全吻合",1,IF(H700="基本吻合",0.75,IF(H700="部分吻合",0.5,IF(H700="明显不符",0,"")))))</x:f>
      </x:c>
      <x:c r="J700" s="34" t="str"/>
      <x:c r="K700" s="34" t="str"/>
      <x:c r="L700" s="34" t="str"/>
      <x:c r="M700" s="34" t="str"/>
      <x:c r="N700" s="34" t="str"/>
      <x:c r="O700" s="34" t="str"/>
      <x:c r="P700" s="34" t="str"/>
      <x:c r="Q700" s="34" t="str"/>
      <x:c r="R700" s="34" t="str"/>
      <x:c r="S700" s="34" t="str"/>
      <x:c r="T700" s="34" t="str"/>
    </x:row>
    <x:row r="701">
      <x:c r="A701" s="34" t="str">
        <x:v>M5-EVAL-0696</x:v>
      </x:c>
      <x:c r="B701" s="34" t="str"/>
      <x:c r="C701" s="34" t="str"/>
      <x:c r="D701" s="34" t="str"/>
      <x:c r="E701" s="34" t="str"/>
      <x:c r="F701" s="34" t="str"/>
      <x:c r="G701" s="34" t="str"/>
      <x:c r="H701" s="34" t="str"/>
      <x:c r="I701" s="38" t="str">
        <x:f>IF(H701="","",IF(H701="完全吻合",1,IF(H701="基本吻合",0.75,IF(H701="部分吻合",0.5,IF(H701="明显不符",0,"")))))</x:f>
      </x:c>
      <x:c r="J701" s="34" t="str"/>
      <x:c r="K701" s="34" t="str"/>
      <x:c r="L701" s="34" t="str"/>
      <x:c r="M701" s="34" t="str"/>
      <x:c r="N701" s="34" t="str"/>
      <x:c r="O701" s="34" t="str"/>
      <x:c r="P701" s="34" t="str"/>
      <x:c r="Q701" s="34" t="str"/>
      <x:c r="R701" s="34" t="str"/>
      <x:c r="S701" s="34" t="str"/>
      <x:c r="T701" s="34" t="str"/>
    </x:row>
    <x:row r="702">
      <x:c r="A702" s="34" t="str">
        <x:v>M5-EVAL-0697</x:v>
      </x:c>
      <x:c r="B702" s="34" t="str"/>
      <x:c r="C702" s="34" t="str"/>
      <x:c r="D702" s="34" t="str"/>
      <x:c r="E702" s="34" t="str"/>
      <x:c r="F702" s="34" t="str"/>
      <x:c r="G702" s="34" t="str"/>
      <x:c r="H702" s="34" t="str"/>
      <x:c r="I702" s="38" t="str">
        <x:f>IF(H702="","",IF(H702="完全吻合",1,IF(H702="基本吻合",0.75,IF(H702="部分吻合",0.5,IF(H702="明显不符",0,"")))))</x:f>
      </x:c>
      <x:c r="J702" s="34" t="str"/>
      <x:c r="K702" s="34" t="str"/>
      <x:c r="L702" s="34" t="str"/>
      <x:c r="M702" s="34" t="str"/>
      <x:c r="N702" s="34" t="str"/>
      <x:c r="O702" s="34" t="str"/>
      <x:c r="P702" s="34" t="str"/>
      <x:c r="Q702" s="34" t="str"/>
      <x:c r="R702" s="34" t="str"/>
      <x:c r="S702" s="34" t="str"/>
      <x:c r="T702" s="34" t="str"/>
    </x:row>
    <x:row r="703">
      <x:c r="A703" s="34" t="str">
        <x:v>M5-EVAL-0698</x:v>
      </x:c>
      <x:c r="B703" s="34" t="str"/>
      <x:c r="C703" s="34" t="str"/>
      <x:c r="D703" s="34" t="str"/>
      <x:c r="E703" s="34" t="str"/>
      <x:c r="F703" s="34" t="str"/>
      <x:c r="G703" s="34" t="str"/>
      <x:c r="H703" s="34" t="str"/>
      <x:c r="I703" s="38" t="str">
        <x:f>IF(H703="","",IF(H703="完全吻合",1,IF(H703="基本吻合",0.75,IF(H703="部分吻合",0.5,IF(H703="明显不符",0,"")))))</x:f>
      </x:c>
      <x:c r="J703" s="34" t="str"/>
      <x:c r="K703" s="34" t="str"/>
      <x:c r="L703" s="34" t="str"/>
      <x:c r="M703" s="34" t="str"/>
      <x:c r="N703" s="34" t="str"/>
      <x:c r="O703" s="34" t="str"/>
      <x:c r="P703" s="34" t="str"/>
      <x:c r="Q703" s="34" t="str"/>
      <x:c r="R703" s="34" t="str"/>
      <x:c r="S703" s="34" t="str"/>
      <x:c r="T703" s="34" t="str"/>
    </x:row>
    <x:row r="704">
      <x:c r="A704" s="34" t="str">
        <x:v>M5-EVAL-0699</x:v>
      </x:c>
      <x:c r="B704" s="34" t="str"/>
      <x:c r="C704" s="34" t="str"/>
      <x:c r="D704" s="34" t="str"/>
      <x:c r="E704" s="34" t="str"/>
      <x:c r="F704" s="34" t="str"/>
      <x:c r="G704" s="34" t="str"/>
      <x:c r="H704" s="34" t="str"/>
      <x:c r="I704" s="38" t="str">
        <x:f>IF(H704="","",IF(H704="完全吻合",1,IF(H704="基本吻合",0.75,IF(H704="部分吻合",0.5,IF(H704="明显不符",0,"")))))</x:f>
      </x:c>
      <x:c r="J704" s="34" t="str"/>
      <x:c r="K704" s="34" t="str"/>
      <x:c r="L704" s="34" t="str"/>
      <x:c r="M704" s="34" t="str"/>
      <x:c r="N704" s="34" t="str"/>
      <x:c r="O704" s="34" t="str"/>
      <x:c r="P704" s="34" t="str"/>
      <x:c r="Q704" s="34" t="str"/>
      <x:c r="R704" s="34" t="str"/>
      <x:c r="S704" s="34" t="str"/>
      <x:c r="T704" s="34" t="str"/>
    </x:row>
    <x:row r="705">
      <x:c r="A705" s="34" t="str">
        <x:v>M5-EVAL-0700</x:v>
      </x:c>
      <x:c r="B705" s="34" t="str"/>
      <x:c r="C705" s="34" t="str"/>
      <x:c r="D705" s="34" t="str"/>
      <x:c r="E705" s="34" t="str"/>
      <x:c r="F705" s="34" t="str"/>
      <x:c r="G705" s="34" t="str"/>
      <x:c r="H705" s="34" t="str"/>
      <x:c r="I705" s="38" t="str">
        <x:f>IF(H705="","",IF(H705="完全吻合",1,IF(H705="基本吻合",0.75,IF(H705="部分吻合",0.5,IF(H705="明显不符",0,"")))))</x:f>
      </x:c>
      <x:c r="J705" s="34" t="str"/>
      <x:c r="K705" s="34" t="str"/>
      <x:c r="L705" s="34" t="str"/>
      <x:c r="M705" s="34" t="str"/>
      <x:c r="N705" s="34" t="str"/>
      <x:c r="O705" s="34" t="str"/>
      <x:c r="P705" s="34" t="str"/>
      <x:c r="Q705" s="34" t="str"/>
      <x:c r="R705" s="34" t="str"/>
      <x:c r="S705" s="34" t="str"/>
      <x:c r="T705" s="34" t="str"/>
    </x:row>
    <x:row r="706">
      <x:c r="A706" s="34" t="str">
        <x:v>M5-EVAL-0701</x:v>
      </x:c>
      <x:c r="B706" s="34" t="str"/>
      <x:c r="C706" s="34" t="str"/>
      <x:c r="D706" s="34" t="str"/>
      <x:c r="E706" s="34" t="str"/>
      <x:c r="F706" s="34" t="str"/>
      <x:c r="G706" s="34" t="str"/>
      <x:c r="H706" s="34" t="str"/>
      <x:c r="I706" s="38" t="str">
        <x:f>IF(H706="","",IF(H706="完全吻合",1,IF(H706="基本吻合",0.75,IF(H706="部分吻合",0.5,IF(H706="明显不符",0,"")))))</x:f>
      </x:c>
      <x:c r="J706" s="34" t="str"/>
      <x:c r="K706" s="34" t="str"/>
      <x:c r="L706" s="34" t="str"/>
      <x:c r="M706" s="34" t="str"/>
      <x:c r="N706" s="34" t="str"/>
      <x:c r="O706" s="34" t="str"/>
      <x:c r="P706" s="34" t="str"/>
      <x:c r="Q706" s="34" t="str"/>
      <x:c r="R706" s="34" t="str"/>
      <x:c r="S706" s="34" t="str"/>
      <x:c r="T706" s="34" t="str"/>
    </x:row>
    <x:row r="707">
      <x:c r="A707" s="34" t="str">
        <x:v>M5-EVAL-0702</x:v>
      </x:c>
      <x:c r="B707" s="34" t="str"/>
      <x:c r="C707" s="34" t="str"/>
      <x:c r="D707" s="34" t="str"/>
      <x:c r="E707" s="34" t="str"/>
      <x:c r="F707" s="34" t="str"/>
      <x:c r="G707" s="34" t="str"/>
      <x:c r="H707" s="34" t="str"/>
      <x:c r="I707" s="38" t="str">
        <x:f>IF(H707="","",IF(H707="完全吻合",1,IF(H707="基本吻合",0.75,IF(H707="部分吻合",0.5,IF(H707="明显不符",0,"")))))</x:f>
      </x:c>
      <x:c r="J707" s="34" t="str"/>
      <x:c r="K707" s="34" t="str"/>
      <x:c r="L707" s="34" t="str"/>
      <x:c r="M707" s="34" t="str"/>
      <x:c r="N707" s="34" t="str"/>
      <x:c r="O707" s="34" t="str"/>
      <x:c r="P707" s="34" t="str"/>
      <x:c r="Q707" s="34" t="str"/>
      <x:c r="R707" s="34" t="str"/>
      <x:c r="S707" s="34" t="str"/>
      <x:c r="T707" s="34" t="str"/>
    </x:row>
    <x:row r="708">
      <x:c r="A708" s="34" t="str">
        <x:v>M5-EVAL-0703</x:v>
      </x:c>
      <x:c r="B708" s="34" t="str"/>
      <x:c r="C708" s="34" t="str"/>
      <x:c r="D708" s="34" t="str"/>
      <x:c r="E708" s="34" t="str"/>
      <x:c r="F708" s="34" t="str"/>
      <x:c r="G708" s="34" t="str"/>
      <x:c r="H708" s="34" t="str"/>
      <x:c r="I708" s="38" t="str">
        <x:f>IF(H708="","",IF(H708="完全吻合",1,IF(H708="基本吻合",0.75,IF(H708="部分吻合",0.5,IF(H708="明显不符",0,"")))))</x:f>
      </x:c>
      <x:c r="J708" s="34" t="str"/>
      <x:c r="K708" s="34" t="str"/>
      <x:c r="L708" s="34" t="str"/>
      <x:c r="M708" s="34" t="str"/>
      <x:c r="N708" s="34" t="str"/>
      <x:c r="O708" s="34" t="str"/>
      <x:c r="P708" s="34" t="str"/>
      <x:c r="Q708" s="34" t="str"/>
      <x:c r="R708" s="34" t="str"/>
      <x:c r="S708" s="34" t="str"/>
      <x:c r="T708" s="34" t="str"/>
    </x:row>
    <x:row r="709">
      <x:c r="A709" s="34" t="str">
        <x:v>M5-EVAL-0704</x:v>
      </x:c>
      <x:c r="B709" s="34" t="str"/>
      <x:c r="C709" s="34" t="str"/>
      <x:c r="D709" s="34" t="str"/>
      <x:c r="E709" s="34" t="str"/>
      <x:c r="F709" s="34" t="str"/>
      <x:c r="G709" s="34" t="str"/>
      <x:c r="H709" s="34" t="str"/>
      <x:c r="I709" s="38" t="str">
        <x:f>IF(H709="","",IF(H709="完全吻合",1,IF(H709="基本吻合",0.75,IF(H709="部分吻合",0.5,IF(H709="明显不符",0,"")))))</x:f>
      </x:c>
      <x:c r="J709" s="34" t="str"/>
      <x:c r="K709" s="34" t="str"/>
      <x:c r="L709" s="34" t="str"/>
      <x:c r="M709" s="34" t="str"/>
      <x:c r="N709" s="34" t="str"/>
      <x:c r="O709" s="34" t="str"/>
      <x:c r="P709" s="34" t="str"/>
      <x:c r="Q709" s="34" t="str"/>
      <x:c r="R709" s="34" t="str"/>
      <x:c r="S709" s="34" t="str"/>
      <x:c r="T709" s="34" t="str"/>
    </x:row>
    <x:row r="710">
      <x:c r="A710" s="34" t="str">
        <x:v>M5-EVAL-0705</x:v>
      </x:c>
      <x:c r="B710" s="34" t="str"/>
      <x:c r="C710" s="34" t="str"/>
      <x:c r="D710" s="34" t="str"/>
      <x:c r="E710" s="34" t="str"/>
      <x:c r="F710" s="34" t="str"/>
      <x:c r="G710" s="34" t="str"/>
      <x:c r="H710" s="34" t="str"/>
      <x:c r="I710" s="38" t="str">
        <x:f>IF(H710="","",IF(H710="完全吻合",1,IF(H710="基本吻合",0.75,IF(H710="部分吻合",0.5,IF(H710="明显不符",0,"")))))</x:f>
      </x:c>
      <x:c r="J710" s="34" t="str"/>
      <x:c r="K710" s="34" t="str"/>
      <x:c r="L710" s="34" t="str"/>
      <x:c r="M710" s="34" t="str"/>
      <x:c r="N710" s="34" t="str"/>
      <x:c r="O710" s="34" t="str"/>
      <x:c r="P710" s="34" t="str"/>
      <x:c r="Q710" s="34" t="str"/>
      <x:c r="R710" s="34" t="str"/>
      <x:c r="S710" s="34" t="str"/>
      <x:c r="T710" s="34" t="str"/>
    </x:row>
    <x:row r="711">
      <x:c r="A711" s="34" t="str">
        <x:v>M5-EVAL-0706</x:v>
      </x:c>
      <x:c r="B711" s="34" t="str"/>
      <x:c r="C711" s="34" t="str"/>
      <x:c r="D711" s="34" t="str"/>
      <x:c r="E711" s="34" t="str"/>
      <x:c r="F711" s="34" t="str"/>
      <x:c r="G711" s="34" t="str"/>
      <x:c r="H711" s="34" t="str"/>
      <x:c r="I711" s="38" t="str">
        <x:f>IF(H711="","",IF(H711="完全吻合",1,IF(H711="基本吻合",0.75,IF(H711="部分吻合",0.5,IF(H711="明显不符",0,"")))))</x:f>
      </x:c>
      <x:c r="J711" s="34" t="str"/>
      <x:c r="K711" s="34" t="str"/>
      <x:c r="L711" s="34" t="str"/>
      <x:c r="M711" s="34" t="str"/>
      <x:c r="N711" s="34" t="str"/>
      <x:c r="O711" s="34" t="str"/>
      <x:c r="P711" s="34" t="str"/>
      <x:c r="Q711" s="34" t="str"/>
      <x:c r="R711" s="34" t="str"/>
      <x:c r="S711" s="34" t="str"/>
      <x:c r="T711" s="34" t="str"/>
    </x:row>
    <x:row r="712">
      <x:c r="A712" s="34" t="str">
        <x:v>M5-EVAL-0707</x:v>
      </x:c>
      <x:c r="B712" s="34" t="str"/>
      <x:c r="C712" s="34" t="str"/>
      <x:c r="D712" s="34" t="str"/>
      <x:c r="E712" s="34" t="str"/>
      <x:c r="F712" s="34" t="str"/>
      <x:c r="G712" s="34" t="str"/>
      <x:c r="H712" s="34" t="str"/>
      <x:c r="I712" s="38" t="str">
        <x:f>IF(H712="","",IF(H712="完全吻合",1,IF(H712="基本吻合",0.75,IF(H712="部分吻合",0.5,IF(H712="明显不符",0,"")))))</x:f>
      </x:c>
      <x:c r="J712" s="34" t="str"/>
      <x:c r="K712" s="34" t="str"/>
      <x:c r="L712" s="34" t="str"/>
      <x:c r="M712" s="34" t="str"/>
      <x:c r="N712" s="34" t="str"/>
      <x:c r="O712" s="34" t="str"/>
      <x:c r="P712" s="34" t="str"/>
      <x:c r="Q712" s="34" t="str"/>
      <x:c r="R712" s="34" t="str"/>
      <x:c r="S712" s="34" t="str"/>
      <x:c r="T712" s="34" t="str"/>
    </x:row>
    <x:row r="713">
      <x:c r="A713" s="34" t="str">
        <x:v>M5-EVAL-0708</x:v>
      </x:c>
      <x:c r="B713" s="34" t="str"/>
      <x:c r="C713" s="34" t="str"/>
      <x:c r="D713" s="34" t="str"/>
      <x:c r="E713" s="34" t="str"/>
      <x:c r="F713" s="34" t="str"/>
      <x:c r="G713" s="34" t="str"/>
      <x:c r="H713" s="34" t="str"/>
      <x:c r="I713" s="38" t="str">
        <x:f>IF(H713="","",IF(H713="完全吻合",1,IF(H713="基本吻合",0.75,IF(H713="部分吻合",0.5,IF(H713="明显不符",0,"")))))</x:f>
      </x:c>
      <x:c r="J713" s="34" t="str"/>
      <x:c r="K713" s="34" t="str"/>
      <x:c r="L713" s="34" t="str"/>
      <x:c r="M713" s="34" t="str"/>
      <x:c r="N713" s="34" t="str"/>
      <x:c r="O713" s="34" t="str"/>
      <x:c r="P713" s="34" t="str"/>
      <x:c r="Q713" s="34" t="str"/>
      <x:c r="R713" s="34" t="str"/>
      <x:c r="S713" s="34" t="str"/>
      <x:c r="T713" s="34" t="str"/>
    </x:row>
    <x:row r="714">
      <x:c r="A714" s="34" t="str">
        <x:v>M5-EVAL-0709</x:v>
      </x:c>
      <x:c r="B714" s="34" t="str"/>
      <x:c r="C714" s="34" t="str"/>
      <x:c r="D714" s="34" t="str"/>
      <x:c r="E714" s="34" t="str"/>
      <x:c r="F714" s="34" t="str"/>
      <x:c r="G714" s="34" t="str"/>
      <x:c r="H714" s="34" t="str"/>
      <x:c r="I714" s="38" t="str">
        <x:f>IF(H714="","",IF(H714="完全吻合",1,IF(H714="基本吻合",0.75,IF(H714="部分吻合",0.5,IF(H714="明显不符",0,"")))))</x:f>
      </x:c>
      <x:c r="J714" s="34" t="str"/>
      <x:c r="K714" s="34" t="str"/>
      <x:c r="L714" s="34" t="str"/>
      <x:c r="M714" s="34" t="str"/>
      <x:c r="N714" s="34" t="str"/>
      <x:c r="O714" s="34" t="str"/>
      <x:c r="P714" s="34" t="str"/>
      <x:c r="Q714" s="34" t="str"/>
      <x:c r="R714" s="34" t="str"/>
      <x:c r="S714" s="34" t="str"/>
      <x:c r="T714" s="34" t="str"/>
    </x:row>
    <x:row r="715">
      <x:c r="A715" s="34" t="str">
        <x:v>M5-EVAL-0710</x:v>
      </x:c>
      <x:c r="B715" s="34" t="str"/>
      <x:c r="C715" s="34" t="str"/>
      <x:c r="D715" s="34" t="str"/>
      <x:c r="E715" s="34" t="str"/>
      <x:c r="F715" s="34" t="str"/>
      <x:c r="G715" s="34" t="str"/>
      <x:c r="H715" s="34" t="str"/>
      <x:c r="I715" s="38" t="str">
        <x:f>IF(H715="","",IF(H715="完全吻合",1,IF(H715="基本吻合",0.75,IF(H715="部分吻合",0.5,IF(H715="明显不符",0,"")))))</x:f>
      </x:c>
      <x:c r="J715" s="34" t="str"/>
      <x:c r="K715" s="34" t="str"/>
      <x:c r="L715" s="34" t="str"/>
      <x:c r="M715" s="34" t="str"/>
      <x:c r="N715" s="34" t="str"/>
      <x:c r="O715" s="34" t="str"/>
      <x:c r="P715" s="34" t="str"/>
      <x:c r="Q715" s="34" t="str"/>
      <x:c r="R715" s="34" t="str"/>
      <x:c r="S715" s="34" t="str"/>
      <x:c r="T715" s="34" t="str"/>
    </x:row>
    <x:row r="716">
      <x:c r="A716" s="34" t="str">
        <x:v>M5-EVAL-0711</x:v>
      </x:c>
      <x:c r="B716" s="34" t="str"/>
      <x:c r="C716" s="34" t="str"/>
      <x:c r="D716" s="34" t="str"/>
      <x:c r="E716" s="34" t="str"/>
      <x:c r="F716" s="34" t="str"/>
      <x:c r="G716" s="34" t="str"/>
      <x:c r="H716" s="34" t="str"/>
      <x:c r="I716" s="38" t="str">
        <x:f>IF(H716="","",IF(H716="完全吻合",1,IF(H716="基本吻合",0.75,IF(H716="部分吻合",0.5,IF(H716="明显不符",0,"")))))</x:f>
      </x:c>
      <x:c r="J716" s="34" t="str"/>
      <x:c r="K716" s="34" t="str"/>
      <x:c r="L716" s="34" t="str"/>
      <x:c r="M716" s="34" t="str"/>
      <x:c r="N716" s="34" t="str"/>
      <x:c r="O716" s="34" t="str"/>
      <x:c r="P716" s="34" t="str"/>
      <x:c r="Q716" s="34" t="str"/>
      <x:c r="R716" s="34" t="str"/>
      <x:c r="S716" s="34" t="str"/>
      <x:c r="T716" s="34" t="str"/>
    </x:row>
    <x:row r="717">
      <x:c r="A717" s="34" t="str">
        <x:v>M5-EVAL-0712</x:v>
      </x:c>
      <x:c r="B717" s="34" t="str"/>
      <x:c r="C717" s="34" t="str"/>
      <x:c r="D717" s="34" t="str"/>
      <x:c r="E717" s="34" t="str"/>
      <x:c r="F717" s="34" t="str"/>
      <x:c r="G717" s="34" t="str"/>
      <x:c r="H717" s="34" t="str"/>
      <x:c r="I717" s="38" t="str">
        <x:f>IF(H717="","",IF(H717="完全吻合",1,IF(H717="基本吻合",0.75,IF(H717="部分吻合",0.5,IF(H717="明显不符",0,"")))))</x:f>
      </x:c>
      <x:c r="J717" s="34" t="str"/>
      <x:c r="K717" s="34" t="str"/>
      <x:c r="L717" s="34" t="str"/>
      <x:c r="M717" s="34" t="str"/>
      <x:c r="N717" s="34" t="str"/>
      <x:c r="O717" s="34" t="str"/>
      <x:c r="P717" s="34" t="str"/>
      <x:c r="Q717" s="34" t="str"/>
      <x:c r="R717" s="34" t="str"/>
      <x:c r="S717" s="34" t="str"/>
      <x:c r="T717" s="34" t="str"/>
    </x:row>
    <x:row r="718">
      <x:c r="A718" s="34" t="str">
        <x:v>M5-EVAL-0713</x:v>
      </x:c>
      <x:c r="B718" s="34" t="str"/>
      <x:c r="C718" s="34" t="str"/>
      <x:c r="D718" s="34" t="str"/>
      <x:c r="E718" s="34" t="str"/>
      <x:c r="F718" s="34" t="str"/>
      <x:c r="G718" s="34" t="str"/>
      <x:c r="H718" s="34" t="str"/>
      <x:c r="I718" s="38" t="str">
        <x:f>IF(H718="","",IF(H718="完全吻合",1,IF(H718="基本吻合",0.75,IF(H718="部分吻合",0.5,IF(H718="明显不符",0,"")))))</x:f>
      </x:c>
      <x:c r="J718" s="34" t="str"/>
      <x:c r="K718" s="34" t="str"/>
      <x:c r="L718" s="34" t="str"/>
      <x:c r="M718" s="34" t="str"/>
      <x:c r="N718" s="34" t="str"/>
      <x:c r="O718" s="34" t="str"/>
      <x:c r="P718" s="34" t="str"/>
      <x:c r="Q718" s="34" t="str"/>
      <x:c r="R718" s="34" t="str"/>
      <x:c r="S718" s="34" t="str"/>
      <x:c r="T718" s="34" t="str"/>
    </x:row>
    <x:row r="719">
      <x:c r="A719" s="34" t="str">
        <x:v>M5-EVAL-0714</x:v>
      </x:c>
      <x:c r="B719" s="34" t="str"/>
      <x:c r="C719" s="34" t="str"/>
      <x:c r="D719" s="34" t="str"/>
      <x:c r="E719" s="34" t="str"/>
      <x:c r="F719" s="34" t="str"/>
      <x:c r="G719" s="34" t="str"/>
      <x:c r="H719" s="34" t="str"/>
      <x:c r="I719" s="38" t="str">
        <x:f>IF(H719="","",IF(H719="完全吻合",1,IF(H719="基本吻合",0.75,IF(H719="部分吻合",0.5,IF(H719="明显不符",0,"")))))</x:f>
      </x:c>
      <x:c r="J719" s="34" t="str"/>
      <x:c r="K719" s="34" t="str"/>
      <x:c r="L719" s="34" t="str"/>
      <x:c r="M719" s="34" t="str"/>
      <x:c r="N719" s="34" t="str"/>
      <x:c r="O719" s="34" t="str"/>
      <x:c r="P719" s="34" t="str"/>
      <x:c r="Q719" s="34" t="str"/>
      <x:c r="R719" s="34" t="str"/>
      <x:c r="S719" s="34" t="str"/>
      <x:c r="T719" s="34" t="str"/>
    </x:row>
    <x:row r="720">
      <x:c r="A720" s="34" t="str">
        <x:v>M5-EVAL-0715</x:v>
      </x:c>
      <x:c r="B720" s="34" t="str"/>
      <x:c r="C720" s="34" t="str"/>
      <x:c r="D720" s="34" t="str"/>
      <x:c r="E720" s="34" t="str"/>
      <x:c r="F720" s="34" t="str"/>
      <x:c r="G720" s="34" t="str"/>
      <x:c r="H720" s="34" t="str"/>
      <x:c r="I720" s="38" t="str">
        <x:f>IF(H720="","",IF(H720="完全吻合",1,IF(H720="基本吻合",0.75,IF(H720="部分吻合",0.5,IF(H720="明显不符",0,"")))))</x:f>
      </x:c>
      <x:c r="J720" s="34" t="str"/>
      <x:c r="K720" s="34" t="str"/>
      <x:c r="L720" s="34" t="str"/>
      <x:c r="M720" s="34" t="str"/>
      <x:c r="N720" s="34" t="str"/>
      <x:c r="O720" s="34" t="str"/>
      <x:c r="P720" s="34" t="str"/>
      <x:c r="Q720" s="34" t="str"/>
      <x:c r="R720" s="34" t="str"/>
      <x:c r="S720" s="34" t="str"/>
      <x:c r="T720" s="34" t="str"/>
    </x:row>
    <x:row r="721">
      <x:c r="A721" s="34" t="str">
        <x:v>M5-EVAL-0716</x:v>
      </x:c>
      <x:c r="B721" s="34" t="str"/>
      <x:c r="C721" s="34" t="str"/>
      <x:c r="D721" s="34" t="str"/>
      <x:c r="E721" s="34" t="str"/>
      <x:c r="F721" s="34" t="str"/>
      <x:c r="G721" s="34" t="str"/>
      <x:c r="H721" s="34" t="str"/>
      <x:c r="I721" s="38" t="str">
        <x:f>IF(H721="","",IF(H721="完全吻合",1,IF(H721="基本吻合",0.75,IF(H721="部分吻合",0.5,IF(H721="明显不符",0,"")))))</x:f>
      </x:c>
      <x:c r="J721" s="34" t="str"/>
      <x:c r="K721" s="34" t="str"/>
      <x:c r="L721" s="34" t="str"/>
      <x:c r="M721" s="34" t="str"/>
      <x:c r="N721" s="34" t="str"/>
      <x:c r="O721" s="34" t="str"/>
      <x:c r="P721" s="34" t="str"/>
      <x:c r="Q721" s="34" t="str"/>
      <x:c r="R721" s="34" t="str"/>
      <x:c r="S721" s="34" t="str"/>
      <x:c r="T721" s="34" t="str"/>
    </x:row>
    <x:row r="722">
      <x:c r="A722" s="34" t="str">
        <x:v>M5-EVAL-0717</x:v>
      </x:c>
      <x:c r="B722" s="34" t="str"/>
      <x:c r="C722" s="34" t="str"/>
      <x:c r="D722" s="34" t="str"/>
      <x:c r="E722" s="34" t="str"/>
      <x:c r="F722" s="34" t="str"/>
      <x:c r="G722" s="34" t="str"/>
      <x:c r="H722" s="34" t="str"/>
      <x:c r="I722" s="38" t="str">
        <x:f>IF(H722="","",IF(H722="完全吻合",1,IF(H722="基本吻合",0.75,IF(H722="部分吻合",0.5,IF(H722="明显不符",0,"")))))</x:f>
      </x:c>
      <x:c r="J722" s="34" t="str"/>
      <x:c r="K722" s="34" t="str"/>
      <x:c r="L722" s="34" t="str"/>
      <x:c r="M722" s="34" t="str"/>
      <x:c r="N722" s="34" t="str"/>
      <x:c r="O722" s="34" t="str"/>
      <x:c r="P722" s="34" t="str"/>
      <x:c r="Q722" s="34" t="str"/>
      <x:c r="R722" s="34" t="str"/>
      <x:c r="S722" s="34" t="str"/>
      <x:c r="T722" s="34" t="str"/>
    </x:row>
    <x:row r="723">
      <x:c r="A723" s="34" t="str">
        <x:v>M5-EVAL-0718</x:v>
      </x:c>
      <x:c r="B723" s="34" t="str"/>
      <x:c r="C723" s="34" t="str"/>
      <x:c r="D723" s="34" t="str"/>
      <x:c r="E723" s="34" t="str"/>
      <x:c r="F723" s="34" t="str"/>
      <x:c r="G723" s="34" t="str"/>
      <x:c r="H723" s="34" t="str"/>
      <x:c r="I723" s="38" t="str">
        <x:f>IF(H723="","",IF(H723="完全吻合",1,IF(H723="基本吻合",0.75,IF(H723="部分吻合",0.5,IF(H723="明显不符",0,"")))))</x:f>
      </x:c>
      <x:c r="J723" s="34" t="str"/>
      <x:c r="K723" s="34" t="str"/>
      <x:c r="L723" s="34" t="str"/>
      <x:c r="M723" s="34" t="str"/>
      <x:c r="N723" s="34" t="str"/>
      <x:c r="O723" s="34" t="str"/>
      <x:c r="P723" s="34" t="str"/>
      <x:c r="Q723" s="34" t="str"/>
      <x:c r="R723" s="34" t="str"/>
      <x:c r="S723" s="34" t="str"/>
      <x:c r="T723" s="34" t="str"/>
    </x:row>
    <x:row r="724">
      <x:c r="A724" s="34" t="str">
        <x:v>M5-EVAL-0719</x:v>
      </x:c>
      <x:c r="B724" s="34" t="str"/>
      <x:c r="C724" s="34" t="str"/>
      <x:c r="D724" s="34" t="str"/>
      <x:c r="E724" s="34" t="str"/>
      <x:c r="F724" s="34" t="str"/>
      <x:c r="G724" s="34" t="str"/>
      <x:c r="H724" s="34" t="str"/>
      <x:c r="I724" s="38" t="str">
        <x:f>IF(H724="","",IF(H724="完全吻合",1,IF(H724="基本吻合",0.75,IF(H724="部分吻合",0.5,IF(H724="明显不符",0,"")))))</x:f>
      </x:c>
      <x:c r="J724" s="34" t="str"/>
      <x:c r="K724" s="34" t="str"/>
      <x:c r="L724" s="34" t="str"/>
      <x:c r="M724" s="34" t="str"/>
      <x:c r="N724" s="34" t="str"/>
      <x:c r="O724" s="34" t="str"/>
      <x:c r="P724" s="34" t="str"/>
      <x:c r="Q724" s="34" t="str"/>
      <x:c r="R724" s="34" t="str"/>
      <x:c r="S724" s="34" t="str"/>
      <x:c r="T724" s="34" t="str"/>
    </x:row>
    <x:row r="725">
      <x:c r="A725" s="34" t="str">
        <x:v>M5-EVAL-0720</x:v>
      </x:c>
      <x:c r="B725" s="34" t="str"/>
      <x:c r="C725" s="34" t="str"/>
      <x:c r="D725" s="34" t="str"/>
      <x:c r="E725" s="34" t="str"/>
      <x:c r="F725" s="34" t="str"/>
      <x:c r="G725" s="34" t="str"/>
      <x:c r="H725" s="34" t="str"/>
      <x:c r="I725" s="38" t="str">
        <x:f>IF(H725="","",IF(H725="完全吻合",1,IF(H725="基本吻合",0.75,IF(H725="部分吻合",0.5,IF(H725="明显不符",0,"")))))</x:f>
      </x:c>
      <x:c r="J725" s="34" t="str"/>
      <x:c r="K725" s="34" t="str"/>
      <x:c r="L725" s="34" t="str"/>
      <x:c r="M725" s="34" t="str"/>
      <x:c r="N725" s="34" t="str"/>
      <x:c r="O725" s="34" t="str"/>
      <x:c r="P725" s="34" t="str"/>
      <x:c r="Q725" s="34" t="str"/>
      <x:c r="R725" s="34" t="str"/>
      <x:c r="S725" s="34" t="str"/>
      <x:c r="T725" s="34" t="str"/>
    </x:row>
    <x:row r="726">
      <x:c r="A726" s="34" t="str">
        <x:v>M5-EVAL-0721</x:v>
      </x:c>
      <x:c r="B726" s="34" t="str"/>
      <x:c r="C726" s="34" t="str"/>
      <x:c r="D726" s="34" t="str"/>
      <x:c r="E726" s="34" t="str"/>
      <x:c r="F726" s="34" t="str"/>
      <x:c r="G726" s="34" t="str"/>
      <x:c r="H726" s="34" t="str"/>
      <x:c r="I726" s="38" t="str">
        <x:f>IF(H726="","",IF(H726="完全吻合",1,IF(H726="基本吻合",0.75,IF(H726="部分吻合",0.5,IF(H726="明显不符",0,"")))))</x:f>
      </x:c>
      <x:c r="J726" s="34" t="str"/>
      <x:c r="K726" s="34" t="str"/>
      <x:c r="L726" s="34" t="str"/>
      <x:c r="M726" s="34" t="str"/>
      <x:c r="N726" s="34" t="str"/>
      <x:c r="O726" s="34" t="str"/>
      <x:c r="P726" s="34" t="str"/>
      <x:c r="Q726" s="34" t="str"/>
      <x:c r="R726" s="34" t="str"/>
      <x:c r="S726" s="34" t="str"/>
      <x:c r="T726" s="34" t="str"/>
    </x:row>
    <x:row r="727">
      <x:c r="A727" s="34" t="str">
        <x:v>M5-EVAL-0722</x:v>
      </x:c>
      <x:c r="B727" s="34" t="str"/>
      <x:c r="C727" s="34" t="str"/>
      <x:c r="D727" s="34" t="str"/>
      <x:c r="E727" s="34" t="str"/>
      <x:c r="F727" s="34" t="str"/>
      <x:c r="G727" s="34" t="str"/>
      <x:c r="H727" s="34" t="str"/>
      <x:c r="I727" s="38" t="str">
        <x:f>IF(H727="","",IF(H727="完全吻合",1,IF(H727="基本吻合",0.75,IF(H727="部分吻合",0.5,IF(H727="明显不符",0,"")))))</x:f>
      </x:c>
      <x:c r="J727" s="34" t="str"/>
      <x:c r="K727" s="34" t="str"/>
      <x:c r="L727" s="34" t="str"/>
      <x:c r="M727" s="34" t="str"/>
      <x:c r="N727" s="34" t="str"/>
      <x:c r="O727" s="34" t="str"/>
      <x:c r="P727" s="34" t="str"/>
      <x:c r="Q727" s="34" t="str"/>
      <x:c r="R727" s="34" t="str"/>
      <x:c r="S727" s="34" t="str"/>
      <x:c r="T727" s="34" t="str"/>
    </x:row>
    <x:row r="728">
      <x:c r="A728" s="34" t="str">
        <x:v>M5-EVAL-0723</x:v>
      </x:c>
      <x:c r="B728" s="34" t="str"/>
      <x:c r="C728" s="34" t="str"/>
      <x:c r="D728" s="34" t="str"/>
      <x:c r="E728" s="34" t="str"/>
      <x:c r="F728" s="34" t="str"/>
      <x:c r="G728" s="34" t="str"/>
      <x:c r="H728" s="34" t="str"/>
      <x:c r="I728" s="38" t="str">
        <x:f>IF(H728="","",IF(H728="完全吻合",1,IF(H728="基本吻合",0.75,IF(H728="部分吻合",0.5,IF(H728="明显不符",0,"")))))</x:f>
      </x:c>
      <x:c r="J728" s="34" t="str"/>
      <x:c r="K728" s="34" t="str"/>
      <x:c r="L728" s="34" t="str"/>
      <x:c r="M728" s="34" t="str"/>
      <x:c r="N728" s="34" t="str"/>
      <x:c r="O728" s="34" t="str"/>
      <x:c r="P728" s="34" t="str"/>
      <x:c r="Q728" s="34" t="str"/>
      <x:c r="R728" s="34" t="str"/>
      <x:c r="S728" s="34" t="str"/>
      <x:c r="T728" s="34" t="str"/>
    </x:row>
    <x:row r="729">
      <x:c r="A729" s="34" t="str">
        <x:v>M5-EVAL-0724</x:v>
      </x:c>
      <x:c r="B729" s="34" t="str"/>
      <x:c r="C729" s="34" t="str"/>
      <x:c r="D729" s="34" t="str"/>
      <x:c r="E729" s="34" t="str"/>
      <x:c r="F729" s="34" t="str"/>
      <x:c r="G729" s="34" t="str"/>
      <x:c r="H729" s="34" t="str"/>
      <x:c r="I729" s="38" t="str">
        <x:f>IF(H729="","",IF(H729="完全吻合",1,IF(H729="基本吻合",0.75,IF(H729="部分吻合",0.5,IF(H729="明显不符",0,"")))))</x:f>
      </x:c>
      <x:c r="J729" s="34" t="str"/>
      <x:c r="K729" s="34" t="str"/>
      <x:c r="L729" s="34" t="str"/>
      <x:c r="M729" s="34" t="str"/>
      <x:c r="N729" s="34" t="str"/>
      <x:c r="O729" s="34" t="str"/>
      <x:c r="P729" s="34" t="str"/>
      <x:c r="Q729" s="34" t="str"/>
      <x:c r="R729" s="34" t="str"/>
      <x:c r="S729" s="34" t="str"/>
      <x:c r="T729" s="34" t="str"/>
    </x:row>
    <x:row r="730">
      <x:c r="A730" s="34" t="str">
        <x:v>M5-EVAL-0725</x:v>
      </x:c>
      <x:c r="B730" s="34" t="str"/>
      <x:c r="C730" s="34" t="str"/>
      <x:c r="D730" s="34" t="str"/>
      <x:c r="E730" s="34" t="str"/>
      <x:c r="F730" s="34" t="str"/>
      <x:c r="G730" s="34" t="str"/>
      <x:c r="H730" s="34" t="str"/>
      <x:c r="I730" s="38" t="str">
        <x:f>IF(H730="","",IF(H730="完全吻合",1,IF(H730="基本吻合",0.75,IF(H730="部分吻合",0.5,IF(H730="明显不符",0,"")))))</x:f>
      </x:c>
      <x:c r="J730" s="34" t="str"/>
      <x:c r="K730" s="34" t="str"/>
      <x:c r="L730" s="34" t="str"/>
      <x:c r="M730" s="34" t="str"/>
      <x:c r="N730" s="34" t="str"/>
      <x:c r="O730" s="34" t="str"/>
      <x:c r="P730" s="34" t="str"/>
      <x:c r="Q730" s="34" t="str"/>
      <x:c r="R730" s="34" t="str"/>
      <x:c r="S730" s="34" t="str"/>
      <x:c r="T730" s="34" t="str"/>
    </x:row>
    <x:row r="731">
      <x:c r="A731" s="34" t="str">
        <x:v>M5-EVAL-0726</x:v>
      </x:c>
      <x:c r="B731" s="34" t="str"/>
      <x:c r="C731" s="34" t="str"/>
      <x:c r="D731" s="34" t="str"/>
      <x:c r="E731" s="34" t="str"/>
      <x:c r="F731" s="34" t="str"/>
      <x:c r="G731" s="34" t="str"/>
      <x:c r="H731" s="34" t="str"/>
      <x:c r="I731" s="38" t="str">
        <x:f>IF(H731="","",IF(H731="完全吻合",1,IF(H731="基本吻合",0.75,IF(H731="部分吻合",0.5,IF(H731="明显不符",0,"")))))</x:f>
      </x:c>
      <x:c r="J731" s="34" t="str"/>
      <x:c r="K731" s="34" t="str"/>
      <x:c r="L731" s="34" t="str"/>
      <x:c r="M731" s="34" t="str"/>
      <x:c r="N731" s="34" t="str"/>
      <x:c r="O731" s="34" t="str"/>
      <x:c r="P731" s="34" t="str"/>
      <x:c r="Q731" s="34" t="str"/>
      <x:c r="R731" s="34" t="str"/>
      <x:c r="S731" s="34" t="str"/>
      <x:c r="T731" s="34" t="str"/>
    </x:row>
    <x:row r="732">
      <x:c r="A732" s="34" t="str">
        <x:v>M5-EVAL-0727</x:v>
      </x:c>
      <x:c r="B732" s="34" t="str"/>
      <x:c r="C732" s="34" t="str"/>
      <x:c r="D732" s="34" t="str"/>
      <x:c r="E732" s="34" t="str"/>
      <x:c r="F732" s="34" t="str"/>
      <x:c r="G732" s="34" t="str"/>
      <x:c r="H732" s="34" t="str"/>
      <x:c r="I732" s="38" t="str">
        <x:f>IF(H732="","",IF(H732="完全吻合",1,IF(H732="基本吻合",0.75,IF(H732="部分吻合",0.5,IF(H732="明显不符",0,"")))))</x:f>
      </x:c>
      <x:c r="J732" s="34" t="str"/>
      <x:c r="K732" s="34" t="str"/>
      <x:c r="L732" s="34" t="str"/>
      <x:c r="M732" s="34" t="str"/>
      <x:c r="N732" s="34" t="str"/>
      <x:c r="O732" s="34" t="str"/>
      <x:c r="P732" s="34" t="str"/>
      <x:c r="Q732" s="34" t="str"/>
      <x:c r="R732" s="34" t="str"/>
      <x:c r="S732" s="34" t="str"/>
      <x:c r="T732" s="34" t="str"/>
    </x:row>
    <x:row r="733">
      <x:c r="A733" s="34" t="str">
        <x:v>M5-EVAL-0728</x:v>
      </x:c>
      <x:c r="B733" s="34" t="str"/>
      <x:c r="C733" s="34" t="str"/>
      <x:c r="D733" s="34" t="str"/>
      <x:c r="E733" s="34" t="str"/>
      <x:c r="F733" s="34" t="str"/>
      <x:c r="G733" s="34" t="str"/>
      <x:c r="H733" s="34" t="str"/>
      <x:c r="I733" s="38" t="str">
        <x:f>IF(H733="","",IF(H733="完全吻合",1,IF(H733="基本吻合",0.75,IF(H733="部分吻合",0.5,IF(H733="明显不符",0,"")))))</x:f>
      </x:c>
      <x:c r="J733" s="34" t="str"/>
      <x:c r="K733" s="34" t="str"/>
      <x:c r="L733" s="34" t="str"/>
      <x:c r="M733" s="34" t="str"/>
      <x:c r="N733" s="34" t="str"/>
      <x:c r="O733" s="34" t="str"/>
      <x:c r="P733" s="34" t="str"/>
      <x:c r="Q733" s="34" t="str"/>
      <x:c r="R733" s="34" t="str"/>
      <x:c r="S733" s="34" t="str"/>
      <x:c r="T733" s="34" t="str"/>
    </x:row>
    <x:row r="734">
      <x:c r="A734" s="34" t="str">
        <x:v>M5-EVAL-0729</x:v>
      </x:c>
      <x:c r="B734" s="34" t="str"/>
      <x:c r="C734" s="34" t="str"/>
      <x:c r="D734" s="34" t="str"/>
      <x:c r="E734" s="34" t="str"/>
      <x:c r="F734" s="34" t="str"/>
      <x:c r="G734" s="34" t="str"/>
      <x:c r="H734" s="34" t="str"/>
      <x:c r="I734" s="38" t="str">
        <x:f>IF(H734="","",IF(H734="完全吻合",1,IF(H734="基本吻合",0.75,IF(H734="部分吻合",0.5,IF(H734="明显不符",0,"")))))</x:f>
      </x:c>
      <x:c r="J734" s="34" t="str"/>
      <x:c r="K734" s="34" t="str"/>
      <x:c r="L734" s="34" t="str"/>
      <x:c r="M734" s="34" t="str"/>
      <x:c r="N734" s="34" t="str"/>
      <x:c r="O734" s="34" t="str"/>
      <x:c r="P734" s="34" t="str"/>
      <x:c r="Q734" s="34" t="str"/>
      <x:c r="R734" s="34" t="str"/>
      <x:c r="S734" s="34" t="str"/>
      <x:c r="T734" s="34" t="str"/>
    </x:row>
    <x:row r="735">
      <x:c r="A735" s="34" t="str">
        <x:v>M5-EVAL-0730</x:v>
      </x:c>
      <x:c r="B735" s="34" t="str"/>
      <x:c r="C735" s="34" t="str"/>
      <x:c r="D735" s="34" t="str"/>
      <x:c r="E735" s="34" t="str"/>
      <x:c r="F735" s="34" t="str"/>
      <x:c r="G735" s="34" t="str"/>
      <x:c r="H735" s="34" t="str"/>
      <x:c r="I735" s="38" t="str">
        <x:f>IF(H735="","",IF(H735="完全吻合",1,IF(H735="基本吻合",0.75,IF(H735="部分吻合",0.5,IF(H735="明显不符",0,"")))))</x:f>
      </x:c>
      <x:c r="J735" s="34" t="str"/>
      <x:c r="K735" s="34" t="str"/>
      <x:c r="L735" s="34" t="str"/>
      <x:c r="M735" s="34" t="str"/>
      <x:c r="N735" s="34" t="str"/>
      <x:c r="O735" s="34" t="str"/>
      <x:c r="P735" s="34" t="str"/>
      <x:c r="Q735" s="34" t="str"/>
      <x:c r="R735" s="34" t="str"/>
      <x:c r="S735" s="34" t="str"/>
      <x:c r="T735" s="34" t="str"/>
    </x:row>
    <x:row r="736">
      <x:c r="A736" s="34" t="str">
        <x:v>M5-EVAL-0731</x:v>
      </x:c>
      <x:c r="B736" s="34" t="str"/>
      <x:c r="C736" s="34" t="str"/>
      <x:c r="D736" s="34" t="str"/>
      <x:c r="E736" s="34" t="str"/>
      <x:c r="F736" s="34" t="str"/>
      <x:c r="G736" s="34" t="str"/>
      <x:c r="H736" s="34" t="str"/>
      <x:c r="I736" s="38" t="str">
        <x:f>IF(H736="","",IF(H736="完全吻合",1,IF(H736="基本吻合",0.75,IF(H736="部分吻合",0.5,IF(H736="明显不符",0,"")))))</x:f>
      </x:c>
      <x:c r="J736" s="34" t="str"/>
      <x:c r="K736" s="34" t="str"/>
      <x:c r="L736" s="34" t="str"/>
      <x:c r="M736" s="34" t="str"/>
      <x:c r="N736" s="34" t="str"/>
      <x:c r="O736" s="34" t="str"/>
      <x:c r="P736" s="34" t="str"/>
      <x:c r="Q736" s="34" t="str"/>
      <x:c r="R736" s="34" t="str"/>
      <x:c r="S736" s="34" t="str"/>
      <x:c r="T736" s="34" t="str"/>
    </x:row>
    <x:row r="737">
      <x:c r="A737" s="34" t="str">
        <x:v>M5-EVAL-0732</x:v>
      </x:c>
      <x:c r="B737" s="34" t="str"/>
      <x:c r="C737" s="34" t="str"/>
      <x:c r="D737" s="34" t="str"/>
      <x:c r="E737" s="34" t="str"/>
      <x:c r="F737" s="34" t="str"/>
      <x:c r="G737" s="34" t="str"/>
      <x:c r="H737" s="34" t="str"/>
      <x:c r="I737" s="38" t="str">
        <x:f>IF(H737="","",IF(H737="完全吻合",1,IF(H737="基本吻合",0.75,IF(H737="部分吻合",0.5,IF(H737="明显不符",0,"")))))</x:f>
      </x:c>
      <x:c r="J737" s="34" t="str"/>
      <x:c r="K737" s="34" t="str"/>
      <x:c r="L737" s="34" t="str"/>
      <x:c r="M737" s="34" t="str"/>
      <x:c r="N737" s="34" t="str"/>
      <x:c r="O737" s="34" t="str"/>
      <x:c r="P737" s="34" t="str"/>
      <x:c r="Q737" s="34" t="str"/>
      <x:c r="R737" s="34" t="str"/>
      <x:c r="S737" s="34" t="str"/>
      <x:c r="T737" s="34" t="str"/>
    </x:row>
    <x:row r="738">
      <x:c r="A738" s="34" t="str">
        <x:v>M5-EVAL-0733</x:v>
      </x:c>
      <x:c r="B738" s="34" t="str"/>
      <x:c r="C738" s="34" t="str"/>
      <x:c r="D738" s="34" t="str"/>
      <x:c r="E738" s="34" t="str"/>
      <x:c r="F738" s="34" t="str"/>
      <x:c r="G738" s="34" t="str"/>
      <x:c r="H738" s="34" t="str"/>
      <x:c r="I738" s="38" t="str">
        <x:f>IF(H738="","",IF(H738="完全吻合",1,IF(H738="基本吻合",0.75,IF(H738="部分吻合",0.5,IF(H738="明显不符",0,"")))))</x:f>
      </x:c>
      <x:c r="J738" s="34" t="str"/>
      <x:c r="K738" s="34" t="str"/>
      <x:c r="L738" s="34" t="str"/>
      <x:c r="M738" s="34" t="str"/>
      <x:c r="N738" s="34" t="str"/>
      <x:c r="O738" s="34" t="str"/>
      <x:c r="P738" s="34" t="str"/>
      <x:c r="Q738" s="34" t="str"/>
      <x:c r="R738" s="34" t="str"/>
      <x:c r="S738" s="34" t="str"/>
      <x:c r="T738" s="34" t="str"/>
    </x:row>
    <x:row r="739">
      <x:c r="A739" s="34" t="str">
        <x:v>M5-EVAL-0734</x:v>
      </x:c>
      <x:c r="B739" s="34" t="str"/>
      <x:c r="C739" s="34" t="str"/>
      <x:c r="D739" s="34" t="str"/>
      <x:c r="E739" s="34" t="str"/>
      <x:c r="F739" s="34" t="str"/>
      <x:c r="G739" s="34" t="str"/>
      <x:c r="H739" s="34" t="str"/>
      <x:c r="I739" s="38" t="str">
        <x:f>IF(H739="","",IF(H739="完全吻合",1,IF(H739="基本吻合",0.75,IF(H739="部分吻合",0.5,IF(H739="明显不符",0,"")))))</x:f>
      </x:c>
      <x:c r="J739" s="34" t="str"/>
      <x:c r="K739" s="34" t="str"/>
      <x:c r="L739" s="34" t="str"/>
      <x:c r="M739" s="34" t="str"/>
      <x:c r="N739" s="34" t="str"/>
      <x:c r="O739" s="34" t="str"/>
      <x:c r="P739" s="34" t="str"/>
      <x:c r="Q739" s="34" t="str"/>
      <x:c r="R739" s="34" t="str"/>
      <x:c r="S739" s="34" t="str"/>
      <x:c r="T739" s="34" t="str"/>
    </x:row>
    <x:row r="740">
      <x:c r="A740" s="34" t="str">
        <x:v>M5-EVAL-0735</x:v>
      </x:c>
      <x:c r="B740" s="34" t="str"/>
      <x:c r="C740" s="34" t="str"/>
      <x:c r="D740" s="34" t="str"/>
      <x:c r="E740" s="34" t="str"/>
      <x:c r="F740" s="34" t="str"/>
      <x:c r="G740" s="34" t="str"/>
      <x:c r="H740" s="34" t="str"/>
      <x:c r="I740" s="38" t="str">
        <x:f>IF(H740="","",IF(H740="完全吻合",1,IF(H740="基本吻合",0.75,IF(H740="部分吻合",0.5,IF(H740="明显不符",0,"")))))</x:f>
      </x:c>
      <x:c r="J740" s="34" t="str"/>
      <x:c r="K740" s="34" t="str"/>
      <x:c r="L740" s="34" t="str"/>
      <x:c r="M740" s="34" t="str"/>
      <x:c r="N740" s="34" t="str"/>
      <x:c r="O740" s="34" t="str"/>
      <x:c r="P740" s="34" t="str"/>
      <x:c r="Q740" s="34" t="str"/>
      <x:c r="R740" s="34" t="str"/>
      <x:c r="S740" s="34" t="str"/>
      <x:c r="T740" s="34" t="str"/>
    </x:row>
    <x:row r="741">
      <x:c r="A741" s="34" t="str">
        <x:v>M5-EVAL-0736</x:v>
      </x:c>
      <x:c r="B741" s="34" t="str"/>
      <x:c r="C741" s="34" t="str"/>
      <x:c r="D741" s="34" t="str"/>
      <x:c r="E741" s="34" t="str"/>
      <x:c r="F741" s="34" t="str"/>
      <x:c r="G741" s="34" t="str"/>
      <x:c r="H741" s="34" t="str"/>
      <x:c r="I741" s="38" t="str">
        <x:f>IF(H741="","",IF(H741="完全吻合",1,IF(H741="基本吻合",0.75,IF(H741="部分吻合",0.5,IF(H741="明显不符",0,"")))))</x:f>
      </x:c>
      <x:c r="J741" s="34" t="str"/>
      <x:c r="K741" s="34" t="str"/>
      <x:c r="L741" s="34" t="str"/>
      <x:c r="M741" s="34" t="str"/>
      <x:c r="N741" s="34" t="str"/>
      <x:c r="O741" s="34" t="str"/>
      <x:c r="P741" s="34" t="str"/>
      <x:c r="Q741" s="34" t="str"/>
      <x:c r="R741" s="34" t="str"/>
      <x:c r="S741" s="34" t="str"/>
      <x:c r="T741" s="34" t="str"/>
    </x:row>
    <x:row r="742">
      <x:c r="A742" s="34" t="str">
        <x:v>M5-EVAL-0737</x:v>
      </x:c>
      <x:c r="B742" s="34" t="str"/>
      <x:c r="C742" s="34" t="str"/>
      <x:c r="D742" s="34" t="str"/>
      <x:c r="E742" s="34" t="str"/>
      <x:c r="F742" s="34" t="str"/>
      <x:c r="G742" s="34" t="str"/>
      <x:c r="H742" s="34" t="str"/>
      <x:c r="I742" s="38" t="str">
        <x:f>IF(H742="","",IF(H742="完全吻合",1,IF(H742="基本吻合",0.75,IF(H742="部分吻合",0.5,IF(H742="明显不符",0,"")))))</x:f>
      </x:c>
      <x:c r="J742" s="34" t="str"/>
      <x:c r="K742" s="34" t="str"/>
      <x:c r="L742" s="34" t="str"/>
      <x:c r="M742" s="34" t="str"/>
      <x:c r="N742" s="34" t="str"/>
      <x:c r="O742" s="34" t="str"/>
      <x:c r="P742" s="34" t="str"/>
      <x:c r="Q742" s="34" t="str"/>
      <x:c r="R742" s="34" t="str"/>
      <x:c r="S742" s="34" t="str"/>
      <x:c r="T742" s="34" t="str"/>
    </x:row>
    <x:row r="743">
      <x:c r="A743" s="34" t="str">
        <x:v>M5-EVAL-0738</x:v>
      </x:c>
      <x:c r="B743" s="34" t="str"/>
      <x:c r="C743" s="34" t="str"/>
      <x:c r="D743" s="34" t="str"/>
      <x:c r="E743" s="34" t="str"/>
      <x:c r="F743" s="34" t="str"/>
      <x:c r="G743" s="34" t="str"/>
      <x:c r="H743" s="34" t="str"/>
      <x:c r="I743" s="38" t="str">
        <x:f>IF(H743="","",IF(H743="完全吻合",1,IF(H743="基本吻合",0.75,IF(H743="部分吻合",0.5,IF(H743="明显不符",0,"")))))</x:f>
      </x:c>
      <x:c r="J743" s="34" t="str"/>
      <x:c r="K743" s="34" t="str"/>
      <x:c r="L743" s="34" t="str"/>
      <x:c r="M743" s="34" t="str"/>
      <x:c r="N743" s="34" t="str"/>
      <x:c r="O743" s="34" t="str"/>
      <x:c r="P743" s="34" t="str"/>
      <x:c r="Q743" s="34" t="str"/>
      <x:c r="R743" s="34" t="str"/>
      <x:c r="S743" s="34" t="str"/>
      <x:c r="T743" s="34" t="str"/>
    </x:row>
    <x:row r="744">
      <x:c r="A744" s="34" t="str">
        <x:v>M5-EVAL-0739</x:v>
      </x:c>
      <x:c r="B744" s="34" t="str"/>
      <x:c r="C744" s="34" t="str"/>
      <x:c r="D744" s="34" t="str"/>
      <x:c r="E744" s="34" t="str"/>
      <x:c r="F744" s="34" t="str"/>
      <x:c r="G744" s="34" t="str"/>
      <x:c r="H744" s="34" t="str"/>
      <x:c r="I744" s="38" t="str">
        <x:f>IF(H744="","",IF(H744="完全吻合",1,IF(H744="基本吻合",0.75,IF(H744="部分吻合",0.5,IF(H744="明显不符",0,"")))))</x:f>
      </x:c>
      <x:c r="J744" s="34" t="str"/>
      <x:c r="K744" s="34" t="str"/>
      <x:c r="L744" s="34" t="str"/>
      <x:c r="M744" s="34" t="str"/>
      <x:c r="N744" s="34" t="str"/>
      <x:c r="O744" s="34" t="str"/>
      <x:c r="P744" s="34" t="str"/>
      <x:c r="Q744" s="34" t="str"/>
      <x:c r="R744" s="34" t="str"/>
      <x:c r="S744" s="34" t="str"/>
      <x:c r="T744" s="34" t="str"/>
    </x:row>
    <x:row r="745">
      <x:c r="A745" s="34" t="str">
        <x:v>M5-EVAL-0740</x:v>
      </x:c>
      <x:c r="B745" s="34" t="str"/>
      <x:c r="C745" s="34" t="str"/>
      <x:c r="D745" s="34" t="str"/>
      <x:c r="E745" s="34" t="str"/>
      <x:c r="F745" s="34" t="str"/>
      <x:c r="G745" s="34" t="str"/>
      <x:c r="H745" s="34" t="str"/>
      <x:c r="I745" s="38" t="str">
        <x:f>IF(H745="","",IF(H745="完全吻合",1,IF(H745="基本吻合",0.75,IF(H745="部分吻合",0.5,IF(H745="明显不符",0,"")))))</x:f>
      </x:c>
      <x:c r="J745" s="34" t="str"/>
      <x:c r="K745" s="34" t="str"/>
      <x:c r="L745" s="34" t="str"/>
      <x:c r="M745" s="34" t="str"/>
      <x:c r="N745" s="34" t="str"/>
      <x:c r="O745" s="34" t="str"/>
      <x:c r="P745" s="34" t="str"/>
      <x:c r="Q745" s="34" t="str"/>
      <x:c r="R745" s="34" t="str"/>
      <x:c r="S745" s="34" t="str"/>
      <x:c r="T745" s="34" t="str"/>
    </x:row>
    <x:row r="746">
      <x:c r="A746" s="34" t="str">
        <x:v>M5-EVAL-0741</x:v>
      </x:c>
      <x:c r="B746" s="34" t="str"/>
      <x:c r="C746" s="34" t="str"/>
      <x:c r="D746" s="34" t="str"/>
      <x:c r="E746" s="34" t="str"/>
      <x:c r="F746" s="34" t="str"/>
      <x:c r="G746" s="34" t="str"/>
      <x:c r="H746" s="34" t="str"/>
      <x:c r="I746" s="38" t="str">
        <x:f>IF(H746="","",IF(H746="完全吻合",1,IF(H746="基本吻合",0.75,IF(H746="部分吻合",0.5,IF(H746="明显不符",0,"")))))</x:f>
      </x:c>
      <x:c r="J746" s="34" t="str"/>
      <x:c r="K746" s="34" t="str"/>
      <x:c r="L746" s="34" t="str"/>
      <x:c r="M746" s="34" t="str"/>
      <x:c r="N746" s="34" t="str"/>
      <x:c r="O746" s="34" t="str"/>
      <x:c r="P746" s="34" t="str"/>
      <x:c r="Q746" s="34" t="str"/>
      <x:c r="R746" s="34" t="str"/>
      <x:c r="S746" s="34" t="str"/>
      <x:c r="T746" s="34" t="str"/>
    </x:row>
    <x:row r="747">
      <x:c r="A747" s="34" t="str">
        <x:v>M5-EVAL-0742</x:v>
      </x:c>
      <x:c r="B747" s="34" t="str"/>
      <x:c r="C747" s="34" t="str"/>
      <x:c r="D747" s="34" t="str"/>
      <x:c r="E747" s="34" t="str"/>
      <x:c r="F747" s="34" t="str"/>
      <x:c r="G747" s="34" t="str"/>
      <x:c r="H747" s="34" t="str"/>
      <x:c r="I747" s="38" t="str">
        <x:f>IF(H747="","",IF(H747="完全吻合",1,IF(H747="基本吻合",0.75,IF(H747="部分吻合",0.5,IF(H747="明显不符",0,"")))))</x:f>
      </x:c>
      <x:c r="J747" s="34" t="str"/>
      <x:c r="K747" s="34" t="str"/>
      <x:c r="L747" s="34" t="str"/>
      <x:c r="M747" s="34" t="str"/>
      <x:c r="N747" s="34" t="str"/>
      <x:c r="O747" s="34" t="str"/>
      <x:c r="P747" s="34" t="str"/>
      <x:c r="Q747" s="34" t="str"/>
      <x:c r="R747" s="34" t="str"/>
      <x:c r="S747" s="34" t="str"/>
      <x:c r="T747" s="34" t="str"/>
    </x:row>
    <x:row r="748">
      <x:c r="A748" s="34" t="str">
        <x:v>M5-EVAL-0743</x:v>
      </x:c>
      <x:c r="B748" s="34" t="str"/>
      <x:c r="C748" s="34" t="str"/>
      <x:c r="D748" s="34" t="str"/>
      <x:c r="E748" s="34" t="str"/>
      <x:c r="F748" s="34" t="str"/>
      <x:c r="G748" s="34" t="str"/>
      <x:c r="H748" s="34" t="str"/>
      <x:c r="I748" s="38" t="str">
        <x:f>IF(H748="","",IF(H748="完全吻合",1,IF(H748="基本吻合",0.75,IF(H748="部分吻合",0.5,IF(H748="明显不符",0,"")))))</x:f>
      </x:c>
      <x:c r="J748" s="34" t="str"/>
      <x:c r="K748" s="34" t="str"/>
      <x:c r="L748" s="34" t="str"/>
      <x:c r="M748" s="34" t="str"/>
      <x:c r="N748" s="34" t="str"/>
      <x:c r="O748" s="34" t="str"/>
      <x:c r="P748" s="34" t="str"/>
      <x:c r="Q748" s="34" t="str"/>
      <x:c r="R748" s="34" t="str"/>
      <x:c r="S748" s="34" t="str"/>
      <x:c r="T748" s="34" t="str"/>
    </x:row>
    <x:row r="749">
      <x:c r="A749" s="34" t="str">
        <x:v>M5-EVAL-0744</x:v>
      </x:c>
      <x:c r="B749" s="34" t="str"/>
      <x:c r="C749" s="34" t="str"/>
      <x:c r="D749" s="34" t="str"/>
      <x:c r="E749" s="34" t="str"/>
      <x:c r="F749" s="34" t="str"/>
      <x:c r="G749" s="34" t="str"/>
      <x:c r="H749" s="34" t="str"/>
      <x:c r="I749" s="38" t="str">
        <x:f>IF(H749="","",IF(H749="完全吻合",1,IF(H749="基本吻合",0.75,IF(H749="部分吻合",0.5,IF(H749="明显不符",0,"")))))</x:f>
      </x:c>
      <x:c r="J749" s="34" t="str"/>
      <x:c r="K749" s="34" t="str"/>
      <x:c r="L749" s="34" t="str"/>
      <x:c r="M749" s="34" t="str"/>
      <x:c r="N749" s="34" t="str"/>
      <x:c r="O749" s="34" t="str"/>
      <x:c r="P749" s="34" t="str"/>
      <x:c r="Q749" s="34" t="str"/>
      <x:c r="R749" s="34" t="str"/>
      <x:c r="S749" s="34" t="str"/>
      <x:c r="T749" s="34" t="str"/>
    </x:row>
    <x:row r="750">
      <x:c r="A750" s="34" t="str">
        <x:v>M5-EVAL-0745</x:v>
      </x:c>
      <x:c r="B750" s="34" t="str"/>
      <x:c r="C750" s="34" t="str"/>
      <x:c r="D750" s="34" t="str"/>
      <x:c r="E750" s="34" t="str"/>
      <x:c r="F750" s="34" t="str"/>
      <x:c r="G750" s="34" t="str"/>
      <x:c r="H750" s="34" t="str"/>
      <x:c r="I750" s="38" t="str">
        <x:f>IF(H750="","",IF(H750="完全吻合",1,IF(H750="基本吻合",0.75,IF(H750="部分吻合",0.5,IF(H750="明显不符",0,"")))))</x:f>
      </x:c>
      <x:c r="J750" s="34" t="str"/>
      <x:c r="K750" s="34" t="str"/>
      <x:c r="L750" s="34" t="str"/>
      <x:c r="M750" s="34" t="str"/>
      <x:c r="N750" s="34" t="str"/>
      <x:c r="O750" s="34" t="str"/>
      <x:c r="P750" s="34" t="str"/>
      <x:c r="Q750" s="34" t="str"/>
      <x:c r="R750" s="34" t="str"/>
      <x:c r="S750" s="34" t="str"/>
      <x:c r="T750" s="34" t="str"/>
    </x:row>
    <x:row r="751">
      <x:c r="A751" s="34" t="str">
        <x:v>M5-EVAL-0746</x:v>
      </x:c>
      <x:c r="B751" s="34" t="str"/>
      <x:c r="C751" s="34" t="str"/>
      <x:c r="D751" s="34" t="str"/>
      <x:c r="E751" s="34" t="str"/>
      <x:c r="F751" s="34" t="str"/>
      <x:c r="G751" s="34" t="str"/>
      <x:c r="H751" s="34" t="str"/>
      <x:c r="I751" s="38" t="str">
        <x:f>IF(H751="","",IF(H751="完全吻合",1,IF(H751="基本吻合",0.75,IF(H751="部分吻合",0.5,IF(H751="明显不符",0,"")))))</x:f>
      </x:c>
      <x:c r="J751" s="34" t="str"/>
      <x:c r="K751" s="34" t="str"/>
      <x:c r="L751" s="34" t="str"/>
      <x:c r="M751" s="34" t="str"/>
      <x:c r="N751" s="34" t="str"/>
      <x:c r="O751" s="34" t="str"/>
      <x:c r="P751" s="34" t="str"/>
      <x:c r="Q751" s="34" t="str"/>
      <x:c r="R751" s="34" t="str"/>
      <x:c r="S751" s="34" t="str"/>
      <x:c r="T751" s="34" t="str"/>
    </x:row>
    <x:row r="752">
      <x:c r="A752" s="34" t="str">
        <x:v>M5-EVAL-0747</x:v>
      </x:c>
      <x:c r="B752" s="34" t="str"/>
      <x:c r="C752" s="34" t="str"/>
      <x:c r="D752" s="34" t="str"/>
      <x:c r="E752" s="34" t="str"/>
      <x:c r="F752" s="34" t="str"/>
      <x:c r="G752" s="34" t="str"/>
      <x:c r="H752" s="34" t="str"/>
      <x:c r="I752" s="38" t="str">
        <x:f>IF(H752="","",IF(H752="完全吻合",1,IF(H752="基本吻合",0.75,IF(H752="部分吻合",0.5,IF(H752="明显不符",0,"")))))</x:f>
      </x:c>
      <x:c r="J752" s="34" t="str"/>
      <x:c r="K752" s="34" t="str"/>
      <x:c r="L752" s="34" t="str"/>
      <x:c r="M752" s="34" t="str"/>
      <x:c r="N752" s="34" t="str"/>
      <x:c r="O752" s="34" t="str"/>
      <x:c r="P752" s="34" t="str"/>
      <x:c r="Q752" s="34" t="str"/>
      <x:c r="R752" s="34" t="str"/>
      <x:c r="S752" s="34" t="str"/>
      <x:c r="T752" s="34" t="str"/>
    </x:row>
    <x:row r="753">
      <x:c r="A753" s="34" t="str">
        <x:v>M5-EVAL-0748</x:v>
      </x:c>
      <x:c r="B753" s="34" t="str"/>
      <x:c r="C753" s="34" t="str"/>
      <x:c r="D753" s="34" t="str"/>
      <x:c r="E753" s="34" t="str"/>
      <x:c r="F753" s="34" t="str"/>
      <x:c r="G753" s="34" t="str"/>
      <x:c r="H753" s="34" t="str"/>
      <x:c r="I753" s="38" t="str">
        <x:f>IF(H753="","",IF(H753="完全吻合",1,IF(H753="基本吻合",0.75,IF(H753="部分吻合",0.5,IF(H753="明显不符",0,"")))))</x:f>
      </x:c>
      <x:c r="J753" s="34" t="str"/>
      <x:c r="K753" s="34" t="str"/>
      <x:c r="L753" s="34" t="str"/>
      <x:c r="M753" s="34" t="str"/>
      <x:c r="N753" s="34" t="str"/>
      <x:c r="O753" s="34" t="str"/>
      <x:c r="P753" s="34" t="str"/>
      <x:c r="Q753" s="34" t="str"/>
      <x:c r="R753" s="34" t="str"/>
      <x:c r="S753" s="34" t="str"/>
      <x:c r="T753" s="34" t="str"/>
    </x:row>
    <x:row r="754">
      <x:c r="A754" s="34" t="str">
        <x:v>M5-EVAL-0749</x:v>
      </x:c>
      <x:c r="B754" s="34" t="str"/>
      <x:c r="C754" s="34" t="str"/>
      <x:c r="D754" s="34" t="str"/>
      <x:c r="E754" s="34" t="str"/>
      <x:c r="F754" s="34" t="str"/>
      <x:c r="G754" s="34" t="str"/>
      <x:c r="H754" s="34" t="str"/>
      <x:c r="I754" s="38" t="str">
        <x:f>IF(H754="","",IF(H754="完全吻合",1,IF(H754="基本吻合",0.75,IF(H754="部分吻合",0.5,IF(H754="明显不符",0,"")))))</x:f>
      </x:c>
      <x:c r="J754" s="34" t="str"/>
      <x:c r="K754" s="34" t="str"/>
      <x:c r="L754" s="34" t="str"/>
      <x:c r="M754" s="34" t="str"/>
      <x:c r="N754" s="34" t="str"/>
      <x:c r="O754" s="34" t="str"/>
      <x:c r="P754" s="34" t="str"/>
      <x:c r="Q754" s="34" t="str"/>
      <x:c r="R754" s="34" t="str"/>
      <x:c r="S754" s="34" t="str"/>
      <x:c r="T754" s="34" t="str"/>
    </x:row>
    <x:row r="755">
      <x:c r="A755" s="34" t="str">
        <x:v>M5-EVAL-0750</x:v>
      </x:c>
      <x:c r="B755" s="34" t="str"/>
      <x:c r="C755" s="34" t="str"/>
      <x:c r="D755" s="34" t="str"/>
      <x:c r="E755" s="34" t="str"/>
      <x:c r="F755" s="34" t="str"/>
      <x:c r="G755" s="34" t="str"/>
      <x:c r="H755" s="34" t="str"/>
      <x:c r="I755" s="38" t="str">
        <x:f>IF(H755="","",IF(H755="完全吻合",1,IF(H755="基本吻合",0.75,IF(H755="部分吻合",0.5,IF(H755="明显不符",0,"")))))</x:f>
      </x:c>
      <x:c r="J755" s="34" t="str"/>
      <x:c r="K755" s="34" t="str"/>
      <x:c r="L755" s="34" t="str"/>
      <x:c r="M755" s="34" t="str"/>
      <x:c r="N755" s="34" t="str"/>
      <x:c r="O755" s="34" t="str"/>
      <x:c r="P755" s="34" t="str"/>
      <x:c r="Q755" s="34" t="str"/>
      <x:c r="R755" s="34" t="str"/>
      <x:c r="S755" s="34" t="str"/>
      <x:c r="T755" s="34" t="str"/>
    </x:row>
    <x:row r="756">
      <x:c r="A756" s="34" t="str">
        <x:v>M5-EVAL-0751</x:v>
      </x:c>
      <x:c r="B756" s="34" t="str"/>
      <x:c r="C756" s="34" t="str"/>
      <x:c r="D756" s="34" t="str"/>
      <x:c r="E756" s="34" t="str"/>
      <x:c r="F756" s="34" t="str"/>
      <x:c r="G756" s="34" t="str"/>
      <x:c r="H756" s="34" t="str"/>
      <x:c r="I756" s="38" t="str">
        <x:f>IF(H756="","",IF(H756="完全吻合",1,IF(H756="基本吻合",0.75,IF(H756="部分吻合",0.5,IF(H756="明显不符",0,"")))))</x:f>
      </x:c>
      <x:c r="J756" s="34" t="str"/>
      <x:c r="K756" s="34" t="str"/>
      <x:c r="L756" s="34" t="str"/>
      <x:c r="M756" s="34" t="str"/>
      <x:c r="N756" s="34" t="str"/>
      <x:c r="O756" s="34" t="str"/>
      <x:c r="P756" s="34" t="str"/>
      <x:c r="Q756" s="34" t="str"/>
      <x:c r="R756" s="34" t="str"/>
      <x:c r="S756" s="34" t="str"/>
      <x:c r="T756" s="34" t="str"/>
    </x:row>
    <x:row r="757">
      <x:c r="A757" s="34" t="str">
        <x:v>M5-EVAL-0752</x:v>
      </x:c>
      <x:c r="B757" s="34" t="str"/>
      <x:c r="C757" s="34" t="str"/>
      <x:c r="D757" s="34" t="str"/>
      <x:c r="E757" s="34" t="str"/>
      <x:c r="F757" s="34" t="str"/>
      <x:c r="G757" s="34" t="str"/>
      <x:c r="H757" s="34" t="str"/>
      <x:c r="I757" s="38" t="str">
        <x:f>IF(H757="","",IF(H757="完全吻合",1,IF(H757="基本吻合",0.75,IF(H757="部分吻合",0.5,IF(H757="明显不符",0,"")))))</x:f>
      </x:c>
      <x:c r="J757" s="34" t="str"/>
      <x:c r="K757" s="34" t="str"/>
      <x:c r="L757" s="34" t="str"/>
      <x:c r="M757" s="34" t="str"/>
      <x:c r="N757" s="34" t="str"/>
      <x:c r="O757" s="34" t="str"/>
      <x:c r="P757" s="34" t="str"/>
      <x:c r="Q757" s="34" t="str"/>
      <x:c r="R757" s="34" t="str"/>
      <x:c r="S757" s="34" t="str"/>
      <x:c r="T757" s="34" t="str"/>
    </x:row>
    <x:row r="758">
      <x:c r="A758" s="34" t="str">
        <x:v>M5-EVAL-0753</x:v>
      </x:c>
      <x:c r="B758" s="34" t="str"/>
      <x:c r="C758" s="34" t="str"/>
      <x:c r="D758" s="34" t="str"/>
      <x:c r="E758" s="34" t="str"/>
      <x:c r="F758" s="34" t="str"/>
      <x:c r="G758" s="34" t="str"/>
      <x:c r="H758" s="34" t="str"/>
      <x:c r="I758" s="38" t="str">
        <x:f>IF(H758="","",IF(H758="完全吻合",1,IF(H758="基本吻合",0.75,IF(H758="部分吻合",0.5,IF(H758="明显不符",0,"")))))</x:f>
      </x:c>
      <x:c r="J758" s="34" t="str"/>
      <x:c r="K758" s="34" t="str"/>
      <x:c r="L758" s="34" t="str"/>
      <x:c r="M758" s="34" t="str"/>
      <x:c r="N758" s="34" t="str"/>
      <x:c r="O758" s="34" t="str"/>
      <x:c r="P758" s="34" t="str"/>
      <x:c r="Q758" s="34" t="str"/>
      <x:c r="R758" s="34" t="str"/>
      <x:c r="S758" s="34" t="str"/>
      <x:c r="T758" s="34" t="str"/>
    </x:row>
    <x:row r="759">
      <x:c r="A759" s="34" t="str">
        <x:v>M5-EVAL-0754</x:v>
      </x:c>
      <x:c r="B759" s="34" t="str"/>
      <x:c r="C759" s="34" t="str"/>
      <x:c r="D759" s="34" t="str"/>
      <x:c r="E759" s="34" t="str"/>
      <x:c r="F759" s="34" t="str"/>
      <x:c r="G759" s="34" t="str"/>
      <x:c r="H759" s="34" t="str"/>
      <x:c r="I759" s="38" t="str">
        <x:f>IF(H759="","",IF(H759="完全吻合",1,IF(H759="基本吻合",0.75,IF(H759="部分吻合",0.5,IF(H759="明显不符",0,"")))))</x:f>
      </x:c>
      <x:c r="J759" s="34" t="str"/>
      <x:c r="K759" s="34" t="str"/>
      <x:c r="L759" s="34" t="str"/>
      <x:c r="M759" s="34" t="str"/>
      <x:c r="N759" s="34" t="str"/>
      <x:c r="O759" s="34" t="str"/>
      <x:c r="P759" s="34" t="str"/>
      <x:c r="Q759" s="34" t="str"/>
      <x:c r="R759" s="34" t="str"/>
      <x:c r="S759" s="34" t="str"/>
      <x:c r="T759" s="34" t="str"/>
    </x:row>
    <x:row r="760">
      <x:c r="A760" s="34" t="str">
        <x:v>M5-EVAL-0755</x:v>
      </x:c>
      <x:c r="B760" s="34" t="str"/>
      <x:c r="C760" s="34" t="str"/>
      <x:c r="D760" s="34" t="str"/>
      <x:c r="E760" s="34" t="str"/>
      <x:c r="F760" s="34" t="str"/>
      <x:c r="G760" s="34" t="str"/>
      <x:c r="H760" s="34" t="str"/>
      <x:c r="I760" s="38" t="str">
        <x:f>IF(H760="","",IF(H760="完全吻合",1,IF(H760="基本吻合",0.75,IF(H760="部分吻合",0.5,IF(H760="明显不符",0,"")))))</x:f>
      </x:c>
      <x:c r="J760" s="34" t="str"/>
      <x:c r="K760" s="34" t="str"/>
      <x:c r="L760" s="34" t="str"/>
      <x:c r="M760" s="34" t="str"/>
      <x:c r="N760" s="34" t="str"/>
      <x:c r="O760" s="34" t="str"/>
      <x:c r="P760" s="34" t="str"/>
      <x:c r="Q760" s="34" t="str"/>
      <x:c r="R760" s="34" t="str"/>
      <x:c r="S760" s="34" t="str"/>
      <x:c r="T760" s="34" t="str"/>
    </x:row>
    <x:row r="761">
      <x:c r="A761" s="34" t="str">
        <x:v>M5-EVAL-0756</x:v>
      </x:c>
      <x:c r="B761" s="34" t="str"/>
      <x:c r="C761" s="34" t="str"/>
      <x:c r="D761" s="34" t="str"/>
      <x:c r="E761" s="34" t="str"/>
      <x:c r="F761" s="34" t="str"/>
      <x:c r="G761" s="34" t="str"/>
      <x:c r="H761" s="34" t="str"/>
      <x:c r="I761" s="38" t="str">
        <x:f>IF(H761="","",IF(H761="完全吻合",1,IF(H761="基本吻合",0.75,IF(H761="部分吻合",0.5,IF(H761="明显不符",0,"")))))</x:f>
      </x:c>
      <x:c r="J761" s="34" t="str"/>
      <x:c r="K761" s="34" t="str"/>
      <x:c r="L761" s="34" t="str"/>
      <x:c r="M761" s="34" t="str"/>
      <x:c r="N761" s="34" t="str"/>
      <x:c r="O761" s="34" t="str"/>
      <x:c r="P761" s="34" t="str"/>
      <x:c r="Q761" s="34" t="str"/>
      <x:c r="R761" s="34" t="str"/>
      <x:c r="S761" s="34" t="str"/>
      <x:c r="T761" s="34" t="str"/>
    </x:row>
    <x:row r="762">
      <x:c r="A762" s="34" t="str">
        <x:v>M5-EVAL-0757</x:v>
      </x:c>
      <x:c r="B762" s="34" t="str"/>
      <x:c r="C762" s="34" t="str"/>
      <x:c r="D762" s="34" t="str"/>
      <x:c r="E762" s="34" t="str"/>
      <x:c r="F762" s="34" t="str"/>
      <x:c r="G762" s="34" t="str"/>
      <x:c r="H762" s="34" t="str"/>
      <x:c r="I762" s="38" t="str">
        <x:f>IF(H762="","",IF(H762="完全吻合",1,IF(H762="基本吻合",0.75,IF(H762="部分吻合",0.5,IF(H762="明显不符",0,"")))))</x:f>
      </x:c>
      <x:c r="J762" s="34" t="str"/>
      <x:c r="K762" s="34" t="str"/>
      <x:c r="L762" s="34" t="str"/>
      <x:c r="M762" s="34" t="str"/>
      <x:c r="N762" s="34" t="str"/>
      <x:c r="O762" s="34" t="str"/>
      <x:c r="P762" s="34" t="str"/>
      <x:c r="Q762" s="34" t="str"/>
      <x:c r="R762" s="34" t="str"/>
      <x:c r="S762" s="34" t="str"/>
      <x:c r="T762" s="34" t="str"/>
    </x:row>
    <x:row r="763">
      <x:c r="A763" s="34" t="str">
        <x:v>M5-EVAL-0758</x:v>
      </x:c>
      <x:c r="B763" s="34" t="str"/>
      <x:c r="C763" s="34" t="str"/>
      <x:c r="D763" s="34" t="str"/>
      <x:c r="E763" s="34" t="str"/>
      <x:c r="F763" s="34" t="str"/>
      <x:c r="G763" s="34" t="str"/>
      <x:c r="H763" s="34" t="str"/>
      <x:c r="I763" s="38" t="str">
        <x:f>IF(H763="","",IF(H763="完全吻合",1,IF(H763="基本吻合",0.75,IF(H763="部分吻合",0.5,IF(H763="明显不符",0,"")))))</x:f>
      </x:c>
      <x:c r="J763" s="34" t="str"/>
      <x:c r="K763" s="34" t="str"/>
      <x:c r="L763" s="34" t="str"/>
      <x:c r="M763" s="34" t="str"/>
      <x:c r="N763" s="34" t="str"/>
      <x:c r="O763" s="34" t="str"/>
      <x:c r="P763" s="34" t="str"/>
      <x:c r="Q763" s="34" t="str"/>
      <x:c r="R763" s="34" t="str"/>
      <x:c r="S763" s="34" t="str"/>
      <x:c r="T763" s="34" t="str"/>
    </x:row>
    <x:row r="764">
      <x:c r="A764" s="34" t="str">
        <x:v>M5-EVAL-0759</x:v>
      </x:c>
      <x:c r="B764" s="34" t="str"/>
      <x:c r="C764" s="34" t="str"/>
      <x:c r="D764" s="34" t="str"/>
      <x:c r="E764" s="34" t="str"/>
      <x:c r="F764" s="34" t="str"/>
      <x:c r="G764" s="34" t="str"/>
      <x:c r="H764" s="34" t="str"/>
      <x:c r="I764" s="38" t="str">
        <x:f>IF(H764="","",IF(H764="完全吻合",1,IF(H764="基本吻合",0.75,IF(H764="部分吻合",0.5,IF(H764="明显不符",0,"")))))</x:f>
      </x:c>
      <x:c r="J764" s="34" t="str"/>
      <x:c r="K764" s="34" t="str"/>
      <x:c r="L764" s="34" t="str"/>
      <x:c r="M764" s="34" t="str"/>
      <x:c r="N764" s="34" t="str"/>
      <x:c r="O764" s="34" t="str"/>
      <x:c r="P764" s="34" t="str"/>
      <x:c r="Q764" s="34" t="str"/>
      <x:c r="R764" s="34" t="str"/>
      <x:c r="S764" s="34" t="str"/>
      <x:c r="T764" s="34" t="str"/>
    </x:row>
    <x:row r="765">
      <x:c r="A765" s="34" t="str">
        <x:v>M5-EVAL-0760</x:v>
      </x:c>
      <x:c r="B765" s="34" t="str"/>
      <x:c r="C765" s="34" t="str"/>
      <x:c r="D765" s="34" t="str"/>
      <x:c r="E765" s="34" t="str"/>
      <x:c r="F765" s="34" t="str"/>
      <x:c r="G765" s="34" t="str"/>
      <x:c r="H765" s="34" t="str"/>
      <x:c r="I765" s="38" t="str">
        <x:f>IF(H765="","",IF(H765="完全吻合",1,IF(H765="基本吻合",0.75,IF(H765="部分吻合",0.5,IF(H765="明显不符",0,"")))))</x:f>
      </x:c>
      <x:c r="J765" s="34" t="str"/>
      <x:c r="K765" s="34" t="str"/>
      <x:c r="L765" s="34" t="str"/>
      <x:c r="M765" s="34" t="str"/>
      <x:c r="N765" s="34" t="str"/>
      <x:c r="O765" s="34" t="str"/>
      <x:c r="P765" s="34" t="str"/>
      <x:c r="Q765" s="34" t="str"/>
      <x:c r="R765" s="34" t="str"/>
      <x:c r="S765" s="34" t="str"/>
      <x:c r="T765" s="34" t="str"/>
    </x:row>
    <x:row r="766">
      <x:c r="A766" s="34" t="str">
        <x:v>M5-EVAL-0761</x:v>
      </x:c>
      <x:c r="B766" s="34" t="str"/>
      <x:c r="C766" s="34" t="str"/>
      <x:c r="D766" s="34" t="str"/>
      <x:c r="E766" s="34" t="str"/>
      <x:c r="F766" s="34" t="str"/>
      <x:c r="G766" s="34" t="str"/>
      <x:c r="H766" s="34" t="str"/>
      <x:c r="I766" s="38" t="str">
        <x:f>IF(H766="","",IF(H766="完全吻合",1,IF(H766="基本吻合",0.75,IF(H766="部分吻合",0.5,IF(H766="明显不符",0,"")))))</x:f>
      </x:c>
      <x:c r="J766" s="34" t="str"/>
      <x:c r="K766" s="34" t="str"/>
      <x:c r="L766" s="34" t="str"/>
      <x:c r="M766" s="34" t="str"/>
      <x:c r="N766" s="34" t="str"/>
      <x:c r="O766" s="34" t="str"/>
      <x:c r="P766" s="34" t="str"/>
      <x:c r="Q766" s="34" t="str"/>
      <x:c r="R766" s="34" t="str"/>
      <x:c r="S766" s="34" t="str"/>
      <x:c r="T766" s="34" t="str"/>
    </x:row>
    <x:row r="767">
      <x:c r="A767" s="34" t="str">
        <x:v>M5-EVAL-0762</x:v>
      </x:c>
      <x:c r="B767" s="34" t="str"/>
      <x:c r="C767" s="34" t="str"/>
      <x:c r="D767" s="34" t="str"/>
      <x:c r="E767" s="34" t="str"/>
      <x:c r="F767" s="34" t="str"/>
      <x:c r="G767" s="34" t="str"/>
      <x:c r="H767" s="34" t="str"/>
      <x:c r="I767" s="38" t="str">
        <x:f>IF(H767="","",IF(H767="完全吻合",1,IF(H767="基本吻合",0.75,IF(H767="部分吻合",0.5,IF(H767="明显不符",0,"")))))</x:f>
      </x:c>
      <x:c r="J767" s="34" t="str"/>
      <x:c r="K767" s="34" t="str"/>
      <x:c r="L767" s="34" t="str"/>
      <x:c r="M767" s="34" t="str"/>
      <x:c r="N767" s="34" t="str"/>
      <x:c r="O767" s="34" t="str"/>
      <x:c r="P767" s="34" t="str"/>
      <x:c r="Q767" s="34" t="str"/>
      <x:c r="R767" s="34" t="str"/>
      <x:c r="S767" s="34" t="str"/>
      <x:c r="T767" s="34" t="str"/>
    </x:row>
    <x:row r="768">
      <x:c r="A768" s="34" t="str">
        <x:v>M5-EVAL-0763</x:v>
      </x:c>
      <x:c r="B768" s="34" t="str"/>
      <x:c r="C768" s="34" t="str"/>
      <x:c r="D768" s="34" t="str"/>
      <x:c r="E768" s="34" t="str"/>
      <x:c r="F768" s="34" t="str"/>
      <x:c r="G768" s="34" t="str"/>
      <x:c r="H768" s="34" t="str"/>
      <x:c r="I768" s="38" t="str">
        <x:f>IF(H768="","",IF(H768="完全吻合",1,IF(H768="基本吻合",0.75,IF(H768="部分吻合",0.5,IF(H768="明显不符",0,"")))))</x:f>
      </x:c>
      <x:c r="J768" s="34" t="str"/>
      <x:c r="K768" s="34" t="str"/>
      <x:c r="L768" s="34" t="str"/>
      <x:c r="M768" s="34" t="str"/>
      <x:c r="N768" s="34" t="str"/>
      <x:c r="O768" s="34" t="str"/>
      <x:c r="P768" s="34" t="str"/>
      <x:c r="Q768" s="34" t="str"/>
      <x:c r="R768" s="34" t="str"/>
      <x:c r="S768" s="34" t="str"/>
      <x:c r="T768" s="34" t="str"/>
    </x:row>
    <x:row r="769">
      <x:c r="A769" s="34" t="str">
        <x:v>M5-EVAL-0764</x:v>
      </x:c>
      <x:c r="B769" s="34" t="str"/>
      <x:c r="C769" s="34" t="str"/>
      <x:c r="D769" s="34" t="str"/>
      <x:c r="E769" s="34" t="str"/>
      <x:c r="F769" s="34" t="str"/>
      <x:c r="G769" s="34" t="str"/>
      <x:c r="H769" s="34" t="str"/>
      <x:c r="I769" s="38" t="str">
        <x:f>IF(H769="","",IF(H769="完全吻合",1,IF(H769="基本吻合",0.75,IF(H769="部分吻合",0.5,IF(H769="明显不符",0,"")))))</x:f>
      </x:c>
      <x:c r="J769" s="34" t="str"/>
      <x:c r="K769" s="34" t="str"/>
      <x:c r="L769" s="34" t="str"/>
      <x:c r="M769" s="34" t="str"/>
      <x:c r="N769" s="34" t="str"/>
      <x:c r="O769" s="34" t="str"/>
      <x:c r="P769" s="34" t="str"/>
      <x:c r="Q769" s="34" t="str"/>
      <x:c r="R769" s="34" t="str"/>
      <x:c r="S769" s="34" t="str"/>
      <x:c r="T769" s="34" t="str"/>
    </x:row>
    <x:row r="770">
      <x:c r="A770" s="34" t="str">
        <x:v>M5-EVAL-0765</x:v>
      </x:c>
      <x:c r="B770" s="34" t="str"/>
      <x:c r="C770" s="34" t="str"/>
      <x:c r="D770" s="34" t="str"/>
      <x:c r="E770" s="34" t="str"/>
      <x:c r="F770" s="34" t="str"/>
      <x:c r="G770" s="34" t="str"/>
      <x:c r="H770" s="34" t="str"/>
      <x:c r="I770" s="38" t="str">
        <x:f>IF(H770="","",IF(H770="完全吻合",1,IF(H770="基本吻合",0.75,IF(H770="部分吻合",0.5,IF(H770="明显不符",0,"")))))</x:f>
      </x:c>
      <x:c r="J770" s="34" t="str"/>
      <x:c r="K770" s="34" t="str"/>
      <x:c r="L770" s="34" t="str"/>
      <x:c r="M770" s="34" t="str"/>
      <x:c r="N770" s="34" t="str"/>
      <x:c r="O770" s="34" t="str"/>
      <x:c r="P770" s="34" t="str"/>
      <x:c r="Q770" s="34" t="str"/>
      <x:c r="R770" s="34" t="str"/>
      <x:c r="S770" s="34" t="str"/>
      <x:c r="T770" s="34" t="str"/>
    </x:row>
    <x:row r="771">
      <x:c r="A771" s="34" t="str">
        <x:v>M5-EVAL-0766</x:v>
      </x:c>
      <x:c r="B771" s="34" t="str"/>
      <x:c r="C771" s="34" t="str"/>
      <x:c r="D771" s="34" t="str"/>
      <x:c r="E771" s="34" t="str"/>
      <x:c r="F771" s="34" t="str"/>
      <x:c r="G771" s="34" t="str"/>
      <x:c r="H771" s="34" t="str"/>
      <x:c r="I771" s="38" t="str">
        <x:f>IF(H771="","",IF(H771="完全吻合",1,IF(H771="基本吻合",0.75,IF(H771="部分吻合",0.5,IF(H771="明显不符",0,"")))))</x:f>
      </x:c>
      <x:c r="J771" s="34" t="str"/>
      <x:c r="K771" s="34" t="str"/>
      <x:c r="L771" s="34" t="str"/>
      <x:c r="M771" s="34" t="str"/>
      <x:c r="N771" s="34" t="str"/>
      <x:c r="O771" s="34" t="str"/>
      <x:c r="P771" s="34" t="str"/>
      <x:c r="Q771" s="34" t="str"/>
      <x:c r="R771" s="34" t="str"/>
      <x:c r="S771" s="34" t="str"/>
      <x:c r="T771" s="34" t="str"/>
    </x:row>
    <x:row r="772">
      <x:c r="A772" s="34" t="str">
        <x:v>M5-EVAL-0767</x:v>
      </x:c>
      <x:c r="B772" s="34" t="str"/>
      <x:c r="C772" s="34" t="str"/>
      <x:c r="D772" s="34" t="str"/>
      <x:c r="E772" s="34" t="str"/>
      <x:c r="F772" s="34" t="str"/>
      <x:c r="G772" s="34" t="str"/>
      <x:c r="H772" s="34" t="str"/>
      <x:c r="I772" s="38" t="str">
        <x:f>IF(H772="","",IF(H772="完全吻合",1,IF(H772="基本吻合",0.75,IF(H772="部分吻合",0.5,IF(H772="明显不符",0,"")))))</x:f>
      </x:c>
      <x:c r="J772" s="34" t="str"/>
      <x:c r="K772" s="34" t="str"/>
      <x:c r="L772" s="34" t="str"/>
      <x:c r="M772" s="34" t="str"/>
      <x:c r="N772" s="34" t="str"/>
      <x:c r="O772" s="34" t="str"/>
      <x:c r="P772" s="34" t="str"/>
      <x:c r="Q772" s="34" t="str"/>
      <x:c r="R772" s="34" t="str"/>
      <x:c r="S772" s="34" t="str"/>
      <x:c r="T772" s="34" t="str"/>
    </x:row>
    <x:row r="773">
      <x:c r="A773" s="34" t="str">
        <x:v>M5-EVAL-0768</x:v>
      </x:c>
      <x:c r="B773" s="34" t="str"/>
      <x:c r="C773" s="34" t="str"/>
      <x:c r="D773" s="34" t="str"/>
      <x:c r="E773" s="34" t="str"/>
      <x:c r="F773" s="34" t="str"/>
      <x:c r="G773" s="34" t="str"/>
      <x:c r="H773" s="34" t="str"/>
      <x:c r="I773" s="38" t="str">
        <x:f>IF(H773="","",IF(H773="完全吻合",1,IF(H773="基本吻合",0.75,IF(H773="部分吻合",0.5,IF(H773="明显不符",0,"")))))</x:f>
      </x:c>
      <x:c r="J773" s="34" t="str"/>
      <x:c r="K773" s="34" t="str"/>
      <x:c r="L773" s="34" t="str"/>
      <x:c r="M773" s="34" t="str"/>
      <x:c r="N773" s="34" t="str"/>
      <x:c r="O773" s="34" t="str"/>
      <x:c r="P773" s="34" t="str"/>
      <x:c r="Q773" s="34" t="str"/>
      <x:c r="R773" s="34" t="str"/>
      <x:c r="S773" s="34" t="str"/>
      <x:c r="T773" s="34" t="str"/>
    </x:row>
    <x:row r="774">
      <x:c r="A774" s="34" t="str">
        <x:v>M5-EVAL-0769</x:v>
      </x:c>
      <x:c r="B774" s="34" t="str"/>
      <x:c r="C774" s="34" t="str"/>
      <x:c r="D774" s="34" t="str"/>
      <x:c r="E774" s="34" t="str"/>
      <x:c r="F774" s="34" t="str"/>
      <x:c r="G774" s="34" t="str"/>
      <x:c r="H774" s="34" t="str"/>
      <x:c r="I774" s="38" t="str">
        <x:f>IF(H774="","",IF(H774="完全吻合",1,IF(H774="基本吻合",0.75,IF(H774="部分吻合",0.5,IF(H774="明显不符",0,"")))))</x:f>
      </x:c>
      <x:c r="J774" s="34" t="str"/>
      <x:c r="K774" s="34" t="str"/>
      <x:c r="L774" s="34" t="str"/>
      <x:c r="M774" s="34" t="str"/>
      <x:c r="N774" s="34" t="str"/>
      <x:c r="O774" s="34" t="str"/>
      <x:c r="P774" s="34" t="str"/>
      <x:c r="Q774" s="34" t="str"/>
      <x:c r="R774" s="34" t="str"/>
      <x:c r="S774" s="34" t="str"/>
      <x:c r="T774" s="34" t="str"/>
    </x:row>
    <x:row r="775">
      <x:c r="A775" s="34" t="str">
        <x:v>M5-EVAL-0770</x:v>
      </x:c>
      <x:c r="B775" s="34" t="str"/>
      <x:c r="C775" s="34" t="str"/>
      <x:c r="D775" s="34" t="str"/>
      <x:c r="E775" s="34" t="str"/>
      <x:c r="F775" s="34" t="str"/>
      <x:c r="G775" s="34" t="str"/>
      <x:c r="H775" s="34" t="str"/>
      <x:c r="I775" s="38" t="str">
        <x:f>IF(H775="","",IF(H775="完全吻合",1,IF(H775="基本吻合",0.75,IF(H775="部分吻合",0.5,IF(H775="明显不符",0,"")))))</x:f>
      </x:c>
      <x:c r="J775" s="34" t="str"/>
      <x:c r="K775" s="34" t="str"/>
      <x:c r="L775" s="34" t="str"/>
      <x:c r="M775" s="34" t="str"/>
      <x:c r="N775" s="34" t="str"/>
      <x:c r="O775" s="34" t="str"/>
      <x:c r="P775" s="34" t="str"/>
      <x:c r="Q775" s="34" t="str"/>
      <x:c r="R775" s="34" t="str"/>
      <x:c r="S775" s="34" t="str"/>
      <x:c r="T775" s="34" t="str"/>
    </x:row>
    <x:row r="776">
      <x:c r="A776" s="34" t="str">
        <x:v>M5-EVAL-0771</x:v>
      </x:c>
      <x:c r="B776" s="34" t="str"/>
      <x:c r="C776" s="34" t="str"/>
      <x:c r="D776" s="34" t="str"/>
      <x:c r="E776" s="34" t="str"/>
      <x:c r="F776" s="34" t="str"/>
      <x:c r="G776" s="34" t="str"/>
      <x:c r="H776" s="34" t="str"/>
      <x:c r="I776" s="38" t="str">
        <x:f>IF(H776="","",IF(H776="完全吻合",1,IF(H776="基本吻合",0.75,IF(H776="部分吻合",0.5,IF(H776="明显不符",0,"")))))</x:f>
      </x:c>
      <x:c r="J776" s="34" t="str"/>
      <x:c r="K776" s="34" t="str"/>
      <x:c r="L776" s="34" t="str"/>
      <x:c r="M776" s="34" t="str"/>
      <x:c r="N776" s="34" t="str"/>
      <x:c r="O776" s="34" t="str"/>
      <x:c r="P776" s="34" t="str"/>
      <x:c r="Q776" s="34" t="str"/>
      <x:c r="R776" s="34" t="str"/>
      <x:c r="S776" s="34" t="str"/>
      <x:c r="T776" s="34" t="str"/>
    </x:row>
    <x:row r="777">
      <x:c r="A777" s="34" t="str">
        <x:v>M5-EVAL-0772</x:v>
      </x:c>
      <x:c r="B777" s="34" t="str"/>
      <x:c r="C777" s="34" t="str"/>
      <x:c r="D777" s="34" t="str"/>
      <x:c r="E777" s="34" t="str"/>
      <x:c r="F777" s="34" t="str"/>
      <x:c r="G777" s="34" t="str"/>
      <x:c r="H777" s="34" t="str"/>
      <x:c r="I777" s="38" t="str">
        <x:f>IF(H777="","",IF(H777="完全吻合",1,IF(H777="基本吻合",0.75,IF(H777="部分吻合",0.5,IF(H777="明显不符",0,"")))))</x:f>
      </x:c>
      <x:c r="J777" s="34" t="str"/>
      <x:c r="K777" s="34" t="str"/>
      <x:c r="L777" s="34" t="str"/>
      <x:c r="M777" s="34" t="str"/>
      <x:c r="N777" s="34" t="str"/>
      <x:c r="O777" s="34" t="str"/>
      <x:c r="P777" s="34" t="str"/>
      <x:c r="Q777" s="34" t="str"/>
      <x:c r="R777" s="34" t="str"/>
      <x:c r="S777" s="34" t="str"/>
      <x:c r="T777" s="34" t="str"/>
    </x:row>
    <x:row r="778">
      <x:c r="A778" s="34" t="str">
        <x:v>M5-EVAL-0773</x:v>
      </x:c>
      <x:c r="B778" s="34" t="str"/>
      <x:c r="C778" s="34" t="str"/>
      <x:c r="D778" s="34" t="str"/>
      <x:c r="E778" s="34" t="str"/>
      <x:c r="F778" s="34" t="str"/>
      <x:c r="G778" s="34" t="str"/>
      <x:c r="H778" s="34" t="str"/>
      <x:c r="I778" s="38" t="str">
        <x:f>IF(H778="","",IF(H778="完全吻合",1,IF(H778="基本吻合",0.75,IF(H778="部分吻合",0.5,IF(H778="明显不符",0,"")))))</x:f>
      </x:c>
      <x:c r="J778" s="34" t="str"/>
      <x:c r="K778" s="34" t="str"/>
      <x:c r="L778" s="34" t="str"/>
      <x:c r="M778" s="34" t="str"/>
      <x:c r="N778" s="34" t="str"/>
      <x:c r="O778" s="34" t="str"/>
      <x:c r="P778" s="34" t="str"/>
      <x:c r="Q778" s="34" t="str"/>
      <x:c r="R778" s="34" t="str"/>
      <x:c r="S778" s="34" t="str"/>
      <x:c r="T778" s="34" t="str"/>
    </x:row>
    <x:row r="779">
      <x:c r="A779" s="34" t="str">
        <x:v>M5-EVAL-0774</x:v>
      </x:c>
      <x:c r="B779" s="34" t="str"/>
      <x:c r="C779" s="34" t="str"/>
      <x:c r="D779" s="34" t="str"/>
      <x:c r="E779" s="34" t="str"/>
      <x:c r="F779" s="34" t="str"/>
      <x:c r="G779" s="34" t="str"/>
      <x:c r="H779" s="34" t="str"/>
      <x:c r="I779" s="38" t="str">
        <x:f>IF(H779="","",IF(H779="完全吻合",1,IF(H779="基本吻合",0.75,IF(H779="部分吻合",0.5,IF(H779="明显不符",0,"")))))</x:f>
      </x:c>
      <x:c r="J779" s="34" t="str"/>
      <x:c r="K779" s="34" t="str"/>
      <x:c r="L779" s="34" t="str"/>
      <x:c r="M779" s="34" t="str"/>
      <x:c r="N779" s="34" t="str"/>
      <x:c r="O779" s="34" t="str"/>
      <x:c r="P779" s="34" t="str"/>
      <x:c r="Q779" s="34" t="str"/>
      <x:c r="R779" s="34" t="str"/>
      <x:c r="S779" s="34" t="str"/>
      <x:c r="T779" s="34" t="str"/>
    </x:row>
    <x:row r="780">
      <x:c r="A780" s="34" t="str">
        <x:v>M5-EVAL-0775</x:v>
      </x:c>
      <x:c r="B780" s="34" t="str"/>
      <x:c r="C780" s="34" t="str"/>
      <x:c r="D780" s="34" t="str"/>
      <x:c r="E780" s="34" t="str"/>
      <x:c r="F780" s="34" t="str"/>
      <x:c r="G780" s="34" t="str"/>
      <x:c r="H780" s="34" t="str"/>
      <x:c r="I780" s="38" t="str">
        <x:f>IF(H780="","",IF(H780="完全吻合",1,IF(H780="基本吻合",0.75,IF(H780="部分吻合",0.5,IF(H780="明显不符",0,"")))))</x:f>
      </x:c>
      <x:c r="J780" s="34" t="str"/>
      <x:c r="K780" s="34" t="str"/>
      <x:c r="L780" s="34" t="str"/>
      <x:c r="M780" s="34" t="str"/>
      <x:c r="N780" s="34" t="str"/>
      <x:c r="O780" s="34" t="str"/>
      <x:c r="P780" s="34" t="str"/>
      <x:c r="Q780" s="34" t="str"/>
      <x:c r="R780" s="34" t="str"/>
      <x:c r="S780" s="34" t="str"/>
      <x:c r="T780" s="34" t="str"/>
    </x:row>
    <x:row r="781">
      <x:c r="A781" s="34" t="str">
        <x:v>M5-EVAL-0776</x:v>
      </x:c>
      <x:c r="B781" s="34" t="str"/>
      <x:c r="C781" s="34" t="str"/>
      <x:c r="D781" s="34" t="str"/>
      <x:c r="E781" s="34" t="str"/>
      <x:c r="F781" s="34" t="str"/>
      <x:c r="G781" s="34" t="str"/>
      <x:c r="H781" s="34" t="str"/>
      <x:c r="I781" s="38" t="str">
        <x:f>IF(H781="","",IF(H781="完全吻合",1,IF(H781="基本吻合",0.75,IF(H781="部分吻合",0.5,IF(H781="明显不符",0,"")))))</x:f>
      </x:c>
      <x:c r="J781" s="34" t="str"/>
      <x:c r="K781" s="34" t="str"/>
      <x:c r="L781" s="34" t="str"/>
      <x:c r="M781" s="34" t="str"/>
      <x:c r="N781" s="34" t="str"/>
      <x:c r="O781" s="34" t="str"/>
      <x:c r="P781" s="34" t="str"/>
      <x:c r="Q781" s="34" t="str"/>
      <x:c r="R781" s="34" t="str"/>
      <x:c r="S781" s="34" t="str"/>
      <x:c r="T781" s="34" t="str"/>
    </x:row>
    <x:row r="782">
      <x:c r="A782" s="34" t="str">
        <x:v>M5-EVAL-0777</x:v>
      </x:c>
      <x:c r="B782" s="34" t="str"/>
      <x:c r="C782" s="34" t="str"/>
      <x:c r="D782" s="34" t="str"/>
      <x:c r="E782" s="34" t="str"/>
      <x:c r="F782" s="34" t="str"/>
      <x:c r="G782" s="34" t="str"/>
      <x:c r="H782" s="34" t="str"/>
      <x:c r="I782" s="38" t="str">
        <x:f>IF(H782="","",IF(H782="完全吻合",1,IF(H782="基本吻合",0.75,IF(H782="部分吻合",0.5,IF(H782="明显不符",0,"")))))</x:f>
      </x:c>
      <x:c r="J782" s="34" t="str"/>
      <x:c r="K782" s="34" t="str"/>
      <x:c r="L782" s="34" t="str"/>
      <x:c r="M782" s="34" t="str"/>
      <x:c r="N782" s="34" t="str"/>
      <x:c r="O782" s="34" t="str"/>
      <x:c r="P782" s="34" t="str"/>
      <x:c r="Q782" s="34" t="str"/>
      <x:c r="R782" s="34" t="str"/>
      <x:c r="S782" s="34" t="str"/>
      <x:c r="T782" s="34" t="str"/>
    </x:row>
    <x:row r="783">
      <x:c r="A783" s="34" t="str">
        <x:v>M5-EVAL-0778</x:v>
      </x:c>
      <x:c r="B783" s="34" t="str"/>
      <x:c r="C783" s="34" t="str"/>
      <x:c r="D783" s="34" t="str"/>
      <x:c r="E783" s="34" t="str"/>
      <x:c r="F783" s="34" t="str"/>
      <x:c r="G783" s="34" t="str"/>
      <x:c r="H783" s="34" t="str"/>
      <x:c r="I783" s="38" t="str">
        <x:f>IF(H783="","",IF(H783="完全吻合",1,IF(H783="基本吻合",0.75,IF(H783="部分吻合",0.5,IF(H783="明显不符",0,"")))))</x:f>
      </x:c>
      <x:c r="J783" s="34" t="str"/>
      <x:c r="K783" s="34" t="str"/>
      <x:c r="L783" s="34" t="str"/>
      <x:c r="M783" s="34" t="str"/>
      <x:c r="N783" s="34" t="str"/>
      <x:c r="O783" s="34" t="str"/>
      <x:c r="P783" s="34" t="str"/>
      <x:c r="Q783" s="34" t="str"/>
      <x:c r="R783" s="34" t="str"/>
      <x:c r="S783" s="34" t="str"/>
      <x:c r="T783" s="34" t="str"/>
    </x:row>
    <x:row r="784">
      <x:c r="A784" s="34" t="str">
        <x:v>M5-EVAL-0779</x:v>
      </x:c>
      <x:c r="B784" s="34" t="str"/>
      <x:c r="C784" s="34" t="str"/>
      <x:c r="D784" s="34" t="str"/>
      <x:c r="E784" s="34" t="str"/>
      <x:c r="F784" s="34" t="str"/>
      <x:c r="G784" s="34" t="str"/>
      <x:c r="H784" s="34" t="str"/>
      <x:c r="I784" s="38" t="str">
        <x:f>IF(H784="","",IF(H784="完全吻合",1,IF(H784="基本吻合",0.75,IF(H784="部分吻合",0.5,IF(H784="明显不符",0,"")))))</x:f>
      </x:c>
      <x:c r="J784" s="34" t="str"/>
      <x:c r="K784" s="34" t="str"/>
      <x:c r="L784" s="34" t="str"/>
      <x:c r="M784" s="34" t="str"/>
      <x:c r="N784" s="34" t="str"/>
      <x:c r="O784" s="34" t="str"/>
      <x:c r="P784" s="34" t="str"/>
      <x:c r="Q784" s="34" t="str"/>
      <x:c r="R784" s="34" t="str"/>
      <x:c r="S784" s="34" t="str"/>
      <x:c r="T784" s="34" t="str"/>
    </x:row>
    <x:row r="785">
      <x:c r="A785" s="34" t="str">
        <x:v>M5-EVAL-0780</x:v>
      </x:c>
      <x:c r="B785" s="34" t="str"/>
      <x:c r="C785" s="34" t="str"/>
      <x:c r="D785" s="34" t="str"/>
      <x:c r="E785" s="34" t="str"/>
      <x:c r="F785" s="34" t="str"/>
      <x:c r="G785" s="34" t="str"/>
      <x:c r="H785" s="34" t="str"/>
      <x:c r="I785" s="38" t="str">
        <x:f>IF(H785="","",IF(H785="完全吻合",1,IF(H785="基本吻合",0.75,IF(H785="部分吻合",0.5,IF(H785="明显不符",0,"")))))</x:f>
      </x:c>
      <x:c r="J785" s="34" t="str"/>
      <x:c r="K785" s="34" t="str"/>
      <x:c r="L785" s="34" t="str"/>
      <x:c r="M785" s="34" t="str"/>
      <x:c r="N785" s="34" t="str"/>
      <x:c r="O785" s="34" t="str"/>
      <x:c r="P785" s="34" t="str"/>
      <x:c r="Q785" s="34" t="str"/>
      <x:c r="R785" s="34" t="str"/>
      <x:c r="S785" s="34" t="str"/>
      <x:c r="T785" s="34" t="str"/>
    </x:row>
    <x:row r="786">
      <x:c r="A786" s="34" t="str">
        <x:v>M5-EVAL-0781</x:v>
      </x:c>
      <x:c r="B786" s="34" t="str"/>
      <x:c r="C786" s="34" t="str"/>
      <x:c r="D786" s="34" t="str"/>
      <x:c r="E786" s="34" t="str"/>
      <x:c r="F786" s="34" t="str"/>
      <x:c r="G786" s="34" t="str"/>
      <x:c r="H786" s="34" t="str"/>
      <x:c r="I786" s="38" t="str">
        <x:f>IF(H786="","",IF(H786="完全吻合",1,IF(H786="基本吻合",0.75,IF(H786="部分吻合",0.5,IF(H786="明显不符",0,"")))))</x:f>
      </x:c>
      <x:c r="J786" s="34" t="str"/>
      <x:c r="K786" s="34" t="str"/>
      <x:c r="L786" s="34" t="str"/>
      <x:c r="M786" s="34" t="str"/>
      <x:c r="N786" s="34" t="str"/>
      <x:c r="O786" s="34" t="str"/>
      <x:c r="P786" s="34" t="str"/>
      <x:c r="Q786" s="34" t="str"/>
      <x:c r="R786" s="34" t="str"/>
      <x:c r="S786" s="34" t="str"/>
      <x:c r="T786" s="34" t="str"/>
    </x:row>
    <x:row r="787">
      <x:c r="A787" s="34" t="str">
        <x:v>M5-EVAL-0782</x:v>
      </x:c>
      <x:c r="B787" s="34" t="str"/>
      <x:c r="C787" s="34" t="str"/>
      <x:c r="D787" s="34" t="str"/>
      <x:c r="E787" s="34" t="str"/>
      <x:c r="F787" s="34" t="str"/>
      <x:c r="G787" s="34" t="str"/>
      <x:c r="H787" s="34" t="str"/>
      <x:c r="I787" s="38" t="str">
        <x:f>IF(H787="","",IF(H787="完全吻合",1,IF(H787="基本吻合",0.75,IF(H787="部分吻合",0.5,IF(H787="明显不符",0,"")))))</x:f>
      </x:c>
      <x:c r="J787" s="34" t="str"/>
      <x:c r="K787" s="34" t="str"/>
      <x:c r="L787" s="34" t="str"/>
      <x:c r="M787" s="34" t="str"/>
      <x:c r="N787" s="34" t="str"/>
      <x:c r="O787" s="34" t="str"/>
      <x:c r="P787" s="34" t="str"/>
      <x:c r="Q787" s="34" t="str"/>
      <x:c r="R787" s="34" t="str"/>
      <x:c r="S787" s="34" t="str"/>
      <x:c r="T787" s="34" t="str"/>
    </x:row>
    <x:row r="788">
      <x:c r="A788" s="34" t="str">
        <x:v>M5-EVAL-0783</x:v>
      </x:c>
      <x:c r="B788" s="34" t="str"/>
      <x:c r="C788" s="34" t="str"/>
      <x:c r="D788" s="34" t="str"/>
      <x:c r="E788" s="34" t="str"/>
      <x:c r="F788" s="34" t="str"/>
      <x:c r="G788" s="34" t="str"/>
      <x:c r="H788" s="34" t="str"/>
      <x:c r="I788" s="38" t="str">
        <x:f>IF(H788="","",IF(H788="完全吻合",1,IF(H788="基本吻合",0.75,IF(H788="部分吻合",0.5,IF(H788="明显不符",0,"")))))</x:f>
      </x:c>
      <x:c r="J788" s="34" t="str"/>
      <x:c r="K788" s="34" t="str"/>
      <x:c r="L788" s="34" t="str"/>
      <x:c r="M788" s="34" t="str"/>
      <x:c r="N788" s="34" t="str"/>
      <x:c r="O788" s="34" t="str"/>
      <x:c r="P788" s="34" t="str"/>
      <x:c r="Q788" s="34" t="str"/>
      <x:c r="R788" s="34" t="str"/>
      <x:c r="S788" s="34" t="str"/>
      <x:c r="T788" s="34" t="str"/>
    </x:row>
    <x:row r="789">
      <x:c r="A789" s="34" t="str">
        <x:v>M5-EVAL-0784</x:v>
      </x:c>
      <x:c r="B789" s="34" t="str"/>
      <x:c r="C789" s="34" t="str"/>
      <x:c r="D789" s="34" t="str"/>
      <x:c r="E789" s="34" t="str"/>
      <x:c r="F789" s="34" t="str"/>
      <x:c r="G789" s="34" t="str"/>
      <x:c r="H789" s="34" t="str"/>
      <x:c r="I789" s="38" t="str">
        <x:f>IF(H789="","",IF(H789="完全吻合",1,IF(H789="基本吻合",0.75,IF(H789="部分吻合",0.5,IF(H789="明显不符",0,"")))))</x:f>
      </x:c>
      <x:c r="J789" s="34" t="str"/>
      <x:c r="K789" s="34" t="str"/>
      <x:c r="L789" s="34" t="str"/>
      <x:c r="M789" s="34" t="str"/>
      <x:c r="N789" s="34" t="str"/>
      <x:c r="O789" s="34" t="str"/>
      <x:c r="P789" s="34" t="str"/>
      <x:c r="Q789" s="34" t="str"/>
      <x:c r="R789" s="34" t="str"/>
      <x:c r="S789" s="34" t="str"/>
      <x:c r="T789" s="34" t="str"/>
    </x:row>
    <x:row r="790">
      <x:c r="A790" s="34" t="str">
        <x:v>M5-EVAL-0785</x:v>
      </x:c>
      <x:c r="B790" s="34" t="str"/>
      <x:c r="C790" s="34" t="str"/>
      <x:c r="D790" s="34" t="str"/>
      <x:c r="E790" s="34" t="str"/>
      <x:c r="F790" s="34" t="str"/>
      <x:c r="G790" s="34" t="str"/>
      <x:c r="H790" s="34" t="str"/>
      <x:c r="I790" s="38" t="str">
        <x:f>IF(H790="","",IF(H790="完全吻合",1,IF(H790="基本吻合",0.75,IF(H790="部分吻合",0.5,IF(H790="明显不符",0,"")))))</x:f>
      </x:c>
      <x:c r="J790" s="34" t="str"/>
      <x:c r="K790" s="34" t="str"/>
      <x:c r="L790" s="34" t="str"/>
      <x:c r="M790" s="34" t="str"/>
      <x:c r="N790" s="34" t="str"/>
      <x:c r="O790" s="34" t="str"/>
      <x:c r="P790" s="34" t="str"/>
      <x:c r="Q790" s="34" t="str"/>
      <x:c r="R790" s="34" t="str"/>
      <x:c r="S790" s="34" t="str"/>
      <x:c r="T790" s="34" t="str"/>
    </x:row>
    <x:row r="791">
      <x:c r="A791" s="34" t="str">
        <x:v>M5-EVAL-0786</x:v>
      </x:c>
      <x:c r="B791" s="34" t="str"/>
      <x:c r="C791" s="34" t="str"/>
      <x:c r="D791" s="34" t="str"/>
      <x:c r="E791" s="34" t="str"/>
      <x:c r="F791" s="34" t="str"/>
      <x:c r="G791" s="34" t="str"/>
      <x:c r="H791" s="34" t="str"/>
      <x:c r="I791" s="38" t="str">
        <x:f>IF(H791="","",IF(H791="完全吻合",1,IF(H791="基本吻合",0.75,IF(H791="部分吻合",0.5,IF(H791="明显不符",0,"")))))</x:f>
      </x:c>
      <x:c r="J791" s="34" t="str"/>
      <x:c r="K791" s="34" t="str"/>
      <x:c r="L791" s="34" t="str"/>
      <x:c r="M791" s="34" t="str"/>
      <x:c r="N791" s="34" t="str"/>
      <x:c r="O791" s="34" t="str"/>
      <x:c r="P791" s="34" t="str"/>
      <x:c r="Q791" s="34" t="str"/>
      <x:c r="R791" s="34" t="str"/>
      <x:c r="S791" s="34" t="str"/>
      <x:c r="T791" s="34" t="str"/>
    </x:row>
    <x:row r="792">
      <x:c r="A792" s="34" t="str">
        <x:v>M5-EVAL-0787</x:v>
      </x:c>
      <x:c r="B792" s="34" t="str"/>
      <x:c r="C792" s="34" t="str"/>
      <x:c r="D792" s="34" t="str"/>
      <x:c r="E792" s="34" t="str"/>
      <x:c r="F792" s="34" t="str"/>
      <x:c r="G792" s="34" t="str"/>
      <x:c r="H792" s="34" t="str"/>
      <x:c r="I792" s="38" t="str">
        <x:f>IF(H792="","",IF(H792="完全吻合",1,IF(H792="基本吻合",0.75,IF(H792="部分吻合",0.5,IF(H792="明显不符",0,"")))))</x:f>
      </x:c>
      <x:c r="J792" s="34" t="str"/>
      <x:c r="K792" s="34" t="str"/>
      <x:c r="L792" s="34" t="str"/>
      <x:c r="M792" s="34" t="str"/>
      <x:c r="N792" s="34" t="str"/>
      <x:c r="O792" s="34" t="str"/>
      <x:c r="P792" s="34" t="str"/>
      <x:c r="Q792" s="34" t="str"/>
      <x:c r="R792" s="34" t="str"/>
      <x:c r="S792" s="34" t="str"/>
      <x:c r="T792" s="34" t="str"/>
    </x:row>
    <x:row r="793">
      <x:c r="A793" s="34" t="str">
        <x:v>M5-EVAL-0788</x:v>
      </x:c>
      <x:c r="B793" s="34" t="str"/>
      <x:c r="C793" s="34" t="str"/>
      <x:c r="D793" s="34" t="str"/>
      <x:c r="E793" s="34" t="str"/>
      <x:c r="F793" s="34" t="str"/>
      <x:c r="G793" s="34" t="str"/>
      <x:c r="H793" s="34" t="str"/>
      <x:c r="I793" s="38" t="str">
        <x:f>IF(H793="","",IF(H793="完全吻合",1,IF(H793="基本吻合",0.75,IF(H793="部分吻合",0.5,IF(H793="明显不符",0,"")))))</x:f>
      </x:c>
      <x:c r="J793" s="34" t="str"/>
      <x:c r="K793" s="34" t="str"/>
      <x:c r="L793" s="34" t="str"/>
      <x:c r="M793" s="34" t="str"/>
      <x:c r="N793" s="34" t="str"/>
      <x:c r="O793" s="34" t="str"/>
      <x:c r="P793" s="34" t="str"/>
      <x:c r="Q793" s="34" t="str"/>
      <x:c r="R793" s="34" t="str"/>
      <x:c r="S793" s="34" t="str"/>
      <x:c r="T793" s="34" t="str"/>
    </x:row>
    <x:row r="794">
      <x:c r="A794" s="34" t="str">
        <x:v>M5-EVAL-0789</x:v>
      </x:c>
      <x:c r="B794" s="34" t="str"/>
      <x:c r="C794" s="34" t="str"/>
      <x:c r="D794" s="34" t="str"/>
      <x:c r="E794" s="34" t="str"/>
      <x:c r="F794" s="34" t="str"/>
      <x:c r="G794" s="34" t="str"/>
      <x:c r="H794" s="34" t="str"/>
      <x:c r="I794" s="38" t="str">
        <x:f>IF(H794="","",IF(H794="完全吻合",1,IF(H794="基本吻合",0.75,IF(H794="部分吻合",0.5,IF(H794="明显不符",0,"")))))</x:f>
      </x:c>
      <x:c r="J794" s="34" t="str"/>
      <x:c r="K794" s="34" t="str"/>
      <x:c r="L794" s="34" t="str"/>
      <x:c r="M794" s="34" t="str"/>
      <x:c r="N794" s="34" t="str"/>
      <x:c r="O794" s="34" t="str"/>
      <x:c r="P794" s="34" t="str"/>
      <x:c r="Q794" s="34" t="str"/>
      <x:c r="R794" s="34" t="str"/>
      <x:c r="S794" s="34" t="str"/>
      <x:c r="T794" s="34" t="str"/>
    </x:row>
    <x:row r="795">
      <x:c r="A795" s="34" t="str">
        <x:v>M5-EVAL-0790</x:v>
      </x:c>
      <x:c r="B795" s="34" t="str"/>
      <x:c r="C795" s="34" t="str"/>
      <x:c r="D795" s="34" t="str"/>
      <x:c r="E795" s="34" t="str"/>
      <x:c r="F795" s="34" t="str"/>
      <x:c r="G795" s="34" t="str"/>
      <x:c r="H795" s="34" t="str"/>
      <x:c r="I795" s="38" t="str">
        <x:f>IF(H795="","",IF(H795="完全吻合",1,IF(H795="基本吻合",0.75,IF(H795="部分吻合",0.5,IF(H795="明显不符",0,"")))))</x:f>
      </x:c>
      <x:c r="J795" s="34" t="str"/>
      <x:c r="K795" s="34" t="str"/>
      <x:c r="L795" s="34" t="str"/>
      <x:c r="M795" s="34" t="str"/>
      <x:c r="N795" s="34" t="str"/>
      <x:c r="O795" s="34" t="str"/>
      <x:c r="P795" s="34" t="str"/>
      <x:c r="Q795" s="34" t="str"/>
      <x:c r="R795" s="34" t="str"/>
      <x:c r="S795" s="34" t="str"/>
      <x:c r="T795" s="34" t="str"/>
    </x:row>
    <x:row r="796">
      <x:c r="A796" s="34" t="str">
        <x:v>M5-EVAL-0791</x:v>
      </x:c>
      <x:c r="B796" s="34" t="str"/>
      <x:c r="C796" s="34" t="str"/>
      <x:c r="D796" s="34" t="str"/>
      <x:c r="E796" s="34" t="str"/>
      <x:c r="F796" s="34" t="str"/>
      <x:c r="G796" s="34" t="str"/>
      <x:c r="H796" s="34" t="str"/>
      <x:c r="I796" s="38" t="str">
        <x:f>IF(H796="","",IF(H796="完全吻合",1,IF(H796="基本吻合",0.75,IF(H796="部分吻合",0.5,IF(H796="明显不符",0,"")))))</x:f>
      </x:c>
      <x:c r="J796" s="34" t="str"/>
      <x:c r="K796" s="34" t="str"/>
      <x:c r="L796" s="34" t="str"/>
      <x:c r="M796" s="34" t="str"/>
      <x:c r="N796" s="34" t="str"/>
      <x:c r="O796" s="34" t="str"/>
      <x:c r="P796" s="34" t="str"/>
      <x:c r="Q796" s="34" t="str"/>
      <x:c r="R796" s="34" t="str"/>
      <x:c r="S796" s="34" t="str"/>
      <x:c r="T796" s="34" t="str"/>
    </x:row>
    <x:row r="797">
      <x:c r="A797" s="34" t="str">
        <x:v>M5-EVAL-0792</x:v>
      </x:c>
      <x:c r="B797" s="34" t="str"/>
      <x:c r="C797" s="34" t="str"/>
      <x:c r="D797" s="34" t="str"/>
      <x:c r="E797" s="34" t="str"/>
      <x:c r="F797" s="34" t="str"/>
      <x:c r="G797" s="34" t="str"/>
      <x:c r="H797" s="34" t="str"/>
      <x:c r="I797" s="38" t="str">
        <x:f>IF(H797="","",IF(H797="完全吻合",1,IF(H797="基本吻合",0.75,IF(H797="部分吻合",0.5,IF(H797="明显不符",0,"")))))</x:f>
      </x:c>
      <x:c r="J797" s="34" t="str"/>
      <x:c r="K797" s="34" t="str"/>
      <x:c r="L797" s="34" t="str"/>
      <x:c r="M797" s="34" t="str"/>
      <x:c r="N797" s="34" t="str"/>
      <x:c r="O797" s="34" t="str"/>
      <x:c r="P797" s="34" t="str"/>
      <x:c r="Q797" s="34" t="str"/>
      <x:c r="R797" s="34" t="str"/>
      <x:c r="S797" s="34" t="str"/>
      <x:c r="T797" s="34" t="str"/>
    </x:row>
    <x:row r="798">
      <x:c r="A798" s="34" t="str">
        <x:v>M5-EVAL-0793</x:v>
      </x:c>
      <x:c r="B798" s="34" t="str"/>
      <x:c r="C798" s="34" t="str"/>
      <x:c r="D798" s="34" t="str"/>
      <x:c r="E798" s="34" t="str"/>
      <x:c r="F798" s="34" t="str"/>
      <x:c r="G798" s="34" t="str"/>
      <x:c r="H798" s="34" t="str"/>
      <x:c r="I798" s="38" t="str">
        <x:f>IF(H798="","",IF(H798="完全吻合",1,IF(H798="基本吻合",0.75,IF(H798="部分吻合",0.5,IF(H798="明显不符",0,"")))))</x:f>
      </x:c>
      <x:c r="J798" s="34" t="str"/>
      <x:c r="K798" s="34" t="str"/>
      <x:c r="L798" s="34" t="str"/>
      <x:c r="M798" s="34" t="str"/>
      <x:c r="N798" s="34" t="str"/>
      <x:c r="O798" s="34" t="str"/>
      <x:c r="P798" s="34" t="str"/>
      <x:c r="Q798" s="34" t="str"/>
      <x:c r="R798" s="34" t="str"/>
      <x:c r="S798" s="34" t="str"/>
      <x:c r="T798" s="34" t="str"/>
    </x:row>
    <x:row r="799">
      <x:c r="A799" s="34" t="str">
        <x:v>M5-EVAL-0794</x:v>
      </x:c>
      <x:c r="B799" s="34" t="str"/>
      <x:c r="C799" s="34" t="str"/>
      <x:c r="D799" s="34" t="str"/>
      <x:c r="E799" s="34" t="str"/>
      <x:c r="F799" s="34" t="str"/>
      <x:c r="G799" s="34" t="str"/>
      <x:c r="H799" s="34" t="str"/>
      <x:c r="I799" s="38" t="str">
        <x:f>IF(H799="","",IF(H799="完全吻合",1,IF(H799="基本吻合",0.75,IF(H799="部分吻合",0.5,IF(H799="明显不符",0,"")))))</x:f>
      </x:c>
      <x:c r="J799" s="34" t="str"/>
      <x:c r="K799" s="34" t="str"/>
      <x:c r="L799" s="34" t="str"/>
      <x:c r="M799" s="34" t="str"/>
      <x:c r="N799" s="34" t="str"/>
      <x:c r="O799" s="34" t="str"/>
      <x:c r="P799" s="34" t="str"/>
      <x:c r="Q799" s="34" t="str"/>
      <x:c r="R799" s="34" t="str"/>
      <x:c r="S799" s="34" t="str"/>
      <x:c r="T799" s="34" t="str"/>
    </x:row>
    <x:row r="800">
      <x:c r="A800" s="34" t="str">
        <x:v>M5-EVAL-0795</x:v>
      </x:c>
      <x:c r="B800" s="34" t="str"/>
      <x:c r="C800" s="34" t="str"/>
      <x:c r="D800" s="34" t="str"/>
      <x:c r="E800" s="34" t="str"/>
      <x:c r="F800" s="34" t="str"/>
      <x:c r="G800" s="34" t="str"/>
      <x:c r="H800" s="34" t="str"/>
      <x:c r="I800" s="38" t="str">
        <x:f>IF(H800="","",IF(H800="完全吻合",1,IF(H800="基本吻合",0.75,IF(H800="部分吻合",0.5,IF(H800="明显不符",0,"")))))</x:f>
      </x:c>
      <x:c r="J800" s="34" t="str"/>
      <x:c r="K800" s="34" t="str"/>
      <x:c r="L800" s="34" t="str"/>
      <x:c r="M800" s="34" t="str"/>
      <x:c r="N800" s="34" t="str"/>
      <x:c r="O800" s="34" t="str"/>
      <x:c r="P800" s="34" t="str"/>
      <x:c r="Q800" s="34" t="str"/>
      <x:c r="R800" s="34" t="str"/>
      <x:c r="S800" s="34" t="str"/>
      <x:c r="T800" s="34" t="str"/>
    </x:row>
    <x:row r="801">
      <x:c r="A801" s="34" t="str">
        <x:v>M5-EVAL-0796</x:v>
      </x:c>
      <x:c r="B801" s="34" t="str"/>
      <x:c r="C801" s="34" t="str"/>
      <x:c r="D801" s="34" t="str"/>
      <x:c r="E801" s="34" t="str"/>
      <x:c r="F801" s="34" t="str"/>
      <x:c r="G801" s="34" t="str"/>
      <x:c r="H801" s="34" t="str"/>
      <x:c r="I801" s="38" t="str">
        <x:f>IF(H801="","",IF(H801="完全吻合",1,IF(H801="基本吻合",0.75,IF(H801="部分吻合",0.5,IF(H801="明显不符",0,"")))))</x:f>
      </x:c>
      <x:c r="J801" s="34" t="str"/>
      <x:c r="K801" s="34" t="str"/>
      <x:c r="L801" s="34" t="str"/>
      <x:c r="M801" s="34" t="str"/>
      <x:c r="N801" s="34" t="str"/>
      <x:c r="O801" s="34" t="str"/>
      <x:c r="P801" s="34" t="str"/>
      <x:c r="Q801" s="34" t="str"/>
      <x:c r="R801" s="34" t="str"/>
      <x:c r="S801" s="34" t="str"/>
      <x:c r="T801" s="34" t="str"/>
    </x:row>
    <x:row r="802">
      <x:c r="A802" s="34" t="str">
        <x:v>M5-EVAL-0797</x:v>
      </x:c>
      <x:c r="B802" s="34" t="str"/>
      <x:c r="C802" s="34" t="str"/>
      <x:c r="D802" s="34" t="str"/>
      <x:c r="E802" s="34" t="str"/>
      <x:c r="F802" s="34" t="str"/>
      <x:c r="G802" s="34" t="str"/>
      <x:c r="H802" s="34" t="str"/>
      <x:c r="I802" s="38" t="str">
        <x:f>IF(H802="","",IF(H802="完全吻合",1,IF(H802="基本吻合",0.75,IF(H802="部分吻合",0.5,IF(H802="明显不符",0,"")))))</x:f>
      </x:c>
      <x:c r="J802" s="34" t="str"/>
      <x:c r="K802" s="34" t="str"/>
      <x:c r="L802" s="34" t="str"/>
      <x:c r="M802" s="34" t="str"/>
      <x:c r="N802" s="34" t="str"/>
      <x:c r="O802" s="34" t="str"/>
      <x:c r="P802" s="34" t="str"/>
      <x:c r="Q802" s="34" t="str"/>
      <x:c r="R802" s="34" t="str"/>
      <x:c r="S802" s="34" t="str"/>
      <x:c r="T802" s="34" t="str"/>
    </x:row>
    <x:row r="803">
      <x:c r="A803" s="34" t="str">
        <x:v>M5-EVAL-0798</x:v>
      </x:c>
      <x:c r="B803" s="34" t="str"/>
      <x:c r="C803" s="34" t="str"/>
      <x:c r="D803" s="34" t="str"/>
      <x:c r="E803" s="34" t="str"/>
      <x:c r="F803" s="34" t="str"/>
      <x:c r="G803" s="34" t="str"/>
      <x:c r="H803" s="34" t="str"/>
      <x:c r="I803" s="38" t="str">
        <x:f>IF(H803="","",IF(H803="完全吻合",1,IF(H803="基本吻合",0.75,IF(H803="部分吻合",0.5,IF(H803="明显不符",0,"")))))</x:f>
      </x:c>
      <x:c r="J803" s="34" t="str"/>
      <x:c r="K803" s="34" t="str"/>
      <x:c r="L803" s="34" t="str"/>
      <x:c r="M803" s="34" t="str"/>
      <x:c r="N803" s="34" t="str"/>
      <x:c r="O803" s="34" t="str"/>
      <x:c r="P803" s="34" t="str"/>
      <x:c r="Q803" s="34" t="str"/>
      <x:c r="R803" s="34" t="str"/>
      <x:c r="S803" s="34" t="str"/>
      <x:c r="T803" s="34" t="str"/>
    </x:row>
    <x:row r="804">
      <x:c r="A804" s="34" t="str">
        <x:v>M5-EVAL-0799</x:v>
      </x:c>
      <x:c r="B804" s="34" t="str"/>
      <x:c r="C804" s="34" t="str"/>
      <x:c r="D804" s="34" t="str"/>
      <x:c r="E804" s="34" t="str"/>
      <x:c r="F804" s="34" t="str"/>
      <x:c r="G804" s="34" t="str"/>
      <x:c r="H804" s="34" t="str"/>
      <x:c r="I804" s="38" t="str">
        <x:f>IF(H804="","",IF(H804="完全吻合",1,IF(H804="基本吻合",0.75,IF(H804="部分吻合",0.5,IF(H804="明显不符",0,"")))))</x:f>
      </x:c>
      <x:c r="J804" s="34" t="str"/>
      <x:c r="K804" s="34" t="str"/>
      <x:c r="L804" s="34" t="str"/>
      <x:c r="M804" s="34" t="str"/>
      <x:c r="N804" s="34" t="str"/>
      <x:c r="O804" s="34" t="str"/>
      <x:c r="P804" s="34" t="str"/>
      <x:c r="Q804" s="34" t="str"/>
      <x:c r="R804" s="34" t="str"/>
      <x:c r="S804" s="34" t="str"/>
      <x:c r="T804" s="34" t="str"/>
    </x:row>
    <x:row r="805">
      <x:c r="A805" s="34" t="str">
        <x:v>M5-EVAL-0800</x:v>
      </x:c>
      <x:c r="B805" s="34" t="str"/>
      <x:c r="C805" s="34" t="str"/>
      <x:c r="D805" s="34" t="str"/>
      <x:c r="E805" s="34" t="str"/>
      <x:c r="F805" s="34" t="str"/>
      <x:c r="G805" s="34" t="str"/>
      <x:c r="H805" s="34" t="str"/>
      <x:c r="I805" s="38" t="str">
        <x:f>IF(H805="","",IF(H805="完全吻合",1,IF(H805="基本吻合",0.75,IF(H805="部分吻合",0.5,IF(H805="明显不符",0,"")))))</x:f>
      </x:c>
      <x:c r="J805" s="34" t="str"/>
      <x:c r="K805" s="34" t="str"/>
      <x:c r="L805" s="34" t="str"/>
      <x:c r="M805" s="34" t="str"/>
      <x:c r="N805" s="34" t="str"/>
      <x:c r="O805" s="34" t="str"/>
      <x:c r="P805" s="34" t="str"/>
      <x:c r="Q805" s="34" t="str"/>
      <x:c r="R805" s="34" t="str"/>
      <x:c r="S805" s="34" t="str"/>
      <x:c r="T805" s="34" t="str"/>
    </x:row>
  </x:sheetData>
  <x:mergeCells>
    <x:mergeCell ref="A1:T2"/>
    <x:mergeCell ref="A3:T3"/>
  </x:mergeCells>
  <x:dataValidations count="6">
    <x:dataValidation type="list" sqref="D6:D805">
      <x:formula1>"BASE,PARTNER,EXCHANGE,BOUND,REPAIR,RHYTHM,GAP,SYNTH"</x:formula1>
    </x:dataValidation>
    <x:dataValidation type="list" sqref="E6:E805">
      <x:formula1>"report_status,safety_status,universal_floor,primary_fit_need,secondary_fit_need,need_priority,flexible_preferences,similarity_complement_mode,primary_partner_function,secondary_partner_function,partner_expression_state,partner_evidence_level,required_partner_behaviors,pseudo_fit_warning,primary_exchange_channel,exchange_mode,exchange_state,exchange_evidence_level,exchange_path,primary_boundary_channel,boundary_mode,boundary_state,boundary_evidence_level,decision_governance,consent_boundary,primary_repair_channel,repair_protocol,repair_state,repair_evidence_level,repair_completion_standard,primary_rhythm_channel,rhythm_mode,rhythm_state,rhythm_evidence_level,relationship_phase,primary_gap,secondary_gap,gap_type,gap_state,gap_evidence_level,bridge_plan,reality_gates,final_fit_state,fit_grade,confidence,observation_plan,provenance,report_sections"</x:formula1>
    </x:dataValidation>
    <x:dataValidation type="list" sqref="H6:H805">
      <x:formula1>"完全吻合,基本吻合,部分吻合,明显不符,不可评估"</x:formula1>
    </x:dataValidation>
    <x:dataValidation type="list" sqref="J6:K805">
      <x:formula1>"是,否,不适用"</x:formula1>
    </x:dataValidation>
    <x:dataValidation type="list" sqref="L6:L805">
      <x:formula1>"是,否"</x:formula1>
    </x:dataValidation>
    <x:dataValidation type="list" sqref="S6:S805">
      <x:formula1>"待复核,复核中,已裁决,不可评估"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680e92275646c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2" hidden="0" customWidth="1"/>
    <x:col min="5" max="5" width="16" hidden="0" customWidth="1"/>
    <x:col min="6" max="6" width="18" hidden="0" customWidth="1"/>
    <x:col min="7" max="7" width="28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20" hidden="0" customWidth="1"/>
    <x:col min="15" max="15" width="20" hidden="0" customWidth="1"/>
    <x:col min="16" max="16" width="16" hidden="0" customWidth="1"/>
    <x:col min="17" max="17" width="40" hidden="0" customWidth="1"/>
  </x:cols>
  <x:sheetData>
    <x:row r="1">
      <x:c r="A1" s="6" t="str">
        <x:v>rule_id级支持、反例与误判日志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16" t="str">
        <x:v>同一rule_id在同一event_id中只记一次。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</x:row>
    <x:row r="5">
      <x:c r="A5" s="26" t="str">
        <x:v>hit_id</x:v>
      </x:c>
      <x:c r="B5" s="26" t="str">
        <x:v>case_id</x:v>
      </x:c>
      <x:c r="C5" s="26" t="str">
        <x:v>snapshot_id</x:v>
      </x:c>
      <x:c r="D5" s="26" t="str">
        <x:v>rule_id</x:v>
      </x:c>
      <x:c r="E5" s="26" t="str">
        <x:v>模块</x:v>
      </x:c>
      <x:c r="F5" s="26" t="str">
        <x:v>function_family</x:v>
      </x:c>
      <x:c r="G5" s="26" t="str">
        <x:v>命中字段</x:v>
      </x:c>
      <x:c r="H5" s="26" t="str">
        <x:v>反馈前已命中</x:v>
      </x:c>
      <x:c r="I5" s="26" t="str">
        <x:v>现实证据等级</x:v>
      </x:c>
      <x:c r="J5" s="26" t="str">
        <x:v>支持类型</x:v>
      </x:c>
      <x:c r="K5" s="26" t="str">
        <x:v>严重度</x:v>
      </x:c>
      <x:c r="L5" s="26" t="str">
        <x:v>假阳性</x:v>
      </x:c>
      <x:c r="M5" s="26" t="str">
        <x:v>假阴性</x:v>
      </x:c>
      <x:c r="N5" s="26" t="str">
        <x:v>source_id</x:v>
      </x:c>
      <x:c r="O5" s="26" t="str">
        <x:v>event_id</x:v>
      </x:c>
      <x:c r="P5" s="26" t="str">
        <x:v>复核者</x:v>
      </x:c>
      <x:c r="Q5" s="26" t="str">
        <x:v>备注</x:v>
      </x:c>
    </x:row>
    <x:row r="6">
      <x:c r="A6" s="34" t="str">
        <x:v>M5-HIT-0001</x:v>
      </x:c>
      <x:c r="B6" s="34" t="str"/>
      <x:c r="C6" s="34" t="str"/>
      <x:c r="D6" s="34" t="str"/>
      <x:c r="E6" s="34" t="str"/>
      <x:c r="F6" s="34" t="str"/>
      <x:c r="G6" s="34" t="str"/>
      <x:c r="H6" s="34" t="str"/>
      <x:c r="I6" s="34" t="str"/>
      <x:c r="J6" s="34" t="str"/>
      <x:c r="K6" s="34" t="str"/>
      <x:c r="L6" s="34" t="str"/>
      <x:c r="M6" s="34" t="str"/>
      <x:c r="N6" s="34" t="str"/>
      <x:c r="O6" s="34" t="str"/>
      <x:c r="P6" s="34" t="str"/>
      <x:c r="Q6" s="34" t="str"/>
    </x:row>
    <x:row r="7">
      <x:c r="A7" s="34" t="str">
        <x:v>M5-HIT-0002</x:v>
      </x:c>
      <x:c r="B7" s="34" t="str"/>
      <x:c r="C7" s="34" t="str"/>
      <x:c r="D7" s="34" t="str"/>
      <x:c r="E7" s="34" t="str"/>
      <x:c r="F7" s="34" t="str"/>
      <x:c r="G7" s="34" t="str"/>
      <x:c r="H7" s="34" t="str"/>
      <x:c r="I7" s="34" t="str"/>
      <x:c r="J7" s="34" t="str"/>
      <x:c r="K7" s="34" t="str"/>
      <x:c r="L7" s="34" t="str"/>
      <x:c r="M7" s="34" t="str"/>
      <x:c r="N7" s="34" t="str"/>
      <x:c r="O7" s="34" t="str"/>
      <x:c r="P7" s="34" t="str"/>
      <x:c r="Q7" s="34" t="str"/>
    </x:row>
    <x:row r="8">
      <x:c r="A8" s="34" t="str">
        <x:v>M5-HIT-0003</x:v>
      </x:c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4" t="str"/>
      <x:c r="L8" s="34" t="str"/>
      <x:c r="M8" s="34" t="str"/>
      <x:c r="N8" s="34" t="str"/>
      <x:c r="O8" s="34" t="str"/>
      <x:c r="P8" s="34" t="str"/>
      <x:c r="Q8" s="34" t="str"/>
    </x:row>
    <x:row r="9">
      <x:c r="A9" s="34" t="str">
        <x:v>M5-HIT-0004</x:v>
      </x:c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4" t="str"/>
      <x:c r="L9" s="34" t="str"/>
      <x:c r="M9" s="34" t="str"/>
      <x:c r="N9" s="34" t="str"/>
      <x:c r="O9" s="34" t="str"/>
      <x:c r="P9" s="34" t="str"/>
      <x:c r="Q9" s="34" t="str"/>
    </x:row>
    <x:row r="10">
      <x:c r="A10" s="34" t="str">
        <x:v>M5-HIT-0005</x:v>
      </x:c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4" t="str"/>
      <x:c r="L10" s="34" t="str"/>
      <x:c r="M10" s="34" t="str"/>
      <x:c r="N10" s="34" t="str"/>
      <x:c r="O10" s="34" t="str"/>
      <x:c r="P10" s="34" t="str"/>
      <x:c r="Q10" s="34" t="str"/>
    </x:row>
    <x:row r="11">
      <x:c r="A11" s="34" t="str">
        <x:v>M5-HIT-0006</x:v>
      </x:c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/>
      <x:c r="N11" s="34" t="str"/>
      <x:c r="O11" s="34" t="str"/>
      <x:c r="P11" s="34" t="str"/>
      <x:c r="Q11" s="34" t="str"/>
    </x:row>
    <x:row r="12">
      <x:c r="A12" s="34" t="str">
        <x:v>M5-HIT-0007</x:v>
      </x:c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/>
      <x:c r="N12" s="34" t="str"/>
      <x:c r="O12" s="34" t="str"/>
      <x:c r="P12" s="34" t="str"/>
      <x:c r="Q12" s="34" t="str"/>
    </x:row>
    <x:row r="13">
      <x:c r="A13" s="34" t="str">
        <x:v>M5-HIT-0008</x:v>
      </x:c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4" t="str"/>
      <x:c r="L13" s="34" t="str"/>
      <x:c r="M13" s="34" t="str"/>
      <x:c r="N13" s="34" t="str"/>
      <x:c r="O13" s="34" t="str"/>
      <x:c r="P13" s="34" t="str"/>
      <x:c r="Q13" s="34" t="str"/>
    </x:row>
    <x:row r="14">
      <x:c r="A14" s="34" t="str">
        <x:v>M5-HIT-0009</x:v>
      </x:c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4" t="str"/>
      <x:c r="L14" s="34" t="str"/>
      <x:c r="M14" s="34" t="str"/>
      <x:c r="N14" s="34" t="str"/>
      <x:c r="O14" s="34" t="str"/>
      <x:c r="P14" s="34" t="str"/>
      <x:c r="Q14" s="34" t="str"/>
    </x:row>
    <x:row r="15">
      <x:c r="A15" s="34" t="str">
        <x:v>M5-HIT-0010</x:v>
      </x:c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4" t="str"/>
      <x:c r="L15" s="34" t="str"/>
      <x:c r="M15" s="34" t="str"/>
      <x:c r="N15" s="34" t="str"/>
      <x:c r="O15" s="34" t="str"/>
      <x:c r="P15" s="34" t="str"/>
      <x:c r="Q15" s="34" t="str"/>
    </x:row>
    <x:row r="16">
      <x:c r="A16" s="34" t="str">
        <x:v>M5-HIT-0011</x:v>
      </x:c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4" t="str"/>
      <x:c r="L16" s="34" t="str"/>
      <x:c r="M16" s="34" t="str"/>
      <x:c r="N16" s="34" t="str"/>
      <x:c r="O16" s="34" t="str"/>
      <x:c r="P16" s="34" t="str"/>
      <x:c r="Q16" s="34" t="str"/>
    </x:row>
    <x:row r="17">
      <x:c r="A17" s="34" t="str">
        <x:v>M5-HIT-0012</x:v>
      </x:c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4" t="str"/>
      <x:c r="L17" s="34" t="str"/>
      <x:c r="M17" s="34" t="str"/>
      <x:c r="N17" s="34" t="str"/>
      <x:c r="O17" s="34" t="str"/>
      <x:c r="P17" s="34" t="str"/>
      <x:c r="Q17" s="34" t="str"/>
    </x:row>
    <x:row r="18">
      <x:c r="A18" s="34" t="str">
        <x:v>M5-HIT-0013</x:v>
      </x:c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4" t="str"/>
      <x:c r="L18" s="34" t="str"/>
      <x:c r="M18" s="34" t="str"/>
      <x:c r="N18" s="34" t="str"/>
      <x:c r="O18" s="34" t="str"/>
      <x:c r="P18" s="34" t="str"/>
      <x:c r="Q18" s="34" t="str"/>
    </x:row>
    <x:row r="19">
      <x:c r="A19" s="34" t="str">
        <x:v>M5-HIT-0014</x:v>
      </x:c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4" t="str"/>
      <x:c r="L19" s="34" t="str"/>
      <x:c r="M19" s="34" t="str"/>
      <x:c r="N19" s="34" t="str"/>
      <x:c r="O19" s="34" t="str"/>
      <x:c r="P19" s="34" t="str"/>
      <x:c r="Q19" s="34" t="str"/>
    </x:row>
    <x:row r="20">
      <x:c r="A20" s="34" t="str">
        <x:v>M5-HIT-0015</x:v>
      </x:c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4" t="str"/>
      <x:c r="L20" s="34" t="str"/>
      <x:c r="M20" s="34" t="str"/>
      <x:c r="N20" s="34" t="str"/>
      <x:c r="O20" s="34" t="str"/>
      <x:c r="P20" s="34" t="str"/>
      <x:c r="Q20" s="34" t="str"/>
    </x:row>
    <x:row r="21">
      <x:c r="A21" s="34" t="str">
        <x:v>M5-HIT-0016</x:v>
      </x:c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4" t="str"/>
      <x:c r="L21" s="34" t="str"/>
      <x:c r="M21" s="34" t="str"/>
      <x:c r="N21" s="34" t="str"/>
      <x:c r="O21" s="34" t="str"/>
      <x:c r="P21" s="34" t="str"/>
      <x:c r="Q21" s="34" t="str"/>
    </x:row>
    <x:row r="22">
      <x:c r="A22" s="34" t="str">
        <x:v>M5-HIT-0017</x:v>
      </x:c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4" t="str"/>
      <x:c r="L22" s="34" t="str"/>
      <x:c r="M22" s="34" t="str"/>
      <x:c r="N22" s="34" t="str"/>
      <x:c r="O22" s="34" t="str"/>
      <x:c r="P22" s="34" t="str"/>
      <x:c r="Q22" s="34" t="str"/>
    </x:row>
    <x:row r="23">
      <x:c r="A23" s="34" t="str">
        <x:v>M5-HIT-0018</x:v>
      </x:c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/>
      <x:c r="N23" s="34" t="str"/>
      <x:c r="O23" s="34" t="str"/>
      <x:c r="P23" s="34" t="str"/>
      <x:c r="Q23" s="34" t="str"/>
    </x:row>
    <x:row r="24">
      <x:c r="A24" s="34" t="str">
        <x:v>M5-HIT-0019</x:v>
      </x:c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4" t="str"/>
      <x:c r="L24" s="34" t="str"/>
      <x:c r="M24" s="34" t="str"/>
      <x:c r="N24" s="34" t="str"/>
      <x:c r="O24" s="34" t="str"/>
      <x:c r="P24" s="34" t="str"/>
      <x:c r="Q24" s="34" t="str"/>
    </x:row>
    <x:row r="25">
      <x:c r="A25" s="34" t="str">
        <x:v>M5-HIT-0020</x:v>
      </x:c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4" t="str"/>
      <x:c r="L25" s="34" t="str"/>
      <x:c r="M25" s="34" t="str"/>
      <x:c r="N25" s="34" t="str"/>
      <x:c r="O25" s="34" t="str"/>
      <x:c r="P25" s="34" t="str"/>
      <x:c r="Q25" s="34" t="str"/>
    </x:row>
    <x:row r="26">
      <x:c r="A26" s="34" t="str">
        <x:v>M5-HIT-0021</x:v>
      </x:c>
      <x:c r="B26" s="34" t="str"/>
      <x:c r="C26" s="34" t="str"/>
      <x:c r="D26" s="34" t="str"/>
      <x:c r="E26" s="34" t="str"/>
      <x:c r="F26" s="34" t="str"/>
      <x:c r="G26" s="34" t="str"/>
      <x:c r="H26" s="34" t="str"/>
      <x:c r="I26" s="34" t="str"/>
      <x:c r="J26" s="34" t="str"/>
      <x:c r="K26" s="34" t="str"/>
      <x:c r="L26" s="34" t="str"/>
      <x:c r="M26" s="34" t="str"/>
      <x:c r="N26" s="34" t="str"/>
      <x:c r="O26" s="34" t="str"/>
      <x:c r="P26" s="34" t="str"/>
      <x:c r="Q26" s="34" t="str"/>
    </x:row>
    <x:row r="27">
      <x:c r="A27" s="34" t="str">
        <x:v>M5-HIT-0022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34" t="str"/>
      <x:c r="J27" s="34" t="str"/>
      <x:c r="K27" s="34" t="str"/>
      <x:c r="L27" s="34" t="str"/>
      <x:c r="M27" s="34" t="str"/>
      <x:c r="N27" s="34" t="str"/>
      <x:c r="O27" s="34" t="str"/>
      <x:c r="P27" s="34" t="str"/>
      <x:c r="Q27" s="34" t="str"/>
    </x:row>
    <x:row r="28">
      <x:c r="A28" s="34" t="str">
        <x:v>M5-HIT-0023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34" t="str"/>
      <x:c r="J28" s="34" t="str"/>
      <x:c r="K28" s="34" t="str"/>
      <x:c r="L28" s="34" t="str"/>
      <x:c r="M28" s="34" t="str"/>
      <x:c r="N28" s="34" t="str"/>
      <x:c r="O28" s="34" t="str"/>
      <x:c r="P28" s="34" t="str"/>
      <x:c r="Q28" s="34" t="str"/>
    </x:row>
    <x:row r="29">
      <x:c r="A29" s="34" t="str">
        <x:v>M5-HIT-0024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/>
      <x:c r="N29" s="34" t="str"/>
      <x:c r="O29" s="34" t="str"/>
      <x:c r="P29" s="34" t="str"/>
      <x:c r="Q29" s="34" t="str"/>
    </x:row>
    <x:row r="30">
      <x:c r="A30" s="34" t="str">
        <x:v>M5-HIT-0025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/>
      <x:c r="N30" s="34" t="str"/>
      <x:c r="O30" s="34" t="str"/>
      <x:c r="P30" s="34" t="str"/>
      <x:c r="Q30" s="34" t="str"/>
    </x:row>
    <x:row r="31">
      <x:c r="A31" s="34" t="str">
        <x:v>M5-HIT-0026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4" t="str"/>
      <x:c r="J31" s="34" t="str"/>
      <x:c r="K31" s="34" t="str"/>
      <x:c r="L31" s="34" t="str"/>
      <x:c r="M31" s="34" t="str"/>
      <x:c r="N31" s="34" t="str"/>
      <x:c r="O31" s="34" t="str"/>
      <x:c r="P31" s="34" t="str"/>
      <x:c r="Q31" s="34" t="str"/>
    </x:row>
    <x:row r="32">
      <x:c r="A32" s="34" t="str">
        <x:v>M5-HIT-0027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/>
      <x:c r="N32" s="34" t="str"/>
      <x:c r="O32" s="34" t="str"/>
      <x:c r="P32" s="34" t="str"/>
      <x:c r="Q32" s="34" t="str"/>
    </x:row>
    <x:row r="33">
      <x:c r="A33" s="34" t="str">
        <x:v>M5-HIT-0028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/>
      <x:c r="N33" s="34" t="str"/>
      <x:c r="O33" s="34" t="str"/>
      <x:c r="P33" s="34" t="str"/>
      <x:c r="Q33" s="34" t="str"/>
    </x:row>
    <x:row r="34">
      <x:c r="A34" s="34" t="str">
        <x:v>M5-HIT-0029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/>
      <x:c r="N34" s="34" t="str"/>
      <x:c r="O34" s="34" t="str"/>
      <x:c r="P34" s="34" t="str"/>
      <x:c r="Q34" s="34" t="str"/>
    </x:row>
    <x:row r="35">
      <x:c r="A35" s="34" t="str">
        <x:v>M5-HIT-0030</x:v>
      </x:c>
      <x:c r="B35" s="34" t="str"/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/>
      <x:c r="N35" s="34" t="str"/>
      <x:c r="O35" s="34" t="str"/>
      <x:c r="P35" s="34" t="str"/>
      <x:c r="Q35" s="34" t="str"/>
    </x:row>
    <x:row r="36">
      <x:c r="A36" s="34" t="str">
        <x:v>M5-HIT-0031</x:v>
      </x:c>
      <x:c r="B36" s="34" t="str"/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/>
      <x:c r="N36" s="34" t="str"/>
      <x:c r="O36" s="34" t="str"/>
      <x:c r="P36" s="34" t="str"/>
      <x:c r="Q36" s="34" t="str"/>
    </x:row>
    <x:row r="37">
      <x:c r="A37" s="34" t="str">
        <x:v>M5-HIT-0032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/>
      <x:c r="N37" s="34" t="str"/>
      <x:c r="O37" s="34" t="str"/>
      <x:c r="P37" s="34" t="str"/>
      <x:c r="Q37" s="34" t="str"/>
    </x:row>
    <x:row r="38">
      <x:c r="A38" s="34" t="str">
        <x:v>M5-HIT-0033</x:v>
      </x:c>
      <x:c r="B38" s="34" t="str"/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/>
      <x:c r="N38" s="34" t="str"/>
      <x:c r="O38" s="34" t="str"/>
      <x:c r="P38" s="34" t="str"/>
      <x:c r="Q38" s="34" t="str"/>
    </x:row>
    <x:row r="39">
      <x:c r="A39" s="34" t="str">
        <x:v>M5-HIT-0034</x:v>
      </x:c>
      <x:c r="B39" s="34" t="str"/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/>
      <x:c r="N39" s="34" t="str"/>
      <x:c r="O39" s="34" t="str"/>
      <x:c r="P39" s="34" t="str"/>
      <x:c r="Q39" s="34" t="str"/>
    </x:row>
    <x:row r="40">
      <x:c r="A40" s="34" t="str">
        <x:v>M5-HIT-0035</x:v>
      </x:c>
      <x:c r="B40" s="34" t="str"/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/>
      <x:c r="N40" s="34" t="str"/>
      <x:c r="O40" s="34" t="str"/>
      <x:c r="P40" s="34" t="str"/>
      <x:c r="Q40" s="34" t="str"/>
    </x:row>
    <x:row r="41">
      <x:c r="A41" s="34" t="str">
        <x:v>M5-HIT-0036</x:v>
      </x:c>
      <x:c r="B41" s="34" t="str"/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/>
      <x:c r="N41" s="34" t="str"/>
      <x:c r="O41" s="34" t="str"/>
      <x:c r="P41" s="34" t="str"/>
      <x:c r="Q41" s="34" t="str"/>
    </x:row>
    <x:row r="42">
      <x:c r="A42" s="34" t="str">
        <x:v>M5-HIT-0037</x:v>
      </x:c>
      <x:c r="B42" s="34" t="str"/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/>
      <x:c r="N42" s="34" t="str"/>
      <x:c r="O42" s="34" t="str"/>
      <x:c r="P42" s="34" t="str"/>
      <x:c r="Q42" s="34" t="str"/>
    </x:row>
    <x:row r="43">
      <x:c r="A43" s="34" t="str">
        <x:v>M5-HIT-0038</x:v>
      </x:c>
      <x:c r="B43" s="34" t="str"/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/>
      <x:c r="N43" s="34" t="str"/>
      <x:c r="O43" s="34" t="str"/>
      <x:c r="P43" s="34" t="str"/>
      <x:c r="Q43" s="34" t="str"/>
    </x:row>
    <x:row r="44">
      <x:c r="A44" s="34" t="str">
        <x:v>M5-HIT-0039</x:v>
      </x:c>
      <x:c r="B44" s="34" t="str"/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/>
      <x:c r="N44" s="34" t="str"/>
      <x:c r="O44" s="34" t="str"/>
      <x:c r="P44" s="34" t="str"/>
      <x:c r="Q44" s="34" t="str"/>
    </x:row>
    <x:row r="45">
      <x:c r="A45" s="34" t="str">
        <x:v>M5-HIT-0040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/>
      <x:c r="N45" s="34" t="str"/>
      <x:c r="O45" s="34" t="str"/>
      <x:c r="P45" s="34" t="str"/>
      <x:c r="Q45" s="34" t="str"/>
    </x:row>
    <x:row r="46">
      <x:c r="A46" s="34" t="str">
        <x:v>M5-HIT-0041</x:v>
      </x:c>
      <x:c r="B46" s="34" t="str"/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/>
      <x:c r="N46" s="34" t="str"/>
      <x:c r="O46" s="34" t="str"/>
      <x:c r="P46" s="34" t="str"/>
      <x:c r="Q46" s="34" t="str"/>
    </x:row>
    <x:row r="47">
      <x:c r="A47" s="34" t="str">
        <x:v>M5-HIT-0042</x:v>
      </x:c>
      <x:c r="B47" s="34" t="str"/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/>
      <x:c r="N47" s="34" t="str"/>
      <x:c r="O47" s="34" t="str"/>
      <x:c r="P47" s="34" t="str"/>
      <x:c r="Q47" s="34" t="str"/>
    </x:row>
    <x:row r="48">
      <x:c r="A48" s="34" t="str">
        <x:v>M5-HIT-0043</x:v>
      </x:c>
      <x:c r="B48" s="34" t="str"/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/>
      <x:c r="N48" s="34" t="str"/>
      <x:c r="O48" s="34" t="str"/>
      <x:c r="P48" s="34" t="str"/>
      <x:c r="Q48" s="34" t="str"/>
    </x:row>
    <x:row r="49">
      <x:c r="A49" s="34" t="str">
        <x:v>M5-HIT-0044</x:v>
      </x:c>
      <x:c r="B49" s="34" t="str"/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/>
      <x:c r="N49" s="34" t="str"/>
      <x:c r="O49" s="34" t="str"/>
      <x:c r="P49" s="34" t="str"/>
      <x:c r="Q49" s="34" t="str"/>
    </x:row>
    <x:row r="50">
      <x:c r="A50" s="34" t="str">
        <x:v>M5-HIT-0045</x:v>
      </x:c>
      <x:c r="B50" s="34" t="str"/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/>
      <x:c r="N50" s="34" t="str"/>
      <x:c r="O50" s="34" t="str"/>
      <x:c r="P50" s="34" t="str"/>
      <x:c r="Q50" s="34" t="str"/>
    </x:row>
    <x:row r="51">
      <x:c r="A51" s="34" t="str">
        <x:v>M5-HIT-0046</x:v>
      </x:c>
      <x:c r="B51" s="34" t="str"/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/>
      <x:c r="N51" s="34" t="str"/>
      <x:c r="O51" s="34" t="str"/>
      <x:c r="P51" s="34" t="str"/>
      <x:c r="Q51" s="34" t="str"/>
    </x:row>
    <x:row r="52">
      <x:c r="A52" s="34" t="str">
        <x:v>M5-HIT-0047</x:v>
      </x:c>
      <x:c r="B52" s="34" t="str"/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/>
      <x:c r="N52" s="34" t="str"/>
      <x:c r="O52" s="34" t="str"/>
      <x:c r="P52" s="34" t="str"/>
      <x:c r="Q52" s="34" t="str"/>
    </x:row>
    <x:row r="53">
      <x:c r="A53" s="34" t="str">
        <x:v>M5-HIT-0048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/>
      <x:c r="N53" s="34" t="str"/>
      <x:c r="O53" s="34" t="str"/>
      <x:c r="P53" s="34" t="str"/>
      <x:c r="Q53" s="34" t="str"/>
    </x:row>
    <x:row r="54">
      <x:c r="A54" s="34" t="str">
        <x:v>M5-HIT-0049</x:v>
      </x:c>
      <x:c r="B54" s="34" t="str"/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/>
      <x:c r="N54" s="34" t="str"/>
      <x:c r="O54" s="34" t="str"/>
      <x:c r="P54" s="34" t="str"/>
      <x:c r="Q54" s="34" t="str"/>
    </x:row>
    <x:row r="55">
      <x:c r="A55" s="34" t="str">
        <x:v>M5-HIT-0050</x:v>
      </x:c>
      <x:c r="B55" s="34" t="str"/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/>
      <x:c r="N55" s="34" t="str"/>
      <x:c r="O55" s="34" t="str"/>
      <x:c r="P55" s="34" t="str"/>
      <x:c r="Q55" s="34" t="str"/>
    </x:row>
    <x:row r="56">
      <x:c r="A56" s="34" t="str">
        <x:v>M5-HIT-0051</x:v>
      </x:c>
      <x:c r="B56" s="34" t="str"/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/>
      <x:c r="N56" s="34" t="str"/>
      <x:c r="O56" s="34" t="str"/>
      <x:c r="P56" s="34" t="str"/>
      <x:c r="Q56" s="34" t="str"/>
    </x:row>
    <x:row r="57">
      <x:c r="A57" s="34" t="str">
        <x:v>M5-HIT-0052</x:v>
      </x:c>
      <x:c r="B57" s="34" t="str"/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/>
      <x:c r="K57" s="34" t="str"/>
      <x:c r="L57" s="34" t="str"/>
      <x:c r="M57" s="34" t="str"/>
      <x:c r="N57" s="34" t="str"/>
      <x:c r="O57" s="34" t="str"/>
      <x:c r="P57" s="34" t="str"/>
      <x:c r="Q57" s="34" t="str"/>
    </x:row>
    <x:row r="58">
      <x:c r="A58" s="34" t="str">
        <x:v>M5-HIT-0053</x:v>
      </x:c>
      <x:c r="B58" s="34" t="str"/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/>
      <x:c r="N58" s="34" t="str"/>
      <x:c r="O58" s="34" t="str"/>
      <x:c r="P58" s="34" t="str"/>
      <x:c r="Q58" s="34" t="str"/>
    </x:row>
    <x:row r="59">
      <x:c r="A59" s="34" t="str">
        <x:v>M5-HIT-0054</x:v>
      </x:c>
      <x:c r="B59" s="34" t="str"/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/>
      <x:c r="N59" s="34" t="str"/>
      <x:c r="O59" s="34" t="str"/>
      <x:c r="P59" s="34" t="str"/>
      <x:c r="Q59" s="34" t="str"/>
    </x:row>
    <x:row r="60">
      <x:c r="A60" s="34" t="str">
        <x:v>M5-HIT-0055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/>
      <x:c r="N60" s="34" t="str"/>
      <x:c r="O60" s="34" t="str"/>
      <x:c r="P60" s="34" t="str"/>
      <x:c r="Q60" s="34" t="str"/>
    </x:row>
    <x:row r="61">
      <x:c r="A61" s="34" t="str">
        <x:v>M5-HIT-0056</x:v>
      </x:c>
      <x:c r="B61" s="34" t="str"/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/>
      <x:c r="N61" s="34" t="str"/>
      <x:c r="O61" s="34" t="str"/>
      <x:c r="P61" s="34" t="str"/>
      <x:c r="Q61" s="34" t="str"/>
    </x:row>
    <x:row r="62">
      <x:c r="A62" s="34" t="str">
        <x:v>M5-HIT-0057</x:v>
      </x:c>
      <x:c r="B62" s="34" t="str"/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/>
      <x:c r="N62" s="34" t="str"/>
      <x:c r="O62" s="34" t="str"/>
      <x:c r="P62" s="34" t="str"/>
      <x:c r="Q62" s="34" t="str"/>
    </x:row>
    <x:row r="63">
      <x:c r="A63" s="34" t="str">
        <x:v>M5-HIT-0058</x:v>
      </x:c>
      <x:c r="B63" s="34" t="str"/>
      <x:c r="C63" s="34" t="str"/>
      <x:c r="D63" s="34" t="str"/>
      <x:c r="E63" s="34" t="str"/>
      <x:c r="F63" s="34" t="str"/>
      <x:c r="G63" s="34" t="str"/>
      <x:c r="H63" s="34" t="str"/>
      <x:c r="I63" s="34" t="str"/>
      <x:c r="J63" s="34" t="str"/>
      <x:c r="K63" s="34" t="str"/>
      <x:c r="L63" s="34" t="str"/>
      <x:c r="M63" s="34" t="str"/>
      <x:c r="N63" s="34" t="str"/>
      <x:c r="O63" s="34" t="str"/>
      <x:c r="P63" s="34" t="str"/>
      <x:c r="Q63" s="34" t="str"/>
    </x:row>
    <x:row r="64">
      <x:c r="A64" s="34" t="str">
        <x:v>M5-HIT-0059</x:v>
      </x:c>
      <x:c r="B64" s="34" t="str"/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/>
      <x:c r="N64" s="34" t="str"/>
      <x:c r="O64" s="34" t="str"/>
      <x:c r="P64" s="34" t="str"/>
      <x:c r="Q64" s="34" t="str"/>
    </x:row>
    <x:row r="65">
      <x:c r="A65" s="34" t="str">
        <x:v>M5-HIT-0060</x:v>
      </x:c>
      <x:c r="B65" s="34" t="str"/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/>
      <x:c r="N65" s="34" t="str"/>
      <x:c r="O65" s="34" t="str"/>
      <x:c r="P65" s="34" t="str"/>
      <x:c r="Q65" s="34" t="str"/>
    </x:row>
    <x:row r="66">
      <x:c r="A66" s="34" t="str">
        <x:v>M5-HIT-0061</x:v>
      </x:c>
      <x:c r="B66" s="34" t="str"/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/>
      <x:c r="N66" s="34" t="str"/>
      <x:c r="O66" s="34" t="str"/>
      <x:c r="P66" s="34" t="str"/>
      <x:c r="Q66" s="34" t="str"/>
    </x:row>
    <x:row r="67">
      <x:c r="A67" s="34" t="str">
        <x:v>M5-HIT-0062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/>
      <x:c r="N67" s="34" t="str"/>
      <x:c r="O67" s="34" t="str"/>
      <x:c r="P67" s="34" t="str"/>
      <x:c r="Q67" s="34" t="str"/>
    </x:row>
    <x:row r="68">
      <x:c r="A68" s="34" t="str">
        <x:v>M5-HIT-0063</x:v>
      </x:c>
      <x:c r="B68" s="34" t="str"/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/>
      <x:c r="N68" s="34" t="str"/>
      <x:c r="O68" s="34" t="str"/>
      <x:c r="P68" s="34" t="str"/>
      <x:c r="Q68" s="34" t="str"/>
    </x:row>
    <x:row r="69">
      <x:c r="A69" s="34" t="str">
        <x:v>M5-HIT-0064</x:v>
      </x:c>
      <x:c r="B69" s="34" t="str"/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/>
      <x:c r="N69" s="34" t="str"/>
      <x:c r="O69" s="34" t="str"/>
      <x:c r="P69" s="34" t="str"/>
      <x:c r="Q69" s="34" t="str"/>
    </x:row>
    <x:row r="70">
      <x:c r="A70" s="34" t="str">
        <x:v>M5-HIT-0065</x:v>
      </x:c>
      <x:c r="B70" s="34" t="str"/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/>
      <x:c r="N70" s="34" t="str"/>
      <x:c r="O70" s="34" t="str"/>
      <x:c r="P70" s="34" t="str"/>
      <x:c r="Q70" s="34" t="str"/>
    </x:row>
    <x:row r="71">
      <x:c r="A71" s="34" t="str">
        <x:v>M5-HIT-0066</x:v>
      </x:c>
      <x:c r="B71" s="34" t="str"/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/>
      <x:c r="N71" s="34" t="str"/>
      <x:c r="O71" s="34" t="str"/>
      <x:c r="P71" s="34" t="str"/>
      <x:c r="Q71" s="34" t="str"/>
    </x:row>
    <x:row r="72">
      <x:c r="A72" s="34" t="str">
        <x:v>M5-HIT-0067</x:v>
      </x:c>
      <x:c r="B72" s="34" t="str"/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/>
      <x:c r="N72" s="34" t="str"/>
      <x:c r="O72" s="34" t="str"/>
      <x:c r="P72" s="34" t="str"/>
      <x:c r="Q72" s="34" t="str"/>
    </x:row>
    <x:row r="73">
      <x:c r="A73" s="34" t="str">
        <x:v>M5-HIT-0068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/>
      <x:c r="N73" s="34" t="str"/>
      <x:c r="O73" s="34" t="str"/>
      <x:c r="P73" s="34" t="str"/>
      <x:c r="Q73" s="34" t="str"/>
    </x:row>
    <x:row r="74">
      <x:c r="A74" s="34" t="str">
        <x:v>M5-HIT-0069</x:v>
      </x:c>
      <x:c r="B74" s="34" t="str"/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/>
      <x:c r="N74" s="34" t="str"/>
      <x:c r="O74" s="34" t="str"/>
      <x:c r="P74" s="34" t="str"/>
      <x:c r="Q74" s="34" t="str"/>
    </x:row>
    <x:row r="75">
      <x:c r="A75" s="34" t="str">
        <x:v>M5-HIT-0070</x:v>
      </x:c>
      <x:c r="B75" s="34" t="str"/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/>
      <x:c r="N75" s="34" t="str"/>
      <x:c r="O75" s="34" t="str"/>
      <x:c r="P75" s="34" t="str"/>
      <x:c r="Q75" s="34" t="str"/>
    </x:row>
    <x:row r="76">
      <x:c r="A76" s="34" t="str">
        <x:v>M5-HIT-0071</x:v>
      </x:c>
      <x:c r="B76" s="34" t="str"/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/>
      <x:c r="N76" s="34" t="str"/>
      <x:c r="O76" s="34" t="str"/>
      <x:c r="P76" s="34" t="str"/>
      <x:c r="Q76" s="34" t="str"/>
    </x:row>
    <x:row r="77">
      <x:c r="A77" s="34" t="str">
        <x:v>M5-HIT-0072</x:v>
      </x:c>
      <x:c r="B77" s="34" t="str"/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/>
      <x:c r="N77" s="34" t="str"/>
      <x:c r="O77" s="34" t="str"/>
      <x:c r="P77" s="34" t="str"/>
      <x:c r="Q77" s="34" t="str"/>
    </x:row>
    <x:row r="78">
      <x:c r="A78" s="34" t="str">
        <x:v>M5-HIT-0073</x:v>
      </x:c>
      <x:c r="B78" s="34" t="str"/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/>
      <x:c r="N78" s="34" t="str"/>
      <x:c r="O78" s="34" t="str"/>
      <x:c r="P78" s="34" t="str"/>
      <x:c r="Q78" s="34" t="str"/>
    </x:row>
    <x:row r="79">
      <x:c r="A79" s="34" t="str">
        <x:v>M5-HIT-0074</x:v>
      </x:c>
      <x:c r="B79" s="34" t="str"/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/>
      <x:c r="N79" s="34" t="str"/>
      <x:c r="O79" s="34" t="str"/>
      <x:c r="P79" s="34" t="str"/>
      <x:c r="Q79" s="34" t="str"/>
    </x:row>
    <x:row r="80">
      <x:c r="A80" s="34" t="str">
        <x:v>M5-HIT-0075</x:v>
      </x:c>
      <x:c r="B80" s="34" t="str"/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/>
      <x:c r="N80" s="34" t="str"/>
      <x:c r="O80" s="34" t="str"/>
      <x:c r="P80" s="34" t="str"/>
      <x:c r="Q80" s="34" t="str"/>
    </x:row>
    <x:row r="81">
      <x:c r="A81" s="34" t="str">
        <x:v>M5-HIT-0076</x:v>
      </x:c>
      <x:c r="B81" s="34" t="str"/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/>
      <x:c r="N81" s="34" t="str"/>
      <x:c r="O81" s="34" t="str"/>
      <x:c r="P81" s="34" t="str"/>
      <x:c r="Q81" s="34" t="str"/>
    </x:row>
    <x:row r="82">
      <x:c r="A82" s="34" t="str">
        <x:v>M5-HIT-0077</x:v>
      </x:c>
      <x:c r="B82" s="34" t="str"/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/>
      <x:c r="K82" s="34" t="str"/>
      <x:c r="L82" s="34" t="str"/>
      <x:c r="M82" s="34" t="str"/>
      <x:c r="N82" s="34" t="str"/>
      <x:c r="O82" s="34" t="str"/>
      <x:c r="P82" s="34" t="str"/>
      <x:c r="Q82" s="34" t="str"/>
    </x:row>
    <x:row r="83">
      <x:c r="A83" s="34" t="str">
        <x:v>M5-HIT-0078</x:v>
      </x:c>
      <x:c r="B83" s="34" t="str"/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/>
      <x:c r="L83" s="34" t="str"/>
      <x:c r="M83" s="34" t="str"/>
      <x:c r="N83" s="34" t="str"/>
      <x:c r="O83" s="34" t="str"/>
      <x:c r="P83" s="34" t="str"/>
      <x:c r="Q83" s="34" t="str"/>
    </x:row>
    <x:row r="84">
      <x:c r="A84" s="34" t="str">
        <x:v>M5-HIT-0079</x:v>
      </x:c>
      <x:c r="B84" s="34" t="str"/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/>
      <x:c r="K84" s="34" t="str"/>
      <x:c r="L84" s="34" t="str"/>
      <x:c r="M84" s="34" t="str"/>
      <x:c r="N84" s="34" t="str"/>
      <x:c r="O84" s="34" t="str"/>
      <x:c r="P84" s="34" t="str"/>
      <x:c r="Q84" s="34" t="str"/>
    </x:row>
    <x:row r="85">
      <x:c r="A85" s="34" t="str">
        <x:v>M5-HIT-0080</x:v>
      </x:c>
      <x:c r="B85" s="34" t="str"/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/>
      <x:c r="K85" s="34" t="str"/>
      <x:c r="L85" s="34" t="str"/>
      <x:c r="M85" s="34" t="str"/>
      <x:c r="N85" s="34" t="str"/>
      <x:c r="O85" s="34" t="str"/>
      <x:c r="P85" s="34" t="str"/>
      <x:c r="Q85" s="34" t="str"/>
    </x:row>
    <x:row r="86">
      <x:c r="A86" s="34" t="str">
        <x:v>M5-HIT-0081</x:v>
      </x:c>
      <x:c r="B86" s="34" t="str"/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  <x:c r="M86" s="34" t="str"/>
      <x:c r="N86" s="34" t="str"/>
      <x:c r="O86" s="34" t="str"/>
      <x:c r="P86" s="34" t="str"/>
      <x:c r="Q86" s="34" t="str"/>
    </x:row>
    <x:row r="87">
      <x:c r="A87" s="34" t="str">
        <x:v>M5-HIT-0082</x:v>
      </x:c>
      <x:c r="B87" s="34" t="str"/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/>
      <x:c r="K87" s="34" t="str"/>
      <x:c r="L87" s="34" t="str"/>
      <x:c r="M87" s="34" t="str"/>
      <x:c r="N87" s="34" t="str"/>
      <x:c r="O87" s="34" t="str"/>
      <x:c r="P87" s="34" t="str"/>
      <x:c r="Q87" s="34" t="str"/>
    </x:row>
    <x:row r="88">
      <x:c r="A88" s="34" t="str">
        <x:v>M5-HIT-0083</x:v>
      </x:c>
      <x:c r="B88" s="34" t="str"/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  <x:c r="M88" s="34" t="str"/>
      <x:c r="N88" s="34" t="str"/>
      <x:c r="O88" s="34" t="str"/>
      <x:c r="P88" s="34" t="str"/>
      <x:c r="Q88" s="34" t="str"/>
    </x:row>
    <x:row r="89">
      <x:c r="A89" s="34" t="str">
        <x:v>M5-HIT-0084</x:v>
      </x:c>
      <x:c r="B89" s="34" t="str"/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/>
      <x:c r="K89" s="34" t="str"/>
      <x:c r="L89" s="34" t="str"/>
      <x:c r="M89" s="34" t="str"/>
      <x:c r="N89" s="34" t="str"/>
      <x:c r="O89" s="34" t="str"/>
      <x:c r="P89" s="34" t="str"/>
      <x:c r="Q89" s="34" t="str"/>
    </x:row>
    <x:row r="90">
      <x:c r="A90" s="34" t="str">
        <x:v>M5-HIT-0085</x:v>
      </x:c>
      <x:c r="B90" s="34" t="str"/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/>
      <x:c r="K90" s="34" t="str"/>
      <x:c r="L90" s="34" t="str"/>
      <x:c r="M90" s="34" t="str"/>
      <x:c r="N90" s="34" t="str"/>
      <x:c r="O90" s="34" t="str"/>
      <x:c r="P90" s="34" t="str"/>
      <x:c r="Q90" s="34" t="str"/>
    </x:row>
    <x:row r="91">
      <x:c r="A91" s="34" t="str">
        <x:v>M5-HIT-0086</x:v>
      </x:c>
      <x:c r="B91" s="34" t="str"/>
      <x:c r="C91" s="34" t="str"/>
      <x:c r="D91" s="34" t="str"/>
      <x:c r="E91" s="34" t="str"/>
      <x:c r="F91" s="34" t="str"/>
      <x:c r="G91" s="34" t="str"/>
      <x:c r="H91" s="34" t="str"/>
      <x:c r="I91" s="34" t="str"/>
      <x:c r="J91" s="34" t="str"/>
      <x:c r="K91" s="34" t="str"/>
      <x:c r="L91" s="34" t="str"/>
      <x:c r="M91" s="34" t="str"/>
      <x:c r="N91" s="34" t="str"/>
      <x:c r="O91" s="34" t="str"/>
      <x:c r="P91" s="34" t="str"/>
      <x:c r="Q91" s="34" t="str"/>
    </x:row>
    <x:row r="92">
      <x:c r="A92" s="34" t="str">
        <x:v>M5-HIT-0087</x:v>
      </x:c>
      <x:c r="B92" s="34" t="str"/>
      <x:c r="C92" s="34" t="str"/>
      <x:c r="D92" s="34" t="str"/>
      <x:c r="E92" s="34" t="str"/>
      <x:c r="F92" s="34" t="str"/>
      <x:c r="G92" s="34" t="str"/>
      <x:c r="H92" s="34" t="str"/>
      <x:c r="I92" s="34" t="str"/>
      <x:c r="J92" s="34" t="str"/>
      <x:c r="K92" s="34" t="str"/>
      <x:c r="L92" s="34" t="str"/>
      <x:c r="M92" s="34" t="str"/>
      <x:c r="N92" s="34" t="str"/>
      <x:c r="O92" s="34" t="str"/>
      <x:c r="P92" s="34" t="str"/>
      <x:c r="Q92" s="34" t="str"/>
    </x:row>
    <x:row r="93">
      <x:c r="A93" s="34" t="str">
        <x:v>M5-HIT-0088</x:v>
      </x:c>
      <x:c r="B93" s="34" t="str"/>
      <x:c r="C93" s="34" t="str"/>
      <x:c r="D93" s="34" t="str"/>
      <x:c r="E93" s="34" t="str"/>
      <x:c r="F93" s="34" t="str"/>
      <x:c r="G93" s="34" t="str"/>
      <x:c r="H93" s="34" t="str"/>
      <x:c r="I93" s="34" t="str"/>
      <x:c r="J93" s="34" t="str"/>
      <x:c r="K93" s="34" t="str"/>
      <x:c r="L93" s="34" t="str"/>
      <x:c r="M93" s="34" t="str"/>
      <x:c r="N93" s="34" t="str"/>
      <x:c r="O93" s="34" t="str"/>
      <x:c r="P93" s="34" t="str"/>
      <x:c r="Q93" s="34" t="str"/>
    </x:row>
    <x:row r="94">
      <x:c r="A94" s="34" t="str">
        <x:v>M5-HIT-0089</x:v>
      </x:c>
      <x:c r="B94" s="34" t="str"/>
      <x:c r="C94" s="34" t="str"/>
      <x:c r="D94" s="34" t="str"/>
      <x:c r="E94" s="34" t="str"/>
      <x:c r="F94" s="34" t="str"/>
      <x:c r="G94" s="34" t="str"/>
      <x:c r="H94" s="34" t="str"/>
      <x:c r="I94" s="34" t="str"/>
      <x:c r="J94" s="34" t="str"/>
      <x:c r="K94" s="34" t="str"/>
      <x:c r="L94" s="34" t="str"/>
      <x:c r="M94" s="34" t="str"/>
      <x:c r="N94" s="34" t="str"/>
      <x:c r="O94" s="34" t="str"/>
      <x:c r="P94" s="34" t="str"/>
      <x:c r="Q94" s="34" t="str"/>
    </x:row>
    <x:row r="95">
      <x:c r="A95" s="34" t="str">
        <x:v>M5-HIT-0090</x:v>
      </x:c>
      <x:c r="B95" s="34" t="str"/>
      <x:c r="C95" s="34" t="str"/>
      <x:c r="D95" s="34" t="str"/>
      <x:c r="E95" s="34" t="str"/>
      <x:c r="F95" s="34" t="str"/>
      <x:c r="G95" s="34" t="str"/>
      <x:c r="H95" s="34" t="str"/>
      <x:c r="I95" s="34" t="str"/>
      <x:c r="J95" s="34" t="str"/>
      <x:c r="K95" s="34" t="str"/>
      <x:c r="L95" s="34" t="str"/>
      <x:c r="M95" s="34" t="str"/>
      <x:c r="N95" s="34" t="str"/>
      <x:c r="O95" s="34" t="str"/>
      <x:c r="P95" s="34" t="str"/>
      <x:c r="Q95" s="34" t="str"/>
    </x:row>
    <x:row r="96">
      <x:c r="A96" s="34" t="str">
        <x:v>M5-HIT-0091</x:v>
      </x:c>
      <x:c r="B96" s="34" t="str"/>
      <x:c r="C96" s="34" t="str"/>
      <x:c r="D96" s="34" t="str"/>
      <x:c r="E96" s="34" t="str"/>
      <x:c r="F96" s="34" t="str"/>
      <x:c r="G96" s="34" t="str"/>
      <x:c r="H96" s="34" t="str"/>
      <x:c r="I96" s="34" t="str"/>
      <x:c r="J96" s="34" t="str"/>
      <x:c r="K96" s="34" t="str"/>
      <x:c r="L96" s="34" t="str"/>
      <x:c r="M96" s="34" t="str"/>
      <x:c r="N96" s="34" t="str"/>
      <x:c r="O96" s="34" t="str"/>
      <x:c r="P96" s="34" t="str"/>
      <x:c r="Q96" s="34" t="str"/>
    </x:row>
    <x:row r="97">
      <x:c r="A97" s="34" t="str">
        <x:v>M5-HIT-0092</x:v>
      </x:c>
      <x:c r="B97" s="34" t="str"/>
      <x:c r="C97" s="34" t="str"/>
      <x:c r="D97" s="34" t="str"/>
      <x:c r="E97" s="34" t="str"/>
      <x:c r="F97" s="34" t="str"/>
      <x:c r="G97" s="34" t="str"/>
      <x:c r="H97" s="34" t="str"/>
      <x:c r="I97" s="34" t="str"/>
      <x:c r="J97" s="34" t="str"/>
      <x:c r="K97" s="34" t="str"/>
      <x:c r="L97" s="34" t="str"/>
      <x:c r="M97" s="34" t="str"/>
      <x:c r="N97" s="34" t="str"/>
      <x:c r="O97" s="34" t="str"/>
      <x:c r="P97" s="34" t="str"/>
      <x:c r="Q97" s="34" t="str"/>
    </x:row>
    <x:row r="98">
      <x:c r="A98" s="34" t="str">
        <x:v>M5-HIT-0093</x:v>
      </x:c>
      <x:c r="B98" s="34" t="str"/>
      <x:c r="C98" s="34" t="str"/>
      <x:c r="D98" s="34" t="str"/>
      <x:c r="E98" s="34" t="str"/>
      <x:c r="F98" s="34" t="str"/>
      <x:c r="G98" s="34" t="str"/>
      <x:c r="H98" s="34" t="str"/>
      <x:c r="I98" s="34" t="str"/>
      <x:c r="J98" s="34" t="str"/>
      <x:c r="K98" s="34" t="str"/>
      <x:c r="L98" s="34" t="str"/>
      <x:c r="M98" s="34" t="str"/>
      <x:c r="N98" s="34" t="str"/>
      <x:c r="O98" s="34" t="str"/>
      <x:c r="P98" s="34" t="str"/>
      <x:c r="Q98" s="34" t="str"/>
    </x:row>
    <x:row r="99">
      <x:c r="A99" s="34" t="str">
        <x:v>M5-HIT-0094</x:v>
      </x:c>
      <x:c r="B99" s="34" t="str"/>
      <x:c r="C99" s="34" t="str"/>
      <x:c r="D99" s="34" t="str"/>
      <x:c r="E99" s="34" t="str"/>
      <x:c r="F99" s="34" t="str"/>
      <x:c r="G99" s="34" t="str"/>
      <x:c r="H99" s="34" t="str"/>
      <x:c r="I99" s="34" t="str"/>
      <x:c r="J99" s="34" t="str"/>
      <x:c r="K99" s="34" t="str"/>
      <x:c r="L99" s="34" t="str"/>
      <x:c r="M99" s="34" t="str"/>
      <x:c r="N99" s="34" t="str"/>
      <x:c r="O99" s="34" t="str"/>
      <x:c r="P99" s="34" t="str"/>
      <x:c r="Q99" s="34" t="str"/>
    </x:row>
    <x:row r="100">
      <x:c r="A100" s="34" t="str">
        <x:v>M5-HIT-0095</x:v>
      </x:c>
      <x:c r="B100" s="34" t="str"/>
      <x:c r="C100" s="34" t="str"/>
      <x:c r="D100" s="34" t="str"/>
      <x:c r="E100" s="34" t="str"/>
      <x:c r="F100" s="34" t="str"/>
      <x:c r="G100" s="34" t="str"/>
      <x:c r="H100" s="34" t="str"/>
      <x:c r="I100" s="34" t="str"/>
      <x:c r="J100" s="34" t="str"/>
      <x:c r="K100" s="34" t="str"/>
      <x:c r="L100" s="34" t="str"/>
      <x:c r="M100" s="34" t="str"/>
      <x:c r="N100" s="34" t="str"/>
      <x:c r="O100" s="34" t="str"/>
      <x:c r="P100" s="34" t="str"/>
      <x:c r="Q100" s="34" t="str"/>
    </x:row>
    <x:row r="101">
      <x:c r="A101" s="34" t="str">
        <x:v>M5-HIT-0096</x:v>
      </x:c>
      <x:c r="B101" s="34" t="str"/>
      <x:c r="C101" s="34" t="str"/>
      <x:c r="D101" s="34" t="str"/>
      <x:c r="E101" s="34" t="str"/>
      <x:c r="F101" s="34" t="str"/>
      <x:c r="G101" s="34" t="str"/>
      <x:c r="H101" s="34" t="str"/>
      <x:c r="I101" s="34" t="str"/>
      <x:c r="J101" s="34" t="str"/>
      <x:c r="K101" s="34" t="str"/>
      <x:c r="L101" s="34" t="str"/>
      <x:c r="M101" s="34" t="str"/>
      <x:c r="N101" s="34" t="str"/>
      <x:c r="O101" s="34" t="str"/>
      <x:c r="P101" s="34" t="str"/>
      <x:c r="Q101" s="34" t="str"/>
    </x:row>
    <x:row r="102">
      <x:c r="A102" s="34" t="str">
        <x:v>M5-HIT-0097</x:v>
      </x:c>
      <x:c r="B102" s="34" t="str"/>
      <x:c r="C102" s="34" t="str"/>
      <x:c r="D102" s="34" t="str"/>
      <x:c r="E102" s="34" t="str"/>
      <x:c r="F102" s="34" t="str"/>
      <x:c r="G102" s="34" t="str"/>
      <x:c r="H102" s="34" t="str"/>
      <x:c r="I102" s="34" t="str"/>
      <x:c r="J102" s="34" t="str"/>
      <x:c r="K102" s="34" t="str"/>
      <x:c r="L102" s="34" t="str"/>
      <x:c r="M102" s="34" t="str"/>
      <x:c r="N102" s="34" t="str"/>
      <x:c r="O102" s="34" t="str"/>
      <x:c r="P102" s="34" t="str"/>
      <x:c r="Q102" s="34" t="str"/>
    </x:row>
    <x:row r="103">
      <x:c r="A103" s="34" t="str">
        <x:v>M5-HIT-0098</x:v>
      </x:c>
      <x:c r="B103" s="34" t="str"/>
      <x:c r="C103" s="34" t="str"/>
      <x:c r="D103" s="34" t="str"/>
      <x:c r="E103" s="34" t="str"/>
      <x:c r="F103" s="34" t="str"/>
      <x:c r="G103" s="34" t="str"/>
      <x:c r="H103" s="34" t="str"/>
      <x:c r="I103" s="34" t="str"/>
      <x:c r="J103" s="34" t="str"/>
      <x:c r="K103" s="34" t="str"/>
      <x:c r="L103" s="34" t="str"/>
      <x:c r="M103" s="34" t="str"/>
      <x:c r="N103" s="34" t="str"/>
      <x:c r="O103" s="34" t="str"/>
      <x:c r="P103" s="34" t="str"/>
      <x:c r="Q103" s="34" t="str"/>
    </x:row>
    <x:row r="104">
      <x:c r="A104" s="34" t="str">
        <x:v>M5-HIT-0099</x:v>
      </x:c>
      <x:c r="B104" s="34" t="str"/>
      <x:c r="C104" s="34" t="str"/>
      <x:c r="D104" s="34" t="str"/>
      <x:c r="E104" s="34" t="str"/>
      <x:c r="F104" s="34" t="str"/>
      <x:c r="G104" s="34" t="str"/>
      <x:c r="H104" s="34" t="str"/>
      <x:c r="I104" s="34" t="str"/>
      <x:c r="J104" s="34" t="str"/>
      <x:c r="K104" s="34" t="str"/>
      <x:c r="L104" s="34" t="str"/>
      <x:c r="M104" s="34" t="str"/>
      <x:c r="N104" s="34" t="str"/>
      <x:c r="O104" s="34" t="str"/>
      <x:c r="P104" s="34" t="str"/>
      <x:c r="Q104" s="34" t="str"/>
    </x:row>
    <x:row r="105">
      <x:c r="A105" s="34" t="str">
        <x:v>M5-HIT-0100</x:v>
      </x:c>
      <x:c r="B105" s="34" t="str"/>
      <x:c r="C105" s="34" t="str"/>
      <x:c r="D105" s="34" t="str"/>
      <x:c r="E105" s="34" t="str"/>
      <x:c r="F105" s="34" t="str"/>
      <x:c r="G105" s="34" t="str"/>
      <x:c r="H105" s="34" t="str"/>
      <x:c r="I105" s="34" t="str"/>
      <x:c r="J105" s="34" t="str"/>
      <x:c r="K105" s="34" t="str"/>
      <x:c r="L105" s="34" t="str"/>
      <x:c r="M105" s="34" t="str"/>
      <x:c r="N105" s="34" t="str"/>
      <x:c r="O105" s="34" t="str"/>
      <x:c r="P105" s="34" t="str"/>
      <x:c r="Q105" s="34" t="str"/>
    </x:row>
    <x:row r="106">
      <x:c r="A106" s="34" t="str">
        <x:v>M5-HIT-0101</x:v>
      </x:c>
      <x:c r="B106" s="34" t="str"/>
      <x:c r="C106" s="34" t="str"/>
      <x:c r="D106" s="34" t="str"/>
      <x:c r="E106" s="34" t="str"/>
      <x:c r="F106" s="34" t="str"/>
      <x:c r="G106" s="34" t="str"/>
      <x:c r="H106" s="34" t="str"/>
      <x:c r="I106" s="34" t="str"/>
      <x:c r="J106" s="34" t="str"/>
      <x:c r="K106" s="34" t="str"/>
      <x:c r="L106" s="34" t="str"/>
      <x:c r="M106" s="34" t="str"/>
      <x:c r="N106" s="34" t="str"/>
      <x:c r="O106" s="34" t="str"/>
      <x:c r="P106" s="34" t="str"/>
      <x:c r="Q106" s="34" t="str"/>
    </x:row>
    <x:row r="107">
      <x:c r="A107" s="34" t="str">
        <x:v>M5-HIT-0102</x:v>
      </x:c>
      <x:c r="B107" s="34" t="str"/>
      <x:c r="C107" s="34" t="str"/>
      <x:c r="D107" s="34" t="str"/>
      <x:c r="E107" s="34" t="str"/>
      <x:c r="F107" s="34" t="str"/>
      <x:c r="G107" s="34" t="str"/>
      <x:c r="H107" s="34" t="str"/>
      <x:c r="I107" s="34" t="str"/>
      <x:c r="J107" s="34" t="str"/>
      <x:c r="K107" s="34" t="str"/>
      <x:c r="L107" s="34" t="str"/>
      <x:c r="M107" s="34" t="str"/>
      <x:c r="N107" s="34" t="str"/>
      <x:c r="O107" s="34" t="str"/>
      <x:c r="P107" s="34" t="str"/>
      <x:c r="Q107" s="34" t="str"/>
    </x:row>
    <x:row r="108">
      <x:c r="A108" s="34" t="str">
        <x:v>M5-HIT-0103</x:v>
      </x:c>
      <x:c r="B108" s="34" t="str"/>
      <x:c r="C108" s="34" t="str"/>
      <x:c r="D108" s="34" t="str"/>
      <x:c r="E108" s="34" t="str"/>
      <x:c r="F108" s="34" t="str"/>
      <x:c r="G108" s="34" t="str"/>
      <x:c r="H108" s="34" t="str"/>
      <x:c r="I108" s="34" t="str"/>
      <x:c r="J108" s="34" t="str"/>
      <x:c r="K108" s="34" t="str"/>
      <x:c r="L108" s="34" t="str"/>
      <x:c r="M108" s="34" t="str"/>
      <x:c r="N108" s="34" t="str"/>
      <x:c r="O108" s="34" t="str"/>
      <x:c r="P108" s="34" t="str"/>
      <x:c r="Q108" s="34" t="str"/>
    </x:row>
    <x:row r="109">
      <x:c r="A109" s="34" t="str">
        <x:v>M5-HIT-0104</x:v>
      </x:c>
      <x:c r="B109" s="34" t="str"/>
      <x:c r="C109" s="34" t="str"/>
      <x:c r="D109" s="34" t="str"/>
      <x:c r="E109" s="34" t="str"/>
      <x:c r="F109" s="34" t="str"/>
      <x:c r="G109" s="34" t="str"/>
      <x:c r="H109" s="34" t="str"/>
      <x:c r="I109" s="34" t="str"/>
      <x:c r="J109" s="34" t="str"/>
      <x:c r="K109" s="34" t="str"/>
      <x:c r="L109" s="34" t="str"/>
      <x:c r="M109" s="34" t="str"/>
      <x:c r="N109" s="34" t="str"/>
      <x:c r="O109" s="34" t="str"/>
      <x:c r="P109" s="34" t="str"/>
      <x:c r="Q109" s="34" t="str"/>
    </x:row>
    <x:row r="110">
      <x:c r="A110" s="34" t="str">
        <x:v>M5-HIT-0105</x:v>
      </x:c>
      <x:c r="B110" s="34" t="str"/>
      <x:c r="C110" s="34" t="str"/>
      <x:c r="D110" s="34" t="str"/>
      <x:c r="E110" s="34" t="str"/>
      <x:c r="F110" s="34" t="str"/>
      <x:c r="G110" s="34" t="str"/>
      <x:c r="H110" s="34" t="str"/>
      <x:c r="I110" s="34" t="str"/>
      <x:c r="J110" s="34" t="str"/>
      <x:c r="K110" s="34" t="str"/>
      <x:c r="L110" s="34" t="str"/>
      <x:c r="M110" s="34" t="str"/>
      <x:c r="N110" s="34" t="str"/>
      <x:c r="O110" s="34" t="str"/>
      <x:c r="P110" s="34" t="str"/>
      <x:c r="Q110" s="34" t="str"/>
    </x:row>
    <x:row r="111">
      <x:c r="A111" s="34" t="str">
        <x:v>M5-HIT-0106</x:v>
      </x:c>
      <x:c r="B111" s="34" t="str"/>
      <x:c r="C111" s="34" t="str"/>
      <x:c r="D111" s="34" t="str"/>
      <x:c r="E111" s="34" t="str"/>
      <x:c r="F111" s="34" t="str"/>
      <x:c r="G111" s="34" t="str"/>
      <x:c r="H111" s="34" t="str"/>
      <x:c r="I111" s="34" t="str"/>
      <x:c r="J111" s="34" t="str"/>
      <x:c r="K111" s="34" t="str"/>
      <x:c r="L111" s="34" t="str"/>
      <x:c r="M111" s="34" t="str"/>
      <x:c r="N111" s="34" t="str"/>
      <x:c r="O111" s="34" t="str"/>
      <x:c r="P111" s="34" t="str"/>
      <x:c r="Q111" s="34" t="str"/>
    </x:row>
    <x:row r="112">
      <x:c r="A112" s="34" t="str">
        <x:v>M5-HIT-0107</x:v>
      </x:c>
      <x:c r="B112" s="34" t="str"/>
      <x:c r="C112" s="34" t="str"/>
      <x:c r="D112" s="34" t="str"/>
      <x:c r="E112" s="34" t="str"/>
      <x:c r="F112" s="34" t="str"/>
      <x:c r="G112" s="34" t="str"/>
      <x:c r="H112" s="34" t="str"/>
      <x:c r="I112" s="34" t="str"/>
      <x:c r="J112" s="34" t="str"/>
      <x:c r="K112" s="34" t="str"/>
      <x:c r="L112" s="34" t="str"/>
      <x:c r="M112" s="34" t="str"/>
      <x:c r="N112" s="34" t="str"/>
      <x:c r="O112" s="34" t="str"/>
      <x:c r="P112" s="34" t="str"/>
      <x:c r="Q112" s="34" t="str"/>
    </x:row>
    <x:row r="113">
      <x:c r="A113" s="34" t="str">
        <x:v>M5-HIT-0108</x:v>
      </x:c>
      <x:c r="B113" s="34" t="str"/>
      <x:c r="C113" s="34" t="str"/>
      <x:c r="D113" s="34" t="str"/>
      <x:c r="E113" s="34" t="str"/>
      <x:c r="F113" s="34" t="str"/>
      <x:c r="G113" s="34" t="str"/>
      <x:c r="H113" s="34" t="str"/>
      <x:c r="I113" s="34" t="str"/>
      <x:c r="J113" s="34" t="str"/>
      <x:c r="K113" s="34" t="str"/>
      <x:c r="L113" s="34" t="str"/>
      <x:c r="M113" s="34" t="str"/>
      <x:c r="N113" s="34" t="str"/>
      <x:c r="O113" s="34" t="str"/>
      <x:c r="P113" s="34" t="str"/>
      <x:c r="Q113" s="34" t="str"/>
    </x:row>
    <x:row r="114">
      <x:c r="A114" s="34" t="str">
        <x:v>M5-HIT-0109</x:v>
      </x:c>
      <x:c r="B114" s="34" t="str"/>
      <x:c r="C114" s="34" t="str"/>
      <x:c r="D114" s="34" t="str"/>
      <x:c r="E114" s="34" t="str"/>
      <x:c r="F114" s="34" t="str"/>
      <x:c r="G114" s="34" t="str"/>
      <x:c r="H114" s="34" t="str"/>
      <x:c r="I114" s="34" t="str"/>
      <x:c r="J114" s="34" t="str"/>
      <x:c r="K114" s="34" t="str"/>
      <x:c r="L114" s="34" t="str"/>
      <x:c r="M114" s="34" t="str"/>
      <x:c r="N114" s="34" t="str"/>
      <x:c r="O114" s="34" t="str"/>
      <x:c r="P114" s="34" t="str"/>
      <x:c r="Q114" s="34" t="str"/>
    </x:row>
    <x:row r="115">
      <x:c r="A115" s="34" t="str">
        <x:v>M5-HIT-0110</x:v>
      </x:c>
      <x:c r="B115" s="34" t="str"/>
      <x:c r="C115" s="34" t="str"/>
      <x:c r="D115" s="34" t="str"/>
      <x:c r="E115" s="34" t="str"/>
      <x:c r="F115" s="34" t="str"/>
      <x:c r="G115" s="34" t="str"/>
      <x:c r="H115" s="34" t="str"/>
      <x:c r="I115" s="34" t="str"/>
      <x:c r="J115" s="34" t="str"/>
      <x:c r="K115" s="34" t="str"/>
      <x:c r="L115" s="34" t="str"/>
      <x:c r="M115" s="34" t="str"/>
      <x:c r="N115" s="34" t="str"/>
      <x:c r="O115" s="34" t="str"/>
      <x:c r="P115" s="34" t="str"/>
      <x:c r="Q115" s="34" t="str"/>
    </x:row>
    <x:row r="116">
      <x:c r="A116" s="34" t="str">
        <x:v>M5-HIT-0111</x:v>
      </x:c>
      <x:c r="B116" s="34" t="str"/>
      <x:c r="C116" s="34" t="str"/>
      <x:c r="D116" s="34" t="str"/>
      <x:c r="E116" s="34" t="str"/>
      <x:c r="F116" s="34" t="str"/>
      <x:c r="G116" s="34" t="str"/>
      <x:c r="H116" s="34" t="str"/>
      <x:c r="I116" s="34" t="str"/>
      <x:c r="J116" s="34" t="str"/>
      <x:c r="K116" s="34" t="str"/>
      <x:c r="L116" s="34" t="str"/>
      <x:c r="M116" s="34" t="str"/>
      <x:c r="N116" s="34" t="str"/>
      <x:c r="O116" s="34" t="str"/>
      <x:c r="P116" s="34" t="str"/>
      <x:c r="Q116" s="34" t="str"/>
    </x:row>
    <x:row r="117">
      <x:c r="A117" s="34" t="str">
        <x:v>M5-HIT-0112</x:v>
      </x:c>
      <x:c r="B117" s="34" t="str"/>
      <x:c r="C117" s="34" t="str"/>
      <x:c r="D117" s="34" t="str"/>
      <x:c r="E117" s="34" t="str"/>
      <x:c r="F117" s="34" t="str"/>
      <x:c r="G117" s="34" t="str"/>
      <x:c r="H117" s="34" t="str"/>
      <x:c r="I117" s="34" t="str"/>
      <x:c r="J117" s="34" t="str"/>
      <x:c r="K117" s="34" t="str"/>
      <x:c r="L117" s="34" t="str"/>
      <x:c r="M117" s="34" t="str"/>
      <x:c r="N117" s="34" t="str"/>
      <x:c r="O117" s="34" t="str"/>
      <x:c r="P117" s="34" t="str"/>
      <x:c r="Q117" s="34" t="str"/>
    </x:row>
    <x:row r="118">
      <x:c r="A118" s="34" t="str">
        <x:v>M5-HIT-0113</x:v>
      </x:c>
      <x:c r="B118" s="34" t="str"/>
      <x:c r="C118" s="34" t="str"/>
      <x:c r="D118" s="34" t="str"/>
      <x:c r="E118" s="34" t="str"/>
      <x:c r="F118" s="34" t="str"/>
      <x:c r="G118" s="34" t="str"/>
      <x:c r="H118" s="34" t="str"/>
      <x:c r="I118" s="34" t="str"/>
      <x:c r="J118" s="34" t="str"/>
      <x:c r="K118" s="34" t="str"/>
      <x:c r="L118" s="34" t="str"/>
      <x:c r="M118" s="34" t="str"/>
      <x:c r="N118" s="34" t="str"/>
      <x:c r="O118" s="34" t="str"/>
      <x:c r="P118" s="34" t="str"/>
      <x:c r="Q118" s="34" t="str"/>
    </x:row>
    <x:row r="119">
      <x:c r="A119" s="34" t="str">
        <x:v>M5-HIT-0114</x:v>
      </x:c>
      <x:c r="B119" s="34" t="str"/>
      <x:c r="C119" s="34" t="str"/>
      <x:c r="D119" s="34" t="str"/>
      <x:c r="E119" s="34" t="str"/>
      <x:c r="F119" s="34" t="str"/>
      <x:c r="G119" s="34" t="str"/>
      <x:c r="H119" s="34" t="str"/>
      <x:c r="I119" s="34" t="str"/>
      <x:c r="J119" s="34" t="str"/>
      <x:c r="K119" s="34" t="str"/>
      <x:c r="L119" s="34" t="str"/>
      <x:c r="M119" s="34" t="str"/>
      <x:c r="N119" s="34" t="str"/>
      <x:c r="O119" s="34" t="str"/>
      <x:c r="P119" s="34" t="str"/>
      <x:c r="Q119" s="34" t="str"/>
    </x:row>
    <x:row r="120">
      <x:c r="A120" s="34" t="str">
        <x:v>M5-HIT-0115</x:v>
      </x:c>
      <x:c r="B120" s="34" t="str"/>
      <x:c r="C120" s="34" t="str"/>
      <x:c r="D120" s="34" t="str"/>
      <x:c r="E120" s="34" t="str"/>
      <x:c r="F120" s="34" t="str"/>
      <x:c r="G120" s="34" t="str"/>
      <x:c r="H120" s="34" t="str"/>
      <x:c r="I120" s="34" t="str"/>
      <x:c r="J120" s="34" t="str"/>
      <x:c r="K120" s="34" t="str"/>
      <x:c r="L120" s="34" t="str"/>
      <x:c r="M120" s="34" t="str"/>
      <x:c r="N120" s="34" t="str"/>
      <x:c r="O120" s="34" t="str"/>
      <x:c r="P120" s="34" t="str"/>
      <x:c r="Q120" s="34" t="str"/>
    </x:row>
    <x:row r="121">
      <x:c r="A121" s="34" t="str">
        <x:v>M5-HIT-0116</x:v>
      </x:c>
      <x:c r="B121" s="34" t="str"/>
      <x:c r="C121" s="34" t="str"/>
      <x:c r="D121" s="34" t="str"/>
      <x:c r="E121" s="34" t="str"/>
      <x:c r="F121" s="34" t="str"/>
      <x:c r="G121" s="34" t="str"/>
      <x:c r="H121" s="34" t="str"/>
      <x:c r="I121" s="34" t="str"/>
      <x:c r="J121" s="34" t="str"/>
      <x:c r="K121" s="34" t="str"/>
      <x:c r="L121" s="34" t="str"/>
      <x:c r="M121" s="34" t="str"/>
      <x:c r="N121" s="34" t="str"/>
      <x:c r="O121" s="34" t="str"/>
      <x:c r="P121" s="34" t="str"/>
      <x:c r="Q121" s="34" t="str"/>
    </x:row>
    <x:row r="122">
      <x:c r="A122" s="34" t="str">
        <x:v>M5-HIT-0117</x:v>
      </x:c>
      <x:c r="B122" s="34" t="str"/>
      <x:c r="C122" s="34" t="str"/>
      <x:c r="D122" s="34" t="str"/>
      <x:c r="E122" s="34" t="str"/>
      <x:c r="F122" s="34" t="str"/>
      <x:c r="G122" s="34" t="str"/>
      <x:c r="H122" s="34" t="str"/>
      <x:c r="I122" s="34" t="str"/>
      <x:c r="J122" s="34" t="str"/>
      <x:c r="K122" s="34" t="str"/>
      <x:c r="L122" s="34" t="str"/>
      <x:c r="M122" s="34" t="str"/>
      <x:c r="N122" s="34" t="str"/>
      <x:c r="O122" s="34" t="str"/>
      <x:c r="P122" s="34" t="str"/>
      <x:c r="Q122" s="34" t="str"/>
    </x:row>
    <x:row r="123">
      <x:c r="A123" s="34" t="str">
        <x:v>M5-HIT-0118</x:v>
      </x:c>
      <x:c r="B123" s="34" t="str"/>
      <x:c r="C123" s="34" t="str"/>
      <x:c r="D123" s="34" t="str"/>
      <x:c r="E123" s="34" t="str"/>
      <x:c r="F123" s="34" t="str"/>
      <x:c r="G123" s="34" t="str"/>
      <x:c r="H123" s="34" t="str"/>
      <x:c r="I123" s="34" t="str"/>
      <x:c r="J123" s="34" t="str"/>
      <x:c r="K123" s="34" t="str"/>
      <x:c r="L123" s="34" t="str"/>
      <x:c r="M123" s="34" t="str"/>
      <x:c r="N123" s="34" t="str"/>
      <x:c r="O123" s="34" t="str"/>
      <x:c r="P123" s="34" t="str"/>
      <x:c r="Q123" s="34" t="str"/>
    </x:row>
    <x:row r="124">
      <x:c r="A124" s="34" t="str">
        <x:v>M5-HIT-0119</x:v>
      </x:c>
      <x:c r="B124" s="34" t="str"/>
      <x:c r="C124" s="34" t="str"/>
      <x:c r="D124" s="34" t="str"/>
      <x:c r="E124" s="34" t="str"/>
      <x:c r="F124" s="34" t="str"/>
      <x:c r="G124" s="34" t="str"/>
      <x:c r="H124" s="34" t="str"/>
      <x:c r="I124" s="34" t="str"/>
      <x:c r="J124" s="34" t="str"/>
      <x:c r="K124" s="34" t="str"/>
      <x:c r="L124" s="34" t="str"/>
      <x:c r="M124" s="34" t="str"/>
      <x:c r="N124" s="34" t="str"/>
      <x:c r="O124" s="34" t="str"/>
      <x:c r="P124" s="34" t="str"/>
      <x:c r="Q124" s="34" t="str"/>
    </x:row>
    <x:row r="125">
      <x:c r="A125" s="34" t="str">
        <x:v>M5-HIT-0120</x:v>
      </x:c>
      <x:c r="B125" s="34" t="str"/>
      <x:c r="C125" s="34" t="str"/>
      <x:c r="D125" s="34" t="str"/>
      <x:c r="E125" s="34" t="str"/>
      <x:c r="F125" s="34" t="str"/>
      <x:c r="G125" s="34" t="str"/>
      <x:c r="H125" s="34" t="str"/>
      <x:c r="I125" s="34" t="str"/>
      <x:c r="J125" s="34" t="str"/>
      <x:c r="K125" s="34" t="str"/>
      <x:c r="L125" s="34" t="str"/>
      <x:c r="M125" s="34" t="str"/>
      <x:c r="N125" s="34" t="str"/>
      <x:c r="O125" s="34" t="str"/>
      <x:c r="P125" s="34" t="str"/>
      <x:c r="Q125" s="34" t="str"/>
    </x:row>
    <x:row r="126">
      <x:c r="A126" s="34" t="str">
        <x:v>M5-HIT-0121</x:v>
      </x:c>
      <x:c r="B126" s="34" t="str"/>
      <x:c r="C126" s="34" t="str"/>
      <x:c r="D126" s="34" t="str"/>
      <x:c r="E126" s="34" t="str"/>
      <x:c r="F126" s="34" t="str"/>
      <x:c r="G126" s="34" t="str"/>
      <x:c r="H126" s="34" t="str"/>
      <x:c r="I126" s="34" t="str"/>
      <x:c r="J126" s="34" t="str"/>
      <x:c r="K126" s="34" t="str"/>
      <x:c r="L126" s="34" t="str"/>
      <x:c r="M126" s="34" t="str"/>
      <x:c r="N126" s="34" t="str"/>
      <x:c r="O126" s="34" t="str"/>
      <x:c r="P126" s="34" t="str"/>
      <x:c r="Q126" s="34" t="str"/>
    </x:row>
    <x:row r="127">
      <x:c r="A127" s="34" t="str">
        <x:v>M5-HIT-0122</x:v>
      </x:c>
      <x:c r="B127" s="34" t="str"/>
      <x:c r="C127" s="34" t="str"/>
      <x:c r="D127" s="34" t="str"/>
      <x:c r="E127" s="34" t="str"/>
      <x:c r="F127" s="34" t="str"/>
      <x:c r="G127" s="34" t="str"/>
      <x:c r="H127" s="34" t="str"/>
      <x:c r="I127" s="34" t="str"/>
      <x:c r="J127" s="34" t="str"/>
      <x:c r="K127" s="34" t="str"/>
      <x:c r="L127" s="34" t="str"/>
      <x:c r="M127" s="34" t="str"/>
      <x:c r="N127" s="34" t="str"/>
      <x:c r="O127" s="34" t="str"/>
      <x:c r="P127" s="34" t="str"/>
      <x:c r="Q127" s="34" t="str"/>
    </x:row>
    <x:row r="128">
      <x:c r="A128" s="34" t="str">
        <x:v>M5-HIT-0123</x:v>
      </x:c>
      <x:c r="B128" s="34" t="str"/>
      <x:c r="C128" s="34" t="str"/>
      <x:c r="D128" s="34" t="str"/>
      <x:c r="E128" s="34" t="str"/>
      <x:c r="F128" s="34" t="str"/>
      <x:c r="G128" s="34" t="str"/>
      <x:c r="H128" s="34" t="str"/>
      <x:c r="I128" s="34" t="str"/>
      <x:c r="J128" s="34" t="str"/>
      <x:c r="K128" s="34" t="str"/>
      <x:c r="L128" s="34" t="str"/>
      <x:c r="M128" s="34" t="str"/>
      <x:c r="N128" s="34" t="str"/>
      <x:c r="O128" s="34" t="str"/>
      <x:c r="P128" s="34" t="str"/>
      <x:c r="Q128" s="34" t="str"/>
    </x:row>
    <x:row r="129">
      <x:c r="A129" s="34" t="str">
        <x:v>M5-HIT-0124</x:v>
      </x:c>
      <x:c r="B129" s="34" t="str"/>
      <x:c r="C129" s="34" t="str"/>
      <x:c r="D129" s="34" t="str"/>
      <x:c r="E129" s="34" t="str"/>
      <x:c r="F129" s="34" t="str"/>
      <x:c r="G129" s="34" t="str"/>
      <x:c r="H129" s="34" t="str"/>
      <x:c r="I129" s="34" t="str"/>
      <x:c r="J129" s="34" t="str"/>
      <x:c r="K129" s="34" t="str"/>
      <x:c r="L129" s="34" t="str"/>
      <x:c r="M129" s="34" t="str"/>
      <x:c r="N129" s="34" t="str"/>
      <x:c r="O129" s="34" t="str"/>
      <x:c r="P129" s="34" t="str"/>
      <x:c r="Q129" s="34" t="str"/>
    </x:row>
    <x:row r="130">
      <x:c r="A130" s="34" t="str">
        <x:v>M5-HIT-0125</x:v>
      </x:c>
      <x:c r="B130" s="34" t="str"/>
      <x:c r="C130" s="34" t="str"/>
      <x:c r="D130" s="34" t="str"/>
      <x:c r="E130" s="34" t="str"/>
      <x:c r="F130" s="34" t="str"/>
      <x:c r="G130" s="34" t="str"/>
      <x:c r="H130" s="34" t="str"/>
      <x:c r="I130" s="34" t="str"/>
      <x:c r="J130" s="34" t="str"/>
      <x:c r="K130" s="34" t="str"/>
      <x:c r="L130" s="34" t="str"/>
      <x:c r="M130" s="34" t="str"/>
      <x:c r="N130" s="34" t="str"/>
      <x:c r="O130" s="34" t="str"/>
      <x:c r="P130" s="34" t="str"/>
      <x:c r="Q130" s="34" t="str"/>
    </x:row>
    <x:row r="131">
      <x:c r="A131" s="34" t="str">
        <x:v>M5-HIT-0126</x:v>
      </x:c>
      <x:c r="B131" s="34" t="str"/>
      <x:c r="C131" s="34" t="str"/>
      <x:c r="D131" s="34" t="str"/>
      <x:c r="E131" s="34" t="str"/>
      <x:c r="F131" s="34" t="str"/>
      <x:c r="G131" s="34" t="str"/>
      <x:c r="H131" s="34" t="str"/>
      <x:c r="I131" s="34" t="str"/>
      <x:c r="J131" s="34" t="str"/>
      <x:c r="K131" s="34" t="str"/>
      <x:c r="L131" s="34" t="str"/>
      <x:c r="M131" s="34" t="str"/>
      <x:c r="N131" s="34" t="str"/>
      <x:c r="O131" s="34" t="str"/>
      <x:c r="P131" s="34" t="str"/>
      <x:c r="Q131" s="34" t="str"/>
    </x:row>
    <x:row r="132">
      <x:c r="A132" s="34" t="str">
        <x:v>M5-HIT-0127</x:v>
      </x:c>
      <x:c r="B132" s="34" t="str"/>
      <x:c r="C132" s="34" t="str"/>
      <x:c r="D132" s="34" t="str"/>
      <x:c r="E132" s="34" t="str"/>
      <x:c r="F132" s="34" t="str"/>
      <x:c r="G132" s="34" t="str"/>
      <x:c r="H132" s="34" t="str"/>
      <x:c r="I132" s="34" t="str"/>
      <x:c r="J132" s="34" t="str"/>
      <x:c r="K132" s="34" t="str"/>
      <x:c r="L132" s="34" t="str"/>
      <x:c r="M132" s="34" t="str"/>
      <x:c r="N132" s="34" t="str"/>
      <x:c r="O132" s="34" t="str"/>
      <x:c r="P132" s="34" t="str"/>
      <x:c r="Q132" s="34" t="str"/>
    </x:row>
    <x:row r="133">
      <x:c r="A133" s="34" t="str">
        <x:v>M5-HIT-0128</x:v>
      </x:c>
      <x:c r="B133" s="34" t="str"/>
      <x:c r="C133" s="34" t="str"/>
      <x:c r="D133" s="34" t="str"/>
      <x:c r="E133" s="34" t="str"/>
      <x:c r="F133" s="34" t="str"/>
      <x:c r="G133" s="34" t="str"/>
      <x:c r="H133" s="34" t="str"/>
      <x:c r="I133" s="34" t="str"/>
      <x:c r="J133" s="34" t="str"/>
      <x:c r="K133" s="34" t="str"/>
      <x:c r="L133" s="34" t="str"/>
      <x:c r="M133" s="34" t="str"/>
      <x:c r="N133" s="34" t="str"/>
      <x:c r="O133" s="34" t="str"/>
      <x:c r="P133" s="34" t="str"/>
      <x:c r="Q133" s="34" t="str"/>
    </x:row>
    <x:row r="134">
      <x:c r="A134" s="34" t="str">
        <x:v>M5-HIT-0129</x:v>
      </x:c>
      <x:c r="B134" s="34" t="str"/>
      <x:c r="C134" s="34" t="str"/>
      <x:c r="D134" s="34" t="str"/>
      <x:c r="E134" s="34" t="str"/>
      <x:c r="F134" s="34" t="str"/>
      <x:c r="G134" s="34" t="str"/>
      <x:c r="H134" s="34" t="str"/>
      <x:c r="I134" s="34" t="str"/>
      <x:c r="J134" s="34" t="str"/>
      <x:c r="K134" s="34" t="str"/>
      <x:c r="L134" s="34" t="str"/>
      <x:c r="M134" s="34" t="str"/>
      <x:c r="N134" s="34" t="str"/>
      <x:c r="O134" s="34" t="str"/>
      <x:c r="P134" s="34" t="str"/>
      <x:c r="Q134" s="34" t="str"/>
    </x:row>
    <x:row r="135">
      <x:c r="A135" s="34" t="str">
        <x:v>M5-HIT-0130</x:v>
      </x:c>
      <x:c r="B135" s="34" t="str"/>
      <x:c r="C135" s="34" t="str"/>
      <x:c r="D135" s="34" t="str"/>
      <x:c r="E135" s="34" t="str"/>
      <x:c r="F135" s="34" t="str"/>
      <x:c r="G135" s="34" t="str"/>
      <x:c r="H135" s="34" t="str"/>
      <x:c r="I135" s="34" t="str"/>
      <x:c r="J135" s="34" t="str"/>
      <x:c r="K135" s="34" t="str"/>
      <x:c r="L135" s="34" t="str"/>
      <x:c r="M135" s="34" t="str"/>
      <x:c r="N135" s="34" t="str"/>
      <x:c r="O135" s="34" t="str"/>
      <x:c r="P135" s="34" t="str"/>
      <x:c r="Q135" s="34" t="str"/>
    </x:row>
    <x:row r="136">
      <x:c r="A136" s="34" t="str">
        <x:v>M5-HIT-0131</x:v>
      </x:c>
      <x:c r="B136" s="34" t="str"/>
      <x:c r="C136" s="34" t="str"/>
      <x:c r="D136" s="34" t="str"/>
      <x:c r="E136" s="34" t="str"/>
      <x:c r="F136" s="34" t="str"/>
      <x:c r="G136" s="34" t="str"/>
      <x:c r="H136" s="34" t="str"/>
      <x:c r="I136" s="34" t="str"/>
      <x:c r="J136" s="34" t="str"/>
      <x:c r="K136" s="34" t="str"/>
      <x:c r="L136" s="34" t="str"/>
      <x:c r="M136" s="34" t="str"/>
      <x:c r="N136" s="34" t="str"/>
      <x:c r="O136" s="34" t="str"/>
      <x:c r="P136" s="34" t="str"/>
      <x:c r="Q136" s="34" t="str"/>
    </x:row>
    <x:row r="137">
      <x:c r="A137" s="34" t="str">
        <x:v>M5-HIT-0132</x:v>
      </x:c>
      <x:c r="B137" s="34" t="str"/>
      <x:c r="C137" s="34" t="str"/>
      <x:c r="D137" s="34" t="str"/>
      <x:c r="E137" s="34" t="str"/>
      <x:c r="F137" s="34" t="str"/>
      <x:c r="G137" s="34" t="str"/>
      <x:c r="H137" s="34" t="str"/>
      <x:c r="I137" s="34" t="str"/>
      <x:c r="J137" s="34" t="str"/>
      <x:c r="K137" s="34" t="str"/>
      <x:c r="L137" s="34" t="str"/>
      <x:c r="M137" s="34" t="str"/>
      <x:c r="N137" s="34" t="str"/>
      <x:c r="O137" s="34" t="str"/>
      <x:c r="P137" s="34" t="str"/>
      <x:c r="Q137" s="34" t="str"/>
    </x:row>
    <x:row r="138">
      <x:c r="A138" s="34" t="str">
        <x:v>M5-HIT-0133</x:v>
      </x:c>
      <x:c r="B138" s="34" t="str"/>
      <x:c r="C138" s="34" t="str"/>
      <x:c r="D138" s="34" t="str"/>
      <x:c r="E138" s="34" t="str"/>
      <x:c r="F138" s="34" t="str"/>
      <x:c r="G138" s="34" t="str"/>
      <x:c r="H138" s="34" t="str"/>
      <x:c r="I138" s="34" t="str"/>
      <x:c r="J138" s="34" t="str"/>
      <x:c r="K138" s="34" t="str"/>
      <x:c r="L138" s="34" t="str"/>
      <x:c r="M138" s="34" t="str"/>
      <x:c r="N138" s="34" t="str"/>
      <x:c r="O138" s="34" t="str"/>
      <x:c r="P138" s="34" t="str"/>
      <x:c r="Q138" s="34" t="str"/>
    </x:row>
    <x:row r="139">
      <x:c r="A139" s="34" t="str">
        <x:v>M5-HIT-0134</x:v>
      </x:c>
      <x:c r="B139" s="34" t="str"/>
      <x:c r="C139" s="34" t="str"/>
      <x:c r="D139" s="34" t="str"/>
      <x:c r="E139" s="34" t="str"/>
      <x:c r="F139" s="34" t="str"/>
      <x:c r="G139" s="34" t="str"/>
      <x:c r="H139" s="34" t="str"/>
      <x:c r="I139" s="34" t="str"/>
      <x:c r="J139" s="34" t="str"/>
      <x:c r="K139" s="34" t="str"/>
      <x:c r="L139" s="34" t="str"/>
      <x:c r="M139" s="34" t="str"/>
      <x:c r="N139" s="34" t="str"/>
      <x:c r="O139" s="34" t="str"/>
      <x:c r="P139" s="34" t="str"/>
      <x:c r="Q139" s="34" t="str"/>
    </x:row>
    <x:row r="140">
      <x:c r="A140" s="34" t="str">
        <x:v>M5-HIT-0135</x:v>
      </x:c>
      <x:c r="B140" s="34" t="str"/>
      <x:c r="C140" s="34" t="str"/>
      <x:c r="D140" s="34" t="str"/>
      <x:c r="E140" s="34" t="str"/>
      <x:c r="F140" s="34" t="str"/>
      <x:c r="G140" s="34" t="str"/>
      <x:c r="H140" s="34" t="str"/>
      <x:c r="I140" s="34" t="str"/>
      <x:c r="J140" s="34" t="str"/>
      <x:c r="K140" s="34" t="str"/>
      <x:c r="L140" s="34" t="str"/>
      <x:c r="M140" s="34" t="str"/>
      <x:c r="N140" s="34" t="str"/>
      <x:c r="O140" s="34" t="str"/>
      <x:c r="P140" s="34" t="str"/>
      <x:c r="Q140" s="34" t="str"/>
    </x:row>
    <x:row r="141">
      <x:c r="A141" s="34" t="str">
        <x:v>M5-HIT-0136</x:v>
      </x:c>
      <x:c r="B141" s="34" t="str"/>
      <x:c r="C141" s="34" t="str"/>
      <x:c r="D141" s="34" t="str"/>
      <x:c r="E141" s="34" t="str"/>
      <x:c r="F141" s="34" t="str"/>
      <x:c r="G141" s="34" t="str"/>
      <x:c r="H141" s="34" t="str"/>
      <x:c r="I141" s="34" t="str"/>
      <x:c r="J141" s="34" t="str"/>
      <x:c r="K141" s="34" t="str"/>
      <x:c r="L141" s="34" t="str"/>
      <x:c r="M141" s="34" t="str"/>
      <x:c r="N141" s="34" t="str"/>
      <x:c r="O141" s="34" t="str"/>
      <x:c r="P141" s="34" t="str"/>
      <x:c r="Q141" s="34" t="str"/>
    </x:row>
    <x:row r="142">
      <x:c r="A142" s="34" t="str">
        <x:v>M5-HIT-0137</x:v>
      </x:c>
      <x:c r="B142" s="34" t="str"/>
      <x:c r="C142" s="34" t="str"/>
      <x:c r="D142" s="34" t="str"/>
      <x:c r="E142" s="34" t="str"/>
      <x:c r="F142" s="34" t="str"/>
      <x:c r="G142" s="34" t="str"/>
      <x:c r="H142" s="34" t="str"/>
      <x:c r="I142" s="34" t="str"/>
      <x:c r="J142" s="34" t="str"/>
      <x:c r="K142" s="34" t="str"/>
      <x:c r="L142" s="34" t="str"/>
      <x:c r="M142" s="34" t="str"/>
      <x:c r="N142" s="34" t="str"/>
      <x:c r="O142" s="34" t="str"/>
      <x:c r="P142" s="34" t="str"/>
      <x:c r="Q142" s="34" t="str"/>
    </x:row>
    <x:row r="143">
      <x:c r="A143" s="34" t="str">
        <x:v>M5-HIT-0138</x:v>
      </x:c>
      <x:c r="B143" s="34" t="str"/>
      <x:c r="C143" s="34" t="str"/>
      <x:c r="D143" s="34" t="str"/>
      <x:c r="E143" s="34" t="str"/>
      <x:c r="F143" s="34" t="str"/>
      <x:c r="G143" s="34" t="str"/>
      <x:c r="H143" s="34" t="str"/>
      <x:c r="I143" s="34" t="str"/>
      <x:c r="J143" s="34" t="str"/>
      <x:c r="K143" s="34" t="str"/>
      <x:c r="L143" s="34" t="str"/>
      <x:c r="M143" s="34" t="str"/>
      <x:c r="N143" s="34" t="str"/>
      <x:c r="O143" s="34" t="str"/>
      <x:c r="P143" s="34" t="str"/>
      <x:c r="Q143" s="34" t="str"/>
    </x:row>
    <x:row r="144">
      <x:c r="A144" s="34" t="str">
        <x:v>M5-HIT-0139</x:v>
      </x:c>
      <x:c r="B144" s="34" t="str"/>
      <x:c r="C144" s="34" t="str"/>
      <x:c r="D144" s="34" t="str"/>
      <x:c r="E144" s="34" t="str"/>
      <x:c r="F144" s="34" t="str"/>
      <x:c r="G144" s="34" t="str"/>
      <x:c r="H144" s="34" t="str"/>
      <x:c r="I144" s="34" t="str"/>
      <x:c r="J144" s="34" t="str"/>
      <x:c r="K144" s="34" t="str"/>
      <x:c r="L144" s="34" t="str"/>
      <x:c r="M144" s="34" t="str"/>
      <x:c r="N144" s="34" t="str"/>
      <x:c r="O144" s="34" t="str"/>
      <x:c r="P144" s="34" t="str"/>
      <x:c r="Q144" s="34" t="str"/>
    </x:row>
    <x:row r="145">
      <x:c r="A145" s="34" t="str">
        <x:v>M5-HIT-0140</x:v>
      </x:c>
      <x:c r="B145" s="34" t="str"/>
      <x:c r="C145" s="34" t="str"/>
      <x:c r="D145" s="34" t="str"/>
      <x:c r="E145" s="34" t="str"/>
      <x:c r="F145" s="34" t="str"/>
      <x:c r="G145" s="34" t="str"/>
      <x:c r="H145" s="34" t="str"/>
      <x:c r="I145" s="34" t="str"/>
      <x:c r="J145" s="34" t="str"/>
      <x:c r="K145" s="34" t="str"/>
      <x:c r="L145" s="34" t="str"/>
      <x:c r="M145" s="34" t="str"/>
      <x:c r="N145" s="34" t="str"/>
      <x:c r="O145" s="34" t="str"/>
      <x:c r="P145" s="34" t="str"/>
      <x:c r="Q145" s="34" t="str"/>
    </x:row>
    <x:row r="146">
      <x:c r="A146" s="34" t="str">
        <x:v>M5-HIT-0141</x:v>
      </x:c>
      <x:c r="B146" s="34" t="str"/>
      <x:c r="C146" s="34" t="str"/>
      <x:c r="D146" s="34" t="str"/>
      <x:c r="E146" s="34" t="str"/>
      <x:c r="F146" s="34" t="str"/>
      <x:c r="G146" s="34" t="str"/>
      <x:c r="H146" s="34" t="str"/>
      <x:c r="I146" s="34" t="str"/>
      <x:c r="J146" s="34" t="str"/>
      <x:c r="K146" s="34" t="str"/>
      <x:c r="L146" s="34" t="str"/>
      <x:c r="M146" s="34" t="str"/>
      <x:c r="N146" s="34" t="str"/>
      <x:c r="O146" s="34" t="str"/>
      <x:c r="P146" s="34" t="str"/>
      <x:c r="Q146" s="34" t="str"/>
    </x:row>
    <x:row r="147">
      <x:c r="A147" s="34" t="str">
        <x:v>M5-HIT-0142</x:v>
      </x:c>
      <x:c r="B147" s="34" t="str"/>
      <x:c r="C147" s="34" t="str"/>
      <x:c r="D147" s="34" t="str"/>
      <x:c r="E147" s="34" t="str"/>
      <x:c r="F147" s="34" t="str"/>
      <x:c r="G147" s="34" t="str"/>
      <x:c r="H147" s="34" t="str"/>
      <x:c r="I147" s="34" t="str"/>
      <x:c r="J147" s="34" t="str"/>
      <x:c r="K147" s="34" t="str"/>
      <x:c r="L147" s="34" t="str"/>
      <x:c r="M147" s="34" t="str"/>
      <x:c r="N147" s="34" t="str"/>
      <x:c r="O147" s="34" t="str"/>
      <x:c r="P147" s="34" t="str"/>
      <x:c r="Q147" s="34" t="str"/>
    </x:row>
    <x:row r="148">
      <x:c r="A148" s="34" t="str">
        <x:v>M5-HIT-0143</x:v>
      </x:c>
      <x:c r="B148" s="34" t="str"/>
      <x:c r="C148" s="34" t="str"/>
      <x:c r="D148" s="34" t="str"/>
      <x:c r="E148" s="34" t="str"/>
      <x:c r="F148" s="34" t="str"/>
      <x:c r="G148" s="34" t="str"/>
      <x:c r="H148" s="34" t="str"/>
      <x:c r="I148" s="34" t="str"/>
      <x:c r="J148" s="34" t="str"/>
      <x:c r="K148" s="34" t="str"/>
      <x:c r="L148" s="34" t="str"/>
      <x:c r="M148" s="34" t="str"/>
      <x:c r="N148" s="34" t="str"/>
      <x:c r="O148" s="34" t="str"/>
      <x:c r="P148" s="34" t="str"/>
      <x:c r="Q148" s="34" t="str"/>
    </x:row>
    <x:row r="149">
      <x:c r="A149" s="34" t="str">
        <x:v>M5-HIT-0144</x:v>
      </x:c>
      <x:c r="B149" s="34" t="str"/>
      <x:c r="C149" s="34" t="str"/>
      <x:c r="D149" s="34" t="str"/>
      <x:c r="E149" s="34" t="str"/>
      <x:c r="F149" s="34" t="str"/>
      <x:c r="G149" s="34" t="str"/>
      <x:c r="H149" s="34" t="str"/>
      <x:c r="I149" s="34" t="str"/>
      <x:c r="J149" s="34" t="str"/>
      <x:c r="K149" s="34" t="str"/>
      <x:c r="L149" s="34" t="str"/>
      <x:c r="M149" s="34" t="str"/>
      <x:c r="N149" s="34" t="str"/>
      <x:c r="O149" s="34" t="str"/>
      <x:c r="P149" s="34" t="str"/>
      <x:c r="Q149" s="34" t="str"/>
    </x:row>
    <x:row r="150">
      <x:c r="A150" s="34" t="str">
        <x:v>M5-HIT-0145</x:v>
      </x:c>
      <x:c r="B150" s="34" t="str"/>
      <x:c r="C150" s="34" t="str"/>
      <x:c r="D150" s="34" t="str"/>
      <x:c r="E150" s="34" t="str"/>
      <x:c r="F150" s="34" t="str"/>
      <x:c r="G150" s="34" t="str"/>
      <x:c r="H150" s="34" t="str"/>
      <x:c r="I150" s="34" t="str"/>
      <x:c r="J150" s="34" t="str"/>
      <x:c r="K150" s="34" t="str"/>
      <x:c r="L150" s="34" t="str"/>
      <x:c r="M150" s="34" t="str"/>
      <x:c r="N150" s="34" t="str"/>
      <x:c r="O150" s="34" t="str"/>
      <x:c r="P150" s="34" t="str"/>
      <x:c r="Q150" s="34" t="str"/>
    </x:row>
    <x:row r="151">
      <x:c r="A151" s="34" t="str">
        <x:v>M5-HIT-0146</x:v>
      </x:c>
      <x:c r="B151" s="34" t="str"/>
      <x:c r="C151" s="34" t="str"/>
      <x:c r="D151" s="34" t="str"/>
      <x:c r="E151" s="34" t="str"/>
      <x:c r="F151" s="34" t="str"/>
      <x:c r="G151" s="34" t="str"/>
      <x:c r="H151" s="34" t="str"/>
      <x:c r="I151" s="34" t="str"/>
      <x:c r="J151" s="34" t="str"/>
      <x:c r="K151" s="34" t="str"/>
      <x:c r="L151" s="34" t="str"/>
      <x:c r="M151" s="34" t="str"/>
      <x:c r="N151" s="34" t="str"/>
      <x:c r="O151" s="34" t="str"/>
      <x:c r="P151" s="34" t="str"/>
      <x:c r="Q151" s="34" t="str"/>
    </x:row>
    <x:row r="152">
      <x:c r="A152" s="34" t="str">
        <x:v>M5-HIT-0147</x:v>
      </x:c>
      <x:c r="B152" s="34" t="str"/>
      <x:c r="C152" s="34" t="str"/>
      <x:c r="D152" s="34" t="str"/>
      <x:c r="E152" s="34" t="str"/>
      <x:c r="F152" s="34" t="str"/>
      <x:c r="G152" s="34" t="str"/>
      <x:c r="H152" s="34" t="str"/>
      <x:c r="I152" s="34" t="str"/>
      <x:c r="J152" s="34" t="str"/>
      <x:c r="K152" s="34" t="str"/>
      <x:c r="L152" s="34" t="str"/>
      <x:c r="M152" s="34" t="str"/>
      <x:c r="N152" s="34" t="str"/>
      <x:c r="O152" s="34" t="str"/>
      <x:c r="P152" s="34" t="str"/>
      <x:c r="Q152" s="34" t="str"/>
    </x:row>
    <x:row r="153">
      <x:c r="A153" s="34" t="str">
        <x:v>M5-HIT-0148</x:v>
      </x:c>
      <x:c r="B153" s="34" t="str"/>
      <x:c r="C153" s="34" t="str"/>
      <x:c r="D153" s="34" t="str"/>
      <x:c r="E153" s="34" t="str"/>
      <x:c r="F153" s="34" t="str"/>
      <x:c r="G153" s="34" t="str"/>
      <x:c r="H153" s="34" t="str"/>
      <x:c r="I153" s="34" t="str"/>
      <x:c r="J153" s="34" t="str"/>
      <x:c r="K153" s="34" t="str"/>
      <x:c r="L153" s="34" t="str"/>
      <x:c r="M153" s="34" t="str"/>
      <x:c r="N153" s="34" t="str"/>
      <x:c r="O153" s="34" t="str"/>
      <x:c r="P153" s="34" t="str"/>
      <x:c r="Q153" s="34" t="str"/>
    </x:row>
    <x:row r="154">
      <x:c r="A154" s="34" t="str">
        <x:v>M5-HIT-0149</x:v>
      </x:c>
      <x:c r="B154" s="34" t="str"/>
      <x:c r="C154" s="34" t="str"/>
      <x:c r="D154" s="34" t="str"/>
      <x:c r="E154" s="34" t="str"/>
      <x:c r="F154" s="34" t="str"/>
      <x:c r="G154" s="34" t="str"/>
      <x:c r="H154" s="34" t="str"/>
      <x:c r="I154" s="34" t="str"/>
      <x:c r="J154" s="34" t="str"/>
      <x:c r="K154" s="34" t="str"/>
      <x:c r="L154" s="34" t="str"/>
      <x:c r="M154" s="34" t="str"/>
      <x:c r="N154" s="34" t="str"/>
      <x:c r="O154" s="34" t="str"/>
      <x:c r="P154" s="34" t="str"/>
      <x:c r="Q154" s="34" t="str"/>
    </x:row>
    <x:row r="155">
      <x:c r="A155" s="34" t="str">
        <x:v>M5-HIT-0150</x:v>
      </x:c>
      <x:c r="B155" s="34" t="str"/>
      <x:c r="C155" s="34" t="str"/>
      <x:c r="D155" s="34" t="str"/>
      <x:c r="E155" s="34" t="str"/>
      <x:c r="F155" s="34" t="str"/>
      <x:c r="G155" s="34" t="str"/>
      <x:c r="H155" s="34" t="str"/>
      <x:c r="I155" s="34" t="str"/>
      <x:c r="J155" s="34" t="str"/>
      <x:c r="K155" s="34" t="str"/>
      <x:c r="L155" s="34" t="str"/>
      <x:c r="M155" s="34" t="str"/>
      <x:c r="N155" s="34" t="str"/>
      <x:c r="O155" s="34" t="str"/>
      <x:c r="P155" s="34" t="str"/>
      <x:c r="Q155" s="34" t="str"/>
    </x:row>
    <x:row r="156">
      <x:c r="A156" s="34" t="str">
        <x:v>M5-HIT-0151</x:v>
      </x:c>
      <x:c r="B156" s="34" t="str"/>
      <x:c r="C156" s="34" t="str"/>
      <x:c r="D156" s="34" t="str"/>
      <x:c r="E156" s="34" t="str"/>
      <x:c r="F156" s="34" t="str"/>
      <x:c r="G156" s="34" t="str"/>
      <x:c r="H156" s="34" t="str"/>
      <x:c r="I156" s="34" t="str"/>
      <x:c r="J156" s="34" t="str"/>
      <x:c r="K156" s="34" t="str"/>
      <x:c r="L156" s="34" t="str"/>
      <x:c r="M156" s="34" t="str"/>
      <x:c r="N156" s="34" t="str"/>
      <x:c r="O156" s="34" t="str"/>
      <x:c r="P156" s="34" t="str"/>
      <x:c r="Q156" s="34" t="str"/>
    </x:row>
    <x:row r="157">
      <x:c r="A157" s="34" t="str">
        <x:v>M5-HIT-0152</x:v>
      </x:c>
      <x:c r="B157" s="34" t="str"/>
      <x:c r="C157" s="34" t="str"/>
      <x:c r="D157" s="34" t="str"/>
      <x:c r="E157" s="34" t="str"/>
      <x:c r="F157" s="34" t="str"/>
      <x:c r="G157" s="34" t="str"/>
      <x:c r="H157" s="34" t="str"/>
      <x:c r="I157" s="34" t="str"/>
      <x:c r="J157" s="34" t="str"/>
      <x:c r="K157" s="34" t="str"/>
      <x:c r="L157" s="34" t="str"/>
      <x:c r="M157" s="34" t="str"/>
      <x:c r="N157" s="34" t="str"/>
      <x:c r="O157" s="34" t="str"/>
      <x:c r="P157" s="34" t="str"/>
      <x:c r="Q157" s="34" t="str"/>
    </x:row>
    <x:row r="158">
      <x:c r="A158" s="34" t="str">
        <x:v>M5-HIT-0153</x:v>
      </x:c>
      <x:c r="B158" s="34" t="str"/>
      <x:c r="C158" s="34" t="str"/>
      <x:c r="D158" s="34" t="str"/>
      <x:c r="E158" s="34" t="str"/>
      <x:c r="F158" s="34" t="str"/>
      <x:c r="G158" s="34" t="str"/>
      <x:c r="H158" s="34" t="str"/>
      <x:c r="I158" s="34" t="str"/>
      <x:c r="J158" s="34" t="str"/>
      <x:c r="K158" s="34" t="str"/>
      <x:c r="L158" s="34" t="str"/>
      <x:c r="M158" s="34" t="str"/>
      <x:c r="N158" s="34" t="str"/>
      <x:c r="O158" s="34" t="str"/>
      <x:c r="P158" s="34" t="str"/>
      <x:c r="Q158" s="34" t="str"/>
    </x:row>
    <x:row r="159">
      <x:c r="A159" s="34" t="str">
        <x:v>M5-HIT-0154</x:v>
      </x:c>
      <x:c r="B159" s="34" t="str"/>
      <x:c r="C159" s="34" t="str"/>
      <x:c r="D159" s="34" t="str"/>
      <x:c r="E159" s="34" t="str"/>
      <x:c r="F159" s="34" t="str"/>
      <x:c r="G159" s="34" t="str"/>
      <x:c r="H159" s="34" t="str"/>
      <x:c r="I159" s="34" t="str"/>
      <x:c r="J159" s="34" t="str"/>
      <x:c r="K159" s="34" t="str"/>
      <x:c r="L159" s="34" t="str"/>
      <x:c r="M159" s="34" t="str"/>
      <x:c r="N159" s="34" t="str"/>
      <x:c r="O159" s="34" t="str"/>
      <x:c r="P159" s="34" t="str"/>
      <x:c r="Q159" s="34" t="str"/>
    </x:row>
    <x:row r="160">
      <x:c r="A160" s="34" t="str">
        <x:v>M5-HIT-0155</x:v>
      </x:c>
      <x:c r="B160" s="34" t="str"/>
      <x:c r="C160" s="34" t="str"/>
      <x:c r="D160" s="34" t="str"/>
      <x:c r="E160" s="34" t="str"/>
      <x:c r="F160" s="34" t="str"/>
      <x:c r="G160" s="34" t="str"/>
      <x:c r="H160" s="34" t="str"/>
      <x:c r="I160" s="34" t="str"/>
      <x:c r="J160" s="34" t="str"/>
      <x:c r="K160" s="34" t="str"/>
      <x:c r="L160" s="34" t="str"/>
      <x:c r="M160" s="34" t="str"/>
      <x:c r="N160" s="34" t="str"/>
      <x:c r="O160" s="34" t="str"/>
      <x:c r="P160" s="34" t="str"/>
      <x:c r="Q160" s="34" t="str"/>
    </x:row>
    <x:row r="161">
      <x:c r="A161" s="34" t="str">
        <x:v>M5-HIT-0156</x:v>
      </x:c>
      <x:c r="B161" s="34" t="str"/>
      <x:c r="C161" s="34" t="str"/>
      <x:c r="D161" s="34" t="str"/>
      <x:c r="E161" s="34" t="str"/>
      <x:c r="F161" s="34" t="str"/>
      <x:c r="G161" s="34" t="str"/>
      <x:c r="H161" s="34" t="str"/>
      <x:c r="I161" s="34" t="str"/>
      <x:c r="J161" s="34" t="str"/>
      <x:c r="K161" s="34" t="str"/>
      <x:c r="L161" s="34" t="str"/>
      <x:c r="M161" s="34" t="str"/>
      <x:c r="N161" s="34" t="str"/>
      <x:c r="O161" s="34" t="str"/>
      <x:c r="P161" s="34" t="str"/>
      <x:c r="Q161" s="34" t="str"/>
    </x:row>
    <x:row r="162">
      <x:c r="A162" s="34" t="str">
        <x:v>M5-HIT-0157</x:v>
      </x:c>
      <x:c r="B162" s="34" t="str"/>
      <x:c r="C162" s="34" t="str"/>
      <x:c r="D162" s="34" t="str"/>
      <x:c r="E162" s="34" t="str"/>
      <x:c r="F162" s="34" t="str"/>
      <x:c r="G162" s="34" t="str"/>
      <x:c r="H162" s="34" t="str"/>
      <x:c r="I162" s="34" t="str"/>
      <x:c r="J162" s="34" t="str"/>
      <x:c r="K162" s="34" t="str"/>
      <x:c r="L162" s="34" t="str"/>
      <x:c r="M162" s="34" t="str"/>
      <x:c r="N162" s="34" t="str"/>
      <x:c r="O162" s="34" t="str"/>
      <x:c r="P162" s="34" t="str"/>
      <x:c r="Q162" s="34" t="str"/>
    </x:row>
    <x:row r="163">
      <x:c r="A163" s="34" t="str">
        <x:v>M5-HIT-0158</x:v>
      </x:c>
      <x:c r="B163" s="34" t="str"/>
      <x:c r="C163" s="34" t="str"/>
      <x:c r="D163" s="34" t="str"/>
      <x:c r="E163" s="34" t="str"/>
      <x:c r="F163" s="34" t="str"/>
      <x:c r="G163" s="34" t="str"/>
      <x:c r="H163" s="34" t="str"/>
      <x:c r="I163" s="34" t="str"/>
      <x:c r="J163" s="34" t="str"/>
      <x:c r="K163" s="34" t="str"/>
      <x:c r="L163" s="34" t="str"/>
      <x:c r="M163" s="34" t="str"/>
      <x:c r="N163" s="34" t="str"/>
      <x:c r="O163" s="34" t="str"/>
      <x:c r="P163" s="34" t="str"/>
      <x:c r="Q163" s="34" t="str"/>
    </x:row>
    <x:row r="164">
      <x:c r="A164" s="34" t="str">
        <x:v>M5-HIT-0159</x:v>
      </x:c>
      <x:c r="B164" s="34" t="str"/>
      <x:c r="C164" s="34" t="str"/>
      <x:c r="D164" s="34" t="str"/>
      <x:c r="E164" s="34" t="str"/>
      <x:c r="F164" s="34" t="str"/>
      <x:c r="G164" s="34" t="str"/>
      <x:c r="H164" s="34" t="str"/>
      <x:c r="I164" s="34" t="str"/>
      <x:c r="J164" s="34" t="str"/>
      <x:c r="K164" s="34" t="str"/>
      <x:c r="L164" s="34" t="str"/>
      <x:c r="M164" s="34" t="str"/>
      <x:c r="N164" s="34" t="str"/>
      <x:c r="O164" s="34" t="str"/>
      <x:c r="P164" s="34" t="str"/>
      <x:c r="Q164" s="34" t="str"/>
    </x:row>
    <x:row r="165">
      <x:c r="A165" s="34" t="str">
        <x:v>M5-HIT-0160</x:v>
      </x:c>
      <x:c r="B165" s="34" t="str"/>
      <x:c r="C165" s="34" t="str"/>
      <x:c r="D165" s="34" t="str"/>
      <x:c r="E165" s="34" t="str"/>
      <x:c r="F165" s="34" t="str"/>
      <x:c r="G165" s="34" t="str"/>
      <x:c r="H165" s="34" t="str"/>
      <x:c r="I165" s="34" t="str"/>
      <x:c r="J165" s="34" t="str"/>
      <x:c r="K165" s="34" t="str"/>
      <x:c r="L165" s="34" t="str"/>
      <x:c r="M165" s="34" t="str"/>
      <x:c r="N165" s="34" t="str"/>
      <x:c r="O165" s="34" t="str"/>
      <x:c r="P165" s="34" t="str"/>
      <x:c r="Q165" s="34" t="str"/>
    </x:row>
    <x:row r="166">
      <x:c r="A166" s="34" t="str">
        <x:v>M5-HIT-0161</x:v>
      </x:c>
      <x:c r="B166" s="34" t="str"/>
      <x:c r="C166" s="34" t="str"/>
      <x:c r="D166" s="34" t="str"/>
      <x:c r="E166" s="34" t="str"/>
      <x:c r="F166" s="34" t="str"/>
      <x:c r="G166" s="34" t="str"/>
      <x:c r="H166" s="34" t="str"/>
      <x:c r="I166" s="34" t="str"/>
      <x:c r="J166" s="34" t="str"/>
      <x:c r="K166" s="34" t="str"/>
      <x:c r="L166" s="34" t="str"/>
      <x:c r="M166" s="34" t="str"/>
      <x:c r="N166" s="34" t="str"/>
      <x:c r="O166" s="34" t="str"/>
      <x:c r="P166" s="34" t="str"/>
      <x:c r="Q166" s="34" t="str"/>
    </x:row>
    <x:row r="167">
      <x:c r="A167" s="34" t="str">
        <x:v>M5-HIT-0162</x:v>
      </x:c>
      <x:c r="B167" s="34" t="str"/>
      <x:c r="C167" s="34" t="str"/>
      <x:c r="D167" s="34" t="str"/>
      <x:c r="E167" s="34" t="str"/>
      <x:c r="F167" s="34" t="str"/>
      <x:c r="G167" s="34" t="str"/>
      <x:c r="H167" s="34" t="str"/>
      <x:c r="I167" s="34" t="str"/>
      <x:c r="J167" s="34" t="str"/>
      <x:c r="K167" s="34" t="str"/>
      <x:c r="L167" s="34" t="str"/>
      <x:c r="M167" s="34" t="str"/>
      <x:c r="N167" s="34" t="str"/>
      <x:c r="O167" s="34" t="str"/>
      <x:c r="P167" s="34" t="str"/>
      <x:c r="Q167" s="34" t="str"/>
    </x:row>
    <x:row r="168">
      <x:c r="A168" s="34" t="str">
        <x:v>M5-HIT-0163</x:v>
      </x:c>
      <x:c r="B168" s="34" t="str"/>
      <x:c r="C168" s="34" t="str"/>
      <x:c r="D168" s="34" t="str"/>
      <x:c r="E168" s="34" t="str"/>
      <x:c r="F168" s="34" t="str"/>
      <x:c r="G168" s="34" t="str"/>
      <x:c r="H168" s="34" t="str"/>
      <x:c r="I168" s="34" t="str"/>
      <x:c r="J168" s="34" t="str"/>
      <x:c r="K168" s="34" t="str"/>
      <x:c r="L168" s="34" t="str"/>
      <x:c r="M168" s="34" t="str"/>
      <x:c r="N168" s="34" t="str"/>
      <x:c r="O168" s="34" t="str"/>
      <x:c r="P168" s="34" t="str"/>
      <x:c r="Q168" s="34" t="str"/>
    </x:row>
    <x:row r="169">
      <x:c r="A169" s="34" t="str">
        <x:v>M5-HIT-0164</x:v>
      </x:c>
      <x:c r="B169" s="34" t="str"/>
      <x:c r="C169" s="34" t="str"/>
      <x:c r="D169" s="34" t="str"/>
      <x:c r="E169" s="34" t="str"/>
      <x:c r="F169" s="34" t="str"/>
      <x:c r="G169" s="34" t="str"/>
      <x:c r="H169" s="34" t="str"/>
      <x:c r="I169" s="34" t="str"/>
      <x:c r="J169" s="34" t="str"/>
      <x:c r="K169" s="34" t="str"/>
      <x:c r="L169" s="34" t="str"/>
      <x:c r="M169" s="34" t="str"/>
      <x:c r="N169" s="34" t="str"/>
      <x:c r="O169" s="34" t="str"/>
      <x:c r="P169" s="34" t="str"/>
      <x:c r="Q169" s="34" t="str"/>
    </x:row>
    <x:row r="170">
      <x:c r="A170" s="34" t="str">
        <x:v>M5-HIT-0165</x:v>
      </x:c>
      <x:c r="B170" s="34" t="str"/>
      <x:c r="C170" s="34" t="str"/>
      <x:c r="D170" s="34" t="str"/>
      <x:c r="E170" s="34" t="str"/>
      <x:c r="F170" s="34" t="str"/>
      <x:c r="G170" s="34" t="str"/>
      <x:c r="H170" s="34" t="str"/>
      <x:c r="I170" s="34" t="str"/>
      <x:c r="J170" s="34" t="str"/>
      <x:c r="K170" s="34" t="str"/>
      <x:c r="L170" s="34" t="str"/>
      <x:c r="M170" s="34" t="str"/>
      <x:c r="N170" s="34" t="str"/>
      <x:c r="O170" s="34" t="str"/>
      <x:c r="P170" s="34" t="str"/>
      <x:c r="Q170" s="34" t="str"/>
    </x:row>
    <x:row r="171">
      <x:c r="A171" s="34" t="str">
        <x:v>M5-HIT-0166</x:v>
      </x:c>
      <x:c r="B171" s="34" t="str"/>
      <x:c r="C171" s="34" t="str"/>
      <x:c r="D171" s="34" t="str"/>
      <x:c r="E171" s="34" t="str"/>
      <x:c r="F171" s="34" t="str"/>
      <x:c r="G171" s="34" t="str"/>
      <x:c r="H171" s="34" t="str"/>
      <x:c r="I171" s="34" t="str"/>
      <x:c r="J171" s="34" t="str"/>
      <x:c r="K171" s="34" t="str"/>
      <x:c r="L171" s="34" t="str"/>
      <x:c r="M171" s="34" t="str"/>
      <x:c r="N171" s="34" t="str"/>
      <x:c r="O171" s="34" t="str"/>
      <x:c r="P171" s="34" t="str"/>
      <x:c r="Q171" s="34" t="str"/>
    </x:row>
    <x:row r="172">
      <x:c r="A172" s="34" t="str">
        <x:v>M5-HIT-0167</x:v>
      </x:c>
      <x:c r="B172" s="34" t="str"/>
      <x:c r="C172" s="34" t="str"/>
      <x:c r="D172" s="34" t="str"/>
      <x:c r="E172" s="34" t="str"/>
      <x:c r="F172" s="34" t="str"/>
      <x:c r="G172" s="34" t="str"/>
      <x:c r="H172" s="34" t="str"/>
      <x:c r="I172" s="34" t="str"/>
      <x:c r="J172" s="34" t="str"/>
      <x:c r="K172" s="34" t="str"/>
      <x:c r="L172" s="34" t="str"/>
      <x:c r="M172" s="34" t="str"/>
      <x:c r="N172" s="34" t="str"/>
      <x:c r="O172" s="34" t="str"/>
      <x:c r="P172" s="34" t="str"/>
      <x:c r="Q172" s="34" t="str"/>
    </x:row>
    <x:row r="173">
      <x:c r="A173" s="34" t="str">
        <x:v>M5-HIT-0168</x:v>
      </x:c>
      <x:c r="B173" s="34" t="str"/>
      <x:c r="C173" s="34" t="str"/>
      <x:c r="D173" s="34" t="str"/>
      <x:c r="E173" s="34" t="str"/>
      <x:c r="F173" s="34" t="str"/>
      <x:c r="G173" s="34" t="str"/>
      <x:c r="H173" s="34" t="str"/>
      <x:c r="I173" s="34" t="str"/>
      <x:c r="J173" s="34" t="str"/>
      <x:c r="K173" s="34" t="str"/>
      <x:c r="L173" s="34" t="str"/>
      <x:c r="M173" s="34" t="str"/>
      <x:c r="N173" s="34" t="str"/>
      <x:c r="O173" s="34" t="str"/>
      <x:c r="P173" s="34" t="str"/>
      <x:c r="Q173" s="34" t="str"/>
    </x:row>
    <x:row r="174">
      <x:c r="A174" s="34" t="str">
        <x:v>M5-HIT-0169</x:v>
      </x:c>
      <x:c r="B174" s="34" t="str"/>
      <x:c r="C174" s="34" t="str"/>
      <x:c r="D174" s="34" t="str"/>
      <x:c r="E174" s="34" t="str"/>
      <x:c r="F174" s="34" t="str"/>
      <x:c r="G174" s="34" t="str"/>
      <x:c r="H174" s="34" t="str"/>
      <x:c r="I174" s="34" t="str"/>
      <x:c r="J174" s="34" t="str"/>
      <x:c r="K174" s="34" t="str"/>
      <x:c r="L174" s="34" t="str"/>
      <x:c r="M174" s="34" t="str"/>
      <x:c r="N174" s="34" t="str"/>
      <x:c r="O174" s="34" t="str"/>
      <x:c r="P174" s="34" t="str"/>
      <x:c r="Q174" s="34" t="str"/>
    </x:row>
    <x:row r="175">
      <x:c r="A175" s="34" t="str">
        <x:v>M5-HIT-0170</x:v>
      </x:c>
      <x:c r="B175" s="34" t="str"/>
      <x:c r="C175" s="34" t="str"/>
      <x:c r="D175" s="34" t="str"/>
      <x:c r="E175" s="34" t="str"/>
      <x:c r="F175" s="34" t="str"/>
      <x:c r="G175" s="34" t="str"/>
      <x:c r="H175" s="34" t="str"/>
      <x:c r="I175" s="34" t="str"/>
      <x:c r="J175" s="34" t="str"/>
      <x:c r="K175" s="34" t="str"/>
      <x:c r="L175" s="34" t="str"/>
      <x:c r="M175" s="34" t="str"/>
      <x:c r="N175" s="34" t="str"/>
      <x:c r="O175" s="34" t="str"/>
      <x:c r="P175" s="34" t="str"/>
      <x:c r="Q175" s="34" t="str"/>
    </x:row>
    <x:row r="176">
      <x:c r="A176" s="34" t="str">
        <x:v>M5-HIT-0171</x:v>
      </x:c>
      <x:c r="B176" s="34" t="str"/>
      <x:c r="C176" s="34" t="str"/>
      <x:c r="D176" s="34" t="str"/>
      <x:c r="E176" s="34" t="str"/>
      <x:c r="F176" s="34" t="str"/>
      <x:c r="G176" s="34" t="str"/>
      <x:c r="H176" s="34" t="str"/>
      <x:c r="I176" s="34" t="str"/>
      <x:c r="J176" s="34" t="str"/>
      <x:c r="K176" s="34" t="str"/>
      <x:c r="L176" s="34" t="str"/>
      <x:c r="M176" s="34" t="str"/>
      <x:c r="N176" s="34" t="str"/>
      <x:c r="O176" s="34" t="str"/>
      <x:c r="P176" s="34" t="str"/>
      <x:c r="Q176" s="34" t="str"/>
    </x:row>
    <x:row r="177">
      <x:c r="A177" s="34" t="str">
        <x:v>M5-HIT-0172</x:v>
      </x:c>
      <x:c r="B177" s="34" t="str"/>
      <x:c r="C177" s="34" t="str"/>
      <x:c r="D177" s="34" t="str"/>
      <x:c r="E177" s="34" t="str"/>
      <x:c r="F177" s="34" t="str"/>
      <x:c r="G177" s="34" t="str"/>
      <x:c r="H177" s="34" t="str"/>
      <x:c r="I177" s="34" t="str"/>
      <x:c r="J177" s="34" t="str"/>
      <x:c r="K177" s="34" t="str"/>
      <x:c r="L177" s="34" t="str"/>
      <x:c r="M177" s="34" t="str"/>
      <x:c r="N177" s="34" t="str"/>
      <x:c r="O177" s="34" t="str"/>
      <x:c r="P177" s="34" t="str"/>
      <x:c r="Q177" s="34" t="str"/>
    </x:row>
    <x:row r="178">
      <x:c r="A178" s="34" t="str">
        <x:v>M5-HIT-0173</x:v>
      </x:c>
      <x:c r="B178" s="34" t="str"/>
      <x:c r="C178" s="34" t="str"/>
      <x:c r="D178" s="34" t="str"/>
      <x:c r="E178" s="34" t="str"/>
      <x:c r="F178" s="34" t="str"/>
      <x:c r="G178" s="34" t="str"/>
      <x:c r="H178" s="34" t="str"/>
      <x:c r="I178" s="34" t="str"/>
      <x:c r="J178" s="34" t="str"/>
      <x:c r="K178" s="34" t="str"/>
      <x:c r="L178" s="34" t="str"/>
      <x:c r="M178" s="34" t="str"/>
      <x:c r="N178" s="34" t="str"/>
      <x:c r="O178" s="34" t="str"/>
      <x:c r="P178" s="34" t="str"/>
      <x:c r="Q178" s="34" t="str"/>
    </x:row>
    <x:row r="179">
      <x:c r="A179" s="34" t="str">
        <x:v>M5-HIT-0174</x:v>
      </x:c>
      <x:c r="B179" s="34" t="str"/>
      <x:c r="C179" s="34" t="str"/>
      <x:c r="D179" s="34" t="str"/>
      <x:c r="E179" s="34" t="str"/>
      <x:c r="F179" s="34" t="str"/>
      <x:c r="G179" s="34" t="str"/>
      <x:c r="H179" s="34" t="str"/>
      <x:c r="I179" s="34" t="str"/>
      <x:c r="J179" s="34" t="str"/>
      <x:c r="K179" s="34" t="str"/>
      <x:c r="L179" s="34" t="str"/>
      <x:c r="M179" s="34" t="str"/>
      <x:c r="N179" s="34" t="str"/>
      <x:c r="O179" s="34" t="str"/>
      <x:c r="P179" s="34" t="str"/>
      <x:c r="Q179" s="34" t="str"/>
    </x:row>
    <x:row r="180">
      <x:c r="A180" s="34" t="str">
        <x:v>M5-HIT-0175</x:v>
      </x:c>
      <x:c r="B180" s="34" t="str"/>
      <x:c r="C180" s="34" t="str"/>
      <x:c r="D180" s="34" t="str"/>
      <x:c r="E180" s="34" t="str"/>
      <x:c r="F180" s="34" t="str"/>
      <x:c r="G180" s="34" t="str"/>
      <x:c r="H180" s="34" t="str"/>
      <x:c r="I180" s="34" t="str"/>
      <x:c r="J180" s="34" t="str"/>
      <x:c r="K180" s="34" t="str"/>
      <x:c r="L180" s="34" t="str"/>
      <x:c r="M180" s="34" t="str"/>
      <x:c r="N180" s="34" t="str"/>
      <x:c r="O180" s="34" t="str"/>
      <x:c r="P180" s="34" t="str"/>
      <x:c r="Q180" s="34" t="str"/>
    </x:row>
    <x:row r="181">
      <x:c r="A181" s="34" t="str">
        <x:v>M5-HIT-0176</x:v>
      </x:c>
      <x:c r="B181" s="34" t="str"/>
      <x:c r="C181" s="34" t="str"/>
      <x:c r="D181" s="34" t="str"/>
      <x:c r="E181" s="34" t="str"/>
      <x:c r="F181" s="34" t="str"/>
      <x:c r="G181" s="34" t="str"/>
      <x:c r="H181" s="34" t="str"/>
      <x:c r="I181" s="34" t="str"/>
      <x:c r="J181" s="34" t="str"/>
      <x:c r="K181" s="34" t="str"/>
      <x:c r="L181" s="34" t="str"/>
      <x:c r="M181" s="34" t="str"/>
      <x:c r="N181" s="34" t="str"/>
      <x:c r="O181" s="34" t="str"/>
      <x:c r="P181" s="34" t="str"/>
      <x:c r="Q181" s="34" t="str"/>
    </x:row>
    <x:row r="182">
      <x:c r="A182" s="34" t="str">
        <x:v>M5-HIT-0177</x:v>
      </x:c>
      <x:c r="B182" s="34" t="str"/>
      <x:c r="C182" s="34" t="str"/>
      <x:c r="D182" s="34" t="str"/>
      <x:c r="E182" s="34" t="str"/>
      <x:c r="F182" s="34" t="str"/>
      <x:c r="G182" s="34" t="str"/>
      <x:c r="H182" s="34" t="str"/>
      <x:c r="I182" s="34" t="str"/>
      <x:c r="J182" s="34" t="str"/>
      <x:c r="K182" s="34" t="str"/>
      <x:c r="L182" s="34" t="str"/>
      <x:c r="M182" s="34" t="str"/>
      <x:c r="N182" s="34" t="str"/>
      <x:c r="O182" s="34" t="str"/>
      <x:c r="P182" s="34" t="str"/>
      <x:c r="Q182" s="34" t="str"/>
    </x:row>
    <x:row r="183">
      <x:c r="A183" s="34" t="str">
        <x:v>M5-HIT-0178</x:v>
      </x:c>
      <x:c r="B183" s="34" t="str"/>
      <x:c r="C183" s="34" t="str"/>
      <x:c r="D183" s="34" t="str"/>
      <x:c r="E183" s="34" t="str"/>
      <x:c r="F183" s="34" t="str"/>
      <x:c r="G183" s="34" t="str"/>
      <x:c r="H183" s="34" t="str"/>
      <x:c r="I183" s="34" t="str"/>
      <x:c r="J183" s="34" t="str"/>
      <x:c r="K183" s="34" t="str"/>
      <x:c r="L183" s="34" t="str"/>
      <x:c r="M183" s="34" t="str"/>
      <x:c r="N183" s="34" t="str"/>
      <x:c r="O183" s="34" t="str"/>
      <x:c r="P183" s="34" t="str"/>
      <x:c r="Q183" s="34" t="str"/>
    </x:row>
    <x:row r="184">
      <x:c r="A184" s="34" t="str">
        <x:v>M5-HIT-0179</x:v>
      </x:c>
      <x:c r="B184" s="34" t="str"/>
      <x:c r="C184" s="34" t="str"/>
      <x:c r="D184" s="34" t="str"/>
      <x:c r="E184" s="34" t="str"/>
      <x:c r="F184" s="34" t="str"/>
      <x:c r="G184" s="34" t="str"/>
      <x:c r="H184" s="34" t="str"/>
      <x:c r="I184" s="34" t="str"/>
      <x:c r="J184" s="34" t="str"/>
      <x:c r="K184" s="34" t="str"/>
      <x:c r="L184" s="34" t="str"/>
      <x:c r="M184" s="34" t="str"/>
      <x:c r="N184" s="34" t="str"/>
      <x:c r="O184" s="34" t="str"/>
      <x:c r="P184" s="34" t="str"/>
      <x:c r="Q184" s="34" t="str"/>
    </x:row>
    <x:row r="185">
      <x:c r="A185" s="34" t="str">
        <x:v>M5-HIT-0180</x:v>
      </x:c>
      <x:c r="B185" s="34" t="str"/>
      <x:c r="C185" s="34" t="str"/>
      <x:c r="D185" s="34" t="str"/>
      <x:c r="E185" s="34" t="str"/>
      <x:c r="F185" s="34" t="str"/>
      <x:c r="G185" s="34" t="str"/>
      <x:c r="H185" s="34" t="str"/>
      <x:c r="I185" s="34" t="str"/>
      <x:c r="J185" s="34" t="str"/>
      <x:c r="K185" s="34" t="str"/>
      <x:c r="L185" s="34" t="str"/>
      <x:c r="M185" s="34" t="str"/>
      <x:c r="N185" s="34" t="str"/>
      <x:c r="O185" s="34" t="str"/>
      <x:c r="P185" s="34" t="str"/>
      <x:c r="Q185" s="34" t="str"/>
    </x:row>
    <x:row r="186">
      <x:c r="A186" s="34" t="str">
        <x:v>M5-HIT-0181</x:v>
      </x:c>
      <x:c r="B186" s="34" t="str"/>
      <x:c r="C186" s="34" t="str"/>
      <x:c r="D186" s="34" t="str"/>
      <x:c r="E186" s="34" t="str"/>
      <x:c r="F186" s="34" t="str"/>
      <x:c r="G186" s="34" t="str"/>
      <x:c r="H186" s="34" t="str"/>
      <x:c r="I186" s="34" t="str"/>
      <x:c r="J186" s="34" t="str"/>
      <x:c r="K186" s="34" t="str"/>
      <x:c r="L186" s="34" t="str"/>
      <x:c r="M186" s="34" t="str"/>
      <x:c r="N186" s="34" t="str"/>
      <x:c r="O186" s="34" t="str"/>
      <x:c r="P186" s="34" t="str"/>
      <x:c r="Q186" s="34" t="str"/>
    </x:row>
    <x:row r="187">
      <x:c r="A187" s="34" t="str">
        <x:v>M5-HIT-0182</x:v>
      </x:c>
      <x:c r="B187" s="34" t="str"/>
      <x:c r="C187" s="34" t="str"/>
      <x:c r="D187" s="34" t="str"/>
      <x:c r="E187" s="34" t="str"/>
      <x:c r="F187" s="34" t="str"/>
      <x:c r="G187" s="34" t="str"/>
      <x:c r="H187" s="34" t="str"/>
      <x:c r="I187" s="34" t="str"/>
      <x:c r="J187" s="34" t="str"/>
      <x:c r="K187" s="34" t="str"/>
      <x:c r="L187" s="34" t="str"/>
      <x:c r="M187" s="34" t="str"/>
      <x:c r="N187" s="34" t="str"/>
      <x:c r="O187" s="34" t="str"/>
      <x:c r="P187" s="34" t="str"/>
      <x:c r="Q187" s="34" t="str"/>
    </x:row>
    <x:row r="188">
      <x:c r="A188" s="34" t="str">
        <x:v>M5-HIT-0183</x:v>
      </x:c>
      <x:c r="B188" s="34" t="str"/>
      <x:c r="C188" s="34" t="str"/>
      <x:c r="D188" s="34" t="str"/>
      <x:c r="E188" s="34" t="str"/>
      <x:c r="F188" s="34" t="str"/>
      <x:c r="G188" s="34" t="str"/>
      <x:c r="H188" s="34" t="str"/>
      <x:c r="I188" s="34" t="str"/>
      <x:c r="J188" s="34" t="str"/>
      <x:c r="K188" s="34" t="str"/>
      <x:c r="L188" s="34" t="str"/>
      <x:c r="M188" s="34" t="str"/>
      <x:c r="N188" s="34" t="str"/>
      <x:c r="O188" s="34" t="str"/>
      <x:c r="P188" s="34" t="str"/>
      <x:c r="Q188" s="34" t="str"/>
    </x:row>
    <x:row r="189">
      <x:c r="A189" s="34" t="str">
        <x:v>M5-HIT-0184</x:v>
      </x:c>
      <x:c r="B189" s="34" t="str"/>
      <x:c r="C189" s="34" t="str"/>
      <x:c r="D189" s="34" t="str"/>
      <x:c r="E189" s="34" t="str"/>
      <x:c r="F189" s="34" t="str"/>
      <x:c r="G189" s="34" t="str"/>
      <x:c r="H189" s="34" t="str"/>
      <x:c r="I189" s="34" t="str"/>
      <x:c r="J189" s="34" t="str"/>
      <x:c r="K189" s="34" t="str"/>
      <x:c r="L189" s="34" t="str"/>
      <x:c r="M189" s="34" t="str"/>
      <x:c r="N189" s="34" t="str"/>
      <x:c r="O189" s="34" t="str"/>
      <x:c r="P189" s="34" t="str"/>
      <x:c r="Q189" s="34" t="str"/>
    </x:row>
    <x:row r="190">
      <x:c r="A190" s="34" t="str">
        <x:v>M5-HIT-0185</x:v>
      </x:c>
      <x:c r="B190" s="34" t="str"/>
      <x:c r="C190" s="34" t="str"/>
      <x:c r="D190" s="34" t="str"/>
      <x:c r="E190" s="34" t="str"/>
      <x:c r="F190" s="34" t="str"/>
      <x:c r="G190" s="34" t="str"/>
      <x:c r="H190" s="34" t="str"/>
      <x:c r="I190" s="34" t="str"/>
      <x:c r="J190" s="34" t="str"/>
      <x:c r="K190" s="34" t="str"/>
      <x:c r="L190" s="34" t="str"/>
      <x:c r="M190" s="34" t="str"/>
      <x:c r="N190" s="34" t="str"/>
      <x:c r="O190" s="34" t="str"/>
      <x:c r="P190" s="34" t="str"/>
      <x:c r="Q190" s="34" t="str"/>
    </x:row>
    <x:row r="191">
      <x:c r="A191" s="34" t="str">
        <x:v>M5-HIT-0186</x:v>
      </x:c>
      <x:c r="B191" s="34" t="str"/>
      <x:c r="C191" s="34" t="str"/>
      <x:c r="D191" s="34" t="str"/>
      <x:c r="E191" s="34" t="str"/>
      <x:c r="F191" s="34" t="str"/>
      <x:c r="G191" s="34" t="str"/>
      <x:c r="H191" s="34" t="str"/>
      <x:c r="I191" s="34" t="str"/>
      <x:c r="J191" s="34" t="str"/>
      <x:c r="K191" s="34" t="str"/>
      <x:c r="L191" s="34" t="str"/>
      <x:c r="M191" s="34" t="str"/>
      <x:c r="N191" s="34" t="str"/>
      <x:c r="O191" s="34" t="str"/>
      <x:c r="P191" s="34" t="str"/>
      <x:c r="Q191" s="34" t="str"/>
    </x:row>
    <x:row r="192">
      <x:c r="A192" s="34" t="str">
        <x:v>M5-HIT-0187</x:v>
      </x:c>
      <x:c r="B192" s="34" t="str"/>
      <x:c r="C192" s="34" t="str"/>
      <x:c r="D192" s="34" t="str"/>
      <x:c r="E192" s="34" t="str"/>
      <x:c r="F192" s="34" t="str"/>
      <x:c r="G192" s="34" t="str"/>
      <x:c r="H192" s="34" t="str"/>
      <x:c r="I192" s="34" t="str"/>
      <x:c r="J192" s="34" t="str"/>
      <x:c r="K192" s="34" t="str"/>
      <x:c r="L192" s="34" t="str"/>
      <x:c r="M192" s="34" t="str"/>
      <x:c r="N192" s="34" t="str"/>
      <x:c r="O192" s="34" t="str"/>
      <x:c r="P192" s="34" t="str"/>
      <x:c r="Q192" s="34" t="str"/>
    </x:row>
    <x:row r="193">
      <x:c r="A193" s="34" t="str">
        <x:v>M5-HIT-0188</x:v>
      </x:c>
      <x:c r="B193" s="34" t="str"/>
      <x:c r="C193" s="34" t="str"/>
      <x:c r="D193" s="34" t="str"/>
      <x:c r="E193" s="34" t="str"/>
      <x:c r="F193" s="34" t="str"/>
      <x:c r="G193" s="34" t="str"/>
      <x:c r="H193" s="34" t="str"/>
      <x:c r="I193" s="34" t="str"/>
      <x:c r="J193" s="34" t="str"/>
      <x:c r="K193" s="34" t="str"/>
      <x:c r="L193" s="34" t="str"/>
      <x:c r="M193" s="34" t="str"/>
      <x:c r="N193" s="34" t="str"/>
      <x:c r="O193" s="34" t="str"/>
      <x:c r="P193" s="34" t="str"/>
      <x:c r="Q193" s="34" t="str"/>
    </x:row>
    <x:row r="194">
      <x:c r="A194" s="34" t="str">
        <x:v>M5-HIT-0189</x:v>
      </x:c>
      <x:c r="B194" s="34" t="str"/>
      <x:c r="C194" s="34" t="str"/>
      <x:c r="D194" s="34" t="str"/>
      <x:c r="E194" s="34" t="str"/>
      <x:c r="F194" s="34" t="str"/>
      <x:c r="G194" s="34" t="str"/>
      <x:c r="H194" s="34" t="str"/>
      <x:c r="I194" s="34" t="str"/>
      <x:c r="J194" s="34" t="str"/>
      <x:c r="K194" s="34" t="str"/>
      <x:c r="L194" s="34" t="str"/>
      <x:c r="M194" s="34" t="str"/>
      <x:c r="N194" s="34" t="str"/>
      <x:c r="O194" s="34" t="str"/>
      <x:c r="P194" s="34" t="str"/>
      <x:c r="Q194" s="34" t="str"/>
    </x:row>
    <x:row r="195">
      <x:c r="A195" s="34" t="str">
        <x:v>M5-HIT-0190</x:v>
      </x:c>
      <x:c r="B195" s="34" t="str"/>
      <x:c r="C195" s="34" t="str"/>
      <x:c r="D195" s="34" t="str"/>
      <x:c r="E195" s="34" t="str"/>
      <x:c r="F195" s="34" t="str"/>
      <x:c r="G195" s="34" t="str"/>
      <x:c r="H195" s="34" t="str"/>
      <x:c r="I195" s="34" t="str"/>
      <x:c r="J195" s="34" t="str"/>
      <x:c r="K195" s="34" t="str"/>
      <x:c r="L195" s="34" t="str"/>
      <x:c r="M195" s="34" t="str"/>
      <x:c r="N195" s="34" t="str"/>
      <x:c r="O195" s="34" t="str"/>
      <x:c r="P195" s="34" t="str"/>
      <x:c r="Q195" s="34" t="str"/>
    </x:row>
    <x:row r="196">
      <x:c r="A196" s="34" t="str">
        <x:v>M5-HIT-0191</x:v>
      </x:c>
      <x:c r="B196" s="34" t="str"/>
      <x:c r="C196" s="34" t="str"/>
      <x:c r="D196" s="34" t="str"/>
      <x:c r="E196" s="34" t="str"/>
      <x:c r="F196" s="34" t="str"/>
      <x:c r="G196" s="34" t="str"/>
      <x:c r="H196" s="34" t="str"/>
      <x:c r="I196" s="34" t="str"/>
      <x:c r="J196" s="34" t="str"/>
      <x:c r="K196" s="34" t="str"/>
      <x:c r="L196" s="34" t="str"/>
      <x:c r="M196" s="34" t="str"/>
      <x:c r="N196" s="34" t="str"/>
      <x:c r="O196" s="34" t="str"/>
      <x:c r="P196" s="34" t="str"/>
      <x:c r="Q196" s="34" t="str"/>
    </x:row>
    <x:row r="197">
      <x:c r="A197" s="34" t="str">
        <x:v>M5-HIT-0192</x:v>
      </x:c>
      <x:c r="B197" s="34" t="str"/>
      <x:c r="C197" s="34" t="str"/>
      <x:c r="D197" s="34" t="str"/>
      <x:c r="E197" s="34" t="str"/>
      <x:c r="F197" s="34" t="str"/>
      <x:c r="G197" s="34" t="str"/>
      <x:c r="H197" s="34" t="str"/>
      <x:c r="I197" s="34" t="str"/>
      <x:c r="J197" s="34" t="str"/>
      <x:c r="K197" s="34" t="str"/>
      <x:c r="L197" s="34" t="str"/>
      <x:c r="M197" s="34" t="str"/>
      <x:c r="N197" s="34" t="str"/>
      <x:c r="O197" s="34" t="str"/>
      <x:c r="P197" s="34" t="str"/>
      <x:c r="Q197" s="34" t="str"/>
    </x:row>
    <x:row r="198">
      <x:c r="A198" s="34" t="str">
        <x:v>M5-HIT-0193</x:v>
      </x:c>
      <x:c r="B198" s="34" t="str"/>
      <x:c r="C198" s="34" t="str"/>
      <x:c r="D198" s="34" t="str"/>
      <x:c r="E198" s="34" t="str"/>
      <x:c r="F198" s="34" t="str"/>
      <x:c r="G198" s="34" t="str"/>
      <x:c r="H198" s="34" t="str"/>
      <x:c r="I198" s="34" t="str"/>
      <x:c r="J198" s="34" t="str"/>
      <x:c r="K198" s="34" t="str"/>
      <x:c r="L198" s="34" t="str"/>
      <x:c r="M198" s="34" t="str"/>
      <x:c r="N198" s="34" t="str"/>
      <x:c r="O198" s="34" t="str"/>
      <x:c r="P198" s="34" t="str"/>
      <x:c r="Q198" s="34" t="str"/>
    </x:row>
    <x:row r="199">
      <x:c r="A199" s="34" t="str">
        <x:v>M5-HIT-0194</x:v>
      </x:c>
      <x:c r="B199" s="34" t="str"/>
      <x:c r="C199" s="34" t="str"/>
      <x:c r="D199" s="34" t="str"/>
      <x:c r="E199" s="34" t="str"/>
      <x:c r="F199" s="34" t="str"/>
      <x:c r="G199" s="34" t="str"/>
      <x:c r="H199" s="34" t="str"/>
      <x:c r="I199" s="34" t="str"/>
      <x:c r="J199" s="34" t="str"/>
      <x:c r="K199" s="34" t="str"/>
      <x:c r="L199" s="34" t="str"/>
      <x:c r="M199" s="34" t="str"/>
      <x:c r="N199" s="34" t="str"/>
      <x:c r="O199" s="34" t="str"/>
      <x:c r="P199" s="34" t="str"/>
      <x:c r="Q199" s="34" t="str"/>
    </x:row>
    <x:row r="200">
      <x:c r="A200" s="34" t="str">
        <x:v>M5-HIT-0195</x:v>
      </x:c>
      <x:c r="B200" s="34" t="str"/>
      <x:c r="C200" s="34" t="str"/>
      <x:c r="D200" s="34" t="str"/>
      <x:c r="E200" s="34" t="str"/>
      <x:c r="F200" s="34" t="str"/>
      <x:c r="G200" s="34" t="str"/>
      <x:c r="H200" s="34" t="str"/>
      <x:c r="I200" s="34" t="str"/>
      <x:c r="J200" s="34" t="str"/>
      <x:c r="K200" s="34" t="str"/>
      <x:c r="L200" s="34" t="str"/>
      <x:c r="M200" s="34" t="str"/>
      <x:c r="N200" s="34" t="str"/>
      <x:c r="O200" s="34" t="str"/>
      <x:c r="P200" s="34" t="str"/>
      <x:c r="Q200" s="34" t="str"/>
    </x:row>
    <x:row r="201">
      <x:c r="A201" s="34" t="str">
        <x:v>M5-HIT-0196</x:v>
      </x:c>
      <x:c r="B201" s="34" t="str"/>
      <x:c r="C201" s="34" t="str"/>
      <x:c r="D201" s="34" t="str"/>
      <x:c r="E201" s="34" t="str"/>
      <x:c r="F201" s="34" t="str"/>
      <x:c r="G201" s="34" t="str"/>
      <x:c r="H201" s="34" t="str"/>
      <x:c r="I201" s="34" t="str"/>
      <x:c r="J201" s="34" t="str"/>
      <x:c r="K201" s="34" t="str"/>
      <x:c r="L201" s="34" t="str"/>
      <x:c r="M201" s="34" t="str"/>
      <x:c r="N201" s="34" t="str"/>
      <x:c r="O201" s="34" t="str"/>
      <x:c r="P201" s="34" t="str"/>
      <x:c r="Q201" s="34" t="str"/>
    </x:row>
    <x:row r="202">
      <x:c r="A202" s="34" t="str">
        <x:v>M5-HIT-0197</x:v>
      </x:c>
      <x:c r="B202" s="34" t="str"/>
      <x:c r="C202" s="34" t="str"/>
      <x:c r="D202" s="34" t="str"/>
      <x:c r="E202" s="34" t="str"/>
      <x:c r="F202" s="34" t="str"/>
      <x:c r="G202" s="34" t="str"/>
      <x:c r="H202" s="34" t="str"/>
      <x:c r="I202" s="34" t="str"/>
      <x:c r="J202" s="34" t="str"/>
      <x:c r="K202" s="34" t="str"/>
      <x:c r="L202" s="34" t="str"/>
      <x:c r="M202" s="34" t="str"/>
      <x:c r="N202" s="34" t="str"/>
      <x:c r="O202" s="34" t="str"/>
      <x:c r="P202" s="34" t="str"/>
      <x:c r="Q202" s="34" t="str"/>
    </x:row>
    <x:row r="203">
      <x:c r="A203" s="34" t="str">
        <x:v>M5-HIT-0198</x:v>
      </x:c>
      <x:c r="B203" s="34" t="str"/>
      <x:c r="C203" s="34" t="str"/>
      <x:c r="D203" s="34" t="str"/>
      <x:c r="E203" s="34" t="str"/>
      <x:c r="F203" s="34" t="str"/>
      <x:c r="G203" s="34" t="str"/>
      <x:c r="H203" s="34" t="str"/>
      <x:c r="I203" s="34" t="str"/>
      <x:c r="J203" s="34" t="str"/>
      <x:c r="K203" s="34" t="str"/>
      <x:c r="L203" s="34" t="str"/>
      <x:c r="M203" s="34" t="str"/>
      <x:c r="N203" s="34" t="str"/>
      <x:c r="O203" s="34" t="str"/>
      <x:c r="P203" s="34" t="str"/>
      <x:c r="Q203" s="34" t="str"/>
    </x:row>
    <x:row r="204">
      <x:c r="A204" s="34" t="str">
        <x:v>M5-HIT-0199</x:v>
      </x:c>
      <x:c r="B204" s="34" t="str"/>
      <x:c r="C204" s="34" t="str"/>
      <x:c r="D204" s="34" t="str"/>
      <x:c r="E204" s="34" t="str"/>
      <x:c r="F204" s="34" t="str"/>
      <x:c r="G204" s="34" t="str"/>
      <x:c r="H204" s="34" t="str"/>
      <x:c r="I204" s="34" t="str"/>
      <x:c r="J204" s="34" t="str"/>
      <x:c r="K204" s="34" t="str"/>
      <x:c r="L204" s="34" t="str"/>
      <x:c r="M204" s="34" t="str"/>
      <x:c r="N204" s="34" t="str"/>
      <x:c r="O204" s="34" t="str"/>
      <x:c r="P204" s="34" t="str"/>
      <x:c r="Q204" s="34" t="str"/>
    </x:row>
    <x:row r="205">
      <x:c r="A205" s="34" t="str">
        <x:v>M5-HIT-0200</x:v>
      </x:c>
      <x:c r="B205" s="34" t="str"/>
      <x:c r="C205" s="34" t="str"/>
      <x:c r="D205" s="34" t="str"/>
      <x:c r="E205" s="34" t="str"/>
      <x:c r="F205" s="34" t="str"/>
      <x:c r="G205" s="34" t="str"/>
      <x:c r="H205" s="34" t="str"/>
      <x:c r="I205" s="34" t="str"/>
      <x:c r="J205" s="34" t="str"/>
      <x:c r="K205" s="34" t="str"/>
      <x:c r="L205" s="34" t="str"/>
      <x:c r="M205" s="34" t="str"/>
      <x:c r="N205" s="34" t="str"/>
      <x:c r="O205" s="34" t="str"/>
      <x:c r="P205" s="34" t="str"/>
      <x:c r="Q205" s="34" t="str"/>
    </x:row>
    <x:row r="206">
      <x:c r="A206" s="34" t="str">
        <x:v>M5-HIT-0201</x:v>
      </x:c>
      <x:c r="B206" s="34" t="str"/>
      <x:c r="C206" s="34" t="str"/>
      <x:c r="D206" s="34" t="str"/>
      <x:c r="E206" s="34" t="str"/>
      <x:c r="F206" s="34" t="str"/>
      <x:c r="G206" s="34" t="str"/>
      <x:c r="H206" s="34" t="str"/>
      <x:c r="I206" s="34" t="str"/>
      <x:c r="J206" s="34" t="str"/>
      <x:c r="K206" s="34" t="str"/>
      <x:c r="L206" s="34" t="str"/>
      <x:c r="M206" s="34" t="str"/>
      <x:c r="N206" s="34" t="str"/>
      <x:c r="O206" s="34" t="str"/>
      <x:c r="P206" s="34" t="str"/>
      <x:c r="Q206" s="34" t="str"/>
    </x:row>
    <x:row r="207">
      <x:c r="A207" s="34" t="str">
        <x:v>M5-HIT-0202</x:v>
      </x:c>
      <x:c r="B207" s="34" t="str"/>
      <x:c r="C207" s="34" t="str"/>
      <x:c r="D207" s="34" t="str"/>
      <x:c r="E207" s="34" t="str"/>
      <x:c r="F207" s="34" t="str"/>
      <x:c r="G207" s="34" t="str"/>
      <x:c r="H207" s="34" t="str"/>
      <x:c r="I207" s="34" t="str"/>
      <x:c r="J207" s="34" t="str"/>
      <x:c r="K207" s="34" t="str"/>
      <x:c r="L207" s="34" t="str"/>
      <x:c r="M207" s="34" t="str"/>
      <x:c r="N207" s="34" t="str"/>
      <x:c r="O207" s="34" t="str"/>
      <x:c r="P207" s="34" t="str"/>
      <x:c r="Q207" s="34" t="str"/>
    </x:row>
    <x:row r="208">
      <x:c r="A208" s="34" t="str">
        <x:v>M5-HIT-0203</x:v>
      </x:c>
      <x:c r="B208" s="34" t="str"/>
      <x:c r="C208" s="34" t="str"/>
      <x:c r="D208" s="34" t="str"/>
      <x:c r="E208" s="34" t="str"/>
      <x:c r="F208" s="34" t="str"/>
      <x:c r="G208" s="34" t="str"/>
      <x:c r="H208" s="34" t="str"/>
      <x:c r="I208" s="34" t="str"/>
      <x:c r="J208" s="34" t="str"/>
      <x:c r="K208" s="34" t="str"/>
      <x:c r="L208" s="34" t="str"/>
      <x:c r="M208" s="34" t="str"/>
      <x:c r="N208" s="34" t="str"/>
      <x:c r="O208" s="34" t="str"/>
      <x:c r="P208" s="34" t="str"/>
      <x:c r="Q208" s="34" t="str"/>
    </x:row>
    <x:row r="209">
      <x:c r="A209" s="34" t="str">
        <x:v>M5-HIT-0204</x:v>
      </x:c>
      <x:c r="B209" s="34" t="str"/>
      <x:c r="C209" s="34" t="str"/>
      <x:c r="D209" s="34" t="str"/>
      <x:c r="E209" s="34" t="str"/>
      <x:c r="F209" s="34" t="str"/>
      <x:c r="G209" s="34" t="str"/>
      <x:c r="H209" s="34" t="str"/>
      <x:c r="I209" s="34" t="str"/>
      <x:c r="J209" s="34" t="str"/>
      <x:c r="K209" s="34" t="str"/>
      <x:c r="L209" s="34" t="str"/>
      <x:c r="M209" s="34" t="str"/>
      <x:c r="N209" s="34" t="str"/>
      <x:c r="O209" s="34" t="str"/>
      <x:c r="P209" s="34" t="str"/>
      <x:c r="Q209" s="34" t="str"/>
    </x:row>
    <x:row r="210">
      <x:c r="A210" s="34" t="str">
        <x:v>M5-HIT-0205</x:v>
      </x:c>
      <x:c r="B210" s="34" t="str"/>
      <x:c r="C210" s="34" t="str"/>
      <x:c r="D210" s="34" t="str"/>
      <x:c r="E210" s="34" t="str"/>
      <x:c r="F210" s="34" t="str"/>
      <x:c r="G210" s="34" t="str"/>
      <x:c r="H210" s="34" t="str"/>
      <x:c r="I210" s="34" t="str"/>
      <x:c r="J210" s="34" t="str"/>
      <x:c r="K210" s="34" t="str"/>
      <x:c r="L210" s="34" t="str"/>
      <x:c r="M210" s="34" t="str"/>
      <x:c r="N210" s="34" t="str"/>
      <x:c r="O210" s="34" t="str"/>
      <x:c r="P210" s="34" t="str"/>
      <x:c r="Q210" s="34" t="str"/>
    </x:row>
    <x:row r="211">
      <x:c r="A211" s="34" t="str">
        <x:v>M5-HIT-0206</x:v>
      </x:c>
      <x:c r="B211" s="34" t="str"/>
      <x:c r="C211" s="34" t="str"/>
      <x:c r="D211" s="34" t="str"/>
      <x:c r="E211" s="34" t="str"/>
      <x:c r="F211" s="34" t="str"/>
      <x:c r="G211" s="34" t="str"/>
      <x:c r="H211" s="34" t="str"/>
      <x:c r="I211" s="34" t="str"/>
      <x:c r="J211" s="34" t="str"/>
      <x:c r="K211" s="34" t="str"/>
      <x:c r="L211" s="34" t="str"/>
      <x:c r="M211" s="34" t="str"/>
      <x:c r="N211" s="34" t="str"/>
      <x:c r="O211" s="34" t="str"/>
      <x:c r="P211" s="34" t="str"/>
      <x:c r="Q211" s="34" t="str"/>
    </x:row>
    <x:row r="212">
      <x:c r="A212" s="34" t="str">
        <x:v>M5-HIT-0207</x:v>
      </x:c>
      <x:c r="B212" s="34" t="str"/>
      <x:c r="C212" s="34" t="str"/>
      <x:c r="D212" s="34" t="str"/>
      <x:c r="E212" s="34" t="str"/>
      <x:c r="F212" s="34" t="str"/>
      <x:c r="G212" s="34" t="str"/>
      <x:c r="H212" s="34" t="str"/>
      <x:c r="I212" s="34" t="str"/>
      <x:c r="J212" s="34" t="str"/>
      <x:c r="K212" s="34" t="str"/>
      <x:c r="L212" s="34" t="str"/>
      <x:c r="M212" s="34" t="str"/>
      <x:c r="N212" s="34" t="str"/>
      <x:c r="O212" s="34" t="str"/>
      <x:c r="P212" s="34" t="str"/>
      <x:c r="Q212" s="34" t="str"/>
    </x:row>
    <x:row r="213">
      <x:c r="A213" s="34" t="str">
        <x:v>M5-HIT-0208</x:v>
      </x:c>
      <x:c r="B213" s="34" t="str"/>
      <x:c r="C213" s="34" t="str"/>
      <x:c r="D213" s="34" t="str"/>
      <x:c r="E213" s="34" t="str"/>
      <x:c r="F213" s="34" t="str"/>
      <x:c r="G213" s="34" t="str"/>
      <x:c r="H213" s="34" t="str"/>
      <x:c r="I213" s="34" t="str"/>
      <x:c r="J213" s="34" t="str"/>
      <x:c r="K213" s="34" t="str"/>
      <x:c r="L213" s="34" t="str"/>
      <x:c r="M213" s="34" t="str"/>
      <x:c r="N213" s="34" t="str"/>
      <x:c r="O213" s="34" t="str"/>
      <x:c r="P213" s="34" t="str"/>
      <x:c r="Q213" s="34" t="str"/>
    </x:row>
    <x:row r="214">
      <x:c r="A214" s="34" t="str">
        <x:v>M5-HIT-0209</x:v>
      </x:c>
      <x:c r="B214" s="34" t="str"/>
      <x:c r="C214" s="34" t="str"/>
      <x:c r="D214" s="34" t="str"/>
      <x:c r="E214" s="34" t="str"/>
      <x:c r="F214" s="34" t="str"/>
      <x:c r="G214" s="34" t="str"/>
      <x:c r="H214" s="34" t="str"/>
      <x:c r="I214" s="34" t="str"/>
      <x:c r="J214" s="34" t="str"/>
      <x:c r="K214" s="34" t="str"/>
      <x:c r="L214" s="34" t="str"/>
      <x:c r="M214" s="34" t="str"/>
      <x:c r="N214" s="34" t="str"/>
      <x:c r="O214" s="34" t="str"/>
      <x:c r="P214" s="34" t="str"/>
      <x:c r="Q214" s="34" t="str"/>
    </x:row>
    <x:row r="215">
      <x:c r="A215" s="34" t="str">
        <x:v>M5-HIT-0210</x:v>
      </x:c>
      <x:c r="B215" s="34" t="str"/>
      <x:c r="C215" s="34" t="str"/>
      <x:c r="D215" s="34" t="str"/>
      <x:c r="E215" s="34" t="str"/>
      <x:c r="F215" s="34" t="str"/>
      <x:c r="G215" s="34" t="str"/>
      <x:c r="H215" s="34" t="str"/>
      <x:c r="I215" s="34" t="str"/>
      <x:c r="J215" s="34" t="str"/>
      <x:c r="K215" s="34" t="str"/>
      <x:c r="L215" s="34" t="str"/>
      <x:c r="M215" s="34" t="str"/>
      <x:c r="N215" s="34" t="str"/>
      <x:c r="O215" s="34" t="str"/>
      <x:c r="P215" s="34" t="str"/>
      <x:c r="Q215" s="34" t="str"/>
    </x:row>
    <x:row r="216">
      <x:c r="A216" s="34" t="str">
        <x:v>M5-HIT-0211</x:v>
      </x:c>
      <x:c r="B216" s="34" t="str"/>
      <x:c r="C216" s="34" t="str"/>
      <x:c r="D216" s="34" t="str"/>
      <x:c r="E216" s="34" t="str"/>
      <x:c r="F216" s="34" t="str"/>
      <x:c r="G216" s="34" t="str"/>
      <x:c r="H216" s="34" t="str"/>
      <x:c r="I216" s="34" t="str"/>
      <x:c r="J216" s="34" t="str"/>
      <x:c r="K216" s="34" t="str"/>
      <x:c r="L216" s="34" t="str"/>
      <x:c r="M216" s="34" t="str"/>
      <x:c r="N216" s="34" t="str"/>
      <x:c r="O216" s="34" t="str"/>
      <x:c r="P216" s="34" t="str"/>
      <x:c r="Q216" s="34" t="str"/>
    </x:row>
    <x:row r="217">
      <x:c r="A217" s="34" t="str">
        <x:v>M5-HIT-0212</x:v>
      </x:c>
      <x:c r="B217" s="34" t="str"/>
      <x:c r="C217" s="34" t="str"/>
      <x:c r="D217" s="34" t="str"/>
      <x:c r="E217" s="34" t="str"/>
      <x:c r="F217" s="34" t="str"/>
      <x:c r="G217" s="34" t="str"/>
      <x:c r="H217" s="34" t="str"/>
      <x:c r="I217" s="34" t="str"/>
      <x:c r="J217" s="34" t="str"/>
      <x:c r="K217" s="34" t="str"/>
      <x:c r="L217" s="34" t="str"/>
      <x:c r="M217" s="34" t="str"/>
      <x:c r="N217" s="34" t="str"/>
      <x:c r="O217" s="34" t="str"/>
      <x:c r="P217" s="34" t="str"/>
      <x:c r="Q217" s="34" t="str"/>
    </x:row>
    <x:row r="218">
      <x:c r="A218" s="34" t="str">
        <x:v>M5-HIT-0213</x:v>
      </x:c>
      <x:c r="B218" s="34" t="str"/>
      <x:c r="C218" s="34" t="str"/>
      <x:c r="D218" s="34" t="str"/>
      <x:c r="E218" s="34" t="str"/>
      <x:c r="F218" s="34" t="str"/>
      <x:c r="G218" s="34" t="str"/>
      <x:c r="H218" s="34" t="str"/>
      <x:c r="I218" s="34" t="str"/>
      <x:c r="J218" s="34" t="str"/>
      <x:c r="K218" s="34" t="str"/>
      <x:c r="L218" s="34" t="str"/>
      <x:c r="M218" s="34" t="str"/>
      <x:c r="N218" s="34" t="str"/>
      <x:c r="O218" s="34" t="str"/>
      <x:c r="P218" s="34" t="str"/>
      <x:c r="Q218" s="34" t="str"/>
    </x:row>
    <x:row r="219">
      <x:c r="A219" s="34" t="str">
        <x:v>M5-HIT-0214</x:v>
      </x:c>
      <x:c r="B219" s="34" t="str"/>
      <x:c r="C219" s="34" t="str"/>
      <x:c r="D219" s="34" t="str"/>
      <x:c r="E219" s="34" t="str"/>
      <x:c r="F219" s="34" t="str"/>
      <x:c r="G219" s="34" t="str"/>
      <x:c r="H219" s="34" t="str"/>
      <x:c r="I219" s="34" t="str"/>
      <x:c r="J219" s="34" t="str"/>
      <x:c r="K219" s="34" t="str"/>
      <x:c r="L219" s="34" t="str"/>
      <x:c r="M219" s="34" t="str"/>
      <x:c r="N219" s="34" t="str"/>
      <x:c r="O219" s="34" t="str"/>
      <x:c r="P219" s="34" t="str"/>
      <x:c r="Q219" s="34" t="str"/>
    </x:row>
    <x:row r="220">
      <x:c r="A220" s="34" t="str">
        <x:v>M5-HIT-0215</x:v>
      </x:c>
      <x:c r="B220" s="34" t="str"/>
      <x:c r="C220" s="34" t="str"/>
      <x:c r="D220" s="34" t="str"/>
      <x:c r="E220" s="34" t="str"/>
      <x:c r="F220" s="34" t="str"/>
      <x:c r="G220" s="34" t="str"/>
      <x:c r="H220" s="34" t="str"/>
      <x:c r="I220" s="34" t="str"/>
      <x:c r="J220" s="34" t="str"/>
      <x:c r="K220" s="34" t="str"/>
      <x:c r="L220" s="34" t="str"/>
      <x:c r="M220" s="34" t="str"/>
      <x:c r="N220" s="34" t="str"/>
      <x:c r="O220" s="34" t="str"/>
      <x:c r="P220" s="34" t="str"/>
      <x:c r="Q220" s="34" t="str"/>
    </x:row>
    <x:row r="221">
      <x:c r="A221" s="34" t="str">
        <x:v>M5-HIT-0216</x:v>
      </x:c>
      <x:c r="B221" s="34" t="str"/>
      <x:c r="C221" s="34" t="str"/>
      <x:c r="D221" s="34" t="str"/>
      <x:c r="E221" s="34" t="str"/>
      <x:c r="F221" s="34" t="str"/>
      <x:c r="G221" s="34" t="str"/>
      <x:c r="H221" s="34" t="str"/>
      <x:c r="I221" s="34" t="str"/>
      <x:c r="J221" s="34" t="str"/>
      <x:c r="K221" s="34" t="str"/>
      <x:c r="L221" s="34" t="str"/>
      <x:c r="M221" s="34" t="str"/>
      <x:c r="N221" s="34" t="str"/>
      <x:c r="O221" s="34" t="str"/>
      <x:c r="P221" s="34" t="str"/>
      <x:c r="Q221" s="34" t="str"/>
    </x:row>
    <x:row r="222">
      <x:c r="A222" s="34" t="str">
        <x:v>M5-HIT-0217</x:v>
      </x:c>
      <x:c r="B222" s="34" t="str"/>
      <x:c r="C222" s="34" t="str"/>
      <x:c r="D222" s="34" t="str"/>
      <x:c r="E222" s="34" t="str"/>
      <x:c r="F222" s="34" t="str"/>
      <x:c r="G222" s="34" t="str"/>
      <x:c r="H222" s="34" t="str"/>
      <x:c r="I222" s="34" t="str"/>
      <x:c r="J222" s="34" t="str"/>
      <x:c r="K222" s="34" t="str"/>
      <x:c r="L222" s="34" t="str"/>
      <x:c r="M222" s="34" t="str"/>
      <x:c r="N222" s="34" t="str"/>
      <x:c r="O222" s="34" t="str"/>
      <x:c r="P222" s="34" t="str"/>
      <x:c r="Q222" s="34" t="str"/>
    </x:row>
    <x:row r="223">
      <x:c r="A223" s="34" t="str">
        <x:v>M5-HIT-0218</x:v>
      </x:c>
      <x:c r="B223" s="34" t="str"/>
      <x:c r="C223" s="34" t="str"/>
      <x:c r="D223" s="34" t="str"/>
      <x:c r="E223" s="34" t="str"/>
      <x:c r="F223" s="34" t="str"/>
      <x:c r="G223" s="34" t="str"/>
      <x:c r="H223" s="34" t="str"/>
      <x:c r="I223" s="34" t="str"/>
      <x:c r="J223" s="34" t="str"/>
      <x:c r="K223" s="34" t="str"/>
      <x:c r="L223" s="34" t="str"/>
      <x:c r="M223" s="34" t="str"/>
      <x:c r="N223" s="34" t="str"/>
      <x:c r="O223" s="34" t="str"/>
      <x:c r="P223" s="34" t="str"/>
      <x:c r="Q223" s="34" t="str"/>
    </x:row>
    <x:row r="224">
      <x:c r="A224" s="34" t="str">
        <x:v>M5-HIT-0219</x:v>
      </x:c>
      <x:c r="B224" s="34" t="str"/>
      <x:c r="C224" s="34" t="str"/>
      <x:c r="D224" s="34" t="str"/>
      <x:c r="E224" s="34" t="str"/>
      <x:c r="F224" s="34" t="str"/>
      <x:c r="G224" s="34" t="str"/>
      <x:c r="H224" s="34" t="str"/>
      <x:c r="I224" s="34" t="str"/>
      <x:c r="J224" s="34" t="str"/>
      <x:c r="K224" s="34" t="str"/>
      <x:c r="L224" s="34" t="str"/>
      <x:c r="M224" s="34" t="str"/>
      <x:c r="N224" s="34" t="str"/>
      <x:c r="O224" s="34" t="str"/>
      <x:c r="P224" s="34" t="str"/>
      <x:c r="Q224" s="34" t="str"/>
    </x:row>
    <x:row r="225">
      <x:c r="A225" s="34" t="str">
        <x:v>M5-HIT-0220</x:v>
      </x:c>
      <x:c r="B225" s="34" t="str"/>
      <x:c r="C225" s="34" t="str"/>
      <x:c r="D225" s="34" t="str"/>
      <x:c r="E225" s="34" t="str"/>
      <x:c r="F225" s="34" t="str"/>
      <x:c r="G225" s="34" t="str"/>
      <x:c r="H225" s="34" t="str"/>
      <x:c r="I225" s="34" t="str"/>
      <x:c r="J225" s="34" t="str"/>
      <x:c r="K225" s="34" t="str"/>
      <x:c r="L225" s="34" t="str"/>
      <x:c r="M225" s="34" t="str"/>
      <x:c r="N225" s="34" t="str"/>
      <x:c r="O225" s="34" t="str"/>
      <x:c r="P225" s="34" t="str"/>
      <x:c r="Q225" s="34" t="str"/>
    </x:row>
    <x:row r="226">
      <x:c r="A226" s="34" t="str">
        <x:v>M5-HIT-0221</x:v>
      </x:c>
      <x:c r="B226" s="34" t="str"/>
      <x:c r="C226" s="34" t="str"/>
      <x:c r="D226" s="34" t="str"/>
      <x:c r="E226" s="34" t="str"/>
      <x:c r="F226" s="34" t="str"/>
      <x:c r="G226" s="34" t="str"/>
      <x:c r="H226" s="34" t="str"/>
      <x:c r="I226" s="34" t="str"/>
      <x:c r="J226" s="34" t="str"/>
      <x:c r="K226" s="34" t="str"/>
      <x:c r="L226" s="34" t="str"/>
      <x:c r="M226" s="34" t="str"/>
      <x:c r="N226" s="34" t="str"/>
      <x:c r="O226" s="34" t="str"/>
      <x:c r="P226" s="34" t="str"/>
      <x:c r="Q226" s="34" t="str"/>
    </x:row>
    <x:row r="227">
      <x:c r="A227" s="34" t="str">
        <x:v>M5-HIT-0222</x:v>
      </x:c>
      <x:c r="B227" s="34" t="str"/>
      <x:c r="C227" s="34" t="str"/>
      <x:c r="D227" s="34" t="str"/>
      <x:c r="E227" s="34" t="str"/>
      <x:c r="F227" s="34" t="str"/>
      <x:c r="G227" s="34" t="str"/>
      <x:c r="H227" s="34" t="str"/>
      <x:c r="I227" s="34" t="str"/>
      <x:c r="J227" s="34" t="str"/>
      <x:c r="K227" s="34" t="str"/>
      <x:c r="L227" s="34" t="str"/>
      <x:c r="M227" s="34" t="str"/>
      <x:c r="N227" s="34" t="str"/>
      <x:c r="O227" s="34" t="str"/>
      <x:c r="P227" s="34" t="str"/>
      <x:c r="Q227" s="34" t="str"/>
    </x:row>
    <x:row r="228">
      <x:c r="A228" s="34" t="str">
        <x:v>M5-HIT-0223</x:v>
      </x:c>
      <x:c r="B228" s="34" t="str"/>
      <x:c r="C228" s="34" t="str"/>
      <x:c r="D228" s="34" t="str"/>
      <x:c r="E228" s="34" t="str"/>
      <x:c r="F228" s="34" t="str"/>
      <x:c r="G228" s="34" t="str"/>
      <x:c r="H228" s="34" t="str"/>
      <x:c r="I228" s="34" t="str"/>
      <x:c r="J228" s="34" t="str"/>
      <x:c r="K228" s="34" t="str"/>
      <x:c r="L228" s="34" t="str"/>
      <x:c r="M228" s="34" t="str"/>
      <x:c r="N228" s="34" t="str"/>
      <x:c r="O228" s="34" t="str"/>
      <x:c r="P228" s="34" t="str"/>
      <x:c r="Q228" s="34" t="str"/>
    </x:row>
    <x:row r="229">
      <x:c r="A229" s="34" t="str">
        <x:v>M5-HIT-0224</x:v>
      </x:c>
      <x:c r="B229" s="34" t="str"/>
      <x:c r="C229" s="34" t="str"/>
      <x:c r="D229" s="34" t="str"/>
      <x:c r="E229" s="34" t="str"/>
      <x:c r="F229" s="34" t="str"/>
      <x:c r="G229" s="34" t="str"/>
      <x:c r="H229" s="34" t="str"/>
      <x:c r="I229" s="34" t="str"/>
      <x:c r="J229" s="34" t="str"/>
      <x:c r="K229" s="34" t="str"/>
      <x:c r="L229" s="34" t="str"/>
      <x:c r="M229" s="34" t="str"/>
      <x:c r="N229" s="34" t="str"/>
      <x:c r="O229" s="34" t="str"/>
      <x:c r="P229" s="34" t="str"/>
      <x:c r="Q229" s="34" t="str"/>
    </x:row>
    <x:row r="230">
      <x:c r="A230" s="34" t="str">
        <x:v>M5-HIT-0225</x:v>
      </x:c>
      <x:c r="B230" s="34" t="str"/>
      <x:c r="C230" s="34" t="str"/>
      <x:c r="D230" s="34" t="str"/>
      <x:c r="E230" s="34" t="str"/>
      <x:c r="F230" s="34" t="str"/>
      <x:c r="G230" s="34" t="str"/>
      <x:c r="H230" s="34" t="str"/>
      <x:c r="I230" s="34" t="str"/>
      <x:c r="J230" s="34" t="str"/>
      <x:c r="K230" s="34" t="str"/>
      <x:c r="L230" s="34" t="str"/>
      <x:c r="M230" s="34" t="str"/>
      <x:c r="N230" s="34" t="str"/>
      <x:c r="O230" s="34" t="str"/>
      <x:c r="P230" s="34" t="str"/>
      <x:c r="Q230" s="34" t="str"/>
    </x:row>
    <x:row r="231">
      <x:c r="A231" s="34" t="str">
        <x:v>M5-HIT-0226</x:v>
      </x:c>
      <x:c r="B231" s="34" t="str"/>
      <x:c r="C231" s="34" t="str"/>
      <x:c r="D231" s="34" t="str"/>
      <x:c r="E231" s="34" t="str"/>
      <x:c r="F231" s="34" t="str"/>
      <x:c r="G231" s="34" t="str"/>
      <x:c r="H231" s="34" t="str"/>
      <x:c r="I231" s="34" t="str"/>
      <x:c r="J231" s="34" t="str"/>
      <x:c r="K231" s="34" t="str"/>
      <x:c r="L231" s="34" t="str"/>
      <x:c r="M231" s="34" t="str"/>
      <x:c r="N231" s="34" t="str"/>
      <x:c r="O231" s="34" t="str"/>
      <x:c r="P231" s="34" t="str"/>
      <x:c r="Q231" s="34" t="str"/>
    </x:row>
    <x:row r="232">
      <x:c r="A232" s="34" t="str">
        <x:v>M5-HIT-0227</x:v>
      </x:c>
      <x:c r="B232" s="34" t="str"/>
      <x:c r="C232" s="34" t="str"/>
      <x:c r="D232" s="34" t="str"/>
      <x:c r="E232" s="34" t="str"/>
      <x:c r="F232" s="34" t="str"/>
      <x:c r="G232" s="34" t="str"/>
      <x:c r="H232" s="34" t="str"/>
      <x:c r="I232" s="34" t="str"/>
      <x:c r="J232" s="34" t="str"/>
      <x:c r="K232" s="34" t="str"/>
      <x:c r="L232" s="34" t="str"/>
      <x:c r="M232" s="34" t="str"/>
      <x:c r="N232" s="34" t="str"/>
      <x:c r="O232" s="34" t="str"/>
      <x:c r="P232" s="34" t="str"/>
      <x:c r="Q232" s="34" t="str"/>
    </x:row>
    <x:row r="233">
      <x:c r="A233" s="34" t="str">
        <x:v>M5-HIT-0228</x:v>
      </x:c>
      <x:c r="B233" s="34" t="str"/>
      <x:c r="C233" s="34" t="str"/>
      <x:c r="D233" s="34" t="str"/>
      <x:c r="E233" s="34" t="str"/>
      <x:c r="F233" s="34" t="str"/>
      <x:c r="G233" s="34" t="str"/>
      <x:c r="H233" s="34" t="str"/>
      <x:c r="I233" s="34" t="str"/>
      <x:c r="J233" s="34" t="str"/>
      <x:c r="K233" s="34" t="str"/>
      <x:c r="L233" s="34" t="str"/>
      <x:c r="M233" s="34" t="str"/>
      <x:c r="N233" s="34" t="str"/>
      <x:c r="O233" s="34" t="str"/>
      <x:c r="P233" s="34" t="str"/>
      <x:c r="Q233" s="34" t="str"/>
    </x:row>
    <x:row r="234">
      <x:c r="A234" s="34" t="str">
        <x:v>M5-HIT-0229</x:v>
      </x:c>
      <x:c r="B234" s="34" t="str"/>
      <x:c r="C234" s="34" t="str"/>
      <x:c r="D234" s="34" t="str"/>
      <x:c r="E234" s="34" t="str"/>
      <x:c r="F234" s="34" t="str"/>
      <x:c r="G234" s="34" t="str"/>
      <x:c r="H234" s="34" t="str"/>
      <x:c r="I234" s="34" t="str"/>
      <x:c r="J234" s="34" t="str"/>
      <x:c r="K234" s="34" t="str"/>
      <x:c r="L234" s="34" t="str"/>
      <x:c r="M234" s="34" t="str"/>
      <x:c r="N234" s="34" t="str"/>
      <x:c r="O234" s="34" t="str"/>
      <x:c r="P234" s="34" t="str"/>
      <x:c r="Q234" s="34" t="str"/>
    </x:row>
    <x:row r="235">
      <x:c r="A235" s="34" t="str">
        <x:v>M5-HIT-0230</x:v>
      </x:c>
      <x:c r="B235" s="34" t="str"/>
      <x:c r="C235" s="34" t="str"/>
      <x:c r="D235" s="34" t="str"/>
      <x:c r="E235" s="34" t="str"/>
      <x:c r="F235" s="34" t="str"/>
      <x:c r="G235" s="34" t="str"/>
      <x:c r="H235" s="34" t="str"/>
      <x:c r="I235" s="34" t="str"/>
      <x:c r="J235" s="34" t="str"/>
      <x:c r="K235" s="34" t="str"/>
      <x:c r="L235" s="34" t="str"/>
      <x:c r="M235" s="34" t="str"/>
      <x:c r="N235" s="34" t="str"/>
      <x:c r="O235" s="34" t="str"/>
      <x:c r="P235" s="34" t="str"/>
      <x:c r="Q235" s="34" t="str"/>
    </x:row>
    <x:row r="236">
      <x:c r="A236" s="34" t="str">
        <x:v>M5-HIT-0231</x:v>
      </x:c>
      <x:c r="B236" s="34" t="str"/>
      <x:c r="C236" s="34" t="str"/>
      <x:c r="D236" s="34" t="str"/>
      <x:c r="E236" s="34" t="str"/>
      <x:c r="F236" s="34" t="str"/>
      <x:c r="G236" s="34" t="str"/>
      <x:c r="H236" s="34" t="str"/>
      <x:c r="I236" s="34" t="str"/>
      <x:c r="J236" s="34" t="str"/>
      <x:c r="K236" s="34" t="str"/>
      <x:c r="L236" s="34" t="str"/>
      <x:c r="M236" s="34" t="str"/>
      <x:c r="N236" s="34" t="str"/>
      <x:c r="O236" s="34" t="str"/>
      <x:c r="P236" s="34" t="str"/>
      <x:c r="Q236" s="34" t="str"/>
    </x:row>
    <x:row r="237">
      <x:c r="A237" s="34" t="str">
        <x:v>M5-HIT-0232</x:v>
      </x:c>
      <x:c r="B237" s="34" t="str"/>
      <x:c r="C237" s="34" t="str"/>
      <x:c r="D237" s="34" t="str"/>
      <x:c r="E237" s="34" t="str"/>
      <x:c r="F237" s="34" t="str"/>
      <x:c r="G237" s="34" t="str"/>
      <x:c r="H237" s="34" t="str"/>
      <x:c r="I237" s="34" t="str"/>
      <x:c r="J237" s="34" t="str"/>
      <x:c r="K237" s="34" t="str"/>
      <x:c r="L237" s="34" t="str"/>
      <x:c r="M237" s="34" t="str"/>
      <x:c r="N237" s="34" t="str"/>
      <x:c r="O237" s="34" t="str"/>
      <x:c r="P237" s="34" t="str"/>
      <x:c r="Q237" s="34" t="str"/>
    </x:row>
    <x:row r="238">
      <x:c r="A238" s="34" t="str">
        <x:v>M5-HIT-0233</x:v>
      </x:c>
      <x:c r="B238" s="34" t="str"/>
      <x:c r="C238" s="34" t="str"/>
      <x:c r="D238" s="34" t="str"/>
      <x:c r="E238" s="34" t="str"/>
      <x:c r="F238" s="34" t="str"/>
      <x:c r="G238" s="34" t="str"/>
      <x:c r="H238" s="34" t="str"/>
      <x:c r="I238" s="34" t="str"/>
      <x:c r="J238" s="34" t="str"/>
      <x:c r="K238" s="34" t="str"/>
      <x:c r="L238" s="34" t="str"/>
      <x:c r="M238" s="34" t="str"/>
      <x:c r="N238" s="34" t="str"/>
      <x:c r="O238" s="34" t="str"/>
      <x:c r="P238" s="34" t="str"/>
      <x:c r="Q238" s="34" t="str"/>
    </x:row>
    <x:row r="239">
      <x:c r="A239" s="34" t="str">
        <x:v>M5-HIT-0234</x:v>
      </x:c>
      <x:c r="B239" s="34" t="str"/>
      <x:c r="C239" s="34" t="str"/>
      <x:c r="D239" s="34" t="str"/>
      <x:c r="E239" s="34" t="str"/>
      <x:c r="F239" s="34" t="str"/>
      <x:c r="G239" s="34" t="str"/>
      <x:c r="H239" s="34" t="str"/>
      <x:c r="I239" s="34" t="str"/>
      <x:c r="J239" s="34" t="str"/>
      <x:c r="K239" s="34" t="str"/>
      <x:c r="L239" s="34" t="str"/>
      <x:c r="M239" s="34" t="str"/>
      <x:c r="N239" s="34" t="str"/>
      <x:c r="O239" s="34" t="str"/>
      <x:c r="P239" s="34" t="str"/>
      <x:c r="Q239" s="34" t="str"/>
    </x:row>
    <x:row r="240">
      <x:c r="A240" s="34" t="str">
        <x:v>M5-HIT-0235</x:v>
      </x:c>
      <x:c r="B240" s="34" t="str"/>
      <x:c r="C240" s="34" t="str"/>
      <x:c r="D240" s="34" t="str"/>
      <x:c r="E240" s="34" t="str"/>
      <x:c r="F240" s="34" t="str"/>
      <x:c r="G240" s="34" t="str"/>
      <x:c r="H240" s="34" t="str"/>
      <x:c r="I240" s="34" t="str"/>
      <x:c r="J240" s="34" t="str"/>
      <x:c r="K240" s="34" t="str"/>
      <x:c r="L240" s="34" t="str"/>
      <x:c r="M240" s="34" t="str"/>
      <x:c r="N240" s="34" t="str"/>
      <x:c r="O240" s="34" t="str"/>
      <x:c r="P240" s="34" t="str"/>
      <x:c r="Q240" s="34" t="str"/>
    </x:row>
    <x:row r="241">
      <x:c r="A241" s="34" t="str">
        <x:v>M5-HIT-0236</x:v>
      </x:c>
      <x:c r="B241" s="34" t="str"/>
      <x:c r="C241" s="34" t="str"/>
      <x:c r="D241" s="34" t="str"/>
      <x:c r="E241" s="34" t="str"/>
      <x:c r="F241" s="34" t="str"/>
      <x:c r="G241" s="34" t="str"/>
      <x:c r="H241" s="34" t="str"/>
      <x:c r="I241" s="34" t="str"/>
      <x:c r="J241" s="34" t="str"/>
      <x:c r="K241" s="34" t="str"/>
      <x:c r="L241" s="34" t="str"/>
      <x:c r="M241" s="34" t="str"/>
      <x:c r="N241" s="34" t="str"/>
      <x:c r="O241" s="34" t="str"/>
      <x:c r="P241" s="34" t="str"/>
      <x:c r="Q241" s="34" t="str"/>
    </x:row>
    <x:row r="242">
      <x:c r="A242" s="34" t="str">
        <x:v>M5-HIT-0237</x:v>
      </x:c>
      <x:c r="B242" s="34" t="str"/>
      <x:c r="C242" s="34" t="str"/>
      <x:c r="D242" s="34" t="str"/>
      <x:c r="E242" s="34" t="str"/>
      <x:c r="F242" s="34" t="str"/>
      <x:c r="G242" s="34" t="str"/>
      <x:c r="H242" s="34" t="str"/>
      <x:c r="I242" s="34" t="str"/>
      <x:c r="J242" s="34" t="str"/>
      <x:c r="K242" s="34" t="str"/>
      <x:c r="L242" s="34" t="str"/>
      <x:c r="M242" s="34" t="str"/>
      <x:c r="N242" s="34" t="str"/>
      <x:c r="O242" s="34" t="str"/>
      <x:c r="P242" s="34" t="str"/>
      <x:c r="Q242" s="34" t="str"/>
    </x:row>
    <x:row r="243">
      <x:c r="A243" s="34" t="str">
        <x:v>M5-HIT-0238</x:v>
      </x:c>
      <x:c r="B243" s="34" t="str"/>
      <x:c r="C243" s="34" t="str"/>
      <x:c r="D243" s="34" t="str"/>
      <x:c r="E243" s="34" t="str"/>
      <x:c r="F243" s="34" t="str"/>
      <x:c r="G243" s="34" t="str"/>
      <x:c r="H243" s="34" t="str"/>
      <x:c r="I243" s="34" t="str"/>
      <x:c r="J243" s="34" t="str"/>
      <x:c r="K243" s="34" t="str"/>
      <x:c r="L243" s="34" t="str"/>
      <x:c r="M243" s="34" t="str"/>
      <x:c r="N243" s="34" t="str"/>
      <x:c r="O243" s="34" t="str"/>
      <x:c r="P243" s="34" t="str"/>
      <x:c r="Q243" s="34" t="str"/>
    </x:row>
    <x:row r="244">
      <x:c r="A244" s="34" t="str">
        <x:v>M5-HIT-0239</x:v>
      </x:c>
      <x:c r="B244" s="34" t="str"/>
      <x:c r="C244" s="34" t="str"/>
      <x:c r="D244" s="34" t="str"/>
      <x:c r="E244" s="34" t="str"/>
      <x:c r="F244" s="34" t="str"/>
      <x:c r="G244" s="34" t="str"/>
      <x:c r="H244" s="34" t="str"/>
      <x:c r="I244" s="34" t="str"/>
      <x:c r="J244" s="34" t="str"/>
      <x:c r="K244" s="34" t="str"/>
      <x:c r="L244" s="34" t="str"/>
      <x:c r="M244" s="34" t="str"/>
      <x:c r="N244" s="34" t="str"/>
      <x:c r="O244" s="34" t="str"/>
      <x:c r="P244" s="34" t="str"/>
      <x:c r="Q244" s="34" t="str"/>
    </x:row>
    <x:row r="245">
      <x:c r="A245" s="34" t="str">
        <x:v>M5-HIT-0240</x:v>
      </x:c>
      <x:c r="B245" s="34" t="str"/>
      <x:c r="C245" s="34" t="str"/>
      <x:c r="D245" s="34" t="str"/>
      <x:c r="E245" s="34" t="str"/>
      <x:c r="F245" s="34" t="str"/>
      <x:c r="G245" s="34" t="str"/>
      <x:c r="H245" s="34" t="str"/>
      <x:c r="I245" s="34" t="str"/>
      <x:c r="J245" s="34" t="str"/>
      <x:c r="K245" s="34" t="str"/>
      <x:c r="L245" s="34" t="str"/>
      <x:c r="M245" s="34" t="str"/>
      <x:c r="N245" s="34" t="str"/>
      <x:c r="O245" s="34" t="str"/>
      <x:c r="P245" s="34" t="str"/>
      <x:c r="Q245" s="34" t="str"/>
    </x:row>
    <x:row r="246">
      <x:c r="A246" s="34" t="str">
        <x:v>M5-HIT-0241</x:v>
      </x:c>
      <x:c r="B246" s="34" t="str"/>
      <x:c r="C246" s="34" t="str"/>
      <x:c r="D246" s="34" t="str"/>
      <x:c r="E246" s="34" t="str"/>
      <x:c r="F246" s="34" t="str"/>
      <x:c r="G246" s="34" t="str"/>
      <x:c r="H246" s="34" t="str"/>
      <x:c r="I246" s="34" t="str"/>
      <x:c r="J246" s="34" t="str"/>
      <x:c r="K246" s="34" t="str"/>
      <x:c r="L246" s="34" t="str"/>
      <x:c r="M246" s="34" t="str"/>
      <x:c r="N246" s="34" t="str"/>
      <x:c r="O246" s="34" t="str"/>
      <x:c r="P246" s="34" t="str"/>
      <x:c r="Q246" s="34" t="str"/>
    </x:row>
    <x:row r="247">
      <x:c r="A247" s="34" t="str">
        <x:v>M5-HIT-0242</x:v>
      </x:c>
      <x:c r="B247" s="34" t="str"/>
      <x:c r="C247" s="34" t="str"/>
      <x:c r="D247" s="34" t="str"/>
      <x:c r="E247" s="34" t="str"/>
      <x:c r="F247" s="34" t="str"/>
      <x:c r="G247" s="34" t="str"/>
      <x:c r="H247" s="34" t="str"/>
      <x:c r="I247" s="34" t="str"/>
      <x:c r="J247" s="34" t="str"/>
      <x:c r="K247" s="34" t="str"/>
      <x:c r="L247" s="34" t="str"/>
      <x:c r="M247" s="34" t="str"/>
      <x:c r="N247" s="34" t="str"/>
      <x:c r="O247" s="34" t="str"/>
      <x:c r="P247" s="34" t="str"/>
      <x:c r="Q247" s="34" t="str"/>
    </x:row>
    <x:row r="248">
      <x:c r="A248" s="34" t="str">
        <x:v>M5-HIT-0243</x:v>
      </x:c>
      <x:c r="B248" s="34" t="str"/>
      <x:c r="C248" s="34" t="str"/>
      <x:c r="D248" s="34" t="str"/>
      <x:c r="E248" s="34" t="str"/>
      <x:c r="F248" s="34" t="str"/>
      <x:c r="G248" s="34" t="str"/>
      <x:c r="H248" s="34" t="str"/>
      <x:c r="I248" s="34" t="str"/>
      <x:c r="J248" s="34" t="str"/>
      <x:c r="K248" s="34" t="str"/>
      <x:c r="L248" s="34" t="str"/>
      <x:c r="M248" s="34" t="str"/>
      <x:c r="N248" s="34" t="str"/>
      <x:c r="O248" s="34" t="str"/>
      <x:c r="P248" s="34" t="str"/>
      <x:c r="Q248" s="34" t="str"/>
    </x:row>
    <x:row r="249">
      <x:c r="A249" s="34" t="str">
        <x:v>M5-HIT-0244</x:v>
      </x:c>
      <x:c r="B249" s="34" t="str"/>
      <x:c r="C249" s="34" t="str"/>
      <x:c r="D249" s="34" t="str"/>
      <x:c r="E249" s="34" t="str"/>
      <x:c r="F249" s="34" t="str"/>
      <x:c r="G249" s="34" t="str"/>
      <x:c r="H249" s="34" t="str"/>
      <x:c r="I249" s="34" t="str"/>
      <x:c r="J249" s="34" t="str"/>
      <x:c r="K249" s="34" t="str"/>
      <x:c r="L249" s="34" t="str"/>
      <x:c r="M249" s="34" t="str"/>
      <x:c r="N249" s="34" t="str"/>
      <x:c r="O249" s="34" t="str"/>
      <x:c r="P249" s="34" t="str"/>
      <x:c r="Q249" s="34" t="str"/>
    </x:row>
    <x:row r="250">
      <x:c r="A250" s="34" t="str">
        <x:v>M5-HIT-0245</x:v>
      </x:c>
      <x:c r="B250" s="34" t="str"/>
      <x:c r="C250" s="34" t="str"/>
      <x:c r="D250" s="34" t="str"/>
      <x:c r="E250" s="34" t="str"/>
      <x:c r="F250" s="34" t="str"/>
      <x:c r="G250" s="34" t="str"/>
      <x:c r="H250" s="34" t="str"/>
      <x:c r="I250" s="34" t="str"/>
      <x:c r="J250" s="34" t="str"/>
      <x:c r="K250" s="34" t="str"/>
      <x:c r="L250" s="34" t="str"/>
      <x:c r="M250" s="34" t="str"/>
      <x:c r="N250" s="34" t="str"/>
      <x:c r="O250" s="34" t="str"/>
      <x:c r="P250" s="34" t="str"/>
      <x:c r="Q250" s="34" t="str"/>
    </x:row>
    <x:row r="251">
      <x:c r="A251" s="34" t="str">
        <x:v>M5-HIT-0246</x:v>
      </x:c>
      <x:c r="B251" s="34" t="str"/>
      <x:c r="C251" s="34" t="str"/>
      <x:c r="D251" s="34" t="str"/>
      <x:c r="E251" s="34" t="str"/>
      <x:c r="F251" s="34" t="str"/>
      <x:c r="G251" s="34" t="str"/>
      <x:c r="H251" s="34" t="str"/>
      <x:c r="I251" s="34" t="str"/>
      <x:c r="J251" s="34" t="str"/>
      <x:c r="K251" s="34" t="str"/>
      <x:c r="L251" s="34" t="str"/>
      <x:c r="M251" s="34" t="str"/>
      <x:c r="N251" s="34" t="str"/>
      <x:c r="O251" s="34" t="str"/>
      <x:c r="P251" s="34" t="str"/>
      <x:c r="Q251" s="34" t="str"/>
    </x:row>
    <x:row r="252">
      <x:c r="A252" s="34" t="str">
        <x:v>M5-HIT-0247</x:v>
      </x:c>
      <x:c r="B252" s="34" t="str"/>
      <x:c r="C252" s="34" t="str"/>
      <x:c r="D252" s="34" t="str"/>
      <x:c r="E252" s="34" t="str"/>
      <x:c r="F252" s="34" t="str"/>
      <x:c r="G252" s="34" t="str"/>
      <x:c r="H252" s="34" t="str"/>
      <x:c r="I252" s="34" t="str"/>
      <x:c r="J252" s="34" t="str"/>
      <x:c r="K252" s="34" t="str"/>
      <x:c r="L252" s="34" t="str"/>
      <x:c r="M252" s="34" t="str"/>
      <x:c r="N252" s="34" t="str"/>
      <x:c r="O252" s="34" t="str"/>
      <x:c r="P252" s="34" t="str"/>
      <x:c r="Q252" s="34" t="str"/>
    </x:row>
    <x:row r="253">
      <x:c r="A253" s="34" t="str">
        <x:v>M5-HIT-0248</x:v>
      </x:c>
      <x:c r="B253" s="34" t="str"/>
      <x:c r="C253" s="34" t="str"/>
      <x:c r="D253" s="34" t="str"/>
      <x:c r="E253" s="34" t="str"/>
      <x:c r="F253" s="34" t="str"/>
      <x:c r="G253" s="34" t="str"/>
      <x:c r="H253" s="34" t="str"/>
      <x:c r="I253" s="34" t="str"/>
      <x:c r="J253" s="34" t="str"/>
      <x:c r="K253" s="34" t="str"/>
      <x:c r="L253" s="34" t="str"/>
      <x:c r="M253" s="34" t="str"/>
      <x:c r="N253" s="34" t="str"/>
      <x:c r="O253" s="34" t="str"/>
      <x:c r="P253" s="34" t="str"/>
      <x:c r="Q253" s="34" t="str"/>
    </x:row>
    <x:row r="254">
      <x:c r="A254" s="34" t="str">
        <x:v>M5-HIT-0249</x:v>
      </x:c>
      <x:c r="B254" s="34" t="str"/>
      <x:c r="C254" s="34" t="str"/>
      <x:c r="D254" s="34" t="str"/>
      <x:c r="E254" s="34" t="str"/>
      <x:c r="F254" s="34" t="str"/>
      <x:c r="G254" s="34" t="str"/>
      <x:c r="H254" s="34" t="str"/>
      <x:c r="I254" s="34" t="str"/>
      <x:c r="J254" s="34" t="str"/>
      <x:c r="K254" s="34" t="str"/>
      <x:c r="L254" s="34" t="str"/>
      <x:c r="M254" s="34" t="str"/>
      <x:c r="N254" s="34" t="str"/>
      <x:c r="O254" s="34" t="str"/>
      <x:c r="P254" s="34" t="str"/>
      <x:c r="Q254" s="34" t="str"/>
    </x:row>
    <x:row r="255">
      <x:c r="A255" s="34" t="str">
        <x:v>M5-HIT-0250</x:v>
      </x:c>
      <x:c r="B255" s="34" t="str"/>
      <x:c r="C255" s="34" t="str"/>
      <x:c r="D255" s="34" t="str"/>
      <x:c r="E255" s="34" t="str"/>
      <x:c r="F255" s="34" t="str"/>
      <x:c r="G255" s="34" t="str"/>
      <x:c r="H255" s="34" t="str"/>
      <x:c r="I255" s="34" t="str"/>
      <x:c r="J255" s="34" t="str"/>
      <x:c r="K255" s="34" t="str"/>
      <x:c r="L255" s="34" t="str"/>
      <x:c r="M255" s="34" t="str"/>
      <x:c r="N255" s="34" t="str"/>
      <x:c r="O255" s="34" t="str"/>
      <x:c r="P255" s="34" t="str"/>
      <x:c r="Q255" s="34" t="str"/>
    </x:row>
    <x:row r="256">
      <x:c r="A256" s="34" t="str">
        <x:v>M5-HIT-0251</x:v>
      </x:c>
      <x:c r="B256" s="34" t="str"/>
      <x:c r="C256" s="34" t="str"/>
      <x:c r="D256" s="34" t="str"/>
      <x:c r="E256" s="34" t="str"/>
      <x:c r="F256" s="34" t="str"/>
      <x:c r="G256" s="34" t="str"/>
      <x:c r="H256" s="34" t="str"/>
      <x:c r="I256" s="34" t="str"/>
      <x:c r="J256" s="34" t="str"/>
      <x:c r="K256" s="34" t="str"/>
      <x:c r="L256" s="34" t="str"/>
      <x:c r="M256" s="34" t="str"/>
      <x:c r="N256" s="34" t="str"/>
      <x:c r="O256" s="34" t="str"/>
      <x:c r="P256" s="34" t="str"/>
      <x:c r="Q256" s="34" t="str"/>
    </x:row>
    <x:row r="257">
      <x:c r="A257" s="34" t="str">
        <x:v>M5-HIT-0252</x:v>
      </x:c>
      <x:c r="B257" s="34" t="str"/>
      <x:c r="C257" s="34" t="str"/>
      <x:c r="D257" s="34" t="str"/>
      <x:c r="E257" s="34" t="str"/>
      <x:c r="F257" s="34" t="str"/>
      <x:c r="G257" s="34" t="str"/>
      <x:c r="H257" s="34" t="str"/>
      <x:c r="I257" s="34" t="str"/>
      <x:c r="J257" s="34" t="str"/>
      <x:c r="K257" s="34" t="str"/>
      <x:c r="L257" s="34" t="str"/>
      <x:c r="M257" s="34" t="str"/>
      <x:c r="N257" s="34" t="str"/>
      <x:c r="O257" s="34" t="str"/>
      <x:c r="P257" s="34" t="str"/>
      <x:c r="Q257" s="34" t="str"/>
    </x:row>
    <x:row r="258">
      <x:c r="A258" s="34" t="str">
        <x:v>M5-HIT-0253</x:v>
      </x:c>
      <x:c r="B258" s="34" t="str"/>
      <x:c r="C258" s="34" t="str"/>
      <x:c r="D258" s="34" t="str"/>
      <x:c r="E258" s="34" t="str"/>
      <x:c r="F258" s="34" t="str"/>
      <x:c r="G258" s="34" t="str"/>
      <x:c r="H258" s="34" t="str"/>
      <x:c r="I258" s="34" t="str"/>
      <x:c r="J258" s="34" t="str"/>
      <x:c r="K258" s="34" t="str"/>
      <x:c r="L258" s="34" t="str"/>
      <x:c r="M258" s="34" t="str"/>
      <x:c r="N258" s="34" t="str"/>
      <x:c r="O258" s="34" t="str"/>
      <x:c r="P258" s="34" t="str"/>
      <x:c r="Q258" s="34" t="str"/>
    </x:row>
    <x:row r="259">
      <x:c r="A259" s="34" t="str">
        <x:v>M5-HIT-0254</x:v>
      </x:c>
      <x:c r="B259" s="34" t="str"/>
      <x:c r="C259" s="34" t="str"/>
      <x:c r="D259" s="34" t="str"/>
      <x:c r="E259" s="34" t="str"/>
      <x:c r="F259" s="34" t="str"/>
      <x:c r="G259" s="34" t="str"/>
      <x:c r="H259" s="34" t="str"/>
      <x:c r="I259" s="34" t="str"/>
      <x:c r="J259" s="34" t="str"/>
      <x:c r="K259" s="34" t="str"/>
      <x:c r="L259" s="34" t="str"/>
      <x:c r="M259" s="34" t="str"/>
      <x:c r="N259" s="34" t="str"/>
      <x:c r="O259" s="34" t="str"/>
      <x:c r="P259" s="34" t="str"/>
      <x:c r="Q259" s="34" t="str"/>
    </x:row>
    <x:row r="260">
      <x:c r="A260" s="34" t="str">
        <x:v>M5-HIT-0255</x:v>
      </x:c>
      <x:c r="B260" s="34" t="str"/>
      <x:c r="C260" s="34" t="str"/>
      <x:c r="D260" s="34" t="str"/>
      <x:c r="E260" s="34" t="str"/>
      <x:c r="F260" s="34" t="str"/>
      <x:c r="G260" s="34" t="str"/>
      <x:c r="H260" s="34" t="str"/>
      <x:c r="I260" s="34" t="str"/>
      <x:c r="J260" s="34" t="str"/>
      <x:c r="K260" s="34" t="str"/>
      <x:c r="L260" s="34" t="str"/>
      <x:c r="M260" s="34" t="str"/>
      <x:c r="N260" s="34" t="str"/>
      <x:c r="O260" s="34" t="str"/>
      <x:c r="P260" s="34" t="str"/>
      <x:c r="Q260" s="34" t="str"/>
    </x:row>
    <x:row r="261">
      <x:c r="A261" s="34" t="str">
        <x:v>M5-HIT-0256</x:v>
      </x:c>
      <x:c r="B261" s="34" t="str"/>
      <x:c r="C261" s="34" t="str"/>
      <x:c r="D261" s="34" t="str"/>
      <x:c r="E261" s="34" t="str"/>
      <x:c r="F261" s="34" t="str"/>
      <x:c r="G261" s="34" t="str"/>
      <x:c r="H261" s="34" t="str"/>
      <x:c r="I261" s="34" t="str"/>
      <x:c r="J261" s="34" t="str"/>
      <x:c r="K261" s="34" t="str"/>
      <x:c r="L261" s="34" t="str"/>
      <x:c r="M261" s="34" t="str"/>
      <x:c r="N261" s="34" t="str"/>
      <x:c r="O261" s="34" t="str"/>
      <x:c r="P261" s="34" t="str"/>
      <x:c r="Q261" s="34" t="str"/>
    </x:row>
    <x:row r="262">
      <x:c r="A262" s="34" t="str">
        <x:v>M5-HIT-0257</x:v>
      </x:c>
      <x:c r="B262" s="34" t="str"/>
      <x:c r="C262" s="34" t="str"/>
      <x:c r="D262" s="34" t="str"/>
      <x:c r="E262" s="34" t="str"/>
      <x:c r="F262" s="34" t="str"/>
      <x:c r="G262" s="34" t="str"/>
      <x:c r="H262" s="34" t="str"/>
      <x:c r="I262" s="34" t="str"/>
      <x:c r="J262" s="34" t="str"/>
      <x:c r="K262" s="34" t="str"/>
      <x:c r="L262" s="34" t="str"/>
      <x:c r="M262" s="34" t="str"/>
      <x:c r="N262" s="34" t="str"/>
      <x:c r="O262" s="34" t="str"/>
      <x:c r="P262" s="34" t="str"/>
      <x:c r="Q262" s="34" t="str"/>
    </x:row>
    <x:row r="263">
      <x:c r="A263" s="34" t="str">
        <x:v>M5-HIT-0258</x:v>
      </x:c>
      <x:c r="B263" s="34" t="str"/>
      <x:c r="C263" s="34" t="str"/>
      <x:c r="D263" s="34" t="str"/>
      <x:c r="E263" s="34" t="str"/>
      <x:c r="F263" s="34" t="str"/>
      <x:c r="G263" s="34" t="str"/>
      <x:c r="H263" s="34" t="str"/>
      <x:c r="I263" s="34" t="str"/>
      <x:c r="J263" s="34" t="str"/>
      <x:c r="K263" s="34" t="str"/>
      <x:c r="L263" s="34" t="str"/>
      <x:c r="M263" s="34" t="str"/>
      <x:c r="N263" s="34" t="str"/>
      <x:c r="O263" s="34" t="str"/>
      <x:c r="P263" s="34" t="str"/>
      <x:c r="Q263" s="34" t="str"/>
    </x:row>
    <x:row r="264">
      <x:c r="A264" s="34" t="str">
        <x:v>M5-HIT-0259</x:v>
      </x:c>
      <x:c r="B264" s="34" t="str"/>
      <x:c r="C264" s="34" t="str"/>
      <x:c r="D264" s="34" t="str"/>
      <x:c r="E264" s="34" t="str"/>
      <x:c r="F264" s="34" t="str"/>
      <x:c r="G264" s="34" t="str"/>
      <x:c r="H264" s="34" t="str"/>
      <x:c r="I264" s="34" t="str"/>
      <x:c r="J264" s="34" t="str"/>
      <x:c r="K264" s="34" t="str"/>
      <x:c r="L264" s="34" t="str"/>
      <x:c r="M264" s="34" t="str"/>
      <x:c r="N264" s="34" t="str"/>
      <x:c r="O264" s="34" t="str"/>
      <x:c r="P264" s="34" t="str"/>
      <x:c r="Q264" s="34" t="str"/>
    </x:row>
    <x:row r="265">
      <x:c r="A265" s="34" t="str">
        <x:v>M5-HIT-0260</x:v>
      </x:c>
      <x:c r="B265" s="34" t="str"/>
      <x:c r="C265" s="34" t="str"/>
      <x:c r="D265" s="34" t="str"/>
      <x:c r="E265" s="34" t="str"/>
      <x:c r="F265" s="34" t="str"/>
      <x:c r="G265" s="34" t="str"/>
      <x:c r="H265" s="34" t="str"/>
      <x:c r="I265" s="34" t="str"/>
      <x:c r="J265" s="34" t="str"/>
      <x:c r="K265" s="34" t="str"/>
      <x:c r="L265" s="34" t="str"/>
      <x:c r="M265" s="34" t="str"/>
      <x:c r="N265" s="34" t="str"/>
      <x:c r="O265" s="34" t="str"/>
      <x:c r="P265" s="34" t="str"/>
      <x:c r="Q265" s="34" t="str"/>
    </x:row>
    <x:row r="266">
      <x:c r="A266" s="34" t="str">
        <x:v>M5-HIT-0261</x:v>
      </x:c>
      <x:c r="B266" s="34" t="str"/>
      <x:c r="C266" s="34" t="str"/>
      <x:c r="D266" s="34" t="str"/>
      <x:c r="E266" s="34" t="str"/>
      <x:c r="F266" s="34" t="str"/>
      <x:c r="G266" s="34" t="str"/>
      <x:c r="H266" s="34" t="str"/>
      <x:c r="I266" s="34" t="str"/>
      <x:c r="J266" s="34" t="str"/>
      <x:c r="K266" s="34" t="str"/>
      <x:c r="L266" s="34" t="str"/>
      <x:c r="M266" s="34" t="str"/>
      <x:c r="N266" s="34" t="str"/>
      <x:c r="O266" s="34" t="str"/>
      <x:c r="P266" s="34" t="str"/>
      <x:c r="Q266" s="34" t="str"/>
    </x:row>
    <x:row r="267">
      <x:c r="A267" s="34" t="str">
        <x:v>M5-HIT-0262</x:v>
      </x:c>
      <x:c r="B267" s="34" t="str"/>
      <x:c r="C267" s="34" t="str"/>
      <x:c r="D267" s="34" t="str"/>
      <x:c r="E267" s="34" t="str"/>
      <x:c r="F267" s="34" t="str"/>
      <x:c r="G267" s="34" t="str"/>
      <x:c r="H267" s="34" t="str"/>
      <x:c r="I267" s="34" t="str"/>
      <x:c r="J267" s="34" t="str"/>
      <x:c r="K267" s="34" t="str"/>
      <x:c r="L267" s="34" t="str"/>
      <x:c r="M267" s="34" t="str"/>
      <x:c r="N267" s="34" t="str"/>
      <x:c r="O267" s="34" t="str"/>
      <x:c r="P267" s="34" t="str"/>
      <x:c r="Q267" s="34" t="str"/>
    </x:row>
    <x:row r="268">
      <x:c r="A268" s="34" t="str">
        <x:v>M5-HIT-0263</x:v>
      </x:c>
      <x:c r="B268" s="34" t="str"/>
      <x:c r="C268" s="34" t="str"/>
      <x:c r="D268" s="34" t="str"/>
      <x:c r="E268" s="34" t="str"/>
      <x:c r="F268" s="34" t="str"/>
      <x:c r="G268" s="34" t="str"/>
      <x:c r="H268" s="34" t="str"/>
      <x:c r="I268" s="34" t="str"/>
      <x:c r="J268" s="34" t="str"/>
      <x:c r="K268" s="34" t="str"/>
      <x:c r="L268" s="34" t="str"/>
      <x:c r="M268" s="34" t="str"/>
      <x:c r="N268" s="34" t="str"/>
      <x:c r="O268" s="34" t="str"/>
      <x:c r="P268" s="34" t="str"/>
      <x:c r="Q268" s="34" t="str"/>
    </x:row>
    <x:row r="269">
      <x:c r="A269" s="34" t="str">
        <x:v>M5-HIT-0264</x:v>
      </x:c>
      <x:c r="B269" s="34" t="str"/>
      <x:c r="C269" s="34" t="str"/>
      <x:c r="D269" s="34" t="str"/>
      <x:c r="E269" s="34" t="str"/>
      <x:c r="F269" s="34" t="str"/>
      <x:c r="G269" s="34" t="str"/>
      <x:c r="H269" s="34" t="str"/>
      <x:c r="I269" s="34" t="str"/>
      <x:c r="J269" s="34" t="str"/>
      <x:c r="K269" s="34" t="str"/>
      <x:c r="L269" s="34" t="str"/>
      <x:c r="M269" s="34" t="str"/>
      <x:c r="N269" s="34" t="str"/>
      <x:c r="O269" s="34" t="str"/>
      <x:c r="P269" s="34" t="str"/>
      <x:c r="Q269" s="34" t="str"/>
    </x:row>
    <x:row r="270">
      <x:c r="A270" s="34" t="str">
        <x:v>M5-HIT-0265</x:v>
      </x:c>
      <x:c r="B270" s="34" t="str"/>
      <x:c r="C270" s="34" t="str"/>
      <x:c r="D270" s="34" t="str"/>
      <x:c r="E270" s="34" t="str"/>
      <x:c r="F270" s="34" t="str"/>
      <x:c r="G270" s="34" t="str"/>
      <x:c r="H270" s="34" t="str"/>
      <x:c r="I270" s="34" t="str"/>
      <x:c r="J270" s="34" t="str"/>
      <x:c r="K270" s="34" t="str"/>
      <x:c r="L270" s="34" t="str"/>
      <x:c r="M270" s="34" t="str"/>
      <x:c r="N270" s="34" t="str"/>
      <x:c r="O270" s="34" t="str"/>
      <x:c r="P270" s="34" t="str"/>
      <x:c r="Q270" s="34" t="str"/>
    </x:row>
    <x:row r="271">
      <x:c r="A271" s="34" t="str">
        <x:v>M5-HIT-0266</x:v>
      </x:c>
      <x:c r="B271" s="34" t="str"/>
      <x:c r="C271" s="34" t="str"/>
      <x:c r="D271" s="34" t="str"/>
      <x:c r="E271" s="34" t="str"/>
      <x:c r="F271" s="34" t="str"/>
      <x:c r="G271" s="34" t="str"/>
      <x:c r="H271" s="34" t="str"/>
      <x:c r="I271" s="34" t="str"/>
      <x:c r="J271" s="34" t="str"/>
      <x:c r="K271" s="34" t="str"/>
      <x:c r="L271" s="34" t="str"/>
      <x:c r="M271" s="34" t="str"/>
      <x:c r="N271" s="34" t="str"/>
      <x:c r="O271" s="34" t="str"/>
      <x:c r="P271" s="34" t="str"/>
      <x:c r="Q271" s="34" t="str"/>
    </x:row>
    <x:row r="272">
      <x:c r="A272" s="34" t="str">
        <x:v>M5-HIT-0267</x:v>
      </x:c>
      <x:c r="B272" s="34" t="str"/>
      <x:c r="C272" s="34" t="str"/>
      <x:c r="D272" s="34" t="str"/>
      <x:c r="E272" s="34" t="str"/>
      <x:c r="F272" s="34" t="str"/>
      <x:c r="G272" s="34" t="str"/>
      <x:c r="H272" s="34" t="str"/>
      <x:c r="I272" s="34" t="str"/>
      <x:c r="J272" s="34" t="str"/>
      <x:c r="K272" s="34" t="str"/>
      <x:c r="L272" s="34" t="str"/>
      <x:c r="M272" s="34" t="str"/>
      <x:c r="N272" s="34" t="str"/>
      <x:c r="O272" s="34" t="str"/>
      <x:c r="P272" s="34" t="str"/>
      <x:c r="Q272" s="34" t="str"/>
    </x:row>
    <x:row r="273">
      <x:c r="A273" s="34" t="str">
        <x:v>M5-HIT-0268</x:v>
      </x:c>
      <x:c r="B273" s="34" t="str"/>
      <x:c r="C273" s="34" t="str"/>
      <x:c r="D273" s="34" t="str"/>
      <x:c r="E273" s="34" t="str"/>
      <x:c r="F273" s="34" t="str"/>
      <x:c r="G273" s="34" t="str"/>
      <x:c r="H273" s="34" t="str"/>
      <x:c r="I273" s="34" t="str"/>
      <x:c r="J273" s="34" t="str"/>
      <x:c r="K273" s="34" t="str"/>
      <x:c r="L273" s="34" t="str"/>
      <x:c r="M273" s="34" t="str"/>
      <x:c r="N273" s="34" t="str"/>
      <x:c r="O273" s="34" t="str"/>
      <x:c r="P273" s="34" t="str"/>
      <x:c r="Q273" s="34" t="str"/>
    </x:row>
    <x:row r="274">
      <x:c r="A274" s="34" t="str">
        <x:v>M5-HIT-0269</x:v>
      </x:c>
      <x:c r="B274" s="34" t="str"/>
      <x:c r="C274" s="34" t="str"/>
      <x:c r="D274" s="34" t="str"/>
      <x:c r="E274" s="34" t="str"/>
      <x:c r="F274" s="34" t="str"/>
      <x:c r="G274" s="34" t="str"/>
      <x:c r="H274" s="34" t="str"/>
      <x:c r="I274" s="34" t="str"/>
      <x:c r="J274" s="34" t="str"/>
      <x:c r="K274" s="34" t="str"/>
      <x:c r="L274" s="34" t="str"/>
      <x:c r="M274" s="34" t="str"/>
      <x:c r="N274" s="34" t="str"/>
      <x:c r="O274" s="34" t="str"/>
      <x:c r="P274" s="34" t="str"/>
      <x:c r="Q274" s="34" t="str"/>
    </x:row>
    <x:row r="275">
      <x:c r="A275" s="34" t="str">
        <x:v>M5-HIT-0270</x:v>
      </x:c>
      <x:c r="B275" s="34" t="str"/>
      <x:c r="C275" s="34" t="str"/>
      <x:c r="D275" s="34" t="str"/>
      <x:c r="E275" s="34" t="str"/>
      <x:c r="F275" s="34" t="str"/>
      <x:c r="G275" s="34" t="str"/>
      <x:c r="H275" s="34" t="str"/>
      <x:c r="I275" s="34" t="str"/>
      <x:c r="J275" s="34" t="str"/>
      <x:c r="K275" s="34" t="str"/>
      <x:c r="L275" s="34" t="str"/>
      <x:c r="M275" s="34" t="str"/>
      <x:c r="N275" s="34" t="str"/>
      <x:c r="O275" s="34" t="str"/>
      <x:c r="P275" s="34" t="str"/>
      <x:c r="Q275" s="34" t="str"/>
    </x:row>
    <x:row r="276">
      <x:c r="A276" s="34" t="str">
        <x:v>M5-HIT-0271</x:v>
      </x:c>
      <x:c r="B276" s="34" t="str"/>
      <x:c r="C276" s="34" t="str"/>
      <x:c r="D276" s="34" t="str"/>
      <x:c r="E276" s="34" t="str"/>
      <x:c r="F276" s="34" t="str"/>
      <x:c r="G276" s="34" t="str"/>
      <x:c r="H276" s="34" t="str"/>
      <x:c r="I276" s="34" t="str"/>
      <x:c r="J276" s="34" t="str"/>
      <x:c r="K276" s="34" t="str"/>
      <x:c r="L276" s="34" t="str"/>
      <x:c r="M276" s="34" t="str"/>
      <x:c r="N276" s="34" t="str"/>
      <x:c r="O276" s="34" t="str"/>
      <x:c r="P276" s="34" t="str"/>
      <x:c r="Q276" s="34" t="str"/>
    </x:row>
    <x:row r="277">
      <x:c r="A277" s="34" t="str">
        <x:v>M5-HIT-0272</x:v>
      </x:c>
      <x:c r="B277" s="34" t="str"/>
      <x:c r="C277" s="34" t="str"/>
      <x:c r="D277" s="34" t="str"/>
      <x:c r="E277" s="34" t="str"/>
      <x:c r="F277" s="34" t="str"/>
      <x:c r="G277" s="34" t="str"/>
      <x:c r="H277" s="34" t="str"/>
      <x:c r="I277" s="34" t="str"/>
      <x:c r="J277" s="34" t="str"/>
      <x:c r="K277" s="34" t="str"/>
      <x:c r="L277" s="34" t="str"/>
      <x:c r="M277" s="34" t="str"/>
      <x:c r="N277" s="34" t="str"/>
      <x:c r="O277" s="34" t="str"/>
      <x:c r="P277" s="34" t="str"/>
      <x:c r="Q277" s="34" t="str"/>
    </x:row>
    <x:row r="278">
      <x:c r="A278" s="34" t="str">
        <x:v>M5-HIT-0273</x:v>
      </x:c>
      <x:c r="B278" s="34" t="str"/>
      <x:c r="C278" s="34" t="str"/>
      <x:c r="D278" s="34" t="str"/>
      <x:c r="E278" s="34" t="str"/>
      <x:c r="F278" s="34" t="str"/>
      <x:c r="G278" s="34" t="str"/>
      <x:c r="H278" s="34" t="str"/>
      <x:c r="I278" s="34" t="str"/>
      <x:c r="J278" s="34" t="str"/>
      <x:c r="K278" s="34" t="str"/>
      <x:c r="L278" s="34" t="str"/>
      <x:c r="M278" s="34" t="str"/>
      <x:c r="N278" s="34" t="str"/>
      <x:c r="O278" s="34" t="str"/>
      <x:c r="P278" s="34" t="str"/>
      <x:c r="Q278" s="34" t="str"/>
    </x:row>
    <x:row r="279">
      <x:c r="A279" s="34" t="str">
        <x:v>M5-HIT-0274</x:v>
      </x:c>
      <x:c r="B279" s="34" t="str"/>
      <x:c r="C279" s="34" t="str"/>
      <x:c r="D279" s="34" t="str"/>
      <x:c r="E279" s="34" t="str"/>
      <x:c r="F279" s="34" t="str"/>
      <x:c r="G279" s="34" t="str"/>
      <x:c r="H279" s="34" t="str"/>
      <x:c r="I279" s="34" t="str"/>
      <x:c r="J279" s="34" t="str"/>
      <x:c r="K279" s="34" t="str"/>
      <x:c r="L279" s="34" t="str"/>
      <x:c r="M279" s="34" t="str"/>
      <x:c r="N279" s="34" t="str"/>
      <x:c r="O279" s="34" t="str"/>
      <x:c r="P279" s="34" t="str"/>
      <x:c r="Q279" s="34" t="str"/>
    </x:row>
    <x:row r="280">
      <x:c r="A280" s="34" t="str">
        <x:v>M5-HIT-0275</x:v>
      </x:c>
      <x:c r="B280" s="34" t="str"/>
      <x:c r="C280" s="34" t="str"/>
      <x:c r="D280" s="34" t="str"/>
      <x:c r="E280" s="34" t="str"/>
      <x:c r="F280" s="34" t="str"/>
      <x:c r="G280" s="34" t="str"/>
      <x:c r="H280" s="34" t="str"/>
      <x:c r="I280" s="34" t="str"/>
      <x:c r="J280" s="34" t="str"/>
      <x:c r="K280" s="34" t="str"/>
      <x:c r="L280" s="34" t="str"/>
      <x:c r="M280" s="34" t="str"/>
      <x:c r="N280" s="34" t="str"/>
      <x:c r="O280" s="34" t="str"/>
      <x:c r="P280" s="34" t="str"/>
      <x:c r="Q280" s="34" t="str"/>
    </x:row>
    <x:row r="281">
      <x:c r="A281" s="34" t="str">
        <x:v>M5-HIT-0276</x:v>
      </x:c>
      <x:c r="B281" s="34" t="str"/>
      <x:c r="C281" s="34" t="str"/>
      <x:c r="D281" s="34" t="str"/>
      <x:c r="E281" s="34" t="str"/>
      <x:c r="F281" s="34" t="str"/>
      <x:c r="G281" s="34" t="str"/>
      <x:c r="H281" s="34" t="str"/>
      <x:c r="I281" s="34" t="str"/>
      <x:c r="J281" s="34" t="str"/>
      <x:c r="K281" s="34" t="str"/>
      <x:c r="L281" s="34" t="str"/>
      <x:c r="M281" s="34" t="str"/>
      <x:c r="N281" s="34" t="str"/>
      <x:c r="O281" s="34" t="str"/>
      <x:c r="P281" s="34" t="str"/>
      <x:c r="Q281" s="34" t="str"/>
    </x:row>
    <x:row r="282">
      <x:c r="A282" s="34" t="str">
        <x:v>M5-HIT-0277</x:v>
      </x:c>
      <x:c r="B282" s="34" t="str"/>
      <x:c r="C282" s="34" t="str"/>
      <x:c r="D282" s="34" t="str"/>
      <x:c r="E282" s="34" t="str"/>
      <x:c r="F282" s="34" t="str"/>
      <x:c r="G282" s="34" t="str"/>
      <x:c r="H282" s="34" t="str"/>
      <x:c r="I282" s="34" t="str"/>
      <x:c r="J282" s="34" t="str"/>
      <x:c r="K282" s="34" t="str"/>
      <x:c r="L282" s="34" t="str"/>
      <x:c r="M282" s="34" t="str"/>
      <x:c r="N282" s="34" t="str"/>
      <x:c r="O282" s="34" t="str"/>
      <x:c r="P282" s="34" t="str"/>
      <x:c r="Q282" s="34" t="str"/>
    </x:row>
    <x:row r="283">
      <x:c r="A283" s="34" t="str">
        <x:v>M5-HIT-0278</x:v>
      </x:c>
      <x:c r="B283" s="34" t="str"/>
      <x:c r="C283" s="34" t="str"/>
      <x:c r="D283" s="34" t="str"/>
      <x:c r="E283" s="34" t="str"/>
      <x:c r="F283" s="34" t="str"/>
      <x:c r="G283" s="34" t="str"/>
      <x:c r="H283" s="34" t="str"/>
      <x:c r="I283" s="34" t="str"/>
      <x:c r="J283" s="34" t="str"/>
      <x:c r="K283" s="34" t="str"/>
      <x:c r="L283" s="34" t="str"/>
      <x:c r="M283" s="34" t="str"/>
      <x:c r="N283" s="34" t="str"/>
      <x:c r="O283" s="34" t="str"/>
      <x:c r="P283" s="34" t="str"/>
      <x:c r="Q283" s="34" t="str"/>
    </x:row>
    <x:row r="284">
      <x:c r="A284" s="34" t="str">
        <x:v>M5-HIT-0279</x:v>
      </x:c>
      <x:c r="B284" s="34" t="str"/>
      <x:c r="C284" s="34" t="str"/>
      <x:c r="D284" s="34" t="str"/>
      <x:c r="E284" s="34" t="str"/>
      <x:c r="F284" s="34" t="str"/>
      <x:c r="G284" s="34" t="str"/>
      <x:c r="H284" s="34" t="str"/>
      <x:c r="I284" s="34" t="str"/>
      <x:c r="J284" s="34" t="str"/>
      <x:c r="K284" s="34" t="str"/>
      <x:c r="L284" s="34" t="str"/>
      <x:c r="M284" s="34" t="str"/>
      <x:c r="N284" s="34" t="str"/>
      <x:c r="O284" s="34" t="str"/>
      <x:c r="P284" s="34" t="str"/>
      <x:c r="Q284" s="34" t="str"/>
    </x:row>
    <x:row r="285">
      <x:c r="A285" s="34" t="str">
        <x:v>M5-HIT-0280</x:v>
      </x:c>
      <x:c r="B285" s="34" t="str"/>
      <x:c r="C285" s="34" t="str"/>
      <x:c r="D285" s="34" t="str"/>
      <x:c r="E285" s="34" t="str"/>
      <x:c r="F285" s="34" t="str"/>
      <x:c r="G285" s="34" t="str"/>
      <x:c r="H285" s="34" t="str"/>
      <x:c r="I285" s="34" t="str"/>
      <x:c r="J285" s="34" t="str"/>
      <x:c r="K285" s="34" t="str"/>
      <x:c r="L285" s="34" t="str"/>
      <x:c r="M285" s="34" t="str"/>
      <x:c r="N285" s="34" t="str"/>
      <x:c r="O285" s="34" t="str"/>
      <x:c r="P285" s="34" t="str"/>
      <x:c r="Q285" s="34" t="str"/>
    </x:row>
    <x:row r="286">
      <x:c r="A286" s="34" t="str">
        <x:v>M5-HIT-0281</x:v>
      </x:c>
      <x:c r="B286" s="34" t="str"/>
      <x:c r="C286" s="34" t="str"/>
      <x:c r="D286" s="34" t="str"/>
      <x:c r="E286" s="34" t="str"/>
      <x:c r="F286" s="34" t="str"/>
      <x:c r="G286" s="34" t="str"/>
      <x:c r="H286" s="34" t="str"/>
      <x:c r="I286" s="34" t="str"/>
      <x:c r="J286" s="34" t="str"/>
      <x:c r="K286" s="34" t="str"/>
      <x:c r="L286" s="34" t="str"/>
      <x:c r="M286" s="34" t="str"/>
      <x:c r="N286" s="34" t="str"/>
      <x:c r="O286" s="34" t="str"/>
      <x:c r="P286" s="34" t="str"/>
      <x:c r="Q286" s="34" t="str"/>
    </x:row>
    <x:row r="287">
      <x:c r="A287" s="34" t="str">
        <x:v>M5-HIT-0282</x:v>
      </x:c>
      <x:c r="B287" s="34" t="str"/>
      <x:c r="C287" s="34" t="str"/>
      <x:c r="D287" s="34" t="str"/>
      <x:c r="E287" s="34" t="str"/>
      <x:c r="F287" s="34" t="str"/>
      <x:c r="G287" s="34" t="str"/>
      <x:c r="H287" s="34" t="str"/>
      <x:c r="I287" s="34" t="str"/>
      <x:c r="J287" s="34" t="str"/>
      <x:c r="K287" s="34" t="str"/>
      <x:c r="L287" s="34" t="str"/>
      <x:c r="M287" s="34" t="str"/>
      <x:c r="N287" s="34" t="str"/>
      <x:c r="O287" s="34" t="str"/>
      <x:c r="P287" s="34" t="str"/>
      <x:c r="Q287" s="34" t="str"/>
    </x:row>
    <x:row r="288">
      <x:c r="A288" s="34" t="str">
        <x:v>M5-HIT-0283</x:v>
      </x:c>
      <x:c r="B288" s="34" t="str"/>
      <x:c r="C288" s="34" t="str"/>
      <x:c r="D288" s="34" t="str"/>
      <x:c r="E288" s="34" t="str"/>
      <x:c r="F288" s="34" t="str"/>
      <x:c r="G288" s="34" t="str"/>
      <x:c r="H288" s="34" t="str"/>
      <x:c r="I288" s="34" t="str"/>
      <x:c r="J288" s="34" t="str"/>
      <x:c r="K288" s="34" t="str"/>
      <x:c r="L288" s="34" t="str"/>
      <x:c r="M288" s="34" t="str"/>
      <x:c r="N288" s="34" t="str"/>
      <x:c r="O288" s="34" t="str"/>
      <x:c r="P288" s="34" t="str"/>
      <x:c r="Q288" s="34" t="str"/>
    </x:row>
    <x:row r="289">
      <x:c r="A289" s="34" t="str">
        <x:v>M5-HIT-0284</x:v>
      </x:c>
      <x:c r="B289" s="34" t="str"/>
      <x:c r="C289" s="34" t="str"/>
      <x:c r="D289" s="34" t="str"/>
      <x:c r="E289" s="34" t="str"/>
      <x:c r="F289" s="34" t="str"/>
      <x:c r="G289" s="34" t="str"/>
      <x:c r="H289" s="34" t="str"/>
      <x:c r="I289" s="34" t="str"/>
      <x:c r="J289" s="34" t="str"/>
      <x:c r="K289" s="34" t="str"/>
      <x:c r="L289" s="34" t="str"/>
      <x:c r="M289" s="34" t="str"/>
      <x:c r="N289" s="34" t="str"/>
      <x:c r="O289" s="34" t="str"/>
      <x:c r="P289" s="34" t="str"/>
      <x:c r="Q289" s="34" t="str"/>
    </x:row>
    <x:row r="290">
      <x:c r="A290" s="34" t="str">
        <x:v>M5-HIT-0285</x:v>
      </x:c>
      <x:c r="B290" s="34" t="str"/>
      <x:c r="C290" s="34" t="str"/>
      <x:c r="D290" s="34" t="str"/>
      <x:c r="E290" s="34" t="str"/>
      <x:c r="F290" s="34" t="str"/>
      <x:c r="G290" s="34" t="str"/>
      <x:c r="H290" s="34" t="str"/>
      <x:c r="I290" s="34" t="str"/>
      <x:c r="J290" s="34" t="str"/>
      <x:c r="K290" s="34" t="str"/>
      <x:c r="L290" s="34" t="str"/>
      <x:c r="M290" s="34" t="str"/>
      <x:c r="N290" s="34" t="str"/>
      <x:c r="O290" s="34" t="str"/>
      <x:c r="P290" s="34" t="str"/>
      <x:c r="Q290" s="34" t="str"/>
    </x:row>
    <x:row r="291">
      <x:c r="A291" s="34" t="str">
        <x:v>M5-HIT-0286</x:v>
      </x:c>
      <x:c r="B291" s="34" t="str"/>
      <x:c r="C291" s="34" t="str"/>
      <x:c r="D291" s="34" t="str"/>
      <x:c r="E291" s="34" t="str"/>
      <x:c r="F291" s="34" t="str"/>
      <x:c r="G291" s="34" t="str"/>
      <x:c r="H291" s="34" t="str"/>
      <x:c r="I291" s="34" t="str"/>
      <x:c r="J291" s="34" t="str"/>
      <x:c r="K291" s="34" t="str"/>
      <x:c r="L291" s="34" t="str"/>
      <x:c r="M291" s="34" t="str"/>
      <x:c r="N291" s="34" t="str"/>
      <x:c r="O291" s="34" t="str"/>
      <x:c r="P291" s="34" t="str"/>
      <x:c r="Q291" s="34" t="str"/>
    </x:row>
    <x:row r="292">
      <x:c r="A292" s="34" t="str">
        <x:v>M5-HIT-0287</x:v>
      </x:c>
      <x:c r="B292" s="34" t="str"/>
      <x:c r="C292" s="34" t="str"/>
      <x:c r="D292" s="34" t="str"/>
      <x:c r="E292" s="34" t="str"/>
      <x:c r="F292" s="34" t="str"/>
      <x:c r="G292" s="34" t="str"/>
      <x:c r="H292" s="34" t="str"/>
      <x:c r="I292" s="34" t="str"/>
      <x:c r="J292" s="34" t="str"/>
      <x:c r="K292" s="34" t="str"/>
      <x:c r="L292" s="34" t="str"/>
      <x:c r="M292" s="34" t="str"/>
      <x:c r="N292" s="34" t="str"/>
      <x:c r="O292" s="34" t="str"/>
      <x:c r="P292" s="34" t="str"/>
      <x:c r="Q292" s="34" t="str"/>
    </x:row>
    <x:row r="293">
      <x:c r="A293" s="34" t="str">
        <x:v>M5-HIT-0288</x:v>
      </x:c>
      <x:c r="B293" s="34" t="str"/>
      <x:c r="C293" s="34" t="str"/>
      <x:c r="D293" s="34" t="str"/>
      <x:c r="E293" s="34" t="str"/>
      <x:c r="F293" s="34" t="str"/>
      <x:c r="G293" s="34" t="str"/>
      <x:c r="H293" s="34" t="str"/>
      <x:c r="I293" s="34" t="str"/>
      <x:c r="J293" s="34" t="str"/>
      <x:c r="K293" s="34" t="str"/>
      <x:c r="L293" s="34" t="str"/>
      <x:c r="M293" s="34" t="str"/>
      <x:c r="N293" s="34" t="str"/>
      <x:c r="O293" s="34" t="str"/>
      <x:c r="P293" s="34" t="str"/>
      <x:c r="Q293" s="34" t="str"/>
    </x:row>
    <x:row r="294">
      <x:c r="A294" s="34" t="str">
        <x:v>M5-HIT-0289</x:v>
      </x:c>
      <x:c r="B294" s="34" t="str"/>
      <x:c r="C294" s="34" t="str"/>
      <x:c r="D294" s="34" t="str"/>
      <x:c r="E294" s="34" t="str"/>
      <x:c r="F294" s="34" t="str"/>
      <x:c r="G294" s="34" t="str"/>
      <x:c r="H294" s="34" t="str"/>
      <x:c r="I294" s="34" t="str"/>
      <x:c r="J294" s="34" t="str"/>
      <x:c r="K294" s="34" t="str"/>
      <x:c r="L294" s="34" t="str"/>
      <x:c r="M294" s="34" t="str"/>
      <x:c r="N294" s="34" t="str"/>
      <x:c r="O294" s="34" t="str"/>
      <x:c r="P294" s="34" t="str"/>
      <x:c r="Q294" s="34" t="str"/>
    </x:row>
    <x:row r="295">
      <x:c r="A295" s="34" t="str">
        <x:v>M5-HIT-0290</x:v>
      </x:c>
      <x:c r="B295" s="34" t="str"/>
      <x:c r="C295" s="34" t="str"/>
      <x:c r="D295" s="34" t="str"/>
      <x:c r="E295" s="34" t="str"/>
      <x:c r="F295" s="34" t="str"/>
      <x:c r="G295" s="34" t="str"/>
      <x:c r="H295" s="34" t="str"/>
      <x:c r="I295" s="34" t="str"/>
      <x:c r="J295" s="34" t="str"/>
      <x:c r="K295" s="34" t="str"/>
      <x:c r="L295" s="34" t="str"/>
      <x:c r="M295" s="34" t="str"/>
      <x:c r="N295" s="34" t="str"/>
      <x:c r="O295" s="34" t="str"/>
      <x:c r="P295" s="34" t="str"/>
      <x:c r="Q295" s="34" t="str"/>
    </x:row>
    <x:row r="296">
      <x:c r="A296" s="34" t="str">
        <x:v>M5-HIT-0291</x:v>
      </x:c>
      <x:c r="B296" s="34" t="str"/>
      <x:c r="C296" s="34" t="str"/>
      <x:c r="D296" s="34" t="str"/>
      <x:c r="E296" s="34" t="str"/>
      <x:c r="F296" s="34" t="str"/>
      <x:c r="G296" s="34" t="str"/>
      <x:c r="H296" s="34" t="str"/>
      <x:c r="I296" s="34" t="str"/>
      <x:c r="J296" s="34" t="str"/>
      <x:c r="K296" s="34" t="str"/>
      <x:c r="L296" s="34" t="str"/>
      <x:c r="M296" s="34" t="str"/>
      <x:c r="N296" s="34" t="str"/>
      <x:c r="O296" s="34" t="str"/>
      <x:c r="P296" s="34" t="str"/>
      <x:c r="Q296" s="34" t="str"/>
    </x:row>
    <x:row r="297">
      <x:c r="A297" s="34" t="str">
        <x:v>M5-HIT-0292</x:v>
      </x:c>
      <x:c r="B297" s="34" t="str"/>
      <x:c r="C297" s="34" t="str"/>
      <x:c r="D297" s="34" t="str"/>
      <x:c r="E297" s="34" t="str"/>
      <x:c r="F297" s="34" t="str"/>
      <x:c r="G297" s="34" t="str"/>
      <x:c r="H297" s="34" t="str"/>
      <x:c r="I297" s="34" t="str"/>
      <x:c r="J297" s="34" t="str"/>
      <x:c r="K297" s="34" t="str"/>
      <x:c r="L297" s="34" t="str"/>
      <x:c r="M297" s="34" t="str"/>
      <x:c r="N297" s="34" t="str"/>
      <x:c r="O297" s="34" t="str"/>
      <x:c r="P297" s="34" t="str"/>
      <x:c r="Q297" s="34" t="str"/>
    </x:row>
    <x:row r="298">
      <x:c r="A298" s="34" t="str">
        <x:v>M5-HIT-0293</x:v>
      </x:c>
      <x:c r="B298" s="34" t="str"/>
      <x:c r="C298" s="34" t="str"/>
      <x:c r="D298" s="34" t="str"/>
      <x:c r="E298" s="34" t="str"/>
      <x:c r="F298" s="34" t="str"/>
      <x:c r="G298" s="34" t="str"/>
      <x:c r="H298" s="34" t="str"/>
      <x:c r="I298" s="34" t="str"/>
      <x:c r="J298" s="34" t="str"/>
      <x:c r="K298" s="34" t="str"/>
      <x:c r="L298" s="34" t="str"/>
      <x:c r="M298" s="34" t="str"/>
      <x:c r="N298" s="34" t="str"/>
      <x:c r="O298" s="34" t="str"/>
      <x:c r="P298" s="34" t="str"/>
      <x:c r="Q298" s="34" t="str"/>
    </x:row>
    <x:row r="299">
      <x:c r="A299" s="34" t="str">
        <x:v>M5-HIT-0294</x:v>
      </x:c>
      <x:c r="B299" s="34" t="str"/>
      <x:c r="C299" s="34" t="str"/>
      <x:c r="D299" s="34" t="str"/>
      <x:c r="E299" s="34" t="str"/>
      <x:c r="F299" s="34" t="str"/>
      <x:c r="G299" s="34" t="str"/>
      <x:c r="H299" s="34" t="str"/>
      <x:c r="I299" s="34" t="str"/>
      <x:c r="J299" s="34" t="str"/>
      <x:c r="K299" s="34" t="str"/>
      <x:c r="L299" s="34" t="str"/>
      <x:c r="M299" s="34" t="str"/>
      <x:c r="N299" s="34" t="str"/>
      <x:c r="O299" s="34" t="str"/>
      <x:c r="P299" s="34" t="str"/>
      <x:c r="Q299" s="34" t="str"/>
    </x:row>
    <x:row r="300">
      <x:c r="A300" s="34" t="str">
        <x:v>M5-HIT-0295</x:v>
      </x:c>
      <x:c r="B300" s="34" t="str"/>
      <x:c r="C300" s="34" t="str"/>
      <x:c r="D300" s="34" t="str"/>
      <x:c r="E300" s="34" t="str"/>
      <x:c r="F300" s="34" t="str"/>
      <x:c r="G300" s="34" t="str"/>
      <x:c r="H300" s="34" t="str"/>
      <x:c r="I300" s="34" t="str"/>
      <x:c r="J300" s="34" t="str"/>
      <x:c r="K300" s="34" t="str"/>
      <x:c r="L300" s="34" t="str"/>
      <x:c r="M300" s="34" t="str"/>
      <x:c r="N300" s="34" t="str"/>
      <x:c r="O300" s="34" t="str"/>
      <x:c r="P300" s="34" t="str"/>
      <x:c r="Q300" s="34" t="str"/>
    </x:row>
    <x:row r="301">
      <x:c r="A301" s="34" t="str">
        <x:v>M5-HIT-0296</x:v>
      </x:c>
      <x:c r="B301" s="34" t="str"/>
      <x:c r="C301" s="34" t="str"/>
      <x:c r="D301" s="34" t="str"/>
      <x:c r="E301" s="34" t="str"/>
      <x:c r="F301" s="34" t="str"/>
      <x:c r="G301" s="34" t="str"/>
      <x:c r="H301" s="34" t="str"/>
      <x:c r="I301" s="34" t="str"/>
      <x:c r="J301" s="34" t="str"/>
      <x:c r="K301" s="34" t="str"/>
      <x:c r="L301" s="34" t="str"/>
      <x:c r="M301" s="34" t="str"/>
      <x:c r="N301" s="34" t="str"/>
      <x:c r="O301" s="34" t="str"/>
      <x:c r="P301" s="34" t="str"/>
      <x:c r="Q301" s="34" t="str"/>
    </x:row>
    <x:row r="302">
      <x:c r="A302" s="34" t="str">
        <x:v>M5-HIT-0297</x:v>
      </x:c>
      <x:c r="B302" s="34" t="str"/>
      <x:c r="C302" s="34" t="str"/>
      <x:c r="D302" s="34" t="str"/>
      <x:c r="E302" s="34" t="str"/>
      <x:c r="F302" s="34" t="str"/>
      <x:c r="G302" s="34" t="str"/>
      <x:c r="H302" s="34" t="str"/>
      <x:c r="I302" s="34" t="str"/>
      <x:c r="J302" s="34" t="str"/>
      <x:c r="K302" s="34" t="str"/>
      <x:c r="L302" s="34" t="str"/>
      <x:c r="M302" s="34" t="str"/>
      <x:c r="N302" s="34" t="str"/>
      <x:c r="O302" s="34" t="str"/>
      <x:c r="P302" s="34" t="str"/>
      <x:c r="Q302" s="34" t="str"/>
    </x:row>
    <x:row r="303">
      <x:c r="A303" s="34" t="str">
        <x:v>M5-HIT-0298</x:v>
      </x:c>
      <x:c r="B303" s="34" t="str"/>
      <x:c r="C303" s="34" t="str"/>
      <x:c r="D303" s="34" t="str"/>
      <x:c r="E303" s="34" t="str"/>
      <x:c r="F303" s="34" t="str"/>
      <x:c r="G303" s="34" t="str"/>
      <x:c r="H303" s="34" t="str"/>
      <x:c r="I303" s="34" t="str"/>
      <x:c r="J303" s="34" t="str"/>
      <x:c r="K303" s="34" t="str"/>
      <x:c r="L303" s="34" t="str"/>
      <x:c r="M303" s="34" t="str"/>
      <x:c r="N303" s="34" t="str"/>
      <x:c r="O303" s="34" t="str"/>
      <x:c r="P303" s="34" t="str"/>
      <x:c r="Q303" s="34" t="str"/>
    </x:row>
    <x:row r="304">
      <x:c r="A304" s="34" t="str">
        <x:v>M5-HIT-0299</x:v>
      </x:c>
      <x:c r="B304" s="34" t="str"/>
      <x:c r="C304" s="34" t="str"/>
      <x:c r="D304" s="34" t="str"/>
      <x:c r="E304" s="34" t="str"/>
      <x:c r="F304" s="34" t="str"/>
      <x:c r="G304" s="34" t="str"/>
      <x:c r="H304" s="34" t="str"/>
      <x:c r="I304" s="34" t="str"/>
      <x:c r="J304" s="34" t="str"/>
      <x:c r="K304" s="34" t="str"/>
      <x:c r="L304" s="34" t="str"/>
      <x:c r="M304" s="34" t="str"/>
      <x:c r="N304" s="34" t="str"/>
      <x:c r="O304" s="34" t="str"/>
      <x:c r="P304" s="34" t="str"/>
      <x:c r="Q304" s="34" t="str"/>
    </x:row>
    <x:row r="305">
      <x:c r="A305" s="34" t="str">
        <x:v>M5-HIT-0300</x:v>
      </x:c>
      <x:c r="B305" s="34" t="str"/>
      <x:c r="C305" s="34" t="str"/>
      <x:c r="D305" s="34" t="str"/>
      <x:c r="E305" s="34" t="str"/>
      <x:c r="F305" s="34" t="str"/>
      <x:c r="G305" s="34" t="str"/>
      <x:c r="H305" s="34" t="str"/>
      <x:c r="I305" s="34" t="str"/>
      <x:c r="J305" s="34" t="str"/>
      <x:c r="K305" s="34" t="str"/>
      <x:c r="L305" s="34" t="str"/>
      <x:c r="M305" s="34" t="str"/>
      <x:c r="N305" s="34" t="str"/>
      <x:c r="O305" s="34" t="str"/>
      <x:c r="P305" s="34" t="str"/>
      <x:c r="Q305" s="34" t="str"/>
    </x:row>
    <x:row r="306">
      <x:c r="A306" s="34" t="str">
        <x:v>M5-HIT-0301</x:v>
      </x:c>
      <x:c r="B306" s="34" t="str"/>
      <x:c r="C306" s="34" t="str"/>
      <x:c r="D306" s="34" t="str"/>
      <x:c r="E306" s="34" t="str"/>
      <x:c r="F306" s="34" t="str"/>
      <x:c r="G306" s="34" t="str"/>
      <x:c r="H306" s="34" t="str"/>
      <x:c r="I306" s="34" t="str"/>
      <x:c r="J306" s="34" t="str"/>
      <x:c r="K306" s="34" t="str"/>
      <x:c r="L306" s="34" t="str"/>
      <x:c r="M306" s="34" t="str"/>
      <x:c r="N306" s="34" t="str"/>
      <x:c r="O306" s="34" t="str"/>
      <x:c r="P306" s="34" t="str"/>
      <x:c r="Q306" s="34" t="str"/>
    </x:row>
    <x:row r="307">
      <x:c r="A307" s="34" t="str">
        <x:v>M5-HIT-0302</x:v>
      </x:c>
      <x:c r="B307" s="34" t="str"/>
      <x:c r="C307" s="34" t="str"/>
      <x:c r="D307" s="34" t="str"/>
      <x:c r="E307" s="34" t="str"/>
      <x:c r="F307" s="34" t="str"/>
      <x:c r="G307" s="34" t="str"/>
      <x:c r="H307" s="34" t="str"/>
      <x:c r="I307" s="34" t="str"/>
      <x:c r="J307" s="34" t="str"/>
      <x:c r="K307" s="34" t="str"/>
      <x:c r="L307" s="34" t="str"/>
      <x:c r="M307" s="34" t="str"/>
      <x:c r="N307" s="34" t="str"/>
      <x:c r="O307" s="34" t="str"/>
      <x:c r="P307" s="34" t="str"/>
      <x:c r="Q307" s="34" t="str"/>
    </x:row>
    <x:row r="308">
      <x:c r="A308" s="34" t="str">
        <x:v>M5-HIT-0303</x:v>
      </x:c>
      <x:c r="B308" s="34" t="str"/>
      <x:c r="C308" s="34" t="str"/>
      <x:c r="D308" s="34" t="str"/>
      <x:c r="E308" s="34" t="str"/>
      <x:c r="F308" s="34" t="str"/>
      <x:c r="G308" s="34" t="str"/>
      <x:c r="H308" s="34" t="str"/>
      <x:c r="I308" s="34" t="str"/>
      <x:c r="J308" s="34" t="str"/>
      <x:c r="K308" s="34" t="str"/>
      <x:c r="L308" s="34" t="str"/>
      <x:c r="M308" s="34" t="str"/>
      <x:c r="N308" s="34" t="str"/>
      <x:c r="O308" s="34" t="str"/>
      <x:c r="P308" s="34" t="str"/>
      <x:c r="Q308" s="34" t="str"/>
    </x:row>
    <x:row r="309">
      <x:c r="A309" s="34" t="str">
        <x:v>M5-HIT-0304</x:v>
      </x:c>
      <x:c r="B309" s="34" t="str"/>
      <x:c r="C309" s="34" t="str"/>
      <x:c r="D309" s="34" t="str"/>
      <x:c r="E309" s="34" t="str"/>
      <x:c r="F309" s="34" t="str"/>
      <x:c r="G309" s="34" t="str"/>
      <x:c r="H309" s="34" t="str"/>
      <x:c r="I309" s="34" t="str"/>
      <x:c r="J309" s="34" t="str"/>
      <x:c r="K309" s="34" t="str"/>
      <x:c r="L309" s="34" t="str"/>
      <x:c r="M309" s="34" t="str"/>
      <x:c r="N309" s="34" t="str"/>
      <x:c r="O309" s="34" t="str"/>
      <x:c r="P309" s="34" t="str"/>
      <x:c r="Q309" s="34" t="str"/>
    </x:row>
    <x:row r="310">
      <x:c r="A310" s="34" t="str">
        <x:v>M5-HIT-0305</x:v>
      </x:c>
      <x:c r="B310" s="34" t="str"/>
      <x:c r="C310" s="34" t="str"/>
      <x:c r="D310" s="34" t="str"/>
      <x:c r="E310" s="34" t="str"/>
      <x:c r="F310" s="34" t="str"/>
      <x:c r="G310" s="34" t="str"/>
      <x:c r="H310" s="34" t="str"/>
      <x:c r="I310" s="34" t="str"/>
      <x:c r="J310" s="34" t="str"/>
      <x:c r="K310" s="34" t="str"/>
      <x:c r="L310" s="34" t="str"/>
      <x:c r="M310" s="34" t="str"/>
      <x:c r="N310" s="34" t="str"/>
      <x:c r="O310" s="34" t="str"/>
      <x:c r="P310" s="34" t="str"/>
      <x:c r="Q310" s="34" t="str"/>
    </x:row>
    <x:row r="311">
      <x:c r="A311" s="34" t="str">
        <x:v>M5-HIT-0306</x:v>
      </x:c>
      <x:c r="B311" s="34" t="str"/>
      <x:c r="C311" s="34" t="str"/>
      <x:c r="D311" s="34" t="str"/>
      <x:c r="E311" s="34" t="str"/>
      <x:c r="F311" s="34" t="str"/>
      <x:c r="G311" s="34" t="str"/>
      <x:c r="H311" s="34" t="str"/>
      <x:c r="I311" s="34" t="str"/>
      <x:c r="J311" s="34" t="str"/>
      <x:c r="K311" s="34" t="str"/>
      <x:c r="L311" s="34" t="str"/>
      <x:c r="M311" s="34" t="str"/>
      <x:c r="N311" s="34" t="str"/>
      <x:c r="O311" s="34" t="str"/>
      <x:c r="P311" s="34" t="str"/>
      <x:c r="Q311" s="34" t="str"/>
    </x:row>
    <x:row r="312">
      <x:c r="A312" s="34" t="str">
        <x:v>M5-HIT-0307</x:v>
      </x:c>
      <x:c r="B312" s="34" t="str"/>
      <x:c r="C312" s="34" t="str"/>
      <x:c r="D312" s="34" t="str"/>
      <x:c r="E312" s="34" t="str"/>
      <x:c r="F312" s="34" t="str"/>
      <x:c r="G312" s="34" t="str"/>
      <x:c r="H312" s="34" t="str"/>
      <x:c r="I312" s="34" t="str"/>
      <x:c r="J312" s="34" t="str"/>
      <x:c r="K312" s="34" t="str"/>
      <x:c r="L312" s="34" t="str"/>
      <x:c r="M312" s="34" t="str"/>
      <x:c r="N312" s="34" t="str"/>
      <x:c r="O312" s="34" t="str"/>
      <x:c r="P312" s="34" t="str"/>
      <x:c r="Q312" s="34" t="str"/>
    </x:row>
    <x:row r="313">
      <x:c r="A313" s="34" t="str">
        <x:v>M5-HIT-0308</x:v>
      </x:c>
      <x:c r="B313" s="34" t="str"/>
      <x:c r="C313" s="34" t="str"/>
      <x:c r="D313" s="34" t="str"/>
      <x:c r="E313" s="34" t="str"/>
      <x:c r="F313" s="34" t="str"/>
      <x:c r="G313" s="34" t="str"/>
      <x:c r="H313" s="34" t="str"/>
      <x:c r="I313" s="34" t="str"/>
      <x:c r="J313" s="34" t="str"/>
      <x:c r="K313" s="34" t="str"/>
      <x:c r="L313" s="34" t="str"/>
      <x:c r="M313" s="34" t="str"/>
      <x:c r="N313" s="34" t="str"/>
      <x:c r="O313" s="34" t="str"/>
      <x:c r="P313" s="34" t="str"/>
      <x:c r="Q313" s="34" t="str"/>
    </x:row>
    <x:row r="314">
      <x:c r="A314" s="34" t="str">
        <x:v>M5-HIT-0309</x:v>
      </x:c>
      <x:c r="B314" s="34" t="str"/>
      <x:c r="C314" s="34" t="str"/>
      <x:c r="D314" s="34" t="str"/>
      <x:c r="E314" s="34" t="str"/>
      <x:c r="F314" s="34" t="str"/>
      <x:c r="G314" s="34" t="str"/>
      <x:c r="H314" s="34" t="str"/>
      <x:c r="I314" s="34" t="str"/>
      <x:c r="J314" s="34" t="str"/>
      <x:c r="K314" s="34" t="str"/>
      <x:c r="L314" s="34" t="str"/>
      <x:c r="M314" s="34" t="str"/>
      <x:c r="N314" s="34" t="str"/>
      <x:c r="O314" s="34" t="str"/>
      <x:c r="P314" s="34" t="str"/>
      <x:c r="Q314" s="34" t="str"/>
    </x:row>
    <x:row r="315">
      <x:c r="A315" s="34" t="str">
        <x:v>M5-HIT-0310</x:v>
      </x:c>
      <x:c r="B315" s="34" t="str"/>
      <x:c r="C315" s="34" t="str"/>
      <x:c r="D315" s="34" t="str"/>
      <x:c r="E315" s="34" t="str"/>
      <x:c r="F315" s="34" t="str"/>
      <x:c r="G315" s="34" t="str"/>
      <x:c r="H315" s="34" t="str"/>
      <x:c r="I315" s="34" t="str"/>
      <x:c r="J315" s="34" t="str"/>
      <x:c r="K315" s="34" t="str"/>
      <x:c r="L315" s="34" t="str"/>
      <x:c r="M315" s="34" t="str"/>
      <x:c r="N315" s="34" t="str"/>
      <x:c r="O315" s="34" t="str"/>
      <x:c r="P315" s="34" t="str"/>
      <x:c r="Q315" s="34" t="str"/>
    </x:row>
    <x:row r="316">
      <x:c r="A316" s="34" t="str">
        <x:v>M5-HIT-0311</x:v>
      </x:c>
      <x:c r="B316" s="34" t="str"/>
      <x:c r="C316" s="34" t="str"/>
      <x:c r="D316" s="34" t="str"/>
      <x:c r="E316" s="34" t="str"/>
      <x:c r="F316" s="34" t="str"/>
      <x:c r="G316" s="34" t="str"/>
      <x:c r="H316" s="34" t="str"/>
      <x:c r="I316" s="34" t="str"/>
      <x:c r="J316" s="34" t="str"/>
      <x:c r="K316" s="34" t="str"/>
      <x:c r="L316" s="34" t="str"/>
      <x:c r="M316" s="34" t="str"/>
      <x:c r="N316" s="34" t="str"/>
      <x:c r="O316" s="34" t="str"/>
      <x:c r="P316" s="34" t="str"/>
      <x:c r="Q316" s="34" t="str"/>
    </x:row>
    <x:row r="317">
      <x:c r="A317" s="34" t="str">
        <x:v>M5-HIT-0312</x:v>
      </x:c>
      <x:c r="B317" s="34" t="str"/>
      <x:c r="C317" s="34" t="str"/>
      <x:c r="D317" s="34" t="str"/>
      <x:c r="E317" s="34" t="str"/>
      <x:c r="F317" s="34" t="str"/>
      <x:c r="G317" s="34" t="str"/>
      <x:c r="H317" s="34" t="str"/>
      <x:c r="I317" s="34" t="str"/>
      <x:c r="J317" s="34" t="str"/>
      <x:c r="K317" s="34" t="str"/>
      <x:c r="L317" s="34" t="str"/>
      <x:c r="M317" s="34" t="str"/>
      <x:c r="N317" s="34" t="str"/>
      <x:c r="O317" s="34" t="str"/>
      <x:c r="P317" s="34" t="str"/>
      <x:c r="Q317" s="34" t="str"/>
    </x:row>
    <x:row r="318">
      <x:c r="A318" s="34" t="str">
        <x:v>M5-HIT-0313</x:v>
      </x:c>
      <x:c r="B318" s="34" t="str"/>
      <x:c r="C318" s="34" t="str"/>
      <x:c r="D318" s="34" t="str"/>
      <x:c r="E318" s="34" t="str"/>
      <x:c r="F318" s="34" t="str"/>
      <x:c r="G318" s="34" t="str"/>
      <x:c r="H318" s="34" t="str"/>
      <x:c r="I318" s="34" t="str"/>
      <x:c r="J318" s="34" t="str"/>
      <x:c r="K318" s="34" t="str"/>
      <x:c r="L318" s="34" t="str"/>
      <x:c r="M318" s="34" t="str"/>
      <x:c r="N318" s="34" t="str"/>
      <x:c r="O318" s="34" t="str"/>
      <x:c r="P318" s="34" t="str"/>
      <x:c r="Q318" s="34" t="str"/>
    </x:row>
    <x:row r="319">
      <x:c r="A319" s="34" t="str">
        <x:v>M5-HIT-0314</x:v>
      </x:c>
      <x:c r="B319" s="34" t="str"/>
      <x:c r="C319" s="34" t="str"/>
      <x:c r="D319" s="34" t="str"/>
      <x:c r="E319" s="34" t="str"/>
      <x:c r="F319" s="34" t="str"/>
      <x:c r="G319" s="34" t="str"/>
      <x:c r="H319" s="34" t="str"/>
      <x:c r="I319" s="34" t="str"/>
      <x:c r="J319" s="34" t="str"/>
      <x:c r="K319" s="34" t="str"/>
      <x:c r="L319" s="34" t="str"/>
      <x:c r="M319" s="34" t="str"/>
      <x:c r="N319" s="34" t="str"/>
      <x:c r="O319" s="34" t="str"/>
      <x:c r="P319" s="34" t="str"/>
      <x:c r="Q319" s="34" t="str"/>
    </x:row>
    <x:row r="320">
      <x:c r="A320" s="34" t="str">
        <x:v>M5-HIT-0315</x:v>
      </x:c>
      <x:c r="B320" s="34" t="str"/>
      <x:c r="C320" s="34" t="str"/>
      <x:c r="D320" s="34" t="str"/>
      <x:c r="E320" s="34" t="str"/>
      <x:c r="F320" s="34" t="str"/>
      <x:c r="G320" s="34" t="str"/>
      <x:c r="H320" s="34" t="str"/>
      <x:c r="I320" s="34" t="str"/>
      <x:c r="J320" s="34" t="str"/>
      <x:c r="K320" s="34" t="str"/>
      <x:c r="L320" s="34" t="str"/>
      <x:c r="M320" s="34" t="str"/>
      <x:c r="N320" s="34" t="str"/>
      <x:c r="O320" s="34" t="str"/>
      <x:c r="P320" s="34" t="str"/>
      <x:c r="Q320" s="34" t="str"/>
    </x:row>
    <x:row r="321">
      <x:c r="A321" s="34" t="str">
        <x:v>M5-HIT-0316</x:v>
      </x:c>
      <x:c r="B321" s="34" t="str"/>
      <x:c r="C321" s="34" t="str"/>
      <x:c r="D321" s="34" t="str"/>
      <x:c r="E321" s="34" t="str"/>
      <x:c r="F321" s="34" t="str"/>
      <x:c r="G321" s="34" t="str"/>
      <x:c r="H321" s="34" t="str"/>
      <x:c r="I321" s="34" t="str"/>
      <x:c r="J321" s="34" t="str"/>
      <x:c r="K321" s="34" t="str"/>
      <x:c r="L321" s="34" t="str"/>
      <x:c r="M321" s="34" t="str"/>
      <x:c r="N321" s="34" t="str"/>
      <x:c r="O321" s="34" t="str"/>
      <x:c r="P321" s="34" t="str"/>
      <x:c r="Q321" s="34" t="str"/>
    </x:row>
    <x:row r="322">
      <x:c r="A322" s="34" t="str">
        <x:v>M5-HIT-0317</x:v>
      </x:c>
      <x:c r="B322" s="34" t="str"/>
      <x:c r="C322" s="34" t="str"/>
      <x:c r="D322" s="34" t="str"/>
      <x:c r="E322" s="34" t="str"/>
      <x:c r="F322" s="34" t="str"/>
      <x:c r="G322" s="34" t="str"/>
      <x:c r="H322" s="34" t="str"/>
      <x:c r="I322" s="34" t="str"/>
      <x:c r="J322" s="34" t="str"/>
      <x:c r="K322" s="34" t="str"/>
      <x:c r="L322" s="34" t="str"/>
      <x:c r="M322" s="34" t="str"/>
      <x:c r="N322" s="34" t="str"/>
      <x:c r="O322" s="34" t="str"/>
      <x:c r="P322" s="34" t="str"/>
      <x:c r="Q322" s="34" t="str"/>
    </x:row>
    <x:row r="323">
      <x:c r="A323" s="34" t="str">
        <x:v>M5-HIT-0318</x:v>
      </x:c>
      <x:c r="B323" s="34" t="str"/>
      <x:c r="C323" s="34" t="str"/>
      <x:c r="D323" s="34" t="str"/>
      <x:c r="E323" s="34" t="str"/>
      <x:c r="F323" s="34" t="str"/>
      <x:c r="G323" s="34" t="str"/>
      <x:c r="H323" s="34" t="str"/>
      <x:c r="I323" s="34" t="str"/>
      <x:c r="J323" s="34" t="str"/>
      <x:c r="K323" s="34" t="str"/>
      <x:c r="L323" s="34" t="str"/>
      <x:c r="M323" s="34" t="str"/>
      <x:c r="N323" s="34" t="str"/>
      <x:c r="O323" s="34" t="str"/>
      <x:c r="P323" s="34" t="str"/>
      <x:c r="Q323" s="34" t="str"/>
    </x:row>
    <x:row r="324">
      <x:c r="A324" s="34" t="str">
        <x:v>M5-HIT-0319</x:v>
      </x:c>
      <x:c r="B324" s="34" t="str"/>
      <x:c r="C324" s="34" t="str"/>
      <x:c r="D324" s="34" t="str"/>
      <x:c r="E324" s="34" t="str"/>
      <x:c r="F324" s="34" t="str"/>
      <x:c r="G324" s="34" t="str"/>
      <x:c r="H324" s="34" t="str"/>
      <x:c r="I324" s="34" t="str"/>
      <x:c r="J324" s="34" t="str"/>
      <x:c r="K324" s="34" t="str"/>
      <x:c r="L324" s="34" t="str"/>
      <x:c r="M324" s="34" t="str"/>
      <x:c r="N324" s="34" t="str"/>
      <x:c r="O324" s="34" t="str"/>
      <x:c r="P324" s="34" t="str"/>
      <x:c r="Q324" s="34" t="str"/>
    </x:row>
    <x:row r="325">
      <x:c r="A325" s="34" t="str">
        <x:v>M5-HIT-0320</x:v>
      </x:c>
      <x:c r="B325" s="34" t="str"/>
      <x:c r="C325" s="34" t="str"/>
      <x:c r="D325" s="34" t="str"/>
      <x:c r="E325" s="34" t="str"/>
      <x:c r="F325" s="34" t="str"/>
      <x:c r="G325" s="34" t="str"/>
      <x:c r="H325" s="34" t="str"/>
      <x:c r="I325" s="34" t="str"/>
      <x:c r="J325" s="34" t="str"/>
      <x:c r="K325" s="34" t="str"/>
      <x:c r="L325" s="34" t="str"/>
      <x:c r="M325" s="34" t="str"/>
      <x:c r="N325" s="34" t="str"/>
      <x:c r="O325" s="34" t="str"/>
      <x:c r="P325" s="34" t="str"/>
      <x:c r="Q325" s="34" t="str"/>
    </x:row>
    <x:row r="326">
      <x:c r="A326" s="34" t="str">
        <x:v>M5-HIT-0321</x:v>
      </x:c>
      <x:c r="B326" s="34" t="str"/>
      <x:c r="C326" s="34" t="str"/>
      <x:c r="D326" s="34" t="str"/>
      <x:c r="E326" s="34" t="str"/>
      <x:c r="F326" s="34" t="str"/>
      <x:c r="G326" s="34" t="str"/>
      <x:c r="H326" s="34" t="str"/>
      <x:c r="I326" s="34" t="str"/>
      <x:c r="J326" s="34" t="str"/>
      <x:c r="K326" s="34" t="str"/>
      <x:c r="L326" s="34" t="str"/>
      <x:c r="M326" s="34" t="str"/>
      <x:c r="N326" s="34" t="str"/>
      <x:c r="O326" s="34" t="str"/>
      <x:c r="P326" s="34" t="str"/>
      <x:c r="Q326" s="34" t="str"/>
    </x:row>
    <x:row r="327">
      <x:c r="A327" s="34" t="str">
        <x:v>M5-HIT-0322</x:v>
      </x:c>
      <x:c r="B327" s="34" t="str"/>
      <x:c r="C327" s="34" t="str"/>
      <x:c r="D327" s="34" t="str"/>
      <x:c r="E327" s="34" t="str"/>
      <x:c r="F327" s="34" t="str"/>
      <x:c r="G327" s="34" t="str"/>
      <x:c r="H327" s="34" t="str"/>
      <x:c r="I327" s="34" t="str"/>
      <x:c r="J327" s="34" t="str"/>
      <x:c r="K327" s="34" t="str"/>
      <x:c r="L327" s="34" t="str"/>
      <x:c r="M327" s="34" t="str"/>
      <x:c r="N327" s="34" t="str"/>
      <x:c r="O327" s="34" t="str"/>
      <x:c r="P327" s="34" t="str"/>
      <x:c r="Q327" s="34" t="str"/>
    </x:row>
    <x:row r="328">
      <x:c r="A328" s="34" t="str">
        <x:v>M5-HIT-0323</x:v>
      </x:c>
      <x:c r="B328" s="34" t="str"/>
      <x:c r="C328" s="34" t="str"/>
      <x:c r="D328" s="34" t="str"/>
      <x:c r="E328" s="34" t="str"/>
      <x:c r="F328" s="34" t="str"/>
      <x:c r="G328" s="34" t="str"/>
      <x:c r="H328" s="34" t="str"/>
      <x:c r="I328" s="34" t="str"/>
      <x:c r="J328" s="34" t="str"/>
      <x:c r="K328" s="34" t="str"/>
      <x:c r="L328" s="34" t="str"/>
      <x:c r="M328" s="34" t="str"/>
      <x:c r="N328" s="34" t="str"/>
      <x:c r="O328" s="34" t="str"/>
      <x:c r="P328" s="34" t="str"/>
      <x:c r="Q328" s="34" t="str"/>
    </x:row>
    <x:row r="329">
      <x:c r="A329" s="34" t="str">
        <x:v>M5-HIT-0324</x:v>
      </x:c>
      <x:c r="B329" s="34" t="str"/>
      <x:c r="C329" s="34" t="str"/>
      <x:c r="D329" s="34" t="str"/>
      <x:c r="E329" s="34" t="str"/>
      <x:c r="F329" s="34" t="str"/>
      <x:c r="G329" s="34" t="str"/>
      <x:c r="H329" s="34" t="str"/>
      <x:c r="I329" s="34" t="str"/>
      <x:c r="J329" s="34" t="str"/>
      <x:c r="K329" s="34" t="str"/>
      <x:c r="L329" s="34" t="str"/>
      <x:c r="M329" s="34" t="str"/>
      <x:c r="N329" s="34" t="str"/>
      <x:c r="O329" s="34" t="str"/>
      <x:c r="P329" s="34" t="str"/>
      <x:c r="Q329" s="34" t="str"/>
    </x:row>
    <x:row r="330">
      <x:c r="A330" s="34" t="str">
        <x:v>M5-HIT-0325</x:v>
      </x:c>
      <x:c r="B330" s="34" t="str"/>
      <x:c r="C330" s="34" t="str"/>
      <x:c r="D330" s="34" t="str"/>
      <x:c r="E330" s="34" t="str"/>
      <x:c r="F330" s="34" t="str"/>
      <x:c r="G330" s="34" t="str"/>
      <x:c r="H330" s="34" t="str"/>
      <x:c r="I330" s="34" t="str"/>
      <x:c r="J330" s="34" t="str"/>
      <x:c r="K330" s="34" t="str"/>
      <x:c r="L330" s="34" t="str"/>
      <x:c r="M330" s="34" t="str"/>
      <x:c r="N330" s="34" t="str"/>
      <x:c r="O330" s="34" t="str"/>
      <x:c r="P330" s="34" t="str"/>
      <x:c r="Q330" s="34" t="str"/>
    </x:row>
    <x:row r="331">
      <x:c r="A331" s="34" t="str">
        <x:v>M5-HIT-0326</x:v>
      </x:c>
      <x:c r="B331" s="34" t="str"/>
      <x:c r="C331" s="34" t="str"/>
      <x:c r="D331" s="34" t="str"/>
      <x:c r="E331" s="34" t="str"/>
      <x:c r="F331" s="34" t="str"/>
      <x:c r="G331" s="34" t="str"/>
      <x:c r="H331" s="34" t="str"/>
      <x:c r="I331" s="34" t="str"/>
      <x:c r="J331" s="34" t="str"/>
      <x:c r="K331" s="34" t="str"/>
      <x:c r="L331" s="34" t="str"/>
      <x:c r="M331" s="34" t="str"/>
      <x:c r="N331" s="34" t="str"/>
      <x:c r="O331" s="34" t="str"/>
      <x:c r="P331" s="34" t="str"/>
      <x:c r="Q331" s="34" t="str"/>
    </x:row>
    <x:row r="332">
      <x:c r="A332" s="34" t="str">
        <x:v>M5-HIT-0327</x:v>
      </x:c>
      <x:c r="B332" s="34" t="str"/>
      <x:c r="C332" s="34" t="str"/>
      <x:c r="D332" s="34" t="str"/>
      <x:c r="E332" s="34" t="str"/>
      <x:c r="F332" s="34" t="str"/>
      <x:c r="G332" s="34" t="str"/>
      <x:c r="H332" s="34" t="str"/>
      <x:c r="I332" s="34" t="str"/>
      <x:c r="J332" s="34" t="str"/>
      <x:c r="K332" s="34" t="str"/>
      <x:c r="L332" s="34" t="str"/>
      <x:c r="M332" s="34" t="str"/>
      <x:c r="N332" s="34" t="str"/>
      <x:c r="O332" s="34" t="str"/>
      <x:c r="P332" s="34" t="str"/>
      <x:c r="Q332" s="34" t="str"/>
    </x:row>
    <x:row r="333">
      <x:c r="A333" s="34" t="str">
        <x:v>M5-HIT-0328</x:v>
      </x:c>
      <x:c r="B333" s="34" t="str"/>
      <x:c r="C333" s="34" t="str"/>
      <x:c r="D333" s="34" t="str"/>
      <x:c r="E333" s="34" t="str"/>
      <x:c r="F333" s="34" t="str"/>
      <x:c r="G333" s="34" t="str"/>
      <x:c r="H333" s="34" t="str"/>
      <x:c r="I333" s="34" t="str"/>
      <x:c r="J333" s="34" t="str"/>
      <x:c r="K333" s="34" t="str"/>
      <x:c r="L333" s="34" t="str"/>
      <x:c r="M333" s="34" t="str"/>
      <x:c r="N333" s="34" t="str"/>
      <x:c r="O333" s="34" t="str"/>
      <x:c r="P333" s="34" t="str"/>
      <x:c r="Q333" s="34" t="str"/>
    </x:row>
    <x:row r="334">
      <x:c r="A334" s="34" t="str">
        <x:v>M5-HIT-0329</x:v>
      </x:c>
      <x:c r="B334" s="34" t="str"/>
      <x:c r="C334" s="34" t="str"/>
      <x:c r="D334" s="34" t="str"/>
      <x:c r="E334" s="34" t="str"/>
      <x:c r="F334" s="34" t="str"/>
      <x:c r="G334" s="34" t="str"/>
      <x:c r="H334" s="34" t="str"/>
      <x:c r="I334" s="34" t="str"/>
      <x:c r="J334" s="34" t="str"/>
      <x:c r="K334" s="34" t="str"/>
      <x:c r="L334" s="34" t="str"/>
      <x:c r="M334" s="34" t="str"/>
      <x:c r="N334" s="34" t="str"/>
      <x:c r="O334" s="34" t="str"/>
      <x:c r="P334" s="34" t="str"/>
      <x:c r="Q334" s="34" t="str"/>
    </x:row>
    <x:row r="335">
      <x:c r="A335" s="34" t="str">
        <x:v>M5-HIT-0330</x:v>
      </x:c>
      <x:c r="B335" s="34" t="str"/>
      <x:c r="C335" s="34" t="str"/>
      <x:c r="D335" s="34" t="str"/>
      <x:c r="E335" s="34" t="str"/>
      <x:c r="F335" s="34" t="str"/>
      <x:c r="G335" s="34" t="str"/>
      <x:c r="H335" s="34" t="str"/>
      <x:c r="I335" s="34" t="str"/>
      <x:c r="J335" s="34" t="str"/>
      <x:c r="K335" s="34" t="str"/>
      <x:c r="L335" s="34" t="str"/>
      <x:c r="M335" s="34" t="str"/>
      <x:c r="N335" s="34" t="str"/>
      <x:c r="O335" s="34" t="str"/>
      <x:c r="P335" s="34" t="str"/>
      <x:c r="Q335" s="34" t="str"/>
    </x:row>
    <x:row r="336">
      <x:c r="A336" s="34" t="str">
        <x:v>M5-HIT-0331</x:v>
      </x:c>
      <x:c r="B336" s="34" t="str"/>
      <x:c r="C336" s="34" t="str"/>
      <x:c r="D336" s="34" t="str"/>
      <x:c r="E336" s="34" t="str"/>
      <x:c r="F336" s="34" t="str"/>
      <x:c r="G336" s="34" t="str"/>
      <x:c r="H336" s="34" t="str"/>
      <x:c r="I336" s="34" t="str"/>
      <x:c r="J336" s="34" t="str"/>
      <x:c r="K336" s="34" t="str"/>
      <x:c r="L336" s="34" t="str"/>
      <x:c r="M336" s="34" t="str"/>
      <x:c r="N336" s="34" t="str"/>
      <x:c r="O336" s="34" t="str"/>
      <x:c r="P336" s="34" t="str"/>
      <x:c r="Q336" s="34" t="str"/>
    </x:row>
    <x:row r="337">
      <x:c r="A337" s="34" t="str">
        <x:v>M5-HIT-0332</x:v>
      </x:c>
      <x:c r="B337" s="34" t="str"/>
      <x:c r="C337" s="34" t="str"/>
      <x:c r="D337" s="34" t="str"/>
      <x:c r="E337" s="34" t="str"/>
      <x:c r="F337" s="34" t="str"/>
      <x:c r="G337" s="34" t="str"/>
      <x:c r="H337" s="34" t="str"/>
      <x:c r="I337" s="34" t="str"/>
      <x:c r="J337" s="34" t="str"/>
      <x:c r="K337" s="34" t="str"/>
      <x:c r="L337" s="34" t="str"/>
      <x:c r="M337" s="34" t="str"/>
      <x:c r="N337" s="34" t="str"/>
      <x:c r="O337" s="34" t="str"/>
      <x:c r="P337" s="34" t="str"/>
      <x:c r="Q337" s="34" t="str"/>
    </x:row>
    <x:row r="338">
      <x:c r="A338" s="34" t="str">
        <x:v>M5-HIT-0333</x:v>
      </x:c>
      <x:c r="B338" s="34" t="str"/>
      <x:c r="C338" s="34" t="str"/>
      <x:c r="D338" s="34" t="str"/>
      <x:c r="E338" s="34" t="str"/>
      <x:c r="F338" s="34" t="str"/>
      <x:c r="G338" s="34" t="str"/>
      <x:c r="H338" s="34" t="str"/>
      <x:c r="I338" s="34" t="str"/>
      <x:c r="J338" s="34" t="str"/>
      <x:c r="K338" s="34" t="str"/>
      <x:c r="L338" s="34" t="str"/>
      <x:c r="M338" s="34" t="str"/>
      <x:c r="N338" s="34" t="str"/>
      <x:c r="O338" s="34" t="str"/>
      <x:c r="P338" s="34" t="str"/>
      <x:c r="Q338" s="34" t="str"/>
    </x:row>
    <x:row r="339">
      <x:c r="A339" s="34" t="str">
        <x:v>M5-HIT-0334</x:v>
      </x:c>
      <x:c r="B339" s="34" t="str"/>
      <x:c r="C339" s="34" t="str"/>
      <x:c r="D339" s="34" t="str"/>
      <x:c r="E339" s="34" t="str"/>
      <x:c r="F339" s="34" t="str"/>
      <x:c r="G339" s="34" t="str"/>
      <x:c r="H339" s="34" t="str"/>
      <x:c r="I339" s="34" t="str"/>
      <x:c r="J339" s="34" t="str"/>
      <x:c r="K339" s="34" t="str"/>
      <x:c r="L339" s="34" t="str"/>
      <x:c r="M339" s="34" t="str"/>
      <x:c r="N339" s="34" t="str"/>
      <x:c r="O339" s="34" t="str"/>
      <x:c r="P339" s="34" t="str"/>
      <x:c r="Q339" s="34" t="str"/>
    </x:row>
    <x:row r="340">
      <x:c r="A340" s="34" t="str">
        <x:v>M5-HIT-0335</x:v>
      </x:c>
      <x:c r="B340" s="34" t="str"/>
      <x:c r="C340" s="34" t="str"/>
      <x:c r="D340" s="34" t="str"/>
      <x:c r="E340" s="34" t="str"/>
      <x:c r="F340" s="34" t="str"/>
      <x:c r="G340" s="34" t="str"/>
      <x:c r="H340" s="34" t="str"/>
      <x:c r="I340" s="34" t="str"/>
      <x:c r="J340" s="34" t="str"/>
      <x:c r="K340" s="34" t="str"/>
      <x:c r="L340" s="34" t="str"/>
      <x:c r="M340" s="34" t="str"/>
      <x:c r="N340" s="34" t="str"/>
      <x:c r="O340" s="34" t="str"/>
      <x:c r="P340" s="34" t="str"/>
      <x:c r="Q340" s="34" t="str"/>
    </x:row>
    <x:row r="341">
      <x:c r="A341" s="34" t="str">
        <x:v>M5-HIT-0336</x:v>
      </x:c>
      <x:c r="B341" s="34" t="str"/>
      <x:c r="C341" s="34" t="str"/>
      <x:c r="D341" s="34" t="str"/>
      <x:c r="E341" s="34" t="str"/>
      <x:c r="F341" s="34" t="str"/>
      <x:c r="G341" s="34" t="str"/>
      <x:c r="H341" s="34" t="str"/>
      <x:c r="I341" s="34" t="str"/>
      <x:c r="J341" s="34" t="str"/>
      <x:c r="K341" s="34" t="str"/>
      <x:c r="L341" s="34" t="str"/>
      <x:c r="M341" s="34" t="str"/>
      <x:c r="N341" s="34" t="str"/>
      <x:c r="O341" s="34" t="str"/>
      <x:c r="P341" s="34" t="str"/>
      <x:c r="Q341" s="34" t="str"/>
    </x:row>
    <x:row r="342">
      <x:c r="A342" s="34" t="str">
        <x:v>M5-HIT-0337</x:v>
      </x:c>
      <x:c r="B342" s="34" t="str"/>
      <x:c r="C342" s="34" t="str"/>
      <x:c r="D342" s="34" t="str"/>
      <x:c r="E342" s="34" t="str"/>
      <x:c r="F342" s="34" t="str"/>
      <x:c r="G342" s="34" t="str"/>
      <x:c r="H342" s="34" t="str"/>
      <x:c r="I342" s="34" t="str"/>
      <x:c r="J342" s="34" t="str"/>
      <x:c r="K342" s="34" t="str"/>
      <x:c r="L342" s="34" t="str"/>
      <x:c r="M342" s="34" t="str"/>
      <x:c r="N342" s="34" t="str"/>
      <x:c r="O342" s="34" t="str"/>
      <x:c r="P342" s="34" t="str"/>
      <x:c r="Q342" s="34" t="str"/>
    </x:row>
    <x:row r="343">
      <x:c r="A343" s="34" t="str">
        <x:v>M5-HIT-0338</x:v>
      </x:c>
      <x:c r="B343" s="34" t="str"/>
      <x:c r="C343" s="34" t="str"/>
      <x:c r="D343" s="34" t="str"/>
      <x:c r="E343" s="34" t="str"/>
      <x:c r="F343" s="34" t="str"/>
      <x:c r="G343" s="34" t="str"/>
      <x:c r="H343" s="34" t="str"/>
      <x:c r="I343" s="34" t="str"/>
      <x:c r="J343" s="34" t="str"/>
      <x:c r="K343" s="34" t="str"/>
      <x:c r="L343" s="34" t="str"/>
      <x:c r="M343" s="34" t="str"/>
      <x:c r="N343" s="34" t="str"/>
      <x:c r="O343" s="34" t="str"/>
      <x:c r="P343" s="34" t="str"/>
      <x:c r="Q343" s="34" t="str"/>
    </x:row>
    <x:row r="344">
      <x:c r="A344" s="34" t="str">
        <x:v>M5-HIT-0339</x:v>
      </x:c>
      <x:c r="B344" s="34" t="str"/>
      <x:c r="C344" s="34" t="str"/>
      <x:c r="D344" s="34" t="str"/>
      <x:c r="E344" s="34" t="str"/>
      <x:c r="F344" s="34" t="str"/>
      <x:c r="G344" s="34" t="str"/>
      <x:c r="H344" s="34" t="str"/>
      <x:c r="I344" s="34" t="str"/>
      <x:c r="J344" s="34" t="str"/>
      <x:c r="K344" s="34" t="str"/>
      <x:c r="L344" s="34" t="str"/>
      <x:c r="M344" s="34" t="str"/>
      <x:c r="N344" s="34" t="str"/>
      <x:c r="O344" s="34" t="str"/>
      <x:c r="P344" s="34" t="str"/>
      <x:c r="Q344" s="34" t="str"/>
    </x:row>
    <x:row r="345">
      <x:c r="A345" s="34" t="str">
        <x:v>M5-HIT-0340</x:v>
      </x:c>
      <x:c r="B345" s="34" t="str"/>
      <x:c r="C345" s="34" t="str"/>
      <x:c r="D345" s="34" t="str"/>
      <x:c r="E345" s="34" t="str"/>
      <x:c r="F345" s="34" t="str"/>
      <x:c r="G345" s="34" t="str"/>
      <x:c r="H345" s="34" t="str"/>
      <x:c r="I345" s="34" t="str"/>
      <x:c r="J345" s="34" t="str"/>
      <x:c r="K345" s="34" t="str"/>
      <x:c r="L345" s="34" t="str"/>
      <x:c r="M345" s="34" t="str"/>
      <x:c r="N345" s="34" t="str"/>
      <x:c r="O345" s="34" t="str"/>
      <x:c r="P345" s="34" t="str"/>
      <x:c r="Q345" s="34" t="str"/>
    </x:row>
    <x:row r="346">
      <x:c r="A346" s="34" t="str">
        <x:v>M5-HIT-0341</x:v>
      </x:c>
      <x:c r="B346" s="34" t="str"/>
      <x:c r="C346" s="34" t="str"/>
      <x:c r="D346" s="34" t="str"/>
      <x:c r="E346" s="34" t="str"/>
      <x:c r="F346" s="34" t="str"/>
      <x:c r="G346" s="34" t="str"/>
      <x:c r="H346" s="34" t="str"/>
      <x:c r="I346" s="34" t="str"/>
      <x:c r="J346" s="34" t="str"/>
      <x:c r="K346" s="34" t="str"/>
      <x:c r="L346" s="34" t="str"/>
      <x:c r="M346" s="34" t="str"/>
      <x:c r="N346" s="34" t="str"/>
      <x:c r="O346" s="34" t="str"/>
      <x:c r="P346" s="34" t="str"/>
      <x:c r="Q346" s="34" t="str"/>
    </x:row>
    <x:row r="347">
      <x:c r="A347" s="34" t="str">
        <x:v>M5-HIT-0342</x:v>
      </x:c>
      <x:c r="B347" s="34" t="str"/>
      <x:c r="C347" s="34" t="str"/>
      <x:c r="D347" s="34" t="str"/>
      <x:c r="E347" s="34" t="str"/>
      <x:c r="F347" s="34" t="str"/>
      <x:c r="G347" s="34" t="str"/>
      <x:c r="H347" s="34" t="str"/>
      <x:c r="I347" s="34" t="str"/>
      <x:c r="J347" s="34" t="str"/>
      <x:c r="K347" s="34" t="str"/>
      <x:c r="L347" s="34" t="str"/>
      <x:c r="M347" s="34" t="str"/>
      <x:c r="N347" s="34" t="str"/>
      <x:c r="O347" s="34" t="str"/>
      <x:c r="P347" s="34" t="str"/>
      <x:c r="Q347" s="34" t="str"/>
    </x:row>
    <x:row r="348">
      <x:c r="A348" s="34" t="str">
        <x:v>M5-HIT-0343</x:v>
      </x:c>
      <x:c r="B348" s="34" t="str"/>
      <x:c r="C348" s="34" t="str"/>
      <x:c r="D348" s="34" t="str"/>
      <x:c r="E348" s="34" t="str"/>
      <x:c r="F348" s="34" t="str"/>
      <x:c r="G348" s="34" t="str"/>
      <x:c r="H348" s="34" t="str"/>
      <x:c r="I348" s="34" t="str"/>
      <x:c r="J348" s="34" t="str"/>
      <x:c r="K348" s="34" t="str"/>
      <x:c r="L348" s="34" t="str"/>
      <x:c r="M348" s="34" t="str"/>
      <x:c r="N348" s="34" t="str"/>
      <x:c r="O348" s="34" t="str"/>
      <x:c r="P348" s="34" t="str"/>
      <x:c r="Q348" s="34" t="str"/>
    </x:row>
    <x:row r="349">
      <x:c r="A349" s="34" t="str">
        <x:v>M5-HIT-0344</x:v>
      </x:c>
      <x:c r="B349" s="34" t="str"/>
      <x:c r="C349" s="34" t="str"/>
      <x:c r="D349" s="34" t="str"/>
      <x:c r="E349" s="34" t="str"/>
      <x:c r="F349" s="34" t="str"/>
      <x:c r="G349" s="34" t="str"/>
      <x:c r="H349" s="34" t="str"/>
      <x:c r="I349" s="34" t="str"/>
      <x:c r="J349" s="34" t="str"/>
      <x:c r="K349" s="34" t="str"/>
      <x:c r="L349" s="34" t="str"/>
      <x:c r="M349" s="34" t="str"/>
      <x:c r="N349" s="34" t="str"/>
      <x:c r="O349" s="34" t="str"/>
      <x:c r="P349" s="34" t="str"/>
      <x:c r="Q349" s="34" t="str"/>
    </x:row>
    <x:row r="350">
      <x:c r="A350" s="34" t="str">
        <x:v>M5-HIT-0345</x:v>
      </x:c>
      <x:c r="B350" s="34" t="str"/>
      <x:c r="C350" s="34" t="str"/>
      <x:c r="D350" s="34" t="str"/>
      <x:c r="E350" s="34" t="str"/>
      <x:c r="F350" s="34" t="str"/>
      <x:c r="G350" s="34" t="str"/>
      <x:c r="H350" s="34" t="str"/>
      <x:c r="I350" s="34" t="str"/>
      <x:c r="J350" s="34" t="str"/>
      <x:c r="K350" s="34" t="str"/>
      <x:c r="L350" s="34" t="str"/>
      <x:c r="M350" s="34" t="str"/>
      <x:c r="N350" s="34" t="str"/>
      <x:c r="O350" s="34" t="str"/>
      <x:c r="P350" s="34" t="str"/>
      <x:c r="Q350" s="34" t="str"/>
    </x:row>
    <x:row r="351">
      <x:c r="A351" s="34" t="str">
        <x:v>M5-HIT-0346</x:v>
      </x:c>
      <x:c r="B351" s="34" t="str"/>
      <x:c r="C351" s="34" t="str"/>
      <x:c r="D351" s="34" t="str"/>
      <x:c r="E351" s="34" t="str"/>
      <x:c r="F351" s="34" t="str"/>
      <x:c r="G351" s="34" t="str"/>
      <x:c r="H351" s="34" t="str"/>
      <x:c r="I351" s="34" t="str"/>
      <x:c r="J351" s="34" t="str"/>
      <x:c r="K351" s="34" t="str"/>
      <x:c r="L351" s="34" t="str"/>
      <x:c r="M351" s="34" t="str"/>
      <x:c r="N351" s="34" t="str"/>
      <x:c r="O351" s="34" t="str"/>
      <x:c r="P351" s="34" t="str"/>
      <x:c r="Q351" s="34" t="str"/>
    </x:row>
    <x:row r="352">
      <x:c r="A352" s="34" t="str">
        <x:v>M5-HIT-0347</x:v>
      </x:c>
      <x:c r="B352" s="34" t="str"/>
      <x:c r="C352" s="34" t="str"/>
      <x:c r="D352" s="34" t="str"/>
      <x:c r="E352" s="34" t="str"/>
      <x:c r="F352" s="34" t="str"/>
      <x:c r="G352" s="34" t="str"/>
      <x:c r="H352" s="34" t="str"/>
      <x:c r="I352" s="34" t="str"/>
      <x:c r="J352" s="34" t="str"/>
      <x:c r="K352" s="34" t="str"/>
      <x:c r="L352" s="34" t="str"/>
      <x:c r="M352" s="34" t="str"/>
      <x:c r="N352" s="34" t="str"/>
      <x:c r="O352" s="34" t="str"/>
      <x:c r="P352" s="34" t="str"/>
      <x:c r="Q352" s="34" t="str"/>
    </x:row>
    <x:row r="353">
      <x:c r="A353" s="34" t="str">
        <x:v>M5-HIT-0348</x:v>
      </x:c>
      <x:c r="B353" s="34" t="str"/>
      <x:c r="C353" s="34" t="str"/>
      <x:c r="D353" s="34" t="str"/>
      <x:c r="E353" s="34" t="str"/>
      <x:c r="F353" s="34" t="str"/>
      <x:c r="G353" s="34" t="str"/>
      <x:c r="H353" s="34" t="str"/>
      <x:c r="I353" s="34" t="str"/>
      <x:c r="J353" s="34" t="str"/>
      <x:c r="K353" s="34" t="str"/>
      <x:c r="L353" s="34" t="str"/>
      <x:c r="M353" s="34" t="str"/>
      <x:c r="N353" s="34" t="str"/>
      <x:c r="O353" s="34" t="str"/>
      <x:c r="P353" s="34" t="str"/>
      <x:c r="Q353" s="34" t="str"/>
    </x:row>
    <x:row r="354">
      <x:c r="A354" s="34" t="str">
        <x:v>M5-HIT-0349</x:v>
      </x:c>
      <x:c r="B354" s="34" t="str"/>
      <x:c r="C354" s="34" t="str"/>
      <x:c r="D354" s="34" t="str"/>
      <x:c r="E354" s="34" t="str"/>
      <x:c r="F354" s="34" t="str"/>
      <x:c r="G354" s="34" t="str"/>
      <x:c r="H354" s="34" t="str"/>
      <x:c r="I354" s="34" t="str"/>
      <x:c r="J354" s="34" t="str"/>
      <x:c r="K354" s="34" t="str"/>
      <x:c r="L354" s="34" t="str"/>
      <x:c r="M354" s="34" t="str"/>
      <x:c r="N354" s="34" t="str"/>
      <x:c r="O354" s="34" t="str"/>
      <x:c r="P354" s="34" t="str"/>
      <x:c r="Q354" s="34" t="str"/>
    </x:row>
    <x:row r="355">
      <x:c r="A355" s="34" t="str">
        <x:v>M5-HIT-0350</x:v>
      </x:c>
      <x:c r="B355" s="34" t="str"/>
      <x:c r="C355" s="34" t="str"/>
      <x:c r="D355" s="34" t="str"/>
      <x:c r="E355" s="34" t="str"/>
      <x:c r="F355" s="34" t="str"/>
      <x:c r="G355" s="34" t="str"/>
      <x:c r="H355" s="34" t="str"/>
      <x:c r="I355" s="34" t="str"/>
      <x:c r="J355" s="34" t="str"/>
      <x:c r="K355" s="34" t="str"/>
      <x:c r="L355" s="34" t="str"/>
      <x:c r="M355" s="34" t="str"/>
      <x:c r="N355" s="34" t="str"/>
      <x:c r="O355" s="34" t="str"/>
      <x:c r="P355" s="34" t="str"/>
      <x:c r="Q355" s="34" t="str"/>
    </x:row>
    <x:row r="356">
      <x:c r="A356" s="34" t="str">
        <x:v>M5-HIT-0351</x:v>
      </x:c>
      <x:c r="B356" s="34" t="str"/>
      <x:c r="C356" s="34" t="str"/>
      <x:c r="D356" s="34" t="str"/>
      <x:c r="E356" s="34" t="str"/>
      <x:c r="F356" s="34" t="str"/>
      <x:c r="G356" s="34" t="str"/>
      <x:c r="H356" s="34" t="str"/>
      <x:c r="I356" s="34" t="str"/>
      <x:c r="J356" s="34" t="str"/>
      <x:c r="K356" s="34" t="str"/>
      <x:c r="L356" s="34" t="str"/>
      <x:c r="M356" s="34" t="str"/>
      <x:c r="N356" s="34" t="str"/>
      <x:c r="O356" s="34" t="str"/>
      <x:c r="P356" s="34" t="str"/>
      <x:c r="Q356" s="34" t="str"/>
    </x:row>
    <x:row r="357">
      <x:c r="A357" s="34" t="str">
        <x:v>M5-HIT-0352</x:v>
      </x:c>
      <x:c r="B357" s="34" t="str"/>
      <x:c r="C357" s="34" t="str"/>
      <x:c r="D357" s="34" t="str"/>
      <x:c r="E357" s="34" t="str"/>
      <x:c r="F357" s="34" t="str"/>
      <x:c r="G357" s="34" t="str"/>
      <x:c r="H357" s="34" t="str"/>
      <x:c r="I357" s="34" t="str"/>
      <x:c r="J357" s="34" t="str"/>
      <x:c r="K357" s="34" t="str"/>
      <x:c r="L357" s="34" t="str"/>
      <x:c r="M357" s="34" t="str"/>
      <x:c r="N357" s="34" t="str"/>
      <x:c r="O357" s="34" t="str"/>
      <x:c r="P357" s="34" t="str"/>
      <x:c r="Q357" s="34" t="str"/>
    </x:row>
    <x:row r="358">
      <x:c r="A358" s="34" t="str">
        <x:v>M5-HIT-0353</x:v>
      </x:c>
      <x:c r="B358" s="34" t="str"/>
      <x:c r="C358" s="34" t="str"/>
      <x:c r="D358" s="34" t="str"/>
      <x:c r="E358" s="34" t="str"/>
      <x:c r="F358" s="34" t="str"/>
      <x:c r="G358" s="34" t="str"/>
      <x:c r="H358" s="34" t="str"/>
      <x:c r="I358" s="34" t="str"/>
      <x:c r="J358" s="34" t="str"/>
      <x:c r="K358" s="34" t="str"/>
      <x:c r="L358" s="34" t="str"/>
      <x:c r="M358" s="34" t="str"/>
      <x:c r="N358" s="34" t="str"/>
      <x:c r="O358" s="34" t="str"/>
      <x:c r="P358" s="34" t="str"/>
      <x:c r="Q358" s="34" t="str"/>
    </x:row>
    <x:row r="359">
      <x:c r="A359" s="34" t="str">
        <x:v>M5-HIT-0354</x:v>
      </x:c>
      <x:c r="B359" s="34" t="str"/>
      <x:c r="C359" s="34" t="str"/>
      <x:c r="D359" s="34" t="str"/>
      <x:c r="E359" s="34" t="str"/>
      <x:c r="F359" s="34" t="str"/>
      <x:c r="G359" s="34" t="str"/>
      <x:c r="H359" s="34" t="str"/>
      <x:c r="I359" s="34" t="str"/>
      <x:c r="J359" s="34" t="str"/>
      <x:c r="K359" s="34" t="str"/>
      <x:c r="L359" s="34" t="str"/>
      <x:c r="M359" s="34" t="str"/>
      <x:c r="N359" s="34" t="str"/>
      <x:c r="O359" s="34" t="str"/>
      <x:c r="P359" s="34" t="str"/>
      <x:c r="Q359" s="34" t="str"/>
    </x:row>
    <x:row r="360">
      <x:c r="A360" s="34" t="str">
        <x:v>M5-HIT-0355</x:v>
      </x:c>
      <x:c r="B360" s="34" t="str"/>
      <x:c r="C360" s="34" t="str"/>
      <x:c r="D360" s="34" t="str"/>
      <x:c r="E360" s="34" t="str"/>
      <x:c r="F360" s="34" t="str"/>
      <x:c r="G360" s="34" t="str"/>
      <x:c r="H360" s="34" t="str"/>
      <x:c r="I360" s="34" t="str"/>
      <x:c r="J360" s="34" t="str"/>
      <x:c r="K360" s="34" t="str"/>
      <x:c r="L360" s="34" t="str"/>
      <x:c r="M360" s="34" t="str"/>
      <x:c r="N360" s="34" t="str"/>
      <x:c r="O360" s="34" t="str"/>
      <x:c r="P360" s="34" t="str"/>
      <x:c r="Q360" s="34" t="str"/>
    </x:row>
    <x:row r="361">
      <x:c r="A361" s="34" t="str">
        <x:v>M5-HIT-0356</x:v>
      </x:c>
      <x:c r="B361" s="34" t="str"/>
      <x:c r="C361" s="34" t="str"/>
      <x:c r="D361" s="34" t="str"/>
      <x:c r="E361" s="34" t="str"/>
      <x:c r="F361" s="34" t="str"/>
      <x:c r="G361" s="34" t="str"/>
      <x:c r="H361" s="34" t="str"/>
      <x:c r="I361" s="34" t="str"/>
      <x:c r="J361" s="34" t="str"/>
      <x:c r="K361" s="34" t="str"/>
      <x:c r="L361" s="34" t="str"/>
      <x:c r="M361" s="34" t="str"/>
      <x:c r="N361" s="34" t="str"/>
      <x:c r="O361" s="34" t="str"/>
      <x:c r="P361" s="34" t="str"/>
      <x:c r="Q361" s="34" t="str"/>
    </x:row>
    <x:row r="362">
      <x:c r="A362" s="34" t="str">
        <x:v>M5-HIT-0357</x:v>
      </x:c>
      <x:c r="B362" s="34" t="str"/>
      <x:c r="C362" s="34" t="str"/>
      <x:c r="D362" s="34" t="str"/>
      <x:c r="E362" s="34" t="str"/>
      <x:c r="F362" s="34" t="str"/>
      <x:c r="G362" s="34" t="str"/>
      <x:c r="H362" s="34" t="str"/>
      <x:c r="I362" s="34" t="str"/>
      <x:c r="J362" s="34" t="str"/>
      <x:c r="K362" s="34" t="str"/>
      <x:c r="L362" s="34" t="str"/>
      <x:c r="M362" s="34" t="str"/>
      <x:c r="N362" s="34" t="str"/>
      <x:c r="O362" s="34" t="str"/>
      <x:c r="P362" s="34" t="str"/>
      <x:c r="Q362" s="34" t="str"/>
    </x:row>
    <x:row r="363">
      <x:c r="A363" s="34" t="str">
        <x:v>M5-HIT-0358</x:v>
      </x:c>
      <x:c r="B363" s="34" t="str"/>
      <x:c r="C363" s="34" t="str"/>
      <x:c r="D363" s="34" t="str"/>
      <x:c r="E363" s="34" t="str"/>
      <x:c r="F363" s="34" t="str"/>
      <x:c r="G363" s="34" t="str"/>
      <x:c r="H363" s="34" t="str"/>
      <x:c r="I363" s="34" t="str"/>
      <x:c r="J363" s="34" t="str"/>
      <x:c r="K363" s="34" t="str"/>
      <x:c r="L363" s="34" t="str"/>
      <x:c r="M363" s="34" t="str"/>
      <x:c r="N363" s="34" t="str"/>
      <x:c r="O363" s="34" t="str"/>
      <x:c r="P363" s="34" t="str"/>
      <x:c r="Q363" s="34" t="str"/>
    </x:row>
    <x:row r="364">
      <x:c r="A364" s="34" t="str">
        <x:v>M5-HIT-0359</x:v>
      </x:c>
      <x:c r="B364" s="34" t="str"/>
      <x:c r="C364" s="34" t="str"/>
      <x:c r="D364" s="34" t="str"/>
      <x:c r="E364" s="34" t="str"/>
      <x:c r="F364" s="34" t="str"/>
      <x:c r="G364" s="34" t="str"/>
      <x:c r="H364" s="34" t="str"/>
      <x:c r="I364" s="34" t="str"/>
      <x:c r="J364" s="34" t="str"/>
      <x:c r="K364" s="34" t="str"/>
      <x:c r="L364" s="34" t="str"/>
      <x:c r="M364" s="34" t="str"/>
      <x:c r="N364" s="34" t="str"/>
      <x:c r="O364" s="34" t="str"/>
      <x:c r="P364" s="34" t="str"/>
      <x:c r="Q364" s="34" t="str"/>
    </x:row>
    <x:row r="365">
      <x:c r="A365" s="34" t="str">
        <x:v>M5-HIT-0360</x:v>
      </x:c>
      <x:c r="B365" s="34" t="str"/>
      <x:c r="C365" s="34" t="str"/>
      <x:c r="D365" s="34" t="str"/>
      <x:c r="E365" s="34" t="str"/>
      <x:c r="F365" s="34" t="str"/>
      <x:c r="G365" s="34" t="str"/>
      <x:c r="H365" s="34" t="str"/>
      <x:c r="I365" s="34" t="str"/>
      <x:c r="J365" s="34" t="str"/>
      <x:c r="K365" s="34" t="str"/>
      <x:c r="L365" s="34" t="str"/>
      <x:c r="M365" s="34" t="str"/>
      <x:c r="N365" s="34" t="str"/>
      <x:c r="O365" s="34" t="str"/>
      <x:c r="P365" s="34" t="str"/>
      <x:c r="Q365" s="34" t="str"/>
    </x:row>
    <x:row r="366">
      <x:c r="A366" s="34" t="str">
        <x:v>M5-HIT-0361</x:v>
      </x:c>
      <x:c r="B366" s="34" t="str"/>
      <x:c r="C366" s="34" t="str"/>
      <x:c r="D366" s="34" t="str"/>
      <x:c r="E366" s="34" t="str"/>
      <x:c r="F366" s="34" t="str"/>
      <x:c r="G366" s="34" t="str"/>
      <x:c r="H366" s="34" t="str"/>
      <x:c r="I366" s="34" t="str"/>
      <x:c r="J366" s="34" t="str"/>
      <x:c r="K366" s="34" t="str"/>
      <x:c r="L366" s="34" t="str"/>
      <x:c r="M366" s="34" t="str"/>
      <x:c r="N366" s="34" t="str"/>
      <x:c r="O366" s="34" t="str"/>
      <x:c r="P366" s="34" t="str"/>
      <x:c r="Q366" s="34" t="str"/>
    </x:row>
    <x:row r="367">
      <x:c r="A367" s="34" t="str">
        <x:v>M5-HIT-0362</x:v>
      </x:c>
      <x:c r="B367" s="34" t="str"/>
      <x:c r="C367" s="34" t="str"/>
      <x:c r="D367" s="34" t="str"/>
      <x:c r="E367" s="34" t="str"/>
      <x:c r="F367" s="34" t="str"/>
      <x:c r="G367" s="34" t="str"/>
      <x:c r="H367" s="34" t="str"/>
      <x:c r="I367" s="34" t="str"/>
      <x:c r="J367" s="34" t="str"/>
      <x:c r="K367" s="34" t="str"/>
      <x:c r="L367" s="34" t="str"/>
      <x:c r="M367" s="34" t="str"/>
      <x:c r="N367" s="34" t="str"/>
      <x:c r="O367" s="34" t="str"/>
      <x:c r="P367" s="34" t="str"/>
      <x:c r="Q367" s="34" t="str"/>
    </x:row>
    <x:row r="368">
      <x:c r="A368" s="34" t="str">
        <x:v>M5-HIT-0363</x:v>
      </x:c>
      <x:c r="B368" s="34" t="str"/>
      <x:c r="C368" s="34" t="str"/>
      <x:c r="D368" s="34" t="str"/>
      <x:c r="E368" s="34" t="str"/>
      <x:c r="F368" s="34" t="str"/>
      <x:c r="G368" s="34" t="str"/>
      <x:c r="H368" s="34" t="str"/>
      <x:c r="I368" s="34" t="str"/>
      <x:c r="J368" s="34" t="str"/>
      <x:c r="K368" s="34" t="str"/>
      <x:c r="L368" s="34" t="str"/>
      <x:c r="M368" s="34" t="str"/>
      <x:c r="N368" s="34" t="str"/>
      <x:c r="O368" s="34" t="str"/>
      <x:c r="P368" s="34" t="str"/>
      <x:c r="Q368" s="34" t="str"/>
    </x:row>
    <x:row r="369">
      <x:c r="A369" s="34" t="str">
        <x:v>M5-HIT-0364</x:v>
      </x:c>
      <x:c r="B369" s="34" t="str"/>
      <x:c r="C369" s="34" t="str"/>
      <x:c r="D369" s="34" t="str"/>
      <x:c r="E369" s="34" t="str"/>
      <x:c r="F369" s="34" t="str"/>
      <x:c r="G369" s="34" t="str"/>
      <x:c r="H369" s="34" t="str"/>
      <x:c r="I369" s="34" t="str"/>
      <x:c r="J369" s="34" t="str"/>
      <x:c r="K369" s="34" t="str"/>
      <x:c r="L369" s="34" t="str"/>
      <x:c r="M369" s="34" t="str"/>
      <x:c r="N369" s="34" t="str"/>
      <x:c r="O369" s="34" t="str"/>
      <x:c r="P369" s="34" t="str"/>
      <x:c r="Q369" s="34" t="str"/>
    </x:row>
    <x:row r="370">
      <x:c r="A370" s="34" t="str">
        <x:v>M5-HIT-0365</x:v>
      </x:c>
      <x:c r="B370" s="34" t="str"/>
      <x:c r="C370" s="34" t="str"/>
      <x:c r="D370" s="34" t="str"/>
      <x:c r="E370" s="34" t="str"/>
      <x:c r="F370" s="34" t="str"/>
      <x:c r="G370" s="34" t="str"/>
      <x:c r="H370" s="34" t="str"/>
      <x:c r="I370" s="34" t="str"/>
      <x:c r="J370" s="34" t="str"/>
      <x:c r="K370" s="34" t="str"/>
      <x:c r="L370" s="34" t="str"/>
      <x:c r="M370" s="34" t="str"/>
      <x:c r="N370" s="34" t="str"/>
      <x:c r="O370" s="34" t="str"/>
      <x:c r="P370" s="34" t="str"/>
      <x:c r="Q370" s="34" t="str"/>
    </x:row>
    <x:row r="371">
      <x:c r="A371" s="34" t="str">
        <x:v>M5-HIT-0366</x:v>
      </x:c>
      <x:c r="B371" s="34" t="str"/>
      <x:c r="C371" s="34" t="str"/>
      <x:c r="D371" s="34" t="str"/>
      <x:c r="E371" s="34" t="str"/>
      <x:c r="F371" s="34" t="str"/>
      <x:c r="G371" s="34" t="str"/>
      <x:c r="H371" s="34" t="str"/>
      <x:c r="I371" s="34" t="str"/>
      <x:c r="J371" s="34" t="str"/>
      <x:c r="K371" s="34" t="str"/>
      <x:c r="L371" s="34" t="str"/>
      <x:c r="M371" s="34" t="str"/>
      <x:c r="N371" s="34" t="str"/>
      <x:c r="O371" s="34" t="str"/>
      <x:c r="P371" s="34" t="str"/>
      <x:c r="Q371" s="34" t="str"/>
    </x:row>
    <x:row r="372">
      <x:c r="A372" s="34" t="str">
        <x:v>M5-HIT-0367</x:v>
      </x:c>
      <x:c r="B372" s="34" t="str"/>
      <x:c r="C372" s="34" t="str"/>
      <x:c r="D372" s="34" t="str"/>
      <x:c r="E372" s="34" t="str"/>
      <x:c r="F372" s="34" t="str"/>
      <x:c r="G372" s="34" t="str"/>
      <x:c r="H372" s="34" t="str"/>
      <x:c r="I372" s="34" t="str"/>
      <x:c r="J372" s="34" t="str"/>
      <x:c r="K372" s="34" t="str"/>
      <x:c r="L372" s="34" t="str"/>
      <x:c r="M372" s="34" t="str"/>
      <x:c r="N372" s="34" t="str"/>
      <x:c r="O372" s="34" t="str"/>
      <x:c r="P372" s="34" t="str"/>
      <x:c r="Q372" s="34" t="str"/>
    </x:row>
    <x:row r="373">
      <x:c r="A373" s="34" t="str">
        <x:v>M5-HIT-0368</x:v>
      </x:c>
      <x:c r="B373" s="34" t="str"/>
      <x:c r="C373" s="34" t="str"/>
      <x:c r="D373" s="34" t="str"/>
      <x:c r="E373" s="34" t="str"/>
      <x:c r="F373" s="34" t="str"/>
      <x:c r="G373" s="34" t="str"/>
      <x:c r="H373" s="34" t="str"/>
      <x:c r="I373" s="34" t="str"/>
      <x:c r="J373" s="34" t="str"/>
      <x:c r="K373" s="34" t="str"/>
      <x:c r="L373" s="34" t="str"/>
      <x:c r="M373" s="34" t="str"/>
      <x:c r="N373" s="34" t="str"/>
      <x:c r="O373" s="34" t="str"/>
      <x:c r="P373" s="34" t="str"/>
      <x:c r="Q373" s="34" t="str"/>
    </x:row>
    <x:row r="374">
      <x:c r="A374" s="34" t="str">
        <x:v>M5-HIT-0369</x:v>
      </x:c>
      <x:c r="B374" s="34" t="str"/>
      <x:c r="C374" s="34" t="str"/>
      <x:c r="D374" s="34" t="str"/>
      <x:c r="E374" s="34" t="str"/>
      <x:c r="F374" s="34" t="str"/>
      <x:c r="G374" s="34" t="str"/>
      <x:c r="H374" s="34" t="str"/>
      <x:c r="I374" s="34" t="str"/>
      <x:c r="J374" s="34" t="str"/>
      <x:c r="K374" s="34" t="str"/>
      <x:c r="L374" s="34" t="str"/>
      <x:c r="M374" s="34" t="str"/>
      <x:c r="N374" s="34" t="str"/>
      <x:c r="O374" s="34" t="str"/>
      <x:c r="P374" s="34" t="str"/>
      <x:c r="Q374" s="34" t="str"/>
    </x:row>
    <x:row r="375">
      <x:c r="A375" s="34" t="str">
        <x:v>M5-HIT-0370</x:v>
      </x:c>
      <x:c r="B375" s="34" t="str"/>
      <x:c r="C375" s="34" t="str"/>
      <x:c r="D375" s="34" t="str"/>
      <x:c r="E375" s="34" t="str"/>
      <x:c r="F375" s="34" t="str"/>
      <x:c r="G375" s="34" t="str"/>
      <x:c r="H375" s="34" t="str"/>
      <x:c r="I375" s="34" t="str"/>
      <x:c r="J375" s="34" t="str"/>
      <x:c r="K375" s="34" t="str"/>
      <x:c r="L375" s="34" t="str"/>
      <x:c r="M375" s="34" t="str"/>
      <x:c r="N375" s="34" t="str"/>
      <x:c r="O375" s="34" t="str"/>
      <x:c r="P375" s="34" t="str"/>
      <x:c r="Q375" s="34" t="str"/>
    </x:row>
    <x:row r="376">
      <x:c r="A376" s="34" t="str">
        <x:v>M5-HIT-0371</x:v>
      </x:c>
      <x:c r="B376" s="34" t="str"/>
      <x:c r="C376" s="34" t="str"/>
      <x:c r="D376" s="34" t="str"/>
      <x:c r="E376" s="34" t="str"/>
      <x:c r="F376" s="34" t="str"/>
      <x:c r="G376" s="34" t="str"/>
      <x:c r="H376" s="34" t="str"/>
      <x:c r="I376" s="34" t="str"/>
      <x:c r="J376" s="34" t="str"/>
      <x:c r="K376" s="34" t="str"/>
      <x:c r="L376" s="34" t="str"/>
      <x:c r="M376" s="34" t="str"/>
      <x:c r="N376" s="34" t="str"/>
      <x:c r="O376" s="34" t="str"/>
      <x:c r="P376" s="34" t="str"/>
      <x:c r="Q376" s="34" t="str"/>
    </x:row>
    <x:row r="377">
      <x:c r="A377" s="34" t="str">
        <x:v>M5-HIT-0372</x:v>
      </x:c>
      <x:c r="B377" s="34" t="str"/>
      <x:c r="C377" s="34" t="str"/>
      <x:c r="D377" s="34" t="str"/>
      <x:c r="E377" s="34" t="str"/>
      <x:c r="F377" s="34" t="str"/>
      <x:c r="G377" s="34" t="str"/>
      <x:c r="H377" s="34" t="str"/>
      <x:c r="I377" s="34" t="str"/>
      <x:c r="J377" s="34" t="str"/>
      <x:c r="K377" s="34" t="str"/>
      <x:c r="L377" s="34" t="str"/>
      <x:c r="M377" s="34" t="str"/>
      <x:c r="N377" s="34" t="str"/>
      <x:c r="O377" s="34" t="str"/>
      <x:c r="P377" s="34" t="str"/>
      <x:c r="Q377" s="34" t="str"/>
    </x:row>
    <x:row r="378">
      <x:c r="A378" s="34" t="str">
        <x:v>M5-HIT-0373</x:v>
      </x:c>
      <x:c r="B378" s="34" t="str"/>
      <x:c r="C378" s="34" t="str"/>
      <x:c r="D378" s="34" t="str"/>
      <x:c r="E378" s="34" t="str"/>
      <x:c r="F378" s="34" t="str"/>
      <x:c r="G378" s="34" t="str"/>
      <x:c r="H378" s="34" t="str"/>
      <x:c r="I378" s="34" t="str"/>
      <x:c r="J378" s="34" t="str"/>
      <x:c r="K378" s="34" t="str"/>
      <x:c r="L378" s="34" t="str"/>
      <x:c r="M378" s="34" t="str"/>
      <x:c r="N378" s="34" t="str"/>
      <x:c r="O378" s="34" t="str"/>
      <x:c r="P378" s="34" t="str"/>
      <x:c r="Q378" s="34" t="str"/>
    </x:row>
    <x:row r="379">
      <x:c r="A379" s="34" t="str">
        <x:v>M5-HIT-0374</x:v>
      </x:c>
      <x:c r="B379" s="34" t="str"/>
      <x:c r="C379" s="34" t="str"/>
      <x:c r="D379" s="34" t="str"/>
      <x:c r="E379" s="34" t="str"/>
      <x:c r="F379" s="34" t="str"/>
      <x:c r="G379" s="34" t="str"/>
      <x:c r="H379" s="34" t="str"/>
      <x:c r="I379" s="34" t="str"/>
      <x:c r="J379" s="34" t="str"/>
      <x:c r="K379" s="34" t="str"/>
      <x:c r="L379" s="34" t="str"/>
      <x:c r="M379" s="34" t="str"/>
      <x:c r="N379" s="34" t="str"/>
      <x:c r="O379" s="34" t="str"/>
      <x:c r="P379" s="34" t="str"/>
      <x:c r="Q379" s="34" t="str"/>
    </x:row>
    <x:row r="380">
      <x:c r="A380" s="34" t="str">
        <x:v>M5-HIT-0375</x:v>
      </x:c>
      <x:c r="B380" s="34" t="str"/>
      <x:c r="C380" s="34" t="str"/>
      <x:c r="D380" s="34" t="str"/>
      <x:c r="E380" s="34" t="str"/>
      <x:c r="F380" s="34" t="str"/>
      <x:c r="G380" s="34" t="str"/>
      <x:c r="H380" s="34" t="str"/>
      <x:c r="I380" s="34" t="str"/>
      <x:c r="J380" s="34" t="str"/>
      <x:c r="K380" s="34" t="str"/>
      <x:c r="L380" s="34" t="str"/>
      <x:c r="M380" s="34" t="str"/>
      <x:c r="N380" s="34" t="str"/>
      <x:c r="O380" s="34" t="str"/>
      <x:c r="P380" s="34" t="str"/>
      <x:c r="Q380" s="34" t="str"/>
    </x:row>
    <x:row r="381">
      <x:c r="A381" s="34" t="str">
        <x:v>M5-HIT-0376</x:v>
      </x:c>
      <x:c r="B381" s="34" t="str"/>
      <x:c r="C381" s="34" t="str"/>
      <x:c r="D381" s="34" t="str"/>
      <x:c r="E381" s="34" t="str"/>
      <x:c r="F381" s="34" t="str"/>
      <x:c r="G381" s="34" t="str"/>
      <x:c r="H381" s="34" t="str"/>
      <x:c r="I381" s="34" t="str"/>
      <x:c r="J381" s="34" t="str"/>
      <x:c r="K381" s="34" t="str"/>
      <x:c r="L381" s="34" t="str"/>
      <x:c r="M381" s="34" t="str"/>
      <x:c r="N381" s="34" t="str"/>
      <x:c r="O381" s="34" t="str"/>
      <x:c r="P381" s="34" t="str"/>
      <x:c r="Q381" s="34" t="str"/>
    </x:row>
    <x:row r="382">
      <x:c r="A382" s="34" t="str">
        <x:v>M5-HIT-0377</x:v>
      </x:c>
      <x:c r="B382" s="34" t="str"/>
      <x:c r="C382" s="34" t="str"/>
      <x:c r="D382" s="34" t="str"/>
      <x:c r="E382" s="34" t="str"/>
      <x:c r="F382" s="34" t="str"/>
      <x:c r="G382" s="34" t="str"/>
      <x:c r="H382" s="34" t="str"/>
      <x:c r="I382" s="34" t="str"/>
      <x:c r="J382" s="34" t="str"/>
      <x:c r="K382" s="34" t="str"/>
      <x:c r="L382" s="34" t="str"/>
      <x:c r="M382" s="34" t="str"/>
      <x:c r="N382" s="34" t="str"/>
      <x:c r="O382" s="34" t="str"/>
      <x:c r="P382" s="34" t="str"/>
      <x:c r="Q382" s="34" t="str"/>
    </x:row>
    <x:row r="383">
      <x:c r="A383" s="34" t="str">
        <x:v>M5-HIT-0378</x:v>
      </x:c>
      <x:c r="B383" s="34" t="str"/>
      <x:c r="C383" s="34" t="str"/>
      <x:c r="D383" s="34" t="str"/>
      <x:c r="E383" s="34" t="str"/>
      <x:c r="F383" s="34" t="str"/>
      <x:c r="G383" s="34" t="str"/>
      <x:c r="H383" s="34" t="str"/>
      <x:c r="I383" s="34" t="str"/>
      <x:c r="J383" s="34" t="str"/>
      <x:c r="K383" s="34" t="str"/>
      <x:c r="L383" s="34" t="str"/>
      <x:c r="M383" s="34" t="str"/>
      <x:c r="N383" s="34" t="str"/>
      <x:c r="O383" s="34" t="str"/>
      <x:c r="P383" s="34" t="str"/>
      <x:c r="Q383" s="34" t="str"/>
    </x:row>
    <x:row r="384">
      <x:c r="A384" s="34" t="str">
        <x:v>M5-HIT-0379</x:v>
      </x:c>
      <x:c r="B384" s="34" t="str"/>
      <x:c r="C384" s="34" t="str"/>
      <x:c r="D384" s="34" t="str"/>
      <x:c r="E384" s="34" t="str"/>
      <x:c r="F384" s="34" t="str"/>
      <x:c r="G384" s="34" t="str"/>
      <x:c r="H384" s="34" t="str"/>
      <x:c r="I384" s="34" t="str"/>
      <x:c r="J384" s="34" t="str"/>
      <x:c r="K384" s="34" t="str"/>
      <x:c r="L384" s="34" t="str"/>
      <x:c r="M384" s="34" t="str"/>
      <x:c r="N384" s="34" t="str"/>
      <x:c r="O384" s="34" t="str"/>
      <x:c r="P384" s="34" t="str"/>
      <x:c r="Q384" s="34" t="str"/>
    </x:row>
    <x:row r="385">
      <x:c r="A385" s="34" t="str">
        <x:v>M5-HIT-0380</x:v>
      </x:c>
      <x:c r="B385" s="34" t="str"/>
      <x:c r="C385" s="34" t="str"/>
      <x:c r="D385" s="34" t="str"/>
      <x:c r="E385" s="34" t="str"/>
      <x:c r="F385" s="34" t="str"/>
      <x:c r="G385" s="34" t="str"/>
      <x:c r="H385" s="34" t="str"/>
      <x:c r="I385" s="34" t="str"/>
      <x:c r="J385" s="34" t="str"/>
      <x:c r="K385" s="34" t="str"/>
      <x:c r="L385" s="34" t="str"/>
      <x:c r="M385" s="34" t="str"/>
      <x:c r="N385" s="34" t="str"/>
      <x:c r="O385" s="34" t="str"/>
      <x:c r="P385" s="34" t="str"/>
      <x:c r="Q385" s="34" t="str"/>
    </x:row>
    <x:row r="386">
      <x:c r="A386" s="34" t="str">
        <x:v>M5-HIT-0381</x:v>
      </x:c>
      <x:c r="B386" s="34" t="str"/>
      <x:c r="C386" s="34" t="str"/>
      <x:c r="D386" s="34" t="str"/>
      <x:c r="E386" s="34" t="str"/>
      <x:c r="F386" s="34" t="str"/>
      <x:c r="G386" s="34" t="str"/>
      <x:c r="H386" s="34" t="str"/>
      <x:c r="I386" s="34" t="str"/>
      <x:c r="J386" s="34" t="str"/>
      <x:c r="K386" s="34" t="str"/>
      <x:c r="L386" s="34" t="str"/>
      <x:c r="M386" s="34" t="str"/>
      <x:c r="N386" s="34" t="str"/>
      <x:c r="O386" s="34" t="str"/>
      <x:c r="P386" s="34" t="str"/>
      <x:c r="Q386" s="34" t="str"/>
    </x:row>
    <x:row r="387">
      <x:c r="A387" s="34" t="str">
        <x:v>M5-HIT-0382</x:v>
      </x:c>
      <x:c r="B387" s="34" t="str"/>
      <x:c r="C387" s="34" t="str"/>
      <x:c r="D387" s="34" t="str"/>
      <x:c r="E387" s="34" t="str"/>
      <x:c r="F387" s="34" t="str"/>
      <x:c r="G387" s="34" t="str"/>
      <x:c r="H387" s="34" t="str"/>
      <x:c r="I387" s="34" t="str"/>
      <x:c r="J387" s="34" t="str"/>
      <x:c r="K387" s="34" t="str"/>
      <x:c r="L387" s="34" t="str"/>
      <x:c r="M387" s="34" t="str"/>
      <x:c r="N387" s="34" t="str"/>
      <x:c r="O387" s="34" t="str"/>
      <x:c r="P387" s="34" t="str"/>
      <x:c r="Q387" s="34" t="str"/>
    </x:row>
    <x:row r="388">
      <x:c r="A388" s="34" t="str">
        <x:v>M5-HIT-0383</x:v>
      </x:c>
      <x:c r="B388" s="34" t="str"/>
      <x:c r="C388" s="34" t="str"/>
      <x:c r="D388" s="34" t="str"/>
      <x:c r="E388" s="34" t="str"/>
      <x:c r="F388" s="34" t="str"/>
      <x:c r="G388" s="34" t="str"/>
      <x:c r="H388" s="34" t="str"/>
      <x:c r="I388" s="34" t="str"/>
      <x:c r="J388" s="34" t="str"/>
      <x:c r="K388" s="34" t="str"/>
      <x:c r="L388" s="34" t="str"/>
      <x:c r="M388" s="34" t="str"/>
      <x:c r="N388" s="34" t="str"/>
      <x:c r="O388" s="34" t="str"/>
      <x:c r="P388" s="34" t="str"/>
      <x:c r="Q388" s="34" t="str"/>
    </x:row>
    <x:row r="389">
      <x:c r="A389" s="34" t="str">
        <x:v>M5-HIT-0384</x:v>
      </x:c>
      <x:c r="B389" s="34" t="str"/>
      <x:c r="C389" s="34" t="str"/>
      <x:c r="D389" s="34" t="str"/>
      <x:c r="E389" s="34" t="str"/>
      <x:c r="F389" s="34" t="str"/>
      <x:c r="G389" s="34" t="str"/>
      <x:c r="H389" s="34" t="str"/>
      <x:c r="I389" s="34" t="str"/>
      <x:c r="J389" s="34" t="str"/>
      <x:c r="K389" s="34" t="str"/>
      <x:c r="L389" s="34" t="str"/>
      <x:c r="M389" s="34" t="str"/>
      <x:c r="N389" s="34" t="str"/>
      <x:c r="O389" s="34" t="str"/>
      <x:c r="P389" s="34" t="str"/>
      <x:c r="Q389" s="34" t="str"/>
    </x:row>
    <x:row r="390">
      <x:c r="A390" s="34" t="str">
        <x:v>M5-HIT-0385</x:v>
      </x:c>
      <x:c r="B390" s="34" t="str"/>
      <x:c r="C390" s="34" t="str"/>
      <x:c r="D390" s="34" t="str"/>
      <x:c r="E390" s="34" t="str"/>
      <x:c r="F390" s="34" t="str"/>
      <x:c r="G390" s="34" t="str"/>
      <x:c r="H390" s="34" t="str"/>
      <x:c r="I390" s="34" t="str"/>
      <x:c r="J390" s="34" t="str"/>
      <x:c r="K390" s="34" t="str"/>
      <x:c r="L390" s="34" t="str"/>
      <x:c r="M390" s="34" t="str"/>
      <x:c r="N390" s="34" t="str"/>
      <x:c r="O390" s="34" t="str"/>
      <x:c r="P390" s="34" t="str"/>
      <x:c r="Q390" s="34" t="str"/>
    </x:row>
    <x:row r="391">
      <x:c r="A391" s="34" t="str">
        <x:v>M5-HIT-0386</x:v>
      </x:c>
      <x:c r="B391" s="34" t="str"/>
      <x:c r="C391" s="34" t="str"/>
      <x:c r="D391" s="34" t="str"/>
      <x:c r="E391" s="34" t="str"/>
      <x:c r="F391" s="34" t="str"/>
      <x:c r="G391" s="34" t="str"/>
      <x:c r="H391" s="34" t="str"/>
      <x:c r="I391" s="34" t="str"/>
      <x:c r="J391" s="34" t="str"/>
      <x:c r="K391" s="34" t="str"/>
      <x:c r="L391" s="34" t="str"/>
      <x:c r="M391" s="34" t="str"/>
      <x:c r="N391" s="34" t="str"/>
      <x:c r="O391" s="34" t="str"/>
      <x:c r="P391" s="34" t="str"/>
      <x:c r="Q391" s="34" t="str"/>
    </x:row>
    <x:row r="392">
      <x:c r="A392" s="34" t="str">
        <x:v>M5-HIT-0387</x:v>
      </x:c>
      <x:c r="B392" s="34" t="str"/>
      <x:c r="C392" s="34" t="str"/>
      <x:c r="D392" s="34" t="str"/>
      <x:c r="E392" s="34" t="str"/>
      <x:c r="F392" s="34" t="str"/>
      <x:c r="G392" s="34" t="str"/>
      <x:c r="H392" s="34" t="str"/>
      <x:c r="I392" s="34" t="str"/>
      <x:c r="J392" s="34" t="str"/>
      <x:c r="K392" s="34" t="str"/>
      <x:c r="L392" s="34" t="str"/>
      <x:c r="M392" s="34" t="str"/>
      <x:c r="N392" s="34" t="str"/>
      <x:c r="O392" s="34" t="str"/>
      <x:c r="P392" s="34" t="str"/>
      <x:c r="Q392" s="34" t="str"/>
    </x:row>
    <x:row r="393">
      <x:c r="A393" s="34" t="str">
        <x:v>M5-HIT-0388</x:v>
      </x:c>
      <x:c r="B393" s="34" t="str"/>
      <x:c r="C393" s="34" t="str"/>
      <x:c r="D393" s="34" t="str"/>
      <x:c r="E393" s="34" t="str"/>
      <x:c r="F393" s="34" t="str"/>
      <x:c r="G393" s="34" t="str"/>
      <x:c r="H393" s="34" t="str"/>
      <x:c r="I393" s="34" t="str"/>
      <x:c r="J393" s="34" t="str"/>
      <x:c r="K393" s="34" t="str"/>
      <x:c r="L393" s="34" t="str"/>
      <x:c r="M393" s="34" t="str"/>
      <x:c r="N393" s="34" t="str"/>
      <x:c r="O393" s="34" t="str"/>
      <x:c r="P393" s="34" t="str"/>
      <x:c r="Q393" s="34" t="str"/>
    </x:row>
    <x:row r="394">
      <x:c r="A394" s="34" t="str">
        <x:v>M5-HIT-0389</x:v>
      </x:c>
      <x:c r="B394" s="34" t="str"/>
      <x:c r="C394" s="34" t="str"/>
      <x:c r="D394" s="34" t="str"/>
      <x:c r="E394" s="34" t="str"/>
      <x:c r="F394" s="34" t="str"/>
      <x:c r="G394" s="34" t="str"/>
      <x:c r="H394" s="34" t="str"/>
      <x:c r="I394" s="34" t="str"/>
      <x:c r="J394" s="34" t="str"/>
      <x:c r="K394" s="34" t="str"/>
      <x:c r="L394" s="34" t="str"/>
      <x:c r="M394" s="34" t="str"/>
      <x:c r="N394" s="34" t="str"/>
      <x:c r="O394" s="34" t="str"/>
      <x:c r="P394" s="34" t="str"/>
      <x:c r="Q394" s="34" t="str"/>
    </x:row>
    <x:row r="395">
      <x:c r="A395" s="34" t="str">
        <x:v>M5-HIT-0390</x:v>
      </x:c>
      <x:c r="B395" s="34" t="str"/>
      <x:c r="C395" s="34" t="str"/>
      <x:c r="D395" s="34" t="str"/>
      <x:c r="E395" s="34" t="str"/>
      <x:c r="F395" s="34" t="str"/>
      <x:c r="G395" s="34" t="str"/>
      <x:c r="H395" s="34" t="str"/>
      <x:c r="I395" s="34" t="str"/>
      <x:c r="J395" s="34" t="str"/>
      <x:c r="K395" s="34" t="str"/>
      <x:c r="L395" s="34" t="str"/>
      <x:c r="M395" s="34" t="str"/>
      <x:c r="N395" s="34" t="str"/>
      <x:c r="O395" s="34" t="str"/>
      <x:c r="P395" s="34" t="str"/>
      <x:c r="Q395" s="34" t="str"/>
    </x:row>
    <x:row r="396">
      <x:c r="A396" s="34" t="str">
        <x:v>M5-HIT-0391</x:v>
      </x:c>
      <x:c r="B396" s="34" t="str"/>
      <x:c r="C396" s="34" t="str"/>
      <x:c r="D396" s="34" t="str"/>
      <x:c r="E396" s="34" t="str"/>
      <x:c r="F396" s="34" t="str"/>
      <x:c r="G396" s="34" t="str"/>
      <x:c r="H396" s="34" t="str"/>
      <x:c r="I396" s="34" t="str"/>
      <x:c r="J396" s="34" t="str"/>
      <x:c r="K396" s="34" t="str"/>
      <x:c r="L396" s="34" t="str"/>
      <x:c r="M396" s="34" t="str"/>
      <x:c r="N396" s="34" t="str"/>
      <x:c r="O396" s="34" t="str"/>
      <x:c r="P396" s="34" t="str"/>
      <x:c r="Q396" s="34" t="str"/>
    </x:row>
    <x:row r="397">
      <x:c r="A397" s="34" t="str">
        <x:v>M5-HIT-0392</x:v>
      </x:c>
      <x:c r="B397" s="34" t="str"/>
      <x:c r="C397" s="34" t="str"/>
      <x:c r="D397" s="34" t="str"/>
      <x:c r="E397" s="34" t="str"/>
      <x:c r="F397" s="34" t="str"/>
      <x:c r="G397" s="34" t="str"/>
      <x:c r="H397" s="34" t="str"/>
      <x:c r="I397" s="34" t="str"/>
      <x:c r="J397" s="34" t="str"/>
      <x:c r="K397" s="34" t="str"/>
      <x:c r="L397" s="34" t="str"/>
      <x:c r="M397" s="34" t="str"/>
      <x:c r="N397" s="34" t="str"/>
      <x:c r="O397" s="34" t="str"/>
      <x:c r="P397" s="34" t="str"/>
      <x:c r="Q397" s="34" t="str"/>
    </x:row>
    <x:row r="398">
      <x:c r="A398" s="34" t="str">
        <x:v>M5-HIT-0393</x:v>
      </x:c>
      <x:c r="B398" s="34" t="str"/>
      <x:c r="C398" s="34" t="str"/>
      <x:c r="D398" s="34" t="str"/>
      <x:c r="E398" s="34" t="str"/>
      <x:c r="F398" s="34" t="str"/>
      <x:c r="G398" s="34" t="str"/>
      <x:c r="H398" s="34" t="str"/>
      <x:c r="I398" s="34" t="str"/>
      <x:c r="J398" s="34" t="str"/>
      <x:c r="K398" s="34" t="str"/>
      <x:c r="L398" s="34" t="str"/>
      <x:c r="M398" s="34" t="str"/>
      <x:c r="N398" s="34" t="str"/>
      <x:c r="O398" s="34" t="str"/>
      <x:c r="P398" s="34" t="str"/>
      <x:c r="Q398" s="34" t="str"/>
    </x:row>
    <x:row r="399">
      <x:c r="A399" s="34" t="str">
        <x:v>M5-HIT-0394</x:v>
      </x:c>
      <x:c r="B399" s="34" t="str"/>
      <x:c r="C399" s="34" t="str"/>
      <x:c r="D399" s="34" t="str"/>
      <x:c r="E399" s="34" t="str"/>
      <x:c r="F399" s="34" t="str"/>
      <x:c r="G399" s="34" t="str"/>
      <x:c r="H399" s="34" t="str"/>
      <x:c r="I399" s="34" t="str"/>
      <x:c r="J399" s="34" t="str"/>
      <x:c r="K399" s="34" t="str"/>
      <x:c r="L399" s="34" t="str"/>
      <x:c r="M399" s="34" t="str"/>
      <x:c r="N399" s="34" t="str"/>
      <x:c r="O399" s="34" t="str"/>
      <x:c r="P399" s="34" t="str"/>
      <x:c r="Q399" s="34" t="str"/>
    </x:row>
    <x:row r="400">
      <x:c r="A400" s="34" t="str">
        <x:v>M5-HIT-0395</x:v>
      </x:c>
      <x:c r="B400" s="34" t="str"/>
      <x:c r="C400" s="34" t="str"/>
      <x:c r="D400" s="34" t="str"/>
      <x:c r="E400" s="34" t="str"/>
      <x:c r="F400" s="34" t="str"/>
      <x:c r="G400" s="34" t="str"/>
      <x:c r="H400" s="34" t="str"/>
      <x:c r="I400" s="34" t="str"/>
      <x:c r="J400" s="34" t="str"/>
      <x:c r="K400" s="34" t="str"/>
      <x:c r="L400" s="34" t="str"/>
      <x:c r="M400" s="34" t="str"/>
      <x:c r="N400" s="34" t="str"/>
      <x:c r="O400" s="34" t="str"/>
      <x:c r="P400" s="34" t="str"/>
      <x:c r="Q400" s="34" t="str"/>
    </x:row>
    <x:row r="401">
      <x:c r="A401" s="34" t="str">
        <x:v>M5-HIT-0396</x:v>
      </x:c>
      <x:c r="B401" s="34" t="str"/>
      <x:c r="C401" s="34" t="str"/>
      <x:c r="D401" s="34" t="str"/>
      <x:c r="E401" s="34" t="str"/>
      <x:c r="F401" s="34" t="str"/>
      <x:c r="G401" s="34" t="str"/>
      <x:c r="H401" s="34" t="str"/>
      <x:c r="I401" s="34" t="str"/>
      <x:c r="J401" s="34" t="str"/>
      <x:c r="K401" s="34" t="str"/>
      <x:c r="L401" s="34" t="str"/>
      <x:c r="M401" s="34" t="str"/>
      <x:c r="N401" s="34" t="str"/>
      <x:c r="O401" s="34" t="str"/>
      <x:c r="P401" s="34" t="str"/>
      <x:c r="Q401" s="34" t="str"/>
    </x:row>
    <x:row r="402">
      <x:c r="A402" s="34" t="str">
        <x:v>M5-HIT-0397</x:v>
      </x:c>
      <x:c r="B402" s="34" t="str"/>
      <x:c r="C402" s="34" t="str"/>
      <x:c r="D402" s="34" t="str"/>
      <x:c r="E402" s="34" t="str"/>
      <x:c r="F402" s="34" t="str"/>
      <x:c r="G402" s="34" t="str"/>
      <x:c r="H402" s="34" t="str"/>
      <x:c r="I402" s="34" t="str"/>
      <x:c r="J402" s="34" t="str"/>
      <x:c r="K402" s="34" t="str"/>
      <x:c r="L402" s="34" t="str"/>
      <x:c r="M402" s="34" t="str"/>
      <x:c r="N402" s="34" t="str"/>
      <x:c r="O402" s="34" t="str"/>
      <x:c r="P402" s="34" t="str"/>
      <x:c r="Q402" s="34" t="str"/>
    </x:row>
    <x:row r="403">
      <x:c r="A403" s="34" t="str">
        <x:v>M5-HIT-0398</x:v>
      </x:c>
      <x:c r="B403" s="34" t="str"/>
      <x:c r="C403" s="34" t="str"/>
      <x:c r="D403" s="34" t="str"/>
      <x:c r="E403" s="34" t="str"/>
      <x:c r="F403" s="34" t="str"/>
      <x:c r="G403" s="34" t="str"/>
      <x:c r="H403" s="34" t="str"/>
      <x:c r="I403" s="34" t="str"/>
      <x:c r="J403" s="34" t="str"/>
      <x:c r="K403" s="34" t="str"/>
      <x:c r="L403" s="34" t="str"/>
      <x:c r="M403" s="34" t="str"/>
      <x:c r="N403" s="34" t="str"/>
      <x:c r="O403" s="34" t="str"/>
      <x:c r="P403" s="34" t="str"/>
      <x:c r="Q403" s="34" t="str"/>
    </x:row>
    <x:row r="404">
      <x:c r="A404" s="34" t="str">
        <x:v>M5-HIT-0399</x:v>
      </x:c>
      <x:c r="B404" s="34" t="str"/>
      <x:c r="C404" s="34" t="str"/>
      <x:c r="D404" s="34" t="str"/>
      <x:c r="E404" s="34" t="str"/>
      <x:c r="F404" s="34" t="str"/>
      <x:c r="G404" s="34" t="str"/>
      <x:c r="H404" s="34" t="str"/>
      <x:c r="I404" s="34" t="str"/>
      <x:c r="J404" s="34" t="str"/>
      <x:c r="K404" s="34" t="str"/>
      <x:c r="L404" s="34" t="str"/>
      <x:c r="M404" s="34" t="str"/>
      <x:c r="N404" s="34" t="str"/>
      <x:c r="O404" s="34" t="str"/>
      <x:c r="P404" s="34" t="str"/>
      <x:c r="Q404" s="34" t="str"/>
    </x:row>
    <x:row r="405">
      <x:c r="A405" s="34" t="str">
        <x:v>M5-HIT-0400</x:v>
      </x:c>
      <x:c r="B405" s="34" t="str"/>
      <x:c r="C405" s="34" t="str"/>
      <x:c r="D405" s="34" t="str"/>
      <x:c r="E405" s="34" t="str"/>
      <x:c r="F405" s="34" t="str"/>
      <x:c r="G405" s="34" t="str"/>
      <x:c r="H405" s="34" t="str"/>
      <x:c r="I405" s="34" t="str"/>
      <x:c r="J405" s="34" t="str"/>
      <x:c r="K405" s="34" t="str"/>
      <x:c r="L405" s="34" t="str"/>
      <x:c r="M405" s="34" t="str"/>
      <x:c r="N405" s="34" t="str"/>
      <x:c r="O405" s="34" t="str"/>
      <x:c r="P405" s="34" t="str"/>
      <x:c r="Q405" s="34" t="str"/>
    </x:row>
    <x:row r="406">
      <x:c r="A406" s="34" t="str">
        <x:v>M5-HIT-0401</x:v>
      </x:c>
      <x:c r="B406" s="34" t="str"/>
      <x:c r="C406" s="34" t="str"/>
      <x:c r="D406" s="34" t="str"/>
      <x:c r="E406" s="34" t="str"/>
      <x:c r="F406" s="34" t="str"/>
      <x:c r="G406" s="34" t="str"/>
      <x:c r="H406" s="34" t="str"/>
      <x:c r="I406" s="34" t="str"/>
      <x:c r="J406" s="34" t="str"/>
      <x:c r="K406" s="34" t="str"/>
      <x:c r="L406" s="34" t="str"/>
      <x:c r="M406" s="34" t="str"/>
      <x:c r="N406" s="34" t="str"/>
      <x:c r="O406" s="34" t="str"/>
      <x:c r="P406" s="34" t="str"/>
      <x:c r="Q406" s="34" t="str"/>
    </x:row>
    <x:row r="407">
      <x:c r="A407" s="34" t="str">
        <x:v>M5-HIT-0402</x:v>
      </x:c>
      <x:c r="B407" s="34" t="str"/>
      <x:c r="C407" s="34" t="str"/>
      <x:c r="D407" s="34" t="str"/>
      <x:c r="E407" s="34" t="str"/>
      <x:c r="F407" s="34" t="str"/>
      <x:c r="G407" s="34" t="str"/>
      <x:c r="H407" s="34" t="str"/>
      <x:c r="I407" s="34" t="str"/>
      <x:c r="J407" s="34" t="str"/>
      <x:c r="K407" s="34" t="str"/>
      <x:c r="L407" s="34" t="str"/>
      <x:c r="M407" s="34" t="str"/>
      <x:c r="N407" s="34" t="str"/>
      <x:c r="O407" s="34" t="str"/>
      <x:c r="P407" s="34" t="str"/>
      <x:c r="Q407" s="34" t="str"/>
    </x:row>
    <x:row r="408">
      <x:c r="A408" s="34" t="str">
        <x:v>M5-HIT-0403</x:v>
      </x:c>
      <x:c r="B408" s="34" t="str"/>
      <x:c r="C408" s="34" t="str"/>
      <x:c r="D408" s="34" t="str"/>
      <x:c r="E408" s="34" t="str"/>
      <x:c r="F408" s="34" t="str"/>
      <x:c r="G408" s="34" t="str"/>
      <x:c r="H408" s="34" t="str"/>
      <x:c r="I408" s="34" t="str"/>
      <x:c r="J408" s="34" t="str"/>
      <x:c r="K408" s="34" t="str"/>
      <x:c r="L408" s="34" t="str"/>
      <x:c r="M408" s="34" t="str"/>
      <x:c r="N408" s="34" t="str"/>
      <x:c r="O408" s="34" t="str"/>
      <x:c r="P408" s="34" t="str"/>
      <x:c r="Q408" s="34" t="str"/>
    </x:row>
    <x:row r="409">
      <x:c r="A409" s="34" t="str">
        <x:v>M5-HIT-0404</x:v>
      </x:c>
      <x:c r="B409" s="34" t="str"/>
      <x:c r="C409" s="34" t="str"/>
      <x:c r="D409" s="34" t="str"/>
      <x:c r="E409" s="34" t="str"/>
      <x:c r="F409" s="34" t="str"/>
      <x:c r="G409" s="34" t="str"/>
      <x:c r="H409" s="34" t="str"/>
      <x:c r="I409" s="34" t="str"/>
      <x:c r="J409" s="34" t="str"/>
      <x:c r="K409" s="34" t="str"/>
      <x:c r="L409" s="34" t="str"/>
      <x:c r="M409" s="34" t="str"/>
      <x:c r="N409" s="34" t="str"/>
      <x:c r="O409" s="34" t="str"/>
      <x:c r="P409" s="34" t="str"/>
      <x:c r="Q409" s="34" t="str"/>
    </x:row>
    <x:row r="410">
      <x:c r="A410" s="34" t="str">
        <x:v>M5-HIT-0405</x:v>
      </x:c>
      <x:c r="B410" s="34" t="str"/>
      <x:c r="C410" s="34" t="str"/>
      <x:c r="D410" s="34" t="str"/>
      <x:c r="E410" s="34" t="str"/>
      <x:c r="F410" s="34" t="str"/>
      <x:c r="G410" s="34" t="str"/>
      <x:c r="H410" s="34" t="str"/>
      <x:c r="I410" s="34" t="str"/>
      <x:c r="J410" s="34" t="str"/>
      <x:c r="K410" s="34" t="str"/>
      <x:c r="L410" s="34" t="str"/>
      <x:c r="M410" s="34" t="str"/>
      <x:c r="N410" s="34" t="str"/>
      <x:c r="O410" s="34" t="str"/>
      <x:c r="P410" s="34" t="str"/>
      <x:c r="Q410" s="34" t="str"/>
    </x:row>
    <x:row r="411">
      <x:c r="A411" s="34" t="str">
        <x:v>M5-HIT-0406</x:v>
      </x:c>
      <x:c r="B411" s="34" t="str"/>
      <x:c r="C411" s="34" t="str"/>
      <x:c r="D411" s="34" t="str"/>
      <x:c r="E411" s="34" t="str"/>
      <x:c r="F411" s="34" t="str"/>
      <x:c r="G411" s="34" t="str"/>
      <x:c r="H411" s="34" t="str"/>
      <x:c r="I411" s="34" t="str"/>
      <x:c r="J411" s="34" t="str"/>
      <x:c r="K411" s="34" t="str"/>
      <x:c r="L411" s="34" t="str"/>
      <x:c r="M411" s="34" t="str"/>
      <x:c r="N411" s="34" t="str"/>
      <x:c r="O411" s="34" t="str"/>
      <x:c r="P411" s="34" t="str"/>
      <x:c r="Q411" s="34" t="str"/>
    </x:row>
    <x:row r="412">
      <x:c r="A412" s="34" t="str">
        <x:v>M5-HIT-0407</x:v>
      </x:c>
      <x:c r="B412" s="34" t="str"/>
      <x:c r="C412" s="34" t="str"/>
      <x:c r="D412" s="34" t="str"/>
      <x:c r="E412" s="34" t="str"/>
      <x:c r="F412" s="34" t="str"/>
      <x:c r="G412" s="34" t="str"/>
      <x:c r="H412" s="34" t="str"/>
      <x:c r="I412" s="34" t="str"/>
      <x:c r="J412" s="34" t="str"/>
      <x:c r="K412" s="34" t="str"/>
      <x:c r="L412" s="34" t="str"/>
      <x:c r="M412" s="34" t="str"/>
      <x:c r="N412" s="34" t="str"/>
      <x:c r="O412" s="34" t="str"/>
      <x:c r="P412" s="34" t="str"/>
      <x:c r="Q412" s="34" t="str"/>
    </x:row>
    <x:row r="413">
      <x:c r="A413" s="34" t="str">
        <x:v>M5-HIT-0408</x:v>
      </x:c>
      <x:c r="B413" s="34" t="str"/>
      <x:c r="C413" s="34" t="str"/>
      <x:c r="D413" s="34" t="str"/>
      <x:c r="E413" s="34" t="str"/>
      <x:c r="F413" s="34" t="str"/>
      <x:c r="G413" s="34" t="str"/>
      <x:c r="H413" s="34" t="str"/>
      <x:c r="I413" s="34" t="str"/>
      <x:c r="J413" s="34" t="str"/>
      <x:c r="K413" s="34" t="str"/>
      <x:c r="L413" s="34" t="str"/>
      <x:c r="M413" s="34" t="str"/>
      <x:c r="N413" s="34" t="str"/>
      <x:c r="O413" s="34" t="str"/>
      <x:c r="P413" s="34" t="str"/>
      <x:c r="Q413" s="34" t="str"/>
    </x:row>
    <x:row r="414">
      <x:c r="A414" s="34" t="str">
        <x:v>M5-HIT-0409</x:v>
      </x:c>
      <x:c r="B414" s="34" t="str"/>
      <x:c r="C414" s="34" t="str"/>
      <x:c r="D414" s="34" t="str"/>
      <x:c r="E414" s="34" t="str"/>
      <x:c r="F414" s="34" t="str"/>
      <x:c r="G414" s="34" t="str"/>
      <x:c r="H414" s="34" t="str"/>
      <x:c r="I414" s="34" t="str"/>
      <x:c r="J414" s="34" t="str"/>
      <x:c r="K414" s="34" t="str"/>
      <x:c r="L414" s="34" t="str"/>
      <x:c r="M414" s="34" t="str"/>
      <x:c r="N414" s="34" t="str"/>
      <x:c r="O414" s="34" t="str"/>
      <x:c r="P414" s="34" t="str"/>
      <x:c r="Q414" s="34" t="str"/>
    </x:row>
    <x:row r="415">
      <x:c r="A415" s="34" t="str">
        <x:v>M5-HIT-0410</x:v>
      </x:c>
      <x:c r="B415" s="34" t="str"/>
      <x:c r="C415" s="34" t="str"/>
      <x:c r="D415" s="34" t="str"/>
      <x:c r="E415" s="34" t="str"/>
      <x:c r="F415" s="34" t="str"/>
      <x:c r="G415" s="34" t="str"/>
      <x:c r="H415" s="34" t="str"/>
      <x:c r="I415" s="34" t="str"/>
      <x:c r="J415" s="34" t="str"/>
      <x:c r="K415" s="34" t="str"/>
      <x:c r="L415" s="34" t="str"/>
      <x:c r="M415" s="34" t="str"/>
      <x:c r="N415" s="34" t="str"/>
      <x:c r="O415" s="34" t="str"/>
      <x:c r="P415" s="34" t="str"/>
      <x:c r="Q415" s="34" t="str"/>
    </x:row>
    <x:row r="416">
      <x:c r="A416" s="34" t="str">
        <x:v>M5-HIT-0411</x:v>
      </x:c>
      <x:c r="B416" s="34" t="str"/>
      <x:c r="C416" s="34" t="str"/>
      <x:c r="D416" s="34" t="str"/>
      <x:c r="E416" s="34" t="str"/>
      <x:c r="F416" s="34" t="str"/>
      <x:c r="G416" s="34" t="str"/>
      <x:c r="H416" s="34" t="str"/>
      <x:c r="I416" s="34" t="str"/>
      <x:c r="J416" s="34" t="str"/>
      <x:c r="K416" s="34" t="str"/>
      <x:c r="L416" s="34" t="str"/>
      <x:c r="M416" s="34" t="str"/>
      <x:c r="N416" s="34" t="str"/>
      <x:c r="O416" s="34" t="str"/>
      <x:c r="P416" s="34" t="str"/>
      <x:c r="Q416" s="34" t="str"/>
    </x:row>
    <x:row r="417">
      <x:c r="A417" s="34" t="str">
        <x:v>M5-HIT-0412</x:v>
      </x:c>
      <x:c r="B417" s="34" t="str"/>
      <x:c r="C417" s="34" t="str"/>
      <x:c r="D417" s="34" t="str"/>
      <x:c r="E417" s="34" t="str"/>
      <x:c r="F417" s="34" t="str"/>
      <x:c r="G417" s="34" t="str"/>
      <x:c r="H417" s="34" t="str"/>
      <x:c r="I417" s="34" t="str"/>
      <x:c r="J417" s="34" t="str"/>
      <x:c r="K417" s="34" t="str"/>
      <x:c r="L417" s="34" t="str"/>
      <x:c r="M417" s="34" t="str"/>
      <x:c r="N417" s="34" t="str"/>
      <x:c r="O417" s="34" t="str"/>
      <x:c r="P417" s="34" t="str"/>
      <x:c r="Q417" s="34" t="str"/>
    </x:row>
    <x:row r="418">
      <x:c r="A418" s="34" t="str">
        <x:v>M5-HIT-0413</x:v>
      </x:c>
      <x:c r="B418" s="34" t="str"/>
      <x:c r="C418" s="34" t="str"/>
      <x:c r="D418" s="34" t="str"/>
      <x:c r="E418" s="34" t="str"/>
      <x:c r="F418" s="34" t="str"/>
      <x:c r="G418" s="34" t="str"/>
      <x:c r="H418" s="34" t="str"/>
      <x:c r="I418" s="34" t="str"/>
      <x:c r="J418" s="34" t="str"/>
      <x:c r="K418" s="34" t="str"/>
      <x:c r="L418" s="34" t="str"/>
      <x:c r="M418" s="34" t="str"/>
      <x:c r="N418" s="34" t="str"/>
      <x:c r="O418" s="34" t="str"/>
      <x:c r="P418" s="34" t="str"/>
      <x:c r="Q418" s="34" t="str"/>
    </x:row>
    <x:row r="419">
      <x:c r="A419" s="34" t="str">
        <x:v>M5-HIT-0414</x:v>
      </x:c>
      <x:c r="B419" s="34" t="str"/>
      <x:c r="C419" s="34" t="str"/>
      <x:c r="D419" s="34" t="str"/>
      <x:c r="E419" s="34" t="str"/>
      <x:c r="F419" s="34" t="str"/>
      <x:c r="G419" s="34" t="str"/>
      <x:c r="H419" s="34" t="str"/>
      <x:c r="I419" s="34" t="str"/>
      <x:c r="J419" s="34" t="str"/>
      <x:c r="K419" s="34" t="str"/>
      <x:c r="L419" s="34" t="str"/>
      <x:c r="M419" s="34" t="str"/>
      <x:c r="N419" s="34" t="str"/>
      <x:c r="O419" s="34" t="str"/>
      <x:c r="P419" s="34" t="str"/>
      <x:c r="Q419" s="34" t="str"/>
    </x:row>
    <x:row r="420">
      <x:c r="A420" s="34" t="str">
        <x:v>M5-HIT-0415</x:v>
      </x:c>
      <x:c r="B420" s="34" t="str"/>
      <x:c r="C420" s="34" t="str"/>
      <x:c r="D420" s="34" t="str"/>
      <x:c r="E420" s="34" t="str"/>
      <x:c r="F420" s="34" t="str"/>
      <x:c r="G420" s="34" t="str"/>
      <x:c r="H420" s="34" t="str"/>
      <x:c r="I420" s="34" t="str"/>
      <x:c r="J420" s="34" t="str"/>
      <x:c r="K420" s="34" t="str"/>
      <x:c r="L420" s="34" t="str"/>
      <x:c r="M420" s="34" t="str"/>
      <x:c r="N420" s="34" t="str"/>
      <x:c r="O420" s="34" t="str"/>
      <x:c r="P420" s="34" t="str"/>
      <x:c r="Q420" s="34" t="str"/>
    </x:row>
    <x:row r="421">
      <x:c r="A421" s="34" t="str">
        <x:v>M5-HIT-0416</x:v>
      </x:c>
      <x:c r="B421" s="34" t="str"/>
      <x:c r="C421" s="34" t="str"/>
      <x:c r="D421" s="34" t="str"/>
      <x:c r="E421" s="34" t="str"/>
      <x:c r="F421" s="34" t="str"/>
      <x:c r="G421" s="34" t="str"/>
      <x:c r="H421" s="34" t="str"/>
      <x:c r="I421" s="34" t="str"/>
      <x:c r="J421" s="34" t="str"/>
      <x:c r="K421" s="34" t="str"/>
      <x:c r="L421" s="34" t="str"/>
      <x:c r="M421" s="34" t="str"/>
      <x:c r="N421" s="34" t="str"/>
      <x:c r="O421" s="34" t="str"/>
      <x:c r="P421" s="34" t="str"/>
      <x:c r="Q421" s="34" t="str"/>
    </x:row>
    <x:row r="422">
      <x:c r="A422" s="34" t="str">
        <x:v>M5-HIT-0417</x:v>
      </x:c>
      <x:c r="B422" s="34" t="str"/>
      <x:c r="C422" s="34" t="str"/>
      <x:c r="D422" s="34" t="str"/>
      <x:c r="E422" s="34" t="str"/>
      <x:c r="F422" s="34" t="str"/>
      <x:c r="G422" s="34" t="str"/>
      <x:c r="H422" s="34" t="str"/>
      <x:c r="I422" s="34" t="str"/>
      <x:c r="J422" s="34" t="str"/>
      <x:c r="K422" s="34" t="str"/>
      <x:c r="L422" s="34" t="str"/>
      <x:c r="M422" s="34" t="str"/>
      <x:c r="N422" s="34" t="str"/>
      <x:c r="O422" s="34" t="str"/>
      <x:c r="P422" s="34" t="str"/>
      <x:c r="Q422" s="34" t="str"/>
    </x:row>
    <x:row r="423">
      <x:c r="A423" s="34" t="str">
        <x:v>M5-HIT-0418</x:v>
      </x:c>
      <x:c r="B423" s="34" t="str"/>
      <x:c r="C423" s="34" t="str"/>
      <x:c r="D423" s="34" t="str"/>
      <x:c r="E423" s="34" t="str"/>
      <x:c r="F423" s="34" t="str"/>
      <x:c r="G423" s="34" t="str"/>
      <x:c r="H423" s="34" t="str"/>
      <x:c r="I423" s="34" t="str"/>
      <x:c r="J423" s="34" t="str"/>
      <x:c r="K423" s="34" t="str"/>
      <x:c r="L423" s="34" t="str"/>
      <x:c r="M423" s="34" t="str"/>
      <x:c r="N423" s="34" t="str"/>
      <x:c r="O423" s="34" t="str"/>
      <x:c r="P423" s="34" t="str"/>
      <x:c r="Q423" s="34" t="str"/>
    </x:row>
    <x:row r="424">
      <x:c r="A424" s="34" t="str">
        <x:v>M5-HIT-0419</x:v>
      </x:c>
      <x:c r="B424" s="34" t="str"/>
      <x:c r="C424" s="34" t="str"/>
      <x:c r="D424" s="34" t="str"/>
      <x:c r="E424" s="34" t="str"/>
      <x:c r="F424" s="34" t="str"/>
      <x:c r="G424" s="34" t="str"/>
      <x:c r="H424" s="34" t="str"/>
      <x:c r="I424" s="34" t="str"/>
      <x:c r="J424" s="34" t="str"/>
      <x:c r="K424" s="34" t="str"/>
      <x:c r="L424" s="34" t="str"/>
      <x:c r="M424" s="34" t="str"/>
      <x:c r="N424" s="34" t="str"/>
      <x:c r="O424" s="34" t="str"/>
      <x:c r="P424" s="34" t="str"/>
      <x:c r="Q424" s="34" t="str"/>
    </x:row>
    <x:row r="425">
      <x:c r="A425" s="34" t="str">
        <x:v>M5-HIT-0420</x:v>
      </x:c>
      <x:c r="B425" s="34" t="str"/>
      <x:c r="C425" s="34" t="str"/>
      <x:c r="D425" s="34" t="str"/>
      <x:c r="E425" s="34" t="str"/>
      <x:c r="F425" s="34" t="str"/>
      <x:c r="G425" s="34" t="str"/>
      <x:c r="H425" s="34" t="str"/>
      <x:c r="I425" s="34" t="str"/>
      <x:c r="J425" s="34" t="str"/>
      <x:c r="K425" s="34" t="str"/>
      <x:c r="L425" s="34" t="str"/>
      <x:c r="M425" s="34" t="str"/>
      <x:c r="N425" s="34" t="str"/>
      <x:c r="O425" s="34" t="str"/>
      <x:c r="P425" s="34" t="str"/>
      <x:c r="Q425" s="34" t="str"/>
    </x:row>
    <x:row r="426">
      <x:c r="A426" s="34" t="str">
        <x:v>M5-HIT-0421</x:v>
      </x:c>
      <x:c r="B426" s="34" t="str"/>
      <x:c r="C426" s="34" t="str"/>
      <x:c r="D426" s="34" t="str"/>
      <x:c r="E426" s="34" t="str"/>
      <x:c r="F426" s="34" t="str"/>
      <x:c r="G426" s="34" t="str"/>
      <x:c r="H426" s="34" t="str"/>
      <x:c r="I426" s="34" t="str"/>
      <x:c r="J426" s="34" t="str"/>
      <x:c r="K426" s="34" t="str"/>
      <x:c r="L426" s="34" t="str"/>
      <x:c r="M426" s="34" t="str"/>
      <x:c r="N426" s="34" t="str"/>
      <x:c r="O426" s="34" t="str"/>
      <x:c r="P426" s="34" t="str"/>
      <x:c r="Q426" s="34" t="str"/>
    </x:row>
    <x:row r="427">
      <x:c r="A427" s="34" t="str">
        <x:v>M5-HIT-0422</x:v>
      </x:c>
      <x:c r="B427" s="34" t="str"/>
      <x:c r="C427" s="34" t="str"/>
      <x:c r="D427" s="34" t="str"/>
      <x:c r="E427" s="34" t="str"/>
      <x:c r="F427" s="34" t="str"/>
      <x:c r="G427" s="34" t="str"/>
      <x:c r="H427" s="34" t="str"/>
      <x:c r="I427" s="34" t="str"/>
      <x:c r="J427" s="34" t="str"/>
      <x:c r="K427" s="34" t="str"/>
      <x:c r="L427" s="34" t="str"/>
      <x:c r="M427" s="34" t="str"/>
      <x:c r="N427" s="34" t="str"/>
      <x:c r="O427" s="34" t="str"/>
      <x:c r="P427" s="34" t="str"/>
      <x:c r="Q427" s="34" t="str"/>
    </x:row>
    <x:row r="428">
      <x:c r="A428" s="34" t="str">
        <x:v>M5-HIT-0423</x:v>
      </x:c>
      <x:c r="B428" s="34" t="str"/>
      <x:c r="C428" s="34" t="str"/>
      <x:c r="D428" s="34" t="str"/>
      <x:c r="E428" s="34" t="str"/>
      <x:c r="F428" s="34" t="str"/>
      <x:c r="G428" s="34" t="str"/>
      <x:c r="H428" s="34" t="str"/>
      <x:c r="I428" s="34" t="str"/>
      <x:c r="J428" s="34" t="str"/>
      <x:c r="K428" s="34" t="str"/>
      <x:c r="L428" s="34" t="str"/>
      <x:c r="M428" s="34" t="str"/>
      <x:c r="N428" s="34" t="str"/>
      <x:c r="O428" s="34" t="str"/>
      <x:c r="P428" s="34" t="str"/>
      <x:c r="Q428" s="34" t="str"/>
    </x:row>
    <x:row r="429">
      <x:c r="A429" s="34" t="str">
        <x:v>M5-HIT-0424</x:v>
      </x:c>
      <x:c r="B429" s="34" t="str"/>
      <x:c r="C429" s="34" t="str"/>
      <x:c r="D429" s="34" t="str"/>
      <x:c r="E429" s="34" t="str"/>
      <x:c r="F429" s="34" t="str"/>
      <x:c r="G429" s="34" t="str"/>
      <x:c r="H429" s="34" t="str"/>
      <x:c r="I429" s="34" t="str"/>
      <x:c r="J429" s="34" t="str"/>
      <x:c r="K429" s="34" t="str"/>
      <x:c r="L429" s="34" t="str"/>
      <x:c r="M429" s="34" t="str"/>
      <x:c r="N429" s="34" t="str"/>
      <x:c r="O429" s="34" t="str"/>
      <x:c r="P429" s="34" t="str"/>
      <x:c r="Q429" s="34" t="str"/>
    </x:row>
    <x:row r="430">
      <x:c r="A430" s="34" t="str">
        <x:v>M5-HIT-0425</x:v>
      </x:c>
      <x:c r="B430" s="34" t="str"/>
      <x:c r="C430" s="34" t="str"/>
      <x:c r="D430" s="34" t="str"/>
      <x:c r="E430" s="34" t="str"/>
      <x:c r="F430" s="34" t="str"/>
      <x:c r="G430" s="34" t="str"/>
      <x:c r="H430" s="34" t="str"/>
      <x:c r="I430" s="34" t="str"/>
      <x:c r="J430" s="34" t="str"/>
      <x:c r="K430" s="34" t="str"/>
      <x:c r="L430" s="34" t="str"/>
      <x:c r="M430" s="34" t="str"/>
      <x:c r="N430" s="34" t="str"/>
      <x:c r="O430" s="34" t="str"/>
      <x:c r="P430" s="34" t="str"/>
      <x:c r="Q430" s="34" t="str"/>
    </x:row>
    <x:row r="431">
      <x:c r="A431" s="34" t="str">
        <x:v>M5-HIT-0426</x:v>
      </x:c>
      <x:c r="B431" s="34" t="str"/>
      <x:c r="C431" s="34" t="str"/>
      <x:c r="D431" s="34" t="str"/>
      <x:c r="E431" s="34" t="str"/>
      <x:c r="F431" s="34" t="str"/>
      <x:c r="G431" s="34" t="str"/>
      <x:c r="H431" s="34" t="str"/>
      <x:c r="I431" s="34" t="str"/>
      <x:c r="J431" s="34" t="str"/>
      <x:c r="K431" s="34" t="str"/>
      <x:c r="L431" s="34" t="str"/>
      <x:c r="M431" s="34" t="str"/>
      <x:c r="N431" s="34" t="str"/>
      <x:c r="O431" s="34" t="str"/>
      <x:c r="P431" s="34" t="str"/>
      <x:c r="Q431" s="34" t="str"/>
    </x:row>
    <x:row r="432">
      <x:c r="A432" s="34" t="str">
        <x:v>M5-HIT-0427</x:v>
      </x:c>
      <x:c r="B432" s="34" t="str"/>
      <x:c r="C432" s="34" t="str"/>
      <x:c r="D432" s="34" t="str"/>
      <x:c r="E432" s="34" t="str"/>
      <x:c r="F432" s="34" t="str"/>
      <x:c r="G432" s="34" t="str"/>
      <x:c r="H432" s="34" t="str"/>
      <x:c r="I432" s="34" t="str"/>
      <x:c r="J432" s="34" t="str"/>
      <x:c r="K432" s="34" t="str"/>
      <x:c r="L432" s="34" t="str"/>
      <x:c r="M432" s="34" t="str"/>
      <x:c r="N432" s="34" t="str"/>
      <x:c r="O432" s="34" t="str"/>
      <x:c r="P432" s="34" t="str"/>
      <x:c r="Q432" s="34" t="str"/>
    </x:row>
    <x:row r="433">
      <x:c r="A433" s="34" t="str">
        <x:v>M5-HIT-0428</x:v>
      </x:c>
      <x:c r="B433" s="34" t="str"/>
      <x:c r="C433" s="34" t="str"/>
      <x:c r="D433" s="34" t="str"/>
      <x:c r="E433" s="34" t="str"/>
      <x:c r="F433" s="34" t="str"/>
      <x:c r="G433" s="34" t="str"/>
      <x:c r="H433" s="34" t="str"/>
      <x:c r="I433" s="34" t="str"/>
      <x:c r="J433" s="34" t="str"/>
      <x:c r="K433" s="34" t="str"/>
      <x:c r="L433" s="34" t="str"/>
      <x:c r="M433" s="34" t="str"/>
      <x:c r="N433" s="34" t="str"/>
      <x:c r="O433" s="34" t="str"/>
      <x:c r="P433" s="34" t="str"/>
      <x:c r="Q433" s="34" t="str"/>
    </x:row>
    <x:row r="434">
      <x:c r="A434" s="34" t="str">
        <x:v>M5-HIT-0429</x:v>
      </x:c>
      <x:c r="B434" s="34" t="str"/>
      <x:c r="C434" s="34" t="str"/>
      <x:c r="D434" s="34" t="str"/>
      <x:c r="E434" s="34" t="str"/>
      <x:c r="F434" s="34" t="str"/>
      <x:c r="G434" s="34" t="str"/>
      <x:c r="H434" s="34" t="str"/>
      <x:c r="I434" s="34" t="str"/>
      <x:c r="J434" s="34" t="str"/>
      <x:c r="K434" s="34" t="str"/>
      <x:c r="L434" s="34" t="str"/>
      <x:c r="M434" s="34" t="str"/>
      <x:c r="N434" s="34" t="str"/>
      <x:c r="O434" s="34" t="str"/>
      <x:c r="P434" s="34" t="str"/>
      <x:c r="Q434" s="34" t="str"/>
    </x:row>
    <x:row r="435">
      <x:c r="A435" s="34" t="str">
        <x:v>M5-HIT-0430</x:v>
      </x:c>
      <x:c r="B435" s="34" t="str"/>
      <x:c r="C435" s="34" t="str"/>
      <x:c r="D435" s="34" t="str"/>
      <x:c r="E435" s="34" t="str"/>
      <x:c r="F435" s="34" t="str"/>
      <x:c r="G435" s="34" t="str"/>
      <x:c r="H435" s="34" t="str"/>
      <x:c r="I435" s="34" t="str"/>
      <x:c r="J435" s="34" t="str"/>
      <x:c r="K435" s="34" t="str"/>
      <x:c r="L435" s="34" t="str"/>
      <x:c r="M435" s="34" t="str"/>
      <x:c r="N435" s="34" t="str"/>
      <x:c r="O435" s="34" t="str"/>
      <x:c r="P435" s="34" t="str"/>
      <x:c r="Q435" s="34" t="str"/>
    </x:row>
    <x:row r="436">
      <x:c r="A436" s="34" t="str">
        <x:v>M5-HIT-0431</x:v>
      </x:c>
      <x:c r="B436" s="34" t="str"/>
      <x:c r="C436" s="34" t="str"/>
      <x:c r="D436" s="34" t="str"/>
      <x:c r="E436" s="34" t="str"/>
      <x:c r="F436" s="34" t="str"/>
      <x:c r="G436" s="34" t="str"/>
      <x:c r="H436" s="34" t="str"/>
      <x:c r="I436" s="34" t="str"/>
      <x:c r="J436" s="34" t="str"/>
      <x:c r="K436" s="34" t="str"/>
      <x:c r="L436" s="34" t="str"/>
      <x:c r="M436" s="34" t="str"/>
      <x:c r="N436" s="34" t="str"/>
      <x:c r="O436" s="34" t="str"/>
      <x:c r="P436" s="34" t="str"/>
      <x:c r="Q436" s="34" t="str"/>
    </x:row>
    <x:row r="437">
      <x:c r="A437" s="34" t="str">
        <x:v>M5-HIT-0432</x:v>
      </x:c>
      <x:c r="B437" s="34" t="str"/>
      <x:c r="C437" s="34" t="str"/>
      <x:c r="D437" s="34" t="str"/>
      <x:c r="E437" s="34" t="str"/>
      <x:c r="F437" s="34" t="str"/>
      <x:c r="G437" s="34" t="str"/>
      <x:c r="H437" s="34" t="str"/>
      <x:c r="I437" s="34" t="str"/>
      <x:c r="J437" s="34" t="str"/>
      <x:c r="K437" s="34" t="str"/>
      <x:c r="L437" s="34" t="str"/>
      <x:c r="M437" s="34" t="str"/>
      <x:c r="N437" s="34" t="str"/>
      <x:c r="O437" s="34" t="str"/>
      <x:c r="P437" s="34" t="str"/>
      <x:c r="Q437" s="34" t="str"/>
    </x:row>
    <x:row r="438">
      <x:c r="A438" s="34" t="str">
        <x:v>M5-HIT-0433</x:v>
      </x:c>
      <x:c r="B438" s="34" t="str"/>
      <x:c r="C438" s="34" t="str"/>
      <x:c r="D438" s="34" t="str"/>
      <x:c r="E438" s="34" t="str"/>
      <x:c r="F438" s="34" t="str"/>
      <x:c r="G438" s="34" t="str"/>
      <x:c r="H438" s="34" t="str"/>
      <x:c r="I438" s="34" t="str"/>
      <x:c r="J438" s="34" t="str"/>
      <x:c r="K438" s="34" t="str"/>
      <x:c r="L438" s="34" t="str"/>
      <x:c r="M438" s="34" t="str"/>
      <x:c r="N438" s="34" t="str"/>
      <x:c r="O438" s="34" t="str"/>
      <x:c r="P438" s="34" t="str"/>
      <x:c r="Q438" s="34" t="str"/>
    </x:row>
    <x:row r="439">
      <x:c r="A439" s="34" t="str">
        <x:v>M5-HIT-0434</x:v>
      </x:c>
      <x:c r="B439" s="34" t="str"/>
      <x:c r="C439" s="34" t="str"/>
      <x:c r="D439" s="34" t="str"/>
      <x:c r="E439" s="34" t="str"/>
      <x:c r="F439" s="34" t="str"/>
      <x:c r="G439" s="34" t="str"/>
      <x:c r="H439" s="34" t="str"/>
      <x:c r="I439" s="34" t="str"/>
      <x:c r="J439" s="34" t="str"/>
      <x:c r="K439" s="34" t="str"/>
      <x:c r="L439" s="34" t="str"/>
      <x:c r="M439" s="34" t="str"/>
      <x:c r="N439" s="34" t="str"/>
      <x:c r="O439" s="34" t="str"/>
      <x:c r="P439" s="34" t="str"/>
      <x:c r="Q439" s="34" t="str"/>
    </x:row>
    <x:row r="440">
      <x:c r="A440" s="34" t="str">
        <x:v>M5-HIT-0435</x:v>
      </x:c>
      <x:c r="B440" s="34" t="str"/>
      <x:c r="C440" s="34" t="str"/>
      <x:c r="D440" s="34" t="str"/>
      <x:c r="E440" s="34" t="str"/>
      <x:c r="F440" s="34" t="str"/>
      <x:c r="G440" s="34" t="str"/>
      <x:c r="H440" s="34" t="str"/>
      <x:c r="I440" s="34" t="str"/>
      <x:c r="J440" s="34" t="str"/>
      <x:c r="K440" s="34" t="str"/>
      <x:c r="L440" s="34" t="str"/>
      <x:c r="M440" s="34" t="str"/>
      <x:c r="N440" s="34" t="str"/>
      <x:c r="O440" s="34" t="str"/>
      <x:c r="P440" s="34" t="str"/>
      <x:c r="Q440" s="34" t="str"/>
    </x:row>
    <x:row r="441">
      <x:c r="A441" s="34" t="str">
        <x:v>M5-HIT-0436</x:v>
      </x:c>
      <x:c r="B441" s="34" t="str"/>
      <x:c r="C441" s="34" t="str"/>
      <x:c r="D441" s="34" t="str"/>
      <x:c r="E441" s="34" t="str"/>
      <x:c r="F441" s="34" t="str"/>
      <x:c r="G441" s="34" t="str"/>
      <x:c r="H441" s="34" t="str"/>
      <x:c r="I441" s="34" t="str"/>
      <x:c r="J441" s="34" t="str"/>
      <x:c r="K441" s="34" t="str"/>
      <x:c r="L441" s="34" t="str"/>
      <x:c r="M441" s="34" t="str"/>
      <x:c r="N441" s="34" t="str"/>
      <x:c r="O441" s="34" t="str"/>
      <x:c r="P441" s="34" t="str"/>
      <x:c r="Q441" s="34" t="str"/>
    </x:row>
    <x:row r="442">
      <x:c r="A442" s="34" t="str">
        <x:v>M5-HIT-0437</x:v>
      </x:c>
      <x:c r="B442" s="34" t="str"/>
      <x:c r="C442" s="34" t="str"/>
      <x:c r="D442" s="34" t="str"/>
      <x:c r="E442" s="34" t="str"/>
      <x:c r="F442" s="34" t="str"/>
      <x:c r="G442" s="34" t="str"/>
      <x:c r="H442" s="34" t="str"/>
      <x:c r="I442" s="34" t="str"/>
      <x:c r="J442" s="34" t="str"/>
      <x:c r="K442" s="34" t="str"/>
      <x:c r="L442" s="34" t="str"/>
      <x:c r="M442" s="34" t="str"/>
      <x:c r="N442" s="34" t="str"/>
      <x:c r="O442" s="34" t="str"/>
      <x:c r="P442" s="34" t="str"/>
      <x:c r="Q442" s="34" t="str"/>
    </x:row>
    <x:row r="443">
      <x:c r="A443" s="34" t="str">
        <x:v>M5-HIT-0438</x:v>
      </x:c>
      <x:c r="B443" s="34" t="str"/>
      <x:c r="C443" s="34" t="str"/>
      <x:c r="D443" s="34" t="str"/>
      <x:c r="E443" s="34" t="str"/>
      <x:c r="F443" s="34" t="str"/>
      <x:c r="G443" s="34" t="str"/>
      <x:c r="H443" s="34" t="str"/>
      <x:c r="I443" s="34" t="str"/>
      <x:c r="J443" s="34" t="str"/>
      <x:c r="K443" s="34" t="str"/>
      <x:c r="L443" s="34" t="str"/>
      <x:c r="M443" s="34" t="str"/>
      <x:c r="N443" s="34" t="str"/>
      <x:c r="O443" s="34" t="str"/>
      <x:c r="P443" s="34" t="str"/>
      <x:c r="Q443" s="34" t="str"/>
    </x:row>
    <x:row r="444">
      <x:c r="A444" s="34" t="str">
        <x:v>M5-HIT-0439</x:v>
      </x:c>
      <x:c r="B444" s="34" t="str"/>
      <x:c r="C444" s="34" t="str"/>
      <x:c r="D444" s="34" t="str"/>
      <x:c r="E444" s="34" t="str"/>
      <x:c r="F444" s="34" t="str"/>
      <x:c r="G444" s="34" t="str"/>
      <x:c r="H444" s="34" t="str"/>
      <x:c r="I444" s="34" t="str"/>
      <x:c r="J444" s="34" t="str"/>
      <x:c r="K444" s="34" t="str"/>
      <x:c r="L444" s="34" t="str"/>
      <x:c r="M444" s="34" t="str"/>
      <x:c r="N444" s="34" t="str"/>
      <x:c r="O444" s="34" t="str"/>
      <x:c r="P444" s="34" t="str"/>
      <x:c r="Q444" s="34" t="str"/>
    </x:row>
    <x:row r="445">
      <x:c r="A445" s="34" t="str">
        <x:v>M5-HIT-0440</x:v>
      </x:c>
      <x:c r="B445" s="34" t="str"/>
      <x:c r="C445" s="34" t="str"/>
      <x:c r="D445" s="34" t="str"/>
      <x:c r="E445" s="34" t="str"/>
      <x:c r="F445" s="34" t="str"/>
      <x:c r="G445" s="34" t="str"/>
      <x:c r="H445" s="34" t="str"/>
      <x:c r="I445" s="34" t="str"/>
      <x:c r="J445" s="34" t="str"/>
      <x:c r="K445" s="34" t="str"/>
      <x:c r="L445" s="34" t="str"/>
      <x:c r="M445" s="34" t="str"/>
      <x:c r="N445" s="34" t="str"/>
      <x:c r="O445" s="34" t="str"/>
      <x:c r="P445" s="34" t="str"/>
      <x:c r="Q445" s="34" t="str"/>
    </x:row>
    <x:row r="446">
      <x:c r="A446" s="34" t="str">
        <x:v>M5-HIT-0441</x:v>
      </x:c>
      <x:c r="B446" s="34" t="str"/>
      <x:c r="C446" s="34" t="str"/>
      <x:c r="D446" s="34" t="str"/>
      <x:c r="E446" s="34" t="str"/>
      <x:c r="F446" s="34" t="str"/>
      <x:c r="G446" s="34" t="str"/>
      <x:c r="H446" s="34" t="str"/>
      <x:c r="I446" s="34" t="str"/>
      <x:c r="J446" s="34" t="str"/>
      <x:c r="K446" s="34" t="str"/>
      <x:c r="L446" s="34" t="str"/>
      <x:c r="M446" s="34" t="str"/>
      <x:c r="N446" s="34" t="str"/>
      <x:c r="O446" s="34" t="str"/>
      <x:c r="P446" s="34" t="str"/>
      <x:c r="Q446" s="34" t="str"/>
    </x:row>
    <x:row r="447">
      <x:c r="A447" s="34" t="str">
        <x:v>M5-HIT-0442</x:v>
      </x:c>
      <x:c r="B447" s="34" t="str"/>
      <x:c r="C447" s="34" t="str"/>
      <x:c r="D447" s="34" t="str"/>
      <x:c r="E447" s="34" t="str"/>
      <x:c r="F447" s="34" t="str"/>
      <x:c r="G447" s="34" t="str"/>
      <x:c r="H447" s="34" t="str"/>
      <x:c r="I447" s="34" t="str"/>
      <x:c r="J447" s="34" t="str"/>
      <x:c r="K447" s="34" t="str"/>
      <x:c r="L447" s="34" t="str"/>
      <x:c r="M447" s="34" t="str"/>
      <x:c r="N447" s="34" t="str"/>
      <x:c r="O447" s="34" t="str"/>
      <x:c r="P447" s="34" t="str"/>
      <x:c r="Q447" s="34" t="str"/>
    </x:row>
    <x:row r="448">
      <x:c r="A448" s="34" t="str">
        <x:v>M5-HIT-0443</x:v>
      </x:c>
      <x:c r="B448" s="34" t="str"/>
      <x:c r="C448" s="34" t="str"/>
      <x:c r="D448" s="34" t="str"/>
      <x:c r="E448" s="34" t="str"/>
      <x:c r="F448" s="34" t="str"/>
      <x:c r="G448" s="34" t="str"/>
      <x:c r="H448" s="34" t="str"/>
      <x:c r="I448" s="34" t="str"/>
      <x:c r="J448" s="34" t="str"/>
      <x:c r="K448" s="34" t="str"/>
      <x:c r="L448" s="34" t="str"/>
      <x:c r="M448" s="34" t="str"/>
      <x:c r="N448" s="34" t="str"/>
      <x:c r="O448" s="34" t="str"/>
      <x:c r="P448" s="34" t="str"/>
      <x:c r="Q448" s="34" t="str"/>
    </x:row>
    <x:row r="449">
      <x:c r="A449" s="34" t="str">
        <x:v>M5-HIT-0444</x:v>
      </x:c>
      <x:c r="B449" s="34" t="str"/>
      <x:c r="C449" s="34" t="str"/>
      <x:c r="D449" s="34" t="str"/>
      <x:c r="E449" s="34" t="str"/>
      <x:c r="F449" s="34" t="str"/>
      <x:c r="G449" s="34" t="str"/>
      <x:c r="H449" s="34" t="str"/>
      <x:c r="I449" s="34" t="str"/>
      <x:c r="J449" s="34" t="str"/>
      <x:c r="K449" s="34" t="str"/>
      <x:c r="L449" s="34" t="str"/>
      <x:c r="M449" s="34" t="str"/>
      <x:c r="N449" s="34" t="str"/>
      <x:c r="O449" s="34" t="str"/>
      <x:c r="P449" s="34" t="str"/>
      <x:c r="Q449" s="34" t="str"/>
    </x:row>
    <x:row r="450">
      <x:c r="A450" s="34" t="str">
        <x:v>M5-HIT-0445</x:v>
      </x:c>
      <x:c r="B450" s="34" t="str"/>
      <x:c r="C450" s="34" t="str"/>
      <x:c r="D450" s="34" t="str"/>
      <x:c r="E450" s="34" t="str"/>
      <x:c r="F450" s="34" t="str"/>
      <x:c r="G450" s="34" t="str"/>
      <x:c r="H450" s="34" t="str"/>
      <x:c r="I450" s="34" t="str"/>
      <x:c r="J450" s="34" t="str"/>
      <x:c r="K450" s="34" t="str"/>
      <x:c r="L450" s="34" t="str"/>
      <x:c r="M450" s="34" t="str"/>
      <x:c r="N450" s="34" t="str"/>
      <x:c r="O450" s="34" t="str"/>
      <x:c r="P450" s="34" t="str"/>
      <x:c r="Q450" s="34" t="str"/>
    </x:row>
    <x:row r="451">
      <x:c r="A451" s="34" t="str">
        <x:v>M5-HIT-0446</x:v>
      </x:c>
      <x:c r="B451" s="34" t="str"/>
      <x:c r="C451" s="34" t="str"/>
      <x:c r="D451" s="34" t="str"/>
      <x:c r="E451" s="34" t="str"/>
      <x:c r="F451" s="34" t="str"/>
      <x:c r="G451" s="34" t="str"/>
      <x:c r="H451" s="34" t="str"/>
      <x:c r="I451" s="34" t="str"/>
      <x:c r="J451" s="34" t="str"/>
      <x:c r="K451" s="34" t="str"/>
      <x:c r="L451" s="34" t="str"/>
      <x:c r="M451" s="34" t="str"/>
      <x:c r="N451" s="34" t="str"/>
      <x:c r="O451" s="34" t="str"/>
      <x:c r="P451" s="34" t="str"/>
      <x:c r="Q451" s="34" t="str"/>
    </x:row>
    <x:row r="452">
      <x:c r="A452" s="34" t="str">
        <x:v>M5-HIT-0447</x:v>
      </x:c>
      <x:c r="B452" s="34" t="str"/>
      <x:c r="C452" s="34" t="str"/>
      <x:c r="D452" s="34" t="str"/>
      <x:c r="E452" s="34" t="str"/>
      <x:c r="F452" s="34" t="str"/>
      <x:c r="G452" s="34" t="str"/>
      <x:c r="H452" s="34" t="str"/>
      <x:c r="I452" s="34" t="str"/>
      <x:c r="J452" s="34" t="str"/>
      <x:c r="K452" s="34" t="str"/>
      <x:c r="L452" s="34" t="str"/>
      <x:c r="M452" s="34" t="str"/>
      <x:c r="N452" s="34" t="str"/>
      <x:c r="O452" s="34" t="str"/>
      <x:c r="P452" s="34" t="str"/>
      <x:c r="Q452" s="34" t="str"/>
    </x:row>
    <x:row r="453">
      <x:c r="A453" s="34" t="str">
        <x:v>M5-HIT-0448</x:v>
      </x:c>
      <x:c r="B453" s="34" t="str"/>
      <x:c r="C453" s="34" t="str"/>
      <x:c r="D453" s="34" t="str"/>
      <x:c r="E453" s="34" t="str"/>
      <x:c r="F453" s="34" t="str"/>
      <x:c r="G453" s="34" t="str"/>
      <x:c r="H453" s="34" t="str"/>
      <x:c r="I453" s="34" t="str"/>
      <x:c r="J453" s="34" t="str"/>
      <x:c r="K453" s="34" t="str"/>
      <x:c r="L453" s="34" t="str"/>
      <x:c r="M453" s="34" t="str"/>
      <x:c r="N453" s="34" t="str"/>
      <x:c r="O453" s="34" t="str"/>
      <x:c r="P453" s="34" t="str"/>
      <x:c r="Q453" s="34" t="str"/>
    </x:row>
    <x:row r="454">
      <x:c r="A454" s="34" t="str">
        <x:v>M5-HIT-0449</x:v>
      </x:c>
      <x:c r="B454" s="34" t="str"/>
      <x:c r="C454" s="34" t="str"/>
      <x:c r="D454" s="34" t="str"/>
      <x:c r="E454" s="34" t="str"/>
      <x:c r="F454" s="34" t="str"/>
      <x:c r="G454" s="34" t="str"/>
      <x:c r="H454" s="34" t="str"/>
      <x:c r="I454" s="34" t="str"/>
      <x:c r="J454" s="34" t="str"/>
      <x:c r="K454" s="34" t="str"/>
      <x:c r="L454" s="34" t="str"/>
      <x:c r="M454" s="34" t="str"/>
      <x:c r="N454" s="34" t="str"/>
      <x:c r="O454" s="34" t="str"/>
      <x:c r="P454" s="34" t="str"/>
      <x:c r="Q454" s="34" t="str"/>
    </x:row>
    <x:row r="455">
      <x:c r="A455" s="34" t="str">
        <x:v>M5-HIT-0450</x:v>
      </x:c>
      <x:c r="B455" s="34" t="str"/>
      <x:c r="C455" s="34" t="str"/>
      <x:c r="D455" s="34" t="str"/>
      <x:c r="E455" s="34" t="str"/>
      <x:c r="F455" s="34" t="str"/>
      <x:c r="G455" s="34" t="str"/>
      <x:c r="H455" s="34" t="str"/>
      <x:c r="I455" s="34" t="str"/>
      <x:c r="J455" s="34" t="str"/>
      <x:c r="K455" s="34" t="str"/>
      <x:c r="L455" s="34" t="str"/>
      <x:c r="M455" s="34" t="str"/>
      <x:c r="N455" s="34" t="str"/>
      <x:c r="O455" s="34" t="str"/>
      <x:c r="P455" s="34" t="str"/>
      <x:c r="Q455" s="34" t="str"/>
    </x:row>
    <x:row r="456">
      <x:c r="A456" s="34" t="str">
        <x:v>M5-HIT-0451</x:v>
      </x:c>
      <x:c r="B456" s="34" t="str"/>
      <x:c r="C456" s="34" t="str"/>
      <x:c r="D456" s="34" t="str"/>
      <x:c r="E456" s="34" t="str"/>
      <x:c r="F456" s="34" t="str"/>
      <x:c r="G456" s="34" t="str"/>
      <x:c r="H456" s="34" t="str"/>
      <x:c r="I456" s="34" t="str"/>
      <x:c r="J456" s="34" t="str"/>
      <x:c r="K456" s="34" t="str"/>
      <x:c r="L456" s="34" t="str"/>
      <x:c r="M456" s="34" t="str"/>
      <x:c r="N456" s="34" t="str"/>
      <x:c r="O456" s="34" t="str"/>
      <x:c r="P456" s="34" t="str"/>
      <x:c r="Q456" s="34" t="str"/>
    </x:row>
    <x:row r="457">
      <x:c r="A457" s="34" t="str">
        <x:v>M5-HIT-0452</x:v>
      </x:c>
      <x:c r="B457" s="34" t="str"/>
      <x:c r="C457" s="34" t="str"/>
      <x:c r="D457" s="34" t="str"/>
      <x:c r="E457" s="34" t="str"/>
      <x:c r="F457" s="34" t="str"/>
      <x:c r="G457" s="34" t="str"/>
      <x:c r="H457" s="34" t="str"/>
      <x:c r="I457" s="34" t="str"/>
      <x:c r="J457" s="34" t="str"/>
      <x:c r="K457" s="34" t="str"/>
      <x:c r="L457" s="34" t="str"/>
      <x:c r="M457" s="34" t="str"/>
      <x:c r="N457" s="34" t="str"/>
      <x:c r="O457" s="34" t="str"/>
      <x:c r="P457" s="34" t="str"/>
      <x:c r="Q457" s="34" t="str"/>
    </x:row>
    <x:row r="458">
      <x:c r="A458" s="34" t="str">
        <x:v>M5-HIT-0453</x:v>
      </x:c>
      <x:c r="B458" s="34" t="str"/>
      <x:c r="C458" s="34" t="str"/>
      <x:c r="D458" s="34" t="str"/>
      <x:c r="E458" s="34" t="str"/>
      <x:c r="F458" s="34" t="str"/>
      <x:c r="G458" s="34" t="str"/>
      <x:c r="H458" s="34" t="str"/>
      <x:c r="I458" s="34" t="str"/>
      <x:c r="J458" s="34" t="str"/>
      <x:c r="K458" s="34" t="str"/>
      <x:c r="L458" s="34" t="str"/>
      <x:c r="M458" s="34" t="str"/>
      <x:c r="N458" s="34" t="str"/>
      <x:c r="O458" s="34" t="str"/>
      <x:c r="P458" s="34" t="str"/>
      <x:c r="Q458" s="34" t="str"/>
    </x:row>
    <x:row r="459">
      <x:c r="A459" s="34" t="str">
        <x:v>M5-HIT-0454</x:v>
      </x:c>
      <x:c r="B459" s="34" t="str"/>
      <x:c r="C459" s="34" t="str"/>
      <x:c r="D459" s="34" t="str"/>
      <x:c r="E459" s="34" t="str"/>
      <x:c r="F459" s="34" t="str"/>
      <x:c r="G459" s="34" t="str"/>
      <x:c r="H459" s="34" t="str"/>
      <x:c r="I459" s="34" t="str"/>
      <x:c r="J459" s="34" t="str"/>
      <x:c r="K459" s="34" t="str"/>
      <x:c r="L459" s="34" t="str"/>
      <x:c r="M459" s="34" t="str"/>
      <x:c r="N459" s="34" t="str"/>
      <x:c r="O459" s="34" t="str"/>
      <x:c r="P459" s="34" t="str"/>
      <x:c r="Q459" s="34" t="str"/>
    </x:row>
    <x:row r="460">
      <x:c r="A460" s="34" t="str">
        <x:v>M5-HIT-0455</x:v>
      </x:c>
      <x:c r="B460" s="34" t="str"/>
      <x:c r="C460" s="34" t="str"/>
      <x:c r="D460" s="34" t="str"/>
      <x:c r="E460" s="34" t="str"/>
      <x:c r="F460" s="34" t="str"/>
      <x:c r="G460" s="34" t="str"/>
      <x:c r="H460" s="34" t="str"/>
      <x:c r="I460" s="34" t="str"/>
      <x:c r="J460" s="34" t="str"/>
      <x:c r="K460" s="34" t="str"/>
      <x:c r="L460" s="34" t="str"/>
      <x:c r="M460" s="34" t="str"/>
      <x:c r="N460" s="34" t="str"/>
      <x:c r="O460" s="34" t="str"/>
      <x:c r="P460" s="34" t="str"/>
      <x:c r="Q460" s="34" t="str"/>
    </x:row>
    <x:row r="461">
      <x:c r="A461" s="34" t="str">
        <x:v>M5-HIT-0456</x:v>
      </x:c>
      <x:c r="B461" s="34" t="str"/>
      <x:c r="C461" s="34" t="str"/>
      <x:c r="D461" s="34" t="str"/>
      <x:c r="E461" s="34" t="str"/>
      <x:c r="F461" s="34" t="str"/>
      <x:c r="G461" s="34" t="str"/>
      <x:c r="H461" s="34" t="str"/>
      <x:c r="I461" s="34" t="str"/>
      <x:c r="J461" s="34" t="str"/>
      <x:c r="K461" s="34" t="str"/>
      <x:c r="L461" s="34" t="str"/>
      <x:c r="M461" s="34" t="str"/>
      <x:c r="N461" s="34" t="str"/>
      <x:c r="O461" s="34" t="str"/>
      <x:c r="P461" s="34" t="str"/>
      <x:c r="Q461" s="34" t="str"/>
    </x:row>
    <x:row r="462">
      <x:c r="A462" s="34" t="str">
        <x:v>M5-HIT-0457</x:v>
      </x:c>
      <x:c r="B462" s="34" t="str"/>
      <x:c r="C462" s="34" t="str"/>
      <x:c r="D462" s="34" t="str"/>
      <x:c r="E462" s="34" t="str"/>
      <x:c r="F462" s="34" t="str"/>
      <x:c r="G462" s="34" t="str"/>
      <x:c r="H462" s="34" t="str"/>
      <x:c r="I462" s="34" t="str"/>
      <x:c r="J462" s="34" t="str"/>
      <x:c r="K462" s="34" t="str"/>
      <x:c r="L462" s="34" t="str"/>
      <x:c r="M462" s="34" t="str"/>
      <x:c r="N462" s="34" t="str"/>
      <x:c r="O462" s="34" t="str"/>
      <x:c r="P462" s="34" t="str"/>
      <x:c r="Q462" s="34" t="str"/>
    </x:row>
    <x:row r="463">
      <x:c r="A463" s="34" t="str">
        <x:v>M5-HIT-0458</x:v>
      </x:c>
      <x:c r="B463" s="34" t="str"/>
      <x:c r="C463" s="34" t="str"/>
      <x:c r="D463" s="34" t="str"/>
      <x:c r="E463" s="34" t="str"/>
      <x:c r="F463" s="34" t="str"/>
      <x:c r="G463" s="34" t="str"/>
      <x:c r="H463" s="34" t="str"/>
      <x:c r="I463" s="34" t="str"/>
      <x:c r="J463" s="34" t="str"/>
      <x:c r="K463" s="34" t="str"/>
      <x:c r="L463" s="34" t="str"/>
      <x:c r="M463" s="34" t="str"/>
      <x:c r="N463" s="34" t="str"/>
      <x:c r="O463" s="34" t="str"/>
      <x:c r="P463" s="34" t="str"/>
      <x:c r="Q463" s="34" t="str"/>
    </x:row>
    <x:row r="464">
      <x:c r="A464" s="34" t="str">
        <x:v>M5-HIT-0459</x:v>
      </x:c>
      <x:c r="B464" s="34" t="str"/>
      <x:c r="C464" s="34" t="str"/>
      <x:c r="D464" s="34" t="str"/>
      <x:c r="E464" s="34" t="str"/>
      <x:c r="F464" s="34" t="str"/>
      <x:c r="G464" s="34" t="str"/>
      <x:c r="H464" s="34" t="str"/>
      <x:c r="I464" s="34" t="str"/>
      <x:c r="J464" s="34" t="str"/>
      <x:c r="K464" s="34" t="str"/>
      <x:c r="L464" s="34" t="str"/>
      <x:c r="M464" s="34" t="str"/>
      <x:c r="N464" s="34" t="str"/>
      <x:c r="O464" s="34" t="str"/>
      <x:c r="P464" s="34" t="str"/>
      <x:c r="Q464" s="34" t="str"/>
    </x:row>
    <x:row r="465">
      <x:c r="A465" s="34" t="str">
        <x:v>M5-HIT-0460</x:v>
      </x:c>
      <x:c r="B465" s="34" t="str"/>
      <x:c r="C465" s="34" t="str"/>
      <x:c r="D465" s="34" t="str"/>
      <x:c r="E465" s="34" t="str"/>
      <x:c r="F465" s="34" t="str"/>
      <x:c r="G465" s="34" t="str"/>
      <x:c r="H465" s="34" t="str"/>
      <x:c r="I465" s="34" t="str"/>
      <x:c r="J465" s="34" t="str"/>
      <x:c r="K465" s="34" t="str"/>
      <x:c r="L465" s="34" t="str"/>
      <x:c r="M465" s="34" t="str"/>
      <x:c r="N465" s="34" t="str"/>
      <x:c r="O465" s="34" t="str"/>
      <x:c r="P465" s="34" t="str"/>
      <x:c r="Q465" s="34" t="str"/>
    </x:row>
    <x:row r="466">
      <x:c r="A466" s="34" t="str">
        <x:v>M5-HIT-0461</x:v>
      </x:c>
      <x:c r="B466" s="34" t="str"/>
      <x:c r="C466" s="34" t="str"/>
      <x:c r="D466" s="34" t="str"/>
      <x:c r="E466" s="34" t="str"/>
      <x:c r="F466" s="34" t="str"/>
      <x:c r="G466" s="34" t="str"/>
      <x:c r="H466" s="34" t="str"/>
      <x:c r="I466" s="34" t="str"/>
      <x:c r="J466" s="34" t="str"/>
      <x:c r="K466" s="34" t="str"/>
      <x:c r="L466" s="34" t="str"/>
      <x:c r="M466" s="34" t="str"/>
      <x:c r="N466" s="34" t="str"/>
      <x:c r="O466" s="34" t="str"/>
      <x:c r="P466" s="34" t="str"/>
      <x:c r="Q466" s="34" t="str"/>
    </x:row>
    <x:row r="467">
      <x:c r="A467" s="34" t="str">
        <x:v>M5-HIT-0462</x:v>
      </x:c>
      <x:c r="B467" s="34" t="str"/>
      <x:c r="C467" s="34" t="str"/>
      <x:c r="D467" s="34" t="str"/>
      <x:c r="E467" s="34" t="str"/>
      <x:c r="F467" s="34" t="str"/>
      <x:c r="G467" s="34" t="str"/>
      <x:c r="H467" s="34" t="str"/>
      <x:c r="I467" s="34" t="str"/>
      <x:c r="J467" s="34" t="str"/>
      <x:c r="K467" s="34" t="str"/>
      <x:c r="L467" s="34" t="str"/>
      <x:c r="M467" s="34" t="str"/>
      <x:c r="N467" s="34" t="str"/>
      <x:c r="O467" s="34" t="str"/>
      <x:c r="P467" s="34" t="str"/>
      <x:c r="Q467" s="34" t="str"/>
    </x:row>
    <x:row r="468">
      <x:c r="A468" s="34" t="str">
        <x:v>M5-HIT-0463</x:v>
      </x:c>
      <x:c r="B468" s="34" t="str"/>
      <x:c r="C468" s="34" t="str"/>
      <x:c r="D468" s="34" t="str"/>
      <x:c r="E468" s="34" t="str"/>
      <x:c r="F468" s="34" t="str"/>
      <x:c r="G468" s="34" t="str"/>
      <x:c r="H468" s="34" t="str"/>
      <x:c r="I468" s="34" t="str"/>
      <x:c r="J468" s="34" t="str"/>
      <x:c r="K468" s="34" t="str"/>
      <x:c r="L468" s="34" t="str"/>
      <x:c r="M468" s="34" t="str"/>
      <x:c r="N468" s="34" t="str"/>
      <x:c r="O468" s="34" t="str"/>
      <x:c r="P468" s="34" t="str"/>
      <x:c r="Q468" s="34" t="str"/>
    </x:row>
    <x:row r="469">
      <x:c r="A469" s="34" t="str">
        <x:v>M5-HIT-0464</x:v>
      </x:c>
      <x:c r="B469" s="34" t="str"/>
      <x:c r="C469" s="34" t="str"/>
      <x:c r="D469" s="34" t="str"/>
      <x:c r="E469" s="34" t="str"/>
      <x:c r="F469" s="34" t="str"/>
      <x:c r="G469" s="34" t="str"/>
      <x:c r="H469" s="34" t="str"/>
      <x:c r="I469" s="34" t="str"/>
      <x:c r="J469" s="34" t="str"/>
      <x:c r="K469" s="34" t="str"/>
      <x:c r="L469" s="34" t="str"/>
      <x:c r="M469" s="34" t="str"/>
      <x:c r="N469" s="34" t="str"/>
      <x:c r="O469" s="34" t="str"/>
      <x:c r="P469" s="34" t="str"/>
      <x:c r="Q469" s="34" t="str"/>
    </x:row>
    <x:row r="470">
      <x:c r="A470" s="34" t="str">
        <x:v>M5-HIT-0465</x:v>
      </x:c>
      <x:c r="B470" s="34" t="str"/>
      <x:c r="C470" s="34" t="str"/>
      <x:c r="D470" s="34" t="str"/>
      <x:c r="E470" s="34" t="str"/>
      <x:c r="F470" s="34" t="str"/>
      <x:c r="G470" s="34" t="str"/>
      <x:c r="H470" s="34" t="str"/>
      <x:c r="I470" s="34" t="str"/>
      <x:c r="J470" s="34" t="str"/>
      <x:c r="K470" s="34" t="str"/>
      <x:c r="L470" s="34" t="str"/>
      <x:c r="M470" s="34" t="str"/>
      <x:c r="N470" s="34" t="str"/>
      <x:c r="O470" s="34" t="str"/>
      <x:c r="P470" s="34" t="str"/>
      <x:c r="Q470" s="34" t="str"/>
    </x:row>
    <x:row r="471">
      <x:c r="A471" s="34" t="str">
        <x:v>M5-HIT-0466</x:v>
      </x:c>
      <x:c r="B471" s="34" t="str"/>
      <x:c r="C471" s="34" t="str"/>
      <x:c r="D471" s="34" t="str"/>
      <x:c r="E471" s="34" t="str"/>
      <x:c r="F471" s="34" t="str"/>
      <x:c r="G471" s="34" t="str"/>
      <x:c r="H471" s="34" t="str"/>
      <x:c r="I471" s="34" t="str"/>
      <x:c r="J471" s="34" t="str"/>
      <x:c r="K471" s="34" t="str"/>
      <x:c r="L471" s="34" t="str"/>
      <x:c r="M471" s="34" t="str"/>
      <x:c r="N471" s="34" t="str"/>
      <x:c r="O471" s="34" t="str"/>
      <x:c r="P471" s="34" t="str"/>
      <x:c r="Q471" s="34" t="str"/>
    </x:row>
    <x:row r="472">
      <x:c r="A472" s="34" t="str">
        <x:v>M5-HIT-0467</x:v>
      </x:c>
      <x:c r="B472" s="34" t="str"/>
      <x:c r="C472" s="34" t="str"/>
      <x:c r="D472" s="34" t="str"/>
      <x:c r="E472" s="34" t="str"/>
      <x:c r="F472" s="34" t="str"/>
      <x:c r="G472" s="34" t="str"/>
      <x:c r="H472" s="34" t="str"/>
      <x:c r="I472" s="34" t="str"/>
      <x:c r="J472" s="34" t="str"/>
      <x:c r="K472" s="34" t="str"/>
      <x:c r="L472" s="34" t="str"/>
      <x:c r="M472" s="34" t="str"/>
      <x:c r="N472" s="34" t="str"/>
      <x:c r="O472" s="34" t="str"/>
      <x:c r="P472" s="34" t="str"/>
      <x:c r="Q472" s="34" t="str"/>
    </x:row>
    <x:row r="473">
      <x:c r="A473" s="34" t="str">
        <x:v>M5-HIT-0468</x:v>
      </x:c>
      <x:c r="B473" s="34" t="str"/>
      <x:c r="C473" s="34" t="str"/>
      <x:c r="D473" s="34" t="str"/>
      <x:c r="E473" s="34" t="str"/>
      <x:c r="F473" s="34" t="str"/>
      <x:c r="G473" s="34" t="str"/>
      <x:c r="H473" s="34" t="str"/>
      <x:c r="I473" s="34" t="str"/>
      <x:c r="J473" s="34" t="str"/>
      <x:c r="K473" s="34" t="str"/>
      <x:c r="L473" s="34" t="str"/>
      <x:c r="M473" s="34" t="str"/>
      <x:c r="N473" s="34" t="str"/>
      <x:c r="O473" s="34" t="str"/>
      <x:c r="P473" s="34" t="str"/>
      <x:c r="Q473" s="34" t="str"/>
    </x:row>
    <x:row r="474">
      <x:c r="A474" s="34" t="str">
        <x:v>M5-HIT-0469</x:v>
      </x:c>
      <x:c r="B474" s="34" t="str"/>
      <x:c r="C474" s="34" t="str"/>
      <x:c r="D474" s="34" t="str"/>
      <x:c r="E474" s="34" t="str"/>
      <x:c r="F474" s="34" t="str"/>
      <x:c r="G474" s="34" t="str"/>
      <x:c r="H474" s="34" t="str"/>
      <x:c r="I474" s="34" t="str"/>
      <x:c r="J474" s="34" t="str"/>
      <x:c r="K474" s="34" t="str"/>
      <x:c r="L474" s="34" t="str"/>
      <x:c r="M474" s="34" t="str"/>
      <x:c r="N474" s="34" t="str"/>
      <x:c r="O474" s="34" t="str"/>
      <x:c r="P474" s="34" t="str"/>
      <x:c r="Q474" s="34" t="str"/>
    </x:row>
    <x:row r="475">
      <x:c r="A475" s="34" t="str">
        <x:v>M5-HIT-0470</x:v>
      </x:c>
      <x:c r="B475" s="34" t="str"/>
      <x:c r="C475" s="34" t="str"/>
      <x:c r="D475" s="34" t="str"/>
      <x:c r="E475" s="34" t="str"/>
      <x:c r="F475" s="34" t="str"/>
      <x:c r="G475" s="34" t="str"/>
      <x:c r="H475" s="34" t="str"/>
      <x:c r="I475" s="34" t="str"/>
      <x:c r="J475" s="34" t="str"/>
      <x:c r="K475" s="34" t="str"/>
      <x:c r="L475" s="34" t="str"/>
      <x:c r="M475" s="34" t="str"/>
      <x:c r="N475" s="34" t="str"/>
      <x:c r="O475" s="34" t="str"/>
      <x:c r="P475" s="34" t="str"/>
      <x:c r="Q475" s="34" t="str"/>
    </x:row>
    <x:row r="476">
      <x:c r="A476" s="34" t="str">
        <x:v>M5-HIT-0471</x:v>
      </x:c>
      <x:c r="B476" s="34" t="str"/>
      <x:c r="C476" s="34" t="str"/>
      <x:c r="D476" s="34" t="str"/>
      <x:c r="E476" s="34" t="str"/>
      <x:c r="F476" s="34" t="str"/>
      <x:c r="G476" s="34" t="str"/>
      <x:c r="H476" s="34" t="str"/>
      <x:c r="I476" s="34" t="str"/>
      <x:c r="J476" s="34" t="str"/>
      <x:c r="K476" s="34" t="str"/>
      <x:c r="L476" s="34" t="str"/>
      <x:c r="M476" s="34" t="str"/>
      <x:c r="N476" s="34" t="str"/>
      <x:c r="O476" s="34" t="str"/>
      <x:c r="P476" s="34" t="str"/>
      <x:c r="Q476" s="34" t="str"/>
    </x:row>
    <x:row r="477">
      <x:c r="A477" s="34" t="str">
        <x:v>M5-HIT-0472</x:v>
      </x:c>
      <x:c r="B477" s="34" t="str"/>
      <x:c r="C477" s="34" t="str"/>
      <x:c r="D477" s="34" t="str"/>
      <x:c r="E477" s="34" t="str"/>
      <x:c r="F477" s="34" t="str"/>
      <x:c r="G477" s="34" t="str"/>
      <x:c r="H477" s="34" t="str"/>
      <x:c r="I477" s="34" t="str"/>
      <x:c r="J477" s="34" t="str"/>
      <x:c r="K477" s="34" t="str"/>
      <x:c r="L477" s="34" t="str"/>
      <x:c r="M477" s="34" t="str"/>
      <x:c r="N477" s="34" t="str"/>
      <x:c r="O477" s="34" t="str"/>
      <x:c r="P477" s="34" t="str"/>
      <x:c r="Q477" s="34" t="str"/>
    </x:row>
    <x:row r="478">
      <x:c r="A478" s="34" t="str">
        <x:v>M5-HIT-0473</x:v>
      </x:c>
      <x:c r="B478" s="34" t="str"/>
      <x:c r="C478" s="34" t="str"/>
      <x:c r="D478" s="34" t="str"/>
      <x:c r="E478" s="34" t="str"/>
      <x:c r="F478" s="34" t="str"/>
      <x:c r="G478" s="34" t="str"/>
      <x:c r="H478" s="34" t="str"/>
      <x:c r="I478" s="34" t="str"/>
      <x:c r="J478" s="34" t="str"/>
      <x:c r="K478" s="34" t="str"/>
      <x:c r="L478" s="34" t="str"/>
      <x:c r="M478" s="34" t="str"/>
      <x:c r="N478" s="34" t="str"/>
      <x:c r="O478" s="34" t="str"/>
      <x:c r="P478" s="34" t="str"/>
      <x:c r="Q478" s="34" t="str"/>
    </x:row>
    <x:row r="479">
      <x:c r="A479" s="34" t="str">
        <x:v>M5-HIT-0474</x:v>
      </x:c>
      <x:c r="B479" s="34" t="str"/>
      <x:c r="C479" s="34" t="str"/>
      <x:c r="D479" s="34" t="str"/>
      <x:c r="E479" s="34" t="str"/>
      <x:c r="F479" s="34" t="str"/>
      <x:c r="G479" s="34" t="str"/>
      <x:c r="H479" s="34" t="str"/>
      <x:c r="I479" s="34" t="str"/>
      <x:c r="J479" s="34" t="str"/>
      <x:c r="K479" s="34" t="str"/>
      <x:c r="L479" s="34" t="str"/>
      <x:c r="M479" s="34" t="str"/>
      <x:c r="N479" s="34" t="str"/>
      <x:c r="O479" s="34" t="str"/>
      <x:c r="P479" s="34" t="str"/>
      <x:c r="Q479" s="34" t="str"/>
    </x:row>
    <x:row r="480">
      <x:c r="A480" s="34" t="str">
        <x:v>M5-HIT-0475</x:v>
      </x:c>
      <x:c r="B480" s="34" t="str"/>
      <x:c r="C480" s="34" t="str"/>
      <x:c r="D480" s="34" t="str"/>
      <x:c r="E480" s="34" t="str"/>
      <x:c r="F480" s="34" t="str"/>
      <x:c r="G480" s="34" t="str"/>
      <x:c r="H480" s="34" t="str"/>
      <x:c r="I480" s="34" t="str"/>
      <x:c r="J480" s="34" t="str"/>
      <x:c r="K480" s="34" t="str"/>
      <x:c r="L480" s="34" t="str"/>
      <x:c r="M480" s="34" t="str"/>
      <x:c r="N480" s="34" t="str"/>
      <x:c r="O480" s="34" t="str"/>
      <x:c r="P480" s="34" t="str"/>
      <x:c r="Q480" s="34" t="str"/>
    </x:row>
    <x:row r="481">
      <x:c r="A481" s="34" t="str">
        <x:v>M5-HIT-0476</x:v>
      </x:c>
      <x:c r="B481" s="34" t="str"/>
      <x:c r="C481" s="34" t="str"/>
      <x:c r="D481" s="34" t="str"/>
      <x:c r="E481" s="34" t="str"/>
      <x:c r="F481" s="34" t="str"/>
      <x:c r="G481" s="34" t="str"/>
      <x:c r="H481" s="34" t="str"/>
      <x:c r="I481" s="34" t="str"/>
      <x:c r="J481" s="34" t="str"/>
      <x:c r="K481" s="34" t="str"/>
      <x:c r="L481" s="34" t="str"/>
      <x:c r="M481" s="34" t="str"/>
      <x:c r="N481" s="34" t="str"/>
      <x:c r="O481" s="34" t="str"/>
      <x:c r="P481" s="34" t="str"/>
      <x:c r="Q481" s="34" t="str"/>
    </x:row>
    <x:row r="482">
      <x:c r="A482" s="34" t="str">
        <x:v>M5-HIT-0477</x:v>
      </x:c>
      <x:c r="B482" s="34" t="str"/>
      <x:c r="C482" s="34" t="str"/>
      <x:c r="D482" s="34" t="str"/>
      <x:c r="E482" s="34" t="str"/>
      <x:c r="F482" s="34" t="str"/>
      <x:c r="G482" s="34" t="str"/>
      <x:c r="H482" s="34" t="str"/>
      <x:c r="I482" s="34" t="str"/>
      <x:c r="J482" s="34" t="str"/>
      <x:c r="K482" s="34" t="str"/>
      <x:c r="L482" s="34" t="str"/>
      <x:c r="M482" s="34" t="str"/>
      <x:c r="N482" s="34" t="str"/>
      <x:c r="O482" s="34" t="str"/>
      <x:c r="P482" s="34" t="str"/>
      <x:c r="Q482" s="34" t="str"/>
    </x:row>
    <x:row r="483">
      <x:c r="A483" s="34" t="str">
        <x:v>M5-HIT-0478</x:v>
      </x:c>
      <x:c r="B483" s="34" t="str"/>
      <x:c r="C483" s="34" t="str"/>
      <x:c r="D483" s="34" t="str"/>
      <x:c r="E483" s="34" t="str"/>
      <x:c r="F483" s="34" t="str"/>
      <x:c r="G483" s="34" t="str"/>
      <x:c r="H483" s="34" t="str"/>
      <x:c r="I483" s="34" t="str"/>
      <x:c r="J483" s="34" t="str"/>
      <x:c r="K483" s="34" t="str"/>
      <x:c r="L483" s="34" t="str"/>
      <x:c r="M483" s="34" t="str"/>
      <x:c r="N483" s="34" t="str"/>
      <x:c r="O483" s="34" t="str"/>
      <x:c r="P483" s="34" t="str"/>
      <x:c r="Q483" s="34" t="str"/>
    </x:row>
    <x:row r="484">
      <x:c r="A484" s="34" t="str">
        <x:v>M5-HIT-0479</x:v>
      </x:c>
      <x:c r="B484" s="34" t="str"/>
      <x:c r="C484" s="34" t="str"/>
      <x:c r="D484" s="34" t="str"/>
      <x:c r="E484" s="34" t="str"/>
      <x:c r="F484" s="34" t="str"/>
      <x:c r="G484" s="34" t="str"/>
      <x:c r="H484" s="34" t="str"/>
      <x:c r="I484" s="34" t="str"/>
      <x:c r="J484" s="34" t="str"/>
      <x:c r="K484" s="34" t="str"/>
      <x:c r="L484" s="34" t="str"/>
      <x:c r="M484" s="34" t="str"/>
      <x:c r="N484" s="34" t="str"/>
      <x:c r="O484" s="34" t="str"/>
      <x:c r="P484" s="34" t="str"/>
      <x:c r="Q484" s="34" t="str"/>
    </x:row>
    <x:row r="485">
      <x:c r="A485" s="34" t="str">
        <x:v>M5-HIT-0480</x:v>
      </x:c>
      <x:c r="B485" s="34" t="str"/>
      <x:c r="C485" s="34" t="str"/>
      <x:c r="D485" s="34" t="str"/>
      <x:c r="E485" s="34" t="str"/>
      <x:c r="F485" s="34" t="str"/>
      <x:c r="G485" s="34" t="str"/>
      <x:c r="H485" s="34" t="str"/>
      <x:c r="I485" s="34" t="str"/>
      <x:c r="J485" s="34" t="str"/>
      <x:c r="K485" s="34" t="str"/>
      <x:c r="L485" s="34" t="str"/>
      <x:c r="M485" s="34" t="str"/>
      <x:c r="N485" s="34" t="str"/>
      <x:c r="O485" s="34" t="str"/>
      <x:c r="P485" s="34" t="str"/>
      <x:c r="Q485" s="34" t="str"/>
    </x:row>
    <x:row r="486">
      <x:c r="A486" s="34" t="str">
        <x:v>M5-HIT-0481</x:v>
      </x:c>
      <x:c r="B486" s="34" t="str"/>
      <x:c r="C486" s="34" t="str"/>
      <x:c r="D486" s="34" t="str"/>
      <x:c r="E486" s="34" t="str"/>
      <x:c r="F486" s="34" t="str"/>
      <x:c r="G486" s="34" t="str"/>
      <x:c r="H486" s="34" t="str"/>
      <x:c r="I486" s="34" t="str"/>
      <x:c r="J486" s="34" t="str"/>
      <x:c r="K486" s="34" t="str"/>
      <x:c r="L486" s="34" t="str"/>
      <x:c r="M486" s="34" t="str"/>
      <x:c r="N486" s="34" t="str"/>
      <x:c r="O486" s="34" t="str"/>
      <x:c r="P486" s="34" t="str"/>
      <x:c r="Q486" s="34" t="str"/>
    </x:row>
    <x:row r="487">
      <x:c r="A487" s="34" t="str">
        <x:v>M5-HIT-0482</x:v>
      </x:c>
      <x:c r="B487" s="34" t="str"/>
      <x:c r="C487" s="34" t="str"/>
      <x:c r="D487" s="34" t="str"/>
      <x:c r="E487" s="34" t="str"/>
      <x:c r="F487" s="34" t="str"/>
      <x:c r="G487" s="34" t="str"/>
      <x:c r="H487" s="34" t="str"/>
      <x:c r="I487" s="34" t="str"/>
      <x:c r="J487" s="34" t="str"/>
      <x:c r="K487" s="34" t="str"/>
      <x:c r="L487" s="34" t="str"/>
      <x:c r="M487" s="34" t="str"/>
      <x:c r="N487" s="34" t="str"/>
      <x:c r="O487" s="34" t="str"/>
      <x:c r="P487" s="34" t="str"/>
      <x:c r="Q487" s="34" t="str"/>
    </x:row>
    <x:row r="488">
      <x:c r="A488" s="34" t="str">
        <x:v>M5-HIT-0483</x:v>
      </x:c>
      <x:c r="B488" s="34" t="str"/>
      <x:c r="C488" s="34" t="str"/>
      <x:c r="D488" s="34" t="str"/>
      <x:c r="E488" s="34" t="str"/>
      <x:c r="F488" s="34" t="str"/>
      <x:c r="G488" s="34" t="str"/>
      <x:c r="H488" s="34" t="str"/>
      <x:c r="I488" s="34" t="str"/>
      <x:c r="J488" s="34" t="str"/>
      <x:c r="K488" s="34" t="str"/>
      <x:c r="L488" s="34" t="str"/>
      <x:c r="M488" s="34" t="str"/>
      <x:c r="N488" s="34" t="str"/>
      <x:c r="O488" s="34" t="str"/>
      <x:c r="P488" s="34" t="str"/>
      <x:c r="Q488" s="34" t="str"/>
    </x:row>
    <x:row r="489">
      <x:c r="A489" s="34" t="str">
        <x:v>M5-HIT-0484</x:v>
      </x:c>
      <x:c r="B489" s="34" t="str"/>
      <x:c r="C489" s="34" t="str"/>
      <x:c r="D489" s="34" t="str"/>
      <x:c r="E489" s="34" t="str"/>
      <x:c r="F489" s="34" t="str"/>
      <x:c r="G489" s="34" t="str"/>
      <x:c r="H489" s="34" t="str"/>
      <x:c r="I489" s="34" t="str"/>
      <x:c r="J489" s="34" t="str"/>
      <x:c r="K489" s="34" t="str"/>
      <x:c r="L489" s="34" t="str"/>
      <x:c r="M489" s="34" t="str"/>
      <x:c r="N489" s="34" t="str"/>
      <x:c r="O489" s="34" t="str"/>
      <x:c r="P489" s="34" t="str"/>
      <x:c r="Q489" s="34" t="str"/>
    </x:row>
    <x:row r="490">
      <x:c r="A490" s="34" t="str">
        <x:v>M5-HIT-0485</x:v>
      </x:c>
      <x:c r="B490" s="34" t="str"/>
      <x:c r="C490" s="34" t="str"/>
      <x:c r="D490" s="34" t="str"/>
      <x:c r="E490" s="34" t="str"/>
      <x:c r="F490" s="34" t="str"/>
      <x:c r="G490" s="34" t="str"/>
      <x:c r="H490" s="34" t="str"/>
      <x:c r="I490" s="34" t="str"/>
      <x:c r="J490" s="34" t="str"/>
      <x:c r="K490" s="34" t="str"/>
      <x:c r="L490" s="34" t="str"/>
      <x:c r="M490" s="34" t="str"/>
      <x:c r="N490" s="34" t="str"/>
      <x:c r="O490" s="34" t="str"/>
      <x:c r="P490" s="34" t="str"/>
      <x:c r="Q490" s="34" t="str"/>
    </x:row>
    <x:row r="491">
      <x:c r="A491" s="34" t="str">
        <x:v>M5-HIT-0486</x:v>
      </x:c>
      <x:c r="B491" s="34" t="str"/>
      <x:c r="C491" s="34" t="str"/>
      <x:c r="D491" s="34" t="str"/>
      <x:c r="E491" s="34" t="str"/>
      <x:c r="F491" s="34" t="str"/>
      <x:c r="G491" s="34" t="str"/>
      <x:c r="H491" s="34" t="str"/>
      <x:c r="I491" s="34" t="str"/>
      <x:c r="J491" s="34" t="str"/>
      <x:c r="K491" s="34" t="str"/>
      <x:c r="L491" s="34" t="str"/>
      <x:c r="M491" s="34" t="str"/>
      <x:c r="N491" s="34" t="str"/>
      <x:c r="O491" s="34" t="str"/>
      <x:c r="P491" s="34" t="str"/>
      <x:c r="Q491" s="34" t="str"/>
    </x:row>
    <x:row r="492">
      <x:c r="A492" s="34" t="str">
        <x:v>M5-HIT-0487</x:v>
      </x:c>
      <x:c r="B492" s="34" t="str"/>
      <x:c r="C492" s="34" t="str"/>
      <x:c r="D492" s="34" t="str"/>
      <x:c r="E492" s="34" t="str"/>
      <x:c r="F492" s="34" t="str"/>
      <x:c r="G492" s="34" t="str"/>
      <x:c r="H492" s="34" t="str"/>
      <x:c r="I492" s="34" t="str"/>
      <x:c r="J492" s="34" t="str"/>
      <x:c r="K492" s="34" t="str"/>
      <x:c r="L492" s="34" t="str"/>
      <x:c r="M492" s="34" t="str"/>
      <x:c r="N492" s="34" t="str"/>
      <x:c r="O492" s="34" t="str"/>
      <x:c r="P492" s="34" t="str"/>
      <x:c r="Q492" s="34" t="str"/>
    </x:row>
    <x:row r="493">
      <x:c r="A493" s="34" t="str">
        <x:v>M5-HIT-0488</x:v>
      </x:c>
      <x:c r="B493" s="34" t="str"/>
      <x:c r="C493" s="34" t="str"/>
      <x:c r="D493" s="34" t="str"/>
      <x:c r="E493" s="34" t="str"/>
      <x:c r="F493" s="34" t="str"/>
      <x:c r="G493" s="34" t="str"/>
      <x:c r="H493" s="34" t="str"/>
      <x:c r="I493" s="34" t="str"/>
      <x:c r="J493" s="34" t="str"/>
      <x:c r="K493" s="34" t="str"/>
      <x:c r="L493" s="34" t="str"/>
      <x:c r="M493" s="34" t="str"/>
      <x:c r="N493" s="34" t="str"/>
      <x:c r="O493" s="34" t="str"/>
      <x:c r="P493" s="34" t="str"/>
      <x:c r="Q493" s="34" t="str"/>
    </x:row>
    <x:row r="494">
      <x:c r="A494" s="34" t="str">
        <x:v>M5-HIT-0489</x:v>
      </x:c>
      <x:c r="B494" s="34" t="str"/>
      <x:c r="C494" s="34" t="str"/>
      <x:c r="D494" s="34" t="str"/>
      <x:c r="E494" s="34" t="str"/>
      <x:c r="F494" s="34" t="str"/>
      <x:c r="G494" s="34" t="str"/>
      <x:c r="H494" s="34" t="str"/>
      <x:c r="I494" s="34" t="str"/>
      <x:c r="J494" s="34" t="str"/>
      <x:c r="K494" s="34" t="str"/>
      <x:c r="L494" s="34" t="str"/>
      <x:c r="M494" s="34" t="str"/>
      <x:c r="N494" s="34" t="str"/>
      <x:c r="O494" s="34" t="str"/>
      <x:c r="P494" s="34" t="str"/>
      <x:c r="Q494" s="34" t="str"/>
    </x:row>
    <x:row r="495">
      <x:c r="A495" s="34" t="str">
        <x:v>M5-HIT-0490</x:v>
      </x:c>
      <x:c r="B495" s="34" t="str"/>
      <x:c r="C495" s="34" t="str"/>
      <x:c r="D495" s="34" t="str"/>
      <x:c r="E495" s="34" t="str"/>
      <x:c r="F495" s="34" t="str"/>
      <x:c r="G495" s="34" t="str"/>
      <x:c r="H495" s="34" t="str"/>
      <x:c r="I495" s="34" t="str"/>
      <x:c r="J495" s="34" t="str"/>
      <x:c r="K495" s="34" t="str"/>
      <x:c r="L495" s="34" t="str"/>
      <x:c r="M495" s="34" t="str"/>
      <x:c r="N495" s="34" t="str"/>
      <x:c r="O495" s="34" t="str"/>
      <x:c r="P495" s="34" t="str"/>
      <x:c r="Q495" s="34" t="str"/>
    </x:row>
    <x:row r="496">
      <x:c r="A496" s="34" t="str">
        <x:v>M5-HIT-0491</x:v>
      </x:c>
      <x:c r="B496" s="34" t="str"/>
      <x:c r="C496" s="34" t="str"/>
      <x:c r="D496" s="34" t="str"/>
      <x:c r="E496" s="34" t="str"/>
      <x:c r="F496" s="34" t="str"/>
      <x:c r="G496" s="34" t="str"/>
      <x:c r="H496" s="34" t="str"/>
      <x:c r="I496" s="34" t="str"/>
      <x:c r="J496" s="34" t="str"/>
      <x:c r="K496" s="34" t="str"/>
      <x:c r="L496" s="34" t="str"/>
      <x:c r="M496" s="34" t="str"/>
      <x:c r="N496" s="34" t="str"/>
      <x:c r="O496" s="34" t="str"/>
      <x:c r="P496" s="34" t="str"/>
      <x:c r="Q496" s="34" t="str"/>
    </x:row>
    <x:row r="497">
      <x:c r="A497" s="34" t="str">
        <x:v>M5-HIT-0492</x:v>
      </x:c>
      <x:c r="B497" s="34" t="str"/>
      <x:c r="C497" s="34" t="str"/>
      <x:c r="D497" s="34" t="str"/>
      <x:c r="E497" s="34" t="str"/>
      <x:c r="F497" s="34" t="str"/>
      <x:c r="G497" s="34" t="str"/>
      <x:c r="H497" s="34" t="str"/>
      <x:c r="I497" s="34" t="str"/>
      <x:c r="J497" s="34" t="str"/>
      <x:c r="K497" s="34" t="str"/>
      <x:c r="L497" s="34" t="str"/>
      <x:c r="M497" s="34" t="str"/>
      <x:c r="N497" s="34" t="str"/>
      <x:c r="O497" s="34" t="str"/>
      <x:c r="P497" s="34" t="str"/>
      <x:c r="Q497" s="34" t="str"/>
    </x:row>
    <x:row r="498">
      <x:c r="A498" s="34" t="str">
        <x:v>M5-HIT-0493</x:v>
      </x:c>
      <x:c r="B498" s="34" t="str"/>
      <x:c r="C498" s="34" t="str"/>
      <x:c r="D498" s="34" t="str"/>
      <x:c r="E498" s="34" t="str"/>
      <x:c r="F498" s="34" t="str"/>
      <x:c r="G498" s="34" t="str"/>
      <x:c r="H498" s="34" t="str"/>
      <x:c r="I498" s="34" t="str"/>
      <x:c r="J498" s="34" t="str"/>
      <x:c r="K498" s="34" t="str"/>
      <x:c r="L498" s="34" t="str"/>
      <x:c r="M498" s="34" t="str"/>
      <x:c r="N498" s="34" t="str"/>
      <x:c r="O498" s="34" t="str"/>
      <x:c r="P498" s="34" t="str"/>
      <x:c r="Q498" s="34" t="str"/>
    </x:row>
    <x:row r="499">
      <x:c r="A499" s="34" t="str">
        <x:v>M5-HIT-0494</x:v>
      </x:c>
      <x:c r="B499" s="34" t="str"/>
      <x:c r="C499" s="34" t="str"/>
      <x:c r="D499" s="34" t="str"/>
      <x:c r="E499" s="34" t="str"/>
      <x:c r="F499" s="34" t="str"/>
      <x:c r="G499" s="34" t="str"/>
      <x:c r="H499" s="34" t="str"/>
      <x:c r="I499" s="34" t="str"/>
      <x:c r="J499" s="34" t="str"/>
      <x:c r="K499" s="34" t="str"/>
      <x:c r="L499" s="34" t="str"/>
      <x:c r="M499" s="34" t="str"/>
      <x:c r="N499" s="34" t="str"/>
      <x:c r="O499" s="34" t="str"/>
      <x:c r="P499" s="34" t="str"/>
      <x:c r="Q499" s="34" t="str"/>
    </x:row>
    <x:row r="500">
      <x:c r="A500" s="34" t="str">
        <x:v>M5-HIT-0495</x:v>
      </x:c>
      <x:c r="B500" s="34" t="str"/>
      <x:c r="C500" s="34" t="str"/>
      <x:c r="D500" s="34" t="str"/>
      <x:c r="E500" s="34" t="str"/>
      <x:c r="F500" s="34" t="str"/>
      <x:c r="G500" s="34" t="str"/>
      <x:c r="H500" s="34" t="str"/>
      <x:c r="I500" s="34" t="str"/>
      <x:c r="J500" s="34" t="str"/>
      <x:c r="K500" s="34" t="str"/>
      <x:c r="L500" s="34" t="str"/>
      <x:c r="M500" s="34" t="str"/>
      <x:c r="N500" s="34" t="str"/>
      <x:c r="O500" s="34" t="str"/>
      <x:c r="P500" s="34" t="str"/>
      <x:c r="Q500" s="34" t="str"/>
    </x:row>
    <x:row r="501">
      <x:c r="A501" s="34" t="str">
        <x:v>M5-HIT-0496</x:v>
      </x:c>
      <x:c r="B501" s="34" t="str"/>
      <x:c r="C501" s="34" t="str"/>
      <x:c r="D501" s="34" t="str"/>
      <x:c r="E501" s="34" t="str"/>
      <x:c r="F501" s="34" t="str"/>
      <x:c r="G501" s="34" t="str"/>
      <x:c r="H501" s="34" t="str"/>
      <x:c r="I501" s="34" t="str"/>
      <x:c r="J501" s="34" t="str"/>
      <x:c r="K501" s="34" t="str"/>
      <x:c r="L501" s="34" t="str"/>
      <x:c r="M501" s="34" t="str"/>
      <x:c r="N501" s="34" t="str"/>
      <x:c r="O501" s="34" t="str"/>
      <x:c r="P501" s="34" t="str"/>
      <x:c r="Q501" s="34" t="str"/>
    </x:row>
    <x:row r="502">
      <x:c r="A502" s="34" t="str">
        <x:v>M5-HIT-0497</x:v>
      </x:c>
      <x:c r="B502" s="34" t="str"/>
      <x:c r="C502" s="34" t="str"/>
      <x:c r="D502" s="34" t="str"/>
      <x:c r="E502" s="34" t="str"/>
      <x:c r="F502" s="34" t="str"/>
      <x:c r="G502" s="34" t="str"/>
      <x:c r="H502" s="34" t="str"/>
      <x:c r="I502" s="34" t="str"/>
      <x:c r="J502" s="34" t="str"/>
      <x:c r="K502" s="34" t="str"/>
      <x:c r="L502" s="34" t="str"/>
      <x:c r="M502" s="34" t="str"/>
      <x:c r="N502" s="34" t="str"/>
      <x:c r="O502" s="34" t="str"/>
      <x:c r="P502" s="34" t="str"/>
      <x:c r="Q502" s="34" t="str"/>
    </x:row>
    <x:row r="503">
      <x:c r="A503" s="34" t="str">
        <x:v>M5-HIT-0498</x:v>
      </x:c>
      <x:c r="B503" s="34" t="str"/>
      <x:c r="C503" s="34" t="str"/>
      <x:c r="D503" s="34" t="str"/>
      <x:c r="E503" s="34" t="str"/>
      <x:c r="F503" s="34" t="str"/>
      <x:c r="G503" s="34" t="str"/>
      <x:c r="H503" s="34" t="str"/>
      <x:c r="I503" s="34" t="str"/>
      <x:c r="J503" s="34" t="str"/>
      <x:c r="K503" s="34" t="str"/>
      <x:c r="L503" s="34" t="str"/>
      <x:c r="M503" s="34" t="str"/>
      <x:c r="N503" s="34" t="str"/>
      <x:c r="O503" s="34" t="str"/>
      <x:c r="P503" s="34" t="str"/>
      <x:c r="Q503" s="34" t="str"/>
    </x:row>
    <x:row r="504">
      <x:c r="A504" s="34" t="str">
        <x:v>M5-HIT-0499</x:v>
      </x:c>
      <x:c r="B504" s="34" t="str"/>
      <x:c r="C504" s="34" t="str"/>
      <x:c r="D504" s="34" t="str"/>
      <x:c r="E504" s="34" t="str"/>
      <x:c r="F504" s="34" t="str"/>
      <x:c r="G504" s="34" t="str"/>
      <x:c r="H504" s="34" t="str"/>
      <x:c r="I504" s="34" t="str"/>
      <x:c r="J504" s="34" t="str"/>
      <x:c r="K504" s="34" t="str"/>
      <x:c r="L504" s="34" t="str"/>
      <x:c r="M504" s="34" t="str"/>
      <x:c r="N504" s="34" t="str"/>
      <x:c r="O504" s="34" t="str"/>
      <x:c r="P504" s="34" t="str"/>
      <x:c r="Q504" s="34" t="str"/>
    </x:row>
    <x:row r="505">
      <x:c r="A505" s="34" t="str">
        <x:v>M5-HIT-0500</x:v>
      </x:c>
      <x:c r="B505" s="34" t="str"/>
      <x:c r="C505" s="34" t="str"/>
      <x:c r="D505" s="34" t="str"/>
      <x:c r="E505" s="34" t="str"/>
      <x:c r="F505" s="34" t="str"/>
      <x:c r="G505" s="34" t="str"/>
      <x:c r="H505" s="34" t="str"/>
      <x:c r="I505" s="34" t="str"/>
      <x:c r="J505" s="34" t="str"/>
      <x:c r="K505" s="34" t="str"/>
      <x:c r="L505" s="34" t="str"/>
      <x:c r="M505" s="34" t="str"/>
      <x:c r="N505" s="34" t="str"/>
      <x:c r="O505" s="34" t="str"/>
      <x:c r="P505" s="34" t="str"/>
      <x:c r="Q505" s="34" t="str"/>
    </x:row>
    <x:row r="506">
      <x:c r="A506" s="34" t="str">
        <x:v>M5-HIT-0501</x:v>
      </x:c>
      <x:c r="B506" s="34" t="str"/>
      <x:c r="C506" s="34" t="str"/>
      <x:c r="D506" s="34" t="str"/>
      <x:c r="E506" s="34" t="str"/>
      <x:c r="F506" s="34" t="str"/>
      <x:c r="G506" s="34" t="str"/>
      <x:c r="H506" s="34" t="str"/>
      <x:c r="I506" s="34" t="str"/>
      <x:c r="J506" s="34" t="str"/>
      <x:c r="K506" s="34" t="str"/>
      <x:c r="L506" s="34" t="str"/>
      <x:c r="M506" s="34" t="str"/>
      <x:c r="N506" s="34" t="str"/>
      <x:c r="O506" s="34" t="str"/>
      <x:c r="P506" s="34" t="str"/>
      <x:c r="Q506" s="34" t="str"/>
    </x:row>
    <x:row r="507">
      <x:c r="A507" s="34" t="str">
        <x:v>M5-HIT-0502</x:v>
      </x:c>
      <x:c r="B507" s="34" t="str"/>
      <x:c r="C507" s="34" t="str"/>
      <x:c r="D507" s="34" t="str"/>
      <x:c r="E507" s="34" t="str"/>
      <x:c r="F507" s="34" t="str"/>
      <x:c r="G507" s="34" t="str"/>
      <x:c r="H507" s="34" t="str"/>
      <x:c r="I507" s="34" t="str"/>
      <x:c r="J507" s="34" t="str"/>
      <x:c r="K507" s="34" t="str"/>
      <x:c r="L507" s="34" t="str"/>
      <x:c r="M507" s="34" t="str"/>
      <x:c r="N507" s="34" t="str"/>
      <x:c r="O507" s="34" t="str"/>
      <x:c r="P507" s="34" t="str"/>
      <x:c r="Q507" s="34" t="str"/>
    </x:row>
    <x:row r="508">
      <x:c r="A508" s="34" t="str">
        <x:v>M5-HIT-0503</x:v>
      </x:c>
      <x:c r="B508" s="34" t="str"/>
      <x:c r="C508" s="34" t="str"/>
      <x:c r="D508" s="34" t="str"/>
      <x:c r="E508" s="34" t="str"/>
      <x:c r="F508" s="34" t="str"/>
      <x:c r="G508" s="34" t="str"/>
      <x:c r="H508" s="34" t="str"/>
      <x:c r="I508" s="34" t="str"/>
      <x:c r="J508" s="34" t="str"/>
      <x:c r="K508" s="34" t="str"/>
      <x:c r="L508" s="34" t="str"/>
      <x:c r="M508" s="34" t="str"/>
      <x:c r="N508" s="34" t="str"/>
      <x:c r="O508" s="34" t="str"/>
      <x:c r="P508" s="34" t="str"/>
      <x:c r="Q508" s="34" t="str"/>
    </x:row>
    <x:row r="509">
      <x:c r="A509" s="34" t="str">
        <x:v>M5-HIT-0504</x:v>
      </x:c>
      <x:c r="B509" s="34" t="str"/>
      <x:c r="C509" s="34" t="str"/>
      <x:c r="D509" s="34" t="str"/>
      <x:c r="E509" s="34" t="str"/>
      <x:c r="F509" s="34" t="str"/>
      <x:c r="G509" s="34" t="str"/>
      <x:c r="H509" s="34" t="str"/>
      <x:c r="I509" s="34" t="str"/>
      <x:c r="J509" s="34" t="str"/>
      <x:c r="K509" s="34" t="str"/>
      <x:c r="L509" s="34" t="str"/>
      <x:c r="M509" s="34" t="str"/>
      <x:c r="N509" s="34" t="str"/>
      <x:c r="O509" s="34" t="str"/>
      <x:c r="P509" s="34" t="str"/>
      <x:c r="Q509" s="34" t="str"/>
    </x:row>
    <x:row r="510">
      <x:c r="A510" s="34" t="str">
        <x:v>M5-HIT-0505</x:v>
      </x:c>
      <x:c r="B510" s="34" t="str"/>
      <x:c r="C510" s="34" t="str"/>
      <x:c r="D510" s="34" t="str"/>
      <x:c r="E510" s="34" t="str"/>
      <x:c r="F510" s="34" t="str"/>
      <x:c r="G510" s="34" t="str"/>
      <x:c r="H510" s="34" t="str"/>
      <x:c r="I510" s="34" t="str"/>
      <x:c r="J510" s="34" t="str"/>
      <x:c r="K510" s="34" t="str"/>
      <x:c r="L510" s="34" t="str"/>
      <x:c r="M510" s="34" t="str"/>
      <x:c r="N510" s="34" t="str"/>
      <x:c r="O510" s="34" t="str"/>
      <x:c r="P510" s="34" t="str"/>
      <x:c r="Q510" s="34" t="str"/>
    </x:row>
    <x:row r="511">
      <x:c r="A511" s="34" t="str">
        <x:v>M5-HIT-0506</x:v>
      </x:c>
      <x:c r="B511" s="34" t="str"/>
      <x:c r="C511" s="34" t="str"/>
      <x:c r="D511" s="34" t="str"/>
      <x:c r="E511" s="34" t="str"/>
      <x:c r="F511" s="34" t="str"/>
      <x:c r="G511" s="34" t="str"/>
      <x:c r="H511" s="34" t="str"/>
      <x:c r="I511" s="34" t="str"/>
      <x:c r="J511" s="34" t="str"/>
      <x:c r="K511" s="34" t="str"/>
      <x:c r="L511" s="34" t="str"/>
      <x:c r="M511" s="34" t="str"/>
      <x:c r="N511" s="34" t="str"/>
      <x:c r="O511" s="34" t="str"/>
      <x:c r="P511" s="34" t="str"/>
      <x:c r="Q511" s="34" t="str"/>
    </x:row>
    <x:row r="512">
      <x:c r="A512" s="34" t="str">
        <x:v>M5-HIT-0507</x:v>
      </x:c>
      <x:c r="B512" s="34" t="str"/>
      <x:c r="C512" s="34" t="str"/>
      <x:c r="D512" s="34" t="str"/>
      <x:c r="E512" s="34" t="str"/>
      <x:c r="F512" s="34" t="str"/>
      <x:c r="G512" s="34" t="str"/>
      <x:c r="H512" s="34" t="str"/>
      <x:c r="I512" s="34" t="str"/>
      <x:c r="J512" s="34" t="str"/>
      <x:c r="K512" s="34" t="str"/>
      <x:c r="L512" s="34" t="str"/>
      <x:c r="M512" s="34" t="str"/>
      <x:c r="N512" s="34" t="str"/>
      <x:c r="O512" s="34" t="str"/>
      <x:c r="P512" s="34" t="str"/>
      <x:c r="Q512" s="34" t="str"/>
    </x:row>
    <x:row r="513">
      <x:c r="A513" s="34" t="str">
        <x:v>M5-HIT-0508</x:v>
      </x:c>
      <x:c r="B513" s="34" t="str"/>
      <x:c r="C513" s="34" t="str"/>
      <x:c r="D513" s="34" t="str"/>
      <x:c r="E513" s="34" t="str"/>
      <x:c r="F513" s="34" t="str"/>
      <x:c r="G513" s="34" t="str"/>
      <x:c r="H513" s="34" t="str"/>
      <x:c r="I513" s="34" t="str"/>
      <x:c r="J513" s="34" t="str"/>
      <x:c r="K513" s="34" t="str"/>
      <x:c r="L513" s="34" t="str"/>
      <x:c r="M513" s="34" t="str"/>
      <x:c r="N513" s="34" t="str"/>
      <x:c r="O513" s="34" t="str"/>
      <x:c r="P513" s="34" t="str"/>
      <x:c r="Q513" s="34" t="str"/>
    </x:row>
    <x:row r="514">
      <x:c r="A514" s="34" t="str">
        <x:v>M5-HIT-0509</x:v>
      </x:c>
      <x:c r="B514" s="34" t="str"/>
      <x:c r="C514" s="34" t="str"/>
      <x:c r="D514" s="34" t="str"/>
      <x:c r="E514" s="34" t="str"/>
      <x:c r="F514" s="34" t="str"/>
      <x:c r="G514" s="34" t="str"/>
      <x:c r="H514" s="34" t="str"/>
      <x:c r="I514" s="34" t="str"/>
      <x:c r="J514" s="34" t="str"/>
      <x:c r="K514" s="34" t="str"/>
      <x:c r="L514" s="34" t="str"/>
      <x:c r="M514" s="34" t="str"/>
      <x:c r="N514" s="34" t="str"/>
      <x:c r="O514" s="34" t="str"/>
      <x:c r="P514" s="34" t="str"/>
      <x:c r="Q514" s="34" t="str"/>
    </x:row>
    <x:row r="515">
      <x:c r="A515" s="34" t="str">
        <x:v>M5-HIT-0510</x:v>
      </x:c>
      <x:c r="B515" s="34" t="str"/>
      <x:c r="C515" s="34" t="str"/>
      <x:c r="D515" s="34" t="str"/>
      <x:c r="E515" s="34" t="str"/>
      <x:c r="F515" s="34" t="str"/>
      <x:c r="G515" s="34" t="str"/>
      <x:c r="H515" s="34" t="str"/>
      <x:c r="I515" s="34" t="str"/>
      <x:c r="J515" s="34" t="str"/>
      <x:c r="K515" s="34" t="str"/>
      <x:c r="L515" s="34" t="str"/>
      <x:c r="M515" s="34" t="str"/>
      <x:c r="N515" s="34" t="str"/>
      <x:c r="O515" s="34" t="str"/>
      <x:c r="P515" s="34" t="str"/>
      <x:c r="Q515" s="34" t="str"/>
    </x:row>
    <x:row r="516">
      <x:c r="A516" s="34" t="str">
        <x:v>M5-HIT-0511</x:v>
      </x:c>
      <x:c r="B516" s="34" t="str"/>
      <x:c r="C516" s="34" t="str"/>
      <x:c r="D516" s="34" t="str"/>
      <x:c r="E516" s="34" t="str"/>
      <x:c r="F516" s="34" t="str"/>
      <x:c r="G516" s="34" t="str"/>
      <x:c r="H516" s="34" t="str"/>
      <x:c r="I516" s="34" t="str"/>
      <x:c r="J516" s="34" t="str"/>
      <x:c r="K516" s="34" t="str"/>
      <x:c r="L516" s="34" t="str"/>
      <x:c r="M516" s="34" t="str"/>
      <x:c r="N516" s="34" t="str"/>
      <x:c r="O516" s="34" t="str"/>
      <x:c r="P516" s="34" t="str"/>
      <x:c r="Q516" s="34" t="str"/>
    </x:row>
    <x:row r="517">
      <x:c r="A517" s="34" t="str">
        <x:v>M5-HIT-0512</x:v>
      </x:c>
      <x:c r="B517" s="34" t="str"/>
      <x:c r="C517" s="34" t="str"/>
      <x:c r="D517" s="34" t="str"/>
      <x:c r="E517" s="34" t="str"/>
      <x:c r="F517" s="34" t="str"/>
      <x:c r="G517" s="34" t="str"/>
      <x:c r="H517" s="34" t="str"/>
      <x:c r="I517" s="34" t="str"/>
      <x:c r="J517" s="34" t="str"/>
      <x:c r="K517" s="34" t="str"/>
      <x:c r="L517" s="34" t="str"/>
      <x:c r="M517" s="34" t="str"/>
      <x:c r="N517" s="34" t="str"/>
      <x:c r="O517" s="34" t="str"/>
      <x:c r="P517" s="34" t="str"/>
      <x:c r="Q517" s="34" t="str"/>
    </x:row>
    <x:row r="518">
      <x:c r="A518" s="34" t="str">
        <x:v>M5-HIT-0513</x:v>
      </x:c>
      <x:c r="B518" s="34" t="str"/>
      <x:c r="C518" s="34" t="str"/>
      <x:c r="D518" s="34" t="str"/>
      <x:c r="E518" s="34" t="str"/>
      <x:c r="F518" s="34" t="str"/>
      <x:c r="G518" s="34" t="str"/>
      <x:c r="H518" s="34" t="str"/>
      <x:c r="I518" s="34" t="str"/>
      <x:c r="J518" s="34" t="str"/>
      <x:c r="K518" s="34" t="str"/>
      <x:c r="L518" s="34" t="str"/>
      <x:c r="M518" s="34" t="str"/>
      <x:c r="N518" s="34" t="str"/>
      <x:c r="O518" s="34" t="str"/>
      <x:c r="P518" s="34" t="str"/>
      <x:c r="Q518" s="34" t="str"/>
    </x:row>
    <x:row r="519">
      <x:c r="A519" s="34" t="str">
        <x:v>M5-HIT-0514</x:v>
      </x:c>
      <x:c r="B519" s="34" t="str"/>
      <x:c r="C519" s="34" t="str"/>
      <x:c r="D519" s="34" t="str"/>
      <x:c r="E519" s="34" t="str"/>
      <x:c r="F519" s="34" t="str"/>
      <x:c r="G519" s="34" t="str"/>
      <x:c r="H519" s="34" t="str"/>
      <x:c r="I519" s="34" t="str"/>
      <x:c r="J519" s="34" t="str"/>
      <x:c r="K519" s="34" t="str"/>
      <x:c r="L519" s="34" t="str"/>
      <x:c r="M519" s="34" t="str"/>
      <x:c r="N519" s="34" t="str"/>
      <x:c r="O519" s="34" t="str"/>
      <x:c r="P519" s="34" t="str"/>
      <x:c r="Q519" s="34" t="str"/>
    </x:row>
    <x:row r="520">
      <x:c r="A520" s="34" t="str">
        <x:v>M5-HIT-0515</x:v>
      </x:c>
      <x:c r="B520" s="34" t="str"/>
      <x:c r="C520" s="34" t="str"/>
      <x:c r="D520" s="34" t="str"/>
      <x:c r="E520" s="34" t="str"/>
      <x:c r="F520" s="34" t="str"/>
      <x:c r="G520" s="34" t="str"/>
      <x:c r="H520" s="34" t="str"/>
      <x:c r="I520" s="34" t="str"/>
      <x:c r="J520" s="34" t="str"/>
      <x:c r="K520" s="34" t="str"/>
      <x:c r="L520" s="34" t="str"/>
      <x:c r="M520" s="34" t="str"/>
      <x:c r="N520" s="34" t="str"/>
      <x:c r="O520" s="34" t="str"/>
      <x:c r="P520" s="34" t="str"/>
      <x:c r="Q520" s="34" t="str"/>
    </x:row>
    <x:row r="521">
      <x:c r="A521" s="34" t="str">
        <x:v>M5-HIT-0516</x:v>
      </x:c>
      <x:c r="B521" s="34" t="str"/>
      <x:c r="C521" s="34" t="str"/>
      <x:c r="D521" s="34" t="str"/>
      <x:c r="E521" s="34" t="str"/>
      <x:c r="F521" s="34" t="str"/>
      <x:c r="G521" s="34" t="str"/>
      <x:c r="H521" s="34" t="str"/>
      <x:c r="I521" s="34" t="str"/>
      <x:c r="J521" s="34" t="str"/>
      <x:c r="K521" s="34" t="str"/>
      <x:c r="L521" s="34" t="str"/>
      <x:c r="M521" s="34" t="str"/>
      <x:c r="N521" s="34" t="str"/>
      <x:c r="O521" s="34" t="str"/>
      <x:c r="P521" s="34" t="str"/>
      <x:c r="Q521" s="34" t="str"/>
    </x:row>
    <x:row r="522">
      <x:c r="A522" s="34" t="str">
        <x:v>M5-HIT-0517</x:v>
      </x:c>
      <x:c r="B522" s="34" t="str"/>
      <x:c r="C522" s="34" t="str"/>
      <x:c r="D522" s="34" t="str"/>
      <x:c r="E522" s="34" t="str"/>
      <x:c r="F522" s="34" t="str"/>
      <x:c r="G522" s="34" t="str"/>
      <x:c r="H522" s="34" t="str"/>
      <x:c r="I522" s="34" t="str"/>
      <x:c r="J522" s="34" t="str"/>
      <x:c r="K522" s="34" t="str"/>
      <x:c r="L522" s="34" t="str"/>
      <x:c r="M522" s="34" t="str"/>
      <x:c r="N522" s="34" t="str"/>
      <x:c r="O522" s="34" t="str"/>
      <x:c r="P522" s="34" t="str"/>
      <x:c r="Q522" s="34" t="str"/>
    </x:row>
    <x:row r="523">
      <x:c r="A523" s="34" t="str">
        <x:v>M5-HIT-0518</x:v>
      </x:c>
      <x:c r="B523" s="34" t="str"/>
      <x:c r="C523" s="34" t="str"/>
      <x:c r="D523" s="34" t="str"/>
      <x:c r="E523" s="34" t="str"/>
      <x:c r="F523" s="34" t="str"/>
      <x:c r="G523" s="34" t="str"/>
      <x:c r="H523" s="34" t="str"/>
      <x:c r="I523" s="34" t="str"/>
      <x:c r="J523" s="34" t="str"/>
      <x:c r="K523" s="34" t="str"/>
      <x:c r="L523" s="34" t="str"/>
      <x:c r="M523" s="34" t="str"/>
      <x:c r="N523" s="34" t="str"/>
      <x:c r="O523" s="34" t="str"/>
      <x:c r="P523" s="34" t="str"/>
      <x:c r="Q523" s="34" t="str"/>
    </x:row>
    <x:row r="524">
      <x:c r="A524" s="34" t="str">
        <x:v>M5-HIT-0519</x:v>
      </x:c>
      <x:c r="B524" s="34" t="str"/>
      <x:c r="C524" s="34" t="str"/>
      <x:c r="D524" s="34" t="str"/>
      <x:c r="E524" s="34" t="str"/>
      <x:c r="F524" s="34" t="str"/>
      <x:c r="G524" s="34" t="str"/>
      <x:c r="H524" s="34" t="str"/>
      <x:c r="I524" s="34" t="str"/>
      <x:c r="J524" s="34" t="str"/>
      <x:c r="K524" s="34" t="str"/>
      <x:c r="L524" s="34" t="str"/>
      <x:c r="M524" s="34" t="str"/>
      <x:c r="N524" s="34" t="str"/>
      <x:c r="O524" s="34" t="str"/>
      <x:c r="P524" s="34" t="str"/>
      <x:c r="Q524" s="34" t="str"/>
    </x:row>
    <x:row r="525">
      <x:c r="A525" s="34" t="str">
        <x:v>M5-HIT-0520</x:v>
      </x:c>
      <x:c r="B525" s="34" t="str"/>
      <x:c r="C525" s="34" t="str"/>
      <x:c r="D525" s="34" t="str"/>
      <x:c r="E525" s="34" t="str"/>
      <x:c r="F525" s="34" t="str"/>
      <x:c r="G525" s="34" t="str"/>
      <x:c r="H525" s="34" t="str"/>
      <x:c r="I525" s="34" t="str"/>
      <x:c r="J525" s="34" t="str"/>
      <x:c r="K525" s="34" t="str"/>
      <x:c r="L525" s="34" t="str"/>
      <x:c r="M525" s="34" t="str"/>
      <x:c r="N525" s="34" t="str"/>
      <x:c r="O525" s="34" t="str"/>
      <x:c r="P525" s="34" t="str"/>
      <x:c r="Q525" s="34" t="str"/>
    </x:row>
    <x:row r="526">
      <x:c r="A526" s="34" t="str">
        <x:v>M5-HIT-0521</x:v>
      </x:c>
      <x:c r="B526" s="34" t="str"/>
      <x:c r="C526" s="34" t="str"/>
      <x:c r="D526" s="34" t="str"/>
      <x:c r="E526" s="34" t="str"/>
      <x:c r="F526" s="34" t="str"/>
      <x:c r="G526" s="34" t="str"/>
      <x:c r="H526" s="34" t="str"/>
      <x:c r="I526" s="34" t="str"/>
      <x:c r="J526" s="34" t="str"/>
      <x:c r="K526" s="34" t="str"/>
      <x:c r="L526" s="34" t="str"/>
      <x:c r="M526" s="34" t="str"/>
      <x:c r="N526" s="34" t="str"/>
      <x:c r="O526" s="34" t="str"/>
      <x:c r="P526" s="34" t="str"/>
      <x:c r="Q526" s="34" t="str"/>
    </x:row>
    <x:row r="527">
      <x:c r="A527" s="34" t="str">
        <x:v>M5-HIT-0522</x:v>
      </x:c>
      <x:c r="B527" s="34" t="str"/>
      <x:c r="C527" s="34" t="str"/>
      <x:c r="D527" s="34" t="str"/>
      <x:c r="E527" s="34" t="str"/>
      <x:c r="F527" s="34" t="str"/>
      <x:c r="G527" s="34" t="str"/>
      <x:c r="H527" s="34" t="str"/>
      <x:c r="I527" s="34" t="str"/>
      <x:c r="J527" s="34" t="str"/>
      <x:c r="K527" s="34" t="str"/>
      <x:c r="L527" s="34" t="str"/>
      <x:c r="M527" s="34" t="str"/>
      <x:c r="N527" s="34" t="str"/>
      <x:c r="O527" s="34" t="str"/>
      <x:c r="P527" s="34" t="str"/>
      <x:c r="Q527" s="34" t="str"/>
    </x:row>
    <x:row r="528">
      <x:c r="A528" s="34" t="str">
        <x:v>M5-HIT-0523</x:v>
      </x:c>
      <x:c r="B528" s="34" t="str"/>
      <x:c r="C528" s="34" t="str"/>
      <x:c r="D528" s="34" t="str"/>
      <x:c r="E528" s="34" t="str"/>
      <x:c r="F528" s="34" t="str"/>
      <x:c r="G528" s="34" t="str"/>
      <x:c r="H528" s="34" t="str"/>
      <x:c r="I528" s="34" t="str"/>
      <x:c r="J528" s="34" t="str"/>
      <x:c r="K528" s="34" t="str"/>
      <x:c r="L528" s="34" t="str"/>
      <x:c r="M528" s="34" t="str"/>
      <x:c r="N528" s="34" t="str"/>
      <x:c r="O528" s="34" t="str"/>
      <x:c r="P528" s="34" t="str"/>
      <x:c r="Q528" s="34" t="str"/>
    </x:row>
    <x:row r="529">
      <x:c r="A529" s="34" t="str">
        <x:v>M5-HIT-0524</x:v>
      </x:c>
      <x:c r="B529" s="34" t="str"/>
      <x:c r="C529" s="34" t="str"/>
      <x:c r="D529" s="34" t="str"/>
      <x:c r="E529" s="34" t="str"/>
      <x:c r="F529" s="34" t="str"/>
      <x:c r="G529" s="34" t="str"/>
      <x:c r="H529" s="34" t="str"/>
      <x:c r="I529" s="34" t="str"/>
      <x:c r="J529" s="34" t="str"/>
      <x:c r="K529" s="34" t="str"/>
      <x:c r="L529" s="34" t="str"/>
      <x:c r="M529" s="34" t="str"/>
      <x:c r="N529" s="34" t="str"/>
      <x:c r="O529" s="34" t="str"/>
      <x:c r="P529" s="34" t="str"/>
      <x:c r="Q529" s="34" t="str"/>
    </x:row>
    <x:row r="530">
      <x:c r="A530" s="34" t="str">
        <x:v>M5-HIT-0525</x:v>
      </x:c>
      <x:c r="B530" s="34" t="str"/>
      <x:c r="C530" s="34" t="str"/>
      <x:c r="D530" s="34" t="str"/>
      <x:c r="E530" s="34" t="str"/>
      <x:c r="F530" s="34" t="str"/>
      <x:c r="G530" s="34" t="str"/>
      <x:c r="H530" s="34" t="str"/>
      <x:c r="I530" s="34" t="str"/>
      <x:c r="J530" s="34" t="str"/>
      <x:c r="K530" s="34" t="str"/>
      <x:c r="L530" s="34" t="str"/>
      <x:c r="M530" s="34" t="str"/>
      <x:c r="N530" s="34" t="str"/>
      <x:c r="O530" s="34" t="str"/>
      <x:c r="P530" s="34" t="str"/>
      <x:c r="Q530" s="34" t="str"/>
    </x:row>
    <x:row r="531">
      <x:c r="A531" s="34" t="str">
        <x:v>M5-HIT-0526</x:v>
      </x:c>
      <x:c r="B531" s="34" t="str"/>
      <x:c r="C531" s="34" t="str"/>
      <x:c r="D531" s="34" t="str"/>
      <x:c r="E531" s="34" t="str"/>
      <x:c r="F531" s="34" t="str"/>
      <x:c r="G531" s="34" t="str"/>
      <x:c r="H531" s="34" t="str"/>
      <x:c r="I531" s="34" t="str"/>
      <x:c r="J531" s="34" t="str"/>
      <x:c r="K531" s="34" t="str"/>
      <x:c r="L531" s="34" t="str"/>
      <x:c r="M531" s="34" t="str"/>
      <x:c r="N531" s="34" t="str"/>
      <x:c r="O531" s="34" t="str"/>
      <x:c r="P531" s="34" t="str"/>
      <x:c r="Q531" s="34" t="str"/>
    </x:row>
    <x:row r="532">
      <x:c r="A532" s="34" t="str">
        <x:v>M5-HIT-0527</x:v>
      </x:c>
      <x:c r="B532" s="34" t="str"/>
      <x:c r="C532" s="34" t="str"/>
      <x:c r="D532" s="34" t="str"/>
      <x:c r="E532" s="34" t="str"/>
      <x:c r="F532" s="34" t="str"/>
      <x:c r="G532" s="34" t="str"/>
      <x:c r="H532" s="34" t="str"/>
      <x:c r="I532" s="34" t="str"/>
      <x:c r="J532" s="34" t="str"/>
      <x:c r="K532" s="34" t="str"/>
      <x:c r="L532" s="34" t="str"/>
      <x:c r="M532" s="34" t="str"/>
      <x:c r="N532" s="34" t="str"/>
      <x:c r="O532" s="34" t="str"/>
      <x:c r="P532" s="34" t="str"/>
      <x:c r="Q532" s="34" t="str"/>
    </x:row>
    <x:row r="533">
      <x:c r="A533" s="34" t="str">
        <x:v>M5-HIT-0528</x:v>
      </x:c>
      <x:c r="B533" s="34" t="str"/>
      <x:c r="C533" s="34" t="str"/>
      <x:c r="D533" s="34" t="str"/>
      <x:c r="E533" s="34" t="str"/>
      <x:c r="F533" s="34" t="str"/>
      <x:c r="G533" s="34" t="str"/>
      <x:c r="H533" s="34" t="str"/>
      <x:c r="I533" s="34" t="str"/>
      <x:c r="J533" s="34" t="str"/>
      <x:c r="K533" s="34" t="str"/>
      <x:c r="L533" s="34" t="str"/>
      <x:c r="M533" s="34" t="str"/>
      <x:c r="N533" s="34" t="str"/>
      <x:c r="O533" s="34" t="str"/>
      <x:c r="P533" s="34" t="str"/>
      <x:c r="Q533" s="34" t="str"/>
    </x:row>
    <x:row r="534">
      <x:c r="A534" s="34" t="str">
        <x:v>M5-HIT-0529</x:v>
      </x:c>
      <x:c r="B534" s="34" t="str"/>
      <x:c r="C534" s="34" t="str"/>
      <x:c r="D534" s="34" t="str"/>
      <x:c r="E534" s="34" t="str"/>
      <x:c r="F534" s="34" t="str"/>
      <x:c r="G534" s="34" t="str"/>
      <x:c r="H534" s="34" t="str"/>
      <x:c r="I534" s="34" t="str"/>
      <x:c r="J534" s="34" t="str"/>
      <x:c r="K534" s="34" t="str"/>
      <x:c r="L534" s="34" t="str"/>
      <x:c r="M534" s="34" t="str"/>
      <x:c r="N534" s="34" t="str"/>
      <x:c r="O534" s="34" t="str"/>
      <x:c r="P534" s="34" t="str"/>
      <x:c r="Q534" s="34" t="str"/>
    </x:row>
    <x:row r="535">
      <x:c r="A535" s="34" t="str">
        <x:v>M5-HIT-0530</x:v>
      </x:c>
      <x:c r="B535" s="34" t="str"/>
      <x:c r="C535" s="34" t="str"/>
      <x:c r="D535" s="34" t="str"/>
      <x:c r="E535" s="34" t="str"/>
      <x:c r="F535" s="34" t="str"/>
      <x:c r="G535" s="34" t="str"/>
      <x:c r="H535" s="34" t="str"/>
      <x:c r="I535" s="34" t="str"/>
      <x:c r="J535" s="34" t="str"/>
      <x:c r="K535" s="34" t="str"/>
      <x:c r="L535" s="34" t="str"/>
      <x:c r="M535" s="34" t="str"/>
      <x:c r="N535" s="34" t="str"/>
      <x:c r="O535" s="34" t="str"/>
      <x:c r="P535" s="34" t="str"/>
      <x:c r="Q535" s="34" t="str"/>
    </x:row>
    <x:row r="536">
      <x:c r="A536" s="34" t="str">
        <x:v>M5-HIT-0531</x:v>
      </x:c>
      <x:c r="B536" s="34" t="str"/>
      <x:c r="C536" s="34" t="str"/>
      <x:c r="D536" s="34" t="str"/>
      <x:c r="E536" s="34" t="str"/>
      <x:c r="F536" s="34" t="str"/>
      <x:c r="G536" s="34" t="str"/>
      <x:c r="H536" s="34" t="str"/>
      <x:c r="I536" s="34" t="str"/>
      <x:c r="J536" s="34" t="str"/>
      <x:c r="K536" s="34" t="str"/>
      <x:c r="L536" s="34" t="str"/>
      <x:c r="M536" s="34" t="str"/>
      <x:c r="N536" s="34" t="str"/>
      <x:c r="O536" s="34" t="str"/>
      <x:c r="P536" s="34" t="str"/>
      <x:c r="Q536" s="34" t="str"/>
    </x:row>
    <x:row r="537">
      <x:c r="A537" s="34" t="str">
        <x:v>M5-HIT-0532</x:v>
      </x:c>
      <x:c r="B537" s="34" t="str"/>
      <x:c r="C537" s="34" t="str"/>
      <x:c r="D537" s="34" t="str"/>
      <x:c r="E537" s="34" t="str"/>
      <x:c r="F537" s="34" t="str"/>
      <x:c r="G537" s="34" t="str"/>
      <x:c r="H537" s="34" t="str"/>
      <x:c r="I537" s="34" t="str"/>
      <x:c r="J537" s="34" t="str"/>
      <x:c r="K537" s="34" t="str"/>
      <x:c r="L537" s="34" t="str"/>
      <x:c r="M537" s="34" t="str"/>
      <x:c r="N537" s="34" t="str"/>
      <x:c r="O537" s="34" t="str"/>
      <x:c r="P537" s="34" t="str"/>
      <x:c r="Q537" s="34" t="str"/>
    </x:row>
    <x:row r="538">
      <x:c r="A538" s="34" t="str">
        <x:v>M5-HIT-0533</x:v>
      </x:c>
      <x:c r="B538" s="34" t="str"/>
      <x:c r="C538" s="34" t="str"/>
      <x:c r="D538" s="34" t="str"/>
      <x:c r="E538" s="34" t="str"/>
      <x:c r="F538" s="34" t="str"/>
      <x:c r="G538" s="34" t="str"/>
      <x:c r="H538" s="34" t="str"/>
      <x:c r="I538" s="34" t="str"/>
      <x:c r="J538" s="34" t="str"/>
      <x:c r="K538" s="34" t="str"/>
      <x:c r="L538" s="34" t="str"/>
      <x:c r="M538" s="34" t="str"/>
      <x:c r="N538" s="34" t="str"/>
      <x:c r="O538" s="34" t="str"/>
      <x:c r="P538" s="34" t="str"/>
      <x:c r="Q538" s="34" t="str"/>
    </x:row>
    <x:row r="539">
      <x:c r="A539" s="34" t="str">
        <x:v>M5-HIT-0534</x:v>
      </x:c>
      <x:c r="B539" s="34" t="str"/>
      <x:c r="C539" s="34" t="str"/>
      <x:c r="D539" s="34" t="str"/>
      <x:c r="E539" s="34" t="str"/>
      <x:c r="F539" s="34" t="str"/>
      <x:c r="G539" s="34" t="str"/>
      <x:c r="H539" s="34" t="str"/>
      <x:c r="I539" s="34" t="str"/>
      <x:c r="J539" s="34" t="str"/>
      <x:c r="K539" s="34" t="str"/>
      <x:c r="L539" s="34" t="str"/>
      <x:c r="M539" s="34" t="str"/>
      <x:c r="N539" s="34" t="str"/>
      <x:c r="O539" s="34" t="str"/>
      <x:c r="P539" s="34" t="str"/>
      <x:c r="Q539" s="34" t="str"/>
    </x:row>
    <x:row r="540">
      <x:c r="A540" s="34" t="str">
        <x:v>M5-HIT-0535</x:v>
      </x:c>
      <x:c r="B540" s="34" t="str"/>
      <x:c r="C540" s="34" t="str"/>
      <x:c r="D540" s="34" t="str"/>
      <x:c r="E540" s="34" t="str"/>
      <x:c r="F540" s="34" t="str"/>
      <x:c r="G540" s="34" t="str"/>
      <x:c r="H540" s="34" t="str"/>
      <x:c r="I540" s="34" t="str"/>
      <x:c r="J540" s="34" t="str"/>
      <x:c r="K540" s="34" t="str"/>
      <x:c r="L540" s="34" t="str"/>
      <x:c r="M540" s="34" t="str"/>
      <x:c r="N540" s="34" t="str"/>
      <x:c r="O540" s="34" t="str"/>
      <x:c r="P540" s="34" t="str"/>
      <x:c r="Q540" s="34" t="str"/>
    </x:row>
    <x:row r="541">
      <x:c r="A541" s="34" t="str">
        <x:v>M5-HIT-0536</x:v>
      </x:c>
      <x:c r="B541" s="34" t="str"/>
      <x:c r="C541" s="34" t="str"/>
      <x:c r="D541" s="34" t="str"/>
      <x:c r="E541" s="34" t="str"/>
      <x:c r="F541" s="34" t="str"/>
      <x:c r="G541" s="34" t="str"/>
      <x:c r="H541" s="34" t="str"/>
      <x:c r="I541" s="34" t="str"/>
      <x:c r="J541" s="34" t="str"/>
      <x:c r="K541" s="34" t="str"/>
      <x:c r="L541" s="34" t="str"/>
      <x:c r="M541" s="34" t="str"/>
      <x:c r="N541" s="34" t="str"/>
      <x:c r="O541" s="34" t="str"/>
      <x:c r="P541" s="34" t="str"/>
      <x:c r="Q541" s="34" t="str"/>
    </x:row>
    <x:row r="542">
      <x:c r="A542" s="34" t="str">
        <x:v>M5-HIT-0537</x:v>
      </x:c>
      <x:c r="B542" s="34" t="str"/>
      <x:c r="C542" s="34" t="str"/>
      <x:c r="D542" s="34" t="str"/>
      <x:c r="E542" s="34" t="str"/>
      <x:c r="F542" s="34" t="str"/>
      <x:c r="G542" s="34" t="str"/>
      <x:c r="H542" s="34" t="str"/>
      <x:c r="I542" s="34" t="str"/>
      <x:c r="J542" s="34" t="str"/>
      <x:c r="K542" s="34" t="str"/>
      <x:c r="L542" s="34" t="str"/>
      <x:c r="M542" s="34" t="str"/>
      <x:c r="N542" s="34" t="str"/>
      <x:c r="O542" s="34" t="str"/>
      <x:c r="P542" s="34" t="str"/>
      <x:c r="Q542" s="34" t="str"/>
    </x:row>
    <x:row r="543">
      <x:c r="A543" s="34" t="str">
        <x:v>M5-HIT-0538</x:v>
      </x:c>
      <x:c r="B543" s="34" t="str"/>
      <x:c r="C543" s="34" t="str"/>
      <x:c r="D543" s="34" t="str"/>
      <x:c r="E543" s="34" t="str"/>
      <x:c r="F543" s="34" t="str"/>
      <x:c r="G543" s="34" t="str"/>
      <x:c r="H543" s="34" t="str"/>
      <x:c r="I543" s="34" t="str"/>
      <x:c r="J543" s="34" t="str"/>
      <x:c r="K543" s="34" t="str"/>
      <x:c r="L543" s="34" t="str"/>
      <x:c r="M543" s="34" t="str"/>
      <x:c r="N543" s="34" t="str"/>
      <x:c r="O543" s="34" t="str"/>
      <x:c r="P543" s="34" t="str"/>
      <x:c r="Q543" s="34" t="str"/>
    </x:row>
    <x:row r="544">
      <x:c r="A544" s="34" t="str">
        <x:v>M5-HIT-0539</x:v>
      </x:c>
      <x:c r="B544" s="34" t="str"/>
      <x:c r="C544" s="34" t="str"/>
      <x:c r="D544" s="34" t="str"/>
      <x:c r="E544" s="34" t="str"/>
      <x:c r="F544" s="34" t="str"/>
      <x:c r="G544" s="34" t="str"/>
      <x:c r="H544" s="34" t="str"/>
      <x:c r="I544" s="34" t="str"/>
      <x:c r="J544" s="34" t="str"/>
      <x:c r="K544" s="34" t="str"/>
      <x:c r="L544" s="34" t="str"/>
      <x:c r="M544" s="34" t="str"/>
      <x:c r="N544" s="34" t="str"/>
      <x:c r="O544" s="34" t="str"/>
      <x:c r="P544" s="34" t="str"/>
      <x:c r="Q544" s="34" t="str"/>
    </x:row>
    <x:row r="545">
      <x:c r="A545" s="34" t="str">
        <x:v>M5-HIT-0540</x:v>
      </x:c>
      <x:c r="B545" s="34" t="str"/>
      <x:c r="C545" s="34" t="str"/>
      <x:c r="D545" s="34" t="str"/>
      <x:c r="E545" s="34" t="str"/>
      <x:c r="F545" s="34" t="str"/>
      <x:c r="G545" s="34" t="str"/>
      <x:c r="H545" s="34" t="str"/>
      <x:c r="I545" s="34" t="str"/>
      <x:c r="J545" s="34" t="str"/>
      <x:c r="K545" s="34" t="str"/>
      <x:c r="L545" s="34" t="str"/>
      <x:c r="M545" s="34" t="str"/>
      <x:c r="N545" s="34" t="str"/>
      <x:c r="O545" s="34" t="str"/>
      <x:c r="P545" s="34" t="str"/>
      <x:c r="Q545" s="34" t="str"/>
    </x:row>
    <x:row r="546">
      <x:c r="A546" s="34" t="str">
        <x:v>M5-HIT-0541</x:v>
      </x:c>
      <x:c r="B546" s="34" t="str"/>
      <x:c r="C546" s="34" t="str"/>
      <x:c r="D546" s="34" t="str"/>
      <x:c r="E546" s="34" t="str"/>
      <x:c r="F546" s="34" t="str"/>
      <x:c r="G546" s="34" t="str"/>
      <x:c r="H546" s="34" t="str"/>
      <x:c r="I546" s="34" t="str"/>
      <x:c r="J546" s="34" t="str"/>
      <x:c r="K546" s="34" t="str"/>
      <x:c r="L546" s="34" t="str"/>
      <x:c r="M546" s="34" t="str"/>
      <x:c r="N546" s="34" t="str"/>
      <x:c r="O546" s="34" t="str"/>
      <x:c r="P546" s="34" t="str"/>
      <x:c r="Q546" s="34" t="str"/>
    </x:row>
    <x:row r="547">
      <x:c r="A547" s="34" t="str">
        <x:v>M5-HIT-0542</x:v>
      </x:c>
      <x:c r="B547" s="34" t="str"/>
      <x:c r="C547" s="34" t="str"/>
      <x:c r="D547" s="34" t="str"/>
      <x:c r="E547" s="34" t="str"/>
      <x:c r="F547" s="34" t="str"/>
      <x:c r="G547" s="34" t="str"/>
      <x:c r="H547" s="34" t="str"/>
      <x:c r="I547" s="34" t="str"/>
      <x:c r="J547" s="34" t="str"/>
      <x:c r="K547" s="34" t="str"/>
      <x:c r="L547" s="34" t="str"/>
      <x:c r="M547" s="34" t="str"/>
      <x:c r="N547" s="34" t="str"/>
      <x:c r="O547" s="34" t="str"/>
      <x:c r="P547" s="34" t="str"/>
      <x:c r="Q547" s="34" t="str"/>
    </x:row>
    <x:row r="548">
      <x:c r="A548" s="34" t="str">
        <x:v>M5-HIT-0543</x:v>
      </x:c>
      <x:c r="B548" s="34" t="str"/>
      <x:c r="C548" s="34" t="str"/>
      <x:c r="D548" s="34" t="str"/>
      <x:c r="E548" s="34" t="str"/>
      <x:c r="F548" s="34" t="str"/>
      <x:c r="G548" s="34" t="str"/>
      <x:c r="H548" s="34" t="str"/>
      <x:c r="I548" s="34" t="str"/>
      <x:c r="J548" s="34" t="str"/>
      <x:c r="K548" s="34" t="str"/>
      <x:c r="L548" s="34" t="str"/>
      <x:c r="M548" s="34" t="str"/>
      <x:c r="N548" s="34" t="str"/>
      <x:c r="O548" s="34" t="str"/>
      <x:c r="P548" s="34" t="str"/>
      <x:c r="Q548" s="34" t="str"/>
    </x:row>
    <x:row r="549">
      <x:c r="A549" s="34" t="str">
        <x:v>M5-HIT-0544</x:v>
      </x:c>
      <x:c r="B549" s="34" t="str"/>
      <x:c r="C549" s="34" t="str"/>
      <x:c r="D549" s="34" t="str"/>
      <x:c r="E549" s="34" t="str"/>
      <x:c r="F549" s="34" t="str"/>
      <x:c r="G549" s="34" t="str"/>
      <x:c r="H549" s="34" t="str"/>
      <x:c r="I549" s="34" t="str"/>
      <x:c r="J549" s="34" t="str"/>
      <x:c r="K549" s="34" t="str"/>
      <x:c r="L549" s="34" t="str"/>
      <x:c r="M549" s="34" t="str"/>
      <x:c r="N549" s="34" t="str"/>
      <x:c r="O549" s="34" t="str"/>
      <x:c r="P549" s="34" t="str"/>
      <x:c r="Q549" s="34" t="str"/>
    </x:row>
    <x:row r="550">
      <x:c r="A550" s="34" t="str">
        <x:v>M5-HIT-0545</x:v>
      </x:c>
      <x:c r="B550" s="34" t="str"/>
      <x:c r="C550" s="34" t="str"/>
      <x:c r="D550" s="34" t="str"/>
      <x:c r="E550" s="34" t="str"/>
      <x:c r="F550" s="34" t="str"/>
      <x:c r="G550" s="34" t="str"/>
      <x:c r="H550" s="34" t="str"/>
      <x:c r="I550" s="34" t="str"/>
      <x:c r="J550" s="34" t="str"/>
      <x:c r="K550" s="34" t="str"/>
      <x:c r="L550" s="34" t="str"/>
      <x:c r="M550" s="34" t="str"/>
      <x:c r="N550" s="34" t="str"/>
      <x:c r="O550" s="34" t="str"/>
      <x:c r="P550" s="34" t="str"/>
      <x:c r="Q550" s="34" t="str"/>
    </x:row>
    <x:row r="551">
      <x:c r="A551" s="34" t="str">
        <x:v>M5-HIT-0546</x:v>
      </x:c>
      <x:c r="B551" s="34" t="str"/>
      <x:c r="C551" s="34" t="str"/>
      <x:c r="D551" s="34" t="str"/>
      <x:c r="E551" s="34" t="str"/>
      <x:c r="F551" s="34" t="str"/>
      <x:c r="G551" s="34" t="str"/>
      <x:c r="H551" s="34" t="str"/>
      <x:c r="I551" s="34" t="str"/>
      <x:c r="J551" s="34" t="str"/>
      <x:c r="K551" s="34" t="str"/>
      <x:c r="L551" s="34" t="str"/>
      <x:c r="M551" s="34" t="str"/>
      <x:c r="N551" s="34" t="str"/>
      <x:c r="O551" s="34" t="str"/>
      <x:c r="P551" s="34" t="str"/>
      <x:c r="Q551" s="34" t="str"/>
    </x:row>
    <x:row r="552">
      <x:c r="A552" s="34" t="str">
        <x:v>M5-HIT-0547</x:v>
      </x:c>
      <x:c r="B552" s="34" t="str"/>
      <x:c r="C552" s="34" t="str"/>
      <x:c r="D552" s="34" t="str"/>
      <x:c r="E552" s="34" t="str"/>
      <x:c r="F552" s="34" t="str"/>
      <x:c r="G552" s="34" t="str"/>
      <x:c r="H552" s="34" t="str"/>
      <x:c r="I552" s="34" t="str"/>
      <x:c r="J552" s="34" t="str"/>
      <x:c r="K552" s="34" t="str"/>
      <x:c r="L552" s="34" t="str"/>
      <x:c r="M552" s="34" t="str"/>
      <x:c r="N552" s="34" t="str"/>
      <x:c r="O552" s="34" t="str"/>
      <x:c r="P552" s="34" t="str"/>
      <x:c r="Q552" s="34" t="str"/>
    </x:row>
    <x:row r="553">
      <x:c r="A553" s="34" t="str">
        <x:v>M5-HIT-0548</x:v>
      </x:c>
      <x:c r="B553" s="34" t="str"/>
      <x:c r="C553" s="34" t="str"/>
      <x:c r="D553" s="34" t="str"/>
      <x:c r="E553" s="34" t="str"/>
      <x:c r="F553" s="34" t="str"/>
      <x:c r="G553" s="34" t="str"/>
      <x:c r="H553" s="34" t="str"/>
      <x:c r="I553" s="34" t="str"/>
      <x:c r="J553" s="34" t="str"/>
      <x:c r="K553" s="34" t="str"/>
      <x:c r="L553" s="34" t="str"/>
      <x:c r="M553" s="34" t="str"/>
      <x:c r="N553" s="34" t="str"/>
      <x:c r="O553" s="34" t="str"/>
      <x:c r="P553" s="34" t="str"/>
      <x:c r="Q553" s="34" t="str"/>
    </x:row>
    <x:row r="554">
      <x:c r="A554" s="34" t="str">
        <x:v>M5-HIT-0549</x:v>
      </x:c>
      <x:c r="B554" s="34" t="str"/>
      <x:c r="C554" s="34" t="str"/>
      <x:c r="D554" s="34" t="str"/>
      <x:c r="E554" s="34" t="str"/>
      <x:c r="F554" s="34" t="str"/>
      <x:c r="G554" s="34" t="str"/>
      <x:c r="H554" s="34" t="str"/>
      <x:c r="I554" s="34" t="str"/>
      <x:c r="J554" s="34" t="str"/>
      <x:c r="K554" s="34" t="str"/>
      <x:c r="L554" s="34" t="str"/>
      <x:c r="M554" s="34" t="str"/>
      <x:c r="N554" s="34" t="str"/>
      <x:c r="O554" s="34" t="str"/>
      <x:c r="P554" s="34" t="str"/>
      <x:c r="Q554" s="34" t="str"/>
    </x:row>
    <x:row r="555">
      <x:c r="A555" s="34" t="str">
        <x:v>M5-HIT-0550</x:v>
      </x:c>
      <x:c r="B555" s="34" t="str"/>
      <x:c r="C555" s="34" t="str"/>
      <x:c r="D555" s="34" t="str"/>
      <x:c r="E555" s="34" t="str"/>
      <x:c r="F555" s="34" t="str"/>
      <x:c r="G555" s="34" t="str"/>
      <x:c r="H555" s="34" t="str"/>
      <x:c r="I555" s="34" t="str"/>
      <x:c r="J555" s="34" t="str"/>
      <x:c r="K555" s="34" t="str"/>
      <x:c r="L555" s="34" t="str"/>
      <x:c r="M555" s="34" t="str"/>
      <x:c r="N555" s="34" t="str"/>
      <x:c r="O555" s="34" t="str"/>
      <x:c r="P555" s="34" t="str"/>
      <x:c r="Q555" s="34" t="str"/>
    </x:row>
    <x:row r="556">
      <x:c r="A556" s="34" t="str">
        <x:v>M5-HIT-0551</x:v>
      </x:c>
      <x:c r="B556" s="34" t="str"/>
      <x:c r="C556" s="34" t="str"/>
      <x:c r="D556" s="34" t="str"/>
      <x:c r="E556" s="34" t="str"/>
      <x:c r="F556" s="34" t="str"/>
      <x:c r="G556" s="34" t="str"/>
      <x:c r="H556" s="34" t="str"/>
      <x:c r="I556" s="34" t="str"/>
      <x:c r="J556" s="34" t="str"/>
      <x:c r="K556" s="34" t="str"/>
      <x:c r="L556" s="34" t="str"/>
      <x:c r="M556" s="34" t="str"/>
      <x:c r="N556" s="34" t="str"/>
      <x:c r="O556" s="34" t="str"/>
      <x:c r="P556" s="34" t="str"/>
      <x:c r="Q556" s="34" t="str"/>
    </x:row>
    <x:row r="557">
      <x:c r="A557" s="34" t="str">
        <x:v>M5-HIT-0552</x:v>
      </x:c>
      <x:c r="B557" s="34" t="str"/>
      <x:c r="C557" s="34" t="str"/>
      <x:c r="D557" s="34" t="str"/>
      <x:c r="E557" s="34" t="str"/>
      <x:c r="F557" s="34" t="str"/>
      <x:c r="G557" s="34" t="str"/>
      <x:c r="H557" s="34" t="str"/>
      <x:c r="I557" s="34" t="str"/>
      <x:c r="J557" s="34" t="str"/>
      <x:c r="K557" s="34" t="str"/>
      <x:c r="L557" s="34" t="str"/>
      <x:c r="M557" s="34" t="str"/>
      <x:c r="N557" s="34" t="str"/>
      <x:c r="O557" s="34" t="str"/>
      <x:c r="P557" s="34" t="str"/>
      <x:c r="Q557" s="34" t="str"/>
    </x:row>
    <x:row r="558">
      <x:c r="A558" s="34" t="str">
        <x:v>M5-HIT-0553</x:v>
      </x:c>
      <x:c r="B558" s="34" t="str"/>
      <x:c r="C558" s="34" t="str"/>
      <x:c r="D558" s="34" t="str"/>
      <x:c r="E558" s="34" t="str"/>
      <x:c r="F558" s="34" t="str"/>
      <x:c r="G558" s="34" t="str"/>
      <x:c r="H558" s="34" t="str"/>
      <x:c r="I558" s="34" t="str"/>
      <x:c r="J558" s="34" t="str"/>
      <x:c r="K558" s="34" t="str"/>
      <x:c r="L558" s="34" t="str"/>
      <x:c r="M558" s="34" t="str"/>
      <x:c r="N558" s="34" t="str"/>
      <x:c r="O558" s="34" t="str"/>
      <x:c r="P558" s="34" t="str"/>
      <x:c r="Q558" s="34" t="str"/>
    </x:row>
    <x:row r="559">
      <x:c r="A559" s="34" t="str">
        <x:v>M5-HIT-0554</x:v>
      </x:c>
      <x:c r="B559" s="34" t="str"/>
      <x:c r="C559" s="34" t="str"/>
      <x:c r="D559" s="34" t="str"/>
      <x:c r="E559" s="34" t="str"/>
      <x:c r="F559" s="34" t="str"/>
      <x:c r="G559" s="34" t="str"/>
      <x:c r="H559" s="34" t="str"/>
      <x:c r="I559" s="34" t="str"/>
      <x:c r="J559" s="34" t="str"/>
      <x:c r="K559" s="34" t="str"/>
      <x:c r="L559" s="34" t="str"/>
      <x:c r="M559" s="34" t="str"/>
      <x:c r="N559" s="34" t="str"/>
      <x:c r="O559" s="34" t="str"/>
      <x:c r="P559" s="34" t="str"/>
      <x:c r="Q559" s="34" t="str"/>
    </x:row>
    <x:row r="560">
      <x:c r="A560" s="34" t="str">
        <x:v>M5-HIT-0555</x:v>
      </x:c>
      <x:c r="B560" s="34" t="str"/>
      <x:c r="C560" s="34" t="str"/>
      <x:c r="D560" s="34" t="str"/>
      <x:c r="E560" s="34" t="str"/>
      <x:c r="F560" s="34" t="str"/>
      <x:c r="G560" s="34" t="str"/>
      <x:c r="H560" s="34" t="str"/>
      <x:c r="I560" s="34" t="str"/>
      <x:c r="J560" s="34" t="str"/>
      <x:c r="K560" s="34" t="str"/>
      <x:c r="L560" s="34" t="str"/>
      <x:c r="M560" s="34" t="str"/>
      <x:c r="N560" s="34" t="str"/>
      <x:c r="O560" s="34" t="str"/>
      <x:c r="P560" s="34" t="str"/>
      <x:c r="Q560" s="34" t="str"/>
    </x:row>
    <x:row r="561">
      <x:c r="A561" s="34" t="str">
        <x:v>M5-HIT-0556</x:v>
      </x:c>
      <x:c r="B561" s="34" t="str"/>
      <x:c r="C561" s="34" t="str"/>
      <x:c r="D561" s="34" t="str"/>
      <x:c r="E561" s="34" t="str"/>
      <x:c r="F561" s="34" t="str"/>
      <x:c r="G561" s="34" t="str"/>
      <x:c r="H561" s="34" t="str"/>
      <x:c r="I561" s="34" t="str"/>
      <x:c r="J561" s="34" t="str"/>
      <x:c r="K561" s="34" t="str"/>
      <x:c r="L561" s="34" t="str"/>
      <x:c r="M561" s="34" t="str"/>
      <x:c r="N561" s="34" t="str"/>
      <x:c r="O561" s="34" t="str"/>
      <x:c r="P561" s="34" t="str"/>
      <x:c r="Q561" s="34" t="str"/>
    </x:row>
    <x:row r="562">
      <x:c r="A562" s="34" t="str">
        <x:v>M5-HIT-0557</x:v>
      </x:c>
      <x:c r="B562" s="34" t="str"/>
      <x:c r="C562" s="34" t="str"/>
      <x:c r="D562" s="34" t="str"/>
      <x:c r="E562" s="34" t="str"/>
      <x:c r="F562" s="34" t="str"/>
      <x:c r="G562" s="34" t="str"/>
      <x:c r="H562" s="34" t="str"/>
      <x:c r="I562" s="34" t="str"/>
      <x:c r="J562" s="34" t="str"/>
      <x:c r="K562" s="34" t="str"/>
      <x:c r="L562" s="34" t="str"/>
      <x:c r="M562" s="34" t="str"/>
      <x:c r="N562" s="34" t="str"/>
      <x:c r="O562" s="34" t="str"/>
      <x:c r="P562" s="34" t="str"/>
      <x:c r="Q562" s="34" t="str"/>
    </x:row>
    <x:row r="563">
      <x:c r="A563" s="34" t="str">
        <x:v>M5-HIT-0558</x:v>
      </x:c>
      <x:c r="B563" s="34" t="str"/>
      <x:c r="C563" s="34" t="str"/>
      <x:c r="D563" s="34" t="str"/>
      <x:c r="E563" s="34" t="str"/>
      <x:c r="F563" s="34" t="str"/>
      <x:c r="G563" s="34" t="str"/>
      <x:c r="H563" s="34" t="str"/>
      <x:c r="I563" s="34" t="str"/>
      <x:c r="J563" s="34" t="str"/>
      <x:c r="K563" s="34" t="str"/>
      <x:c r="L563" s="34" t="str"/>
      <x:c r="M563" s="34" t="str"/>
      <x:c r="N563" s="34" t="str"/>
      <x:c r="O563" s="34" t="str"/>
      <x:c r="P563" s="34" t="str"/>
      <x:c r="Q563" s="34" t="str"/>
    </x:row>
    <x:row r="564">
      <x:c r="A564" s="34" t="str">
        <x:v>M5-HIT-0559</x:v>
      </x:c>
      <x:c r="B564" s="34" t="str"/>
      <x:c r="C564" s="34" t="str"/>
      <x:c r="D564" s="34" t="str"/>
      <x:c r="E564" s="34" t="str"/>
      <x:c r="F564" s="34" t="str"/>
      <x:c r="G564" s="34" t="str"/>
      <x:c r="H564" s="34" t="str"/>
      <x:c r="I564" s="34" t="str"/>
      <x:c r="J564" s="34" t="str"/>
      <x:c r="K564" s="34" t="str"/>
      <x:c r="L564" s="34" t="str"/>
      <x:c r="M564" s="34" t="str"/>
      <x:c r="N564" s="34" t="str"/>
      <x:c r="O564" s="34" t="str"/>
      <x:c r="P564" s="34" t="str"/>
      <x:c r="Q564" s="34" t="str"/>
    </x:row>
    <x:row r="565">
      <x:c r="A565" s="34" t="str">
        <x:v>M5-HIT-0560</x:v>
      </x:c>
      <x:c r="B565" s="34" t="str"/>
      <x:c r="C565" s="34" t="str"/>
      <x:c r="D565" s="34" t="str"/>
      <x:c r="E565" s="34" t="str"/>
      <x:c r="F565" s="34" t="str"/>
      <x:c r="G565" s="34" t="str"/>
      <x:c r="H565" s="34" t="str"/>
      <x:c r="I565" s="34" t="str"/>
      <x:c r="J565" s="34" t="str"/>
      <x:c r="K565" s="34" t="str"/>
      <x:c r="L565" s="34" t="str"/>
      <x:c r="M565" s="34" t="str"/>
      <x:c r="N565" s="34" t="str"/>
      <x:c r="O565" s="34" t="str"/>
      <x:c r="P565" s="34" t="str"/>
      <x:c r="Q565" s="34" t="str"/>
    </x:row>
    <x:row r="566">
      <x:c r="A566" s="34" t="str">
        <x:v>M5-HIT-0561</x:v>
      </x:c>
      <x:c r="B566" s="34" t="str"/>
      <x:c r="C566" s="34" t="str"/>
      <x:c r="D566" s="34" t="str"/>
      <x:c r="E566" s="34" t="str"/>
      <x:c r="F566" s="34" t="str"/>
      <x:c r="G566" s="34" t="str"/>
      <x:c r="H566" s="34" t="str"/>
      <x:c r="I566" s="34" t="str"/>
      <x:c r="J566" s="34" t="str"/>
      <x:c r="K566" s="34" t="str"/>
      <x:c r="L566" s="34" t="str"/>
      <x:c r="M566" s="34" t="str"/>
      <x:c r="N566" s="34" t="str"/>
      <x:c r="O566" s="34" t="str"/>
      <x:c r="P566" s="34" t="str"/>
      <x:c r="Q566" s="34" t="str"/>
    </x:row>
    <x:row r="567">
      <x:c r="A567" s="34" t="str">
        <x:v>M5-HIT-0562</x:v>
      </x:c>
      <x:c r="B567" s="34" t="str"/>
      <x:c r="C567" s="34" t="str"/>
      <x:c r="D567" s="34" t="str"/>
      <x:c r="E567" s="34" t="str"/>
      <x:c r="F567" s="34" t="str"/>
      <x:c r="G567" s="34" t="str"/>
      <x:c r="H567" s="34" t="str"/>
      <x:c r="I567" s="34" t="str"/>
      <x:c r="J567" s="34" t="str"/>
      <x:c r="K567" s="34" t="str"/>
      <x:c r="L567" s="34" t="str"/>
      <x:c r="M567" s="34" t="str"/>
      <x:c r="N567" s="34" t="str"/>
      <x:c r="O567" s="34" t="str"/>
      <x:c r="P567" s="34" t="str"/>
      <x:c r="Q567" s="34" t="str"/>
    </x:row>
    <x:row r="568">
      <x:c r="A568" s="34" t="str">
        <x:v>M5-HIT-0563</x:v>
      </x:c>
      <x:c r="B568" s="34" t="str"/>
      <x:c r="C568" s="34" t="str"/>
      <x:c r="D568" s="34" t="str"/>
      <x:c r="E568" s="34" t="str"/>
      <x:c r="F568" s="34" t="str"/>
      <x:c r="G568" s="34" t="str"/>
      <x:c r="H568" s="34" t="str"/>
      <x:c r="I568" s="34" t="str"/>
      <x:c r="J568" s="34" t="str"/>
      <x:c r="K568" s="34" t="str"/>
      <x:c r="L568" s="34" t="str"/>
      <x:c r="M568" s="34" t="str"/>
      <x:c r="N568" s="34" t="str"/>
      <x:c r="O568" s="34" t="str"/>
      <x:c r="P568" s="34" t="str"/>
      <x:c r="Q568" s="34" t="str"/>
    </x:row>
    <x:row r="569">
      <x:c r="A569" s="34" t="str">
        <x:v>M5-HIT-0564</x:v>
      </x:c>
      <x:c r="B569" s="34" t="str"/>
      <x:c r="C569" s="34" t="str"/>
      <x:c r="D569" s="34" t="str"/>
      <x:c r="E569" s="34" t="str"/>
      <x:c r="F569" s="34" t="str"/>
      <x:c r="G569" s="34" t="str"/>
      <x:c r="H569" s="34" t="str"/>
      <x:c r="I569" s="34" t="str"/>
      <x:c r="J569" s="34" t="str"/>
      <x:c r="K569" s="34" t="str"/>
      <x:c r="L569" s="34" t="str"/>
      <x:c r="M569" s="34" t="str"/>
      <x:c r="N569" s="34" t="str"/>
      <x:c r="O569" s="34" t="str"/>
      <x:c r="P569" s="34" t="str"/>
      <x:c r="Q569" s="34" t="str"/>
    </x:row>
    <x:row r="570">
      <x:c r="A570" s="34" t="str">
        <x:v>M5-HIT-0565</x:v>
      </x:c>
      <x:c r="B570" s="34" t="str"/>
      <x:c r="C570" s="34" t="str"/>
      <x:c r="D570" s="34" t="str"/>
      <x:c r="E570" s="34" t="str"/>
      <x:c r="F570" s="34" t="str"/>
      <x:c r="G570" s="34" t="str"/>
      <x:c r="H570" s="34" t="str"/>
      <x:c r="I570" s="34" t="str"/>
      <x:c r="J570" s="34" t="str"/>
      <x:c r="K570" s="34" t="str"/>
      <x:c r="L570" s="34" t="str"/>
      <x:c r="M570" s="34" t="str"/>
      <x:c r="N570" s="34" t="str"/>
      <x:c r="O570" s="34" t="str"/>
      <x:c r="P570" s="34" t="str"/>
      <x:c r="Q570" s="34" t="str"/>
    </x:row>
    <x:row r="571">
      <x:c r="A571" s="34" t="str">
        <x:v>M5-HIT-0566</x:v>
      </x:c>
      <x:c r="B571" s="34" t="str"/>
      <x:c r="C571" s="34" t="str"/>
      <x:c r="D571" s="34" t="str"/>
      <x:c r="E571" s="34" t="str"/>
      <x:c r="F571" s="34" t="str"/>
      <x:c r="G571" s="34" t="str"/>
      <x:c r="H571" s="34" t="str"/>
      <x:c r="I571" s="34" t="str"/>
      <x:c r="J571" s="34" t="str"/>
      <x:c r="K571" s="34" t="str"/>
      <x:c r="L571" s="34" t="str"/>
      <x:c r="M571" s="34" t="str"/>
      <x:c r="N571" s="34" t="str"/>
      <x:c r="O571" s="34" t="str"/>
      <x:c r="P571" s="34" t="str"/>
      <x:c r="Q571" s="34" t="str"/>
    </x:row>
    <x:row r="572">
      <x:c r="A572" s="34" t="str">
        <x:v>M5-HIT-0567</x:v>
      </x:c>
      <x:c r="B572" s="34" t="str"/>
      <x:c r="C572" s="34" t="str"/>
      <x:c r="D572" s="34" t="str"/>
      <x:c r="E572" s="34" t="str"/>
      <x:c r="F572" s="34" t="str"/>
      <x:c r="G572" s="34" t="str"/>
      <x:c r="H572" s="34" t="str"/>
      <x:c r="I572" s="34" t="str"/>
      <x:c r="J572" s="34" t="str"/>
      <x:c r="K572" s="34" t="str"/>
      <x:c r="L572" s="34" t="str"/>
      <x:c r="M572" s="34" t="str"/>
      <x:c r="N572" s="34" t="str"/>
      <x:c r="O572" s="34" t="str"/>
      <x:c r="P572" s="34" t="str"/>
      <x:c r="Q572" s="34" t="str"/>
    </x:row>
    <x:row r="573">
      <x:c r="A573" s="34" t="str">
        <x:v>M5-HIT-0568</x:v>
      </x:c>
      <x:c r="B573" s="34" t="str"/>
      <x:c r="C573" s="34" t="str"/>
      <x:c r="D573" s="34" t="str"/>
      <x:c r="E573" s="34" t="str"/>
      <x:c r="F573" s="34" t="str"/>
      <x:c r="G573" s="34" t="str"/>
      <x:c r="H573" s="34" t="str"/>
      <x:c r="I573" s="34" t="str"/>
      <x:c r="J573" s="34" t="str"/>
      <x:c r="K573" s="34" t="str"/>
      <x:c r="L573" s="34" t="str"/>
      <x:c r="M573" s="34" t="str"/>
      <x:c r="N573" s="34" t="str"/>
      <x:c r="O573" s="34" t="str"/>
      <x:c r="P573" s="34" t="str"/>
      <x:c r="Q573" s="34" t="str"/>
    </x:row>
    <x:row r="574">
      <x:c r="A574" s="34" t="str">
        <x:v>M5-HIT-0569</x:v>
      </x:c>
      <x:c r="B574" s="34" t="str"/>
      <x:c r="C574" s="34" t="str"/>
      <x:c r="D574" s="34" t="str"/>
      <x:c r="E574" s="34" t="str"/>
      <x:c r="F574" s="34" t="str"/>
      <x:c r="G574" s="34" t="str"/>
      <x:c r="H574" s="34" t="str"/>
      <x:c r="I574" s="34" t="str"/>
      <x:c r="J574" s="34" t="str"/>
      <x:c r="K574" s="34" t="str"/>
      <x:c r="L574" s="34" t="str"/>
      <x:c r="M574" s="34" t="str"/>
      <x:c r="N574" s="34" t="str"/>
      <x:c r="O574" s="34" t="str"/>
      <x:c r="P574" s="34" t="str"/>
      <x:c r="Q574" s="34" t="str"/>
    </x:row>
    <x:row r="575">
      <x:c r="A575" s="34" t="str">
        <x:v>M5-HIT-0570</x:v>
      </x:c>
      <x:c r="B575" s="34" t="str"/>
      <x:c r="C575" s="34" t="str"/>
      <x:c r="D575" s="34" t="str"/>
      <x:c r="E575" s="34" t="str"/>
      <x:c r="F575" s="34" t="str"/>
      <x:c r="G575" s="34" t="str"/>
      <x:c r="H575" s="34" t="str"/>
      <x:c r="I575" s="34" t="str"/>
      <x:c r="J575" s="34" t="str"/>
      <x:c r="K575" s="34" t="str"/>
      <x:c r="L575" s="34" t="str"/>
      <x:c r="M575" s="34" t="str"/>
      <x:c r="N575" s="34" t="str"/>
      <x:c r="O575" s="34" t="str"/>
      <x:c r="P575" s="34" t="str"/>
      <x:c r="Q575" s="34" t="str"/>
    </x:row>
    <x:row r="576">
      <x:c r="A576" s="34" t="str">
        <x:v>M5-HIT-0571</x:v>
      </x:c>
      <x:c r="B576" s="34" t="str"/>
      <x:c r="C576" s="34" t="str"/>
      <x:c r="D576" s="34" t="str"/>
      <x:c r="E576" s="34" t="str"/>
      <x:c r="F576" s="34" t="str"/>
      <x:c r="G576" s="34" t="str"/>
      <x:c r="H576" s="34" t="str"/>
      <x:c r="I576" s="34" t="str"/>
      <x:c r="J576" s="34" t="str"/>
      <x:c r="K576" s="34" t="str"/>
      <x:c r="L576" s="34" t="str"/>
      <x:c r="M576" s="34" t="str"/>
      <x:c r="N576" s="34" t="str"/>
      <x:c r="O576" s="34" t="str"/>
      <x:c r="P576" s="34" t="str"/>
      <x:c r="Q576" s="34" t="str"/>
    </x:row>
    <x:row r="577">
      <x:c r="A577" s="34" t="str">
        <x:v>M5-HIT-0572</x:v>
      </x:c>
      <x:c r="B577" s="34" t="str"/>
      <x:c r="C577" s="34" t="str"/>
      <x:c r="D577" s="34" t="str"/>
      <x:c r="E577" s="34" t="str"/>
      <x:c r="F577" s="34" t="str"/>
      <x:c r="G577" s="34" t="str"/>
      <x:c r="H577" s="34" t="str"/>
      <x:c r="I577" s="34" t="str"/>
      <x:c r="J577" s="34" t="str"/>
      <x:c r="K577" s="34" t="str"/>
      <x:c r="L577" s="34" t="str"/>
      <x:c r="M577" s="34" t="str"/>
      <x:c r="N577" s="34" t="str"/>
      <x:c r="O577" s="34" t="str"/>
      <x:c r="P577" s="34" t="str"/>
      <x:c r="Q577" s="34" t="str"/>
    </x:row>
    <x:row r="578">
      <x:c r="A578" s="34" t="str">
        <x:v>M5-HIT-0573</x:v>
      </x:c>
      <x:c r="B578" s="34" t="str"/>
      <x:c r="C578" s="34" t="str"/>
      <x:c r="D578" s="34" t="str"/>
      <x:c r="E578" s="34" t="str"/>
      <x:c r="F578" s="34" t="str"/>
      <x:c r="G578" s="34" t="str"/>
      <x:c r="H578" s="34" t="str"/>
      <x:c r="I578" s="34" t="str"/>
      <x:c r="J578" s="34" t="str"/>
      <x:c r="K578" s="34" t="str"/>
      <x:c r="L578" s="34" t="str"/>
      <x:c r="M578" s="34" t="str"/>
      <x:c r="N578" s="34" t="str"/>
      <x:c r="O578" s="34" t="str"/>
      <x:c r="P578" s="34" t="str"/>
      <x:c r="Q578" s="34" t="str"/>
    </x:row>
    <x:row r="579">
      <x:c r="A579" s="34" t="str">
        <x:v>M5-HIT-0574</x:v>
      </x:c>
      <x:c r="B579" s="34" t="str"/>
      <x:c r="C579" s="34" t="str"/>
      <x:c r="D579" s="34" t="str"/>
      <x:c r="E579" s="34" t="str"/>
      <x:c r="F579" s="34" t="str"/>
      <x:c r="G579" s="34" t="str"/>
      <x:c r="H579" s="34" t="str"/>
      <x:c r="I579" s="34" t="str"/>
      <x:c r="J579" s="34" t="str"/>
      <x:c r="K579" s="34" t="str"/>
      <x:c r="L579" s="34" t="str"/>
      <x:c r="M579" s="34" t="str"/>
      <x:c r="N579" s="34" t="str"/>
      <x:c r="O579" s="34" t="str"/>
      <x:c r="P579" s="34" t="str"/>
      <x:c r="Q579" s="34" t="str"/>
    </x:row>
    <x:row r="580">
      <x:c r="A580" s="34" t="str">
        <x:v>M5-HIT-0575</x:v>
      </x:c>
      <x:c r="B580" s="34" t="str"/>
      <x:c r="C580" s="34" t="str"/>
      <x:c r="D580" s="34" t="str"/>
      <x:c r="E580" s="34" t="str"/>
      <x:c r="F580" s="34" t="str"/>
      <x:c r="G580" s="34" t="str"/>
      <x:c r="H580" s="34" t="str"/>
      <x:c r="I580" s="34" t="str"/>
      <x:c r="J580" s="34" t="str"/>
      <x:c r="K580" s="34" t="str"/>
      <x:c r="L580" s="34" t="str"/>
      <x:c r="M580" s="34" t="str"/>
      <x:c r="N580" s="34" t="str"/>
      <x:c r="O580" s="34" t="str"/>
      <x:c r="P580" s="34" t="str"/>
      <x:c r="Q580" s="34" t="str"/>
    </x:row>
    <x:row r="581">
      <x:c r="A581" s="34" t="str">
        <x:v>M5-HIT-0576</x:v>
      </x:c>
      <x:c r="B581" s="34" t="str"/>
      <x:c r="C581" s="34" t="str"/>
      <x:c r="D581" s="34" t="str"/>
      <x:c r="E581" s="34" t="str"/>
      <x:c r="F581" s="34" t="str"/>
      <x:c r="G581" s="34" t="str"/>
      <x:c r="H581" s="34" t="str"/>
      <x:c r="I581" s="34" t="str"/>
      <x:c r="J581" s="34" t="str"/>
      <x:c r="K581" s="34" t="str"/>
      <x:c r="L581" s="34" t="str"/>
      <x:c r="M581" s="34" t="str"/>
      <x:c r="N581" s="34" t="str"/>
      <x:c r="O581" s="34" t="str"/>
      <x:c r="P581" s="34" t="str"/>
      <x:c r="Q581" s="34" t="str"/>
    </x:row>
    <x:row r="582">
      <x:c r="A582" s="34" t="str">
        <x:v>M5-HIT-0577</x:v>
      </x:c>
      <x:c r="B582" s="34" t="str"/>
      <x:c r="C582" s="34" t="str"/>
      <x:c r="D582" s="34" t="str"/>
      <x:c r="E582" s="34" t="str"/>
      <x:c r="F582" s="34" t="str"/>
      <x:c r="G582" s="34" t="str"/>
      <x:c r="H582" s="34" t="str"/>
      <x:c r="I582" s="34" t="str"/>
      <x:c r="J582" s="34" t="str"/>
      <x:c r="K582" s="34" t="str"/>
      <x:c r="L582" s="34" t="str"/>
      <x:c r="M582" s="34" t="str"/>
      <x:c r="N582" s="34" t="str"/>
      <x:c r="O582" s="34" t="str"/>
      <x:c r="P582" s="34" t="str"/>
      <x:c r="Q582" s="34" t="str"/>
    </x:row>
    <x:row r="583">
      <x:c r="A583" s="34" t="str">
        <x:v>M5-HIT-0578</x:v>
      </x:c>
      <x:c r="B583" s="34" t="str"/>
      <x:c r="C583" s="34" t="str"/>
      <x:c r="D583" s="34" t="str"/>
      <x:c r="E583" s="34" t="str"/>
      <x:c r="F583" s="34" t="str"/>
      <x:c r="G583" s="34" t="str"/>
      <x:c r="H583" s="34" t="str"/>
      <x:c r="I583" s="34" t="str"/>
      <x:c r="J583" s="34" t="str"/>
      <x:c r="K583" s="34" t="str"/>
      <x:c r="L583" s="34" t="str"/>
      <x:c r="M583" s="34" t="str"/>
      <x:c r="N583" s="34" t="str"/>
      <x:c r="O583" s="34" t="str"/>
      <x:c r="P583" s="34" t="str"/>
      <x:c r="Q583" s="34" t="str"/>
    </x:row>
    <x:row r="584">
      <x:c r="A584" s="34" t="str">
        <x:v>M5-HIT-0579</x:v>
      </x:c>
      <x:c r="B584" s="34" t="str"/>
      <x:c r="C584" s="34" t="str"/>
      <x:c r="D584" s="34" t="str"/>
      <x:c r="E584" s="34" t="str"/>
      <x:c r="F584" s="34" t="str"/>
      <x:c r="G584" s="34" t="str"/>
      <x:c r="H584" s="34" t="str"/>
      <x:c r="I584" s="34" t="str"/>
      <x:c r="J584" s="34" t="str"/>
      <x:c r="K584" s="34" t="str"/>
      <x:c r="L584" s="34" t="str"/>
      <x:c r="M584" s="34" t="str"/>
      <x:c r="N584" s="34" t="str"/>
      <x:c r="O584" s="34" t="str"/>
      <x:c r="P584" s="34" t="str"/>
      <x:c r="Q584" s="34" t="str"/>
    </x:row>
    <x:row r="585">
      <x:c r="A585" s="34" t="str">
        <x:v>M5-HIT-0580</x:v>
      </x:c>
      <x:c r="B585" s="34" t="str"/>
      <x:c r="C585" s="34" t="str"/>
      <x:c r="D585" s="34" t="str"/>
      <x:c r="E585" s="34" t="str"/>
      <x:c r="F585" s="34" t="str"/>
      <x:c r="G585" s="34" t="str"/>
      <x:c r="H585" s="34" t="str"/>
      <x:c r="I585" s="34" t="str"/>
      <x:c r="J585" s="34" t="str"/>
      <x:c r="K585" s="34" t="str"/>
      <x:c r="L585" s="34" t="str"/>
      <x:c r="M585" s="34" t="str"/>
      <x:c r="N585" s="34" t="str"/>
      <x:c r="O585" s="34" t="str"/>
      <x:c r="P585" s="34" t="str"/>
      <x:c r="Q585" s="34" t="str"/>
    </x:row>
    <x:row r="586">
      <x:c r="A586" s="34" t="str">
        <x:v>M5-HIT-0581</x:v>
      </x:c>
      <x:c r="B586" s="34" t="str"/>
      <x:c r="C586" s="34" t="str"/>
      <x:c r="D586" s="34" t="str"/>
      <x:c r="E586" s="34" t="str"/>
      <x:c r="F586" s="34" t="str"/>
      <x:c r="G586" s="34" t="str"/>
      <x:c r="H586" s="34" t="str"/>
      <x:c r="I586" s="34" t="str"/>
      <x:c r="J586" s="34" t="str"/>
      <x:c r="K586" s="34" t="str"/>
      <x:c r="L586" s="34" t="str"/>
      <x:c r="M586" s="34" t="str"/>
      <x:c r="N586" s="34" t="str"/>
      <x:c r="O586" s="34" t="str"/>
      <x:c r="P586" s="34" t="str"/>
      <x:c r="Q586" s="34" t="str"/>
    </x:row>
    <x:row r="587">
      <x:c r="A587" s="34" t="str">
        <x:v>M5-HIT-0582</x:v>
      </x:c>
      <x:c r="B587" s="34" t="str"/>
      <x:c r="C587" s="34" t="str"/>
      <x:c r="D587" s="34" t="str"/>
      <x:c r="E587" s="34" t="str"/>
      <x:c r="F587" s="34" t="str"/>
      <x:c r="G587" s="34" t="str"/>
      <x:c r="H587" s="34" t="str"/>
      <x:c r="I587" s="34" t="str"/>
      <x:c r="J587" s="34" t="str"/>
      <x:c r="K587" s="34" t="str"/>
      <x:c r="L587" s="34" t="str"/>
      <x:c r="M587" s="34" t="str"/>
      <x:c r="N587" s="34" t="str"/>
      <x:c r="O587" s="34" t="str"/>
      <x:c r="P587" s="34" t="str"/>
      <x:c r="Q587" s="34" t="str"/>
    </x:row>
    <x:row r="588">
      <x:c r="A588" s="34" t="str">
        <x:v>M5-HIT-0583</x:v>
      </x:c>
      <x:c r="B588" s="34" t="str"/>
      <x:c r="C588" s="34" t="str"/>
      <x:c r="D588" s="34" t="str"/>
      <x:c r="E588" s="34" t="str"/>
      <x:c r="F588" s="34" t="str"/>
      <x:c r="G588" s="34" t="str"/>
      <x:c r="H588" s="34" t="str"/>
      <x:c r="I588" s="34" t="str"/>
      <x:c r="J588" s="34" t="str"/>
      <x:c r="K588" s="34" t="str"/>
      <x:c r="L588" s="34" t="str"/>
      <x:c r="M588" s="34" t="str"/>
      <x:c r="N588" s="34" t="str"/>
      <x:c r="O588" s="34" t="str"/>
      <x:c r="P588" s="34" t="str"/>
      <x:c r="Q588" s="34" t="str"/>
    </x:row>
    <x:row r="589">
      <x:c r="A589" s="34" t="str">
        <x:v>M5-HIT-0584</x:v>
      </x:c>
      <x:c r="B589" s="34" t="str"/>
      <x:c r="C589" s="34" t="str"/>
      <x:c r="D589" s="34" t="str"/>
      <x:c r="E589" s="34" t="str"/>
      <x:c r="F589" s="34" t="str"/>
      <x:c r="G589" s="34" t="str"/>
      <x:c r="H589" s="34" t="str"/>
      <x:c r="I589" s="34" t="str"/>
      <x:c r="J589" s="34" t="str"/>
      <x:c r="K589" s="34" t="str"/>
      <x:c r="L589" s="34" t="str"/>
      <x:c r="M589" s="34" t="str"/>
      <x:c r="N589" s="34" t="str"/>
      <x:c r="O589" s="34" t="str"/>
      <x:c r="P589" s="34" t="str"/>
      <x:c r="Q589" s="34" t="str"/>
    </x:row>
    <x:row r="590">
      <x:c r="A590" s="34" t="str">
        <x:v>M5-HIT-0585</x:v>
      </x:c>
      <x:c r="B590" s="34" t="str"/>
      <x:c r="C590" s="34" t="str"/>
      <x:c r="D590" s="34" t="str"/>
      <x:c r="E590" s="34" t="str"/>
      <x:c r="F590" s="34" t="str"/>
      <x:c r="G590" s="34" t="str"/>
      <x:c r="H590" s="34" t="str"/>
      <x:c r="I590" s="34" t="str"/>
      <x:c r="J590" s="34" t="str"/>
      <x:c r="K590" s="34" t="str"/>
      <x:c r="L590" s="34" t="str"/>
      <x:c r="M590" s="34" t="str"/>
      <x:c r="N590" s="34" t="str"/>
      <x:c r="O590" s="34" t="str"/>
      <x:c r="P590" s="34" t="str"/>
      <x:c r="Q590" s="34" t="str"/>
    </x:row>
    <x:row r="591">
      <x:c r="A591" s="34" t="str">
        <x:v>M5-HIT-0586</x:v>
      </x:c>
      <x:c r="B591" s="34" t="str"/>
      <x:c r="C591" s="34" t="str"/>
      <x:c r="D591" s="34" t="str"/>
      <x:c r="E591" s="34" t="str"/>
      <x:c r="F591" s="34" t="str"/>
      <x:c r="G591" s="34" t="str"/>
      <x:c r="H591" s="34" t="str"/>
      <x:c r="I591" s="34" t="str"/>
      <x:c r="J591" s="34" t="str"/>
      <x:c r="K591" s="34" t="str"/>
      <x:c r="L591" s="34" t="str"/>
      <x:c r="M591" s="34" t="str"/>
      <x:c r="N591" s="34" t="str"/>
      <x:c r="O591" s="34" t="str"/>
      <x:c r="P591" s="34" t="str"/>
      <x:c r="Q591" s="34" t="str"/>
    </x:row>
    <x:row r="592">
      <x:c r="A592" s="34" t="str">
        <x:v>M5-HIT-0587</x:v>
      </x:c>
      <x:c r="B592" s="34" t="str"/>
      <x:c r="C592" s="34" t="str"/>
      <x:c r="D592" s="34" t="str"/>
      <x:c r="E592" s="34" t="str"/>
      <x:c r="F592" s="34" t="str"/>
      <x:c r="G592" s="34" t="str"/>
      <x:c r="H592" s="34" t="str"/>
      <x:c r="I592" s="34" t="str"/>
      <x:c r="J592" s="34" t="str"/>
      <x:c r="K592" s="34" t="str"/>
      <x:c r="L592" s="34" t="str"/>
      <x:c r="M592" s="34" t="str"/>
      <x:c r="N592" s="34" t="str"/>
      <x:c r="O592" s="34" t="str"/>
      <x:c r="P592" s="34" t="str"/>
      <x:c r="Q592" s="34" t="str"/>
    </x:row>
    <x:row r="593">
      <x:c r="A593" s="34" t="str">
        <x:v>M5-HIT-0588</x:v>
      </x:c>
      <x:c r="B593" s="34" t="str"/>
      <x:c r="C593" s="34" t="str"/>
      <x:c r="D593" s="34" t="str"/>
      <x:c r="E593" s="34" t="str"/>
      <x:c r="F593" s="34" t="str"/>
      <x:c r="G593" s="34" t="str"/>
      <x:c r="H593" s="34" t="str"/>
      <x:c r="I593" s="34" t="str"/>
      <x:c r="J593" s="34" t="str"/>
      <x:c r="K593" s="34" t="str"/>
      <x:c r="L593" s="34" t="str"/>
      <x:c r="M593" s="34" t="str"/>
      <x:c r="N593" s="34" t="str"/>
      <x:c r="O593" s="34" t="str"/>
      <x:c r="P593" s="34" t="str"/>
      <x:c r="Q593" s="34" t="str"/>
    </x:row>
    <x:row r="594">
      <x:c r="A594" s="34" t="str">
        <x:v>M5-HIT-0589</x:v>
      </x:c>
      <x:c r="B594" s="34" t="str"/>
      <x:c r="C594" s="34" t="str"/>
      <x:c r="D594" s="34" t="str"/>
      <x:c r="E594" s="34" t="str"/>
      <x:c r="F594" s="34" t="str"/>
      <x:c r="G594" s="34" t="str"/>
      <x:c r="H594" s="34" t="str"/>
      <x:c r="I594" s="34" t="str"/>
      <x:c r="J594" s="34" t="str"/>
      <x:c r="K594" s="34" t="str"/>
      <x:c r="L594" s="34" t="str"/>
      <x:c r="M594" s="34" t="str"/>
      <x:c r="N594" s="34" t="str"/>
      <x:c r="O594" s="34" t="str"/>
      <x:c r="P594" s="34" t="str"/>
      <x:c r="Q594" s="34" t="str"/>
    </x:row>
    <x:row r="595">
      <x:c r="A595" s="34" t="str">
        <x:v>M5-HIT-0590</x:v>
      </x:c>
      <x:c r="B595" s="34" t="str"/>
      <x:c r="C595" s="34" t="str"/>
      <x:c r="D595" s="34" t="str"/>
      <x:c r="E595" s="34" t="str"/>
      <x:c r="F595" s="34" t="str"/>
      <x:c r="G595" s="34" t="str"/>
      <x:c r="H595" s="34" t="str"/>
      <x:c r="I595" s="34" t="str"/>
      <x:c r="J595" s="34" t="str"/>
      <x:c r="K595" s="34" t="str"/>
      <x:c r="L595" s="34" t="str"/>
      <x:c r="M595" s="34" t="str"/>
      <x:c r="N595" s="34" t="str"/>
      <x:c r="O595" s="34" t="str"/>
      <x:c r="P595" s="34" t="str"/>
      <x:c r="Q595" s="34" t="str"/>
    </x:row>
    <x:row r="596">
      <x:c r="A596" s="34" t="str">
        <x:v>M5-HIT-0591</x:v>
      </x:c>
      <x:c r="B596" s="34" t="str"/>
      <x:c r="C596" s="34" t="str"/>
      <x:c r="D596" s="34" t="str"/>
      <x:c r="E596" s="34" t="str"/>
      <x:c r="F596" s="34" t="str"/>
      <x:c r="G596" s="34" t="str"/>
      <x:c r="H596" s="34" t="str"/>
      <x:c r="I596" s="34" t="str"/>
      <x:c r="J596" s="34" t="str"/>
      <x:c r="K596" s="34" t="str"/>
      <x:c r="L596" s="34" t="str"/>
      <x:c r="M596" s="34" t="str"/>
      <x:c r="N596" s="34" t="str"/>
      <x:c r="O596" s="34" t="str"/>
      <x:c r="P596" s="34" t="str"/>
      <x:c r="Q596" s="34" t="str"/>
    </x:row>
    <x:row r="597">
      <x:c r="A597" s="34" t="str">
        <x:v>M5-HIT-0592</x:v>
      </x:c>
      <x:c r="B597" s="34" t="str"/>
      <x:c r="C597" s="34" t="str"/>
      <x:c r="D597" s="34" t="str"/>
      <x:c r="E597" s="34" t="str"/>
      <x:c r="F597" s="34" t="str"/>
      <x:c r="G597" s="34" t="str"/>
      <x:c r="H597" s="34" t="str"/>
      <x:c r="I597" s="34" t="str"/>
      <x:c r="J597" s="34" t="str"/>
      <x:c r="K597" s="34" t="str"/>
      <x:c r="L597" s="34" t="str"/>
      <x:c r="M597" s="34" t="str"/>
      <x:c r="N597" s="34" t="str"/>
      <x:c r="O597" s="34" t="str"/>
      <x:c r="P597" s="34" t="str"/>
      <x:c r="Q597" s="34" t="str"/>
    </x:row>
    <x:row r="598">
      <x:c r="A598" s="34" t="str">
        <x:v>M5-HIT-0593</x:v>
      </x:c>
      <x:c r="B598" s="34" t="str"/>
      <x:c r="C598" s="34" t="str"/>
      <x:c r="D598" s="34" t="str"/>
      <x:c r="E598" s="34" t="str"/>
      <x:c r="F598" s="34" t="str"/>
      <x:c r="G598" s="34" t="str"/>
      <x:c r="H598" s="34" t="str"/>
      <x:c r="I598" s="34" t="str"/>
      <x:c r="J598" s="34" t="str"/>
      <x:c r="K598" s="34" t="str"/>
      <x:c r="L598" s="34" t="str"/>
      <x:c r="M598" s="34" t="str"/>
      <x:c r="N598" s="34" t="str"/>
      <x:c r="O598" s="34" t="str"/>
      <x:c r="P598" s="34" t="str"/>
      <x:c r="Q598" s="34" t="str"/>
    </x:row>
    <x:row r="599">
      <x:c r="A599" s="34" t="str">
        <x:v>M5-HIT-0594</x:v>
      </x:c>
      <x:c r="B599" s="34" t="str"/>
      <x:c r="C599" s="34" t="str"/>
      <x:c r="D599" s="34" t="str"/>
      <x:c r="E599" s="34" t="str"/>
      <x:c r="F599" s="34" t="str"/>
      <x:c r="G599" s="34" t="str"/>
      <x:c r="H599" s="34" t="str"/>
      <x:c r="I599" s="34" t="str"/>
      <x:c r="J599" s="34" t="str"/>
      <x:c r="K599" s="34" t="str"/>
      <x:c r="L599" s="34" t="str"/>
      <x:c r="M599" s="34" t="str"/>
      <x:c r="N599" s="34" t="str"/>
      <x:c r="O599" s="34" t="str"/>
      <x:c r="P599" s="34" t="str"/>
      <x:c r="Q599" s="34" t="str"/>
    </x:row>
    <x:row r="600">
      <x:c r="A600" s="34" t="str">
        <x:v>M5-HIT-0595</x:v>
      </x:c>
      <x:c r="B600" s="34" t="str"/>
      <x:c r="C600" s="34" t="str"/>
      <x:c r="D600" s="34" t="str"/>
      <x:c r="E600" s="34" t="str"/>
      <x:c r="F600" s="34" t="str"/>
      <x:c r="G600" s="34" t="str"/>
      <x:c r="H600" s="34" t="str"/>
      <x:c r="I600" s="34" t="str"/>
      <x:c r="J600" s="34" t="str"/>
      <x:c r="K600" s="34" t="str"/>
      <x:c r="L600" s="34" t="str"/>
      <x:c r="M600" s="34" t="str"/>
      <x:c r="N600" s="34" t="str"/>
      <x:c r="O600" s="34" t="str"/>
      <x:c r="P600" s="34" t="str"/>
      <x:c r="Q600" s="34" t="str"/>
    </x:row>
    <x:row r="601">
      <x:c r="A601" s="34" t="str">
        <x:v>M5-HIT-0596</x:v>
      </x:c>
      <x:c r="B601" s="34" t="str"/>
      <x:c r="C601" s="34" t="str"/>
      <x:c r="D601" s="34" t="str"/>
      <x:c r="E601" s="34" t="str"/>
      <x:c r="F601" s="34" t="str"/>
      <x:c r="G601" s="34" t="str"/>
      <x:c r="H601" s="34" t="str"/>
      <x:c r="I601" s="34" t="str"/>
      <x:c r="J601" s="34" t="str"/>
      <x:c r="K601" s="34" t="str"/>
      <x:c r="L601" s="34" t="str"/>
      <x:c r="M601" s="34" t="str"/>
      <x:c r="N601" s="34" t="str"/>
      <x:c r="O601" s="34" t="str"/>
      <x:c r="P601" s="34" t="str"/>
      <x:c r="Q601" s="34" t="str"/>
    </x:row>
    <x:row r="602">
      <x:c r="A602" s="34" t="str">
        <x:v>M5-HIT-0597</x:v>
      </x:c>
      <x:c r="B602" s="34" t="str"/>
      <x:c r="C602" s="34" t="str"/>
      <x:c r="D602" s="34" t="str"/>
      <x:c r="E602" s="34" t="str"/>
      <x:c r="F602" s="34" t="str"/>
      <x:c r="G602" s="34" t="str"/>
      <x:c r="H602" s="34" t="str"/>
      <x:c r="I602" s="34" t="str"/>
      <x:c r="J602" s="34" t="str"/>
      <x:c r="K602" s="34" t="str"/>
      <x:c r="L602" s="34" t="str"/>
      <x:c r="M602" s="34" t="str"/>
      <x:c r="N602" s="34" t="str"/>
      <x:c r="O602" s="34" t="str"/>
      <x:c r="P602" s="34" t="str"/>
      <x:c r="Q602" s="34" t="str"/>
    </x:row>
    <x:row r="603">
      <x:c r="A603" s="34" t="str">
        <x:v>M5-HIT-0598</x:v>
      </x:c>
      <x:c r="B603" s="34" t="str"/>
      <x:c r="C603" s="34" t="str"/>
      <x:c r="D603" s="34" t="str"/>
      <x:c r="E603" s="34" t="str"/>
      <x:c r="F603" s="34" t="str"/>
      <x:c r="G603" s="34" t="str"/>
      <x:c r="H603" s="34" t="str"/>
      <x:c r="I603" s="34" t="str"/>
      <x:c r="J603" s="34" t="str"/>
      <x:c r="K603" s="34" t="str"/>
      <x:c r="L603" s="34" t="str"/>
      <x:c r="M603" s="34" t="str"/>
      <x:c r="N603" s="34" t="str"/>
      <x:c r="O603" s="34" t="str"/>
      <x:c r="P603" s="34" t="str"/>
      <x:c r="Q603" s="34" t="str"/>
    </x:row>
    <x:row r="604">
      <x:c r="A604" s="34" t="str">
        <x:v>M5-HIT-0599</x:v>
      </x:c>
      <x:c r="B604" s="34" t="str"/>
      <x:c r="C604" s="34" t="str"/>
      <x:c r="D604" s="34" t="str"/>
      <x:c r="E604" s="34" t="str"/>
      <x:c r="F604" s="34" t="str"/>
      <x:c r="G604" s="34" t="str"/>
      <x:c r="H604" s="34" t="str"/>
      <x:c r="I604" s="34" t="str"/>
      <x:c r="J604" s="34" t="str"/>
      <x:c r="K604" s="34" t="str"/>
      <x:c r="L604" s="34" t="str"/>
      <x:c r="M604" s="34" t="str"/>
      <x:c r="N604" s="34" t="str"/>
      <x:c r="O604" s="34" t="str"/>
      <x:c r="P604" s="34" t="str"/>
      <x:c r="Q604" s="34" t="str"/>
    </x:row>
    <x:row r="605">
      <x:c r="A605" s="34" t="str">
        <x:v>M5-HIT-0600</x:v>
      </x:c>
      <x:c r="B605" s="34" t="str"/>
      <x:c r="C605" s="34" t="str"/>
      <x:c r="D605" s="34" t="str"/>
      <x:c r="E605" s="34" t="str"/>
      <x:c r="F605" s="34" t="str"/>
      <x:c r="G605" s="34" t="str"/>
      <x:c r="H605" s="34" t="str"/>
      <x:c r="I605" s="34" t="str"/>
      <x:c r="J605" s="34" t="str"/>
      <x:c r="K605" s="34" t="str"/>
      <x:c r="L605" s="34" t="str"/>
      <x:c r="M605" s="34" t="str"/>
      <x:c r="N605" s="34" t="str"/>
      <x:c r="O605" s="34" t="str"/>
      <x:c r="P605" s="34" t="str"/>
      <x:c r="Q605" s="34" t="str"/>
    </x:row>
    <x:row r="606">
      <x:c r="A606" s="34" t="str">
        <x:v>M5-HIT-0601</x:v>
      </x:c>
      <x:c r="B606" s="34" t="str"/>
      <x:c r="C606" s="34" t="str"/>
      <x:c r="D606" s="34" t="str"/>
      <x:c r="E606" s="34" t="str"/>
      <x:c r="F606" s="34" t="str"/>
      <x:c r="G606" s="34" t="str"/>
      <x:c r="H606" s="34" t="str"/>
      <x:c r="I606" s="34" t="str"/>
      <x:c r="J606" s="34" t="str"/>
      <x:c r="K606" s="34" t="str"/>
      <x:c r="L606" s="34" t="str"/>
      <x:c r="M606" s="34" t="str"/>
      <x:c r="N606" s="34" t="str"/>
      <x:c r="O606" s="34" t="str"/>
      <x:c r="P606" s="34" t="str"/>
      <x:c r="Q606" s="34" t="str"/>
    </x:row>
    <x:row r="607">
      <x:c r="A607" s="34" t="str">
        <x:v>M5-HIT-0602</x:v>
      </x:c>
      <x:c r="B607" s="34" t="str"/>
      <x:c r="C607" s="34" t="str"/>
      <x:c r="D607" s="34" t="str"/>
      <x:c r="E607" s="34" t="str"/>
      <x:c r="F607" s="34" t="str"/>
      <x:c r="G607" s="34" t="str"/>
      <x:c r="H607" s="34" t="str"/>
      <x:c r="I607" s="34" t="str"/>
      <x:c r="J607" s="34" t="str"/>
      <x:c r="K607" s="34" t="str"/>
      <x:c r="L607" s="34" t="str"/>
      <x:c r="M607" s="34" t="str"/>
      <x:c r="N607" s="34" t="str"/>
      <x:c r="O607" s="34" t="str"/>
      <x:c r="P607" s="34" t="str"/>
      <x:c r="Q607" s="34" t="str"/>
    </x:row>
    <x:row r="608">
      <x:c r="A608" s="34" t="str">
        <x:v>M5-HIT-0603</x:v>
      </x:c>
      <x:c r="B608" s="34" t="str"/>
      <x:c r="C608" s="34" t="str"/>
      <x:c r="D608" s="34" t="str"/>
      <x:c r="E608" s="34" t="str"/>
      <x:c r="F608" s="34" t="str"/>
      <x:c r="G608" s="34" t="str"/>
      <x:c r="H608" s="34" t="str"/>
      <x:c r="I608" s="34" t="str"/>
      <x:c r="J608" s="34" t="str"/>
      <x:c r="K608" s="34" t="str"/>
      <x:c r="L608" s="34" t="str"/>
      <x:c r="M608" s="34" t="str"/>
      <x:c r="N608" s="34" t="str"/>
      <x:c r="O608" s="34" t="str"/>
      <x:c r="P608" s="34" t="str"/>
      <x:c r="Q608" s="34" t="str"/>
    </x:row>
    <x:row r="609">
      <x:c r="A609" s="34" t="str">
        <x:v>M5-HIT-0604</x:v>
      </x:c>
      <x:c r="B609" s="34" t="str"/>
      <x:c r="C609" s="34" t="str"/>
      <x:c r="D609" s="34" t="str"/>
      <x:c r="E609" s="34" t="str"/>
      <x:c r="F609" s="34" t="str"/>
      <x:c r="G609" s="34" t="str"/>
      <x:c r="H609" s="34" t="str"/>
      <x:c r="I609" s="34" t="str"/>
      <x:c r="J609" s="34" t="str"/>
      <x:c r="K609" s="34" t="str"/>
      <x:c r="L609" s="34" t="str"/>
      <x:c r="M609" s="34" t="str"/>
      <x:c r="N609" s="34" t="str"/>
      <x:c r="O609" s="34" t="str"/>
      <x:c r="P609" s="34" t="str"/>
      <x:c r="Q609" s="34" t="str"/>
    </x:row>
    <x:row r="610">
      <x:c r="A610" s="34" t="str">
        <x:v>M5-HIT-0605</x:v>
      </x:c>
      <x:c r="B610" s="34" t="str"/>
      <x:c r="C610" s="34" t="str"/>
      <x:c r="D610" s="34" t="str"/>
      <x:c r="E610" s="34" t="str"/>
      <x:c r="F610" s="34" t="str"/>
      <x:c r="G610" s="34" t="str"/>
      <x:c r="H610" s="34" t="str"/>
      <x:c r="I610" s="34" t="str"/>
      <x:c r="J610" s="34" t="str"/>
      <x:c r="K610" s="34" t="str"/>
      <x:c r="L610" s="34" t="str"/>
      <x:c r="M610" s="34" t="str"/>
      <x:c r="N610" s="34" t="str"/>
      <x:c r="O610" s="34" t="str"/>
      <x:c r="P610" s="34" t="str"/>
      <x:c r="Q610" s="34" t="str"/>
    </x:row>
    <x:row r="611">
      <x:c r="A611" s="34" t="str">
        <x:v>M5-HIT-0606</x:v>
      </x:c>
      <x:c r="B611" s="34" t="str"/>
      <x:c r="C611" s="34" t="str"/>
      <x:c r="D611" s="34" t="str"/>
      <x:c r="E611" s="34" t="str"/>
      <x:c r="F611" s="34" t="str"/>
      <x:c r="G611" s="34" t="str"/>
      <x:c r="H611" s="34" t="str"/>
      <x:c r="I611" s="34" t="str"/>
      <x:c r="J611" s="34" t="str"/>
      <x:c r="K611" s="34" t="str"/>
      <x:c r="L611" s="34" t="str"/>
      <x:c r="M611" s="34" t="str"/>
      <x:c r="N611" s="34" t="str"/>
      <x:c r="O611" s="34" t="str"/>
      <x:c r="P611" s="34" t="str"/>
      <x:c r="Q611" s="34" t="str"/>
    </x:row>
    <x:row r="612">
      <x:c r="A612" s="34" t="str">
        <x:v>M5-HIT-0607</x:v>
      </x:c>
      <x:c r="B612" s="34" t="str"/>
      <x:c r="C612" s="34" t="str"/>
      <x:c r="D612" s="34" t="str"/>
      <x:c r="E612" s="34" t="str"/>
      <x:c r="F612" s="34" t="str"/>
      <x:c r="G612" s="34" t="str"/>
      <x:c r="H612" s="34" t="str"/>
      <x:c r="I612" s="34" t="str"/>
      <x:c r="J612" s="34" t="str"/>
      <x:c r="K612" s="34" t="str"/>
      <x:c r="L612" s="34" t="str"/>
      <x:c r="M612" s="34" t="str"/>
      <x:c r="N612" s="34" t="str"/>
      <x:c r="O612" s="34" t="str"/>
      <x:c r="P612" s="34" t="str"/>
      <x:c r="Q612" s="34" t="str"/>
    </x:row>
    <x:row r="613">
      <x:c r="A613" s="34" t="str">
        <x:v>M5-HIT-0608</x:v>
      </x:c>
      <x:c r="B613" s="34" t="str"/>
      <x:c r="C613" s="34" t="str"/>
      <x:c r="D613" s="34" t="str"/>
      <x:c r="E613" s="34" t="str"/>
      <x:c r="F613" s="34" t="str"/>
      <x:c r="G613" s="34" t="str"/>
      <x:c r="H613" s="34" t="str"/>
      <x:c r="I613" s="34" t="str"/>
      <x:c r="J613" s="34" t="str"/>
      <x:c r="K613" s="34" t="str"/>
      <x:c r="L613" s="34" t="str"/>
      <x:c r="M613" s="34" t="str"/>
      <x:c r="N613" s="34" t="str"/>
      <x:c r="O613" s="34" t="str"/>
      <x:c r="P613" s="34" t="str"/>
      <x:c r="Q613" s="34" t="str"/>
    </x:row>
    <x:row r="614">
      <x:c r="A614" s="34" t="str">
        <x:v>M5-HIT-0609</x:v>
      </x:c>
      <x:c r="B614" s="34" t="str"/>
      <x:c r="C614" s="34" t="str"/>
      <x:c r="D614" s="34" t="str"/>
      <x:c r="E614" s="34" t="str"/>
      <x:c r="F614" s="34" t="str"/>
      <x:c r="G614" s="34" t="str"/>
      <x:c r="H614" s="34" t="str"/>
      <x:c r="I614" s="34" t="str"/>
      <x:c r="J614" s="34" t="str"/>
      <x:c r="K614" s="34" t="str"/>
      <x:c r="L614" s="34" t="str"/>
      <x:c r="M614" s="34" t="str"/>
      <x:c r="N614" s="34" t="str"/>
      <x:c r="O614" s="34" t="str"/>
      <x:c r="P614" s="34" t="str"/>
      <x:c r="Q614" s="34" t="str"/>
    </x:row>
    <x:row r="615">
      <x:c r="A615" s="34" t="str">
        <x:v>M5-HIT-0610</x:v>
      </x:c>
      <x:c r="B615" s="34" t="str"/>
      <x:c r="C615" s="34" t="str"/>
      <x:c r="D615" s="34" t="str"/>
      <x:c r="E615" s="34" t="str"/>
      <x:c r="F615" s="34" t="str"/>
      <x:c r="G615" s="34" t="str"/>
      <x:c r="H615" s="34" t="str"/>
      <x:c r="I615" s="34" t="str"/>
      <x:c r="J615" s="34" t="str"/>
      <x:c r="K615" s="34" t="str"/>
      <x:c r="L615" s="34" t="str"/>
      <x:c r="M615" s="34" t="str"/>
      <x:c r="N615" s="34" t="str"/>
      <x:c r="O615" s="34" t="str"/>
      <x:c r="P615" s="34" t="str"/>
      <x:c r="Q615" s="34" t="str"/>
    </x:row>
    <x:row r="616">
      <x:c r="A616" s="34" t="str">
        <x:v>M5-HIT-0611</x:v>
      </x:c>
      <x:c r="B616" s="34" t="str"/>
      <x:c r="C616" s="34" t="str"/>
      <x:c r="D616" s="34" t="str"/>
      <x:c r="E616" s="34" t="str"/>
      <x:c r="F616" s="34" t="str"/>
      <x:c r="G616" s="34" t="str"/>
      <x:c r="H616" s="34" t="str"/>
      <x:c r="I616" s="34" t="str"/>
      <x:c r="J616" s="34" t="str"/>
      <x:c r="K616" s="34" t="str"/>
      <x:c r="L616" s="34" t="str"/>
      <x:c r="M616" s="34" t="str"/>
      <x:c r="N616" s="34" t="str"/>
      <x:c r="O616" s="34" t="str"/>
      <x:c r="P616" s="34" t="str"/>
      <x:c r="Q616" s="34" t="str"/>
    </x:row>
    <x:row r="617">
      <x:c r="A617" s="34" t="str">
        <x:v>M5-HIT-0612</x:v>
      </x:c>
      <x:c r="B617" s="34" t="str"/>
      <x:c r="C617" s="34" t="str"/>
      <x:c r="D617" s="34" t="str"/>
      <x:c r="E617" s="34" t="str"/>
      <x:c r="F617" s="34" t="str"/>
      <x:c r="G617" s="34" t="str"/>
      <x:c r="H617" s="34" t="str"/>
      <x:c r="I617" s="34" t="str"/>
      <x:c r="J617" s="34" t="str"/>
      <x:c r="K617" s="34" t="str"/>
      <x:c r="L617" s="34" t="str"/>
      <x:c r="M617" s="34" t="str"/>
      <x:c r="N617" s="34" t="str"/>
      <x:c r="O617" s="34" t="str"/>
      <x:c r="P617" s="34" t="str"/>
      <x:c r="Q617" s="34" t="str"/>
    </x:row>
    <x:row r="618">
      <x:c r="A618" s="34" t="str">
        <x:v>M5-HIT-0613</x:v>
      </x:c>
      <x:c r="B618" s="34" t="str"/>
      <x:c r="C618" s="34" t="str"/>
      <x:c r="D618" s="34" t="str"/>
      <x:c r="E618" s="34" t="str"/>
      <x:c r="F618" s="34" t="str"/>
      <x:c r="G618" s="34" t="str"/>
      <x:c r="H618" s="34" t="str"/>
      <x:c r="I618" s="34" t="str"/>
      <x:c r="J618" s="34" t="str"/>
      <x:c r="K618" s="34" t="str"/>
      <x:c r="L618" s="34" t="str"/>
      <x:c r="M618" s="34" t="str"/>
      <x:c r="N618" s="34" t="str"/>
      <x:c r="O618" s="34" t="str"/>
      <x:c r="P618" s="34" t="str"/>
      <x:c r="Q618" s="34" t="str"/>
    </x:row>
    <x:row r="619">
      <x:c r="A619" s="34" t="str">
        <x:v>M5-HIT-0614</x:v>
      </x:c>
      <x:c r="B619" s="34" t="str"/>
      <x:c r="C619" s="34" t="str"/>
      <x:c r="D619" s="34" t="str"/>
      <x:c r="E619" s="34" t="str"/>
      <x:c r="F619" s="34" t="str"/>
      <x:c r="G619" s="34" t="str"/>
      <x:c r="H619" s="34" t="str"/>
      <x:c r="I619" s="34" t="str"/>
      <x:c r="J619" s="34" t="str"/>
      <x:c r="K619" s="34" t="str"/>
      <x:c r="L619" s="34" t="str"/>
      <x:c r="M619" s="34" t="str"/>
      <x:c r="N619" s="34" t="str"/>
      <x:c r="O619" s="34" t="str"/>
      <x:c r="P619" s="34" t="str"/>
      <x:c r="Q619" s="34" t="str"/>
    </x:row>
    <x:row r="620">
      <x:c r="A620" s="34" t="str">
        <x:v>M5-HIT-0615</x:v>
      </x:c>
      <x:c r="B620" s="34" t="str"/>
      <x:c r="C620" s="34" t="str"/>
      <x:c r="D620" s="34" t="str"/>
      <x:c r="E620" s="34" t="str"/>
      <x:c r="F620" s="34" t="str"/>
      <x:c r="G620" s="34" t="str"/>
      <x:c r="H620" s="34" t="str"/>
      <x:c r="I620" s="34" t="str"/>
      <x:c r="J620" s="34" t="str"/>
      <x:c r="K620" s="34" t="str"/>
      <x:c r="L620" s="34" t="str"/>
      <x:c r="M620" s="34" t="str"/>
      <x:c r="N620" s="34" t="str"/>
      <x:c r="O620" s="34" t="str"/>
      <x:c r="P620" s="34" t="str"/>
      <x:c r="Q620" s="34" t="str"/>
    </x:row>
    <x:row r="621">
      <x:c r="A621" s="34" t="str">
        <x:v>M5-HIT-0616</x:v>
      </x:c>
      <x:c r="B621" s="34" t="str"/>
      <x:c r="C621" s="34" t="str"/>
      <x:c r="D621" s="34" t="str"/>
      <x:c r="E621" s="34" t="str"/>
      <x:c r="F621" s="34" t="str"/>
      <x:c r="G621" s="34" t="str"/>
      <x:c r="H621" s="34" t="str"/>
      <x:c r="I621" s="34" t="str"/>
      <x:c r="J621" s="34" t="str"/>
      <x:c r="K621" s="34" t="str"/>
      <x:c r="L621" s="34" t="str"/>
      <x:c r="M621" s="34" t="str"/>
      <x:c r="N621" s="34" t="str"/>
      <x:c r="O621" s="34" t="str"/>
      <x:c r="P621" s="34" t="str"/>
      <x:c r="Q621" s="34" t="str"/>
    </x:row>
    <x:row r="622">
      <x:c r="A622" s="34" t="str">
        <x:v>M5-HIT-0617</x:v>
      </x:c>
      <x:c r="B622" s="34" t="str"/>
      <x:c r="C622" s="34" t="str"/>
      <x:c r="D622" s="34" t="str"/>
      <x:c r="E622" s="34" t="str"/>
      <x:c r="F622" s="34" t="str"/>
      <x:c r="G622" s="34" t="str"/>
      <x:c r="H622" s="34" t="str"/>
      <x:c r="I622" s="34" t="str"/>
      <x:c r="J622" s="34" t="str"/>
      <x:c r="K622" s="34" t="str"/>
      <x:c r="L622" s="34" t="str"/>
      <x:c r="M622" s="34" t="str"/>
      <x:c r="N622" s="34" t="str"/>
      <x:c r="O622" s="34" t="str"/>
      <x:c r="P622" s="34" t="str"/>
      <x:c r="Q622" s="34" t="str"/>
    </x:row>
    <x:row r="623">
      <x:c r="A623" s="34" t="str">
        <x:v>M5-HIT-0618</x:v>
      </x:c>
      <x:c r="B623" s="34" t="str"/>
      <x:c r="C623" s="34" t="str"/>
      <x:c r="D623" s="34" t="str"/>
      <x:c r="E623" s="34" t="str"/>
      <x:c r="F623" s="34" t="str"/>
      <x:c r="G623" s="34" t="str"/>
      <x:c r="H623" s="34" t="str"/>
      <x:c r="I623" s="34" t="str"/>
      <x:c r="J623" s="34" t="str"/>
      <x:c r="K623" s="34" t="str"/>
      <x:c r="L623" s="34" t="str"/>
      <x:c r="M623" s="34" t="str"/>
      <x:c r="N623" s="34" t="str"/>
      <x:c r="O623" s="34" t="str"/>
      <x:c r="P623" s="34" t="str"/>
      <x:c r="Q623" s="34" t="str"/>
    </x:row>
    <x:row r="624">
      <x:c r="A624" s="34" t="str">
        <x:v>M5-HIT-0619</x:v>
      </x:c>
      <x:c r="B624" s="34" t="str"/>
      <x:c r="C624" s="34" t="str"/>
      <x:c r="D624" s="34" t="str"/>
      <x:c r="E624" s="34" t="str"/>
      <x:c r="F624" s="34" t="str"/>
      <x:c r="G624" s="34" t="str"/>
      <x:c r="H624" s="34" t="str"/>
      <x:c r="I624" s="34" t="str"/>
      <x:c r="J624" s="34" t="str"/>
      <x:c r="K624" s="34" t="str"/>
      <x:c r="L624" s="34" t="str"/>
      <x:c r="M624" s="34" t="str"/>
      <x:c r="N624" s="34" t="str"/>
      <x:c r="O624" s="34" t="str"/>
      <x:c r="P624" s="34" t="str"/>
      <x:c r="Q624" s="34" t="str"/>
    </x:row>
    <x:row r="625">
      <x:c r="A625" s="34" t="str">
        <x:v>M5-HIT-0620</x:v>
      </x:c>
      <x:c r="B625" s="34" t="str"/>
      <x:c r="C625" s="34" t="str"/>
      <x:c r="D625" s="34" t="str"/>
      <x:c r="E625" s="34" t="str"/>
      <x:c r="F625" s="34" t="str"/>
      <x:c r="G625" s="34" t="str"/>
      <x:c r="H625" s="34" t="str"/>
      <x:c r="I625" s="34" t="str"/>
      <x:c r="J625" s="34" t="str"/>
      <x:c r="K625" s="34" t="str"/>
      <x:c r="L625" s="34" t="str"/>
      <x:c r="M625" s="34" t="str"/>
      <x:c r="N625" s="34" t="str"/>
      <x:c r="O625" s="34" t="str"/>
      <x:c r="P625" s="34" t="str"/>
      <x:c r="Q625" s="34" t="str"/>
    </x:row>
    <x:row r="626">
      <x:c r="A626" s="34" t="str">
        <x:v>M5-HIT-0621</x:v>
      </x:c>
      <x:c r="B626" s="34" t="str"/>
      <x:c r="C626" s="34" t="str"/>
      <x:c r="D626" s="34" t="str"/>
      <x:c r="E626" s="34" t="str"/>
      <x:c r="F626" s="34" t="str"/>
      <x:c r="G626" s="34" t="str"/>
      <x:c r="H626" s="34" t="str"/>
      <x:c r="I626" s="34" t="str"/>
      <x:c r="J626" s="34" t="str"/>
      <x:c r="K626" s="34" t="str"/>
      <x:c r="L626" s="34" t="str"/>
      <x:c r="M626" s="34" t="str"/>
      <x:c r="N626" s="34" t="str"/>
      <x:c r="O626" s="34" t="str"/>
      <x:c r="P626" s="34" t="str"/>
      <x:c r="Q626" s="34" t="str"/>
    </x:row>
    <x:row r="627">
      <x:c r="A627" s="34" t="str">
        <x:v>M5-HIT-0622</x:v>
      </x:c>
      <x:c r="B627" s="34" t="str"/>
      <x:c r="C627" s="34" t="str"/>
      <x:c r="D627" s="34" t="str"/>
      <x:c r="E627" s="34" t="str"/>
      <x:c r="F627" s="34" t="str"/>
      <x:c r="G627" s="34" t="str"/>
      <x:c r="H627" s="34" t="str"/>
      <x:c r="I627" s="34" t="str"/>
      <x:c r="J627" s="34" t="str"/>
      <x:c r="K627" s="34" t="str"/>
      <x:c r="L627" s="34" t="str"/>
      <x:c r="M627" s="34" t="str"/>
      <x:c r="N627" s="34" t="str"/>
      <x:c r="O627" s="34" t="str"/>
      <x:c r="P627" s="34" t="str"/>
      <x:c r="Q627" s="34" t="str"/>
    </x:row>
    <x:row r="628">
      <x:c r="A628" s="34" t="str">
        <x:v>M5-HIT-0623</x:v>
      </x:c>
      <x:c r="B628" s="34" t="str"/>
      <x:c r="C628" s="34" t="str"/>
      <x:c r="D628" s="34" t="str"/>
      <x:c r="E628" s="34" t="str"/>
      <x:c r="F628" s="34" t="str"/>
      <x:c r="G628" s="34" t="str"/>
      <x:c r="H628" s="34" t="str"/>
      <x:c r="I628" s="34" t="str"/>
      <x:c r="J628" s="34" t="str"/>
      <x:c r="K628" s="34" t="str"/>
      <x:c r="L628" s="34" t="str"/>
      <x:c r="M628" s="34" t="str"/>
      <x:c r="N628" s="34" t="str"/>
      <x:c r="O628" s="34" t="str"/>
      <x:c r="P628" s="34" t="str"/>
      <x:c r="Q628" s="34" t="str"/>
    </x:row>
    <x:row r="629">
      <x:c r="A629" s="34" t="str">
        <x:v>M5-HIT-0624</x:v>
      </x:c>
      <x:c r="B629" s="34" t="str"/>
      <x:c r="C629" s="34" t="str"/>
      <x:c r="D629" s="34" t="str"/>
      <x:c r="E629" s="34" t="str"/>
      <x:c r="F629" s="34" t="str"/>
      <x:c r="G629" s="34" t="str"/>
      <x:c r="H629" s="34" t="str"/>
      <x:c r="I629" s="34" t="str"/>
      <x:c r="J629" s="34" t="str"/>
      <x:c r="K629" s="34" t="str"/>
      <x:c r="L629" s="34" t="str"/>
      <x:c r="M629" s="34" t="str"/>
      <x:c r="N629" s="34" t="str"/>
      <x:c r="O629" s="34" t="str"/>
      <x:c r="P629" s="34" t="str"/>
      <x:c r="Q629" s="34" t="str"/>
    </x:row>
    <x:row r="630">
      <x:c r="A630" s="34" t="str">
        <x:v>M5-HIT-0625</x:v>
      </x:c>
      <x:c r="B630" s="34" t="str"/>
      <x:c r="C630" s="34" t="str"/>
      <x:c r="D630" s="34" t="str"/>
      <x:c r="E630" s="34" t="str"/>
      <x:c r="F630" s="34" t="str"/>
      <x:c r="G630" s="34" t="str"/>
      <x:c r="H630" s="34" t="str"/>
      <x:c r="I630" s="34" t="str"/>
      <x:c r="J630" s="34" t="str"/>
      <x:c r="K630" s="34" t="str"/>
      <x:c r="L630" s="34" t="str"/>
      <x:c r="M630" s="34" t="str"/>
      <x:c r="N630" s="34" t="str"/>
      <x:c r="O630" s="34" t="str"/>
      <x:c r="P630" s="34" t="str"/>
      <x:c r="Q630" s="34" t="str"/>
    </x:row>
    <x:row r="631">
      <x:c r="A631" s="34" t="str">
        <x:v>M5-HIT-0626</x:v>
      </x:c>
      <x:c r="B631" s="34" t="str"/>
      <x:c r="C631" s="34" t="str"/>
      <x:c r="D631" s="34" t="str"/>
      <x:c r="E631" s="34" t="str"/>
      <x:c r="F631" s="34" t="str"/>
      <x:c r="G631" s="34" t="str"/>
      <x:c r="H631" s="34" t="str"/>
      <x:c r="I631" s="34" t="str"/>
      <x:c r="J631" s="34" t="str"/>
      <x:c r="K631" s="34" t="str"/>
      <x:c r="L631" s="34" t="str"/>
      <x:c r="M631" s="34" t="str"/>
      <x:c r="N631" s="34" t="str"/>
      <x:c r="O631" s="34" t="str"/>
      <x:c r="P631" s="34" t="str"/>
      <x:c r="Q631" s="34" t="str"/>
    </x:row>
    <x:row r="632">
      <x:c r="A632" s="34" t="str">
        <x:v>M5-HIT-0627</x:v>
      </x:c>
      <x:c r="B632" s="34" t="str"/>
      <x:c r="C632" s="34" t="str"/>
      <x:c r="D632" s="34" t="str"/>
      <x:c r="E632" s="34" t="str"/>
      <x:c r="F632" s="34" t="str"/>
      <x:c r="G632" s="34" t="str"/>
      <x:c r="H632" s="34" t="str"/>
      <x:c r="I632" s="34" t="str"/>
      <x:c r="J632" s="34" t="str"/>
      <x:c r="K632" s="34" t="str"/>
      <x:c r="L632" s="34" t="str"/>
      <x:c r="M632" s="34" t="str"/>
      <x:c r="N632" s="34" t="str"/>
      <x:c r="O632" s="34" t="str"/>
      <x:c r="P632" s="34" t="str"/>
      <x:c r="Q632" s="34" t="str"/>
    </x:row>
    <x:row r="633">
      <x:c r="A633" s="34" t="str">
        <x:v>M5-HIT-0628</x:v>
      </x:c>
      <x:c r="B633" s="34" t="str"/>
      <x:c r="C633" s="34" t="str"/>
      <x:c r="D633" s="34" t="str"/>
      <x:c r="E633" s="34" t="str"/>
      <x:c r="F633" s="34" t="str"/>
      <x:c r="G633" s="34" t="str"/>
      <x:c r="H633" s="34" t="str"/>
      <x:c r="I633" s="34" t="str"/>
      <x:c r="J633" s="34" t="str"/>
      <x:c r="K633" s="34" t="str"/>
      <x:c r="L633" s="34" t="str"/>
      <x:c r="M633" s="34" t="str"/>
      <x:c r="N633" s="34" t="str"/>
      <x:c r="O633" s="34" t="str"/>
      <x:c r="P633" s="34" t="str"/>
      <x:c r="Q633" s="34" t="str"/>
    </x:row>
    <x:row r="634">
      <x:c r="A634" s="34" t="str">
        <x:v>M5-HIT-0629</x:v>
      </x:c>
      <x:c r="B634" s="34" t="str"/>
      <x:c r="C634" s="34" t="str"/>
      <x:c r="D634" s="34" t="str"/>
      <x:c r="E634" s="34" t="str"/>
      <x:c r="F634" s="34" t="str"/>
      <x:c r="G634" s="34" t="str"/>
      <x:c r="H634" s="34" t="str"/>
      <x:c r="I634" s="34" t="str"/>
      <x:c r="J634" s="34" t="str"/>
      <x:c r="K634" s="34" t="str"/>
      <x:c r="L634" s="34" t="str"/>
      <x:c r="M634" s="34" t="str"/>
      <x:c r="N634" s="34" t="str"/>
      <x:c r="O634" s="34" t="str"/>
      <x:c r="P634" s="34" t="str"/>
      <x:c r="Q634" s="34" t="str"/>
    </x:row>
    <x:row r="635">
      <x:c r="A635" s="34" t="str">
        <x:v>M5-HIT-0630</x:v>
      </x:c>
      <x:c r="B635" s="34" t="str"/>
      <x:c r="C635" s="34" t="str"/>
      <x:c r="D635" s="34" t="str"/>
      <x:c r="E635" s="34" t="str"/>
      <x:c r="F635" s="34" t="str"/>
      <x:c r="G635" s="34" t="str"/>
      <x:c r="H635" s="34" t="str"/>
      <x:c r="I635" s="34" t="str"/>
      <x:c r="J635" s="34" t="str"/>
      <x:c r="K635" s="34" t="str"/>
      <x:c r="L635" s="34" t="str"/>
      <x:c r="M635" s="34" t="str"/>
      <x:c r="N635" s="34" t="str"/>
      <x:c r="O635" s="34" t="str"/>
      <x:c r="P635" s="34" t="str"/>
      <x:c r="Q635" s="34" t="str"/>
    </x:row>
    <x:row r="636">
      <x:c r="A636" s="34" t="str">
        <x:v>M5-HIT-0631</x:v>
      </x:c>
      <x:c r="B636" s="34" t="str"/>
      <x:c r="C636" s="34" t="str"/>
      <x:c r="D636" s="34" t="str"/>
      <x:c r="E636" s="34" t="str"/>
      <x:c r="F636" s="34" t="str"/>
      <x:c r="G636" s="34" t="str"/>
      <x:c r="H636" s="34" t="str"/>
      <x:c r="I636" s="34" t="str"/>
      <x:c r="J636" s="34" t="str"/>
      <x:c r="K636" s="34" t="str"/>
      <x:c r="L636" s="34" t="str"/>
      <x:c r="M636" s="34" t="str"/>
      <x:c r="N636" s="34" t="str"/>
      <x:c r="O636" s="34" t="str"/>
      <x:c r="P636" s="34" t="str"/>
      <x:c r="Q636" s="34" t="str"/>
    </x:row>
    <x:row r="637">
      <x:c r="A637" s="34" t="str">
        <x:v>M5-HIT-0632</x:v>
      </x:c>
      <x:c r="B637" s="34" t="str"/>
      <x:c r="C637" s="34" t="str"/>
      <x:c r="D637" s="34" t="str"/>
      <x:c r="E637" s="34" t="str"/>
      <x:c r="F637" s="34" t="str"/>
      <x:c r="G637" s="34" t="str"/>
      <x:c r="H637" s="34" t="str"/>
      <x:c r="I637" s="34" t="str"/>
      <x:c r="J637" s="34" t="str"/>
      <x:c r="K637" s="34" t="str"/>
      <x:c r="L637" s="34" t="str"/>
      <x:c r="M637" s="34" t="str"/>
      <x:c r="N637" s="34" t="str"/>
      <x:c r="O637" s="34" t="str"/>
      <x:c r="P637" s="34" t="str"/>
      <x:c r="Q637" s="34" t="str"/>
    </x:row>
    <x:row r="638">
      <x:c r="A638" s="34" t="str">
        <x:v>M5-HIT-0633</x:v>
      </x:c>
      <x:c r="B638" s="34" t="str"/>
      <x:c r="C638" s="34" t="str"/>
      <x:c r="D638" s="34" t="str"/>
      <x:c r="E638" s="34" t="str"/>
      <x:c r="F638" s="34" t="str"/>
      <x:c r="G638" s="34" t="str"/>
      <x:c r="H638" s="34" t="str"/>
      <x:c r="I638" s="34" t="str"/>
      <x:c r="J638" s="34" t="str"/>
      <x:c r="K638" s="34" t="str"/>
      <x:c r="L638" s="34" t="str"/>
      <x:c r="M638" s="34" t="str"/>
      <x:c r="N638" s="34" t="str"/>
      <x:c r="O638" s="34" t="str"/>
      <x:c r="P638" s="34" t="str"/>
      <x:c r="Q638" s="34" t="str"/>
    </x:row>
    <x:row r="639">
      <x:c r="A639" s="34" t="str">
        <x:v>M5-HIT-0634</x:v>
      </x:c>
      <x:c r="B639" s="34" t="str"/>
      <x:c r="C639" s="34" t="str"/>
      <x:c r="D639" s="34" t="str"/>
      <x:c r="E639" s="34" t="str"/>
      <x:c r="F639" s="34" t="str"/>
      <x:c r="G639" s="34" t="str"/>
      <x:c r="H639" s="34" t="str"/>
      <x:c r="I639" s="34" t="str"/>
      <x:c r="J639" s="34" t="str"/>
      <x:c r="K639" s="34" t="str"/>
      <x:c r="L639" s="34" t="str"/>
      <x:c r="M639" s="34" t="str"/>
      <x:c r="N639" s="34" t="str"/>
      <x:c r="O639" s="34" t="str"/>
      <x:c r="P639" s="34" t="str"/>
      <x:c r="Q639" s="34" t="str"/>
    </x:row>
    <x:row r="640">
      <x:c r="A640" s="34" t="str">
        <x:v>M5-HIT-0635</x:v>
      </x:c>
      <x:c r="B640" s="34" t="str"/>
      <x:c r="C640" s="34" t="str"/>
      <x:c r="D640" s="34" t="str"/>
      <x:c r="E640" s="34" t="str"/>
      <x:c r="F640" s="34" t="str"/>
      <x:c r="G640" s="34" t="str"/>
      <x:c r="H640" s="34" t="str"/>
      <x:c r="I640" s="34" t="str"/>
      <x:c r="J640" s="34" t="str"/>
      <x:c r="K640" s="34" t="str"/>
      <x:c r="L640" s="34" t="str"/>
      <x:c r="M640" s="34" t="str"/>
      <x:c r="N640" s="34" t="str"/>
      <x:c r="O640" s="34" t="str"/>
      <x:c r="P640" s="34" t="str"/>
      <x:c r="Q640" s="34" t="str"/>
    </x:row>
    <x:row r="641">
      <x:c r="A641" s="34" t="str">
        <x:v>M5-HIT-0636</x:v>
      </x:c>
      <x:c r="B641" s="34" t="str"/>
      <x:c r="C641" s="34" t="str"/>
      <x:c r="D641" s="34" t="str"/>
      <x:c r="E641" s="34" t="str"/>
      <x:c r="F641" s="34" t="str"/>
      <x:c r="G641" s="34" t="str"/>
      <x:c r="H641" s="34" t="str"/>
      <x:c r="I641" s="34" t="str"/>
      <x:c r="J641" s="34" t="str"/>
      <x:c r="K641" s="34" t="str"/>
      <x:c r="L641" s="34" t="str"/>
      <x:c r="M641" s="34" t="str"/>
      <x:c r="N641" s="34" t="str"/>
      <x:c r="O641" s="34" t="str"/>
      <x:c r="P641" s="34" t="str"/>
      <x:c r="Q641" s="34" t="str"/>
    </x:row>
    <x:row r="642">
      <x:c r="A642" s="34" t="str">
        <x:v>M5-HIT-0637</x:v>
      </x:c>
      <x:c r="B642" s="34" t="str"/>
      <x:c r="C642" s="34" t="str"/>
      <x:c r="D642" s="34" t="str"/>
      <x:c r="E642" s="34" t="str"/>
      <x:c r="F642" s="34" t="str"/>
      <x:c r="G642" s="34" t="str"/>
      <x:c r="H642" s="34" t="str"/>
      <x:c r="I642" s="34" t="str"/>
      <x:c r="J642" s="34" t="str"/>
      <x:c r="K642" s="34" t="str"/>
      <x:c r="L642" s="34" t="str"/>
      <x:c r="M642" s="34" t="str"/>
      <x:c r="N642" s="34" t="str"/>
      <x:c r="O642" s="34" t="str"/>
      <x:c r="P642" s="34" t="str"/>
      <x:c r="Q642" s="34" t="str"/>
    </x:row>
    <x:row r="643">
      <x:c r="A643" s="34" t="str">
        <x:v>M5-HIT-0638</x:v>
      </x:c>
      <x:c r="B643" s="34" t="str"/>
      <x:c r="C643" s="34" t="str"/>
      <x:c r="D643" s="34" t="str"/>
      <x:c r="E643" s="34" t="str"/>
      <x:c r="F643" s="34" t="str"/>
      <x:c r="G643" s="34" t="str"/>
      <x:c r="H643" s="34" t="str"/>
      <x:c r="I643" s="34" t="str"/>
      <x:c r="J643" s="34" t="str"/>
      <x:c r="K643" s="34" t="str"/>
      <x:c r="L643" s="34" t="str"/>
      <x:c r="M643" s="34" t="str"/>
      <x:c r="N643" s="34" t="str"/>
      <x:c r="O643" s="34" t="str"/>
      <x:c r="P643" s="34" t="str"/>
      <x:c r="Q643" s="34" t="str"/>
    </x:row>
    <x:row r="644">
      <x:c r="A644" s="34" t="str">
        <x:v>M5-HIT-0639</x:v>
      </x:c>
      <x:c r="B644" s="34" t="str"/>
      <x:c r="C644" s="34" t="str"/>
      <x:c r="D644" s="34" t="str"/>
      <x:c r="E644" s="34" t="str"/>
      <x:c r="F644" s="34" t="str"/>
      <x:c r="G644" s="34" t="str"/>
      <x:c r="H644" s="34" t="str"/>
      <x:c r="I644" s="34" t="str"/>
      <x:c r="J644" s="34" t="str"/>
      <x:c r="K644" s="34" t="str"/>
      <x:c r="L644" s="34" t="str"/>
      <x:c r="M644" s="34" t="str"/>
      <x:c r="N644" s="34" t="str"/>
      <x:c r="O644" s="34" t="str"/>
      <x:c r="P644" s="34" t="str"/>
      <x:c r="Q644" s="34" t="str"/>
    </x:row>
    <x:row r="645">
      <x:c r="A645" s="34" t="str">
        <x:v>M5-HIT-0640</x:v>
      </x:c>
      <x:c r="B645" s="34" t="str"/>
      <x:c r="C645" s="34" t="str"/>
      <x:c r="D645" s="34" t="str"/>
      <x:c r="E645" s="34" t="str"/>
      <x:c r="F645" s="34" t="str"/>
      <x:c r="G645" s="34" t="str"/>
      <x:c r="H645" s="34" t="str"/>
      <x:c r="I645" s="34" t="str"/>
      <x:c r="J645" s="34" t="str"/>
      <x:c r="K645" s="34" t="str"/>
      <x:c r="L645" s="34" t="str"/>
      <x:c r="M645" s="34" t="str"/>
      <x:c r="N645" s="34" t="str"/>
      <x:c r="O645" s="34" t="str"/>
      <x:c r="P645" s="34" t="str"/>
      <x:c r="Q645" s="34" t="str"/>
    </x:row>
    <x:row r="646">
      <x:c r="A646" s="34" t="str">
        <x:v>M5-HIT-0641</x:v>
      </x:c>
      <x:c r="B646" s="34" t="str"/>
      <x:c r="C646" s="34" t="str"/>
      <x:c r="D646" s="34" t="str"/>
      <x:c r="E646" s="34" t="str"/>
      <x:c r="F646" s="34" t="str"/>
      <x:c r="G646" s="34" t="str"/>
      <x:c r="H646" s="34" t="str"/>
      <x:c r="I646" s="34" t="str"/>
      <x:c r="J646" s="34" t="str"/>
      <x:c r="K646" s="34" t="str"/>
      <x:c r="L646" s="34" t="str"/>
      <x:c r="M646" s="34" t="str"/>
      <x:c r="N646" s="34" t="str"/>
      <x:c r="O646" s="34" t="str"/>
      <x:c r="P646" s="34" t="str"/>
      <x:c r="Q646" s="34" t="str"/>
    </x:row>
    <x:row r="647">
      <x:c r="A647" s="34" t="str">
        <x:v>M5-HIT-0642</x:v>
      </x:c>
      <x:c r="B647" s="34" t="str"/>
      <x:c r="C647" s="34" t="str"/>
      <x:c r="D647" s="34" t="str"/>
      <x:c r="E647" s="34" t="str"/>
      <x:c r="F647" s="34" t="str"/>
      <x:c r="G647" s="34" t="str"/>
      <x:c r="H647" s="34" t="str"/>
      <x:c r="I647" s="34" t="str"/>
      <x:c r="J647" s="34" t="str"/>
      <x:c r="K647" s="34" t="str"/>
      <x:c r="L647" s="34" t="str"/>
      <x:c r="M647" s="34" t="str"/>
      <x:c r="N647" s="34" t="str"/>
      <x:c r="O647" s="34" t="str"/>
      <x:c r="P647" s="34" t="str"/>
      <x:c r="Q647" s="34" t="str"/>
    </x:row>
    <x:row r="648">
      <x:c r="A648" s="34" t="str">
        <x:v>M5-HIT-0643</x:v>
      </x:c>
      <x:c r="B648" s="34" t="str"/>
      <x:c r="C648" s="34" t="str"/>
      <x:c r="D648" s="34" t="str"/>
      <x:c r="E648" s="34" t="str"/>
      <x:c r="F648" s="34" t="str"/>
      <x:c r="G648" s="34" t="str"/>
      <x:c r="H648" s="34" t="str"/>
      <x:c r="I648" s="34" t="str"/>
      <x:c r="J648" s="34" t="str"/>
      <x:c r="K648" s="34" t="str"/>
      <x:c r="L648" s="34" t="str"/>
      <x:c r="M648" s="34" t="str"/>
      <x:c r="N648" s="34" t="str"/>
      <x:c r="O648" s="34" t="str"/>
      <x:c r="P648" s="34" t="str"/>
      <x:c r="Q648" s="34" t="str"/>
    </x:row>
    <x:row r="649">
      <x:c r="A649" s="34" t="str">
        <x:v>M5-HIT-0644</x:v>
      </x:c>
      <x:c r="B649" s="34" t="str"/>
      <x:c r="C649" s="34" t="str"/>
      <x:c r="D649" s="34" t="str"/>
      <x:c r="E649" s="34" t="str"/>
      <x:c r="F649" s="34" t="str"/>
      <x:c r="G649" s="34" t="str"/>
      <x:c r="H649" s="34" t="str"/>
      <x:c r="I649" s="34" t="str"/>
      <x:c r="J649" s="34" t="str"/>
      <x:c r="K649" s="34" t="str"/>
      <x:c r="L649" s="34" t="str"/>
      <x:c r="M649" s="34" t="str"/>
      <x:c r="N649" s="34" t="str"/>
      <x:c r="O649" s="34" t="str"/>
      <x:c r="P649" s="34" t="str"/>
      <x:c r="Q649" s="34" t="str"/>
    </x:row>
    <x:row r="650">
      <x:c r="A650" s="34" t="str">
        <x:v>M5-HIT-0645</x:v>
      </x:c>
      <x:c r="B650" s="34" t="str"/>
      <x:c r="C650" s="34" t="str"/>
      <x:c r="D650" s="34" t="str"/>
      <x:c r="E650" s="34" t="str"/>
      <x:c r="F650" s="34" t="str"/>
      <x:c r="G650" s="34" t="str"/>
      <x:c r="H650" s="34" t="str"/>
      <x:c r="I650" s="34" t="str"/>
      <x:c r="J650" s="34" t="str"/>
      <x:c r="K650" s="34" t="str"/>
      <x:c r="L650" s="34" t="str"/>
      <x:c r="M650" s="34" t="str"/>
      <x:c r="N650" s="34" t="str"/>
      <x:c r="O650" s="34" t="str"/>
      <x:c r="P650" s="34" t="str"/>
      <x:c r="Q650" s="34" t="str"/>
    </x:row>
    <x:row r="651">
      <x:c r="A651" s="34" t="str">
        <x:v>M5-HIT-0646</x:v>
      </x:c>
      <x:c r="B651" s="34" t="str"/>
      <x:c r="C651" s="34" t="str"/>
      <x:c r="D651" s="34" t="str"/>
      <x:c r="E651" s="34" t="str"/>
      <x:c r="F651" s="34" t="str"/>
      <x:c r="G651" s="34" t="str"/>
      <x:c r="H651" s="34" t="str"/>
      <x:c r="I651" s="34" t="str"/>
      <x:c r="J651" s="34" t="str"/>
      <x:c r="K651" s="34" t="str"/>
      <x:c r="L651" s="34" t="str"/>
      <x:c r="M651" s="34" t="str"/>
      <x:c r="N651" s="34" t="str"/>
      <x:c r="O651" s="34" t="str"/>
      <x:c r="P651" s="34" t="str"/>
      <x:c r="Q651" s="34" t="str"/>
    </x:row>
    <x:row r="652">
      <x:c r="A652" s="34" t="str">
        <x:v>M5-HIT-0647</x:v>
      </x:c>
      <x:c r="B652" s="34" t="str"/>
      <x:c r="C652" s="34" t="str"/>
      <x:c r="D652" s="34" t="str"/>
      <x:c r="E652" s="34" t="str"/>
      <x:c r="F652" s="34" t="str"/>
      <x:c r="G652" s="34" t="str"/>
      <x:c r="H652" s="34" t="str"/>
      <x:c r="I652" s="34" t="str"/>
      <x:c r="J652" s="34" t="str"/>
      <x:c r="K652" s="34" t="str"/>
      <x:c r="L652" s="34" t="str"/>
      <x:c r="M652" s="34" t="str"/>
      <x:c r="N652" s="34" t="str"/>
      <x:c r="O652" s="34" t="str"/>
      <x:c r="P652" s="34" t="str"/>
      <x:c r="Q652" s="34" t="str"/>
    </x:row>
    <x:row r="653">
      <x:c r="A653" s="34" t="str">
        <x:v>M5-HIT-0648</x:v>
      </x:c>
      <x:c r="B653" s="34" t="str"/>
      <x:c r="C653" s="34" t="str"/>
      <x:c r="D653" s="34" t="str"/>
      <x:c r="E653" s="34" t="str"/>
      <x:c r="F653" s="34" t="str"/>
      <x:c r="G653" s="34" t="str"/>
      <x:c r="H653" s="34" t="str"/>
      <x:c r="I653" s="34" t="str"/>
      <x:c r="J653" s="34" t="str"/>
      <x:c r="K653" s="34" t="str"/>
      <x:c r="L653" s="34" t="str"/>
      <x:c r="M653" s="34" t="str"/>
      <x:c r="N653" s="34" t="str"/>
      <x:c r="O653" s="34" t="str"/>
      <x:c r="P653" s="34" t="str"/>
      <x:c r="Q653" s="34" t="str"/>
    </x:row>
    <x:row r="654">
      <x:c r="A654" s="34" t="str">
        <x:v>M5-HIT-0649</x:v>
      </x:c>
      <x:c r="B654" s="34" t="str"/>
      <x:c r="C654" s="34" t="str"/>
      <x:c r="D654" s="34" t="str"/>
      <x:c r="E654" s="34" t="str"/>
      <x:c r="F654" s="34" t="str"/>
      <x:c r="G654" s="34" t="str"/>
      <x:c r="H654" s="34" t="str"/>
      <x:c r="I654" s="34" t="str"/>
      <x:c r="J654" s="34" t="str"/>
      <x:c r="K654" s="34" t="str"/>
      <x:c r="L654" s="34" t="str"/>
      <x:c r="M654" s="34" t="str"/>
      <x:c r="N654" s="34" t="str"/>
      <x:c r="O654" s="34" t="str"/>
      <x:c r="P654" s="34" t="str"/>
      <x:c r="Q654" s="34" t="str"/>
    </x:row>
    <x:row r="655">
      <x:c r="A655" s="34" t="str">
        <x:v>M5-HIT-0650</x:v>
      </x:c>
      <x:c r="B655" s="34" t="str"/>
      <x:c r="C655" s="34" t="str"/>
      <x:c r="D655" s="34" t="str"/>
      <x:c r="E655" s="34" t="str"/>
      <x:c r="F655" s="34" t="str"/>
      <x:c r="G655" s="34" t="str"/>
      <x:c r="H655" s="34" t="str"/>
      <x:c r="I655" s="34" t="str"/>
      <x:c r="J655" s="34" t="str"/>
      <x:c r="K655" s="34" t="str"/>
      <x:c r="L655" s="34" t="str"/>
      <x:c r="M655" s="34" t="str"/>
      <x:c r="N655" s="34" t="str"/>
      <x:c r="O655" s="34" t="str"/>
      <x:c r="P655" s="34" t="str"/>
      <x:c r="Q655" s="34" t="str"/>
    </x:row>
    <x:row r="656">
      <x:c r="A656" s="34" t="str">
        <x:v>M5-HIT-0651</x:v>
      </x:c>
      <x:c r="B656" s="34" t="str"/>
      <x:c r="C656" s="34" t="str"/>
      <x:c r="D656" s="34" t="str"/>
      <x:c r="E656" s="34" t="str"/>
      <x:c r="F656" s="34" t="str"/>
      <x:c r="G656" s="34" t="str"/>
      <x:c r="H656" s="34" t="str"/>
      <x:c r="I656" s="34" t="str"/>
      <x:c r="J656" s="34" t="str"/>
      <x:c r="K656" s="34" t="str"/>
      <x:c r="L656" s="34" t="str"/>
      <x:c r="M656" s="34" t="str"/>
      <x:c r="N656" s="34" t="str"/>
      <x:c r="O656" s="34" t="str"/>
      <x:c r="P656" s="34" t="str"/>
      <x:c r="Q656" s="34" t="str"/>
    </x:row>
    <x:row r="657">
      <x:c r="A657" s="34" t="str">
        <x:v>M5-HIT-0652</x:v>
      </x:c>
      <x:c r="B657" s="34" t="str"/>
      <x:c r="C657" s="34" t="str"/>
      <x:c r="D657" s="34" t="str"/>
      <x:c r="E657" s="34" t="str"/>
      <x:c r="F657" s="34" t="str"/>
      <x:c r="G657" s="34" t="str"/>
      <x:c r="H657" s="34" t="str"/>
      <x:c r="I657" s="34" t="str"/>
      <x:c r="J657" s="34" t="str"/>
      <x:c r="K657" s="34" t="str"/>
      <x:c r="L657" s="34" t="str"/>
      <x:c r="M657" s="34" t="str"/>
      <x:c r="N657" s="34" t="str"/>
      <x:c r="O657" s="34" t="str"/>
      <x:c r="P657" s="34" t="str"/>
      <x:c r="Q657" s="34" t="str"/>
    </x:row>
    <x:row r="658">
      <x:c r="A658" s="34" t="str">
        <x:v>M5-HIT-0653</x:v>
      </x:c>
      <x:c r="B658" s="34" t="str"/>
      <x:c r="C658" s="34" t="str"/>
      <x:c r="D658" s="34" t="str"/>
      <x:c r="E658" s="34" t="str"/>
      <x:c r="F658" s="34" t="str"/>
      <x:c r="G658" s="34" t="str"/>
      <x:c r="H658" s="34" t="str"/>
      <x:c r="I658" s="34" t="str"/>
      <x:c r="J658" s="34" t="str"/>
      <x:c r="K658" s="34" t="str"/>
      <x:c r="L658" s="34" t="str"/>
      <x:c r="M658" s="34" t="str"/>
      <x:c r="N658" s="34" t="str"/>
      <x:c r="O658" s="34" t="str"/>
      <x:c r="P658" s="34" t="str"/>
      <x:c r="Q658" s="34" t="str"/>
    </x:row>
    <x:row r="659">
      <x:c r="A659" s="34" t="str">
        <x:v>M5-HIT-0654</x:v>
      </x:c>
      <x:c r="B659" s="34" t="str"/>
      <x:c r="C659" s="34" t="str"/>
      <x:c r="D659" s="34" t="str"/>
      <x:c r="E659" s="34" t="str"/>
      <x:c r="F659" s="34" t="str"/>
      <x:c r="G659" s="34" t="str"/>
      <x:c r="H659" s="34" t="str"/>
      <x:c r="I659" s="34" t="str"/>
      <x:c r="J659" s="34" t="str"/>
      <x:c r="K659" s="34" t="str"/>
      <x:c r="L659" s="34" t="str"/>
      <x:c r="M659" s="34" t="str"/>
      <x:c r="N659" s="34" t="str"/>
      <x:c r="O659" s="34" t="str"/>
      <x:c r="P659" s="34" t="str"/>
      <x:c r="Q659" s="34" t="str"/>
    </x:row>
    <x:row r="660">
      <x:c r="A660" s="34" t="str">
        <x:v>M5-HIT-0655</x:v>
      </x:c>
      <x:c r="B660" s="34" t="str"/>
      <x:c r="C660" s="34" t="str"/>
      <x:c r="D660" s="34" t="str"/>
      <x:c r="E660" s="34" t="str"/>
      <x:c r="F660" s="34" t="str"/>
      <x:c r="G660" s="34" t="str"/>
      <x:c r="H660" s="34" t="str"/>
      <x:c r="I660" s="34" t="str"/>
      <x:c r="J660" s="34" t="str"/>
      <x:c r="K660" s="34" t="str"/>
      <x:c r="L660" s="34" t="str"/>
      <x:c r="M660" s="34" t="str"/>
      <x:c r="N660" s="34" t="str"/>
      <x:c r="O660" s="34" t="str"/>
      <x:c r="P660" s="34" t="str"/>
      <x:c r="Q660" s="34" t="str"/>
    </x:row>
    <x:row r="661">
      <x:c r="A661" s="34" t="str">
        <x:v>M5-HIT-0656</x:v>
      </x:c>
      <x:c r="B661" s="34" t="str"/>
      <x:c r="C661" s="34" t="str"/>
      <x:c r="D661" s="34" t="str"/>
      <x:c r="E661" s="34" t="str"/>
      <x:c r="F661" s="34" t="str"/>
      <x:c r="G661" s="34" t="str"/>
      <x:c r="H661" s="34" t="str"/>
      <x:c r="I661" s="34" t="str"/>
      <x:c r="J661" s="34" t="str"/>
      <x:c r="K661" s="34" t="str"/>
      <x:c r="L661" s="34" t="str"/>
      <x:c r="M661" s="34" t="str"/>
      <x:c r="N661" s="34" t="str"/>
      <x:c r="O661" s="34" t="str"/>
      <x:c r="P661" s="34" t="str"/>
      <x:c r="Q661" s="34" t="str"/>
    </x:row>
    <x:row r="662">
      <x:c r="A662" s="34" t="str">
        <x:v>M5-HIT-0657</x:v>
      </x:c>
      <x:c r="B662" s="34" t="str"/>
      <x:c r="C662" s="34" t="str"/>
      <x:c r="D662" s="34" t="str"/>
      <x:c r="E662" s="34" t="str"/>
      <x:c r="F662" s="34" t="str"/>
      <x:c r="G662" s="34" t="str"/>
      <x:c r="H662" s="34" t="str"/>
      <x:c r="I662" s="34" t="str"/>
      <x:c r="J662" s="34" t="str"/>
      <x:c r="K662" s="34" t="str"/>
      <x:c r="L662" s="34" t="str"/>
      <x:c r="M662" s="34" t="str"/>
      <x:c r="N662" s="34" t="str"/>
      <x:c r="O662" s="34" t="str"/>
      <x:c r="P662" s="34" t="str"/>
      <x:c r="Q662" s="34" t="str"/>
    </x:row>
    <x:row r="663">
      <x:c r="A663" s="34" t="str">
        <x:v>M5-HIT-0658</x:v>
      </x:c>
      <x:c r="B663" s="34" t="str"/>
      <x:c r="C663" s="34" t="str"/>
      <x:c r="D663" s="34" t="str"/>
      <x:c r="E663" s="34" t="str"/>
      <x:c r="F663" s="34" t="str"/>
      <x:c r="G663" s="34" t="str"/>
      <x:c r="H663" s="34" t="str"/>
      <x:c r="I663" s="34" t="str"/>
      <x:c r="J663" s="34" t="str"/>
      <x:c r="K663" s="34" t="str"/>
      <x:c r="L663" s="34" t="str"/>
      <x:c r="M663" s="34" t="str"/>
      <x:c r="N663" s="34" t="str"/>
      <x:c r="O663" s="34" t="str"/>
      <x:c r="P663" s="34" t="str"/>
      <x:c r="Q663" s="34" t="str"/>
    </x:row>
    <x:row r="664">
      <x:c r="A664" s="34" t="str">
        <x:v>M5-HIT-0659</x:v>
      </x:c>
      <x:c r="B664" s="34" t="str"/>
      <x:c r="C664" s="34" t="str"/>
      <x:c r="D664" s="34" t="str"/>
      <x:c r="E664" s="34" t="str"/>
      <x:c r="F664" s="34" t="str"/>
      <x:c r="G664" s="34" t="str"/>
      <x:c r="H664" s="34" t="str"/>
      <x:c r="I664" s="34" t="str"/>
      <x:c r="J664" s="34" t="str"/>
      <x:c r="K664" s="34" t="str"/>
      <x:c r="L664" s="34" t="str"/>
      <x:c r="M664" s="34" t="str"/>
      <x:c r="N664" s="34" t="str"/>
      <x:c r="O664" s="34" t="str"/>
      <x:c r="P664" s="34" t="str"/>
      <x:c r="Q664" s="34" t="str"/>
    </x:row>
    <x:row r="665">
      <x:c r="A665" s="34" t="str">
        <x:v>M5-HIT-0660</x:v>
      </x:c>
      <x:c r="B665" s="34" t="str"/>
      <x:c r="C665" s="34" t="str"/>
      <x:c r="D665" s="34" t="str"/>
      <x:c r="E665" s="34" t="str"/>
      <x:c r="F665" s="34" t="str"/>
      <x:c r="G665" s="34" t="str"/>
      <x:c r="H665" s="34" t="str"/>
      <x:c r="I665" s="34" t="str"/>
      <x:c r="J665" s="34" t="str"/>
      <x:c r="K665" s="34" t="str"/>
      <x:c r="L665" s="34" t="str"/>
      <x:c r="M665" s="34" t="str"/>
      <x:c r="N665" s="34" t="str"/>
      <x:c r="O665" s="34" t="str"/>
      <x:c r="P665" s="34" t="str"/>
      <x:c r="Q665" s="34" t="str"/>
    </x:row>
    <x:row r="666">
      <x:c r="A666" s="34" t="str">
        <x:v>M5-HIT-0661</x:v>
      </x:c>
      <x:c r="B666" s="34" t="str"/>
      <x:c r="C666" s="34" t="str"/>
      <x:c r="D666" s="34" t="str"/>
      <x:c r="E666" s="34" t="str"/>
      <x:c r="F666" s="34" t="str"/>
      <x:c r="G666" s="34" t="str"/>
      <x:c r="H666" s="34" t="str"/>
      <x:c r="I666" s="34" t="str"/>
      <x:c r="J666" s="34" t="str"/>
      <x:c r="K666" s="34" t="str"/>
      <x:c r="L666" s="34" t="str"/>
      <x:c r="M666" s="34" t="str"/>
      <x:c r="N666" s="34" t="str"/>
      <x:c r="O666" s="34" t="str"/>
      <x:c r="P666" s="34" t="str"/>
      <x:c r="Q666" s="34" t="str"/>
    </x:row>
    <x:row r="667">
      <x:c r="A667" s="34" t="str">
        <x:v>M5-HIT-0662</x:v>
      </x:c>
      <x:c r="B667" s="34" t="str"/>
      <x:c r="C667" s="34" t="str"/>
      <x:c r="D667" s="34" t="str"/>
      <x:c r="E667" s="34" t="str"/>
      <x:c r="F667" s="34" t="str"/>
      <x:c r="G667" s="34" t="str"/>
      <x:c r="H667" s="34" t="str"/>
      <x:c r="I667" s="34" t="str"/>
      <x:c r="J667" s="34" t="str"/>
      <x:c r="K667" s="34" t="str"/>
      <x:c r="L667" s="34" t="str"/>
      <x:c r="M667" s="34" t="str"/>
      <x:c r="N667" s="34" t="str"/>
      <x:c r="O667" s="34" t="str"/>
      <x:c r="P667" s="34" t="str"/>
      <x:c r="Q667" s="34" t="str"/>
    </x:row>
    <x:row r="668">
      <x:c r="A668" s="34" t="str">
        <x:v>M5-HIT-0663</x:v>
      </x:c>
      <x:c r="B668" s="34" t="str"/>
      <x:c r="C668" s="34" t="str"/>
      <x:c r="D668" s="34" t="str"/>
      <x:c r="E668" s="34" t="str"/>
      <x:c r="F668" s="34" t="str"/>
      <x:c r="G668" s="34" t="str"/>
      <x:c r="H668" s="34" t="str"/>
      <x:c r="I668" s="34" t="str"/>
      <x:c r="J668" s="34" t="str"/>
      <x:c r="K668" s="34" t="str"/>
      <x:c r="L668" s="34" t="str"/>
      <x:c r="M668" s="34" t="str"/>
      <x:c r="N668" s="34" t="str"/>
      <x:c r="O668" s="34" t="str"/>
      <x:c r="P668" s="34" t="str"/>
      <x:c r="Q668" s="34" t="str"/>
    </x:row>
    <x:row r="669">
      <x:c r="A669" s="34" t="str">
        <x:v>M5-HIT-0664</x:v>
      </x:c>
      <x:c r="B669" s="34" t="str"/>
      <x:c r="C669" s="34" t="str"/>
      <x:c r="D669" s="34" t="str"/>
      <x:c r="E669" s="34" t="str"/>
      <x:c r="F669" s="34" t="str"/>
      <x:c r="G669" s="34" t="str"/>
      <x:c r="H669" s="34" t="str"/>
      <x:c r="I669" s="34" t="str"/>
      <x:c r="J669" s="34" t="str"/>
      <x:c r="K669" s="34" t="str"/>
      <x:c r="L669" s="34" t="str"/>
      <x:c r="M669" s="34" t="str"/>
      <x:c r="N669" s="34" t="str"/>
      <x:c r="O669" s="34" t="str"/>
      <x:c r="P669" s="34" t="str"/>
      <x:c r="Q669" s="34" t="str"/>
    </x:row>
    <x:row r="670">
      <x:c r="A670" s="34" t="str">
        <x:v>M5-HIT-0665</x:v>
      </x:c>
      <x:c r="B670" s="34" t="str"/>
      <x:c r="C670" s="34" t="str"/>
      <x:c r="D670" s="34" t="str"/>
      <x:c r="E670" s="34" t="str"/>
      <x:c r="F670" s="34" t="str"/>
      <x:c r="G670" s="34" t="str"/>
      <x:c r="H670" s="34" t="str"/>
      <x:c r="I670" s="34" t="str"/>
      <x:c r="J670" s="34" t="str"/>
      <x:c r="K670" s="34" t="str"/>
      <x:c r="L670" s="34" t="str"/>
      <x:c r="M670" s="34" t="str"/>
      <x:c r="N670" s="34" t="str"/>
      <x:c r="O670" s="34" t="str"/>
      <x:c r="P670" s="34" t="str"/>
      <x:c r="Q670" s="34" t="str"/>
    </x:row>
    <x:row r="671">
      <x:c r="A671" s="34" t="str">
        <x:v>M5-HIT-0666</x:v>
      </x:c>
      <x:c r="B671" s="34" t="str"/>
      <x:c r="C671" s="34" t="str"/>
      <x:c r="D671" s="34" t="str"/>
      <x:c r="E671" s="34" t="str"/>
      <x:c r="F671" s="34" t="str"/>
      <x:c r="G671" s="34" t="str"/>
      <x:c r="H671" s="34" t="str"/>
      <x:c r="I671" s="34" t="str"/>
      <x:c r="J671" s="34" t="str"/>
      <x:c r="K671" s="34" t="str"/>
      <x:c r="L671" s="34" t="str"/>
      <x:c r="M671" s="34" t="str"/>
      <x:c r="N671" s="34" t="str"/>
      <x:c r="O671" s="34" t="str"/>
      <x:c r="P671" s="34" t="str"/>
      <x:c r="Q671" s="34" t="str"/>
    </x:row>
    <x:row r="672">
      <x:c r="A672" s="34" t="str">
        <x:v>M5-HIT-0667</x:v>
      </x:c>
      <x:c r="B672" s="34" t="str"/>
      <x:c r="C672" s="34" t="str"/>
      <x:c r="D672" s="34" t="str"/>
      <x:c r="E672" s="34" t="str"/>
      <x:c r="F672" s="34" t="str"/>
      <x:c r="G672" s="34" t="str"/>
      <x:c r="H672" s="34" t="str"/>
      <x:c r="I672" s="34" t="str"/>
      <x:c r="J672" s="34" t="str"/>
      <x:c r="K672" s="34" t="str"/>
      <x:c r="L672" s="34" t="str"/>
      <x:c r="M672" s="34" t="str"/>
      <x:c r="N672" s="34" t="str"/>
      <x:c r="O672" s="34" t="str"/>
      <x:c r="P672" s="34" t="str"/>
      <x:c r="Q672" s="34" t="str"/>
    </x:row>
    <x:row r="673">
      <x:c r="A673" s="34" t="str">
        <x:v>M5-HIT-0668</x:v>
      </x:c>
      <x:c r="B673" s="34" t="str"/>
      <x:c r="C673" s="34" t="str"/>
      <x:c r="D673" s="34" t="str"/>
      <x:c r="E673" s="34" t="str"/>
      <x:c r="F673" s="34" t="str"/>
      <x:c r="G673" s="34" t="str"/>
      <x:c r="H673" s="34" t="str"/>
      <x:c r="I673" s="34" t="str"/>
      <x:c r="J673" s="34" t="str"/>
      <x:c r="K673" s="34" t="str"/>
      <x:c r="L673" s="34" t="str"/>
      <x:c r="M673" s="34" t="str"/>
      <x:c r="N673" s="34" t="str"/>
      <x:c r="O673" s="34" t="str"/>
      <x:c r="P673" s="34" t="str"/>
      <x:c r="Q673" s="34" t="str"/>
    </x:row>
    <x:row r="674">
      <x:c r="A674" s="34" t="str">
        <x:v>M5-HIT-0669</x:v>
      </x:c>
      <x:c r="B674" s="34" t="str"/>
      <x:c r="C674" s="34" t="str"/>
      <x:c r="D674" s="34" t="str"/>
      <x:c r="E674" s="34" t="str"/>
      <x:c r="F674" s="34" t="str"/>
      <x:c r="G674" s="34" t="str"/>
      <x:c r="H674" s="34" t="str"/>
      <x:c r="I674" s="34" t="str"/>
      <x:c r="J674" s="34" t="str"/>
      <x:c r="K674" s="34" t="str"/>
      <x:c r="L674" s="34" t="str"/>
      <x:c r="M674" s="34" t="str"/>
      <x:c r="N674" s="34" t="str"/>
      <x:c r="O674" s="34" t="str"/>
      <x:c r="P674" s="34" t="str"/>
      <x:c r="Q674" s="34" t="str"/>
    </x:row>
    <x:row r="675">
      <x:c r="A675" s="34" t="str">
        <x:v>M5-HIT-0670</x:v>
      </x:c>
      <x:c r="B675" s="34" t="str"/>
      <x:c r="C675" s="34" t="str"/>
      <x:c r="D675" s="34" t="str"/>
      <x:c r="E675" s="34" t="str"/>
      <x:c r="F675" s="34" t="str"/>
      <x:c r="G675" s="34" t="str"/>
      <x:c r="H675" s="34" t="str"/>
      <x:c r="I675" s="34" t="str"/>
      <x:c r="J675" s="34" t="str"/>
      <x:c r="K675" s="34" t="str"/>
      <x:c r="L675" s="34" t="str"/>
      <x:c r="M675" s="34" t="str"/>
      <x:c r="N675" s="34" t="str"/>
      <x:c r="O675" s="34" t="str"/>
      <x:c r="P675" s="34" t="str"/>
      <x:c r="Q675" s="34" t="str"/>
    </x:row>
    <x:row r="676">
      <x:c r="A676" s="34" t="str">
        <x:v>M5-HIT-0671</x:v>
      </x:c>
      <x:c r="B676" s="34" t="str"/>
      <x:c r="C676" s="34" t="str"/>
      <x:c r="D676" s="34" t="str"/>
      <x:c r="E676" s="34" t="str"/>
      <x:c r="F676" s="34" t="str"/>
      <x:c r="G676" s="34" t="str"/>
      <x:c r="H676" s="34" t="str"/>
      <x:c r="I676" s="34" t="str"/>
      <x:c r="J676" s="34" t="str"/>
      <x:c r="K676" s="34" t="str"/>
      <x:c r="L676" s="34" t="str"/>
      <x:c r="M676" s="34" t="str"/>
      <x:c r="N676" s="34" t="str"/>
      <x:c r="O676" s="34" t="str"/>
      <x:c r="P676" s="34" t="str"/>
      <x:c r="Q676" s="34" t="str"/>
    </x:row>
    <x:row r="677">
      <x:c r="A677" s="34" t="str">
        <x:v>M5-HIT-0672</x:v>
      </x:c>
      <x:c r="B677" s="34" t="str"/>
      <x:c r="C677" s="34" t="str"/>
      <x:c r="D677" s="34" t="str"/>
      <x:c r="E677" s="34" t="str"/>
      <x:c r="F677" s="34" t="str"/>
      <x:c r="G677" s="34" t="str"/>
      <x:c r="H677" s="34" t="str"/>
      <x:c r="I677" s="34" t="str"/>
      <x:c r="J677" s="34" t="str"/>
      <x:c r="K677" s="34" t="str"/>
      <x:c r="L677" s="34" t="str"/>
      <x:c r="M677" s="34" t="str"/>
      <x:c r="N677" s="34" t="str"/>
      <x:c r="O677" s="34" t="str"/>
      <x:c r="P677" s="34" t="str"/>
      <x:c r="Q677" s="34" t="str"/>
    </x:row>
    <x:row r="678">
      <x:c r="A678" s="34" t="str">
        <x:v>M5-HIT-0673</x:v>
      </x:c>
      <x:c r="B678" s="34" t="str"/>
      <x:c r="C678" s="34" t="str"/>
      <x:c r="D678" s="34" t="str"/>
      <x:c r="E678" s="34" t="str"/>
      <x:c r="F678" s="34" t="str"/>
      <x:c r="G678" s="34" t="str"/>
      <x:c r="H678" s="34" t="str"/>
      <x:c r="I678" s="34" t="str"/>
      <x:c r="J678" s="34" t="str"/>
      <x:c r="K678" s="34" t="str"/>
      <x:c r="L678" s="34" t="str"/>
      <x:c r="M678" s="34" t="str"/>
      <x:c r="N678" s="34" t="str"/>
      <x:c r="O678" s="34" t="str"/>
      <x:c r="P678" s="34" t="str"/>
      <x:c r="Q678" s="34" t="str"/>
    </x:row>
    <x:row r="679">
      <x:c r="A679" s="34" t="str">
        <x:v>M5-HIT-0674</x:v>
      </x:c>
      <x:c r="B679" s="34" t="str"/>
      <x:c r="C679" s="34" t="str"/>
      <x:c r="D679" s="34" t="str"/>
      <x:c r="E679" s="34" t="str"/>
      <x:c r="F679" s="34" t="str"/>
      <x:c r="G679" s="34" t="str"/>
      <x:c r="H679" s="34" t="str"/>
      <x:c r="I679" s="34" t="str"/>
      <x:c r="J679" s="34" t="str"/>
      <x:c r="K679" s="34" t="str"/>
      <x:c r="L679" s="34" t="str"/>
      <x:c r="M679" s="34" t="str"/>
      <x:c r="N679" s="34" t="str"/>
      <x:c r="O679" s="34" t="str"/>
      <x:c r="P679" s="34" t="str"/>
      <x:c r="Q679" s="34" t="str"/>
    </x:row>
    <x:row r="680">
      <x:c r="A680" s="34" t="str">
        <x:v>M5-HIT-0675</x:v>
      </x:c>
      <x:c r="B680" s="34" t="str"/>
      <x:c r="C680" s="34" t="str"/>
      <x:c r="D680" s="34" t="str"/>
      <x:c r="E680" s="34" t="str"/>
      <x:c r="F680" s="34" t="str"/>
      <x:c r="G680" s="34" t="str"/>
      <x:c r="H680" s="34" t="str"/>
      <x:c r="I680" s="34" t="str"/>
      <x:c r="J680" s="34" t="str"/>
      <x:c r="K680" s="34" t="str"/>
      <x:c r="L680" s="34" t="str"/>
      <x:c r="M680" s="34" t="str"/>
      <x:c r="N680" s="34" t="str"/>
      <x:c r="O680" s="34" t="str"/>
      <x:c r="P680" s="34" t="str"/>
      <x:c r="Q680" s="34" t="str"/>
    </x:row>
    <x:row r="681">
      <x:c r="A681" s="34" t="str">
        <x:v>M5-HIT-0676</x:v>
      </x:c>
      <x:c r="B681" s="34" t="str"/>
      <x:c r="C681" s="34" t="str"/>
      <x:c r="D681" s="34" t="str"/>
      <x:c r="E681" s="34" t="str"/>
      <x:c r="F681" s="34" t="str"/>
      <x:c r="G681" s="34" t="str"/>
      <x:c r="H681" s="34" t="str"/>
      <x:c r="I681" s="34" t="str"/>
      <x:c r="J681" s="34" t="str"/>
      <x:c r="K681" s="34" t="str"/>
      <x:c r="L681" s="34" t="str"/>
      <x:c r="M681" s="34" t="str"/>
      <x:c r="N681" s="34" t="str"/>
      <x:c r="O681" s="34" t="str"/>
      <x:c r="P681" s="34" t="str"/>
      <x:c r="Q681" s="34" t="str"/>
    </x:row>
    <x:row r="682">
      <x:c r="A682" s="34" t="str">
        <x:v>M5-HIT-0677</x:v>
      </x:c>
      <x:c r="B682" s="34" t="str"/>
      <x:c r="C682" s="34" t="str"/>
      <x:c r="D682" s="34" t="str"/>
      <x:c r="E682" s="34" t="str"/>
      <x:c r="F682" s="34" t="str"/>
      <x:c r="G682" s="34" t="str"/>
      <x:c r="H682" s="34" t="str"/>
      <x:c r="I682" s="34" t="str"/>
      <x:c r="J682" s="34" t="str"/>
      <x:c r="K682" s="34" t="str"/>
      <x:c r="L682" s="34" t="str"/>
      <x:c r="M682" s="34" t="str"/>
      <x:c r="N682" s="34" t="str"/>
      <x:c r="O682" s="34" t="str"/>
      <x:c r="P682" s="34" t="str"/>
      <x:c r="Q682" s="34" t="str"/>
    </x:row>
    <x:row r="683">
      <x:c r="A683" s="34" t="str">
        <x:v>M5-HIT-0678</x:v>
      </x:c>
      <x:c r="B683" s="34" t="str"/>
      <x:c r="C683" s="34" t="str"/>
      <x:c r="D683" s="34" t="str"/>
      <x:c r="E683" s="34" t="str"/>
      <x:c r="F683" s="34" t="str"/>
      <x:c r="G683" s="34" t="str"/>
      <x:c r="H683" s="34" t="str"/>
      <x:c r="I683" s="34" t="str"/>
      <x:c r="J683" s="34" t="str"/>
      <x:c r="K683" s="34" t="str"/>
      <x:c r="L683" s="34" t="str"/>
      <x:c r="M683" s="34" t="str"/>
      <x:c r="N683" s="34" t="str"/>
      <x:c r="O683" s="34" t="str"/>
      <x:c r="P683" s="34" t="str"/>
      <x:c r="Q683" s="34" t="str"/>
    </x:row>
    <x:row r="684">
      <x:c r="A684" s="34" t="str">
        <x:v>M5-HIT-0679</x:v>
      </x:c>
      <x:c r="B684" s="34" t="str"/>
      <x:c r="C684" s="34" t="str"/>
      <x:c r="D684" s="34" t="str"/>
      <x:c r="E684" s="34" t="str"/>
      <x:c r="F684" s="34" t="str"/>
      <x:c r="G684" s="34" t="str"/>
      <x:c r="H684" s="34" t="str"/>
      <x:c r="I684" s="34" t="str"/>
      <x:c r="J684" s="34" t="str"/>
      <x:c r="K684" s="34" t="str"/>
      <x:c r="L684" s="34" t="str"/>
      <x:c r="M684" s="34" t="str"/>
      <x:c r="N684" s="34" t="str"/>
      <x:c r="O684" s="34" t="str"/>
      <x:c r="P684" s="34" t="str"/>
      <x:c r="Q684" s="34" t="str"/>
    </x:row>
    <x:row r="685">
      <x:c r="A685" s="34" t="str">
        <x:v>M5-HIT-0680</x:v>
      </x:c>
      <x:c r="B685" s="34" t="str"/>
      <x:c r="C685" s="34" t="str"/>
      <x:c r="D685" s="34" t="str"/>
      <x:c r="E685" s="34" t="str"/>
      <x:c r="F685" s="34" t="str"/>
      <x:c r="G685" s="34" t="str"/>
      <x:c r="H685" s="34" t="str"/>
      <x:c r="I685" s="34" t="str"/>
      <x:c r="J685" s="34" t="str"/>
      <x:c r="K685" s="34" t="str"/>
      <x:c r="L685" s="34" t="str"/>
      <x:c r="M685" s="34" t="str"/>
      <x:c r="N685" s="34" t="str"/>
      <x:c r="O685" s="34" t="str"/>
      <x:c r="P685" s="34" t="str"/>
      <x:c r="Q685" s="34" t="str"/>
    </x:row>
    <x:row r="686">
      <x:c r="A686" s="34" t="str">
        <x:v>M5-HIT-0681</x:v>
      </x:c>
      <x:c r="B686" s="34" t="str"/>
      <x:c r="C686" s="34" t="str"/>
      <x:c r="D686" s="34" t="str"/>
      <x:c r="E686" s="34" t="str"/>
      <x:c r="F686" s="34" t="str"/>
      <x:c r="G686" s="34" t="str"/>
      <x:c r="H686" s="34" t="str"/>
      <x:c r="I686" s="34" t="str"/>
      <x:c r="J686" s="34" t="str"/>
      <x:c r="K686" s="34" t="str"/>
      <x:c r="L686" s="34" t="str"/>
      <x:c r="M686" s="34" t="str"/>
      <x:c r="N686" s="34" t="str"/>
      <x:c r="O686" s="34" t="str"/>
      <x:c r="P686" s="34" t="str"/>
      <x:c r="Q686" s="34" t="str"/>
    </x:row>
    <x:row r="687">
      <x:c r="A687" s="34" t="str">
        <x:v>M5-HIT-0682</x:v>
      </x:c>
      <x:c r="B687" s="34" t="str"/>
      <x:c r="C687" s="34" t="str"/>
      <x:c r="D687" s="34" t="str"/>
      <x:c r="E687" s="34" t="str"/>
      <x:c r="F687" s="34" t="str"/>
      <x:c r="G687" s="34" t="str"/>
      <x:c r="H687" s="34" t="str"/>
      <x:c r="I687" s="34" t="str"/>
      <x:c r="J687" s="34" t="str"/>
      <x:c r="K687" s="34" t="str"/>
      <x:c r="L687" s="34" t="str"/>
      <x:c r="M687" s="34" t="str"/>
      <x:c r="N687" s="34" t="str"/>
      <x:c r="O687" s="34" t="str"/>
      <x:c r="P687" s="34" t="str"/>
      <x:c r="Q687" s="34" t="str"/>
    </x:row>
    <x:row r="688">
      <x:c r="A688" s="34" t="str">
        <x:v>M5-HIT-0683</x:v>
      </x:c>
      <x:c r="B688" s="34" t="str"/>
      <x:c r="C688" s="34" t="str"/>
      <x:c r="D688" s="34" t="str"/>
      <x:c r="E688" s="34" t="str"/>
      <x:c r="F688" s="34" t="str"/>
      <x:c r="G688" s="34" t="str"/>
      <x:c r="H688" s="34" t="str"/>
      <x:c r="I688" s="34" t="str"/>
      <x:c r="J688" s="34" t="str"/>
      <x:c r="K688" s="34" t="str"/>
      <x:c r="L688" s="34" t="str"/>
      <x:c r="M688" s="34" t="str"/>
      <x:c r="N688" s="34" t="str"/>
      <x:c r="O688" s="34" t="str"/>
      <x:c r="P688" s="34" t="str"/>
      <x:c r="Q688" s="34" t="str"/>
    </x:row>
    <x:row r="689">
      <x:c r="A689" s="34" t="str">
        <x:v>M5-HIT-0684</x:v>
      </x:c>
      <x:c r="B689" s="34" t="str"/>
      <x:c r="C689" s="34" t="str"/>
      <x:c r="D689" s="34" t="str"/>
      <x:c r="E689" s="34" t="str"/>
      <x:c r="F689" s="34" t="str"/>
      <x:c r="G689" s="34" t="str"/>
      <x:c r="H689" s="34" t="str"/>
      <x:c r="I689" s="34" t="str"/>
      <x:c r="J689" s="34" t="str"/>
      <x:c r="K689" s="34" t="str"/>
      <x:c r="L689" s="34" t="str"/>
      <x:c r="M689" s="34" t="str"/>
      <x:c r="N689" s="34" t="str"/>
      <x:c r="O689" s="34" t="str"/>
      <x:c r="P689" s="34" t="str"/>
      <x:c r="Q689" s="34" t="str"/>
    </x:row>
    <x:row r="690">
      <x:c r="A690" s="34" t="str">
        <x:v>M5-HIT-0685</x:v>
      </x:c>
      <x:c r="B690" s="34" t="str"/>
      <x:c r="C690" s="34" t="str"/>
      <x:c r="D690" s="34" t="str"/>
      <x:c r="E690" s="34" t="str"/>
      <x:c r="F690" s="34" t="str"/>
      <x:c r="G690" s="34" t="str"/>
      <x:c r="H690" s="34" t="str"/>
      <x:c r="I690" s="34" t="str"/>
      <x:c r="J690" s="34" t="str"/>
      <x:c r="K690" s="34" t="str"/>
      <x:c r="L690" s="34" t="str"/>
      <x:c r="M690" s="34" t="str"/>
      <x:c r="N690" s="34" t="str"/>
      <x:c r="O690" s="34" t="str"/>
      <x:c r="P690" s="34" t="str"/>
      <x:c r="Q690" s="34" t="str"/>
    </x:row>
    <x:row r="691">
      <x:c r="A691" s="34" t="str">
        <x:v>M5-HIT-0686</x:v>
      </x:c>
      <x:c r="B691" s="34" t="str"/>
      <x:c r="C691" s="34" t="str"/>
      <x:c r="D691" s="34" t="str"/>
      <x:c r="E691" s="34" t="str"/>
      <x:c r="F691" s="34" t="str"/>
      <x:c r="G691" s="34" t="str"/>
      <x:c r="H691" s="34" t="str"/>
      <x:c r="I691" s="34" t="str"/>
      <x:c r="J691" s="34" t="str"/>
      <x:c r="K691" s="34" t="str"/>
      <x:c r="L691" s="34" t="str"/>
      <x:c r="M691" s="34" t="str"/>
      <x:c r="N691" s="34" t="str"/>
      <x:c r="O691" s="34" t="str"/>
      <x:c r="P691" s="34" t="str"/>
      <x:c r="Q691" s="34" t="str"/>
    </x:row>
    <x:row r="692">
      <x:c r="A692" s="34" t="str">
        <x:v>M5-HIT-0687</x:v>
      </x:c>
      <x:c r="B692" s="34" t="str"/>
      <x:c r="C692" s="34" t="str"/>
      <x:c r="D692" s="34" t="str"/>
      <x:c r="E692" s="34" t="str"/>
      <x:c r="F692" s="34" t="str"/>
      <x:c r="G692" s="34" t="str"/>
      <x:c r="H692" s="34" t="str"/>
      <x:c r="I692" s="34" t="str"/>
      <x:c r="J692" s="34" t="str"/>
      <x:c r="K692" s="34" t="str"/>
      <x:c r="L692" s="34" t="str"/>
      <x:c r="M692" s="34" t="str"/>
      <x:c r="N692" s="34" t="str"/>
      <x:c r="O692" s="34" t="str"/>
      <x:c r="P692" s="34" t="str"/>
      <x:c r="Q692" s="34" t="str"/>
    </x:row>
    <x:row r="693">
      <x:c r="A693" s="34" t="str">
        <x:v>M5-HIT-0688</x:v>
      </x:c>
      <x:c r="B693" s="34" t="str"/>
      <x:c r="C693" s="34" t="str"/>
      <x:c r="D693" s="34" t="str"/>
      <x:c r="E693" s="34" t="str"/>
      <x:c r="F693" s="34" t="str"/>
      <x:c r="G693" s="34" t="str"/>
      <x:c r="H693" s="34" t="str"/>
      <x:c r="I693" s="34" t="str"/>
      <x:c r="J693" s="34" t="str"/>
      <x:c r="K693" s="34" t="str"/>
      <x:c r="L693" s="34" t="str"/>
      <x:c r="M693" s="34" t="str"/>
      <x:c r="N693" s="34" t="str"/>
      <x:c r="O693" s="34" t="str"/>
      <x:c r="P693" s="34" t="str"/>
      <x:c r="Q693" s="34" t="str"/>
    </x:row>
    <x:row r="694">
      <x:c r="A694" s="34" t="str">
        <x:v>M5-HIT-0689</x:v>
      </x:c>
      <x:c r="B694" s="34" t="str"/>
      <x:c r="C694" s="34" t="str"/>
      <x:c r="D694" s="34" t="str"/>
      <x:c r="E694" s="34" t="str"/>
      <x:c r="F694" s="34" t="str"/>
      <x:c r="G694" s="34" t="str"/>
      <x:c r="H694" s="34" t="str"/>
      <x:c r="I694" s="34" t="str"/>
      <x:c r="J694" s="34" t="str"/>
      <x:c r="K694" s="34" t="str"/>
      <x:c r="L694" s="34" t="str"/>
      <x:c r="M694" s="34" t="str"/>
      <x:c r="N694" s="34" t="str"/>
      <x:c r="O694" s="34" t="str"/>
      <x:c r="P694" s="34" t="str"/>
      <x:c r="Q694" s="34" t="str"/>
    </x:row>
    <x:row r="695">
      <x:c r="A695" s="34" t="str">
        <x:v>M5-HIT-0690</x:v>
      </x:c>
      <x:c r="B695" s="34" t="str"/>
      <x:c r="C695" s="34" t="str"/>
      <x:c r="D695" s="34" t="str"/>
      <x:c r="E695" s="34" t="str"/>
      <x:c r="F695" s="34" t="str"/>
      <x:c r="G695" s="34" t="str"/>
      <x:c r="H695" s="34" t="str"/>
      <x:c r="I695" s="34" t="str"/>
      <x:c r="J695" s="34" t="str"/>
      <x:c r="K695" s="34" t="str"/>
      <x:c r="L695" s="34" t="str"/>
      <x:c r="M695" s="34" t="str"/>
      <x:c r="N695" s="34" t="str"/>
      <x:c r="O695" s="34" t="str"/>
      <x:c r="P695" s="34" t="str"/>
      <x:c r="Q695" s="34" t="str"/>
    </x:row>
    <x:row r="696">
      <x:c r="A696" s="34" t="str">
        <x:v>M5-HIT-0691</x:v>
      </x:c>
      <x:c r="B696" s="34" t="str"/>
      <x:c r="C696" s="34" t="str"/>
      <x:c r="D696" s="34" t="str"/>
      <x:c r="E696" s="34" t="str"/>
      <x:c r="F696" s="34" t="str"/>
      <x:c r="G696" s="34" t="str"/>
      <x:c r="H696" s="34" t="str"/>
      <x:c r="I696" s="34" t="str"/>
      <x:c r="J696" s="34" t="str"/>
      <x:c r="K696" s="34" t="str"/>
      <x:c r="L696" s="34" t="str"/>
      <x:c r="M696" s="34" t="str"/>
      <x:c r="N696" s="34" t="str"/>
      <x:c r="O696" s="34" t="str"/>
      <x:c r="P696" s="34" t="str"/>
      <x:c r="Q696" s="34" t="str"/>
    </x:row>
    <x:row r="697">
      <x:c r="A697" s="34" t="str">
        <x:v>M5-HIT-0692</x:v>
      </x:c>
      <x:c r="B697" s="34" t="str"/>
      <x:c r="C697" s="34" t="str"/>
      <x:c r="D697" s="34" t="str"/>
      <x:c r="E697" s="34" t="str"/>
      <x:c r="F697" s="34" t="str"/>
      <x:c r="G697" s="34" t="str"/>
      <x:c r="H697" s="34" t="str"/>
      <x:c r="I697" s="34" t="str"/>
      <x:c r="J697" s="34" t="str"/>
      <x:c r="K697" s="34" t="str"/>
      <x:c r="L697" s="34" t="str"/>
      <x:c r="M697" s="34" t="str"/>
      <x:c r="N697" s="34" t="str"/>
      <x:c r="O697" s="34" t="str"/>
      <x:c r="P697" s="34" t="str"/>
      <x:c r="Q697" s="34" t="str"/>
    </x:row>
    <x:row r="698">
      <x:c r="A698" s="34" t="str">
        <x:v>M5-HIT-0693</x:v>
      </x:c>
      <x:c r="B698" s="34" t="str"/>
      <x:c r="C698" s="34" t="str"/>
      <x:c r="D698" s="34" t="str"/>
      <x:c r="E698" s="34" t="str"/>
      <x:c r="F698" s="34" t="str"/>
      <x:c r="G698" s="34" t="str"/>
      <x:c r="H698" s="34" t="str"/>
      <x:c r="I698" s="34" t="str"/>
      <x:c r="J698" s="34" t="str"/>
      <x:c r="K698" s="34" t="str"/>
      <x:c r="L698" s="34" t="str"/>
      <x:c r="M698" s="34" t="str"/>
      <x:c r="N698" s="34" t="str"/>
      <x:c r="O698" s="34" t="str"/>
      <x:c r="P698" s="34" t="str"/>
      <x:c r="Q698" s="34" t="str"/>
    </x:row>
    <x:row r="699">
      <x:c r="A699" s="34" t="str">
        <x:v>M5-HIT-0694</x:v>
      </x:c>
      <x:c r="B699" s="34" t="str"/>
      <x:c r="C699" s="34" t="str"/>
      <x:c r="D699" s="34" t="str"/>
      <x:c r="E699" s="34" t="str"/>
      <x:c r="F699" s="34" t="str"/>
      <x:c r="G699" s="34" t="str"/>
      <x:c r="H699" s="34" t="str"/>
      <x:c r="I699" s="34" t="str"/>
      <x:c r="J699" s="34" t="str"/>
      <x:c r="K699" s="34" t="str"/>
      <x:c r="L699" s="34" t="str"/>
      <x:c r="M699" s="34" t="str"/>
      <x:c r="N699" s="34" t="str"/>
      <x:c r="O699" s="34" t="str"/>
      <x:c r="P699" s="34" t="str"/>
      <x:c r="Q699" s="34" t="str"/>
    </x:row>
    <x:row r="700">
      <x:c r="A700" s="34" t="str">
        <x:v>M5-HIT-0695</x:v>
      </x:c>
      <x:c r="B700" s="34" t="str"/>
      <x:c r="C700" s="34" t="str"/>
      <x:c r="D700" s="34" t="str"/>
      <x:c r="E700" s="34" t="str"/>
      <x:c r="F700" s="34" t="str"/>
      <x:c r="G700" s="34" t="str"/>
      <x:c r="H700" s="34" t="str"/>
      <x:c r="I700" s="34" t="str"/>
      <x:c r="J700" s="34" t="str"/>
      <x:c r="K700" s="34" t="str"/>
      <x:c r="L700" s="34" t="str"/>
      <x:c r="M700" s="34" t="str"/>
      <x:c r="N700" s="34" t="str"/>
      <x:c r="O700" s="34" t="str"/>
      <x:c r="P700" s="34" t="str"/>
      <x:c r="Q700" s="34" t="str"/>
    </x:row>
    <x:row r="701">
      <x:c r="A701" s="34" t="str">
        <x:v>M5-HIT-0696</x:v>
      </x:c>
      <x:c r="B701" s="34" t="str"/>
      <x:c r="C701" s="34" t="str"/>
      <x:c r="D701" s="34" t="str"/>
      <x:c r="E701" s="34" t="str"/>
      <x:c r="F701" s="34" t="str"/>
      <x:c r="G701" s="34" t="str"/>
      <x:c r="H701" s="34" t="str"/>
      <x:c r="I701" s="34" t="str"/>
      <x:c r="J701" s="34" t="str"/>
      <x:c r="K701" s="34" t="str"/>
      <x:c r="L701" s="34" t="str"/>
      <x:c r="M701" s="34" t="str"/>
      <x:c r="N701" s="34" t="str"/>
      <x:c r="O701" s="34" t="str"/>
      <x:c r="P701" s="34" t="str"/>
      <x:c r="Q701" s="34" t="str"/>
    </x:row>
    <x:row r="702">
      <x:c r="A702" s="34" t="str">
        <x:v>M5-HIT-0697</x:v>
      </x:c>
      <x:c r="B702" s="34" t="str"/>
      <x:c r="C702" s="34" t="str"/>
      <x:c r="D702" s="34" t="str"/>
      <x:c r="E702" s="34" t="str"/>
      <x:c r="F702" s="34" t="str"/>
      <x:c r="G702" s="34" t="str"/>
      <x:c r="H702" s="34" t="str"/>
      <x:c r="I702" s="34" t="str"/>
      <x:c r="J702" s="34" t="str"/>
      <x:c r="K702" s="34" t="str"/>
      <x:c r="L702" s="34" t="str"/>
      <x:c r="M702" s="34" t="str"/>
      <x:c r="N702" s="34" t="str"/>
      <x:c r="O702" s="34" t="str"/>
      <x:c r="P702" s="34" t="str"/>
      <x:c r="Q702" s="34" t="str"/>
    </x:row>
    <x:row r="703">
      <x:c r="A703" s="34" t="str">
        <x:v>M5-HIT-0698</x:v>
      </x:c>
      <x:c r="B703" s="34" t="str"/>
      <x:c r="C703" s="34" t="str"/>
      <x:c r="D703" s="34" t="str"/>
      <x:c r="E703" s="34" t="str"/>
      <x:c r="F703" s="34" t="str"/>
      <x:c r="G703" s="34" t="str"/>
      <x:c r="H703" s="34" t="str"/>
      <x:c r="I703" s="34" t="str"/>
      <x:c r="J703" s="34" t="str"/>
      <x:c r="K703" s="34" t="str"/>
      <x:c r="L703" s="34" t="str"/>
      <x:c r="M703" s="34" t="str"/>
      <x:c r="N703" s="34" t="str"/>
      <x:c r="O703" s="34" t="str"/>
      <x:c r="P703" s="34" t="str"/>
      <x:c r="Q703" s="34" t="str"/>
    </x:row>
    <x:row r="704">
      <x:c r="A704" s="34" t="str">
        <x:v>M5-HIT-0699</x:v>
      </x:c>
      <x:c r="B704" s="34" t="str"/>
      <x:c r="C704" s="34" t="str"/>
      <x:c r="D704" s="34" t="str"/>
      <x:c r="E704" s="34" t="str"/>
      <x:c r="F704" s="34" t="str"/>
      <x:c r="G704" s="34" t="str"/>
      <x:c r="H704" s="34" t="str"/>
      <x:c r="I704" s="34" t="str"/>
      <x:c r="J704" s="34" t="str"/>
      <x:c r="K704" s="34" t="str"/>
      <x:c r="L704" s="34" t="str"/>
      <x:c r="M704" s="34" t="str"/>
      <x:c r="N704" s="34" t="str"/>
      <x:c r="O704" s="34" t="str"/>
      <x:c r="P704" s="34" t="str"/>
      <x:c r="Q704" s="34" t="str"/>
    </x:row>
    <x:row r="705">
      <x:c r="A705" s="34" t="str">
        <x:v>M5-HIT-0700</x:v>
      </x:c>
      <x:c r="B705" s="34" t="str"/>
      <x:c r="C705" s="34" t="str"/>
      <x:c r="D705" s="34" t="str"/>
      <x:c r="E705" s="34" t="str"/>
      <x:c r="F705" s="34" t="str"/>
      <x:c r="G705" s="34" t="str"/>
      <x:c r="H705" s="34" t="str"/>
      <x:c r="I705" s="34" t="str"/>
      <x:c r="J705" s="34" t="str"/>
      <x:c r="K705" s="34" t="str"/>
      <x:c r="L705" s="34" t="str"/>
      <x:c r="M705" s="34" t="str"/>
      <x:c r="N705" s="34" t="str"/>
      <x:c r="O705" s="34" t="str"/>
      <x:c r="P705" s="34" t="str"/>
      <x:c r="Q705" s="34" t="str"/>
    </x:row>
    <x:row r="706">
      <x:c r="A706" s="34" t="str">
        <x:v>M5-HIT-0701</x:v>
      </x:c>
      <x:c r="B706" s="34" t="str"/>
      <x:c r="C706" s="34" t="str"/>
      <x:c r="D706" s="34" t="str"/>
      <x:c r="E706" s="34" t="str"/>
      <x:c r="F706" s="34" t="str"/>
      <x:c r="G706" s="34" t="str"/>
      <x:c r="H706" s="34" t="str"/>
      <x:c r="I706" s="34" t="str"/>
      <x:c r="J706" s="34" t="str"/>
      <x:c r="K706" s="34" t="str"/>
      <x:c r="L706" s="34" t="str"/>
      <x:c r="M706" s="34" t="str"/>
      <x:c r="N706" s="34" t="str"/>
      <x:c r="O706" s="34" t="str"/>
      <x:c r="P706" s="34" t="str"/>
      <x:c r="Q706" s="34" t="str"/>
    </x:row>
    <x:row r="707">
      <x:c r="A707" s="34" t="str">
        <x:v>M5-HIT-0702</x:v>
      </x:c>
      <x:c r="B707" s="34" t="str"/>
      <x:c r="C707" s="34" t="str"/>
      <x:c r="D707" s="34" t="str"/>
      <x:c r="E707" s="34" t="str"/>
      <x:c r="F707" s="34" t="str"/>
      <x:c r="G707" s="34" t="str"/>
      <x:c r="H707" s="34" t="str"/>
      <x:c r="I707" s="34" t="str"/>
      <x:c r="J707" s="34" t="str"/>
      <x:c r="K707" s="34" t="str"/>
      <x:c r="L707" s="34" t="str"/>
      <x:c r="M707" s="34" t="str"/>
      <x:c r="N707" s="34" t="str"/>
      <x:c r="O707" s="34" t="str"/>
      <x:c r="P707" s="34" t="str"/>
      <x:c r="Q707" s="34" t="str"/>
    </x:row>
    <x:row r="708">
      <x:c r="A708" s="34" t="str">
        <x:v>M5-HIT-0703</x:v>
      </x:c>
      <x:c r="B708" s="34" t="str"/>
      <x:c r="C708" s="34" t="str"/>
      <x:c r="D708" s="34" t="str"/>
      <x:c r="E708" s="34" t="str"/>
      <x:c r="F708" s="34" t="str"/>
      <x:c r="G708" s="34" t="str"/>
      <x:c r="H708" s="34" t="str"/>
      <x:c r="I708" s="34" t="str"/>
      <x:c r="J708" s="34" t="str"/>
      <x:c r="K708" s="34" t="str"/>
      <x:c r="L708" s="34" t="str"/>
      <x:c r="M708" s="34" t="str"/>
      <x:c r="N708" s="34" t="str"/>
      <x:c r="O708" s="34" t="str"/>
      <x:c r="P708" s="34" t="str"/>
      <x:c r="Q708" s="34" t="str"/>
    </x:row>
    <x:row r="709">
      <x:c r="A709" s="34" t="str">
        <x:v>M5-HIT-0704</x:v>
      </x:c>
      <x:c r="B709" s="34" t="str"/>
      <x:c r="C709" s="34" t="str"/>
      <x:c r="D709" s="34" t="str"/>
      <x:c r="E709" s="34" t="str"/>
      <x:c r="F709" s="34" t="str"/>
      <x:c r="G709" s="34" t="str"/>
      <x:c r="H709" s="34" t="str"/>
      <x:c r="I709" s="34" t="str"/>
      <x:c r="J709" s="34" t="str"/>
      <x:c r="K709" s="34" t="str"/>
      <x:c r="L709" s="34" t="str"/>
      <x:c r="M709" s="34" t="str"/>
      <x:c r="N709" s="34" t="str"/>
      <x:c r="O709" s="34" t="str"/>
      <x:c r="P709" s="34" t="str"/>
      <x:c r="Q709" s="34" t="str"/>
    </x:row>
    <x:row r="710">
      <x:c r="A710" s="34" t="str">
        <x:v>M5-HIT-0705</x:v>
      </x:c>
      <x:c r="B710" s="34" t="str"/>
      <x:c r="C710" s="34" t="str"/>
      <x:c r="D710" s="34" t="str"/>
      <x:c r="E710" s="34" t="str"/>
      <x:c r="F710" s="34" t="str"/>
      <x:c r="G710" s="34" t="str"/>
      <x:c r="H710" s="34" t="str"/>
      <x:c r="I710" s="34" t="str"/>
      <x:c r="J710" s="34" t="str"/>
      <x:c r="K710" s="34" t="str"/>
      <x:c r="L710" s="34" t="str"/>
      <x:c r="M710" s="34" t="str"/>
      <x:c r="N710" s="34" t="str"/>
      <x:c r="O710" s="34" t="str"/>
      <x:c r="P710" s="34" t="str"/>
      <x:c r="Q710" s="34" t="str"/>
    </x:row>
    <x:row r="711">
      <x:c r="A711" s="34" t="str">
        <x:v>M5-HIT-0706</x:v>
      </x:c>
      <x:c r="B711" s="34" t="str"/>
      <x:c r="C711" s="34" t="str"/>
      <x:c r="D711" s="34" t="str"/>
      <x:c r="E711" s="34" t="str"/>
      <x:c r="F711" s="34" t="str"/>
      <x:c r="G711" s="34" t="str"/>
      <x:c r="H711" s="34" t="str"/>
      <x:c r="I711" s="34" t="str"/>
      <x:c r="J711" s="34" t="str"/>
      <x:c r="K711" s="34" t="str"/>
      <x:c r="L711" s="34" t="str"/>
      <x:c r="M711" s="34" t="str"/>
      <x:c r="N711" s="34" t="str"/>
      <x:c r="O711" s="34" t="str"/>
      <x:c r="P711" s="34" t="str"/>
      <x:c r="Q711" s="34" t="str"/>
    </x:row>
    <x:row r="712">
      <x:c r="A712" s="34" t="str">
        <x:v>M5-HIT-0707</x:v>
      </x:c>
      <x:c r="B712" s="34" t="str"/>
      <x:c r="C712" s="34" t="str"/>
      <x:c r="D712" s="34" t="str"/>
      <x:c r="E712" s="34" t="str"/>
      <x:c r="F712" s="34" t="str"/>
      <x:c r="G712" s="34" t="str"/>
      <x:c r="H712" s="34" t="str"/>
      <x:c r="I712" s="34" t="str"/>
      <x:c r="J712" s="34" t="str"/>
      <x:c r="K712" s="34" t="str"/>
      <x:c r="L712" s="34" t="str"/>
      <x:c r="M712" s="34" t="str"/>
      <x:c r="N712" s="34" t="str"/>
      <x:c r="O712" s="34" t="str"/>
      <x:c r="P712" s="34" t="str"/>
      <x:c r="Q712" s="34" t="str"/>
    </x:row>
    <x:row r="713">
      <x:c r="A713" s="34" t="str">
        <x:v>M5-HIT-0708</x:v>
      </x:c>
      <x:c r="B713" s="34" t="str"/>
      <x:c r="C713" s="34" t="str"/>
      <x:c r="D713" s="34" t="str"/>
      <x:c r="E713" s="34" t="str"/>
      <x:c r="F713" s="34" t="str"/>
      <x:c r="G713" s="34" t="str"/>
      <x:c r="H713" s="34" t="str"/>
      <x:c r="I713" s="34" t="str"/>
      <x:c r="J713" s="34" t="str"/>
      <x:c r="K713" s="34" t="str"/>
      <x:c r="L713" s="34" t="str"/>
      <x:c r="M713" s="34" t="str"/>
      <x:c r="N713" s="34" t="str"/>
      <x:c r="O713" s="34" t="str"/>
      <x:c r="P713" s="34" t="str"/>
      <x:c r="Q713" s="34" t="str"/>
    </x:row>
    <x:row r="714">
      <x:c r="A714" s="34" t="str">
        <x:v>M5-HIT-0709</x:v>
      </x:c>
      <x:c r="B714" s="34" t="str"/>
      <x:c r="C714" s="34" t="str"/>
      <x:c r="D714" s="34" t="str"/>
      <x:c r="E714" s="34" t="str"/>
      <x:c r="F714" s="34" t="str"/>
      <x:c r="G714" s="34" t="str"/>
      <x:c r="H714" s="34" t="str"/>
      <x:c r="I714" s="34" t="str"/>
      <x:c r="J714" s="34" t="str"/>
      <x:c r="K714" s="34" t="str"/>
      <x:c r="L714" s="34" t="str"/>
      <x:c r="M714" s="34" t="str"/>
      <x:c r="N714" s="34" t="str"/>
      <x:c r="O714" s="34" t="str"/>
      <x:c r="P714" s="34" t="str"/>
      <x:c r="Q714" s="34" t="str"/>
    </x:row>
    <x:row r="715">
      <x:c r="A715" s="34" t="str">
        <x:v>M5-HIT-0710</x:v>
      </x:c>
      <x:c r="B715" s="34" t="str"/>
      <x:c r="C715" s="34" t="str"/>
      <x:c r="D715" s="34" t="str"/>
      <x:c r="E715" s="34" t="str"/>
      <x:c r="F715" s="34" t="str"/>
      <x:c r="G715" s="34" t="str"/>
      <x:c r="H715" s="34" t="str"/>
      <x:c r="I715" s="34" t="str"/>
      <x:c r="J715" s="34" t="str"/>
      <x:c r="K715" s="34" t="str"/>
      <x:c r="L715" s="34" t="str"/>
      <x:c r="M715" s="34" t="str"/>
      <x:c r="N715" s="34" t="str"/>
      <x:c r="O715" s="34" t="str"/>
      <x:c r="P715" s="34" t="str"/>
      <x:c r="Q715" s="34" t="str"/>
    </x:row>
    <x:row r="716">
      <x:c r="A716" s="34" t="str">
        <x:v>M5-HIT-0711</x:v>
      </x:c>
      <x:c r="B716" s="34" t="str"/>
      <x:c r="C716" s="34" t="str"/>
      <x:c r="D716" s="34" t="str"/>
      <x:c r="E716" s="34" t="str"/>
      <x:c r="F716" s="34" t="str"/>
      <x:c r="G716" s="34" t="str"/>
      <x:c r="H716" s="34" t="str"/>
      <x:c r="I716" s="34" t="str"/>
      <x:c r="J716" s="34" t="str"/>
      <x:c r="K716" s="34" t="str"/>
      <x:c r="L716" s="34" t="str"/>
      <x:c r="M716" s="34" t="str"/>
      <x:c r="N716" s="34" t="str"/>
      <x:c r="O716" s="34" t="str"/>
      <x:c r="P716" s="34" t="str"/>
      <x:c r="Q716" s="34" t="str"/>
    </x:row>
    <x:row r="717">
      <x:c r="A717" s="34" t="str">
        <x:v>M5-HIT-0712</x:v>
      </x:c>
      <x:c r="B717" s="34" t="str"/>
      <x:c r="C717" s="34" t="str"/>
      <x:c r="D717" s="34" t="str"/>
      <x:c r="E717" s="34" t="str"/>
      <x:c r="F717" s="34" t="str"/>
      <x:c r="G717" s="34" t="str"/>
      <x:c r="H717" s="34" t="str"/>
      <x:c r="I717" s="34" t="str"/>
      <x:c r="J717" s="34" t="str"/>
      <x:c r="K717" s="34" t="str"/>
      <x:c r="L717" s="34" t="str"/>
      <x:c r="M717" s="34" t="str"/>
      <x:c r="N717" s="34" t="str"/>
      <x:c r="O717" s="34" t="str"/>
      <x:c r="P717" s="34" t="str"/>
      <x:c r="Q717" s="34" t="str"/>
    </x:row>
    <x:row r="718">
      <x:c r="A718" s="34" t="str">
        <x:v>M5-HIT-0713</x:v>
      </x:c>
      <x:c r="B718" s="34" t="str"/>
      <x:c r="C718" s="34" t="str"/>
      <x:c r="D718" s="34" t="str"/>
      <x:c r="E718" s="34" t="str"/>
      <x:c r="F718" s="34" t="str"/>
      <x:c r="G718" s="34" t="str"/>
      <x:c r="H718" s="34" t="str"/>
      <x:c r="I718" s="34" t="str"/>
      <x:c r="J718" s="34" t="str"/>
      <x:c r="K718" s="34" t="str"/>
      <x:c r="L718" s="34" t="str"/>
      <x:c r="M718" s="34" t="str"/>
      <x:c r="N718" s="34" t="str"/>
      <x:c r="O718" s="34" t="str"/>
      <x:c r="P718" s="34" t="str"/>
      <x:c r="Q718" s="34" t="str"/>
    </x:row>
    <x:row r="719">
      <x:c r="A719" s="34" t="str">
        <x:v>M5-HIT-0714</x:v>
      </x:c>
      <x:c r="B719" s="34" t="str"/>
      <x:c r="C719" s="34" t="str"/>
      <x:c r="D719" s="34" t="str"/>
      <x:c r="E719" s="34" t="str"/>
      <x:c r="F719" s="34" t="str"/>
      <x:c r="G719" s="34" t="str"/>
      <x:c r="H719" s="34" t="str"/>
      <x:c r="I719" s="34" t="str"/>
      <x:c r="J719" s="34" t="str"/>
      <x:c r="K719" s="34" t="str"/>
      <x:c r="L719" s="34" t="str"/>
      <x:c r="M719" s="34" t="str"/>
      <x:c r="N719" s="34" t="str"/>
      <x:c r="O719" s="34" t="str"/>
      <x:c r="P719" s="34" t="str"/>
      <x:c r="Q719" s="34" t="str"/>
    </x:row>
    <x:row r="720">
      <x:c r="A720" s="34" t="str">
        <x:v>M5-HIT-0715</x:v>
      </x:c>
      <x:c r="B720" s="34" t="str"/>
      <x:c r="C720" s="34" t="str"/>
      <x:c r="D720" s="34" t="str"/>
      <x:c r="E720" s="34" t="str"/>
      <x:c r="F720" s="34" t="str"/>
      <x:c r="G720" s="34" t="str"/>
      <x:c r="H720" s="34" t="str"/>
      <x:c r="I720" s="34" t="str"/>
      <x:c r="J720" s="34" t="str"/>
      <x:c r="K720" s="34" t="str"/>
      <x:c r="L720" s="34" t="str"/>
      <x:c r="M720" s="34" t="str"/>
      <x:c r="N720" s="34" t="str"/>
      <x:c r="O720" s="34" t="str"/>
      <x:c r="P720" s="34" t="str"/>
      <x:c r="Q720" s="34" t="str"/>
    </x:row>
    <x:row r="721">
      <x:c r="A721" s="34" t="str">
        <x:v>M5-HIT-0716</x:v>
      </x:c>
      <x:c r="B721" s="34" t="str"/>
      <x:c r="C721" s="34" t="str"/>
      <x:c r="D721" s="34" t="str"/>
      <x:c r="E721" s="34" t="str"/>
      <x:c r="F721" s="34" t="str"/>
      <x:c r="G721" s="34" t="str"/>
      <x:c r="H721" s="34" t="str"/>
      <x:c r="I721" s="34" t="str"/>
      <x:c r="J721" s="34" t="str"/>
      <x:c r="K721" s="34" t="str"/>
      <x:c r="L721" s="34" t="str"/>
      <x:c r="M721" s="34" t="str"/>
      <x:c r="N721" s="34" t="str"/>
      <x:c r="O721" s="34" t="str"/>
      <x:c r="P721" s="34" t="str"/>
      <x:c r="Q721" s="34" t="str"/>
    </x:row>
    <x:row r="722">
      <x:c r="A722" s="34" t="str">
        <x:v>M5-HIT-0717</x:v>
      </x:c>
      <x:c r="B722" s="34" t="str"/>
      <x:c r="C722" s="34" t="str"/>
      <x:c r="D722" s="34" t="str"/>
      <x:c r="E722" s="34" t="str"/>
      <x:c r="F722" s="34" t="str"/>
      <x:c r="G722" s="34" t="str"/>
      <x:c r="H722" s="34" t="str"/>
      <x:c r="I722" s="34" t="str"/>
      <x:c r="J722" s="34" t="str"/>
      <x:c r="K722" s="34" t="str"/>
      <x:c r="L722" s="34" t="str"/>
      <x:c r="M722" s="34" t="str"/>
      <x:c r="N722" s="34" t="str"/>
      <x:c r="O722" s="34" t="str"/>
      <x:c r="P722" s="34" t="str"/>
      <x:c r="Q722" s="34" t="str"/>
    </x:row>
    <x:row r="723">
      <x:c r="A723" s="34" t="str">
        <x:v>M5-HIT-0718</x:v>
      </x:c>
      <x:c r="B723" s="34" t="str"/>
      <x:c r="C723" s="34" t="str"/>
      <x:c r="D723" s="34" t="str"/>
      <x:c r="E723" s="34" t="str"/>
      <x:c r="F723" s="34" t="str"/>
      <x:c r="G723" s="34" t="str"/>
      <x:c r="H723" s="34" t="str"/>
      <x:c r="I723" s="34" t="str"/>
      <x:c r="J723" s="34" t="str"/>
      <x:c r="K723" s="34" t="str"/>
      <x:c r="L723" s="34" t="str"/>
      <x:c r="M723" s="34" t="str"/>
      <x:c r="N723" s="34" t="str"/>
      <x:c r="O723" s="34" t="str"/>
      <x:c r="P723" s="34" t="str"/>
      <x:c r="Q723" s="34" t="str"/>
    </x:row>
    <x:row r="724">
      <x:c r="A724" s="34" t="str">
        <x:v>M5-HIT-0719</x:v>
      </x:c>
      <x:c r="B724" s="34" t="str"/>
      <x:c r="C724" s="34" t="str"/>
      <x:c r="D724" s="34" t="str"/>
      <x:c r="E724" s="34" t="str"/>
      <x:c r="F724" s="34" t="str"/>
      <x:c r="G724" s="34" t="str"/>
      <x:c r="H724" s="34" t="str"/>
      <x:c r="I724" s="34" t="str"/>
      <x:c r="J724" s="34" t="str"/>
      <x:c r="K724" s="34" t="str"/>
      <x:c r="L724" s="34" t="str"/>
      <x:c r="M724" s="34" t="str"/>
      <x:c r="N724" s="34" t="str"/>
      <x:c r="O724" s="34" t="str"/>
      <x:c r="P724" s="34" t="str"/>
      <x:c r="Q724" s="34" t="str"/>
    </x:row>
    <x:row r="725">
      <x:c r="A725" s="34" t="str">
        <x:v>M5-HIT-0720</x:v>
      </x:c>
      <x:c r="B725" s="34" t="str"/>
      <x:c r="C725" s="34" t="str"/>
      <x:c r="D725" s="34" t="str"/>
      <x:c r="E725" s="34" t="str"/>
      <x:c r="F725" s="34" t="str"/>
      <x:c r="G725" s="34" t="str"/>
      <x:c r="H725" s="34" t="str"/>
      <x:c r="I725" s="34" t="str"/>
      <x:c r="J725" s="34" t="str"/>
      <x:c r="K725" s="34" t="str"/>
      <x:c r="L725" s="34" t="str"/>
      <x:c r="M725" s="34" t="str"/>
      <x:c r="N725" s="34" t="str"/>
      <x:c r="O725" s="34" t="str"/>
      <x:c r="P725" s="34" t="str"/>
      <x:c r="Q725" s="34" t="str"/>
    </x:row>
    <x:row r="726">
      <x:c r="A726" s="34" t="str">
        <x:v>M5-HIT-0721</x:v>
      </x:c>
      <x:c r="B726" s="34" t="str"/>
      <x:c r="C726" s="34" t="str"/>
      <x:c r="D726" s="34" t="str"/>
      <x:c r="E726" s="34" t="str"/>
      <x:c r="F726" s="34" t="str"/>
      <x:c r="G726" s="34" t="str"/>
      <x:c r="H726" s="34" t="str"/>
      <x:c r="I726" s="34" t="str"/>
      <x:c r="J726" s="34" t="str"/>
      <x:c r="K726" s="34" t="str"/>
      <x:c r="L726" s="34" t="str"/>
      <x:c r="M726" s="34" t="str"/>
      <x:c r="N726" s="34" t="str"/>
      <x:c r="O726" s="34" t="str"/>
      <x:c r="P726" s="34" t="str"/>
      <x:c r="Q726" s="34" t="str"/>
    </x:row>
    <x:row r="727">
      <x:c r="A727" s="34" t="str">
        <x:v>M5-HIT-0722</x:v>
      </x:c>
      <x:c r="B727" s="34" t="str"/>
      <x:c r="C727" s="34" t="str"/>
      <x:c r="D727" s="34" t="str"/>
      <x:c r="E727" s="34" t="str"/>
      <x:c r="F727" s="34" t="str"/>
      <x:c r="G727" s="34" t="str"/>
      <x:c r="H727" s="34" t="str"/>
      <x:c r="I727" s="34" t="str"/>
      <x:c r="J727" s="34" t="str"/>
      <x:c r="K727" s="34" t="str"/>
      <x:c r="L727" s="34" t="str"/>
      <x:c r="M727" s="34" t="str"/>
      <x:c r="N727" s="34" t="str"/>
      <x:c r="O727" s="34" t="str"/>
      <x:c r="P727" s="34" t="str"/>
      <x:c r="Q727" s="34" t="str"/>
    </x:row>
    <x:row r="728">
      <x:c r="A728" s="34" t="str">
        <x:v>M5-HIT-0723</x:v>
      </x:c>
      <x:c r="B728" s="34" t="str"/>
      <x:c r="C728" s="34" t="str"/>
      <x:c r="D728" s="34" t="str"/>
      <x:c r="E728" s="34" t="str"/>
      <x:c r="F728" s="34" t="str"/>
      <x:c r="G728" s="34" t="str"/>
      <x:c r="H728" s="34" t="str"/>
      <x:c r="I728" s="34" t="str"/>
      <x:c r="J728" s="34" t="str"/>
      <x:c r="K728" s="34" t="str"/>
      <x:c r="L728" s="34" t="str"/>
      <x:c r="M728" s="34" t="str"/>
      <x:c r="N728" s="34" t="str"/>
      <x:c r="O728" s="34" t="str"/>
      <x:c r="P728" s="34" t="str"/>
      <x:c r="Q728" s="34" t="str"/>
    </x:row>
    <x:row r="729">
      <x:c r="A729" s="34" t="str">
        <x:v>M5-HIT-0724</x:v>
      </x:c>
      <x:c r="B729" s="34" t="str"/>
      <x:c r="C729" s="34" t="str"/>
      <x:c r="D729" s="34" t="str"/>
      <x:c r="E729" s="34" t="str"/>
      <x:c r="F729" s="34" t="str"/>
      <x:c r="G729" s="34" t="str"/>
      <x:c r="H729" s="34" t="str"/>
      <x:c r="I729" s="34" t="str"/>
      <x:c r="J729" s="34" t="str"/>
      <x:c r="K729" s="34" t="str"/>
      <x:c r="L729" s="34" t="str"/>
      <x:c r="M729" s="34" t="str"/>
      <x:c r="N729" s="34" t="str"/>
      <x:c r="O729" s="34" t="str"/>
      <x:c r="P729" s="34" t="str"/>
      <x:c r="Q729" s="34" t="str"/>
    </x:row>
    <x:row r="730">
      <x:c r="A730" s="34" t="str">
        <x:v>M5-HIT-0725</x:v>
      </x:c>
      <x:c r="B730" s="34" t="str"/>
      <x:c r="C730" s="34" t="str"/>
      <x:c r="D730" s="34" t="str"/>
      <x:c r="E730" s="34" t="str"/>
      <x:c r="F730" s="34" t="str"/>
      <x:c r="G730" s="34" t="str"/>
      <x:c r="H730" s="34" t="str"/>
      <x:c r="I730" s="34" t="str"/>
      <x:c r="J730" s="34" t="str"/>
      <x:c r="K730" s="34" t="str"/>
      <x:c r="L730" s="34" t="str"/>
      <x:c r="M730" s="34" t="str"/>
      <x:c r="N730" s="34" t="str"/>
      <x:c r="O730" s="34" t="str"/>
      <x:c r="P730" s="34" t="str"/>
      <x:c r="Q730" s="34" t="str"/>
    </x:row>
    <x:row r="731">
      <x:c r="A731" s="34" t="str">
        <x:v>M5-HIT-0726</x:v>
      </x:c>
      <x:c r="B731" s="34" t="str"/>
      <x:c r="C731" s="34" t="str"/>
      <x:c r="D731" s="34" t="str"/>
      <x:c r="E731" s="34" t="str"/>
      <x:c r="F731" s="34" t="str"/>
      <x:c r="G731" s="34" t="str"/>
      <x:c r="H731" s="34" t="str"/>
      <x:c r="I731" s="34" t="str"/>
      <x:c r="J731" s="34" t="str"/>
      <x:c r="K731" s="34" t="str"/>
      <x:c r="L731" s="34" t="str"/>
      <x:c r="M731" s="34" t="str"/>
      <x:c r="N731" s="34" t="str"/>
      <x:c r="O731" s="34" t="str"/>
      <x:c r="P731" s="34" t="str"/>
      <x:c r="Q731" s="34" t="str"/>
    </x:row>
    <x:row r="732">
      <x:c r="A732" s="34" t="str">
        <x:v>M5-HIT-0727</x:v>
      </x:c>
      <x:c r="B732" s="34" t="str"/>
      <x:c r="C732" s="34" t="str"/>
      <x:c r="D732" s="34" t="str"/>
      <x:c r="E732" s="34" t="str"/>
      <x:c r="F732" s="34" t="str"/>
      <x:c r="G732" s="34" t="str"/>
      <x:c r="H732" s="34" t="str"/>
      <x:c r="I732" s="34" t="str"/>
      <x:c r="J732" s="34" t="str"/>
      <x:c r="K732" s="34" t="str"/>
      <x:c r="L732" s="34" t="str"/>
      <x:c r="M732" s="34" t="str"/>
      <x:c r="N732" s="34" t="str"/>
      <x:c r="O732" s="34" t="str"/>
      <x:c r="P732" s="34" t="str"/>
      <x:c r="Q732" s="34" t="str"/>
    </x:row>
    <x:row r="733">
      <x:c r="A733" s="34" t="str">
        <x:v>M5-HIT-0728</x:v>
      </x:c>
      <x:c r="B733" s="34" t="str"/>
      <x:c r="C733" s="34" t="str"/>
      <x:c r="D733" s="34" t="str"/>
      <x:c r="E733" s="34" t="str"/>
      <x:c r="F733" s="34" t="str"/>
      <x:c r="G733" s="34" t="str"/>
      <x:c r="H733" s="34" t="str"/>
      <x:c r="I733" s="34" t="str"/>
      <x:c r="J733" s="34" t="str"/>
      <x:c r="K733" s="34" t="str"/>
      <x:c r="L733" s="34" t="str"/>
      <x:c r="M733" s="34" t="str"/>
      <x:c r="N733" s="34" t="str"/>
      <x:c r="O733" s="34" t="str"/>
      <x:c r="P733" s="34" t="str"/>
      <x:c r="Q733" s="34" t="str"/>
    </x:row>
    <x:row r="734">
      <x:c r="A734" s="34" t="str">
        <x:v>M5-HIT-0729</x:v>
      </x:c>
      <x:c r="B734" s="34" t="str"/>
      <x:c r="C734" s="34" t="str"/>
      <x:c r="D734" s="34" t="str"/>
      <x:c r="E734" s="34" t="str"/>
      <x:c r="F734" s="34" t="str"/>
      <x:c r="G734" s="34" t="str"/>
      <x:c r="H734" s="34" t="str"/>
      <x:c r="I734" s="34" t="str"/>
      <x:c r="J734" s="34" t="str"/>
      <x:c r="K734" s="34" t="str"/>
      <x:c r="L734" s="34" t="str"/>
      <x:c r="M734" s="34" t="str"/>
      <x:c r="N734" s="34" t="str"/>
      <x:c r="O734" s="34" t="str"/>
      <x:c r="P734" s="34" t="str"/>
      <x:c r="Q734" s="34" t="str"/>
    </x:row>
    <x:row r="735">
      <x:c r="A735" s="34" t="str">
        <x:v>M5-HIT-0730</x:v>
      </x:c>
      <x:c r="B735" s="34" t="str"/>
      <x:c r="C735" s="34" t="str"/>
      <x:c r="D735" s="34" t="str"/>
      <x:c r="E735" s="34" t="str"/>
      <x:c r="F735" s="34" t="str"/>
      <x:c r="G735" s="34" t="str"/>
      <x:c r="H735" s="34" t="str"/>
      <x:c r="I735" s="34" t="str"/>
      <x:c r="J735" s="34" t="str"/>
      <x:c r="K735" s="34" t="str"/>
      <x:c r="L735" s="34" t="str"/>
      <x:c r="M735" s="34" t="str"/>
      <x:c r="N735" s="34" t="str"/>
      <x:c r="O735" s="34" t="str"/>
      <x:c r="P735" s="34" t="str"/>
      <x:c r="Q735" s="34" t="str"/>
    </x:row>
    <x:row r="736">
      <x:c r="A736" s="34" t="str">
        <x:v>M5-HIT-0731</x:v>
      </x:c>
      <x:c r="B736" s="34" t="str"/>
      <x:c r="C736" s="34" t="str"/>
      <x:c r="D736" s="34" t="str"/>
      <x:c r="E736" s="34" t="str"/>
      <x:c r="F736" s="34" t="str"/>
      <x:c r="G736" s="34" t="str"/>
      <x:c r="H736" s="34" t="str"/>
      <x:c r="I736" s="34" t="str"/>
      <x:c r="J736" s="34" t="str"/>
      <x:c r="K736" s="34" t="str"/>
      <x:c r="L736" s="34" t="str"/>
      <x:c r="M736" s="34" t="str"/>
      <x:c r="N736" s="34" t="str"/>
      <x:c r="O736" s="34" t="str"/>
      <x:c r="P736" s="34" t="str"/>
      <x:c r="Q736" s="34" t="str"/>
    </x:row>
    <x:row r="737">
      <x:c r="A737" s="34" t="str">
        <x:v>M5-HIT-0732</x:v>
      </x:c>
      <x:c r="B737" s="34" t="str"/>
      <x:c r="C737" s="34" t="str"/>
      <x:c r="D737" s="34" t="str"/>
      <x:c r="E737" s="34" t="str"/>
      <x:c r="F737" s="34" t="str"/>
      <x:c r="G737" s="34" t="str"/>
      <x:c r="H737" s="34" t="str"/>
      <x:c r="I737" s="34" t="str"/>
      <x:c r="J737" s="34" t="str"/>
      <x:c r="K737" s="34" t="str"/>
      <x:c r="L737" s="34" t="str"/>
      <x:c r="M737" s="34" t="str"/>
      <x:c r="N737" s="34" t="str"/>
      <x:c r="O737" s="34" t="str"/>
      <x:c r="P737" s="34" t="str"/>
      <x:c r="Q737" s="34" t="str"/>
    </x:row>
    <x:row r="738">
      <x:c r="A738" s="34" t="str">
        <x:v>M5-HIT-0733</x:v>
      </x:c>
      <x:c r="B738" s="34" t="str"/>
      <x:c r="C738" s="34" t="str"/>
      <x:c r="D738" s="34" t="str"/>
      <x:c r="E738" s="34" t="str"/>
      <x:c r="F738" s="34" t="str"/>
      <x:c r="G738" s="34" t="str"/>
      <x:c r="H738" s="34" t="str"/>
      <x:c r="I738" s="34" t="str"/>
      <x:c r="J738" s="34" t="str"/>
      <x:c r="K738" s="34" t="str"/>
      <x:c r="L738" s="34" t="str"/>
      <x:c r="M738" s="34" t="str"/>
      <x:c r="N738" s="34" t="str"/>
      <x:c r="O738" s="34" t="str"/>
      <x:c r="P738" s="34" t="str"/>
      <x:c r="Q738" s="34" t="str"/>
    </x:row>
    <x:row r="739">
      <x:c r="A739" s="34" t="str">
        <x:v>M5-HIT-0734</x:v>
      </x:c>
      <x:c r="B739" s="34" t="str"/>
      <x:c r="C739" s="34" t="str"/>
      <x:c r="D739" s="34" t="str"/>
      <x:c r="E739" s="34" t="str"/>
      <x:c r="F739" s="34" t="str"/>
      <x:c r="G739" s="34" t="str"/>
      <x:c r="H739" s="34" t="str"/>
      <x:c r="I739" s="34" t="str"/>
      <x:c r="J739" s="34" t="str"/>
      <x:c r="K739" s="34" t="str"/>
      <x:c r="L739" s="34" t="str"/>
      <x:c r="M739" s="34" t="str"/>
      <x:c r="N739" s="34" t="str"/>
      <x:c r="O739" s="34" t="str"/>
      <x:c r="P739" s="34" t="str"/>
      <x:c r="Q739" s="34" t="str"/>
    </x:row>
    <x:row r="740">
      <x:c r="A740" s="34" t="str">
        <x:v>M5-HIT-0735</x:v>
      </x:c>
      <x:c r="B740" s="34" t="str"/>
      <x:c r="C740" s="34" t="str"/>
      <x:c r="D740" s="34" t="str"/>
      <x:c r="E740" s="34" t="str"/>
      <x:c r="F740" s="34" t="str"/>
      <x:c r="G740" s="34" t="str"/>
      <x:c r="H740" s="34" t="str"/>
      <x:c r="I740" s="34" t="str"/>
      <x:c r="J740" s="34" t="str"/>
      <x:c r="K740" s="34" t="str"/>
      <x:c r="L740" s="34" t="str"/>
      <x:c r="M740" s="34" t="str"/>
      <x:c r="N740" s="34" t="str"/>
      <x:c r="O740" s="34" t="str"/>
      <x:c r="P740" s="34" t="str"/>
      <x:c r="Q740" s="34" t="str"/>
    </x:row>
    <x:row r="741">
      <x:c r="A741" s="34" t="str">
        <x:v>M5-HIT-0736</x:v>
      </x:c>
      <x:c r="B741" s="34" t="str"/>
      <x:c r="C741" s="34" t="str"/>
      <x:c r="D741" s="34" t="str"/>
      <x:c r="E741" s="34" t="str"/>
      <x:c r="F741" s="34" t="str"/>
      <x:c r="G741" s="34" t="str"/>
      <x:c r="H741" s="34" t="str"/>
      <x:c r="I741" s="34" t="str"/>
      <x:c r="J741" s="34" t="str"/>
      <x:c r="K741" s="34" t="str"/>
      <x:c r="L741" s="34" t="str"/>
      <x:c r="M741" s="34" t="str"/>
      <x:c r="N741" s="34" t="str"/>
      <x:c r="O741" s="34" t="str"/>
      <x:c r="P741" s="34" t="str"/>
      <x:c r="Q741" s="34" t="str"/>
    </x:row>
    <x:row r="742">
      <x:c r="A742" s="34" t="str">
        <x:v>M5-HIT-0737</x:v>
      </x:c>
      <x:c r="B742" s="34" t="str"/>
      <x:c r="C742" s="34" t="str"/>
      <x:c r="D742" s="34" t="str"/>
      <x:c r="E742" s="34" t="str"/>
      <x:c r="F742" s="34" t="str"/>
      <x:c r="G742" s="34" t="str"/>
      <x:c r="H742" s="34" t="str"/>
      <x:c r="I742" s="34" t="str"/>
      <x:c r="J742" s="34" t="str"/>
      <x:c r="K742" s="34" t="str"/>
      <x:c r="L742" s="34" t="str"/>
      <x:c r="M742" s="34" t="str"/>
      <x:c r="N742" s="34" t="str"/>
      <x:c r="O742" s="34" t="str"/>
      <x:c r="P742" s="34" t="str"/>
      <x:c r="Q742" s="34" t="str"/>
    </x:row>
    <x:row r="743">
      <x:c r="A743" s="34" t="str">
        <x:v>M5-HIT-0738</x:v>
      </x:c>
      <x:c r="B743" s="34" t="str"/>
      <x:c r="C743" s="34" t="str"/>
      <x:c r="D743" s="34" t="str"/>
      <x:c r="E743" s="34" t="str"/>
      <x:c r="F743" s="34" t="str"/>
      <x:c r="G743" s="34" t="str"/>
      <x:c r="H743" s="34" t="str"/>
      <x:c r="I743" s="34" t="str"/>
      <x:c r="J743" s="34" t="str"/>
      <x:c r="K743" s="34" t="str"/>
      <x:c r="L743" s="34" t="str"/>
      <x:c r="M743" s="34" t="str"/>
      <x:c r="N743" s="34" t="str"/>
      <x:c r="O743" s="34" t="str"/>
      <x:c r="P743" s="34" t="str"/>
      <x:c r="Q743" s="34" t="str"/>
    </x:row>
    <x:row r="744">
      <x:c r="A744" s="34" t="str">
        <x:v>M5-HIT-0739</x:v>
      </x:c>
      <x:c r="B744" s="34" t="str"/>
      <x:c r="C744" s="34" t="str"/>
      <x:c r="D744" s="34" t="str"/>
      <x:c r="E744" s="34" t="str"/>
      <x:c r="F744" s="34" t="str"/>
      <x:c r="G744" s="34" t="str"/>
      <x:c r="H744" s="34" t="str"/>
      <x:c r="I744" s="34" t="str"/>
      <x:c r="J744" s="34" t="str"/>
      <x:c r="K744" s="34" t="str"/>
      <x:c r="L744" s="34" t="str"/>
      <x:c r="M744" s="34" t="str"/>
      <x:c r="N744" s="34" t="str"/>
      <x:c r="O744" s="34" t="str"/>
      <x:c r="P744" s="34" t="str"/>
      <x:c r="Q744" s="34" t="str"/>
    </x:row>
    <x:row r="745">
      <x:c r="A745" s="34" t="str">
        <x:v>M5-HIT-0740</x:v>
      </x:c>
      <x:c r="B745" s="34" t="str"/>
      <x:c r="C745" s="34" t="str"/>
      <x:c r="D745" s="34" t="str"/>
      <x:c r="E745" s="34" t="str"/>
      <x:c r="F745" s="34" t="str"/>
      <x:c r="G745" s="34" t="str"/>
      <x:c r="H745" s="34" t="str"/>
      <x:c r="I745" s="34" t="str"/>
      <x:c r="J745" s="34" t="str"/>
      <x:c r="K745" s="34" t="str"/>
      <x:c r="L745" s="34" t="str"/>
      <x:c r="M745" s="34" t="str"/>
      <x:c r="N745" s="34" t="str"/>
      <x:c r="O745" s="34" t="str"/>
      <x:c r="P745" s="34" t="str"/>
      <x:c r="Q745" s="34" t="str"/>
    </x:row>
    <x:row r="746">
      <x:c r="A746" s="34" t="str">
        <x:v>M5-HIT-0741</x:v>
      </x:c>
      <x:c r="B746" s="34" t="str"/>
      <x:c r="C746" s="34" t="str"/>
      <x:c r="D746" s="34" t="str"/>
      <x:c r="E746" s="34" t="str"/>
      <x:c r="F746" s="34" t="str"/>
      <x:c r="G746" s="34" t="str"/>
      <x:c r="H746" s="34" t="str"/>
      <x:c r="I746" s="34" t="str"/>
      <x:c r="J746" s="34" t="str"/>
      <x:c r="K746" s="34" t="str"/>
      <x:c r="L746" s="34" t="str"/>
      <x:c r="M746" s="34" t="str"/>
      <x:c r="N746" s="34" t="str"/>
      <x:c r="O746" s="34" t="str"/>
      <x:c r="P746" s="34" t="str"/>
      <x:c r="Q746" s="34" t="str"/>
    </x:row>
    <x:row r="747">
      <x:c r="A747" s="34" t="str">
        <x:v>M5-HIT-0742</x:v>
      </x:c>
      <x:c r="B747" s="34" t="str"/>
      <x:c r="C747" s="34" t="str"/>
      <x:c r="D747" s="34" t="str"/>
      <x:c r="E747" s="34" t="str"/>
      <x:c r="F747" s="34" t="str"/>
      <x:c r="G747" s="34" t="str"/>
      <x:c r="H747" s="34" t="str"/>
      <x:c r="I747" s="34" t="str"/>
      <x:c r="J747" s="34" t="str"/>
      <x:c r="K747" s="34" t="str"/>
      <x:c r="L747" s="34" t="str"/>
      <x:c r="M747" s="34" t="str"/>
      <x:c r="N747" s="34" t="str"/>
      <x:c r="O747" s="34" t="str"/>
      <x:c r="P747" s="34" t="str"/>
      <x:c r="Q747" s="34" t="str"/>
    </x:row>
    <x:row r="748">
      <x:c r="A748" s="34" t="str">
        <x:v>M5-HIT-0743</x:v>
      </x:c>
      <x:c r="B748" s="34" t="str"/>
      <x:c r="C748" s="34" t="str"/>
      <x:c r="D748" s="34" t="str"/>
      <x:c r="E748" s="34" t="str"/>
      <x:c r="F748" s="34" t="str"/>
      <x:c r="G748" s="34" t="str"/>
      <x:c r="H748" s="34" t="str"/>
      <x:c r="I748" s="34" t="str"/>
      <x:c r="J748" s="34" t="str"/>
      <x:c r="K748" s="34" t="str"/>
      <x:c r="L748" s="34" t="str"/>
      <x:c r="M748" s="34" t="str"/>
      <x:c r="N748" s="34" t="str"/>
      <x:c r="O748" s="34" t="str"/>
      <x:c r="P748" s="34" t="str"/>
      <x:c r="Q748" s="34" t="str"/>
    </x:row>
    <x:row r="749">
      <x:c r="A749" s="34" t="str">
        <x:v>M5-HIT-0744</x:v>
      </x:c>
      <x:c r="B749" s="34" t="str"/>
      <x:c r="C749" s="34" t="str"/>
      <x:c r="D749" s="34" t="str"/>
      <x:c r="E749" s="34" t="str"/>
      <x:c r="F749" s="34" t="str"/>
      <x:c r="G749" s="34" t="str"/>
      <x:c r="H749" s="34" t="str"/>
      <x:c r="I749" s="34" t="str"/>
      <x:c r="J749" s="34" t="str"/>
      <x:c r="K749" s="34" t="str"/>
      <x:c r="L749" s="34" t="str"/>
      <x:c r="M749" s="34" t="str"/>
      <x:c r="N749" s="34" t="str"/>
      <x:c r="O749" s="34" t="str"/>
      <x:c r="P749" s="34" t="str"/>
      <x:c r="Q749" s="34" t="str"/>
    </x:row>
    <x:row r="750">
      <x:c r="A750" s="34" t="str">
        <x:v>M5-HIT-0745</x:v>
      </x:c>
      <x:c r="B750" s="34" t="str"/>
      <x:c r="C750" s="34" t="str"/>
      <x:c r="D750" s="34" t="str"/>
      <x:c r="E750" s="34" t="str"/>
      <x:c r="F750" s="34" t="str"/>
      <x:c r="G750" s="34" t="str"/>
      <x:c r="H750" s="34" t="str"/>
      <x:c r="I750" s="34" t="str"/>
      <x:c r="J750" s="34" t="str"/>
      <x:c r="K750" s="34" t="str"/>
      <x:c r="L750" s="34" t="str"/>
      <x:c r="M750" s="34" t="str"/>
      <x:c r="N750" s="34" t="str"/>
      <x:c r="O750" s="34" t="str"/>
      <x:c r="P750" s="34" t="str"/>
      <x:c r="Q750" s="34" t="str"/>
    </x:row>
    <x:row r="751">
      <x:c r="A751" s="34" t="str">
        <x:v>M5-HIT-0746</x:v>
      </x:c>
      <x:c r="B751" s="34" t="str"/>
      <x:c r="C751" s="34" t="str"/>
      <x:c r="D751" s="34" t="str"/>
      <x:c r="E751" s="34" t="str"/>
      <x:c r="F751" s="34" t="str"/>
      <x:c r="G751" s="34" t="str"/>
      <x:c r="H751" s="34" t="str"/>
      <x:c r="I751" s="34" t="str"/>
      <x:c r="J751" s="34" t="str"/>
      <x:c r="K751" s="34" t="str"/>
      <x:c r="L751" s="34" t="str"/>
      <x:c r="M751" s="34" t="str"/>
      <x:c r="N751" s="34" t="str"/>
      <x:c r="O751" s="34" t="str"/>
      <x:c r="P751" s="34" t="str"/>
      <x:c r="Q751" s="34" t="str"/>
    </x:row>
    <x:row r="752">
      <x:c r="A752" s="34" t="str">
        <x:v>M5-HIT-0747</x:v>
      </x:c>
      <x:c r="B752" s="34" t="str"/>
      <x:c r="C752" s="34" t="str"/>
      <x:c r="D752" s="34" t="str"/>
      <x:c r="E752" s="34" t="str"/>
      <x:c r="F752" s="34" t="str"/>
      <x:c r="G752" s="34" t="str"/>
      <x:c r="H752" s="34" t="str"/>
      <x:c r="I752" s="34" t="str"/>
      <x:c r="J752" s="34" t="str"/>
      <x:c r="K752" s="34" t="str"/>
      <x:c r="L752" s="34" t="str"/>
      <x:c r="M752" s="34" t="str"/>
      <x:c r="N752" s="34" t="str"/>
      <x:c r="O752" s="34" t="str"/>
      <x:c r="P752" s="34" t="str"/>
      <x:c r="Q752" s="34" t="str"/>
    </x:row>
    <x:row r="753">
      <x:c r="A753" s="34" t="str">
        <x:v>M5-HIT-0748</x:v>
      </x:c>
      <x:c r="B753" s="34" t="str"/>
      <x:c r="C753" s="34" t="str"/>
      <x:c r="D753" s="34" t="str"/>
      <x:c r="E753" s="34" t="str"/>
      <x:c r="F753" s="34" t="str"/>
      <x:c r="G753" s="34" t="str"/>
      <x:c r="H753" s="34" t="str"/>
      <x:c r="I753" s="34" t="str"/>
      <x:c r="J753" s="34" t="str"/>
      <x:c r="K753" s="34" t="str"/>
      <x:c r="L753" s="34" t="str"/>
      <x:c r="M753" s="34" t="str"/>
      <x:c r="N753" s="34" t="str"/>
      <x:c r="O753" s="34" t="str"/>
      <x:c r="P753" s="34" t="str"/>
      <x:c r="Q753" s="34" t="str"/>
    </x:row>
    <x:row r="754">
      <x:c r="A754" s="34" t="str">
        <x:v>M5-HIT-0749</x:v>
      </x:c>
      <x:c r="B754" s="34" t="str"/>
      <x:c r="C754" s="34" t="str"/>
      <x:c r="D754" s="34" t="str"/>
      <x:c r="E754" s="34" t="str"/>
      <x:c r="F754" s="34" t="str"/>
      <x:c r="G754" s="34" t="str"/>
      <x:c r="H754" s="34" t="str"/>
      <x:c r="I754" s="34" t="str"/>
      <x:c r="J754" s="34" t="str"/>
      <x:c r="K754" s="34" t="str"/>
      <x:c r="L754" s="34" t="str"/>
      <x:c r="M754" s="34" t="str"/>
      <x:c r="N754" s="34" t="str"/>
      <x:c r="O754" s="34" t="str"/>
      <x:c r="P754" s="34" t="str"/>
      <x:c r="Q754" s="34" t="str"/>
    </x:row>
    <x:row r="755">
      <x:c r="A755" s="34" t="str">
        <x:v>M5-HIT-0750</x:v>
      </x:c>
      <x:c r="B755" s="34" t="str"/>
      <x:c r="C755" s="34" t="str"/>
      <x:c r="D755" s="34" t="str"/>
      <x:c r="E755" s="34" t="str"/>
      <x:c r="F755" s="34" t="str"/>
      <x:c r="G755" s="34" t="str"/>
      <x:c r="H755" s="34" t="str"/>
      <x:c r="I755" s="34" t="str"/>
      <x:c r="J755" s="34" t="str"/>
      <x:c r="K755" s="34" t="str"/>
      <x:c r="L755" s="34" t="str"/>
      <x:c r="M755" s="34" t="str"/>
      <x:c r="N755" s="34" t="str"/>
      <x:c r="O755" s="34" t="str"/>
      <x:c r="P755" s="34" t="str"/>
      <x:c r="Q755" s="34" t="str"/>
    </x:row>
    <x:row r="756">
      <x:c r="A756" s="34" t="str">
        <x:v>M5-HIT-0751</x:v>
      </x:c>
      <x:c r="B756" s="34" t="str"/>
      <x:c r="C756" s="34" t="str"/>
      <x:c r="D756" s="34" t="str"/>
      <x:c r="E756" s="34" t="str"/>
      <x:c r="F756" s="34" t="str"/>
      <x:c r="G756" s="34" t="str"/>
      <x:c r="H756" s="34" t="str"/>
      <x:c r="I756" s="34" t="str"/>
      <x:c r="J756" s="34" t="str"/>
      <x:c r="K756" s="34" t="str"/>
      <x:c r="L756" s="34" t="str"/>
      <x:c r="M756" s="34" t="str"/>
      <x:c r="N756" s="34" t="str"/>
      <x:c r="O756" s="34" t="str"/>
      <x:c r="P756" s="34" t="str"/>
      <x:c r="Q756" s="34" t="str"/>
    </x:row>
    <x:row r="757">
      <x:c r="A757" s="34" t="str">
        <x:v>M5-HIT-0752</x:v>
      </x:c>
      <x:c r="B757" s="34" t="str"/>
      <x:c r="C757" s="34" t="str"/>
      <x:c r="D757" s="34" t="str"/>
      <x:c r="E757" s="34" t="str"/>
      <x:c r="F757" s="34" t="str"/>
      <x:c r="G757" s="34" t="str"/>
      <x:c r="H757" s="34" t="str"/>
      <x:c r="I757" s="34" t="str"/>
      <x:c r="J757" s="34" t="str"/>
      <x:c r="K757" s="34" t="str"/>
      <x:c r="L757" s="34" t="str"/>
      <x:c r="M757" s="34" t="str"/>
      <x:c r="N757" s="34" t="str"/>
      <x:c r="O757" s="34" t="str"/>
      <x:c r="P757" s="34" t="str"/>
      <x:c r="Q757" s="34" t="str"/>
    </x:row>
    <x:row r="758">
      <x:c r="A758" s="34" t="str">
        <x:v>M5-HIT-0753</x:v>
      </x:c>
      <x:c r="B758" s="34" t="str"/>
      <x:c r="C758" s="34" t="str"/>
      <x:c r="D758" s="34" t="str"/>
      <x:c r="E758" s="34" t="str"/>
      <x:c r="F758" s="34" t="str"/>
      <x:c r="G758" s="34" t="str"/>
      <x:c r="H758" s="34" t="str"/>
      <x:c r="I758" s="34" t="str"/>
      <x:c r="J758" s="34" t="str"/>
      <x:c r="K758" s="34" t="str"/>
      <x:c r="L758" s="34" t="str"/>
      <x:c r="M758" s="34" t="str"/>
      <x:c r="N758" s="34" t="str"/>
      <x:c r="O758" s="34" t="str"/>
      <x:c r="P758" s="34" t="str"/>
      <x:c r="Q758" s="34" t="str"/>
    </x:row>
    <x:row r="759">
      <x:c r="A759" s="34" t="str">
        <x:v>M5-HIT-0754</x:v>
      </x:c>
      <x:c r="B759" s="34" t="str"/>
      <x:c r="C759" s="34" t="str"/>
      <x:c r="D759" s="34" t="str"/>
      <x:c r="E759" s="34" t="str"/>
      <x:c r="F759" s="34" t="str"/>
      <x:c r="G759" s="34" t="str"/>
      <x:c r="H759" s="34" t="str"/>
      <x:c r="I759" s="34" t="str"/>
      <x:c r="J759" s="34" t="str"/>
      <x:c r="K759" s="34" t="str"/>
      <x:c r="L759" s="34" t="str"/>
      <x:c r="M759" s="34" t="str"/>
      <x:c r="N759" s="34" t="str"/>
      <x:c r="O759" s="34" t="str"/>
      <x:c r="P759" s="34" t="str"/>
      <x:c r="Q759" s="34" t="str"/>
    </x:row>
    <x:row r="760">
      <x:c r="A760" s="34" t="str">
        <x:v>M5-HIT-0755</x:v>
      </x:c>
      <x:c r="B760" s="34" t="str"/>
      <x:c r="C760" s="34" t="str"/>
      <x:c r="D760" s="34" t="str"/>
      <x:c r="E760" s="34" t="str"/>
      <x:c r="F760" s="34" t="str"/>
      <x:c r="G760" s="34" t="str"/>
      <x:c r="H760" s="34" t="str"/>
      <x:c r="I760" s="34" t="str"/>
      <x:c r="J760" s="34" t="str"/>
      <x:c r="K760" s="34" t="str"/>
      <x:c r="L760" s="34" t="str"/>
      <x:c r="M760" s="34" t="str"/>
      <x:c r="N760" s="34" t="str"/>
      <x:c r="O760" s="34" t="str"/>
      <x:c r="P760" s="34" t="str"/>
      <x:c r="Q760" s="34" t="str"/>
    </x:row>
    <x:row r="761">
      <x:c r="A761" s="34" t="str">
        <x:v>M5-HIT-0756</x:v>
      </x:c>
      <x:c r="B761" s="34" t="str"/>
      <x:c r="C761" s="34" t="str"/>
      <x:c r="D761" s="34" t="str"/>
      <x:c r="E761" s="34" t="str"/>
      <x:c r="F761" s="34" t="str"/>
      <x:c r="G761" s="34" t="str"/>
      <x:c r="H761" s="34" t="str"/>
      <x:c r="I761" s="34" t="str"/>
      <x:c r="J761" s="34" t="str"/>
      <x:c r="K761" s="34" t="str"/>
      <x:c r="L761" s="34" t="str"/>
      <x:c r="M761" s="34" t="str"/>
      <x:c r="N761" s="34" t="str"/>
      <x:c r="O761" s="34" t="str"/>
      <x:c r="P761" s="34" t="str"/>
      <x:c r="Q761" s="34" t="str"/>
    </x:row>
    <x:row r="762">
      <x:c r="A762" s="34" t="str">
        <x:v>M5-HIT-0757</x:v>
      </x:c>
      <x:c r="B762" s="34" t="str"/>
      <x:c r="C762" s="34" t="str"/>
      <x:c r="D762" s="34" t="str"/>
      <x:c r="E762" s="34" t="str"/>
      <x:c r="F762" s="34" t="str"/>
      <x:c r="G762" s="34" t="str"/>
      <x:c r="H762" s="34" t="str"/>
      <x:c r="I762" s="34" t="str"/>
      <x:c r="J762" s="34" t="str"/>
      <x:c r="K762" s="34" t="str"/>
      <x:c r="L762" s="34" t="str"/>
      <x:c r="M762" s="34" t="str"/>
      <x:c r="N762" s="34" t="str"/>
      <x:c r="O762" s="34" t="str"/>
      <x:c r="P762" s="34" t="str"/>
      <x:c r="Q762" s="34" t="str"/>
    </x:row>
    <x:row r="763">
      <x:c r="A763" s="34" t="str">
        <x:v>M5-HIT-0758</x:v>
      </x:c>
      <x:c r="B763" s="34" t="str"/>
      <x:c r="C763" s="34" t="str"/>
      <x:c r="D763" s="34" t="str"/>
      <x:c r="E763" s="34" t="str"/>
      <x:c r="F763" s="34" t="str"/>
      <x:c r="G763" s="34" t="str"/>
      <x:c r="H763" s="34" t="str"/>
      <x:c r="I763" s="34" t="str"/>
      <x:c r="J763" s="34" t="str"/>
      <x:c r="K763" s="34" t="str"/>
      <x:c r="L763" s="34" t="str"/>
      <x:c r="M763" s="34" t="str"/>
      <x:c r="N763" s="34" t="str"/>
      <x:c r="O763" s="34" t="str"/>
      <x:c r="P763" s="34" t="str"/>
      <x:c r="Q763" s="34" t="str"/>
    </x:row>
    <x:row r="764">
      <x:c r="A764" s="34" t="str">
        <x:v>M5-HIT-0759</x:v>
      </x:c>
      <x:c r="B764" s="34" t="str"/>
      <x:c r="C764" s="34" t="str"/>
      <x:c r="D764" s="34" t="str"/>
      <x:c r="E764" s="34" t="str"/>
      <x:c r="F764" s="34" t="str"/>
      <x:c r="G764" s="34" t="str"/>
      <x:c r="H764" s="34" t="str"/>
      <x:c r="I764" s="34" t="str"/>
      <x:c r="J764" s="34" t="str"/>
      <x:c r="K764" s="34" t="str"/>
      <x:c r="L764" s="34" t="str"/>
      <x:c r="M764" s="34" t="str"/>
      <x:c r="N764" s="34" t="str"/>
      <x:c r="O764" s="34" t="str"/>
      <x:c r="P764" s="34" t="str"/>
      <x:c r="Q764" s="34" t="str"/>
    </x:row>
    <x:row r="765">
      <x:c r="A765" s="34" t="str">
        <x:v>M5-HIT-0760</x:v>
      </x:c>
      <x:c r="B765" s="34" t="str"/>
      <x:c r="C765" s="34" t="str"/>
      <x:c r="D765" s="34" t="str"/>
      <x:c r="E765" s="34" t="str"/>
      <x:c r="F765" s="34" t="str"/>
      <x:c r="G765" s="34" t="str"/>
      <x:c r="H765" s="34" t="str"/>
      <x:c r="I765" s="34" t="str"/>
      <x:c r="J765" s="34" t="str"/>
      <x:c r="K765" s="34" t="str"/>
      <x:c r="L765" s="34" t="str"/>
      <x:c r="M765" s="34" t="str"/>
      <x:c r="N765" s="34" t="str"/>
      <x:c r="O765" s="34" t="str"/>
      <x:c r="P765" s="34" t="str"/>
      <x:c r="Q765" s="34" t="str"/>
    </x:row>
    <x:row r="766">
      <x:c r="A766" s="34" t="str">
        <x:v>M5-HIT-0761</x:v>
      </x:c>
      <x:c r="B766" s="34" t="str"/>
      <x:c r="C766" s="34" t="str"/>
      <x:c r="D766" s="34" t="str"/>
      <x:c r="E766" s="34" t="str"/>
      <x:c r="F766" s="34" t="str"/>
      <x:c r="G766" s="34" t="str"/>
      <x:c r="H766" s="34" t="str"/>
      <x:c r="I766" s="34" t="str"/>
      <x:c r="J766" s="34" t="str"/>
      <x:c r="K766" s="34" t="str"/>
      <x:c r="L766" s="34" t="str"/>
      <x:c r="M766" s="34" t="str"/>
      <x:c r="N766" s="34" t="str"/>
      <x:c r="O766" s="34" t="str"/>
      <x:c r="P766" s="34" t="str"/>
      <x:c r="Q766" s="34" t="str"/>
    </x:row>
    <x:row r="767">
      <x:c r="A767" s="34" t="str">
        <x:v>M5-HIT-0762</x:v>
      </x:c>
      <x:c r="B767" s="34" t="str"/>
      <x:c r="C767" s="34" t="str"/>
      <x:c r="D767" s="34" t="str"/>
      <x:c r="E767" s="34" t="str"/>
      <x:c r="F767" s="34" t="str"/>
      <x:c r="G767" s="34" t="str"/>
      <x:c r="H767" s="34" t="str"/>
      <x:c r="I767" s="34" t="str"/>
      <x:c r="J767" s="34" t="str"/>
      <x:c r="K767" s="34" t="str"/>
      <x:c r="L767" s="34" t="str"/>
      <x:c r="M767" s="34" t="str"/>
      <x:c r="N767" s="34" t="str"/>
      <x:c r="O767" s="34" t="str"/>
      <x:c r="P767" s="34" t="str"/>
      <x:c r="Q767" s="34" t="str"/>
    </x:row>
    <x:row r="768">
      <x:c r="A768" s="34" t="str">
        <x:v>M5-HIT-0763</x:v>
      </x:c>
      <x:c r="B768" s="34" t="str"/>
      <x:c r="C768" s="34" t="str"/>
      <x:c r="D768" s="34" t="str"/>
      <x:c r="E768" s="34" t="str"/>
      <x:c r="F768" s="34" t="str"/>
      <x:c r="G768" s="34" t="str"/>
      <x:c r="H768" s="34" t="str"/>
      <x:c r="I768" s="34" t="str"/>
      <x:c r="J768" s="34" t="str"/>
      <x:c r="K768" s="34" t="str"/>
      <x:c r="L768" s="34" t="str"/>
      <x:c r="M768" s="34" t="str"/>
      <x:c r="N768" s="34" t="str"/>
      <x:c r="O768" s="34" t="str"/>
      <x:c r="P768" s="34" t="str"/>
      <x:c r="Q768" s="34" t="str"/>
    </x:row>
    <x:row r="769">
      <x:c r="A769" s="34" t="str">
        <x:v>M5-HIT-0764</x:v>
      </x:c>
      <x:c r="B769" s="34" t="str"/>
      <x:c r="C769" s="34" t="str"/>
      <x:c r="D769" s="34" t="str"/>
      <x:c r="E769" s="34" t="str"/>
      <x:c r="F769" s="34" t="str"/>
      <x:c r="G769" s="34" t="str"/>
      <x:c r="H769" s="34" t="str"/>
      <x:c r="I769" s="34" t="str"/>
      <x:c r="J769" s="34" t="str"/>
      <x:c r="K769" s="34" t="str"/>
      <x:c r="L769" s="34" t="str"/>
      <x:c r="M769" s="34" t="str"/>
      <x:c r="N769" s="34" t="str"/>
      <x:c r="O769" s="34" t="str"/>
      <x:c r="P769" s="34" t="str"/>
      <x:c r="Q769" s="34" t="str"/>
    </x:row>
    <x:row r="770">
      <x:c r="A770" s="34" t="str">
        <x:v>M5-HIT-0765</x:v>
      </x:c>
      <x:c r="B770" s="34" t="str"/>
      <x:c r="C770" s="34" t="str"/>
      <x:c r="D770" s="34" t="str"/>
      <x:c r="E770" s="34" t="str"/>
      <x:c r="F770" s="34" t="str"/>
      <x:c r="G770" s="34" t="str"/>
      <x:c r="H770" s="34" t="str"/>
      <x:c r="I770" s="34" t="str"/>
      <x:c r="J770" s="34" t="str"/>
      <x:c r="K770" s="34" t="str"/>
      <x:c r="L770" s="34" t="str"/>
      <x:c r="M770" s="34" t="str"/>
      <x:c r="N770" s="34" t="str"/>
      <x:c r="O770" s="34" t="str"/>
      <x:c r="P770" s="34" t="str"/>
      <x:c r="Q770" s="34" t="str"/>
    </x:row>
    <x:row r="771">
      <x:c r="A771" s="34" t="str">
        <x:v>M5-HIT-0766</x:v>
      </x:c>
      <x:c r="B771" s="34" t="str"/>
      <x:c r="C771" s="34" t="str"/>
      <x:c r="D771" s="34" t="str"/>
      <x:c r="E771" s="34" t="str"/>
      <x:c r="F771" s="34" t="str"/>
      <x:c r="G771" s="34" t="str"/>
      <x:c r="H771" s="34" t="str"/>
      <x:c r="I771" s="34" t="str"/>
      <x:c r="J771" s="34" t="str"/>
      <x:c r="K771" s="34" t="str"/>
      <x:c r="L771" s="34" t="str"/>
      <x:c r="M771" s="34" t="str"/>
      <x:c r="N771" s="34" t="str"/>
      <x:c r="O771" s="34" t="str"/>
      <x:c r="P771" s="34" t="str"/>
      <x:c r="Q771" s="34" t="str"/>
    </x:row>
    <x:row r="772">
      <x:c r="A772" s="34" t="str">
        <x:v>M5-HIT-0767</x:v>
      </x:c>
      <x:c r="B772" s="34" t="str"/>
      <x:c r="C772" s="34" t="str"/>
      <x:c r="D772" s="34" t="str"/>
      <x:c r="E772" s="34" t="str"/>
      <x:c r="F772" s="34" t="str"/>
      <x:c r="G772" s="34" t="str"/>
      <x:c r="H772" s="34" t="str"/>
      <x:c r="I772" s="34" t="str"/>
      <x:c r="J772" s="34" t="str"/>
      <x:c r="K772" s="34" t="str"/>
      <x:c r="L772" s="34" t="str"/>
      <x:c r="M772" s="34" t="str"/>
      <x:c r="N772" s="34" t="str"/>
      <x:c r="O772" s="34" t="str"/>
      <x:c r="P772" s="34" t="str"/>
      <x:c r="Q772" s="34" t="str"/>
    </x:row>
    <x:row r="773">
      <x:c r="A773" s="34" t="str">
        <x:v>M5-HIT-0768</x:v>
      </x:c>
      <x:c r="B773" s="34" t="str"/>
      <x:c r="C773" s="34" t="str"/>
      <x:c r="D773" s="34" t="str"/>
      <x:c r="E773" s="34" t="str"/>
      <x:c r="F773" s="34" t="str"/>
      <x:c r="G773" s="34" t="str"/>
      <x:c r="H773" s="34" t="str"/>
      <x:c r="I773" s="34" t="str"/>
      <x:c r="J773" s="34" t="str"/>
      <x:c r="K773" s="34" t="str"/>
      <x:c r="L773" s="34" t="str"/>
      <x:c r="M773" s="34" t="str"/>
      <x:c r="N773" s="34" t="str"/>
      <x:c r="O773" s="34" t="str"/>
      <x:c r="P773" s="34" t="str"/>
      <x:c r="Q773" s="34" t="str"/>
    </x:row>
    <x:row r="774">
      <x:c r="A774" s="34" t="str">
        <x:v>M5-HIT-0769</x:v>
      </x:c>
      <x:c r="B774" s="34" t="str"/>
      <x:c r="C774" s="34" t="str"/>
      <x:c r="D774" s="34" t="str"/>
      <x:c r="E774" s="34" t="str"/>
      <x:c r="F774" s="34" t="str"/>
      <x:c r="G774" s="34" t="str"/>
      <x:c r="H774" s="34" t="str"/>
      <x:c r="I774" s="34" t="str"/>
      <x:c r="J774" s="34" t="str"/>
      <x:c r="K774" s="34" t="str"/>
      <x:c r="L774" s="34" t="str"/>
      <x:c r="M774" s="34" t="str"/>
      <x:c r="N774" s="34" t="str"/>
      <x:c r="O774" s="34" t="str"/>
      <x:c r="P774" s="34" t="str"/>
      <x:c r="Q774" s="34" t="str"/>
    </x:row>
    <x:row r="775">
      <x:c r="A775" s="34" t="str">
        <x:v>M5-HIT-0770</x:v>
      </x:c>
      <x:c r="B775" s="34" t="str"/>
      <x:c r="C775" s="34" t="str"/>
      <x:c r="D775" s="34" t="str"/>
      <x:c r="E775" s="34" t="str"/>
      <x:c r="F775" s="34" t="str"/>
      <x:c r="G775" s="34" t="str"/>
      <x:c r="H775" s="34" t="str"/>
      <x:c r="I775" s="34" t="str"/>
      <x:c r="J775" s="34" t="str"/>
      <x:c r="K775" s="34" t="str"/>
      <x:c r="L775" s="34" t="str"/>
      <x:c r="M775" s="34" t="str"/>
      <x:c r="N775" s="34" t="str"/>
      <x:c r="O775" s="34" t="str"/>
      <x:c r="P775" s="34" t="str"/>
      <x:c r="Q775" s="34" t="str"/>
    </x:row>
    <x:row r="776">
      <x:c r="A776" s="34" t="str">
        <x:v>M5-HIT-0771</x:v>
      </x:c>
      <x:c r="B776" s="34" t="str"/>
      <x:c r="C776" s="34" t="str"/>
      <x:c r="D776" s="34" t="str"/>
      <x:c r="E776" s="34" t="str"/>
      <x:c r="F776" s="34" t="str"/>
      <x:c r="G776" s="34" t="str"/>
      <x:c r="H776" s="34" t="str"/>
      <x:c r="I776" s="34" t="str"/>
      <x:c r="J776" s="34" t="str"/>
      <x:c r="K776" s="34" t="str"/>
      <x:c r="L776" s="34" t="str"/>
      <x:c r="M776" s="34" t="str"/>
      <x:c r="N776" s="34" t="str"/>
      <x:c r="O776" s="34" t="str"/>
      <x:c r="P776" s="34" t="str"/>
      <x:c r="Q776" s="34" t="str"/>
    </x:row>
    <x:row r="777">
      <x:c r="A777" s="34" t="str">
        <x:v>M5-HIT-0772</x:v>
      </x:c>
      <x:c r="B777" s="34" t="str"/>
      <x:c r="C777" s="34" t="str"/>
      <x:c r="D777" s="34" t="str"/>
      <x:c r="E777" s="34" t="str"/>
      <x:c r="F777" s="34" t="str"/>
      <x:c r="G777" s="34" t="str"/>
      <x:c r="H777" s="34" t="str"/>
      <x:c r="I777" s="34" t="str"/>
      <x:c r="J777" s="34" t="str"/>
      <x:c r="K777" s="34" t="str"/>
      <x:c r="L777" s="34" t="str"/>
      <x:c r="M777" s="34" t="str"/>
      <x:c r="N777" s="34" t="str"/>
      <x:c r="O777" s="34" t="str"/>
      <x:c r="P777" s="34" t="str"/>
      <x:c r="Q777" s="34" t="str"/>
    </x:row>
    <x:row r="778">
      <x:c r="A778" s="34" t="str">
        <x:v>M5-HIT-0773</x:v>
      </x:c>
      <x:c r="B778" s="34" t="str"/>
      <x:c r="C778" s="34" t="str"/>
      <x:c r="D778" s="34" t="str"/>
      <x:c r="E778" s="34" t="str"/>
      <x:c r="F778" s="34" t="str"/>
      <x:c r="G778" s="34" t="str"/>
      <x:c r="H778" s="34" t="str"/>
      <x:c r="I778" s="34" t="str"/>
      <x:c r="J778" s="34" t="str"/>
      <x:c r="K778" s="34" t="str"/>
      <x:c r="L778" s="34" t="str"/>
      <x:c r="M778" s="34" t="str"/>
      <x:c r="N778" s="34" t="str"/>
      <x:c r="O778" s="34" t="str"/>
      <x:c r="P778" s="34" t="str"/>
      <x:c r="Q778" s="34" t="str"/>
    </x:row>
    <x:row r="779">
      <x:c r="A779" s="34" t="str">
        <x:v>M5-HIT-0774</x:v>
      </x:c>
      <x:c r="B779" s="34" t="str"/>
      <x:c r="C779" s="34" t="str"/>
      <x:c r="D779" s="34" t="str"/>
      <x:c r="E779" s="34" t="str"/>
      <x:c r="F779" s="34" t="str"/>
      <x:c r="G779" s="34" t="str"/>
      <x:c r="H779" s="34" t="str"/>
      <x:c r="I779" s="34" t="str"/>
      <x:c r="J779" s="34" t="str"/>
      <x:c r="K779" s="34" t="str"/>
      <x:c r="L779" s="34" t="str"/>
      <x:c r="M779" s="34" t="str"/>
      <x:c r="N779" s="34" t="str"/>
      <x:c r="O779" s="34" t="str"/>
      <x:c r="P779" s="34" t="str"/>
      <x:c r="Q779" s="34" t="str"/>
    </x:row>
    <x:row r="780">
      <x:c r="A780" s="34" t="str">
        <x:v>M5-HIT-0775</x:v>
      </x:c>
      <x:c r="B780" s="34" t="str"/>
      <x:c r="C780" s="34" t="str"/>
      <x:c r="D780" s="34" t="str"/>
      <x:c r="E780" s="34" t="str"/>
      <x:c r="F780" s="34" t="str"/>
      <x:c r="G780" s="34" t="str"/>
      <x:c r="H780" s="34" t="str"/>
      <x:c r="I780" s="34" t="str"/>
      <x:c r="J780" s="34" t="str"/>
      <x:c r="K780" s="34" t="str"/>
      <x:c r="L780" s="34" t="str"/>
      <x:c r="M780" s="34" t="str"/>
      <x:c r="N780" s="34" t="str"/>
      <x:c r="O780" s="34" t="str"/>
      <x:c r="P780" s="34" t="str"/>
      <x:c r="Q780" s="34" t="str"/>
    </x:row>
    <x:row r="781">
      <x:c r="A781" s="34" t="str">
        <x:v>M5-HIT-0776</x:v>
      </x:c>
      <x:c r="B781" s="34" t="str"/>
      <x:c r="C781" s="34" t="str"/>
      <x:c r="D781" s="34" t="str"/>
      <x:c r="E781" s="34" t="str"/>
      <x:c r="F781" s="34" t="str"/>
      <x:c r="G781" s="34" t="str"/>
      <x:c r="H781" s="34" t="str"/>
      <x:c r="I781" s="34" t="str"/>
      <x:c r="J781" s="34" t="str"/>
      <x:c r="K781" s="34" t="str"/>
      <x:c r="L781" s="34" t="str"/>
      <x:c r="M781" s="34" t="str"/>
      <x:c r="N781" s="34" t="str"/>
      <x:c r="O781" s="34" t="str"/>
      <x:c r="P781" s="34" t="str"/>
      <x:c r="Q781" s="34" t="str"/>
    </x:row>
    <x:row r="782">
      <x:c r="A782" s="34" t="str">
        <x:v>M5-HIT-0777</x:v>
      </x:c>
      <x:c r="B782" s="34" t="str"/>
      <x:c r="C782" s="34" t="str"/>
      <x:c r="D782" s="34" t="str"/>
      <x:c r="E782" s="34" t="str"/>
      <x:c r="F782" s="34" t="str"/>
      <x:c r="G782" s="34" t="str"/>
      <x:c r="H782" s="34" t="str"/>
      <x:c r="I782" s="34" t="str"/>
      <x:c r="J782" s="34" t="str"/>
      <x:c r="K782" s="34" t="str"/>
      <x:c r="L782" s="34" t="str"/>
      <x:c r="M782" s="34" t="str"/>
      <x:c r="N782" s="34" t="str"/>
      <x:c r="O782" s="34" t="str"/>
      <x:c r="P782" s="34" t="str"/>
      <x:c r="Q782" s="34" t="str"/>
    </x:row>
    <x:row r="783">
      <x:c r="A783" s="34" t="str">
        <x:v>M5-HIT-0778</x:v>
      </x:c>
      <x:c r="B783" s="34" t="str"/>
      <x:c r="C783" s="34" t="str"/>
      <x:c r="D783" s="34" t="str"/>
      <x:c r="E783" s="34" t="str"/>
      <x:c r="F783" s="34" t="str"/>
      <x:c r="G783" s="34" t="str"/>
      <x:c r="H783" s="34" t="str"/>
      <x:c r="I783" s="34" t="str"/>
      <x:c r="J783" s="34" t="str"/>
      <x:c r="K783" s="34" t="str"/>
      <x:c r="L783" s="34" t="str"/>
      <x:c r="M783" s="34" t="str"/>
      <x:c r="N783" s="34" t="str"/>
      <x:c r="O783" s="34" t="str"/>
      <x:c r="P783" s="34" t="str"/>
      <x:c r="Q783" s="34" t="str"/>
    </x:row>
    <x:row r="784">
      <x:c r="A784" s="34" t="str">
        <x:v>M5-HIT-0779</x:v>
      </x:c>
      <x:c r="B784" s="34" t="str"/>
      <x:c r="C784" s="34" t="str"/>
      <x:c r="D784" s="34" t="str"/>
      <x:c r="E784" s="34" t="str"/>
      <x:c r="F784" s="34" t="str"/>
      <x:c r="G784" s="34" t="str"/>
      <x:c r="H784" s="34" t="str"/>
      <x:c r="I784" s="34" t="str"/>
      <x:c r="J784" s="34" t="str"/>
      <x:c r="K784" s="34" t="str"/>
      <x:c r="L784" s="34" t="str"/>
      <x:c r="M784" s="34" t="str"/>
      <x:c r="N784" s="34" t="str"/>
      <x:c r="O784" s="34" t="str"/>
      <x:c r="P784" s="34" t="str"/>
      <x:c r="Q784" s="34" t="str"/>
    </x:row>
    <x:row r="785">
      <x:c r="A785" s="34" t="str">
        <x:v>M5-HIT-0780</x:v>
      </x:c>
      <x:c r="B785" s="34" t="str"/>
      <x:c r="C785" s="34" t="str"/>
      <x:c r="D785" s="34" t="str"/>
      <x:c r="E785" s="34" t="str"/>
      <x:c r="F785" s="34" t="str"/>
      <x:c r="G785" s="34" t="str"/>
      <x:c r="H785" s="34" t="str"/>
      <x:c r="I785" s="34" t="str"/>
      <x:c r="J785" s="34" t="str"/>
      <x:c r="K785" s="34" t="str"/>
      <x:c r="L785" s="34" t="str"/>
      <x:c r="M785" s="34" t="str"/>
      <x:c r="N785" s="34" t="str"/>
      <x:c r="O785" s="34" t="str"/>
      <x:c r="P785" s="34" t="str"/>
      <x:c r="Q785" s="34" t="str"/>
    </x:row>
    <x:row r="786">
      <x:c r="A786" s="34" t="str">
        <x:v>M5-HIT-0781</x:v>
      </x:c>
      <x:c r="B786" s="34" t="str"/>
      <x:c r="C786" s="34" t="str"/>
      <x:c r="D786" s="34" t="str"/>
      <x:c r="E786" s="34" t="str"/>
      <x:c r="F786" s="34" t="str"/>
      <x:c r="G786" s="34" t="str"/>
      <x:c r="H786" s="34" t="str"/>
      <x:c r="I786" s="34" t="str"/>
      <x:c r="J786" s="34" t="str"/>
      <x:c r="K786" s="34" t="str"/>
      <x:c r="L786" s="34" t="str"/>
      <x:c r="M786" s="34" t="str"/>
      <x:c r="N786" s="34" t="str"/>
      <x:c r="O786" s="34" t="str"/>
      <x:c r="P786" s="34" t="str"/>
      <x:c r="Q786" s="34" t="str"/>
    </x:row>
    <x:row r="787">
      <x:c r="A787" s="34" t="str">
        <x:v>M5-HIT-0782</x:v>
      </x:c>
      <x:c r="B787" s="34" t="str"/>
      <x:c r="C787" s="34" t="str"/>
      <x:c r="D787" s="34" t="str"/>
      <x:c r="E787" s="34" t="str"/>
      <x:c r="F787" s="34" t="str"/>
      <x:c r="G787" s="34" t="str"/>
      <x:c r="H787" s="34" t="str"/>
      <x:c r="I787" s="34" t="str"/>
      <x:c r="J787" s="34" t="str"/>
      <x:c r="K787" s="34" t="str"/>
      <x:c r="L787" s="34" t="str"/>
      <x:c r="M787" s="34" t="str"/>
      <x:c r="N787" s="34" t="str"/>
      <x:c r="O787" s="34" t="str"/>
      <x:c r="P787" s="34" t="str"/>
      <x:c r="Q787" s="34" t="str"/>
    </x:row>
    <x:row r="788">
      <x:c r="A788" s="34" t="str">
        <x:v>M5-HIT-0783</x:v>
      </x:c>
      <x:c r="B788" s="34" t="str"/>
      <x:c r="C788" s="34" t="str"/>
      <x:c r="D788" s="34" t="str"/>
      <x:c r="E788" s="34" t="str"/>
      <x:c r="F788" s="34" t="str"/>
      <x:c r="G788" s="34" t="str"/>
      <x:c r="H788" s="34" t="str"/>
      <x:c r="I788" s="34" t="str"/>
      <x:c r="J788" s="34" t="str"/>
      <x:c r="K788" s="34" t="str"/>
      <x:c r="L788" s="34" t="str"/>
      <x:c r="M788" s="34" t="str"/>
      <x:c r="N788" s="34" t="str"/>
      <x:c r="O788" s="34" t="str"/>
      <x:c r="P788" s="34" t="str"/>
      <x:c r="Q788" s="34" t="str"/>
    </x:row>
    <x:row r="789">
      <x:c r="A789" s="34" t="str">
        <x:v>M5-HIT-0784</x:v>
      </x:c>
      <x:c r="B789" s="34" t="str"/>
      <x:c r="C789" s="34" t="str"/>
      <x:c r="D789" s="34" t="str"/>
      <x:c r="E789" s="34" t="str"/>
      <x:c r="F789" s="34" t="str"/>
      <x:c r="G789" s="34" t="str"/>
      <x:c r="H789" s="34" t="str"/>
      <x:c r="I789" s="34" t="str"/>
      <x:c r="J789" s="34" t="str"/>
      <x:c r="K789" s="34" t="str"/>
      <x:c r="L789" s="34" t="str"/>
      <x:c r="M789" s="34" t="str"/>
      <x:c r="N789" s="34" t="str"/>
      <x:c r="O789" s="34" t="str"/>
      <x:c r="P789" s="34" t="str"/>
      <x:c r="Q789" s="34" t="str"/>
    </x:row>
    <x:row r="790">
      <x:c r="A790" s="34" t="str">
        <x:v>M5-HIT-0785</x:v>
      </x:c>
      <x:c r="B790" s="34" t="str"/>
      <x:c r="C790" s="34" t="str"/>
      <x:c r="D790" s="34" t="str"/>
      <x:c r="E790" s="34" t="str"/>
      <x:c r="F790" s="34" t="str"/>
      <x:c r="G790" s="34" t="str"/>
      <x:c r="H790" s="34" t="str"/>
      <x:c r="I790" s="34" t="str"/>
      <x:c r="J790" s="34" t="str"/>
      <x:c r="K790" s="34" t="str"/>
      <x:c r="L790" s="34" t="str"/>
      <x:c r="M790" s="34" t="str"/>
      <x:c r="N790" s="34" t="str"/>
      <x:c r="O790" s="34" t="str"/>
      <x:c r="P790" s="34" t="str"/>
      <x:c r="Q790" s="34" t="str"/>
    </x:row>
    <x:row r="791">
      <x:c r="A791" s="34" t="str">
        <x:v>M5-HIT-0786</x:v>
      </x:c>
      <x:c r="B791" s="34" t="str"/>
      <x:c r="C791" s="34" t="str"/>
      <x:c r="D791" s="34" t="str"/>
      <x:c r="E791" s="34" t="str"/>
      <x:c r="F791" s="34" t="str"/>
      <x:c r="G791" s="34" t="str"/>
      <x:c r="H791" s="34" t="str"/>
      <x:c r="I791" s="34" t="str"/>
      <x:c r="J791" s="34" t="str"/>
      <x:c r="K791" s="34" t="str"/>
      <x:c r="L791" s="34" t="str"/>
      <x:c r="M791" s="34" t="str"/>
      <x:c r="N791" s="34" t="str"/>
      <x:c r="O791" s="34" t="str"/>
      <x:c r="P791" s="34" t="str"/>
      <x:c r="Q791" s="34" t="str"/>
    </x:row>
    <x:row r="792">
      <x:c r="A792" s="34" t="str">
        <x:v>M5-HIT-0787</x:v>
      </x:c>
      <x:c r="B792" s="34" t="str"/>
      <x:c r="C792" s="34" t="str"/>
      <x:c r="D792" s="34" t="str"/>
      <x:c r="E792" s="34" t="str"/>
      <x:c r="F792" s="34" t="str"/>
      <x:c r="G792" s="34" t="str"/>
      <x:c r="H792" s="34" t="str"/>
      <x:c r="I792" s="34" t="str"/>
      <x:c r="J792" s="34" t="str"/>
      <x:c r="K792" s="34" t="str"/>
      <x:c r="L792" s="34" t="str"/>
      <x:c r="M792" s="34" t="str"/>
      <x:c r="N792" s="34" t="str"/>
      <x:c r="O792" s="34" t="str"/>
      <x:c r="P792" s="34" t="str"/>
      <x:c r="Q792" s="34" t="str"/>
    </x:row>
    <x:row r="793">
      <x:c r="A793" s="34" t="str">
        <x:v>M5-HIT-0788</x:v>
      </x:c>
      <x:c r="B793" s="34" t="str"/>
      <x:c r="C793" s="34" t="str"/>
      <x:c r="D793" s="34" t="str"/>
      <x:c r="E793" s="34" t="str"/>
      <x:c r="F793" s="34" t="str"/>
      <x:c r="G793" s="34" t="str"/>
      <x:c r="H793" s="34" t="str"/>
      <x:c r="I793" s="34" t="str"/>
      <x:c r="J793" s="34" t="str"/>
      <x:c r="K793" s="34" t="str"/>
      <x:c r="L793" s="34" t="str"/>
      <x:c r="M793" s="34" t="str"/>
      <x:c r="N793" s="34" t="str"/>
      <x:c r="O793" s="34" t="str"/>
      <x:c r="P793" s="34" t="str"/>
      <x:c r="Q793" s="34" t="str"/>
    </x:row>
    <x:row r="794">
      <x:c r="A794" s="34" t="str">
        <x:v>M5-HIT-0789</x:v>
      </x:c>
      <x:c r="B794" s="34" t="str"/>
      <x:c r="C794" s="34" t="str"/>
      <x:c r="D794" s="34" t="str"/>
      <x:c r="E794" s="34" t="str"/>
      <x:c r="F794" s="34" t="str"/>
      <x:c r="G794" s="34" t="str"/>
      <x:c r="H794" s="34" t="str"/>
      <x:c r="I794" s="34" t="str"/>
      <x:c r="J794" s="34" t="str"/>
      <x:c r="K794" s="34" t="str"/>
      <x:c r="L794" s="34" t="str"/>
      <x:c r="M794" s="34" t="str"/>
      <x:c r="N794" s="34" t="str"/>
      <x:c r="O794" s="34" t="str"/>
      <x:c r="P794" s="34" t="str"/>
      <x:c r="Q794" s="34" t="str"/>
    </x:row>
    <x:row r="795">
      <x:c r="A795" s="34" t="str">
        <x:v>M5-HIT-0790</x:v>
      </x:c>
      <x:c r="B795" s="34" t="str"/>
      <x:c r="C795" s="34" t="str"/>
      <x:c r="D795" s="34" t="str"/>
      <x:c r="E795" s="34" t="str"/>
      <x:c r="F795" s="34" t="str"/>
      <x:c r="G795" s="34" t="str"/>
      <x:c r="H795" s="34" t="str"/>
      <x:c r="I795" s="34" t="str"/>
      <x:c r="J795" s="34" t="str"/>
      <x:c r="K795" s="34" t="str"/>
      <x:c r="L795" s="34" t="str"/>
      <x:c r="M795" s="34" t="str"/>
      <x:c r="N795" s="34" t="str"/>
      <x:c r="O795" s="34" t="str"/>
      <x:c r="P795" s="34" t="str"/>
      <x:c r="Q795" s="34" t="str"/>
    </x:row>
    <x:row r="796">
      <x:c r="A796" s="34" t="str">
        <x:v>M5-HIT-0791</x:v>
      </x:c>
      <x:c r="B796" s="34" t="str"/>
      <x:c r="C796" s="34" t="str"/>
      <x:c r="D796" s="34" t="str"/>
      <x:c r="E796" s="34" t="str"/>
      <x:c r="F796" s="34" t="str"/>
      <x:c r="G796" s="34" t="str"/>
      <x:c r="H796" s="34" t="str"/>
      <x:c r="I796" s="34" t="str"/>
      <x:c r="J796" s="34" t="str"/>
      <x:c r="K796" s="34" t="str"/>
      <x:c r="L796" s="34" t="str"/>
      <x:c r="M796" s="34" t="str"/>
      <x:c r="N796" s="34" t="str"/>
      <x:c r="O796" s="34" t="str"/>
      <x:c r="P796" s="34" t="str"/>
      <x:c r="Q796" s="34" t="str"/>
    </x:row>
    <x:row r="797">
      <x:c r="A797" s="34" t="str">
        <x:v>M5-HIT-0792</x:v>
      </x:c>
      <x:c r="B797" s="34" t="str"/>
      <x:c r="C797" s="34" t="str"/>
      <x:c r="D797" s="34" t="str"/>
      <x:c r="E797" s="34" t="str"/>
      <x:c r="F797" s="34" t="str"/>
      <x:c r="G797" s="34" t="str"/>
      <x:c r="H797" s="34" t="str"/>
      <x:c r="I797" s="34" t="str"/>
      <x:c r="J797" s="34" t="str"/>
      <x:c r="K797" s="34" t="str"/>
      <x:c r="L797" s="34" t="str"/>
      <x:c r="M797" s="34" t="str"/>
      <x:c r="N797" s="34" t="str"/>
      <x:c r="O797" s="34" t="str"/>
      <x:c r="P797" s="34" t="str"/>
      <x:c r="Q797" s="34" t="str"/>
    </x:row>
    <x:row r="798">
      <x:c r="A798" s="34" t="str">
        <x:v>M5-HIT-0793</x:v>
      </x:c>
      <x:c r="B798" s="34" t="str"/>
      <x:c r="C798" s="34" t="str"/>
      <x:c r="D798" s="34" t="str"/>
      <x:c r="E798" s="34" t="str"/>
      <x:c r="F798" s="34" t="str"/>
      <x:c r="G798" s="34" t="str"/>
      <x:c r="H798" s="34" t="str"/>
      <x:c r="I798" s="34" t="str"/>
      <x:c r="J798" s="34" t="str"/>
      <x:c r="K798" s="34" t="str"/>
      <x:c r="L798" s="34" t="str"/>
      <x:c r="M798" s="34" t="str"/>
      <x:c r="N798" s="34" t="str"/>
      <x:c r="O798" s="34" t="str"/>
      <x:c r="P798" s="34" t="str"/>
      <x:c r="Q798" s="34" t="str"/>
    </x:row>
    <x:row r="799">
      <x:c r="A799" s="34" t="str">
        <x:v>M5-HIT-0794</x:v>
      </x:c>
      <x:c r="B799" s="34" t="str"/>
      <x:c r="C799" s="34" t="str"/>
      <x:c r="D799" s="34" t="str"/>
      <x:c r="E799" s="34" t="str"/>
      <x:c r="F799" s="34" t="str"/>
      <x:c r="G799" s="34" t="str"/>
      <x:c r="H799" s="34" t="str"/>
      <x:c r="I799" s="34" t="str"/>
      <x:c r="J799" s="34" t="str"/>
      <x:c r="K799" s="34" t="str"/>
      <x:c r="L799" s="34" t="str"/>
      <x:c r="M799" s="34" t="str"/>
      <x:c r="N799" s="34" t="str"/>
      <x:c r="O799" s="34" t="str"/>
      <x:c r="P799" s="34" t="str"/>
      <x:c r="Q799" s="34" t="str"/>
    </x:row>
    <x:row r="800">
      <x:c r="A800" s="34" t="str">
        <x:v>M5-HIT-0795</x:v>
      </x:c>
      <x:c r="B800" s="34" t="str"/>
      <x:c r="C800" s="34" t="str"/>
      <x:c r="D800" s="34" t="str"/>
      <x:c r="E800" s="34" t="str"/>
      <x:c r="F800" s="34" t="str"/>
      <x:c r="G800" s="34" t="str"/>
      <x:c r="H800" s="34" t="str"/>
      <x:c r="I800" s="34" t="str"/>
      <x:c r="J800" s="34" t="str"/>
      <x:c r="K800" s="34" t="str"/>
      <x:c r="L800" s="34" t="str"/>
      <x:c r="M800" s="34" t="str"/>
      <x:c r="N800" s="34" t="str"/>
      <x:c r="O800" s="34" t="str"/>
      <x:c r="P800" s="34" t="str"/>
      <x:c r="Q800" s="34" t="str"/>
    </x:row>
    <x:row r="801">
      <x:c r="A801" s="34" t="str">
        <x:v>M5-HIT-0796</x:v>
      </x:c>
      <x:c r="B801" s="34" t="str"/>
      <x:c r="C801" s="34" t="str"/>
      <x:c r="D801" s="34" t="str"/>
      <x:c r="E801" s="34" t="str"/>
      <x:c r="F801" s="34" t="str"/>
      <x:c r="G801" s="34" t="str"/>
      <x:c r="H801" s="34" t="str"/>
      <x:c r="I801" s="34" t="str"/>
      <x:c r="J801" s="34" t="str"/>
      <x:c r="K801" s="34" t="str"/>
      <x:c r="L801" s="34" t="str"/>
      <x:c r="M801" s="34" t="str"/>
      <x:c r="N801" s="34" t="str"/>
      <x:c r="O801" s="34" t="str"/>
      <x:c r="P801" s="34" t="str"/>
      <x:c r="Q801" s="34" t="str"/>
    </x:row>
    <x:row r="802">
      <x:c r="A802" s="34" t="str">
        <x:v>M5-HIT-0797</x:v>
      </x:c>
      <x:c r="B802" s="34" t="str"/>
      <x:c r="C802" s="34" t="str"/>
      <x:c r="D802" s="34" t="str"/>
      <x:c r="E802" s="34" t="str"/>
      <x:c r="F802" s="34" t="str"/>
      <x:c r="G802" s="34" t="str"/>
      <x:c r="H802" s="34" t="str"/>
      <x:c r="I802" s="34" t="str"/>
      <x:c r="J802" s="34" t="str"/>
      <x:c r="K802" s="34" t="str"/>
      <x:c r="L802" s="34" t="str"/>
      <x:c r="M802" s="34" t="str"/>
      <x:c r="N802" s="34" t="str"/>
      <x:c r="O802" s="34" t="str"/>
      <x:c r="P802" s="34" t="str"/>
      <x:c r="Q802" s="34" t="str"/>
    </x:row>
    <x:row r="803">
      <x:c r="A803" s="34" t="str">
        <x:v>M5-HIT-0798</x:v>
      </x:c>
      <x:c r="B803" s="34" t="str"/>
      <x:c r="C803" s="34" t="str"/>
      <x:c r="D803" s="34" t="str"/>
      <x:c r="E803" s="34" t="str"/>
      <x:c r="F803" s="34" t="str"/>
      <x:c r="G803" s="34" t="str"/>
      <x:c r="H803" s="34" t="str"/>
      <x:c r="I803" s="34" t="str"/>
      <x:c r="J803" s="34" t="str"/>
      <x:c r="K803" s="34" t="str"/>
      <x:c r="L803" s="34" t="str"/>
      <x:c r="M803" s="34" t="str"/>
      <x:c r="N803" s="34" t="str"/>
      <x:c r="O803" s="34" t="str"/>
      <x:c r="P803" s="34" t="str"/>
      <x:c r="Q803" s="34" t="str"/>
    </x:row>
    <x:row r="804">
      <x:c r="A804" s="34" t="str">
        <x:v>M5-HIT-0799</x:v>
      </x:c>
      <x:c r="B804" s="34" t="str"/>
      <x:c r="C804" s="34" t="str"/>
      <x:c r="D804" s="34" t="str"/>
      <x:c r="E804" s="34" t="str"/>
      <x:c r="F804" s="34" t="str"/>
      <x:c r="G804" s="34" t="str"/>
      <x:c r="H804" s="34" t="str"/>
      <x:c r="I804" s="34" t="str"/>
      <x:c r="J804" s="34" t="str"/>
      <x:c r="K804" s="34" t="str"/>
      <x:c r="L804" s="34" t="str"/>
      <x:c r="M804" s="34" t="str"/>
      <x:c r="N804" s="34" t="str"/>
      <x:c r="O804" s="34" t="str"/>
      <x:c r="P804" s="34" t="str"/>
      <x:c r="Q804" s="34" t="str"/>
    </x:row>
    <x:row r="805">
      <x:c r="A805" s="34" t="str">
        <x:v>M5-HIT-0800</x:v>
      </x:c>
      <x:c r="B805" s="34" t="str"/>
      <x:c r="C805" s="34" t="str"/>
      <x:c r="D805" s="34" t="str"/>
      <x:c r="E805" s="34" t="str"/>
      <x:c r="F805" s="34" t="str"/>
      <x:c r="G805" s="34" t="str"/>
      <x:c r="H805" s="34" t="str"/>
      <x:c r="I805" s="34" t="str"/>
      <x:c r="J805" s="34" t="str"/>
      <x:c r="K805" s="34" t="str"/>
      <x:c r="L805" s="34" t="str"/>
      <x:c r="M805" s="34" t="str"/>
      <x:c r="N805" s="34" t="str"/>
      <x:c r="O805" s="34" t="str"/>
      <x:c r="P805" s="34" t="str"/>
      <x:c r="Q805" s="34" t="str"/>
    </x:row>
    <x:row r="806">
      <x:c r="A806" s="34" t="str">
        <x:v>M5-HIT-0801</x:v>
      </x:c>
      <x:c r="B806" s="34" t="str"/>
      <x:c r="C806" s="34" t="str"/>
      <x:c r="D806" s="34" t="str"/>
      <x:c r="E806" s="34" t="str"/>
      <x:c r="F806" s="34" t="str"/>
      <x:c r="G806" s="34" t="str"/>
      <x:c r="H806" s="34" t="str"/>
      <x:c r="I806" s="34" t="str"/>
      <x:c r="J806" s="34" t="str"/>
      <x:c r="K806" s="34" t="str"/>
      <x:c r="L806" s="34" t="str"/>
      <x:c r="M806" s="34" t="str"/>
      <x:c r="N806" s="34" t="str"/>
      <x:c r="O806" s="34" t="str"/>
      <x:c r="P806" s="34" t="str"/>
      <x:c r="Q806" s="34" t="str"/>
    </x:row>
    <x:row r="807">
      <x:c r="A807" s="34" t="str">
        <x:v>M5-HIT-0802</x:v>
      </x:c>
      <x:c r="B807" s="34" t="str"/>
      <x:c r="C807" s="34" t="str"/>
      <x:c r="D807" s="34" t="str"/>
      <x:c r="E807" s="34" t="str"/>
      <x:c r="F807" s="34" t="str"/>
      <x:c r="G807" s="34" t="str"/>
      <x:c r="H807" s="34" t="str"/>
      <x:c r="I807" s="34" t="str"/>
      <x:c r="J807" s="34" t="str"/>
      <x:c r="K807" s="34" t="str"/>
      <x:c r="L807" s="34" t="str"/>
      <x:c r="M807" s="34" t="str"/>
      <x:c r="N807" s="34" t="str"/>
      <x:c r="O807" s="34" t="str"/>
      <x:c r="P807" s="34" t="str"/>
      <x:c r="Q807" s="34" t="str"/>
    </x:row>
    <x:row r="808">
      <x:c r="A808" s="34" t="str">
        <x:v>M5-HIT-0803</x:v>
      </x:c>
      <x:c r="B808" s="34" t="str"/>
      <x:c r="C808" s="34" t="str"/>
      <x:c r="D808" s="34" t="str"/>
      <x:c r="E808" s="34" t="str"/>
      <x:c r="F808" s="34" t="str"/>
      <x:c r="G808" s="34" t="str"/>
      <x:c r="H808" s="34" t="str"/>
      <x:c r="I808" s="34" t="str"/>
      <x:c r="J808" s="34" t="str"/>
      <x:c r="K808" s="34" t="str"/>
      <x:c r="L808" s="34" t="str"/>
      <x:c r="M808" s="34" t="str"/>
      <x:c r="N808" s="34" t="str"/>
      <x:c r="O808" s="34" t="str"/>
      <x:c r="P808" s="34" t="str"/>
      <x:c r="Q808" s="34" t="str"/>
    </x:row>
    <x:row r="809">
      <x:c r="A809" s="34" t="str">
        <x:v>M5-HIT-0804</x:v>
      </x:c>
      <x:c r="B809" s="34" t="str"/>
      <x:c r="C809" s="34" t="str"/>
      <x:c r="D809" s="34" t="str"/>
      <x:c r="E809" s="34" t="str"/>
      <x:c r="F809" s="34" t="str"/>
      <x:c r="G809" s="34" t="str"/>
      <x:c r="H809" s="34" t="str"/>
      <x:c r="I809" s="34" t="str"/>
      <x:c r="J809" s="34" t="str"/>
      <x:c r="K809" s="34" t="str"/>
      <x:c r="L809" s="34" t="str"/>
      <x:c r="M809" s="34" t="str"/>
      <x:c r="N809" s="34" t="str"/>
      <x:c r="O809" s="34" t="str"/>
      <x:c r="P809" s="34" t="str"/>
      <x:c r="Q809" s="34" t="str"/>
    </x:row>
    <x:row r="810">
      <x:c r="A810" s="34" t="str">
        <x:v>M5-HIT-0805</x:v>
      </x:c>
      <x:c r="B810" s="34" t="str"/>
      <x:c r="C810" s="34" t="str"/>
      <x:c r="D810" s="34" t="str"/>
      <x:c r="E810" s="34" t="str"/>
      <x:c r="F810" s="34" t="str"/>
      <x:c r="G810" s="34" t="str"/>
      <x:c r="H810" s="34" t="str"/>
      <x:c r="I810" s="34" t="str"/>
      <x:c r="J810" s="34" t="str"/>
      <x:c r="K810" s="34" t="str"/>
      <x:c r="L810" s="34" t="str"/>
      <x:c r="M810" s="34" t="str"/>
      <x:c r="N810" s="34" t="str"/>
      <x:c r="O810" s="34" t="str"/>
      <x:c r="P810" s="34" t="str"/>
      <x:c r="Q810" s="34" t="str"/>
    </x:row>
    <x:row r="811">
      <x:c r="A811" s="34" t="str">
        <x:v>M5-HIT-0806</x:v>
      </x:c>
      <x:c r="B811" s="34" t="str"/>
      <x:c r="C811" s="34" t="str"/>
      <x:c r="D811" s="34" t="str"/>
      <x:c r="E811" s="34" t="str"/>
      <x:c r="F811" s="34" t="str"/>
      <x:c r="G811" s="34" t="str"/>
      <x:c r="H811" s="34" t="str"/>
      <x:c r="I811" s="34" t="str"/>
      <x:c r="J811" s="34" t="str"/>
      <x:c r="K811" s="34" t="str"/>
      <x:c r="L811" s="34" t="str"/>
      <x:c r="M811" s="34" t="str"/>
      <x:c r="N811" s="34" t="str"/>
      <x:c r="O811" s="34" t="str"/>
      <x:c r="P811" s="34" t="str"/>
      <x:c r="Q811" s="34" t="str"/>
    </x:row>
    <x:row r="812">
      <x:c r="A812" s="34" t="str">
        <x:v>M5-HIT-0807</x:v>
      </x:c>
      <x:c r="B812" s="34" t="str"/>
      <x:c r="C812" s="34" t="str"/>
      <x:c r="D812" s="34" t="str"/>
      <x:c r="E812" s="34" t="str"/>
      <x:c r="F812" s="34" t="str"/>
      <x:c r="G812" s="34" t="str"/>
      <x:c r="H812" s="34" t="str"/>
      <x:c r="I812" s="34" t="str"/>
      <x:c r="J812" s="34" t="str"/>
      <x:c r="K812" s="34" t="str"/>
      <x:c r="L812" s="34" t="str"/>
      <x:c r="M812" s="34" t="str"/>
      <x:c r="N812" s="34" t="str"/>
      <x:c r="O812" s="34" t="str"/>
      <x:c r="P812" s="34" t="str"/>
      <x:c r="Q812" s="34" t="str"/>
    </x:row>
    <x:row r="813">
      <x:c r="A813" s="34" t="str">
        <x:v>M5-HIT-0808</x:v>
      </x:c>
      <x:c r="B813" s="34" t="str"/>
      <x:c r="C813" s="34" t="str"/>
      <x:c r="D813" s="34" t="str"/>
      <x:c r="E813" s="34" t="str"/>
      <x:c r="F813" s="34" t="str"/>
      <x:c r="G813" s="34" t="str"/>
      <x:c r="H813" s="34" t="str"/>
      <x:c r="I813" s="34" t="str"/>
      <x:c r="J813" s="34" t="str"/>
      <x:c r="K813" s="34" t="str"/>
      <x:c r="L813" s="34" t="str"/>
      <x:c r="M813" s="34" t="str"/>
      <x:c r="N813" s="34" t="str"/>
      <x:c r="O813" s="34" t="str"/>
      <x:c r="P813" s="34" t="str"/>
      <x:c r="Q813" s="34" t="str"/>
    </x:row>
    <x:row r="814">
      <x:c r="A814" s="34" t="str">
        <x:v>M5-HIT-0809</x:v>
      </x:c>
      <x:c r="B814" s="34" t="str"/>
      <x:c r="C814" s="34" t="str"/>
      <x:c r="D814" s="34" t="str"/>
      <x:c r="E814" s="34" t="str"/>
      <x:c r="F814" s="34" t="str"/>
      <x:c r="G814" s="34" t="str"/>
      <x:c r="H814" s="34" t="str"/>
      <x:c r="I814" s="34" t="str"/>
      <x:c r="J814" s="34" t="str"/>
      <x:c r="K814" s="34" t="str"/>
      <x:c r="L814" s="34" t="str"/>
      <x:c r="M814" s="34" t="str"/>
      <x:c r="N814" s="34" t="str"/>
      <x:c r="O814" s="34" t="str"/>
      <x:c r="P814" s="34" t="str"/>
      <x:c r="Q814" s="34" t="str"/>
    </x:row>
    <x:row r="815">
      <x:c r="A815" s="34" t="str">
        <x:v>M5-HIT-0810</x:v>
      </x:c>
      <x:c r="B815" s="34" t="str"/>
      <x:c r="C815" s="34" t="str"/>
      <x:c r="D815" s="34" t="str"/>
      <x:c r="E815" s="34" t="str"/>
      <x:c r="F815" s="34" t="str"/>
      <x:c r="G815" s="34" t="str"/>
      <x:c r="H815" s="34" t="str"/>
      <x:c r="I815" s="34" t="str"/>
      <x:c r="J815" s="34" t="str"/>
      <x:c r="K815" s="34" t="str"/>
      <x:c r="L815" s="34" t="str"/>
      <x:c r="M815" s="34" t="str"/>
      <x:c r="N815" s="34" t="str"/>
      <x:c r="O815" s="34" t="str"/>
      <x:c r="P815" s="34" t="str"/>
      <x:c r="Q815" s="34" t="str"/>
    </x:row>
    <x:row r="816">
      <x:c r="A816" s="34" t="str">
        <x:v>M5-HIT-0811</x:v>
      </x:c>
      <x:c r="B816" s="34" t="str"/>
      <x:c r="C816" s="34" t="str"/>
      <x:c r="D816" s="34" t="str"/>
      <x:c r="E816" s="34" t="str"/>
      <x:c r="F816" s="34" t="str"/>
      <x:c r="G816" s="34" t="str"/>
      <x:c r="H816" s="34" t="str"/>
      <x:c r="I816" s="34" t="str"/>
      <x:c r="J816" s="34" t="str"/>
      <x:c r="K816" s="34" t="str"/>
      <x:c r="L816" s="34" t="str"/>
      <x:c r="M816" s="34" t="str"/>
      <x:c r="N816" s="34" t="str"/>
      <x:c r="O816" s="34" t="str"/>
      <x:c r="P816" s="34" t="str"/>
      <x:c r="Q816" s="34" t="str"/>
    </x:row>
    <x:row r="817">
      <x:c r="A817" s="34" t="str">
        <x:v>M5-HIT-0812</x:v>
      </x:c>
      <x:c r="B817" s="34" t="str"/>
      <x:c r="C817" s="34" t="str"/>
      <x:c r="D817" s="34" t="str"/>
      <x:c r="E817" s="34" t="str"/>
      <x:c r="F817" s="34" t="str"/>
      <x:c r="G817" s="34" t="str"/>
      <x:c r="H817" s="34" t="str"/>
      <x:c r="I817" s="34" t="str"/>
      <x:c r="J817" s="34" t="str"/>
      <x:c r="K817" s="34" t="str"/>
      <x:c r="L817" s="34" t="str"/>
      <x:c r="M817" s="34" t="str"/>
      <x:c r="N817" s="34" t="str"/>
      <x:c r="O817" s="34" t="str"/>
      <x:c r="P817" s="34" t="str"/>
      <x:c r="Q817" s="34" t="str"/>
    </x:row>
    <x:row r="818">
      <x:c r="A818" s="34" t="str">
        <x:v>M5-HIT-0813</x:v>
      </x:c>
      <x:c r="B818" s="34" t="str"/>
      <x:c r="C818" s="34" t="str"/>
      <x:c r="D818" s="34" t="str"/>
      <x:c r="E818" s="34" t="str"/>
      <x:c r="F818" s="34" t="str"/>
      <x:c r="G818" s="34" t="str"/>
      <x:c r="H818" s="34" t="str"/>
      <x:c r="I818" s="34" t="str"/>
      <x:c r="J818" s="34" t="str"/>
      <x:c r="K818" s="34" t="str"/>
      <x:c r="L818" s="34" t="str"/>
      <x:c r="M818" s="34" t="str"/>
      <x:c r="N818" s="34" t="str"/>
      <x:c r="O818" s="34" t="str"/>
      <x:c r="P818" s="34" t="str"/>
      <x:c r="Q818" s="34" t="str"/>
    </x:row>
    <x:row r="819">
      <x:c r="A819" s="34" t="str">
        <x:v>M5-HIT-0814</x:v>
      </x:c>
      <x:c r="B819" s="34" t="str"/>
      <x:c r="C819" s="34" t="str"/>
      <x:c r="D819" s="34" t="str"/>
      <x:c r="E819" s="34" t="str"/>
      <x:c r="F819" s="34" t="str"/>
      <x:c r="G819" s="34" t="str"/>
      <x:c r="H819" s="34" t="str"/>
      <x:c r="I819" s="34" t="str"/>
      <x:c r="J819" s="34" t="str"/>
      <x:c r="K819" s="34" t="str"/>
      <x:c r="L819" s="34" t="str"/>
      <x:c r="M819" s="34" t="str"/>
      <x:c r="N819" s="34" t="str"/>
      <x:c r="O819" s="34" t="str"/>
      <x:c r="P819" s="34" t="str"/>
      <x:c r="Q819" s="34" t="str"/>
    </x:row>
    <x:row r="820">
      <x:c r="A820" s="34" t="str">
        <x:v>M5-HIT-0815</x:v>
      </x:c>
      <x:c r="B820" s="34" t="str"/>
      <x:c r="C820" s="34" t="str"/>
      <x:c r="D820" s="34" t="str"/>
      <x:c r="E820" s="34" t="str"/>
      <x:c r="F820" s="34" t="str"/>
      <x:c r="G820" s="34" t="str"/>
      <x:c r="H820" s="34" t="str"/>
      <x:c r="I820" s="34" t="str"/>
      <x:c r="J820" s="34" t="str"/>
      <x:c r="K820" s="34" t="str"/>
      <x:c r="L820" s="34" t="str"/>
      <x:c r="M820" s="34" t="str"/>
      <x:c r="N820" s="34" t="str"/>
      <x:c r="O820" s="34" t="str"/>
      <x:c r="P820" s="34" t="str"/>
      <x:c r="Q820" s="34" t="str"/>
    </x:row>
    <x:row r="821">
      <x:c r="A821" s="34" t="str">
        <x:v>M5-HIT-0816</x:v>
      </x:c>
      <x:c r="B821" s="34" t="str"/>
      <x:c r="C821" s="34" t="str"/>
      <x:c r="D821" s="34" t="str"/>
      <x:c r="E821" s="34" t="str"/>
      <x:c r="F821" s="34" t="str"/>
      <x:c r="G821" s="34" t="str"/>
      <x:c r="H821" s="34" t="str"/>
      <x:c r="I821" s="34" t="str"/>
      <x:c r="J821" s="34" t="str"/>
      <x:c r="K821" s="34" t="str"/>
      <x:c r="L821" s="34" t="str"/>
      <x:c r="M821" s="34" t="str"/>
      <x:c r="N821" s="34" t="str"/>
      <x:c r="O821" s="34" t="str"/>
      <x:c r="P821" s="34" t="str"/>
      <x:c r="Q821" s="34" t="str"/>
    </x:row>
    <x:row r="822">
      <x:c r="A822" s="34" t="str">
        <x:v>M5-HIT-0817</x:v>
      </x:c>
      <x:c r="B822" s="34" t="str"/>
      <x:c r="C822" s="34" t="str"/>
      <x:c r="D822" s="34" t="str"/>
      <x:c r="E822" s="34" t="str"/>
      <x:c r="F822" s="34" t="str"/>
      <x:c r="G822" s="34" t="str"/>
      <x:c r="H822" s="34" t="str"/>
      <x:c r="I822" s="34" t="str"/>
      <x:c r="J822" s="34" t="str"/>
      <x:c r="K822" s="34" t="str"/>
      <x:c r="L822" s="34" t="str"/>
      <x:c r="M822" s="34" t="str"/>
      <x:c r="N822" s="34" t="str"/>
      <x:c r="O822" s="34" t="str"/>
      <x:c r="P822" s="34" t="str"/>
      <x:c r="Q822" s="34" t="str"/>
    </x:row>
    <x:row r="823">
      <x:c r="A823" s="34" t="str">
        <x:v>M5-HIT-0818</x:v>
      </x:c>
      <x:c r="B823" s="34" t="str"/>
      <x:c r="C823" s="34" t="str"/>
      <x:c r="D823" s="34" t="str"/>
      <x:c r="E823" s="34" t="str"/>
      <x:c r="F823" s="34" t="str"/>
      <x:c r="G823" s="34" t="str"/>
      <x:c r="H823" s="34" t="str"/>
      <x:c r="I823" s="34" t="str"/>
      <x:c r="J823" s="34" t="str"/>
      <x:c r="K823" s="34" t="str"/>
      <x:c r="L823" s="34" t="str"/>
      <x:c r="M823" s="34" t="str"/>
      <x:c r="N823" s="34" t="str"/>
      <x:c r="O823" s="34" t="str"/>
      <x:c r="P823" s="34" t="str"/>
      <x:c r="Q823" s="34" t="str"/>
    </x:row>
    <x:row r="824">
      <x:c r="A824" s="34" t="str">
        <x:v>M5-HIT-0819</x:v>
      </x:c>
      <x:c r="B824" s="34" t="str"/>
      <x:c r="C824" s="34" t="str"/>
      <x:c r="D824" s="34" t="str"/>
      <x:c r="E824" s="34" t="str"/>
      <x:c r="F824" s="34" t="str"/>
      <x:c r="G824" s="34" t="str"/>
      <x:c r="H824" s="34" t="str"/>
      <x:c r="I824" s="34" t="str"/>
      <x:c r="J824" s="34" t="str"/>
      <x:c r="K824" s="34" t="str"/>
      <x:c r="L824" s="34" t="str"/>
      <x:c r="M824" s="34" t="str"/>
      <x:c r="N824" s="34" t="str"/>
      <x:c r="O824" s="34" t="str"/>
      <x:c r="P824" s="34" t="str"/>
      <x:c r="Q824" s="34" t="str"/>
    </x:row>
    <x:row r="825">
      <x:c r="A825" s="34" t="str">
        <x:v>M5-HIT-0820</x:v>
      </x:c>
      <x:c r="B825" s="34" t="str"/>
      <x:c r="C825" s="34" t="str"/>
      <x:c r="D825" s="34" t="str"/>
      <x:c r="E825" s="34" t="str"/>
      <x:c r="F825" s="34" t="str"/>
      <x:c r="G825" s="34" t="str"/>
      <x:c r="H825" s="34" t="str"/>
      <x:c r="I825" s="34" t="str"/>
      <x:c r="J825" s="34" t="str"/>
      <x:c r="K825" s="34" t="str"/>
      <x:c r="L825" s="34" t="str"/>
      <x:c r="M825" s="34" t="str"/>
      <x:c r="N825" s="34" t="str"/>
      <x:c r="O825" s="34" t="str"/>
      <x:c r="P825" s="34" t="str"/>
      <x:c r="Q825" s="34" t="str"/>
    </x:row>
    <x:row r="826">
      <x:c r="A826" s="34" t="str">
        <x:v>M5-HIT-0821</x:v>
      </x:c>
      <x:c r="B826" s="34" t="str"/>
      <x:c r="C826" s="34" t="str"/>
      <x:c r="D826" s="34" t="str"/>
      <x:c r="E826" s="34" t="str"/>
      <x:c r="F826" s="34" t="str"/>
      <x:c r="G826" s="34" t="str"/>
      <x:c r="H826" s="34" t="str"/>
      <x:c r="I826" s="34" t="str"/>
      <x:c r="J826" s="34" t="str"/>
      <x:c r="K826" s="34" t="str"/>
      <x:c r="L826" s="34" t="str"/>
      <x:c r="M826" s="34" t="str"/>
      <x:c r="N826" s="34" t="str"/>
      <x:c r="O826" s="34" t="str"/>
      <x:c r="P826" s="34" t="str"/>
      <x:c r="Q826" s="34" t="str"/>
    </x:row>
    <x:row r="827">
      <x:c r="A827" s="34" t="str">
        <x:v>M5-HIT-0822</x:v>
      </x:c>
      <x:c r="B827" s="34" t="str"/>
      <x:c r="C827" s="34" t="str"/>
      <x:c r="D827" s="34" t="str"/>
      <x:c r="E827" s="34" t="str"/>
      <x:c r="F827" s="34" t="str"/>
      <x:c r="G827" s="34" t="str"/>
      <x:c r="H827" s="34" t="str"/>
      <x:c r="I827" s="34" t="str"/>
      <x:c r="J827" s="34" t="str"/>
      <x:c r="K827" s="34" t="str"/>
      <x:c r="L827" s="34" t="str"/>
      <x:c r="M827" s="34" t="str"/>
      <x:c r="N827" s="34" t="str"/>
      <x:c r="O827" s="34" t="str"/>
      <x:c r="P827" s="34" t="str"/>
      <x:c r="Q827" s="34" t="str"/>
    </x:row>
    <x:row r="828">
      <x:c r="A828" s="34" t="str">
        <x:v>M5-HIT-0823</x:v>
      </x:c>
      <x:c r="B828" s="34" t="str"/>
      <x:c r="C828" s="34" t="str"/>
      <x:c r="D828" s="34" t="str"/>
      <x:c r="E828" s="34" t="str"/>
      <x:c r="F828" s="34" t="str"/>
      <x:c r="G828" s="34" t="str"/>
      <x:c r="H828" s="34" t="str"/>
      <x:c r="I828" s="34" t="str"/>
      <x:c r="J828" s="34" t="str"/>
      <x:c r="K828" s="34" t="str"/>
      <x:c r="L828" s="34" t="str"/>
      <x:c r="M828" s="34" t="str"/>
      <x:c r="N828" s="34" t="str"/>
      <x:c r="O828" s="34" t="str"/>
      <x:c r="P828" s="34" t="str"/>
      <x:c r="Q828" s="34" t="str"/>
    </x:row>
    <x:row r="829">
      <x:c r="A829" s="34" t="str">
        <x:v>M5-HIT-0824</x:v>
      </x:c>
      <x:c r="B829" s="34" t="str"/>
      <x:c r="C829" s="34" t="str"/>
      <x:c r="D829" s="34" t="str"/>
      <x:c r="E829" s="34" t="str"/>
      <x:c r="F829" s="34" t="str"/>
      <x:c r="G829" s="34" t="str"/>
      <x:c r="H829" s="34" t="str"/>
      <x:c r="I829" s="34" t="str"/>
      <x:c r="J829" s="34" t="str"/>
      <x:c r="K829" s="34" t="str"/>
      <x:c r="L829" s="34" t="str"/>
      <x:c r="M829" s="34" t="str"/>
      <x:c r="N829" s="34" t="str"/>
      <x:c r="O829" s="34" t="str"/>
      <x:c r="P829" s="34" t="str"/>
      <x:c r="Q829" s="34" t="str"/>
    </x:row>
    <x:row r="830">
      <x:c r="A830" s="34" t="str">
        <x:v>M5-HIT-0825</x:v>
      </x:c>
      <x:c r="B830" s="34" t="str"/>
      <x:c r="C830" s="34" t="str"/>
      <x:c r="D830" s="34" t="str"/>
      <x:c r="E830" s="34" t="str"/>
      <x:c r="F830" s="34" t="str"/>
      <x:c r="G830" s="34" t="str"/>
      <x:c r="H830" s="34" t="str"/>
      <x:c r="I830" s="34" t="str"/>
      <x:c r="J830" s="34" t="str"/>
      <x:c r="K830" s="34" t="str"/>
      <x:c r="L830" s="34" t="str"/>
      <x:c r="M830" s="34" t="str"/>
      <x:c r="N830" s="34" t="str"/>
      <x:c r="O830" s="34" t="str"/>
      <x:c r="P830" s="34" t="str"/>
      <x:c r="Q830" s="34" t="str"/>
    </x:row>
    <x:row r="831">
      <x:c r="A831" s="34" t="str">
        <x:v>M5-HIT-0826</x:v>
      </x:c>
      <x:c r="B831" s="34" t="str"/>
      <x:c r="C831" s="34" t="str"/>
      <x:c r="D831" s="34" t="str"/>
      <x:c r="E831" s="34" t="str"/>
      <x:c r="F831" s="34" t="str"/>
      <x:c r="G831" s="34" t="str"/>
      <x:c r="H831" s="34" t="str"/>
      <x:c r="I831" s="34" t="str"/>
      <x:c r="J831" s="34" t="str"/>
      <x:c r="K831" s="34" t="str"/>
      <x:c r="L831" s="34" t="str"/>
      <x:c r="M831" s="34" t="str"/>
      <x:c r="N831" s="34" t="str"/>
      <x:c r="O831" s="34" t="str"/>
      <x:c r="P831" s="34" t="str"/>
      <x:c r="Q831" s="34" t="str"/>
    </x:row>
    <x:row r="832">
      <x:c r="A832" s="34" t="str">
        <x:v>M5-HIT-0827</x:v>
      </x:c>
      <x:c r="B832" s="34" t="str"/>
      <x:c r="C832" s="34" t="str"/>
      <x:c r="D832" s="34" t="str"/>
      <x:c r="E832" s="34" t="str"/>
      <x:c r="F832" s="34" t="str"/>
      <x:c r="G832" s="34" t="str"/>
      <x:c r="H832" s="34" t="str"/>
      <x:c r="I832" s="34" t="str"/>
      <x:c r="J832" s="34" t="str"/>
      <x:c r="K832" s="34" t="str"/>
      <x:c r="L832" s="34" t="str"/>
      <x:c r="M832" s="34" t="str"/>
      <x:c r="N832" s="34" t="str"/>
      <x:c r="O832" s="34" t="str"/>
      <x:c r="P832" s="34" t="str"/>
      <x:c r="Q832" s="34" t="str"/>
    </x:row>
    <x:row r="833">
      <x:c r="A833" s="34" t="str">
        <x:v>M5-HIT-0828</x:v>
      </x:c>
      <x:c r="B833" s="34" t="str"/>
      <x:c r="C833" s="34" t="str"/>
      <x:c r="D833" s="34" t="str"/>
      <x:c r="E833" s="34" t="str"/>
      <x:c r="F833" s="34" t="str"/>
      <x:c r="G833" s="34" t="str"/>
      <x:c r="H833" s="34" t="str"/>
      <x:c r="I833" s="34" t="str"/>
      <x:c r="J833" s="34" t="str"/>
      <x:c r="K833" s="34" t="str"/>
      <x:c r="L833" s="34" t="str"/>
      <x:c r="M833" s="34" t="str"/>
      <x:c r="N833" s="34" t="str"/>
      <x:c r="O833" s="34" t="str"/>
      <x:c r="P833" s="34" t="str"/>
      <x:c r="Q833" s="34" t="str"/>
    </x:row>
    <x:row r="834">
      <x:c r="A834" s="34" t="str">
        <x:v>M5-HIT-0829</x:v>
      </x:c>
      <x:c r="B834" s="34" t="str"/>
      <x:c r="C834" s="34" t="str"/>
      <x:c r="D834" s="34" t="str"/>
      <x:c r="E834" s="34" t="str"/>
      <x:c r="F834" s="34" t="str"/>
      <x:c r="G834" s="34" t="str"/>
      <x:c r="H834" s="34" t="str"/>
      <x:c r="I834" s="34" t="str"/>
      <x:c r="J834" s="34" t="str"/>
      <x:c r="K834" s="34" t="str"/>
      <x:c r="L834" s="34" t="str"/>
      <x:c r="M834" s="34" t="str"/>
      <x:c r="N834" s="34" t="str"/>
      <x:c r="O834" s="34" t="str"/>
      <x:c r="P834" s="34" t="str"/>
      <x:c r="Q834" s="34" t="str"/>
    </x:row>
    <x:row r="835">
      <x:c r="A835" s="34" t="str">
        <x:v>M5-HIT-0830</x:v>
      </x:c>
      <x:c r="B835" s="34" t="str"/>
      <x:c r="C835" s="34" t="str"/>
      <x:c r="D835" s="34" t="str"/>
      <x:c r="E835" s="34" t="str"/>
      <x:c r="F835" s="34" t="str"/>
      <x:c r="G835" s="34" t="str"/>
      <x:c r="H835" s="34" t="str"/>
      <x:c r="I835" s="34" t="str"/>
      <x:c r="J835" s="34" t="str"/>
      <x:c r="K835" s="34" t="str"/>
      <x:c r="L835" s="34" t="str"/>
      <x:c r="M835" s="34" t="str"/>
      <x:c r="N835" s="34" t="str"/>
      <x:c r="O835" s="34" t="str"/>
      <x:c r="P835" s="34" t="str"/>
      <x:c r="Q835" s="34" t="str"/>
    </x:row>
    <x:row r="836">
      <x:c r="A836" s="34" t="str">
        <x:v>M5-HIT-0831</x:v>
      </x:c>
      <x:c r="B836" s="34" t="str"/>
      <x:c r="C836" s="34" t="str"/>
      <x:c r="D836" s="34" t="str"/>
      <x:c r="E836" s="34" t="str"/>
      <x:c r="F836" s="34" t="str"/>
      <x:c r="G836" s="34" t="str"/>
      <x:c r="H836" s="34" t="str"/>
      <x:c r="I836" s="34" t="str"/>
      <x:c r="J836" s="34" t="str"/>
      <x:c r="K836" s="34" t="str"/>
      <x:c r="L836" s="34" t="str"/>
      <x:c r="M836" s="34" t="str"/>
      <x:c r="N836" s="34" t="str"/>
      <x:c r="O836" s="34" t="str"/>
      <x:c r="P836" s="34" t="str"/>
      <x:c r="Q836" s="34" t="str"/>
    </x:row>
    <x:row r="837">
      <x:c r="A837" s="34" t="str">
        <x:v>M5-HIT-0832</x:v>
      </x:c>
      <x:c r="B837" s="34" t="str"/>
      <x:c r="C837" s="34" t="str"/>
      <x:c r="D837" s="34" t="str"/>
      <x:c r="E837" s="34" t="str"/>
      <x:c r="F837" s="34" t="str"/>
      <x:c r="G837" s="34" t="str"/>
      <x:c r="H837" s="34" t="str"/>
      <x:c r="I837" s="34" t="str"/>
      <x:c r="J837" s="34" t="str"/>
      <x:c r="K837" s="34" t="str"/>
      <x:c r="L837" s="34" t="str"/>
      <x:c r="M837" s="34" t="str"/>
      <x:c r="N837" s="34" t="str"/>
      <x:c r="O837" s="34" t="str"/>
      <x:c r="P837" s="34" t="str"/>
      <x:c r="Q837" s="34" t="str"/>
    </x:row>
    <x:row r="838">
      <x:c r="A838" s="34" t="str">
        <x:v>M5-HIT-0833</x:v>
      </x:c>
      <x:c r="B838" s="34" t="str"/>
      <x:c r="C838" s="34" t="str"/>
      <x:c r="D838" s="34" t="str"/>
      <x:c r="E838" s="34" t="str"/>
      <x:c r="F838" s="34" t="str"/>
      <x:c r="G838" s="34" t="str"/>
      <x:c r="H838" s="34" t="str"/>
      <x:c r="I838" s="34" t="str"/>
      <x:c r="J838" s="34" t="str"/>
      <x:c r="K838" s="34" t="str"/>
      <x:c r="L838" s="34" t="str"/>
      <x:c r="M838" s="34" t="str"/>
      <x:c r="N838" s="34" t="str"/>
      <x:c r="O838" s="34" t="str"/>
      <x:c r="P838" s="34" t="str"/>
      <x:c r="Q838" s="34" t="str"/>
    </x:row>
    <x:row r="839">
      <x:c r="A839" s="34" t="str">
        <x:v>M5-HIT-0834</x:v>
      </x:c>
      <x:c r="B839" s="34" t="str"/>
      <x:c r="C839" s="34" t="str"/>
      <x:c r="D839" s="34" t="str"/>
      <x:c r="E839" s="34" t="str"/>
      <x:c r="F839" s="34" t="str"/>
      <x:c r="G839" s="34" t="str"/>
      <x:c r="H839" s="34" t="str"/>
      <x:c r="I839" s="34" t="str"/>
      <x:c r="J839" s="34" t="str"/>
      <x:c r="K839" s="34" t="str"/>
      <x:c r="L839" s="34" t="str"/>
      <x:c r="M839" s="34" t="str"/>
      <x:c r="N839" s="34" t="str"/>
      <x:c r="O839" s="34" t="str"/>
      <x:c r="P839" s="34" t="str"/>
      <x:c r="Q839" s="34" t="str"/>
    </x:row>
    <x:row r="840">
      <x:c r="A840" s="34" t="str">
        <x:v>M5-HIT-0835</x:v>
      </x:c>
      <x:c r="B840" s="34" t="str"/>
      <x:c r="C840" s="34" t="str"/>
      <x:c r="D840" s="34" t="str"/>
      <x:c r="E840" s="34" t="str"/>
      <x:c r="F840" s="34" t="str"/>
      <x:c r="G840" s="34" t="str"/>
      <x:c r="H840" s="34" t="str"/>
      <x:c r="I840" s="34" t="str"/>
      <x:c r="J840" s="34" t="str"/>
      <x:c r="K840" s="34" t="str"/>
      <x:c r="L840" s="34" t="str"/>
      <x:c r="M840" s="34" t="str"/>
      <x:c r="N840" s="34" t="str"/>
      <x:c r="O840" s="34" t="str"/>
      <x:c r="P840" s="34" t="str"/>
      <x:c r="Q840" s="34" t="str"/>
    </x:row>
    <x:row r="841">
      <x:c r="A841" s="34" t="str">
        <x:v>M5-HIT-0836</x:v>
      </x:c>
      <x:c r="B841" s="34" t="str"/>
      <x:c r="C841" s="34" t="str"/>
      <x:c r="D841" s="34" t="str"/>
      <x:c r="E841" s="34" t="str"/>
      <x:c r="F841" s="34" t="str"/>
      <x:c r="G841" s="34" t="str"/>
      <x:c r="H841" s="34" t="str"/>
      <x:c r="I841" s="34" t="str"/>
      <x:c r="J841" s="34" t="str"/>
      <x:c r="K841" s="34" t="str"/>
      <x:c r="L841" s="34" t="str"/>
      <x:c r="M841" s="34" t="str"/>
      <x:c r="N841" s="34" t="str"/>
      <x:c r="O841" s="34" t="str"/>
      <x:c r="P841" s="34" t="str"/>
      <x:c r="Q841" s="34" t="str"/>
    </x:row>
    <x:row r="842">
      <x:c r="A842" s="34" t="str">
        <x:v>M5-HIT-0837</x:v>
      </x:c>
      <x:c r="B842" s="34" t="str"/>
      <x:c r="C842" s="34" t="str"/>
      <x:c r="D842" s="34" t="str"/>
      <x:c r="E842" s="34" t="str"/>
      <x:c r="F842" s="34" t="str"/>
      <x:c r="G842" s="34" t="str"/>
      <x:c r="H842" s="34" t="str"/>
      <x:c r="I842" s="34" t="str"/>
      <x:c r="J842" s="34" t="str"/>
      <x:c r="K842" s="34" t="str"/>
      <x:c r="L842" s="34" t="str"/>
      <x:c r="M842" s="34" t="str"/>
      <x:c r="N842" s="34" t="str"/>
      <x:c r="O842" s="34" t="str"/>
      <x:c r="P842" s="34" t="str"/>
      <x:c r="Q842" s="34" t="str"/>
    </x:row>
    <x:row r="843">
      <x:c r="A843" s="34" t="str">
        <x:v>M5-HIT-0838</x:v>
      </x:c>
      <x:c r="B843" s="34" t="str"/>
      <x:c r="C843" s="34" t="str"/>
      <x:c r="D843" s="34" t="str"/>
      <x:c r="E843" s="34" t="str"/>
      <x:c r="F843" s="34" t="str"/>
      <x:c r="G843" s="34" t="str"/>
      <x:c r="H843" s="34" t="str"/>
      <x:c r="I843" s="34" t="str"/>
      <x:c r="J843" s="34" t="str"/>
      <x:c r="K843" s="34" t="str"/>
      <x:c r="L843" s="34" t="str"/>
      <x:c r="M843" s="34" t="str"/>
      <x:c r="N843" s="34" t="str"/>
      <x:c r="O843" s="34" t="str"/>
      <x:c r="P843" s="34" t="str"/>
      <x:c r="Q843" s="34" t="str"/>
    </x:row>
    <x:row r="844">
      <x:c r="A844" s="34" t="str">
        <x:v>M5-HIT-0839</x:v>
      </x:c>
      <x:c r="B844" s="34" t="str"/>
      <x:c r="C844" s="34" t="str"/>
      <x:c r="D844" s="34" t="str"/>
      <x:c r="E844" s="34" t="str"/>
      <x:c r="F844" s="34" t="str"/>
      <x:c r="G844" s="34" t="str"/>
      <x:c r="H844" s="34" t="str"/>
      <x:c r="I844" s="34" t="str"/>
      <x:c r="J844" s="34" t="str"/>
      <x:c r="K844" s="34" t="str"/>
      <x:c r="L844" s="34" t="str"/>
      <x:c r="M844" s="34" t="str"/>
      <x:c r="N844" s="34" t="str"/>
      <x:c r="O844" s="34" t="str"/>
      <x:c r="P844" s="34" t="str"/>
      <x:c r="Q844" s="34" t="str"/>
    </x:row>
    <x:row r="845">
      <x:c r="A845" s="34" t="str">
        <x:v>M5-HIT-0840</x:v>
      </x:c>
      <x:c r="B845" s="34" t="str"/>
      <x:c r="C845" s="34" t="str"/>
      <x:c r="D845" s="34" t="str"/>
      <x:c r="E845" s="34" t="str"/>
      <x:c r="F845" s="34" t="str"/>
      <x:c r="G845" s="34" t="str"/>
      <x:c r="H845" s="34" t="str"/>
      <x:c r="I845" s="34" t="str"/>
      <x:c r="J845" s="34" t="str"/>
      <x:c r="K845" s="34" t="str"/>
      <x:c r="L845" s="34" t="str"/>
      <x:c r="M845" s="34" t="str"/>
      <x:c r="N845" s="34" t="str"/>
      <x:c r="O845" s="34" t="str"/>
      <x:c r="P845" s="34" t="str"/>
      <x:c r="Q845" s="34" t="str"/>
    </x:row>
    <x:row r="846">
      <x:c r="A846" s="34" t="str">
        <x:v>M5-HIT-0841</x:v>
      </x:c>
      <x:c r="B846" s="34" t="str"/>
      <x:c r="C846" s="34" t="str"/>
      <x:c r="D846" s="34" t="str"/>
      <x:c r="E846" s="34" t="str"/>
      <x:c r="F846" s="34" t="str"/>
      <x:c r="G846" s="34" t="str"/>
      <x:c r="H846" s="34" t="str"/>
      <x:c r="I846" s="34" t="str"/>
      <x:c r="J846" s="34" t="str"/>
      <x:c r="K846" s="34" t="str"/>
      <x:c r="L846" s="34" t="str"/>
      <x:c r="M846" s="34" t="str"/>
      <x:c r="N846" s="34" t="str"/>
      <x:c r="O846" s="34" t="str"/>
      <x:c r="P846" s="34" t="str"/>
      <x:c r="Q846" s="34" t="str"/>
    </x:row>
    <x:row r="847">
      <x:c r="A847" s="34" t="str">
        <x:v>M5-HIT-0842</x:v>
      </x:c>
      <x:c r="B847" s="34" t="str"/>
      <x:c r="C847" s="34" t="str"/>
      <x:c r="D847" s="34" t="str"/>
      <x:c r="E847" s="34" t="str"/>
      <x:c r="F847" s="34" t="str"/>
      <x:c r="G847" s="34" t="str"/>
      <x:c r="H847" s="34" t="str"/>
      <x:c r="I847" s="34" t="str"/>
      <x:c r="J847" s="34" t="str"/>
      <x:c r="K847" s="34" t="str"/>
      <x:c r="L847" s="34" t="str"/>
      <x:c r="M847" s="34" t="str"/>
      <x:c r="N847" s="34" t="str"/>
      <x:c r="O847" s="34" t="str"/>
      <x:c r="P847" s="34" t="str"/>
      <x:c r="Q847" s="34" t="str"/>
    </x:row>
    <x:row r="848">
      <x:c r="A848" s="34" t="str">
        <x:v>M5-HIT-0843</x:v>
      </x:c>
      <x:c r="B848" s="34" t="str"/>
      <x:c r="C848" s="34" t="str"/>
      <x:c r="D848" s="34" t="str"/>
      <x:c r="E848" s="34" t="str"/>
      <x:c r="F848" s="34" t="str"/>
      <x:c r="G848" s="34" t="str"/>
      <x:c r="H848" s="34" t="str"/>
      <x:c r="I848" s="34" t="str"/>
      <x:c r="J848" s="34" t="str"/>
      <x:c r="K848" s="34" t="str"/>
      <x:c r="L848" s="34" t="str"/>
      <x:c r="M848" s="34" t="str"/>
      <x:c r="N848" s="34" t="str"/>
      <x:c r="O848" s="34" t="str"/>
      <x:c r="P848" s="34" t="str"/>
      <x:c r="Q848" s="34" t="str"/>
    </x:row>
    <x:row r="849">
      <x:c r="A849" s="34" t="str">
        <x:v>M5-HIT-0844</x:v>
      </x:c>
      <x:c r="B849" s="34" t="str"/>
      <x:c r="C849" s="34" t="str"/>
      <x:c r="D849" s="34" t="str"/>
      <x:c r="E849" s="34" t="str"/>
      <x:c r="F849" s="34" t="str"/>
      <x:c r="G849" s="34" t="str"/>
      <x:c r="H849" s="34" t="str"/>
      <x:c r="I849" s="34" t="str"/>
      <x:c r="J849" s="34" t="str"/>
      <x:c r="K849" s="34" t="str"/>
      <x:c r="L849" s="34" t="str"/>
      <x:c r="M849" s="34" t="str"/>
      <x:c r="N849" s="34" t="str"/>
      <x:c r="O849" s="34" t="str"/>
      <x:c r="P849" s="34" t="str"/>
      <x:c r="Q849" s="34" t="str"/>
    </x:row>
    <x:row r="850">
      <x:c r="A850" s="34" t="str">
        <x:v>M5-HIT-0845</x:v>
      </x:c>
      <x:c r="B850" s="34" t="str"/>
      <x:c r="C850" s="34" t="str"/>
      <x:c r="D850" s="34" t="str"/>
      <x:c r="E850" s="34" t="str"/>
      <x:c r="F850" s="34" t="str"/>
      <x:c r="G850" s="34" t="str"/>
      <x:c r="H850" s="34" t="str"/>
      <x:c r="I850" s="34" t="str"/>
      <x:c r="J850" s="34" t="str"/>
      <x:c r="K850" s="34" t="str"/>
      <x:c r="L850" s="34" t="str"/>
      <x:c r="M850" s="34" t="str"/>
      <x:c r="N850" s="34" t="str"/>
      <x:c r="O850" s="34" t="str"/>
      <x:c r="P850" s="34" t="str"/>
      <x:c r="Q850" s="34" t="str"/>
    </x:row>
    <x:row r="851">
      <x:c r="A851" s="34" t="str">
        <x:v>M5-HIT-0846</x:v>
      </x:c>
      <x:c r="B851" s="34" t="str"/>
      <x:c r="C851" s="34" t="str"/>
      <x:c r="D851" s="34" t="str"/>
      <x:c r="E851" s="34" t="str"/>
      <x:c r="F851" s="34" t="str"/>
      <x:c r="G851" s="34" t="str"/>
      <x:c r="H851" s="34" t="str"/>
      <x:c r="I851" s="34" t="str"/>
      <x:c r="J851" s="34" t="str"/>
      <x:c r="K851" s="34" t="str"/>
      <x:c r="L851" s="34" t="str"/>
      <x:c r="M851" s="34" t="str"/>
      <x:c r="N851" s="34" t="str"/>
      <x:c r="O851" s="34" t="str"/>
      <x:c r="P851" s="34" t="str"/>
      <x:c r="Q851" s="34" t="str"/>
    </x:row>
    <x:row r="852">
      <x:c r="A852" s="34" t="str">
        <x:v>M5-HIT-0847</x:v>
      </x:c>
      <x:c r="B852" s="34" t="str"/>
      <x:c r="C852" s="34" t="str"/>
      <x:c r="D852" s="34" t="str"/>
      <x:c r="E852" s="34" t="str"/>
      <x:c r="F852" s="34" t="str"/>
      <x:c r="G852" s="34" t="str"/>
      <x:c r="H852" s="34" t="str"/>
      <x:c r="I852" s="34" t="str"/>
      <x:c r="J852" s="34" t="str"/>
      <x:c r="K852" s="34" t="str"/>
      <x:c r="L852" s="34" t="str"/>
      <x:c r="M852" s="34" t="str"/>
      <x:c r="N852" s="34" t="str"/>
      <x:c r="O852" s="34" t="str"/>
      <x:c r="P852" s="34" t="str"/>
      <x:c r="Q852" s="34" t="str"/>
    </x:row>
    <x:row r="853">
      <x:c r="A853" s="34" t="str">
        <x:v>M5-HIT-0848</x:v>
      </x:c>
      <x:c r="B853" s="34" t="str"/>
      <x:c r="C853" s="34" t="str"/>
      <x:c r="D853" s="34" t="str"/>
      <x:c r="E853" s="34" t="str"/>
      <x:c r="F853" s="34" t="str"/>
      <x:c r="G853" s="34" t="str"/>
      <x:c r="H853" s="34" t="str"/>
      <x:c r="I853" s="34" t="str"/>
      <x:c r="J853" s="34" t="str"/>
      <x:c r="K853" s="34" t="str"/>
      <x:c r="L853" s="34" t="str"/>
      <x:c r="M853" s="34" t="str"/>
      <x:c r="N853" s="34" t="str"/>
      <x:c r="O853" s="34" t="str"/>
      <x:c r="P853" s="34" t="str"/>
      <x:c r="Q853" s="34" t="str"/>
    </x:row>
    <x:row r="854">
      <x:c r="A854" s="34" t="str">
        <x:v>M5-HIT-0849</x:v>
      </x:c>
      <x:c r="B854" s="34" t="str"/>
      <x:c r="C854" s="34" t="str"/>
      <x:c r="D854" s="34" t="str"/>
      <x:c r="E854" s="34" t="str"/>
      <x:c r="F854" s="34" t="str"/>
      <x:c r="G854" s="34" t="str"/>
      <x:c r="H854" s="34" t="str"/>
      <x:c r="I854" s="34" t="str"/>
      <x:c r="J854" s="34" t="str"/>
      <x:c r="K854" s="34" t="str"/>
      <x:c r="L854" s="34" t="str"/>
      <x:c r="M854" s="34" t="str"/>
      <x:c r="N854" s="34" t="str"/>
      <x:c r="O854" s="34" t="str"/>
      <x:c r="P854" s="34" t="str"/>
      <x:c r="Q854" s="34" t="str"/>
    </x:row>
    <x:row r="855">
      <x:c r="A855" s="34" t="str">
        <x:v>M5-HIT-0850</x:v>
      </x:c>
      <x:c r="B855" s="34" t="str"/>
      <x:c r="C855" s="34" t="str"/>
      <x:c r="D855" s="34" t="str"/>
      <x:c r="E855" s="34" t="str"/>
      <x:c r="F855" s="34" t="str"/>
      <x:c r="G855" s="34" t="str"/>
      <x:c r="H855" s="34" t="str"/>
      <x:c r="I855" s="34" t="str"/>
      <x:c r="J855" s="34" t="str"/>
      <x:c r="K855" s="34" t="str"/>
      <x:c r="L855" s="34" t="str"/>
      <x:c r="M855" s="34" t="str"/>
      <x:c r="N855" s="34" t="str"/>
      <x:c r="O855" s="34" t="str"/>
      <x:c r="P855" s="34" t="str"/>
      <x:c r="Q855" s="34" t="str"/>
    </x:row>
    <x:row r="856">
      <x:c r="A856" s="34" t="str">
        <x:v>M5-HIT-0851</x:v>
      </x:c>
      <x:c r="B856" s="34" t="str"/>
      <x:c r="C856" s="34" t="str"/>
      <x:c r="D856" s="34" t="str"/>
      <x:c r="E856" s="34" t="str"/>
      <x:c r="F856" s="34" t="str"/>
      <x:c r="G856" s="34" t="str"/>
      <x:c r="H856" s="34" t="str"/>
      <x:c r="I856" s="34" t="str"/>
      <x:c r="J856" s="34" t="str"/>
      <x:c r="K856" s="34" t="str"/>
      <x:c r="L856" s="34" t="str"/>
      <x:c r="M856" s="34" t="str"/>
      <x:c r="N856" s="34" t="str"/>
      <x:c r="O856" s="34" t="str"/>
      <x:c r="P856" s="34" t="str"/>
      <x:c r="Q856" s="34" t="str"/>
    </x:row>
    <x:row r="857">
      <x:c r="A857" s="34" t="str">
        <x:v>M5-HIT-0852</x:v>
      </x:c>
      <x:c r="B857" s="34" t="str"/>
      <x:c r="C857" s="34" t="str"/>
      <x:c r="D857" s="34" t="str"/>
      <x:c r="E857" s="34" t="str"/>
      <x:c r="F857" s="34" t="str"/>
      <x:c r="G857" s="34" t="str"/>
      <x:c r="H857" s="34" t="str"/>
      <x:c r="I857" s="34" t="str"/>
      <x:c r="J857" s="34" t="str"/>
      <x:c r="K857" s="34" t="str"/>
      <x:c r="L857" s="34" t="str"/>
      <x:c r="M857" s="34" t="str"/>
      <x:c r="N857" s="34" t="str"/>
      <x:c r="O857" s="34" t="str"/>
      <x:c r="P857" s="34" t="str"/>
      <x:c r="Q857" s="34" t="str"/>
    </x:row>
    <x:row r="858">
      <x:c r="A858" s="34" t="str">
        <x:v>M5-HIT-0853</x:v>
      </x:c>
      <x:c r="B858" s="34" t="str"/>
      <x:c r="C858" s="34" t="str"/>
      <x:c r="D858" s="34" t="str"/>
      <x:c r="E858" s="34" t="str"/>
      <x:c r="F858" s="34" t="str"/>
      <x:c r="G858" s="34" t="str"/>
      <x:c r="H858" s="34" t="str"/>
      <x:c r="I858" s="34" t="str"/>
      <x:c r="J858" s="34" t="str"/>
      <x:c r="K858" s="34" t="str"/>
      <x:c r="L858" s="34" t="str"/>
      <x:c r="M858" s="34" t="str"/>
      <x:c r="N858" s="34" t="str"/>
      <x:c r="O858" s="34" t="str"/>
      <x:c r="P858" s="34" t="str"/>
      <x:c r="Q858" s="34" t="str"/>
    </x:row>
    <x:row r="859">
      <x:c r="A859" s="34" t="str">
        <x:v>M5-HIT-0854</x:v>
      </x:c>
      <x:c r="B859" s="34" t="str"/>
      <x:c r="C859" s="34" t="str"/>
      <x:c r="D859" s="34" t="str"/>
      <x:c r="E859" s="34" t="str"/>
      <x:c r="F859" s="34" t="str"/>
      <x:c r="G859" s="34" t="str"/>
      <x:c r="H859" s="34" t="str"/>
      <x:c r="I859" s="34" t="str"/>
      <x:c r="J859" s="34" t="str"/>
      <x:c r="K859" s="34" t="str"/>
      <x:c r="L859" s="34" t="str"/>
      <x:c r="M859" s="34" t="str"/>
      <x:c r="N859" s="34" t="str"/>
      <x:c r="O859" s="34" t="str"/>
      <x:c r="P859" s="34" t="str"/>
      <x:c r="Q859" s="34" t="str"/>
    </x:row>
    <x:row r="860">
      <x:c r="A860" s="34" t="str">
        <x:v>M5-HIT-0855</x:v>
      </x:c>
      <x:c r="B860" s="34" t="str"/>
      <x:c r="C860" s="34" t="str"/>
      <x:c r="D860" s="34" t="str"/>
      <x:c r="E860" s="34" t="str"/>
      <x:c r="F860" s="34" t="str"/>
      <x:c r="G860" s="34" t="str"/>
      <x:c r="H860" s="34" t="str"/>
      <x:c r="I860" s="34" t="str"/>
      <x:c r="J860" s="34" t="str"/>
      <x:c r="K860" s="34" t="str"/>
      <x:c r="L860" s="34" t="str"/>
      <x:c r="M860" s="34" t="str"/>
      <x:c r="N860" s="34" t="str"/>
      <x:c r="O860" s="34" t="str"/>
      <x:c r="P860" s="34" t="str"/>
      <x:c r="Q860" s="34" t="str"/>
    </x:row>
    <x:row r="861">
      <x:c r="A861" s="34" t="str">
        <x:v>M5-HIT-0856</x:v>
      </x:c>
      <x:c r="B861" s="34" t="str"/>
      <x:c r="C861" s="34" t="str"/>
      <x:c r="D861" s="34" t="str"/>
      <x:c r="E861" s="34" t="str"/>
      <x:c r="F861" s="34" t="str"/>
      <x:c r="G861" s="34" t="str"/>
      <x:c r="H861" s="34" t="str"/>
      <x:c r="I861" s="34" t="str"/>
      <x:c r="J861" s="34" t="str"/>
      <x:c r="K861" s="34" t="str"/>
      <x:c r="L861" s="34" t="str"/>
      <x:c r="M861" s="34" t="str"/>
      <x:c r="N861" s="34" t="str"/>
      <x:c r="O861" s="34" t="str"/>
      <x:c r="P861" s="34" t="str"/>
      <x:c r="Q861" s="34" t="str"/>
    </x:row>
    <x:row r="862">
      <x:c r="A862" s="34" t="str">
        <x:v>M5-HIT-0857</x:v>
      </x:c>
      <x:c r="B862" s="34" t="str"/>
      <x:c r="C862" s="34" t="str"/>
      <x:c r="D862" s="34" t="str"/>
      <x:c r="E862" s="34" t="str"/>
      <x:c r="F862" s="34" t="str"/>
      <x:c r="G862" s="34" t="str"/>
      <x:c r="H862" s="34" t="str"/>
      <x:c r="I862" s="34" t="str"/>
      <x:c r="J862" s="34" t="str"/>
      <x:c r="K862" s="34" t="str"/>
      <x:c r="L862" s="34" t="str"/>
      <x:c r="M862" s="34" t="str"/>
      <x:c r="N862" s="34" t="str"/>
      <x:c r="O862" s="34" t="str"/>
      <x:c r="P862" s="34" t="str"/>
      <x:c r="Q862" s="34" t="str"/>
    </x:row>
    <x:row r="863">
      <x:c r="A863" s="34" t="str">
        <x:v>M5-HIT-0858</x:v>
      </x:c>
      <x:c r="B863" s="34" t="str"/>
      <x:c r="C863" s="34" t="str"/>
      <x:c r="D863" s="34" t="str"/>
      <x:c r="E863" s="34" t="str"/>
      <x:c r="F863" s="34" t="str"/>
      <x:c r="G863" s="34" t="str"/>
      <x:c r="H863" s="34" t="str"/>
      <x:c r="I863" s="34" t="str"/>
      <x:c r="J863" s="34" t="str"/>
      <x:c r="K863" s="34" t="str"/>
      <x:c r="L863" s="34" t="str"/>
      <x:c r="M863" s="34" t="str"/>
      <x:c r="N863" s="34" t="str"/>
      <x:c r="O863" s="34" t="str"/>
      <x:c r="P863" s="34" t="str"/>
      <x:c r="Q863" s="34" t="str"/>
    </x:row>
    <x:row r="864">
      <x:c r="A864" s="34" t="str">
        <x:v>M5-HIT-0859</x:v>
      </x:c>
      <x:c r="B864" s="34" t="str"/>
      <x:c r="C864" s="34" t="str"/>
      <x:c r="D864" s="34" t="str"/>
      <x:c r="E864" s="34" t="str"/>
      <x:c r="F864" s="34" t="str"/>
      <x:c r="G864" s="34" t="str"/>
      <x:c r="H864" s="34" t="str"/>
      <x:c r="I864" s="34" t="str"/>
      <x:c r="J864" s="34" t="str"/>
      <x:c r="K864" s="34" t="str"/>
      <x:c r="L864" s="34" t="str"/>
      <x:c r="M864" s="34" t="str"/>
      <x:c r="N864" s="34" t="str"/>
      <x:c r="O864" s="34" t="str"/>
      <x:c r="P864" s="34" t="str"/>
      <x:c r="Q864" s="34" t="str"/>
    </x:row>
    <x:row r="865">
      <x:c r="A865" s="34" t="str">
        <x:v>M5-HIT-0860</x:v>
      </x:c>
      <x:c r="B865" s="34" t="str"/>
      <x:c r="C865" s="34" t="str"/>
      <x:c r="D865" s="34" t="str"/>
      <x:c r="E865" s="34" t="str"/>
      <x:c r="F865" s="34" t="str"/>
      <x:c r="G865" s="34" t="str"/>
      <x:c r="H865" s="34" t="str"/>
      <x:c r="I865" s="34" t="str"/>
      <x:c r="J865" s="34" t="str"/>
      <x:c r="K865" s="34" t="str"/>
      <x:c r="L865" s="34" t="str"/>
      <x:c r="M865" s="34" t="str"/>
      <x:c r="N865" s="34" t="str"/>
      <x:c r="O865" s="34" t="str"/>
      <x:c r="P865" s="34" t="str"/>
      <x:c r="Q865" s="34" t="str"/>
    </x:row>
    <x:row r="866">
      <x:c r="A866" s="34" t="str">
        <x:v>M5-HIT-0861</x:v>
      </x:c>
      <x:c r="B866" s="34" t="str"/>
      <x:c r="C866" s="34" t="str"/>
      <x:c r="D866" s="34" t="str"/>
      <x:c r="E866" s="34" t="str"/>
      <x:c r="F866" s="34" t="str"/>
      <x:c r="G866" s="34" t="str"/>
      <x:c r="H866" s="34" t="str"/>
      <x:c r="I866" s="34" t="str"/>
      <x:c r="J866" s="34" t="str"/>
      <x:c r="K866" s="34" t="str"/>
      <x:c r="L866" s="34" t="str"/>
      <x:c r="M866" s="34" t="str"/>
      <x:c r="N866" s="34" t="str"/>
      <x:c r="O866" s="34" t="str"/>
      <x:c r="P866" s="34" t="str"/>
      <x:c r="Q866" s="34" t="str"/>
    </x:row>
    <x:row r="867">
      <x:c r="A867" s="34" t="str">
        <x:v>M5-HIT-0862</x:v>
      </x:c>
      <x:c r="B867" s="34" t="str"/>
      <x:c r="C867" s="34" t="str"/>
      <x:c r="D867" s="34" t="str"/>
      <x:c r="E867" s="34" t="str"/>
      <x:c r="F867" s="34" t="str"/>
      <x:c r="G867" s="34" t="str"/>
      <x:c r="H867" s="34" t="str"/>
      <x:c r="I867" s="34" t="str"/>
      <x:c r="J867" s="34" t="str"/>
      <x:c r="K867" s="34" t="str"/>
      <x:c r="L867" s="34" t="str"/>
      <x:c r="M867" s="34" t="str"/>
      <x:c r="N867" s="34" t="str"/>
      <x:c r="O867" s="34" t="str"/>
      <x:c r="P867" s="34" t="str"/>
      <x:c r="Q867" s="34" t="str"/>
    </x:row>
    <x:row r="868">
      <x:c r="A868" s="34" t="str">
        <x:v>M5-HIT-0863</x:v>
      </x:c>
      <x:c r="B868" s="34" t="str"/>
      <x:c r="C868" s="34" t="str"/>
      <x:c r="D868" s="34" t="str"/>
      <x:c r="E868" s="34" t="str"/>
      <x:c r="F868" s="34" t="str"/>
      <x:c r="G868" s="34" t="str"/>
      <x:c r="H868" s="34" t="str"/>
      <x:c r="I868" s="34" t="str"/>
      <x:c r="J868" s="34" t="str"/>
      <x:c r="K868" s="34" t="str"/>
      <x:c r="L868" s="34" t="str"/>
      <x:c r="M868" s="34" t="str"/>
      <x:c r="N868" s="34" t="str"/>
      <x:c r="O868" s="34" t="str"/>
      <x:c r="P868" s="34" t="str"/>
      <x:c r="Q868" s="34" t="str"/>
    </x:row>
    <x:row r="869">
      <x:c r="A869" s="34" t="str">
        <x:v>M5-HIT-0864</x:v>
      </x:c>
      <x:c r="B869" s="34" t="str"/>
      <x:c r="C869" s="34" t="str"/>
      <x:c r="D869" s="34" t="str"/>
      <x:c r="E869" s="34" t="str"/>
      <x:c r="F869" s="34" t="str"/>
      <x:c r="G869" s="34" t="str"/>
      <x:c r="H869" s="34" t="str"/>
      <x:c r="I869" s="34" t="str"/>
      <x:c r="J869" s="34" t="str"/>
      <x:c r="K869" s="34" t="str"/>
      <x:c r="L869" s="34" t="str"/>
      <x:c r="M869" s="34" t="str"/>
      <x:c r="N869" s="34" t="str"/>
      <x:c r="O869" s="34" t="str"/>
      <x:c r="P869" s="34" t="str"/>
      <x:c r="Q869" s="34" t="str"/>
    </x:row>
    <x:row r="870">
      <x:c r="A870" s="34" t="str">
        <x:v>M5-HIT-0865</x:v>
      </x:c>
      <x:c r="B870" s="34" t="str"/>
      <x:c r="C870" s="34" t="str"/>
      <x:c r="D870" s="34" t="str"/>
      <x:c r="E870" s="34" t="str"/>
      <x:c r="F870" s="34" t="str"/>
      <x:c r="G870" s="34" t="str"/>
      <x:c r="H870" s="34" t="str"/>
      <x:c r="I870" s="34" t="str"/>
      <x:c r="J870" s="34" t="str"/>
      <x:c r="K870" s="34" t="str"/>
      <x:c r="L870" s="34" t="str"/>
      <x:c r="M870" s="34" t="str"/>
      <x:c r="N870" s="34" t="str"/>
      <x:c r="O870" s="34" t="str"/>
      <x:c r="P870" s="34" t="str"/>
      <x:c r="Q870" s="34" t="str"/>
    </x:row>
    <x:row r="871">
      <x:c r="A871" s="34" t="str">
        <x:v>M5-HIT-0866</x:v>
      </x:c>
      <x:c r="B871" s="34" t="str"/>
      <x:c r="C871" s="34" t="str"/>
      <x:c r="D871" s="34" t="str"/>
      <x:c r="E871" s="34" t="str"/>
      <x:c r="F871" s="34" t="str"/>
      <x:c r="G871" s="34" t="str"/>
      <x:c r="H871" s="34" t="str"/>
      <x:c r="I871" s="34" t="str"/>
      <x:c r="J871" s="34" t="str"/>
      <x:c r="K871" s="34" t="str"/>
      <x:c r="L871" s="34" t="str"/>
      <x:c r="M871" s="34" t="str"/>
      <x:c r="N871" s="34" t="str"/>
      <x:c r="O871" s="34" t="str"/>
      <x:c r="P871" s="34" t="str"/>
      <x:c r="Q871" s="34" t="str"/>
    </x:row>
    <x:row r="872">
      <x:c r="A872" s="34" t="str">
        <x:v>M5-HIT-0867</x:v>
      </x:c>
      <x:c r="B872" s="34" t="str"/>
      <x:c r="C872" s="34" t="str"/>
      <x:c r="D872" s="34" t="str"/>
      <x:c r="E872" s="34" t="str"/>
      <x:c r="F872" s="34" t="str"/>
      <x:c r="G872" s="34" t="str"/>
      <x:c r="H872" s="34" t="str"/>
      <x:c r="I872" s="34" t="str"/>
      <x:c r="J872" s="34" t="str"/>
      <x:c r="K872" s="34" t="str"/>
      <x:c r="L872" s="34" t="str"/>
      <x:c r="M872" s="34" t="str"/>
      <x:c r="N872" s="34" t="str"/>
      <x:c r="O872" s="34" t="str"/>
      <x:c r="P872" s="34" t="str"/>
      <x:c r="Q872" s="34" t="str"/>
    </x:row>
    <x:row r="873">
      <x:c r="A873" s="34" t="str">
        <x:v>M5-HIT-0868</x:v>
      </x:c>
      <x:c r="B873" s="34" t="str"/>
      <x:c r="C873" s="34" t="str"/>
      <x:c r="D873" s="34" t="str"/>
      <x:c r="E873" s="34" t="str"/>
      <x:c r="F873" s="34" t="str"/>
      <x:c r="G873" s="34" t="str"/>
      <x:c r="H873" s="34" t="str"/>
      <x:c r="I873" s="34" t="str"/>
      <x:c r="J873" s="34" t="str"/>
      <x:c r="K873" s="34" t="str"/>
      <x:c r="L873" s="34" t="str"/>
      <x:c r="M873" s="34" t="str"/>
      <x:c r="N873" s="34" t="str"/>
      <x:c r="O873" s="34" t="str"/>
      <x:c r="P873" s="34" t="str"/>
      <x:c r="Q873" s="34" t="str"/>
    </x:row>
    <x:row r="874">
      <x:c r="A874" s="34" t="str">
        <x:v>M5-HIT-0869</x:v>
      </x:c>
      <x:c r="B874" s="34" t="str"/>
      <x:c r="C874" s="34" t="str"/>
      <x:c r="D874" s="34" t="str"/>
      <x:c r="E874" s="34" t="str"/>
      <x:c r="F874" s="34" t="str"/>
      <x:c r="G874" s="34" t="str"/>
      <x:c r="H874" s="34" t="str"/>
      <x:c r="I874" s="34" t="str"/>
      <x:c r="J874" s="34" t="str"/>
      <x:c r="K874" s="34" t="str"/>
      <x:c r="L874" s="34" t="str"/>
      <x:c r="M874" s="34" t="str"/>
      <x:c r="N874" s="34" t="str"/>
      <x:c r="O874" s="34" t="str"/>
      <x:c r="P874" s="34" t="str"/>
      <x:c r="Q874" s="34" t="str"/>
    </x:row>
    <x:row r="875">
      <x:c r="A875" s="34" t="str">
        <x:v>M5-HIT-0870</x:v>
      </x:c>
      <x:c r="B875" s="34" t="str"/>
      <x:c r="C875" s="34" t="str"/>
      <x:c r="D875" s="34" t="str"/>
      <x:c r="E875" s="34" t="str"/>
      <x:c r="F875" s="34" t="str"/>
      <x:c r="G875" s="34" t="str"/>
      <x:c r="H875" s="34" t="str"/>
      <x:c r="I875" s="34" t="str"/>
      <x:c r="J875" s="34" t="str"/>
      <x:c r="K875" s="34" t="str"/>
      <x:c r="L875" s="34" t="str"/>
      <x:c r="M875" s="34" t="str"/>
      <x:c r="N875" s="34" t="str"/>
      <x:c r="O875" s="34" t="str"/>
      <x:c r="P875" s="34" t="str"/>
      <x:c r="Q875" s="34" t="str"/>
    </x:row>
    <x:row r="876">
      <x:c r="A876" s="34" t="str">
        <x:v>M5-HIT-0871</x:v>
      </x:c>
      <x:c r="B876" s="34" t="str"/>
      <x:c r="C876" s="34" t="str"/>
      <x:c r="D876" s="34" t="str"/>
      <x:c r="E876" s="34" t="str"/>
      <x:c r="F876" s="34" t="str"/>
      <x:c r="G876" s="34" t="str"/>
      <x:c r="H876" s="34" t="str"/>
      <x:c r="I876" s="34" t="str"/>
      <x:c r="J876" s="34" t="str"/>
      <x:c r="K876" s="34" t="str"/>
      <x:c r="L876" s="34" t="str"/>
      <x:c r="M876" s="34" t="str"/>
      <x:c r="N876" s="34" t="str"/>
      <x:c r="O876" s="34" t="str"/>
      <x:c r="P876" s="34" t="str"/>
      <x:c r="Q876" s="34" t="str"/>
    </x:row>
    <x:row r="877">
      <x:c r="A877" s="34" t="str">
        <x:v>M5-HIT-0872</x:v>
      </x:c>
      <x:c r="B877" s="34" t="str"/>
      <x:c r="C877" s="34" t="str"/>
      <x:c r="D877" s="34" t="str"/>
      <x:c r="E877" s="34" t="str"/>
      <x:c r="F877" s="34" t="str"/>
      <x:c r="G877" s="34" t="str"/>
      <x:c r="H877" s="34" t="str"/>
      <x:c r="I877" s="34" t="str"/>
      <x:c r="J877" s="34" t="str"/>
      <x:c r="K877" s="34" t="str"/>
      <x:c r="L877" s="34" t="str"/>
      <x:c r="M877" s="34" t="str"/>
      <x:c r="N877" s="34" t="str"/>
      <x:c r="O877" s="34" t="str"/>
      <x:c r="P877" s="34" t="str"/>
      <x:c r="Q877" s="34" t="str"/>
    </x:row>
    <x:row r="878">
      <x:c r="A878" s="34" t="str">
        <x:v>M5-HIT-0873</x:v>
      </x:c>
      <x:c r="B878" s="34" t="str"/>
      <x:c r="C878" s="34" t="str"/>
      <x:c r="D878" s="34" t="str"/>
      <x:c r="E878" s="34" t="str"/>
      <x:c r="F878" s="34" t="str"/>
      <x:c r="G878" s="34" t="str"/>
      <x:c r="H878" s="34" t="str"/>
      <x:c r="I878" s="34" t="str"/>
      <x:c r="J878" s="34" t="str"/>
      <x:c r="K878" s="34" t="str"/>
      <x:c r="L878" s="34" t="str"/>
      <x:c r="M878" s="34" t="str"/>
      <x:c r="N878" s="34" t="str"/>
      <x:c r="O878" s="34" t="str"/>
      <x:c r="P878" s="34" t="str"/>
      <x:c r="Q878" s="34" t="str"/>
    </x:row>
    <x:row r="879">
      <x:c r="A879" s="34" t="str">
        <x:v>M5-HIT-0874</x:v>
      </x:c>
      <x:c r="B879" s="34" t="str"/>
      <x:c r="C879" s="34" t="str"/>
      <x:c r="D879" s="34" t="str"/>
      <x:c r="E879" s="34" t="str"/>
      <x:c r="F879" s="34" t="str"/>
      <x:c r="G879" s="34" t="str"/>
      <x:c r="H879" s="34" t="str"/>
      <x:c r="I879" s="34" t="str"/>
      <x:c r="J879" s="34" t="str"/>
      <x:c r="K879" s="34" t="str"/>
      <x:c r="L879" s="34" t="str"/>
      <x:c r="M879" s="34" t="str"/>
      <x:c r="N879" s="34" t="str"/>
      <x:c r="O879" s="34" t="str"/>
      <x:c r="P879" s="34" t="str"/>
      <x:c r="Q879" s="34" t="str"/>
    </x:row>
    <x:row r="880">
      <x:c r="A880" s="34" t="str">
        <x:v>M5-HIT-0875</x:v>
      </x:c>
      <x:c r="B880" s="34" t="str"/>
      <x:c r="C880" s="34" t="str"/>
      <x:c r="D880" s="34" t="str"/>
      <x:c r="E880" s="34" t="str"/>
      <x:c r="F880" s="34" t="str"/>
      <x:c r="G880" s="34" t="str"/>
      <x:c r="H880" s="34" t="str"/>
      <x:c r="I880" s="34" t="str"/>
      <x:c r="J880" s="34" t="str"/>
      <x:c r="K880" s="34" t="str"/>
      <x:c r="L880" s="34" t="str"/>
      <x:c r="M880" s="34" t="str"/>
      <x:c r="N880" s="34" t="str"/>
      <x:c r="O880" s="34" t="str"/>
      <x:c r="P880" s="34" t="str"/>
      <x:c r="Q880" s="34" t="str"/>
    </x:row>
    <x:row r="881">
      <x:c r="A881" s="34" t="str">
        <x:v>M5-HIT-0876</x:v>
      </x:c>
      <x:c r="B881" s="34" t="str"/>
      <x:c r="C881" s="34" t="str"/>
      <x:c r="D881" s="34" t="str"/>
      <x:c r="E881" s="34" t="str"/>
      <x:c r="F881" s="34" t="str"/>
      <x:c r="G881" s="34" t="str"/>
      <x:c r="H881" s="34" t="str"/>
      <x:c r="I881" s="34" t="str"/>
      <x:c r="J881" s="34" t="str"/>
      <x:c r="K881" s="34" t="str"/>
      <x:c r="L881" s="34" t="str"/>
      <x:c r="M881" s="34" t="str"/>
      <x:c r="N881" s="34" t="str"/>
      <x:c r="O881" s="34" t="str"/>
      <x:c r="P881" s="34" t="str"/>
      <x:c r="Q881" s="34" t="str"/>
    </x:row>
    <x:row r="882">
      <x:c r="A882" s="34" t="str">
        <x:v>M5-HIT-0877</x:v>
      </x:c>
      <x:c r="B882" s="34" t="str"/>
      <x:c r="C882" s="34" t="str"/>
      <x:c r="D882" s="34" t="str"/>
      <x:c r="E882" s="34" t="str"/>
      <x:c r="F882" s="34" t="str"/>
      <x:c r="G882" s="34" t="str"/>
      <x:c r="H882" s="34" t="str"/>
      <x:c r="I882" s="34" t="str"/>
      <x:c r="J882" s="34" t="str"/>
      <x:c r="K882" s="34" t="str"/>
      <x:c r="L882" s="34" t="str"/>
      <x:c r="M882" s="34" t="str"/>
      <x:c r="N882" s="34" t="str"/>
      <x:c r="O882" s="34" t="str"/>
      <x:c r="P882" s="34" t="str"/>
      <x:c r="Q882" s="34" t="str"/>
    </x:row>
    <x:row r="883">
      <x:c r="A883" s="34" t="str">
        <x:v>M5-HIT-0878</x:v>
      </x:c>
      <x:c r="B883" s="34" t="str"/>
      <x:c r="C883" s="34" t="str"/>
      <x:c r="D883" s="34" t="str"/>
      <x:c r="E883" s="34" t="str"/>
      <x:c r="F883" s="34" t="str"/>
      <x:c r="G883" s="34" t="str"/>
      <x:c r="H883" s="34" t="str"/>
      <x:c r="I883" s="34" t="str"/>
      <x:c r="J883" s="34" t="str"/>
      <x:c r="K883" s="34" t="str"/>
      <x:c r="L883" s="34" t="str"/>
      <x:c r="M883" s="34" t="str"/>
      <x:c r="N883" s="34" t="str"/>
      <x:c r="O883" s="34" t="str"/>
      <x:c r="P883" s="34" t="str"/>
      <x:c r="Q883" s="34" t="str"/>
    </x:row>
    <x:row r="884">
      <x:c r="A884" s="34" t="str">
        <x:v>M5-HIT-0879</x:v>
      </x:c>
      <x:c r="B884" s="34" t="str"/>
      <x:c r="C884" s="34" t="str"/>
      <x:c r="D884" s="34" t="str"/>
      <x:c r="E884" s="34" t="str"/>
      <x:c r="F884" s="34" t="str"/>
      <x:c r="G884" s="34" t="str"/>
      <x:c r="H884" s="34" t="str"/>
      <x:c r="I884" s="34" t="str"/>
      <x:c r="J884" s="34" t="str"/>
      <x:c r="K884" s="34" t="str"/>
      <x:c r="L884" s="34" t="str"/>
      <x:c r="M884" s="34" t="str"/>
      <x:c r="N884" s="34" t="str"/>
      <x:c r="O884" s="34" t="str"/>
      <x:c r="P884" s="34" t="str"/>
      <x:c r="Q884" s="34" t="str"/>
    </x:row>
    <x:row r="885">
      <x:c r="A885" s="34" t="str">
        <x:v>M5-HIT-0880</x:v>
      </x:c>
      <x:c r="B885" s="34" t="str"/>
      <x:c r="C885" s="34" t="str"/>
      <x:c r="D885" s="34" t="str"/>
      <x:c r="E885" s="34" t="str"/>
      <x:c r="F885" s="34" t="str"/>
      <x:c r="G885" s="34" t="str"/>
      <x:c r="H885" s="34" t="str"/>
      <x:c r="I885" s="34" t="str"/>
      <x:c r="J885" s="34" t="str"/>
      <x:c r="K885" s="34" t="str"/>
      <x:c r="L885" s="34" t="str"/>
      <x:c r="M885" s="34" t="str"/>
      <x:c r="N885" s="34" t="str"/>
      <x:c r="O885" s="34" t="str"/>
      <x:c r="P885" s="34" t="str"/>
      <x:c r="Q885" s="34" t="str"/>
    </x:row>
    <x:row r="886">
      <x:c r="A886" s="34" t="str">
        <x:v>M5-HIT-0881</x:v>
      </x:c>
      <x:c r="B886" s="34" t="str"/>
      <x:c r="C886" s="34" t="str"/>
      <x:c r="D886" s="34" t="str"/>
      <x:c r="E886" s="34" t="str"/>
      <x:c r="F886" s="34" t="str"/>
      <x:c r="G886" s="34" t="str"/>
      <x:c r="H886" s="34" t="str"/>
      <x:c r="I886" s="34" t="str"/>
      <x:c r="J886" s="34" t="str"/>
      <x:c r="K886" s="34" t="str"/>
      <x:c r="L886" s="34" t="str"/>
      <x:c r="M886" s="34" t="str"/>
      <x:c r="N886" s="34" t="str"/>
      <x:c r="O886" s="34" t="str"/>
      <x:c r="P886" s="34" t="str"/>
      <x:c r="Q886" s="34" t="str"/>
    </x:row>
    <x:row r="887">
      <x:c r="A887" s="34" t="str">
        <x:v>M5-HIT-0882</x:v>
      </x:c>
      <x:c r="B887" s="34" t="str"/>
      <x:c r="C887" s="34" t="str"/>
      <x:c r="D887" s="34" t="str"/>
      <x:c r="E887" s="34" t="str"/>
      <x:c r="F887" s="34" t="str"/>
      <x:c r="G887" s="34" t="str"/>
      <x:c r="H887" s="34" t="str"/>
      <x:c r="I887" s="34" t="str"/>
      <x:c r="J887" s="34" t="str"/>
      <x:c r="K887" s="34" t="str"/>
      <x:c r="L887" s="34" t="str"/>
      <x:c r="M887" s="34" t="str"/>
      <x:c r="N887" s="34" t="str"/>
      <x:c r="O887" s="34" t="str"/>
      <x:c r="P887" s="34" t="str"/>
      <x:c r="Q887" s="34" t="str"/>
    </x:row>
    <x:row r="888">
      <x:c r="A888" s="34" t="str">
        <x:v>M5-HIT-0883</x:v>
      </x:c>
      <x:c r="B888" s="34" t="str"/>
      <x:c r="C888" s="34" t="str"/>
      <x:c r="D888" s="34" t="str"/>
      <x:c r="E888" s="34" t="str"/>
      <x:c r="F888" s="34" t="str"/>
      <x:c r="G888" s="34" t="str"/>
      <x:c r="H888" s="34" t="str"/>
      <x:c r="I888" s="34" t="str"/>
      <x:c r="J888" s="34" t="str"/>
      <x:c r="K888" s="34" t="str"/>
      <x:c r="L888" s="34" t="str"/>
      <x:c r="M888" s="34" t="str"/>
      <x:c r="N888" s="34" t="str"/>
      <x:c r="O888" s="34" t="str"/>
      <x:c r="P888" s="34" t="str"/>
      <x:c r="Q888" s="34" t="str"/>
    </x:row>
    <x:row r="889">
      <x:c r="A889" s="34" t="str">
        <x:v>M5-HIT-0884</x:v>
      </x:c>
      <x:c r="B889" s="34" t="str"/>
      <x:c r="C889" s="34" t="str"/>
      <x:c r="D889" s="34" t="str"/>
      <x:c r="E889" s="34" t="str"/>
      <x:c r="F889" s="34" t="str"/>
      <x:c r="G889" s="34" t="str"/>
      <x:c r="H889" s="34" t="str"/>
      <x:c r="I889" s="34" t="str"/>
      <x:c r="J889" s="34" t="str"/>
      <x:c r="K889" s="34" t="str"/>
      <x:c r="L889" s="34" t="str"/>
      <x:c r="M889" s="34" t="str"/>
      <x:c r="N889" s="34" t="str"/>
      <x:c r="O889" s="34" t="str"/>
      <x:c r="P889" s="34" t="str"/>
      <x:c r="Q889" s="34" t="str"/>
    </x:row>
    <x:row r="890">
      <x:c r="A890" s="34" t="str">
        <x:v>M5-HIT-0885</x:v>
      </x:c>
      <x:c r="B890" s="34" t="str"/>
      <x:c r="C890" s="34" t="str"/>
      <x:c r="D890" s="34" t="str"/>
      <x:c r="E890" s="34" t="str"/>
      <x:c r="F890" s="34" t="str"/>
      <x:c r="G890" s="34" t="str"/>
      <x:c r="H890" s="34" t="str"/>
      <x:c r="I890" s="34" t="str"/>
      <x:c r="J890" s="34" t="str"/>
      <x:c r="K890" s="34" t="str"/>
      <x:c r="L890" s="34" t="str"/>
      <x:c r="M890" s="34" t="str"/>
      <x:c r="N890" s="34" t="str"/>
      <x:c r="O890" s="34" t="str"/>
      <x:c r="P890" s="34" t="str"/>
      <x:c r="Q890" s="34" t="str"/>
    </x:row>
    <x:row r="891">
      <x:c r="A891" s="34" t="str">
        <x:v>M5-HIT-0886</x:v>
      </x:c>
      <x:c r="B891" s="34" t="str"/>
      <x:c r="C891" s="34" t="str"/>
      <x:c r="D891" s="34" t="str"/>
      <x:c r="E891" s="34" t="str"/>
      <x:c r="F891" s="34" t="str"/>
      <x:c r="G891" s="34" t="str"/>
      <x:c r="H891" s="34" t="str"/>
      <x:c r="I891" s="34" t="str"/>
      <x:c r="J891" s="34" t="str"/>
      <x:c r="K891" s="34" t="str"/>
      <x:c r="L891" s="34" t="str"/>
      <x:c r="M891" s="34" t="str"/>
      <x:c r="N891" s="34" t="str"/>
      <x:c r="O891" s="34" t="str"/>
      <x:c r="P891" s="34" t="str"/>
      <x:c r="Q891" s="34" t="str"/>
    </x:row>
    <x:row r="892">
      <x:c r="A892" s="34" t="str">
        <x:v>M5-HIT-0887</x:v>
      </x:c>
      <x:c r="B892" s="34" t="str"/>
      <x:c r="C892" s="34" t="str"/>
      <x:c r="D892" s="34" t="str"/>
      <x:c r="E892" s="34" t="str"/>
      <x:c r="F892" s="34" t="str"/>
      <x:c r="G892" s="34" t="str"/>
      <x:c r="H892" s="34" t="str"/>
      <x:c r="I892" s="34" t="str"/>
      <x:c r="J892" s="34" t="str"/>
      <x:c r="K892" s="34" t="str"/>
      <x:c r="L892" s="34" t="str"/>
      <x:c r="M892" s="34" t="str"/>
      <x:c r="N892" s="34" t="str"/>
      <x:c r="O892" s="34" t="str"/>
      <x:c r="P892" s="34" t="str"/>
      <x:c r="Q892" s="34" t="str"/>
    </x:row>
    <x:row r="893">
      <x:c r="A893" s="34" t="str">
        <x:v>M5-HIT-0888</x:v>
      </x:c>
      <x:c r="B893" s="34" t="str"/>
      <x:c r="C893" s="34" t="str"/>
      <x:c r="D893" s="34" t="str"/>
      <x:c r="E893" s="34" t="str"/>
      <x:c r="F893" s="34" t="str"/>
      <x:c r="G893" s="34" t="str"/>
      <x:c r="H893" s="34" t="str"/>
      <x:c r="I893" s="34" t="str"/>
      <x:c r="J893" s="34" t="str"/>
      <x:c r="K893" s="34" t="str"/>
      <x:c r="L893" s="34" t="str"/>
      <x:c r="M893" s="34" t="str"/>
      <x:c r="N893" s="34" t="str"/>
      <x:c r="O893" s="34" t="str"/>
      <x:c r="P893" s="34" t="str"/>
      <x:c r="Q893" s="34" t="str"/>
    </x:row>
    <x:row r="894">
      <x:c r="A894" s="34" t="str">
        <x:v>M5-HIT-0889</x:v>
      </x:c>
      <x:c r="B894" s="34" t="str"/>
      <x:c r="C894" s="34" t="str"/>
      <x:c r="D894" s="34" t="str"/>
      <x:c r="E894" s="34" t="str"/>
      <x:c r="F894" s="34" t="str"/>
      <x:c r="G894" s="34" t="str"/>
      <x:c r="H894" s="34" t="str"/>
      <x:c r="I894" s="34" t="str"/>
      <x:c r="J894" s="34" t="str"/>
      <x:c r="K894" s="34" t="str"/>
      <x:c r="L894" s="34" t="str"/>
      <x:c r="M894" s="34" t="str"/>
      <x:c r="N894" s="34" t="str"/>
      <x:c r="O894" s="34" t="str"/>
      <x:c r="P894" s="34" t="str"/>
      <x:c r="Q894" s="34" t="str"/>
    </x:row>
    <x:row r="895">
      <x:c r="A895" s="34" t="str">
        <x:v>M5-HIT-0890</x:v>
      </x:c>
      <x:c r="B895" s="34" t="str"/>
      <x:c r="C895" s="34" t="str"/>
      <x:c r="D895" s="34" t="str"/>
      <x:c r="E895" s="34" t="str"/>
      <x:c r="F895" s="34" t="str"/>
      <x:c r="G895" s="34" t="str"/>
      <x:c r="H895" s="34" t="str"/>
      <x:c r="I895" s="34" t="str"/>
      <x:c r="J895" s="34" t="str"/>
      <x:c r="K895" s="34" t="str"/>
      <x:c r="L895" s="34" t="str"/>
      <x:c r="M895" s="34" t="str"/>
      <x:c r="N895" s="34" t="str"/>
      <x:c r="O895" s="34" t="str"/>
      <x:c r="P895" s="34" t="str"/>
      <x:c r="Q895" s="34" t="str"/>
    </x:row>
    <x:row r="896">
      <x:c r="A896" s="34" t="str">
        <x:v>M5-HIT-0891</x:v>
      </x:c>
      <x:c r="B896" s="34" t="str"/>
      <x:c r="C896" s="34" t="str"/>
      <x:c r="D896" s="34" t="str"/>
      <x:c r="E896" s="34" t="str"/>
      <x:c r="F896" s="34" t="str"/>
      <x:c r="G896" s="34" t="str"/>
      <x:c r="H896" s="34" t="str"/>
      <x:c r="I896" s="34" t="str"/>
      <x:c r="J896" s="34" t="str"/>
      <x:c r="K896" s="34" t="str"/>
      <x:c r="L896" s="34" t="str"/>
      <x:c r="M896" s="34" t="str"/>
      <x:c r="N896" s="34" t="str"/>
      <x:c r="O896" s="34" t="str"/>
      <x:c r="P896" s="34" t="str"/>
      <x:c r="Q896" s="34" t="str"/>
    </x:row>
    <x:row r="897">
      <x:c r="A897" s="34" t="str">
        <x:v>M5-HIT-0892</x:v>
      </x:c>
      <x:c r="B897" s="34" t="str"/>
      <x:c r="C897" s="34" t="str"/>
      <x:c r="D897" s="34" t="str"/>
      <x:c r="E897" s="34" t="str"/>
      <x:c r="F897" s="34" t="str"/>
      <x:c r="G897" s="34" t="str"/>
      <x:c r="H897" s="34" t="str"/>
      <x:c r="I897" s="34" t="str"/>
      <x:c r="J897" s="34" t="str"/>
      <x:c r="K897" s="34" t="str"/>
      <x:c r="L897" s="34" t="str"/>
      <x:c r="M897" s="34" t="str"/>
      <x:c r="N897" s="34" t="str"/>
      <x:c r="O897" s="34" t="str"/>
      <x:c r="P897" s="34" t="str"/>
      <x:c r="Q897" s="34" t="str"/>
    </x:row>
    <x:row r="898">
      <x:c r="A898" s="34" t="str">
        <x:v>M5-HIT-0893</x:v>
      </x:c>
      <x:c r="B898" s="34" t="str"/>
      <x:c r="C898" s="34" t="str"/>
      <x:c r="D898" s="34" t="str"/>
      <x:c r="E898" s="34" t="str"/>
      <x:c r="F898" s="34" t="str"/>
      <x:c r="G898" s="34" t="str"/>
      <x:c r="H898" s="34" t="str"/>
      <x:c r="I898" s="34" t="str"/>
      <x:c r="J898" s="34" t="str"/>
      <x:c r="K898" s="34" t="str"/>
      <x:c r="L898" s="34" t="str"/>
      <x:c r="M898" s="34" t="str"/>
      <x:c r="N898" s="34" t="str"/>
      <x:c r="O898" s="34" t="str"/>
      <x:c r="P898" s="34" t="str"/>
      <x:c r="Q898" s="34" t="str"/>
    </x:row>
    <x:row r="899">
      <x:c r="A899" s="34" t="str">
        <x:v>M5-HIT-0894</x:v>
      </x:c>
      <x:c r="B899" s="34" t="str"/>
      <x:c r="C899" s="34" t="str"/>
      <x:c r="D899" s="34" t="str"/>
      <x:c r="E899" s="34" t="str"/>
      <x:c r="F899" s="34" t="str"/>
      <x:c r="G899" s="34" t="str"/>
      <x:c r="H899" s="34" t="str"/>
      <x:c r="I899" s="34" t="str"/>
      <x:c r="J899" s="34" t="str"/>
      <x:c r="K899" s="34" t="str"/>
      <x:c r="L899" s="34" t="str"/>
      <x:c r="M899" s="34" t="str"/>
      <x:c r="N899" s="34" t="str"/>
      <x:c r="O899" s="34" t="str"/>
      <x:c r="P899" s="34" t="str"/>
      <x:c r="Q899" s="34" t="str"/>
    </x:row>
    <x:row r="900">
      <x:c r="A900" s="34" t="str">
        <x:v>M5-HIT-0895</x:v>
      </x:c>
      <x:c r="B900" s="34" t="str"/>
      <x:c r="C900" s="34" t="str"/>
      <x:c r="D900" s="34" t="str"/>
      <x:c r="E900" s="34" t="str"/>
      <x:c r="F900" s="34" t="str"/>
      <x:c r="G900" s="34" t="str"/>
      <x:c r="H900" s="34" t="str"/>
      <x:c r="I900" s="34" t="str"/>
      <x:c r="J900" s="34" t="str"/>
      <x:c r="K900" s="34" t="str"/>
      <x:c r="L900" s="34" t="str"/>
      <x:c r="M900" s="34" t="str"/>
      <x:c r="N900" s="34" t="str"/>
      <x:c r="O900" s="34" t="str"/>
      <x:c r="P900" s="34" t="str"/>
      <x:c r="Q900" s="34" t="str"/>
    </x:row>
    <x:row r="901">
      <x:c r="A901" s="34" t="str">
        <x:v>M5-HIT-0896</x:v>
      </x:c>
      <x:c r="B901" s="34" t="str"/>
      <x:c r="C901" s="34" t="str"/>
      <x:c r="D901" s="34" t="str"/>
      <x:c r="E901" s="34" t="str"/>
      <x:c r="F901" s="34" t="str"/>
      <x:c r="G901" s="34" t="str"/>
      <x:c r="H901" s="34" t="str"/>
      <x:c r="I901" s="34" t="str"/>
      <x:c r="J901" s="34" t="str"/>
      <x:c r="K901" s="34" t="str"/>
      <x:c r="L901" s="34" t="str"/>
      <x:c r="M901" s="34" t="str"/>
      <x:c r="N901" s="34" t="str"/>
      <x:c r="O901" s="34" t="str"/>
      <x:c r="P901" s="34" t="str"/>
      <x:c r="Q901" s="34" t="str"/>
    </x:row>
    <x:row r="902">
      <x:c r="A902" s="34" t="str">
        <x:v>M5-HIT-0897</x:v>
      </x:c>
      <x:c r="B902" s="34" t="str"/>
      <x:c r="C902" s="34" t="str"/>
      <x:c r="D902" s="34" t="str"/>
      <x:c r="E902" s="34" t="str"/>
      <x:c r="F902" s="34" t="str"/>
      <x:c r="G902" s="34" t="str"/>
      <x:c r="H902" s="34" t="str"/>
      <x:c r="I902" s="34" t="str"/>
      <x:c r="J902" s="34" t="str"/>
      <x:c r="K902" s="34" t="str"/>
      <x:c r="L902" s="34" t="str"/>
      <x:c r="M902" s="34" t="str"/>
      <x:c r="N902" s="34" t="str"/>
      <x:c r="O902" s="34" t="str"/>
      <x:c r="P902" s="34" t="str"/>
      <x:c r="Q902" s="34" t="str"/>
    </x:row>
    <x:row r="903">
      <x:c r="A903" s="34" t="str">
        <x:v>M5-HIT-0898</x:v>
      </x:c>
      <x:c r="B903" s="34" t="str"/>
      <x:c r="C903" s="34" t="str"/>
      <x:c r="D903" s="34" t="str"/>
      <x:c r="E903" s="34" t="str"/>
      <x:c r="F903" s="34" t="str"/>
      <x:c r="G903" s="34" t="str"/>
      <x:c r="H903" s="34" t="str"/>
      <x:c r="I903" s="34" t="str"/>
      <x:c r="J903" s="34" t="str"/>
      <x:c r="K903" s="34" t="str"/>
      <x:c r="L903" s="34" t="str"/>
      <x:c r="M903" s="34" t="str"/>
      <x:c r="N903" s="34" t="str"/>
      <x:c r="O903" s="34" t="str"/>
      <x:c r="P903" s="34" t="str"/>
      <x:c r="Q903" s="34" t="str"/>
    </x:row>
    <x:row r="904">
      <x:c r="A904" s="34" t="str">
        <x:v>M5-HIT-0899</x:v>
      </x:c>
      <x:c r="B904" s="34" t="str"/>
      <x:c r="C904" s="34" t="str"/>
      <x:c r="D904" s="34" t="str"/>
      <x:c r="E904" s="34" t="str"/>
      <x:c r="F904" s="34" t="str"/>
      <x:c r="G904" s="34" t="str"/>
      <x:c r="H904" s="34" t="str"/>
      <x:c r="I904" s="34" t="str"/>
      <x:c r="J904" s="34" t="str"/>
      <x:c r="K904" s="34" t="str"/>
      <x:c r="L904" s="34" t="str"/>
      <x:c r="M904" s="34" t="str"/>
      <x:c r="N904" s="34" t="str"/>
      <x:c r="O904" s="34" t="str"/>
      <x:c r="P904" s="34" t="str"/>
      <x:c r="Q904" s="34" t="str"/>
    </x:row>
    <x:row r="905">
      <x:c r="A905" s="34" t="str">
        <x:v>M5-HIT-0900</x:v>
      </x:c>
      <x:c r="B905" s="34" t="str"/>
      <x:c r="C905" s="34" t="str"/>
      <x:c r="D905" s="34" t="str"/>
      <x:c r="E905" s="34" t="str"/>
      <x:c r="F905" s="34" t="str"/>
      <x:c r="G905" s="34" t="str"/>
      <x:c r="H905" s="34" t="str"/>
      <x:c r="I905" s="34" t="str"/>
      <x:c r="J905" s="34" t="str"/>
      <x:c r="K905" s="34" t="str"/>
      <x:c r="L905" s="34" t="str"/>
      <x:c r="M905" s="34" t="str"/>
      <x:c r="N905" s="34" t="str"/>
      <x:c r="O905" s="34" t="str"/>
      <x:c r="P905" s="34" t="str"/>
      <x:c r="Q905" s="34" t="str"/>
    </x:row>
    <x:row r="906">
      <x:c r="A906" s="34" t="str">
        <x:v>M5-HIT-0901</x:v>
      </x:c>
      <x:c r="B906" s="34" t="str"/>
      <x:c r="C906" s="34" t="str"/>
      <x:c r="D906" s="34" t="str"/>
      <x:c r="E906" s="34" t="str"/>
      <x:c r="F906" s="34" t="str"/>
      <x:c r="G906" s="34" t="str"/>
      <x:c r="H906" s="34" t="str"/>
      <x:c r="I906" s="34" t="str"/>
      <x:c r="J906" s="34" t="str"/>
      <x:c r="K906" s="34" t="str"/>
      <x:c r="L906" s="34" t="str"/>
      <x:c r="M906" s="34" t="str"/>
      <x:c r="N906" s="34" t="str"/>
      <x:c r="O906" s="34" t="str"/>
      <x:c r="P906" s="34" t="str"/>
      <x:c r="Q906" s="34" t="str"/>
    </x:row>
    <x:row r="907">
      <x:c r="A907" s="34" t="str">
        <x:v>M5-HIT-0902</x:v>
      </x:c>
      <x:c r="B907" s="34" t="str"/>
      <x:c r="C907" s="34" t="str"/>
      <x:c r="D907" s="34" t="str"/>
      <x:c r="E907" s="34" t="str"/>
      <x:c r="F907" s="34" t="str"/>
      <x:c r="G907" s="34" t="str"/>
      <x:c r="H907" s="34" t="str"/>
      <x:c r="I907" s="34" t="str"/>
      <x:c r="J907" s="34" t="str"/>
      <x:c r="K907" s="34" t="str"/>
      <x:c r="L907" s="34" t="str"/>
      <x:c r="M907" s="34" t="str"/>
      <x:c r="N907" s="34" t="str"/>
      <x:c r="O907" s="34" t="str"/>
      <x:c r="P907" s="34" t="str"/>
      <x:c r="Q907" s="34" t="str"/>
    </x:row>
    <x:row r="908">
      <x:c r="A908" s="34" t="str">
        <x:v>M5-HIT-0903</x:v>
      </x:c>
      <x:c r="B908" s="34" t="str"/>
      <x:c r="C908" s="34" t="str"/>
      <x:c r="D908" s="34" t="str"/>
      <x:c r="E908" s="34" t="str"/>
      <x:c r="F908" s="34" t="str"/>
      <x:c r="G908" s="34" t="str"/>
      <x:c r="H908" s="34" t="str"/>
      <x:c r="I908" s="34" t="str"/>
      <x:c r="J908" s="34" t="str"/>
      <x:c r="K908" s="34" t="str"/>
      <x:c r="L908" s="34" t="str"/>
      <x:c r="M908" s="34" t="str"/>
      <x:c r="N908" s="34" t="str"/>
      <x:c r="O908" s="34" t="str"/>
      <x:c r="P908" s="34" t="str"/>
      <x:c r="Q908" s="34" t="str"/>
    </x:row>
    <x:row r="909">
      <x:c r="A909" s="34" t="str">
        <x:v>M5-HIT-0904</x:v>
      </x:c>
      <x:c r="B909" s="34" t="str"/>
      <x:c r="C909" s="34" t="str"/>
      <x:c r="D909" s="34" t="str"/>
      <x:c r="E909" s="34" t="str"/>
      <x:c r="F909" s="34" t="str"/>
      <x:c r="G909" s="34" t="str"/>
      <x:c r="H909" s="34" t="str"/>
      <x:c r="I909" s="34" t="str"/>
      <x:c r="J909" s="34" t="str"/>
      <x:c r="K909" s="34" t="str"/>
      <x:c r="L909" s="34" t="str"/>
      <x:c r="M909" s="34" t="str"/>
      <x:c r="N909" s="34" t="str"/>
      <x:c r="O909" s="34" t="str"/>
      <x:c r="P909" s="34" t="str"/>
      <x:c r="Q909" s="34" t="str"/>
    </x:row>
    <x:row r="910">
      <x:c r="A910" s="34" t="str">
        <x:v>M5-HIT-0905</x:v>
      </x:c>
      <x:c r="B910" s="34" t="str"/>
      <x:c r="C910" s="34" t="str"/>
      <x:c r="D910" s="34" t="str"/>
      <x:c r="E910" s="34" t="str"/>
      <x:c r="F910" s="34" t="str"/>
      <x:c r="G910" s="34" t="str"/>
      <x:c r="H910" s="34" t="str"/>
      <x:c r="I910" s="34" t="str"/>
      <x:c r="J910" s="34" t="str"/>
      <x:c r="K910" s="34" t="str"/>
      <x:c r="L910" s="34" t="str"/>
      <x:c r="M910" s="34" t="str"/>
      <x:c r="N910" s="34" t="str"/>
      <x:c r="O910" s="34" t="str"/>
      <x:c r="P910" s="34" t="str"/>
      <x:c r="Q910" s="34" t="str"/>
    </x:row>
    <x:row r="911">
      <x:c r="A911" s="34" t="str">
        <x:v>M5-HIT-0906</x:v>
      </x:c>
      <x:c r="B911" s="34" t="str"/>
      <x:c r="C911" s="34" t="str"/>
      <x:c r="D911" s="34" t="str"/>
      <x:c r="E911" s="34" t="str"/>
      <x:c r="F911" s="34" t="str"/>
      <x:c r="G911" s="34" t="str"/>
      <x:c r="H911" s="34" t="str"/>
      <x:c r="I911" s="34" t="str"/>
      <x:c r="J911" s="34" t="str"/>
      <x:c r="K911" s="34" t="str"/>
      <x:c r="L911" s="34" t="str"/>
      <x:c r="M911" s="34" t="str"/>
      <x:c r="N911" s="34" t="str"/>
      <x:c r="O911" s="34" t="str"/>
      <x:c r="P911" s="34" t="str"/>
      <x:c r="Q911" s="34" t="str"/>
    </x:row>
    <x:row r="912">
      <x:c r="A912" s="34" t="str">
        <x:v>M5-HIT-0907</x:v>
      </x:c>
      <x:c r="B912" s="34" t="str"/>
      <x:c r="C912" s="34" t="str"/>
      <x:c r="D912" s="34" t="str"/>
      <x:c r="E912" s="34" t="str"/>
      <x:c r="F912" s="34" t="str"/>
      <x:c r="G912" s="34" t="str"/>
      <x:c r="H912" s="34" t="str"/>
      <x:c r="I912" s="34" t="str"/>
      <x:c r="J912" s="34" t="str"/>
      <x:c r="K912" s="34" t="str"/>
      <x:c r="L912" s="34" t="str"/>
      <x:c r="M912" s="34" t="str"/>
      <x:c r="N912" s="34" t="str"/>
      <x:c r="O912" s="34" t="str"/>
      <x:c r="P912" s="34" t="str"/>
      <x:c r="Q912" s="34" t="str"/>
    </x:row>
    <x:row r="913">
      <x:c r="A913" s="34" t="str">
        <x:v>M5-HIT-0908</x:v>
      </x:c>
      <x:c r="B913" s="34" t="str"/>
      <x:c r="C913" s="34" t="str"/>
      <x:c r="D913" s="34" t="str"/>
      <x:c r="E913" s="34" t="str"/>
      <x:c r="F913" s="34" t="str"/>
      <x:c r="G913" s="34" t="str"/>
      <x:c r="H913" s="34" t="str"/>
      <x:c r="I913" s="34" t="str"/>
      <x:c r="J913" s="34" t="str"/>
      <x:c r="K913" s="34" t="str"/>
      <x:c r="L913" s="34" t="str"/>
      <x:c r="M913" s="34" t="str"/>
      <x:c r="N913" s="34" t="str"/>
      <x:c r="O913" s="34" t="str"/>
      <x:c r="P913" s="34" t="str"/>
      <x:c r="Q913" s="34" t="str"/>
    </x:row>
    <x:row r="914">
      <x:c r="A914" s="34" t="str">
        <x:v>M5-HIT-0909</x:v>
      </x:c>
      <x:c r="B914" s="34" t="str"/>
      <x:c r="C914" s="34" t="str"/>
      <x:c r="D914" s="34" t="str"/>
      <x:c r="E914" s="34" t="str"/>
      <x:c r="F914" s="34" t="str"/>
      <x:c r="G914" s="34" t="str"/>
      <x:c r="H914" s="34" t="str"/>
      <x:c r="I914" s="34" t="str"/>
      <x:c r="J914" s="34" t="str"/>
      <x:c r="K914" s="34" t="str"/>
      <x:c r="L914" s="34" t="str"/>
      <x:c r="M914" s="34" t="str"/>
      <x:c r="N914" s="34" t="str"/>
      <x:c r="O914" s="34" t="str"/>
      <x:c r="P914" s="34" t="str"/>
      <x:c r="Q914" s="34" t="str"/>
    </x:row>
    <x:row r="915">
      <x:c r="A915" s="34" t="str">
        <x:v>M5-HIT-0910</x:v>
      </x:c>
      <x:c r="B915" s="34" t="str"/>
      <x:c r="C915" s="34" t="str"/>
      <x:c r="D915" s="34" t="str"/>
      <x:c r="E915" s="34" t="str"/>
      <x:c r="F915" s="34" t="str"/>
      <x:c r="G915" s="34" t="str"/>
      <x:c r="H915" s="34" t="str"/>
      <x:c r="I915" s="34" t="str"/>
      <x:c r="J915" s="34" t="str"/>
      <x:c r="K915" s="34" t="str"/>
      <x:c r="L915" s="34" t="str"/>
      <x:c r="M915" s="34" t="str"/>
      <x:c r="N915" s="34" t="str"/>
      <x:c r="O915" s="34" t="str"/>
      <x:c r="P915" s="34" t="str"/>
      <x:c r="Q915" s="34" t="str"/>
    </x:row>
    <x:row r="916">
      <x:c r="A916" s="34" t="str">
        <x:v>M5-HIT-0911</x:v>
      </x:c>
      <x:c r="B916" s="34" t="str"/>
      <x:c r="C916" s="34" t="str"/>
      <x:c r="D916" s="34" t="str"/>
      <x:c r="E916" s="34" t="str"/>
      <x:c r="F916" s="34" t="str"/>
      <x:c r="G916" s="34" t="str"/>
      <x:c r="H916" s="34" t="str"/>
      <x:c r="I916" s="34" t="str"/>
      <x:c r="J916" s="34" t="str"/>
      <x:c r="K916" s="34" t="str"/>
      <x:c r="L916" s="34" t="str"/>
      <x:c r="M916" s="34" t="str"/>
      <x:c r="N916" s="34" t="str"/>
      <x:c r="O916" s="34" t="str"/>
      <x:c r="P916" s="34" t="str"/>
      <x:c r="Q916" s="34" t="str"/>
    </x:row>
    <x:row r="917">
      <x:c r="A917" s="34" t="str">
        <x:v>M5-HIT-0912</x:v>
      </x:c>
      <x:c r="B917" s="34" t="str"/>
      <x:c r="C917" s="34" t="str"/>
      <x:c r="D917" s="34" t="str"/>
      <x:c r="E917" s="34" t="str"/>
      <x:c r="F917" s="34" t="str"/>
      <x:c r="G917" s="34" t="str"/>
      <x:c r="H917" s="34" t="str"/>
      <x:c r="I917" s="34" t="str"/>
      <x:c r="J917" s="34" t="str"/>
      <x:c r="K917" s="34" t="str"/>
      <x:c r="L917" s="34" t="str"/>
      <x:c r="M917" s="34" t="str"/>
      <x:c r="N917" s="34" t="str"/>
      <x:c r="O917" s="34" t="str"/>
      <x:c r="P917" s="34" t="str"/>
      <x:c r="Q917" s="34" t="str"/>
    </x:row>
    <x:row r="918">
      <x:c r="A918" s="34" t="str">
        <x:v>M5-HIT-0913</x:v>
      </x:c>
      <x:c r="B918" s="34" t="str"/>
      <x:c r="C918" s="34" t="str"/>
      <x:c r="D918" s="34" t="str"/>
      <x:c r="E918" s="34" t="str"/>
      <x:c r="F918" s="34" t="str"/>
      <x:c r="G918" s="34" t="str"/>
      <x:c r="H918" s="34" t="str"/>
      <x:c r="I918" s="34" t="str"/>
      <x:c r="J918" s="34" t="str"/>
      <x:c r="K918" s="34" t="str"/>
      <x:c r="L918" s="34" t="str"/>
      <x:c r="M918" s="34" t="str"/>
      <x:c r="N918" s="34" t="str"/>
      <x:c r="O918" s="34" t="str"/>
      <x:c r="P918" s="34" t="str"/>
      <x:c r="Q918" s="34" t="str"/>
    </x:row>
    <x:row r="919">
      <x:c r="A919" s="34" t="str">
        <x:v>M5-HIT-0914</x:v>
      </x:c>
      <x:c r="B919" s="34" t="str"/>
      <x:c r="C919" s="34" t="str"/>
      <x:c r="D919" s="34" t="str"/>
      <x:c r="E919" s="34" t="str"/>
      <x:c r="F919" s="34" t="str"/>
      <x:c r="G919" s="34" t="str"/>
      <x:c r="H919" s="34" t="str"/>
      <x:c r="I919" s="34" t="str"/>
      <x:c r="J919" s="34" t="str"/>
      <x:c r="K919" s="34" t="str"/>
      <x:c r="L919" s="34" t="str"/>
      <x:c r="M919" s="34" t="str"/>
      <x:c r="N919" s="34" t="str"/>
      <x:c r="O919" s="34" t="str"/>
      <x:c r="P919" s="34" t="str"/>
      <x:c r="Q919" s="34" t="str"/>
    </x:row>
    <x:row r="920">
      <x:c r="A920" s="34" t="str">
        <x:v>M5-HIT-0915</x:v>
      </x:c>
      <x:c r="B920" s="34" t="str"/>
      <x:c r="C920" s="34" t="str"/>
      <x:c r="D920" s="34" t="str"/>
      <x:c r="E920" s="34" t="str"/>
      <x:c r="F920" s="34" t="str"/>
      <x:c r="G920" s="34" t="str"/>
      <x:c r="H920" s="34" t="str"/>
      <x:c r="I920" s="34" t="str"/>
      <x:c r="J920" s="34" t="str"/>
      <x:c r="K920" s="34" t="str"/>
      <x:c r="L920" s="34" t="str"/>
      <x:c r="M920" s="34" t="str"/>
      <x:c r="N920" s="34" t="str"/>
      <x:c r="O920" s="34" t="str"/>
      <x:c r="P920" s="34" t="str"/>
      <x:c r="Q920" s="34" t="str"/>
    </x:row>
    <x:row r="921">
      <x:c r="A921" s="34" t="str">
        <x:v>M5-HIT-0916</x:v>
      </x:c>
      <x:c r="B921" s="34" t="str"/>
      <x:c r="C921" s="34" t="str"/>
      <x:c r="D921" s="34" t="str"/>
      <x:c r="E921" s="34" t="str"/>
      <x:c r="F921" s="34" t="str"/>
      <x:c r="G921" s="34" t="str"/>
      <x:c r="H921" s="34" t="str"/>
      <x:c r="I921" s="34" t="str"/>
      <x:c r="J921" s="34" t="str"/>
      <x:c r="K921" s="34" t="str"/>
      <x:c r="L921" s="34" t="str"/>
      <x:c r="M921" s="34" t="str"/>
      <x:c r="N921" s="34" t="str"/>
      <x:c r="O921" s="34" t="str"/>
      <x:c r="P921" s="34" t="str"/>
      <x:c r="Q921" s="34" t="str"/>
    </x:row>
    <x:row r="922">
      <x:c r="A922" s="34" t="str">
        <x:v>M5-HIT-0917</x:v>
      </x:c>
      <x:c r="B922" s="34" t="str"/>
      <x:c r="C922" s="34" t="str"/>
      <x:c r="D922" s="34" t="str"/>
      <x:c r="E922" s="34" t="str"/>
      <x:c r="F922" s="34" t="str"/>
      <x:c r="G922" s="34" t="str"/>
      <x:c r="H922" s="34" t="str"/>
      <x:c r="I922" s="34" t="str"/>
      <x:c r="J922" s="34" t="str"/>
      <x:c r="K922" s="34" t="str"/>
      <x:c r="L922" s="34" t="str"/>
      <x:c r="M922" s="34" t="str"/>
      <x:c r="N922" s="34" t="str"/>
      <x:c r="O922" s="34" t="str"/>
      <x:c r="P922" s="34" t="str"/>
      <x:c r="Q922" s="34" t="str"/>
    </x:row>
    <x:row r="923">
      <x:c r="A923" s="34" t="str">
        <x:v>M5-HIT-0918</x:v>
      </x:c>
      <x:c r="B923" s="34" t="str"/>
      <x:c r="C923" s="34" t="str"/>
      <x:c r="D923" s="34" t="str"/>
      <x:c r="E923" s="34" t="str"/>
      <x:c r="F923" s="34" t="str"/>
      <x:c r="G923" s="34" t="str"/>
      <x:c r="H923" s="34" t="str"/>
      <x:c r="I923" s="34" t="str"/>
      <x:c r="J923" s="34" t="str"/>
      <x:c r="K923" s="34" t="str"/>
      <x:c r="L923" s="34" t="str"/>
      <x:c r="M923" s="34" t="str"/>
      <x:c r="N923" s="34" t="str"/>
      <x:c r="O923" s="34" t="str"/>
      <x:c r="P923" s="34" t="str"/>
      <x:c r="Q923" s="34" t="str"/>
    </x:row>
    <x:row r="924">
      <x:c r="A924" s="34" t="str">
        <x:v>M5-HIT-0919</x:v>
      </x:c>
      <x:c r="B924" s="34" t="str"/>
      <x:c r="C924" s="34" t="str"/>
      <x:c r="D924" s="34" t="str"/>
      <x:c r="E924" s="34" t="str"/>
      <x:c r="F924" s="34" t="str"/>
      <x:c r="G924" s="34" t="str"/>
      <x:c r="H924" s="34" t="str"/>
      <x:c r="I924" s="34" t="str"/>
      <x:c r="J924" s="34" t="str"/>
      <x:c r="K924" s="34" t="str"/>
      <x:c r="L924" s="34" t="str"/>
      <x:c r="M924" s="34" t="str"/>
      <x:c r="N924" s="34" t="str"/>
      <x:c r="O924" s="34" t="str"/>
      <x:c r="P924" s="34" t="str"/>
      <x:c r="Q924" s="34" t="str"/>
    </x:row>
    <x:row r="925">
      <x:c r="A925" s="34" t="str">
        <x:v>M5-HIT-0920</x:v>
      </x:c>
      <x:c r="B925" s="34" t="str"/>
      <x:c r="C925" s="34" t="str"/>
      <x:c r="D925" s="34" t="str"/>
      <x:c r="E925" s="34" t="str"/>
      <x:c r="F925" s="34" t="str"/>
      <x:c r="G925" s="34" t="str"/>
      <x:c r="H925" s="34" t="str"/>
      <x:c r="I925" s="34" t="str"/>
      <x:c r="J925" s="34" t="str"/>
      <x:c r="K925" s="34" t="str"/>
      <x:c r="L925" s="34" t="str"/>
      <x:c r="M925" s="34" t="str"/>
      <x:c r="N925" s="34" t="str"/>
      <x:c r="O925" s="34" t="str"/>
      <x:c r="P925" s="34" t="str"/>
      <x:c r="Q925" s="34" t="str"/>
    </x:row>
    <x:row r="926">
      <x:c r="A926" s="34" t="str">
        <x:v>M5-HIT-0921</x:v>
      </x:c>
      <x:c r="B926" s="34" t="str"/>
      <x:c r="C926" s="34" t="str"/>
      <x:c r="D926" s="34" t="str"/>
      <x:c r="E926" s="34" t="str"/>
      <x:c r="F926" s="34" t="str"/>
      <x:c r="G926" s="34" t="str"/>
      <x:c r="H926" s="34" t="str"/>
      <x:c r="I926" s="34" t="str"/>
      <x:c r="J926" s="34" t="str"/>
      <x:c r="K926" s="34" t="str"/>
      <x:c r="L926" s="34" t="str"/>
      <x:c r="M926" s="34" t="str"/>
      <x:c r="N926" s="34" t="str"/>
      <x:c r="O926" s="34" t="str"/>
      <x:c r="P926" s="34" t="str"/>
      <x:c r="Q926" s="34" t="str"/>
    </x:row>
    <x:row r="927">
      <x:c r="A927" s="34" t="str">
        <x:v>M5-HIT-0922</x:v>
      </x:c>
      <x:c r="B927" s="34" t="str"/>
      <x:c r="C927" s="34" t="str"/>
      <x:c r="D927" s="34" t="str"/>
      <x:c r="E927" s="34" t="str"/>
      <x:c r="F927" s="34" t="str"/>
      <x:c r="G927" s="34" t="str"/>
      <x:c r="H927" s="34" t="str"/>
      <x:c r="I927" s="34" t="str"/>
      <x:c r="J927" s="34" t="str"/>
      <x:c r="K927" s="34" t="str"/>
      <x:c r="L927" s="34" t="str"/>
      <x:c r="M927" s="34" t="str"/>
      <x:c r="N927" s="34" t="str"/>
      <x:c r="O927" s="34" t="str"/>
      <x:c r="P927" s="34" t="str"/>
      <x:c r="Q927" s="34" t="str"/>
    </x:row>
    <x:row r="928">
      <x:c r="A928" s="34" t="str">
        <x:v>M5-HIT-0923</x:v>
      </x:c>
      <x:c r="B928" s="34" t="str"/>
      <x:c r="C928" s="34" t="str"/>
      <x:c r="D928" s="34" t="str"/>
      <x:c r="E928" s="34" t="str"/>
      <x:c r="F928" s="34" t="str"/>
      <x:c r="G928" s="34" t="str"/>
      <x:c r="H928" s="34" t="str"/>
      <x:c r="I928" s="34" t="str"/>
      <x:c r="J928" s="34" t="str"/>
      <x:c r="K928" s="34" t="str"/>
      <x:c r="L928" s="34" t="str"/>
      <x:c r="M928" s="34" t="str"/>
      <x:c r="N928" s="34" t="str"/>
      <x:c r="O928" s="34" t="str"/>
      <x:c r="P928" s="34" t="str"/>
      <x:c r="Q928" s="34" t="str"/>
    </x:row>
    <x:row r="929">
      <x:c r="A929" s="34" t="str">
        <x:v>M5-HIT-0924</x:v>
      </x:c>
      <x:c r="B929" s="34" t="str"/>
      <x:c r="C929" s="34" t="str"/>
      <x:c r="D929" s="34" t="str"/>
      <x:c r="E929" s="34" t="str"/>
      <x:c r="F929" s="34" t="str"/>
      <x:c r="G929" s="34" t="str"/>
      <x:c r="H929" s="34" t="str"/>
      <x:c r="I929" s="34" t="str"/>
      <x:c r="J929" s="34" t="str"/>
      <x:c r="K929" s="34" t="str"/>
      <x:c r="L929" s="34" t="str"/>
      <x:c r="M929" s="34" t="str"/>
      <x:c r="N929" s="34" t="str"/>
      <x:c r="O929" s="34" t="str"/>
      <x:c r="P929" s="34" t="str"/>
      <x:c r="Q929" s="34" t="str"/>
    </x:row>
    <x:row r="930">
      <x:c r="A930" s="34" t="str">
        <x:v>M5-HIT-0925</x:v>
      </x:c>
      <x:c r="B930" s="34" t="str"/>
      <x:c r="C930" s="34" t="str"/>
      <x:c r="D930" s="34" t="str"/>
      <x:c r="E930" s="34" t="str"/>
      <x:c r="F930" s="34" t="str"/>
      <x:c r="G930" s="34" t="str"/>
      <x:c r="H930" s="34" t="str"/>
      <x:c r="I930" s="34" t="str"/>
      <x:c r="J930" s="34" t="str"/>
      <x:c r="K930" s="34" t="str"/>
      <x:c r="L930" s="34" t="str"/>
      <x:c r="M930" s="34" t="str"/>
      <x:c r="N930" s="34" t="str"/>
      <x:c r="O930" s="34" t="str"/>
      <x:c r="P930" s="34" t="str"/>
      <x:c r="Q930" s="34" t="str"/>
    </x:row>
    <x:row r="931">
      <x:c r="A931" s="34" t="str">
        <x:v>M5-HIT-0926</x:v>
      </x:c>
      <x:c r="B931" s="34" t="str"/>
      <x:c r="C931" s="34" t="str"/>
      <x:c r="D931" s="34" t="str"/>
      <x:c r="E931" s="34" t="str"/>
      <x:c r="F931" s="34" t="str"/>
      <x:c r="G931" s="34" t="str"/>
      <x:c r="H931" s="34" t="str"/>
      <x:c r="I931" s="34" t="str"/>
      <x:c r="J931" s="34" t="str"/>
      <x:c r="K931" s="34" t="str"/>
      <x:c r="L931" s="34" t="str"/>
      <x:c r="M931" s="34" t="str"/>
      <x:c r="N931" s="34" t="str"/>
      <x:c r="O931" s="34" t="str"/>
      <x:c r="P931" s="34" t="str"/>
      <x:c r="Q931" s="34" t="str"/>
    </x:row>
    <x:row r="932">
      <x:c r="A932" s="34" t="str">
        <x:v>M5-HIT-0927</x:v>
      </x:c>
      <x:c r="B932" s="34" t="str"/>
      <x:c r="C932" s="34" t="str"/>
      <x:c r="D932" s="34" t="str"/>
      <x:c r="E932" s="34" t="str"/>
      <x:c r="F932" s="34" t="str"/>
      <x:c r="G932" s="34" t="str"/>
      <x:c r="H932" s="34" t="str"/>
      <x:c r="I932" s="34" t="str"/>
      <x:c r="J932" s="34" t="str"/>
      <x:c r="K932" s="34" t="str"/>
      <x:c r="L932" s="34" t="str"/>
      <x:c r="M932" s="34" t="str"/>
      <x:c r="N932" s="34" t="str"/>
      <x:c r="O932" s="34" t="str"/>
      <x:c r="P932" s="34" t="str"/>
      <x:c r="Q932" s="34" t="str"/>
    </x:row>
    <x:row r="933">
      <x:c r="A933" s="34" t="str">
        <x:v>M5-HIT-0928</x:v>
      </x:c>
      <x:c r="B933" s="34" t="str"/>
      <x:c r="C933" s="34" t="str"/>
      <x:c r="D933" s="34" t="str"/>
      <x:c r="E933" s="34" t="str"/>
      <x:c r="F933" s="34" t="str"/>
      <x:c r="G933" s="34" t="str"/>
      <x:c r="H933" s="34" t="str"/>
      <x:c r="I933" s="34" t="str"/>
      <x:c r="J933" s="34" t="str"/>
      <x:c r="K933" s="34" t="str"/>
      <x:c r="L933" s="34" t="str"/>
      <x:c r="M933" s="34" t="str"/>
      <x:c r="N933" s="34" t="str"/>
      <x:c r="O933" s="34" t="str"/>
      <x:c r="P933" s="34" t="str"/>
      <x:c r="Q933" s="34" t="str"/>
    </x:row>
    <x:row r="934">
      <x:c r="A934" s="34" t="str">
        <x:v>M5-HIT-0929</x:v>
      </x:c>
      <x:c r="B934" s="34" t="str"/>
      <x:c r="C934" s="34" t="str"/>
      <x:c r="D934" s="34" t="str"/>
      <x:c r="E934" s="34" t="str"/>
      <x:c r="F934" s="34" t="str"/>
      <x:c r="G934" s="34" t="str"/>
      <x:c r="H934" s="34" t="str"/>
      <x:c r="I934" s="34" t="str"/>
      <x:c r="J934" s="34" t="str"/>
      <x:c r="K934" s="34" t="str"/>
      <x:c r="L934" s="34" t="str"/>
      <x:c r="M934" s="34" t="str"/>
      <x:c r="N934" s="34" t="str"/>
      <x:c r="O934" s="34" t="str"/>
      <x:c r="P934" s="34" t="str"/>
      <x:c r="Q934" s="34" t="str"/>
    </x:row>
    <x:row r="935">
      <x:c r="A935" s="34" t="str">
        <x:v>M5-HIT-0930</x:v>
      </x:c>
      <x:c r="B935" s="34" t="str"/>
      <x:c r="C935" s="34" t="str"/>
      <x:c r="D935" s="34" t="str"/>
      <x:c r="E935" s="34" t="str"/>
      <x:c r="F935" s="34" t="str"/>
      <x:c r="G935" s="34" t="str"/>
      <x:c r="H935" s="34" t="str"/>
      <x:c r="I935" s="34" t="str"/>
      <x:c r="J935" s="34" t="str"/>
      <x:c r="K935" s="34" t="str"/>
      <x:c r="L935" s="34" t="str"/>
      <x:c r="M935" s="34" t="str"/>
      <x:c r="N935" s="34" t="str"/>
      <x:c r="O935" s="34" t="str"/>
      <x:c r="P935" s="34" t="str"/>
      <x:c r="Q935" s="34" t="str"/>
    </x:row>
    <x:row r="936">
      <x:c r="A936" s="34" t="str">
        <x:v>M5-HIT-0931</x:v>
      </x:c>
      <x:c r="B936" s="34" t="str"/>
      <x:c r="C936" s="34" t="str"/>
      <x:c r="D936" s="34" t="str"/>
      <x:c r="E936" s="34" t="str"/>
      <x:c r="F936" s="34" t="str"/>
      <x:c r="G936" s="34" t="str"/>
      <x:c r="H936" s="34" t="str"/>
      <x:c r="I936" s="34" t="str"/>
      <x:c r="J936" s="34" t="str"/>
      <x:c r="K936" s="34" t="str"/>
      <x:c r="L936" s="34" t="str"/>
      <x:c r="M936" s="34" t="str"/>
      <x:c r="N936" s="34" t="str"/>
      <x:c r="O936" s="34" t="str"/>
      <x:c r="P936" s="34" t="str"/>
      <x:c r="Q936" s="34" t="str"/>
    </x:row>
    <x:row r="937">
      <x:c r="A937" s="34" t="str">
        <x:v>M5-HIT-0932</x:v>
      </x:c>
      <x:c r="B937" s="34" t="str"/>
      <x:c r="C937" s="34" t="str"/>
      <x:c r="D937" s="34" t="str"/>
      <x:c r="E937" s="34" t="str"/>
      <x:c r="F937" s="34" t="str"/>
      <x:c r="G937" s="34" t="str"/>
      <x:c r="H937" s="34" t="str"/>
      <x:c r="I937" s="34" t="str"/>
      <x:c r="J937" s="34" t="str"/>
      <x:c r="K937" s="34" t="str"/>
      <x:c r="L937" s="34" t="str"/>
      <x:c r="M937" s="34" t="str"/>
      <x:c r="N937" s="34" t="str"/>
      <x:c r="O937" s="34" t="str"/>
      <x:c r="P937" s="34" t="str"/>
      <x:c r="Q937" s="34" t="str"/>
    </x:row>
    <x:row r="938">
      <x:c r="A938" s="34" t="str">
        <x:v>M5-HIT-0933</x:v>
      </x:c>
      <x:c r="B938" s="34" t="str"/>
      <x:c r="C938" s="34" t="str"/>
      <x:c r="D938" s="34" t="str"/>
      <x:c r="E938" s="34" t="str"/>
      <x:c r="F938" s="34" t="str"/>
      <x:c r="G938" s="34" t="str"/>
      <x:c r="H938" s="34" t="str"/>
      <x:c r="I938" s="34" t="str"/>
      <x:c r="J938" s="34" t="str"/>
      <x:c r="K938" s="34" t="str"/>
      <x:c r="L938" s="34" t="str"/>
      <x:c r="M938" s="34" t="str"/>
      <x:c r="N938" s="34" t="str"/>
      <x:c r="O938" s="34" t="str"/>
      <x:c r="P938" s="34" t="str"/>
      <x:c r="Q938" s="34" t="str"/>
    </x:row>
    <x:row r="939">
      <x:c r="A939" s="34" t="str">
        <x:v>M5-HIT-0934</x:v>
      </x:c>
      <x:c r="B939" s="34" t="str"/>
      <x:c r="C939" s="34" t="str"/>
      <x:c r="D939" s="34" t="str"/>
      <x:c r="E939" s="34" t="str"/>
      <x:c r="F939" s="34" t="str"/>
      <x:c r="G939" s="34" t="str"/>
      <x:c r="H939" s="34" t="str"/>
      <x:c r="I939" s="34" t="str"/>
      <x:c r="J939" s="34" t="str"/>
      <x:c r="K939" s="34" t="str"/>
      <x:c r="L939" s="34" t="str"/>
      <x:c r="M939" s="34" t="str"/>
      <x:c r="N939" s="34" t="str"/>
      <x:c r="O939" s="34" t="str"/>
      <x:c r="P939" s="34" t="str"/>
      <x:c r="Q939" s="34" t="str"/>
    </x:row>
    <x:row r="940">
      <x:c r="A940" s="34" t="str">
        <x:v>M5-HIT-0935</x:v>
      </x:c>
      <x:c r="B940" s="34" t="str"/>
      <x:c r="C940" s="34" t="str"/>
      <x:c r="D940" s="34" t="str"/>
      <x:c r="E940" s="34" t="str"/>
      <x:c r="F940" s="34" t="str"/>
      <x:c r="G940" s="34" t="str"/>
      <x:c r="H940" s="34" t="str"/>
      <x:c r="I940" s="34" t="str"/>
      <x:c r="J940" s="34" t="str"/>
      <x:c r="K940" s="34" t="str"/>
      <x:c r="L940" s="34" t="str"/>
      <x:c r="M940" s="34" t="str"/>
      <x:c r="N940" s="34" t="str"/>
      <x:c r="O940" s="34" t="str"/>
      <x:c r="P940" s="34" t="str"/>
      <x:c r="Q940" s="34" t="str"/>
    </x:row>
    <x:row r="941">
      <x:c r="A941" s="34" t="str">
        <x:v>M5-HIT-0936</x:v>
      </x:c>
      <x:c r="B941" s="34" t="str"/>
      <x:c r="C941" s="34" t="str"/>
      <x:c r="D941" s="34" t="str"/>
      <x:c r="E941" s="34" t="str"/>
      <x:c r="F941" s="34" t="str"/>
      <x:c r="G941" s="34" t="str"/>
      <x:c r="H941" s="34" t="str"/>
      <x:c r="I941" s="34" t="str"/>
      <x:c r="J941" s="34" t="str"/>
      <x:c r="K941" s="34" t="str"/>
      <x:c r="L941" s="34" t="str"/>
      <x:c r="M941" s="34" t="str"/>
      <x:c r="N941" s="34" t="str"/>
      <x:c r="O941" s="34" t="str"/>
      <x:c r="P941" s="34" t="str"/>
      <x:c r="Q941" s="34" t="str"/>
    </x:row>
    <x:row r="942">
      <x:c r="A942" s="34" t="str">
        <x:v>M5-HIT-0937</x:v>
      </x:c>
      <x:c r="B942" s="34" t="str"/>
      <x:c r="C942" s="34" t="str"/>
      <x:c r="D942" s="34" t="str"/>
      <x:c r="E942" s="34" t="str"/>
      <x:c r="F942" s="34" t="str"/>
      <x:c r="G942" s="34" t="str"/>
      <x:c r="H942" s="34" t="str"/>
      <x:c r="I942" s="34" t="str"/>
      <x:c r="J942" s="34" t="str"/>
      <x:c r="K942" s="34" t="str"/>
      <x:c r="L942" s="34" t="str"/>
      <x:c r="M942" s="34" t="str"/>
      <x:c r="N942" s="34" t="str"/>
      <x:c r="O942" s="34" t="str"/>
      <x:c r="P942" s="34" t="str"/>
      <x:c r="Q942" s="34" t="str"/>
    </x:row>
    <x:row r="943">
      <x:c r="A943" s="34" t="str">
        <x:v>M5-HIT-0938</x:v>
      </x:c>
      <x:c r="B943" s="34" t="str"/>
      <x:c r="C943" s="34" t="str"/>
      <x:c r="D943" s="34" t="str"/>
      <x:c r="E943" s="34" t="str"/>
      <x:c r="F943" s="34" t="str"/>
      <x:c r="G943" s="34" t="str"/>
      <x:c r="H943" s="34" t="str"/>
      <x:c r="I943" s="34" t="str"/>
      <x:c r="J943" s="34" t="str"/>
      <x:c r="K943" s="34" t="str"/>
      <x:c r="L943" s="34" t="str"/>
      <x:c r="M943" s="34" t="str"/>
      <x:c r="N943" s="34" t="str"/>
      <x:c r="O943" s="34" t="str"/>
      <x:c r="P943" s="34" t="str"/>
      <x:c r="Q943" s="34" t="str"/>
    </x:row>
    <x:row r="944">
      <x:c r="A944" s="34" t="str">
        <x:v>M5-HIT-0939</x:v>
      </x:c>
      <x:c r="B944" s="34" t="str"/>
      <x:c r="C944" s="34" t="str"/>
      <x:c r="D944" s="34" t="str"/>
      <x:c r="E944" s="34" t="str"/>
      <x:c r="F944" s="34" t="str"/>
      <x:c r="G944" s="34" t="str"/>
      <x:c r="H944" s="34" t="str"/>
      <x:c r="I944" s="34" t="str"/>
      <x:c r="J944" s="34" t="str"/>
      <x:c r="K944" s="34" t="str"/>
      <x:c r="L944" s="34" t="str"/>
      <x:c r="M944" s="34" t="str"/>
      <x:c r="N944" s="34" t="str"/>
      <x:c r="O944" s="34" t="str"/>
      <x:c r="P944" s="34" t="str"/>
      <x:c r="Q944" s="34" t="str"/>
    </x:row>
    <x:row r="945">
      <x:c r="A945" s="34" t="str">
        <x:v>M5-HIT-0940</x:v>
      </x:c>
      <x:c r="B945" s="34" t="str"/>
      <x:c r="C945" s="34" t="str"/>
      <x:c r="D945" s="34" t="str"/>
      <x:c r="E945" s="34" t="str"/>
      <x:c r="F945" s="34" t="str"/>
      <x:c r="G945" s="34" t="str"/>
      <x:c r="H945" s="34" t="str"/>
      <x:c r="I945" s="34" t="str"/>
      <x:c r="J945" s="34" t="str"/>
      <x:c r="K945" s="34" t="str"/>
      <x:c r="L945" s="34" t="str"/>
      <x:c r="M945" s="34" t="str"/>
      <x:c r="N945" s="34" t="str"/>
      <x:c r="O945" s="34" t="str"/>
      <x:c r="P945" s="34" t="str"/>
      <x:c r="Q945" s="34" t="str"/>
    </x:row>
    <x:row r="946">
      <x:c r="A946" s="34" t="str">
        <x:v>M5-HIT-0941</x:v>
      </x:c>
      <x:c r="B946" s="34" t="str"/>
      <x:c r="C946" s="34" t="str"/>
      <x:c r="D946" s="34" t="str"/>
      <x:c r="E946" s="34" t="str"/>
      <x:c r="F946" s="34" t="str"/>
      <x:c r="G946" s="34" t="str"/>
      <x:c r="H946" s="34" t="str"/>
      <x:c r="I946" s="34" t="str"/>
      <x:c r="J946" s="34" t="str"/>
      <x:c r="K946" s="34" t="str"/>
      <x:c r="L946" s="34" t="str"/>
      <x:c r="M946" s="34" t="str"/>
      <x:c r="N946" s="34" t="str"/>
      <x:c r="O946" s="34" t="str"/>
      <x:c r="P946" s="34" t="str"/>
      <x:c r="Q946" s="34" t="str"/>
    </x:row>
    <x:row r="947">
      <x:c r="A947" s="34" t="str">
        <x:v>M5-HIT-0942</x:v>
      </x:c>
      <x:c r="B947" s="34" t="str"/>
      <x:c r="C947" s="34" t="str"/>
      <x:c r="D947" s="34" t="str"/>
      <x:c r="E947" s="34" t="str"/>
      <x:c r="F947" s="34" t="str"/>
      <x:c r="G947" s="34" t="str"/>
      <x:c r="H947" s="34" t="str"/>
      <x:c r="I947" s="34" t="str"/>
      <x:c r="J947" s="34" t="str"/>
      <x:c r="K947" s="34" t="str"/>
      <x:c r="L947" s="34" t="str"/>
      <x:c r="M947" s="34" t="str"/>
      <x:c r="N947" s="34" t="str"/>
      <x:c r="O947" s="34" t="str"/>
      <x:c r="P947" s="34" t="str"/>
      <x:c r="Q947" s="34" t="str"/>
    </x:row>
    <x:row r="948">
      <x:c r="A948" s="34" t="str">
        <x:v>M5-HIT-0943</x:v>
      </x:c>
      <x:c r="B948" s="34" t="str"/>
      <x:c r="C948" s="34" t="str"/>
      <x:c r="D948" s="34" t="str"/>
      <x:c r="E948" s="34" t="str"/>
      <x:c r="F948" s="34" t="str"/>
      <x:c r="G948" s="34" t="str"/>
      <x:c r="H948" s="34" t="str"/>
      <x:c r="I948" s="34" t="str"/>
      <x:c r="J948" s="34" t="str"/>
      <x:c r="K948" s="34" t="str"/>
      <x:c r="L948" s="34" t="str"/>
      <x:c r="M948" s="34" t="str"/>
      <x:c r="N948" s="34" t="str"/>
      <x:c r="O948" s="34" t="str"/>
      <x:c r="P948" s="34" t="str"/>
      <x:c r="Q948" s="34" t="str"/>
    </x:row>
    <x:row r="949">
      <x:c r="A949" s="34" t="str">
        <x:v>M5-HIT-0944</x:v>
      </x:c>
      <x:c r="B949" s="34" t="str"/>
      <x:c r="C949" s="34" t="str"/>
      <x:c r="D949" s="34" t="str"/>
      <x:c r="E949" s="34" t="str"/>
      <x:c r="F949" s="34" t="str"/>
      <x:c r="G949" s="34" t="str"/>
      <x:c r="H949" s="34" t="str"/>
      <x:c r="I949" s="34" t="str"/>
      <x:c r="J949" s="34" t="str"/>
      <x:c r="K949" s="34" t="str"/>
      <x:c r="L949" s="34" t="str"/>
      <x:c r="M949" s="34" t="str"/>
      <x:c r="N949" s="34" t="str"/>
      <x:c r="O949" s="34" t="str"/>
      <x:c r="P949" s="34" t="str"/>
      <x:c r="Q949" s="34" t="str"/>
    </x:row>
    <x:row r="950">
      <x:c r="A950" s="34" t="str">
        <x:v>M5-HIT-0945</x:v>
      </x:c>
      <x:c r="B950" s="34" t="str"/>
      <x:c r="C950" s="34" t="str"/>
      <x:c r="D950" s="34" t="str"/>
      <x:c r="E950" s="34" t="str"/>
      <x:c r="F950" s="34" t="str"/>
      <x:c r="G950" s="34" t="str"/>
      <x:c r="H950" s="34" t="str"/>
      <x:c r="I950" s="34" t="str"/>
      <x:c r="J950" s="34" t="str"/>
      <x:c r="K950" s="34" t="str"/>
      <x:c r="L950" s="34" t="str"/>
      <x:c r="M950" s="34" t="str"/>
      <x:c r="N950" s="34" t="str"/>
      <x:c r="O950" s="34" t="str"/>
      <x:c r="P950" s="34" t="str"/>
      <x:c r="Q950" s="34" t="str"/>
    </x:row>
    <x:row r="951">
      <x:c r="A951" s="34" t="str">
        <x:v>M5-HIT-0946</x:v>
      </x:c>
      <x:c r="B951" s="34" t="str"/>
      <x:c r="C951" s="34" t="str"/>
      <x:c r="D951" s="34" t="str"/>
      <x:c r="E951" s="34" t="str"/>
      <x:c r="F951" s="34" t="str"/>
      <x:c r="G951" s="34" t="str"/>
      <x:c r="H951" s="34" t="str"/>
      <x:c r="I951" s="34" t="str"/>
      <x:c r="J951" s="34" t="str"/>
      <x:c r="K951" s="34" t="str"/>
      <x:c r="L951" s="34" t="str"/>
      <x:c r="M951" s="34" t="str"/>
      <x:c r="N951" s="34" t="str"/>
      <x:c r="O951" s="34" t="str"/>
      <x:c r="P951" s="34" t="str"/>
      <x:c r="Q951" s="34" t="str"/>
    </x:row>
    <x:row r="952">
      <x:c r="A952" s="34" t="str">
        <x:v>M5-HIT-0947</x:v>
      </x:c>
      <x:c r="B952" s="34" t="str"/>
      <x:c r="C952" s="34" t="str"/>
      <x:c r="D952" s="34" t="str"/>
      <x:c r="E952" s="34" t="str"/>
      <x:c r="F952" s="34" t="str"/>
      <x:c r="G952" s="34" t="str"/>
      <x:c r="H952" s="34" t="str"/>
      <x:c r="I952" s="34" t="str"/>
      <x:c r="J952" s="34" t="str"/>
      <x:c r="K952" s="34" t="str"/>
      <x:c r="L952" s="34" t="str"/>
      <x:c r="M952" s="34" t="str"/>
      <x:c r="N952" s="34" t="str"/>
      <x:c r="O952" s="34" t="str"/>
      <x:c r="P952" s="34" t="str"/>
      <x:c r="Q952" s="34" t="str"/>
    </x:row>
    <x:row r="953">
      <x:c r="A953" s="34" t="str">
        <x:v>M5-HIT-0948</x:v>
      </x:c>
      <x:c r="B953" s="34" t="str"/>
      <x:c r="C953" s="34" t="str"/>
      <x:c r="D953" s="34" t="str"/>
      <x:c r="E953" s="34" t="str"/>
      <x:c r="F953" s="34" t="str"/>
      <x:c r="G953" s="34" t="str"/>
      <x:c r="H953" s="34" t="str"/>
      <x:c r="I953" s="34" t="str"/>
      <x:c r="J953" s="34" t="str"/>
      <x:c r="K953" s="34" t="str"/>
      <x:c r="L953" s="34" t="str"/>
      <x:c r="M953" s="34" t="str"/>
      <x:c r="N953" s="34" t="str"/>
      <x:c r="O953" s="34" t="str"/>
      <x:c r="P953" s="34" t="str"/>
      <x:c r="Q953" s="34" t="str"/>
    </x:row>
    <x:row r="954">
      <x:c r="A954" s="34" t="str">
        <x:v>M5-HIT-0949</x:v>
      </x:c>
      <x:c r="B954" s="34" t="str"/>
      <x:c r="C954" s="34" t="str"/>
      <x:c r="D954" s="34" t="str"/>
      <x:c r="E954" s="34" t="str"/>
      <x:c r="F954" s="34" t="str"/>
      <x:c r="G954" s="34" t="str"/>
      <x:c r="H954" s="34" t="str"/>
      <x:c r="I954" s="34" t="str"/>
      <x:c r="J954" s="34" t="str"/>
      <x:c r="K954" s="34" t="str"/>
      <x:c r="L954" s="34" t="str"/>
      <x:c r="M954" s="34" t="str"/>
      <x:c r="N954" s="34" t="str"/>
      <x:c r="O954" s="34" t="str"/>
      <x:c r="P954" s="34" t="str"/>
      <x:c r="Q954" s="34" t="str"/>
    </x:row>
    <x:row r="955">
      <x:c r="A955" s="34" t="str">
        <x:v>M5-HIT-0950</x:v>
      </x:c>
      <x:c r="B955" s="34" t="str"/>
      <x:c r="C955" s="34" t="str"/>
      <x:c r="D955" s="34" t="str"/>
      <x:c r="E955" s="34" t="str"/>
      <x:c r="F955" s="34" t="str"/>
      <x:c r="G955" s="34" t="str"/>
      <x:c r="H955" s="34" t="str"/>
      <x:c r="I955" s="34" t="str"/>
      <x:c r="J955" s="34" t="str"/>
      <x:c r="K955" s="34" t="str"/>
      <x:c r="L955" s="34" t="str"/>
      <x:c r="M955" s="34" t="str"/>
      <x:c r="N955" s="34" t="str"/>
      <x:c r="O955" s="34" t="str"/>
      <x:c r="P955" s="34" t="str"/>
      <x:c r="Q955" s="34" t="str"/>
    </x:row>
    <x:row r="956">
      <x:c r="A956" s="34" t="str">
        <x:v>M5-HIT-0951</x:v>
      </x:c>
      <x:c r="B956" s="34" t="str"/>
      <x:c r="C956" s="34" t="str"/>
      <x:c r="D956" s="34" t="str"/>
      <x:c r="E956" s="34" t="str"/>
      <x:c r="F956" s="34" t="str"/>
      <x:c r="G956" s="34" t="str"/>
      <x:c r="H956" s="34" t="str"/>
      <x:c r="I956" s="34" t="str"/>
      <x:c r="J956" s="34" t="str"/>
      <x:c r="K956" s="34" t="str"/>
      <x:c r="L956" s="34" t="str"/>
      <x:c r="M956" s="34" t="str"/>
      <x:c r="N956" s="34" t="str"/>
      <x:c r="O956" s="34" t="str"/>
      <x:c r="P956" s="34" t="str"/>
      <x:c r="Q956" s="34" t="str"/>
    </x:row>
    <x:row r="957">
      <x:c r="A957" s="34" t="str">
        <x:v>M5-HIT-0952</x:v>
      </x:c>
      <x:c r="B957" s="34" t="str"/>
      <x:c r="C957" s="34" t="str"/>
      <x:c r="D957" s="34" t="str"/>
      <x:c r="E957" s="34" t="str"/>
      <x:c r="F957" s="34" t="str"/>
      <x:c r="G957" s="34" t="str"/>
      <x:c r="H957" s="34" t="str"/>
      <x:c r="I957" s="34" t="str"/>
      <x:c r="J957" s="34" t="str"/>
      <x:c r="K957" s="34" t="str"/>
      <x:c r="L957" s="34" t="str"/>
      <x:c r="M957" s="34" t="str"/>
      <x:c r="N957" s="34" t="str"/>
      <x:c r="O957" s="34" t="str"/>
      <x:c r="P957" s="34" t="str"/>
      <x:c r="Q957" s="34" t="str"/>
    </x:row>
    <x:row r="958">
      <x:c r="A958" s="34" t="str">
        <x:v>M5-HIT-0953</x:v>
      </x:c>
      <x:c r="B958" s="34" t="str"/>
      <x:c r="C958" s="34" t="str"/>
      <x:c r="D958" s="34" t="str"/>
      <x:c r="E958" s="34" t="str"/>
      <x:c r="F958" s="34" t="str"/>
      <x:c r="G958" s="34" t="str"/>
      <x:c r="H958" s="34" t="str"/>
      <x:c r="I958" s="34" t="str"/>
      <x:c r="J958" s="34" t="str"/>
      <x:c r="K958" s="34" t="str"/>
      <x:c r="L958" s="34" t="str"/>
      <x:c r="M958" s="34" t="str"/>
      <x:c r="N958" s="34" t="str"/>
      <x:c r="O958" s="34" t="str"/>
      <x:c r="P958" s="34" t="str"/>
      <x:c r="Q958" s="34" t="str"/>
    </x:row>
    <x:row r="959">
      <x:c r="A959" s="34" t="str">
        <x:v>M5-HIT-0954</x:v>
      </x:c>
      <x:c r="B959" s="34" t="str"/>
      <x:c r="C959" s="34" t="str"/>
      <x:c r="D959" s="34" t="str"/>
      <x:c r="E959" s="34" t="str"/>
      <x:c r="F959" s="34" t="str"/>
      <x:c r="G959" s="34" t="str"/>
      <x:c r="H959" s="34" t="str"/>
      <x:c r="I959" s="34" t="str"/>
      <x:c r="J959" s="34" t="str"/>
      <x:c r="K959" s="34" t="str"/>
      <x:c r="L959" s="34" t="str"/>
      <x:c r="M959" s="34" t="str"/>
      <x:c r="N959" s="34" t="str"/>
      <x:c r="O959" s="34" t="str"/>
      <x:c r="P959" s="34" t="str"/>
      <x:c r="Q959" s="34" t="str"/>
    </x:row>
    <x:row r="960">
      <x:c r="A960" s="34" t="str">
        <x:v>M5-HIT-0955</x:v>
      </x:c>
      <x:c r="B960" s="34" t="str"/>
      <x:c r="C960" s="34" t="str"/>
      <x:c r="D960" s="34" t="str"/>
      <x:c r="E960" s="34" t="str"/>
      <x:c r="F960" s="34" t="str"/>
      <x:c r="G960" s="34" t="str"/>
      <x:c r="H960" s="34" t="str"/>
      <x:c r="I960" s="34" t="str"/>
      <x:c r="J960" s="34" t="str"/>
      <x:c r="K960" s="34" t="str"/>
      <x:c r="L960" s="34" t="str"/>
      <x:c r="M960" s="34" t="str"/>
      <x:c r="N960" s="34" t="str"/>
      <x:c r="O960" s="34" t="str"/>
      <x:c r="P960" s="34" t="str"/>
      <x:c r="Q960" s="34" t="str"/>
    </x:row>
    <x:row r="961">
      <x:c r="A961" s="34" t="str">
        <x:v>M5-HIT-0956</x:v>
      </x:c>
      <x:c r="B961" s="34" t="str"/>
      <x:c r="C961" s="34" t="str"/>
      <x:c r="D961" s="34" t="str"/>
      <x:c r="E961" s="34" t="str"/>
      <x:c r="F961" s="34" t="str"/>
      <x:c r="G961" s="34" t="str"/>
      <x:c r="H961" s="34" t="str"/>
      <x:c r="I961" s="34" t="str"/>
      <x:c r="J961" s="34" t="str"/>
      <x:c r="K961" s="34" t="str"/>
      <x:c r="L961" s="34" t="str"/>
      <x:c r="M961" s="34" t="str"/>
      <x:c r="N961" s="34" t="str"/>
      <x:c r="O961" s="34" t="str"/>
      <x:c r="P961" s="34" t="str"/>
      <x:c r="Q961" s="34" t="str"/>
    </x:row>
    <x:row r="962">
      <x:c r="A962" s="34" t="str">
        <x:v>M5-HIT-0957</x:v>
      </x:c>
      <x:c r="B962" s="34" t="str"/>
      <x:c r="C962" s="34" t="str"/>
      <x:c r="D962" s="34" t="str"/>
      <x:c r="E962" s="34" t="str"/>
      <x:c r="F962" s="34" t="str"/>
      <x:c r="G962" s="34" t="str"/>
      <x:c r="H962" s="34" t="str"/>
      <x:c r="I962" s="34" t="str"/>
      <x:c r="J962" s="34" t="str"/>
      <x:c r="K962" s="34" t="str"/>
      <x:c r="L962" s="34" t="str"/>
      <x:c r="M962" s="34" t="str"/>
      <x:c r="N962" s="34" t="str"/>
      <x:c r="O962" s="34" t="str"/>
      <x:c r="P962" s="34" t="str"/>
      <x:c r="Q962" s="34" t="str"/>
    </x:row>
    <x:row r="963">
      <x:c r="A963" s="34" t="str">
        <x:v>M5-HIT-0958</x:v>
      </x:c>
      <x:c r="B963" s="34" t="str"/>
      <x:c r="C963" s="34" t="str"/>
      <x:c r="D963" s="34" t="str"/>
      <x:c r="E963" s="34" t="str"/>
      <x:c r="F963" s="34" t="str"/>
      <x:c r="G963" s="34" t="str"/>
      <x:c r="H963" s="34" t="str"/>
      <x:c r="I963" s="34" t="str"/>
      <x:c r="J963" s="34" t="str"/>
      <x:c r="K963" s="34" t="str"/>
      <x:c r="L963" s="34" t="str"/>
      <x:c r="M963" s="34" t="str"/>
      <x:c r="N963" s="34" t="str"/>
      <x:c r="O963" s="34" t="str"/>
      <x:c r="P963" s="34" t="str"/>
      <x:c r="Q963" s="34" t="str"/>
    </x:row>
    <x:row r="964">
      <x:c r="A964" s="34" t="str">
        <x:v>M5-HIT-0959</x:v>
      </x:c>
      <x:c r="B964" s="34" t="str"/>
      <x:c r="C964" s="34" t="str"/>
      <x:c r="D964" s="34" t="str"/>
      <x:c r="E964" s="34" t="str"/>
      <x:c r="F964" s="34" t="str"/>
      <x:c r="G964" s="34" t="str"/>
      <x:c r="H964" s="34" t="str"/>
      <x:c r="I964" s="34" t="str"/>
      <x:c r="J964" s="34" t="str"/>
      <x:c r="K964" s="34" t="str"/>
      <x:c r="L964" s="34" t="str"/>
      <x:c r="M964" s="34" t="str"/>
      <x:c r="N964" s="34" t="str"/>
      <x:c r="O964" s="34" t="str"/>
      <x:c r="P964" s="34" t="str"/>
      <x:c r="Q964" s="34" t="str"/>
    </x:row>
    <x:row r="965">
      <x:c r="A965" s="34" t="str">
        <x:v>M5-HIT-0960</x:v>
      </x:c>
      <x:c r="B965" s="34" t="str"/>
      <x:c r="C965" s="34" t="str"/>
      <x:c r="D965" s="34" t="str"/>
      <x:c r="E965" s="34" t="str"/>
      <x:c r="F965" s="34" t="str"/>
      <x:c r="G965" s="34" t="str"/>
      <x:c r="H965" s="34" t="str"/>
      <x:c r="I965" s="34" t="str"/>
      <x:c r="J965" s="34" t="str"/>
      <x:c r="K965" s="34" t="str"/>
      <x:c r="L965" s="34" t="str"/>
      <x:c r="M965" s="34" t="str"/>
      <x:c r="N965" s="34" t="str"/>
      <x:c r="O965" s="34" t="str"/>
      <x:c r="P965" s="34" t="str"/>
      <x:c r="Q965" s="34" t="str"/>
    </x:row>
    <x:row r="966">
      <x:c r="A966" s="34" t="str">
        <x:v>M5-HIT-0961</x:v>
      </x:c>
      <x:c r="B966" s="34" t="str"/>
      <x:c r="C966" s="34" t="str"/>
      <x:c r="D966" s="34" t="str"/>
      <x:c r="E966" s="34" t="str"/>
      <x:c r="F966" s="34" t="str"/>
      <x:c r="G966" s="34" t="str"/>
      <x:c r="H966" s="34" t="str"/>
      <x:c r="I966" s="34" t="str"/>
      <x:c r="J966" s="34" t="str"/>
      <x:c r="K966" s="34" t="str"/>
      <x:c r="L966" s="34" t="str"/>
      <x:c r="M966" s="34" t="str"/>
      <x:c r="N966" s="34" t="str"/>
      <x:c r="O966" s="34" t="str"/>
      <x:c r="P966" s="34" t="str"/>
      <x:c r="Q966" s="34" t="str"/>
    </x:row>
    <x:row r="967">
      <x:c r="A967" s="34" t="str">
        <x:v>M5-HIT-0962</x:v>
      </x:c>
      <x:c r="B967" s="34" t="str"/>
      <x:c r="C967" s="34" t="str"/>
      <x:c r="D967" s="34" t="str"/>
      <x:c r="E967" s="34" t="str"/>
      <x:c r="F967" s="34" t="str"/>
      <x:c r="G967" s="34" t="str"/>
      <x:c r="H967" s="34" t="str"/>
      <x:c r="I967" s="34" t="str"/>
      <x:c r="J967" s="34" t="str"/>
      <x:c r="K967" s="34" t="str"/>
      <x:c r="L967" s="34" t="str"/>
      <x:c r="M967" s="34" t="str"/>
      <x:c r="N967" s="34" t="str"/>
      <x:c r="O967" s="34" t="str"/>
      <x:c r="P967" s="34" t="str"/>
      <x:c r="Q967" s="34" t="str"/>
    </x:row>
    <x:row r="968">
      <x:c r="A968" s="34" t="str">
        <x:v>M5-HIT-0963</x:v>
      </x:c>
      <x:c r="B968" s="34" t="str"/>
      <x:c r="C968" s="34" t="str"/>
      <x:c r="D968" s="34" t="str"/>
      <x:c r="E968" s="34" t="str"/>
      <x:c r="F968" s="34" t="str"/>
      <x:c r="G968" s="34" t="str"/>
      <x:c r="H968" s="34" t="str"/>
      <x:c r="I968" s="34" t="str"/>
      <x:c r="J968" s="34" t="str"/>
      <x:c r="K968" s="34" t="str"/>
      <x:c r="L968" s="34" t="str"/>
      <x:c r="M968" s="34" t="str"/>
      <x:c r="N968" s="34" t="str"/>
      <x:c r="O968" s="34" t="str"/>
      <x:c r="P968" s="34" t="str"/>
      <x:c r="Q968" s="34" t="str"/>
    </x:row>
    <x:row r="969">
      <x:c r="A969" s="34" t="str">
        <x:v>M5-HIT-0964</x:v>
      </x:c>
      <x:c r="B969" s="34" t="str"/>
      <x:c r="C969" s="34" t="str"/>
      <x:c r="D969" s="34" t="str"/>
      <x:c r="E969" s="34" t="str"/>
      <x:c r="F969" s="34" t="str"/>
      <x:c r="G969" s="34" t="str"/>
      <x:c r="H969" s="34" t="str"/>
      <x:c r="I969" s="34" t="str"/>
      <x:c r="J969" s="34" t="str"/>
      <x:c r="K969" s="34" t="str"/>
      <x:c r="L969" s="34" t="str"/>
      <x:c r="M969" s="34" t="str"/>
      <x:c r="N969" s="34" t="str"/>
      <x:c r="O969" s="34" t="str"/>
      <x:c r="P969" s="34" t="str"/>
      <x:c r="Q969" s="34" t="str"/>
    </x:row>
    <x:row r="970">
      <x:c r="A970" s="34" t="str">
        <x:v>M5-HIT-0965</x:v>
      </x:c>
      <x:c r="B970" s="34" t="str"/>
      <x:c r="C970" s="34" t="str"/>
      <x:c r="D970" s="34" t="str"/>
      <x:c r="E970" s="34" t="str"/>
      <x:c r="F970" s="34" t="str"/>
      <x:c r="G970" s="34" t="str"/>
      <x:c r="H970" s="34" t="str"/>
      <x:c r="I970" s="34" t="str"/>
      <x:c r="J970" s="34" t="str"/>
      <x:c r="K970" s="34" t="str"/>
      <x:c r="L970" s="34" t="str"/>
      <x:c r="M970" s="34" t="str"/>
      <x:c r="N970" s="34" t="str"/>
      <x:c r="O970" s="34" t="str"/>
      <x:c r="P970" s="34" t="str"/>
      <x:c r="Q970" s="34" t="str"/>
    </x:row>
    <x:row r="971">
      <x:c r="A971" s="34" t="str">
        <x:v>M5-HIT-0966</x:v>
      </x:c>
      <x:c r="B971" s="34" t="str"/>
      <x:c r="C971" s="34" t="str"/>
      <x:c r="D971" s="34" t="str"/>
      <x:c r="E971" s="34" t="str"/>
      <x:c r="F971" s="34" t="str"/>
      <x:c r="G971" s="34" t="str"/>
      <x:c r="H971" s="34" t="str"/>
      <x:c r="I971" s="34" t="str"/>
      <x:c r="J971" s="34" t="str"/>
      <x:c r="K971" s="34" t="str"/>
      <x:c r="L971" s="34" t="str"/>
      <x:c r="M971" s="34" t="str"/>
      <x:c r="N971" s="34" t="str"/>
      <x:c r="O971" s="34" t="str"/>
      <x:c r="P971" s="34" t="str"/>
      <x:c r="Q971" s="34" t="str"/>
    </x:row>
    <x:row r="972">
      <x:c r="A972" s="34" t="str">
        <x:v>M5-HIT-0967</x:v>
      </x:c>
      <x:c r="B972" s="34" t="str"/>
      <x:c r="C972" s="34" t="str"/>
      <x:c r="D972" s="34" t="str"/>
      <x:c r="E972" s="34" t="str"/>
      <x:c r="F972" s="34" t="str"/>
      <x:c r="G972" s="34" t="str"/>
      <x:c r="H972" s="34" t="str"/>
      <x:c r="I972" s="34" t="str"/>
      <x:c r="J972" s="34" t="str"/>
      <x:c r="K972" s="34" t="str"/>
      <x:c r="L972" s="34" t="str"/>
      <x:c r="M972" s="34" t="str"/>
      <x:c r="N972" s="34" t="str"/>
      <x:c r="O972" s="34" t="str"/>
      <x:c r="P972" s="34" t="str"/>
      <x:c r="Q972" s="34" t="str"/>
    </x:row>
    <x:row r="973">
      <x:c r="A973" s="34" t="str">
        <x:v>M5-HIT-0968</x:v>
      </x:c>
      <x:c r="B973" s="34" t="str"/>
      <x:c r="C973" s="34" t="str"/>
      <x:c r="D973" s="34" t="str"/>
      <x:c r="E973" s="34" t="str"/>
      <x:c r="F973" s="34" t="str"/>
      <x:c r="G973" s="34" t="str"/>
      <x:c r="H973" s="34" t="str"/>
      <x:c r="I973" s="34" t="str"/>
      <x:c r="J973" s="34" t="str"/>
      <x:c r="K973" s="34" t="str"/>
      <x:c r="L973" s="34" t="str"/>
      <x:c r="M973" s="34" t="str"/>
      <x:c r="N973" s="34" t="str"/>
      <x:c r="O973" s="34" t="str"/>
      <x:c r="P973" s="34" t="str"/>
      <x:c r="Q973" s="34" t="str"/>
    </x:row>
    <x:row r="974">
      <x:c r="A974" s="34" t="str">
        <x:v>M5-HIT-0969</x:v>
      </x:c>
      <x:c r="B974" s="34" t="str"/>
      <x:c r="C974" s="34" t="str"/>
      <x:c r="D974" s="34" t="str"/>
      <x:c r="E974" s="34" t="str"/>
      <x:c r="F974" s="34" t="str"/>
      <x:c r="G974" s="34" t="str"/>
      <x:c r="H974" s="34" t="str"/>
      <x:c r="I974" s="34" t="str"/>
      <x:c r="J974" s="34" t="str"/>
      <x:c r="K974" s="34" t="str"/>
      <x:c r="L974" s="34" t="str"/>
      <x:c r="M974" s="34" t="str"/>
      <x:c r="N974" s="34" t="str"/>
      <x:c r="O974" s="34" t="str"/>
      <x:c r="P974" s="34" t="str"/>
      <x:c r="Q974" s="34" t="str"/>
    </x:row>
    <x:row r="975">
      <x:c r="A975" s="34" t="str">
        <x:v>M5-HIT-0970</x:v>
      </x:c>
      <x:c r="B975" s="34" t="str"/>
      <x:c r="C975" s="34" t="str"/>
      <x:c r="D975" s="34" t="str"/>
      <x:c r="E975" s="34" t="str"/>
      <x:c r="F975" s="34" t="str"/>
      <x:c r="G975" s="34" t="str"/>
      <x:c r="H975" s="34" t="str"/>
      <x:c r="I975" s="34" t="str"/>
      <x:c r="J975" s="34" t="str"/>
      <x:c r="K975" s="34" t="str"/>
      <x:c r="L975" s="34" t="str"/>
      <x:c r="M975" s="34" t="str"/>
      <x:c r="N975" s="34" t="str"/>
      <x:c r="O975" s="34" t="str"/>
      <x:c r="P975" s="34" t="str"/>
      <x:c r="Q975" s="34" t="str"/>
    </x:row>
    <x:row r="976">
      <x:c r="A976" s="34" t="str">
        <x:v>M5-HIT-0971</x:v>
      </x:c>
      <x:c r="B976" s="34" t="str"/>
      <x:c r="C976" s="34" t="str"/>
      <x:c r="D976" s="34" t="str"/>
      <x:c r="E976" s="34" t="str"/>
      <x:c r="F976" s="34" t="str"/>
      <x:c r="G976" s="34" t="str"/>
      <x:c r="H976" s="34" t="str"/>
      <x:c r="I976" s="34" t="str"/>
      <x:c r="J976" s="34" t="str"/>
      <x:c r="K976" s="34" t="str"/>
      <x:c r="L976" s="34" t="str"/>
      <x:c r="M976" s="34" t="str"/>
      <x:c r="N976" s="34" t="str"/>
      <x:c r="O976" s="34" t="str"/>
      <x:c r="P976" s="34" t="str"/>
      <x:c r="Q976" s="34" t="str"/>
    </x:row>
    <x:row r="977">
      <x:c r="A977" s="34" t="str">
        <x:v>M5-HIT-0972</x:v>
      </x:c>
      <x:c r="B977" s="34" t="str"/>
      <x:c r="C977" s="34" t="str"/>
      <x:c r="D977" s="34" t="str"/>
      <x:c r="E977" s="34" t="str"/>
      <x:c r="F977" s="34" t="str"/>
      <x:c r="G977" s="34" t="str"/>
      <x:c r="H977" s="34" t="str"/>
      <x:c r="I977" s="34" t="str"/>
      <x:c r="J977" s="34" t="str"/>
      <x:c r="K977" s="34" t="str"/>
      <x:c r="L977" s="34" t="str"/>
      <x:c r="M977" s="34" t="str"/>
      <x:c r="N977" s="34" t="str"/>
      <x:c r="O977" s="34" t="str"/>
      <x:c r="P977" s="34" t="str"/>
      <x:c r="Q977" s="34" t="str"/>
    </x:row>
    <x:row r="978">
      <x:c r="A978" s="34" t="str">
        <x:v>M5-HIT-0973</x:v>
      </x:c>
      <x:c r="B978" s="34" t="str"/>
      <x:c r="C978" s="34" t="str"/>
      <x:c r="D978" s="34" t="str"/>
      <x:c r="E978" s="34" t="str"/>
      <x:c r="F978" s="34" t="str"/>
      <x:c r="G978" s="34" t="str"/>
      <x:c r="H978" s="34" t="str"/>
      <x:c r="I978" s="34" t="str"/>
      <x:c r="J978" s="34" t="str"/>
      <x:c r="K978" s="34" t="str"/>
      <x:c r="L978" s="34" t="str"/>
      <x:c r="M978" s="34" t="str"/>
      <x:c r="N978" s="34" t="str"/>
      <x:c r="O978" s="34" t="str"/>
      <x:c r="P978" s="34" t="str"/>
      <x:c r="Q978" s="34" t="str"/>
    </x:row>
    <x:row r="979">
      <x:c r="A979" s="34" t="str">
        <x:v>M5-HIT-0974</x:v>
      </x:c>
      <x:c r="B979" s="34" t="str"/>
      <x:c r="C979" s="34" t="str"/>
      <x:c r="D979" s="34" t="str"/>
      <x:c r="E979" s="34" t="str"/>
      <x:c r="F979" s="34" t="str"/>
      <x:c r="G979" s="34" t="str"/>
      <x:c r="H979" s="34" t="str"/>
      <x:c r="I979" s="34" t="str"/>
      <x:c r="J979" s="34" t="str"/>
      <x:c r="K979" s="34" t="str"/>
      <x:c r="L979" s="34" t="str"/>
      <x:c r="M979" s="34" t="str"/>
      <x:c r="N979" s="34" t="str"/>
      <x:c r="O979" s="34" t="str"/>
      <x:c r="P979" s="34" t="str"/>
      <x:c r="Q979" s="34" t="str"/>
    </x:row>
    <x:row r="980">
      <x:c r="A980" s="34" t="str">
        <x:v>M5-HIT-0975</x:v>
      </x:c>
      <x:c r="B980" s="34" t="str"/>
      <x:c r="C980" s="34" t="str"/>
      <x:c r="D980" s="34" t="str"/>
      <x:c r="E980" s="34" t="str"/>
      <x:c r="F980" s="34" t="str"/>
      <x:c r="G980" s="34" t="str"/>
      <x:c r="H980" s="34" t="str"/>
      <x:c r="I980" s="34" t="str"/>
      <x:c r="J980" s="34" t="str"/>
      <x:c r="K980" s="34" t="str"/>
      <x:c r="L980" s="34" t="str"/>
      <x:c r="M980" s="34" t="str"/>
      <x:c r="N980" s="34" t="str"/>
      <x:c r="O980" s="34" t="str"/>
      <x:c r="P980" s="34" t="str"/>
      <x:c r="Q980" s="34" t="str"/>
    </x:row>
    <x:row r="981">
      <x:c r="A981" s="34" t="str">
        <x:v>M5-HIT-0976</x:v>
      </x:c>
      <x:c r="B981" s="34" t="str"/>
      <x:c r="C981" s="34" t="str"/>
      <x:c r="D981" s="34" t="str"/>
      <x:c r="E981" s="34" t="str"/>
      <x:c r="F981" s="34" t="str"/>
      <x:c r="G981" s="34" t="str"/>
      <x:c r="H981" s="34" t="str"/>
      <x:c r="I981" s="34" t="str"/>
      <x:c r="J981" s="34" t="str"/>
      <x:c r="K981" s="34" t="str"/>
      <x:c r="L981" s="34" t="str"/>
      <x:c r="M981" s="34" t="str"/>
      <x:c r="N981" s="34" t="str"/>
      <x:c r="O981" s="34" t="str"/>
      <x:c r="P981" s="34" t="str"/>
      <x:c r="Q981" s="34" t="str"/>
    </x:row>
    <x:row r="982">
      <x:c r="A982" s="34" t="str">
        <x:v>M5-HIT-0977</x:v>
      </x:c>
      <x:c r="B982" s="34" t="str"/>
      <x:c r="C982" s="34" t="str"/>
      <x:c r="D982" s="34" t="str"/>
      <x:c r="E982" s="34" t="str"/>
      <x:c r="F982" s="34" t="str"/>
      <x:c r="G982" s="34" t="str"/>
      <x:c r="H982" s="34" t="str"/>
      <x:c r="I982" s="34" t="str"/>
      <x:c r="J982" s="34" t="str"/>
      <x:c r="K982" s="34" t="str"/>
      <x:c r="L982" s="34" t="str"/>
      <x:c r="M982" s="34" t="str"/>
      <x:c r="N982" s="34" t="str"/>
      <x:c r="O982" s="34" t="str"/>
      <x:c r="P982" s="34" t="str"/>
      <x:c r="Q982" s="34" t="str"/>
    </x:row>
    <x:row r="983">
      <x:c r="A983" s="34" t="str">
        <x:v>M5-HIT-0978</x:v>
      </x:c>
      <x:c r="B983" s="34" t="str"/>
      <x:c r="C983" s="34" t="str"/>
      <x:c r="D983" s="34" t="str"/>
      <x:c r="E983" s="34" t="str"/>
      <x:c r="F983" s="34" t="str"/>
      <x:c r="G983" s="34" t="str"/>
      <x:c r="H983" s="34" t="str"/>
      <x:c r="I983" s="34" t="str"/>
      <x:c r="J983" s="34" t="str"/>
      <x:c r="K983" s="34" t="str"/>
      <x:c r="L983" s="34" t="str"/>
      <x:c r="M983" s="34" t="str"/>
      <x:c r="N983" s="34" t="str"/>
      <x:c r="O983" s="34" t="str"/>
      <x:c r="P983" s="34" t="str"/>
      <x:c r="Q983" s="34" t="str"/>
    </x:row>
    <x:row r="984">
      <x:c r="A984" s="34" t="str">
        <x:v>M5-HIT-0979</x:v>
      </x:c>
      <x:c r="B984" s="34" t="str"/>
      <x:c r="C984" s="34" t="str"/>
      <x:c r="D984" s="34" t="str"/>
      <x:c r="E984" s="34" t="str"/>
      <x:c r="F984" s="34" t="str"/>
      <x:c r="G984" s="34" t="str"/>
      <x:c r="H984" s="34" t="str"/>
      <x:c r="I984" s="34" t="str"/>
      <x:c r="J984" s="34" t="str"/>
      <x:c r="K984" s="34" t="str"/>
      <x:c r="L984" s="34" t="str"/>
      <x:c r="M984" s="34" t="str"/>
      <x:c r="N984" s="34" t="str"/>
      <x:c r="O984" s="34" t="str"/>
      <x:c r="P984" s="34" t="str"/>
      <x:c r="Q984" s="34" t="str"/>
    </x:row>
    <x:row r="985">
      <x:c r="A985" s="34" t="str">
        <x:v>M5-HIT-0980</x:v>
      </x:c>
      <x:c r="B985" s="34" t="str"/>
      <x:c r="C985" s="34" t="str"/>
      <x:c r="D985" s="34" t="str"/>
      <x:c r="E985" s="34" t="str"/>
      <x:c r="F985" s="34" t="str"/>
      <x:c r="G985" s="34" t="str"/>
      <x:c r="H985" s="34" t="str"/>
      <x:c r="I985" s="34" t="str"/>
      <x:c r="J985" s="34" t="str"/>
      <x:c r="K985" s="34" t="str"/>
      <x:c r="L985" s="34" t="str"/>
      <x:c r="M985" s="34" t="str"/>
      <x:c r="N985" s="34" t="str"/>
      <x:c r="O985" s="34" t="str"/>
      <x:c r="P985" s="34" t="str"/>
      <x:c r="Q985" s="34" t="str"/>
    </x:row>
    <x:row r="986">
      <x:c r="A986" s="34" t="str">
        <x:v>M5-HIT-0981</x:v>
      </x:c>
      <x:c r="B986" s="34" t="str"/>
      <x:c r="C986" s="34" t="str"/>
      <x:c r="D986" s="34" t="str"/>
      <x:c r="E986" s="34" t="str"/>
      <x:c r="F986" s="34" t="str"/>
      <x:c r="G986" s="34" t="str"/>
      <x:c r="H986" s="34" t="str"/>
      <x:c r="I986" s="34" t="str"/>
      <x:c r="J986" s="34" t="str"/>
      <x:c r="K986" s="34" t="str"/>
      <x:c r="L986" s="34" t="str"/>
      <x:c r="M986" s="34" t="str"/>
      <x:c r="N986" s="34" t="str"/>
      <x:c r="O986" s="34" t="str"/>
      <x:c r="P986" s="34" t="str"/>
      <x:c r="Q986" s="34" t="str"/>
    </x:row>
    <x:row r="987">
      <x:c r="A987" s="34" t="str">
        <x:v>M5-HIT-0982</x:v>
      </x:c>
      <x:c r="B987" s="34" t="str"/>
      <x:c r="C987" s="34" t="str"/>
      <x:c r="D987" s="34" t="str"/>
      <x:c r="E987" s="34" t="str"/>
      <x:c r="F987" s="34" t="str"/>
      <x:c r="G987" s="34" t="str"/>
      <x:c r="H987" s="34" t="str"/>
      <x:c r="I987" s="34" t="str"/>
      <x:c r="J987" s="34" t="str"/>
      <x:c r="K987" s="34" t="str"/>
      <x:c r="L987" s="34" t="str"/>
      <x:c r="M987" s="34" t="str"/>
      <x:c r="N987" s="34" t="str"/>
      <x:c r="O987" s="34" t="str"/>
      <x:c r="P987" s="34" t="str"/>
      <x:c r="Q987" s="34" t="str"/>
    </x:row>
    <x:row r="988">
      <x:c r="A988" s="34" t="str">
        <x:v>M5-HIT-0983</x:v>
      </x:c>
      <x:c r="B988" s="34" t="str"/>
      <x:c r="C988" s="34" t="str"/>
      <x:c r="D988" s="34" t="str"/>
      <x:c r="E988" s="34" t="str"/>
      <x:c r="F988" s="34" t="str"/>
      <x:c r="G988" s="34" t="str"/>
      <x:c r="H988" s="34" t="str"/>
      <x:c r="I988" s="34" t="str"/>
      <x:c r="J988" s="34" t="str"/>
      <x:c r="K988" s="34" t="str"/>
      <x:c r="L988" s="34" t="str"/>
      <x:c r="M988" s="34" t="str"/>
      <x:c r="N988" s="34" t="str"/>
      <x:c r="O988" s="34" t="str"/>
      <x:c r="P988" s="34" t="str"/>
      <x:c r="Q988" s="34" t="str"/>
    </x:row>
    <x:row r="989">
      <x:c r="A989" s="34" t="str">
        <x:v>M5-HIT-0984</x:v>
      </x:c>
      <x:c r="B989" s="34" t="str"/>
      <x:c r="C989" s="34" t="str"/>
      <x:c r="D989" s="34" t="str"/>
      <x:c r="E989" s="34" t="str"/>
      <x:c r="F989" s="34" t="str"/>
      <x:c r="G989" s="34" t="str"/>
      <x:c r="H989" s="34" t="str"/>
      <x:c r="I989" s="34" t="str"/>
      <x:c r="J989" s="34" t="str"/>
      <x:c r="K989" s="34" t="str"/>
      <x:c r="L989" s="34" t="str"/>
      <x:c r="M989" s="34" t="str"/>
      <x:c r="N989" s="34" t="str"/>
      <x:c r="O989" s="34" t="str"/>
      <x:c r="P989" s="34" t="str"/>
      <x:c r="Q989" s="34" t="str"/>
    </x:row>
    <x:row r="990">
      <x:c r="A990" s="34" t="str">
        <x:v>M5-HIT-0985</x:v>
      </x:c>
      <x:c r="B990" s="34" t="str"/>
      <x:c r="C990" s="34" t="str"/>
      <x:c r="D990" s="34" t="str"/>
      <x:c r="E990" s="34" t="str"/>
      <x:c r="F990" s="34" t="str"/>
      <x:c r="G990" s="34" t="str"/>
      <x:c r="H990" s="34" t="str"/>
      <x:c r="I990" s="34" t="str"/>
      <x:c r="J990" s="34" t="str"/>
      <x:c r="K990" s="34" t="str"/>
      <x:c r="L990" s="34" t="str"/>
      <x:c r="M990" s="34" t="str"/>
      <x:c r="N990" s="34" t="str"/>
      <x:c r="O990" s="34" t="str"/>
      <x:c r="P990" s="34" t="str"/>
      <x:c r="Q990" s="34" t="str"/>
    </x:row>
    <x:row r="991">
      <x:c r="A991" s="34" t="str">
        <x:v>M5-HIT-0986</x:v>
      </x:c>
      <x:c r="B991" s="34" t="str"/>
      <x:c r="C991" s="34" t="str"/>
      <x:c r="D991" s="34" t="str"/>
      <x:c r="E991" s="34" t="str"/>
      <x:c r="F991" s="34" t="str"/>
      <x:c r="G991" s="34" t="str"/>
      <x:c r="H991" s="34" t="str"/>
      <x:c r="I991" s="34" t="str"/>
      <x:c r="J991" s="34" t="str"/>
      <x:c r="K991" s="34" t="str"/>
      <x:c r="L991" s="34" t="str"/>
      <x:c r="M991" s="34" t="str"/>
      <x:c r="N991" s="34" t="str"/>
      <x:c r="O991" s="34" t="str"/>
      <x:c r="P991" s="34" t="str"/>
      <x:c r="Q991" s="34" t="str"/>
    </x:row>
    <x:row r="992">
      <x:c r="A992" s="34" t="str">
        <x:v>M5-HIT-0987</x:v>
      </x:c>
      <x:c r="B992" s="34" t="str"/>
      <x:c r="C992" s="34" t="str"/>
      <x:c r="D992" s="34" t="str"/>
      <x:c r="E992" s="34" t="str"/>
      <x:c r="F992" s="34" t="str"/>
      <x:c r="G992" s="34" t="str"/>
      <x:c r="H992" s="34" t="str"/>
      <x:c r="I992" s="34" t="str"/>
      <x:c r="J992" s="34" t="str"/>
      <x:c r="K992" s="34" t="str"/>
      <x:c r="L992" s="34" t="str"/>
      <x:c r="M992" s="34" t="str"/>
      <x:c r="N992" s="34" t="str"/>
      <x:c r="O992" s="34" t="str"/>
      <x:c r="P992" s="34" t="str"/>
      <x:c r="Q992" s="34" t="str"/>
    </x:row>
    <x:row r="993">
      <x:c r="A993" s="34" t="str">
        <x:v>M5-HIT-0988</x:v>
      </x:c>
      <x:c r="B993" s="34" t="str"/>
      <x:c r="C993" s="34" t="str"/>
      <x:c r="D993" s="34" t="str"/>
      <x:c r="E993" s="34" t="str"/>
      <x:c r="F993" s="34" t="str"/>
      <x:c r="G993" s="34" t="str"/>
      <x:c r="H993" s="34" t="str"/>
      <x:c r="I993" s="34" t="str"/>
      <x:c r="J993" s="34" t="str"/>
      <x:c r="K993" s="34" t="str"/>
      <x:c r="L993" s="34" t="str"/>
      <x:c r="M993" s="34" t="str"/>
      <x:c r="N993" s="34" t="str"/>
      <x:c r="O993" s="34" t="str"/>
      <x:c r="P993" s="34" t="str"/>
      <x:c r="Q993" s="34" t="str"/>
    </x:row>
    <x:row r="994">
      <x:c r="A994" s="34" t="str">
        <x:v>M5-HIT-0989</x:v>
      </x:c>
      <x:c r="B994" s="34" t="str"/>
      <x:c r="C994" s="34" t="str"/>
      <x:c r="D994" s="34" t="str"/>
      <x:c r="E994" s="34" t="str"/>
      <x:c r="F994" s="34" t="str"/>
      <x:c r="G994" s="34" t="str"/>
      <x:c r="H994" s="34" t="str"/>
      <x:c r="I994" s="34" t="str"/>
      <x:c r="J994" s="34" t="str"/>
      <x:c r="K994" s="34" t="str"/>
      <x:c r="L994" s="34" t="str"/>
      <x:c r="M994" s="34" t="str"/>
      <x:c r="N994" s="34" t="str"/>
      <x:c r="O994" s="34" t="str"/>
      <x:c r="P994" s="34" t="str"/>
      <x:c r="Q994" s="34" t="str"/>
    </x:row>
    <x:row r="995">
      <x:c r="A995" s="34" t="str">
        <x:v>M5-HIT-0990</x:v>
      </x:c>
      <x:c r="B995" s="34" t="str"/>
      <x:c r="C995" s="34" t="str"/>
      <x:c r="D995" s="34" t="str"/>
      <x:c r="E995" s="34" t="str"/>
      <x:c r="F995" s="34" t="str"/>
      <x:c r="G995" s="34" t="str"/>
      <x:c r="H995" s="34" t="str"/>
      <x:c r="I995" s="34" t="str"/>
      <x:c r="J995" s="34" t="str"/>
      <x:c r="K995" s="34" t="str"/>
      <x:c r="L995" s="34" t="str"/>
      <x:c r="M995" s="34" t="str"/>
      <x:c r="N995" s="34" t="str"/>
      <x:c r="O995" s="34" t="str"/>
      <x:c r="P995" s="34" t="str"/>
      <x:c r="Q995" s="34" t="str"/>
    </x:row>
    <x:row r="996">
      <x:c r="A996" s="34" t="str">
        <x:v>M5-HIT-0991</x:v>
      </x:c>
      <x:c r="B996" s="34" t="str"/>
      <x:c r="C996" s="34" t="str"/>
      <x:c r="D996" s="34" t="str"/>
      <x:c r="E996" s="34" t="str"/>
      <x:c r="F996" s="34" t="str"/>
      <x:c r="G996" s="34" t="str"/>
      <x:c r="H996" s="34" t="str"/>
      <x:c r="I996" s="34" t="str"/>
      <x:c r="J996" s="34" t="str"/>
      <x:c r="K996" s="34" t="str"/>
      <x:c r="L996" s="34" t="str"/>
      <x:c r="M996" s="34" t="str"/>
      <x:c r="N996" s="34" t="str"/>
      <x:c r="O996" s="34" t="str"/>
      <x:c r="P996" s="34" t="str"/>
      <x:c r="Q996" s="34" t="str"/>
    </x:row>
    <x:row r="997">
      <x:c r="A997" s="34" t="str">
        <x:v>M5-HIT-0992</x:v>
      </x:c>
      <x:c r="B997" s="34" t="str"/>
      <x:c r="C997" s="34" t="str"/>
      <x:c r="D997" s="34" t="str"/>
      <x:c r="E997" s="34" t="str"/>
      <x:c r="F997" s="34" t="str"/>
      <x:c r="G997" s="34" t="str"/>
      <x:c r="H997" s="34" t="str"/>
      <x:c r="I997" s="34" t="str"/>
      <x:c r="J997" s="34" t="str"/>
      <x:c r="K997" s="34" t="str"/>
      <x:c r="L997" s="34" t="str"/>
      <x:c r="M997" s="34" t="str"/>
      <x:c r="N997" s="34" t="str"/>
      <x:c r="O997" s="34" t="str"/>
      <x:c r="P997" s="34" t="str"/>
      <x:c r="Q997" s="34" t="str"/>
    </x:row>
    <x:row r="998">
      <x:c r="A998" s="34" t="str">
        <x:v>M5-HIT-0993</x:v>
      </x:c>
      <x:c r="B998" s="34" t="str"/>
      <x:c r="C998" s="34" t="str"/>
      <x:c r="D998" s="34" t="str"/>
      <x:c r="E998" s="34" t="str"/>
      <x:c r="F998" s="34" t="str"/>
      <x:c r="G998" s="34" t="str"/>
      <x:c r="H998" s="34" t="str"/>
      <x:c r="I998" s="34" t="str"/>
      <x:c r="J998" s="34" t="str"/>
      <x:c r="K998" s="34" t="str"/>
      <x:c r="L998" s="34" t="str"/>
      <x:c r="M998" s="34" t="str"/>
      <x:c r="N998" s="34" t="str"/>
      <x:c r="O998" s="34" t="str"/>
      <x:c r="P998" s="34" t="str"/>
      <x:c r="Q998" s="34" t="str"/>
    </x:row>
    <x:row r="999">
      <x:c r="A999" s="34" t="str">
        <x:v>M5-HIT-0994</x:v>
      </x:c>
      <x:c r="B999" s="34" t="str"/>
      <x:c r="C999" s="34" t="str"/>
      <x:c r="D999" s="34" t="str"/>
      <x:c r="E999" s="34" t="str"/>
      <x:c r="F999" s="34" t="str"/>
      <x:c r="G999" s="34" t="str"/>
      <x:c r="H999" s="34" t="str"/>
      <x:c r="I999" s="34" t="str"/>
      <x:c r="J999" s="34" t="str"/>
      <x:c r="K999" s="34" t="str"/>
      <x:c r="L999" s="34" t="str"/>
      <x:c r="M999" s="34" t="str"/>
      <x:c r="N999" s="34" t="str"/>
      <x:c r="O999" s="34" t="str"/>
      <x:c r="P999" s="34" t="str"/>
      <x:c r="Q999" s="34" t="str"/>
    </x:row>
    <x:row r="1000">
      <x:c r="A1000" s="34" t="str">
        <x:v>M5-HIT-0995</x:v>
      </x:c>
      <x:c r="B1000" s="34" t="str"/>
      <x:c r="C1000" s="34" t="str"/>
      <x:c r="D1000" s="34" t="str"/>
      <x:c r="E1000" s="34" t="str"/>
      <x:c r="F1000" s="34" t="str"/>
      <x:c r="G1000" s="34" t="str"/>
      <x:c r="H1000" s="34" t="str"/>
      <x:c r="I1000" s="34" t="str"/>
      <x:c r="J1000" s="34" t="str"/>
      <x:c r="K1000" s="34" t="str"/>
      <x:c r="L1000" s="34" t="str"/>
      <x:c r="M1000" s="34" t="str"/>
      <x:c r="N1000" s="34" t="str"/>
      <x:c r="O1000" s="34" t="str"/>
      <x:c r="P1000" s="34" t="str"/>
      <x:c r="Q1000" s="34" t="str"/>
    </x:row>
    <x:row r="1001">
      <x:c r="A1001" s="34" t="str">
        <x:v>M5-HIT-0996</x:v>
      </x:c>
      <x:c r="B1001" s="34" t="str"/>
      <x:c r="C1001" s="34" t="str"/>
      <x:c r="D1001" s="34" t="str"/>
      <x:c r="E1001" s="34" t="str"/>
      <x:c r="F1001" s="34" t="str"/>
      <x:c r="G1001" s="34" t="str"/>
      <x:c r="H1001" s="34" t="str"/>
      <x:c r="I1001" s="34" t="str"/>
      <x:c r="J1001" s="34" t="str"/>
      <x:c r="K1001" s="34" t="str"/>
      <x:c r="L1001" s="34" t="str"/>
      <x:c r="M1001" s="34" t="str"/>
      <x:c r="N1001" s="34" t="str"/>
      <x:c r="O1001" s="34" t="str"/>
      <x:c r="P1001" s="34" t="str"/>
      <x:c r="Q1001" s="34" t="str"/>
    </x:row>
    <x:row r="1002">
      <x:c r="A1002" s="34" t="str">
        <x:v>M5-HIT-0997</x:v>
      </x:c>
      <x:c r="B1002" s="34" t="str"/>
      <x:c r="C1002" s="34" t="str"/>
      <x:c r="D1002" s="34" t="str"/>
      <x:c r="E1002" s="34" t="str"/>
      <x:c r="F1002" s="34" t="str"/>
      <x:c r="G1002" s="34" t="str"/>
      <x:c r="H1002" s="34" t="str"/>
      <x:c r="I1002" s="34" t="str"/>
      <x:c r="J1002" s="34" t="str"/>
      <x:c r="K1002" s="34" t="str"/>
      <x:c r="L1002" s="34" t="str"/>
      <x:c r="M1002" s="34" t="str"/>
      <x:c r="N1002" s="34" t="str"/>
      <x:c r="O1002" s="34" t="str"/>
      <x:c r="P1002" s="34" t="str"/>
      <x:c r="Q1002" s="34" t="str"/>
    </x:row>
    <x:row r="1003">
      <x:c r="A1003" s="34" t="str">
        <x:v>M5-HIT-0998</x:v>
      </x:c>
      <x:c r="B1003" s="34" t="str"/>
      <x:c r="C1003" s="34" t="str"/>
      <x:c r="D1003" s="34" t="str"/>
      <x:c r="E1003" s="34" t="str"/>
      <x:c r="F1003" s="34" t="str"/>
      <x:c r="G1003" s="34" t="str"/>
      <x:c r="H1003" s="34" t="str"/>
      <x:c r="I1003" s="34" t="str"/>
      <x:c r="J1003" s="34" t="str"/>
      <x:c r="K1003" s="34" t="str"/>
      <x:c r="L1003" s="34" t="str"/>
      <x:c r="M1003" s="34" t="str"/>
      <x:c r="N1003" s="34" t="str"/>
      <x:c r="O1003" s="34" t="str"/>
      <x:c r="P1003" s="34" t="str"/>
      <x:c r="Q1003" s="34" t="str"/>
    </x:row>
    <x:row r="1004">
      <x:c r="A1004" s="34" t="str">
        <x:v>M5-HIT-0999</x:v>
      </x:c>
      <x:c r="B1004" s="34" t="str"/>
      <x:c r="C1004" s="34" t="str"/>
      <x:c r="D1004" s="34" t="str"/>
      <x:c r="E1004" s="34" t="str"/>
      <x:c r="F1004" s="34" t="str"/>
      <x:c r="G1004" s="34" t="str"/>
      <x:c r="H1004" s="34" t="str"/>
      <x:c r="I1004" s="34" t="str"/>
      <x:c r="J1004" s="34" t="str"/>
      <x:c r="K1004" s="34" t="str"/>
      <x:c r="L1004" s="34" t="str"/>
      <x:c r="M1004" s="34" t="str"/>
      <x:c r="N1004" s="34" t="str"/>
      <x:c r="O1004" s="34" t="str"/>
      <x:c r="P1004" s="34" t="str"/>
      <x:c r="Q1004" s="34" t="str"/>
    </x:row>
    <x:row r="1005">
      <x:c r="A1005" s="34" t="str">
        <x:v>M5-HIT-1000</x:v>
      </x:c>
      <x:c r="B1005" s="34" t="str"/>
      <x:c r="C1005" s="34" t="str"/>
      <x:c r="D1005" s="34" t="str"/>
      <x:c r="E1005" s="34" t="str"/>
      <x:c r="F1005" s="34" t="str"/>
      <x:c r="G1005" s="34" t="str"/>
      <x:c r="H1005" s="34" t="str"/>
      <x:c r="I1005" s="34" t="str"/>
      <x:c r="J1005" s="34" t="str"/>
      <x:c r="K1005" s="34" t="str"/>
      <x:c r="L1005" s="34" t="str"/>
      <x:c r="M1005" s="34" t="str"/>
      <x:c r="N1005" s="34" t="str"/>
      <x:c r="O1005" s="34" t="str"/>
      <x:c r="P1005" s="34" t="str"/>
      <x:c r="Q1005" s="34" t="str"/>
    </x:row>
  </x:sheetData>
  <x:mergeCells>
    <x:mergeCell ref="A1:Q2"/>
    <x:mergeCell ref="A3:Q3"/>
  </x:mergeCells>
  <x:dataValidations count="6">
    <x:dataValidation type="list" sqref="E6:E1005">
      <x:formula1>"BASE,PARTNER,EXCHANGE,BOUND,REPAIR,RHYTHM,GAP,SYNTH"</x:formula1>
    </x:dataValidation>
    <x:dataValidation type="list" sqref="F6:F1005">
      <x:formula1>"FAM01,FAM02,FAM03,FAM04,FAM05,FAM06,FAM07,FAM08,FAM09,FAM10"</x:formula1>
    </x:dataValidation>
    <x:dataValidation type="list" sqref="H6:H1005">
      <x:formula1>"是,否"</x:formula1>
    </x:dataValidation>
    <x:dataValidation type="list" sqref="J6:J1005">
      <x:formula1>"支持,部分支持,反例,不确定,不可评估"</x:formula1>
    </x:dataValidation>
    <x:dataValidation type="list" sqref="K6:K1005">
      <x:formula1>"1,2,3"</x:formula1>
    </x:dataValidation>
    <x:dataValidation type="list" sqref="L6:M1005">
      <x:formula1>"是,否,不适用"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e6fdb63bc845a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46" hidden="0" customWidth="1"/>
    <x:col min="5" max="5" width="24" hidden="0" customWidth="1"/>
    <x:col min="6" max="6" width="16" hidden="0" customWidth="1"/>
    <x:col min="7" max="7" width="14" hidden="0" customWidth="1"/>
    <x:col min="8" max="8" width="16" hidden="0" customWidth="1"/>
    <x:col min="9" max="9" width="10" hidden="0" customWidth="1"/>
    <x:col min="10" max="10" width="12" hidden="0" customWidth="1"/>
    <x:col min="11" max="11" width="10" hidden="0" customWidth="1"/>
    <x:col min="12" max="12" width="12" hidden="0" customWidth="1"/>
    <x:col min="13" max="13" width="14" hidden="0" customWidth="1"/>
    <x:col min="14" max="14" width="12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4" hidden="0" customWidth="1"/>
    <x:col min="22" max="22" width="18" hidden="0" customWidth="1"/>
    <x:col min="23" max="23" width="18" hidden="0" customWidth="1"/>
    <x:col min="24" max="24" width="20" hidden="0" customWidth="1"/>
    <x:col min="25" max="25" width="42" hidden="0" customWidth="1"/>
  </x:cols>
  <x:sheetData>
    <x:row r="1">
      <x:c r="A1" s="45" t="str">
        <x:v>活跃规则校准台：500条优先规则＋100个追加位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</x:row>
    <x:row r="3">
      <x:c r="A3" s="50" t="str">
        <x:v>从“07_规则命中”筛选汇总支持、反例与误判后填入计数；支持率、平滑率和自动建议自动计算。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  <x:c r="X3" s="50"/>
      <x:c r="Y3" s="50"/>
    </x:row>
    <x:row r="5">
      <x:c r="A5" s="55" t="str">
        <x:v>rule_id</x:v>
      </x:c>
      <x:c r="B5" s="55" t="str">
        <x:v>模块</x:v>
      </x:c>
      <x:c r="C5" s="55" t="str">
        <x:v>校准优先级</x:v>
      </x:c>
      <x:c r="D5" s="55" t="str">
        <x:v>规则名称</x:v>
      </x:c>
      <x:c r="E5" s="55" t="str">
        <x:v>层级</x:v>
      </x:c>
      <x:c r="F5" s="55" t="str">
        <x:v>规则类型</x:v>
      </x:c>
      <x:c r="G5" s="55" t="str">
        <x:v>规则优先级</x:v>
      </x:c>
      <x:c r="H5" s="55" t="str">
        <x:v>当前状态</x:v>
      </x:c>
      <x:c r="I5" s="55" t="str">
        <x:v>支持</x:v>
      </x:c>
      <x:c r="J5" s="55" t="str">
        <x:v>部分支持</x:v>
      </x:c>
      <x:c r="K5" s="55" t="str">
        <x:v>反例</x:v>
      </x:c>
      <x:c r="L5" s="55" t="str">
        <x:v>不确定</x:v>
      </x:c>
      <x:c r="M5" s="55" t="str">
        <x:v>不可评估</x:v>
      </x:c>
      <x:c r="N5" s="55" t="str">
        <x:v>可评数</x:v>
      </x:c>
      <x:c r="O5" s="55" t="str">
        <x:v>加权支持率</x:v>
      </x:c>
      <x:c r="P5" s="55" t="str">
        <x:v>平滑支持率</x:v>
      </x:c>
      <x:c r="Q5" s="55" t="str">
        <x:v>严重反例</x:v>
      </x:c>
      <x:c r="R5" s="55" t="str">
        <x:v>假阳性</x:v>
      </x:c>
      <x:c r="S5" s="55" t="str">
        <x:v>假阴性</x:v>
      </x:c>
      <x:c r="T5" s="55" t="str">
        <x:v>反馈前命中</x:v>
      </x:c>
      <x:c r="U5" s="55" t="str">
        <x:v>反馈后新增</x:v>
      </x:c>
      <x:c r="V5" s="55" t="str">
        <x:v>自动建议</x:v>
      </x:c>
      <x:c r="W5" s="55" t="str">
        <x:v>建议状态</x:v>
      </x:c>
      <x:c r="X5" s="55" t="str">
        <x:v>人工结论</x:v>
      </x:c>
      <x:c r="Y5" s="55" t="str">
        <x:v>备注</x:v>
      </x:c>
    </x:row>
    <x:row r="6">
      <x:c r="A6" s="34" t="str">
        <x:v>M5-SYNTH-001</x:v>
      </x:c>
      <x:c r="B6" s="34" t="str">
        <x:v>SYNTH</x:v>
      </x:c>
      <x:c r="C6" s="34" t="str">
        <x:v>P0_SYNTH总合成</x:v>
      </x:c>
      <x:c r="D6" s="34" t="str">
        <x:v>M5-SYNTH正式定义｜模型五总合成</x:v>
      </x:c>
      <x:c r="E6" s="34" t="str">
        <x:v>L0 定义、边界与安全</x:v>
      </x:c>
      <x:c r="F6" s="34" t="str">
        <x:v>定义</x:v>
      </x:c>
      <x:c r="G6" s="34" t="n">
        <x:v>100</x:v>
      </x:c>
      <x:c r="H6" s="34" t="str">
        <x:v>待验证</x:v>
      </x:c>
      <x:c r="I6" s="34" t="str"/>
      <x:c r="J6" s="34" t="str"/>
      <x:c r="K6" s="34" t="str"/>
      <x:c r="L6" s="34" t="str"/>
      <x:c r="M6" s="34" t="str"/>
      <x:c r="N6" s="34" t="n">
        <x:f>IF(A6="","",I6+J6+K6)</x:f>
        <x:v>0</x:v>
      </x:c>
      <x:c r="O6" s="56" t="str">
        <x:f>IF(N6=0,"",(I6+0.5*J6)/N6)</x:f>
      </x:c>
      <x:c r="P6" s="56" t="str">
        <x:f>IF(N6=0,"",(I6+0.5*J6+1)/(N6+2))</x:f>
      </x:c>
      <x:c r="Q6" s="34" t="str"/>
      <x:c r="R6" s="34" t="str"/>
      <x:c r="S6" s="34" t="str"/>
      <x:c r="T6" s="34" t="str"/>
      <x:c r="U6" s="34" t="str"/>
      <x:c r="V6" s="34" t="str">
        <x:f>IF(A6="","",IF(N6&lt;5,"样本不足",IF(Q6&gt;=1,"优先复核",IF(AND(N6&gt;=20,P6&lt;0.35,K6&gt;=5),"停用候选",IF(AND(N6&gt;=10,P6&lt;0.45),"需修改候选",IF(AND(N6&gt;=10,P6&gt;=0.75,R6/N6&lt;=0.15,S6/N6&lt;=0.15),"升级候选",IF(R6/N6&gt;0.3,"收紧条件",IF(S6/N6&gt;0.3,"补漏／放宽","继续观察"))))))))</x:f>
        <x:v>样本不足</x:v>
      </x:c>
      <x:c r="W6" s="34" t="str">
        <x:f>IF(V6="","",IF(V6="升级候选","已验证候选",IF(V6="停用候选","停用候选",IF(OR(V6="需修改候选",V6="收紧条件",V6="补漏／放宽",V6="优先复核"),"需修改／复核","观察中"))))</x:f>
        <x:v>观察中</x:v>
      </x:c>
      <x:c r="X6" s="34" t="str"/>
      <x:c r="Y6" s="34" t="str"/>
    </x:row>
    <x:row r="7">
      <x:c r="A7" s="34" t="str">
        <x:v>M5-SYNTH-002</x:v>
      </x:c>
      <x:c r="B7" s="34" t="str">
        <x:v>SYNTH</x:v>
      </x:c>
      <x:c r="C7" s="34" t="str">
        <x:v>P0_SYNTH总合成</x:v>
      </x:c>
      <x:c r="D7" s="34" t="str">
        <x:v>七模块合成公式｜不得跳过现实层</x:v>
      </x:c>
      <x:c r="E7" s="34" t="str">
        <x:v>L0 定义、边界与安全</x:v>
      </x:c>
      <x:c r="F7" s="34" t="str">
        <x:v>边界</x:v>
      </x:c>
      <x:c r="G7" s="34" t="n">
        <x:v>100</x:v>
      </x:c>
      <x:c r="H7" s="34" t="str">
        <x:v>待验证</x:v>
      </x:c>
      <x:c r="I7" s="34" t="str"/>
      <x:c r="J7" s="34" t="str"/>
      <x:c r="K7" s="34" t="str"/>
      <x:c r="L7" s="34" t="str"/>
      <x:c r="M7" s="34" t="str"/>
      <x:c r="N7" s="34" t="n">
        <x:f>IF(A7="","",I7+J7+K7)</x:f>
        <x:v>0</x:v>
      </x:c>
      <x:c r="O7" s="56" t="str">
        <x:f>IF(N7=0,"",(I7+0.5*J7)/N7)</x:f>
      </x:c>
      <x:c r="P7" s="56" t="str">
        <x:f>IF(N7=0,"",(I7+0.5*J7+1)/(N7+2))</x:f>
      </x:c>
      <x:c r="Q7" s="34" t="str"/>
      <x:c r="R7" s="34" t="str"/>
      <x:c r="S7" s="34" t="str"/>
      <x:c r="T7" s="34" t="str"/>
      <x:c r="U7" s="34" t="str"/>
      <x:c r="V7" s="34" t="str">
        <x:f>IF(A7="","",IF(N7&lt;5,"样本不足",IF(Q7&gt;=1,"优先复核",IF(AND(N7&gt;=20,P7&lt;0.35,K7&gt;=5),"停用候选",IF(AND(N7&gt;=10,P7&lt;0.45),"需修改候选",IF(AND(N7&gt;=10,P7&gt;=0.75,R7/N7&lt;=0.15,S7/N7&lt;=0.15),"升级候选",IF(R7/N7&gt;0.3,"收紧条件",IF(S7/N7&gt;0.3,"补漏／放宽","继续观察"))))))))</x:f>
        <x:v>样本不足</x:v>
      </x:c>
      <x:c r="W7" s="34" t="str">
        <x:f>IF(V7="","",IF(V7="升级候选","已验证候选",IF(V7="停用候选","停用候选",IF(OR(V7="需修改候选",V7="收紧条件",V7="补漏／放宽",V7="优先复核"),"需修改／复核","观察中"))))</x:f>
        <x:v>观察中</x:v>
      </x:c>
      <x:c r="X7" s="34" t="str"/>
      <x:c r="Y7" s="34" t="str"/>
    </x:row>
    <x:row r="8">
      <x:c r="A8" s="34" t="str">
        <x:v>M5-SYNTH-003</x:v>
      </x:c>
      <x:c r="B8" s="34" t="str">
        <x:v>SYNTH</x:v>
      </x:c>
      <x:c r="C8" s="34" t="str">
        <x:v>P0_SYNTH总合成</x:v>
      </x:c>
      <x:c r="D8" s="34" t="str">
        <x:v>现实安全优先｜普通适配立即停止</x:v>
      </x:c>
      <x:c r="E8" s="34" t="str">
        <x:v>L0 定义、边界与安全</x:v>
      </x:c>
      <x:c r="F8" s="34" t="str">
        <x:v>安全</x:v>
      </x:c>
      <x:c r="G8" s="34" t="n">
        <x:v>100</x:v>
      </x:c>
      <x:c r="H8" s="34" t="str">
        <x:v>待验证</x:v>
      </x:c>
      <x:c r="I8" s="34" t="str"/>
      <x:c r="J8" s="34" t="str"/>
      <x:c r="K8" s="34" t="str"/>
      <x:c r="L8" s="34" t="str"/>
      <x:c r="M8" s="34" t="str"/>
      <x:c r="N8" s="34" t="n">
        <x:f>IF(A8="","",I8+J8+K8)</x:f>
        <x:v>0</x:v>
      </x:c>
      <x:c r="O8" s="56" t="str">
        <x:f>IF(N8=0,"",(I8+0.5*J8)/N8)</x:f>
      </x:c>
      <x:c r="P8" s="56" t="str">
        <x:f>IF(N8=0,"",(I8+0.5*J8+1)/(N8+2))</x:f>
      </x:c>
      <x:c r="Q8" s="34" t="str"/>
      <x:c r="R8" s="34" t="str"/>
      <x:c r="S8" s="34" t="str"/>
      <x:c r="T8" s="34" t="str"/>
      <x:c r="U8" s="34" t="str"/>
      <x:c r="V8" s="34" t="str">
        <x:f>IF(A8="","",IF(N8&lt;5,"样本不足",IF(Q8&gt;=1,"优先复核",IF(AND(N8&gt;=20,P8&lt;0.35,K8&gt;=5),"停用候选",IF(AND(N8&gt;=10,P8&lt;0.45),"需修改候选",IF(AND(N8&gt;=10,P8&gt;=0.75,R8/N8&lt;=0.15,S8/N8&lt;=0.15),"升级候选",IF(R8/N8&gt;0.3,"收紧条件",IF(S8/N8&gt;0.3,"补漏／放宽","继续观察"))))))))</x:f>
        <x:v>样本不足</x:v>
      </x:c>
      <x:c r="W8" s="34" t="str">
        <x:f>IF(V8="","",IF(V8="升级候选","已验证候选",IF(V8="停用候选","停用候选",IF(OR(V8="需修改候选",V8="收紧条件",V8="补漏／放宽",V8="优先复核"),"需修改／复核","观察中"))))</x:f>
        <x:v>观察中</x:v>
      </x:c>
      <x:c r="X8" s="34" t="str"/>
      <x:c r="Y8" s="34" t="str"/>
    </x:row>
    <x:row r="9">
      <x:c r="A9" s="34" t="str">
        <x:v>M5-SYNTH-004</x:v>
      </x:c>
      <x:c r="B9" s="34" t="str">
        <x:v>SYNTH</x:v>
      </x:c>
      <x:c r="C9" s="34" t="str">
        <x:v>P0_SYNTH总合成</x:v>
      </x:c>
      <x:c r="D9" s="34" t="str">
        <x:v>核心现实门槛优先｜结构高分不得覆盖</x:v>
      </x:c>
      <x:c r="E9" s="34" t="str">
        <x:v>L0 定义、边界与安全</x:v>
      </x:c>
      <x:c r="F9" s="34" t="str">
        <x:v>边界</x:v>
      </x:c>
      <x:c r="G9" s="34" t="n">
        <x:v>100</x:v>
      </x:c>
      <x:c r="H9" s="34" t="str">
        <x:v>待验证</x:v>
      </x:c>
      <x:c r="I9" s="34" t="str"/>
      <x:c r="J9" s="34" t="str"/>
      <x:c r="K9" s="34" t="str"/>
      <x:c r="L9" s="34" t="str"/>
      <x:c r="M9" s="34" t="str"/>
      <x:c r="N9" s="34" t="n">
        <x:f>IF(A9="","",I9+J9+K9)</x:f>
        <x:v>0</x:v>
      </x:c>
      <x:c r="O9" s="56" t="str">
        <x:f>IF(N9=0,"",(I9+0.5*J9)/N9)</x:f>
      </x:c>
      <x:c r="P9" s="56" t="str">
        <x:f>IF(N9=0,"",(I9+0.5*J9+1)/(N9+2))</x:f>
      </x:c>
      <x:c r="Q9" s="34" t="str"/>
      <x:c r="R9" s="34" t="str"/>
      <x:c r="S9" s="34" t="str"/>
      <x:c r="T9" s="34" t="str"/>
      <x:c r="U9" s="34" t="str"/>
      <x:c r="V9" s="34" t="str">
        <x:f>IF(A9="","",IF(N9&lt;5,"样本不足",IF(Q9&gt;=1,"优先复核",IF(AND(N9&gt;=20,P9&lt;0.35,K9&gt;=5),"停用候选",IF(AND(N9&gt;=10,P9&lt;0.45),"需修改候选",IF(AND(N9&gt;=10,P9&gt;=0.75,R9/N9&lt;=0.15,S9/N9&lt;=0.15),"升级候选",IF(R9/N9&gt;0.3,"收紧条件",IF(S9/N9&gt;0.3,"补漏／放宽","继续观察"))))))))</x:f>
        <x:v>样本不足</x:v>
      </x:c>
      <x:c r="W9" s="34" t="str">
        <x:f>IF(V9="","",IF(V9="升级候选","已验证候选",IF(V9="停用候选","停用候选",IF(OR(V9="需修改候选",V9="收紧条件",V9="补漏／放宽",V9="优先复核"),"需修改／复核","观察中"))))</x:f>
        <x:v>观察中</x:v>
      </x:c>
      <x:c r="X9" s="34" t="str"/>
      <x:c r="Y9" s="34" t="str"/>
    </x:row>
    <x:row r="10">
      <x:c r="A10" s="34" t="str">
        <x:v>M5-SYNTH-005</x:v>
      </x:c>
      <x:c r="B10" s="34" t="str">
        <x:v>SYNTH</x:v>
      </x:c>
      <x:c r="C10" s="34" t="str">
        <x:v>P0_SYNTH总合成</x:v>
      </x:c>
      <x:c r="D10" s="34" t="str">
        <x:v>资料不足停止｜关键字段不可补写</x:v>
      </x:c>
      <x:c r="E10" s="34" t="str">
        <x:v>L0 定义、边界与安全</x:v>
      </x:c>
      <x:c r="F10" s="34" t="str">
        <x:v>停止</x:v>
      </x:c>
      <x:c r="G10" s="34" t="n">
        <x:v>100</x:v>
      </x:c>
      <x:c r="H10" s="34" t="str">
        <x:v>待验证</x:v>
      </x:c>
      <x:c r="I10" s="34" t="str"/>
      <x:c r="J10" s="34" t="str"/>
      <x:c r="K10" s="34" t="str"/>
      <x:c r="L10" s="34" t="str"/>
      <x:c r="M10" s="34" t="str"/>
      <x:c r="N10" s="34" t="n">
        <x:f>IF(A10="","",I10+J10+K10)</x:f>
        <x:v>0</x:v>
      </x:c>
      <x:c r="O10" s="56" t="str">
        <x:f>IF(N10=0,"",(I10+0.5*J10)/N10)</x:f>
      </x:c>
      <x:c r="P10" s="56" t="str">
        <x:f>IF(N10=0,"",(I10+0.5*J10+1)/(N10+2))</x:f>
      </x:c>
      <x:c r="Q10" s="34" t="str"/>
      <x:c r="R10" s="34" t="str"/>
      <x:c r="S10" s="34" t="str"/>
      <x:c r="T10" s="34" t="str"/>
      <x:c r="U10" s="34" t="str"/>
      <x:c r="V10" s="34" t="str">
        <x:f>IF(A10="","",IF(N10&lt;5,"样本不足",IF(Q10&gt;=1,"优先复核",IF(AND(N10&gt;=20,P10&lt;0.35,K10&gt;=5),"停用候选",IF(AND(N10&gt;=10,P10&lt;0.45),"需修改候选",IF(AND(N10&gt;=10,P10&gt;=0.75,R10/N10&lt;=0.15,S10/N10&lt;=0.15),"升级候选",IF(R10/N10&gt;0.3,"收紧条件",IF(S10/N10&gt;0.3,"补漏／放宽","继续观察"))))))))</x:f>
        <x:v>样本不足</x:v>
      </x:c>
      <x:c r="W10" s="34" t="str">
        <x:f>IF(V10="","",IF(V10="升级候选","已验证候选",IF(V10="停用候选","停用候选",IF(OR(V10="需修改候选",V10="收紧条件",V10="补漏／放宽",V10="优先复核"),"需修改／复核","观察中"))))</x:f>
        <x:v>观察中</x:v>
      </x:c>
      <x:c r="X10" s="34" t="str"/>
      <x:c r="Y10" s="34" t="str"/>
    </x:row>
    <x:row r="11">
      <x:c r="A11" s="34" t="str">
        <x:v>M5-SYNTH-145</x:v>
      </x:c>
      <x:c r="B11" s="34" t="str">
        <x:v>SYNTH</x:v>
      </x:c>
      <x:c r="C11" s="34" t="str">
        <x:v>P0_SYNTH总合成</x:v>
      </x:c>
      <x:c r="D11" s="34" t="str">
        <x:v>RG总门控｜RG01安全失败覆盖全部</x:v>
      </x:c>
      <x:c r="E11" s="34" t="str">
        <x:v>L3 现实门槛RG</x:v>
      </x:c>
      <x:c r="F11" s="34" t="str">
        <x:v>安全</x:v>
      </x:c>
      <x:c r="G11" s="34" t="n">
        <x:v>100</x:v>
      </x:c>
      <x:c r="H11" s="34" t="str">
        <x:v>待验证</x:v>
      </x:c>
      <x:c r="I11" s="34" t="str"/>
      <x:c r="J11" s="34" t="str"/>
      <x:c r="K11" s="34" t="str"/>
      <x:c r="L11" s="34" t="str"/>
      <x:c r="M11" s="34" t="str"/>
      <x:c r="N11" s="34" t="n">
        <x:f>IF(A11="","",I11+J11+K11)</x:f>
        <x:v>0</x:v>
      </x:c>
      <x:c r="O11" s="56" t="str">
        <x:f>IF(N11=0,"",(I11+0.5*J11)/N11)</x:f>
      </x:c>
      <x:c r="P11" s="56" t="str">
        <x:f>IF(N11=0,"",(I11+0.5*J11+1)/(N11+2))</x:f>
      </x:c>
      <x:c r="Q11" s="34" t="str"/>
      <x:c r="R11" s="34" t="str"/>
      <x:c r="S11" s="34" t="str"/>
      <x:c r="T11" s="34" t="str"/>
      <x:c r="U11" s="34" t="str"/>
      <x:c r="V11" s="34" t="str">
        <x:f>IF(A11="","",IF(N11&lt;5,"样本不足",IF(Q11&gt;=1,"优先复核",IF(AND(N11&gt;=20,P11&lt;0.35,K11&gt;=5),"停用候选",IF(AND(N11&gt;=10,P11&lt;0.45),"需修改候选",IF(AND(N11&gt;=10,P11&gt;=0.75,R11/N11&lt;=0.15,S11/N11&lt;=0.15),"升级候选",IF(R11/N11&gt;0.3,"收紧条件",IF(S11/N11&gt;0.3,"补漏／放宽","继续观察"))))))))</x:f>
        <x:v>样本不足</x:v>
      </x:c>
      <x:c r="W11" s="34" t="str">
        <x:f>IF(V11="","",IF(V11="升级候选","已验证候选",IF(V11="停用候选","停用候选",IF(OR(V11="需修改候选",V11="收紧条件",V11="补漏／放宽",V11="优先复核"),"需修改／复核","观察中"))))</x:f>
        <x:v>观察中</x:v>
      </x:c>
      <x:c r="X11" s="34" t="str"/>
      <x:c r="Y11" s="34" t="str"/>
    </x:row>
    <x:row r="12">
      <x:c r="A12" s="34" t="str">
        <x:v>M5-SYNTH-006</x:v>
      </x:c>
      <x:c r="B12" s="34" t="str">
        <x:v>SYNTH</x:v>
      </x:c>
      <x:c r="C12" s="34" t="str">
        <x:v>P0_SYNTH总合成</x:v>
      </x:c>
      <x:c r="D12" s="34" t="str">
        <x:v>只有命盘资料最高FG2</x:v>
      </x:c>
      <x:c r="E12" s="34" t="str">
        <x:v>L0 定义、边界与安全</x:v>
      </x:c>
      <x:c r="F12" s="34" t="str">
        <x:v>边界</x:v>
      </x:c>
      <x:c r="G12" s="34" t="n">
        <x:v>99</x:v>
      </x:c>
      <x:c r="H12" s="34" t="str">
        <x:v>待验证</x:v>
      </x:c>
      <x:c r="I12" s="34" t="str"/>
      <x:c r="J12" s="34" t="str"/>
      <x:c r="K12" s="34" t="str"/>
      <x:c r="L12" s="34" t="str"/>
      <x:c r="M12" s="34" t="str"/>
      <x:c r="N12" s="34" t="n">
        <x:f>IF(A12="","",I12+J12+K12)</x:f>
        <x:v>0</x:v>
      </x:c>
      <x:c r="O12" s="56" t="str">
        <x:f>IF(N12=0,"",(I12+0.5*J12)/N12)</x:f>
      </x:c>
      <x:c r="P12" s="56" t="str">
        <x:f>IF(N12=0,"",(I12+0.5*J12+1)/(N12+2))</x:f>
      </x:c>
      <x:c r="Q12" s="34" t="str"/>
      <x:c r="R12" s="34" t="str"/>
      <x:c r="S12" s="34" t="str"/>
      <x:c r="T12" s="34" t="str"/>
      <x:c r="U12" s="34" t="str"/>
      <x:c r="V12" s="34" t="str">
        <x:f>IF(A12="","",IF(N12&lt;5,"样本不足",IF(Q12&gt;=1,"优先复核",IF(AND(N12&gt;=20,P12&lt;0.35,K12&gt;=5),"停用候选",IF(AND(N12&gt;=10,P12&lt;0.45),"需修改候选",IF(AND(N12&gt;=10,P12&gt;=0.75,R12/N12&lt;=0.15,S12/N12&lt;=0.15),"升级候选",IF(R12/N12&gt;0.3,"收紧条件",IF(S12/N12&gt;0.3,"补漏／放宽","继续观察"))))))))</x:f>
        <x:v>样本不足</x:v>
      </x:c>
      <x:c r="W12" s="34" t="str">
        <x:f>IF(V12="","",IF(V12="升级候选","已验证候选",IF(V12="停用候选","停用候选",IF(OR(V12="需修改候选",V12="收紧条件",V12="补漏／放宽",V12="优先复核"),"需修改／复核","观察中"))))</x:f>
        <x:v>观察中</x:v>
      </x:c>
      <x:c r="X12" s="34" t="str"/>
      <x:c r="Y12" s="34" t="str"/>
    </x:row>
    <x:row r="13">
      <x:c r="A13" s="34" t="str">
        <x:v>M5-SYNTH-007</x:v>
      </x:c>
      <x:c r="B13" s="34" t="str">
        <x:v>SYNTH</x:v>
      </x:c>
      <x:c r="C13" s="34" t="str">
        <x:v>P0_SYNTH总合成</x:v>
      </x:c>
      <x:c r="D13" s="34" t="str">
        <x:v>心动不计入长期适配基础分</x:v>
      </x:c>
      <x:c r="E13" s="34" t="str">
        <x:v>L0 定义、边界与安全</x:v>
      </x:c>
      <x:c r="F13" s="34" t="str">
        <x:v>边界</x:v>
      </x:c>
      <x:c r="G13" s="34" t="n">
        <x:v>99</x:v>
      </x:c>
      <x:c r="H13" s="34" t="str">
        <x:v>待验证</x:v>
      </x:c>
      <x:c r="I13" s="34" t="str"/>
      <x:c r="J13" s="34" t="str"/>
      <x:c r="K13" s="34" t="str"/>
      <x:c r="L13" s="34" t="str"/>
      <x:c r="M13" s="34" t="str"/>
      <x:c r="N13" s="34" t="n">
        <x:f>IF(A13="","",I13+J13+K13)</x:f>
        <x:v>0</x:v>
      </x:c>
      <x:c r="O13" s="56" t="str">
        <x:f>IF(N13=0,"",(I13+0.5*J13)/N13)</x:f>
      </x:c>
      <x:c r="P13" s="56" t="str">
        <x:f>IF(N13=0,"",(I13+0.5*J13+1)/(N13+2))</x:f>
      </x:c>
      <x:c r="Q13" s="34" t="str"/>
      <x:c r="R13" s="34" t="str"/>
      <x:c r="S13" s="34" t="str"/>
      <x:c r="T13" s="34" t="str"/>
      <x:c r="U13" s="34" t="str"/>
      <x:c r="V13" s="34" t="str">
        <x:f>IF(A13="","",IF(N13&lt;5,"样本不足",IF(Q13&gt;=1,"优先复核",IF(AND(N13&gt;=20,P13&lt;0.35,K13&gt;=5),"停用候选",IF(AND(N13&gt;=10,P13&lt;0.45),"需修改候选",IF(AND(N13&gt;=10,P13&gt;=0.75,R13/N13&lt;=0.15,S13/N13&lt;=0.15),"升级候选",IF(R13/N13&gt;0.3,"收紧条件",IF(S13/N13&gt;0.3,"补漏／放宽","继续观察"))))))))</x:f>
        <x:v>样本不足</x:v>
      </x:c>
      <x:c r="W13" s="34" t="str">
        <x:f>IF(V13="","",IF(V13="升级候选","已验证候选",IF(V13="停用候选","停用候选",IF(OR(V13="需修改候选",V13="收紧条件",V13="补漏／放宽",V13="优先复核"),"需修改／复核","观察中"))))</x:f>
        <x:v>观察中</x:v>
      </x:c>
      <x:c r="X13" s="34" t="str"/>
      <x:c r="Y13" s="34" t="str"/>
    </x:row>
    <x:row r="14">
      <x:c r="A14" s="34" t="str">
        <x:v>M5-SYNTH-008</x:v>
      </x:c>
      <x:c r="B14" s="34" t="str">
        <x:v>SYNTH</x:v>
      </x:c>
      <x:c r="C14" s="34" t="str">
        <x:v>P0_SYNTH总合成</x:v>
      </x:c>
      <x:c r="D14" s="34" t="str">
        <x:v>关系准入不计入长期成熟基础分</x:v>
      </x:c>
      <x:c r="E14" s="34" t="str">
        <x:v>L0 定义、边界与安全</x:v>
      </x:c>
      <x:c r="F14" s="34" t="str">
        <x:v>边界</x:v>
      </x:c>
      <x:c r="G14" s="34" t="n">
        <x:v>99</x:v>
      </x:c>
      <x:c r="H14" s="34" t="str">
        <x:v>待验证</x:v>
      </x:c>
      <x:c r="I14" s="34" t="str"/>
      <x:c r="J14" s="34" t="str"/>
      <x:c r="K14" s="34" t="str"/>
      <x:c r="L14" s="34" t="str"/>
      <x:c r="M14" s="34" t="str"/>
      <x:c r="N14" s="34" t="n">
        <x:f>IF(A14="","",I14+J14+K14)</x:f>
        <x:v>0</x:v>
      </x:c>
      <x:c r="O14" s="56" t="str">
        <x:f>IF(N14=0,"",(I14+0.5*J14)/N14)</x:f>
      </x:c>
      <x:c r="P14" s="56" t="str">
        <x:f>IF(N14=0,"",(I14+0.5*J14+1)/(N14+2))</x:f>
      </x:c>
      <x:c r="Q14" s="34" t="str"/>
      <x:c r="R14" s="34" t="str"/>
      <x:c r="S14" s="34" t="str"/>
      <x:c r="T14" s="34" t="str"/>
      <x:c r="U14" s="34" t="str"/>
      <x:c r="V14" s="34" t="str">
        <x:f>IF(A14="","",IF(N14&lt;5,"样本不足",IF(Q14&gt;=1,"优先复核",IF(AND(N14&gt;=20,P14&lt;0.35,K14&gt;=5),"停用候选",IF(AND(N14&gt;=10,P14&lt;0.45),"需修改候选",IF(AND(N14&gt;=10,P14&gt;=0.75,R14/N14&lt;=0.15,S14/N14&lt;=0.15),"升级候选",IF(R14/N14&gt;0.3,"收紧条件",IF(S14/N14&gt;0.3,"补漏／放宽","继续观察"))))))))</x:f>
        <x:v>样本不足</x:v>
      </x:c>
      <x:c r="W14" s="34" t="str">
        <x:f>IF(V14="","",IF(V14="升级候选","已验证候选",IF(V14="停用候选","停用候选",IF(OR(V14="需修改候选",V14="收紧条件",V14="补漏／放宽",V14="优先复核"),"需修改／复核","观察中"))))</x:f>
        <x:v>观察中</x:v>
      </x:c>
      <x:c r="X14" s="34" t="str"/>
      <x:c r="Y14" s="34" t="str"/>
    </x:row>
    <x:row r="15">
      <x:c r="A15" s="34" t="str">
        <x:v>M5-SYNTH-009</x:v>
      </x:c>
      <x:c r="B15" s="34" t="str">
        <x:v>SYNTH</x:v>
      </x:c>
      <x:c r="C15" s="34" t="str">
        <x:v>P0_SYNTH总合成</x:v>
      </x:c>
      <x:c r="D15" s="34" t="str">
        <x:v>正常功能必须保留｜适配不是找相反的人</x:v>
      </x:c>
      <x:c r="E15" s="34" t="str">
        <x:v>L0 定义、边界与安全</x:v>
      </x:c>
      <x:c r="F15" s="34" t="str">
        <x:v>边界</x:v>
      </x:c>
      <x:c r="G15" s="34" t="n">
        <x:v>99</x:v>
      </x:c>
      <x:c r="H15" s="34" t="str">
        <x:v>待验证</x:v>
      </x:c>
      <x:c r="I15" s="34" t="str"/>
      <x:c r="J15" s="34" t="str"/>
      <x:c r="K15" s="34" t="str"/>
      <x:c r="L15" s="34" t="str"/>
      <x:c r="M15" s="34" t="str"/>
      <x:c r="N15" s="34" t="n">
        <x:f>IF(A15="","",I15+J15+K15)</x:f>
        <x:v>0</x:v>
      </x:c>
      <x:c r="O15" s="56" t="str">
        <x:f>IF(N15=0,"",(I15+0.5*J15)/N15)</x:f>
      </x:c>
      <x:c r="P15" s="56" t="str">
        <x:f>IF(N15=0,"",(I15+0.5*J15+1)/(N15+2))</x:f>
      </x:c>
      <x:c r="Q15" s="34" t="str"/>
      <x:c r="R15" s="34" t="str"/>
      <x:c r="S15" s="34" t="str"/>
      <x:c r="T15" s="34" t="str"/>
      <x:c r="U15" s="34" t="str"/>
      <x:c r="V15" s="34" t="str">
        <x:f>IF(A15="","",IF(N15&lt;5,"样本不足",IF(Q15&gt;=1,"优先复核",IF(AND(N15&gt;=20,P15&lt;0.35,K15&gt;=5),"停用候选",IF(AND(N15&gt;=10,P15&lt;0.45),"需修改候选",IF(AND(N15&gt;=10,P15&gt;=0.75,R15/N15&lt;=0.15,S15/N15&lt;=0.15),"升级候选",IF(R15/N15&gt;0.3,"收紧条件",IF(S15/N15&gt;0.3,"补漏／放宽","继续观察"))))))))</x:f>
        <x:v>样本不足</x:v>
      </x:c>
      <x:c r="W15" s="34" t="str">
        <x:f>IF(V15="","",IF(V15="升级候选","已验证候选",IF(V15="停用候选","停用候选",IF(OR(V15="需修改候选",V15="收紧条件",V15="补漏／放宽",V15="优先复核"),"需修改／复核","观察中"))))</x:f>
        <x:v>观察中</x:v>
      </x:c>
      <x:c r="X15" s="34" t="str"/>
      <x:c r="Y15" s="34" t="str"/>
    </x:row>
    <x:row r="16">
      <x:c r="A16" s="34" t="str">
        <x:v>M5-SYNTH-010</x:v>
      </x:c>
      <x:c r="B16" s="34" t="str">
        <x:v>SYNTH</x:v>
      </x:c>
      <x:c r="C16" s="34" t="str">
        <x:v>P0_SYNTH总合成</x:v>
      </x:c>
      <x:c r="D16" s="34" t="str">
        <x:v>具体对象现实行为优先</x:v>
      </x:c>
      <x:c r="E16" s="34" t="str">
        <x:v>L0 定义、边界与安全</x:v>
      </x:c>
      <x:c r="F16" s="34" t="str">
        <x:v>证据</x:v>
      </x:c>
      <x:c r="G16" s="34" t="n">
        <x:v>99</x:v>
      </x:c>
      <x:c r="H16" s="34" t="str">
        <x:v>待验证</x:v>
      </x:c>
      <x:c r="I16" s="34" t="str"/>
      <x:c r="J16" s="34" t="str"/>
      <x:c r="K16" s="34" t="str"/>
      <x:c r="L16" s="34" t="str"/>
      <x:c r="M16" s="34" t="str"/>
      <x:c r="N16" s="34" t="n">
        <x:f>IF(A16="","",I16+J16+K16)</x:f>
        <x:v>0</x:v>
      </x:c>
      <x:c r="O16" s="56" t="str">
        <x:f>IF(N16=0,"",(I16+0.5*J16)/N16)</x:f>
      </x:c>
      <x:c r="P16" s="56" t="str">
        <x:f>IF(N16=0,"",(I16+0.5*J16+1)/(N16+2))</x:f>
      </x:c>
      <x:c r="Q16" s="34" t="str"/>
      <x:c r="R16" s="34" t="str"/>
      <x:c r="S16" s="34" t="str"/>
      <x:c r="T16" s="34" t="str"/>
      <x:c r="U16" s="34" t="str"/>
      <x:c r="V16" s="34" t="str">
        <x:f>IF(A16="","",IF(N16&lt;5,"样本不足",IF(Q16&gt;=1,"优先复核",IF(AND(N16&gt;=20,P16&lt;0.35,K16&gt;=5),"停用候选",IF(AND(N16&gt;=10,P16&lt;0.45),"需修改候选",IF(AND(N16&gt;=10,P16&gt;=0.75,R16/N16&lt;=0.15,S16/N16&lt;=0.15),"升级候选",IF(R16/N16&gt;0.3,"收紧条件",IF(S16/N16&gt;0.3,"补漏／放宽","继续观察"))))))))</x:f>
        <x:v>样本不足</x:v>
      </x:c>
      <x:c r="W16" s="34" t="str">
        <x:f>IF(V16="","",IF(V16="升级候选","已验证候选",IF(V16="停用候选","停用候选",IF(OR(V16="需修改候选",V16="收紧条件",V16="补漏／放宽",V16="优先复核"),"需修改／复核","观察中"))))</x:f>
        <x:v>观察中</x:v>
      </x:c>
      <x:c r="X16" s="34" t="str"/>
      <x:c r="Y16" s="34" t="str"/>
    </x:row>
    <x:row r="17">
      <x:c r="A17" s="34" t="str">
        <x:v>M5-SYNTH-011</x:v>
      </x:c>
      <x:c r="B17" s="34" t="str">
        <x:v>SYNTH</x:v>
      </x:c>
      <x:c r="C17" s="34" t="str">
        <x:v>P0_SYNTH总合成</x:v>
      </x:c>
      <x:c r="D17" s="34" t="str">
        <x:v>FG、AF与置信度三者分离</x:v>
      </x:c>
      <x:c r="E17" s="34" t="str">
        <x:v>L0 定义、边界与安全</x:v>
      </x:c>
      <x:c r="F17" s="34" t="str">
        <x:v>边界</x:v>
      </x:c>
      <x:c r="G17" s="34" t="n">
        <x:v>99</x:v>
      </x:c>
      <x:c r="H17" s="34" t="str">
        <x:v>待验证</x:v>
      </x:c>
      <x:c r="I17" s="34" t="str"/>
      <x:c r="J17" s="34" t="str"/>
      <x:c r="K17" s="34" t="str"/>
      <x:c r="L17" s="34" t="str"/>
      <x:c r="M17" s="34" t="str"/>
      <x:c r="N17" s="34" t="n">
        <x:f>IF(A17="","",I17+J17+K17)</x:f>
        <x:v>0</x:v>
      </x:c>
      <x:c r="O17" s="56" t="str">
        <x:f>IF(N17=0,"",(I17+0.5*J17)/N17)</x:f>
      </x:c>
      <x:c r="P17" s="56" t="str">
        <x:f>IF(N17=0,"",(I17+0.5*J17+1)/(N17+2))</x:f>
      </x:c>
      <x:c r="Q17" s="34" t="str"/>
      <x:c r="R17" s="34" t="str"/>
      <x:c r="S17" s="34" t="str"/>
      <x:c r="T17" s="34" t="str"/>
      <x:c r="U17" s="34" t="str"/>
      <x:c r="V17" s="34" t="str">
        <x:f>IF(A17="","",IF(N17&lt;5,"样本不足",IF(Q17&gt;=1,"优先复核",IF(AND(N17&gt;=20,P17&lt;0.35,K17&gt;=5),"停用候选",IF(AND(N17&gt;=10,P17&lt;0.45),"需修改候选",IF(AND(N17&gt;=10,P17&gt;=0.75,R17/N17&lt;=0.15,S17/N17&lt;=0.15),"升级候选",IF(R17/N17&gt;0.3,"收紧条件",IF(S17/N17&gt;0.3,"补漏／放宽","继续观察"))))))))</x:f>
        <x:v>样本不足</x:v>
      </x:c>
      <x:c r="W17" s="34" t="str">
        <x:f>IF(V17="","",IF(V17="升级候选","已验证候选",IF(V17="停用候选","停用候选",IF(OR(V17="需修改候选",V17="收紧条件",V17="补漏／放宽",V17="优先复核"),"需修改／复核","观察中"))))</x:f>
        <x:v>观察中</x:v>
      </x:c>
      <x:c r="X17" s="34" t="str"/>
      <x:c r="Y17" s="34" t="str"/>
    </x:row>
    <x:row r="18">
      <x:c r="A18" s="34" t="str">
        <x:v>M5-SYNTH-116</x:v>
      </x:c>
      <x:c r="B18" s="34" t="str">
        <x:v>SYNTH</x:v>
      </x:c>
      <x:c r="C18" s="34" t="str">
        <x:v>P0_SYNTH总合成</x:v>
      </x:c>
      <x:c r="D18" s="34" t="str">
        <x:v>RG01现实门槛｜失败或未知</x:v>
      </x:c>
      <x:c r="E18" s="34" t="str">
        <x:v>L3 现实门槛RG</x:v>
      </x:c>
      <x:c r="F18" s="34" t="str">
        <x:v>失败／未知</x:v>
      </x:c>
      <x:c r="G18" s="34" t="n">
        <x:v>99</x:v>
      </x:c>
      <x:c r="H18" s="34" t="str">
        <x:v>待验证</x:v>
      </x:c>
      <x:c r="I18" s="34" t="str"/>
      <x:c r="J18" s="34" t="str"/>
      <x:c r="K18" s="34" t="str"/>
      <x:c r="L18" s="34" t="str"/>
      <x:c r="M18" s="34" t="str"/>
      <x:c r="N18" s="34" t="n">
        <x:f>IF(A18="","",I18+J18+K18)</x:f>
        <x:v>0</x:v>
      </x:c>
      <x:c r="O18" s="56" t="str">
        <x:f>IF(N18=0,"",(I18+0.5*J18)/N18)</x:f>
      </x:c>
      <x:c r="P18" s="56" t="str">
        <x:f>IF(N18=0,"",(I18+0.5*J18+1)/(N18+2))</x:f>
      </x:c>
      <x:c r="Q18" s="34" t="str"/>
      <x:c r="R18" s="34" t="str"/>
      <x:c r="S18" s="34" t="str"/>
      <x:c r="T18" s="34" t="str"/>
      <x:c r="U18" s="34" t="str"/>
      <x:c r="V18" s="34" t="str">
        <x:f>IF(A18="","",IF(N18&lt;5,"样本不足",IF(Q18&gt;=1,"优先复核",IF(AND(N18&gt;=20,P18&lt;0.35,K18&gt;=5),"停用候选",IF(AND(N18&gt;=10,P18&lt;0.45),"需修改候选",IF(AND(N18&gt;=10,P18&gt;=0.75,R18/N18&lt;=0.15,S18/N18&lt;=0.15),"升级候选",IF(R18/N18&gt;0.3,"收紧条件",IF(S18/N18&gt;0.3,"补漏／放宽","继续观察"))))))))</x:f>
        <x:v>样本不足</x:v>
      </x:c>
      <x:c r="W18" s="34" t="str">
        <x:f>IF(V18="","",IF(V18="升级候选","已验证候选",IF(V18="停用候选","停用候选",IF(OR(V18="需修改候选",V18="收紧条件",V18="补漏／放宽",V18="优先复核"),"需修改／复核","观察中"))))</x:f>
        <x:v>观察中</x:v>
      </x:c>
      <x:c r="X18" s="34" t="str"/>
      <x:c r="Y18" s="34" t="str"/>
    </x:row>
    <x:row r="19">
      <x:c r="A19" s="34" t="str">
        <x:v>M5-SYNTH-140</x:v>
      </x:c>
      <x:c r="B19" s="34" t="str">
        <x:v>SYNTH</x:v>
      </x:c>
      <x:c r="C19" s="34" t="str">
        <x:v>P0_SYNTH总合成</x:v>
      </x:c>
      <x:c r="D19" s="34" t="str">
        <x:v>RG07现实门槛｜失败或未知</x:v>
      </x:c>
      <x:c r="E19" s="34" t="str">
        <x:v>L3 现实门槛RG</x:v>
      </x:c>
      <x:c r="F19" s="34" t="str">
        <x:v>失败／未知</x:v>
      </x:c>
      <x:c r="G19" s="34" t="n">
        <x:v>99</x:v>
      </x:c>
      <x:c r="H19" s="34" t="str">
        <x:v>待验证</x:v>
      </x:c>
      <x:c r="I19" s="34" t="str"/>
      <x:c r="J19" s="34" t="str"/>
      <x:c r="K19" s="34" t="str"/>
      <x:c r="L19" s="34" t="str"/>
      <x:c r="M19" s="34" t="str"/>
      <x:c r="N19" s="34" t="n">
        <x:f>IF(A19="","",I19+J19+K19)</x:f>
        <x:v>0</x:v>
      </x:c>
      <x:c r="O19" s="56" t="str">
        <x:f>IF(N19=0,"",(I19+0.5*J19)/N19)</x:f>
      </x:c>
      <x:c r="P19" s="56" t="str">
        <x:f>IF(N19=0,"",(I19+0.5*J19+1)/(N19+2))</x:f>
      </x:c>
      <x:c r="Q19" s="34" t="str"/>
      <x:c r="R19" s="34" t="str"/>
      <x:c r="S19" s="34" t="str"/>
      <x:c r="T19" s="34" t="str"/>
      <x:c r="U19" s="34" t="str"/>
      <x:c r="V19" s="34" t="str">
        <x:f>IF(A19="","",IF(N19&lt;5,"样本不足",IF(Q19&gt;=1,"优先复核",IF(AND(N19&gt;=20,P19&lt;0.35,K19&gt;=5),"停用候选",IF(AND(N19&gt;=10,P19&lt;0.45),"需修改候选",IF(AND(N19&gt;=10,P19&gt;=0.75,R19/N19&lt;=0.15,S19/N19&lt;=0.15),"升级候选",IF(R19/N19&gt;0.3,"收紧条件",IF(S19/N19&gt;0.3,"补漏／放宽","继续观察"))))))))</x:f>
        <x:v>样本不足</x:v>
      </x:c>
      <x:c r="W19" s="34" t="str">
        <x:f>IF(V19="","",IF(V19="升级候选","已验证候选",IF(V19="停用候选","停用候选",IF(OR(V19="需修改候选",V19="收紧条件",V19="补漏／放宽",V19="优先复核"),"需修改／复核","观察中"))))</x:f>
        <x:v>观察中</x:v>
      </x:c>
      <x:c r="X19" s="34" t="str"/>
      <x:c r="Y19" s="34" t="str"/>
    </x:row>
    <x:row r="20">
      <x:c r="A20" s="34" t="str">
        <x:v>M5-SYNTH-153</x:v>
      </x:c>
      <x:c r="B20" s="34" t="str">
        <x:v>SYNTH</x:v>
      </x:c>
      <x:c r="C20" s="34" t="str">
        <x:v>P0_SYNTH总合成</x:v>
      </x:c>
      <x:c r="D20" s="34" t="str">
        <x:v>FG0｜现实安全停止</x:v>
      </x:c>
      <x:c r="E20" s="34" t="str">
        <x:v>L4 FG证据等级</x:v>
      </x:c>
      <x:c r="F20" s="34" t="str">
        <x:v>证据门控</x:v>
      </x:c>
      <x:c r="G20" s="34" t="n">
        <x:v>99</x:v>
      </x:c>
      <x:c r="H20" s="34" t="str">
        <x:v>待验证</x:v>
      </x:c>
      <x:c r="I20" s="34" t="str"/>
      <x:c r="J20" s="34" t="str"/>
      <x:c r="K20" s="34" t="str"/>
      <x:c r="L20" s="34" t="str"/>
      <x:c r="M20" s="34" t="str"/>
      <x:c r="N20" s="34" t="n">
        <x:f>IF(A20="","",I20+J20+K20)</x:f>
        <x:v>0</x:v>
      </x:c>
      <x:c r="O20" s="56" t="str">
        <x:f>IF(N20=0,"",(I20+0.5*J20)/N20)</x:f>
      </x:c>
      <x:c r="P20" s="56" t="str">
        <x:f>IF(N20=0,"",(I20+0.5*J20+1)/(N20+2))</x:f>
      </x:c>
      <x:c r="Q20" s="34" t="str"/>
      <x:c r="R20" s="34" t="str"/>
      <x:c r="S20" s="34" t="str"/>
      <x:c r="T20" s="34" t="str"/>
      <x:c r="U20" s="34" t="str"/>
      <x:c r="V20" s="34" t="str">
        <x:f>IF(A20="","",IF(N20&lt;5,"样本不足",IF(Q20&gt;=1,"优先复核",IF(AND(N20&gt;=20,P20&lt;0.35,K20&gt;=5),"停用候选",IF(AND(N20&gt;=10,P20&lt;0.45),"需修改候选",IF(AND(N20&gt;=10,P20&gt;=0.75,R20/N20&lt;=0.15,S20/N20&lt;=0.15),"升级候选",IF(R20/N20&gt;0.3,"收紧条件",IF(S20/N20&gt;0.3,"补漏／放宽","继续观察"))))))))</x:f>
        <x:v>样本不足</x:v>
      </x:c>
      <x:c r="W20" s="34" t="str">
        <x:f>IF(V20="","",IF(V20="升级候选","已验证候选",IF(V20="停用候选","停用候选",IF(OR(V20="需修改候选",V20="收紧条件",V20="补漏／放宽",V20="优先复核"),"需修改／复核","观察中"))))</x:f>
        <x:v>观察中</x:v>
      </x:c>
      <x:c r="X20" s="34" t="str"/>
      <x:c r="Y20" s="34" t="str"/>
    </x:row>
    <x:row r="21">
      <x:c r="A21" s="34" t="str">
        <x:v>M5-SYNTH-154</x:v>
      </x:c>
      <x:c r="B21" s="34" t="str">
        <x:v>SYNTH</x:v>
      </x:c>
      <x:c r="C21" s="34" t="str">
        <x:v>P0_SYNTH总合成</x:v>
      </x:c>
      <x:c r="D21" s="34" t="str">
        <x:v>FG0｜共享基础状态停止</x:v>
      </x:c>
      <x:c r="E21" s="34" t="str">
        <x:v>L4 FG证据等级</x:v>
      </x:c>
      <x:c r="F21" s="34" t="str">
        <x:v>证据门控</x:v>
      </x:c>
      <x:c r="G21" s="34" t="n">
        <x:v>99</x:v>
      </x:c>
      <x:c r="H21" s="34" t="str">
        <x:v>待验证</x:v>
      </x:c>
      <x:c r="I21" s="34" t="str"/>
      <x:c r="J21" s="34" t="str"/>
      <x:c r="K21" s="34" t="str"/>
      <x:c r="L21" s="34" t="str"/>
      <x:c r="M21" s="34" t="str"/>
      <x:c r="N21" s="34" t="n">
        <x:f>IF(A21="","",I21+J21+K21)</x:f>
        <x:v>0</x:v>
      </x:c>
      <x:c r="O21" s="56" t="str">
        <x:f>IF(N21=0,"",(I21+0.5*J21)/N21)</x:f>
      </x:c>
      <x:c r="P21" s="56" t="str">
        <x:f>IF(N21=0,"",(I21+0.5*J21+1)/(N21+2))</x:f>
      </x:c>
      <x:c r="Q21" s="34" t="str"/>
      <x:c r="R21" s="34" t="str"/>
      <x:c r="S21" s="34" t="str"/>
      <x:c r="T21" s="34" t="str"/>
      <x:c r="U21" s="34" t="str"/>
      <x:c r="V21" s="34" t="str">
        <x:f>IF(A21="","",IF(N21&lt;5,"样本不足",IF(Q21&gt;=1,"优先复核",IF(AND(N21&gt;=20,P21&lt;0.35,K21&gt;=5),"停用候选",IF(AND(N21&gt;=10,P21&lt;0.45),"需修改候选",IF(AND(N21&gt;=10,P21&gt;=0.75,R21/N21&lt;=0.15,S21/N21&lt;=0.15),"升级候选",IF(R21/N21&gt;0.3,"收紧条件",IF(S21/N21&gt;0.3,"补漏／放宽","继续观察"))))))))</x:f>
        <x:v>样本不足</x:v>
      </x:c>
      <x:c r="W21" s="34" t="str">
        <x:f>IF(V21="","",IF(V21="升级候选","已验证候选",IF(V21="停用候选","停用候选",IF(OR(V21="需修改候选",V21="收紧条件",V21="补漏／放宽",V21="优先复核"),"需修改／复核","观察中"))))</x:f>
        <x:v>观察中</x:v>
      </x:c>
      <x:c r="X21" s="34" t="str"/>
      <x:c r="Y21" s="34" t="str"/>
    </x:row>
    <x:row r="22">
      <x:c r="A22" s="34" t="str">
        <x:v>M5-SYNTH-155</x:v>
      </x:c>
      <x:c r="B22" s="34" t="str">
        <x:v>SYNTH</x:v>
      </x:c>
      <x:c r="C22" s="34" t="str">
        <x:v>P0_SYNTH总合成</x:v>
      </x:c>
      <x:c r="D22" s="34" t="str">
        <x:v>FG0｜关键资料无法还原</x:v>
      </x:c>
      <x:c r="E22" s="34" t="str">
        <x:v>L4 FG证据等级</x:v>
      </x:c>
      <x:c r="F22" s="34" t="str">
        <x:v>证据门控</x:v>
      </x:c>
      <x:c r="G22" s="34" t="n">
        <x:v>99</x:v>
      </x:c>
      <x:c r="H22" s="34" t="str">
        <x:v>待验证</x:v>
      </x:c>
      <x:c r="I22" s="34" t="str"/>
      <x:c r="J22" s="34" t="str"/>
      <x:c r="K22" s="34" t="str"/>
      <x:c r="L22" s="34" t="str"/>
      <x:c r="M22" s="34" t="str"/>
      <x:c r="N22" s="34" t="n">
        <x:f>IF(A22="","",I22+J22+K22)</x:f>
        <x:v>0</x:v>
      </x:c>
      <x:c r="O22" s="56" t="str">
        <x:f>IF(N22=0,"",(I22+0.5*J22)/N22)</x:f>
      </x:c>
      <x:c r="P22" s="56" t="str">
        <x:f>IF(N22=0,"",(I22+0.5*J22+1)/(N22+2))</x:f>
      </x:c>
      <x:c r="Q22" s="34" t="str"/>
      <x:c r="R22" s="34" t="str"/>
      <x:c r="S22" s="34" t="str"/>
      <x:c r="T22" s="34" t="str"/>
      <x:c r="U22" s="34" t="str"/>
      <x:c r="V22" s="34" t="str">
        <x:f>IF(A22="","",IF(N22&lt;5,"样本不足",IF(Q22&gt;=1,"优先复核",IF(AND(N22&gt;=20,P22&lt;0.35,K22&gt;=5),"停用候选",IF(AND(N22&gt;=10,P22&lt;0.45),"需修改候选",IF(AND(N22&gt;=10,P22&gt;=0.75,R22/N22&lt;=0.15,S22/N22&lt;=0.15),"升级候选",IF(R22/N22&gt;0.3,"收紧条件",IF(S22/N22&gt;0.3,"补漏／放宽","继续观察"))))))))</x:f>
        <x:v>样本不足</x:v>
      </x:c>
      <x:c r="W22" s="34" t="str">
        <x:f>IF(V22="","",IF(V22="升级候选","已验证候选",IF(V22="停用候选","停用候选",IF(OR(V22="需修改候选",V22="收紧条件",V22="补漏／放宽",V22="优先复核"),"需修改／复核","观察中"))))</x:f>
        <x:v>观察中</x:v>
      </x:c>
      <x:c r="X22" s="34" t="str"/>
      <x:c r="Y22" s="34" t="str"/>
    </x:row>
    <x:row r="23">
      <x:c r="A23" s="34" t="str">
        <x:v>M5-SYNTH-156</x:v>
      </x:c>
      <x:c r="B23" s="34" t="str">
        <x:v>SYNTH</x:v>
      </x:c>
      <x:c r="C23" s="34" t="str">
        <x:v>P0_SYNTH总合成</x:v>
      </x:c>
      <x:c r="D23" s="34" t="str">
        <x:v>FG0｜只有抽象标签无可观察行为</x:v>
      </x:c>
      <x:c r="E23" s="34" t="str">
        <x:v>L4 FG证据等级</x:v>
      </x:c>
      <x:c r="F23" s="34" t="str">
        <x:v>证据门控</x:v>
      </x:c>
      <x:c r="G23" s="34" t="n">
        <x:v>99</x:v>
      </x:c>
      <x:c r="H23" s="34" t="str">
        <x:v>待验证</x:v>
      </x:c>
      <x:c r="I23" s="34" t="str"/>
      <x:c r="J23" s="34" t="str"/>
      <x:c r="K23" s="34" t="str"/>
      <x:c r="L23" s="34" t="str"/>
      <x:c r="M23" s="34" t="str"/>
      <x:c r="N23" s="34" t="n">
        <x:f>IF(A23="","",I23+J23+K23)</x:f>
        <x:v>0</x:v>
      </x:c>
      <x:c r="O23" s="56" t="str">
        <x:f>IF(N23=0,"",(I23+0.5*J23)/N23)</x:f>
      </x:c>
      <x:c r="P23" s="56" t="str">
        <x:f>IF(N23=0,"",(I23+0.5*J23+1)/(N23+2))</x:f>
      </x:c>
      <x:c r="Q23" s="34" t="str"/>
      <x:c r="R23" s="34" t="str"/>
      <x:c r="S23" s="34" t="str"/>
      <x:c r="T23" s="34" t="str"/>
      <x:c r="U23" s="34" t="str"/>
      <x:c r="V23" s="34" t="str">
        <x:f>IF(A23="","",IF(N23&lt;5,"样本不足",IF(Q23&gt;=1,"优先复核",IF(AND(N23&gt;=20,P23&lt;0.35,K23&gt;=5),"停用候选",IF(AND(N23&gt;=10,P23&lt;0.45),"需修改候选",IF(AND(N23&gt;=10,P23&gt;=0.75,R23/N23&lt;=0.15,S23/N23&lt;=0.15),"升级候选",IF(R23/N23&gt;0.3,"收紧条件",IF(S23/N23&gt;0.3,"补漏／放宽","继续观察"))))))))</x:f>
        <x:v>样本不足</x:v>
      </x:c>
      <x:c r="W23" s="34" t="str">
        <x:f>IF(V23="","",IF(V23="升级候选","已验证候选",IF(V23="停用候选","停用候选",IF(OR(V23="需修改候选",V23="收紧条件",V23="补漏／放宽",V23="优先复核"),"需修改／复核","观察中"))))</x:f>
        <x:v>观察中</x:v>
      </x:c>
      <x:c r="X23" s="34" t="str"/>
      <x:c r="Y23" s="34" t="str"/>
    </x:row>
    <x:row r="24">
      <x:c r="A24" s="34" t="str">
        <x:v>M5-SYNTH-157</x:v>
      </x:c>
      <x:c r="B24" s="34" t="str">
        <x:v>SYNTH</x:v>
      </x:c>
      <x:c r="C24" s="34" t="str">
        <x:v>P0_SYNTH总合成</x:v>
      </x:c>
      <x:c r="D24" s="34" t="str">
        <x:v>FG0｜安全责任被平均或淡化</x:v>
      </x:c>
      <x:c r="E24" s="34" t="str">
        <x:v>L4 FG证据等级</x:v>
      </x:c>
      <x:c r="F24" s="34" t="str">
        <x:v>证据门控</x:v>
      </x:c>
      <x:c r="G24" s="34" t="n">
        <x:v>99</x:v>
      </x:c>
      <x:c r="H24" s="34" t="str">
        <x:v>待验证</x:v>
      </x:c>
      <x:c r="I24" s="34" t="str"/>
      <x:c r="J24" s="34" t="str"/>
      <x:c r="K24" s="34" t="str"/>
      <x:c r="L24" s="34" t="str"/>
      <x:c r="M24" s="34" t="str"/>
      <x:c r="N24" s="34" t="n">
        <x:f>IF(A24="","",I24+J24+K24)</x:f>
        <x:v>0</x:v>
      </x:c>
      <x:c r="O24" s="56" t="str">
        <x:f>IF(N24=0,"",(I24+0.5*J24)/N24)</x:f>
      </x:c>
      <x:c r="P24" s="56" t="str">
        <x:f>IF(N24=0,"",(I24+0.5*J24+1)/(N24+2))</x:f>
      </x:c>
      <x:c r="Q24" s="34" t="str"/>
      <x:c r="R24" s="34" t="str"/>
      <x:c r="S24" s="34" t="str"/>
      <x:c r="T24" s="34" t="str"/>
      <x:c r="U24" s="34" t="str"/>
      <x:c r="V24" s="34" t="str">
        <x:f>IF(A24="","",IF(N24&lt;5,"样本不足",IF(Q24&gt;=1,"优先复核",IF(AND(N24&gt;=20,P24&lt;0.35,K24&gt;=5),"停用候选",IF(AND(N24&gt;=10,P24&lt;0.45),"需修改候选",IF(AND(N24&gt;=10,P24&gt;=0.75,R24/N24&lt;=0.15,S24/N24&lt;=0.15),"升级候选",IF(R24/N24&gt;0.3,"收紧条件",IF(S24/N24&gt;0.3,"补漏／放宽","继续观察"))))))))</x:f>
        <x:v>样本不足</x:v>
      </x:c>
      <x:c r="W24" s="34" t="str">
        <x:f>IF(V24="","",IF(V24="升级候选","已验证候选",IF(V24="停用候选","停用候选",IF(OR(V24="需修改候选",V24="收紧条件",V24="补漏／放宽",V24="优先复核"),"需修改／复核","观察中"))))</x:f>
        <x:v>观察中</x:v>
      </x:c>
      <x:c r="X24" s="34" t="str"/>
      <x:c r="Y24" s="34" t="str"/>
    </x:row>
    <x:row r="25">
      <x:c r="A25" s="34" t="str">
        <x:v>M5-SYNTH-158</x:v>
      </x:c>
      <x:c r="B25" s="34" t="str">
        <x:v>SYNTH</x:v>
      </x:c>
      <x:c r="C25" s="34" t="str">
        <x:v>P0_SYNTH总合成</x:v>
      </x:c>
      <x:c r="D25" s="34" t="str">
        <x:v>FG0｜停止版仍可输出现实支持</x:v>
      </x:c>
      <x:c r="E25" s="34" t="str">
        <x:v>L4 FG证据等级</x:v>
      </x:c>
      <x:c r="F25" s="34" t="str">
        <x:v>输出</x:v>
      </x:c>
      <x:c r="G25" s="34" t="n">
        <x:v>99</x:v>
      </x:c>
      <x:c r="H25" s="34" t="str">
        <x:v>待验证</x:v>
      </x:c>
      <x:c r="I25" s="34" t="str"/>
      <x:c r="J25" s="34" t="str"/>
      <x:c r="K25" s="34" t="str"/>
      <x:c r="L25" s="34" t="str"/>
      <x:c r="M25" s="34" t="str"/>
      <x:c r="N25" s="34" t="n">
        <x:f>IF(A25="","",I25+J25+K25)</x:f>
        <x:v>0</x:v>
      </x:c>
      <x:c r="O25" s="56" t="str">
        <x:f>IF(N25=0,"",(I25+0.5*J25)/N25)</x:f>
      </x:c>
      <x:c r="P25" s="56" t="str">
        <x:f>IF(N25=0,"",(I25+0.5*J25+1)/(N25+2))</x:f>
      </x:c>
      <x:c r="Q25" s="34" t="str"/>
      <x:c r="R25" s="34" t="str"/>
      <x:c r="S25" s="34" t="str"/>
      <x:c r="T25" s="34" t="str"/>
      <x:c r="U25" s="34" t="str"/>
      <x:c r="V25" s="34" t="str">
        <x:f>IF(A25="","",IF(N25&lt;5,"样本不足",IF(Q25&gt;=1,"优先复核",IF(AND(N25&gt;=20,P25&lt;0.35,K25&gt;=5),"停用候选",IF(AND(N25&gt;=10,P25&lt;0.45),"需修改候选",IF(AND(N25&gt;=10,P25&gt;=0.75,R25/N25&lt;=0.15,S25/N25&lt;=0.15),"升级候选",IF(R25/N25&gt;0.3,"收紧条件",IF(S25/N25&gt;0.3,"补漏／放宽","继续观察"))))))))</x:f>
        <x:v>样本不足</x:v>
      </x:c>
      <x:c r="W25" s="34" t="str">
        <x:f>IF(V25="","",IF(V25="升级候选","已验证候选",IF(V25="停用候选","停用候选",IF(OR(V25="需修改候选",V25="收紧条件",V25="补漏／放宽",V25="优先复核"),"需修改／复核","观察中"))))</x:f>
        <x:v>观察中</x:v>
      </x:c>
      <x:c r="X25" s="34" t="str"/>
      <x:c r="Y25" s="34" t="str"/>
    </x:row>
    <x:row r="26">
      <x:c r="A26" s="34" t="str">
        <x:v>M5-SYNTH-171</x:v>
      </x:c>
      <x:c r="B26" s="34" t="str">
        <x:v>SYNTH</x:v>
      </x:c>
      <x:c r="C26" s="34" t="str">
        <x:v>P0_SYNTH总合成</x:v>
      </x:c>
      <x:c r="D26" s="34" t="str">
        <x:v>FG2｜现实强反例可回退FG1或FG0</x:v>
      </x:c>
      <x:c r="E26" s="34" t="str">
        <x:v>L4 FG证据等级</x:v>
      </x:c>
      <x:c r="F26" s="34" t="str">
        <x:v>降级</x:v>
      </x:c>
      <x:c r="G26" s="34" t="n">
        <x:v>99</x:v>
      </x:c>
      <x:c r="H26" s="34" t="str">
        <x:v>待验证</x:v>
      </x:c>
      <x:c r="I26" s="34" t="str"/>
      <x:c r="J26" s="34" t="str"/>
      <x:c r="K26" s="34" t="str"/>
      <x:c r="L26" s="34" t="str"/>
      <x:c r="M26" s="34" t="str"/>
      <x:c r="N26" s="34" t="n">
        <x:f>IF(A26="","",I26+J26+K26)</x:f>
        <x:v>0</x:v>
      </x:c>
      <x:c r="O26" s="56" t="str">
        <x:f>IF(N26=0,"",(I26+0.5*J26)/N26)</x:f>
      </x:c>
      <x:c r="P26" s="56" t="str">
        <x:f>IF(N26=0,"",(I26+0.5*J26+1)/(N26+2))</x:f>
      </x:c>
      <x:c r="Q26" s="34" t="str"/>
      <x:c r="R26" s="34" t="str"/>
      <x:c r="S26" s="34" t="str"/>
      <x:c r="T26" s="34" t="str"/>
      <x:c r="U26" s="34" t="str"/>
      <x:c r="V26" s="34" t="str">
        <x:f>IF(A26="","",IF(N26&lt;5,"样本不足",IF(Q26&gt;=1,"优先复核",IF(AND(N26&gt;=20,P26&lt;0.35,K26&gt;=5),"停用候选",IF(AND(N26&gt;=10,P26&lt;0.45),"需修改候选",IF(AND(N26&gt;=10,P26&gt;=0.75,R26/N26&lt;=0.15,S26/N26&lt;=0.15),"升级候选",IF(R26/N26&gt;0.3,"收紧条件",IF(S26/N26&gt;0.3,"补漏／放宽","继续观察"))))))))</x:f>
        <x:v>样本不足</x:v>
      </x:c>
      <x:c r="W26" s="34" t="str">
        <x:f>IF(V26="","",IF(V26="升级候选","已验证候选",IF(V26="停用候选","停用候选",IF(OR(V26="需修改候选",V26="收紧条件",V26="补漏／放宽",V26="优先复核"),"需修改／复核","观察中"))))</x:f>
        <x:v>观察中</x:v>
      </x:c>
      <x:c r="X26" s="34" t="str"/>
      <x:c r="Y26" s="34" t="str"/>
    </x:row>
    <x:row r="27">
      <x:c r="A27" s="34" t="str">
        <x:v>M5-SYNTH-012</x:v>
      </x:c>
      <x:c r="B27" s="34" t="str">
        <x:v>SYNTH</x:v>
      </x:c>
      <x:c r="C27" s="34" t="str">
        <x:v>P0_SYNTH总合成</x:v>
      </x:c>
      <x:c r="D27" s="34" t="str">
        <x:v>PV／XV／BV／FV／HV／GE不得互相替代</x:v>
      </x:c>
      <x:c r="E27" s="34" t="str">
        <x:v>L0 定义、边界与安全</x:v>
      </x:c>
      <x:c r="F27" s="34" t="str">
        <x:v>边界</x:v>
      </x:c>
      <x:c r="G27" s="34" t="n">
        <x:v>98</x:v>
      </x:c>
      <x:c r="H27" s="34" t="str">
        <x:v>待验证</x:v>
      </x:c>
      <x:c r="I27" s="34" t="str"/>
      <x:c r="J27" s="34" t="str"/>
      <x:c r="K27" s="34" t="str"/>
      <x:c r="L27" s="34" t="str"/>
      <x:c r="M27" s="34" t="str"/>
      <x:c r="N27" s="34" t="n">
        <x:f>IF(A27="","",I27+J27+K27)</x:f>
        <x:v>0</x:v>
      </x:c>
      <x:c r="O27" s="56" t="str">
        <x:f>IF(N27=0,"",(I27+0.5*J27)/N27)</x:f>
      </x:c>
      <x:c r="P27" s="56" t="str">
        <x:f>IF(N27=0,"",(I27+0.5*J27+1)/(N27+2))</x:f>
      </x:c>
      <x:c r="Q27" s="34" t="str"/>
      <x:c r="R27" s="34" t="str"/>
      <x:c r="S27" s="34" t="str"/>
      <x:c r="T27" s="34" t="str"/>
      <x:c r="U27" s="34" t="str"/>
      <x:c r="V27" s="34" t="str">
        <x:f>IF(A27="","",IF(N27&lt;5,"样本不足",IF(Q27&gt;=1,"优先复核",IF(AND(N27&gt;=20,P27&lt;0.35,K27&gt;=5),"停用候选",IF(AND(N27&gt;=10,P27&lt;0.45),"需修改候选",IF(AND(N27&gt;=10,P27&gt;=0.75,R27/N27&lt;=0.15,S27/N27&lt;=0.15),"升级候选",IF(R27/N27&gt;0.3,"收紧条件",IF(S27/N27&gt;0.3,"补漏／放宽","继续观察"))))))))</x:f>
        <x:v>样本不足</x:v>
      </x:c>
      <x:c r="W27" s="34" t="str">
        <x:f>IF(V27="","",IF(V27="升级候选","已验证候选",IF(V27="停用候选","停用候选",IF(OR(V27="需修改候选",V27="收紧条件",V27="补漏／放宽",V27="优先复核"),"需修改／复核","观察中"))))</x:f>
        <x:v>观察中</x:v>
      </x:c>
      <x:c r="X27" s="34" t="str"/>
      <x:c r="Y27" s="34" t="str"/>
    </x:row>
    <x:row r="28">
      <x:c r="A28" s="34" t="str">
        <x:v>M5-SYNTH-013</x:v>
      </x:c>
      <x:c r="B28" s="34" t="str">
        <x:v>SYNTH</x:v>
      </x:c>
      <x:c r="C28" s="34" t="str">
        <x:v>P0_SYNTH总合成</x:v>
      </x:c>
      <x:c r="D28" s="34" t="str">
        <x:v>工程分数不得越过硬门槛</x:v>
      </x:c>
      <x:c r="E28" s="34" t="str">
        <x:v>L0 定义、边界与安全</x:v>
      </x:c>
      <x:c r="F28" s="34" t="str">
        <x:v>边界</x:v>
      </x:c>
      <x:c r="G28" s="34" t="n">
        <x:v>98</x:v>
      </x:c>
      <x:c r="H28" s="34" t="str">
        <x:v>待验证</x:v>
      </x:c>
      <x:c r="I28" s="34" t="str"/>
      <x:c r="J28" s="34" t="str"/>
      <x:c r="K28" s="34" t="str"/>
      <x:c r="L28" s="34" t="str"/>
      <x:c r="M28" s="34" t="str"/>
      <x:c r="N28" s="34" t="n">
        <x:f>IF(A28="","",I28+J28+K28)</x:f>
        <x:v>0</x:v>
      </x:c>
      <x:c r="O28" s="56" t="str">
        <x:f>IF(N28=0,"",(I28+0.5*J28)/N28)</x:f>
      </x:c>
      <x:c r="P28" s="56" t="str">
        <x:f>IF(N28=0,"",(I28+0.5*J28+1)/(N28+2))</x:f>
      </x:c>
      <x:c r="Q28" s="34" t="str"/>
      <x:c r="R28" s="34" t="str"/>
      <x:c r="S28" s="34" t="str"/>
      <x:c r="T28" s="34" t="str"/>
      <x:c r="U28" s="34" t="str"/>
      <x:c r="V28" s="34" t="str">
        <x:f>IF(A28="","",IF(N28&lt;5,"样本不足",IF(Q28&gt;=1,"优先复核",IF(AND(N28&gt;=20,P28&lt;0.35,K28&gt;=5),"停用候选",IF(AND(N28&gt;=10,P28&lt;0.45),"需修改候选",IF(AND(N28&gt;=10,P28&gt;=0.75,R28/N28&lt;=0.15,S28/N28&lt;=0.15),"升级候选",IF(R28/N28&gt;0.3,"收紧条件",IF(S28/N28&gt;0.3,"补漏／放宽","继续观察"))))))))</x:f>
        <x:v>样本不足</x:v>
      </x:c>
      <x:c r="W28" s="34" t="str">
        <x:f>IF(V28="","",IF(V28="升级候选","已验证候选",IF(V28="停用候选","停用候选",IF(OR(V28="需修改候选",V28="收紧条件",V28="补漏／放宽",V28="优先复核"),"需修改／复核","观察中"))))</x:f>
        <x:v>观察中</x:v>
      </x:c>
      <x:c r="X28" s="34" t="str"/>
      <x:c r="Y28" s="34" t="str"/>
    </x:row>
    <x:row r="29">
      <x:c r="A29" s="34" t="str">
        <x:v>M5-SYNTH-014</x:v>
      </x:c>
      <x:c r="B29" s="34" t="str">
        <x:v>SYNTH</x:v>
      </x:c>
      <x:c r="C29" s="34" t="str">
        <x:v>P0_SYNTH总合成</x:v>
      </x:c>
      <x:c r="D29" s="34" t="str">
        <x:v>同一source_id只算一次基础权重</x:v>
      </x:c>
      <x:c r="E29" s="34" t="str">
        <x:v>L0 定义、边界与安全</x:v>
      </x:c>
      <x:c r="F29" s="34" t="str">
        <x:v>去重</x:v>
      </x:c>
      <x:c r="G29" s="34" t="n">
        <x:v>98</x:v>
      </x:c>
      <x:c r="H29" s="34" t="str">
        <x:v>待验证</x:v>
      </x:c>
      <x:c r="I29" s="34" t="str"/>
      <x:c r="J29" s="34" t="str"/>
      <x:c r="K29" s="34" t="str"/>
      <x:c r="L29" s="34" t="str"/>
      <x:c r="M29" s="34" t="str"/>
      <x:c r="N29" s="34" t="n">
        <x:f>IF(A29="","",I29+J29+K29)</x:f>
        <x:v>0</x:v>
      </x:c>
      <x:c r="O29" s="56" t="str">
        <x:f>IF(N29=0,"",(I29+0.5*J29)/N29)</x:f>
      </x:c>
      <x:c r="P29" s="56" t="str">
        <x:f>IF(N29=0,"",(I29+0.5*J29+1)/(N29+2))</x:f>
      </x:c>
      <x:c r="Q29" s="34" t="str"/>
      <x:c r="R29" s="34" t="str"/>
      <x:c r="S29" s="34" t="str"/>
      <x:c r="T29" s="34" t="str"/>
      <x:c r="U29" s="34" t="str"/>
      <x:c r="V29" s="34" t="str">
        <x:f>IF(A29="","",IF(N29&lt;5,"样本不足",IF(Q29&gt;=1,"优先复核",IF(AND(N29&gt;=20,P29&lt;0.35,K29&gt;=5),"停用候选",IF(AND(N29&gt;=10,P29&lt;0.45),"需修改候选",IF(AND(N29&gt;=10,P29&gt;=0.75,R29/N29&lt;=0.15,S29/N29&lt;=0.15),"升级候选",IF(R29/N29&gt;0.3,"收紧条件",IF(S29/N29&gt;0.3,"补漏／放宽","继续观察"))))))))</x:f>
        <x:v>样本不足</x:v>
      </x:c>
      <x:c r="W29" s="34" t="str">
        <x:f>IF(V29="","",IF(V29="升级候选","已验证候选",IF(V29="停用候选","停用候选",IF(OR(V29="需修改候选",V29="收紧条件",V29="补漏／放宽",V29="优先复核"),"需修改／复核","观察中"))))</x:f>
        <x:v>观察中</x:v>
      </x:c>
      <x:c r="X29" s="34" t="str"/>
      <x:c r="Y29" s="34" t="str"/>
    </x:row>
    <x:row r="30">
      <x:c r="A30" s="34" t="str">
        <x:v>M5-SYNTH-015</x:v>
      </x:c>
      <x:c r="B30" s="34" t="str">
        <x:v>SYNTH</x:v>
      </x:c>
      <x:c r="C30" s="34" t="str">
        <x:v>P0_SYNTH总合成</x:v>
      </x:c>
      <x:c r="D30" s="34" t="str">
        <x:v>同一event_id只算一次现实事件</x:v>
      </x:c>
      <x:c r="E30" s="34" t="str">
        <x:v>L0 定义、边界与安全</x:v>
      </x:c>
      <x:c r="F30" s="34" t="str">
        <x:v>去重</x:v>
      </x:c>
      <x:c r="G30" s="34" t="n">
        <x:v>98</x:v>
      </x:c>
      <x:c r="H30" s="34" t="str">
        <x:v>待验证</x:v>
      </x:c>
      <x:c r="I30" s="34" t="str"/>
      <x:c r="J30" s="34" t="str"/>
      <x:c r="K30" s="34" t="str"/>
      <x:c r="L30" s="34" t="str"/>
      <x:c r="M30" s="34" t="str"/>
      <x:c r="N30" s="34" t="n">
        <x:f>IF(A30="","",I30+J30+K30)</x:f>
        <x:v>0</x:v>
      </x:c>
      <x:c r="O30" s="56" t="str">
        <x:f>IF(N30=0,"",(I30+0.5*J30)/N30)</x:f>
      </x:c>
      <x:c r="P30" s="56" t="str">
        <x:f>IF(N30=0,"",(I30+0.5*J30+1)/(N30+2))</x:f>
      </x:c>
      <x:c r="Q30" s="34" t="str"/>
      <x:c r="R30" s="34" t="str"/>
      <x:c r="S30" s="34" t="str"/>
      <x:c r="T30" s="34" t="str"/>
      <x:c r="U30" s="34" t="str"/>
      <x:c r="V30" s="34" t="str">
        <x:f>IF(A30="","",IF(N30&lt;5,"样本不足",IF(Q30&gt;=1,"优先复核",IF(AND(N30&gt;=20,P30&lt;0.35,K30&gt;=5),"停用候选",IF(AND(N30&gt;=10,P30&lt;0.45),"需修改候选",IF(AND(N30&gt;=10,P30&gt;=0.75,R30/N30&lt;=0.15,S30/N30&lt;=0.15),"升级候选",IF(R30/N30&gt;0.3,"收紧条件",IF(S30/N30&gt;0.3,"补漏／放宽","继续观察"))))))))</x:f>
        <x:v>样本不足</x:v>
      </x:c>
      <x:c r="W30" s="34" t="str">
        <x:f>IF(V30="","",IF(V30="升级候选","已验证候选",IF(V30="停用候选","停用候选",IF(OR(V30="需修改候选",V30="收紧条件",V30="补漏／放宽",V30="优先复核"),"需修改／复核","观察中"))))</x:f>
        <x:v>观察中</x:v>
      </x:c>
      <x:c r="X30" s="34" t="str"/>
      <x:c r="Y30" s="34" t="str"/>
    </x:row>
    <x:row r="31">
      <x:c r="A31" s="34" t="str">
        <x:v>M5-SYNTH-016</x:v>
      </x:c>
      <x:c r="B31" s="34" t="str">
        <x:v>SYNTH</x:v>
      </x:c>
      <x:c r="C31" s="34" t="str">
        <x:v>P0_SYNTH总合成</x:v>
      </x:c>
      <x:c r="D31" s="34" t="str">
        <x:v>十类功能必须使用统一功能族</x:v>
      </x:c>
      <x:c r="E31" s="34" t="str">
        <x:v>L0 定义、边界与安全</x:v>
      </x:c>
      <x:c r="F31" s="34" t="str">
        <x:v>去重</x:v>
      </x:c>
      <x:c r="G31" s="34" t="n">
        <x:v>98</x:v>
      </x:c>
      <x:c r="H31" s="34" t="str">
        <x:v>待验证</x:v>
      </x:c>
      <x:c r="I31" s="34" t="str"/>
      <x:c r="J31" s="34" t="str"/>
      <x:c r="K31" s="34" t="str"/>
      <x:c r="L31" s="34" t="str"/>
      <x:c r="M31" s="34" t="str"/>
      <x:c r="N31" s="34" t="n">
        <x:f>IF(A31="","",I31+J31+K31)</x:f>
        <x:v>0</x:v>
      </x:c>
      <x:c r="O31" s="56" t="str">
        <x:f>IF(N31=0,"",(I31+0.5*J31)/N31)</x:f>
      </x:c>
      <x:c r="P31" s="56" t="str">
        <x:f>IF(N31=0,"",(I31+0.5*J31+1)/(N31+2))</x:f>
      </x:c>
      <x:c r="Q31" s="34" t="str"/>
      <x:c r="R31" s="34" t="str"/>
      <x:c r="S31" s="34" t="str"/>
      <x:c r="T31" s="34" t="str"/>
      <x:c r="U31" s="34" t="str"/>
      <x:c r="V31" s="34" t="str">
        <x:f>IF(A31="","",IF(N31&lt;5,"样本不足",IF(Q31&gt;=1,"优先复核",IF(AND(N31&gt;=20,P31&lt;0.35,K31&gt;=5),"停用候选",IF(AND(N31&gt;=10,P31&lt;0.45),"需修改候选",IF(AND(N31&gt;=10,P31&gt;=0.75,R31/N31&lt;=0.15,S31/N31&lt;=0.15),"升级候选",IF(R31/N31&gt;0.3,"收紧条件",IF(S31/N31&gt;0.3,"补漏／放宽","继续观察"))))))))</x:f>
        <x:v>样本不足</x:v>
      </x:c>
      <x:c r="W31" s="34" t="str">
        <x:f>IF(V31="","",IF(V31="升级候选","已验证候选",IF(V31="停用候选","停用候选",IF(OR(V31="需修改候选",V31="收紧条件",V31="补漏／放宽",V31="优先复核"),"需修改／复核","观察中"))))</x:f>
        <x:v>观察中</x:v>
      </x:c>
      <x:c r="X31" s="34" t="str"/>
      <x:c r="Y31" s="34" t="str"/>
    </x:row>
    <x:row r="32">
      <x:c r="A32" s="34" t="str">
        <x:v>M5-SYNTH-017</x:v>
      </x:c>
      <x:c r="B32" s="34" t="str">
        <x:v>SYNTH</x:v>
      </x:c>
      <x:c r="C32" s="34" t="str">
        <x:v>P0_SYNTH总合成</x:v>
      </x:c>
      <x:c r="D32" s="34" t="str">
        <x:v>条件性适配必须写有效条件与失效点</x:v>
      </x:c>
      <x:c r="E32" s="34" t="str">
        <x:v>L0 定义、边界与安全</x:v>
      </x:c>
      <x:c r="F32" s="34" t="str">
        <x:v>边界</x:v>
      </x:c>
      <x:c r="G32" s="34" t="n">
        <x:v>98</x:v>
      </x:c>
      <x:c r="H32" s="34" t="str">
        <x:v>待验证</x:v>
      </x:c>
      <x:c r="I32" s="34" t="str"/>
      <x:c r="J32" s="34" t="str"/>
      <x:c r="K32" s="34" t="str"/>
      <x:c r="L32" s="34" t="str"/>
      <x:c r="M32" s="34" t="str"/>
      <x:c r="N32" s="34" t="n">
        <x:f>IF(A32="","",I32+J32+K32)</x:f>
        <x:v>0</x:v>
      </x:c>
      <x:c r="O32" s="56" t="str">
        <x:f>IF(N32=0,"",(I32+0.5*J32)/N32)</x:f>
      </x:c>
      <x:c r="P32" s="56" t="str">
        <x:f>IF(N32=0,"",(I32+0.5*J32+1)/(N32+2))</x:f>
      </x:c>
      <x:c r="Q32" s="34" t="str"/>
      <x:c r="R32" s="34" t="str"/>
      <x:c r="S32" s="34" t="str"/>
      <x:c r="T32" s="34" t="str"/>
      <x:c r="U32" s="34" t="str"/>
      <x:c r="V32" s="34" t="str">
        <x:f>IF(A32="","",IF(N32&lt;5,"样本不足",IF(Q32&gt;=1,"优先复核",IF(AND(N32&gt;=20,P32&lt;0.35,K32&gt;=5),"停用候选",IF(AND(N32&gt;=10,P32&lt;0.45),"需修改候选",IF(AND(N32&gt;=10,P32&gt;=0.75,R32/N32&lt;=0.15,S32/N32&lt;=0.15),"升级候选",IF(R32/N32&gt;0.3,"收紧条件",IF(S32/N32&gt;0.3,"补漏／放宽","继续观察"))))))))</x:f>
        <x:v>样本不足</x:v>
      </x:c>
      <x:c r="W32" s="34" t="str">
        <x:f>IF(V32="","",IF(V32="升级候选","已验证候选",IF(V32="停用候选","停用候选",IF(OR(V32="需修改候选",V32="收紧条件",V32="补漏／放宽",V32="优先复核"),"需修改／复核","观察中"))))</x:f>
        <x:v>观察中</x:v>
      </x:c>
      <x:c r="X32" s="34" t="str"/>
      <x:c r="Y32" s="34" t="str"/>
    </x:row>
    <x:row r="33">
      <x:c r="A33" s="34" t="str">
        <x:v>M5-SYNTH-074</x:v>
      </x:c>
      <x:c r="B33" s="34" t="str">
        <x:v>SYNTH</x:v>
      </x:c>
      <x:c r="C33" s="34" t="str">
        <x:v>P0_SYNTH总合成</x:v>
      </x:c>
      <x:c r="D33" s="34" t="str">
        <x:v>FAM01功能族｜同源不得跨模块重复计分</x:v>
      </x:c>
      <x:c r="E33" s="34" t="str">
        <x:v>L2 功能族与候选标准化</x:v>
      </x:c>
      <x:c r="F33" s="34" t="str">
        <x:v>去重</x:v>
      </x:c>
      <x:c r="G33" s="34" t="n">
        <x:v>98</x:v>
      </x:c>
      <x:c r="H33" s="34" t="str">
        <x:v>待验证</x:v>
      </x:c>
      <x:c r="I33" s="34" t="str"/>
      <x:c r="J33" s="34" t="str"/>
      <x:c r="K33" s="34" t="str"/>
      <x:c r="L33" s="34" t="str"/>
      <x:c r="M33" s="34" t="str"/>
      <x:c r="N33" s="34" t="n">
        <x:f>IF(A33="","",I33+J33+K33)</x:f>
        <x:v>0</x:v>
      </x:c>
      <x:c r="O33" s="56" t="str">
        <x:f>IF(N33=0,"",(I33+0.5*J33)/N33)</x:f>
      </x:c>
      <x:c r="P33" s="56" t="str">
        <x:f>IF(N33=0,"",(I33+0.5*J33+1)/(N33+2))</x:f>
      </x:c>
      <x:c r="Q33" s="34" t="str"/>
      <x:c r="R33" s="34" t="str"/>
      <x:c r="S33" s="34" t="str"/>
      <x:c r="T33" s="34" t="str"/>
      <x:c r="U33" s="34" t="str"/>
      <x:c r="V33" s="34" t="str">
        <x:f>IF(A33="","",IF(N33&lt;5,"样本不足",IF(Q33&gt;=1,"优先复核",IF(AND(N33&gt;=20,P33&lt;0.35,K33&gt;=5),"停用候选",IF(AND(N33&gt;=10,P33&lt;0.45),"需修改候选",IF(AND(N33&gt;=10,P33&gt;=0.75,R33/N33&lt;=0.15,S33/N33&lt;=0.15),"升级候选",IF(R33/N33&gt;0.3,"收紧条件",IF(S33/N33&gt;0.3,"补漏／放宽","继续观察"))))))))</x:f>
        <x:v>样本不足</x:v>
      </x:c>
      <x:c r="W33" s="34" t="str">
        <x:f>IF(V33="","",IF(V33="升级候选","已验证候选",IF(V33="停用候选","停用候选",IF(OR(V33="需修改候选",V33="收紧条件",V33="补漏／放宽",V33="优先复核"),"需修改／复核","观察中"))))</x:f>
        <x:v>观察中</x:v>
      </x:c>
      <x:c r="X33" s="34" t="str"/>
      <x:c r="Y33" s="34" t="str"/>
    </x:row>
    <x:row r="34">
      <x:c r="A34" s="34" t="str">
        <x:v>M5-SYNTH-076</x:v>
      </x:c>
      <x:c r="B34" s="34" t="str">
        <x:v>SYNTH</x:v>
      </x:c>
      <x:c r="C34" s="34" t="str">
        <x:v>P0_SYNTH总合成</x:v>
      </x:c>
      <x:c r="D34" s="34" t="str">
        <x:v>FAM02功能族｜同源不得跨模块重复计分</x:v>
      </x:c>
      <x:c r="E34" s="34" t="str">
        <x:v>L2 功能族与候选标准化</x:v>
      </x:c>
      <x:c r="F34" s="34" t="str">
        <x:v>去重</x:v>
      </x:c>
      <x:c r="G34" s="34" t="n">
        <x:v>98</x:v>
      </x:c>
      <x:c r="H34" s="34" t="str">
        <x:v>待验证</x:v>
      </x:c>
      <x:c r="I34" s="34" t="str"/>
      <x:c r="J34" s="34" t="str"/>
      <x:c r="K34" s="34" t="str"/>
      <x:c r="L34" s="34" t="str"/>
      <x:c r="M34" s="34" t="str"/>
      <x:c r="N34" s="34" t="n">
        <x:f>IF(A34="","",I34+J34+K34)</x:f>
        <x:v>0</x:v>
      </x:c>
      <x:c r="O34" s="56" t="str">
        <x:f>IF(N34=0,"",(I34+0.5*J34)/N34)</x:f>
      </x:c>
      <x:c r="P34" s="56" t="str">
        <x:f>IF(N34=0,"",(I34+0.5*J34+1)/(N34+2))</x:f>
      </x:c>
      <x:c r="Q34" s="34" t="str"/>
      <x:c r="R34" s="34" t="str"/>
      <x:c r="S34" s="34" t="str"/>
      <x:c r="T34" s="34" t="str"/>
      <x:c r="U34" s="34" t="str"/>
      <x:c r="V34" s="34" t="str">
        <x:f>IF(A34="","",IF(N34&lt;5,"样本不足",IF(Q34&gt;=1,"优先复核",IF(AND(N34&gt;=20,P34&lt;0.35,K34&gt;=5),"停用候选",IF(AND(N34&gt;=10,P34&lt;0.45),"需修改候选",IF(AND(N34&gt;=10,P34&gt;=0.75,R34/N34&lt;=0.15,S34/N34&lt;=0.15),"升级候选",IF(R34/N34&gt;0.3,"收紧条件",IF(S34/N34&gt;0.3,"补漏／放宽","继续观察"))))))))</x:f>
        <x:v>样本不足</x:v>
      </x:c>
      <x:c r="W34" s="34" t="str">
        <x:f>IF(V34="","",IF(V34="升级候选","已验证候选",IF(V34="停用候选","停用候选",IF(OR(V34="需修改候选",V34="收紧条件",V34="补漏／放宽",V34="优先复核"),"需修改／复核","观察中"))))</x:f>
        <x:v>观察中</x:v>
      </x:c>
      <x:c r="X34" s="34" t="str"/>
      <x:c r="Y34" s="34" t="str"/>
    </x:row>
    <x:row r="35">
      <x:c r="A35" s="34" t="str">
        <x:v>M5-SYNTH-078</x:v>
      </x:c>
      <x:c r="B35" s="34" t="str">
        <x:v>SYNTH</x:v>
      </x:c>
      <x:c r="C35" s="34" t="str">
        <x:v>P0_SYNTH总合成</x:v>
      </x:c>
      <x:c r="D35" s="34" t="str">
        <x:v>FAM03功能族｜同源不得跨模块重复计分</x:v>
      </x:c>
      <x:c r="E35" s="34" t="str">
        <x:v>L2 功能族与候选标准化</x:v>
      </x:c>
      <x:c r="F35" s="34" t="str">
        <x:v>去重</x:v>
      </x:c>
      <x:c r="G35" s="34" t="n">
        <x:v>98</x:v>
      </x:c>
      <x:c r="H35" s="34" t="str">
        <x:v>待验证</x:v>
      </x:c>
      <x:c r="I35" s="34" t="str"/>
      <x:c r="J35" s="34" t="str"/>
      <x:c r="K35" s="34" t="str"/>
      <x:c r="L35" s="34" t="str"/>
      <x:c r="M35" s="34" t="str"/>
      <x:c r="N35" s="34" t="n">
        <x:f>IF(A35="","",I35+J35+K35)</x:f>
        <x:v>0</x:v>
      </x:c>
      <x:c r="O35" s="56" t="str">
        <x:f>IF(N35=0,"",(I35+0.5*J35)/N35)</x:f>
      </x:c>
      <x:c r="P35" s="56" t="str">
        <x:f>IF(N35=0,"",(I35+0.5*J35+1)/(N35+2))</x:f>
      </x:c>
      <x:c r="Q35" s="34" t="str"/>
      <x:c r="R35" s="34" t="str"/>
      <x:c r="S35" s="34" t="str"/>
      <x:c r="T35" s="34" t="str"/>
      <x:c r="U35" s="34" t="str"/>
      <x:c r="V35" s="34" t="str">
        <x:f>IF(A35="","",IF(N35&lt;5,"样本不足",IF(Q35&gt;=1,"优先复核",IF(AND(N35&gt;=20,P35&lt;0.35,K35&gt;=5),"停用候选",IF(AND(N35&gt;=10,P35&lt;0.45),"需修改候选",IF(AND(N35&gt;=10,P35&gt;=0.75,R35/N35&lt;=0.15,S35/N35&lt;=0.15),"升级候选",IF(R35/N35&gt;0.3,"收紧条件",IF(S35/N35&gt;0.3,"补漏／放宽","继续观察"))))))))</x:f>
        <x:v>样本不足</x:v>
      </x:c>
      <x:c r="W35" s="34" t="str">
        <x:f>IF(V35="","",IF(V35="升级候选","已验证候选",IF(V35="停用候选","停用候选",IF(OR(V35="需修改候选",V35="收紧条件",V35="补漏／放宽",V35="优先复核"),"需修改／复核","观察中"))))</x:f>
        <x:v>观察中</x:v>
      </x:c>
      <x:c r="X35" s="34" t="str"/>
      <x:c r="Y35" s="34" t="str"/>
    </x:row>
    <x:row r="36">
      <x:c r="A36" s="34" t="str">
        <x:v>M5-SYNTH-080</x:v>
      </x:c>
      <x:c r="B36" s="34" t="str">
        <x:v>SYNTH</x:v>
      </x:c>
      <x:c r="C36" s="34" t="str">
        <x:v>P0_SYNTH总合成</x:v>
      </x:c>
      <x:c r="D36" s="34" t="str">
        <x:v>FAM04功能族｜同源不得跨模块重复计分</x:v>
      </x:c>
      <x:c r="E36" s="34" t="str">
        <x:v>L2 功能族与候选标准化</x:v>
      </x:c>
      <x:c r="F36" s="34" t="str">
        <x:v>去重</x:v>
      </x:c>
      <x:c r="G36" s="34" t="n">
        <x:v>98</x:v>
      </x:c>
      <x:c r="H36" s="34" t="str">
        <x:v>待验证</x:v>
      </x:c>
      <x:c r="I36" s="34" t="str"/>
      <x:c r="J36" s="34" t="str"/>
      <x:c r="K36" s="34" t="str"/>
      <x:c r="L36" s="34" t="str"/>
      <x:c r="M36" s="34" t="str"/>
      <x:c r="N36" s="34" t="n">
        <x:f>IF(A36="","",I36+J36+K36)</x:f>
        <x:v>0</x:v>
      </x:c>
      <x:c r="O36" s="56" t="str">
        <x:f>IF(N36=0,"",(I36+0.5*J36)/N36)</x:f>
      </x:c>
      <x:c r="P36" s="56" t="str">
        <x:f>IF(N36=0,"",(I36+0.5*J36+1)/(N36+2))</x:f>
      </x:c>
      <x:c r="Q36" s="34" t="str"/>
      <x:c r="R36" s="34" t="str"/>
      <x:c r="S36" s="34" t="str"/>
      <x:c r="T36" s="34" t="str"/>
      <x:c r="U36" s="34" t="str"/>
      <x:c r="V36" s="34" t="str">
        <x:f>IF(A36="","",IF(N36&lt;5,"样本不足",IF(Q36&gt;=1,"优先复核",IF(AND(N36&gt;=20,P36&lt;0.35,K36&gt;=5),"停用候选",IF(AND(N36&gt;=10,P36&lt;0.45),"需修改候选",IF(AND(N36&gt;=10,P36&gt;=0.75,R36/N36&lt;=0.15,S36/N36&lt;=0.15),"升级候选",IF(R36/N36&gt;0.3,"收紧条件",IF(S36/N36&gt;0.3,"补漏／放宽","继续观察"))))))))</x:f>
        <x:v>样本不足</x:v>
      </x:c>
      <x:c r="W36" s="34" t="str">
        <x:f>IF(V36="","",IF(V36="升级候选","已验证候选",IF(V36="停用候选","停用候选",IF(OR(V36="需修改候选",V36="收紧条件",V36="补漏／放宽",V36="优先复核"),"需修改／复核","观察中"))))</x:f>
        <x:v>观察中</x:v>
      </x:c>
      <x:c r="X36" s="34" t="str"/>
      <x:c r="Y36" s="34" t="str"/>
    </x:row>
    <x:row r="37">
      <x:c r="A37" s="34" t="str">
        <x:v>M5-SYNTH-082</x:v>
      </x:c>
      <x:c r="B37" s="34" t="str">
        <x:v>SYNTH</x:v>
      </x:c>
      <x:c r="C37" s="34" t="str">
        <x:v>P0_SYNTH总合成</x:v>
      </x:c>
      <x:c r="D37" s="34" t="str">
        <x:v>FAM05功能族｜同源不得跨模块重复计分</x:v>
      </x:c>
      <x:c r="E37" s="34" t="str">
        <x:v>L2 功能族与候选标准化</x:v>
      </x:c>
      <x:c r="F37" s="34" t="str">
        <x:v>去重</x:v>
      </x:c>
      <x:c r="G37" s="34" t="n">
        <x:v>98</x:v>
      </x:c>
      <x:c r="H37" s="34" t="str">
        <x:v>待验证</x:v>
      </x:c>
      <x:c r="I37" s="34" t="str"/>
      <x:c r="J37" s="34" t="str"/>
      <x:c r="K37" s="34" t="str"/>
      <x:c r="L37" s="34" t="str"/>
      <x:c r="M37" s="34" t="str"/>
      <x:c r="N37" s="34" t="n">
        <x:f>IF(A37="","",I37+J37+K37)</x:f>
        <x:v>0</x:v>
      </x:c>
      <x:c r="O37" s="56" t="str">
        <x:f>IF(N37=0,"",(I37+0.5*J37)/N37)</x:f>
      </x:c>
      <x:c r="P37" s="56" t="str">
        <x:f>IF(N37=0,"",(I37+0.5*J37+1)/(N37+2))</x:f>
      </x:c>
      <x:c r="Q37" s="34" t="str"/>
      <x:c r="R37" s="34" t="str"/>
      <x:c r="S37" s="34" t="str"/>
      <x:c r="T37" s="34" t="str"/>
      <x:c r="U37" s="34" t="str"/>
      <x:c r="V37" s="34" t="str">
        <x:f>IF(A37="","",IF(N37&lt;5,"样本不足",IF(Q37&gt;=1,"优先复核",IF(AND(N37&gt;=20,P37&lt;0.35,K37&gt;=5),"停用候选",IF(AND(N37&gt;=10,P37&lt;0.45),"需修改候选",IF(AND(N37&gt;=10,P37&gt;=0.75,R37/N37&lt;=0.15,S37/N37&lt;=0.15),"升级候选",IF(R37/N37&gt;0.3,"收紧条件",IF(S37/N37&gt;0.3,"补漏／放宽","继续观察"))))))))</x:f>
        <x:v>样本不足</x:v>
      </x:c>
      <x:c r="W37" s="34" t="str">
        <x:f>IF(V37="","",IF(V37="升级候选","已验证候选",IF(V37="停用候选","停用候选",IF(OR(V37="需修改候选",V37="收紧条件",V37="补漏／放宽",V37="优先复核"),"需修改／复核","观察中"))))</x:f>
        <x:v>观察中</x:v>
      </x:c>
      <x:c r="X37" s="34" t="str"/>
      <x:c r="Y37" s="34" t="str"/>
    </x:row>
    <x:row r="38">
      <x:c r="A38" s="34" t="str">
        <x:v>M5-SYNTH-084</x:v>
      </x:c>
      <x:c r="B38" s="34" t="str">
        <x:v>SYNTH</x:v>
      </x:c>
      <x:c r="C38" s="34" t="str">
        <x:v>P0_SYNTH总合成</x:v>
      </x:c>
      <x:c r="D38" s="34" t="str">
        <x:v>FAM06功能族｜同源不得跨模块重复计分</x:v>
      </x:c>
      <x:c r="E38" s="34" t="str">
        <x:v>L2 功能族与候选标准化</x:v>
      </x:c>
      <x:c r="F38" s="34" t="str">
        <x:v>去重</x:v>
      </x:c>
      <x:c r="G38" s="34" t="n">
        <x:v>98</x:v>
      </x:c>
      <x:c r="H38" s="34" t="str">
        <x:v>待验证</x:v>
      </x:c>
      <x:c r="I38" s="34" t="str"/>
      <x:c r="J38" s="34" t="str"/>
      <x:c r="K38" s="34" t="str"/>
      <x:c r="L38" s="34" t="str"/>
      <x:c r="M38" s="34" t="str"/>
      <x:c r="N38" s="34" t="n">
        <x:f>IF(A38="","",I38+J38+K38)</x:f>
        <x:v>0</x:v>
      </x:c>
      <x:c r="O38" s="56" t="str">
        <x:f>IF(N38=0,"",(I38+0.5*J38)/N38)</x:f>
      </x:c>
      <x:c r="P38" s="56" t="str">
        <x:f>IF(N38=0,"",(I38+0.5*J38+1)/(N38+2))</x:f>
      </x:c>
      <x:c r="Q38" s="34" t="str"/>
      <x:c r="R38" s="34" t="str"/>
      <x:c r="S38" s="34" t="str"/>
      <x:c r="T38" s="34" t="str"/>
      <x:c r="U38" s="34" t="str"/>
      <x:c r="V38" s="34" t="str">
        <x:f>IF(A38="","",IF(N38&lt;5,"样本不足",IF(Q38&gt;=1,"优先复核",IF(AND(N38&gt;=20,P38&lt;0.35,K38&gt;=5),"停用候选",IF(AND(N38&gt;=10,P38&lt;0.45),"需修改候选",IF(AND(N38&gt;=10,P38&gt;=0.75,R38/N38&lt;=0.15,S38/N38&lt;=0.15),"升级候选",IF(R38/N38&gt;0.3,"收紧条件",IF(S38/N38&gt;0.3,"补漏／放宽","继续观察"))))))))</x:f>
        <x:v>样本不足</x:v>
      </x:c>
      <x:c r="W38" s="34" t="str">
        <x:f>IF(V38="","",IF(V38="升级候选","已验证候选",IF(V38="停用候选","停用候选",IF(OR(V38="需修改候选",V38="收紧条件",V38="补漏／放宽",V38="优先复核"),"需修改／复核","观察中"))))</x:f>
        <x:v>观察中</x:v>
      </x:c>
      <x:c r="X38" s="34" t="str"/>
      <x:c r="Y38" s="34" t="str"/>
    </x:row>
    <x:row r="39">
      <x:c r="A39" s="34" t="str">
        <x:v>M5-SYNTH-086</x:v>
      </x:c>
      <x:c r="B39" s="34" t="str">
        <x:v>SYNTH</x:v>
      </x:c>
      <x:c r="C39" s="34" t="str">
        <x:v>P0_SYNTH总合成</x:v>
      </x:c>
      <x:c r="D39" s="34" t="str">
        <x:v>FAM07功能族｜同源不得跨模块重复计分</x:v>
      </x:c>
      <x:c r="E39" s="34" t="str">
        <x:v>L2 功能族与候选标准化</x:v>
      </x:c>
      <x:c r="F39" s="34" t="str">
        <x:v>去重</x:v>
      </x:c>
      <x:c r="G39" s="34" t="n">
        <x:v>98</x:v>
      </x:c>
      <x:c r="H39" s="34" t="str">
        <x:v>待验证</x:v>
      </x:c>
      <x:c r="I39" s="34" t="str"/>
      <x:c r="J39" s="34" t="str"/>
      <x:c r="K39" s="34" t="str"/>
      <x:c r="L39" s="34" t="str"/>
      <x:c r="M39" s="34" t="str"/>
      <x:c r="N39" s="34" t="n">
        <x:f>IF(A39="","",I39+J39+K39)</x:f>
        <x:v>0</x:v>
      </x:c>
      <x:c r="O39" s="56" t="str">
        <x:f>IF(N39=0,"",(I39+0.5*J39)/N39)</x:f>
      </x:c>
      <x:c r="P39" s="56" t="str">
        <x:f>IF(N39=0,"",(I39+0.5*J39+1)/(N39+2))</x:f>
      </x:c>
      <x:c r="Q39" s="34" t="str"/>
      <x:c r="R39" s="34" t="str"/>
      <x:c r="S39" s="34" t="str"/>
      <x:c r="T39" s="34" t="str"/>
      <x:c r="U39" s="34" t="str"/>
      <x:c r="V39" s="34" t="str">
        <x:f>IF(A39="","",IF(N39&lt;5,"样本不足",IF(Q39&gt;=1,"优先复核",IF(AND(N39&gt;=20,P39&lt;0.35,K39&gt;=5),"停用候选",IF(AND(N39&gt;=10,P39&lt;0.45),"需修改候选",IF(AND(N39&gt;=10,P39&gt;=0.75,R39/N39&lt;=0.15,S39/N39&lt;=0.15),"升级候选",IF(R39/N39&gt;0.3,"收紧条件",IF(S39/N39&gt;0.3,"补漏／放宽","继续观察"))))))))</x:f>
        <x:v>样本不足</x:v>
      </x:c>
      <x:c r="W39" s="34" t="str">
        <x:f>IF(V39="","",IF(V39="升级候选","已验证候选",IF(V39="停用候选","停用候选",IF(OR(V39="需修改候选",V39="收紧条件",V39="补漏／放宽",V39="优先复核"),"需修改／复核","观察中"))))</x:f>
        <x:v>观察中</x:v>
      </x:c>
      <x:c r="X39" s="34" t="str"/>
      <x:c r="Y39" s="34" t="str"/>
    </x:row>
    <x:row r="40">
      <x:c r="A40" s="34" t="str">
        <x:v>M5-SYNTH-088</x:v>
      </x:c>
      <x:c r="B40" s="34" t="str">
        <x:v>SYNTH</x:v>
      </x:c>
      <x:c r="C40" s="34" t="str">
        <x:v>P0_SYNTH总合成</x:v>
      </x:c>
      <x:c r="D40" s="34" t="str">
        <x:v>FAM08功能族｜同源不得跨模块重复计分</x:v>
      </x:c>
      <x:c r="E40" s="34" t="str">
        <x:v>L2 功能族与候选标准化</x:v>
      </x:c>
      <x:c r="F40" s="34" t="str">
        <x:v>去重</x:v>
      </x:c>
      <x:c r="G40" s="34" t="n">
        <x:v>98</x:v>
      </x:c>
      <x:c r="H40" s="34" t="str">
        <x:v>待验证</x:v>
      </x:c>
      <x:c r="I40" s="34" t="str"/>
      <x:c r="J40" s="34" t="str"/>
      <x:c r="K40" s="34" t="str"/>
      <x:c r="L40" s="34" t="str"/>
      <x:c r="M40" s="34" t="str"/>
      <x:c r="N40" s="34" t="n">
        <x:f>IF(A40="","",I40+J40+K40)</x:f>
        <x:v>0</x:v>
      </x:c>
      <x:c r="O40" s="56" t="str">
        <x:f>IF(N40=0,"",(I40+0.5*J40)/N40)</x:f>
      </x:c>
      <x:c r="P40" s="56" t="str">
        <x:f>IF(N40=0,"",(I40+0.5*J40+1)/(N40+2))</x:f>
      </x:c>
      <x:c r="Q40" s="34" t="str"/>
      <x:c r="R40" s="34" t="str"/>
      <x:c r="S40" s="34" t="str"/>
      <x:c r="T40" s="34" t="str"/>
      <x:c r="U40" s="34" t="str"/>
      <x:c r="V40" s="34" t="str">
        <x:f>IF(A40="","",IF(N40&lt;5,"样本不足",IF(Q40&gt;=1,"优先复核",IF(AND(N40&gt;=20,P40&lt;0.35,K40&gt;=5),"停用候选",IF(AND(N40&gt;=10,P40&lt;0.45),"需修改候选",IF(AND(N40&gt;=10,P40&gt;=0.75,R40/N40&lt;=0.15,S40/N40&lt;=0.15),"升级候选",IF(R40/N40&gt;0.3,"收紧条件",IF(S40/N40&gt;0.3,"补漏／放宽","继续观察"))))))))</x:f>
        <x:v>样本不足</x:v>
      </x:c>
      <x:c r="W40" s="34" t="str">
        <x:f>IF(V40="","",IF(V40="升级候选","已验证候选",IF(V40="停用候选","停用候选",IF(OR(V40="需修改候选",V40="收紧条件",V40="补漏／放宽",V40="优先复核"),"需修改／复核","观察中"))))</x:f>
        <x:v>观察中</x:v>
      </x:c>
      <x:c r="X40" s="34" t="str"/>
      <x:c r="Y40" s="34" t="str"/>
    </x:row>
    <x:row r="41">
      <x:c r="A41" s="34" t="str">
        <x:v>M5-SYNTH-090</x:v>
      </x:c>
      <x:c r="B41" s="34" t="str">
        <x:v>SYNTH</x:v>
      </x:c>
      <x:c r="C41" s="34" t="str">
        <x:v>P0_SYNTH总合成</x:v>
      </x:c>
      <x:c r="D41" s="34" t="str">
        <x:v>FAM09功能族｜同源不得跨模块重复计分</x:v>
      </x:c>
      <x:c r="E41" s="34" t="str">
        <x:v>L2 功能族与候选标准化</x:v>
      </x:c>
      <x:c r="F41" s="34" t="str">
        <x:v>去重</x:v>
      </x:c>
      <x:c r="G41" s="34" t="n">
        <x:v>98</x:v>
      </x:c>
      <x:c r="H41" s="34" t="str">
        <x:v>待验证</x:v>
      </x:c>
      <x:c r="I41" s="34" t="str"/>
      <x:c r="J41" s="34" t="str"/>
      <x:c r="K41" s="34" t="str"/>
      <x:c r="L41" s="34" t="str"/>
      <x:c r="M41" s="34" t="str"/>
      <x:c r="N41" s="34" t="n">
        <x:f>IF(A41="","",I41+J41+K41)</x:f>
        <x:v>0</x:v>
      </x:c>
      <x:c r="O41" s="56" t="str">
        <x:f>IF(N41=0,"",(I41+0.5*J41)/N41)</x:f>
      </x:c>
      <x:c r="P41" s="56" t="str">
        <x:f>IF(N41=0,"",(I41+0.5*J41+1)/(N41+2))</x:f>
      </x:c>
      <x:c r="Q41" s="34" t="str"/>
      <x:c r="R41" s="34" t="str"/>
      <x:c r="S41" s="34" t="str"/>
      <x:c r="T41" s="34" t="str"/>
      <x:c r="U41" s="34" t="str"/>
      <x:c r="V41" s="34" t="str">
        <x:f>IF(A41="","",IF(N41&lt;5,"样本不足",IF(Q41&gt;=1,"优先复核",IF(AND(N41&gt;=20,P41&lt;0.35,K41&gt;=5),"停用候选",IF(AND(N41&gt;=10,P41&lt;0.45),"需修改候选",IF(AND(N41&gt;=10,P41&gt;=0.75,R41/N41&lt;=0.15,S41/N41&lt;=0.15),"升级候选",IF(R41/N41&gt;0.3,"收紧条件",IF(S41/N41&gt;0.3,"补漏／放宽","继续观察"))))))))</x:f>
        <x:v>样本不足</x:v>
      </x:c>
      <x:c r="W41" s="34" t="str">
        <x:f>IF(V41="","",IF(V41="升级候选","已验证候选",IF(V41="停用候选","停用候选",IF(OR(V41="需修改候选",V41="收紧条件",V41="补漏／放宽",V41="优先复核"),"需修改／复核","观察中"))))</x:f>
        <x:v>观察中</x:v>
      </x:c>
      <x:c r="X41" s="34" t="str"/>
      <x:c r="Y41" s="34" t="str"/>
    </x:row>
    <x:row r="42">
      <x:c r="A42" s="34" t="str">
        <x:v>M5-SYNTH-092</x:v>
      </x:c>
      <x:c r="B42" s="34" t="str">
        <x:v>SYNTH</x:v>
      </x:c>
      <x:c r="C42" s="34" t="str">
        <x:v>P0_SYNTH总合成</x:v>
      </x:c>
      <x:c r="D42" s="34" t="str">
        <x:v>FAM10功能族｜同源不得跨模块重复计分</x:v>
      </x:c>
      <x:c r="E42" s="34" t="str">
        <x:v>L2 功能族与候选标准化</x:v>
      </x:c>
      <x:c r="F42" s="34" t="str">
        <x:v>去重</x:v>
      </x:c>
      <x:c r="G42" s="34" t="n">
        <x:v>98</x:v>
      </x:c>
      <x:c r="H42" s="34" t="str">
        <x:v>待验证</x:v>
      </x:c>
      <x:c r="I42" s="34" t="str"/>
      <x:c r="J42" s="34" t="str"/>
      <x:c r="K42" s="34" t="str"/>
      <x:c r="L42" s="34" t="str"/>
      <x:c r="M42" s="34" t="str"/>
      <x:c r="N42" s="34" t="n">
        <x:f>IF(A42="","",I42+J42+K42)</x:f>
        <x:v>0</x:v>
      </x:c>
      <x:c r="O42" s="56" t="str">
        <x:f>IF(N42=0,"",(I42+0.5*J42)/N42)</x:f>
      </x:c>
      <x:c r="P42" s="56" t="str">
        <x:f>IF(N42=0,"",(I42+0.5*J42+1)/(N42+2))</x:f>
      </x:c>
      <x:c r="Q42" s="34" t="str"/>
      <x:c r="R42" s="34" t="str"/>
      <x:c r="S42" s="34" t="str"/>
      <x:c r="T42" s="34" t="str"/>
      <x:c r="U42" s="34" t="str"/>
      <x:c r="V42" s="34" t="str">
        <x:f>IF(A42="","",IF(N42&lt;5,"样本不足",IF(Q42&gt;=1,"优先复核",IF(AND(N42&gt;=20,P42&lt;0.35,K42&gt;=5),"停用候选",IF(AND(N42&gt;=10,P42&lt;0.45),"需修改候选",IF(AND(N42&gt;=10,P42&gt;=0.75,R42/N42&lt;=0.15,S42/N42&lt;=0.15),"升级候选",IF(R42/N42&gt;0.3,"收紧条件",IF(S42/N42&gt;0.3,"补漏／放宽","继续观察"))))))))</x:f>
        <x:v>样本不足</x:v>
      </x:c>
      <x:c r="W42" s="34" t="str">
        <x:f>IF(V42="","",IF(V42="升级候选","已验证候选",IF(V42="停用候选","停用候选",IF(OR(V42="需修改候选",V42="收紧条件",V42="补漏／放宽",V42="优先复核"),"需修改／复核","观察中"))))</x:f>
        <x:v>观察中</x:v>
      </x:c>
      <x:c r="X42" s="34" t="str"/>
      <x:c r="Y42" s="34" t="str"/>
    </x:row>
    <x:row r="43">
      <x:c r="A43" s="34" t="str">
        <x:v>M5-SYNTH-113</x:v>
      </x:c>
      <x:c r="B43" s="34" t="str">
        <x:v>SYNTH</x:v>
      </x:c>
      <x:c r="C43" s="34" t="str">
        <x:v>P0_SYNTH总合成</x:v>
      </x:c>
      <x:c r="D43" s="34" t="str">
        <x:v>RG01现实门槛｜正式定义</x:v>
      </x:c>
      <x:c r="E43" s="34" t="str">
        <x:v>L3 现实门槛RG</x:v>
      </x:c>
      <x:c r="F43" s="34" t="str">
        <x:v>定义</x:v>
      </x:c>
      <x:c r="G43" s="34" t="n">
        <x:v>98</x:v>
      </x:c>
      <x:c r="H43" s="34" t="str">
        <x:v>待验证</x:v>
      </x:c>
      <x:c r="I43" s="34" t="str"/>
      <x:c r="J43" s="34" t="str"/>
      <x:c r="K43" s="34" t="str"/>
      <x:c r="L43" s="34" t="str"/>
      <x:c r="M43" s="34" t="str"/>
      <x:c r="N43" s="34" t="n">
        <x:f>IF(A43="","",I43+J43+K43)</x:f>
        <x:v>0</x:v>
      </x:c>
      <x:c r="O43" s="56" t="str">
        <x:f>IF(N43=0,"",(I43+0.5*J43)/N43)</x:f>
      </x:c>
      <x:c r="P43" s="56" t="str">
        <x:f>IF(N43=0,"",(I43+0.5*J43+1)/(N43+2))</x:f>
      </x:c>
      <x:c r="Q43" s="34" t="str"/>
      <x:c r="R43" s="34" t="str"/>
      <x:c r="S43" s="34" t="str"/>
      <x:c r="T43" s="34" t="str"/>
      <x:c r="U43" s="34" t="str"/>
      <x:c r="V43" s="34" t="str">
        <x:f>IF(A43="","",IF(N43&lt;5,"样本不足",IF(Q43&gt;=1,"优先复核",IF(AND(N43&gt;=20,P43&lt;0.35,K43&gt;=5),"停用候选",IF(AND(N43&gt;=10,P43&lt;0.45),"需修改候选",IF(AND(N43&gt;=10,P43&gt;=0.75,R43/N43&lt;=0.15,S43/N43&lt;=0.15),"升级候选",IF(R43/N43&gt;0.3,"收紧条件",IF(S43/N43&gt;0.3,"补漏／放宽","继续观察"))))))))</x:f>
        <x:v>样本不足</x:v>
      </x:c>
      <x:c r="W43" s="34" t="str">
        <x:f>IF(V43="","",IF(V43="升级候选","已验证候选",IF(V43="停用候选","停用候选",IF(OR(V43="需修改候选",V43="收紧条件",V43="补漏／放宽",V43="优先复核"),"需修改／复核","观察中"))))</x:f>
        <x:v>观察中</x:v>
      </x:c>
      <x:c r="X43" s="34" t="str"/>
      <x:c r="Y43" s="34" t="str"/>
    </x:row>
    <x:row r="44">
      <x:c r="A44" s="34" t="str">
        <x:v>M5-SYNTH-117</x:v>
      </x:c>
      <x:c r="B44" s="34" t="str">
        <x:v>SYNTH</x:v>
      </x:c>
      <x:c r="C44" s="34" t="str">
        <x:v>P0_SYNTH总合成</x:v>
      </x:c>
      <x:c r="D44" s="34" t="str">
        <x:v>RG02现实门槛｜正式定义</x:v>
      </x:c>
      <x:c r="E44" s="34" t="str">
        <x:v>L3 现实门槛RG</x:v>
      </x:c>
      <x:c r="F44" s="34" t="str">
        <x:v>定义</x:v>
      </x:c>
      <x:c r="G44" s="34" t="n">
        <x:v>98</x:v>
      </x:c>
      <x:c r="H44" s="34" t="str">
        <x:v>待验证</x:v>
      </x:c>
      <x:c r="I44" s="34" t="str"/>
      <x:c r="J44" s="34" t="str"/>
      <x:c r="K44" s="34" t="str"/>
      <x:c r="L44" s="34" t="str"/>
      <x:c r="M44" s="34" t="str"/>
      <x:c r="N44" s="34" t="n">
        <x:f>IF(A44="","",I44+J44+K44)</x:f>
        <x:v>0</x:v>
      </x:c>
      <x:c r="O44" s="56" t="str">
        <x:f>IF(N44=0,"",(I44+0.5*J44)/N44)</x:f>
      </x:c>
      <x:c r="P44" s="56" t="str">
        <x:f>IF(N44=0,"",(I44+0.5*J44+1)/(N44+2))</x:f>
      </x:c>
      <x:c r="Q44" s="34" t="str"/>
      <x:c r="R44" s="34" t="str"/>
      <x:c r="S44" s="34" t="str"/>
      <x:c r="T44" s="34" t="str"/>
      <x:c r="U44" s="34" t="str"/>
      <x:c r="V44" s="34" t="str">
        <x:f>IF(A44="","",IF(N44&lt;5,"样本不足",IF(Q44&gt;=1,"优先复核",IF(AND(N44&gt;=20,P44&lt;0.35,K44&gt;=5),"停用候选",IF(AND(N44&gt;=10,P44&lt;0.45),"需修改候选",IF(AND(N44&gt;=10,P44&gt;=0.75,R44/N44&lt;=0.15,S44/N44&lt;=0.15),"升级候选",IF(R44/N44&gt;0.3,"收紧条件",IF(S44/N44&gt;0.3,"补漏／放宽","继续观察"))))))))</x:f>
        <x:v>样本不足</x:v>
      </x:c>
      <x:c r="W44" s="34" t="str">
        <x:f>IF(V44="","",IF(V44="升级候选","已验证候选",IF(V44="停用候选","停用候选",IF(OR(V44="需修改候选",V44="收紧条件",V44="补漏／放宽",V44="优先复核"),"需修改／复核","观察中"))))</x:f>
        <x:v>观察中</x:v>
      </x:c>
      <x:c r="X44" s="34" t="str"/>
      <x:c r="Y44" s="34" t="str"/>
    </x:row>
    <x:row r="45">
      <x:c r="A45" s="34" t="str">
        <x:v>M5-SYNTH-121</x:v>
      </x:c>
      <x:c r="B45" s="34" t="str">
        <x:v>SYNTH</x:v>
      </x:c>
      <x:c r="C45" s="34" t="str">
        <x:v>P0_SYNTH总合成</x:v>
      </x:c>
      <x:c r="D45" s="34" t="str">
        <x:v>RG03现实门槛｜正式定义</x:v>
      </x:c>
      <x:c r="E45" s="34" t="str">
        <x:v>L3 现实门槛RG</x:v>
      </x:c>
      <x:c r="F45" s="34" t="str">
        <x:v>定义</x:v>
      </x:c>
      <x:c r="G45" s="34" t="n">
        <x:v>98</x:v>
      </x:c>
      <x:c r="H45" s="34" t="str">
        <x:v>待验证</x:v>
      </x:c>
      <x:c r="I45" s="34" t="str"/>
      <x:c r="J45" s="34" t="str"/>
      <x:c r="K45" s="34" t="str"/>
      <x:c r="L45" s="34" t="str"/>
      <x:c r="M45" s="34" t="str"/>
      <x:c r="N45" s="34" t="n">
        <x:f>IF(A45="","",I45+J45+K45)</x:f>
        <x:v>0</x:v>
      </x:c>
      <x:c r="O45" s="56" t="str">
        <x:f>IF(N45=0,"",(I45+0.5*J45)/N45)</x:f>
      </x:c>
      <x:c r="P45" s="56" t="str">
        <x:f>IF(N45=0,"",(I45+0.5*J45+1)/(N45+2))</x:f>
      </x:c>
      <x:c r="Q45" s="34" t="str"/>
      <x:c r="R45" s="34" t="str"/>
      <x:c r="S45" s="34" t="str"/>
      <x:c r="T45" s="34" t="str"/>
      <x:c r="U45" s="34" t="str"/>
      <x:c r="V45" s="34" t="str">
        <x:f>IF(A45="","",IF(N45&lt;5,"样本不足",IF(Q45&gt;=1,"优先复核",IF(AND(N45&gt;=20,P45&lt;0.35,K45&gt;=5),"停用候选",IF(AND(N45&gt;=10,P45&lt;0.45),"需修改候选",IF(AND(N45&gt;=10,P45&gt;=0.75,R45/N45&lt;=0.15,S45/N45&lt;=0.15),"升级候选",IF(R45/N45&gt;0.3,"收紧条件",IF(S45/N45&gt;0.3,"补漏／放宽","继续观察"))))))))</x:f>
        <x:v>样本不足</x:v>
      </x:c>
      <x:c r="W45" s="34" t="str">
        <x:f>IF(V45="","",IF(V45="升级候选","已验证候选",IF(V45="停用候选","停用候选",IF(OR(V45="需修改候选",V45="收紧条件",V45="补漏／放宽",V45="优先复核"),"需修改／复核","观察中"))))</x:f>
        <x:v>观察中</x:v>
      </x:c>
      <x:c r="X45" s="34" t="str"/>
      <x:c r="Y45" s="34" t="str"/>
    </x:row>
    <x:row r="46">
      <x:c r="A46" s="34" t="str">
        <x:v>M5-SYNTH-125</x:v>
      </x:c>
      <x:c r="B46" s="34" t="str">
        <x:v>SYNTH</x:v>
      </x:c>
      <x:c r="C46" s="34" t="str">
        <x:v>P0_SYNTH总合成</x:v>
      </x:c>
      <x:c r="D46" s="34" t="str">
        <x:v>RG04现实门槛｜正式定义</x:v>
      </x:c>
      <x:c r="E46" s="34" t="str">
        <x:v>L3 现实门槛RG</x:v>
      </x:c>
      <x:c r="F46" s="34" t="str">
        <x:v>定义</x:v>
      </x:c>
      <x:c r="G46" s="34" t="n">
        <x:v>98</x:v>
      </x:c>
      <x:c r="H46" s="34" t="str">
        <x:v>待验证</x:v>
      </x:c>
      <x:c r="I46" s="34" t="str"/>
      <x:c r="J46" s="34" t="str"/>
      <x:c r="K46" s="34" t="str"/>
      <x:c r="L46" s="34" t="str"/>
      <x:c r="M46" s="34" t="str"/>
      <x:c r="N46" s="34" t="n">
        <x:f>IF(A46="","",I46+J46+K46)</x:f>
        <x:v>0</x:v>
      </x:c>
      <x:c r="O46" s="56" t="str">
        <x:f>IF(N46=0,"",(I46+0.5*J46)/N46)</x:f>
      </x:c>
      <x:c r="P46" s="56" t="str">
        <x:f>IF(N46=0,"",(I46+0.5*J46+1)/(N46+2))</x:f>
      </x:c>
      <x:c r="Q46" s="34" t="str"/>
      <x:c r="R46" s="34" t="str"/>
      <x:c r="S46" s="34" t="str"/>
      <x:c r="T46" s="34" t="str"/>
      <x:c r="U46" s="34" t="str"/>
      <x:c r="V46" s="34" t="str">
        <x:f>IF(A46="","",IF(N46&lt;5,"样本不足",IF(Q46&gt;=1,"优先复核",IF(AND(N46&gt;=20,P46&lt;0.35,K46&gt;=5),"停用候选",IF(AND(N46&gt;=10,P46&lt;0.45),"需修改候选",IF(AND(N46&gt;=10,P46&gt;=0.75,R46/N46&lt;=0.15,S46/N46&lt;=0.15),"升级候选",IF(R46/N46&gt;0.3,"收紧条件",IF(S46/N46&gt;0.3,"补漏／放宽","继续观察"))))))))</x:f>
        <x:v>样本不足</x:v>
      </x:c>
      <x:c r="W46" s="34" t="str">
        <x:f>IF(V46="","",IF(V46="升级候选","已验证候选",IF(V46="停用候选","停用候选",IF(OR(V46="需修改候选",V46="收紧条件",V46="补漏／放宽",V46="优先复核"),"需修改／复核","观察中"))))</x:f>
        <x:v>观察中</x:v>
      </x:c>
      <x:c r="X46" s="34" t="str"/>
      <x:c r="Y46" s="34" t="str"/>
    </x:row>
    <x:row r="47">
      <x:c r="A47" s="34" t="str">
        <x:v>M5-SYNTH-129</x:v>
      </x:c>
      <x:c r="B47" s="34" t="str">
        <x:v>SYNTH</x:v>
      </x:c>
      <x:c r="C47" s="34" t="str">
        <x:v>P0_SYNTH总合成</x:v>
      </x:c>
      <x:c r="D47" s="34" t="str">
        <x:v>RG05现实门槛｜正式定义</x:v>
      </x:c>
      <x:c r="E47" s="34" t="str">
        <x:v>L3 现实门槛RG</x:v>
      </x:c>
      <x:c r="F47" s="34" t="str">
        <x:v>定义</x:v>
      </x:c>
      <x:c r="G47" s="34" t="n">
        <x:v>98</x:v>
      </x:c>
      <x:c r="H47" s="34" t="str">
        <x:v>待验证</x:v>
      </x:c>
      <x:c r="I47" s="34" t="str"/>
      <x:c r="J47" s="34" t="str"/>
      <x:c r="K47" s="34" t="str"/>
      <x:c r="L47" s="34" t="str"/>
      <x:c r="M47" s="34" t="str"/>
      <x:c r="N47" s="34" t="n">
        <x:f>IF(A47="","",I47+J47+K47)</x:f>
        <x:v>0</x:v>
      </x:c>
      <x:c r="O47" s="56" t="str">
        <x:f>IF(N47=0,"",(I47+0.5*J47)/N47)</x:f>
      </x:c>
      <x:c r="P47" s="56" t="str">
        <x:f>IF(N47=0,"",(I47+0.5*J47+1)/(N47+2))</x:f>
      </x:c>
      <x:c r="Q47" s="34" t="str"/>
      <x:c r="R47" s="34" t="str"/>
      <x:c r="S47" s="34" t="str"/>
      <x:c r="T47" s="34" t="str"/>
      <x:c r="U47" s="34" t="str"/>
      <x:c r="V47" s="34" t="str">
        <x:f>IF(A47="","",IF(N47&lt;5,"样本不足",IF(Q47&gt;=1,"优先复核",IF(AND(N47&gt;=20,P47&lt;0.35,K47&gt;=5),"停用候选",IF(AND(N47&gt;=10,P47&lt;0.45),"需修改候选",IF(AND(N47&gt;=10,P47&gt;=0.75,R47/N47&lt;=0.15,S47/N47&lt;=0.15),"升级候选",IF(R47/N47&gt;0.3,"收紧条件",IF(S47/N47&gt;0.3,"补漏／放宽","继续观察"))))))))</x:f>
        <x:v>样本不足</x:v>
      </x:c>
      <x:c r="W47" s="34" t="str">
        <x:f>IF(V47="","",IF(V47="升级候选","已验证候选",IF(V47="停用候选","停用候选",IF(OR(V47="需修改候选",V47="收紧条件",V47="补漏／放宽",V47="优先复核"),"需修改／复核","观察中"))))</x:f>
        <x:v>观察中</x:v>
      </x:c>
      <x:c r="X47" s="34" t="str"/>
      <x:c r="Y47" s="34" t="str"/>
    </x:row>
    <x:row r="48">
      <x:c r="A48" s="34" t="str">
        <x:v>M5-SYNTH-133</x:v>
      </x:c>
      <x:c r="B48" s="34" t="str">
        <x:v>SYNTH</x:v>
      </x:c>
      <x:c r="C48" s="34" t="str">
        <x:v>P0_SYNTH总合成</x:v>
      </x:c>
      <x:c r="D48" s="34" t="str">
        <x:v>RG06现实门槛｜正式定义</x:v>
      </x:c>
      <x:c r="E48" s="34" t="str">
        <x:v>L3 现实门槛RG</x:v>
      </x:c>
      <x:c r="F48" s="34" t="str">
        <x:v>定义</x:v>
      </x:c>
      <x:c r="G48" s="34" t="n">
        <x:v>98</x:v>
      </x:c>
      <x:c r="H48" s="34" t="str">
        <x:v>待验证</x:v>
      </x:c>
      <x:c r="I48" s="34" t="str"/>
      <x:c r="J48" s="34" t="str"/>
      <x:c r="K48" s="34" t="str"/>
      <x:c r="L48" s="34" t="str"/>
      <x:c r="M48" s="34" t="str"/>
      <x:c r="N48" s="34" t="n">
        <x:f>IF(A48="","",I48+J48+K48)</x:f>
        <x:v>0</x:v>
      </x:c>
      <x:c r="O48" s="56" t="str">
        <x:f>IF(N48=0,"",(I48+0.5*J48)/N48)</x:f>
      </x:c>
      <x:c r="P48" s="56" t="str">
        <x:f>IF(N48=0,"",(I48+0.5*J48+1)/(N48+2))</x:f>
      </x:c>
      <x:c r="Q48" s="34" t="str"/>
      <x:c r="R48" s="34" t="str"/>
      <x:c r="S48" s="34" t="str"/>
      <x:c r="T48" s="34" t="str"/>
      <x:c r="U48" s="34" t="str"/>
      <x:c r="V48" s="34" t="str">
        <x:f>IF(A48="","",IF(N48&lt;5,"样本不足",IF(Q48&gt;=1,"优先复核",IF(AND(N48&gt;=20,P48&lt;0.35,K48&gt;=5),"停用候选",IF(AND(N48&gt;=10,P48&lt;0.45),"需修改候选",IF(AND(N48&gt;=10,P48&gt;=0.75,R48/N48&lt;=0.15,S48/N48&lt;=0.15),"升级候选",IF(R48/N48&gt;0.3,"收紧条件",IF(S48/N48&gt;0.3,"补漏／放宽","继续观察"))))))))</x:f>
        <x:v>样本不足</x:v>
      </x:c>
      <x:c r="W48" s="34" t="str">
        <x:f>IF(V48="","",IF(V48="升级候选","已验证候选",IF(V48="停用候选","停用候选",IF(OR(V48="需修改候选",V48="收紧条件",V48="补漏／放宽",V48="优先复核"),"需修改／复核","观察中"))))</x:f>
        <x:v>观察中</x:v>
      </x:c>
      <x:c r="X48" s="34" t="str"/>
      <x:c r="Y48" s="34" t="str"/>
    </x:row>
    <x:row r="49">
      <x:c r="A49" s="34" t="str">
        <x:v>M5-SYNTH-137</x:v>
      </x:c>
      <x:c r="B49" s="34" t="str">
        <x:v>SYNTH</x:v>
      </x:c>
      <x:c r="C49" s="34" t="str">
        <x:v>P0_SYNTH总合成</x:v>
      </x:c>
      <x:c r="D49" s="34" t="str">
        <x:v>RG07现实门槛｜正式定义</x:v>
      </x:c>
      <x:c r="E49" s="34" t="str">
        <x:v>L3 现实门槛RG</x:v>
      </x:c>
      <x:c r="F49" s="34" t="str">
        <x:v>定义</x:v>
      </x:c>
      <x:c r="G49" s="34" t="n">
        <x:v>98</x:v>
      </x:c>
      <x:c r="H49" s="34" t="str">
        <x:v>待验证</x:v>
      </x:c>
      <x:c r="I49" s="34" t="str"/>
      <x:c r="J49" s="34" t="str"/>
      <x:c r="K49" s="34" t="str"/>
      <x:c r="L49" s="34" t="str"/>
      <x:c r="M49" s="34" t="str"/>
      <x:c r="N49" s="34" t="n">
        <x:f>IF(A49="","",I49+J49+K49)</x:f>
        <x:v>0</x:v>
      </x:c>
      <x:c r="O49" s="56" t="str">
        <x:f>IF(N49=0,"",(I49+0.5*J49)/N49)</x:f>
      </x:c>
      <x:c r="P49" s="56" t="str">
        <x:f>IF(N49=0,"",(I49+0.5*J49+1)/(N49+2))</x:f>
      </x:c>
      <x:c r="Q49" s="34" t="str"/>
      <x:c r="R49" s="34" t="str"/>
      <x:c r="S49" s="34" t="str"/>
      <x:c r="T49" s="34" t="str"/>
      <x:c r="U49" s="34" t="str"/>
      <x:c r="V49" s="34" t="str">
        <x:f>IF(A49="","",IF(N49&lt;5,"样本不足",IF(Q49&gt;=1,"优先复核",IF(AND(N49&gt;=20,P49&lt;0.35,K49&gt;=5),"停用候选",IF(AND(N49&gt;=10,P49&lt;0.45),"需修改候选",IF(AND(N49&gt;=10,P49&gt;=0.75,R49/N49&lt;=0.15,S49/N49&lt;=0.15),"升级候选",IF(R49/N49&gt;0.3,"收紧条件",IF(S49/N49&gt;0.3,"补漏／放宽","继续观察"))))))))</x:f>
        <x:v>样本不足</x:v>
      </x:c>
      <x:c r="W49" s="34" t="str">
        <x:f>IF(V49="","",IF(V49="升级候选","已验证候选",IF(V49="停用候选","停用候选",IF(OR(V49="需修改候选",V49="收紧条件",V49="补漏／放宽",V49="优先复核"),"需修改／复核","观察中"))))</x:f>
        <x:v>观察中</x:v>
      </x:c>
      <x:c r="X49" s="34" t="str"/>
      <x:c r="Y49" s="34" t="str"/>
    </x:row>
    <x:row r="50">
      <x:c r="A50" s="34" t="str">
        <x:v>M5-SYNTH-141</x:v>
      </x:c>
      <x:c r="B50" s="34" t="str">
        <x:v>SYNTH</x:v>
      </x:c>
      <x:c r="C50" s="34" t="str">
        <x:v>P0_SYNTH总合成</x:v>
      </x:c>
      <x:c r="D50" s="34" t="str">
        <x:v>RG08现实门槛｜正式定义</x:v>
      </x:c>
      <x:c r="E50" s="34" t="str">
        <x:v>L3 现实门槛RG</x:v>
      </x:c>
      <x:c r="F50" s="34" t="str">
        <x:v>定义</x:v>
      </x:c>
      <x:c r="G50" s="34" t="n">
        <x:v>98</x:v>
      </x:c>
      <x:c r="H50" s="34" t="str">
        <x:v>待验证</x:v>
      </x:c>
      <x:c r="I50" s="34" t="str"/>
      <x:c r="J50" s="34" t="str"/>
      <x:c r="K50" s="34" t="str"/>
      <x:c r="L50" s="34" t="str"/>
      <x:c r="M50" s="34" t="str"/>
      <x:c r="N50" s="34" t="n">
        <x:f>IF(A50="","",I50+J50+K50)</x:f>
        <x:v>0</x:v>
      </x:c>
      <x:c r="O50" s="56" t="str">
        <x:f>IF(N50=0,"",(I50+0.5*J50)/N50)</x:f>
      </x:c>
      <x:c r="P50" s="56" t="str">
        <x:f>IF(N50=0,"",(I50+0.5*J50+1)/(N50+2))</x:f>
      </x:c>
      <x:c r="Q50" s="34" t="str"/>
      <x:c r="R50" s="34" t="str"/>
      <x:c r="S50" s="34" t="str"/>
      <x:c r="T50" s="34" t="str"/>
      <x:c r="U50" s="34" t="str"/>
      <x:c r="V50" s="34" t="str">
        <x:f>IF(A50="","",IF(N50&lt;5,"样本不足",IF(Q50&gt;=1,"优先复核",IF(AND(N50&gt;=20,P50&lt;0.35,K50&gt;=5),"停用候选",IF(AND(N50&gt;=10,P50&lt;0.45),"需修改候选",IF(AND(N50&gt;=10,P50&gt;=0.75,R50/N50&lt;=0.15,S50/N50&lt;=0.15),"升级候选",IF(R50/N50&gt;0.3,"收紧条件",IF(S50/N50&gt;0.3,"补漏／放宽","继续观察"))))))))</x:f>
        <x:v>样本不足</x:v>
      </x:c>
      <x:c r="W50" s="34" t="str">
        <x:f>IF(V50="","",IF(V50="升级候选","已验证候选",IF(V50="停用候选","停用候选",IF(OR(V50="需修改候选",V50="收紧条件",V50="补漏／放宽",V50="优先复核"),"需修改／复核","观察中"))))</x:f>
        <x:v>观察中</x:v>
      </x:c>
      <x:c r="X50" s="34" t="str"/>
      <x:c r="Y50" s="34" t="str"/>
    </x:row>
    <x:row r="51">
      <x:c r="A51" s="34" t="str">
        <x:v>M5-SYNTH-193</x:v>
      </x:c>
      <x:c r="B51" s="34" t="str">
        <x:v>SYNTH</x:v>
      </x:c>
      <x:c r="C51" s="34" t="str">
        <x:v>P0_SYNTH总合成</x:v>
      </x:c>
      <x:c r="D51" s="34" t="str">
        <x:v>主适配排序｜先安全与现实门槛</x:v>
      </x:c>
      <x:c r="E51" s="34" t="str">
        <x:v>L5 冲突裁决与主次排序</x:v>
      </x:c>
      <x:c r="F51" s="34" t="str">
        <x:v>裁决</x:v>
      </x:c>
      <x:c r="G51" s="34" t="n">
        <x:v>98</x:v>
      </x:c>
      <x:c r="H51" s="34" t="str">
        <x:v>待验证</x:v>
      </x:c>
      <x:c r="I51" s="34" t="str"/>
      <x:c r="J51" s="34" t="str"/>
      <x:c r="K51" s="34" t="str"/>
      <x:c r="L51" s="34" t="str"/>
      <x:c r="M51" s="34" t="str"/>
      <x:c r="N51" s="34" t="n">
        <x:f>IF(A51="","",I51+J51+K51)</x:f>
        <x:v>0</x:v>
      </x:c>
      <x:c r="O51" s="56" t="str">
        <x:f>IF(N51=0,"",(I51+0.5*J51)/N51)</x:f>
      </x:c>
      <x:c r="P51" s="56" t="str">
        <x:f>IF(N51=0,"",(I51+0.5*J51+1)/(N51+2))</x:f>
      </x:c>
      <x:c r="Q51" s="34" t="str"/>
      <x:c r="R51" s="34" t="str"/>
      <x:c r="S51" s="34" t="str"/>
      <x:c r="T51" s="34" t="str"/>
      <x:c r="U51" s="34" t="str"/>
      <x:c r="V51" s="34" t="str">
        <x:f>IF(A51="","",IF(N51&lt;5,"样本不足",IF(Q51&gt;=1,"优先复核",IF(AND(N51&gt;=20,P51&lt;0.35,K51&gt;=5),"停用候选",IF(AND(N51&gt;=10,P51&lt;0.45),"需修改候选",IF(AND(N51&gt;=10,P51&gt;=0.75,R51/N51&lt;=0.15,S51/N51&lt;=0.15),"升级候选",IF(R51/N51&gt;0.3,"收紧条件",IF(S51/N51&gt;0.3,"补漏／放宽","继续观察"))))))))</x:f>
        <x:v>样本不足</x:v>
      </x:c>
      <x:c r="W51" s="34" t="str">
        <x:f>IF(V51="","",IF(V51="升级候选","已验证候选",IF(V51="停用候选","停用候选",IF(OR(V51="需修改候选",V51="收紧条件",V51="补漏／放宽",V51="优先复核"),"需修改／复核","观察中"))))</x:f>
        <x:v>观察中</x:v>
      </x:c>
      <x:c r="X51" s="34" t="str"/>
      <x:c r="Y51" s="34" t="str"/>
    </x:row>
    <x:row r="52">
      <x:c r="A52" s="34" t="str">
        <x:v>M5-SYNTH-211</x:v>
      </x:c>
      <x:c r="B52" s="34" t="str">
        <x:v>SYNTH</x:v>
      </x:c>
      <x:c r="C52" s="34" t="str">
        <x:v>P0_SYNTH总合成</x:v>
      </x:c>
      <x:c r="D52" s="34" t="str">
        <x:v>RHYTHM强／核心RG失败｜现实门槛优先</x:v>
      </x:c>
      <x:c r="E52" s="34" t="str">
        <x:v>L5 冲突裁决与主次排序</x:v>
      </x:c>
      <x:c r="F52" s="34" t="str">
        <x:v>裁决</x:v>
      </x:c>
      <x:c r="G52" s="34" t="n">
        <x:v>98</x:v>
      </x:c>
      <x:c r="H52" s="34" t="str">
        <x:v>待验证</x:v>
      </x:c>
      <x:c r="I52" s="34" t="str"/>
      <x:c r="J52" s="34" t="str"/>
      <x:c r="K52" s="34" t="str"/>
      <x:c r="L52" s="34" t="str"/>
      <x:c r="M52" s="34" t="str"/>
      <x:c r="N52" s="34" t="n">
        <x:f>IF(A52="","",I52+J52+K52)</x:f>
        <x:v>0</x:v>
      </x:c>
      <x:c r="O52" s="56" t="str">
        <x:f>IF(N52=0,"",(I52+0.5*J52)/N52)</x:f>
      </x:c>
      <x:c r="P52" s="56" t="str">
        <x:f>IF(N52=0,"",(I52+0.5*J52+1)/(N52+2))</x:f>
      </x:c>
      <x:c r="Q52" s="34" t="str"/>
      <x:c r="R52" s="34" t="str"/>
      <x:c r="S52" s="34" t="str"/>
      <x:c r="T52" s="34" t="str"/>
      <x:c r="U52" s="34" t="str"/>
      <x:c r="V52" s="34" t="str">
        <x:f>IF(A52="","",IF(N52&lt;5,"样本不足",IF(Q52&gt;=1,"优先复核",IF(AND(N52&gt;=20,P52&lt;0.35,K52&gt;=5),"停用候选",IF(AND(N52&gt;=10,P52&lt;0.45),"需修改候选",IF(AND(N52&gt;=10,P52&gt;=0.75,R52/N52&lt;=0.15,S52/N52&lt;=0.15),"升级候选",IF(R52/N52&gt;0.3,"收紧条件",IF(S52/N52&gt;0.3,"补漏／放宽","继续观察"))))))))</x:f>
        <x:v>样本不足</x:v>
      </x:c>
      <x:c r="W52" s="34" t="str">
        <x:f>IF(V52="","",IF(V52="升级候选","已验证候选",IF(V52="停用候选","停用候选",IF(OR(V52="需修改候选",V52="收紧条件",V52="补漏／放宽",V52="优先复核"),"需修改／复核","观察中"))))</x:f>
        <x:v>观察中</x:v>
      </x:c>
      <x:c r="X52" s="34" t="str"/>
      <x:c r="Y52" s="34" t="str"/>
    </x:row>
    <x:row r="53">
      <x:c r="A53" s="34" t="str">
        <x:v>M5-SYNTH-226</x:v>
      </x:c>
      <x:c r="B53" s="34" t="str">
        <x:v>SYNTH</x:v>
      </x:c>
      <x:c r="C53" s="34" t="str">
        <x:v>P0_SYNTH总合成</x:v>
      </x:c>
      <x:c r="D53" s="34" t="str">
        <x:v>修复高但安全历史严重｜安全记录不被覆盖</x:v>
      </x:c>
      <x:c r="E53" s="34" t="str">
        <x:v>L5 冲突裁决与主次排序</x:v>
      </x:c>
      <x:c r="F53" s="34" t="str">
        <x:v>裁决</x:v>
      </x:c>
      <x:c r="G53" s="34" t="n">
        <x:v>98</x:v>
      </x:c>
      <x:c r="H53" s="34" t="str">
        <x:v>待验证</x:v>
      </x:c>
      <x:c r="I53" s="34" t="str"/>
      <x:c r="J53" s="34" t="str"/>
      <x:c r="K53" s="34" t="str"/>
      <x:c r="L53" s="34" t="str"/>
      <x:c r="M53" s="34" t="str"/>
      <x:c r="N53" s="34" t="n">
        <x:f>IF(A53="","",I53+J53+K53)</x:f>
        <x:v>0</x:v>
      </x:c>
      <x:c r="O53" s="56" t="str">
        <x:f>IF(N53=0,"",(I53+0.5*J53)/N53)</x:f>
      </x:c>
      <x:c r="P53" s="56" t="str">
        <x:f>IF(N53=0,"",(I53+0.5*J53+1)/(N53+2))</x:f>
      </x:c>
      <x:c r="Q53" s="34" t="str"/>
      <x:c r="R53" s="34" t="str"/>
      <x:c r="S53" s="34" t="str"/>
      <x:c r="T53" s="34" t="str"/>
      <x:c r="U53" s="34" t="str"/>
      <x:c r="V53" s="34" t="str">
        <x:f>IF(A53="","",IF(N53&lt;5,"样本不足",IF(Q53&gt;=1,"优先复核",IF(AND(N53&gt;=20,P53&lt;0.35,K53&gt;=5),"停用候选",IF(AND(N53&gt;=10,P53&lt;0.45),"需修改候选",IF(AND(N53&gt;=10,P53&gt;=0.75,R53/N53&lt;=0.15,S53/N53&lt;=0.15),"升级候选",IF(R53/N53&gt;0.3,"收紧条件",IF(S53/N53&gt;0.3,"补漏／放宽","继续观察"))))))))</x:f>
        <x:v>样本不足</x:v>
      </x:c>
      <x:c r="W53" s="34" t="str">
        <x:f>IF(V53="","",IF(V53="升级候选","已验证候选",IF(V53="停用候选","停用候选",IF(OR(V53="需修改候选",V53="收紧条件",V53="补漏／放宽",V53="优先复核"),"需修改／复核","观察中"))))</x:f>
        <x:v>观察中</x:v>
      </x:c>
      <x:c r="X53" s="34" t="str"/>
      <x:c r="Y53" s="34" t="str"/>
    </x:row>
    <x:row r="54">
      <x:c r="A54" s="34" t="str">
        <x:v>M5-SYNTH-228</x:v>
      </x:c>
      <x:c r="B54" s="34" t="str">
        <x:v>SYNTH</x:v>
      </x:c>
      <x:c r="C54" s="34" t="str">
        <x:v>P0_SYNTH总合成</x:v>
      </x:c>
      <x:c r="D54" s="34" t="str">
        <x:v>同一现实门槛跨模块重复｜只由RG计一次</x:v>
      </x:c>
      <x:c r="E54" s="34" t="str">
        <x:v>L5 冲突裁决与主次排序</x:v>
      </x:c>
      <x:c r="F54" s="34" t="str">
        <x:v>裁决</x:v>
      </x:c>
      <x:c r="G54" s="34" t="n">
        <x:v>98</x:v>
      </x:c>
      <x:c r="H54" s="34" t="str">
        <x:v>待验证</x:v>
      </x:c>
      <x:c r="I54" s="34" t="str"/>
      <x:c r="J54" s="34" t="str"/>
      <x:c r="K54" s="34" t="str"/>
      <x:c r="L54" s="34" t="str"/>
      <x:c r="M54" s="34" t="str"/>
      <x:c r="N54" s="34" t="n">
        <x:f>IF(A54="","",I54+J54+K54)</x:f>
        <x:v>0</x:v>
      </x:c>
      <x:c r="O54" s="56" t="str">
        <x:f>IF(N54=0,"",(I54+0.5*J54)/N54)</x:f>
      </x:c>
      <x:c r="P54" s="56" t="str">
        <x:f>IF(N54=0,"",(I54+0.5*J54+1)/(N54+2))</x:f>
      </x:c>
      <x:c r="Q54" s="34" t="str"/>
      <x:c r="R54" s="34" t="str"/>
      <x:c r="S54" s="34" t="str"/>
      <x:c r="T54" s="34" t="str"/>
      <x:c r="U54" s="34" t="str"/>
      <x:c r="V54" s="34" t="str">
        <x:f>IF(A54="","",IF(N54&lt;5,"样本不足",IF(Q54&gt;=1,"优先复核",IF(AND(N54&gt;=20,P54&lt;0.35,K54&gt;=5),"停用候选",IF(AND(N54&gt;=10,P54&lt;0.45),"需修改候选",IF(AND(N54&gt;=10,P54&gt;=0.75,R54/N54&lt;=0.15,S54/N54&lt;=0.15),"升级候选",IF(R54/N54&gt;0.3,"收紧条件",IF(S54/N54&gt;0.3,"补漏／放宽","继续观察"))))))))</x:f>
        <x:v>样本不足</x:v>
      </x:c>
      <x:c r="W54" s="34" t="str">
        <x:f>IF(V54="","",IF(V54="升级候选","已验证候选",IF(V54="停用候选","停用候选",IF(OR(V54="需修改候选",V54="收紧条件",V54="补漏／放宽",V54="优先复核"),"需修改／复核","观察中"))))</x:f>
        <x:v>观察中</x:v>
      </x:c>
      <x:c r="X54" s="34" t="str"/>
      <x:c r="Y54" s="34" t="str"/>
    </x:row>
    <x:row r="55">
      <x:c r="A55" s="34" t="str">
        <x:v>M5-SYNTH-018</x:v>
      </x:c>
      <x:c r="B55" s="34" t="str">
        <x:v>SYNTH</x:v>
      </x:c>
      <x:c r="C55" s="34" t="str">
        <x:v>P0_SYNTH总合成</x:v>
      </x:c>
      <x:c r="D55" s="34" t="str">
        <x:v>不得生成无限理想伴侣清单</x:v>
      </x:c>
      <x:c r="E55" s="34" t="str">
        <x:v>L0 定义、边界与安全</x:v>
      </x:c>
      <x:c r="F55" s="34" t="str">
        <x:v>输出</x:v>
      </x:c>
      <x:c r="G55" s="34" t="n">
        <x:v>97</x:v>
      </x:c>
      <x:c r="H55" s="34" t="str">
        <x:v>待验证</x:v>
      </x:c>
      <x:c r="I55" s="34" t="str"/>
      <x:c r="J55" s="34" t="str"/>
      <x:c r="K55" s="34" t="str"/>
      <x:c r="L55" s="34" t="str"/>
      <x:c r="M55" s="34" t="str"/>
      <x:c r="N55" s="34" t="n">
        <x:f>IF(A55="","",I55+J55+K55)</x:f>
        <x:v>0</x:v>
      </x:c>
      <x:c r="O55" s="56" t="str">
        <x:f>IF(N55=0,"",(I55+0.5*J55)/N55)</x:f>
      </x:c>
      <x:c r="P55" s="56" t="str">
        <x:f>IF(N55=0,"",(I55+0.5*J55+1)/(N55+2))</x:f>
      </x:c>
      <x:c r="Q55" s="34" t="str"/>
      <x:c r="R55" s="34" t="str"/>
      <x:c r="S55" s="34" t="str"/>
      <x:c r="T55" s="34" t="str"/>
      <x:c r="U55" s="34" t="str"/>
      <x:c r="V55" s="34" t="str">
        <x:f>IF(A55="","",IF(N55&lt;5,"样本不足",IF(Q55&gt;=1,"优先复核",IF(AND(N55&gt;=20,P55&lt;0.35,K55&gt;=5),"停用候选",IF(AND(N55&gt;=10,P55&lt;0.45),"需修改候选",IF(AND(N55&gt;=10,P55&gt;=0.75,R55/N55&lt;=0.15,S55/N55&lt;=0.15),"升级候选",IF(R55/N55&gt;0.3,"收紧条件",IF(S55/N55&gt;0.3,"补漏／放宽","继续观察"))))))))</x:f>
        <x:v>样本不足</x:v>
      </x:c>
      <x:c r="W55" s="34" t="str">
        <x:f>IF(V55="","",IF(V55="升级候选","已验证候选",IF(V55="停用候选","停用候选",IF(OR(V55="需修改候选",V55="收紧条件",V55="补漏／放宽",V55="优先复核"),"需修改／复核","观察中"))))</x:f>
        <x:v>观察中</x:v>
      </x:c>
      <x:c r="X55" s="34" t="str"/>
      <x:c r="Y55" s="34" t="str"/>
    </x:row>
    <x:row r="56">
      <x:c r="A56" s="34" t="str">
        <x:v>M5-SYNTH-019</x:v>
      </x:c>
      <x:c r="B56" s="34" t="str">
        <x:v>SYNTH</x:v>
      </x:c>
      <x:c r="C56" s="34" t="str">
        <x:v>P0_SYNTH总合成</x:v>
      </x:c>
      <x:c r="D56" s="34" t="str">
        <x:v>正向标签不得绕过现实验证</x:v>
      </x:c>
      <x:c r="E56" s="34" t="str">
        <x:v>L0 定义、边界与安全</x:v>
      </x:c>
      <x:c r="F56" s="34" t="str">
        <x:v>边界</x:v>
      </x:c>
      <x:c r="G56" s="34" t="n">
        <x:v>97</x:v>
      </x:c>
      <x:c r="H56" s="34" t="str">
        <x:v>待验证</x:v>
      </x:c>
      <x:c r="I56" s="34" t="str"/>
      <x:c r="J56" s="34" t="str"/>
      <x:c r="K56" s="34" t="str"/>
      <x:c r="L56" s="34" t="str"/>
      <x:c r="M56" s="34" t="str"/>
      <x:c r="N56" s="34" t="n">
        <x:f>IF(A56="","",I56+J56+K56)</x:f>
        <x:v>0</x:v>
      </x:c>
      <x:c r="O56" s="56" t="str">
        <x:f>IF(N56=0,"",(I56+0.5*J56)/N56)</x:f>
      </x:c>
      <x:c r="P56" s="56" t="str">
        <x:f>IF(N56=0,"",(I56+0.5*J56+1)/(N56+2))</x:f>
      </x:c>
      <x:c r="Q56" s="34" t="str"/>
      <x:c r="R56" s="34" t="str"/>
      <x:c r="S56" s="34" t="str"/>
      <x:c r="T56" s="34" t="str"/>
      <x:c r="U56" s="34" t="str"/>
      <x:c r="V56" s="34" t="str">
        <x:f>IF(A56="","",IF(N56&lt;5,"样本不足",IF(Q56&gt;=1,"优先复核",IF(AND(N56&gt;=20,P56&lt;0.35,K56&gt;=5),"停用候选",IF(AND(N56&gt;=10,P56&lt;0.45),"需修改候选",IF(AND(N56&gt;=10,P56&gt;=0.75,R56/N56&lt;=0.15,S56/N56&lt;=0.15),"升级候选",IF(R56/N56&gt;0.3,"收紧条件",IF(S56/N56&gt;0.3,"补漏／放宽","继续观察"))))))))</x:f>
        <x:v>样本不足</x:v>
      </x:c>
      <x:c r="W56" s="34" t="str">
        <x:f>IF(V56="","",IF(V56="升级候选","已验证候选",IF(V56="停用候选","停用候选",IF(OR(V56="需修改候选",V56="收紧条件",V56="补漏／放宽",V56="优先复核"),"需修改／复核","观察中"))))</x:f>
        <x:v>观察中</x:v>
      </x:c>
      <x:c r="X56" s="34" t="str"/>
      <x:c r="Y56" s="34" t="str"/>
    </x:row>
    <x:row r="57">
      <x:c r="A57" s="34" t="str">
        <x:v>M5-SYNTH-020</x:v>
      </x:c>
      <x:c r="B57" s="34" t="str">
        <x:v>SYNTH</x:v>
      </x:c>
      <x:c r="C57" s="34" t="str">
        <x:v>P0_SYNTH总合成</x:v>
      </x:c>
      <x:c r="D57" s="34" t="str">
        <x:v>适配结论不替用户做关系决定</x:v>
      </x:c>
      <x:c r="E57" s="34" t="str">
        <x:v>L0 定义、边界与安全</x:v>
      </x:c>
      <x:c r="F57" s="34" t="str">
        <x:v>边界</x:v>
      </x:c>
      <x:c r="G57" s="34" t="n">
        <x:v>97</x:v>
      </x:c>
      <x:c r="H57" s="34" t="str">
        <x:v>待验证</x:v>
      </x:c>
      <x:c r="I57" s="34" t="str"/>
      <x:c r="J57" s="34" t="str"/>
      <x:c r="K57" s="34" t="str"/>
      <x:c r="L57" s="34" t="str"/>
      <x:c r="M57" s="34" t="str"/>
      <x:c r="N57" s="34" t="n">
        <x:f>IF(A57="","",I57+J57+K57)</x:f>
        <x:v>0</x:v>
      </x:c>
      <x:c r="O57" s="56" t="str">
        <x:f>IF(N57=0,"",(I57+0.5*J57)/N57)</x:f>
      </x:c>
      <x:c r="P57" s="56" t="str">
        <x:f>IF(N57=0,"",(I57+0.5*J57+1)/(N57+2))</x:f>
      </x:c>
      <x:c r="Q57" s="34" t="str"/>
      <x:c r="R57" s="34" t="str"/>
      <x:c r="S57" s="34" t="str"/>
      <x:c r="T57" s="34" t="str"/>
      <x:c r="U57" s="34" t="str"/>
      <x:c r="V57" s="34" t="str">
        <x:f>IF(A57="","",IF(N57&lt;5,"样本不足",IF(Q57&gt;=1,"优先复核",IF(AND(N57&gt;=20,P57&lt;0.35,K57&gt;=5),"停用候选",IF(AND(N57&gt;=10,P57&lt;0.45),"需修改候选",IF(AND(N57&gt;=10,P57&gt;=0.75,R57/N57&lt;=0.15,S57/N57&lt;=0.15),"升级候选",IF(R57/N57&gt;0.3,"收紧条件",IF(S57/N57&gt;0.3,"补漏／放宽","继续观察"))))))))</x:f>
        <x:v>样本不足</x:v>
      </x:c>
      <x:c r="W57" s="34" t="str">
        <x:f>IF(V57="","",IF(V57="升级候选","已验证候选",IF(V57="停用候选","停用候选",IF(OR(V57="需修改候选",V57="收紧条件",V57="补漏／放宽",V57="优先复核"),"需修改／复核","观察中"))))</x:f>
        <x:v>观察中</x:v>
      </x:c>
      <x:c r="X57" s="34" t="str"/>
      <x:c r="Y57" s="34" t="str"/>
    </x:row>
    <x:row r="58">
      <x:c r="A58" s="34" t="str">
        <x:v>M5-SYNTH-021</x:v>
      </x:c>
      <x:c r="B58" s="34" t="str">
        <x:v>SYNTH</x:v>
      </x:c>
      <x:c r="C58" s="34" t="str">
        <x:v>P0_SYNTH总合成</x:v>
      </x:c>
      <x:c r="D58" s="34" t="str">
        <x:v>有限报告｜字段级停止而非整份作废</x:v>
      </x:c>
      <x:c r="E58" s="34" t="str">
        <x:v>L0 定义、边界与安全</x:v>
      </x:c>
      <x:c r="F58" s="34" t="str">
        <x:v>路由</x:v>
      </x:c>
      <x:c r="G58" s="34" t="n">
        <x:v>97</x:v>
      </x:c>
      <x:c r="H58" s="34" t="str">
        <x:v>待验证</x:v>
      </x:c>
      <x:c r="I58" s="34" t="str"/>
      <x:c r="J58" s="34" t="str"/>
      <x:c r="K58" s="34" t="str"/>
      <x:c r="L58" s="34" t="str"/>
      <x:c r="M58" s="34" t="str"/>
      <x:c r="N58" s="34" t="n">
        <x:f>IF(A58="","",I58+J58+K58)</x:f>
        <x:v>0</x:v>
      </x:c>
      <x:c r="O58" s="56" t="str">
        <x:f>IF(N58=0,"",(I58+0.5*J58)/N58)</x:f>
      </x:c>
      <x:c r="P58" s="56" t="str">
        <x:f>IF(N58=0,"",(I58+0.5*J58+1)/(N58+2))</x:f>
      </x:c>
      <x:c r="Q58" s="34" t="str"/>
      <x:c r="R58" s="34" t="str"/>
      <x:c r="S58" s="34" t="str"/>
      <x:c r="T58" s="34" t="str"/>
      <x:c r="U58" s="34" t="str"/>
      <x:c r="V58" s="34" t="str">
        <x:f>IF(A58="","",IF(N58&lt;5,"样本不足",IF(Q58&gt;=1,"优先复核",IF(AND(N58&gt;=20,P58&lt;0.35,K58&gt;=5),"停用候选",IF(AND(N58&gt;=10,P58&lt;0.45),"需修改候选",IF(AND(N58&gt;=10,P58&gt;=0.75,R58/N58&lt;=0.15,S58/N58&lt;=0.15),"升级候选",IF(R58/N58&gt;0.3,"收紧条件",IF(S58/N58&gt;0.3,"补漏／放宽","继续观察"))))))))</x:f>
        <x:v>样本不足</x:v>
      </x:c>
      <x:c r="W58" s="34" t="str">
        <x:f>IF(V58="","",IF(V58="升级候选","已验证候选",IF(V58="停用候选","停用候选",IF(OR(V58="需修改候选",V58="收紧条件",V58="补漏／放宽",V58="优先复核"),"需修改／复核","观察中"))))</x:f>
        <x:v>观察中</x:v>
      </x:c>
      <x:c r="X58" s="34" t="str"/>
      <x:c r="Y58" s="34" t="str"/>
    </x:row>
    <x:row r="59">
      <x:c r="A59" s="34" t="str">
        <x:v>M5-SYNTH-022</x:v>
      </x:c>
      <x:c r="B59" s="34" t="str">
        <x:v>SYNTH</x:v>
      </x:c>
      <x:c r="C59" s="34" t="str">
        <x:v>P0_SYNTH总合成</x:v>
      </x:c>
      <x:c r="D59" s="34" t="str">
        <x:v>共享基础引擎争议处理</x:v>
      </x:c>
      <x:c r="E59" s="34" t="str">
        <x:v>L0 定义、边界与安全</x:v>
      </x:c>
      <x:c r="F59" s="34" t="str">
        <x:v>停止</x:v>
      </x:c>
      <x:c r="G59" s="34" t="n">
        <x:v>97</x:v>
      </x:c>
      <x:c r="H59" s="34" t="str">
        <x:v>待验证</x:v>
      </x:c>
      <x:c r="I59" s="34" t="str"/>
      <x:c r="J59" s="34" t="str"/>
      <x:c r="K59" s="34" t="str"/>
      <x:c r="L59" s="34" t="str"/>
      <x:c r="M59" s="34" t="str"/>
      <x:c r="N59" s="34" t="n">
        <x:f>IF(A59="","",I59+J59+K59)</x:f>
        <x:v>0</x:v>
      </x:c>
      <x:c r="O59" s="56" t="str">
        <x:f>IF(N59=0,"",(I59+0.5*J59)/N59)</x:f>
      </x:c>
      <x:c r="P59" s="56" t="str">
        <x:f>IF(N59=0,"",(I59+0.5*J59+1)/(N59+2))</x:f>
      </x:c>
      <x:c r="Q59" s="34" t="str"/>
      <x:c r="R59" s="34" t="str"/>
      <x:c r="S59" s="34" t="str"/>
      <x:c r="T59" s="34" t="str"/>
      <x:c r="U59" s="34" t="str"/>
      <x:c r="V59" s="34" t="str">
        <x:f>IF(A59="","",IF(N59&lt;5,"样本不足",IF(Q59&gt;=1,"优先复核",IF(AND(N59&gt;=20,P59&lt;0.35,K59&gt;=5),"停用候选",IF(AND(N59&gt;=10,P59&lt;0.45),"需修改候选",IF(AND(N59&gt;=10,P59&gt;=0.75,R59/N59&lt;=0.15,S59/N59&lt;=0.15),"升级候选",IF(R59/N59&gt;0.3,"收紧条件",IF(S59/N59&gt;0.3,"补漏／放宽","继续观察"))))))))</x:f>
        <x:v>样本不足</x:v>
      </x:c>
      <x:c r="W59" s="34" t="str">
        <x:f>IF(V59="","",IF(V59="升级候选","已验证候选",IF(V59="停用候选","停用候选",IF(OR(V59="需修改候选",V59="收紧条件",V59="补漏／放宽",V59="优先复核"),"需修改／复核","观察中"))))</x:f>
        <x:v>观察中</x:v>
      </x:c>
      <x:c r="X59" s="34" t="str"/>
      <x:c r="Y59" s="34" t="str"/>
    </x:row>
    <x:row r="60">
      <x:c r="A60" s="34" t="str">
        <x:v>M5-SYNTH-023</x:v>
      </x:c>
      <x:c r="B60" s="34" t="str">
        <x:v>SYNTH</x:v>
      </x:c>
      <x:c r="C60" s="34" t="str">
        <x:v>P0_SYNTH总合成</x:v>
      </x:c>
      <x:c r="D60" s="34" t="str">
        <x:v>M3依赖状态｜REPAIR／STATE／SYNTH待回填</x:v>
      </x:c>
      <x:c r="E60" s="34" t="str">
        <x:v>L0 定义、边界与安全</x:v>
      </x:c>
      <x:c r="F60" s="34" t="str">
        <x:v>版本</x:v>
      </x:c>
      <x:c r="G60" s="34" t="n">
        <x:v>97</x:v>
      </x:c>
      <x:c r="H60" s="34" t="str">
        <x:v>待验证</x:v>
      </x:c>
      <x:c r="I60" s="34" t="str"/>
      <x:c r="J60" s="34" t="str"/>
      <x:c r="K60" s="34" t="str"/>
      <x:c r="L60" s="34" t="str"/>
      <x:c r="M60" s="34" t="str"/>
      <x:c r="N60" s="34" t="n">
        <x:f>IF(A60="","",I60+J60+K60)</x:f>
        <x:v>0</x:v>
      </x:c>
      <x:c r="O60" s="56" t="str">
        <x:f>IF(N60=0,"",(I60+0.5*J60)/N60)</x:f>
      </x:c>
      <x:c r="P60" s="56" t="str">
        <x:f>IF(N60=0,"",(I60+0.5*J60+1)/(N60+2))</x:f>
      </x:c>
      <x:c r="Q60" s="34" t="str"/>
      <x:c r="R60" s="34" t="str"/>
      <x:c r="S60" s="34" t="str"/>
      <x:c r="T60" s="34" t="str"/>
      <x:c r="U60" s="34" t="str"/>
      <x:c r="V60" s="34" t="str">
        <x:f>IF(A60="","",IF(N60&lt;5,"样本不足",IF(Q60&gt;=1,"优先复核",IF(AND(N60&gt;=20,P60&lt;0.35,K60&gt;=5),"停用候选",IF(AND(N60&gt;=10,P60&lt;0.45),"需修改候选",IF(AND(N60&gt;=10,P60&gt;=0.75,R60/N60&lt;=0.15,S60/N60&lt;=0.15),"升级候选",IF(R60/N60&gt;0.3,"收紧条件",IF(S60/N60&gt;0.3,"补漏／放宽","继续观察"))))))))</x:f>
        <x:v>样本不足</x:v>
      </x:c>
      <x:c r="W60" s="34" t="str">
        <x:f>IF(V60="","",IF(V60="升级候选","已验证候选",IF(V60="停用候选","停用候选",IF(OR(V60="需修改候选",V60="收紧条件",V60="补漏／放宽",V60="优先复核"),"需修改／复核","观察中"))))</x:f>
        <x:v>观察中</x:v>
      </x:c>
      <x:c r="X60" s="34" t="str"/>
      <x:c r="Y60" s="34" t="str"/>
    </x:row>
    <x:row r="61">
      <x:c r="A61" s="34" t="str">
        <x:v>M5-SYNTH-024</x:v>
      </x:c>
      <x:c r="B61" s="34" t="str">
        <x:v>SYNTH</x:v>
      </x:c>
      <x:c r="C61" s="34" t="str">
        <x:v>P0_SYNTH总合成</x:v>
      </x:c>
      <x:c r="D61" s="34" t="str">
        <x:v>下一阶段接口｜进入M5-CALIBRATION</x:v>
      </x:c>
      <x:c r="E61" s="34" t="str">
        <x:v>L0 定义、边界与安全</x:v>
      </x:c>
      <x:c r="F61" s="34" t="str">
        <x:v>版本</x:v>
      </x:c>
      <x:c r="G61" s="34" t="n">
        <x:v>96</x:v>
      </x:c>
      <x:c r="H61" s="34" t="str">
        <x:v>待验证</x:v>
      </x:c>
      <x:c r="I61" s="34" t="str"/>
      <x:c r="J61" s="34" t="str"/>
      <x:c r="K61" s="34" t="str"/>
      <x:c r="L61" s="34" t="str"/>
      <x:c r="M61" s="34" t="str"/>
      <x:c r="N61" s="34" t="n">
        <x:f>IF(A61="","",I61+J61+K61)</x:f>
        <x:v>0</x:v>
      </x:c>
      <x:c r="O61" s="56" t="str">
        <x:f>IF(N61=0,"",(I61+0.5*J61)/N61)</x:f>
      </x:c>
      <x:c r="P61" s="56" t="str">
        <x:f>IF(N61=0,"",(I61+0.5*J61+1)/(N61+2))</x:f>
      </x:c>
      <x:c r="Q61" s="34" t="str"/>
      <x:c r="R61" s="34" t="str"/>
      <x:c r="S61" s="34" t="str"/>
      <x:c r="T61" s="34" t="str"/>
      <x:c r="U61" s="34" t="str"/>
      <x:c r="V61" s="34" t="str">
        <x:f>IF(A61="","",IF(N61&lt;5,"样本不足",IF(Q61&gt;=1,"优先复核",IF(AND(N61&gt;=20,P61&lt;0.35,K61&gt;=5),"停用候选",IF(AND(N61&gt;=10,P61&lt;0.45),"需修改候选",IF(AND(N61&gt;=10,P61&gt;=0.75,R61/N61&lt;=0.15,S61/N61&lt;=0.15),"升级候选",IF(R61/N61&gt;0.3,"收紧条件",IF(S61/N61&gt;0.3,"补漏／放宽","继续观察"))))))))</x:f>
        <x:v>样本不足</x:v>
      </x:c>
      <x:c r="W61" s="34" t="str">
        <x:f>IF(V61="","",IF(V61="升级候选","已验证候选",IF(V61="停用候选","停用候选",IF(OR(V61="需修改候选",V61="收紧条件",V61="补漏／放宽",V61="优先复核"),"需修改／复核","观察中"))))</x:f>
        <x:v>观察中</x:v>
      </x:c>
      <x:c r="X61" s="34" t="str"/>
      <x:c r="Y61" s="34" t="str"/>
    </x:row>
    <x:row r="62">
      <x:c r="A62" s="34" t="str">
        <x:v>M5-SYNTH-025</x:v>
      </x:c>
      <x:c r="B62" s="34" t="str">
        <x:v>SYNTH</x:v>
      </x:c>
      <x:c r="C62" s="34" t="str">
        <x:v>P0_SYNTH总合成</x:v>
      </x:c>
      <x:c r="D62" s="34" t="str">
        <x:v>字段权威｜report_status由SYNTH负责</x:v>
      </x:c>
      <x:c r="E62" s="34" t="str">
        <x:v>L1 字段权威矩阵</x:v>
      </x:c>
      <x:c r="F62" s="34" t="str">
        <x:v>权威</x:v>
      </x:c>
      <x:c r="G62" s="34" t="n">
        <x:v>96</x:v>
      </x:c>
      <x:c r="H62" s="34" t="str">
        <x:v>待验证</x:v>
      </x:c>
      <x:c r="I62" s="34" t="str"/>
      <x:c r="J62" s="34" t="str"/>
      <x:c r="K62" s="34" t="str"/>
      <x:c r="L62" s="34" t="str"/>
      <x:c r="M62" s="34" t="str"/>
      <x:c r="N62" s="34" t="n">
        <x:f>IF(A62="","",I62+J62+K62)</x:f>
        <x:v>0</x:v>
      </x:c>
      <x:c r="O62" s="56" t="str">
        <x:f>IF(N62=0,"",(I62+0.5*J62)/N62)</x:f>
      </x:c>
      <x:c r="P62" s="56" t="str">
        <x:f>IF(N62=0,"",(I62+0.5*J62+1)/(N62+2))</x:f>
      </x:c>
      <x:c r="Q62" s="34" t="str"/>
      <x:c r="R62" s="34" t="str"/>
      <x:c r="S62" s="34" t="str"/>
      <x:c r="T62" s="34" t="str"/>
      <x:c r="U62" s="34" t="str"/>
      <x:c r="V62" s="34" t="str">
        <x:f>IF(A62="","",IF(N62&lt;5,"样本不足",IF(Q62&gt;=1,"优先复核",IF(AND(N62&gt;=20,P62&lt;0.35,K62&gt;=5),"停用候选",IF(AND(N62&gt;=10,P62&lt;0.45),"需修改候选",IF(AND(N62&gt;=10,P62&gt;=0.75,R62/N62&lt;=0.15,S62/N62&lt;=0.15),"升级候选",IF(R62/N62&gt;0.3,"收紧条件",IF(S62/N62&gt;0.3,"补漏／放宽","继续观察"))))))))</x:f>
        <x:v>样本不足</x:v>
      </x:c>
      <x:c r="W62" s="34" t="str">
        <x:f>IF(V62="","",IF(V62="升级候选","已验证候选",IF(V62="停用候选","停用候选",IF(OR(V62="需修改候选",V62="收紧条件",V62="补漏／放宽",V62="优先复核"),"需修改／复核","观察中"))))</x:f>
        <x:v>观察中</x:v>
      </x:c>
      <x:c r="X62" s="34" t="str"/>
      <x:c r="Y62" s="34" t="str"/>
    </x:row>
    <x:row r="63">
      <x:c r="A63" s="34" t="str">
        <x:v>M5-SYNTH-026</x:v>
      </x:c>
      <x:c r="B63" s="34" t="str">
        <x:v>SYNTH</x:v>
      </x:c>
      <x:c r="C63" s="34" t="str">
        <x:v>P0_SYNTH总合成</x:v>
      </x:c>
      <x:c r="D63" s="34" t="str">
        <x:v>字段权威｜safety_status由SYNTH＋现实安全门控负责</x:v>
      </x:c>
      <x:c r="E63" s="34" t="str">
        <x:v>L1 字段权威矩阵</x:v>
      </x:c>
      <x:c r="F63" s="34" t="str">
        <x:v>权威</x:v>
      </x:c>
      <x:c r="G63" s="34" t="n">
        <x:v>96</x:v>
      </x:c>
      <x:c r="H63" s="34" t="str">
        <x:v>待验证</x:v>
      </x:c>
      <x:c r="I63" s="34" t="str"/>
      <x:c r="J63" s="34" t="str"/>
      <x:c r="K63" s="34" t="str"/>
      <x:c r="L63" s="34" t="str"/>
      <x:c r="M63" s="34" t="str"/>
      <x:c r="N63" s="34" t="n">
        <x:f>IF(A63="","",I63+J63+K63)</x:f>
        <x:v>0</x:v>
      </x:c>
      <x:c r="O63" s="56" t="str">
        <x:f>IF(N63=0,"",(I63+0.5*J63)/N63)</x:f>
      </x:c>
      <x:c r="P63" s="56" t="str">
        <x:f>IF(N63=0,"",(I63+0.5*J63+1)/(N63+2))</x:f>
      </x:c>
      <x:c r="Q63" s="34" t="str"/>
      <x:c r="R63" s="34" t="str"/>
      <x:c r="S63" s="34" t="str"/>
      <x:c r="T63" s="34" t="str"/>
      <x:c r="U63" s="34" t="str"/>
      <x:c r="V63" s="34" t="str">
        <x:f>IF(A63="","",IF(N63&lt;5,"样本不足",IF(Q63&gt;=1,"优先复核",IF(AND(N63&gt;=20,P63&lt;0.35,K63&gt;=5),"停用候选",IF(AND(N63&gt;=10,P63&lt;0.45),"需修改候选",IF(AND(N63&gt;=10,P63&gt;=0.75,R63/N63&lt;=0.15,S63/N63&lt;=0.15),"升级候选",IF(R63/N63&gt;0.3,"收紧条件",IF(S63/N63&gt;0.3,"补漏／放宽","继续观察"))))))))</x:f>
        <x:v>样本不足</x:v>
      </x:c>
      <x:c r="W63" s="34" t="str">
        <x:f>IF(V63="","",IF(V63="升级候选","已验证候选",IF(V63="停用候选","停用候选",IF(OR(V63="需修改候选",V63="收紧条件",V63="补漏／放宽",V63="优先复核"),"需修改／复核","观察中"))))</x:f>
        <x:v>观察中</x:v>
      </x:c>
      <x:c r="X63" s="34" t="str"/>
      <x:c r="Y63" s="34" t="str"/>
    </x:row>
    <x:row r="64">
      <x:c r="A64" s="34" t="str">
        <x:v>M5-SYNTH-027</x:v>
      </x:c>
      <x:c r="B64" s="34" t="str">
        <x:v>SYNTH</x:v>
      </x:c>
      <x:c r="C64" s="34" t="str">
        <x:v>P0_SYNTH总合成</x:v>
      </x:c>
      <x:c r="D64" s="34" t="str">
        <x:v>字段权威｜universal_floor由BASE＋现实RG01负责</x:v>
      </x:c>
      <x:c r="E64" s="34" t="str">
        <x:v>L1 字段权威矩阵</x:v>
      </x:c>
      <x:c r="F64" s="34" t="str">
        <x:v>权威</x:v>
      </x:c>
      <x:c r="G64" s="34" t="n">
        <x:v>96</x:v>
      </x:c>
      <x:c r="H64" s="34" t="str">
        <x:v>待验证</x:v>
      </x:c>
      <x:c r="I64" s="34" t="str"/>
      <x:c r="J64" s="34" t="str"/>
      <x:c r="K64" s="34" t="str"/>
      <x:c r="L64" s="34" t="str"/>
      <x:c r="M64" s="34" t="str"/>
      <x:c r="N64" s="34" t="n">
        <x:f>IF(A64="","",I64+J64+K64)</x:f>
        <x:v>0</x:v>
      </x:c>
      <x:c r="O64" s="56" t="str">
        <x:f>IF(N64=0,"",(I64+0.5*J64)/N64)</x:f>
      </x:c>
      <x:c r="P64" s="56" t="str">
        <x:f>IF(N64=0,"",(I64+0.5*J64+1)/(N64+2))</x:f>
      </x:c>
      <x:c r="Q64" s="34" t="str"/>
      <x:c r="R64" s="34" t="str"/>
      <x:c r="S64" s="34" t="str"/>
      <x:c r="T64" s="34" t="str"/>
      <x:c r="U64" s="34" t="str"/>
      <x:c r="V64" s="34" t="str">
        <x:f>IF(A64="","",IF(N64&lt;5,"样本不足",IF(Q64&gt;=1,"优先复核",IF(AND(N64&gt;=20,P64&lt;0.35,K64&gt;=5),"停用候选",IF(AND(N64&gt;=10,P64&lt;0.45),"需修改候选",IF(AND(N64&gt;=10,P64&gt;=0.75,R64/N64&lt;=0.15,S64/N64&lt;=0.15),"升级候选",IF(R64/N64&gt;0.3,"收紧条件",IF(S64/N64&gt;0.3,"补漏／放宽","继续观察"))))))))</x:f>
        <x:v>样本不足</x:v>
      </x:c>
      <x:c r="W64" s="34" t="str">
        <x:f>IF(V64="","",IF(V64="升级候选","已验证候选",IF(V64="停用候选","停用候选",IF(OR(V64="需修改候选",V64="收紧条件",V64="补漏／放宽",V64="优先复核"),"需修改／复核","观察中"))))</x:f>
        <x:v>观察中</x:v>
      </x:c>
      <x:c r="X64" s="34" t="str"/>
      <x:c r="Y64" s="34" t="str"/>
    </x:row>
    <x:row r="65">
      <x:c r="A65" s="34" t="str">
        <x:v>M5-SYNTH-028</x:v>
      </x:c>
      <x:c r="B65" s="34" t="str">
        <x:v>SYNTH</x:v>
      </x:c>
      <x:c r="C65" s="34" t="str">
        <x:v>P0_SYNTH总合成</x:v>
      </x:c>
      <x:c r="D65" s="34" t="str">
        <x:v>字段权威｜primary_fit_need由BASE负责</x:v>
      </x:c>
      <x:c r="E65" s="34" t="str">
        <x:v>L1 字段权威矩阵</x:v>
      </x:c>
      <x:c r="F65" s="34" t="str">
        <x:v>权威</x:v>
      </x:c>
      <x:c r="G65" s="34" t="n">
        <x:v>96</x:v>
      </x:c>
      <x:c r="H65" s="34" t="str">
        <x:v>待验证</x:v>
      </x:c>
      <x:c r="I65" s="34" t="str"/>
      <x:c r="J65" s="34" t="str"/>
      <x:c r="K65" s="34" t="str"/>
      <x:c r="L65" s="34" t="str"/>
      <x:c r="M65" s="34" t="str"/>
      <x:c r="N65" s="34" t="n">
        <x:f>IF(A65="","",I65+J65+K65)</x:f>
        <x:v>0</x:v>
      </x:c>
      <x:c r="O65" s="56" t="str">
        <x:f>IF(N65=0,"",(I65+0.5*J65)/N65)</x:f>
      </x:c>
      <x:c r="P65" s="56" t="str">
        <x:f>IF(N65=0,"",(I65+0.5*J65+1)/(N65+2))</x:f>
      </x:c>
      <x:c r="Q65" s="34" t="str"/>
      <x:c r="R65" s="34" t="str"/>
      <x:c r="S65" s="34" t="str"/>
      <x:c r="T65" s="34" t="str"/>
      <x:c r="U65" s="34" t="str"/>
      <x:c r="V65" s="34" t="str">
        <x:f>IF(A65="","",IF(N65&lt;5,"样本不足",IF(Q65&gt;=1,"优先复核",IF(AND(N65&gt;=20,P65&lt;0.35,K65&gt;=5),"停用候选",IF(AND(N65&gt;=10,P65&lt;0.45),"需修改候选",IF(AND(N65&gt;=10,P65&gt;=0.75,R65/N65&lt;=0.15,S65/N65&lt;=0.15),"升级候选",IF(R65/N65&gt;0.3,"收紧条件",IF(S65/N65&gt;0.3,"补漏／放宽","继续观察"))))))))</x:f>
        <x:v>样本不足</x:v>
      </x:c>
      <x:c r="W65" s="34" t="str">
        <x:f>IF(V65="","",IF(V65="升级候选","已验证候选",IF(V65="停用候选","停用候选",IF(OR(V65="需修改候选",V65="收紧条件",V65="补漏／放宽",V65="优先复核"),"需修改／复核","观察中"))))</x:f>
        <x:v>观察中</x:v>
      </x:c>
      <x:c r="X65" s="34" t="str"/>
      <x:c r="Y65" s="34" t="str"/>
    </x:row>
    <x:row r="66">
      <x:c r="A66" s="34" t="str">
        <x:v>M5-SYNTH-029</x:v>
      </x:c>
      <x:c r="B66" s="34" t="str">
        <x:v>SYNTH</x:v>
      </x:c>
      <x:c r="C66" s="34" t="str">
        <x:v>P0_SYNTH总合成</x:v>
      </x:c>
      <x:c r="D66" s="34" t="str">
        <x:v>字段权威｜secondary_fit_need由BASE负责</x:v>
      </x:c>
      <x:c r="E66" s="34" t="str">
        <x:v>L1 字段权威矩阵</x:v>
      </x:c>
      <x:c r="F66" s="34" t="str">
        <x:v>权威</x:v>
      </x:c>
      <x:c r="G66" s="34" t="n">
        <x:v>96</x:v>
      </x:c>
      <x:c r="H66" s="34" t="str">
        <x:v>待验证</x:v>
      </x:c>
      <x:c r="I66" s="34" t="str"/>
      <x:c r="J66" s="34" t="str"/>
      <x:c r="K66" s="34" t="str"/>
      <x:c r="L66" s="34" t="str"/>
      <x:c r="M66" s="34" t="str"/>
      <x:c r="N66" s="34" t="n">
        <x:f>IF(A66="","",I66+J66+K66)</x:f>
        <x:v>0</x:v>
      </x:c>
      <x:c r="O66" s="56" t="str">
        <x:f>IF(N66=0,"",(I66+0.5*J66)/N66)</x:f>
      </x:c>
      <x:c r="P66" s="56" t="str">
        <x:f>IF(N66=0,"",(I66+0.5*J66+1)/(N66+2))</x:f>
      </x:c>
      <x:c r="Q66" s="34" t="str"/>
      <x:c r="R66" s="34" t="str"/>
      <x:c r="S66" s="34" t="str"/>
      <x:c r="T66" s="34" t="str"/>
      <x:c r="U66" s="34" t="str"/>
      <x:c r="V66" s="34" t="str">
        <x:f>IF(A66="","",IF(N66&lt;5,"样本不足",IF(Q66&gt;=1,"优先复核",IF(AND(N66&gt;=20,P66&lt;0.35,K66&gt;=5),"停用候选",IF(AND(N66&gt;=10,P66&lt;0.45),"需修改候选",IF(AND(N66&gt;=10,P66&gt;=0.75,R66/N66&lt;=0.15,S66/N66&lt;=0.15),"升级候选",IF(R66/N66&gt;0.3,"收紧条件",IF(S66/N66&gt;0.3,"补漏／放宽","继续观察"))))))))</x:f>
        <x:v>样本不足</x:v>
      </x:c>
      <x:c r="W66" s="34" t="str">
        <x:f>IF(V66="","",IF(V66="升级候选","已验证候选",IF(V66="停用候选","停用候选",IF(OR(V66="需修改候选",V66="收紧条件",V66="补漏／放宽",V66="优先复核"),"需修改／复核","观察中"))))</x:f>
        <x:v>观察中</x:v>
      </x:c>
      <x:c r="X66" s="34" t="str"/>
      <x:c r="Y66" s="34" t="str"/>
    </x:row>
    <x:row r="67">
      <x:c r="A67" s="34" t="str">
        <x:v>M5-SYNTH-030</x:v>
      </x:c>
      <x:c r="B67" s="34" t="str">
        <x:v>SYNTH</x:v>
      </x:c>
      <x:c r="C67" s="34" t="str">
        <x:v>P0_SYNTH总合成</x:v>
      </x:c>
      <x:c r="D67" s="34" t="str">
        <x:v>字段权威｜need_priority由BASE负责</x:v>
      </x:c>
      <x:c r="E67" s="34" t="str">
        <x:v>L1 字段权威矩阵</x:v>
      </x:c>
      <x:c r="F67" s="34" t="str">
        <x:v>权威</x:v>
      </x:c>
      <x:c r="G67" s="34" t="n">
        <x:v>96</x:v>
      </x:c>
      <x:c r="H67" s="34" t="str">
        <x:v>待验证</x:v>
      </x:c>
      <x:c r="I67" s="34" t="str"/>
      <x:c r="J67" s="34" t="str"/>
      <x:c r="K67" s="34" t="str"/>
      <x:c r="L67" s="34" t="str"/>
      <x:c r="M67" s="34" t="str"/>
      <x:c r="N67" s="34" t="n">
        <x:f>IF(A67="","",I67+J67+K67)</x:f>
        <x:v>0</x:v>
      </x:c>
      <x:c r="O67" s="56" t="str">
        <x:f>IF(N67=0,"",(I67+0.5*J67)/N67)</x:f>
      </x:c>
      <x:c r="P67" s="56" t="str">
        <x:f>IF(N67=0,"",(I67+0.5*J67+1)/(N67+2))</x:f>
      </x:c>
      <x:c r="Q67" s="34" t="str"/>
      <x:c r="R67" s="34" t="str"/>
      <x:c r="S67" s="34" t="str"/>
      <x:c r="T67" s="34" t="str"/>
      <x:c r="U67" s="34" t="str"/>
      <x:c r="V67" s="34" t="str">
        <x:f>IF(A67="","",IF(N67&lt;5,"样本不足",IF(Q67&gt;=1,"优先复核",IF(AND(N67&gt;=20,P67&lt;0.35,K67&gt;=5),"停用候选",IF(AND(N67&gt;=10,P67&lt;0.45),"需修改候选",IF(AND(N67&gt;=10,P67&gt;=0.75,R67/N67&lt;=0.15,S67/N67&lt;=0.15),"升级候选",IF(R67/N67&gt;0.3,"收紧条件",IF(S67/N67&gt;0.3,"补漏／放宽","继续观察"))))))))</x:f>
        <x:v>样本不足</x:v>
      </x:c>
      <x:c r="W67" s="34" t="str">
        <x:f>IF(V67="","",IF(V67="升级候选","已验证候选",IF(V67="停用候选","停用候选",IF(OR(V67="需修改候选",V67="收紧条件",V67="补漏／放宽",V67="优先复核"),"需修改／复核","观察中"))))</x:f>
        <x:v>观察中</x:v>
      </x:c>
      <x:c r="X67" s="34" t="str"/>
      <x:c r="Y67" s="34" t="str"/>
    </x:row>
    <x:row r="68">
      <x:c r="A68" s="34" t="str">
        <x:v>M5-SYNTH-031</x:v>
      </x:c>
      <x:c r="B68" s="34" t="str">
        <x:v>SYNTH</x:v>
      </x:c>
      <x:c r="C68" s="34" t="str">
        <x:v>P0_SYNTH总合成</x:v>
      </x:c>
      <x:c r="D68" s="34" t="str">
        <x:v>字段权威｜flexible_preferences由BASE＋GAP负责</x:v>
      </x:c>
      <x:c r="E68" s="34" t="str">
        <x:v>L1 字段权威矩阵</x:v>
      </x:c>
      <x:c r="F68" s="34" t="str">
        <x:v>权威</x:v>
      </x:c>
      <x:c r="G68" s="34" t="n">
        <x:v>96</x:v>
      </x:c>
      <x:c r="H68" s="34" t="str">
        <x:v>待验证</x:v>
      </x:c>
      <x:c r="I68" s="34" t="str"/>
      <x:c r="J68" s="34" t="str"/>
      <x:c r="K68" s="34" t="str"/>
      <x:c r="L68" s="34" t="str"/>
      <x:c r="M68" s="34" t="str"/>
      <x:c r="N68" s="34" t="n">
        <x:f>IF(A68="","",I68+J68+K68)</x:f>
        <x:v>0</x:v>
      </x:c>
      <x:c r="O68" s="56" t="str">
        <x:f>IF(N68=0,"",(I68+0.5*J68)/N68)</x:f>
      </x:c>
      <x:c r="P68" s="56" t="str">
        <x:f>IF(N68=0,"",(I68+0.5*J68+1)/(N68+2))</x:f>
      </x:c>
      <x:c r="Q68" s="34" t="str"/>
      <x:c r="R68" s="34" t="str"/>
      <x:c r="S68" s="34" t="str"/>
      <x:c r="T68" s="34" t="str"/>
      <x:c r="U68" s="34" t="str"/>
      <x:c r="V68" s="34" t="str">
        <x:f>IF(A68="","",IF(N68&lt;5,"样本不足",IF(Q68&gt;=1,"优先复核",IF(AND(N68&gt;=20,P68&lt;0.35,K68&gt;=5),"停用候选",IF(AND(N68&gt;=10,P68&lt;0.45),"需修改候选",IF(AND(N68&gt;=10,P68&gt;=0.75,R68/N68&lt;=0.15,S68/N68&lt;=0.15),"升级候选",IF(R68/N68&gt;0.3,"收紧条件",IF(S68/N68&gt;0.3,"补漏／放宽","继续观察"))))))))</x:f>
        <x:v>样本不足</x:v>
      </x:c>
      <x:c r="W68" s="34" t="str">
        <x:f>IF(V68="","",IF(V68="升级候选","已验证候选",IF(V68="停用候选","停用候选",IF(OR(V68="需修改候选",V68="收紧条件",V68="补漏／放宽",V68="优先复核"),"需修改／复核","观察中"))))</x:f>
        <x:v>观察中</x:v>
      </x:c>
      <x:c r="X68" s="34" t="str"/>
      <x:c r="Y68" s="34" t="str"/>
    </x:row>
    <x:row r="69">
      <x:c r="A69" s="34" t="str">
        <x:v>M5-SYNTH-032</x:v>
      </x:c>
      <x:c r="B69" s="34" t="str">
        <x:v>SYNTH</x:v>
      </x:c>
      <x:c r="C69" s="34" t="str">
        <x:v>P0_SYNTH总合成</x:v>
      </x:c>
      <x:c r="D69" s="34" t="str">
        <x:v>字段权威｜similarity_complement_mode由BASE＋GAP＋SYNTH负责</x:v>
      </x:c>
      <x:c r="E69" s="34" t="str">
        <x:v>L1 字段权威矩阵</x:v>
      </x:c>
      <x:c r="F69" s="34" t="str">
        <x:v>权威</x:v>
      </x:c>
      <x:c r="G69" s="34" t="n">
        <x:v>96</x:v>
      </x:c>
      <x:c r="H69" s="34" t="str">
        <x:v>待验证</x:v>
      </x:c>
      <x:c r="I69" s="34" t="str"/>
      <x:c r="J69" s="34" t="str"/>
      <x:c r="K69" s="34" t="str"/>
      <x:c r="L69" s="34" t="str"/>
      <x:c r="M69" s="34" t="str"/>
      <x:c r="N69" s="34" t="n">
        <x:f>IF(A69="","",I69+J69+K69)</x:f>
        <x:v>0</x:v>
      </x:c>
      <x:c r="O69" s="56" t="str">
        <x:f>IF(N69=0,"",(I69+0.5*J69)/N69)</x:f>
      </x:c>
      <x:c r="P69" s="56" t="str">
        <x:f>IF(N69=0,"",(I69+0.5*J69+1)/(N69+2))</x:f>
      </x:c>
      <x:c r="Q69" s="34" t="str"/>
      <x:c r="R69" s="34" t="str"/>
      <x:c r="S69" s="34" t="str"/>
      <x:c r="T69" s="34" t="str"/>
      <x:c r="U69" s="34" t="str"/>
      <x:c r="V69" s="34" t="str">
        <x:f>IF(A69="","",IF(N69&lt;5,"样本不足",IF(Q69&gt;=1,"优先复核",IF(AND(N69&gt;=20,P69&lt;0.35,K69&gt;=5),"停用候选",IF(AND(N69&gt;=10,P69&lt;0.45),"需修改候选",IF(AND(N69&gt;=10,P69&gt;=0.75,R69/N69&lt;=0.15,S69/N69&lt;=0.15),"升级候选",IF(R69/N69&gt;0.3,"收紧条件",IF(S69/N69&gt;0.3,"补漏／放宽","继续观察"))))))))</x:f>
        <x:v>样本不足</x:v>
      </x:c>
      <x:c r="W69" s="34" t="str">
        <x:f>IF(V69="","",IF(V69="升级候选","已验证候选",IF(V69="停用候选","停用候选",IF(OR(V69="需修改候选",V69="收紧条件",V69="补漏／放宽",V69="优先复核"),"需修改／复核","观察中"))))</x:f>
        <x:v>观察中</x:v>
      </x:c>
      <x:c r="X69" s="34" t="str"/>
      <x:c r="Y69" s="34" t="str"/>
    </x:row>
    <x:row r="70">
      <x:c r="A70" s="34" t="str">
        <x:v>M5-SYNTH-033</x:v>
      </x:c>
      <x:c r="B70" s="34" t="str">
        <x:v>SYNTH</x:v>
      </x:c>
      <x:c r="C70" s="34" t="str">
        <x:v>P0_SYNTH总合成</x:v>
      </x:c>
      <x:c r="D70" s="34" t="str">
        <x:v>字段权威｜primary_partner_function由PARTNER负责</x:v>
      </x:c>
      <x:c r="E70" s="34" t="str">
        <x:v>L1 字段权威矩阵</x:v>
      </x:c>
      <x:c r="F70" s="34" t="str">
        <x:v>权威</x:v>
      </x:c>
      <x:c r="G70" s="34" t="n">
        <x:v>96</x:v>
      </x:c>
      <x:c r="H70" s="34" t="str">
        <x:v>待验证</x:v>
      </x:c>
      <x:c r="I70" s="34" t="str"/>
      <x:c r="J70" s="34" t="str"/>
      <x:c r="K70" s="34" t="str"/>
      <x:c r="L70" s="34" t="str"/>
      <x:c r="M70" s="34" t="str"/>
      <x:c r="N70" s="34" t="n">
        <x:f>IF(A70="","",I70+J70+K70)</x:f>
        <x:v>0</x:v>
      </x:c>
      <x:c r="O70" s="56" t="str">
        <x:f>IF(N70=0,"",(I70+0.5*J70)/N70)</x:f>
      </x:c>
      <x:c r="P70" s="56" t="str">
        <x:f>IF(N70=0,"",(I70+0.5*J70+1)/(N70+2))</x:f>
      </x:c>
      <x:c r="Q70" s="34" t="str"/>
      <x:c r="R70" s="34" t="str"/>
      <x:c r="S70" s="34" t="str"/>
      <x:c r="T70" s="34" t="str"/>
      <x:c r="U70" s="34" t="str"/>
      <x:c r="V70" s="34" t="str">
        <x:f>IF(A70="","",IF(N70&lt;5,"样本不足",IF(Q70&gt;=1,"优先复核",IF(AND(N70&gt;=20,P70&lt;0.35,K70&gt;=5),"停用候选",IF(AND(N70&gt;=10,P70&lt;0.45),"需修改候选",IF(AND(N70&gt;=10,P70&gt;=0.75,R70/N70&lt;=0.15,S70/N70&lt;=0.15),"升级候选",IF(R70/N70&gt;0.3,"收紧条件",IF(S70/N70&gt;0.3,"补漏／放宽","继续观察"))))))))</x:f>
        <x:v>样本不足</x:v>
      </x:c>
      <x:c r="W70" s="34" t="str">
        <x:f>IF(V70="","",IF(V70="升级候选","已验证候选",IF(V70="停用候选","停用候选",IF(OR(V70="需修改候选",V70="收紧条件",V70="补漏／放宽",V70="优先复核"),"需修改／复核","观察中"))))</x:f>
        <x:v>观察中</x:v>
      </x:c>
      <x:c r="X70" s="34" t="str"/>
      <x:c r="Y70" s="34" t="str"/>
    </x:row>
    <x:row r="71">
      <x:c r="A71" s="34" t="str">
        <x:v>M5-SYNTH-034</x:v>
      </x:c>
      <x:c r="B71" s="34" t="str">
        <x:v>SYNTH</x:v>
      </x:c>
      <x:c r="C71" s="34" t="str">
        <x:v>P0_SYNTH总合成</x:v>
      </x:c>
      <x:c r="D71" s="34" t="str">
        <x:v>字段权威｜secondary_partner_function由PARTNER负责</x:v>
      </x:c>
      <x:c r="E71" s="34" t="str">
        <x:v>L1 字段权威矩阵</x:v>
      </x:c>
      <x:c r="F71" s="34" t="str">
        <x:v>权威</x:v>
      </x:c>
      <x:c r="G71" s="34" t="n">
        <x:v>96</x:v>
      </x:c>
      <x:c r="H71" s="34" t="str">
        <x:v>待验证</x:v>
      </x:c>
      <x:c r="I71" s="34" t="str"/>
      <x:c r="J71" s="34" t="str"/>
      <x:c r="K71" s="34" t="str"/>
      <x:c r="L71" s="34" t="str"/>
      <x:c r="M71" s="34" t="str"/>
      <x:c r="N71" s="34" t="n">
        <x:f>IF(A71="","",I71+J71+K71)</x:f>
        <x:v>0</x:v>
      </x:c>
      <x:c r="O71" s="56" t="str">
        <x:f>IF(N71=0,"",(I71+0.5*J71)/N71)</x:f>
      </x:c>
      <x:c r="P71" s="56" t="str">
        <x:f>IF(N71=0,"",(I71+0.5*J71+1)/(N71+2))</x:f>
      </x:c>
      <x:c r="Q71" s="34" t="str"/>
      <x:c r="R71" s="34" t="str"/>
      <x:c r="S71" s="34" t="str"/>
      <x:c r="T71" s="34" t="str"/>
      <x:c r="U71" s="34" t="str"/>
      <x:c r="V71" s="34" t="str">
        <x:f>IF(A71="","",IF(N71&lt;5,"样本不足",IF(Q71&gt;=1,"优先复核",IF(AND(N71&gt;=20,P71&lt;0.35,K71&gt;=5),"停用候选",IF(AND(N71&gt;=10,P71&lt;0.45),"需修改候选",IF(AND(N71&gt;=10,P71&gt;=0.75,R71/N71&lt;=0.15,S71/N71&lt;=0.15),"升级候选",IF(R71/N71&gt;0.3,"收紧条件",IF(S71/N71&gt;0.3,"补漏／放宽","继续观察"))))))))</x:f>
        <x:v>样本不足</x:v>
      </x:c>
      <x:c r="W71" s="34" t="str">
        <x:f>IF(V71="","",IF(V71="升级候选","已验证候选",IF(V71="停用候选","停用候选",IF(OR(V71="需修改候选",V71="收紧条件",V71="补漏／放宽",V71="优先复核"),"需修改／复核","观察中"))))</x:f>
        <x:v>观察中</x:v>
      </x:c>
      <x:c r="X71" s="34" t="str"/>
      <x:c r="Y71" s="34" t="str"/>
    </x:row>
    <x:row r="72">
      <x:c r="A72" s="34" t="str">
        <x:v>M5-SYNTH-035</x:v>
      </x:c>
      <x:c r="B72" s="34" t="str">
        <x:v>SYNTH</x:v>
      </x:c>
      <x:c r="C72" s="34" t="str">
        <x:v>P0_SYNTH总合成</x:v>
      </x:c>
      <x:c r="D72" s="34" t="str">
        <x:v>字段权威｜partner_expression_state由PARTNER负责</x:v>
      </x:c>
      <x:c r="E72" s="34" t="str">
        <x:v>L1 字段权威矩阵</x:v>
      </x:c>
      <x:c r="F72" s="34" t="str">
        <x:v>权威</x:v>
      </x:c>
      <x:c r="G72" s="34" t="n">
        <x:v>96</x:v>
      </x:c>
      <x:c r="H72" s="34" t="str">
        <x:v>待验证</x:v>
      </x:c>
      <x:c r="I72" s="34" t="str"/>
      <x:c r="J72" s="34" t="str"/>
      <x:c r="K72" s="34" t="str"/>
      <x:c r="L72" s="34" t="str"/>
      <x:c r="M72" s="34" t="str"/>
      <x:c r="N72" s="34" t="n">
        <x:f>IF(A72="","",I72+J72+K72)</x:f>
        <x:v>0</x:v>
      </x:c>
      <x:c r="O72" s="56" t="str">
        <x:f>IF(N72=0,"",(I72+0.5*J72)/N72)</x:f>
      </x:c>
      <x:c r="P72" s="56" t="str">
        <x:f>IF(N72=0,"",(I72+0.5*J72+1)/(N72+2))</x:f>
      </x:c>
      <x:c r="Q72" s="34" t="str"/>
      <x:c r="R72" s="34" t="str"/>
      <x:c r="S72" s="34" t="str"/>
      <x:c r="T72" s="34" t="str"/>
      <x:c r="U72" s="34" t="str"/>
      <x:c r="V72" s="34" t="str">
        <x:f>IF(A72="","",IF(N72&lt;5,"样本不足",IF(Q72&gt;=1,"优先复核",IF(AND(N72&gt;=20,P72&lt;0.35,K72&gt;=5),"停用候选",IF(AND(N72&gt;=10,P72&lt;0.45),"需修改候选",IF(AND(N72&gt;=10,P72&gt;=0.75,R72/N72&lt;=0.15,S72/N72&lt;=0.15),"升级候选",IF(R72/N72&gt;0.3,"收紧条件",IF(S72/N72&gt;0.3,"补漏／放宽","继续观察"))))))))</x:f>
        <x:v>样本不足</x:v>
      </x:c>
      <x:c r="W72" s="34" t="str">
        <x:f>IF(V72="","",IF(V72="升级候选","已验证候选",IF(V72="停用候选","停用候选",IF(OR(V72="需修改候选",V72="收紧条件",V72="补漏／放宽",V72="优先复核"),"需修改／复核","观察中"))))</x:f>
        <x:v>观察中</x:v>
      </x:c>
      <x:c r="X72" s="34" t="str"/>
      <x:c r="Y72" s="34" t="str"/>
    </x:row>
    <x:row r="73">
      <x:c r="A73" s="34" t="str">
        <x:v>M5-SYNTH-036</x:v>
      </x:c>
      <x:c r="B73" s="34" t="str">
        <x:v>SYNTH</x:v>
      </x:c>
      <x:c r="C73" s="34" t="str">
        <x:v>P0_SYNTH总合成</x:v>
      </x:c>
      <x:c r="D73" s="34" t="str">
        <x:v>字段权威｜partner_evidence_level由PARTNER负责</x:v>
      </x:c>
      <x:c r="E73" s="34" t="str">
        <x:v>L1 字段权威矩阵</x:v>
      </x:c>
      <x:c r="F73" s="34" t="str">
        <x:v>权威</x:v>
      </x:c>
      <x:c r="G73" s="34" t="n">
        <x:v>96</x:v>
      </x:c>
      <x:c r="H73" s="34" t="str">
        <x:v>待验证</x:v>
      </x:c>
      <x:c r="I73" s="34" t="str"/>
      <x:c r="J73" s="34" t="str"/>
      <x:c r="K73" s="34" t="str"/>
      <x:c r="L73" s="34" t="str"/>
      <x:c r="M73" s="34" t="str"/>
      <x:c r="N73" s="34" t="n">
        <x:f>IF(A73="","",I73+J73+K73)</x:f>
        <x:v>0</x:v>
      </x:c>
      <x:c r="O73" s="56" t="str">
        <x:f>IF(N73=0,"",(I73+0.5*J73)/N73)</x:f>
      </x:c>
      <x:c r="P73" s="56" t="str">
        <x:f>IF(N73=0,"",(I73+0.5*J73+1)/(N73+2))</x:f>
      </x:c>
      <x:c r="Q73" s="34" t="str"/>
      <x:c r="R73" s="34" t="str"/>
      <x:c r="S73" s="34" t="str"/>
      <x:c r="T73" s="34" t="str"/>
      <x:c r="U73" s="34" t="str"/>
      <x:c r="V73" s="34" t="str">
        <x:f>IF(A73="","",IF(N73&lt;5,"样本不足",IF(Q73&gt;=1,"优先复核",IF(AND(N73&gt;=20,P73&lt;0.35,K73&gt;=5),"停用候选",IF(AND(N73&gt;=10,P73&lt;0.45),"需修改候选",IF(AND(N73&gt;=10,P73&gt;=0.75,R73/N73&lt;=0.15,S73/N73&lt;=0.15),"升级候选",IF(R73/N73&gt;0.3,"收紧条件",IF(S73/N73&gt;0.3,"补漏／放宽","继续观察"))))))))</x:f>
        <x:v>样本不足</x:v>
      </x:c>
      <x:c r="W73" s="34" t="str">
        <x:f>IF(V73="","",IF(V73="升级候选","已验证候选",IF(V73="停用候选","停用候选",IF(OR(V73="需修改候选",V73="收紧条件",V73="补漏／放宽",V73="优先复核"),"需修改／复核","观察中"))))</x:f>
        <x:v>观察中</x:v>
      </x:c>
      <x:c r="X73" s="34" t="str"/>
      <x:c r="Y73" s="34" t="str"/>
    </x:row>
    <x:row r="74">
      <x:c r="A74" s="34" t="str">
        <x:v>M5-SYNTH-037</x:v>
      </x:c>
      <x:c r="B74" s="34" t="str">
        <x:v>SYNTH</x:v>
      </x:c>
      <x:c r="C74" s="34" t="str">
        <x:v>P0_SYNTH总合成</x:v>
      </x:c>
      <x:c r="D74" s="34" t="str">
        <x:v>字段权威｜required_partner_behaviors由PARTNER＋BASE负责</x:v>
      </x:c>
      <x:c r="E74" s="34" t="str">
        <x:v>L1 字段权威矩阵</x:v>
      </x:c>
      <x:c r="F74" s="34" t="str">
        <x:v>权威</x:v>
      </x:c>
      <x:c r="G74" s="34" t="n">
        <x:v>96</x:v>
      </x:c>
      <x:c r="H74" s="34" t="str">
        <x:v>待验证</x:v>
      </x:c>
      <x:c r="I74" s="34" t="str"/>
      <x:c r="J74" s="34" t="str"/>
      <x:c r="K74" s="34" t="str"/>
      <x:c r="L74" s="34" t="str"/>
      <x:c r="M74" s="34" t="str"/>
      <x:c r="N74" s="34" t="n">
        <x:f>IF(A74="","",I74+J74+K74)</x:f>
        <x:v>0</x:v>
      </x:c>
      <x:c r="O74" s="56" t="str">
        <x:f>IF(N74=0,"",(I74+0.5*J74)/N74)</x:f>
      </x:c>
      <x:c r="P74" s="56" t="str">
        <x:f>IF(N74=0,"",(I74+0.5*J74+1)/(N74+2))</x:f>
      </x:c>
      <x:c r="Q74" s="34" t="str"/>
      <x:c r="R74" s="34" t="str"/>
      <x:c r="S74" s="34" t="str"/>
      <x:c r="T74" s="34" t="str"/>
      <x:c r="U74" s="34" t="str"/>
      <x:c r="V74" s="34" t="str">
        <x:f>IF(A74="","",IF(N74&lt;5,"样本不足",IF(Q74&gt;=1,"优先复核",IF(AND(N74&gt;=20,P74&lt;0.35,K74&gt;=5),"停用候选",IF(AND(N74&gt;=10,P74&lt;0.45),"需修改候选",IF(AND(N74&gt;=10,P74&gt;=0.75,R74/N74&lt;=0.15,S74/N74&lt;=0.15),"升级候选",IF(R74/N74&gt;0.3,"收紧条件",IF(S74/N74&gt;0.3,"补漏／放宽","继续观察"))))))))</x:f>
        <x:v>样本不足</x:v>
      </x:c>
      <x:c r="W74" s="34" t="str">
        <x:f>IF(V74="","",IF(V74="升级候选","已验证候选",IF(V74="停用候选","停用候选",IF(OR(V74="需修改候选",V74="收紧条件",V74="补漏／放宽",V74="优先复核"),"需修改／复核","观察中"))))</x:f>
        <x:v>观察中</x:v>
      </x:c>
      <x:c r="X74" s="34" t="str"/>
      <x:c r="Y74" s="34" t="str"/>
    </x:row>
    <x:row r="75">
      <x:c r="A75" s="34" t="str">
        <x:v>M5-SYNTH-038</x:v>
      </x:c>
      <x:c r="B75" s="34" t="str">
        <x:v>SYNTH</x:v>
      </x:c>
      <x:c r="C75" s="34" t="str">
        <x:v>P0_SYNTH总合成</x:v>
      </x:c>
      <x:c r="D75" s="34" t="str">
        <x:v>字段权威｜pseudo_fit_warning由PARTNER负责</x:v>
      </x:c>
      <x:c r="E75" s="34" t="str">
        <x:v>L1 字段权威矩阵</x:v>
      </x:c>
      <x:c r="F75" s="34" t="str">
        <x:v>权威</x:v>
      </x:c>
      <x:c r="G75" s="34" t="n">
        <x:v>96</x:v>
      </x:c>
      <x:c r="H75" s="34" t="str">
        <x:v>待验证</x:v>
      </x:c>
      <x:c r="I75" s="34" t="str"/>
      <x:c r="J75" s="34" t="str"/>
      <x:c r="K75" s="34" t="str"/>
      <x:c r="L75" s="34" t="str"/>
      <x:c r="M75" s="34" t="str"/>
      <x:c r="N75" s="34" t="n">
        <x:f>IF(A75="","",I75+J75+K75)</x:f>
        <x:v>0</x:v>
      </x:c>
      <x:c r="O75" s="56" t="str">
        <x:f>IF(N75=0,"",(I75+0.5*J75)/N75)</x:f>
      </x:c>
      <x:c r="P75" s="56" t="str">
        <x:f>IF(N75=0,"",(I75+0.5*J75+1)/(N75+2))</x:f>
      </x:c>
      <x:c r="Q75" s="34" t="str"/>
      <x:c r="R75" s="34" t="str"/>
      <x:c r="S75" s="34" t="str"/>
      <x:c r="T75" s="34" t="str"/>
      <x:c r="U75" s="34" t="str"/>
      <x:c r="V75" s="34" t="str">
        <x:f>IF(A75="","",IF(N75&lt;5,"样本不足",IF(Q75&gt;=1,"优先复核",IF(AND(N75&gt;=20,P75&lt;0.35,K75&gt;=5),"停用候选",IF(AND(N75&gt;=10,P75&lt;0.45),"需修改候选",IF(AND(N75&gt;=10,P75&gt;=0.75,R75/N75&lt;=0.15,S75/N75&lt;=0.15),"升级候选",IF(R75/N75&gt;0.3,"收紧条件",IF(S75/N75&gt;0.3,"补漏／放宽","继续观察"))))))))</x:f>
        <x:v>样本不足</x:v>
      </x:c>
      <x:c r="W75" s="34" t="str">
        <x:f>IF(V75="","",IF(V75="升级候选","已验证候选",IF(V75="停用候选","停用候选",IF(OR(V75="需修改候选",V75="收紧条件",V75="补漏／放宽",V75="优先复核"),"需修改／复核","观察中"))))</x:f>
        <x:v>观察中</x:v>
      </x:c>
      <x:c r="X75" s="34" t="str"/>
      <x:c r="Y75" s="34" t="str"/>
    </x:row>
    <x:row r="76">
      <x:c r="A76" s="34" t="str">
        <x:v>M5-SYNTH-039</x:v>
      </x:c>
      <x:c r="B76" s="34" t="str">
        <x:v>SYNTH</x:v>
      </x:c>
      <x:c r="C76" s="34" t="str">
        <x:v>P0_SYNTH总合成</x:v>
      </x:c>
      <x:c r="D76" s="34" t="str">
        <x:v>字段权威｜primary_exchange_channel由EXCHANGE负责</x:v>
      </x:c>
      <x:c r="E76" s="34" t="str">
        <x:v>L1 字段权威矩阵</x:v>
      </x:c>
      <x:c r="F76" s="34" t="str">
        <x:v>权威</x:v>
      </x:c>
      <x:c r="G76" s="34" t="n">
        <x:v>96</x:v>
      </x:c>
      <x:c r="H76" s="34" t="str">
        <x:v>待验证</x:v>
      </x:c>
      <x:c r="I76" s="34" t="str"/>
      <x:c r="J76" s="34" t="str"/>
      <x:c r="K76" s="34" t="str"/>
      <x:c r="L76" s="34" t="str"/>
      <x:c r="M76" s="34" t="str"/>
      <x:c r="N76" s="34" t="n">
        <x:f>IF(A76="","",I76+J76+K76)</x:f>
        <x:v>0</x:v>
      </x:c>
      <x:c r="O76" s="56" t="str">
        <x:f>IF(N76=0,"",(I76+0.5*J76)/N76)</x:f>
      </x:c>
      <x:c r="P76" s="56" t="str">
        <x:f>IF(N76=0,"",(I76+0.5*J76+1)/(N76+2))</x:f>
      </x:c>
      <x:c r="Q76" s="34" t="str"/>
      <x:c r="R76" s="34" t="str"/>
      <x:c r="S76" s="34" t="str"/>
      <x:c r="T76" s="34" t="str"/>
      <x:c r="U76" s="34" t="str"/>
      <x:c r="V76" s="34" t="str">
        <x:f>IF(A76="","",IF(N76&lt;5,"样本不足",IF(Q76&gt;=1,"优先复核",IF(AND(N76&gt;=20,P76&lt;0.35,K76&gt;=5),"停用候选",IF(AND(N76&gt;=10,P76&lt;0.45),"需修改候选",IF(AND(N76&gt;=10,P76&gt;=0.75,R76/N76&lt;=0.15,S76/N76&lt;=0.15),"升级候选",IF(R76/N76&gt;0.3,"收紧条件",IF(S76/N76&gt;0.3,"补漏／放宽","继续观察"))))))))</x:f>
        <x:v>样本不足</x:v>
      </x:c>
      <x:c r="W76" s="34" t="str">
        <x:f>IF(V76="","",IF(V76="升级候选","已验证候选",IF(V76="停用候选","停用候选",IF(OR(V76="需修改候选",V76="收紧条件",V76="补漏／放宽",V76="优先复核"),"需修改／复核","观察中"))))</x:f>
        <x:v>观察中</x:v>
      </x:c>
      <x:c r="X76" s="34" t="str"/>
      <x:c r="Y76" s="34" t="str"/>
    </x:row>
    <x:row r="77">
      <x:c r="A77" s="34" t="str">
        <x:v>M5-SYNTH-040</x:v>
      </x:c>
      <x:c r="B77" s="34" t="str">
        <x:v>SYNTH</x:v>
      </x:c>
      <x:c r="C77" s="34" t="str">
        <x:v>P0_SYNTH总合成</x:v>
      </x:c>
      <x:c r="D77" s="34" t="str">
        <x:v>字段权威｜exchange_mode由EXCHANGE负责</x:v>
      </x:c>
      <x:c r="E77" s="34" t="str">
        <x:v>L1 字段权威矩阵</x:v>
      </x:c>
      <x:c r="F77" s="34" t="str">
        <x:v>权威</x:v>
      </x:c>
      <x:c r="G77" s="34" t="n">
        <x:v>96</x:v>
      </x:c>
      <x:c r="H77" s="34" t="str">
        <x:v>待验证</x:v>
      </x:c>
      <x:c r="I77" s="34" t="str"/>
      <x:c r="J77" s="34" t="str"/>
      <x:c r="K77" s="34" t="str"/>
      <x:c r="L77" s="34" t="str"/>
      <x:c r="M77" s="34" t="str"/>
      <x:c r="N77" s="34" t="n">
        <x:f>IF(A77="","",I77+J77+K77)</x:f>
        <x:v>0</x:v>
      </x:c>
      <x:c r="O77" s="56" t="str">
        <x:f>IF(N77=0,"",(I77+0.5*J77)/N77)</x:f>
      </x:c>
      <x:c r="P77" s="56" t="str">
        <x:f>IF(N77=0,"",(I77+0.5*J77+1)/(N77+2))</x:f>
      </x:c>
      <x:c r="Q77" s="34" t="str"/>
      <x:c r="R77" s="34" t="str"/>
      <x:c r="S77" s="34" t="str"/>
      <x:c r="T77" s="34" t="str"/>
      <x:c r="U77" s="34" t="str"/>
      <x:c r="V77" s="34" t="str">
        <x:f>IF(A77="","",IF(N77&lt;5,"样本不足",IF(Q77&gt;=1,"优先复核",IF(AND(N77&gt;=20,P77&lt;0.35,K77&gt;=5),"停用候选",IF(AND(N77&gt;=10,P77&lt;0.45),"需修改候选",IF(AND(N77&gt;=10,P77&gt;=0.75,R77/N77&lt;=0.15,S77/N77&lt;=0.15),"升级候选",IF(R77/N77&gt;0.3,"收紧条件",IF(S77/N77&gt;0.3,"补漏／放宽","继续观察"))))))))</x:f>
        <x:v>样本不足</x:v>
      </x:c>
      <x:c r="W77" s="34" t="str">
        <x:f>IF(V77="","",IF(V77="升级候选","已验证候选",IF(V77="停用候选","停用候选",IF(OR(V77="需修改候选",V77="收紧条件",V77="补漏／放宽",V77="优先复核"),"需修改／复核","观察中"))))</x:f>
        <x:v>观察中</x:v>
      </x:c>
      <x:c r="X77" s="34" t="str"/>
      <x:c r="Y77" s="34" t="str"/>
    </x:row>
    <x:row r="78">
      <x:c r="A78" s="34" t="str">
        <x:v>M5-SYNTH-041</x:v>
      </x:c>
      <x:c r="B78" s="34" t="str">
        <x:v>SYNTH</x:v>
      </x:c>
      <x:c r="C78" s="34" t="str">
        <x:v>P0_SYNTH总合成</x:v>
      </x:c>
      <x:c r="D78" s="34" t="str">
        <x:v>字段权威｜exchange_state由EXCHANGE负责</x:v>
      </x:c>
      <x:c r="E78" s="34" t="str">
        <x:v>L1 字段权威矩阵</x:v>
      </x:c>
      <x:c r="F78" s="34" t="str">
        <x:v>权威</x:v>
      </x:c>
      <x:c r="G78" s="34" t="n">
        <x:v>96</x:v>
      </x:c>
      <x:c r="H78" s="34" t="str">
        <x:v>待验证</x:v>
      </x:c>
      <x:c r="I78" s="34" t="str"/>
      <x:c r="J78" s="34" t="str"/>
      <x:c r="K78" s="34" t="str"/>
      <x:c r="L78" s="34" t="str"/>
      <x:c r="M78" s="34" t="str"/>
      <x:c r="N78" s="34" t="n">
        <x:f>IF(A78="","",I78+J78+K78)</x:f>
        <x:v>0</x:v>
      </x:c>
      <x:c r="O78" s="56" t="str">
        <x:f>IF(N78=0,"",(I78+0.5*J78)/N78)</x:f>
      </x:c>
      <x:c r="P78" s="56" t="str">
        <x:f>IF(N78=0,"",(I78+0.5*J78+1)/(N78+2))</x:f>
      </x:c>
      <x:c r="Q78" s="34" t="str"/>
      <x:c r="R78" s="34" t="str"/>
      <x:c r="S78" s="34" t="str"/>
      <x:c r="T78" s="34" t="str"/>
      <x:c r="U78" s="34" t="str"/>
      <x:c r="V78" s="34" t="str">
        <x:f>IF(A78="","",IF(N78&lt;5,"样本不足",IF(Q78&gt;=1,"优先复核",IF(AND(N78&gt;=20,P78&lt;0.35,K78&gt;=5),"停用候选",IF(AND(N78&gt;=10,P78&lt;0.45),"需修改候选",IF(AND(N78&gt;=10,P78&gt;=0.75,R78/N78&lt;=0.15,S78/N78&lt;=0.15),"升级候选",IF(R78/N78&gt;0.3,"收紧条件",IF(S78/N78&gt;0.3,"补漏／放宽","继续观察"))))))))</x:f>
        <x:v>样本不足</x:v>
      </x:c>
      <x:c r="W78" s="34" t="str">
        <x:f>IF(V78="","",IF(V78="升级候选","已验证候选",IF(V78="停用候选","停用候选",IF(OR(V78="需修改候选",V78="收紧条件",V78="补漏／放宽",V78="优先复核"),"需修改／复核","观察中"))))</x:f>
        <x:v>观察中</x:v>
      </x:c>
      <x:c r="X78" s="34" t="str"/>
      <x:c r="Y78" s="34" t="str"/>
    </x:row>
    <x:row r="79">
      <x:c r="A79" s="34" t="str">
        <x:v>M5-SYNTH-042</x:v>
      </x:c>
      <x:c r="B79" s="34" t="str">
        <x:v>SYNTH</x:v>
      </x:c>
      <x:c r="C79" s="34" t="str">
        <x:v>P0_SYNTH总合成</x:v>
      </x:c>
      <x:c r="D79" s="34" t="str">
        <x:v>字段权威｜exchange_evidence_level由EXCHANGE负责</x:v>
      </x:c>
      <x:c r="E79" s="34" t="str">
        <x:v>L1 字段权威矩阵</x:v>
      </x:c>
      <x:c r="F79" s="34" t="str">
        <x:v>权威</x:v>
      </x:c>
      <x:c r="G79" s="34" t="n">
        <x:v>96</x:v>
      </x:c>
      <x:c r="H79" s="34" t="str">
        <x:v>待验证</x:v>
      </x:c>
      <x:c r="I79" s="34" t="str"/>
      <x:c r="J79" s="34" t="str"/>
      <x:c r="K79" s="34" t="str"/>
      <x:c r="L79" s="34" t="str"/>
      <x:c r="M79" s="34" t="str"/>
      <x:c r="N79" s="34" t="n">
        <x:f>IF(A79="","",I79+J79+K79)</x:f>
        <x:v>0</x:v>
      </x:c>
      <x:c r="O79" s="56" t="str">
        <x:f>IF(N79=0,"",(I79+0.5*J79)/N79)</x:f>
      </x:c>
      <x:c r="P79" s="56" t="str">
        <x:f>IF(N79=0,"",(I79+0.5*J79+1)/(N79+2))</x:f>
      </x:c>
      <x:c r="Q79" s="34" t="str"/>
      <x:c r="R79" s="34" t="str"/>
      <x:c r="S79" s="34" t="str"/>
      <x:c r="T79" s="34" t="str"/>
      <x:c r="U79" s="34" t="str"/>
      <x:c r="V79" s="34" t="str">
        <x:f>IF(A79="","",IF(N79&lt;5,"样本不足",IF(Q79&gt;=1,"优先复核",IF(AND(N79&gt;=20,P79&lt;0.35,K79&gt;=5),"停用候选",IF(AND(N79&gt;=10,P79&lt;0.45),"需修改候选",IF(AND(N79&gt;=10,P79&gt;=0.75,R79/N79&lt;=0.15,S79/N79&lt;=0.15),"升级候选",IF(R79/N79&gt;0.3,"收紧条件",IF(S79/N79&gt;0.3,"补漏／放宽","继续观察"))))))))</x:f>
        <x:v>样本不足</x:v>
      </x:c>
      <x:c r="W79" s="34" t="str">
        <x:f>IF(V79="","",IF(V79="升级候选","已验证候选",IF(V79="停用候选","停用候选",IF(OR(V79="需修改候选",V79="收紧条件",V79="补漏／放宽",V79="优先复核"),"需修改／复核","观察中"))))</x:f>
        <x:v>观察中</x:v>
      </x:c>
      <x:c r="X79" s="34" t="str"/>
      <x:c r="Y79" s="34" t="str"/>
    </x:row>
    <x:row r="80">
      <x:c r="A80" s="34" t="str">
        <x:v>M5-SYNTH-043</x:v>
      </x:c>
      <x:c r="B80" s="34" t="str">
        <x:v>SYNTH</x:v>
      </x:c>
      <x:c r="C80" s="34" t="str">
        <x:v>P0_SYNTH总合成</x:v>
      </x:c>
      <x:c r="D80" s="34" t="str">
        <x:v>字段权威｜exchange_path由EXCHANGE负责</x:v>
      </x:c>
      <x:c r="E80" s="34" t="str">
        <x:v>L1 字段权威矩阵</x:v>
      </x:c>
      <x:c r="F80" s="34" t="str">
        <x:v>权威</x:v>
      </x:c>
      <x:c r="G80" s="34" t="n">
        <x:v>96</x:v>
      </x:c>
      <x:c r="H80" s="34" t="str">
        <x:v>待验证</x:v>
      </x:c>
      <x:c r="I80" s="34" t="str"/>
      <x:c r="J80" s="34" t="str"/>
      <x:c r="K80" s="34" t="str"/>
      <x:c r="L80" s="34" t="str"/>
      <x:c r="M80" s="34" t="str"/>
      <x:c r="N80" s="34" t="n">
        <x:f>IF(A80="","",I80+J80+K80)</x:f>
        <x:v>0</x:v>
      </x:c>
      <x:c r="O80" s="56" t="str">
        <x:f>IF(N80=0,"",(I80+0.5*J80)/N80)</x:f>
      </x:c>
      <x:c r="P80" s="56" t="str">
        <x:f>IF(N80=0,"",(I80+0.5*J80+1)/(N80+2))</x:f>
      </x:c>
      <x:c r="Q80" s="34" t="str"/>
      <x:c r="R80" s="34" t="str"/>
      <x:c r="S80" s="34" t="str"/>
      <x:c r="T80" s="34" t="str"/>
      <x:c r="U80" s="34" t="str"/>
      <x:c r="V80" s="34" t="str">
        <x:f>IF(A80="","",IF(N80&lt;5,"样本不足",IF(Q80&gt;=1,"优先复核",IF(AND(N80&gt;=20,P80&lt;0.35,K80&gt;=5),"停用候选",IF(AND(N80&gt;=10,P80&lt;0.45),"需修改候选",IF(AND(N80&gt;=10,P80&gt;=0.75,R80/N80&lt;=0.15,S80/N80&lt;=0.15),"升级候选",IF(R80/N80&gt;0.3,"收紧条件",IF(S80/N80&gt;0.3,"补漏／放宽","继续观察"))))))))</x:f>
        <x:v>样本不足</x:v>
      </x:c>
      <x:c r="W80" s="34" t="str">
        <x:f>IF(V80="","",IF(V80="升级候选","已验证候选",IF(V80="停用候选","停用候选",IF(OR(V80="需修改候选",V80="收紧条件",V80="补漏／放宽",V80="优先复核"),"需修改／复核","观察中"))))</x:f>
        <x:v>观察中</x:v>
      </x:c>
      <x:c r="X80" s="34" t="str"/>
      <x:c r="Y80" s="34" t="str"/>
    </x:row>
    <x:row r="81">
      <x:c r="A81" s="34" t="str">
        <x:v>M5-SYNTH-044</x:v>
      </x:c>
      <x:c r="B81" s="34" t="str">
        <x:v>SYNTH</x:v>
      </x:c>
      <x:c r="C81" s="34" t="str">
        <x:v>P0_SYNTH总合成</x:v>
      </x:c>
      <x:c r="D81" s="34" t="str">
        <x:v>字段权威｜primary_boundary_channel由BOUND负责</x:v>
      </x:c>
      <x:c r="E81" s="34" t="str">
        <x:v>L1 字段权威矩阵</x:v>
      </x:c>
      <x:c r="F81" s="34" t="str">
        <x:v>权威</x:v>
      </x:c>
      <x:c r="G81" s="34" t="n">
        <x:v>96</x:v>
      </x:c>
      <x:c r="H81" s="34" t="str">
        <x:v>待验证</x:v>
      </x:c>
      <x:c r="I81" s="34" t="str"/>
      <x:c r="J81" s="34" t="str"/>
      <x:c r="K81" s="34" t="str"/>
      <x:c r="L81" s="34" t="str"/>
      <x:c r="M81" s="34" t="str"/>
      <x:c r="N81" s="34" t="n">
        <x:f>IF(A81="","",I81+J81+K81)</x:f>
        <x:v>0</x:v>
      </x:c>
      <x:c r="O81" s="56" t="str">
        <x:f>IF(N81=0,"",(I81+0.5*J81)/N81)</x:f>
      </x:c>
      <x:c r="P81" s="56" t="str">
        <x:f>IF(N81=0,"",(I81+0.5*J81+1)/(N81+2))</x:f>
      </x:c>
      <x:c r="Q81" s="34" t="str"/>
      <x:c r="R81" s="34" t="str"/>
      <x:c r="S81" s="34" t="str"/>
      <x:c r="T81" s="34" t="str"/>
      <x:c r="U81" s="34" t="str"/>
      <x:c r="V81" s="34" t="str">
        <x:f>IF(A81="","",IF(N81&lt;5,"样本不足",IF(Q81&gt;=1,"优先复核",IF(AND(N81&gt;=20,P81&lt;0.35,K81&gt;=5),"停用候选",IF(AND(N81&gt;=10,P81&lt;0.45),"需修改候选",IF(AND(N81&gt;=10,P81&gt;=0.75,R81/N81&lt;=0.15,S81/N81&lt;=0.15),"升级候选",IF(R81/N81&gt;0.3,"收紧条件",IF(S81/N81&gt;0.3,"补漏／放宽","继续观察"))))))))</x:f>
        <x:v>样本不足</x:v>
      </x:c>
      <x:c r="W81" s="34" t="str">
        <x:f>IF(V81="","",IF(V81="升级候选","已验证候选",IF(V81="停用候选","停用候选",IF(OR(V81="需修改候选",V81="收紧条件",V81="补漏／放宽",V81="优先复核"),"需修改／复核","观察中"))))</x:f>
        <x:v>观察中</x:v>
      </x:c>
      <x:c r="X81" s="34" t="str"/>
      <x:c r="Y81" s="34" t="str"/>
    </x:row>
    <x:row r="82">
      <x:c r="A82" s="34" t="str">
        <x:v>M5-SYNTH-045</x:v>
      </x:c>
      <x:c r="B82" s="34" t="str">
        <x:v>SYNTH</x:v>
      </x:c>
      <x:c r="C82" s="34" t="str">
        <x:v>P0_SYNTH总合成</x:v>
      </x:c>
      <x:c r="D82" s="34" t="str">
        <x:v>字段权威｜boundary_mode由BOUND负责</x:v>
      </x:c>
      <x:c r="E82" s="34" t="str">
        <x:v>L1 字段权威矩阵</x:v>
      </x:c>
      <x:c r="F82" s="34" t="str">
        <x:v>权威</x:v>
      </x:c>
      <x:c r="G82" s="34" t="n">
        <x:v>96</x:v>
      </x:c>
      <x:c r="H82" s="34" t="str">
        <x:v>待验证</x:v>
      </x:c>
      <x:c r="I82" s="34" t="str"/>
      <x:c r="J82" s="34" t="str"/>
      <x:c r="K82" s="34" t="str"/>
      <x:c r="L82" s="34" t="str"/>
      <x:c r="M82" s="34" t="str"/>
      <x:c r="N82" s="34" t="n">
        <x:f>IF(A82="","",I82+J82+K82)</x:f>
        <x:v>0</x:v>
      </x:c>
      <x:c r="O82" s="56" t="str">
        <x:f>IF(N82=0,"",(I82+0.5*J82)/N82)</x:f>
      </x:c>
      <x:c r="P82" s="56" t="str">
        <x:f>IF(N82=0,"",(I82+0.5*J82+1)/(N82+2))</x:f>
      </x:c>
      <x:c r="Q82" s="34" t="str"/>
      <x:c r="R82" s="34" t="str"/>
      <x:c r="S82" s="34" t="str"/>
      <x:c r="T82" s="34" t="str"/>
      <x:c r="U82" s="34" t="str"/>
      <x:c r="V82" s="34" t="str">
        <x:f>IF(A82="","",IF(N82&lt;5,"样本不足",IF(Q82&gt;=1,"优先复核",IF(AND(N82&gt;=20,P82&lt;0.35,K82&gt;=5),"停用候选",IF(AND(N82&gt;=10,P82&lt;0.45),"需修改候选",IF(AND(N82&gt;=10,P82&gt;=0.75,R82/N82&lt;=0.15,S82/N82&lt;=0.15),"升级候选",IF(R82/N82&gt;0.3,"收紧条件",IF(S82/N82&gt;0.3,"补漏／放宽","继续观察"))))))))</x:f>
        <x:v>样本不足</x:v>
      </x:c>
      <x:c r="W82" s="34" t="str">
        <x:f>IF(V82="","",IF(V82="升级候选","已验证候选",IF(V82="停用候选","停用候选",IF(OR(V82="需修改候选",V82="收紧条件",V82="补漏／放宽",V82="优先复核"),"需修改／复核","观察中"))))</x:f>
        <x:v>观察中</x:v>
      </x:c>
      <x:c r="X82" s="34" t="str"/>
      <x:c r="Y82" s="34" t="str"/>
    </x:row>
    <x:row r="83">
      <x:c r="A83" s="34" t="str">
        <x:v>M5-SYNTH-046</x:v>
      </x:c>
      <x:c r="B83" s="34" t="str">
        <x:v>SYNTH</x:v>
      </x:c>
      <x:c r="C83" s="34" t="str">
        <x:v>P0_SYNTH总合成</x:v>
      </x:c>
      <x:c r="D83" s="34" t="str">
        <x:v>字段权威｜boundary_state由BOUND负责</x:v>
      </x:c>
      <x:c r="E83" s="34" t="str">
        <x:v>L1 字段权威矩阵</x:v>
      </x:c>
      <x:c r="F83" s="34" t="str">
        <x:v>权威</x:v>
      </x:c>
      <x:c r="G83" s="34" t="n">
        <x:v>96</x:v>
      </x:c>
      <x:c r="H83" s="34" t="str">
        <x:v>待验证</x:v>
      </x:c>
      <x:c r="I83" s="34" t="str"/>
      <x:c r="J83" s="34" t="str"/>
      <x:c r="K83" s="34" t="str"/>
      <x:c r="L83" s="34" t="str"/>
      <x:c r="M83" s="34" t="str"/>
      <x:c r="N83" s="34" t="n">
        <x:f>IF(A83="","",I83+J83+K83)</x:f>
        <x:v>0</x:v>
      </x:c>
      <x:c r="O83" s="56" t="str">
        <x:f>IF(N83=0,"",(I83+0.5*J83)/N83)</x:f>
      </x:c>
      <x:c r="P83" s="56" t="str">
        <x:f>IF(N83=0,"",(I83+0.5*J83+1)/(N83+2))</x:f>
      </x:c>
      <x:c r="Q83" s="34" t="str"/>
      <x:c r="R83" s="34" t="str"/>
      <x:c r="S83" s="34" t="str"/>
      <x:c r="T83" s="34" t="str"/>
      <x:c r="U83" s="34" t="str"/>
      <x:c r="V83" s="34" t="str">
        <x:f>IF(A83="","",IF(N83&lt;5,"样本不足",IF(Q83&gt;=1,"优先复核",IF(AND(N83&gt;=20,P83&lt;0.35,K83&gt;=5),"停用候选",IF(AND(N83&gt;=10,P83&lt;0.45),"需修改候选",IF(AND(N83&gt;=10,P83&gt;=0.75,R83/N83&lt;=0.15,S83/N83&lt;=0.15),"升级候选",IF(R83/N83&gt;0.3,"收紧条件",IF(S83/N83&gt;0.3,"补漏／放宽","继续观察"))))))))</x:f>
        <x:v>样本不足</x:v>
      </x:c>
      <x:c r="W83" s="34" t="str">
        <x:f>IF(V83="","",IF(V83="升级候选","已验证候选",IF(V83="停用候选","停用候选",IF(OR(V83="需修改候选",V83="收紧条件",V83="补漏／放宽",V83="优先复核"),"需修改／复核","观察中"))))</x:f>
        <x:v>观察中</x:v>
      </x:c>
      <x:c r="X83" s="34" t="str"/>
      <x:c r="Y83" s="34" t="str"/>
    </x:row>
    <x:row r="84">
      <x:c r="A84" s="34" t="str">
        <x:v>M5-SYNTH-047</x:v>
      </x:c>
      <x:c r="B84" s="34" t="str">
        <x:v>SYNTH</x:v>
      </x:c>
      <x:c r="C84" s="34" t="str">
        <x:v>P0_SYNTH总合成</x:v>
      </x:c>
      <x:c r="D84" s="34" t="str">
        <x:v>字段权威｜boundary_evidence_level由BOUND负责</x:v>
      </x:c>
      <x:c r="E84" s="34" t="str">
        <x:v>L1 字段权威矩阵</x:v>
      </x:c>
      <x:c r="F84" s="34" t="str">
        <x:v>权威</x:v>
      </x:c>
      <x:c r="G84" s="34" t="n">
        <x:v>96</x:v>
      </x:c>
      <x:c r="H84" s="34" t="str">
        <x:v>待验证</x:v>
      </x:c>
      <x:c r="I84" s="34" t="str"/>
      <x:c r="J84" s="34" t="str"/>
      <x:c r="K84" s="34" t="str"/>
      <x:c r="L84" s="34" t="str"/>
      <x:c r="M84" s="34" t="str"/>
      <x:c r="N84" s="34" t="n">
        <x:f>IF(A84="","",I84+J84+K84)</x:f>
        <x:v>0</x:v>
      </x:c>
      <x:c r="O84" s="56" t="str">
        <x:f>IF(N84=0,"",(I84+0.5*J84)/N84)</x:f>
      </x:c>
      <x:c r="P84" s="56" t="str">
        <x:f>IF(N84=0,"",(I84+0.5*J84+1)/(N84+2))</x:f>
      </x:c>
      <x:c r="Q84" s="34" t="str"/>
      <x:c r="R84" s="34" t="str"/>
      <x:c r="S84" s="34" t="str"/>
      <x:c r="T84" s="34" t="str"/>
      <x:c r="U84" s="34" t="str"/>
      <x:c r="V84" s="34" t="str">
        <x:f>IF(A84="","",IF(N84&lt;5,"样本不足",IF(Q84&gt;=1,"优先复核",IF(AND(N84&gt;=20,P84&lt;0.35,K84&gt;=5),"停用候选",IF(AND(N84&gt;=10,P84&lt;0.45),"需修改候选",IF(AND(N84&gt;=10,P84&gt;=0.75,R84/N84&lt;=0.15,S84/N84&lt;=0.15),"升级候选",IF(R84/N84&gt;0.3,"收紧条件",IF(S84/N84&gt;0.3,"补漏／放宽","继续观察"))))))))</x:f>
        <x:v>样本不足</x:v>
      </x:c>
      <x:c r="W84" s="34" t="str">
        <x:f>IF(V84="","",IF(V84="升级候选","已验证候选",IF(V84="停用候选","停用候选",IF(OR(V84="需修改候选",V84="收紧条件",V84="补漏／放宽",V84="优先复核"),"需修改／复核","观察中"))))</x:f>
        <x:v>观察中</x:v>
      </x:c>
      <x:c r="X84" s="34" t="str"/>
      <x:c r="Y84" s="34" t="str"/>
    </x:row>
    <x:row r="85">
      <x:c r="A85" s="34" t="str">
        <x:v>M5-SYNTH-048</x:v>
      </x:c>
      <x:c r="B85" s="34" t="str">
        <x:v>SYNTH</x:v>
      </x:c>
      <x:c r="C85" s="34" t="str">
        <x:v>P0_SYNTH总合成</x:v>
      </x:c>
      <x:c r="D85" s="34" t="str">
        <x:v>字段权威｜decision_governance由BOUND负责</x:v>
      </x:c>
      <x:c r="E85" s="34" t="str">
        <x:v>L1 字段权威矩阵</x:v>
      </x:c>
      <x:c r="F85" s="34" t="str">
        <x:v>权威</x:v>
      </x:c>
      <x:c r="G85" s="34" t="n">
        <x:v>96</x:v>
      </x:c>
      <x:c r="H85" s="34" t="str">
        <x:v>待验证</x:v>
      </x:c>
      <x:c r="I85" s="34" t="str"/>
      <x:c r="J85" s="34" t="str"/>
      <x:c r="K85" s="34" t="str"/>
      <x:c r="L85" s="34" t="str"/>
      <x:c r="M85" s="34" t="str"/>
      <x:c r="N85" s="34" t="n">
        <x:f>IF(A85="","",I85+J85+K85)</x:f>
        <x:v>0</x:v>
      </x:c>
      <x:c r="O85" s="56" t="str">
        <x:f>IF(N85=0,"",(I85+0.5*J85)/N85)</x:f>
      </x:c>
      <x:c r="P85" s="56" t="str">
        <x:f>IF(N85=0,"",(I85+0.5*J85+1)/(N85+2))</x:f>
      </x:c>
      <x:c r="Q85" s="34" t="str"/>
      <x:c r="R85" s="34" t="str"/>
      <x:c r="S85" s="34" t="str"/>
      <x:c r="T85" s="34" t="str"/>
      <x:c r="U85" s="34" t="str"/>
      <x:c r="V85" s="34" t="str">
        <x:f>IF(A85="","",IF(N85&lt;5,"样本不足",IF(Q85&gt;=1,"优先复核",IF(AND(N85&gt;=20,P85&lt;0.35,K85&gt;=5),"停用候选",IF(AND(N85&gt;=10,P85&lt;0.45),"需修改候选",IF(AND(N85&gt;=10,P85&gt;=0.75,R85/N85&lt;=0.15,S85/N85&lt;=0.15),"升级候选",IF(R85/N85&gt;0.3,"收紧条件",IF(S85/N85&gt;0.3,"补漏／放宽","继续观察"))))))))</x:f>
        <x:v>样本不足</x:v>
      </x:c>
      <x:c r="W85" s="34" t="str">
        <x:f>IF(V85="","",IF(V85="升级候选","已验证候选",IF(V85="停用候选","停用候选",IF(OR(V85="需修改候选",V85="收紧条件",V85="补漏／放宽",V85="优先复核"),"需修改／复核","观察中"))))</x:f>
        <x:v>观察中</x:v>
      </x:c>
      <x:c r="X85" s="34" t="str"/>
      <x:c r="Y85" s="34" t="str"/>
    </x:row>
    <x:row r="86">
      <x:c r="A86" s="34" t="str">
        <x:v>M5-SYNTH-049</x:v>
      </x:c>
      <x:c r="B86" s="34" t="str">
        <x:v>SYNTH</x:v>
      </x:c>
      <x:c r="C86" s="34" t="str">
        <x:v>P0_SYNTH总合成</x:v>
      </x:c>
      <x:c r="D86" s="34" t="str">
        <x:v>字段权威｜consent_boundary由BOUND＋现实RG01／RG07负责</x:v>
      </x:c>
      <x:c r="E86" s="34" t="str">
        <x:v>L1 字段权威矩阵</x:v>
      </x:c>
      <x:c r="F86" s="34" t="str">
        <x:v>权威</x:v>
      </x:c>
      <x:c r="G86" s="34" t="n">
        <x:v>96</x:v>
      </x:c>
      <x:c r="H86" s="34" t="str">
        <x:v>待验证</x:v>
      </x:c>
      <x:c r="I86" s="34" t="str"/>
      <x:c r="J86" s="34" t="str"/>
      <x:c r="K86" s="34" t="str"/>
      <x:c r="L86" s="34" t="str"/>
      <x:c r="M86" s="34" t="str"/>
      <x:c r="N86" s="34" t="n">
        <x:f>IF(A86="","",I86+J86+K86)</x:f>
        <x:v>0</x:v>
      </x:c>
      <x:c r="O86" s="56" t="str">
        <x:f>IF(N86=0,"",(I86+0.5*J86)/N86)</x:f>
      </x:c>
      <x:c r="P86" s="56" t="str">
        <x:f>IF(N86=0,"",(I86+0.5*J86+1)/(N86+2))</x:f>
      </x:c>
      <x:c r="Q86" s="34" t="str"/>
      <x:c r="R86" s="34" t="str"/>
      <x:c r="S86" s="34" t="str"/>
      <x:c r="T86" s="34" t="str"/>
      <x:c r="U86" s="34" t="str"/>
      <x:c r="V86" s="34" t="str">
        <x:f>IF(A86="","",IF(N86&lt;5,"样本不足",IF(Q86&gt;=1,"优先复核",IF(AND(N86&gt;=20,P86&lt;0.35,K86&gt;=5),"停用候选",IF(AND(N86&gt;=10,P86&lt;0.45),"需修改候选",IF(AND(N86&gt;=10,P86&gt;=0.75,R86/N86&lt;=0.15,S86/N86&lt;=0.15),"升级候选",IF(R86/N86&gt;0.3,"收紧条件",IF(S86/N86&gt;0.3,"补漏／放宽","继续观察"))))))))</x:f>
        <x:v>样本不足</x:v>
      </x:c>
      <x:c r="W86" s="34" t="str">
        <x:f>IF(V86="","",IF(V86="升级候选","已验证候选",IF(V86="停用候选","停用候选",IF(OR(V86="需修改候选",V86="收紧条件",V86="补漏／放宽",V86="优先复核"),"需修改／复核","观察中"))))</x:f>
        <x:v>观察中</x:v>
      </x:c>
      <x:c r="X86" s="34" t="str"/>
      <x:c r="Y86" s="34" t="str"/>
    </x:row>
    <x:row r="87">
      <x:c r="A87" s="34" t="str">
        <x:v>M5-SYNTH-050</x:v>
      </x:c>
      <x:c r="B87" s="34" t="str">
        <x:v>SYNTH</x:v>
      </x:c>
      <x:c r="C87" s="34" t="str">
        <x:v>P0_SYNTH总合成</x:v>
      </x:c>
      <x:c r="D87" s="34" t="str">
        <x:v>字段权威｜primary_repair_channel由REPAIR负责</x:v>
      </x:c>
      <x:c r="E87" s="34" t="str">
        <x:v>L1 字段权威矩阵</x:v>
      </x:c>
      <x:c r="F87" s="34" t="str">
        <x:v>权威</x:v>
      </x:c>
      <x:c r="G87" s="34" t="n">
        <x:v>96</x:v>
      </x:c>
      <x:c r="H87" s="34" t="str">
        <x:v>待验证</x:v>
      </x:c>
      <x:c r="I87" s="34" t="str"/>
      <x:c r="J87" s="34" t="str"/>
      <x:c r="K87" s="34" t="str"/>
      <x:c r="L87" s="34" t="str"/>
      <x:c r="M87" s="34" t="str"/>
      <x:c r="N87" s="34" t="n">
        <x:f>IF(A87="","",I87+J87+K87)</x:f>
        <x:v>0</x:v>
      </x:c>
      <x:c r="O87" s="56" t="str">
        <x:f>IF(N87=0,"",(I87+0.5*J87)/N87)</x:f>
      </x:c>
      <x:c r="P87" s="56" t="str">
        <x:f>IF(N87=0,"",(I87+0.5*J87+1)/(N87+2))</x:f>
      </x:c>
      <x:c r="Q87" s="34" t="str"/>
      <x:c r="R87" s="34" t="str"/>
      <x:c r="S87" s="34" t="str"/>
      <x:c r="T87" s="34" t="str"/>
      <x:c r="U87" s="34" t="str"/>
      <x:c r="V87" s="34" t="str">
        <x:f>IF(A87="","",IF(N87&lt;5,"样本不足",IF(Q87&gt;=1,"优先复核",IF(AND(N87&gt;=20,P87&lt;0.35,K87&gt;=5),"停用候选",IF(AND(N87&gt;=10,P87&lt;0.45),"需修改候选",IF(AND(N87&gt;=10,P87&gt;=0.75,R87/N87&lt;=0.15,S87/N87&lt;=0.15),"升级候选",IF(R87/N87&gt;0.3,"收紧条件",IF(S87/N87&gt;0.3,"补漏／放宽","继续观察"))))))))</x:f>
        <x:v>样本不足</x:v>
      </x:c>
      <x:c r="W87" s="34" t="str">
        <x:f>IF(V87="","",IF(V87="升级候选","已验证候选",IF(V87="停用候选","停用候选",IF(OR(V87="需修改候选",V87="收紧条件",V87="补漏／放宽",V87="优先复核"),"需修改／复核","观察中"))))</x:f>
        <x:v>观察中</x:v>
      </x:c>
      <x:c r="X87" s="34" t="str"/>
      <x:c r="Y87" s="34" t="str"/>
    </x:row>
    <x:row r="88">
      <x:c r="A88" s="34" t="str">
        <x:v>M5-SYNTH-051</x:v>
      </x:c>
      <x:c r="B88" s="34" t="str">
        <x:v>SYNTH</x:v>
      </x:c>
      <x:c r="C88" s="34" t="str">
        <x:v>P0_SYNTH总合成</x:v>
      </x:c>
      <x:c r="D88" s="34" t="str">
        <x:v>字段权威｜repair_protocol由REPAIR负责</x:v>
      </x:c>
      <x:c r="E88" s="34" t="str">
        <x:v>L1 字段权威矩阵</x:v>
      </x:c>
      <x:c r="F88" s="34" t="str">
        <x:v>权威</x:v>
      </x:c>
      <x:c r="G88" s="34" t="n">
        <x:v>96</x:v>
      </x:c>
      <x:c r="H88" s="34" t="str">
        <x:v>待验证</x:v>
      </x:c>
      <x:c r="I88" s="34" t="str"/>
      <x:c r="J88" s="34" t="str"/>
      <x:c r="K88" s="34" t="str"/>
      <x:c r="L88" s="34" t="str"/>
      <x:c r="M88" s="34" t="str"/>
      <x:c r="N88" s="34" t="n">
        <x:f>IF(A88="","",I88+J88+K88)</x:f>
        <x:v>0</x:v>
      </x:c>
      <x:c r="O88" s="56" t="str">
        <x:f>IF(N88=0,"",(I88+0.5*J88)/N88)</x:f>
      </x:c>
      <x:c r="P88" s="56" t="str">
        <x:f>IF(N88=0,"",(I88+0.5*J88+1)/(N88+2))</x:f>
      </x:c>
      <x:c r="Q88" s="34" t="str"/>
      <x:c r="R88" s="34" t="str"/>
      <x:c r="S88" s="34" t="str"/>
      <x:c r="T88" s="34" t="str"/>
      <x:c r="U88" s="34" t="str"/>
      <x:c r="V88" s="34" t="str">
        <x:f>IF(A88="","",IF(N88&lt;5,"样本不足",IF(Q88&gt;=1,"优先复核",IF(AND(N88&gt;=20,P88&lt;0.35,K88&gt;=5),"停用候选",IF(AND(N88&gt;=10,P88&lt;0.45),"需修改候选",IF(AND(N88&gt;=10,P88&gt;=0.75,R88/N88&lt;=0.15,S88/N88&lt;=0.15),"升级候选",IF(R88/N88&gt;0.3,"收紧条件",IF(S88/N88&gt;0.3,"补漏／放宽","继续观察"))))))))</x:f>
        <x:v>样本不足</x:v>
      </x:c>
      <x:c r="W88" s="34" t="str">
        <x:f>IF(V88="","",IF(V88="升级候选","已验证候选",IF(V88="停用候选","停用候选",IF(OR(V88="需修改候选",V88="收紧条件",V88="补漏／放宽",V88="优先复核"),"需修改／复核","观察中"))))</x:f>
        <x:v>观察中</x:v>
      </x:c>
      <x:c r="X88" s="34" t="str"/>
      <x:c r="Y88" s="34" t="str"/>
    </x:row>
    <x:row r="89">
      <x:c r="A89" s="34" t="str">
        <x:v>M5-SYNTH-052</x:v>
      </x:c>
      <x:c r="B89" s="34" t="str">
        <x:v>SYNTH</x:v>
      </x:c>
      <x:c r="C89" s="34" t="str">
        <x:v>P0_SYNTH总合成</x:v>
      </x:c>
      <x:c r="D89" s="34" t="str">
        <x:v>字段权威｜repair_state由REPAIR负责</x:v>
      </x:c>
      <x:c r="E89" s="34" t="str">
        <x:v>L1 字段权威矩阵</x:v>
      </x:c>
      <x:c r="F89" s="34" t="str">
        <x:v>权威</x:v>
      </x:c>
      <x:c r="G89" s="34" t="n">
        <x:v>96</x:v>
      </x:c>
      <x:c r="H89" s="34" t="str">
        <x:v>待验证</x:v>
      </x:c>
      <x:c r="I89" s="34" t="str"/>
      <x:c r="J89" s="34" t="str"/>
      <x:c r="K89" s="34" t="str"/>
      <x:c r="L89" s="34" t="str"/>
      <x:c r="M89" s="34" t="str"/>
      <x:c r="N89" s="34" t="n">
        <x:f>IF(A89="","",I89+J89+K89)</x:f>
        <x:v>0</x:v>
      </x:c>
      <x:c r="O89" s="56" t="str">
        <x:f>IF(N89=0,"",(I89+0.5*J89)/N89)</x:f>
      </x:c>
      <x:c r="P89" s="56" t="str">
        <x:f>IF(N89=0,"",(I89+0.5*J89+1)/(N89+2))</x:f>
      </x:c>
      <x:c r="Q89" s="34" t="str"/>
      <x:c r="R89" s="34" t="str"/>
      <x:c r="S89" s="34" t="str"/>
      <x:c r="T89" s="34" t="str"/>
      <x:c r="U89" s="34" t="str"/>
      <x:c r="V89" s="34" t="str">
        <x:f>IF(A89="","",IF(N89&lt;5,"样本不足",IF(Q89&gt;=1,"优先复核",IF(AND(N89&gt;=20,P89&lt;0.35,K89&gt;=5),"停用候选",IF(AND(N89&gt;=10,P89&lt;0.45),"需修改候选",IF(AND(N89&gt;=10,P89&gt;=0.75,R89/N89&lt;=0.15,S89/N89&lt;=0.15),"升级候选",IF(R89/N89&gt;0.3,"收紧条件",IF(S89/N89&gt;0.3,"补漏／放宽","继续观察"))))))))</x:f>
        <x:v>样本不足</x:v>
      </x:c>
      <x:c r="W89" s="34" t="str">
        <x:f>IF(V89="","",IF(V89="升级候选","已验证候选",IF(V89="停用候选","停用候选",IF(OR(V89="需修改候选",V89="收紧条件",V89="补漏／放宽",V89="优先复核"),"需修改／复核","观察中"))))</x:f>
        <x:v>观察中</x:v>
      </x:c>
      <x:c r="X89" s="34" t="str"/>
      <x:c r="Y89" s="34" t="str"/>
    </x:row>
    <x:row r="90">
      <x:c r="A90" s="34" t="str">
        <x:v>M5-SYNTH-053</x:v>
      </x:c>
      <x:c r="B90" s="34" t="str">
        <x:v>SYNTH</x:v>
      </x:c>
      <x:c r="C90" s="34" t="str">
        <x:v>P0_SYNTH总合成</x:v>
      </x:c>
      <x:c r="D90" s="34" t="str">
        <x:v>字段权威｜repair_evidence_level由REPAIR负责</x:v>
      </x:c>
      <x:c r="E90" s="34" t="str">
        <x:v>L1 字段权威矩阵</x:v>
      </x:c>
      <x:c r="F90" s="34" t="str">
        <x:v>权威</x:v>
      </x:c>
      <x:c r="G90" s="34" t="n">
        <x:v>96</x:v>
      </x:c>
      <x:c r="H90" s="34" t="str">
        <x:v>待验证</x:v>
      </x:c>
      <x:c r="I90" s="34" t="str"/>
      <x:c r="J90" s="34" t="str"/>
      <x:c r="K90" s="34" t="str"/>
      <x:c r="L90" s="34" t="str"/>
      <x:c r="M90" s="34" t="str"/>
      <x:c r="N90" s="34" t="n">
        <x:f>IF(A90="","",I90+J90+K90)</x:f>
        <x:v>0</x:v>
      </x:c>
      <x:c r="O90" s="56" t="str">
        <x:f>IF(N90=0,"",(I90+0.5*J90)/N90)</x:f>
      </x:c>
      <x:c r="P90" s="56" t="str">
        <x:f>IF(N90=0,"",(I90+0.5*J90+1)/(N90+2))</x:f>
      </x:c>
      <x:c r="Q90" s="34" t="str"/>
      <x:c r="R90" s="34" t="str"/>
      <x:c r="S90" s="34" t="str"/>
      <x:c r="T90" s="34" t="str"/>
      <x:c r="U90" s="34" t="str"/>
      <x:c r="V90" s="34" t="str">
        <x:f>IF(A90="","",IF(N90&lt;5,"样本不足",IF(Q90&gt;=1,"优先复核",IF(AND(N90&gt;=20,P90&lt;0.35,K90&gt;=5),"停用候选",IF(AND(N90&gt;=10,P90&lt;0.45),"需修改候选",IF(AND(N90&gt;=10,P90&gt;=0.75,R90/N90&lt;=0.15,S90/N90&lt;=0.15),"升级候选",IF(R90/N90&gt;0.3,"收紧条件",IF(S90/N90&gt;0.3,"补漏／放宽","继续观察"))))))))</x:f>
        <x:v>样本不足</x:v>
      </x:c>
      <x:c r="W90" s="34" t="str">
        <x:f>IF(V90="","",IF(V90="升级候选","已验证候选",IF(V90="停用候选","停用候选",IF(OR(V90="需修改候选",V90="收紧条件",V90="补漏／放宽",V90="优先复核"),"需修改／复核","观察中"))))</x:f>
        <x:v>观察中</x:v>
      </x:c>
      <x:c r="X90" s="34" t="str"/>
      <x:c r="Y90" s="34" t="str"/>
    </x:row>
    <x:row r="91">
      <x:c r="A91" s="34" t="str">
        <x:v>M5-SYNTH-054</x:v>
      </x:c>
      <x:c r="B91" s="34" t="str">
        <x:v>SYNTH</x:v>
      </x:c>
      <x:c r="C91" s="34" t="str">
        <x:v>P0_SYNTH总合成</x:v>
      </x:c>
      <x:c r="D91" s="34" t="str">
        <x:v>字段权威｜repair_completion_standard由REPAIR负责</x:v>
      </x:c>
      <x:c r="E91" s="34" t="str">
        <x:v>L1 字段权威矩阵</x:v>
      </x:c>
      <x:c r="F91" s="34" t="str">
        <x:v>权威</x:v>
      </x:c>
      <x:c r="G91" s="34" t="n">
        <x:v>96</x:v>
      </x:c>
      <x:c r="H91" s="34" t="str">
        <x:v>待验证</x:v>
      </x:c>
      <x:c r="I91" s="34" t="str"/>
      <x:c r="J91" s="34" t="str"/>
      <x:c r="K91" s="34" t="str"/>
      <x:c r="L91" s="34" t="str"/>
      <x:c r="M91" s="34" t="str"/>
      <x:c r="N91" s="34" t="n">
        <x:f>IF(A91="","",I91+J91+K91)</x:f>
        <x:v>0</x:v>
      </x:c>
      <x:c r="O91" s="56" t="str">
        <x:f>IF(N91=0,"",(I91+0.5*J91)/N91)</x:f>
      </x:c>
      <x:c r="P91" s="56" t="str">
        <x:f>IF(N91=0,"",(I91+0.5*J91+1)/(N91+2))</x:f>
      </x:c>
      <x:c r="Q91" s="34" t="str"/>
      <x:c r="R91" s="34" t="str"/>
      <x:c r="S91" s="34" t="str"/>
      <x:c r="T91" s="34" t="str"/>
      <x:c r="U91" s="34" t="str"/>
      <x:c r="V91" s="34" t="str">
        <x:f>IF(A91="","",IF(N91&lt;5,"样本不足",IF(Q91&gt;=1,"优先复核",IF(AND(N91&gt;=20,P91&lt;0.35,K91&gt;=5),"停用候选",IF(AND(N91&gt;=10,P91&lt;0.45),"需修改候选",IF(AND(N91&gt;=10,P91&gt;=0.75,R91/N91&lt;=0.15,S91/N91&lt;=0.15),"升级候选",IF(R91/N91&gt;0.3,"收紧条件",IF(S91/N91&gt;0.3,"补漏／放宽","继续观察"))))))))</x:f>
        <x:v>样本不足</x:v>
      </x:c>
      <x:c r="W91" s="34" t="str">
        <x:f>IF(V91="","",IF(V91="升级候选","已验证候选",IF(V91="停用候选","停用候选",IF(OR(V91="需修改候选",V91="收紧条件",V91="补漏／放宽",V91="优先复核"),"需修改／复核","观察中"))))</x:f>
        <x:v>观察中</x:v>
      </x:c>
      <x:c r="X91" s="34" t="str"/>
      <x:c r="Y91" s="34" t="str"/>
    </x:row>
    <x:row r="92">
      <x:c r="A92" s="34" t="str">
        <x:v>M5-SYNTH-055</x:v>
      </x:c>
      <x:c r="B92" s="34" t="str">
        <x:v>SYNTH</x:v>
      </x:c>
      <x:c r="C92" s="34" t="str">
        <x:v>P0_SYNTH总合成</x:v>
      </x:c>
      <x:c r="D92" s="34" t="str">
        <x:v>字段权威｜primary_rhythm_channel由RHYTHM负责</x:v>
      </x:c>
      <x:c r="E92" s="34" t="str">
        <x:v>L1 字段权威矩阵</x:v>
      </x:c>
      <x:c r="F92" s="34" t="str">
        <x:v>权威</x:v>
      </x:c>
      <x:c r="G92" s="34" t="n">
        <x:v>96</x:v>
      </x:c>
      <x:c r="H92" s="34" t="str">
        <x:v>待验证</x:v>
      </x:c>
      <x:c r="I92" s="34" t="str"/>
      <x:c r="J92" s="34" t="str"/>
      <x:c r="K92" s="34" t="str"/>
      <x:c r="L92" s="34" t="str"/>
      <x:c r="M92" s="34" t="str"/>
      <x:c r="N92" s="34" t="n">
        <x:f>IF(A92="","",I92+J92+K92)</x:f>
        <x:v>0</x:v>
      </x:c>
      <x:c r="O92" s="56" t="str">
        <x:f>IF(N92=0,"",(I92+0.5*J92)/N92)</x:f>
      </x:c>
      <x:c r="P92" s="56" t="str">
        <x:f>IF(N92=0,"",(I92+0.5*J92+1)/(N92+2))</x:f>
      </x:c>
      <x:c r="Q92" s="34" t="str"/>
      <x:c r="R92" s="34" t="str"/>
      <x:c r="S92" s="34" t="str"/>
      <x:c r="T92" s="34" t="str"/>
      <x:c r="U92" s="34" t="str"/>
      <x:c r="V92" s="34" t="str">
        <x:f>IF(A92="","",IF(N92&lt;5,"样本不足",IF(Q92&gt;=1,"优先复核",IF(AND(N92&gt;=20,P92&lt;0.35,K92&gt;=5),"停用候选",IF(AND(N92&gt;=10,P92&lt;0.45),"需修改候选",IF(AND(N92&gt;=10,P92&gt;=0.75,R92/N92&lt;=0.15,S92/N92&lt;=0.15),"升级候选",IF(R92/N92&gt;0.3,"收紧条件",IF(S92/N92&gt;0.3,"补漏／放宽","继续观察"))))))))</x:f>
        <x:v>样本不足</x:v>
      </x:c>
      <x:c r="W92" s="34" t="str">
        <x:f>IF(V92="","",IF(V92="升级候选","已验证候选",IF(V92="停用候选","停用候选",IF(OR(V92="需修改候选",V92="收紧条件",V92="补漏／放宽",V92="优先复核"),"需修改／复核","观察中"))))</x:f>
        <x:v>观察中</x:v>
      </x:c>
      <x:c r="X92" s="34" t="str"/>
      <x:c r="Y92" s="34" t="str"/>
    </x:row>
    <x:row r="93">
      <x:c r="A93" s="34" t="str">
        <x:v>M5-SYNTH-056</x:v>
      </x:c>
      <x:c r="B93" s="34" t="str">
        <x:v>SYNTH</x:v>
      </x:c>
      <x:c r="C93" s="34" t="str">
        <x:v>P0_SYNTH总合成</x:v>
      </x:c>
      <x:c r="D93" s="34" t="str">
        <x:v>字段权威｜rhythm_mode由RHYTHM负责</x:v>
      </x:c>
      <x:c r="E93" s="34" t="str">
        <x:v>L1 字段权威矩阵</x:v>
      </x:c>
      <x:c r="F93" s="34" t="str">
        <x:v>权威</x:v>
      </x:c>
      <x:c r="G93" s="34" t="n">
        <x:v>96</x:v>
      </x:c>
      <x:c r="H93" s="34" t="str">
        <x:v>待验证</x:v>
      </x:c>
      <x:c r="I93" s="34" t="str"/>
      <x:c r="J93" s="34" t="str"/>
      <x:c r="K93" s="34" t="str"/>
      <x:c r="L93" s="34" t="str"/>
      <x:c r="M93" s="34" t="str"/>
      <x:c r="N93" s="34" t="n">
        <x:f>IF(A93="","",I93+J93+K93)</x:f>
        <x:v>0</x:v>
      </x:c>
      <x:c r="O93" s="56" t="str">
        <x:f>IF(N93=0,"",(I93+0.5*J93)/N93)</x:f>
      </x:c>
      <x:c r="P93" s="56" t="str">
        <x:f>IF(N93=0,"",(I93+0.5*J93+1)/(N93+2))</x:f>
      </x:c>
      <x:c r="Q93" s="34" t="str"/>
      <x:c r="R93" s="34" t="str"/>
      <x:c r="S93" s="34" t="str"/>
      <x:c r="T93" s="34" t="str"/>
      <x:c r="U93" s="34" t="str"/>
      <x:c r="V93" s="34" t="str">
        <x:f>IF(A93="","",IF(N93&lt;5,"样本不足",IF(Q93&gt;=1,"优先复核",IF(AND(N93&gt;=20,P93&lt;0.35,K93&gt;=5),"停用候选",IF(AND(N93&gt;=10,P93&lt;0.45),"需修改候选",IF(AND(N93&gt;=10,P93&gt;=0.75,R93/N93&lt;=0.15,S93/N93&lt;=0.15),"升级候选",IF(R93/N93&gt;0.3,"收紧条件",IF(S93/N93&gt;0.3,"补漏／放宽","继续观察"))))))))</x:f>
        <x:v>样本不足</x:v>
      </x:c>
      <x:c r="W93" s="34" t="str">
        <x:f>IF(V93="","",IF(V93="升级候选","已验证候选",IF(V93="停用候选","停用候选",IF(OR(V93="需修改候选",V93="收紧条件",V93="补漏／放宽",V93="优先复核"),"需修改／复核","观察中"))))</x:f>
        <x:v>观察中</x:v>
      </x:c>
      <x:c r="X93" s="34" t="str"/>
      <x:c r="Y93" s="34" t="str"/>
    </x:row>
    <x:row r="94">
      <x:c r="A94" s="34" t="str">
        <x:v>M5-SYNTH-057</x:v>
      </x:c>
      <x:c r="B94" s="34" t="str">
        <x:v>SYNTH</x:v>
      </x:c>
      <x:c r="C94" s="34" t="str">
        <x:v>P0_SYNTH总合成</x:v>
      </x:c>
      <x:c r="D94" s="34" t="str">
        <x:v>字段权威｜rhythm_state由RHYTHM负责</x:v>
      </x:c>
      <x:c r="E94" s="34" t="str">
        <x:v>L1 字段权威矩阵</x:v>
      </x:c>
      <x:c r="F94" s="34" t="str">
        <x:v>权威</x:v>
      </x:c>
      <x:c r="G94" s="34" t="n">
        <x:v>96</x:v>
      </x:c>
      <x:c r="H94" s="34" t="str">
        <x:v>待验证</x:v>
      </x:c>
      <x:c r="I94" s="34" t="str"/>
      <x:c r="J94" s="34" t="str"/>
      <x:c r="K94" s="34" t="str"/>
      <x:c r="L94" s="34" t="str"/>
      <x:c r="M94" s="34" t="str"/>
      <x:c r="N94" s="34" t="n">
        <x:f>IF(A94="","",I94+J94+K94)</x:f>
        <x:v>0</x:v>
      </x:c>
      <x:c r="O94" s="56" t="str">
        <x:f>IF(N94=0,"",(I94+0.5*J94)/N94)</x:f>
      </x:c>
      <x:c r="P94" s="56" t="str">
        <x:f>IF(N94=0,"",(I94+0.5*J94+1)/(N94+2))</x:f>
      </x:c>
      <x:c r="Q94" s="34" t="str"/>
      <x:c r="R94" s="34" t="str"/>
      <x:c r="S94" s="34" t="str"/>
      <x:c r="T94" s="34" t="str"/>
      <x:c r="U94" s="34" t="str"/>
      <x:c r="V94" s="34" t="str">
        <x:f>IF(A94="","",IF(N94&lt;5,"样本不足",IF(Q94&gt;=1,"优先复核",IF(AND(N94&gt;=20,P94&lt;0.35,K94&gt;=5),"停用候选",IF(AND(N94&gt;=10,P94&lt;0.45),"需修改候选",IF(AND(N94&gt;=10,P94&gt;=0.75,R94/N94&lt;=0.15,S94/N94&lt;=0.15),"升级候选",IF(R94/N94&gt;0.3,"收紧条件",IF(S94/N94&gt;0.3,"补漏／放宽","继续观察"))))))))</x:f>
        <x:v>样本不足</x:v>
      </x:c>
      <x:c r="W94" s="34" t="str">
        <x:f>IF(V94="","",IF(V94="升级候选","已验证候选",IF(V94="停用候选","停用候选",IF(OR(V94="需修改候选",V94="收紧条件",V94="补漏／放宽",V94="优先复核"),"需修改／复核","观察中"))))</x:f>
        <x:v>观察中</x:v>
      </x:c>
      <x:c r="X94" s="34" t="str"/>
      <x:c r="Y94" s="34" t="str"/>
    </x:row>
    <x:row r="95">
      <x:c r="A95" s="34" t="str">
        <x:v>M5-SYNTH-058</x:v>
      </x:c>
      <x:c r="B95" s="34" t="str">
        <x:v>SYNTH</x:v>
      </x:c>
      <x:c r="C95" s="34" t="str">
        <x:v>P0_SYNTH总合成</x:v>
      </x:c>
      <x:c r="D95" s="34" t="str">
        <x:v>字段权威｜rhythm_evidence_level由RHYTHM负责</x:v>
      </x:c>
      <x:c r="E95" s="34" t="str">
        <x:v>L1 字段权威矩阵</x:v>
      </x:c>
      <x:c r="F95" s="34" t="str">
        <x:v>权威</x:v>
      </x:c>
      <x:c r="G95" s="34" t="n">
        <x:v>96</x:v>
      </x:c>
      <x:c r="H95" s="34" t="str">
        <x:v>待验证</x:v>
      </x:c>
      <x:c r="I95" s="34" t="str"/>
      <x:c r="J95" s="34" t="str"/>
      <x:c r="K95" s="34" t="str"/>
      <x:c r="L95" s="34" t="str"/>
      <x:c r="M95" s="34" t="str"/>
      <x:c r="N95" s="34" t="n">
        <x:f>IF(A95="","",I95+J95+K95)</x:f>
        <x:v>0</x:v>
      </x:c>
      <x:c r="O95" s="56" t="str">
        <x:f>IF(N95=0,"",(I95+0.5*J95)/N95)</x:f>
      </x:c>
      <x:c r="P95" s="56" t="str">
        <x:f>IF(N95=0,"",(I95+0.5*J95+1)/(N95+2))</x:f>
      </x:c>
      <x:c r="Q95" s="34" t="str"/>
      <x:c r="R95" s="34" t="str"/>
      <x:c r="S95" s="34" t="str"/>
      <x:c r="T95" s="34" t="str"/>
      <x:c r="U95" s="34" t="str"/>
      <x:c r="V95" s="34" t="str">
        <x:f>IF(A95="","",IF(N95&lt;5,"样本不足",IF(Q95&gt;=1,"优先复核",IF(AND(N95&gt;=20,P95&lt;0.35,K95&gt;=5),"停用候选",IF(AND(N95&gt;=10,P95&lt;0.45),"需修改候选",IF(AND(N95&gt;=10,P95&gt;=0.75,R95/N95&lt;=0.15,S95/N95&lt;=0.15),"升级候选",IF(R95/N95&gt;0.3,"收紧条件",IF(S95/N95&gt;0.3,"补漏／放宽","继续观察"))))))))</x:f>
        <x:v>样本不足</x:v>
      </x:c>
      <x:c r="W95" s="34" t="str">
        <x:f>IF(V95="","",IF(V95="升级候选","已验证候选",IF(V95="停用候选","停用候选",IF(OR(V95="需修改候选",V95="收紧条件",V95="补漏／放宽",V95="优先复核"),"需修改／复核","观察中"))))</x:f>
        <x:v>观察中</x:v>
      </x:c>
      <x:c r="X95" s="34" t="str"/>
      <x:c r="Y95" s="34" t="str"/>
    </x:row>
    <x:row r="96">
      <x:c r="A96" s="34" t="str">
        <x:v>M5-SYNTH-059</x:v>
      </x:c>
      <x:c r="B96" s="34" t="str">
        <x:v>SYNTH</x:v>
      </x:c>
      <x:c r="C96" s="34" t="str">
        <x:v>P0_SYNTH总合成</x:v>
      </x:c>
      <x:c r="D96" s="34" t="str">
        <x:v>字段权威｜relationship_phase由RHYTHM负责</x:v>
      </x:c>
      <x:c r="E96" s="34" t="str">
        <x:v>L1 字段权威矩阵</x:v>
      </x:c>
      <x:c r="F96" s="34" t="str">
        <x:v>权威</x:v>
      </x:c>
      <x:c r="G96" s="34" t="n">
        <x:v>96</x:v>
      </x:c>
      <x:c r="H96" s="34" t="str">
        <x:v>待验证</x:v>
      </x:c>
      <x:c r="I96" s="34" t="str"/>
      <x:c r="J96" s="34" t="str"/>
      <x:c r="K96" s="34" t="str"/>
      <x:c r="L96" s="34" t="str"/>
      <x:c r="M96" s="34" t="str"/>
      <x:c r="N96" s="34" t="n">
        <x:f>IF(A96="","",I96+J96+K96)</x:f>
        <x:v>0</x:v>
      </x:c>
      <x:c r="O96" s="56" t="str">
        <x:f>IF(N96=0,"",(I96+0.5*J96)/N96)</x:f>
      </x:c>
      <x:c r="P96" s="56" t="str">
        <x:f>IF(N96=0,"",(I96+0.5*J96+1)/(N96+2))</x:f>
      </x:c>
      <x:c r="Q96" s="34" t="str"/>
      <x:c r="R96" s="34" t="str"/>
      <x:c r="S96" s="34" t="str"/>
      <x:c r="T96" s="34" t="str"/>
      <x:c r="U96" s="34" t="str"/>
      <x:c r="V96" s="34" t="str">
        <x:f>IF(A96="","",IF(N96&lt;5,"样本不足",IF(Q96&gt;=1,"优先复核",IF(AND(N96&gt;=20,P96&lt;0.35,K96&gt;=5),"停用候选",IF(AND(N96&gt;=10,P96&lt;0.45),"需修改候选",IF(AND(N96&gt;=10,P96&gt;=0.75,R96/N96&lt;=0.15,S96/N96&lt;=0.15),"升级候选",IF(R96/N96&gt;0.3,"收紧条件",IF(S96/N96&gt;0.3,"补漏／放宽","继续观察"))))))))</x:f>
        <x:v>样本不足</x:v>
      </x:c>
      <x:c r="W96" s="34" t="str">
        <x:f>IF(V96="","",IF(V96="升级候选","已验证候选",IF(V96="停用候选","停用候选",IF(OR(V96="需修改候选",V96="收紧条件",V96="补漏／放宽",V96="优先复核"),"需修改／复核","观察中"))))</x:f>
        <x:v>观察中</x:v>
      </x:c>
      <x:c r="X96" s="34" t="str"/>
      <x:c r="Y96" s="34" t="str"/>
    </x:row>
    <x:row r="97">
      <x:c r="A97" s="34" t="str">
        <x:v>M5-SYNTH-060</x:v>
      </x:c>
      <x:c r="B97" s="34" t="str">
        <x:v>SYNTH</x:v>
      </x:c>
      <x:c r="C97" s="34" t="str">
        <x:v>P0_SYNTH总合成</x:v>
      </x:c>
      <x:c r="D97" s="34" t="str">
        <x:v>字段权威｜primary_gap由GAP负责</x:v>
      </x:c>
      <x:c r="E97" s="34" t="str">
        <x:v>L1 字段权威矩阵</x:v>
      </x:c>
      <x:c r="F97" s="34" t="str">
        <x:v>权威</x:v>
      </x:c>
      <x:c r="G97" s="34" t="n">
        <x:v>96</x:v>
      </x:c>
      <x:c r="H97" s="34" t="str">
        <x:v>待验证</x:v>
      </x:c>
      <x:c r="I97" s="34" t="str"/>
      <x:c r="J97" s="34" t="str"/>
      <x:c r="K97" s="34" t="str"/>
      <x:c r="L97" s="34" t="str"/>
      <x:c r="M97" s="34" t="str"/>
      <x:c r="N97" s="34" t="n">
        <x:f>IF(A97="","",I97+J97+K97)</x:f>
        <x:v>0</x:v>
      </x:c>
      <x:c r="O97" s="56" t="str">
        <x:f>IF(N97=0,"",(I97+0.5*J97)/N97)</x:f>
      </x:c>
      <x:c r="P97" s="56" t="str">
        <x:f>IF(N97=0,"",(I97+0.5*J97+1)/(N97+2))</x:f>
      </x:c>
      <x:c r="Q97" s="34" t="str"/>
      <x:c r="R97" s="34" t="str"/>
      <x:c r="S97" s="34" t="str"/>
      <x:c r="T97" s="34" t="str"/>
      <x:c r="U97" s="34" t="str"/>
      <x:c r="V97" s="34" t="str">
        <x:f>IF(A97="","",IF(N97&lt;5,"样本不足",IF(Q97&gt;=1,"优先复核",IF(AND(N97&gt;=20,P97&lt;0.35,K97&gt;=5),"停用候选",IF(AND(N97&gt;=10,P97&lt;0.45),"需修改候选",IF(AND(N97&gt;=10,P97&gt;=0.75,R97/N97&lt;=0.15,S97/N97&lt;=0.15),"升级候选",IF(R97/N97&gt;0.3,"收紧条件",IF(S97/N97&gt;0.3,"补漏／放宽","继续观察"))))))))</x:f>
        <x:v>样本不足</x:v>
      </x:c>
      <x:c r="W97" s="34" t="str">
        <x:f>IF(V97="","",IF(V97="升级候选","已验证候选",IF(V97="停用候选","停用候选",IF(OR(V97="需修改候选",V97="收紧条件",V97="补漏／放宽",V97="优先复核"),"需修改／复核","观察中"))))</x:f>
        <x:v>观察中</x:v>
      </x:c>
      <x:c r="X97" s="34" t="str"/>
      <x:c r="Y97" s="34" t="str"/>
    </x:row>
    <x:row r="98">
      <x:c r="A98" s="34" t="str">
        <x:v>M5-SYNTH-061</x:v>
      </x:c>
      <x:c r="B98" s="34" t="str">
        <x:v>SYNTH</x:v>
      </x:c>
      <x:c r="C98" s="34" t="str">
        <x:v>P0_SYNTH总合成</x:v>
      </x:c>
      <x:c r="D98" s="34" t="str">
        <x:v>字段权威｜secondary_gap由GAP负责</x:v>
      </x:c>
      <x:c r="E98" s="34" t="str">
        <x:v>L1 字段权威矩阵</x:v>
      </x:c>
      <x:c r="F98" s="34" t="str">
        <x:v>权威</x:v>
      </x:c>
      <x:c r="G98" s="34" t="n">
        <x:v>96</x:v>
      </x:c>
      <x:c r="H98" s="34" t="str">
        <x:v>待验证</x:v>
      </x:c>
      <x:c r="I98" s="34" t="str"/>
      <x:c r="J98" s="34" t="str"/>
      <x:c r="K98" s="34" t="str"/>
      <x:c r="L98" s="34" t="str"/>
      <x:c r="M98" s="34" t="str"/>
      <x:c r="N98" s="34" t="n">
        <x:f>IF(A98="","",I98+J98+K98)</x:f>
        <x:v>0</x:v>
      </x:c>
      <x:c r="O98" s="56" t="str">
        <x:f>IF(N98=0,"",(I98+0.5*J98)/N98)</x:f>
      </x:c>
      <x:c r="P98" s="56" t="str">
        <x:f>IF(N98=0,"",(I98+0.5*J98+1)/(N98+2))</x:f>
      </x:c>
      <x:c r="Q98" s="34" t="str"/>
      <x:c r="R98" s="34" t="str"/>
      <x:c r="S98" s="34" t="str"/>
      <x:c r="T98" s="34" t="str"/>
      <x:c r="U98" s="34" t="str"/>
      <x:c r="V98" s="34" t="str">
        <x:f>IF(A98="","",IF(N98&lt;5,"样本不足",IF(Q98&gt;=1,"优先复核",IF(AND(N98&gt;=20,P98&lt;0.35,K98&gt;=5),"停用候选",IF(AND(N98&gt;=10,P98&lt;0.45),"需修改候选",IF(AND(N98&gt;=10,P98&gt;=0.75,R98/N98&lt;=0.15,S98/N98&lt;=0.15),"升级候选",IF(R98/N98&gt;0.3,"收紧条件",IF(S98/N98&gt;0.3,"补漏／放宽","继续观察"))))))))</x:f>
        <x:v>样本不足</x:v>
      </x:c>
      <x:c r="W98" s="34" t="str">
        <x:f>IF(V98="","",IF(V98="升级候选","已验证候选",IF(V98="停用候选","停用候选",IF(OR(V98="需修改候选",V98="收紧条件",V98="补漏／放宽",V98="优先复核"),"需修改／复核","观察中"))))</x:f>
        <x:v>观察中</x:v>
      </x:c>
      <x:c r="X98" s="34" t="str"/>
      <x:c r="Y98" s="34" t="str"/>
    </x:row>
    <x:row r="99">
      <x:c r="A99" s="34" t="str">
        <x:v>M5-SYNTH-062</x:v>
      </x:c>
      <x:c r="B99" s="34" t="str">
        <x:v>SYNTH</x:v>
      </x:c>
      <x:c r="C99" s="34" t="str">
        <x:v>P0_SYNTH总合成</x:v>
      </x:c>
      <x:c r="D99" s="34" t="str">
        <x:v>字段权威｜gap_type由GAP负责</x:v>
      </x:c>
      <x:c r="E99" s="34" t="str">
        <x:v>L1 字段权威矩阵</x:v>
      </x:c>
      <x:c r="F99" s="34" t="str">
        <x:v>权威</x:v>
      </x:c>
      <x:c r="G99" s="34" t="n">
        <x:v>96</x:v>
      </x:c>
      <x:c r="H99" s="34" t="str">
        <x:v>待验证</x:v>
      </x:c>
      <x:c r="I99" s="34" t="str"/>
      <x:c r="J99" s="34" t="str"/>
      <x:c r="K99" s="34" t="str"/>
      <x:c r="L99" s="34" t="str"/>
      <x:c r="M99" s="34" t="str"/>
      <x:c r="N99" s="34" t="n">
        <x:f>IF(A99="","",I99+J99+K99)</x:f>
        <x:v>0</x:v>
      </x:c>
      <x:c r="O99" s="56" t="str">
        <x:f>IF(N99=0,"",(I99+0.5*J99)/N99)</x:f>
      </x:c>
      <x:c r="P99" s="56" t="str">
        <x:f>IF(N99=0,"",(I99+0.5*J99+1)/(N99+2))</x:f>
      </x:c>
      <x:c r="Q99" s="34" t="str"/>
      <x:c r="R99" s="34" t="str"/>
      <x:c r="S99" s="34" t="str"/>
      <x:c r="T99" s="34" t="str"/>
      <x:c r="U99" s="34" t="str"/>
      <x:c r="V99" s="34" t="str">
        <x:f>IF(A99="","",IF(N99&lt;5,"样本不足",IF(Q99&gt;=1,"优先复核",IF(AND(N99&gt;=20,P99&lt;0.35,K99&gt;=5),"停用候选",IF(AND(N99&gt;=10,P99&lt;0.45),"需修改候选",IF(AND(N99&gt;=10,P99&gt;=0.75,R99/N99&lt;=0.15,S99/N99&lt;=0.15),"升级候选",IF(R99/N99&gt;0.3,"收紧条件",IF(S99/N99&gt;0.3,"补漏／放宽","继续观察"))))))))</x:f>
        <x:v>样本不足</x:v>
      </x:c>
      <x:c r="W99" s="34" t="str">
        <x:f>IF(V99="","",IF(V99="升级候选","已验证候选",IF(V99="停用候选","停用候选",IF(OR(V99="需修改候选",V99="收紧条件",V99="补漏／放宽",V99="优先复核"),"需修改／复核","观察中"))))</x:f>
        <x:v>观察中</x:v>
      </x:c>
      <x:c r="X99" s="34" t="str"/>
      <x:c r="Y99" s="34" t="str"/>
    </x:row>
    <x:row r="100">
      <x:c r="A100" s="34" t="str">
        <x:v>M5-SYNTH-063</x:v>
      </x:c>
      <x:c r="B100" s="34" t="str">
        <x:v>SYNTH</x:v>
      </x:c>
      <x:c r="C100" s="34" t="str">
        <x:v>P0_SYNTH总合成</x:v>
      </x:c>
      <x:c r="D100" s="34" t="str">
        <x:v>字段权威｜gap_state由GAP负责</x:v>
      </x:c>
      <x:c r="E100" s="34" t="str">
        <x:v>L1 字段权威矩阵</x:v>
      </x:c>
      <x:c r="F100" s="34" t="str">
        <x:v>权威</x:v>
      </x:c>
      <x:c r="G100" s="34" t="n">
        <x:v>96</x:v>
      </x:c>
      <x:c r="H100" s="34" t="str">
        <x:v>待验证</x:v>
      </x:c>
      <x:c r="I100" s="34" t="str"/>
      <x:c r="J100" s="34" t="str"/>
      <x:c r="K100" s="34" t="str"/>
      <x:c r="L100" s="34" t="str"/>
      <x:c r="M100" s="34" t="str"/>
      <x:c r="N100" s="34" t="n">
        <x:f>IF(A100="","",I100+J100+K100)</x:f>
        <x:v>0</x:v>
      </x:c>
      <x:c r="O100" s="56" t="str">
        <x:f>IF(N100=0,"",(I100+0.5*J100)/N100)</x:f>
      </x:c>
      <x:c r="P100" s="56" t="str">
        <x:f>IF(N100=0,"",(I100+0.5*J100+1)/(N100+2))</x:f>
      </x:c>
      <x:c r="Q100" s="34" t="str"/>
      <x:c r="R100" s="34" t="str"/>
      <x:c r="S100" s="34" t="str"/>
      <x:c r="T100" s="34" t="str"/>
      <x:c r="U100" s="34" t="str"/>
      <x:c r="V100" s="34" t="str">
        <x:f>IF(A100="","",IF(N100&lt;5,"样本不足",IF(Q100&gt;=1,"优先复核",IF(AND(N100&gt;=20,P100&lt;0.35,K100&gt;=5),"停用候选",IF(AND(N100&gt;=10,P100&lt;0.45),"需修改候选",IF(AND(N100&gt;=10,P100&gt;=0.75,R100/N100&lt;=0.15,S100/N100&lt;=0.15),"升级候选",IF(R100/N100&gt;0.3,"收紧条件",IF(S100/N100&gt;0.3,"补漏／放宽","继续观察"))))))))</x:f>
        <x:v>样本不足</x:v>
      </x:c>
      <x:c r="W100" s="34" t="str">
        <x:f>IF(V100="","",IF(V100="升级候选","已验证候选",IF(V100="停用候选","停用候选",IF(OR(V100="需修改候选",V100="收紧条件",V100="补漏／放宽",V100="优先复核"),"需修改／复核","观察中"))))</x:f>
        <x:v>观察中</x:v>
      </x:c>
      <x:c r="X100" s="34" t="str"/>
      <x:c r="Y100" s="34" t="str"/>
    </x:row>
    <x:row r="101">
      <x:c r="A101" s="34" t="str">
        <x:v>M5-SYNTH-064</x:v>
      </x:c>
      <x:c r="B101" s="34" t="str">
        <x:v>SYNTH</x:v>
      </x:c>
      <x:c r="C101" s="34" t="str">
        <x:v>P0_SYNTH总合成</x:v>
      </x:c>
      <x:c r="D101" s="34" t="str">
        <x:v>字段权威｜gap_evidence_level由GAP负责</x:v>
      </x:c>
      <x:c r="E101" s="34" t="str">
        <x:v>L1 字段权威矩阵</x:v>
      </x:c>
      <x:c r="F101" s="34" t="str">
        <x:v>权威</x:v>
      </x:c>
      <x:c r="G101" s="34" t="n">
        <x:v>96</x:v>
      </x:c>
      <x:c r="H101" s="34" t="str">
        <x:v>待验证</x:v>
      </x:c>
      <x:c r="I101" s="34" t="str"/>
      <x:c r="J101" s="34" t="str"/>
      <x:c r="K101" s="34" t="str"/>
      <x:c r="L101" s="34" t="str"/>
      <x:c r="M101" s="34" t="str"/>
      <x:c r="N101" s="34" t="n">
        <x:f>IF(A101="","",I101+J101+K101)</x:f>
        <x:v>0</x:v>
      </x:c>
      <x:c r="O101" s="56" t="str">
        <x:f>IF(N101=0,"",(I101+0.5*J101)/N101)</x:f>
      </x:c>
      <x:c r="P101" s="56" t="str">
        <x:f>IF(N101=0,"",(I101+0.5*J101+1)/(N101+2))</x:f>
      </x:c>
      <x:c r="Q101" s="34" t="str"/>
      <x:c r="R101" s="34" t="str"/>
      <x:c r="S101" s="34" t="str"/>
      <x:c r="T101" s="34" t="str"/>
      <x:c r="U101" s="34" t="str"/>
      <x:c r="V101" s="34" t="str">
        <x:f>IF(A101="","",IF(N101&lt;5,"样本不足",IF(Q101&gt;=1,"优先复核",IF(AND(N101&gt;=20,P101&lt;0.35,K101&gt;=5),"停用候选",IF(AND(N101&gt;=10,P101&lt;0.45),"需修改候选",IF(AND(N101&gt;=10,P101&gt;=0.75,R101/N101&lt;=0.15,S101/N101&lt;=0.15),"升级候选",IF(R101/N101&gt;0.3,"收紧条件",IF(S101/N101&gt;0.3,"补漏／放宽","继续观察"))))))))</x:f>
        <x:v>样本不足</x:v>
      </x:c>
      <x:c r="W101" s="34" t="str">
        <x:f>IF(V101="","",IF(V101="升级候选","已验证候选",IF(V101="停用候选","停用候选",IF(OR(V101="需修改候选",V101="收紧条件",V101="补漏／放宽",V101="优先复核"),"需修改／复核","观察中"))))</x:f>
        <x:v>观察中</x:v>
      </x:c>
      <x:c r="X101" s="34" t="str"/>
      <x:c r="Y101" s="34" t="str"/>
    </x:row>
    <x:row r="102">
      <x:c r="A102" s="34" t="str">
        <x:v>M5-SYNTH-065</x:v>
      </x:c>
      <x:c r="B102" s="34" t="str">
        <x:v>SYNTH</x:v>
      </x:c>
      <x:c r="C102" s="34" t="str">
        <x:v>P0_SYNTH总合成</x:v>
      </x:c>
      <x:c r="D102" s="34" t="str">
        <x:v>字段权威｜bridge_plan由GAP＋SYNTH负责</x:v>
      </x:c>
      <x:c r="E102" s="34" t="str">
        <x:v>L1 字段权威矩阵</x:v>
      </x:c>
      <x:c r="F102" s="34" t="str">
        <x:v>权威</x:v>
      </x:c>
      <x:c r="G102" s="34" t="n">
        <x:v>96</x:v>
      </x:c>
      <x:c r="H102" s="34" t="str">
        <x:v>待验证</x:v>
      </x:c>
      <x:c r="I102" s="34" t="str"/>
      <x:c r="J102" s="34" t="str"/>
      <x:c r="K102" s="34" t="str"/>
      <x:c r="L102" s="34" t="str"/>
      <x:c r="M102" s="34" t="str"/>
      <x:c r="N102" s="34" t="n">
        <x:f>IF(A102="","",I102+J102+K102)</x:f>
        <x:v>0</x:v>
      </x:c>
      <x:c r="O102" s="56" t="str">
        <x:f>IF(N102=0,"",(I102+0.5*J102)/N102)</x:f>
      </x:c>
      <x:c r="P102" s="56" t="str">
        <x:f>IF(N102=0,"",(I102+0.5*J102+1)/(N102+2))</x:f>
      </x:c>
      <x:c r="Q102" s="34" t="str"/>
      <x:c r="R102" s="34" t="str"/>
      <x:c r="S102" s="34" t="str"/>
      <x:c r="T102" s="34" t="str"/>
      <x:c r="U102" s="34" t="str"/>
      <x:c r="V102" s="34" t="str">
        <x:f>IF(A102="","",IF(N102&lt;5,"样本不足",IF(Q102&gt;=1,"优先复核",IF(AND(N102&gt;=20,P102&lt;0.35,K102&gt;=5),"停用候选",IF(AND(N102&gt;=10,P102&lt;0.45),"需修改候选",IF(AND(N102&gt;=10,P102&gt;=0.75,R102/N102&lt;=0.15,S102/N102&lt;=0.15),"升级候选",IF(R102/N102&gt;0.3,"收紧条件",IF(S102/N102&gt;0.3,"补漏／放宽","继续观察"))))))))</x:f>
        <x:v>样本不足</x:v>
      </x:c>
      <x:c r="W102" s="34" t="str">
        <x:f>IF(V102="","",IF(V102="升级候选","已验证候选",IF(V102="停用候选","停用候选",IF(OR(V102="需修改候选",V102="收紧条件",V102="补漏／放宽",V102="优先复核"),"需修改／复核","观察中"))))</x:f>
        <x:v>观察中</x:v>
      </x:c>
      <x:c r="X102" s="34" t="str"/>
      <x:c r="Y102" s="34" t="str"/>
    </x:row>
    <x:row r="103">
      <x:c r="A103" s="34" t="str">
        <x:v>M5-SYNTH-066</x:v>
      </x:c>
      <x:c r="B103" s="34" t="str">
        <x:v>SYNTH</x:v>
      </x:c>
      <x:c r="C103" s="34" t="str">
        <x:v>P0_SYNTH总合成</x:v>
      </x:c>
      <x:c r="D103" s="34" t="str">
        <x:v>字段权威｜reality_gates由SYNTH＋现实资料负责</x:v>
      </x:c>
      <x:c r="E103" s="34" t="str">
        <x:v>L1 字段权威矩阵</x:v>
      </x:c>
      <x:c r="F103" s="34" t="str">
        <x:v>权威</x:v>
      </x:c>
      <x:c r="G103" s="34" t="n">
        <x:v>96</x:v>
      </x:c>
      <x:c r="H103" s="34" t="str">
        <x:v>待验证</x:v>
      </x:c>
      <x:c r="I103" s="34" t="str"/>
      <x:c r="J103" s="34" t="str"/>
      <x:c r="K103" s="34" t="str"/>
      <x:c r="L103" s="34" t="str"/>
      <x:c r="M103" s="34" t="str"/>
      <x:c r="N103" s="34" t="n">
        <x:f>IF(A103="","",I103+J103+K103)</x:f>
        <x:v>0</x:v>
      </x:c>
      <x:c r="O103" s="56" t="str">
        <x:f>IF(N103=0,"",(I103+0.5*J103)/N103)</x:f>
      </x:c>
      <x:c r="P103" s="56" t="str">
        <x:f>IF(N103=0,"",(I103+0.5*J103+1)/(N103+2))</x:f>
      </x:c>
      <x:c r="Q103" s="34" t="str"/>
      <x:c r="R103" s="34" t="str"/>
      <x:c r="S103" s="34" t="str"/>
      <x:c r="T103" s="34" t="str"/>
      <x:c r="U103" s="34" t="str"/>
      <x:c r="V103" s="34" t="str">
        <x:f>IF(A103="","",IF(N103&lt;5,"样本不足",IF(Q103&gt;=1,"优先复核",IF(AND(N103&gt;=20,P103&lt;0.35,K103&gt;=5),"停用候选",IF(AND(N103&gt;=10,P103&lt;0.45),"需修改候选",IF(AND(N103&gt;=10,P103&gt;=0.75,R103/N103&lt;=0.15,S103/N103&lt;=0.15),"升级候选",IF(R103/N103&gt;0.3,"收紧条件",IF(S103/N103&gt;0.3,"补漏／放宽","继续观察"))))))))</x:f>
        <x:v>样本不足</x:v>
      </x:c>
      <x:c r="W103" s="34" t="str">
        <x:f>IF(V103="","",IF(V103="升级候选","已验证候选",IF(V103="停用候选","停用候选",IF(OR(V103="需修改候选",V103="收紧条件",V103="补漏／放宽",V103="优先复核"),"需修改／复核","观察中"))))</x:f>
        <x:v>观察中</x:v>
      </x:c>
      <x:c r="X103" s="34" t="str"/>
      <x:c r="Y103" s="34" t="str"/>
    </x:row>
    <x:row r="104">
      <x:c r="A104" s="34" t="str">
        <x:v>M5-SYNTH-067</x:v>
      </x:c>
      <x:c r="B104" s="34" t="str">
        <x:v>SYNTH</x:v>
      </x:c>
      <x:c r="C104" s="34" t="str">
        <x:v>P0_SYNTH总合成</x:v>
      </x:c>
      <x:c r="D104" s="34" t="str">
        <x:v>字段权威｜final_fit_state由SYNTH负责</x:v>
      </x:c>
      <x:c r="E104" s="34" t="str">
        <x:v>L1 字段权威矩阵</x:v>
      </x:c>
      <x:c r="F104" s="34" t="str">
        <x:v>权威</x:v>
      </x:c>
      <x:c r="G104" s="34" t="n">
        <x:v>96</x:v>
      </x:c>
      <x:c r="H104" s="34" t="str">
        <x:v>待验证</x:v>
      </x:c>
      <x:c r="I104" s="34" t="str"/>
      <x:c r="J104" s="34" t="str"/>
      <x:c r="K104" s="34" t="str"/>
      <x:c r="L104" s="34" t="str"/>
      <x:c r="M104" s="34" t="str"/>
      <x:c r="N104" s="34" t="n">
        <x:f>IF(A104="","",I104+J104+K104)</x:f>
        <x:v>0</x:v>
      </x:c>
      <x:c r="O104" s="56" t="str">
        <x:f>IF(N104=0,"",(I104+0.5*J104)/N104)</x:f>
      </x:c>
      <x:c r="P104" s="56" t="str">
        <x:f>IF(N104=0,"",(I104+0.5*J104+1)/(N104+2))</x:f>
      </x:c>
      <x:c r="Q104" s="34" t="str"/>
      <x:c r="R104" s="34" t="str"/>
      <x:c r="S104" s="34" t="str"/>
      <x:c r="T104" s="34" t="str"/>
      <x:c r="U104" s="34" t="str"/>
      <x:c r="V104" s="34" t="str">
        <x:f>IF(A104="","",IF(N104&lt;5,"样本不足",IF(Q104&gt;=1,"优先复核",IF(AND(N104&gt;=20,P104&lt;0.35,K104&gt;=5),"停用候选",IF(AND(N104&gt;=10,P104&lt;0.45),"需修改候选",IF(AND(N104&gt;=10,P104&gt;=0.75,R104/N104&lt;=0.15,S104/N104&lt;=0.15),"升级候选",IF(R104/N104&gt;0.3,"收紧条件",IF(S104/N104&gt;0.3,"补漏／放宽","继续观察"))))))))</x:f>
        <x:v>样本不足</x:v>
      </x:c>
      <x:c r="W104" s="34" t="str">
        <x:f>IF(V104="","",IF(V104="升级候选","已验证候选",IF(V104="停用候选","停用候选",IF(OR(V104="需修改候选",V104="收紧条件",V104="补漏／放宽",V104="优先复核"),"需修改／复核","观察中"))))</x:f>
        <x:v>观察中</x:v>
      </x:c>
      <x:c r="X104" s="34" t="str"/>
      <x:c r="Y104" s="34" t="str"/>
    </x:row>
    <x:row r="105">
      <x:c r="A105" s="34" t="str">
        <x:v>M5-SYNTH-068</x:v>
      </x:c>
      <x:c r="B105" s="34" t="str">
        <x:v>SYNTH</x:v>
      </x:c>
      <x:c r="C105" s="34" t="str">
        <x:v>P0_SYNTH总合成</x:v>
      </x:c>
      <x:c r="D105" s="34" t="str">
        <x:v>字段权威｜fit_grade由SYNTH负责</x:v>
      </x:c>
      <x:c r="E105" s="34" t="str">
        <x:v>L1 字段权威矩阵</x:v>
      </x:c>
      <x:c r="F105" s="34" t="str">
        <x:v>权威</x:v>
      </x:c>
      <x:c r="G105" s="34" t="n">
        <x:v>96</x:v>
      </x:c>
      <x:c r="H105" s="34" t="str">
        <x:v>待验证</x:v>
      </x:c>
      <x:c r="I105" s="34" t="str"/>
      <x:c r="J105" s="34" t="str"/>
      <x:c r="K105" s="34" t="str"/>
      <x:c r="L105" s="34" t="str"/>
      <x:c r="M105" s="34" t="str"/>
      <x:c r="N105" s="34" t="n">
        <x:f>IF(A105="","",I105+J105+K105)</x:f>
        <x:v>0</x:v>
      </x:c>
      <x:c r="O105" s="56" t="str">
        <x:f>IF(N105=0,"",(I105+0.5*J105)/N105)</x:f>
      </x:c>
      <x:c r="P105" s="56" t="str">
        <x:f>IF(N105=0,"",(I105+0.5*J105+1)/(N105+2))</x:f>
      </x:c>
      <x:c r="Q105" s="34" t="str"/>
      <x:c r="R105" s="34" t="str"/>
      <x:c r="S105" s="34" t="str"/>
      <x:c r="T105" s="34" t="str"/>
      <x:c r="U105" s="34" t="str"/>
      <x:c r="V105" s="34" t="str">
        <x:f>IF(A105="","",IF(N105&lt;5,"样本不足",IF(Q105&gt;=1,"优先复核",IF(AND(N105&gt;=20,P105&lt;0.35,K105&gt;=5),"停用候选",IF(AND(N105&gt;=10,P105&lt;0.45),"需修改候选",IF(AND(N105&gt;=10,P105&gt;=0.75,R105/N105&lt;=0.15,S105/N105&lt;=0.15),"升级候选",IF(R105/N105&gt;0.3,"收紧条件",IF(S105/N105&gt;0.3,"补漏／放宽","继续观察"))))))))</x:f>
        <x:v>样本不足</x:v>
      </x:c>
      <x:c r="W105" s="34" t="str">
        <x:f>IF(V105="","",IF(V105="升级候选","已验证候选",IF(V105="停用候选","停用候选",IF(OR(V105="需修改候选",V105="收紧条件",V105="补漏／放宽",V105="优先复核"),"需修改／复核","观察中"))))</x:f>
        <x:v>观察中</x:v>
      </x:c>
      <x:c r="X105" s="34" t="str"/>
      <x:c r="Y105" s="34" t="str"/>
    </x:row>
    <x:row r="106">
      <x:c r="A106" s="34" t="str">
        <x:v>M5-SYNTH-069</x:v>
      </x:c>
      <x:c r="B106" s="34" t="str">
        <x:v>SYNTH</x:v>
      </x:c>
      <x:c r="C106" s="34" t="str">
        <x:v>P0_SYNTH总合成</x:v>
      </x:c>
      <x:c r="D106" s="34" t="str">
        <x:v>字段权威｜confidence由SYNTH负责</x:v>
      </x:c>
      <x:c r="E106" s="34" t="str">
        <x:v>L1 字段权威矩阵</x:v>
      </x:c>
      <x:c r="F106" s="34" t="str">
        <x:v>权威</x:v>
      </x:c>
      <x:c r="G106" s="34" t="n">
        <x:v>96</x:v>
      </x:c>
      <x:c r="H106" s="34" t="str">
        <x:v>待验证</x:v>
      </x:c>
      <x:c r="I106" s="34" t="str"/>
      <x:c r="J106" s="34" t="str"/>
      <x:c r="K106" s="34" t="str"/>
      <x:c r="L106" s="34" t="str"/>
      <x:c r="M106" s="34" t="str"/>
      <x:c r="N106" s="34" t="n">
        <x:f>IF(A106="","",I106+J106+K106)</x:f>
        <x:v>0</x:v>
      </x:c>
      <x:c r="O106" s="56" t="str">
        <x:f>IF(N106=0,"",(I106+0.5*J106)/N106)</x:f>
      </x:c>
      <x:c r="P106" s="56" t="str">
        <x:f>IF(N106=0,"",(I106+0.5*J106+1)/(N106+2))</x:f>
      </x:c>
      <x:c r="Q106" s="34" t="str"/>
      <x:c r="R106" s="34" t="str"/>
      <x:c r="S106" s="34" t="str"/>
      <x:c r="T106" s="34" t="str"/>
      <x:c r="U106" s="34" t="str"/>
      <x:c r="V106" s="34" t="str">
        <x:f>IF(A106="","",IF(N106&lt;5,"样本不足",IF(Q106&gt;=1,"优先复核",IF(AND(N106&gt;=20,P106&lt;0.35,K106&gt;=5),"停用候选",IF(AND(N106&gt;=10,P106&lt;0.45),"需修改候选",IF(AND(N106&gt;=10,P106&gt;=0.75,R106/N106&lt;=0.15,S106/N106&lt;=0.15),"升级候选",IF(R106/N106&gt;0.3,"收紧条件",IF(S106/N106&gt;0.3,"补漏／放宽","继续观察"))))))))</x:f>
        <x:v>样本不足</x:v>
      </x:c>
      <x:c r="W106" s="34" t="str">
        <x:f>IF(V106="","",IF(V106="升级候选","已验证候选",IF(V106="停用候选","停用候选",IF(OR(V106="需修改候选",V106="收紧条件",V106="补漏／放宽",V106="优先复核"),"需修改／复核","观察中"))))</x:f>
        <x:v>观察中</x:v>
      </x:c>
      <x:c r="X106" s="34" t="str"/>
      <x:c r="Y106" s="34" t="str"/>
    </x:row>
    <x:row r="107">
      <x:c r="A107" s="34" t="str">
        <x:v>M5-SYNTH-070</x:v>
      </x:c>
      <x:c r="B107" s="34" t="str">
        <x:v>SYNTH</x:v>
      </x:c>
      <x:c r="C107" s="34" t="str">
        <x:v>P0_SYNTH总合成</x:v>
      </x:c>
      <x:c r="D107" s="34" t="str">
        <x:v>字段权威｜observation_plan由SYNTH负责</x:v>
      </x:c>
      <x:c r="E107" s="34" t="str">
        <x:v>L1 字段权威矩阵</x:v>
      </x:c>
      <x:c r="F107" s="34" t="str">
        <x:v>权威</x:v>
      </x:c>
      <x:c r="G107" s="34" t="n">
        <x:v>96</x:v>
      </x:c>
      <x:c r="H107" s="34" t="str">
        <x:v>待验证</x:v>
      </x:c>
      <x:c r="I107" s="34" t="str"/>
      <x:c r="J107" s="34" t="str"/>
      <x:c r="K107" s="34" t="str"/>
      <x:c r="L107" s="34" t="str"/>
      <x:c r="M107" s="34" t="str"/>
      <x:c r="N107" s="34" t="n">
        <x:f>IF(A107="","",I107+J107+K107)</x:f>
        <x:v>0</x:v>
      </x:c>
      <x:c r="O107" s="56" t="str">
        <x:f>IF(N107=0,"",(I107+0.5*J107)/N107)</x:f>
      </x:c>
      <x:c r="P107" s="56" t="str">
        <x:f>IF(N107=0,"",(I107+0.5*J107+1)/(N107+2))</x:f>
      </x:c>
      <x:c r="Q107" s="34" t="str"/>
      <x:c r="R107" s="34" t="str"/>
      <x:c r="S107" s="34" t="str"/>
      <x:c r="T107" s="34" t="str"/>
      <x:c r="U107" s="34" t="str"/>
      <x:c r="V107" s="34" t="str">
        <x:f>IF(A107="","",IF(N107&lt;5,"样本不足",IF(Q107&gt;=1,"优先复核",IF(AND(N107&gt;=20,P107&lt;0.35,K107&gt;=5),"停用候选",IF(AND(N107&gt;=10,P107&lt;0.45),"需修改候选",IF(AND(N107&gt;=10,P107&gt;=0.75,R107/N107&lt;=0.15,S107/N107&lt;=0.15),"升级候选",IF(R107/N107&gt;0.3,"收紧条件",IF(S107/N107&gt;0.3,"补漏／放宽","继续观察"))))))))</x:f>
        <x:v>样本不足</x:v>
      </x:c>
      <x:c r="W107" s="34" t="str">
        <x:f>IF(V107="","",IF(V107="升级候选","已验证候选",IF(V107="停用候选","停用候选",IF(OR(V107="需修改候选",V107="收紧条件",V107="补漏／放宽",V107="优先复核"),"需修改／复核","观察中"))))</x:f>
        <x:v>观察中</x:v>
      </x:c>
      <x:c r="X107" s="34" t="str"/>
      <x:c r="Y107" s="34" t="str"/>
    </x:row>
    <x:row r="108">
      <x:c r="A108" s="34" t="str">
        <x:v>M5-SYNTH-071</x:v>
      </x:c>
      <x:c r="B108" s="34" t="str">
        <x:v>SYNTH</x:v>
      </x:c>
      <x:c r="C108" s="34" t="str">
        <x:v>P0_SYNTH总合成</x:v>
      </x:c>
      <x:c r="D108" s="34" t="str">
        <x:v>字段权威｜provenance由SYNTH负责</x:v>
      </x:c>
      <x:c r="E108" s="34" t="str">
        <x:v>L1 字段权威矩阵</x:v>
      </x:c>
      <x:c r="F108" s="34" t="str">
        <x:v>权威</x:v>
      </x:c>
      <x:c r="G108" s="34" t="n">
        <x:v>96</x:v>
      </x:c>
      <x:c r="H108" s="34" t="str">
        <x:v>待验证</x:v>
      </x:c>
      <x:c r="I108" s="34" t="str"/>
      <x:c r="J108" s="34" t="str"/>
      <x:c r="K108" s="34" t="str"/>
      <x:c r="L108" s="34" t="str"/>
      <x:c r="M108" s="34" t="str"/>
      <x:c r="N108" s="34" t="n">
        <x:f>IF(A108="","",I108+J108+K108)</x:f>
        <x:v>0</x:v>
      </x:c>
      <x:c r="O108" s="56" t="str">
        <x:f>IF(N108=0,"",(I108+0.5*J108)/N108)</x:f>
      </x:c>
      <x:c r="P108" s="56" t="str">
        <x:f>IF(N108=0,"",(I108+0.5*J108+1)/(N108+2))</x:f>
      </x:c>
      <x:c r="Q108" s="34" t="str"/>
      <x:c r="R108" s="34" t="str"/>
      <x:c r="S108" s="34" t="str"/>
      <x:c r="T108" s="34" t="str"/>
      <x:c r="U108" s="34" t="str"/>
      <x:c r="V108" s="34" t="str">
        <x:f>IF(A108="","",IF(N108&lt;5,"样本不足",IF(Q108&gt;=1,"优先复核",IF(AND(N108&gt;=20,P108&lt;0.35,K108&gt;=5),"停用候选",IF(AND(N108&gt;=10,P108&lt;0.45),"需修改候选",IF(AND(N108&gt;=10,P108&gt;=0.75,R108/N108&lt;=0.15,S108/N108&lt;=0.15),"升级候选",IF(R108/N108&gt;0.3,"收紧条件",IF(S108/N108&gt;0.3,"补漏／放宽","继续观察"))))))))</x:f>
        <x:v>样本不足</x:v>
      </x:c>
      <x:c r="W108" s="34" t="str">
        <x:f>IF(V108="","",IF(V108="升级候选","已验证候选",IF(V108="停用候选","停用候选",IF(OR(V108="需修改候选",V108="收紧条件",V108="补漏／放宽",V108="优先复核"),"需修改／复核","观察中"))))</x:f>
        <x:v>观察中</x:v>
      </x:c>
      <x:c r="X108" s="34" t="str"/>
      <x:c r="Y108" s="34" t="str"/>
    </x:row>
    <x:row r="109">
      <x:c r="A109" s="34" t="str">
        <x:v>M5-SYNTH-072</x:v>
      </x:c>
      <x:c r="B109" s="34" t="str">
        <x:v>SYNTH</x:v>
      </x:c>
      <x:c r="C109" s="34" t="str">
        <x:v>P0_SYNTH总合成</x:v>
      </x:c>
      <x:c r="D109" s="34" t="str">
        <x:v>字段权威｜report_sections由SYNTH负责</x:v>
      </x:c>
      <x:c r="E109" s="34" t="str">
        <x:v>L1 字段权威矩阵</x:v>
      </x:c>
      <x:c r="F109" s="34" t="str">
        <x:v>权威</x:v>
      </x:c>
      <x:c r="G109" s="34" t="n">
        <x:v>96</x:v>
      </x:c>
      <x:c r="H109" s="34" t="str">
        <x:v>待验证</x:v>
      </x:c>
      <x:c r="I109" s="34" t="str"/>
      <x:c r="J109" s="34" t="str"/>
      <x:c r="K109" s="34" t="str"/>
      <x:c r="L109" s="34" t="str"/>
      <x:c r="M109" s="34" t="str"/>
      <x:c r="N109" s="34" t="n">
        <x:f>IF(A109="","",I109+J109+K109)</x:f>
        <x:v>0</x:v>
      </x:c>
      <x:c r="O109" s="56" t="str">
        <x:f>IF(N109=0,"",(I109+0.5*J109)/N109)</x:f>
      </x:c>
      <x:c r="P109" s="56" t="str">
        <x:f>IF(N109=0,"",(I109+0.5*J109+1)/(N109+2))</x:f>
      </x:c>
      <x:c r="Q109" s="34" t="str"/>
      <x:c r="R109" s="34" t="str"/>
      <x:c r="S109" s="34" t="str"/>
      <x:c r="T109" s="34" t="str"/>
      <x:c r="U109" s="34" t="str"/>
      <x:c r="V109" s="34" t="str">
        <x:f>IF(A109="","",IF(N109&lt;5,"样本不足",IF(Q109&gt;=1,"优先复核",IF(AND(N109&gt;=20,P109&lt;0.35,K109&gt;=5),"停用候选",IF(AND(N109&gt;=10,P109&lt;0.45),"需修改候选",IF(AND(N109&gt;=10,P109&gt;=0.75,R109/N109&lt;=0.15,S109/N109&lt;=0.15),"升级候选",IF(R109/N109&gt;0.3,"收紧条件",IF(S109/N109&gt;0.3,"补漏／放宽","继续观察"))))))))</x:f>
        <x:v>样本不足</x:v>
      </x:c>
      <x:c r="W109" s="34" t="str">
        <x:f>IF(V109="","",IF(V109="升级候选","已验证候选",IF(V109="停用候选","停用候选",IF(OR(V109="需修改候选",V109="收紧条件",V109="补漏／放宽",V109="优先复核"),"需修改／复核","观察中"))))</x:f>
        <x:v>观察中</x:v>
      </x:c>
      <x:c r="X109" s="34" t="str"/>
      <x:c r="Y109" s="34" t="str"/>
    </x:row>
    <x:row r="110">
      <x:c r="A110" s="34" t="str">
        <x:v>M5-SYNTH-146</x:v>
      </x:c>
      <x:c r="B110" s="34" t="str">
        <x:v>SYNTH</x:v>
      </x:c>
      <x:c r="C110" s="34" t="str">
        <x:v>P0_SYNTH总合成</x:v>
      </x:c>
      <x:c r="D110" s="34" t="str">
        <x:v>RG总门控｜核心方向失败最高FG2</x:v>
      </x:c>
      <x:c r="E110" s="34" t="str">
        <x:v>L3 现实门槛RG</x:v>
      </x:c>
      <x:c r="F110" s="34" t="str">
        <x:v>门控</x:v>
      </x:c>
      <x:c r="G110" s="34" t="n">
        <x:v>96</x:v>
      </x:c>
      <x:c r="H110" s="34" t="str">
        <x:v>待验证</x:v>
      </x:c>
      <x:c r="I110" s="34" t="str"/>
      <x:c r="J110" s="34" t="str"/>
      <x:c r="K110" s="34" t="str"/>
      <x:c r="L110" s="34" t="str"/>
      <x:c r="M110" s="34" t="str"/>
      <x:c r="N110" s="34" t="n">
        <x:f>IF(A110="","",I110+J110+K110)</x:f>
        <x:v>0</x:v>
      </x:c>
      <x:c r="O110" s="56" t="str">
        <x:f>IF(N110=0,"",(I110+0.5*J110)/N110)</x:f>
      </x:c>
      <x:c r="P110" s="56" t="str">
        <x:f>IF(N110=0,"",(I110+0.5*J110+1)/(N110+2))</x:f>
      </x:c>
      <x:c r="Q110" s="34" t="str"/>
      <x:c r="R110" s="34" t="str"/>
      <x:c r="S110" s="34" t="str"/>
      <x:c r="T110" s="34" t="str"/>
      <x:c r="U110" s="34" t="str"/>
      <x:c r="V110" s="34" t="str">
        <x:f>IF(A110="","",IF(N110&lt;5,"样本不足",IF(Q110&gt;=1,"优先复核",IF(AND(N110&gt;=20,P110&lt;0.35,K110&gt;=5),"停用候选",IF(AND(N110&gt;=10,P110&lt;0.45),"需修改候选",IF(AND(N110&gt;=10,P110&gt;=0.75,R110/N110&lt;=0.15,S110/N110&lt;=0.15),"升级候选",IF(R110/N110&gt;0.3,"收紧条件",IF(S110/N110&gt;0.3,"补漏／放宽","继续观察"))))))))</x:f>
        <x:v>样本不足</x:v>
      </x:c>
      <x:c r="W110" s="34" t="str">
        <x:f>IF(V110="","",IF(V110="升级候选","已验证候选",IF(V110="停用候选","停用候选",IF(OR(V110="需修改候选",V110="收紧条件",V110="补漏／放宽",V110="优先复核"),"需修改／复核","观察中"))))</x:f>
        <x:v>观察中</x:v>
      </x:c>
      <x:c r="X110" s="34" t="str"/>
      <x:c r="Y110" s="34" t="str"/>
    </x:row>
    <x:row r="111">
      <x:c r="A111" s="34" t="str">
        <x:v>M5-SYNTH-147</x:v>
      </x:c>
      <x:c r="B111" s="34" t="str">
        <x:v>SYNTH</x:v>
      </x:c>
      <x:c r="C111" s="34" t="str">
        <x:v>P0_SYNTH总合成</x:v>
      </x:c>
      <x:c r="D111" s="34" t="str">
        <x:v>RG总门控｜RG08持续失败不得FG3</x:v>
      </x:c>
      <x:c r="E111" s="34" t="str">
        <x:v>L3 现实门槛RG</x:v>
      </x:c>
      <x:c r="F111" s="34" t="str">
        <x:v>门控</x:v>
      </x:c>
      <x:c r="G111" s="34" t="n">
        <x:v>96</x:v>
      </x:c>
      <x:c r="H111" s="34" t="str">
        <x:v>待验证</x:v>
      </x:c>
      <x:c r="I111" s="34" t="str"/>
      <x:c r="J111" s="34" t="str"/>
      <x:c r="K111" s="34" t="str"/>
      <x:c r="L111" s="34" t="str"/>
      <x:c r="M111" s="34" t="str"/>
      <x:c r="N111" s="34" t="n">
        <x:f>IF(A111="","",I111+J111+K111)</x:f>
        <x:v>0</x:v>
      </x:c>
      <x:c r="O111" s="56" t="str">
        <x:f>IF(N111=0,"",(I111+0.5*J111)/N111)</x:f>
      </x:c>
      <x:c r="P111" s="56" t="str">
        <x:f>IF(N111=0,"",(I111+0.5*J111+1)/(N111+2))</x:f>
      </x:c>
      <x:c r="Q111" s="34" t="str"/>
      <x:c r="R111" s="34" t="str"/>
      <x:c r="S111" s="34" t="str"/>
      <x:c r="T111" s="34" t="str"/>
      <x:c r="U111" s="34" t="str"/>
      <x:c r="V111" s="34" t="str">
        <x:f>IF(A111="","",IF(N111&lt;5,"样本不足",IF(Q111&gt;=1,"优先复核",IF(AND(N111&gt;=20,P111&lt;0.35,K111&gt;=5),"停用候选",IF(AND(N111&gt;=10,P111&lt;0.45),"需修改候选",IF(AND(N111&gt;=10,P111&gt;=0.75,R111/N111&lt;=0.15,S111/N111&lt;=0.15),"升级候选",IF(R111/N111&gt;0.3,"收紧条件",IF(S111/N111&gt;0.3,"补漏／放宽","继续观察"))))))))</x:f>
        <x:v>样本不足</x:v>
      </x:c>
      <x:c r="W111" s="34" t="str">
        <x:f>IF(V111="","",IF(V111="升级候选","已验证候选",IF(V111="停用候选","停用候选",IF(OR(V111="需修改候选",V111="收紧条件",V111="补漏／放宽",V111="优先复核"),"需修改／复核","观察中"))))</x:f>
        <x:v>观察中</x:v>
      </x:c>
      <x:c r="X111" s="34" t="str"/>
      <x:c r="Y111" s="34" t="str"/>
    </x:row>
    <x:row r="112">
      <x:c r="A112" s="34" t="str">
        <x:v>M5-SYNTH-148</x:v>
      </x:c>
      <x:c r="B112" s="34" t="str">
        <x:v>SYNTH</x:v>
      </x:c>
      <x:c r="C112" s="34" t="str">
        <x:v>P0_SYNTH总合成</x:v>
      </x:c>
      <x:c r="D112" s="34" t="str">
        <x:v>RG总门控｜未知核心门槛限制FG2</x:v>
      </x:c>
      <x:c r="E112" s="34" t="str">
        <x:v>L3 现实门槛RG</x:v>
      </x:c>
      <x:c r="F112" s="34" t="str">
        <x:v>门控</x:v>
      </x:c>
      <x:c r="G112" s="34" t="n">
        <x:v>96</x:v>
      </x:c>
      <x:c r="H112" s="34" t="str">
        <x:v>待验证</x:v>
      </x:c>
      <x:c r="I112" s="34" t="str"/>
      <x:c r="J112" s="34" t="str"/>
      <x:c r="K112" s="34" t="str"/>
      <x:c r="L112" s="34" t="str"/>
      <x:c r="M112" s="34" t="str"/>
      <x:c r="N112" s="34" t="n">
        <x:f>IF(A112="","",I112+J112+K112)</x:f>
        <x:v>0</x:v>
      </x:c>
      <x:c r="O112" s="56" t="str">
        <x:f>IF(N112=0,"",(I112+0.5*J112)/N112)</x:f>
      </x:c>
      <x:c r="P112" s="56" t="str">
        <x:f>IF(N112=0,"",(I112+0.5*J112+1)/(N112+2))</x:f>
      </x:c>
      <x:c r="Q112" s="34" t="str"/>
      <x:c r="R112" s="34" t="str"/>
      <x:c r="S112" s="34" t="str"/>
      <x:c r="T112" s="34" t="str"/>
      <x:c r="U112" s="34" t="str"/>
      <x:c r="V112" s="34" t="str">
        <x:f>IF(A112="","",IF(N112&lt;5,"样本不足",IF(Q112&gt;=1,"优先复核",IF(AND(N112&gt;=20,P112&lt;0.35,K112&gt;=5),"停用候选",IF(AND(N112&gt;=10,P112&lt;0.45),"需修改候选",IF(AND(N112&gt;=10,P112&gt;=0.75,R112/N112&lt;=0.15,S112/N112&lt;=0.15),"升级候选",IF(R112/N112&gt;0.3,"收紧条件",IF(S112/N112&gt;0.3,"补漏／放宽","继续观察"))))))))</x:f>
        <x:v>样本不足</x:v>
      </x:c>
      <x:c r="W112" s="34" t="str">
        <x:f>IF(V112="","",IF(V112="升级候选","已验证候选",IF(V112="停用候选","停用候选",IF(OR(V112="需修改候选",V112="收紧条件",V112="补漏／放宽",V112="优先复核"),"需修改／复核","观察中"))))</x:f>
        <x:v>观察中</x:v>
      </x:c>
      <x:c r="X112" s="34" t="str"/>
      <x:c r="Y112" s="34" t="str"/>
    </x:row>
    <x:row r="113">
      <x:c r="A113" s="34" t="str">
        <x:v>M5-SYNTH-149</x:v>
      </x:c>
      <x:c r="B113" s="34" t="str">
        <x:v>SYNTH</x:v>
      </x:c>
      <x:c r="C113" s="34" t="str">
        <x:v>P0_SYNTH总合成</x:v>
      </x:c>
      <x:c r="D113" s="34" t="str">
        <x:v>RG总门控｜条件性门槛必须挂接桥接</x:v>
      </x:c>
      <x:c r="E113" s="34" t="str">
        <x:v>L3 现实门槛RG</x:v>
      </x:c>
      <x:c r="F113" s="34" t="str">
        <x:v>门控</x:v>
      </x:c>
      <x:c r="G113" s="34" t="n">
        <x:v>96</x:v>
      </x:c>
      <x:c r="H113" s="34" t="str">
        <x:v>待验证</x:v>
      </x:c>
      <x:c r="I113" s="34" t="str"/>
      <x:c r="J113" s="34" t="str"/>
      <x:c r="K113" s="34" t="str"/>
      <x:c r="L113" s="34" t="str"/>
      <x:c r="M113" s="34" t="str"/>
      <x:c r="N113" s="34" t="n">
        <x:f>IF(A113="","",I113+J113+K113)</x:f>
        <x:v>0</x:v>
      </x:c>
      <x:c r="O113" s="56" t="str">
        <x:f>IF(N113=0,"",(I113+0.5*J113)/N113)</x:f>
      </x:c>
      <x:c r="P113" s="56" t="str">
        <x:f>IF(N113=0,"",(I113+0.5*J113+1)/(N113+2))</x:f>
      </x:c>
      <x:c r="Q113" s="34" t="str"/>
      <x:c r="R113" s="34" t="str"/>
      <x:c r="S113" s="34" t="str"/>
      <x:c r="T113" s="34" t="str"/>
      <x:c r="U113" s="34" t="str"/>
      <x:c r="V113" s="34" t="str">
        <x:f>IF(A113="","",IF(N113&lt;5,"样本不足",IF(Q113&gt;=1,"优先复核",IF(AND(N113&gt;=20,P113&lt;0.35,K113&gt;=5),"停用候选",IF(AND(N113&gt;=10,P113&lt;0.45),"需修改候选",IF(AND(N113&gt;=10,P113&gt;=0.75,R113/N113&lt;=0.15,S113/N113&lt;=0.15),"升级候选",IF(R113/N113&gt;0.3,"收紧条件",IF(S113/N113&gt;0.3,"补漏／放宽","继续观察"))))))))</x:f>
        <x:v>样本不足</x:v>
      </x:c>
      <x:c r="W113" s="34" t="str">
        <x:f>IF(V113="","",IF(V113="升级候选","已验证候选",IF(V113="停用候选","停用候选",IF(OR(V113="需修改候选",V113="收紧条件",V113="补漏／放宽",V113="优先复核"),"需修改／复核","观察中"))))</x:f>
        <x:v>观察中</x:v>
      </x:c>
      <x:c r="X113" s="34" t="str"/>
      <x:c r="Y113" s="34" t="str"/>
    </x:row>
    <x:row r="114">
      <x:c r="A114" s="34" t="str">
        <x:v>M5-SYNTH-150</x:v>
      </x:c>
      <x:c r="B114" s="34" t="str">
        <x:v>SYNTH</x:v>
      </x:c>
      <x:c r="C114" s="34" t="str">
        <x:v>P0_SYNTH总合成</x:v>
      </x:c>
      <x:c r="D114" s="34" t="str">
        <x:v>RG总门控｜多个条件性门槛限制FG3</x:v>
      </x:c>
      <x:c r="E114" s="34" t="str">
        <x:v>L3 现实门槛RG</x:v>
      </x:c>
      <x:c r="F114" s="34" t="str">
        <x:v>门控</x:v>
      </x:c>
      <x:c r="G114" s="34" t="n">
        <x:v>96</x:v>
      </x:c>
      <x:c r="H114" s="34" t="str">
        <x:v>待验证</x:v>
      </x:c>
      <x:c r="I114" s="34" t="str"/>
      <x:c r="J114" s="34" t="str"/>
      <x:c r="K114" s="34" t="str"/>
      <x:c r="L114" s="34" t="str"/>
      <x:c r="M114" s="34" t="str"/>
      <x:c r="N114" s="34" t="n">
        <x:f>IF(A114="","",I114+J114+K114)</x:f>
        <x:v>0</x:v>
      </x:c>
      <x:c r="O114" s="56" t="str">
        <x:f>IF(N114=0,"",(I114+0.5*J114)/N114)</x:f>
      </x:c>
      <x:c r="P114" s="56" t="str">
        <x:f>IF(N114=0,"",(I114+0.5*J114+1)/(N114+2))</x:f>
      </x:c>
      <x:c r="Q114" s="34" t="str"/>
      <x:c r="R114" s="34" t="str"/>
      <x:c r="S114" s="34" t="str"/>
      <x:c r="T114" s="34" t="str"/>
      <x:c r="U114" s="34" t="str"/>
      <x:c r="V114" s="34" t="str">
        <x:f>IF(A114="","",IF(N114&lt;5,"样本不足",IF(Q114&gt;=1,"优先复核",IF(AND(N114&gt;=20,P114&lt;0.35,K114&gt;=5),"停用候选",IF(AND(N114&gt;=10,P114&lt;0.45),"需修改候选",IF(AND(N114&gt;=10,P114&gt;=0.75,R114/N114&lt;=0.15,S114/N114&lt;=0.15),"升级候选",IF(R114/N114&gt;0.3,"收紧条件",IF(S114/N114&gt;0.3,"补漏／放宽","继续观察"))))))))</x:f>
        <x:v>样本不足</x:v>
      </x:c>
      <x:c r="W114" s="34" t="str">
        <x:f>IF(V114="","",IF(V114="升级候选","已验证候选",IF(V114="停用候选","停用候选",IF(OR(V114="需修改候选",V114="收紧条件",V114="补漏／放宽",V114="优先复核"),"需修改／复核","观察中"))))</x:f>
        <x:v>观察中</x:v>
      </x:c>
      <x:c r="X114" s="34" t="str"/>
      <x:c r="Y114" s="34" t="str"/>
    </x:row>
    <x:row r="115">
      <x:c r="A115" s="34" t="str">
        <x:v>M5-SYNTH-151</x:v>
      </x:c>
      <x:c r="B115" s="34" t="str">
        <x:v>SYNTH</x:v>
      </x:c>
      <x:c r="C115" s="34" t="str">
        <x:v>P0_SYNTH总合成</x:v>
      </x:c>
      <x:c r="D115" s="34" t="str">
        <x:v>RG总门控｜现实事实覆盖命理高分</x:v>
      </x:c>
      <x:c r="E115" s="34" t="str">
        <x:v>L3 现实门槛RG</x:v>
      </x:c>
      <x:c r="F115" s="34" t="str">
        <x:v>裁决</x:v>
      </x:c>
      <x:c r="G115" s="34" t="n">
        <x:v>96</x:v>
      </x:c>
      <x:c r="H115" s="34" t="str">
        <x:v>待验证</x:v>
      </x:c>
      <x:c r="I115" s="34" t="str"/>
      <x:c r="J115" s="34" t="str"/>
      <x:c r="K115" s="34" t="str"/>
      <x:c r="L115" s="34" t="str"/>
      <x:c r="M115" s="34" t="str"/>
      <x:c r="N115" s="34" t="n">
        <x:f>IF(A115="","",I115+J115+K115)</x:f>
        <x:v>0</x:v>
      </x:c>
      <x:c r="O115" s="56" t="str">
        <x:f>IF(N115=0,"",(I115+0.5*J115)/N115)</x:f>
      </x:c>
      <x:c r="P115" s="56" t="str">
        <x:f>IF(N115=0,"",(I115+0.5*J115+1)/(N115+2))</x:f>
      </x:c>
      <x:c r="Q115" s="34" t="str"/>
      <x:c r="R115" s="34" t="str"/>
      <x:c r="S115" s="34" t="str"/>
      <x:c r="T115" s="34" t="str"/>
      <x:c r="U115" s="34" t="str"/>
      <x:c r="V115" s="34" t="str">
        <x:f>IF(A115="","",IF(N115&lt;5,"样本不足",IF(Q115&gt;=1,"优先复核",IF(AND(N115&gt;=20,P115&lt;0.35,K115&gt;=5),"停用候选",IF(AND(N115&gt;=10,P115&lt;0.45),"需修改候选",IF(AND(N115&gt;=10,P115&gt;=0.75,R115/N115&lt;=0.15,S115/N115&lt;=0.15),"升级候选",IF(R115/N115&gt;0.3,"收紧条件",IF(S115/N115&gt;0.3,"补漏／放宽","继续观察"))))))))</x:f>
        <x:v>样本不足</x:v>
      </x:c>
      <x:c r="W115" s="34" t="str">
        <x:f>IF(V115="","",IF(V115="升级候选","已验证候选",IF(V115="停用候选","停用候选",IF(OR(V115="需修改候选",V115="收紧条件",V115="补漏／放宽",V115="优先复核"),"需修改／复核","观察中"))))</x:f>
        <x:v>观察中</x:v>
      </x:c>
      <x:c r="X115" s="34" t="str"/>
      <x:c r="Y115" s="34" t="str"/>
    </x:row>
    <x:row r="116">
      <x:c r="A116" s="34" t="str">
        <x:v>M5-SYNTH-152</x:v>
      </x:c>
      <x:c r="B116" s="34" t="str">
        <x:v>SYNTH</x:v>
      </x:c>
      <x:c r="C116" s="34" t="str">
        <x:v>P0_SYNTH总合成</x:v>
      </x:c>
      <x:c r="D116" s="34" t="str">
        <x:v>RG总门控｜现实门槛日志必填</x:v>
      </x:c>
      <x:c r="E116" s="34" t="str">
        <x:v>L3 现实门槛RG</x:v>
      </x:c>
      <x:c r="F116" s="34" t="str">
        <x:v>输出</x:v>
      </x:c>
      <x:c r="G116" s="34" t="n">
        <x:v>96</x:v>
      </x:c>
      <x:c r="H116" s="34" t="str">
        <x:v>待验证</x:v>
      </x:c>
      <x:c r="I116" s="34" t="str"/>
      <x:c r="J116" s="34" t="str"/>
      <x:c r="K116" s="34" t="str"/>
      <x:c r="L116" s="34" t="str"/>
      <x:c r="M116" s="34" t="str"/>
      <x:c r="N116" s="34" t="n">
        <x:f>IF(A116="","",I116+J116+K116)</x:f>
        <x:v>0</x:v>
      </x:c>
      <x:c r="O116" s="56" t="str">
        <x:f>IF(N116=0,"",(I116+0.5*J116)/N116)</x:f>
      </x:c>
      <x:c r="P116" s="56" t="str">
        <x:f>IF(N116=0,"",(I116+0.5*J116+1)/(N116+2))</x:f>
      </x:c>
      <x:c r="Q116" s="34" t="str"/>
      <x:c r="R116" s="34" t="str"/>
      <x:c r="S116" s="34" t="str"/>
      <x:c r="T116" s="34" t="str"/>
      <x:c r="U116" s="34" t="str"/>
      <x:c r="V116" s="34" t="str">
        <x:f>IF(A116="","",IF(N116&lt;5,"样本不足",IF(Q116&gt;=1,"优先复核",IF(AND(N116&gt;=20,P116&lt;0.35,K116&gt;=5),"停用候选",IF(AND(N116&gt;=10,P116&lt;0.45),"需修改候选",IF(AND(N116&gt;=10,P116&gt;=0.75,R116/N116&lt;=0.15,S116/N116&lt;=0.15),"升级候选",IF(R116/N116&gt;0.3,"收紧条件",IF(S116/N116&gt;0.3,"补漏／放宽","继续观察"))))))))</x:f>
        <x:v>样本不足</x:v>
      </x:c>
      <x:c r="W116" s="34" t="str">
        <x:f>IF(V116="","",IF(V116="升级候选","已验证候选",IF(V116="停用候选","停用候选",IF(OR(V116="需修改候选",V116="收紧条件",V116="补漏／放宽",V116="优先复核"),"需修改／复核","观察中"))))</x:f>
        <x:v>观察中</x:v>
      </x:c>
      <x:c r="X116" s="34" t="str"/>
      <x:c r="Y116" s="34" t="str"/>
    </x:row>
    <x:row r="117">
      <x:c r="A117" s="34" t="str">
        <x:v>M5-SYNTH-308</x:v>
      </x:c>
      <x:c r="B117" s="34" t="str">
        <x:v>SYNTH</x:v>
      </x:c>
      <x:c r="C117" s="34" t="str">
        <x:v>P0_SYNTH总合成</x:v>
      </x:c>
      <x:c r="D117" s="34" t="str">
        <x:v>停止版模板｜安全或核心门槛</x:v>
      </x:c>
      <x:c r="E117" s="34" t="str">
        <x:v>L8 报告、JSON、测试与发布</x:v>
      </x:c>
      <x:c r="F117" s="34" t="str">
        <x:v>模板／输出</x:v>
      </x:c>
      <x:c r="G117" s="34" t="n">
        <x:v>96</x:v>
      </x:c>
      <x:c r="H117" s="34" t="str">
        <x:v>待验证</x:v>
      </x:c>
      <x:c r="I117" s="34" t="str"/>
      <x:c r="J117" s="34" t="str"/>
      <x:c r="K117" s="34" t="str"/>
      <x:c r="L117" s="34" t="str"/>
      <x:c r="M117" s="34" t="str"/>
      <x:c r="N117" s="34" t="n">
        <x:f>IF(A117="","",I117+J117+K117)</x:f>
        <x:v>0</x:v>
      </x:c>
      <x:c r="O117" s="56" t="str">
        <x:f>IF(N117=0,"",(I117+0.5*J117)/N117)</x:f>
      </x:c>
      <x:c r="P117" s="56" t="str">
        <x:f>IF(N117=0,"",(I117+0.5*J117+1)/(N117+2))</x:f>
      </x:c>
      <x:c r="Q117" s="34" t="str"/>
      <x:c r="R117" s="34" t="str"/>
      <x:c r="S117" s="34" t="str"/>
      <x:c r="T117" s="34" t="str"/>
      <x:c r="U117" s="34" t="str"/>
      <x:c r="V117" s="34" t="str">
        <x:f>IF(A117="","",IF(N117&lt;5,"样本不足",IF(Q117&gt;=1,"优先复核",IF(AND(N117&gt;=20,P117&lt;0.35,K117&gt;=5),"停用候选",IF(AND(N117&gt;=10,P117&lt;0.45),"需修改候选",IF(AND(N117&gt;=10,P117&gt;=0.75,R117/N117&lt;=0.15,S117/N117&lt;=0.15),"升级候选",IF(R117/N117&gt;0.3,"收紧条件",IF(S117/N117&gt;0.3,"补漏／放宽","继续观察"))))))))</x:f>
        <x:v>样本不足</x:v>
      </x:c>
      <x:c r="W117" s="34" t="str">
        <x:f>IF(V117="","",IF(V117="升级候选","已验证候选",IF(V117="停用候选","停用候选",IF(OR(V117="需修改候选",V117="收紧条件",V117="补漏／放宽",V117="优先复核"),"需修改／复核","观察中"))))</x:f>
        <x:v>观察中</x:v>
      </x:c>
      <x:c r="X117" s="34" t="str"/>
      <x:c r="Y117" s="34" t="str"/>
    </x:row>
    <x:row r="118">
      <x:c r="A118" s="34" t="str">
        <x:v>M5-SYNTH-311</x:v>
      </x:c>
      <x:c r="B118" s="34" t="str">
        <x:v>SYNTH</x:v>
      </x:c>
      <x:c r="C118" s="34" t="str">
        <x:v>P0_SYNTH总合成</x:v>
      </x:c>
      <x:c r="D118" s="34" t="str">
        <x:v>JSON统一输出契约</x:v>
      </x:c>
      <x:c r="E118" s="34" t="str">
        <x:v>L8 报告、JSON、测试与发布</x:v>
      </x:c>
      <x:c r="F118" s="34" t="str">
        <x:v>模板／输出</x:v>
      </x:c>
      <x:c r="G118" s="34" t="n">
        <x:v>96</x:v>
      </x:c>
      <x:c r="H118" s="34" t="str">
        <x:v>待验证</x:v>
      </x:c>
      <x:c r="I118" s="34" t="str"/>
      <x:c r="J118" s="34" t="str"/>
      <x:c r="K118" s="34" t="str"/>
      <x:c r="L118" s="34" t="str"/>
      <x:c r="M118" s="34" t="str"/>
      <x:c r="N118" s="34" t="n">
        <x:f>IF(A118="","",I118+J118+K118)</x:f>
        <x:v>0</x:v>
      </x:c>
      <x:c r="O118" s="56" t="str">
        <x:f>IF(N118=0,"",(I118+0.5*J118)/N118)</x:f>
      </x:c>
      <x:c r="P118" s="56" t="str">
        <x:f>IF(N118=0,"",(I118+0.5*J118+1)/(N118+2))</x:f>
      </x:c>
      <x:c r="Q118" s="34" t="str"/>
      <x:c r="R118" s="34" t="str"/>
      <x:c r="S118" s="34" t="str"/>
      <x:c r="T118" s="34" t="str"/>
      <x:c r="U118" s="34" t="str"/>
      <x:c r="V118" s="34" t="str">
        <x:f>IF(A118="","",IF(N118&lt;5,"样本不足",IF(Q118&gt;=1,"优先复核",IF(AND(N118&gt;=20,P118&lt;0.35,K118&gt;=5),"停用候选",IF(AND(N118&gt;=10,P118&lt;0.45),"需修改候选",IF(AND(N118&gt;=10,P118&gt;=0.75,R118/N118&lt;=0.15,S118/N118&lt;=0.15),"升级候选",IF(R118/N118&gt;0.3,"收紧条件",IF(S118/N118&gt;0.3,"补漏／放宽","继续观察"))))))))</x:f>
        <x:v>样本不足</x:v>
      </x:c>
      <x:c r="W118" s="34" t="str">
        <x:f>IF(V118="","",IF(V118="升级候选","已验证候选",IF(V118="停用候选","停用候选",IF(OR(V118="需修改候选",V118="收紧条件",V118="补漏／放宽",V118="优先复核"),"需修改／复核","观察中"))))</x:f>
        <x:v>观察中</x:v>
      </x:c>
      <x:c r="X118" s="34" t="str"/>
      <x:c r="Y118" s="34" t="str"/>
    </x:row>
    <x:row r="119">
      <x:c r="A119" s="34" t="str">
        <x:v>M5-SYNTH-312</x:v>
      </x:c>
      <x:c r="B119" s="34" t="str">
        <x:v>SYNTH</x:v>
      </x:c>
      <x:c r="C119" s="34" t="str">
        <x:v>P0_SYNTH总合成</x:v>
      </x:c>
      <x:c r="D119" s="34" t="str">
        <x:v>JSON必须保留provenance与logs</x:v>
      </x:c>
      <x:c r="E119" s="34" t="str">
        <x:v>L8 报告、JSON、测试与发布</x:v>
      </x:c>
      <x:c r="F119" s="34" t="str">
        <x:v>模板／输出</x:v>
      </x:c>
      <x:c r="G119" s="34" t="n">
        <x:v>96</x:v>
      </x:c>
      <x:c r="H119" s="34" t="str">
        <x:v>待验证</x:v>
      </x:c>
      <x:c r="I119" s="34" t="str"/>
      <x:c r="J119" s="34" t="str"/>
      <x:c r="K119" s="34" t="str"/>
      <x:c r="L119" s="34" t="str"/>
      <x:c r="M119" s="34" t="str"/>
      <x:c r="N119" s="34" t="n">
        <x:f>IF(A119="","",I119+J119+K119)</x:f>
        <x:v>0</x:v>
      </x:c>
      <x:c r="O119" s="56" t="str">
        <x:f>IF(N119=0,"",(I119+0.5*J119)/N119)</x:f>
      </x:c>
      <x:c r="P119" s="56" t="str">
        <x:f>IF(N119=0,"",(I119+0.5*J119+1)/(N119+2))</x:f>
      </x:c>
      <x:c r="Q119" s="34" t="str"/>
      <x:c r="R119" s="34" t="str"/>
      <x:c r="S119" s="34" t="str"/>
      <x:c r="T119" s="34" t="str"/>
      <x:c r="U119" s="34" t="str"/>
      <x:c r="V119" s="34" t="str">
        <x:f>IF(A119="","",IF(N119&lt;5,"样本不足",IF(Q119&gt;=1,"优先复核",IF(AND(N119&gt;=20,P119&lt;0.35,K119&gt;=5),"停用候选",IF(AND(N119&gt;=10,P119&lt;0.45),"需修改候选",IF(AND(N119&gt;=10,P119&gt;=0.75,R119/N119&lt;=0.15,S119/N119&lt;=0.15),"升级候选",IF(R119/N119&gt;0.3,"收紧条件",IF(S119/N119&gt;0.3,"补漏／放宽","继续观察"))))))))</x:f>
        <x:v>样本不足</x:v>
      </x:c>
      <x:c r="W119" s="34" t="str">
        <x:f>IF(V119="","",IF(V119="升级候选","已验证候选",IF(V119="停用候选","停用候选",IF(OR(V119="需修改候选",V119="收紧条件",V119="补漏／放宽",V119="优先复核"),"需修改／复核","观察中"))))</x:f>
        <x:v>观察中</x:v>
      </x:c>
      <x:c r="X119" s="34" t="str"/>
      <x:c r="Y119" s="34" t="str"/>
    </x:row>
    <x:row r="120">
      <x:c r="A120" s="34" t="str">
        <x:v>M5-SYNTH-317</x:v>
      </x:c>
      <x:c r="B120" s="34" t="str">
        <x:v>SYNTH</x:v>
      </x:c>
      <x:c r="C120" s="34" t="str">
        <x:v>P0_SYNTH总合成</x:v>
      </x:c>
      <x:c r="D120" s="34" t="str">
        <x:v>测试场景｜边界安全停止</x:v>
      </x:c>
      <x:c r="E120" s="34" t="str">
        <x:v>L8 报告、JSON、测试与发布</x:v>
      </x:c>
      <x:c r="F120" s="34" t="str">
        <x:v>验证／发布</x:v>
      </x:c>
      <x:c r="G120" s="34" t="n">
        <x:v>96</x:v>
      </x:c>
      <x:c r="H120" s="34" t="str">
        <x:v>待验证</x:v>
      </x:c>
      <x:c r="I120" s="34" t="str"/>
      <x:c r="J120" s="34" t="str"/>
      <x:c r="K120" s="34" t="str"/>
      <x:c r="L120" s="34" t="str"/>
      <x:c r="M120" s="34" t="str"/>
      <x:c r="N120" s="34" t="n">
        <x:f>IF(A120="","",I120+J120+K120)</x:f>
        <x:v>0</x:v>
      </x:c>
      <x:c r="O120" s="56" t="str">
        <x:f>IF(N120=0,"",(I120+0.5*J120)/N120)</x:f>
      </x:c>
      <x:c r="P120" s="56" t="str">
        <x:f>IF(N120=0,"",(I120+0.5*J120+1)/(N120+2))</x:f>
      </x:c>
      <x:c r="Q120" s="34" t="str"/>
      <x:c r="R120" s="34" t="str"/>
      <x:c r="S120" s="34" t="str"/>
      <x:c r="T120" s="34" t="str"/>
      <x:c r="U120" s="34" t="str"/>
      <x:c r="V120" s="34" t="str">
        <x:f>IF(A120="","",IF(N120&lt;5,"样本不足",IF(Q120&gt;=1,"优先复核",IF(AND(N120&gt;=20,P120&lt;0.35,K120&gt;=5),"停用候选",IF(AND(N120&gt;=10,P120&lt;0.45),"需修改候选",IF(AND(N120&gt;=10,P120&gt;=0.75,R120/N120&lt;=0.15,S120/N120&lt;=0.15),"升级候选",IF(R120/N120&gt;0.3,"收紧条件",IF(S120/N120&gt;0.3,"补漏／放宽","继续观察"))))))))</x:f>
        <x:v>样本不足</x:v>
      </x:c>
      <x:c r="W120" s="34" t="str">
        <x:f>IF(V120="","",IF(V120="升级候选","已验证候选",IF(V120="停用候选","停用候选",IF(OR(V120="需修改候选",V120="收紧条件",V120="补漏／放宽",V120="优先复核"),"需修改／复核","观察中"))))</x:f>
        <x:v>观察中</x:v>
      </x:c>
      <x:c r="X120" s="34" t="str"/>
      <x:c r="Y120" s="34" t="str"/>
    </x:row>
    <x:row r="121">
      <x:c r="A121" s="34" t="str">
        <x:v>M5-SYNTH-120</x:v>
      </x:c>
      <x:c r="B121" s="34" t="str">
        <x:v>SYNTH</x:v>
      </x:c>
      <x:c r="C121" s="34" t="str">
        <x:v>P0_SYNTH总合成</x:v>
      </x:c>
      <x:c r="D121" s="34" t="str">
        <x:v>RG02现实门槛｜失败或未知</x:v>
      </x:c>
      <x:c r="E121" s="34" t="str">
        <x:v>L3 现实门槛RG</x:v>
      </x:c>
      <x:c r="F121" s="34" t="str">
        <x:v>失败／未知</x:v>
      </x:c>
      <x:c r="G121" s="34" t="n">
        <x:v>95</x:v>
      </x:c>
      <x:c r="H121" s="34" t="str">
        <x:v>待验证</x:v>
      </x:c>
      <x:c r="I121" s="34" t="str"/>
      <x:c r="J121" s="34" t="str"/>
      <x:c r="K121" s="34" t="str"/>
      <x:c r="L121" s="34" t="str"/>
      <x:c r="M121" s="34" t="str"/>
      <x:c r="N121" s="34" t="n">
        <x:f>IF(A121="","",I121+J121+K121)</x:f>
        <x:v>0</x:v>
      </x:c>
      <x:c r="O121" s="56" t="str">
        <x:f>IF(N121=0,"",(I121+0.5*J121)/N121)</x:f>
      </x:c>
      <x:c r="P121" s="56" t="str">
        <x:f>IF(N121=0,"",(I121+0.5*J121+1)/(N121+2))</x:f>
      </x:c>
      <x:c r="Q121" s="34" t="str"/>
      <x:c r="R121" s="34" t="str"/>
      <x:c r="S121" s="34" t="str"/>
      <x:c r="T121" s="34" t="str"/>
      <x:c r="U121" s="34" t="str"/>
      <x:c r="V121" s="34" t="str">
        <x:f>IF(A121="","",IF(N121&lt;5,"样本不足",IF(Q121&gt;=1,"优先复核",IF(AND(N121&gt;=20,P121&lt;0.35,K121&gt;=5),"停用候选",IF(AND(N121&gt;=10,P121&lt;0.45),"需修改候选",IF(AND(N121&gt;=10,P121&gt;=0.75,R121/N121&lt;=0.15,S121/N121&lt;=0.15),"升级候选",IF(R121/N121&gt;0.3,"收紧条件",IF(S121/N121&gt;0.3,"补漏／放宽","继续观察"))))))))</x:f>
        <x:v>样本不足</x:v>
      </x:c>
      <x:c r="W121" s="34" t="str">
        <x:f>IF(V121="","",IF(V121="升级候选","已验证候选",IF(V121="停用候选","停用候选",IF(OR(V121="需修改候选",V121="收紧条件",V121="补漏／放宽",V121="优先复核"),"需修改／复核","观察中"))))</x:f>
        <x:v>观察中</x:v>
      </x:c>
      <x:c r="X121" s="34" t="str"/>
      <x:c r="Y121" s="34" t="str"/>
    </x:row>
    <x:row r="122">
      <x:c r="A122" s="34" t="str">
        <x:v>M5-SYNTH-124</x:v>
      </x:c>
      <x:c r="B122" s="34" t="str">
        <x:v>SYNTH</x:v>
      </x:c>
      <x:c r="C122" s="34" t="str">
        <x:v>P0_SYNTH总合成</x:v>
      </x:c>
      <x:c r="D122" s="34" t="str">
        <x:v>RG03现实门槛｜失败或未知</x:v>
      </x:c>
      <x:c r="E122" s="34" t="str">
        <x:v>L3 现实门槛RG</x:v>
      </x:c>
      <x:c r="F122" s="34" t="str">
        <x:v>失败／未知</x:v>
      </x:c>
      <x:c r="G122" s="34" t="n">
        <x:v>95</x:v>
      </x:c>
      <x:c r="H122" s="34" t="str">
        <x:v>待验证</x:v>
      </x:c>
      <x:c r="I122" s="34" t="str"/>
      <x:c r="J122" s="34" t="str"/>
      <x:c r="K122" s="34" t="str"/>
      <x:c r="L122" s="34" t="str"/>
      <x:c r="M122" s="34" t="str"/>
      <x:c r="N122" s="34" t="n">
        <x:f>IF(A122="","",I122+J122+K122)</x:f>
        <x:v>0</x:v>
      </x:c>
      <x:c r="O122" s="56" t="str">
        <x:f>IF(N122=0,"",(I122+0.5*J122)/N122)</x:f>
      </x:c>
      <x:c r="P122" s="56" t="str">
        <x:f>IF(N122=0,"",(I122+0.5*J122+1)/(N122+2))</x:f>
      </x:c>
      <x:c r="Q122" s="34" t="str"/>
      <x:c r="R122" s="34" t="str"/>
      <x:c r="S122" s="34" t="str"/>
      <x:c r="T122" s="34" t="str"/>
      <x:c r="U122" s="34" t="str"/>
      <x:c r="V122" s="34" t="str">
        <x:f>IF(A122="","",IF(N122&lt;5,"样本不足",IF(Q122&gt;=1,"优先复核",IF(AND(N122&gt;=20,P122&lt;0.35,K122&gt;=5),"停用候选",IF(AND(N122&gt;=10,P122&lt;0.45),"需修改候选",IF(AND(N122&gt;=10,P122&gt;=0.75,R122/N122&lt;=0.15,S122/N122&lt;=0.15),"升级候选",IF(R122/N122&gt;0.3,"收紧条件",IF(S122/N122&gt;0.3,"补漏／放宽","继续观察"))))))))</x:f>
        <x:v>样本不足</x:v>
      </x:c>
      <x:c r="W122" s="34" t="str">
        <x:f>IF(V122="","",IF(V122="升级候选","已验证候选",IF(V122="停用候选","停用候选",IF(OR(V122="需修改候选",V122="收紧条件",V122="补漏／放宽",V122="优先复核"),"需修改／复核","观察中"))))</x:f>
        <x:v>观察中</x:v>
      </x:c>
      <x:c r="X122" s="34" t="str"/>
      <x:c r="Y122" s="34" t="str"/>
    </x:row>
    <x:row r="123">
      <x:c r="A123" s="34" t="str">
        <x:v>M5-SYNTH-128</x:v>
      </x:c>
      <x:c r="B123" s="34" t="str">
        <x:v>SYNTH</x:v>
      </x:c>
      <x:c r="C123" s="34" t="str">
        <x:v>P0_SYNTH总合成</x:v>
      </x:c>
      <x:c r="D123" s="34" t="str">
        <x:v>RG04现实门槛｜失败或未知</x:v>
      </x:c>
      <x:c r="E123" s="34" t="str">
        <x:v>L3 现实门槛RG</x:v>
      </x:c>
      <x:c r="F123" s="34" t="str">
        <x:v>失败／未知</x:v>
      </x:c>
      <x:c r="G123" s="34" t="n">
        <x:v>95</x:v>
      </x:c>
      <x:c r="H123" s="34" t="str">
        <x:v>待验证</x:v>
      </x:c>
      <x:c r="I123" s="34" t="str"/>
      <x:c r="J123" s="34" t="str"/>
      <x:c r="K123" s="34" t="str"/>
      <x:c r="L123" s="34" t="str"/>
      <x:c r="M123" s="34" t="str"/>
      <x:c r="N123" s="34" t="n">
        <x:f>IF(A123="","",I123+J123+K123)</x:f>
        <x:v>0</x:v>
      </x:c>
      <x:c r="O123" s="56" t="str">
        <x:f>IF(N123=0,"",(I123+0.5*J123)/N123)</x:f>
      </x:c>
      <x:c r="P123" s="56" t="str">
        <x:f>IF(N123=0,"",(I123+0.5*J123+1)/(N123+2))</x:f>
      </x:c>
      <x:c r="Q123" s="34" t="str"/>
      <x:c r="R123" s="34" t="str"/>
      <x:c r="S123" s="34" t="str"/>
      <x:c r="T123" s="34" t="str"/>
      <x:c r="U123" s="34" t="str"/>
      <x:c r="V123" s="34" t="str">
        <x:f>IF(A123="","",IF(N123&lt;5,"样本不足",IF(Q123&gt;=1,"优先复核",IF(AND(N123&gt;=20,P123&lt;0.35,K123&gt;=5),"停用候选",IF(AND(N123&gt;=10,P123&lt;0.45),"需修改候选",IF(AND(N123&gt;=10,P123&gt;=0.75,R123/N123&lt;=0.15,S123/N123&lt;=0.15),"升级候选",IF(R123/N123&gt;0.3,"收紧条件",IF(S123/N123&gt;0.3,"补漏／放宽","继续观察"))))))))</x:f>
        <x:v>样本不足</x:v>
      </x:c>
      <x:c r="W123" s="34" t="str">
        <x:f>IF(V123="","",IF(V123="升级候选","已验证候选",IF(V123="停用候选","停用候选",IF(OR(V123="需修改候选",V123="收紧条件",V123="补漏／放宽",V123="优先复核"),"需修改／复核","观察中"))))</x:f>
        <x:v>观察中</x:v>
      </x:c>
      <x:c r="X123" s="34" t="str"/>
      <x:c r="Y123" s="34" t="str"/>
    </x:row>
    <x:row r="124">
      <x:c r="A124" s="34" t="str">
        <x:v>M5-SYNTH-132</x:v>
      </x:c>
      <x:c r="B124" s="34" t="str">
        <x:v>SYNTH</x:v>
      </x:c>
      <x:c r="C124" s="34" t="str">
        <x:v>P0_SYNTH总合成</x:v>
      </x:c>
      <x:c r="D124" s="34" t="str">
        <x:v>RG05现实门槛｜失败或未知</x:v>
      </x:c>
      <x:c r="E124" s="34" t="str">
        <x:v>L3 现实门槛RG</x:v>
      </x:c>
      <x:c r="F124" s="34" t="str">
        <x:v>失败／未知</x:v>
      </x:c>
      <x:c r="G124" s="34" t="n">
        <x:v>95</x:v>
      </x:c>
      <x:c r="H124" s="34" t="str">
        <x:v>待验证</x:v>
      </x:c>
      <x:c r="I124" s="34" t="str"/>
      <x:c r="J124" s="34" t="str"/>
      <x:c r="K124" s="34" t="str"/>
      <x:c r="L124" s="34" t="str"/>
      <x:c r="M124" s="34" t="str"/>
      <x:c r="N124" s="34" t="n">
        <x:f>IF(A124="","",I124+J124+K124)</x:f>
        <x:v>0</x:v>
      </x:c>
      <x:c r="O124" s="56" t="str">
        <x:f>IF(N124=0,"",(I124+0.5*J124)/N124)</x:f>
      </x:c>
      <x:c r="P124" s="56" t="str">
        <x:f>IF(N124=0,"",(I124+0.5*J124+1)/(N124+2))</x:f>
      </x:c>
      <x:c r="Q124" s="34" t="str"/>
      <x:c r="R124" s="34" t="str"/>
      <x:c r="S124" s="34" t="str"/>
      <x:c r="T124" s="34" t="str"/>
      <x:c r="U124" s="34" t="str"/>
      <x:c r="V124" s="34" t="str">
        <x:f>IF(A124="","",IF(N124&lt;5,"样本不足",IF(Q124&gt;=1,"优先复核",IF(AND(N124&gt;=20,P124&lt;0.35,K124&gt;=5),"停用候选",IF(AND(N124&gt;=10,P124&lt;0.45),"需修改候选",IF(AND(N124&gt;=10,P124&gt;=0.75,R124/N124&lt;=0.15,S124/N124&lt;=0.15),"升级候选",IF(R124/N124&gt;0.3,"收紧条件",IF(S124/N124&gt;0.3,"补漏／放宽","继续观察"))))))))</x:f>
        <x:v>样本不足</x:v>
      </x:c>
      <x:c r="W124" s="34" t="str">
        <x:f>IF(V124="","",IF(V124="升级候选","已验证候选",IF(V124="停用候选","停用候选",IF(OR(V124="需修改候选",V124="收紧条件",V124="补漏／放宽",V124="优先复核"),"需修改／复核","观察中"))))</x:f>
        <x:v>观察中</x:v>
      </x:c>
      <x:c r="X124" s="34" t="str"/>
      <x:c r="Y124" s="34" t="str"/>
    </x:row>
    <x:row r="125">
      <x:c r="A125" s="34" t="str">
        <x:v>M5-SYNTH-136</x:v>
      </x:c>
      <x:c r="B125" s="34" t="str">
        <x:v>SYNTH</x:v>
      </x:c>
      <x:c r="C125" s="34" t="str">
        <x:v>P0_SYNTH总合成</x:v>
      </x:c>
      <x:c r="D125" s="34" t="str">
        <x:v>RG06现实门槛｜失败或未知</x:v>
      </x:c>
      <x:c r="E125" s="34" t="str">
        <x:v>L3 现实门槛RG</x:v>
      </x:c>
      <x:c r="F125" s="34" t="str">
        <x:v>失败／未知</x:v>
      </x:c>
      <x:c r="G125" s="34" t="n">
        <x:v>95</x:v>
      </x:c>
      <x:c r="H125" s="34" t="str">
        <x:v>待验证</x:v>
      </x:c>
      <x:c r="I125" s="34" t="str"/>
      <x:c r="J125" s="34" t="str"/>
      <x:c r="K125" s="34" t="str"/>
      <x:c r="L125" s="34" t="str"/>
      <x:c r="M125" s="34" t="str"/>
      <x:c r="N125" s="34" t="n">
        <x:f>IF(A125="","",I125+J125+K125)</x:f>
        <x:v>0</x:v>
      </x:c>
      <x:c r="O125" s="56" t="str">
        <x:f>IF(N125=0,"",(I125+0.5*J125)/N125)</x:f>
      </x:c>
      <x:c r="P125" s="56" t="str">
        <x:f>IF(N125=0,"",(I125+0.5*J125+1)/(N125+2))</x:f>
      </x:c>
      <x:c r="Q125" s="34" t="str"/>
      <x:c r="R125" s="34" t="str"/>
      <x:c r="S125" s="34" t="str"/>
      <x:c r="T125" s="34" t="str"/>
      <x:c r="U125" s="34" t="str"/>
      <x:c r="V125" s="34" t="str">
        <x:f>IF(A125="","",IF(N125&lt;5,"样本不足",IF(Q125&gt;=1,"优先复核",IF(AND(N125&gt;=20,P125&lt;0.35,K125&gt;=5),"停用候选",IF(AND(N125&gt;=10,P125&lt;0.45),"需修改候选",IF(AND(N125&gt;=10,P125&gt;=0.75,R125/N125&lt;=0.15,S125/N125&lt;=0.15),"升级候选",IF(R125/N125&gt;0.3,"收紧条件",IF(S125/N125&gt;0.3,"补漏／放宽","继续观察"))))))))</x:f>
        <x:v>样本不足</x:v>
      </x:c>
      <x:c r="W125" s="34" t="str">
        <x:f>IF(V125="","",IF(V125="升级候选","已验证候选",IF(V125="停用候选","停用候选",IF(OR(V125="需修改候选",V125="收紧条件",V125="补漏／放宽",V125="优先复核"),"需修改／复核","观察中"))))</x:f>
        <x:v>观察中</x:v>
      </x:c>
      <x:c r="X125" s="34" t="str"/>
      <x:c r="Y125" s="34" t="str"/>
    </x:row>
    <x:row r="126">
      <x:c r="A126" s="34" t="str">
        <x:v>M5-SYNTH-144</x:v>
      </x:c>
      <x:c r="B126" s="34" t="str">
        <x:v>SYNTH</x:v>
      </x:c>
      <x:c r="C126" s="34" t="str">
        <x:v>P0_SYNTH总合成</x:v>
      </x:c>
      <x:c r="D126" s="34" t="str">
        <x:v>RG08现实门槛｜失败或未知</x:v>
      </x:c>
      <x:c r="E126" s="34" t="str">
        <x:v>L3 现实门槛RG</x:v>
      </x:c>
      <x:c r="F126" s="34" t="str">
        <x:v>失败／未知</x:v>
      </x:c>
      <x:c r="G126" s="34" t="n">
        <x:v>95</x:v>
      </x:c>
      <x:c r="H126" s="34" t="str">
        <x:v>待验证</x:v>
      </x:c>
      <x:c r="I126" s="34" t="str"/>
      <x:c r="J126" s="34" t="str"/>
      <x:c r="K126" s="34" t="str"/>
      <x:c r="L126" s="34" t="str"/>
      <x:c r="M126" s="34" t="str"/>
      <x:c r="N126" s="34" t="n">
        <x:f>IF(A126="","",I126+J126+K126)</x:f>
        <x:v>0</x:v>
      </x:c>
      <x:c r="O126" s="56" t="str">
        <x:f>IF(N126=0,"",(I126+0.5*J126)/N126)</x:f>
      </x:c>
      <x:c r="P126" s="56" t="str">
        <x:f>IF(N126=0,"",(I126+0.5*J126+1)/(N126+2))</x:f>
      </x:c>
      <x:c r="Q126" s="34" t="str"/>
      <x:c r="R126" s="34" t="str"/>
      <x:c r="S126" s="34" t="str"/>
      <x:c r="T126" s="34" t="str"/>
      <x:c r="U126" s="34" t="str"/>
      <x:c r="V126" s="34" t="str">
        <x:f>IF(A126="","",IF(N126&lt;5,"样本不足",IF(Q126&gt;=1,"优先复核",IF(AND(N126&gt;=20,P126&lt;0.35,K126&gt;=5),"停用候选",IF(AND(N126&gt;=10,P126&lt;0.45),"需修改候选",IF(AND(N126&gt;=10,P126&gt;=0.75,R126/N126&lt;=0.15,S126/N126&lt;=0.15),"升级候选",IF(R126/N126&gt;0.3,"收紧条件",IF(S126/N126&gt;0.3,"补漏／放宽","继续观察"))))))))</x:f>
        <x:v>样本不足</x:v>
      </x:c>
      <x:c r="W126" s="34" t="str">
        <x:f>IF(V126="","",IF(V126="升级候选","已验证候选",IF(V126="停用候选","停用候选",IF(OR(V126="需修改候选",V126="收紧条件",V126="补漏／放宽",V126="优先复核"),"需修改／复核","观察中"))))</x:f>
        <x:v>观察中</x:v>
      </x:c>
      <x:c r="X126" s="34" t="str"/>
      <x:c r="Y126" s="34" t="str"/>
    </x:row>
    <x:row r="127">
      <x:c r="A127" s="34" t="str">
        <x:v>M5-SYNTH-093</x:v>
      </x:c>
      <x:c r="B127" s="34" t="str">
        <x:v>SYNTH</x:v>
      </x:c>
      <x:c r="C127" s="34" t="str">
        <x:v>P0_SYNTH总合成</x:v>
      </x:c>
      <x:c r="D127" s="34" t="str">
        <x:v>候选键标准化｜功能族＋关系任务＋对象＋情境</x:v>
      </x:c>
      <x:c r="E127" s="34" t="str">
        <x:v>L2 功能族与候选标准化</x:v>
      </x:c>
      <x:c r="F127" s="34" t="str">
        <x:v>去重／路由</x:v>
      </x:c>
      <x:c r="G127" s="34" t="n">
        <x:v>94</x:v>
      </x:c>
      <x:c r="H127" s="34" t="str">
        <x:v>待验证</x:v>
      </x:c>
      <x:c r="I127" s="34" t="str"/>
      <x:c r="J127" s="34" t="str"/>
      <x:c r="K127" s="34" t="str"/>
      <x:c r="L127" s="34" t="str"/>
      <x:c r="M127" s="34" t="str"/>
      <x:c r="N127" s="34" t="n">
        <x:f>IF(A127="","",I127+J127+K127)</x:f>
        <x:v>0</x:v>
      </x:c>
      <x:c r="O127" s="56" t="str">
        <x:f>IF(N127=0,"",(I127+0.5*J127)/N127)</x:f>
      </x:c>
      <x:c r="P127" s="56" t="str">
        <x:f>IF(N127=0,"",(I127+0.5*J127+1)/(N127+2))</x:f>
      </x:c>
      <x:c r="Q127" s="34" t="str"/>
      <x:c r="R127" s="34" t="str"/>
      <x:c r="S127" s="34" t="str"/>
      <x:c r="T127" s="34" t="str"/>
      <x:c r="U127" s="34" t="str"/>
      <x:c r="V127" s="34" t="str">
        <x:f>IF(A127="","",IF(N127&lt;5,"样本不足",IF(Q127&gt;=1,"优先复核",IF(AND(N127&gt;=20,P127&lt;0.35,K127&gt;=5),"停用候选",IF(AND(N127&gt;=10,P127&lt;0.45),"需修改候选",IF(AND(N127&gt;=10,P127&gt;=0.75,R127/N127&lt;=0.15,S127/N127&lt;=0.15),"升级候选",IF(R127/N127&gt;0.3,"收紧条件",IF(S127/N127&gt;0.3,"补漏／放宽","继续观察"))))))))</x:f>
        <x:v>样本不足</x:v>
      </x:c>
      <x:c r="W127" s="34" t="str">
        <x:f>IF(V127="","",IF(V127="升级候选","已验证候选",IF(V127="停用候选","停用候选",IF(OR(V127="需修改候选",V127="收紧条件",V127="补漏／放宽",V127="优先复核"),"需修改／复核","观察中"))))</x:f>
        <x:v>观察中</x:v>
      </x:c>
      <x:c r="X127" s="34" t="str"/>
      <x:c r="Y127" s="34" t="str"/>
    </x:row>
    <x:row r="128">
      <x:c r="A128" s="34" t="str">
        <x:v>M5-SYNTH-094</x:v>
      </x:c>
      <x:c r="B128" s="34" t="str">
        <x:v>SYNTH</x:v>
      </x:c>
      <x:c r="C128" s="34" t="str">
        <x:v>P0_SYNTH总合成</x:v>
      </x:c>
      <x:c r="D128" s="34" t="str">
        <x:v>同一source_id跨七模块合并</x:v>
      </x:c>
      <x:c r="E128" s="34" t="str">
        <x:v>L2 功能族与候选标准化</x:v>
      </x:c>
      <x:c r="F128" s="34" t="str">
        <x:v>去重／路由</x:v>
      </x:c>
      <x:c r="G128" s="34" t="n">
        <x:v>94</x:v>
      </x:c>
      <x:c r="H128" s="34" t="str">
        <x:v>待验证</x:v>
      </x:c>
      <x:c r="I128" s="34" t="str"/>
      <x:c r="J128" s="34" t="str"/>
      <x:c r="K128" s="34" t="str"/>
      <x:c r="L128" s="34" t="str"/>
      <x:c r="M128" s="34" t="str"/>
      <x:c r="N128" s="34" t="n">
        <x:f>IF(A128="","",I128+J128+K128)</x:f>
        <x:v>0</x:v>
      </x:c>
      <x:c r="O128" s="56" t="str">
        <x:f>IF(N128=0,"",(I128+0.5*J128)/N128)</x:f>
      </x:c>
      <x:c r="P128" s="56" t="str">
        <x:f>IF(N128=0,"",(I128+0.5*J128+1)/(N128+2))</x:f>
      </x:c>
      <x:c r="Q128" s="34" t="str"/>
      <x:c r="R128" s="34" t="str"/>
      <x:c r="S128" s="34" t="str"/>
      <x:c r="T128" s="34" t="str"/>
      <x:c r="U128" s="34" t="str"/>
      <x:c r="V128" s="34" t="str">
        <x:f>IF(A128="","",IF(N128&lt;5,"样本不足",IF(Q128&gt;=1,"优先复核",IF(AND(N128&gt;=20,P128&lt;0.35,K128&gt;=5),"停用候选",IF(AND(N128&gt;=10,P128&lt;0.45),"需修改候选",IF(AND(N128&gt;=10,P128&gt;=0.75,R128/N128&lt;=0.15,S128/N128&lt;=0.15),"升级候选",IF(R128/N128&gt;0.3,"收紧条件",IF(S128/N128&gt;0.3,"补漏／放宽","继续观察"))))))))</x:f>
        <x:v>样本不足</x:v>
      </x:c>
      <x:c r="W128" s="34" t="str">
        <x:f>IF(V128="","",IF(V128="升级候选","已验证候选",IF(V128="停用候选","停用候选",IF(OR(V128="需修改候选",V128="收紧条件",V128="补漏／放宽",V128="优先复核"),"需修改／复核","观察中"))))</x:f>
        <x:v>观察中</x:v>
      </x:c>
      <x:c r="X128" s="34" t="str"/>
      <x:c r="Y128" s="34" t="str"/>
    </x:row>
    <x:row r="129">
      <x:c r="A129" s="34" t="str">
        <x:v>M5-SYNTH-095</x:v>
      </x:c>
      <x:c r="B129" s="34" t="str">
        <x:v>SYNTH</x:v>
      </x:c>
      <x:c r="C129" s="34" t="str">
        <x:v>P0_SYNTH总合成</x:v>
      </x:c>
      <x:c r="D129" s="34" t="str">
        <x:v>同一event_id跨模块合并</x:v>
      </x:c>
      <x:c r="E129" s="34" t="str">
        <x:v>L2 功能族与候选标准化</x:v>
      </x:c>
      <x:c r="F129" s="34" t="str">
        <x:v>去重／路由</x:v>
      </x:c>
      <x:c r="G129" s="34" t="n">
        <x:v>94</x:v>
      </x:c>
      <x:c r="H129" s="34" t="str">
        <x:v>待验证</x:v>
      </x:c>
      <x:c r="I129" s="34" t="str"/>
      <x:c r="J129" s="34" t="str"/>
      <x:c r="K129" s="34" t="str"/>
      <x:c r="L129" s="34" t="str"/>
      <x:c r="M129" s="34" t="str"/>
      <x:c r="N129" s="34" t="n">
        <x:f>IF(A129="","",I129+J129+K129)</x:f>
        <x:v>0</x:v>
      </x:c>
      <x:c r="O129" s="56" t="str">
        <x:f>IF(N129=0,"",(I129+0.5*J129)/N129)</x:f>
      </x:c>
      <x:c r="P129" s="56" t="str">
        <x:f>IF(N129=0,"",(I129+0.5*J129+1)/(N129+2))</x:f>
      </x:c>
      <x:c r="Q129" s="34" t="str"/>
      <x:c r="R129" s="34" t="str"/>
      <x:c r="S129" s="34" t="str"/>
      <x:c r="T129" s="34" t="str"/>
      <x:c r="U129" s="34" t="str"/>
      <x:c r="V129" s="34" t="str">
        <x:f>IF(A129="","",IF(N129&lt;5,"样本不足",IF(Q129&gt;=1,"优先复核",IF(AND(N129&gt;=20,P129&lt;0.35,K129&gt;=5),"停用候选",IF(AND(N129&gt;=10,P129&lt;0.45),"需修改候选",IF(AND(N129&gt;=10,P129&gt;=0.75,R129/N129&lt;=0.15,S129/N129&lt;=0.15),"升级候选",IF(R129/N129&gt;0.3,"收紧条件",IF(S129/N129&gt;0.3,"补漏／放宽","继续观察"))))))))</x:f>
        <x:v>样本不足</x:v>
      </x:c>
      <x:c r="W129" s="34" t="str">
        <x:f>IF(V129="","",IF(V129="升级候选","已验证候选",IF(V129="停用候选","停用候选",IF(OR(V129="需修改候选",V129="收紧条件",V129="补漏／放宽",V129="优先复核"),"需修改／复核","观察中"))))</x:f>
        <x:v>观察中</x:v>
      </x:c>
      <x:c r="X129" s="34" t="str"/>
      <x:c r="Y129" s="34" t="str"/>
    </x:row>
    <x:row r="130">
      <x:c r="A130" s="34" t="str">
        <x:v>M5-SYNTH-096</x:v>
      </x:c>
      <x:c r="B130" s="34" t="str">
        <x:v>SYNTH</x:v>
      </x:c>
      <x:c r="C130" s="34" t="str">
        <x:v>P0_SYNTH总合成</x:v>
      </x:c>
      <x:c r="D130" s="34" t="str">
        <x:v>同一具体行为多种正向措辞归一</x:v>
      </x:c>
      <x:c r="E130" s="34" t="str">
        <x:v>L2 功能族与候选标准化</x:v>
      </x:c>
      <x:c r="F130" s="34" t="str">
        <x:v>去重／路由</x:v>
      </x:c>
      <x:c r="G130" s="34" t="n">
        <x:v>94</x:v>
      </x:c>
      <x:c r="H130" s="34" t="str">
        <x:v>待验证</x:v>
      </x:c>
      <x:c r="I130" s="34" t="str"/>
      <x:c r="J130" s="34" t="str"/>
      <x:c r="K130" s="34" t="str"/>
      <x:c r="L130" s="34" t="str"/>
      <x:c r="M130" s="34" t="str"/>
      <x:c r="N130" s="34" t="n">
        <x:f>IF(A130="","",I130+J130+K130)</x:f>
        <x:v>0</x:v>
      </x:c>
      <x:c r="O130" s="56" t="str">
        <x:f>IF(N130=0,"",(I130+0.5*J130)/N130)</x:f>
      </x:c>
      <x:c r="P130" s="56" t="str">
        <x:f>IF(N130=0,"",(I130+0.5*J130+1)/(N130+2))</x:f>
      </x:c>
      <x:c r="Q130" s="34" t="str"/>
      <x:c r="R130" s="34" t="str"/>
      <x:c r="S130" s="34" t="str"/>
      <x:c r="T130" s="34" t="str"/>
      <x:c r="U130" s="34" t="str"/>
      <x:c r="V130" s="34" t="str">
        <x:f>IF(A130="","",IF(N130&lt;5,"样本不足",IF(Q130&gt;=1,"优先复核",IF(AND(N130&gt;=20,P130&lt;0.35,K130&gt;=5),"停用候选",IF(AND(N130&gt;=10,P130&lt;0.45),"需修改候选",IF(AND(N130&gt;=10,P130&gt;=0.75,R130/N130&lt;=0.15,S130/N130&lt;=0.15),"升级候选",IF(R130/N130&gt;0.3,"收紧条件",IF(S130/N130&gt;0.3,"补漏／放宽","继续观察"))))))))</x:f>
        <x:v>样本不足</x:v>
      </x:c>
      <x:c r="W130" s="34" t="str">
        <x:f>IF(V130="","",IF(V130="升级候选","已验证候选",IF(V130="停用候选","停用候选",IF(OR(V130="需修改候选",V130="收紧条件",V130="补漏／放宽",V130="优先复核"),"需修改／复核","观察中"))))</x:f>
        <x:v>观察中</x:v>
      </x:c>
      <x:c r="X130" s="34" t="str"/>
      <x:c r="Y130" s="34" t="str"/>
    </x:row>
    <x:row r="131">
      <x:c r="A131" s="34" t="str">
        <x:v>M5-SYNTH-097</x:v>
      </x:c>
      <x:c r="B131" s="34" t="str">
        <x:v>SYNTH</x:v>
      </x:c>
      <x:c r="C131" s="34" t="str">
        <x:v>P0_SYNTH总合成</x:v>
      </x:c>
      <x:c r="D131" s="34" t="str">
        <x:v>同一关系任务不同代码收敛</x:v>
      </x:c>
      <x:c r="E131" s="34" t="str">
        <x:v>L2 功能族与候选标准化</x:v>
      </x:c>
      <x:c r="F131" s="34" t="str">
        <x:v>去重／路由</x:v>
      </x:c>
      <x:c r="G131" s="34" t="n">
        <x:v>94</x:v>
      </x:c>
      <x:c r="H131" s="34" t="str">
        <x:v>待验证</x:v>
      </x:c>
      <x:c r="I131" s="34" t="str"/>
      <x:c r="J131" s="34" t="str"/>
      <x:c r="K131" s="34" t="str"/>
      <x:c r="L131" s="34" t="str"/>
      <x:c r="M131" s="34" t="str"/>
      <x:c r="N131" s="34" t="n">
        <x:f>IF(A131="","",I131+J131+K131)</x:f>
        <x:v>0</x:v>
      </x:c>
      <x:c r="O131" s="56" t="str">
        <x:f>IF(N131=0,"",(I131+0.5*J131)/N131)</x:f>
      </x:c>
      <x:c r="P131" s="56" t="str">
        <x:f>IF(N131=0,"",(I131+0.5*J131+1)/(N131+2))</x:f>
      </x:c>
      <x:c r="Q131" s="34" t="str"/>
      <x:c r="R131" s="34" t="str"/>
      <x:c r="S131" s="34" t="str"/>
      <x:c r="T131" s="34" t="str"/>
      <x:c r="U131" s="34" t="str"/>
      <x:c r="V131" s="34" t="str">
        <x:f>IF(A131="","",IF(N131&lt;5,"样本不足",IF(Q131&gt;=1,"优先复核",IF(AND(N131&gt;=20,P131&lt;0.35,K131&gt;=5),"停用候选",IF(AND(N131&gt;=10,P131&lt;0.45),"需修改候选",IF(AND(N131&gt;=10,P131&gt;=0.75,R131/N131&lt;=0.15,S131/N131&lt;=0.15),"升级候选",IF(R131/N131&gt;0.3,"收紧条件",IF(S131/N131&gt;0.3,"补漏／放宽","继续观察"))))))))</x:f>
        <x:v>样本不足</x:v>
      </x:c>
      <x:c r="W131" s="34" t="str">
        <x:f>IF(V131="","",IF(V131="升级候选","已验证候选",IF(V131="停用候选","停用候选",IF(OR(V131="需修改候选",V131="收紧条件",V131="补漏／放宽",V131="优先复核"),"需修改／复核","观察中"))))</x:f>
        <x:v>观察中</x:v>
      </x:c>
      <x:c r="X131" s="34" t="str"/>
      <x:c r="Y131" s="34" t="str"/>
    </x:row>
    <x:row r="132">
      <x:c r="A132" s="34" t="str">
        <x:v>M5-SYNTH-098</x:v>
      </x:c>
      <x:c r="B132" s="34" t="str">
        <x:v>SYNTH</x:v>
      </x:c>
      <x:c r="C132" s="34" t="str">
        <x:v>P0_SYNTH总合成</x:v>
      </x:c>
      <x:c r="D132" s="34" t="str">
        <x:v>具体对象与理想画像分开</x:v>
      </x:c>
      <x:c r="E132" s="34" t="str">
        <x:v>L2 功能族与候选标准化</x:v>
      </x:c>
      <x:c r="F132" s="34" t="str">
        <x:v>去重／路由</x:v>
      </x:c>
      <x:c r="G132" s="34" t="n">
        <x:v>94</x:v>
      </x:c>
      <x:c r="H132" s="34" t="str">
        <x:v>待验证</x:v>
      </x:c>
      <x:c r="I132" s="34" t="str"/>
      <x:c r="J132" s="34" t="str"/>
      <x:c r="K132" s="34" t="str"/>
      <x:c r="L132" s="34" t="str"/>
      <x:c r="M132" s="34" t="str"/>
      <x:c r="N132" s="34" t="n">
        <x:f>IF(A132="","",I132+J132+K132)</x:f>
        <x:v>0</x:v>
      </x:c>
      <x:c r="O132" s="56" t="str">
        <x:f>IF(N132=0,"",(I132+0.5*J132)/N132)</x:f>
      </x:c>
      <x:c r="P132" s="56" t="str">
        <x:f>IF(N132=0,"",(I132+0.5*J132+1)/(N132+2))</x:f>
      </x:c>
      <x:c r="Q132" s="34" t="str"/>
      <x:c r="R132" s="34" t="str"/>
      <x:c r="S132" s="34" t="str"/>
      <x:c r="T132" s="34" t="str"/>
      <x:c r="U132" s="34" t="str"/>
      <x:c r="V132" s="34" t="str">
        <x:f>IF(A132="","",IF(N132&lt;5,"样本不足",IF(Q132&gt;=1,"优先复核",IF(AND(N132&gt;=20,P132&lt;0.35,K132&gt;=5),"停用候选",IF(AND(N132&gt;=10,P132&lt;0.45),"需修改候选",IF(AND(N132&gt;=10,P132&gt;=0.75,R132/N132&lt;=0.15,S132/N132&lt;=0.15),"升级候选",IF(R132/N132&gt;0.3,"收紧条件",IF(S132/N132&gt;0.3,"补漏／放宽","继续观察"))))))))</x:f>
        <x:v>样本不足</x:v>
      </x:c>
      <x:c r="W132" s="34" t="str">
        <x:f>IF(V132="","",IF(V132="升级候选","已验证候选",IF(V132="停用候选","停用候选",IF(OR(V132="需修改候选",V132="收紧条件",V132="补漏／放宽",V132="优先复核"),"需修改／复核","观察中"))))</x:f>
        <x:v>观察中</x:v>
      </x:c>
      <x:c r="X132" s="34" t="str"/>
      <x:c r="Y132" s="34" t="str"/>
    </x:row>
    <x:row r="133">
      <x:c r="A133" s="34" t="str">
        <x:v>M5-SYNTH-099</x:v>
      </x:c>
      <x:c r="B133" s="34" t="str">
        <x:v>SYNTH</x:v>
      </x:c>
      <x:c r="C133" s="34" t="str">
        <x:v>P0_SYNTH总合成</x:v>
      </x:c>
      <x:c r="D133" s="34" t="str">
        <x:v>用户需要与伴侣功能分开</x:v>
      </x:c>
      <x:c r="E133" s="34" t="str">
        <x:v>L2 功能族与候选标准化</x:v>
      </x:c>
      <x:c r="F133" s="34" t="str">
        <x:v>去重／路由</x:v>
      </x:c>
      <x:c r="G133" s="34" t="n">
        <x:v>94</x:v>
      </x:c>
      <x:c r="H133" s="34" t="str">
        <x:v>待验证</x:v>
      </x:c>
      <x:c r="I133" s="34" t="str"/>
      <x:c r="J133" s="34" t="str"/>
      <x:c r="K133" s="34" t="str"/>
      <x:c r="L133" s="34" t="str"/>
      <x:c r="M133" s="34" t="str"/>
      <x:c r="N133" s="34" t="n">
        <x:f>IF(A133="","",I133+J133+K133)</x:f>
        <x:v>0</x:v>
      </x:c>
      <x:c r="O133" s="56" t="str">
        <x:f>IF(N133=0,"",(I133+0.5*J133)/N133)</x:f>
      </x:c>
      <x:c r="P133" s="56" t="str">
        <x:f>IF(N133=0,"",(I133+0.5*J133+1)/(N133+2))</x:f>
      </x:c>
      <x:c r="Q133" s="34" t="str"/>
      <x:c r="R133" s="34" t="str"/>
      <x:c r="S133" s="34" t="str"/>
      <x:c r="T133" s="34" t="str"/>
      <x:c r="U133" s="34" t="str"/>
      <x:c r="V133" s="34" t="str">
        <x:f>IF(A133="","",IF(N133&lt;5,"样本不足",IF(Q133&gt;=1,"优先复核",IF(AND(N133&gt;=20,P133&lt;0.35,K133&gt;=5),"停用候选",IF(AND(N133&gt;=10,P133&lt;0.45),"需修改候选",IF(AND(N133&gt;=10,P133&gt;=0.75,R133/N133&lt;=0.15,S133/N133&lt;=0.15),"升级候选",IF(R133/N133&gt;0.3,"收紧条件",IF(S133/N133&gt;0.3,"补漏／放宽","继续观察"))))))))</x:f>
        <x:v>样本不足</x:v>
      </x:c>
      <x:c r="W133" s="34" t="str">
        <x:f>IF(V133="","",IF(V133="升级候选","已验证候选",IF(V133="停用候选","停用候选",IF(OR(V133="需修改候选",V133="收紧条件",V133="补漏／放宽",V133="优先复核"),"需修改／复核","观察中"))))</x:f>
        <x:v>观察中</x:v>
      </x:c>
      <x:c r="X133" s="34" t="str"/>
      <x:c r="Y133" s="34" t="str"/>
    </x:row>
    <x:row r="134">
      <x:c r="A134" s="34" t="str">
        <x:v>M5-SYNTH-100</x:v>
      </x:c>
      <x:c r="B134" s="34" t="str">
        <x:v>SYNTH</x:v>
      </x:c>
      <x:c r="C134" s="34" t="str">
        <x:v>P0_SYNTH总合成</x:v>
      </x:c>
      <x:c r="D134" s="34" t="str">
        <x:v>伴侣个人能力与双人交换分开</x:v>
      </x:c>
      <x:c r="E134" s="34" t="str">
        <x:v>L2 功能族与候选标准化</x:v>
      </x:c>
      <x:c r="F134" s="34" t="str">
        <x:v>去重／路由</x:v>
      </x:c>
      <x:c r="G134" s="34" t="n">
        <x:v>94</x:v>
      </x:c>
      <x:c r="H134" s="34" t="str">
        <x:v>待验证</x:v>
      </x:c>
      <x:c r="I134" s="34" t="str"/>
      <x:c r="J134" s="34" t="str"/>
      <x:c r="K134" s="34" t="str"/>
      <x:c r="L134" s="34" t="str"/>
      <x:c r="M134" s="34" t="str"/>
      <x:c r="N134" s="34" t="n">
        <x:f>IF(A134="","",I134+J134+K134)</x:f>
        <x:v>0</x:v>
      </x:c>
      <x:c r="O134" s="56" t="str">
        <x:f>IF(N134=0,"",(I134+0.5*J134)/N134)</x:f>
      </x:c>
      <x:c r="P134" s="56" t="str">
        <x:f>IF(N134=0,"",(I134+0.5*J134+1)/(N134+2))</x:f>
      </x:c>
      <x:c r="Q134" s="34" t="str"/>
      <x:c r="R134" s="34" t="str"/>
      <x:c r="S134" s="34" t="str"/>
      <x:c r="T134" s="34" t="str"/>
      <x:c r="U134" s="34" t="str"/>
      <x:c r="V134" s="34" t="str">
        <x:f>IF(A134="","",IF(N134&lt;5,"样本不足",IF(Q134&gt;=1,"优先复核",IF(AND(N134&gt;=20,P134&lt;0.35,K134&gt;=5),"停用候选",IF(AND(N134&gt;=10,P134&lt;0.45),"需修改候选",IF(AND(N134&gt;=10,P134&gt;=0.75,R134/N134&lt;=0.15,S134/N134&lt;=0.15),"升级候选",IF(R134/N134&gt;0.3,"收紧条件",IF(S134/N134&gt;0.3,"补漏／放宽","继续观察"))))))))</x:f>
        <x:v>样本不足</x:v>
      </x:c>
      <x:c r="W134" s="34" t="str">
        <x:f>IF(V134="","",IF(V134="升级候选","已验证候选",IF(V134="停用候选","停用候选",IF(OR(V134="需修改候选",V134="收紧条件",V134="补漏／放宽",V134="优先复核"),"需修改／复核","观察中"))))</x:f>
        <x:v>观察中</x:v>
      </x:c>
      <x:c r="X134" s="34" t="str"/>
      <x:c r="Y134" s="34" t="str"/>
    </x:row>
    <x:row r="135">
      <x:c r="A135" s="34" t="str">
        <x:v>M5-SYNTH-101</x:v>
      </x:c>
      <x:c r="B135" s="34" t="str">
        <x:v>SYNTH</x:v>
      </x:c>
      <x:c r="C135" s="34" t="str">
        <x:v>P0_SYNTH总合成</x:v>
      </x:c>
      <x:c r="D135" s="34" t="str">
        <x:v>交换成熟与边界成熟分开</x:v>
      </x:c>
      <x:c r="E135" s="34" t="str">
        <x:v>L2 功能族与候选标准化</x:v>
      </x:c>
      <x:c r="F135" s="34" t="str">
        <x:v>去重／路由</x:v>
      </x:c>
      <x:c r="G135" s="34" t="n">
        <x:v>94</x:v>
      </x:c>
      <x:c r="H135" s="34" t="str">
        <x:v>待验证</x:v>
      </x:c>
      <x:c r="I135" s="34" t="str"/>
      <x:c r="J135" s="34" t="str"/>
      <x:c r="K135" s="34" t="str"/>
      <x:c r="L135" s="34" t="str"/>
      <x:c r="M135" s="34" t="str"/>
      <x:c r="N135" s="34" t="n">
        <x:f>IF(A135="","",I135+J135+K135)</x:f>
        <x:v>0</x:v>
      </x:c>
      <x:c r="O135" s="56" t="str">
        <x:f>IF(N135=0,"",(I135+0.5*J135)/N135)</x:f>
      </x:c>
      <x:c r="P135" s="56" t="str">
        <x:f>IF(N135=0,"",(I135+0.5*J135+1)/(N135+2))</x:f>
      </x:c>
      <x:c r="Q135" s="34" t="str"/>
      <x:c r="R135" s="34" t="str"/>
      <x:c r="S135" s="34" t="str"/>
      <x:c r="T135" s="34" t="str"/>
      <x:c r="U135" s="34" t="str"/>
      <x:c r="V135" s="34" t="str">
        <x:f>IF(A135="","",IF(N135&lt;5,"样本不足",IF(Q135&gt;=1,"优先复核",IF(AND(N135&gt;=20,P135&lt;0.35,K135&gt;=5),"停用候选",IF(AND(N135&gt;=10,P135&lt;0.45),"需修改候选",IF(AND(N135&gt;=10,P135&gt;=0.75,R135/N135&lt;=0.15,S135/N135&lt;=0.15),"升级候选",IF(R135/N135&gt;0.3,"收紧条件",IF(S135/N135&gt;0.3,"补漏／放宽","继续观察"))))))))</x:f>
        <x:v>样本不足</x:v>
      </x:c>
      <x:c r="W135" s="34" t="str">
        <x:f>IF(V135="","",IF(V135="升级候选","已验证候选",IF(V135="停用候选","停用候选",IF(OR(V135="需修改候选",V135="收紧条件",V135="补漏／放宽",V135="优先复核"),"需修改／复核","观察中"))))</x:f>
        <x:v>观察中</x:v>
      </x:c>
      <x:c r="X135" s="34" t="str"/>
      <x:c r="Y135" s="34" t="str"/>
    </x:row>
    <x:row r="136">
      <x:c r="A136" s="34" t="str">
        <x:v>M5-SYNTH-102</x:v>
      </x:c>
      <x:c r="B136" s="34" t="str">
        <x:v>SYNTH</x:v>
      </x:c>
      <x:c r="C136" s="34" t="str">
        <x:v>P0_SYNTH总合成</x:v>
      </x:c>
      <x:c r="D136" s="34" t="str">
        <x:v>边界成熟与修复成熟分开</x:v>
      </x:c>
      <x:c r="E136" s="34" t="str">
        <x:v>L2 功能族与候选标准化</x:v>
      </x:c>
      <x:c r="F136" s="34" t="str">
        <x:v>去重／路由</x:v>
      </x:c>
      <x:c r="G136" s="34" t="n">
        <x:v>94</x:v>
      </x:c>
      <x:c r="H136" s="34" t="str">
        <x:v>待验证</x:v>
      </x:c>
      <x:c r="I136" s="34" t="str"/>
      <x:c r="J136" s="34" t="str"/>
      <x:c r="K136" s="34" t="str"/>
      <x:c r="L136" s="34" t="str"/>
      <x:c r="M136" s="34" t="str"/>
      <x:c r="N136" s="34" t="n">
        <x:f>IF(A136="","",I136+J136+K136)</x:f>
        <x:v>0</x:v>
      </x:c>
      <x:c r="O136" s="56" t="str">
        <x:f>IF(N136=0,"",(I136+0.5*J136)/N136)</x:f>
      </x:c>
      <x:c r="P136" s="56" t="str">
        <x:f>IF(N136=0,"",(I136+0.5*J136+1)/(N136+2))</x:f>
      </x:c>
      <x:c r="Q136" s="34" t="str"/>
      <x:c r="R136" s="34" t="str"/>
      <x:c r="S136" s="34" t="str"/>
      <x:c r="T136" s="34" t="str"/>
      <x:c r="U136" s="34" t="str"/>
      <x:c r="V136" s="34" t="str">
        <x:f>IF(A136="","",IF(N136&lt;5,"样本不足",IF(Q136&gt;=1,"优先复核",IF(AND(N136&gt;=20,P136&lt;0.35,K136&gt;=5),"停用候选",IF(AND(N136&gt;=10,P136&lt;0.45),"需修改候选",IF(AND(N136&gt;=10,P136&gt;=0.75,R136/N136&lt;=0.15,S136/N136&lt;=0.15),"升级候选",IF(R136/N136&gt;0.3,"收紧条件",IF(S136/N136&gt;0.3,"补漏／放宽","继续观察"))))))))</x:f>
        <x:v>样本不足</x:v>
      </x:c>
      <x:c r="W136" s="34" t="str">
        <x:f>IF(V136="","",IF(V136="升级候选","已验证候选",IF(V136="停用候选","停用候选",IF(OR(V136="需修改候选",V136="收紧条件",V136="补漏／放宽",V136="优先复核"),"需修改／复核","观察中"))))</x:f>
        <x:v>观察中</x:v>
      </x:c>
      <x:c r="X136" s="34" t="str"/>
      <x:c r="Y136" s="34" t="str"/>
    </x:row>
    <x:row r="137">
      <x:c r="A137" s="34" t="str">
        <x:v>M5-SYNTH-103</x:v>
      </x:c>
      <x:c r="B137" s="34" t="str">
        <x:v>SYNTH</x:v>
      </x:c>
      <x:c r="C137" s="34" t="str">
        <x:v>P0_SYNTH总合成</x:v>
      </x:c>
      <x:c r="D137" s="34" t="str">
        <x:v>修复成熟与节奏成熟分开</x:v>
      </x:c>
      <x:c r="E137" s="34" t="str">
        <x:v>L2 功能族与候选标准化</x:v>
      </x:c>
      <x:c r="F137" s="34" t="str">
        <x:v>去重／路由</x:v>
      </x:c>
      <x:c r="G137" s="34" t="n">
        <x:v>94</x:v>
      </x:c>
      <x:c r="H137" s="34" t="str">
        <x:v>待验证</x:v>
      </x:c>
      <x:c r="I137" s="34" t="str"/>
      <x:c r="J137" s="34" t="str"/>
      <x:c r="K137" s="34" t="str"/>
      <x:c r="L137" s="34" t="str"/>
      <x:c r="M137" s="34" t="str"/>
      <x:c r="N137" s="34" t="n">
        <x:f>IF(A137="","",I137+J137+K137)</x:f>
        <x:v>0</x:v>
      </x:c>
      <x:c r="O137" s="56" t="str">
        <x:f>IF(N137=0,"",(I137+0.5*J137)/N137)</x:f>
      </x:c>
      <x:c r="P137" s="56" t="str">
        <x:f>IF(N137=0,"",(I137+0.5*J137+1)/(N137+2))</x:f>
      </x:c>
      <x:c r="Q137" s="34" t="str"/>
      <x:c r="R137" s="34" t="str"/>
      <x:c r="S137" s="34" t="str"/>
      <x:c r="T137" s="34" t="str"/>
      <x:c r="U137" s="34" t="str"/>
      <x:c r="V137" s="34" t="str">
        <x:f>IF(A137="","",IF(N137&lt;5,"样本不足",IF(Q137&gt;=1,"优先复核",IF(AND(N137&gt;=20,P137&lt;0.35,K137&gt;=5),"停用候选",IF(AND(N137&gt;=10,P137&lt;0.45),"需修改候选",IF(AND(N137&gt;=10,P137&gt;=0.75,R137/N137&lt;=0.15,S137/N137&lt;=0.15),"升级候选",IF(R137/N137&gt;0.3,"收紧条件",IF(S137/N137&gt;0.3,"补漏／放宽","继续观察"))))))))</x:f>
        <x:v>样本不足</x:v>
      </x:c>
      <x:c r="W137" s="34" t="str">
        <x:f>IF(V137="","",IF(V137="升级候选","已验证候选",IF(V137="停用候选","停用候选",IF(OR(V137="需修改候选",V137="收紧条件",V137="补漏／放宽",V137="优先复核"),"需修改／复核","观察中"))))</x:f>
        <x:v>观察中</x:v>
      </x:c>
      <x:c r="X137" s="34" t="str"/>
      <x:c r="Y137" s="34" t="str"/>
    </x:row>
    <x:row r="138">
      <x:c r="A138" s="34" t="str">
        <x:v>M5-SYNTH-104</x:v>
      </x:c>
      <x:c r="B138" s="34" t="str">
        <x:v>SYNTH</x:v>
      </x:c>
      <x:c r="C138" s="34" t="str">
        <x:v>P0_SYNTH总合成</x:v>
      </x:c>
      <x:c r="D138" s="34" t="str">
        <x:v>GAP上下游链条收敛</x:v>
      </x:c>
      <x:c r="E138" s="34" t="str">
        <x:v>L2 功能族与候选标准化</x:v>
      </x:c>
      <x:c r="F138" s="34" t="str">
        <x:v>去重／路由</x:v>
      </x:c>
      <x:c r="G138" s="34" t="n">
        <x:v>94</x:v>
      </x:c>
      <x:c r="H138" s="34" t="str">
        <x:v>待验证</x:v>
      </x:c>
      <x:c r="I138" s="34" t="str"/>
      <x:c r="J138" s="34" t="str"/>
      <x:c r="K138" s="34" t="str"/>
      <x:c r="L138" s="34" t="str"/>
      <x:c r="M138" s="34" t="str"/>
      <x:c r="N138" s="34" t="n">
        <x:f>IF(A138="","",I138+J138+K138)</x:f>
        <x:v>0</x:v>
      </x:c>
      <x:c r="O138" s="56" t="str">
        <x:f>IF(N138=0,"",(I138+0.5*J138)/N138)</x:f>
      </x:c>
      <x:c r="P138" s="56" t="str">
        <x:f>IF(N138=0,"",(I138+0.5*J138+1)/(N138+2))</x:f>
      </x:c>
      <x:c r="Q138" s="34" t="str"/>
      <x:c r="R138" s="34" t="str"/>
      <x:c r="S138" s="34" t="str"/>
      <x:c r="T138" s="34" t="str"/>
      <x:c r="U138" s="34" t="str"/>
      <x:c r="V138" s="34" t="str">
        <x:f>IF(A138="","",IF(N138&lt;5,"样本不足",IF(Q138&gt;=1,"优先复核",IF(AND(N138&gt;=20,P138&lt;0.35,K138&gt;=5),"停用候选",IF(AND(N138&gt;=10,P138&lt;0.45),"需修改候选",IF(AND(N138&gt;=10,P138&gt;=0.75,R138/N138&lt;=0.15,S138/N138&lt;=0.15),"升级候选",IF(R138/N138&gt;0.3,"收紧条件",IF(S138/N138&gt;0.3,"补漏／放宽","继续观察"))))))))</x:f>
        <x:v>样本不足</x:v>
      </x:c>
      <x:c r="W138" s="34" t="str">
        <x:f>IF(V138="","",IF(V138="升级候选","已验证候选",IF(V138="停用候选","停用候选",IF(OR(V138="需修改候选",V138="收紧条件",V138="补漏／放宽",V138="优先复核"),"需修改／复核","观察中"))))</x:f>
        <x:v>观察中</x:v>
      </x:c>
      <x:c r="X138" s="34" t="str"/>
      <x:c r="Y138" s="34" t="str"/>
    </x:row>
    <x:row r="139">
      <x:c r="A139" s="34" t="str">
        <x:v>M5-SYNTH-105</x:v>
      </x:c>
      <x:c r="B139" s="34" t="str">
        <x:v>SYNTH</x:v>
      </x:c>
      <x:c r="C139" s="34" t="str">
        <x:v>P0_SYNTH总合成</x:v>
      </x:c>
      <x:c r="D139" s="34" t="str">
        <x:v>真合化替换｜原功能基础分清零</x:v>
      </x:c>
      <x:c r="E139" s="34" t="str">
        <x:v>L2 功能族与候选标准化</x:v>
      </x:c>
      <x:c r="F139" s="34" t="str">
        <x:v>去重／路由</x:v>
      </x:c>
      <x:c r="G139" s="34" t="n">
        <x:v>94</x:v>
      </x:c>
      <x:c r="H139" s="34" t="str">
        <x:v>待验证</x:v>
      </x:c>
      <x:c r="I139" s="34" t="str"/>
      <x:c r="J139" s="34" t="str"/>
      <x:c r="K139" s="34" t="str"/>
      <x:c r="L139" s="34" t="str"/>
      <x:c r="M139" s="34" t="str"/>
      <x:c r="N139" s="34" t="n">
        <x:f>IF(A139="","",I139+J139+K139)</x:f>
        <x:v>0</x:v>
      </x:c>
      <x:c r="O139" s="56" t="str">
        <x:f>IF(N139=0,"",(I139+0.5*J139)/N139)</x:f>
      </x:c>
      <x:c r="P139" s="56" t="str">
        <x:f>IF(N139=0,"",(I139+0.5*J139+1)/(N139+2))</x:f>
      </x:c>
      <x:c r="Q139" s="34" t="str"/>
      <x:c r="R139" s="34" t="str"/>
      <x:c r="S139" s="34" t="str"/>
      <x:c r="T139" s="34" t="str"/>
      <x:c r="U139" s="34" t="str"/>
      <x:c r="V139" s="34" t="str">
        <x:f>IF(A139="","",IF(N139&lt;5,"样本不足",IF(Q139&gt;=1,"优先复核",IF(AND(N139&gt;=20,P139&lt;0.35,K139&gt;=5),"停用候选",IF(AND(N139&gt;=10,P139&lt;0.45),"需修改候选",IF(AND(N139&gt;=10,P139&gt;=0.75,R139/N139&lt;=0.15,S139/N139&lt;=0.15),"升级候选",IF(R139/N139&gt;0.3,"收紧条件",IF(S139/N139&gt;0.3,"补漏／放宽","继续观察"))))))))</x:f>
        <x:v>样本不足</x:v>
      </x:c>
      <x:c r="W139" s="34" t="str">
        <x:f>IF(V139="","",IF(V139="升级候选","已验证候选",IF(V139="停用候选","停用候选",IF(OR(V139="需修改候选",V139="收紧条件",V139="补漏／放宽",V139="优先复核"),"需修改／复核","观察中"))))</x:f>
        <x:v>观察中</x:v>
      </x:c>
      <x:c r="X139" s="34" t="str"/>
      <x:c r="Y139" s="34" t="str"/>
    </x:row>
    <x:row r="140">
      <x:c r="A140" s="34" t="str">
        <x:v>M5-SYNTH-106</x:v>
      </x:c>
      <x:c r="B140" s="34" t="str">
        <x:v>SYNTH</x:v>
      </x:c>
      <x:c r="C140" s="34" t="str">
        <x:v>P0_SYNTH总合成</x:v>
      </x:c>
      <x:c r="D140" s="34" t="str">
        <x:v>合而不化｜保留原功能只加动态修正</x:v>
      </x:c>
      <x:c r="E140" s="34" t="str">
        <x:v>L2 功能族与候选标准化</x:v>
      </x:c>
      <x:c r="F140" s="34" t="str">
        <x:v>去重／路由</x:v>
      </x:c>
      <x:c r="G140" s="34" t="n">
        <x:v>94</x:v>
      </x:c>
      <x:c r="H140" s="34" t="str">
        <x:v>待验证</x:v>
      </x:c>
      <x:c r="I140" s="34" t="str"/>
      <x:c r="J140" s="34" t="str"/>
      <x:c r="K140" s="34" t="str"/>
      <x:c r="L140" s="34" t="str"/>
      <x:c r="M140" s="34" t="str"/>
      <x:c r="N140" s="34" t="n">
        <x:f>IF(A140="","",I140+J140+K140)</x:f>
        <x:v>0</x:v>
      </x:c>
      <x:c r="O140" s="56" t="str">
        <x:f>IF(N140=0,"",(I140+0.5*J140)/N140)</x:f>
      </x:c>
      <x:c r="P140" s="56" t="str">
        <x:f>IF(N140=0,"",(I140+0.5*J140+1)/(N140+2))</x:f>
      </x:c>
      <x:c r="Q140" s="34" t="str"/>
      <x:c r="R140" s="34" t="str"/>
      <x:c r="S140" s="34" t="str"/>
      <x:c r="T140" s="34" t="str"/>
      <x:c r="U140" s="34" t="str"/>
      <x:c r="V140" s="34" t="str">
        <x:f>IF(A140="","",IF(N140&lt;5,"样本不足",IF(Q140&gt;=1,"优先复核",IF(AND(N140&gt;=20,P140&lt;0.35,K140&gt;=5),"停用候选",IF(AND(N140&gt;=10,P140&lt;0.45),"需修改候选",IF(AND(N140&gt;=10,P140&gt;=0.75,R140/N140&lt;=0.15,S140/N140&lt;=0.15),"升级候选",IF(R140/N140&gt;0.3,"收紧条件",IF(S140/N140&gt;0.3,"补漏／放宽","继续观察"))))))))</x:f>
        <x:v>样本不足</x:v>
      </x:c>
      <x:c r="W140" s="34" t="str">
        <x:f>IF(V140="","",IF(V140="升级候选","已验证候选",IF(V140="停用候选","停用候选",IF(OR(V140="需修改候选",V140="收紧条件",V140="补漏／放宽",V140="优先复核"),"需修改／复核","观察中"))))</x:f>
        <x:v>观察中</x:v>
      </x:c>
      <x:c r="X140" s="34" t="str"/>
      <x:c r="Y140" s="34" t="str"/>
    </x:row>
    <x:row r="141">
      <x:c r="A141" s="34" t="str">
        <x:v>M5-SYNTH-107</x:v>
      </x:c>
      <x:c r="B141" s="34" t="str">
        <x:v>SYNTH</x:v>
      </x:c>
      <x:c r="C141" s="34" t="str">
        <x:v>P0_SYNTH总合成</x:v>
      </x:c>
      <x:c r="D141" s="34" t="str">
        <x:v>潜在资源与现实已调用分开</x:v>
      </x:c>
      <x:c r="E141" s="34" t="str">
        <x:v>L2 功能族与候选标准化</x:v>
      </x:c>
      <x:c r="F141" s="34" t="str">
        <x:v>去重／路由</x:v>
      </x:c>
      <x:c r="G141" s="34" t="n">
        <x:v>94</x:v>
      </x:c>
      <x:c r="H141" s="34" t="str">
        <x:v>待验证</x:v>
      </x:c>
      <x:c r="I141" s="34" t="str"/>
      <x:c r="J141" s="34" t="str"/>
      <x:c r="K141" s="34" t="str"/>
      <x:c r="L141" s="34" t="str"/>
      <x:c r="M141" s="34" t="str"/>
      <x:c r="N141" s="34" t="n">
        <x:f>IF(A141="","",I141+J141+K141)</x:f>
        <x:v>0</x:v>
      </x:c>
      <x:c r="O141" s="56" t="str">
        <x:f>IF(N141=0,"",(I141+0.5*J141)/N141)</x:f>
      </x:c>
      <x:c r="P141" s="56" t="str">
        <x:f>IF(N141=0,"",(I141+0.5*J141+1)/(N141+2))</x:f>
      </x:c>
      <x:c r="Q141" s="34" t="str"/>
      <x:c r="R141" s="34" t="str"/>
      <x:c r="S141" s="34" t="str"/>
      <x:c r="T141" s="34" t="str"/>
      <x:c r="U141" s="34" t="str"/>
      <x:c r="V141" s="34" t="str">
        <x:f>IF(A141="","",IF(N141&lt;5,"样本不足",IF(Q141&gt;=1,"优先复核",IF(AND(N141&gt;=20,P141&lt;0.35,K141&gt;=5),"停用候选",IF(AND(N141&gt;=10,P141&lt;0.45),"需修改候选",IF(AND(N141&gt;=10,P141&gt;=0.75,R141/N141&lt;=0.15,S141/N141&lt;=0.15),"升级候选",IF(R141/N141&gt;0.3,"收紧条件",IF(S141/N141&gt;0.3,"补漏／放宽","继续观察"))))))))</x:f>
        <x:v>样本不足</x:v>
      </x:c>
      <x:c r="W141" s="34" t="str">
        <x:f>IF(V141="","",IF(V141="升级候选","已验证候选",IF(V141="停用候选","停用候选",IF(OR(V141="需修改候选",V141="收紧条件",V141="补漏／放宽",V141="优先复核"),"需修改／复核","观察中"))))</x:f>
        <x:v>观察中</x:v>
      </x:c>
      <x:c r="X141" s="34" t="str"/>
      <x:c r="Y141" s="34" t="str"/>
    </x:row>
    <x:row r="142">
      <x:c r="A142" s="34" t="str">
        <x:v>M5-SYNTH-108</x:v>
      </x:c>
      <x:c r="B142" s="34" t="str">
        <x:v>SYNTH</x:v>
      </x:c>
      <x:c r="C142" s="34" t="str">
        <x:v>P0_SYNTH总合成</x:v>
      </x:c>
      <x:c r="D142" s="34" t="str">
        <x:v>历史模式与当前状态分开</x:v>
      </x:c>
      <x:c r="E142" s="34" t="str">
        <x:v>L2 功能族与候选标准化</x:v>
      </x:c>
      <x:c r="F142" s="34" t="str">
        <x:v>去重／路由</x:v>
      </x:c>
      <x:c r="G142" s="34" t="n">
        <x:v>94</x:v>
      </x:c>
      <x:c r="H142" s="34" t="str">
        <x:v>待验证</x:v>
      </x:c>
      <x:c r="I142" s="34" t="str"/>
      <x:c r="J142" s="34" t="str"/>
      <x:c r="K142" s="34" t="str"/>
      <x:c r="L142" s="34" t="str"/>
      <x:c r="M142" s="34" t="str"/>
      <x:c r="N142" s="34" t="n">
        <x:f>IF(A142="","",I142+J142+K142)</x:f>
        <x:v>0</x:v>
      </x:c>
      <x:c r="O142" s="56" t="str">
        <x:f>IF(N142=0,"",(I142+0.5*J142)/N142)</x:f>
      </x:c>
      <x:c r="P142" s="56" t="str">
        <x:f>IF(N142=0,"",(I142+0.5*J142+1)/(N142+2))</x:f>
      </x:c>
      <x:c r="Q142" s="34" t="str"/>
      <x:c r="R142" s="34" t="str"/>
      <x:c r="S142" s="34" t="str"/>
      <x:c r="T142" s="34" t="str"/>
      <x:c r="U142" s="34" t="str"/>
      <x:c r="V142" s="34" t="str">
        <x:f>IF(A142="","",IF(N142&lt;5,"样本不足",IF(Q142&gt;=1,"优先复核",IF(AND(N142&gt;=20,P142&lt;0.35,K142&gt;=5),"停用候选",IF(AND(N142&gt;=10,P142&lt;0.45),"需修改候选",IF(AND(N142&gt;=10,P142&gt;=0.75,R142/N142&lt;=0.15,S142/N142&lt;=0.15),"升级候选",IF(R142/N142&gt;0.3,"收紧条件",IF(S142/N142&gt;0.3,"补漏／放宽","继续观察"))))))))</x:f>
        <x:v>样本不足</x:v>
      </x:c>
      <x:c r="W142" s="34" t="str">
        <x:f>IF(V142="","",IF(V142="升级候选","已验证候选",IF(V142="停用候选","停用候选",IF(OR(V142="需修改候选",V142="收紧条件",V142="补漏／放宽",V142="优先复核"),"需修改／复核","观察中"))))</x:f>
        <x:v>观察中</x:v>
      </x:c>
      <x:c r="X142" s="34" t="str"/>
      <x:c r="Y142" s="34" t="str"/>
    </x:row>
    <x:row r="143">
      <x:c r="A143" s="34" t="str">
        <x:v>M5-SYNTH-109</x:v>
      </x:c>
      <x:c r="B143" s="34" t="str">
        <x:v>SYNTH</x:v>
      </x:c>
      <x:c r="C143" s="34" t="str">
        <x:v>P0_SYNTH总合成</x:v>
      </x:c>
      <x:c r="D143" s="34" t="str">
        <x:v>同一对象不同情境按event_id判断独立性</x:v>
      </x:c>
      <x:c r="E143" s="34" t="str">
        <x:v>L2 功能族与候选标准化</x:v>
      </x:c>
      <x:c r="F143" s="34" t="str">
        <x:v>去重／路由</x:v>
      </x:c>
      <x:c r="G143" s="34" t="n">
        <x:v>94</x:v>
      </x:c>
      <x:c r="H143" s="34" t="str">
        <x:v>待验证</x:v>
      </x:c>
      <x:c r="I143" s="34" t="str"/>
      <x:c r="J143" s="34" t="str"/>
      <x:c r="K143" s="34" t="str"/>
      <x:c r="L143" s="34" t="str"/>
      <x:c r="M143" s="34" t="str"/>
      <x:c r="N143" s="34" t="n">
        <x:f>IF(A143="","",I143+J143+K143)</x:f>
        <x:v>0</x:v>
      </x:c>
      <x:c r="O143" s="56" t="str">
        <x:f>IF(N143=0,"",(I143+0.5*J143)/N143)</x:f>
      </x:c>
      <x:c r="P143" s="56" t="str">
        <x:f>IF(N143=0,"",(I143+0.5*J143+1)/(N143+2))</x:f>
      </x:c>
      <x:c r="Q143" s="34" t="str"/>
      <x:c r="R143" s="34" t="str"/>
      <x:c r="S143" s="34" t="str"/>
      <x:c r="T143" s="34" t="str"/>
      <x:c r="U143" s="34" t="str"/>
      <x:c r="V143" s="34" t="str">
        <x:f>IF(A143="","",IF(N143&lt;5,"样本不足",IF(Q143&gt;=1,"优先复核",IF(AND(N143&gt;=20,P143&lt;0.35,K143&gt;=5),"停用候选",IF(AND(N143&gt;=10,P143&lt;0.45),"需修改候选",IF(AND(N143&gt;=10,P143&gt;=0.75,R143/N143&lt;=0.15,S143/N143&lt;=0.15),"升级候选",IF(R143/N143&gt;0.3,"收紧条件",IF(S143/N143&gt;0.3,"补漏／放宽","继续观察"))))))))</x:f>
        <x:v>样本不足</x:v>
      </x:c>
      <x:c r="W143" s="34" t="str">
        <x:f>IF(V143="","",IF(V143="升级候选","已验证候选",IF(V143="停用候选","停用候选",IF(OR(V143="需修改候选",V143="收紧条件",V143="补漏／放宽",V143="优先复核"),"需修改／复核","观察中"))))</x:f>
        <x:v>观察中</x:v>
      </x:c>
      <x:c r="X143" s="34" t="str"/>
      <x:c r="Y143" s="34" t="str"/>
    </x:row>
    <x:row r="144">
      <x:c r="A144" s="34" t="str">
        <x:v>M5-SYNTH-110</x:v>
      </x:c>
      <x:c r="B144" s="34" t="str">
        <x:v>SYNTH</x:v>
      </x:c>
      <x:c r="C144" s="34" t="str">
        <x:v>P0_SYNTH总合成</x:v>
      </x:c>
      <x:c r="D144" s="34" t="str">
        <x:v>不同对象相似行为可支持跨情境但不证明当前对象</x:v>
      </x:c>
      <x:c r="E144" s="34" t="str">
        <x:v>L2 功能族与候选标准化</x:v>
      </x:c>
      <x:c r="F144" s="34" t="str">
        <x:v>去重／路由</x:v>
      </x:c>
      <x:c r="G144" s="34" t="n">
        <x:v>94</x:v>
      </x:c>
      <x:c r="H144" s="34" t="str">
        <x:v>待验证</x:v>
      </x:c>
      <x:c r="I144" s="34" t="str"/>
      <x:c r="J144" s="34" t="str"/>
      <x:c r="K144" s="34" t="str"/>
      <x:c r="L144" s="34" t="str"/>
      <x:c r="M144" s="34" t="str"/>
      <x:c r="N144" s="34" t="n">
        <x:f>IF(A144="","",I144+J144+K144)</x:f>
        <x:v>0</x:v>
      </x:c>
      <x:c r="O144" s="56" t="str">
        <x:f>IF(N144=0,"",(I144+0.5*J144)/N144)</x:f>
      </x:c>
      <x:c r="P144" s="56" t="str">
        <x:f>IF(N144=0,"",(I144+0.5*J144+1)/(N144+2))</x:f>
      </x:c>
      <x:c r="Q144" s="34" t="str"/>
      <x:c r="R144" s="34" t="str"/>
      <x:c r="S144" s="34" t="str"/>
      <x:c r="T144" s="34" t="str"/>
      <x:c r="U144" s="34" t="str"/>
      <x:c r="V144" s="34" t="str">
        <x:f>IF(A144="","",IF(N144&lt;5,"样本不足",IF(Q144&gt;=1,"优先复核",IF(AND(N144&gt;=20,P144&lt;0.35,K144&gt;=5),"停用候选",IF(AND(N144&gt;=10,P144&lt;0.45),"需修改候选",IF(AND(N144&gt;=10,P144&gt;=0.75,R144/N144&lt;=0.15,S144/N144&lt;=0.15),"升级候选",IF(R144/N144&gt;0.3,"收紧条件",IF(S144/N144&gt;0.3,"补漏／放宽","继续观察"))))))))</x:f>
        <x:v>样本不足</x:v>
      </x:c>
      <x:c r="W144" s="34" t="str">
        <x:f>IF(V144="","",IF(V144="升级候选","已验证候选",IF(V144="停用候选","停用候选",IF(OR(V144="需修改候选",V144="收紧条件",V144="补漏／放宽",V144="优先复核"),"需修改／复核","观察中"))))</x:f>
        <x:v>观察中</x:v>
      </x:c>
      <x:c r="X144" s="34" t="str"/>
      <x:c r="Y144" s="34" t="str"/>
    </x:row>
    <x:row r="145">
      <x:c r="A145" s="34" t="str">
        <x:v>M5-SYNTH-111</x:v>
      </x:c>
      <x:c r="B145" s="34" t="str">
        <x:v>SYNTH</x:v>
      </x:c>
      <x:c r="C145" s="34" t="str">
        <x:v>P0_SYNTH总合成</x:v>
      </x:c>
      <x:c r="D145" s="34" t="str">
        <x:v>缺失字段显式为空｜不得自动补默认值</x:v>
      </x:c>
      <x:c r="E145" s="34" t="str">
        <x:v>L2 功能族与候选标准化</x:v>
      </x:c>
      <x:c r="F145" s="34" t="str">
        <x:v>去重／路由</x:v>
      </x:c>
      <x:c r="G145" s="34" t="n">
        <x:v>94</x:v>
      </x:c>
      <x:c r="H145" s="34" t="str">
        <x:v>待验证</x:v>
      </x:c>
      <x:c r="I145" s="34" t="str"/>
      <x:c r="J145" s="34" t="str"/>
      <x:c r="K145" s="34" t="str"/>
      <x:c r="L145" s="34" t="str"/>
      <x:c r="M145" s="34" t="str"/>
      <x:c r="N145" s="34" t="n">
        <x:f>IF(A145="","",I145+J145+K145)</x:f>
        <x:v>0</x:v>
      </x:c>
      <x:c r="O145" s="56" t="str">
        <x:f>IF(N145=0,"",(I145+0.5*J145)/N145)</x:f>
      </x:c>
      <x:c r="P145" s="56" t="str">
        <x:f>IF(N145=0,"",(I145+0.5*J145+1)/(N145+2))</x:f>
      </x:c>
      <x:c r="Q145" s="34" t="str"/>
      <x:c r="R145" s="34" t="str"/>
      <x:c r="S145" s="34" t="str"/>
      <x:c r="T145" s="34" t="str"/>
      <x:c r="U145" s="34" t="str"/>
      <x:c r="V145" s="34" t="str">
        <x:f>IF(A145="","",IF(N145&lt;5,"样本不足",IF(Q145&gt;=1,"优先复核",IF(AND(N145&gt;=20,P145&lt;0.35,K145&gt;=5),"停用候选",IF(AND(N145&gt;=10,P145&lt;0.45),"需修改候选",IF(AND(N145&gt;=10,P145&gt;=0.75,R145/N145&lt;=0.15,S145/N145&lt;=0.15),"升级候选",IF(R145/N145&gt;0.3,"收紧条件",IF(S145/N145&gt;0.3,"补漏／放宽","继续观察"))))))))</x:f>
        <x:v>样本不足</x:v>
      </x:c>
      <x:c r="W145" s="34" t="str">
        <x:f>IF(V145="","",IF(V145="升级候选","已验证候选",IF(V145="停用候选","停用候选",IF(OR(V145="需修改候选",V145="收紧条件",V145="补漏／放宽",V145="优先复核"),"需修改／复核","观察中"))))</x:f>
        <x:v>观察中</x:v>
      </x:c>
      <x:c r="X145" s="34" t="str"/>
      <x:c r="Y145" s="34" t="str"/>
    </x:row>
    <x:row r="146">
      <x:c r="A146" s="34" t="str">
        <x:v>M5-SYNTH-112</x:v>
      </x:c>
      <x:c r="B146" s="34" t="str">
        <x:v>SYNTH</x:v>
      </x:c>
      <x:c r="C146" s="34" t="str">
        <x:v>P0_SYNTH总合成</x:v>
      </x:c>
      <x:c r="D146" s="34" t="str">
        <x:v>去重日志必填｜每个合并、剔除与回退可追溯</x:v>
      </x:c>
      <x:c r="E146" s="34" t="str">
        <x:v>L2 功能族与候选标准化</x:v>
      </x:c>
      <x:c r="F146" s="34" t="str">
        <x:v>去重／路由</x:v>
      </x:c>
      <x:c r="G146" s="34" t="n">
        <x:v>94</x:v>
      </x:c>
      <x:c r="H146" s="34" t="str">
        <x:v>待验证</x:v>
      </x:c>
      <x:c r="I146" s="34" t="str"/>
      <x:c r="J146" s="34" t="str"/>
      <x:c r="K146" s="34" t="str"/>
      <x:c r="L146" s="34" t="str"/>
      <x:c r="M146" s="34" t="str"/>
      <x:c r="N146" s="34" t="n">
        <x:f>IF(A146="","",I146+J146+K146)</x:f>
        <x:v>0</x:v>
      </x:c>
      <x:c r="O146" s="56" t="str">
        <x:f>IF(N146=0,"",(I146+0.5*J146)/N146)</x:f>
      </x:c>
      <x:c r="P146" s="56" t="str">
        <x:f>IF(N146=0,"",(I146+0.5*J146+1)/(N146+2))</x:f>
      </x:c>
      <x:c r="Q146" s="34" t="str"/>
      <x:c r="R146" s="34" t="str"/>
      <x:c r="S146" s="34" t="str"/>
      <x:c r="T146" s="34" t="str"/>
      <x:c r="U146" s="34" t="str"/>
      <x:c r="V146" s="34" t="str">
        <x:f>IF(A146="","",IF(N146&lt;5,"样本不足",IF(Q146&gt;=1,"优先复核",IF(AND(N146&gt;=20,P146&lt;0.35,K146&gt;=5),"停用候选",IF(AND(N146&gt;=10,P146&lt;0.45),"需修改候选",IF(AND(N146&gt;=10,P146&gt;=0.75,R146/N146&lt;=0.15,S146/N146&lt;=0.15),"升级候选",IF(R146/N146&gt;0.3,"收紧条件",IF(S146/N146&gt;0.3,"补漏／放宽","继续观察"))))))))</x:f>
        <x:v>样本不足</x:v>
      </x:c>
      <x:c r="W146" s="34" t="str">
        <x:f>IF(V146="","",IF(V146="升级候选","已验证候选",IF(V146="停用候选","停用候选",IF(OR(V146="需修改候选",V146="收紧条件",V146="补漏／放宽",V146="优先复核"),"需修改／复核","观察中"))))</x:f>
        <x:v>观察中</x:v>
      </x:c>
      <x:c r="X146" s="34" t="str"/>
      <x:c r="Y146" s="34" t="str"/>
    </x:row>
    <x:row r="147">
      <x:c r="A147" s="34" t="str">
        <x:v>M5-SYNTH-233</x:v>
      </x:c>
      <x:c r="B147" s="34" t="str">
        <x:v>SYNTH</x:v>
      </x:c>
      <x:c r="C147" s="34" t="str">
        <x:v>P0_SYNTH总合成</x:v>
      </x:c>
      <x:c r="D147" s="34" t="str">
        <x:v>AF01适配总状态｜定义</x:v>
      </x:c>
      <x:c r="E147" s="34" t="str">
        <x:v>L6 适配总状态与残余</x:v>
      </x:c>
      <x:c r="F147" s="34" t="str">
        <x:v>状态定义</x:v>
      </x:c>
      <x:c r="G147" s="34" t="n">
        <x:v>94</x:v>
      </x:c>
      <x:c r="H147" s="34" t="str">
        <x:v>待验证</x:v>
      </x:c>
      <x:c r="I147" s="34" t="str"/>
      <x:c r="J147" s="34" t="str"/>
      <x:c r="K147" s="34" t="str"/>
      <x:c r="L147" s="34" t="str"/>
      <x:c r="M147" s="34" t="str"/>
      <x:c r="N147" s="34" t="n">
        <x:f>IF(A147="","",I147+J147+K147)</x:f>
        <x:v>0</x:v>
      </x:c>
      <x:c r="O147" s="56" t="str">
        <x:f>IF(N147=0,"",(I147+0.5*J147)/N147)</x:f>
      </x:c>
      <x:c r="P147" s="56" t="str">
        <x:f>IF(N147=0,"",(I147+0.5*J147+1)/(N147+2))</x:f>
      </x:c>
      <x:c r="Q147" s="34" t="str"/>
      <x:c r="R147" s="34" t="str"/>
      <x:c r="S147" s="34" t="str"/>
      <x:c r="T147" s="34" t="str"/>
      <x:c r="U147" s="34" t="str"/>
      <x:c r="V147" s="34" t="str">
        <x:f>IF(A147="","",IF(N147&lt;5,"样本不足",IF(Q147&gt;=1,"优先复核",IF(AND(N147&gt;=20,P147&lt;0.35,K147&gt;=5),"停用候选",IF(AND(N147&gt;=10,P147&lt;0.45),"需修改候选",IF(AND(N147&gt;=10,P147&gt;=0.75,R147/N147&lt;=0.15,S147/N147&lt;=0.15),"升级候选",IF(R147/N147&gt;0.3,"收紧条件",IF(S147/N147&gt;0.3,"补漏／放宽","继续观察"))))))))</x:f>
        <x:v>样本不足</x:v>
      </x:c>
      <x:c r="W147" s="34" t="str">
        <x:f>IF(V147="","",IF(V147="升级候选","已验证候选",IF(V147="停用候选","停用候选",IF(OR(V147="需修改候选",V147="收紧条件",V147="补漏／放宽",V147="优先复核"),"需修改／复核","观察中"))))</x:f>
        <x:v>观察中</x:v>
      </x:c>
      <x:c r="X147" s="34" t="str"/>
      <x:c r="Y147" s="34" t="str"/>
    </x:row>
    <x:row r="148">
      <x:c r="A148" s="34" t="str">
        <x:v>M5-SYNTH-236</x:v>
      </x:c>
      <x:c r="B148" s="34" t="str">
        <x:v>SYNTH</x:v>
      </x:c>
      <x:c r="C148" s="34" t="str">
        <x:v>P0_SYNTH总合成</x:v>
      </x:c>
      <x:c r="D148" s="34" t="str">
        <x:v>AF02适配总状态｜定义</x:v>
      </x:c>
      <x:c r="E148" s="34" t="str">
        <x:v>L6 适配总状态与残余</x:v>
      </x:c>
      <x:c r="F148" s="34" t="str">
        <x:v>状态定义</x:v>
      </x:c>
      <x:c r="G148" s="34" t="n">
        <x:v>94</x:v>
      </x:c>
      <x:c r="H148" s="34" t="str">
        <x:v>待验证</x:v>
      </x:c>
      <x:c r="I148" s="34" t="str"/>
      <x:c r="J148" s="34" t="str"/>
      <x:c r="K148" s="34" t="str"/>
      <x:c r="L148" s="34" t="str"/>
      <x:c r="M148" s="34" t="str"/>
      <x:c r="N148" s="34" t="n">
        <x:f>IF(A148="","",I148+J148+K148)</x:f>
        <x:v>0</x:v>
      </x:c>
      <x:c r="O148" s="56" t="str">
        <x:f>IF(N148=0,"",(I148+0.5*J148)/N148)</x:f>
      </x:c>
      <x:c r="P148" s="56" t="str">
        <x:f>IF(N148=0,"",(I148+0.5*J148+1)/(N148+2))</x:f>
      </x:c>
      <x:c r="Q148" s="34" t="str"/>
      <x:c r="R148" s="34" t="str"/>
      <x:c r="S148" s="34" t="str"/>
      <x:c r="T148" s="34" t="str"/>
      <x:c r="U148" s="34" t="str"/>
      <x:c r="V148" s="34" t="str">
        <x:f>IF(A148="","",IF(N148&lt;5,"样本不足",IF(Q148&gt;=1,"优先复核",IF(AND(N148&gt;=20,P148&lt;0.35,K148&gt;=5),"停用候选",IF(AND(N148&gt;=10,P148&lt;0.45),"需修改候选",IF(AND(N148&gt;=10,P148&gt;=0.75,R148/N148&lt;=0.15,S148/N148&lt;=0.15),"升级候选",IF(R148/N148&gt;0.3,"收紧条件",IF(S148/N148&gt;0.3,"补漏／放宽","继续观察"))))))))</x:f>
        <x:v>样本不足</x:v>
      </x:c>
      <x:c r="W148" s="34" t="str">
        <x:f>IF(V148="","",IF(V148="升级候选","已验证候选",IF(V148="停用候选","停用候选",IF(OR(V148="需修改候选",V148="收紧条件",V148="补漏／放宽",V148="优先复核"),"需修改／复核","观察中"))))</x:f>
        <x:v>观察中</x:v>
      </x:c>
      <x:c r="X148" s="34" t="str"/>
      <x:c r="Y148" s="34" t="str"/>
    </x:row>
    <x:row r="149">
      <x:c r="A149" s="34" t="str">
        <x:v>M5-SYNTH-239</x:v>
      </x:c>
      <x:c r="B149" s="34" t="str">
        <x:v>SYNTH</x:v>
      </x:c>
      <x:c r="C149" s="34" t="str">
        <x:v>P0_SYNTH总合成</x:v>
      </x:c>
      <x:c r="D149" s="34" t="str">
        <x:v>AF03适配总状态｜定义</x:v>
      </x:c>
      <x:c r="E149" s="34" t="str">
        <x:v>L6 适配总状态与残余</x:v>
      </x:c>
      <x:c r="F149" s="34" t="str">
        <x:v>状态定义</x:v>
      </x:c>
      <x:c r="G149" s="34" t="n">
        <x:v>94</x:v>
      </x:c>
      <x:c r="H149" s="34" t="str">
        <x:v>待验证</x:v>
      </x:c>
      <x:c r="I149" s="34" t="str"/>
      <x:c r="J149" s="34" t="str"/>
      <x:c r="K149" s="34" t="str"/>
      <x:c r="L149" s="34" t="str"/>
      <x:c r="M149" s="34" t="str"/>
      <x:c r="N149" s="34" t="n">
        <x:f>IF(A149="","",I149+J149+K149)</x:f>
        <x:v>0</x:v>
      </x:c>
      <x:c r="O149" s="56" t="str">
        <x:f>IF(N149=0,"",(I149+0.5*J149)/N149)</x:f>
      </x:c>
      <x:c r="P149" s="56" t="str">
        <x:f>IF(N149=0,"",(I149+0.5*J149+1)/(N149+2))</x:f>
      </x:c>
      <x:c r="Q149" s="34" t="str"/>
      <x:c r="R149" s="34" t="str"/>
      <x:c r="S149" s="34" t="str"/>
      <x:c r="T149" s="34" t="str"/>
      <x:c r="U149" s="34" t="str"/>
      <x:c r="V149" s="34" t="str">
        <x:f>IF(A149="","",IF(N149&lt;5,"样本不足",IF(Q149&gt;=1,"优先复核",IF(AND(N149&gt;=20,P149&lt;0.35,K149&gt;=5),"停用候选",IF(AND(N149&gt;=10,P149&lt;0.45),"需修改候选",IF(AND(N149&gt;=10,P149&gt;=0.75,R149/N149&lt;=0.15,S149/N149&lt;=0.15),"升级候选",IF(R149/N149&gt;0.3,"收紧条件",IF(S149/N149&gt;0.3,"补漏／放宽","继续观察"))))))))</x:f>
        <x:v>样本不足</x:v>
      </x:c>
      <x:c r="W149" s="34" t="str">
        <x:f>IF(V149="","",IF(V149="升级候选","已验证候选",IF(V149="停用候选","停用候选",IF(OR(V149="需修改候选",V149="收紧条件",V149="补漏／放宽",V149="优先复核"),"需修改／复核","观察中"))))</x:f>
        <x:v>观察中</x:v>
      </x:c>
      <x:c r="X149" s="34" t="str"/>
      <x:c r="Y149" s="34" t="str"/>
    </x:row>
    <x:row r="150">
      <x:c r="A150" s="34" t="str">
        <x:v>M5-SYNTH-242</x:v>
      </x:c>
      <x:c r="B150" s="34" t="str">
        <x:v>SYNTH</x:v>
      </x:c>
      <x:c r="C150" s="34" t="str">
        <x:v>P0_SYNTH总合成</x:v>
      </x:c>
      <x:c r="D150" s="34" t="str">
        <x:v>AF04适配总状态｜定义</x:v>
      </x:c>
      <x:c r="E150" s="34" t="str">
        <x:v>L6 适配总状态与残余</x:v>
      </x:c>
      <x:c r="F150" s="34" t="str">
        <x:v>状态定义</x:v>
      </x:c>
      <x:c r="G150" s="34" t="n">
        <x:v>94</x:v>
      </x:c>
      <x:c r="H150" s="34" t="str">
        <x:v>待验证</x:v>
      </x:c>
      <x:c r="I150" s="34" t="str"/>
      <x:c r="J150" s="34" t="str"/>
      <x:c r="K150" s="34" t="str"/>
      <x:c r="L150" s="34" t="str"/>
      <x:c r="M150" s="34" t="str"/>
      <x:c r="N150" s="34" t="n">
        <x:f>IF(A150="","",I150+J150+K150)</x:f>
        <x:v>0</x:v>
      </x:c>
      <x:c r="O150" s="56" t="str">
        <x:f>IF(N150=0,"",(I150+0.5*J150)/N150)</x:f>
      </x:c>
      <x:c r="P150" s="56" t="str">
        <x:f>IF(N150=0,"",(I150+0.5*J150+1)/(N150+2))</x:f>
      </x:c>
      <x:c r="Q150" s="34" t="str"/>
      <x:c r="R150" s="34" t="str"/>
      <x:c r="S150" s="34" t="str"/>
      <x:c r="T150" s="34" t="str"/>
      <x:c r="U150" s="34" t="str"/>
      <x:c r="V150" s="34" t="str">
        <x:f>IF(A150="","",IF(N150&lt;5,"样本不足",IF(Q150&gt;=1,"优先复核",IF(AND(N150&gt;=20,P150&lt;0.35,K150&gt;=5),"停用候选",IF(AND(N150&gt;=10,P150&lt;0.45),"需修改候选",IF(AND(N150&gt;=10,P150&gt;=0.75,R150/N150&lt;=0.15,S150/N150&lt;=0.15),"升级候选",IF(R150/N150&gt;0.3,"收紧条件",IF(S150/N150&gt;0.3,"补漏／放宽","继续观察"))))))))</x:f>
        <x:v>样本不足</x:v>
      </x:c>
      <x:c r="W150" s="34" t="str">
        <x:f>IF(V150="","",IF(V150="升级候选","已验证候选",IF(V150="停用候选","停用候选",IF(OR(V150="需修改候选",V150="收紧条件",V150="补漏／放宽",V150="优先复核"),"需修改／复核","观察中"))))</x:f>
        <x:v>观察中</x:v>
      </x:c>
      <x:c r="X150" s="34" t="str"/>
      <x:c r="Y150" s="34" t="str"/>
    </x:row>
    <x:row r="151">
      <x:c r="A151" s="34" t="str">
        <x:v>M5-SYNTH-245</x:v>
      </x:c>
      <x:c r="B151" s="34" t="str">
        <x:v>SYNTH</x:v>
      </x:c>
      <x:c r="C151" s="34" t="str">
        <x:v>P0_SYNTH总合成</x:v>
      </x:c>
      <x:c r="D151" s="34" t="str">
        <x:v>AF05适配总状态｜定义</x:v>
      </x:c>
      <x:c r="E151" s="34" t="str">
        <x:v>L6 适配总状态与残余</x:v>
      </x:c>
      <x:c r="F151" s="34" t="str">
        <x:v>状态定义</x:v>
      </x:c>
      <x:c r="G151" s="34" t="n">
        <x:v>94</x:v>
      </x:c>
      <x:c r="H151" s="34" t="str">
        <x:v>待验证</x:v>
      </x:c>
      <x:c r="I151" s="34" t="str"/>
      <x:c r="J151" s="34" t="str"/>
      <x:c r="K151" s="34" t="str"/>
      <x:c r="L151" s="34" t="str"/>
      <x:c r="M151" s="34" t="str"/>
      <x:c r="N151" s="34" t="n">
        <x:f>IF(A151="","",I151+J151+K151)</x:f>
        <x:v>0</x:v>
      </x:c>
      <x:c r="O151" s="56" t="str">
        <x:f>IF(N151=0,"",(I151+0.5*J151)/N151)</x:f>
      </x:c>
      <x:c r="P151" s="56" t="str">
        <x:f>IF(N151=0,"",(I151+0.5*J151+1)/(N151+2))</x:f>
      </x:c>
      <x:c r="Q151" s="34" t="str"/>
      <x:c r="R151" s="34" t="str"/>
      <x:c r="S151" s="34" t="str"/>
      <x:c r="T151" s="34" t="str"/>
      <x:c r="U151" s="34" t="str"/>
      <x:c r="V151" s="34" t="str">
        <x:f>IF(A151="","",IF(N151&lt;5,"样本不足",IF(Q151&gt;=1,"优先复核",IF(AND(N151&gt;=20,P151&lt;0.35,K151&gt;=5),"停用候选",IF(AND(N151&gt;=10,P151&lt;0.45),"需修改候选",IF(AND(N151&gt;=10,P151&gt;=0.75,R151/N151&lt;=0.15,S151/N151&lt;=0.15),"升级候选",IF(R151/N151&gt;0.3,"收紧条件",IF(S151/N151&gt;0.3,"补漏／放宽","继续观察"))))))))</x:f>
        <x:v>样本不足</x:v>
      </x:c>
      <x:c r="W151" s="34" t="str">
        <x:f>IF(V151="","",IF(V151="升级候选","已验证候选",IF(V151="停用候选","停用候选",IF(OR(V151="需修改候选",V151="收紧条件",V151="补漏／放宽",V151="优先复核"),"需修改／复核","观察中"))))</x:f>
        <x:v>观察中</x:v>
      </x:c>
      <x:c r="X151" s="34" t="str"/>
      <x:c r="Y151" s="34" t="str"/>
    </x:row>
    <x:row r="152">
      <x:c r="A152" s="34" t="str">
        <x:v>M5-SYNTH-248</x:v>
      </x:c>
      <x:c r="B152" s="34" t="str">
        <x:v>SYNTH</x:v>
      </x:c>
      <x:c r="C152" s="34" t="str">
        <x:v>P0_SYNTH总合成</x:v>
      </x:c>
      <x:c r="D152" s="34" t="str">
        <x:v>AF06适配总状态｜定义</x:v>
      </x:c>
      <x:c r="E152" s="34" t="str">
        <x:v>L6 适配总状态与残余</x:v>
      </x:c>
      <x:c r="F152" s="34" t="str">
        <x:v>状态定义</x:v>
      </x:c>
      <x:c r="G152" s="34" t="n">
        <x:v>94</x:v>
      </x:c>
      <x:c r="H152" s="34" t="str">
        <x:v>待验证</x:v>
      </x:c>
      <x:c r="I152" s="34" t="str"/>
      <x:c r="J152" s="34" t="str"/>
      <x:c r="K152" s="34" t="str"/>
      <x:c r="L152" s="34" t="str"/>
      <x:c r="M152" s="34" t="str"/>
      <x:c r="N152" s="34" t="n">
        <x:f>IF(A152="","",I152+J152+K152)</x:f>
        <x:v>0</x:v>
      </x:c>
      <x:c r="O152" s="56" t="str">
        <x:f>IF(N152=0,"",(I152+0.5*J152)/N152)</x:f>
      </x:c>
      <x:c r="P152" s="56" t="str">
        <x:f>IF(N152=0,"",(I152+0.5*J152+1)/(N152+2))</x:f>
      </x:c>
      <x:c r="Q152" s="34" t="str"/>
      <x:c r="R152" s="34" t="str"/>
      <x:c r="S152" s="34" t="str"/>
      <x:c r="T152" s="34" t="str"/>
      <x:c r="U152" s="34" t="str"/>
      <x:c r="V152" s="34" t="str">
        <x:f>IF(A152="","",IF(N152&lt;5,"样本不足",IF(Q152&gt;=1,"优先复核",IF(AND(N152&gt;=20,P152&lt;0.35,K152&gt;=5),"停用候选",IF(AND(N152&gt;=10,P152&lt;0.45),"需修改候选",IF(AND(N152&gt;=10,P152&gt;=0.75,R152/N152&lt;=0.15,S152/N152&lt;=0.15),"升级候选",IF(R152/N152&gt;0.3,"收紧条件",IF(S152/N152&gt;0.3,"补漏／放宽","继续观察"))))))))</x:f>
        <x:v>样本不足</x:v>
      </x:c>
      <x:c r="W152" s="34" t="str">
        <x:f>IF(V152="","",IF(V152="升级候选","已验证候选",IF(V152="停用候选","停用候选",IF(OR(V152="需修改候选",V152="收紧条件",V152="补漏／放宽",V152="优先复核"),"需修改／复核","观察中"))))</x:f>
        <x:v>观察中</x:v>
      </x:c>
      <x:c r="X152" s="34" t="str"/>
      <x:c r="Y152" s="34" t="str"/>
    </x:row>
    <x:row r="153">
      <x:c r="A153" s="34" t="str">
        <x:v>M5-SYNTH-251</x:v>
      </x:c>
      <x:c r="B153" s="34" t="str">
        <x:v>SYNTH</x:v>
      </x:c>
      <x:c r="C153" s="34" t="str">
        <x:v>P0_SYNTH总合成</x:v>
      </x:c>
      <x:c r="D153" s="34" t="str">
        <x:v>AF07适配总状态｜定义</x:v>
      </x:c>
      <x:c r="E153" s="34" t="str">
        <x:v>L6 适配总状态与残余</x:v>
      </x:c>
      <x:c r="F153" s="34" t="str">
        <x:v>状态定义</x:v>
      </x:c>
      <x:c r="G153" s="34" t="n">
        <x:v>94</x:v>
      </x:c>
      <x:c r="H153" s="34" t="str">
        <x:v>待验证</x:v>
      </x:c>
      <x:c r="I153" s="34" t="str"/>
      <x:c r="J153" s="34" t="str"/>
      <x:c r="K153" s="34" t="str"/>
      <x:c r="L153" s="34" t="str"/>
      <x:c r="M153" s="34" t="str"/>
      <x:c r="N153" s="34" t="n">
        <x:f>IF(A153="","",I153+J153+K153)</x:f>
        <x:v>0</x:v>
      </x:c>
      <x:c r="O153" s="56" t="str">
        <x:f>IF(N153=0,"",(I153+0.5*J153)/N153)</x:f>
      </x:c>
      <x:c r="P153" s="56" t="str">
        <x:f>IF(N153=0,"",(I153+0.5*J153+1)/(N153+2))</x:f>
      </x:c>
      <x:c r="Q153" s="34" t="str"/>
      <x:c r="R153" s="34" t="str"/>
      <x:c r="S153" s="34" t="str"/>
      <x:c r="T153" s="34" t="str"/>
      <x:c r="U153" s="34" t="str"/>
      <x:c r="V153" s="34" t="str">
        <x:f>IF(A153="","",IF(N153&lt;5,"样本不足",IF(Q153&gt;=1,"优先复核",IF(AND(N153&gt;=20,P153&lt;0.35,K153&gt;=5),"停用候选",IF(AND(N153&gt;=10,P153&lt;0.45),"需修改候选",IF(AND(N153&gt;=10,P153&gt;=0.75,R153/N153&lt;=0.15,S153/N153&lt;=0.15),"升级候选",IF(R153/N153&gt;0.3,"收紧条件",IF(S153/N153&gt;0.3,"补漏／放宽","继续观察"))))))))</x:f>
        <x:v>样本不足</x:v>
      </x:c>
      <x:c r="W153" s="34" t="str">
        <x:f>IF(V153="","",IF(V153="升级候选","已验证候选",IF(V153="停用候选","停用候选",IF(OR(V153="需修改候选",V153="收紧条件",V153="补漏／放宽",V153="优先复核"),"需修改／复核","观察中"))))</x:f>
        <x:v>观察中</x:v>
      </x:c>
      <x:c r="X153" s="34" t="str"/>
      <x:c r="Y153" s="34" t="str"/>
    </x:row>
    <x:row r="154">
      <x:c r="A154" s="34" t="str">
        <x:v>M5-SYNTH-254</x:v>
      </x:c>
      <x:c r="B154" s="34" t="str">
        <x:v>SYNTH</x:v>
      </x:c>
      <x:c r="C154" s="34" t="str">
        <x:v>P0_SYNTH总合成</x:v>
      </x:c>
      <x:c r="D154" s="34" t="str">
        <x:v>AF08适配总状态｜定义</x:v>
      </x:c>
      <x:c r="E154" s="34" t="str">
        <x:v>L6 适配总状态与残余</x:v>
      </x:c>
      <x:c r="F154" s="34" t="str">
        <x:v>状态定义</x:v>
      </x:c>
      <x:c r="G154" s="34" t="n">
        <x:v>94</x:v>
      </x:c>
      <x:c r="H154" s="34" t="str">
        <x:v>待验证</x:v>
      </x:c>
      <x:c r="I154" s="34" t="str"/>
      <x:c r="J154" s="34" t="str"/>
      <x:c r="K154" s="34" t="str"/>
      <x:c r="L154" s="34" t="str"/>
      <x:c r="M154" s="34" t="str"/>
      <x:c r="N154" s="34" t="n">
        <x:f>IF(A154="","",I154+J154+K154)</x:f>
        <x:v>0</x:v>
      </x:c>
      <x:c r="O154" s="56" t="str">
        <x:f>IF(N154=0,"",(I154+0.5*J154)/N154)</x:f>
      </x:c>
      <x:c r="P154" s="56" t="str">
        <x:f>IF(N154=0,"",(I154+0.5*J154+1)/(N154+2))</x:f>
      </x:c>
      <x:c r="Q154" s="34" t="str"/>
      <x:c r="R154" s="34" t="str"/>
      <x:c r="S154" s="34" t="str"/>
      <x:c r="T154" s="34" t="str"/>
      <x:c r="U154" s="34" t="str"/>
      <x:c r="V154" s="34" t="str">
        <x:f>IF(A154="","",IF(N154&lt;5,"样本不足",IF(Q154&gt;=1,"优先复核",IF(AND(N154&gt;=20,P154&lt;0.35,K154&gt;=5),"停用候选",IF(AND(N154&gt;=10,P154&lt;0.45),"需修改候选",IF(AND(N154&gt;=10,P154&gt;=0.75,R154/N154&lt;=0.15,S154/N154&lt;=0.15),"升级候选",IF(R154/N154&gt;0.3,"收紧条件",IF(S154/N154&gt;0.3,"补漏／放宽","继续观察"))))))))</x:f>
        <x:v>样本不足</x:v>
      </x:c>
      <x:c r="W154" s="34" t="str">
        <x:f>IF(V154="","",IF(V154="升级候选","已验证候选",IF(V154="停用候选","停用候选",IF(OR(V154="需修改候选",V154="收紧条件",V154="补漏／放宽",V154="优先复核"),"需修改／复核","观察中"))))</x:f>
        <x:v>观察中</x:v>
      </x:c>
      <x:c r="X154" s="34" t="str"/>
      <x:c r="Y154" s="34" t="str"/>
    </x:row>
    <x:row r="155">
      <x:c r="A155" s="34" t="str">
        <x:v>M5-SYNTH-257</x:v>
      </x:c>
      <x:c r="B155" s="34" t="str">
        <x:v>SYNTH</x:v>
      </x:c>
      <x:c r="C155" s="34" t="str">
        <x:v>P0_SYNTH总合成</x:v>
      </x:c>
      <x:c r="D155" s="34" t="str">
        <x:v>AF09适配总状态｜定义</x:v>
      </x:c>
      <x:c r="E155" s="34" t="str">
        <x:v>L6 适配总状态与残余</x:v>
      </x:c>
      <x:c r="F155" s="34" t="str">
        <x:v>状态定义</x:v>
      </x:c>
      <x:c r="G155" s="34" t="n">
        <x:v>94</x:v>
      </x:c>
      <x:c r="H155" s="34" t="str">
        <x:v>待验证</x:v>
      </x:c>
      <x:c r="I155" s="34" t="str"/>
      <x:c r="J155" s="34" t="str"/>
      <x:c r="K155" s="34" t="str"/>
      <x:c r="L155" s="34" t="str"/>
      <x:c r="M155" s="34" t="str"/>
      <x:c r="N155" s="34" t="n">
        <x:f>IF(A155="","",I155+J155+K155)</x:f>
        <x:v>0</x:v>
      </x:c>
      <x:c r="O155" s="56" t="str">
        <x:f>IF(N155=0,"",(I155+0.5*J155)/N155)</x:f>
      </x:c>
      <x:c r="P155" s="56" t="str">
        <x:f>IF(N155=0,"",(I155+0.5*J155+1)/(N155+2))</x:f>
      </x:c>
      <x:c r="Q155" s="34" t="str"/>
      <x:c r="R155" s="34" t="str"/>
      <x:c r="S155" s="34" t="str"/>
      <x:c r="T155" s="34" t="str"/>
      <x:c r="U155" s="34" t="str"/>
      <x:c r="V155" s="34" t="str">
        <x:f>IF(A155="","",IF(N155&lt;5,"样本不足",IF(Q155&gt;=1,"优先复核",IF(AND(N155&gt;=20,P155&lt;0.35,K155&gt;=5),"停用候选",IF(AND(N155&gt;=10,P155&lt;0.45),"需修改候选",IF(AND(N155&gt;=10,P155&gt;=0.75,R155/N155&lt;=0.15,S155/N155&lt;=0.15),"升级候选",IF(R155/N155&gt;0.3,"收紧条件",IF(S155/N155&gt;0.3,"补漏／放宽","继续观察"))))))))</x:f>
        <x:v>样本不足</x:v>
      </x:c>
      <x:c r="W155" s="34" t="str">
        <x:f>IF(V155="","",IF(V155="升级候选","已验证候选",IF(V155="停用候选","停用候选",IF(OR(V155="需修改候选",V155="收紧条件",V155="补漏／放宽",V155="优先复核"),"需修改／复核","观察中"))))</x:f>
        <x:v>观察中</x:v>
      </x:c>
      <x:c r="X155" s="34" t="str"/>
      <x:c r="Y155" s="34" t="str"/>
    </x:row>
    <x:row r="156">
      <x:c r="A156" s="34" t="str">
        <x:v>M5-SYNTH-296</x:v>
      </x:c>
      <x:c r="B156" s="34" t="str">
        <x:v>SYNTH</x:v>
      </x:c>
      <x:c r="C156" s="34" t="str">
        <x:v>P0_SYNTH总合成</x:v>
      </x:c>
      <x:c r="D156" s="34" t="str">
        <x:v>工程分数不等于概率</x:v>
      </x:c>
      <x:c r="E156" s="34" t="str">
        <x:v>L7 置信度与反例</x:v>
      </x:c>
      <x:c r="F156" s="34" t="str">
        <x:v>边界</x:v>
      </x:c>
      <x:c r="G156" s="34" t="n">
        <x:v>94</x:v>
      </x:c>
      <x:c r="H156" s="34" t="str">
        <x:v>待验证</x:v>
      </x:c>
      <x:c r="I156" s="34" t="str"/>
      <x:c r="J156" s="34" t="str"/>
      <x:c r="K156" s="34" t="str"/>
      <x:c r="L156" s="34" t="str"/>
      <x:c r="M156" s="34" t="str"/>
      <x:c r="N156" s="34" t="n">
        <x:f>IF(A156="","",I156+J156+K156)</x:f>
        <x:v>0</x:v>
      </x:c>
      <x:c r="O156" s="56" t="str">
        <x:f>IF(N156=0,"",(I156+0.5*J156)/N156)</x:f>
      </x:c>
      <x:c r="P156" s="56" t="str">
        <x:f>IF(N156=0,"",(I156+0.5*J156+1)/(N156+2))</x:f>
      </x:c>
      <x:c r="Q156" s="34" t="str"/>
      <x:c r="R156" s="34" t="str"/>
      <x:c r="S156" s="34" t="str"/>
      <x:c r="T156" s="34" t="str"/>
      <x:c r="U156" s="34" t="str"/>
      <x:c r="V156" s="34" t="str">
        <x:f>IF(A156="","",IF(N156&lt;5,"样本不足",IF(Q156&gt;=1,"优先复核",IF(AND(N156&gt;=20,P156&lt;0.35,K156&gt;=5),"停用候选",IF(AND(N156&gt;=10,P156&lt;0.45),"需修改候选",IF(AND(N156&gt;=10,P156&gt;=0.75,R156/N156&lt;=0.15,S156/N156&lt;=0.15),"升级候选",IF(R156/N156&gt;0.3,"收紧条件",IF(S156/N156&gt;0.3,"补漏／放宽","继续观察"))))))))</x:f>
        <x:v>样本不足</x:v>
      </x:c>
      <x:c r="W156" s="34" t="str">
        <x:f>IF(V156="","",IF(V156="升级候选","已验证候选",IF(V156="停用候选","停用候选",IF(OR(V156="需修改候选",V156="收紧条件",V156="补漏／放宽",V156="优先复核"),"需修改／复核","观察中"))))</x:f>
        <x:v>观察中</x:v>
      </x:c>
      <x:c r="X156" s="34" t="str"/>
      <x:c r="Y156" s="34" t="str"/>
    </x:row>
    <x:row r="157">
      <x:c r="A157" s="34" t="str">
        <x:v>M5-SYNTH-073</x:v>
      </x:c>
      <x:c r="B157" s="34" t="str">
        <x:v>SYNTH</x:v>
      </x:c>
      <x:c r="C157" s="34" t="str">
        <x:v>P0_SYNTH总合成</x:v>
      </x:c>
      <x:c r="D157" s="34" t="str">
        <x:v>FAM01功能族｜平等自主统一映射</x:v>
      </x:c>
      <x:c r="E157" s="34" t="str">
        <x:v>L2 功能族与候选标准化</x:v>
      </x:c>
      <x:c r="F157" s="34" t="str">
        <x:v>映射</x:v>
      </x:c>
      <x:c r="G157" s="34" t="n">
        <x:v>92</x:v>
      </x:c>
      <x:c r="H157" s="34" t="str">
        <x:v>待验证</x:v>
      </x:c>
      <x:c r="I157" s="34" t="str"/>
      <x:c r="J157" s="34" t="str"/>
      <x:c r="K157" s="34" t="str"/>
      <x:c r="L157" s="34" t="str"/>
      <x:c r="M157" s="34" t="str"/>
      <x:c r="N157" s="34" t="n">
        <x:f>IF(A157="","",I157+J157+K157)</x:f>
        <x:v>0</x:v>
      </x:c>
      <x:c r="O157" s="56" t="str">
        <x:f>IF(N157=0,"",(I157+0.5*J157)/N157)</x:f>
      </x:c>
      <x:c r="P157" s="56" t="str">
        <x:f>IF(N157=0,"",(I157+0.5*J157+1)/(N157+2))</x:f>
      </x:c>
      <x:c r="Q157" s="34" t="str"/>
      <x:c r="R157" s="34" t="str"/>
      <x:c r="S157" s="34" t="str"/>
      <x:c r="T157" s="34" t="str"/>
      <x:c r="U157" s="34" t="str"/>
      <x:c r="V157" s="34" t="str">
        <x:f>IF(A157="","",IF(N157&lt;5,"样本不足",IF(Q157&gt;=1,"优先复核",IF(AND(N157&gt;=20,P157&lt;0.35,K157&gt;=5),"停用候选",IF(AND(N157&gt;=10,P157&lt;0.45),"需修改候选",IF(AND(N157&gt;=10,P157&gt;=0.75,R157/N157&lt;=0.15,S157/N157&lt;=0.15),"升级候选",IF(R157/N157&gt;0.3,"收紧条件",IF(S157/N157&gt;0.3,"补漏／放宽","继续观察"))))))))</x:f>
        <x:v>样本不足</x:v>
      </x:c>
      <x:c r="W157" s="34" t="str">
        <x:f>IF(V157="","",IF(V157="升级候选","已验证候选",IF(V157="停用候选","停用候选",IF(OR(V157="需修改候选",V157="收紧条件",V157="补漏／放宽",V157="优先复核"),"需修改／复核","观察中"))))</x:f>
        <x:v>观察中</x:v>
      </x:c>
      <x:c r="X157" s="34" t="str"/>
      <x:c r="Y157" s="34" t="str"/>
    </x:row>
    <x:row r="158">
      <x:c r="A158" s="34" t="str">
        <x:v>M5-SYNTH-075</x:v>
      </x:c>
      <x:c r="B158" s="34" t="str">
        <x:v>SYNTH</x:v>
      </x:c>
      <x:c r="C158" s="34" t="str">
        <x:v>P0_SYNTH总合成</x:v>
      </x:c>
      <x:c r="D158" s="34" t="str">
        <x:v>FAM02功能族｜共同行动统一映射</x:v>
      </x:c>
      <x:c r="E158" s="34" t="str">
        <x:v>L2 功能族与候选标准化</x:v>
      </x:c>
      <x:c r="F158" s="34" t="str">
        <x:v>映射</x:v>
      </x:c>
      <x:c r="G158" s="34" t="n">
        <x:v>92</x:v>
      </x:c>
      <x:c r="H158" s="34" t="str">
        <x:v>待验证</x:v>
      </x:c>
      <x:c r="I158" s="34" t="str"/>
      <x:c r="J158" s="34" t="str"/>
      <x:c r="K158" s="34" t="str"/>
      <x:c r="L158" s="34" t="str"/>
      <x:c r="M158" s="34" t="str"/>
      <x:c r="N158" s="34" t="n">
        <x:f>IF(A158="","",I158+J158+K158)</x:f>
        <x:v>0</x:v>
      </x:c>
      <x:c r="O158" s="56" t="str">
        <x:f>IF(N158=0,"",(I158+0.5*J158)/N158)</x:f>
      </x:c>
      <x:c r="P158" s="56" t="str">
        <x:f>IF(N158=0,"",(I158+0.5*J158+1)/(N158+2))</x:f>
      </x:c>
      <x:c r="Q158" s="34" t="str"/>
      <x:c r="R158" s="34" t="str"/>
      <x:c r="S158" s="34" t="str"/>
      <x:c r="T158" s="34" t="str"/>
      <x:c r="U158" s="34" t="str"/>
      <x:c r="V158" s="34" t="str">
        <x:f>IF(A158="","",IF(N158&lt;5,"样本不足",IF(Q158&gt;=1,"优先复核",IF(AND(N158&gt;=20,P158&lt;0.35,K158&gt;=5),"停用候选",IF(AND(N158&gt;=10,P158&lt;0.45),"需修改候选",IF(AND(N158&gt;=10,P158&gt;=0.75,R158/N158&lt;=0.15,S158/N158&lt;=0.15),"升级候选",IF(R158/N158&gt;0.3,"收紧条件",IF(S158/N158&gt;0.3,"补漏／放宽","继续观察"))))))))</x:f>
        <x:v>样本不足</x:v>
      </x:c>
      <x:c r="W158" s="34" t="str">
        <x:f>IF(V158="","",IF(V158="升级候选","已验证候选",IF(V158="停用候选","停用候选",IF(OR(V158="需修改候选",V158="收紧条件",V158="补漏／放宽",V158="优先复核"),"需修改／复核","观察中"))))</x:f>
        <x:v>观察中</x:v>
      </x:c>
      <x:c r="X158" s="34" t="str"/>
      <x:c r="Y158" s="34" t="str"/>
    </x:row>
    <x:row r="159">
      <x:c r="A159" s="34" t="str">
        <x:v>M5-SYNTH-077</x:v>
      </x:c>
      <x:c r="B159" s="34" t="str">
        <x:v>SYNTH</x:v>
      </x:c>
      <x:c r="C159" s="34" t="str">
        <x:v>P0_SYNTH总合成</x:v>
      </x:c>
      <x:c r="D159" s="34" t="str">
        <x:v>FAM03功能族｜舒适陪伴统一映射</x:v>
      </x:c>
      <x:c r="E159" s="34" t="str">
        <x:v>L2 功能族与候选标准化</x:v>
      </x:c>
      <x:c r="F159" s="34" t="str">
        <x:v>映射</x:v>
      </x:c>
      <x:c r="G159" s="34" t="n">
        <x:v>92</x:v>
      </x:c>
      <x:c r="H159" s="34" t="str">
        <x:v>待验证</x:v>
      </x:c>
      <x:c r="I159" s="34" t="str"/>
      <x:c r="J159" s="34" t="str"/>
      <x:c r="K159" s="34" t="str"/>
      <x:c r="L159" s="34" t="str"/>
      <x:c r="M159" s="34" t="str"/>
      <x:c r="N159" s="34" t="n">
        <x:f>IF(A159="","",I159+J159+K159)</x:f>
        <x:v>0</x:v>
      </x:c>
      <x:c r="O159" s="56" t="str">
        <x:f>IF(N159=0,"",(I159+0.5*J159)/N159)</x:f>
      </x:c>
      <x:c r="P159" s="56" t="str">
        <x:f>IF(N159=0,"",(I159+0.5*J159+1)/(N159+2))</x:f>
      </x:c>
      <x:c r="Q159" s="34" t="str"/>
      <x:c r="R159" s="34" t="str"/>
      <x:c r="S159" s="34" t="str"/>
      <x:c r="T159" s="34" t="str"/>
      <x:c r="U159" s="34" t="str"/>
      <x:c r="V159" s="34" t="str">
        <x:f>IF(A159="","",IF(N159&lt;5,"样本不足",IF(Q159&gt;=1,"优先复核",IF(AND(N159&gt;=20,P159&lt;0.35,K159&gt;=5),"停用候选",IF(AND(N159&gt;=10,P159&lt;0.45),"需修改候选",IF(AND(N159&gt;=10,P159&gt;=0.75,R159/N159&lt;=0.15,S159/N159&lt;=0.15),"升级候选",IF(R159/N159&gt;0.3,"收紧条件",IF(S159/N159&gt;0.3,"补漏／放宽","继续观察"))))))))</x:f>
        <x:v>样本不足</x:v>
      </x:c>
      <x:c r="W159" s="34" t="str">
        <x:f>IF(V159="","",IF(V159="升级候选","已验证候选",IF(V159="停用候选","停用候选",IF(OR(V159="需修改候选",V159="收紧条件",V159="补漏／放宽",V159="优先复核"),"需修改／复核","观察中"))))</x:f>
        <x:v>观察中</x:v>
      </x:c>
      <x:c r="X159" s="34" t="str"/>
      <x:c r="Y159" s="34" t="str"/>
    </x:row>
    <x:row r="160">
      <x:c r="A160" s="34" t="str">
        <x:v>M5-SYNTH-079</x:v>
      </x:c>
      <x:c r="B160" s="34" t="str">
        <x:v>SYNTH</x:v>
      </x:c>
      <x:c r="C160" s="34" t="str">
        <x:v>P0_SYNTH总合成</x:v>
      </x:c>
      <x:c r="D160" s="34" t="str">
        <x:v>FAM04功能族｜清晰反馈统一映射</x:v>
      </x:c>
      <x:c r="E160" s="34" t="str">
        <x:v>L2 功能族与候选标准化</x:v>
      </x:c>
      <x:c r="F160" s="34" t="str">
        <x:v>映射</x:v>
      </x:c>
      <x:c r="G160" s="34" t="n">
        <x:v>92</x:v>
      </x:c>
      <x:c r="H160" s="34" t="str">
        <x:v>待验证</x:v>
      </x:c>
      <x:c r="I160" s="34" t="str"/>
      <x:c r="J160" s="34" t="str"/>
      <x:c r="K160" s="34" t="str"/>
      <x:c r="L160" s="34" t="str"/>
      <x:c r="M160" s="34" t="str"/>
      <x:c r="N160" s="34" t="n">
        <x:f>IF(A160="","",I160+J160+K160)</x:f>
        <x:v>0</x:v>
      </x:c>
      <x:c r="O160" s="56" t="str">
        <x:f>IF(N160=0,"",(I160+0.5*J160)/N160)</x:f>
      </x:c>
      <x:c r="P160" s="56" t="str">
        <x:f>IF(N160=0,"",(I160+0.5*J160+1)/(N160+2))</x:f>
      </x:c>
      <x:c r="Q160" s="34" t="str"/>
      <x:c r="R160" s="34" t="str"/>
      <x:c r="S160" s="34" t="str"/>
      <x:c r="T160" s="34" t="str"/>
      <x:c r="U160" s="34" t="str"/>
      <x:c r="V160" s="34" t="str">
        <x:f>IF(A160="","",IF(N160&lt;5,"样本不足",IF(Q160&gt;=1,"优先复核",IF(AND(N160&gt;=20,P160&lt;0.35,K160&gt;=5),"停用候选",IF(AND(N160&gt;=10,P160&lt;0.45),"需修改候选",IF(AND(N160&gt;=10,P160&gt;=0.75,R160/N160&lt;=0.15,S160/N160&lt;=0.15),"升级候选",IF(R160/N160&gt;0.3,"收紧条件",IF(S160/N160&gt;0.3,"补漏／放宽","继续观察"))))))))</x:f>
        <x:v>样本不足</x:v>
      </x:c>
      <x:c r="W160" s="34" t="str">
        <x:f>IF(V160="","",IF(V160="升级候选","已验证候选",IF(V160="停用候选","停用候选",IF(OR(V160="需修改候选",V160="收紧条件",V160="补漏／放宽",V160="优先复核"),"需修改／复核","观察中"))))</x:f>
        <x:v>观察中</x:v>
      </x:c>
      <x:c r="X160" s="34" t="str"/>
      <x:c r="Y160" s="34" t="str"/>
    </x:row>
    <x:row r="161">
      <x:c r="A161" s="34" t="str">
        <x:v>M5-SYNTH-081</x:v>
      </x:c>
      <x:c r="B161" s="34" t="str">
        <x:v>SYNTH</x:v>
      </x:c>
      <x:c r="C161" s="34" t="str">
        <x:v>P0_SYNTH总合成</x:v>
      </x:c>
      <x:c r="D161" s="34" t="str">
        <x:v>FAM05功能族｜稳定经营统一映射</x:v>
      </x:c>
      <x:c r="E161" s="34" t="str">
        <x:v>L2 功能族与候选标准化</x:v>
      </x:c>
      <x:c r="F161" s="34" t="str">
        <x:v>映射</x:v>
      </x:c>
      <x:c r="G161" s="34" t="n">
        <x:v>92</x:v>
      </x:c>
      <x:c r="H161" s="34" t="str">
        <x:v>待验证</x:v>
      </x:c>
      <x:c r="I161" s="34" t="str"/>
      <x:c r="J161" s="34" t="str"/>
      <x:c r="K161" s="34" t="str"/>
      <x:c r="L161" s="34" t="str"/>
      <x:c r="M161" s="34" t="str"/>
      <x:c r="N161" s="34" t="n">
        <x:f>IF(A161="","",I161+J161+K161)</x:f>
        <x:v>0</x:v>
      </x:c>
      <x:c r="O161" s="56" t="str">
        <x:f>IF(N161=0,"",(I161+0.5*J161)/N161)</x:f>
      </x:c>
      <x:c r="P161" s="56" t="str">
        <x:f>IF(N161=0,"",(I161+0.5*J161+1)/(N161+2))</x:f>
      </x:c>
      <x:c r="Q161" s="34" t="str"/>
      <x:c r="R161" s="34" t="str"/>
      <x:c r="S161" s="34" t="str"/>
      <x:c r="T161" s="34" t="str"/>
      <x:c r="U161" s="34" t="str"/>
      <x:c r="V161" s="34" t="str">
        <x:f>IF(A161="","",IF(N161&lt;5,"样本不足",IF(Q161&gt;=1,"优先复核",IF(AND(N161&gt;=20,P161&lt;0.35,K161&gt;=5),"停用候选",IF(AND(N161&gt;=10,P161&lt;0.45),"需修改候选",IF(AND(N161&gt;=10,P161&gt;=0.75,R161/N161&lt;=0.15,S161/N161&lt;=0.15),"升级候选",IF(R161/N161&gt;0.3,"收紧条件",IF(S161/N161&gt;0.3,"补漏／放宽","继续观察"))))))))</x:f>
        <x:v>样本不足</x:v>
      </x:c>
      <x:c r="W161" s="34" t="str">
        <x:f>IF(V161="","",IF(V161="升级候选","已验证候选",IF(V161="停用候选","停用候选",IF(OR(V161="需修改候选",V161="收紧条件",V161="补漏／放宽",V161="优先复核"),"需修改／复核","观察中"))))</x:f>
        <x:v>观察中</x:v>
      </x:c>
      <x:c r="X161" s="34" t="str"/>
      <x:c r="Y161" s="34" t="str"/>
    </x:row>
    <x:row r="162">
      <x:c r="A162" s="34" t="str">
        <x:v>M5-SYNTH-083</x:v>
      </x:c>
      <x:c r="B162" s="34" t="str">
        <x:v>SYNTH</x:v>
      </x:c>
      <x:c r="C162" s="34" t="str">
        <x:v>P0_SYNTH总合成</x:v>
      </x:c>
      <x:c r="D162" s="34" t="str">
        <x:v>FAM06功能族｜弹性体验统一映射</x:v>
      </x:c>
      <x:c r="E162" s="34" t="str">
        <x:v>L2 功能族与候选标准化</x:v>
      </x:c>
      <x:c r="F162" s="34" t="str">
        <x:v>映射</x:v>
      </x:c>
      <x:c r="G162" s="34" t="n">
        <x:v>92</x:v>
      </x:c>
      <x:c r="H162" s="34" t="str">
        <x:v>待验证</x:v>
      </x:c>
      <x:c r="I162" s="34" t="str"/>
      <x:c r="J162" s="34" t="str"/>
      <x:c r="K162" s="34" t="str"/>
      <x:c r="L162" s="34" t="str"/>
      <x:c r="M162" s="34" t="str"/>
      <x:c r="N162" s="34" t="n">
        <x:f>IF(A162="","",I162+J162+K162)</x:f>
        <x:v>0</x:v>
      </x:c>
      <x:c r="O162" s="56" t="str">
        <x:f>IF(N162=0,"",(I162+0.5*J162)/N162)</x:f>
      </x:c>
      <x:c r="P162" s="56" t="str">
        <x:f>IF(N162=0,"",(I162+0.5*J162+1)/(N162+2))</x:f>
      </x:c>
      <x:c r="Q162" s="34" t="str"/>
      <x:c r="R162" s="34" t="str"/>
      <x:c r="S162" s="34" t="str"/>
      <x:c r="T162" s="34" t="str"/>
      <x:c r="U162" s="34" t="str"/>
      <x:c r="V162" s="34" t="str">
        <x:f>IF(A162="","",IF(N162&lt;5,"样本不足",IF(Q162&gt;=1,"优先复核",IF(AND(N162&gt;=20,P162&lt;0.35,K162&gt;=5),"停用候选",IF(AND(N162&gt;=10,P162&lt;0.45),"需修改候选",IF(AND(N162&gt;=10,P162&gt;=0.75,R162/N162&lt;=0.15,S162/N162&lt;=0.15),"升级候选",IF(R162/N162&gt;0.3,"收紧条件",IF(S162/N162&gt;0.3,"补漏／放宽","继续观察"))))))))</x:f>
        <x:v>样本不足</x:v>
      </x:c>
      <x:c r="W162" s="34" t="str">
        <x:f>IF(V162="","",IF(V162="升级候选","已验证候选",IF(V162="停用候选","停用候选",IF(OR(V162="需修改候选",V162="收紧条件",V162="补漏／放宽",V162="优先复核"),"需修改／复核","观察中"))))</x:f>
        <x:v>观察中</x:v>
      </x:c>
      <x:c r="X162" s="34" t="str"/>
      <x:c r="Y162" s="34" t="str"/>
    </x:row>
    <x:row r="163">
      <x:c r="A163" s="34" t="str">
        <x:v>M5-SYNTH-085</x:v>
      </x:c>
      <x:c r="B163" s="34" t="str">
        <x:v>SYNTH</x:v>
      </x:c>
      <x:c r="C163" s="34" t="str">
        <x:v>P0_SYNTH总合成</x:v>
      </x:c>
      <x:c r="D163" s="34" t="str">
        <x:v>FAM07功能族｜责任秩序统一映射</x:v>
      </x:c>
      <x:c r="E163" s="34" t="str">
        <x:v>L2 功能族与候选标准化</x:v>
      </x:c>
      <x:c r="F163" s="34" t="str">
        <x:v>映射</x:v>
      </x:c>
      <x:c r="G163" s="34" t="n">
        <x:v>92</x:v>
      </x:c>
      <x:c r="H163" s="34" t="str">
        <x:v>待验证</x:v>
      </x:c>
      <x:c r="I163" s="34" t="str"/>
      <x:c r="J163" s="34" t="str"/>
      <x:c r="K163" s="34" t="str"/>
      <x:c r="L163" s="34" t="str"/>
      <x:c r="M163" s="34" t="str"/>
      <x:c r="N163" s="34" t="n">
        <x:f>IF(A163="","",I163+J163+K163)</x:f>
        <x:v>0</x:v>
      </x:c>
      <x:c r="O163" s="56" t="str">
        <x:f>IF(N163=0,"",(I163+0.5*J163)/N163)</x:f>
      </x:c>
      <x:c r="P163" s="56" t="str">
        <x:f>IF(N163=0,"",(I163+0.5*J163+1)/(N163+2))</x:f>
      </x:c>
      <x:c r="Q163" s="34" t="str"/>
      <x:c r="R163" s="34" t="str"/>
      <x:c r="S163" s="34" t="str"/>
      <x:c r="T163" s="34" t="str"/>
      <x:c r="U163" s="34" t="str"/>
      <x:c r="V163" s="34" t="str">
        <x:f>IF(A163="","",IF(N163&lt;5,"样本不足",IF(Q163&gt;=1,"优先复核",IF(AND(N163&gt;=20,P163&lt;0.35,K163&gt;=5),"停用候选",IF(AND(N163&gt;=10,P163&lt;0.45),"需修改候选",IF(AND(N163&gt;=10,P163&gt;=0.75,R163/N163&lt;=0.15,S163/N163&lt;=0.15),"升级候选",IF(R163/N163&gt;0.3,"收紧条件",IF(S163/N163&gt;0.3,"补漏／放宽","继续观察"))))))))</x:f>
        <x:v>样本不足</x:v>
      </x:c>
      <x:c r="W163" s="34" t="str">
        <x:f>IF(V163="","",IF(V163="升级候选","已验证候选",IF(V163="停用候选","停用候选",IF(OR(V163="需修改候选",V163="收紧条件",V163="补漏／放宽",V163="优先复核"),"需修改／复核","观察中"))))</x:f>
        <x:v>观察中</x:v>
      </x:c>
      <x:c r="X163" s="34" t="str"/>
      <x:c r="Y163" s="34" t="str"/>
    </x:row>
    <x:row r="164">
      <x:c r="A164" s="34" t="str">
        <x:v>M5-SYNTH-087</x:v>
      </x:c>
      <x:c r="B164" s="34" t="str">
        <x:v>SYNTH</x:v>
      </x:c>
      <x:c r="C164" s="34" t="str">
        <x:v>P0_SYNTH总合成</x:v>
      </x:c>
      <x:c r="D164" s="34" t="str">
        <x:v>FAM08功能族｜决断保护统一映射</x:v>
      </x:c>
      <x:c r="E164" s="34" t="str">
        <x:v>L2 功能族与候选标准化</x:v>
      </x:c>
      <x:c r="F164" s="34" t="str">
        <x:v>映射</x:v>
      </x:c>
      <x:c r="G164" s="34" t="n">
        <x:v>92</x:v>
      </x:c>
      <x:c r="H164" s="34" t="str">
        <x:v>待验证</x:v>
      </x:c>
      <x:c r="I164" s="34" t="str"/>
      <x:c r="J164" s="34" t="str"/>
      <x:c r="K164" s="34" t="str"/>
      <x:c r="L164" s="34" t="str"/>
      <x:c r="M164" s="34" t="str"/>
      <x:c r="N164" s="34" t="n">
        <x:f>IF(A164="","",I164+J164+K164)</x:f>
        <x:v>0</x:v>
      </x:c>
      <x:c r="O164" s="56" t="str">
        <x:f>IF(N164=0,"",(I164+0.5*J164)/N164)</x:f>
      </x:c>
      <x:c r="P164" s="56" t="str">
        <x:f>IF(N164=0,"",(I164+0.5*J164+1)/(N164+2))</x:f>
      </x:c>
      <x:c r="Q164" s="34" t="str"/>
      <x:c r="R164" s="34" t="str"/>
      <x:c r="S164" s="34" t="str"/>
      <x:c r="T164" s="34" t="str"/>
      <x:c r="U164" s="34" t="str"/>
      <x:c r="V164" s="34" t="str">
        <x:f>IF(A164="","",IF(N164&lt;5,"样本不足",IF(Q164&gt;=1,"优先复核",IF(AND(N164&gt;=20,P164&lt;0.35,K164&gt;=5),"停用候选",IF(AND(N164&gt;=10,P164&lt;0.45),"需修改候选",IF(AND(N164&gt;=10,P164&gt;=0.75,R164/N164&lt;=0.15,S164/N164&lt;=0.15),"升级候选",IF(R164/N164&gt;0.3,"收紧条件",IF(S164/N164&gt;0.3,"补漏／放宽","继续观察"))))))))</x:f>
        <x:v>样本不足</x:v>
      </x:c>
      <x:c r="W164" s="34" t="str">
        <x:f>IF(V164="","",IF(V164="升级候选","已验证候选",IF(V164="停用候选","停用候选",IF(OR(V164="需修改候选",V164="收紧条件",V164="补漏／放宽",V164="优先复核"),"需修改／复核","观察中"))))</x:f>
        <x:v>观察中</x:v>
      </x:c>
      <x:c r="X164" s="34" t="str"/>
      <x:c r="Y164" s="34" t="str"/>
    </x:row>
    <x:row r="165">
      <x:c r="A165" s="34" t="str">
        <x:v>M5-SYNTH-089</x:v>
      </x:c>
      <x:c r="B165" s="34" t="str">
        <x:v>SYNTH</x:v>
      </x:c>
      <x:c r="C165" s="34" t="str">
        <x:v>P0_SYNTH总合成</x:v>
      </x:c>
      <x:c r="D165" s="34" t="str">
        <x:v>FAM09功能族｜安全承接统一映射</x:v>
      </x:c>
      <x:c r="E165" s="34" t="str">
        <x:v>L2 功能族与候选标准化</x:v>
      </x:c>
      <x:c r="F165" s="34" t="str">
        <x:v>映射</x:v>
      </x:c>
      <x:c r="G165" s="34" t="n">
        <x:v>92</x:v>
      </x:c>
      <x:c r="H165" s="34" t="str">
        <x:v>待验证</x:v>
      </x:c>
      <x:c r="I165" s="34" t="str"/>
      <x:c r="J165" s="34" t="str"/>
      <x:c r="K165" s="34" t="str"/>
      <x:c r="L165" s="34" t="str"/>
      <x:c r="M165" s="34" t="str"/>
      <x:c r="N165" s="34" t="n">
        <x:f>IF(A165="","",I165+J165+K165)</x:f>
        <x:v>0</x:v>
      </x:c>
      <x:c r="O165" s="56" t="str">
        <x:f>IF(N165=0,"",(I165+0.5*J165)/N165)</x:f>
      </x:c>
      <x:c r="P165" s="56" t="str">
        <x:f>IF(N165=0,"",(I165+0.5*J165+1)/(N165+2))</x:f>
      </x:c>
      <x:c r="Q165" s="34" t="str"/>
      <x:c r="R165" s="34" t="str"/>
      <x:c r="S165" s="34" t="str"/>
      <x:c r="T165" s="34" t="str"/>
      <x:c r="U165" s="34" t="str"/>
      <x:c r="V165" s="34" t="str">
        <x:f>IF(A165="","",IF(N165&lt;5,"样本不足",IF(Q165&gt;=1,"优先复核",IF(AND(N165&gt;=20,P165&lt;0.35,K165&gt;=5),"停用候选",IF(AND(N165&gt;=10,P165&lt;0.45),"需修改候选",IF(AND(N165&gt;=10,P165&gt;=0.75,R165/N165&lt;=0.15,S165/N165&lt;=0.15),"升级候选",IF(R165/N165&gt;0.3,"收紧条件",IF(S165/N165&gt;0.3,"补漏／放宽","继续观察"))))))))</x:f>
        <x:v>样本不足</x:v>
      </x:c>
      <x:c r="W165" s="34" t="str">
        <x:f>IF(V165="","",IF(V165="升级候选","已验证候选",IF(V165="停用候选","停用候选",IF(OR(V165="需修改候选",V165="收紧条件",V165="补漏／放宽",V165="优先复核"),"需修改／复核","观察中"))))</x:f>
        <x:v>观察中</x:v>
      </x:c>
      <x:c r="X165" s="34" t="str"/>
      <x:c r="Y165" s="34" t="str"/>
    </x:row>
    <x:row r="166">
      <x:c r="A166" s="34" t="str">
        <x:v>M5-SYNTH-091</x:v>
      </x:c>
      <x:c r="B166" s="34" t="str">
        <x:v>SYNTH</x:v>
      </x:c>
      <x:c r="C166" s="34" t="str">
        <x:v>P0_SYNTH总合成</x:v>
      </x:c>
      <x:c r="D166" s="34" t="str">
        <x:v>FAM10功能族｜深度空间统一映射</x:v>
      </x:c>
      <x:c r="E166" s="34" t="str">
        <x:v>L2 功能族与候选标准化</x:v>
      </x:c>
      <x:c r="F166" s="34" t="str">
        <x:v>映射</x:v>
      </x:c>
      <x:c r="G166" s="34" t="n">
        <x:v>92</x:v>
      </x:c>
      <x:c r="H166" s="34" t="str">
        <x:v>待验证</x:v>
      </x:c>
      <x:c r="I166" s="34" t="str"/>
      <x:c r="J166" s="34" t="str"/>
      <x:c r="K166" s="34" t="str"/>
      <x:c r="L166" s="34" t="str"/>
      <x:c r="M166" s="34" t="str"/>
      <x:c r="N166" s="34" t="n">
        <x:f>IF(A166="","",I166+J166+K166)</x:f>
        <x:v>0</x:v>
      </x:c>
      <x:c r="O166" s="56" t="str">
        <x:f>IF(N166=0,"",(I166+0.5*J166)/N166)</x:f>
      </x:c>
      <x:c r="P166" s="56" t="str">
        <x:f>IF(N166=0,"",(I166+0.5*J166+1)/(N166+2))</x:f>
      </x:c>
      <x:c r="Q166" s="34" t="str"/>
      <x:c r="R166" s="34" t="str"/>
      <x:c r="S166" s="34" t="str"/>
      <x:c r="T166" s="34" t="str"/>
      <x:c r="U166" s="34" t="str"/>
      <x:c r="V166" s="34" t="str">
        <x:f>IF(A166="","",IF(N166&lt;5,"样本不足",IF(Q166&gt;=1,"优先复核",IF(AND(N166&gt;=20,P166&lt;0.35,K166&gt;=5),"停用候选",IF(AND(N166&gt;=10,P166&lt;0.45),"需修改候选",IF(AND(N166&gt;=10,P166&gt;=0.75,R166/N166&lt;=0.15,S166/N166&lt;=0.15),"升级候选",IF(R166/N166&gt;0.3,"收紧条件",IF(S166/N166&gt;0.3,"补漏／放宽","继续观察"))))))))</x:f>
        <x:v>样本不足</x:v>
      </x:c>
      <x:c r="W166" s="34" t="str">
        <x:f>IF(V166="","",IF(V166="升级候选","已验证候选",IF(V166="停用候选","停用候选",IF(OR(V166="需修改候选",V166="收紧条件",V166="补漏／放宽",V166="优先复核"),"需修改／复核","观察中"))))</x:f>
        <x:v>观察中</x:v>
      </x:c>
      <x:c r="X166" s="34" t="str"/>
      <x:c r="Y166" s="34" t="str"/>
    </x:row>
    <x:row r="167">
      <x:c r="A167" s="34" t="str">
        <x:v>M5-SYNTH-114</x:v>
      </x:c>
      <x:c r="B167" s="34" t="str">
        <x:v>SYNTH</x:v>
      </x:c>
      <x:c r="C167" s="34" t="str">
        <x:v>P0_SYNTH总合成</x:v>
      </x:c>
      <x:c r="D167" s="34" t="str">
        <x:v>RG01现实门槛｜通过</x:v>
      </x:c>
      <x:c r="E167" s="34" t="str">
        <x:v>L3 现实门槛RG</x:v>
      </x:c>
      <x:c r="F167" s="34" t="str">
        <x:v>通过</x:v>
      </x:c>
      <x:c r="G167" s="34" t="n">
        <x:v>92</x:v>
      </x:c>
      <x:c r="H167" s="34" t="str">
        <x:v>待验证</x:v>
      </x:c>
      <x:c r="I167" s="34" t="str"/>
      <x:c r="J167" s="34" t="str"/>
      <x:c r="K167" s="34" t="str"/>
      <x:c r="L167" s="34" t="str"/>
      <x:c r="M167" s="34" t="str"/>
      <x:c r="N167" s="34" t="n">
        <x:f>IF(A167="","",I167+J167+K167)</x:f>
        <x:v>0</x:v>
      </x:c>
      <x:c r="O167" s="56" t="str">
        <x:f>IF(N167=0,"",(I167+0.5*J167)/N167)</x:f>
      </x:c>
      <x:c r="P167" s="56" t="str">
        <x:f>IF(N167=0,"",(I167+0.5*J167+1)/(N167+2))</x:f>
      </x:c>
      <x:c r="Q167" s="34" t="str"/>
      <x:c r="R167" s="34" t="str"/>
      <x:c r="S167" s="34" t="str"/>
      <x:c r="T167" s="34" t="str"/>
      <x:c r="U167" s="34" t="str"/>
      <x:c r="V167" s="34" t="str">
        <x:f>IF(A167="","",IF(N167&lt;5,"样本不足",IF(Q167&gt;=1,"优先复核",IF(AND(N167&gt;=20,P167&lt;0.35,K167&gt;=5),"停用候选",IF(AND(N167&gt;=10,P167&lt;0.45),"需修改候选",IF(AND(N167&gt;=10,P167&gt;=0.75,R167/N167&lt;=0.15,S167/N167&lt;=0.15),"升级候选",IF(R167/N167&gt;0.3,"收紧条件",IF(S167/N167&gt;0.3,"补漏／放宽","继续观察"))))))))</x:f>
        <x:v>样本不足</x:v>
      </x:c>
      <x:c r="W167" s="34" t="str">
        <x:f>IF(V167="","",IF(V167="升级候选","已验证候选",IF(V167="停用候选","停用候选",IF(OR(V167="需修改候选",V167="收紧条件",V167="补漏／放宽",V167="优先复核"),"需修改／复核","观察中"))))</x:f>
        <x:v>观察中</x:v>
      </x:c>
      <x:c r="X167" s="34" t="str"/>
      <x:c r="Y167" s="34" t="str"/>
    </x:row>
    <x:row r="168">
      <x:c r="A168" s="34" t="str">
        <x:v>M5-SYNTH-115</x:v>
      </x:c>
      <x:c r="B168" s="34" t="str">
        <x:v>SYNTH</x:v>
      </x:c>
      <x:c r="C168" s="34" t="str">
        <x:v>P0_SYNTH总合成</x:v>
      </x:c>
      <x:c r="D168" s="34" t="str">
        <x:v>RG01现实门槛｜条件性通过</x:v>
      </x:c>
      <x:c r="E168" s="34" t="str">
        <x:v>L3 现实门槛RG</x:v>
      </x:c>
      <x:c r="F168" s="34" t="str">
        <x:v>条件性</x:v>
      </x:c>
      <x:c r="G168" s="34" t="n">
        <x:v>92</x:v>
      </x:c>
      <x:c r="H168" s="34" t="str">
        <x:v>待验证</x:v>
      </x:c>
      <x:c r="I168" s="34" t="str"/>
      <x:c r="J168" s="34" t="str"/>
      <x:c r="K168" s="34" t="str"/>
      <x:c r="L168" s="34" t="str"/>
      <x:c r="M168" s="34" t="str"/>
      <x:c r="N168" s="34" t="n">
        <x:f>IF(A168="","",I168+J168+K168)</x:f>
        <x:v>0</x:v>
      </x:c>
      <x:c r="O168" s="56" t="str">
        <x:f>IF(N168=0,"",(I168+0.5*J168)/N168)</x:f>
      </x:c>
      <x:c r="P168" s="56" t="str">
        <x:f>IF(N168=0,"",(I168+0.5*J168+1)/(N168+2))</x:f>
      </x:c>
      <x:c r="Q168" s="34" t="str"/>
      <x:c r="R168" s="34" t="str"/>
      <x:c r="S168" s="34" t="str"/>
      <x:c r="T168" s="34" t="str"/>
      <x:c r="U168" s="34" t="str"/>
      <x:c r="V168" s="34" t="str">
        <x:f>IF(A168="","",IF(N168&lt;5,"样本不足",IF(Q168&gt;=1,"优先复核",IF(AND(N168&gt;=20,P168&lt;0.35,K168&gt;=5),"停用候选",IF(AND(N168&gt;=10,P168&lt;0.45),"需修改候选",IF(AND(N168&gt;=10,P168&gt;=0.75,R168/N168&lt;=0.15,S168/N168&lt;=0.15),"升级候选",IF(R168/N168&gt;0.3,"收紧条件",IF(S168/N168&gt;0.3,"补漏／放宽","继续观察"))))))))</x:f>
        <x:v>样本不足</x:v>
      </x:c>
      <x:c r="W168" s="34" t="str">
        <x:f>IF(V168="","",IF(V168="升级候选","已验证候选",IF(V168="停用候选","停用候选",IF(OR(V168="需修改候选",V168="收紧条件",V168="补漏／放宽",V168="优先复核"),"需修改／复核","观察中"))))</x:f>
        <x:v>观察中</x:v>
      </x:c>
      <x:c r="X168" s="34" t="str"/>
      <x:c r="Y168" s="34" t="str"/>
    </x:row>
    <x:row r="169">
      <x:c r="A169" s="34" t="str">
        <x:v>M5-SYNTH-118</x:v>
      </x:c>
      <x:c r="B169" s="34" t="str">
        <x:v>SYNTH</x:v>
      </x:c>
      <x:c r="C169" s="34" t="str">
        <x:v>P0_SYNTH总合成</x:v>
      </x:c>
      <x:c r="D169" s="34" t="str">
        <x:v>RG02现实门槛｜通过</x:v>
      </x:c>
      <x:c r="E169" s="34" t="str">
        <x:v>L3 现实门槛RG</x:v>
      </x:c>
      <x:c r="F169" s="34" t="str">
        <x:v>通过</x:v>
      </x:c>
      <x:c r="G169" s="34" t="n">
        <x:v>92</x:v>
      </x:c>
      <x:c r="H169" s="34" t="str">
        <x:v>待验证</x:v>
      </x:c>
      <x:c r="I169" s="34" t="str"/>
      <x:c r="J169" s="34" t="str"/>
      <x:c r="K169" s="34" t="str"/>
      <x:c r="L169" s="34" t="str"/>
      <x:c r="M169" s="34" t="str"/>
      <x:c r="N169" s="34" t="n">
        <x:f>IF(A169="","",I169+J169+K169)</x:f>
        <x:v>0</x:v>
      </x:c>
      <x:c r="O169" s="56" t="str">
        <x:f>IF(N169=0,"",(I169+0.5*J169)/N169)</x:f>
      </x:c>
      <x:c r="P169" s="56" t="str">
        <x:f>IF(N169=0,"",(I169+0.5*J169+1)/(N169+2))</x:f>
      </x:c>
      <x:c r="Q169" s="34" t="str"/>
      <x:c r="R169" s="34" t="str"/>
      <x:c r="S169" s="34" t="str"/>
      <x:c r="T169" s="34" t="str"/>
      <x:c r="U169" s="34" t="str"/>
      <x:c r="V169" s="34" t="str">
        <x:f>IF(A169="","",IF(N169&lt;5,"样本不足",IF(Q169&gt;=1,"优先复核",IF(AND(N169&gt;=20,P169&lt;0.35,K169&gt;=5),"停用候选",IF(AND(N169&gt;=10,P169&lt;0.45),"需修改候选",IF(AND(N169&gt;=10,P169&gt;=0.75,R169/N169&lt;=0.15,S169/N169&lt;=0.15),"升级候选",IF(R169/N169&gt;0.3,"收紧条件",IF(S169/N169&gt;0.3,"补漏／放宽","继续观察"))))))))</x:f>
        <x:v>样本不足</x:v>
      </x:c>
      <x:c r="W169" s="34" t="str">
        <x:f>IF(V169="","",IF(V169="升级候选","已验证候选",IF(V169="停用候选","停用候选",IF(OR(V169="需修改候选",V169="收紧条件",V169="补漏／放宽",V169="优先复核"),"需修改／复核","观察中"))))</x:f>
        <x:v>观察中</x:v>
      </x:c>
      <x:c r="X169" s="34" t="str"/>
      <x:c r="Y169" s="34" t="str"/>
    </x:row>
    <x:row r="170">
      <x:c r="A170" s="34" t="str">
        <x:v>M5-SYNTH-119</x:v>
      </x:c>
      <x:c r="B170" s="34" t="str">
        <x:v>SYNTH</x:v>
      </x:c>
      <x:c r="C170" s="34" t="str">
        <x:v>P0_SYNTH总合成</x:v>
      </x:c>
      <x:c r="D170" s="34" t="str">
        <x:v>RG02现实门槛｜条件性通过</x:v>
      </x:c>
      <x:c r="E170" s="34" t="str">
        <x:v>L3 现实门槛RG</x:v>
      </x:c>
      <x:c r="F170" s="34" t="str">
        <x:v>条件性</x:v>
      </x:c>
      <x:c r="G170" s="34" t="n">
        <x:v>92</x:v>
      </x:c>
      <x:c r="H170" s="34" t="str">
        <x:v>待验证</x:v>
      </x:c>
      <x:c r="I170" s="34" t="str"/>
      <x:c r="J170" s="34" t="str"/>
      <x:c r="K170" s="34" t="str"/>
      <x:c r="L170" s="34" t="str"/>
      <x:c r="M170" s="34" t="str"/>
      <x:c r="N170" s="34" t="n">
        <x:f>IF(A170="","",I170+J170+K170)</x:f>
        <x:v>0</x:v>
      </x:c>
      <x:c r="O170" s="56" t="str">
        <x:f>IF(N170=0,"",(I170+0.5*J170)/N170)</x:f>
      </x:c>
      <x:c r="P170" s="56" t="str">
        <x:f>IF(N170=0,"",(I170+0.5*J170+1)/(N170+2))</x:f>
      </x:c>
      <x:c r="Q170" s="34" t="str"/>
      <x:c r="R170" s="34" t="str"/>
      <x:c r="S170" s="34" t="str"/>
      <x:c r="T170" s="34" t="str"/>
      <x:c r="U170" s="34" t="str"/>
      <x:c r="V170" s="34" t="str">
        <x:f>IF(A170="","",IF(N170&lt;5,"样本不足",IF(Q170&gt;=1,"优先复核",IF(AND(N170&gt;=20,P170&lt;0.35,K170&gt;=5),"停用候选",IF(AND(N170&gt;=10,P170&lt;0.45),"需修改候选",IF(AND(N170&gt;=10,P170&gt;=0.75,R170/N170&lt;=0.15,S170/N170&lt;=0.15),"升级候选",IF(R170/N170&gt;0.3,"收紧条件",IF(S170/N170&gt;0.3,"补漏／放宽","继续观察"))))))))</x:f>
        <x:v>样本不足</x:v>
      </x:c>
      <x:c r="W170" s="34" t="str">
        <x:f>IF(V170="","",IF(V170="升级候选","已验证候选",IF(V170="停用候选","停用候选",IF(OR(V170="需修改候选",V170="收紧条件",V170="补漏／放宽",V170="优先复核"),"需修改／复核","观察中"))))</x:f>
        <x:v>观察中</x:v>
      </x:c>
      <x:c r="X170" s="34" t="str"/>
      <x:c r="Y170" s="34" t="str"/>
    </x:row>
    <x:row r="171">
      <x:c r="A171" s="34" t="str">
        <x:v>M5-SYNTH-122</x:v>
      </x:c>
      <x:c r="B171" s="34" t="str">
        <x:v>SYNTH</x:v>
      </x:c>
      <x:c r="C171" s="34" t="str">
        <x:v>P0_SYNTH总合成</x:v>
      </x:c>
      <x:c r="D171" s="34" t="str">
        <x:v>RG03现实门槛｜通过</x:v>
      </x:c>
      <x:c r="E171" s="34" t="str">
        <x:v>L3 现实门槛RG</x:v>
      </x:c>
      <x:c r="F171" s="34" t="str">
        <x:v>通过</x:v>
      </x:c>
      <x:c r="G171" s="34" t="n">
        <x:v>92</x:v>
      </x:c>
      <x:c r="H171" s="34" t="str">
        <x:v>待验证</x:v>
      </x:c>
      <x:c r="I171" s="34" t="str"/>
      <x:c r="J171" s="34" t="str"/>
      <x:c r="K171" s="34" t="str"/>
      <x:c r="L171" s="34" t="str"/>
      <x:c r="M171" s="34" t="str"/>
      <x:c r="N171" s="34" t="n">
        <x:f>IF(A171="","",I171+J171+K171)</x:f>
        <x:v>0</x:v>
      </x:c>
      <x:c r="O171" s="56" t="str">
        <x:f>IF(N171=0,"",(I171+0.5*J171)/N171)</x:f>
      </x:c>
      <x:c r="P171" s="56" t="str">
        <x:f>IF(N171=0,"",(I171+0.5*J171+1)/(N171+2))</x:f>
      </x:c>
      <x:c r="Q171" s="34" t="str"/>
      <x:c r="R171" s="34" t="str"/>
      <x:c r="S171" s="34" t="str"/>
      <x:c r="T171" s="34" t="str"/>
      <x:c r="U171" s="34" t="str"/>
      <x:c r="V171" s="34" t="str">
        <x:f>IF(A171="","",IF(N171&lt;5,"样本不足",IF(Q171&gt;=1,"优先复核",IF(AND(N171&gt;=20,P171&lt;0.35,K171&gt;=5),"停用候选",IF(AND(N171&gt;=10,P171&lt;0.45),"需修改候选",IF(AND(N171&gt;=10,P171&gt;=0.75,R171/N171&lt;=0.15,S171/N171&lt;=0.15),"升级候选",IF(R171/N171&gt;0.3,"收紧条件",IF(S171/N171&gt;0.3,"补漏／放宽","继续观察"))))))))</x:f>
        <x:v>样本不足</x:v>
      </x:c>
      <x:c r="W171" s="34" t="str">
        <x:f>IF(V171="","",IF(V171="升级候选","已验证候选",IF(V171="停用候选","停用候选",IF(OR(V171="需修改候选",V171="收紧条件",V171="补漏／放宽",V171="优先复核"),"需修改／复核","观察中"))))</x:f>
        <x:v>观察中</x:v>
      </x:c>
      <x:c r="X171" s="34" t="str"/>
      <x:c r="Y171" s="34" t="str"/>
    </x:row>
    <x:row r="172">
      <x:c r="A172" s="34" t="str">
        <x:v>M5-SYNTH-123</x:v>
      </x:c>
      <x:c r="B172" s="34" t="str">
        <x:v>SYNTH</x:v>
      </x:c>
      <x:c r="C172" s="34" t="str">
        <x:v>P0_SYNTH总合成</x:v>
      </x:c>
      <x:c r="D172" s="34" t="str">
        <x:v>RG03现实门槛｜条件性通过</x:v>
      </x:c>
      <x:c r="E172" s="34" t="str">
        <x:v>L3 现实门槛RG</x:v>
      </x:c>
      <x:c r="F172" s="34" t="str">
        <x:v>条件性</x:v>
      </x:c>
      <x:c r="G172" s="34" t="n">
        <x:v>92</x:v>
      </x:c>
      <x:c r="H172" s="34" t="str">
        <x:v>待验证</x:v>
      </x:c>
      <x:c r="I172" s="34" t="str"/>
      <x:c r="J172" s="34" t="str"/>
      <x:c r="K172" s="34" t="str"/>
      <x:c r="L172" s="34" t="str"/>
      <x:c r="M172" s="34" t="str"/>
      <x:c r="N172" s="34" t="n">
        <x:f>IF(A172="","",I172+J172+K172)</x:f>
        <x:v>0</x:v>
      </x:c>
      <x:c r="O172" s="56" t="str">
        <x:f>IF(N172=0,"",(I172+0.5*J172)/N172)</x:f>
      </x:c>
      <x:c r="P172" s="56" t="str">
        <x:f>IF(N172=0,"",(I172+0.5*J172+1)/(N172+2))</x:f>
      </x:c>
      <x:c r="Q172" s="34" t="str"/>
      <x:c r="R172" s="34" t="str"/>
      <x:c r="S172" s="34" t="str"/>
      <x:c r="T172" s="34" t="str"/>
      <x:c r="U172" s="34" t="str"/>
      <x:c r="V172" s="34" t="str">
        <x:f>IF(A172="","",IF(N172&lt;5,"样本不足",IF(Q172&gt;=1,"优先复核",IF(AND(N172&gt;=20,P172&lt;0.35,K172&gt;=5),"停用候选",IF(AND(N172&gt;=10,P172&lt;0.45),"需修改候选",IF(AND(N172&gt;=10,P172&gt;=0.75,R172/N172&lt;=0.15,S172/N172&lt;=0.15),"升级候选",IF(R172/N172&gt;0.3,"收紧条件",IF(S172/N172&gt;0.3,"补漏／放宽","继续观察"))))))))</x:f>
        <x:v>样本不足</x:v>
      </x:c>
      <x:c r="W172" s="34" t="str">
        <x:f>IF(V172="","",IF(V172="升级候选","已验证候选",IF(V172="停用候选","停用候选",IF(OR(V172="需修改候选",V172="收紧条件",V172="补漏／放宽",V172="优先复核"),"需修改／复核","观察中"))))</x:f>
        <x:v>观察中</x:v>
      </x:c>
      <x:c r="X172" s="34" t="str"/>
      <x:c r="Y172" s="34" t="str"/>
    </x:row>
    <x:row r="173">
      <x:c r="A173" s="34" t="str">
        <x:v>M5-SYNTH-126</x:v>
      </x:c>
      <x:c r="B173" s="34" t="str">
        <x:v>SYNTH</x:v>
      </x:c>
      <x:c r="C173" s="34" t="str">
        <x:v>P0_SYNTH总合成</x:v>
      </x:c>
      <x:c r="D173" s="34" t="str">
        <x:v>RG04现实门槛｜通过</x:v>
      </x:c>
      <x:c r="E173" s="34" t="str">
        <x:v>L3 现实门槛RG</x:v>
      </x:c>
      <x:c r="F173" s="34" t="str">
        <x:v>通过</x:v>
      </x:c>
      <x:c r="G173" s="34" t="n">
        <x:v>92</x:v>
      </x:c>
      <x:c r="H173" s="34" t="str">
        <x:v>待验证</x:v>
      </x:c>
      <x:c r="I173" s="34" t="str"/>
      <x:c r="J173" s="34" t="str"/>
      <x:c r="K173" s="34" t="str"/>
      <x:c r="L173" s="34" t="str"/>
      <x:c r="M173" s="34" t="str"/>
      <x:c r="N173" s="34" t="n">
        <x:f>IF(A173="","",I173+J173+K173)</x:f>
        <x:v>0</x:v>
      </x:c>
      <x:c r="O173" s="56" t="str">
        <x:f>IF(N173=0,"",(I173+0.5*J173)/N173)</x:f>
      </x:c>
      <x:c r="P173" s="56" t="str">
        <x:f>IF(N173=0,"",(I173+0.5*J173+1)/(N173+2))</x:f>
      </x:c>
      <x:c r="Q173" s="34" t="str"/>
      <x:c r="R173" s="34" t="str"/>
      <x:c r="S173" s="34" t="str"/>
      <x:c r="T173" s="34" t="str"/>
      <x:c r="U173" s="34" t="str"/>
      <x:c r="V173" s="34" t="str">
        <x:f>IF(A173="","",IF(N173&lt;5,"样本不足",IF(Q173&gt;=1,"优先复核",IF(AND(N173&gt;=20,P173&lt;0.35,K173&gt;=5),"停用候选",IF(AND(N173&gt;=10,P173&lt;0.45),"需修改候选",IF(AND(N173&gt;=10,P173&gt;=0.75,R173/N173&lt;=0.15,S173/N173&lt;=0.15),"升级候选",IF(R173/N173&gt;0.3,"收紧条件",IF(S173/N173&gt;0.3,"补漏／放宽","继续观察"))))))))</x:f>
        <x:v>样本不足</x:v>
      </x:c>
      <x:c r="W173" s="34" t="str">
        <x:f>IF(V173="","",IF(V173="升级候选","已验证候选",IF(V173="停用候选","停用候选",IF(OR(V173="需修改候选",V173="收紧条件",V173="补漏／放宽",V173="优先复核"),"需修改／复核","观察中"))))</x:f>
        <x:v>观察中</x:v>
      </x:c>
      <x:c r="X173" s="34" t="str"/>
      <x:c r="Y173" s="34" t="str"/>
    </x:row>
    <x:row r="174">
      <x:c r="A174" s="34" t="str">
        <x:v>M5-SYNTH-127</x:v>
      </x:c>
      <x:c r="B174" s="34" t="str">
        <x:v>SYNTH</x:v>
      </x:c>
      <x:c r="C174" s="34" t="str">
        <x:v>P0_SYNTH总合成</x:v>
      </x:c>
      <x:c r="D174" s="34" t="str">
        <x:v>RG04现实门槛｜条件性通过</x:v>
      </x:c>
      <x:c r="E174" s="34" t="str">
        <x:v>L3 现实门槛RG</x:v>
      </x:c>
      <x:c r="F174" s="34" t="str">
        <x:v>条件性</x:v>
      </x:c>
      <x:c r="G174" s="34" t="n">
        <x:v>92</x:v>
      </x:c>
      <x:c r="H174" s="34" t="str">
        <x:v>待验证</x:v>
      </x:c>
      <x:c r="I174" s="34" t="str"/>
      <x:c r="J174" s="34" t="str"/>
      <x:c r="K174" s="34" t="str"/>
      <x:c r="L174" s="34" t="str"/>
      <x:c r="M174" s="34" t="str"/>
      <x:c r="N174" s="34" t="n">
        <x:f>IF(A174="","",I174+J174+K174)</x:f>
        <x:v>0</x:v>
      </x:c>
      <x:c r="O174" s="56" t="str">
        <x:f>IF(N174=0,"",(I174+0.5*J174)/N174)</x:f>
      </x:c>
      <x:c r="P174" s="56" t="str">
        <x:f>IF(N174=0,"",(I174+0.5*J174+1)/(N174+2))</x:f>
      </x:c>
      <x:c r="Q174" s="34" t="str"/>
      <x:c r="R174" s="34" t="str"/>
      <x:c r="S174" s="34" t="str"/>
      <x:c r="T174" s="34" t="str"/>
      <x:c r="U174" s="34" t="str"/>
      <x:c r="V174" s="34" t="str">
        <x:f>IF(A174="","",IF(N174&lt;5,"样本不足",IF(Q174&gt;=1,"优先复核",IF(AND(N174&gt;=20,P174&lt;0.35,K174&gt;=5),"停用候选",IF(AND(N174&gt;=10,P174&lt;0.45),"需修改候选",IF(AND(N174&gt;=10,P174&gt;=0.75,R174/N174&lt;=0.15,S174/N174&lt;=0.15),"升级候选",IF(R174/N174&gt;0.3,"收紧条件",IF(S174/N174&gt;0.3,"补漏／放宽","继续观察"))))))))</x:f>
        <x:v>样本不足</x:v>
      </x:c>
      <x:c r="W174" s="34" t="str">
        <x:f>IF(V174="","",IF(V174="升级候选","已验证候选",IF(V174="停用候选","停用候选",IF(OR(V174="需修改候选",V174="收紧条件",V174="补漏／放宽",V174="优先复核"),"需修改／复核","观察中"))))</x:f>
        <x:v>观察中</x:v>
      </x:c>
      <x:c r="X174" s="34" t="str"/>
      <x:c r="Y174" s="34" t="str"/>
    </x:row>
    <x:row r="175">
      <x:c r="A175" s="34" t="str">
        <x:v>M5-SYNTH-130</x:v>
      </x:c>
      <x:c r="B175" s="34" t="str">
        <x:v>SYNTH</x:v>
      </x:c>
      <x:c r="C175" s="34" t="str">
        <x:v>P0_SYNTH总合成</x:v>
      </x:c>
      <x:c r="D175" s="34" t="str">
        <x:v>RG05现实门槛｜通过</x:v>
      </x:c>
      <x:c r="E175" s="34" t="str">
        <x:v>L3 现实门槛RG</x:v>
      </x:c>
      <x:c r="F175" s="34" t="str">
        <x:v>通过</x:v>
      </x:c>
      <x:c r="G175" s="34" t="n">
        <x:v>92</x:v>
      </x:c>
      <x:c r="H175" s="34" t="str">
        <x:v>待验证</x:v>
      </x:c>
      <x:c r="I175" s="34" t="str"/>
      <x:c r="J175" s="34" t="str"/>
      <x:c r="K175" s="34" t="str"/>
      <x:c r="L175" s="34" t="str"/>
      <x:c r="M175" s="34" t="str"/>
      <x:c r="N175" s="34" t="n">
        <x:f>IF(A175="","",I175+J175+K175)</x:f>
        <x:v>0</x:v>
      </x:c>
      <x:c r="O175" s="56" t="str">
        <x:f>IF(N175=0,"",(I175+0.5*J175)/N175)</x:f>
      </x:c>
      <x:c r="P175" s="56" t="str">
        <x:f>IF(N175=0,"",(I175+0.5*J175+1)/(N175+2))</x:f>
      </x:c>
      <x:c r="Q175" s="34" t="str"/>
      <x:c r="R175" s="34" t="str"/>
      <x:c r="S175" s="34" t="str"/>
      <x:c r="T175" s="34" t="str"/>
      <x:c r="U175" s="34" t="str"/>
      <x:c r="V175" s="34" t="str">
        <x:f>IF(A175="","",IF(N175&lt;5,"样本不足",IF(Q175&gt;=1,"优先复核",IF(AND(N175&gt;=20,P175&lt;0.35,K175&gt;=5),"停用候选",IF(AND(N175&gt;=10,P175&lt;0.45),"需修改候选",IF(AND(N175&gt;=10,P175&gt;=0.75,R175/N175&lt;=0.15,S175/N175&lt;=0.15),"升级候选",IF(R175/N175&gt;0.3,"收紧条件",IF(S175/N175&gt;0.3,"补漏／放宽","继续观察"))))))))</x:f>
        <x:v>样本不足</x:v>
      </x:c>
      <x:c r="W175" s="34" t="str">
        <x:f>IF(V175="","",IF(V175="升级候选","已验证候选",IF(V175="停用候选","停用候选",IF(OR(V175="需修改候选",V175="收紧条件",V175="补漏／放宽",V175="优先复核"),"需修改／复核","观察中"))))</x:f>
        <x:v>观察中</x:v>
      </x:c>
      <x:c r="X175" s="34" t="str"/>
      <x:c r="Y175" s="34" t="str"/>
    </x:row>
    <x:row r="176">
      <x:c r="A176" s="34" t="str">
        <x:v>M5-SYNTH-131</x:v>
      </x:c>
      <x:c r="B176" s="34" t="str">
        <x:v>SYNTH</x:v>
      </x:c>
      <x:c r="C176" s="34" t="str">
        <x:v>P0_SYNTH总合成</x:v>
      </x:c>
      <x:c r="D176" s="34" t="str">
        <x:v>RG05现实门槛｜条件性通过</x:v>
      </x:c>
      <x:c r="E176" s="34" t="str">
        <x:v>L3 现实门槛RG</x:v>
      </x:c>
      <x:c r="F176" s="34" t="str">
        <x:v>条件性</x:v>
      </x:c>
      <x:c r="G176" s="34" t="n">
        <x:v>92</x:v>
      </x:c>
      <x:c r="H176" s="34" t="str">
        <x:v>待验证</x:v>
      </x:c>
      <x:c r="I176" s="34" t="str"/>
      <x:c r="J176" s="34" t="str"/>
      <x:c r="K176" s="34" t="str"/>
      <x:c r="L176" s="34" t="str"/>
      <x:c r="M176" s="34" t="str"/>
      <x:c r="N176" s="34" t="n">
        <x:f>IF(A176="","",I176+J176+K176)</x:f>
        <x:v>0</x:v>
      </x:c>
      <x:c r="O176" s="56" t="str">
        <x:f>IF(N176=0,"",(I176+0.5*J176)/N176)</x:f>
      </x:c>
      <x:c r="P176" s="56" t="str">
        <x:f>IF(N176=0,"",(I176+0.5*J176+1)/(N176+2))</x:f>
      </x:c>
      <x:c r="Q176" s="34" t="str"/>
      <x:c r="R176" s="34" t="str"/>
      <x:c r="S176" s="34" t="str"/>
      <x:c r="T176" s="34" t="str"/>
      <x:c r="U176" s="34" t="str"/>
      <x:c r="V176" s="34" t="str">
        <x:f>IF(A176="","",IF(N176&lt;5,"样本不足",IF(Q176&gt;=1,"优先复核",IF(AND(N176&gt;=20,P176&lt;0.35,K176&gt;=5),"停用候选",IF(AND(N176&gt;=10,P176&lt;0.45),"需修改候选",IF(AND(N176&gt;=10,P176&gt;=0.75,R176/N176&lt;=0.15,S176/N176&lt;=0.15),"升级候选",IF(R176/N176&gt;0.3,"收紧条件",IF(S176/N176&gt;0.3,"补漏／放宽","继续观察"))))))))</x:f>
        <x:v>样本不足</x:v>
      </x:c>
      <x:c r="W176" s="34" t="str">
        <x:f>IF(V176="","",IF(V176="升级候选","已验证候选",IF(V176="停用候选","停用候选",IF(OR(V176="需修改候选",V176="收紧条件",V176="补漏／放宽",V176="优先复核"),"需修改／复核","观察中"))))</x:f>
        <x:v>观察中</x:v>
      </x:c>
      <x:c r="X176" s="34" t="str"/>
      <x:c r="Y176" s="34" t="str"/>
    </x:row>
    <x:row r="177">
      <x:c r="A177" s="34" t="str">
        <x:v>M5-SYNTH-134</x:v>
      </x:c>
      <x:c r="B177" s="34" t="str">
        <x:v>SYNTH</x:v>
      </x:c>
      <x:c r="C177" s="34" t="str">
        <x:v>P0_SYNTH总合成</x:v>
      </x:c>
      <x:c r="D177" s="34" t="str">
        <x:v>RG06现实门槛｜通过</x:v>
      </x:c>
      <x:c r="E177" s="34" t="str">
        <x:v>L3 现实门槛RG</x:v>
      </x:c>
      <x:c r="F177" s="34" t="str">
        <x:v>通过</x:v>
      </x:c>
      <x:c r="G177" s="34" t="n">
        <x:v>92</x:v>
      </x:c>
      <x:c r="H177" s="34" t="str">
        <x:v>待验证</x:v>
      </x:c>
      <x:c r="I177" s="34" t="str"/>
      <x:c r="J177" s="34" t="str"/>
      <x:c r="K177" s="34" t="str"/>
      <x:c r="L177" s="34" t="str"/>
      <x:c r="M177" s="34" t="str"/>
      <x:c r="N177" s="34" t="n">
        <x:f>IF(A177="","",I177+J177+K177)</x:f>
        <x:v>0</x:v>
      </x:c>
      <x:c r="O177" s="56" t="str">
        <x:f>IF(N177=0,"",(I177+0.5*J177)/N177)</x:f>
      </x:c>
      <x:c r="P177" s="56" t="str">
        <x:f>IF(N177=0,"",(I177+0.5*J177+1)/(N177+2))</x:f>
      </x:c>
      <x:c r="Q177" s="34" t="str"/>
      <x:c r="R177" s="34" t="str"/>
      <x:c r="S177" s="34" t="str"/>
      <x:c r="T177" s="34" t="str"/>
      <x:c r="U177" s="34" t="str"/>
      <x:c r="V177" s="34" t="str">
        <x:f>IF(A177="","",IF(N177&lt;5,"样本不足",IF(Q177&gt;=1,"优先复核",IF(AND(N177&gt;=20,P177&lt;0.35,K177&gt;=5),"停用候选",IF(AND(N177&gt;=10,P177&lt;0.45),"需修改候选",IF(AND(N177&gt;=10,P177&gt;=0.75,R177/N177&lt;=0.15,S177/N177&lt;=0.15),"升级候选",IF(R177/N177&gt;0.3,"收紧条件",IF(S177/N177&gt;0.3,"补漏／放宽","继续观察"))))))))</x:f>
        <x:v>样本不足</x:v>
      </x:c>
      <x:c r="W177" s="34" t="str">
        <x:f>IF(V177="","",IF(V177="升级候选","已验证候选",IF(V177="停用候选","停用候选",IF(OR(V177="需修改候选",V177="收紧条件",V177="补漏／放宽",V177="优先复核"),"需修改／复核","观察中"))))</x:f>
        <x:v>观察中</x:v>
      </x:c>
      <x:c r="X177" s="34" t="str"/>
      <x:c r="Y177" s="34" t="str"/>
    </x:row>
    <x:row r="178">
      <x:c r="A178" s="34" t="str">
        <x:v>M5-SYNTH-135</x:v>
      </x:c>
      <x:c r="B178" s="34" t="str">
        <x:v>SYNTH</x:v>
      </x:c>
      <x:c r="C178" s="34" t="str">
        <x:v>P0_SYNTH总合成</x:v>
      </x:c>
      <x:c r="D178" s="34" t="str">
        <x:v>RG06现实门槛｜条件性通过</x:v>
      </x:c>
      <x:c r="E178" s="34" t="str">
        <x:v>L3 现实门槛RG</x:v>
      </x:c>
      <x:c r="F178" s="34" t="str">
        <x:v>条件性</x:v>
      </x:c>
      <x:c r="G178" s="34" t="n">
        <x:v>92</x:v>
      </x:c>
      <x:c r="H178" s="34" t="str">
        <x:v>待验证</x:v>
      </x:c>
      <x:c r="I178" s="34" t="str"/>
      <x:c r="J178" s="34" t="str"/>
      <x:c r="K178" s="34" t="str"/>
      <x:c r="L178" s="34" t="str"/>
      <x:c r="M178" s="34" t="str"/>
      <x:c r="N178" s="34" t="n">
        <x:f>IF(A178="","",I178+J178+K178)</x:f>
        <x:v>0</x:v>
      </x:c>
      <x:c r="O178" s="56" t="str">
        <x:f>IF(N178=0,"",(I178+0.5*J178)/N178)</x:f>
      </x:c>
      <x:c r="P178" s="56" t="str">
        <x:f>IF(N178=0,"",(I178+0.5*J178+1)/(N178+2))</x:f>
      </x:c>
      <x:c r="Q178" s="34" t="str"/>
      <x:c r="R178" s="34" t="str"/>
      <x:c r="S178" s="34" t="str"/>
      <x:c r="T178" s="34" t="str"/>
      <x:c r="U178" s="34" t="str"/>
      <x:c r="V178" s="34" t="str">
        <x:f>IF(A178="","",IF(N178&lt;5,"样本不足",IF(Q178&gt;=1,"优先复核",IF(AND(N178&gt;=20,P178&lt;0.35,K178&gt;=5),"停用候选",IF(AND(N178&gt;=10,P178&lt;0.45),"需修改候选",IF(AND(N178&gt;=10,P178&gt;=0.75,R178/N178&lt;=0.15,S178/N178&lt;=0.15),"升级候选",IF(R178/N178&gt;0.3,"收紧条件",IF(S178/N178&gt;0.3,"补漏／放宽","继续观察"))))))))</x:f>
        <x:v>样本不足</x:v>
      </x:c>
      <x:c r="W178" s="34" t="str">
        <x:f>IF(V178="","",IF(V178="升级候选","已验证候选",IF(V178="停用候选","停用候选",IF(OR(V178="需修改候选",V178="收紧条件",V178="补漏／放宽",V178="优先复核"),"需修改／复核","观察中"))))</x:f>
        <x:v>观察中</x:v>
      </x:c>
      <x:c r="X178" s="34" t="str"/>
      <x:c r="Y178" s="34" t="str"/>
    </x:row>
    <x:row r="179">
      <x:c r="A179" s="34" t="str">
        <x:v>M5-SYNTH-138</x:v>
      </x:c>
      <x:c r="B179" s="34" t="str">
        <x:v>SYNTH</x:v>
      </x:c>
      <x:c r="C179" s="34" t="str">
        <x:v>P0_SYNTH总合成</x:v>
      </x:c>
      <x:c r="D179" s="34" t="str">
        <x:v>RG07现实门槛｜通过</x:v>
      </x:c>
      <x:c r="E179" s="34" t="str">
        <x:v>L3 现实门槛RG</x:v>
      </x:c>
      <x:c r="F179" s="34" t="str">
        <x:v>通过</x:v>
      </x:c>
      <x:c r="G179" s="34" t="n">
        <x:v>92</x:v>
      </x:c>
      <x:c r="H179" s="34" t="str">
        <x:v>待验证</x:v>
      </x:c>
      <x:c r="I179" s="34" t="str"/>
      <x:c r="J179" s="34" t="str"/>
      <x:c r="K179" s="34" t="str"/>
      <x:c r="L179" s="34" t="str"/>
      <x:c r="M179" s="34" t="str"/>
      <x:c r="N179" s="34" t="n">
        <x:f>IF(A179="","",I179+J179+K179)</x:f>
        <x:v>0</x:v>
      </x:c>
      <x:c r="O179" s="56" t="str">
        <x:f>IF(N179=0,"",(I179+0.5*J179)/N179)</x:f>
      </x:c>
      <x:c r="P179" s="56" t="str">
        <x:f>IF(N179=0,"",(I179+0.5*J179+1)/(N179+2))</x:f>
      </x:c>
      <x:c r="Q179" s="34" t="str"/>
      <x:c r="R179" s="34" t="str"/>
      <x:c r="S179" s="34" t="str"/>
      <x:c r="T179" s="34" t="str"/>
      <x:c r="U179" s="34" t="str"/>
      <x:c r="V179" s="34" t="str">
        <x:f>IF(A179="","",IF(N179&lt;5,"样本不足",IF(Q179&gt;=1,"优先复核",IF(AND(N179&gt;=20,P179&lt;0.35,K179&gt;=5),"停用候选",IF(AND(N179&gt;=10,P179&lt;0.45),"需修改候选",IF(AND(N179&gt;=10,P179&gt;=0.75,R179/N179&lt;=0.15,S179/N179&lt;=0.15),"升级候选",IF(R179/N179&gt;0.3,"收紧条件",IF(S179/N179&gt;0.3,"补漏／放宽","继续观察"))))))))</x:f>
        <x:v>样本不足</x:v>
      </x:c>
      <x:c r="W179" s="34" t="str">
        <x:f>IF(V179="","",IF(V179="升级候选","已验证候选",IF(V179="停用候选","停用候选",IF(OR(V179="需修改候选",V179="收紧条件",V179="补漏／放宽",V179="优先复核"),"需修改／复核","观察中"))))</x:f>
        <x:v>观察中</x:v>
      </x:c>
      <x:c r="X179" s="34" t="str"/>
      <x:c r="Y179" s="34" t="str"/>
    </x:row>
    <x:row r="180">
      <x:c r="A180" s="34" t="str">
        <x:v>M5-SYNTH-139</x:v>
      </x:c>
      <x:c r="B180" s="34" t="str">
        <x:v>SYNTH</x:v>
      </x:c>
      <x:c r="C180" s="34" t="str">
        <x:v>P0_SYNTH总合成</x:v>
      </x:c>
      <x:c r="D180" s="34" t="str">
        <x:v>RG07现实门槛｜条件性通过</x:v>
      </x:c>
      <x:c r="E180" s="34" t="str">
        <x:v>L3 现实门槛RG</x:v>
      </x:c>
      <x:c r="F180" s="34" t="str">
        <x:v>条件性</x:v>
      </x:c>
      <x:c r="G180" s="34" t="n">
        <x:v>92</x:v>
      </x:c>
      <x:c r="H180" s="34" t="str">
        <x:v>待验证</x:v>
      </x:c>
      <x:c r="I180" s="34" t="str"/>
      <x:c r="J180" s="34" t="str"/>
      <x:c r="K180" s="34" t="str"/>
      <x:c r="L180" s="34" t="str"/>
      <x:c r="M180" s="34" t="str"/>
      <x:c r="N180" s="34" t="n">
        <x:f>IF(A180="","",I180+J180+K180)</x:f>
        <x:v>0</x:v>
      </x:c>
      <x:c r="O180" s="56" t="str">
        <x:f>IF(N180=0,"",(I180+0.5*J180)/N180)</x:f>
      </x:c>
      <x:c r="P180" s="56" t="str">
        <x:f>IF(N180=0,"",(I180+0.5*J180+1)/(N180+2))</x:f>
      </x:c>
      <x:c r="Q180" s="34" t="str"/>
      <x:c r="R180" s="34" t="str"/>
      <x:c r="S180" s="34" t="str"/>
      <x:c r="T180" s="34" t="str"/>
      <x:c r="U180" s="34" t="str"/>
      <x:c r="V180" s="34" t="str">
        <x:f>IF(A180="","",IF(N180&lt;5,"样本不足",IF(Q180&gt;=1,"优先复核",IF(AND(N180&gt;=20,P180&lt;0.35,K180&gt;=5),"停用候选",IF(AND(N180&gt;=10,P180&lt;0.45),"需修改候选",IF(AND(N180&gt;=10,P180&gt;=0.75,R180/N180&lt;=0.15,S180/N180&lt;=0.15),"升级候选",IF(R180/N180&gt;0.3,"收紧条件",IF(S180/N180&gt;0.3,"补漏／放宽","继续观察"))))))))</x:f>
        <x:v>样本不足</x:v>
      </x:c>
      <x:c r="W180" s="34" t="str">
        <x:f>IF(V180="","",IF(V180="升级候选","已验证候选",IF(V180="停用候选","停用候选",IF(OR(V180="需修改候选",V180="收紧条件",V180="补漏／放宽",V180="优先复核"),"需修改／复核","观察中"))))</x:f>
        <x:v>观察中</x:v>
      </x:c>
      <x:c r="X180" s="34" t="str"/>
      <x:c r="Y180" s="34" t="str"/>
    </x:row>
    <x:row r="181">
      <x:c r="A181" s="34" t="str">
        <x:v>M5-SYNTH-142</x:v>
      </x:c>
      <x:c r="B181" s="34" t="str">
        <x:v>SYNTH</x:v>
      </x:c>
      <x:c r="C181" s="34" t="str">
        <x:v>P0_SYNTH总合成</x:v>
      </x:c>
      <x:c r="D181" s="34" t="str">
        <x:v>RG08现实门槛｜通过</x:v>
      </x:c>
      <x:c r="E181" s="34" t="str">
        <x:v>L3 现实门槛RG</x:v>
      </x:c>
      <x:c r="F181" s="34" t="str">
        <x:v>通过</x:v>
      </x:c>
      <x:c r="G181" s="34" t="n">
        <x:v>92</x:v>
      </x:c>
      <x:c r="H181" s="34" t="str">
        <x:v>待验证</x:v>
      </x:c>
      <x:c r="I181" s="34" t="str"/>
      <x:c r="J181" s="34" t="str"/>
      <x:c r="K181" s="34" t="str"/>
      <x:c r="L181" s="34" t="str"/>
      <x:c r="M181" s="34" t="str"/>
      <x:c r="N181" s="34" t="n">
        <x:f>IF(A181="","",I181+J181+K181)</x:f>
        <x:v>0</x:v>
      </x:c>
      <x:c r="O181" s="56" t="str">
        <x:f>IF(N181=0,"",(I181+0.5*J181)/N181)</x:f>
      </x:c>
      <x:c r="P181" s="56" t="str">
        <x:f>IF(N181=0,"",(I181+0.5*J181+1)/(N181+2))</x:f>
      </x:c>
      <x:c r="Q181" s="34" t="str"/>
      <x:c r="R181" s="34" t="str"/>
      <x:c r="S181" s="34" t="str"/>
      <x:c r="T181" s="34" t="str"/>
      <x:c r="U181" s="34" t="str"/>
      <x:c r="V181" s="34" t="str">
        <x:f>IF(A181="","",IF(N181&lt;5,"样本不足",IF(Q181&gt;=1,"优先复核",IF(AND(N181&gt;=20,P181&lt;0.35,K181&gt;=5),"停用候选",IF(AND(N181&gt;=10,P181&lt;0.45),"需修改候选",IF(AND(N181&gt;=10,P181&gt;=0.75,R181/N181&lt;=0.15,S181/N181&lt;=0.15),"升级候选",IF(R181/N181&gt;0.3,"收紧条件",IF(S181/N181&gt;0.3,"补漏／放宽","继续观察"))))))))</x:f>
        <x:v>样本不足</x:v>
      </x:c>
      <x:c r="W181" s="34" t="str">
        <x:f>IF(V181="","",IF(V181="升级候选","已验证候选",IF(V181="停用候选","停用候选",IF(OR(V181="需修改候选",V181="收紧条件",V181="补漏／放宽",V181="优先复核"),"需修改／复核","观察中"))))</x:f>
        <x:v>观察中</x:v>
      </x:c>
      <x:c r="X181" s="34" t="str"/>
      <x:c r="Y181" s="34" t="str"/>
    </x:row>
    <x:row r="182">
      <x:c r="A182" s="34" t="str">
        <x:v>M5-SYNTH-143</x:v>
      </x:c>
      <x:c r="B182" s="34" t="str">
        <x:v>SYNTH</x:v>
      </x:c>
      <x:c r="C182" s="34" t="str">
        <x:v>P0_SYNTH总合成</x:v>
      </x:c>
      <x:c r="D182" s="34" t="str">
        <x:v>RG08现实门槛｜条件性通过</x:v>
      </x:c>
      <x:c r="E182" s="34" t="str">
        <x:v>L3 现实门槛RG</x:v>
      </x:c>
      <x:c r="F182" s="34" t="str">
        <x:v>条件性</x:v>
      </x:c>
      <x:c r="G182" s="34" t="n">
        <x:v>92</x:v>
      </x:c>
      <x:c r="H182" s="34" t="str">
        <x:v>待验证</x:v>
      </x:c>
      <x:c r="I182" s="34" t="str"/>
      <x:c r="J182" s="34" t="str"/>
      <x:c r="K182" s="34" t="str"/>
      <x:c r="L182" s="34" t="str"/>
      <x:c r="M182" s="34" t="str"/>
      <x:c r="N182" s="34" t="n">
        <x:f>IF(A182="","",I182+J182+K182)</x:f>
        <x:v>0</x:v>
      </x:c>
      <x:c r="O182" s="56" t="str">
        <x:f>IF(N182=0,"",(I182+0.5*J182)/N182)</x:f>
      </x:c>
      <x:c r="P182" s="56" t="str">
        <x:f>IF(N182=0,"",(I182+0.5*J182+1)/(N182+2))</x:f>
      </x:c>
      <x:c r="Q182" s="34" t="str"/>
      <x:c r="R182" s="34" t="str"/>
      <x:c r="S182" s="34" t="str"/>
      <x:c r="T182" s="34" t="str"/>
      <x:c r="U182" s="34" t="str"/>
      <x:c r="V182" s="34" t="str">
        <x:f>IF(A182="","",IF(N182&lt;5,"样本不足",IF(Q182&gt;=1,"优先复核",IF(AND(N182&gt;=20,P182&lt;0.35,K182&gt;=5),"停用候选",IF(AND(N182&gt;=10,P182&lt;0.45),"需修改候选",IF(AND(N182&gt;=10,P182&gt;=0.75,R182/N182&lt;=0.15,S182/N182&lt;=0.15),"升级候选",IF(R182/N182&gt;0.3,"收紧条件",IF(S182/N182&gt;0.3,"补漏／放宽","继续观察"))))))))</x:f>
        <x:v>样本不足</x:v>
      </x:c>
      <x:c r="W182" s="34" t="str">
        <x:f>IF(V182="","",IF(V182="升级候选","已验证候选",IF(V182="停用候选","停用候选",IF(OR(V182="需修改候选",V182="收紧条件",V182="补漏／放宽",V182="优先复核"),"需修改／复核","观察中"))))</x:f>
        <x:v>观察中</x:v>
      </x:c>
      <x:c r="X182" s="34" t="str"/>
      <x:c r="Y182" s="34" t="str"/>
    </x:row>
    <x:row r="183">
      <x:c r="A183" s="34" t="str">
        <x:v>M5-SYNTH-159</x:v>
      </x:c>
      <x:c r="B183" s="34" t="str">
        <x:v>SYNTH</x:v>
      </x:c>
      <x:c r="C183" s="34" t="str">
        <x:v>P0_SYNTH总合成</x:v>
      </x:c>
      <x:c r="D183" s="34" t="str">
        <x:v>FG1成立｜结构需要明确</x:v>
      </x:c>
      <x:c r="E183" s="34" t="str">
        <x:v>L4 FG证据等级</x:v>
      </x:c>
      <x:c r="F183" s="34" t="str">
        <x:v>证据门控</x:v>
      </x:c>
      <x:c r="G183" s="34" t="n">
        <x:v>92</x:v>
      </x:c>
      <x:c r="H183" s="34" t="str">
        <x:v>待验证</x:v>
      </x:c>
      <x:c r="I183" s="34" t="str"/>
      <x:c r="J183" s="34" t="str"/>
      <x:c r="K183" s="34" t="str"/>
      <x:c r="L183" s="34" t="str"/>
      <x:c r="M183" s="34" t="str"/>
      <x:c r="N183" s="34" t="n">
        <x:f>IF(A183="","",I183+J183+K183)</x:f>
        <x:v>0</x:v>
      </x:c>
      <x:c r="O183" s="56" t="str">
        <x:f>IF(N183=0,"",(I183+0.5*J183)/N183)</x:f>
      </x:c>
      <x:c r="P183" s="56" t="str">
        <x:f>IF(N183=0,"",(I183+0.5*J183+1)/(N183+2))</x:f>
      </x:c>
      <x:c r="Q183" s="34" t="str"/>
      <x:c r="R183" s="34" t="str"/>
      <x:c r="S183" s="34" t="str"/>
      <x:c r="T183" s="34" t="str"/>
      <x:c r="U183" s="34" t="str"/>
      <x:c r="V183" s="34" t="str">
        <x:f>IF(A183="","",IF(N183&lt;5,"样本不足",IF(Q183&gt;=1,"优先复核",IF(AND(N183&gt;=20,P183&lt;0.35,K183&gt;=5),"停用候选",IF(AND(N183&gt;=10,P183&lt;0.45),"需修改候选",IF(AND(N183&gt;=10,P183&gt;=0.75,R183/N183&lt;=0.15,S183/N183&lt;=0.15),"升级候选",IF(R183/N183&gt;0.3,"收紧条件",IF(S183/N183&gt;0.3,"补漏／放宽","继续观察"))))))))</x:f>
        <x:v>样本不足</x:v>
      </x:c>
      <x:c r="W183" s="34" t="str">
        <x:f>IF(V183="","",IF(V183="升级候选","已验证候选",IF(V183="停用候选","停用候选",IF(OR(V183="需修改候选",V183="收紧条件",V183="补漏／放宽",V183="优先复核"),"需修改／复核","观察中"))))</x:f>
        <x:v>观察中</x:v>
      </x:c>
      <x:c r="X183" s="34" t="str"/>
      <x:c r="Y183" s="34" t="str"/>
    </x:row>
    <x:row r="184">
      <x:c r="A184" s="34" t="str">
        <x:v>M5-SYNTH-160</x:v>
      </x:c>
      <x:c r="B184" s="34" t="str">
        <x:v>SYNTH</x:v>
      </x:c>
      <x:c r="C184" s="34" t="str">
        <x:v>P0_SYNTH总合成</x:v>
      </x:c>
      <x:c r="D184" s="34" t="str">
        <x:v>FG1｜可输出功能族与优先级</x:v>
      </x:c>
      <x:c r="E184" s="34" t="str">
        <x:v>L4 FG证据等级</x:v>
      </x:c>
      <x:c r="F184" s="34" t="str">
        <x:v>输出</x:v>
      </x:c>
      <x:c r="G184" s="34" t="n">
        <x:v>92</x:v>
      </x:c>
      <x:c r="H184" s="34" t="str">
        <x:v>待验证</x:v>
      </x:c>
      <x:c r="I184" s="34" t="str"/>
      <x:c r="J184" s="34" t="str"/>
      <x:c r="K184" s="34" t="str"/>
      <x:c r="L184" s="34" t="str"/>
      <x:c r="M184" s="34" t="str"/>
      <x:c r="N184" s="34" t="n">
        <x:f>IF(A184="","",I184+J184+K184)</x:f>
        <x:v>0</x:v>
      </x:c>
      <x:c r="O184" s="56" t="str">
        <x:f>IF(N184=0,"",(I184+0.5*J184)/N184)</x:f>
      </x:c>
      <x:c r="P184" s="56" t="str">
        <x:f>IF(N184=0,"",(I184+0.5*J184+1)/(N184+2))</x:f>
      </x:c>
      <x:c r="Q184" s="34" t="str"/>
      <x:c r="R184" s="34" t="str"/>
      <x:c r="S184" s="34" t="str"/>
      <x:c r="T184" s="34" t="str"/>
      <x:c r="U184" s="34" t="str"/>
      <x:c r="V184" s="34" t="str">
        <x:f>IF(A184="","",IF(N184&lt;5,"样本不足",IF(Q184&gt;=1,"优先复核",IF(AND(N184&gt;=20,P184&lt;0.35,K184&gt;=5),"停用候选",IF(AND(N184&gt;=10,P184&lt;0.45),"需修改候选",IF(AND(N184&gt;=10,P184&gt;=0.75,R184/N184&lt;=0.15,S184/N184&lt;=0.15),"升级候选",IF(R184/N184&gt;0.3,"收紧条件",IF(S184/N184&gt;0.3,"补漏／放宽","继续观察"))))))))</x:f>
        <x:v>样本不足</x:v>
      </x:c>
      <x:c r="W184" s="34" t="str">
        <x:f>IF(V184="","",IF(V184="升级候选","已验证候选",IF(V184="停用候选","停用候选",IF(OR(V184="需修改候选",V184="收紧条件",V184="补漏／放宽",V184="优先复核"),"需修改／复核","观察中"))))</x:f>
        <x:v>观察中</x:v>
      </x:c>
      <x:c r="X184" s="34" t="str"/>
      <x:c r="Y184" s="34" t="str"/>
    </x:row>
    <x:row r="185">
      <x:c r="A185" s="34" t="str">
        <x:v>M5-SYNTH-161</x:v>
      </x:c>
      <x:c r="B185" s="34" t="str">
        <x:v>SYNTH</x:v>
      </x:c>
      <x:c r="C185" s="34" t="str">
        <x:v>P0_SYNTH总合成</x:v>
      </x:c>
      <x:c r="D185" s="34" t="str">
        <x:v>FG1｜可输出伴侣行为观察清单</x:v>
      </x:c>
      <x:c r="E185" s="34" t="str">
        <x:v>L4 FG证据等级</x:v>
      </x:c>
      <x:c r="F185" s="34" t="str">
        <x:v>输出</x:v>
      </x:c>
      <x:c r="G185" s="34" t="n">
        <x:v>92</x:v>
      </x:c>
      <x:c r="H185" s="34" t="str">
        <x:v>待验证</x:v>
      </x:c>
      <x:c r="I185" s="34" t="str"/>
      <x:c r="J185" s="34" t="str"/>
      <x:c r="K185" s="34" t="str"/>
      <x:c r="L185" s="34" t="str"/>
      <x:c r="M185" s="34" t="str"/>
      <x:c r="N185" s="34" t="n">
        <x:f>IF(A185="","",I185+J185+K185)</x:f>
        <x:v>0</x:v>
      </x:c>
      <x:c r="O185" s="56" t="str">
        <x:f>IF(N185=0,"",(I185+0.5*J185)/N185)</x:f>
      </x:c>
      <x:c r="P185" s="56" t="str">
        <x:f>IF(N185=0,"",(I185+0.5*J185+1)/(N185+2))</x:f>
      </x:c>
      <x:c r="Q185" s="34" t="str"/>
      <x:c r="R185" s="34" t="str"/>
      <x:c r="S185" s="34" t="str"/>
      <x:c r="T185" s="34" t="str"/>
      <x:c r="U185" s="34" t="str"/>
      <x:c r="V185" s="34" t="str">
        <x:f>IF(A185="","",IF(N185&lt;5,"样本不足",IF(Q185&gt;=1,"优先复核",IF(AND(N185&gt;=20,P185&lt;0.35,K185&gt;=5),"停用候选",IF(AND(N185&gt;=10,P185&lt;0.45),"需修改候选",IF(AND(N185&gt;=10,P185&gt;=0.75,R185/N185&lt;=0.15,S185/N185&lt;=0.15),"升级候选",IF(R185/N185&gt;0.3,"收紧条件",IF(S185/N185&gt;0.3,"补漏／放宽","继续观察"))))))))</x:f>
        <x:v>样本不足</x:v>
      </x:c>
      <x:c r="W185" s="34" t="str">
        <x:f>IF(V185="","",IF(V185="升级候选","已验证候选",IF(V185="停用候选","停用候选",IF(OR(V185="需修改候选",V185="收紧条件",V185="补漏／放宽",V185="优先复核"),"需修改／复核","观察中"))))</x:f>
        <x:v>观察中</x:v>
      </x:c>
      <x:c r="X185" s="34" t="str"/>
      <x:c r="Y185" s="34" t="str"/>
    </x:row>
    <x:row r="186">
      <x:c r="A186" s="34" t="str">
        <x:v>M5-SYNTH-162</x:v>
      </x:c>
      <x:c r="B186" s="34" t="str">
        <x:v>SYNTH</x:v>
      </x:c>
      <x:c r="C186" s="34" t="str">
        <x:v>P0_SYNTH总合成</x:v>
      </x:c>
      <x:c r="D186" s="34" t="str">
        <x:v>FG1｜M3正常功能与M4风险可进入</x:v>
      </x:c>
      <x:c r="E186" s="34" t="str">
        <x:v>L4 FG证据等级</x:v>
      </x:c>
      <x:c r="F186" s="34" t="str">
        <x:v>证据门控</x:v>
      </x:c>
      <x:c r="G186" s="34" t="n">
        <x:v>92</x:v>
      </x:c>
      <x:c r="H186" s="34" t="str">
        <x:v>待验证</x:v>
      </x:c>
      <x:c r="I186" s="34" t="str"/>
      <x:c r="J186" s="34" t="str"/>
      <x:c r="K186" s="34" t="str"/>
      <x:c r="L186" s="34" t="str"/>
      <x:c r="M186" s="34" t="str"/>
      <x:c r="N186" s="34" t="n">
        <x:f>IF(A186="","",I186+J186+K186)</x:f>
        <x:v>0</x:v>
      </x:c>
      <x:c r="O186" s="56" t="str">
        <x:f>IF(N186=0,"",(I186+0.5*J186)/N186)</x:f>
      </x:c>
      <x:c r="P186" s="56" t="str">
        <x:f>IF(N186=0,"",(I186+0.5*J186+1)/(N186+2))</x:f>
      </x:c>
      <x:c r="Q186" s="34" t="str"/>
      <x:c r="R186" s="34" t="str"/>
      <x:c r="S186" s="34" t="str"/>
      <x:c r="T186" s="34" t="str"/>
      <x:c r="U186" s="34" t="str"/>
      <x:c r="V186" s="34" t="str">
        <x:f>IF(A186="","",IF(N186&lt;5,"样本不足",IF(Q186&gt;=1,"优先复核",IF(AND(N186&gt;=20,P186&lt;0.35,K186&gt;=5),"停用候选",IF(AND(N186&gt;=10,P186&lt;0.45),"需修改候选",IF(AND(N186&gt;=10,P186&gt;=0.75,R186/N186&lt;=0.15,S186/N186&lt;=0.15),"升级候选",IF(R186/N186&gt;0.3,"收紧条件",IF(S186/N186&gt;0.3,"补漏／放宽","继续观察"))))))))</x:f>
        <x:v>样本不足</x:v>
      </x:c>
      <x:c r="W186" s="34" t="str">
        <x:f>IF(V186="","",IF(V186="升级候选","已验证候选",IF(V186="停用候选","停用候选",IF(OR(V186="需修改候选",V186="收紧条件",V186="补漏／放宽",V186="优先复核"),"需修改／复核","观察中"))))</x:f>
        <x:v>观察中</x:v>
      </x:c>
      <x:c r="X186" s="34" t="str"/>
      <x:c r="Y186" s="34" t="str"/>
    </x:row>
    <x:row r="187">
      <x:c r="A187" s="34" t="str">
        <x:v>M5-SYNTH-163</x:v>
      </x:c>
      <x:c r="B187" s="34" t="str">
        <x:v>SYNTH</x:v>
      </x:c>
      <x:c r="C187" s="34" t="str">
        <x:v>P0_SYNTH总合成</x:v>
      </x:c>
      <x:c r="D187" s="34" t="str">
        <x:v>FG1｜不能发布具体对象适配</x:v>
      </x:c>
      <x:c r="E187" s="34" t="str">
        <x:v>L4 FG证据等级</x:v>
      </x:c>
      <x:c r="F187" s="34" t="str">
        <x:v>边界</x:v>
      </x:c>
      <x:c r="G187" s="34" t="n">
        <x:v>92</x:v>
      </x:c>
      <x:c r="H187" s="34" t="str">
        <x:v>待验证</x:v>
      </x:c>
      <x:c r="I187" s="34" t="str"/>
      <x:c r="J187" s="34" t="str"/>
      <x:c r="K187" s="34" t="str"/>
      <x:c r="L187" s="34" t="str"/>
      <x:c r="M187" s="34" t="str"/>
      <x:c r="N187" s="34" t="n">
        <x:f>IF(A187="","",I187+J187+K187)</x:f>
        <x:v>0</x:v>
      </x:c>
      <x:c r="O187" s="56" t="str">
        <x:f>IF(N187=0,"",(I187+0.5*J187)/N187)</x:f>
      </x:c>
      <x:c r="P187" s="56" t="str">
        <x:f>IF(N187=0,"",(I187+0.5*J187+1)/(N187+2))</x:f>
      </x:c>
      <x:c r="Q187" s="34" t="str"/>
      <x:c r="R187" s="34" t="str"/>
      <x:c r="S187" s="34" t="str"/>
      <x:c r="T187" s="34" t="str"/>
      <x:c r="U187" s="34" t="str"/>
      <x:c r="V187" s="34" t="str">
        <x:f>IF(A187="","",IF(N187&lt;5,"样本不足",IF(Q187&gt;=1,"优先复核",IF(AND(N187&gt;=20,P187&lt;0.35,K187&gt;=5),"停用候选",IF(AND(N187&gt;=10,P187&lt;0.45),"需修改候选",IF(AND(N187&gt;=10,P187&gt;=0.75,R187/N187&lt;=0.15,S187/N187&lt;=0.15),"升级候选",IF(R187/N187&gt;0.3,"收紧条件",IF(S187/N187&gt;0.3,"补漏／放宽","继续观察"))))))))</x:f>
        <x:v>样本不足</x:v>
      </x:c>
      <x:c r="W187" s="34" t="str">
        <x:f>IF(V187="","",IF(V187="升级候选","已验证候选",IF(V187="停用候选","停用候选",IF(OR(V187="需修改候选",V187="收紧条件",V187="补漏／放宽",V187="优先复核"),"需修改／复核","观察中"))))</x:f>
        <x:v>观察中</x:v>
      </x:c>
      <x:c r="X187" s="34" t="str"/>
      <x:c r="Y187" s="34" t="str"/>
    </x:row>
    <x:row r="188">
      <x:c r="A188" s="34" t="str">
        <x:v>M5-SYNTH-164</x:v>
      </x:c>
      <x:c r="B188" s="34" t="str">
        <x:v>SYNTH</x:v>
      </x:c>
      <x:c r="C188" s="34" t="str">
        <x:v>P0_SYNTH总合成</x:v>
      </x:c>
      <x:c r="D188" s="34" t="str">
        <x:v>FG1｜置信度受结构独立性限制</x:v>
      </x:c>
      <x:c r="E188" s="34" t="str">
        <x:v>L4 FG证据等级</x:v>
      </x:c>
      <x:c r="F188" s="34" t="str">
        <x:v>置信</x:v>
      </x:c>
      <x:c r="G188" s="34" t="n">
        <x:v>92</x:v>
      </x:c>
      <x:c r="H188" s="34" t="str">
        <x:v>待验证</x:v>
      </x:c>
      <x:c r="I188" s="34" t="str"/>
      <x:c r="J188" s="34" t="str"/>
      <x:c r="K188" s="34" t="str"/>
      <x:c r="L188" s="34" t="str"/>
      <x:c r="M188" s="34" t="str"/>
      <x:c r="N188" s="34" t="n">
        <x:f>IF(A188="","",I188+J188+K188)</x:f>
        <x:v>0</x:v>
      </x:c>
      <x:c r="O188" s="56" t="str">
        <x:f>IF(N188=0,"",(I188+0.5*J188)/N188)</x:f>
      </x:c>
      <x:c r="P188" s="56" t="str">
        <x:f>IF(N188=0,"",(I188+0.5*J188+1)/(N188+2))</x:f>
      </x:c>
      <x:c r="Q188" s="34" t="str"/>
      <x:c r="R188" s="34" t="str"/>
      <x:c r="S188" s="34" t="str"/>
      <x:c r="T188" s="34" t="str"/>
      <x:c r="U188" s="34" t="str"/>
      <x:c r="V188" s="34" t="str">
        <x:f>IF(A188="","",IF(N188&lt;5,"样本不足",IF(Q188&gt;=1,"优先复核",IF(AND(N188&gt;=20,P188&lt;0.35,K188&gt;=5),"停用候选",IF(AND(N188&gt;=10,P188&lt;0.45),"需修改候选",IF(AND(N188&gt;=10,P188&gt;=0.75,R188/N188&lt;=0.15,S188/N188&lt;=0.15),"升级候选",IF(R188/N188&gt;0.3,"收紧条件",IF(S188/N188&gt;0.3,"补漏／放宽","继续观察"))))))))</x:f>
        <x:v>样本不足</x:v>
      </x:c>
      <x:c r="W188" s="34" t="str">
        <x:f>IF(V188="","",IF(V188="升级候选","已验证候选",IF(V188="停用候选","停用候选",IF(OR(V188="需修改候选",V188="收紧条件",V188="补漏／放宽",V188="优先复核"),"需修改／复核","观察中"))))</x:f>
        <x:v>观察中</x:v>
      </x:c>
      <x:c r="X188" s="34" t="str"/>
      <x:c r="Y188" s="34" t="str"/>
    </x:row>
    <x:row r="189">
      <x:c r="A189" s="34" t="str">
        <x:v>M5-SYNTH-165</x:v>
      </x:c>
      <x:c r="B189" s="34" t="str">
        <x:v>SYNTH</x:v>
      </x:c>
      <x:c r="C189" s="34" t="str">
        <x:v>P0_SYNTH总合成</x:v>
      </x:c>
      <x:c r="D189" s="34" t="str">
        <x:v>FG2成立｜具体结构与观察计划</x:v>
      </x:c>
      <x:c r="E189" s="34" t="str">
        <x:v>L4 FG证据等级</x:v>
      </x:c>
      <x:c r="F189" s="34" t="str">
        <x:v>证据门控</x:v>
      </x:c>
      <x:c r="G189" s="34" t="n">
        <x:v>92</x:v>
      </x:c>
      <x:c r="H189" s="34" t="str">
        <x:v>待验证</x:v>
      </x:c>
      <x:c r="I189" s="34" t="str"/>
      <x:c r="J189" s="34" t="str"/>
      <x:c r="K189" s="34" t="str"/>
      <x:c r="L189" s="34" t="str"/>
      <x:c r="M189" s="34" t="str"/>
      <x:c r="N189" s="34" t="n">
        <x:f>IF(A189="","",I189+J189+K189)</x:f>
        <x:v>0</x:v>
      </x:c>
      <x:c r="O189" s="56" t="str">
        <x:f>IF(N189=0,"",(I189+0.5*J189)/N189)</x:f>
      </x:c>
      <x:c r="P189" s="56" t="str">
        <x:f>IF(N189=0,"",(I189+0.5*J189+1)/(N189+2))</x:f>
      </x:c>
      <x:c r="Q189" s="34" t="str"/>
      <x:c r="R189" s="34" t="str"/>
      <x:c r="S189" s="34" t="str"/>
      <x:c r="T189" s="34" t="str"/>
      <x:c r="U189" s="34" t="str"/>
      <x:c r="V189" s="34" t="str">
        <x:f>IF(A189="","",IF(N189&lt;5,"样本不足",IF(Q189&gt;=1,"优先复核",IF(AND(N189&gt;=20,P189&lt;0.35,K189&gt;=5),"停用候选",IF(AND(N189&gt;=10,P189&lt;0.45),"需修改候选",IF(AND(N189&gt;=10,P189&gt;=0.75,R189/N189&lt;=0.15,S189/N189&lt;=0.15),"升级候选",IF(R189/N189&gt;0.3,"收紧条件",IF(S189/N189&gt;0.3,"补漏／放宽","继续观察"))))))))</x:f>
        <x:v>样本不足</x:v>
      </x:c>
      <x:c r="W189" s="34" t="str">
        <x:f>IF(V189="","",IF(V189="升级候选","已验证候选",IF(V189="停用候选","停用候选",IF(OR(V189="需修改候选",V189="收紧条件",V189="补漏／放宽",V189="优先复核"),"需修改／复核","观察中"))))</x:f>
        <x:v>观察中</x:v>
      </x:c>
      <x:c r="X189" s="34" t="str"/>
      <x:c r="Y189" s="34" t="str"/>
    </x:row>
    <x:row r="190">
      <x:c r="A190" s="34" t="str">
        <x:v>M5-SYNTH-166</x:v>
      </x:c>
      <x:c r="B190" s="34" t="str">
        <x:v>SYNTH</x:v>
      </x:c>
      <x:c r="C190" s="34" t="str">
        <x:v>P0_SYNTH总合成</x:v>
      </x:c>
      <x:c r="D190" s="34" t="str">
        <x:v>FG2｜仅命盘资料最高等级</x:v>
      </x:c>
      <x:c r="E190" s="34" t="str">
        <x:v>L4 FG证据等级</x:v>
      </x:c>
      <x:c r="F190" s="34" t="str">
        <x:v>边界</x:v>
      </x:c>
      <x:c r="G190" s="34" t="n">
        <x:v>92</x:v>
      </x:c>
      <x:c r="H190" s="34" t="str">
        <x:v>待验证</x:v>
      </x:c>
      <x:c r="I190" s="34" t="str"/>
      <x:c r="J190" s="34" t="str"/>
      <x:c r="K190" s="34" t="str"/>
      <x:c r="L190" s="34" t="str"/>
      <x:c r="M190" s="34" t="str"/>
      <x:c r="N190" s="34" t="n">
        <x:f>IF(A190="","",I190+J190+K190)</x:f>
        <x:v>0</x:v>
      </x:c>
      <x:c r="O190" s="56" t="str">
        <x:f>IF(N190=0,"",(I190+0.5*J190)/N190)</x:f>
      </x:c>
      <x:c r="P190" s="56" t="str">
        <x:f>IF(N190=0,"",(I190+0.5*J190+1)/(N190+2))</x:f>
      </x:c>
      <x:c r="Q190" s="34" t="str"/>
      <x:c r="R190" s="34" t="str"/>
      <x:c r="S190" s="34" t="str"/>
      <x:c r="T190" s="34" t="str"/>
      <x:c r="U190" s="34" t="str"/>
      <x:c r="V190" s="34" t="str">
        <x:f>IF(A190="","",IF(N190&lt;5,"样本不足",IF(Q190&gt;=1,"优先复核",IF(AND(N190&gt;=20,P190&lt;0.35,K190&gt;=5),"停用候选",IF(AND(N190&gt;=10,P190&lt;0.45),"需修改候选",IF(AND(N190&gt;=10,P190&gt;=0.75,R190/N190&lt;=0.15,S190/N190&lt;=0.15),"升级候选",IF(R190/N190&gt;0.3,"收紧条件",IF(S190/N190&gt;0.3,"补漏／放宽","继续观察"))))))))</x:f>
        <x:v>样本不足</x:v>
      </x:c>
      <x:c r="W190" s="34" t="str">
        <x:f>IF(V190="","",IF(V190="升级候选","已验证候选",IF(V190="停用候选","停用候选",IF(OR(V190="需修改候选",V190="收紧条件",V190="补漏／放宽",V190="优先复核"),"需修改／复核","观察中"))))</x:f>
        <x:v>观察中</x:v>
      </x:c>
      <x:c r="X190" s="34" t="str"/>
      <x:c r="Y190" s="34" t="str"/>
    </x:row>
    <x:row r="191">
      <x:c r="A191" s="34" t="str">
        <x:v>M5-SYNTH-167</x:v>
      </x:c>
      <x:c r="B191" s="34" t="str">
        <x:v>SYNTH</x:v>
      </x:c>
      <x:c r="C191" s="34" t="str">
        <x:v>P0_SYNTH总合成</x:v>
      </x:c>
      <x:c r="D191" s="34" t="str">
        <x:v>FG2｜具体对象浅层证据</x:v>
      </x:c>
      <x:c r="E191" s="34" t="str">
        <x:v>L4 FG证据等级</x:v>
      </x:c>
      <x:c r="F191" s="34" t="str">
        <x:v>证据门控</x:v>
      </x:c>
      <x:c r="G191" s="34" t="n">
        <x:v>92</x:v>
      </x:c>
      <x:c r="H191" s="34" t="str">
        <x:v>待验证</x:v>
      </x:c>
      <x:c r="I191" s="34" t="str"/>
      <x:c r="J191" s="34" t="str"/>
      <x:c r="K191" s="34" t="str"/>
      <x:c r="L191" s="34" t="str"/>
      <x:c r="M191" s="34" t="str"/>
      <x:c r="N191" s="34" t="n">
        <x:f>IF(A191="","",I191+J191+K191)</x:f>
        <x:v>0</x:v>
      </x:c>
      <x:c r="O191" s="56" t="str">
        <x:f>IF(N191=0,"",(I191+0.5*J191)/N191)</x:f>
      </x:c>
      <x:c r="P191" s="56" t="str">
        <x:f>IF(N191=0,"",(I191+0.5*J191+1)/(N191+2))</x:f>
      </x:c>
      <x:c r="Q191" s="34" t="str"/>
      <x:c r="R191" s="34" t="str"/>
      <x:c r="S191" s="34" t="str"/>
      <x:c r="T191" s="34" t="str"/>
      <x:c r="U191" s="34" t="str"/>
      <x:c r="V191" s="34" t="str">
        <x:f>IF(A191="","",IF(N191&lt;5,"样本不足",IF(Q191&gt;=1,"优先复核",IF(AND(N191&gt;=20,P191&lt;0.35,K191&gt;=5),"停用候选",IF(AND(N191&gt;=10,P191&lt;0.45),"需修改候选",IF(AND(N191&gt;=10,P191&gt;=0.75,R191/N191&lt;=0.15,S191/N191&lt;=0.15),"升级候选",IF(R191/N191&gt;0.3,"收紧条件",IF(S191/N191&gt;0.3,"补漏／放宽","继续观察"))))))))</x:f>
        <x:v>样本不足</x:v>
      </x:c>
      <x:c r="W191" s="34" t="str">
        <x:f>IF(V191="","",IF(V191="升级候选","已验证候选",IF(V191="停用候选","停用候选",IF(OR(V191="需修改候选",V191="收紧条件",V191="补漏／放宽",V191="优先复核"),"需修改／复核","观察中"))))</x:f>
        <x:v>观察中</x:v>
      </x:c>
      <x:c r="X191" s="34" t="str"/>
      <x:c r="Y191" s="34" t="str"/>
    </x:row>
    <x:row r="192">
      <x:c r="A192" s="34" t="str">
        <x:v>M5-SYNTH-168</x:v>
      </x:c>
      <x:c r="B192" s="34" t="str">
        <x:v>SYNTH</x:v>
      </x:c>
      <x:c r="C192" s="34" t="str">
        <x:v>P0_SYNTH总合成</x:v>
      </x:c>
      <x:c r="D192" s="34" t="str">
        <x:v>FG2｜核心RG未知</x:v>
      </x:c>
      <x:c r="E192" s="34" t="str">
        <x:v>L4 FG证据等级</x:v>
      </x:c>
      <x:c r="F192" s="34" t="str">
        <x:v>证据门控</x:v>
      </x:c>
      <x:c r="G192" s="34" t="n">
        <x:v>92</x:v>
      </x:c>
      <x:c r="H192" s="34" t="str">
        <x:v>待验证</x:v>
      </x:c>
      <x:c r="I192" s="34" t="str"/>
      <x:c r="J192" s="34" t="str"/>
      <x:c r="K192" s="34" t="str"/>
      <x:c r="L192" s="34" t="str"/>
      <x:c r="M192" s="34" t="str"/>
      <x:c r="N192" s="34" t="n">
        <x:f>IF(A192="","",I192+J192+K192)</x:f>
        <x:v>0</x:v>
      </x:c>
      <x:c r="O192" s="56" t="str">
        <x:f>IF(N192=0,"",(I192+0.5*J192)/N192)</x:f>
      </x:c>
      <x:c r="P192" s="56" t="str">
        <x:f>IF(N192=0,"",(I192+0.5*J192+1)/(N192+2))</x:f>
      </x:c>
      <x:c r="Q192" s="34" t="str"/>
      <x:c r="R192" s="34" t="str"/>
      <x:c r="S192" s="34" t="str"/>
      <x:c r="T192" s="34" t="str"/>
      <x:c r="U192" s="34" t="str"/>
      <x:c r="V192" s="34" t="str">
        <x:f>IF(A192="","",IF(N192&lt;5,"样本不足",IF(Q192&gt;=1,"优先复核",IF(AND(N192&gt;=20,P192&lt;0.35,K192&gt;=5),"停用候选",IF(AND(N192&gt;=10,P192&lt;0.45),"需修改候选",IF(AND(N192&gt;=10,P192&gt;=0.75,R192/N192&lt;=0.15,S192/N192&lt;=0.15),"升级候选",IF(R192/N192&gt;0.3,"收紧条件",IF(S192/N192&gt;0.3,"补漏／放宽","继续观察"))))))))</x:f>
        <x:v>样本不足</x:v>
      </x:c>
      <x:c r="W192" s="34" t="str">
        <x:f>IF(V192="","",IF(V192="升级候选","已验证候选",IF(V192="停用候选","停用候选",IF(OR(V192="需修改候选",V192="收紧条件",V192="补漏／放宽",V192="优先复核"),"需修改／复核","观察中"))))</x:f>
        <x:v>观察中</x:v>
      </x:c>
      <x:c r="X192" s="34" t="str"/>
      <x:c r="Y192" s="34" t="str"/>
    </x:row>
    <x:row r="193">
      <x:c r="A193" s="34" t="str">
        <x:v>M5-SYNTH-169</x:v>
      </x:c>
      <x:c r="B193" s="34" t="str">
        <x:v>SYNTH</x:v>
      </x:c>
      <x:c r="C193" s="34" t="str">
        <x:v>P0_SYNTH总合成</x:v>
      </x:c>
      <x:c r="D193" s="34" t="str">
        <x:v>FG2｜可输出条件性候选</x:v>
      </x:c>
      <x:c r="E193" s="34" t="str">
        <x:v>L4 FG证据等级</x:v>
      </x:c>
      <x:c r="F193" s="34" t="str">
        <x:v>输出</x:v>
      </x:c>
      <x:c r="G193" s="34" t="n">
        <x:v>92</x:v>
      </x:c>
      <x:c r="H193" s="34" t="str">
        <x:v>待验证</x:v>
      </x:c>
      <x:c r="I193" s="34" t="str"/>
      <x:c r="J193" s="34" t="str"/>
      <x:c r="K193" s="34" t="str"/>
      <x:c r="L193" s="34" t="str"/>
      <x:c r="M193" s="34" t="str"/>
      <x:c r="N193" s="34" t="n">
        <x:f>IF(A193="","",I193+J193+K193)</x:f>
        <x:v>0</x:v>
      </x:c>
      <x:c r="O193" s="56" t="str">
        <x:f>IF(N193=0,"",(I193+0.5*J193)/N193)</x:f>
      </x:c>
      <x:c r="P193" s="56" t="str">
        <x:f>IF(N193=0,"",(I193+0.5*J193+1)/(N193+2))</x:f>
      </x:c>
      <x:c r="Q193" s="34" t="str"/>
      <x:c r="R193" s="34" t="str"/>
      <x:c r="S193" s="34" t="str"/>
      <x:c r="T193" s="34" t="str"/>
      <x:c r="U193" s="34" t="str"/>
      <x:c r="V193" s="34" t="str">
        <x:f>IF(A193="","",IF(N193&lt;5,"样本不足",IF(Q193&gt;=1,"优先复核",IF(AND(N193&gt;=20,P193&lt;0.35,K193&gt;=5),"停用候选",IF(AND(N193&gt;=10,P193&lt;0.45),"需修改候选",IF(AND(N193&gt;=10,P193&gt;=0.75,R193/N193&lt;=0.15,S193/N193&lt;=0.15),"升级候选",IF(R193/N193&gt;0.3,"收紧条件",IF(S193/N193&gt;0.3,"补漏／放宽","继续观察"))))))))</x:f>
        <x:v>样本不足</x:v>
      </x:c>
      <x:c r="W193" s="34" t="str">
        <x:f>IF(V193="","",IF(V193="升级候选","已验证候选",IF(V193="停用候选","停用候选",IF(OR(V193="需修改候选",V193="收紧条件",V193="补漏／放宽",V193="优先复核"),"需修改／复核","观察中"))))</x:f>
        <x:v>观察中</x:v>
      </x:c>
      <x:c r="X193" s="34" t="str"/>
      <x:c r="Y193" s="34" t="str"/>
    </x:row>
    <x:row r="194">
      <x:c r="A194" s="34" t="str">
        <x:v>M5-SYNTH-170</x:v>
      </x:c>
      <x:c r="B194" s="34" t="str">
        <x:v>SYNTH</x:v>
      </x:c>
      <x:c r="C194" s="34" t="str">
        <x:v>P0_SYNTH总合成</x:v>
      </x:c>
      <x:c r="D194" s="34" t="str">
        <x:v>FG2｜GAP最高GE3仍属结构比较</x:v>
      </x:c>
      <x:c r="E194" s="34" t="str">
        <x:v>L4 FG证据等级</x:v>
      </x:c>
      <x:c r="F194" s="34" t="str">
        <x:v>证据门控</x:v>
      </x:c>
      <x:c r="G194" s="34" t="n">
        <x:v>92</x:v>
      </x:c>
      <x:c r="H194" s="34" t="str">
        <x:v>待验证</x:v>
      </x:c>
      <x:c r="I194" s="34" t="str"/>
      <x:c r="J194" s="34" t="str"/>
      <x:c r="K194" s="34" t="str"/>
      <x:c r="L194" s="34" t="str"/>
      <x:c r="M194" s="34" t="str"/>
      <x:c r="N194" s="34" t="n">
        <x:f>IF(A194="","",I194+J194+K194)</x:f>
        <x:v>0</x:v>
      </x:c>
      <x:c r="O194" s="56" t="str">
        <x:f>IF(N194=0,"",(I194+0.5*J194)/N194)</x:f>
      </x:c>
      <x:c r="P194" s="56" t="str">
        <x:f>IF(N194=0,"",(I194+0.5*J194+1)/(N194+2))</x:f>
      </x:c>
      <x:c r="Q194" s="34" t="str"/>
      <x:c r="R194" s="34" t="str"/>
      <x:c r="S194" s="34" t="str"/>
      <x:c r="T194" s="34" t="str"/>
      <x:c r="U194" s="34" t="str"/>
      <x:c r="V194" s="34" t="str">
        <x:f>IF(A194="","",IF(N194&lt;5,"样本不足",IF(Q194&gt;=1,"优先复核",IF(AND(N194&gt;=20,P194&lt;0.35,K194&gt;=5),"停用候选",IF(AND(N194&gt;=10,P194&lt;0.45),"需修改候选",IF(AND(N194&gt;=10,P194&gt;=0.75,R194/N194&lt;=0.15,S194/N194&lt;=0.15),"升级候选",IF(R194/N194&gt;0.3,"收紧条件",IF(S194/N194&gt;0.3,"补漏／放宽","继续观察"))))))))</x:f>
        <x:v>样本不足</x:v>
      </x:c>
      <x:c r="W194" s="34" t="str">
        <x:f>IF(V194="","",IF(V194="升级候选","已验证候选",IF(V194="停用候选","停用候选",IF(OR(V194="需修改候选",V194="收紧条件",V194="补漏／放宽",V194="优先复核"),"需修改／复核","观察中"))))</x:f>
        <x:v>观察中</x:v>
      </x:c>
      <x:c r="X194" s="34" t="str"/>
      <x:c r="Y194" s="34" t="str"/>
    </x:row>
    <x:row r="195">
      <x:c r="A195" s="34" t="str">
        <x:v>M5-SYNTH-172</x:v>
      </x:c>
      <x:c r="B195" s="34" t="str">
        <x:v>SYNTH</x:v>
      </x:c>
      <x:c r="C195" s="34" t="str">
        <x:v>P0_SYNTH总合成</x:v>
      </x:c>
      <x:c r="D195" s="34" t="str">
        <x:v>FG2｜报告必须明确非结论性</x:v>
      </x:c>
      <x:c r="E195" s="34" t="str">
        <x:v>L4 FG证据等级</x:v>
      </x:c>
      <x:c r="F195" s="34" t="str">
        <x:v>输出</x:v>
      </x:c>
      <x:c r="G195" s="34" t="n">
        <x:v>92</x:v>
      </x:c>
      <x:c r="H195" s="34" t="str">
        <x:v>待验证</x:v>
      </x:c>
      <x:c r="I195" s="34" t="str"/>
      <x:c r="J195" s="34" t="str"/>
      <x:c r="K195" s="34" t="str"/>
      <x:c r="L195" s="34" t="str"/>
      <x:c r="M195" s="34" t="str"/>
      <x:c r="N195" s="34" t="n">
        <x:f>IF(A195="","",I195+J195+K195)</x:f>
        <x:v>0</x:v>
      </x:c>
      <x:c r="O195" s="56" t="str">
        <x:f>IF(N195=0,"",(I195+0.5*J195)/N195)</x:f>
      </x:c>
      <x:c r="P195" s="56" t="str">
        <x:f>IF(N195=0,"",(I195+0.5*J195+1)/(N195+2))</x:f>
      </x:c>
      <x:c r="Q195" s="34" t="str"/>
      <x:c r="R195" s="34" t="str"/>
      <x:c r="S195" s="34" t="str"/>
      <x:c r="T195" s="34" t="str"/>
      <x:c r="U195" s="34" t="str"/>
      <x:c r="V195" s="34" t="str">
        <x:f>IF(A195="","",IF(N195&lt;5,"样本不足",IF(Q195&gt;=1,"优先复核",IF(AND(N195&gt;=20,P195&lt;0.35,K195&gt;=5),"停用候选",IF(AND(N195&gt;=10,P195&lt;0.45),"需修改候选",IF(AND(N195&gt;=10,P195&gt;=0.75,R195/N195&lt;=0.15,S195/N195&lt;=0.15),"升级候选",IF(R195/N195&gt;0.3,"收紧条件",IF(S195/N195&gt;0.3,"补漏／放宽","继续观察"))))))))</x:f>
        <x:v>样本不足</x:v>
      </x:c>
      <x:c r="W195" s="34" t="str">
        <x:f>IF(V195="","",IF(V195="升级候选","已验证候选",IF(V195="停用候选","停用候选",IF(OR(V195="需修改候选",V195="收紧条件",V195="补漏／放宽",V195="优先复核"),"需修改／复核","观察中"))))</x:f>
        <x:v>观察中</x:v>
      </x:c>
      <x:c r="X195" s="34" t="str"/>
      <x:c r="Y195" s="34" t="str"/>
    </x:row>
    <x:row r="196">
      <x:c r="A196" s="34" t="str">
        <x:v>M5-SYNTH-173</x:v>
      </x:c>
      <x:c r="B196" s="34" t="str">
        <x:v>SYNTH</x:v>
      </x:c>
      <x:c r="C196" s="34" t="str">
        <x:v>P0_SYNTH总合成</x:v>
      </x:c>
      <x:c r="D196" s="34" t="str">
        <x:v>FG3成立｜具体对象跨场景重复</x:v>
      </x:c>
      <x:c r="E196" s="34" t="str">
        <x:v>L4 FG证据等级</x:v>
      </x:c>
      <x:c r="F196" s="34" t="str">
        <x:v>证据门控</x:v>
      </x:c>
      <x:c r="G196" s="34" t="n">
        <x:v>92</x:v>
      </x:c>
      <x:c r="H196" s="34" t="str">
        <x:v>待验证</x:v>
      </x:c>
      <x:c r="I196" s="34" t="str"/>
      <x:c r="J196" s="34" t="str"/>
      <x:c r="K196" s="34" t="str"/>
      <x:c r="L196" s="34" t="str"/>
      <x:c r="M196" s="34" t="str"/>
      <x:c r="N196" s="34" t="n">
        <x:f>IF(A196="","",I196+J196+K196)</x:f>
        <x:v>0</x:v>
      </x:c>
      <x:c r="O196" s="56" t="str">
        <x:f>IF(N196=0,"",(I196+0.5*J196)/N196)</x:f>
      </x:c>
      <x:c r="P196" s="56" t="str">
        <x:f>IF(N196=0,"",(I196+0.5*J196+1)/(N196+2))</x:f>
      </x:c>
      <x:c r="Q196" s="34" t="str"/>
      <x:c r="R196" s="34" t="str"/>
      <x:c r="S196" s="34" t="str"/>
      <x:c r="T196" s="34" t="str"/>
      <x:c r="U196" s="34" t="str"/>
      <x:c r="V196" s="34" t="str">
        <x:f>IF(A196="","",IF(N196&lt;5,"样本不足",IF(Q196&gt;=1,"优先复核",IF(AND(N196&gt;=20,P196&lt;0.35,K196&gt;=5),"停用候选",IF(AND(N196&gt;=10,P196&lt;0.45),"需修改候选",IF(AND(N196&gt;=10,P196&gt;=0.75,R196/N196&lt;=0.15,S196/N196&lt;=0.15),"升级候选",IF(R196/N196&gt;0.3,"收紧条件",IF(S196/N196&gt;0.3,"补漏／放宽","继续观察"))))))))</x:f>
        <x:v>样本不足</x:v>
      </x:c>
      <x:c r="W196" s="34" t="str">
        <x:f>IF(V196="","",IF(V196="升级候选","已验证候选",IF(V196="停用候选","停用候选",IF(OR(V196="需修改候选",V196="收紧条件",V196="补漏／放宽",V196="优先复核"),"需修改／复核","观察中"))))</x:f>
        <x:v>观察中</x:v>
      </x:c>
      <x:c r="X196" s="34" t="str"/>
      <x:c r="Y196" s="34" t="str"/>
    </x:row>
    <x:row r="197">
      <x:c r="A197" s="34" t="str">
        <x:v>M5-SYNTH-174</x:v>
      </x:c>
      <x:c r="B197" s="34" t="str">
        <x:v>SYNTH</x:v>
      </x:c>
      <x:c r="C197" s="34" t="str">
        <x:v>P0_SYNTH总合成</x:v>
      </x:c>
      <x:c r="D197" s="34" t="str">
        <x:v>FG3｜GE至少5</x:v>
      </x:c>
      <x:c r="E197" s="34" t="str">
        <x:v>L4 FG证据等级</x:v>
      </x:c>
      <x:c r="F197" s="34" t="str">
        <x:v>证据门控</x:v>
      </x:c>
      <x:c r="G197" s="34" t="n">
        <x:v>92</x:v>
      </x:c>
      <x:c r="H197" s="34" t="str">
        <x:v>待验证</x:v>
      </x:c>
      <x:c r="I197" s="34" t="str"/>
      <x:c r="J197" s="34" t="str"/>
      <x:c r="K197" s="34" t="str"/>
      <x:c r="L197" s="34" t="str"/>
      <x:c r="M197" s="34" t="str"/>
      <x:c r="N197" s="34" t="n">
        <x:f>IF(A197="","",I197+J197+K197)</x:f>
        <x:v>0</x:v>
      </x:c>
      <x:c r="O197" s="56" t="str">
        <x:f>IF(N197=0,"",(I197+0.5*J197)/N197)</x:f>
      </x:c>
      <x:c r="P197" s="56" t="str">
        <x:f>IF(N197=0,"",(I197+0.5*J197+1)/(N197+2))</x:f>
      </x:c>
      <x:c r="Q197" s="34" t="str"/>
      <x:c r="R197" s="34" t="str"/>
      <x:c r="S197" s="34" t="str"/>
      <x:c r="T197" s="34" t="str"/>
      <x:c r="U197" s="34" t="str"/>
      <x:c r="V197" s="34" t="str">
        <x:f>IF(A197="","",IF(N197&lt;5,"样本不足",IF(Q197&gt;=1,"优先复核",IF(AND(N197&gt;=20,P197&lt;0.35,K197&gt;=5),"停用候选",IF(AND(N197&gt;=10,P197&lt;0.45),"需修改候选",IF(AND(N197&gt;=10,P197&gt;=0.75,R197/N197&lt;=0.15,S197/N197&lt;=0.15),"升级候选",IF(R197/N197&gt;0.3,"收紧条件",IF(S197/N197&gt;0.3,"补漏／放宽","继续观察"))))))))</x:f>
        <x:v>样本不足</x:v>
      </x:c>
      <x:c r="W197" s="34" t="str">
        <x:f>IF(V197="","",IF(V197="升级候选","已验证候选",IF(V197="停用候选","停用候选",IF(OR(V197="需修改候选",V197="收紧条件",V197="补漏／放宽",V197="优先复核"),"需修改／复核","观察中"))))</x:f>
        <x:v>观察中</x:v>
      </x:c>
      <x:c r="X197" s="34" t="str"/>
      <x:c r="Y197" s="34" t="str"/>
    </x:row>
    <x:row r="198">
      <x:c r="A198" s="34" t="str">
        <x:v>M5-SYNTH-175</x:v>
      </x:c>
      <x:c r="B198" s="34" t="str">
        <x:v>SYNTH</x:v>
      </x:c>
      <x:c r="C198" s="34" t="str">
        <x:v>P0_SYNTH总合成</x:v>
      </x:c>
      <x:c r="D198" s="34" t="str">
        <x:v>FG3｜RG01必须pass</x:v>
      </x:c>
      <x:c r="E198" s="34" t="str">
        <x:v>L4 FG证据等级</x:v>
      </x:c>
      <x:c r="F198" s="34" t="str">
        <x:v>证据门控</x:v>
      </x:c>
      <x:c r="G198" s="34" t="n">
        <x:v>92</x:v>
      </x:c>
      <x:c r="H198" s="34" t="str">
        <x:v>待验证</x:v>
      </x:c>
      <x:c r="I198" s="34" t="str"/>
      <x:c r="J198" s="34" t="str"/>
      <x:c r="K198" s="34" t="str"/>
      <x:c r="L198" s="34" t="str"/>
      <x:c r="M198" s="34" t="str"/>
      <x:c r="N198" s="34" t="n">
        <x:f>IF(A198="","",I198+J198+K198)</x:f>
        <x:v>0</x:v>
      </x:c>
      <x:c r="O198" s="56" t="str">
        <x:f>IF(N198=0,"",(I198+0.5*J198)/N198)</x:f>
      </x:c>
      <x:c r="P198" s="56" t="str">
        <x:f>IF(N198=0,"",(I198+0.5*J198+1)/(N198+2))</x:f>
      </x:c>
      <x:c r="Q198" s="34" t="str"/>
      <x:c r="R198" s="34" t="str"/>
      <x:c r="S198" s="34" t="str"/>
      <x:c r="T198" s="34" t="str"/>
      <x:c r="U198" s="34" t="str"/>
      <x:c r="V198" s="34" t="str">
        <x:f>IF(A198="","",IF(N198&lt;5,"样本不足",IF(Q198&gt;=1,"优先复核",IF(AND(N198&gt;=20,P198&lt;0.35,K198&gt;=5),"停用候选",IF(AND(N198&gt;=10,P198&lt;0.45),"需修改候选",IF(AND(N198&gt;=10,P198&gt;=0.75,R198/N198&lt;=0.15,S198/N198&lt;=0.15),"升级候选",IF(R198/N198&gt;0.3,"收紧条件",IF(S198/N198&gt;0.3,"补漏／放宽","继续观察"))))))))</x:f>
        <x:v>样本不足</x:v>
      </x:c>
      <x:c r="W198" s="34" t="str">
        <x:f>IF(V198="","",IF(V198="升级候选","已验证候选",IF(V198="停用候选","停用候选",IF(OR(V198="需修改候选",V198="收紧条件",V198="补漏／放宽",V198="优先复核"),"需修改／复核","观察中"))))</x:f>
        <x:v>观察中</x:v>
      </x:c>
      <x:c r="X198" s="34" t="str"/>
      <x:c r="Y198" s="34" t="str"/>
    </x:row>
    <x:row r="199">
      <x:c r="A199" s="34" t="str">
        <x:v>M5-SYNTH-176</x:v>
      </x:c>
      <x:c r="B199" s="34" t="str">
        <x:v>SYNTH</x:v>
      </x:c>
      <x:c r="C199" s="34" t="str">
        <x:v>P0_SYNTH总合成</x:v>
      </x:c>
      <x:c r="D199" s="34" t="str">
        <x:v>FG3｜核心RG无fail</x:v>
      </x:c>
      <x:c r="E199" s="34" t="str">
        <x:v>L4 FG证据等级</x:v>
      </x:c>
      <x:c r="F199" s="34" t="str">
        <x:v>证据门控</x:v>
      </x:c>
      <x:c r="G199" s="34" t="n">
        <x:v>92</x:v>
      </x:c>
      <x:c r="H199" s="34" t="str">
        <x:v>待验证</x:v>
      </x:c>
      <x:c r="I199" s="34" t="str"/>
      <x:c r="J199" s="34" t="str"/>
      <x:c r="K199" s="34" t="str"/>
      <x:c r="L199" s="34" t="str"/>
      <x:c r="M199" s="34" t="str"/>
      <x:c r="N199" s="34" t="n">
        <x:f>IF(A199="","",I199+J199+K199)</x:f>
        <x:v>0</x:v>
      </x:c>
      <x:c r="O199" s="56" t="str">
        <x:f>IF(N199=0,"",(I199+0.5*J199)/N199)</x:f>
      </x:c>
      <x:c r="P199" s="56" t="str">
        <x:f>IF(N199=0,"",(I199+0.5*J199+1)/(N199+2))</x:f>
      </x:c>
      <x:c r="Q199" s="34" t="str"/>
      <x:c r="R199" s="34" t="str"/>
      <x:c r="S199" s="34" t="str"/>
      <x:c r="T199" s="34" t="str"/>
      <x:c r="U199" s="34" t="str"/>
      <x:c r="V199" s="34" t="str">
        <x:f>IF(A199="","",IF(N199&lt;5,"样本不足",IF(Q199&gt;=1,"优先复核",IF(AND(N199&gt;=20,P199&lt;0.35,K199&gt;=5),"停用候选",IF(AND(N199&gt;=10,P199&lt;0.45),"需修改候选",IF(AND(N199&gt;=10,P199&gt;=0.75,R199/N199&lt;=0.15,S199/N199&lt;=0.15),"升级候选",IF(R199/N199&gt;0.3,"收紧条件",IF(S199/N199&gt;0.3,"补漏／放宽","继续观察"))))))))</x:f>
        <x:v>样本不足</x:v>
      </x:c>
      <x:c r="W199" s="34" t="str">
        <x:f>IF(V199="","",IF(V199="升级候选","已验证候选",IF(V199="停用候选","停用候选",IF(OR(V199="需修改候选",V199="收紧条件",V199="补漏／放宽",V199="优先复核"),"需修改／复核","观察中"))))</x:f>
        <x:v>观察中</x:v>
      </x:c>
      <x:c r="X199" s="34" t="str"/>
      <x:c r="Y199" s="34" t="str"/>
    </x:row>
    <x:row r="200">
      <x:c r="A200" s="34" t="str">
        <x:v>M5-SYNTH-177</x:v>
      </x:c>
      <x:c r="B200" s="34" t="str">
        <x:v>SYNTH</x:v>
      </x:c>
      <x:c r="C200" s="34" t="str">
        <x:v>P0_SYNTH总合成</x:v>
      </x:c>
      <x:c r="D200" s="34" t="str">
        <x:v>FG3｜至少两个独立事件类型</x:v>
      </x:c>
      <x:c r="E200" s="34" t="str">
        <x:v>L4 FG证据等级</x:v>
      </x:c>
      <x:c r="F200" s="34" t="str">
        <x:v>证据门控</x:v>
      </x:c>
      <x:c r="G200" s="34" t="n">
        <x:v>92</x:v>
      </x:c>
      <x:c r="H200" s="34" t="str">
        <x:v>待验证</x:v>
      </x:c>
      <x:c r="I200" s="34" t="str"/>
      <x:c r="J200" s="34" t="str"/>
      <x:c r="K200" s="34" t="str"/>
      <x:c r="L200" s="34" t="str"/>
      <x:c r="M200" s="34" t="str"/>
      <x:c r="N200" s="34" t="n">
        <x:f>IF(A200="","",I200+J200+K200)</x:f>
        <x:v>0</x:v>
      </x:c>
      <x:c r="O200" s="56" t="str">
        <x:f>IF(N200=0,"",(I200+0.5*J200)/N200)</x:f>
      </x:c>
      <x:c r="P200" s="56" t="str">
        <x:f>IF(N200=0,"",(I200+0.5*J200+1)/(N200+2))</x:f>
      </x:c>
      <x:c r="Q200" s="34" t="str"/>
      <x:c r="R200" s="34" t="str"/>
      <x:c r="S200" s="34" t="str"/>
      <x:c r="T200" s="34" t="str"/>
      <x:c r="U200" s="34" t="str"/>
      <x:c r="V200" s="34" t="str">
        <x:f>IF(A200="","",IF(N200&lt;5,"样本不足",IF(Q200&gt;=1,"优先复核",IF(AND(N200&gt;=20,P200&lt;0.35,K200&gt;=5),"停用候选",IF(AND(N200&gt;=10,P200&lt;0.45),"需修改候选",IF(AND(N200&gt;=10,P200&gt;=0.75,R200/N200&lt;=0.15,S200/N200&lt;=0.15),"升级候选",IF(R200/N200&gt;0.3,"收紧条件",IF(S200/N200&gt;0.3,"补漏／放宽","继续观察"))))))))</x:f>
        <x:v>样本不足</x:v>
      </x:c>
      <x:c r="W200" s="34" t="str">
        <x:f>IF(V200="","",IF(V200="升级候选","已验证候选",IF(V200="停用候选","停用候选",IF(OR(V200="需修改候选",V200="收紧条件",V200="补漏／放宽",V200="优先复核"),"需修改／复核","观察中"))))</x:f>
        <x:v>观察中</x:v>
      </x:c>
      <x:c r="X200" s="34" t="str"/>
      <x:c r="Y200" s="34" t="str"/>
    </x:row>
    <x:row r="201">
      <x:c r="A201" s="34" t="str">
        <x:v>M5-SYNTH-178</x:v>
      </x:c>
      <x:c r="B201" s="34" t="str">
        <x:v>SYNTH</x:v>
      </x:c>
      <x:c r="C201" s="34" t="str">
        <x:v>P0_SYNTH总合成</x:v>
      </x:c>
      <x:c r="D201" s="34" t="str">
        <x:v>FG3｜个人能力与双人结构同时成立</x:v>
      </x:c>
      <x:c r="E201" s="34" t="str">
        <x:v>L4 FG证据等级</x:v>
      </x:c>
      <x:c r="F201" s="34" t="str">
        <x:v>证据门控</x:v>
      </x:c>
      <x:c r="G201" s="34" t="n">
        <x:v>92</x:v>
      </x:c>
      <x:c r="H201" s="34" t="str">
        <x:v>待验证</x:v>
      </x:c>
      <x:c r="I201" s="34" t="str"/>
      <x:c r="J201" s="34" t="str"/>
      <x:c r="K201" s="34" t="str"/>
      <x:c r="L201" s="34" t="str"/>
      <x:c r="M201" s="34" t="str"/>
      <x:c r="N201" s="34" t="n">
        <x:f>IF(A201="","",I201+J201+K201)</x:f>
        <x:v>0</x:v>
      </x:c>
      <x:c r="O201" s="56" t="str">
        <x:f>IF(N201=0,"",(I201+0.5*J201)/N201)</x:f>
      </x:c>
      <x:c r="P201" s="56" t="str">
        <x:f>IF(N201=0,"",(I201+0.5*J201+1)/(N201+2))</x:f>
      </x:c>
      <x:c r="Q201" s="34" t="str"/>
      <x:c r="R201" s="34" t="str"/>
      <x:c r="S201" s="34" t="str"/>
      <x:c r="T201" s="34" t="str"/>
      <x:c r="U201" s="34" t="str"/>
      <x:c r="V201" s="34" t="str">
        <x:f>IF(A201="","",IF(N201&lt;5,"样本不足",IF(Q201&gt;=1,"优先复核",IF(AND(N201&gt;=20,P201&lt;0.35,K201&gt;=5),"停用候选",IF(AND(N201&gt;=10,P201&lt;0.45),"需修改候选",IF(AND(N201&gt;=10,P201&gt;=0.75,R201/N201&lt;=0.15,S201/N201&lt;=0.15),"升级候选",IF(R201/N201&gt;0.3,"收紧条件",IF(S201/N201&gt;0.3,"补漏／放宽","继续观察"))))))))</x:f>
        <x:v>样本不足</x:v>
      </x:c>
      <x:c r="W201" s="34" t="str">
        <x:f>IF(V201="","",IF(V201="升级候选","已验证候选",IF(V201="停用候选","停用候选",IF(OR(V201="需修改候选",V201="收紧条件",V201="补漏／放宽",V201="优先复核"),"需修改／复核","观察中"))))</x:f>
        <x:v>观察中</x:v>
      </x:c>
      <x:c r="X201" s="34" t="str"/>
      <x:c r="Y201" s="34" t="str"/>
    </x:row>
    <x:row r="202">
      <x:c r="A202" s="34" t="str">
        <x:v>M5-SYNTH-179</x:v>
      </x:c>
      <x:c r="B202" s="34" t="str">
        <x:v>SYNTH</x:v>
      </x:c>
      <x:c r="C202" s="34" t="str">
        <x:v>P0_SYNTH总合成</x:v>
      </x:c>
      <x:c r="D202" s="34" t="str">
        <x:v>FG3｜条件性适配可成立</x:v>
      </x:c>
      <x:c r="E202" s="34" t="str">
        <x:v>L4 FG证据等级</x:v>
      </x:c>
      <x:c r="F202" s="34" t="str">
        <x:v>证据门控</x:v>
      </x:c>
      <x:c r="G202" s="34" t="n">
        <x:v>92</x:v>
      </x:c>
      <x:c r="H202" s="34" t="str">
        <x:v>待验证</x:v>
      </x:c>
      <x:c r="I202" s="34" t="str"/>
      <x:c r="J202" s="34" t="str"/>
      <x:c r="K202" s="34" t="str"/>
      <x:c r="L202" s="34" t="str"/>
      <x:c r="M202" s="34" t="str"/>
      <x:c r="N202" s="34" t="n">
        <x:f>IF(A202="","",I202+J202+K202)</x:f>
        <x:v>0</x:v>
      </x:c>
      <x:c r="O202" s="56" t="str">
        <x:f>IF(N202=0,"",(I202+0.5*J202)/N202)</x:f>
      </x:c>
      <x:c r="P202" s="56" t="str">
        <x:f>IF(N202=0,"",(I202+0.5*J202+1)/(N202+2))</x:f>
      </x:c>
      <x:c r="Q202" s="34" t="str"/>
      <x:c r="R202" s="34" t="str"/>
      <x:c r="S202" s="34" t="str"/>
      <x:c r="T202" s="34" t="str"/>
      <x:c r="U202" s="34" t="str"/>
      <x:c r="V202" s="34" t="str">
        <x:f>IF(A202="","",IF(N202&lt;5,"样本不足",IF(Q202&gt;=1,"优先复核",IF(AND(N202&gt;=20,P202&lt;0.35,K202&gt;=5),"停用候选",IF(AND(N202&gt;=10,P202&lt;0.45),"需修改候选",IF(AND(N202&gt;=10,P202&gt;=0.75,R202/N202&lt;=0.15,S202/N202&lt;=0.15),"升级候选",IF(R202/N202&gt;0.3,"收紧条件",IF(S202/N202&gt;0.3,"补漏／放宽","继续观察"))))))))</x:f>
        <x:v>样本不足</x:v>
      </x:c>
      <x:c r="W202" s="34" t="str">
        <x:f>IF(V202="","",IF(V202="升级候选","已验证候选",IF(V202="停用候选","停用候选",IF(OR(V202="需修改候选",V202="收紧条件",V202="补漏／放宽",V202="优先复核"),"需修改／复核","观察中"))))</x:f>
        <x:v>观察中</x:v>
      </x:c>
      <x:c r="X202" s="34" t="str"/>
      <x:c r="Y202" s="34" t="str"/>
    </x:row>
    <x:row r="203">
      <x:c r="A203" s="34" t="str">
        <x:v>M5-SYNTH-180</x:v>
      </x:c>
      <x:c r="B203" s="34" t="str">
        <x:v>SYNTH</x:v>
      </x:c>
      <x:c r="C203" s="34" t="str">
        <x:v>P0_SYNTH总合成</x:v>
      </x:c>
      <x:c r="D203" s="34" t="str">
        <x:v>FG3｜残余缺口必须保留</x:v>
      </x:c>
      <x:c r="E203" s="34" t="str">
        <x:v>L4 FG证据等级</x:v>
      </x:c>
      <x:c r="F203" s="34" t="str">
        <x:v>输出</x:v>
      </x:c>
      <x:c r="G203" s="34" t="n">
        <x:v>92</x:v>
      </x:c>
      <x:c r="H203" s="34" t="str">
        <x:v>待验证</x:v>
      </x:c>
      <x:c r="I203" s="34" t="str"/>
      <x:c r="J203" s="34" t="str"/>
      <x:c r="K203" s="34" t="str"/>
      <x:c r="L203" s="34" t="str"/>
      <x:c r="M203" s="34" t="str"/>
      <x:c r="N203" s="34" t="n">
        <x:f>IF(A203="","",I203+J203+K203)</x:f>
        <x:v>0</x:v>
      </x:c>
      <x:c r="O203" s="56" t="str">
        <x:f>IF(N203=0,"",(I203+0.5*J203)/N203)</x:f>
      </x:c>
      <x:c r="P203" s="56" t="str">
        <x:f>IF(N203=0,"",(I203+0.5*J203+1)/(N203+2))</x:f>
      </x:c>
      <x:c r="Q203" s="34" t="str"/>
      <x:c r="R203" s="34" t="str"/>
      <x:c r="S203" s="34" t="str"/>
      <x:c r="T203" s="34" t="str"/>
      <x:c r="U203" s="34" t="str"/>
      <x:c r="V203" s="34" t="str">
        <x:f>IF(A203="","",IF(N203&lt;5,"样本不足",IF(Q203&gt;=1,"优先复核",IF(AND(N203&gt;=20,P203&lt;0.35,K203&gt;=5),"停用候选",IF(AND(N203&gt;=10,P203&lt;0.45),"需修改候选",IF(AND(N203&gt;=10,P203&gt;=0.75,R203/N203&lt;=0.15,S203/N203&lt;=0.15),"升级候选",IF(R203/N203&gt;0.3,"收紧条件",IF(S203/N203&gt;0.3,"补漏／放宽","继续观察"))))))))</x:f>
        <x:v>样本不足</x:v>
      </x:c>
      <x:c r="W203" s="34" t="str">
        <x:f>IF(V203="","",IF(V203="升级候选","已验证候选",IF(V203="停用候选","停用候选",IF(OR(V203="需修改候选",V203="收紧条件",V203="补漏／放宽",V203="优先复核"),"需修改／复核","观察中"))))</x:f>
        <x:v>观察中</x:v>
      </x:c>
      <x:c r="X203" s="34" t="str"/>
      <x:c r="Y203" s="34" t="str"/>
    </x:row>
    <x:row r="204">
      <x:c r="A204" s="34" t="str">
        <x:v>M5-SYNTH-181</x:v>
      </x:c>
      <x:c r="B204" s="34" t="str">
        <x:v>SYNTH</x:v>
      </x:c>
      <x:c r="C204" s="34" t="str">
        <x:v>P0_SYNTH总合成</x:v>
      </x:c>
      <x:c r="D204" s="34" t="str">
        <x:v>FG3｜现实反例审查必做</x:v>
      </x:c>
      <x:c r="E204" s="34" t="str">
        <x:v>L4 FG证据等级</x:v>
      </x:c>
      <x:c r="F204" s="34" t="str">
        <x:v>证据门控</x:v>
      </x:c>
      <x:c r="G204" s="34" t="n">
        <x:v>92</x:v>
      </x:c>
      <x:c r="H204" s="34" t="str">
        <x:v>待验证</x:v>
      </x:c>
      <x:c r="I204" s="34" t="str"/>
      <x:c r="J204" s="34" t="str"/>
      <x:c r="K204" s="34" t="str"/>
      <x:c r="L204" s="34" t="str"/>
      <x:c r="M204" s="34" t="str"/>
      <x:c r="N204" s="34" t="n">
        <x:f>IF(A204="","",I204+J204+K204)</x:f>
        <x:v>0</x:v>
      </x:c>
      <x:c r="O204" s="56" t="str">
        <x:f>IF(N204=0,"",(I204+0.5*J204)/N204)</x:f>
      </x:c>
      <x:c r="P204" s="56" t="str">
        <x:f>IF(N204=0,"",(I204+0.5*J204+1)/(N204+2))</x:f>
      </x:c>
      <x:c r="Q204" s="34" t="str"/>
      <x:c r="R204" s="34" t="str"/>
      <x:c r="S204" s="34" t="str"/>
      <x:c r="T204" s="34" t="str"/>
      <x:c r="U204" s="34" t="str"/>
      <x:c r="V204" s="34" t="str">
        <x:f>IF(A204="","",IF(N204&lt;5,"样本不足",IF(Q204&gt;=1,"优先复核",IF(AND(N204&gt;=20,P204&lt;0.35,K204&gt;=5),"停用候选",IF(AND(N204&gt;=10,P204&lt;0.45),"需修改候选",IF(AND(N204&gt;=10,P204&gt;=0.75,R204/N204&lt;=0.15,S204/N204&lt;=0.15),"升级候选",IF(R204/N204&gt;0.3,"收紧条件",IF(S204/N204&gt;0.3,"补漏／放宽","继续观察"))))))))</x:f>
        <x:v>样本不足</x:v>
      </x:c>
      <x:c r="W204" s="34" t="str">
        <x:f>IF(V204="","",IF(V204="升级候选","已验证候选",IF(V204="停用候选","停用候选",IF(OR(V204="需修改候选",V204="收紧条件",V204="补漏／放宽",V204="优先复核"),"需修改／复核","观察中"))))</x:f>
        <x:v>观察中</x:v>
      </x:c>
      <x:c r="X204" s="34" t="str"/>
      <x:c r="Y204" s="34" t="str"/>
    </x:row>
    <x:row r="205">
      <x:c r="A205" s="34" t="str">
        <x:v>M5-SYNTH-182</x:v>
      </x:c>
      <x:c r="B205" s="34" t="str">
        <x:v>SYNTH</x:v>
      </x:c>
      <x:c r="C205" s="34" t="str">
        <x:v>P0_SYNTH总合成</x:v>
      </x:c>
      <x:c r="D205" s="34" t="str">
        <x:v>FG3｜一次修复成功不足以FG4</x:v>
      </x:c>
      <x:c r="E205" s="34" t="str">
        <x:v>L4 FG证据等级</x:v>
      </x:c>
      <x:c r="F205" s="34" t="str">
        <x:v>边界</x:v>
      </x:c>
      <x:c r="G205" s="34" t="n">
        <x:v>92</x:v>
      </x:c>
      <x:c r="H205" s="34" t="str">
        <x:v>待验证</x:v>
      </x:c>
      <x:c r="I205" s="34" t="str"/>
      <x:c r="J205" s="34" t="str"/>
      <x:c r="K205" s="34" t="str"/>
      <x:c r="L205" s="34" t="str"/>
      <x:c r="M205" s="34" t="str"/>
      <x:c r="N205" s="34" t="n">
        <x:f>IF(A205="","",I205+J205+K205)</x:f>
        <x:v>0</x:v>
      </x:c>
      <x:c r="O205" s="56" t="str">
        <x:f>IF(N205=0,"",(I205+0.5*J205)/N205)</x:f>
      </x:c>
      <x:c r="P205" s="56" t="str">
        <x:f>IF(N205=0,"",(I205+0.5*J205+1)/(N205+2))</x:f>
      </x:c>
      <x:c r="Q205" s="34" t="str"/>
      <x:c r="R205" s="34" t="str"/>
      <x:c r="S205" s="34" t="str"/>
      <x:c r="T205" s="34" t="str"/>
      <x:c r="U205" s="34" t="str"/>
      <x:c r="V205" s="34" t="str">
        <x:f>IF(A205="","",IF(N205&lt;5,"样本不足",IF(Q205&gt;=1,"优先复核",IF(AND(N205&gt;=20,P205&lt;0.35,K205&gt;=5),"停用候选",IF(AND(N205&gt;=10,P205&lt;0.45),"需修改候选",IF(AND(N205&gt;=10,P205&gt;=0.75,R205/N205&lt;=0.15,S205/N205&lt;=0.15),"升级候选",IF(R205/N205&gt;0.3,"收紧条件",IF(S205/N205&gt;0.3,"补漏／放宽","继续观察"))))))))</x:f>
        <x:v>样本不足</x:v>
      </x:c>
      <x:c r="W205" s="34" t="str">
        <x:f>IF(V205="","",IF(V205="升级候选","已验证候选",IF(V205="停用候选","停用候选",IF(OR(V205="需修改候选",V205="收紧条件",V205="补漏／放宽",V205="优先复核"),"需修改／复核","观察中"))))</x:f>
        <x:v>观察中</x:v>
      </x:c>
      <x:c r="X205" s="34" t="str"/>
      <x:c r="Y205" s="34" t="str"/>
    </x:row>
    <x:row r="206">
      <x:c r="A206" s="34" t="str">
        <x:v>M5-SYNTH-183</x:v>
      </x:c>
      <x:c r="B206" s="34" t="str">
        <x:v>SYNTH</x:v>
      </x:c>
      <x:c r="C206" s="34" t="str">
        <x:v>P0_SYNTH总合成</x:v>
      </x:c>
      <x:c r="D206" s="34" t="str">
        <x:v>FG4成立｜跨压力修复转折稳定</x:v>
      </x:c>
      <x:c r="E206" s="34" t="str">
        <x:v>L4 FG证据等级</x:v>
      </x:c>
      <x:c r="F206" s="34" t="str">
        <x:v>证据门控</x:v>
      </x:c>
      <x:c r="G206" s="34" t="n">
        <x:v>92</x:v>
      </x:c>
      <x:c r="H206" s="34" t="str">
        <x:v>待验证</x:v>
      </x:c>
      <x:c r="I206" s="34" t="str"/>
      <x:c r="J206" s="34" t="str"/>
      <x:c r="K206" s="34" t="str"/>
      <x:c r="L206" s="34" t="str"/>
      <x:c r="M206" s="34" t="str"/>
      <x:c r="N206" s="34" t="n">
        <x:f>IF(A206="","",I206+J206+K206)</x:f>
        <x:v>0</x:v>
      </x:c>
      <x:c r="O206" s="56" t="str">
        <x:f>IF(N206=0,"",(I206+0.5*J206)/N206)</x:f>
      </x:c>
      <x:c r="P206" s="56" t="str">
        <x:f>IF(N206=0,"",(I206+0.5*J206+1)/(N206+2))</x:f>
      </x:c>
      <x:c r="Q206" s="34" t="str"/>
      <x:c r="R206" s="34" t="str"/>
      <x:c r="S206" s="34" t="str"/>
      <x:c r="T206" s="34" t="str"/>
      <x:c r="U206" s="34" t="str"/>
      <x:c r="V206" s="34" t="str">
        <x:f>IF(A206="","",IF(N206&lt;5,"样本不足",IF(Q206&gt;=1,"优先复核",IF(AND(N206&gt;=20,P206&lt;0.35,K206&gt;=5),"停用候选",IF(AND(N206&gt;=10,P206&lt;0.45),"需修改候选",IF(AND(N206&gt;=10,P206&gt;=0.75,R206/N206&lt;=0.15,S206/N206&lt;=0.15),"升级候选",IF(R206/N206&gt;0.3,"收紧条件",IF(S206/N206&gt;0.3,"补漏／放宽","继续观察"))))))))</x:f>
        <x:v>样本不足</x:v>
      </x:c>
      <x:c r="W206" s="34" t="str">
        <x:f>IF(V206="","",IF(V206="升级候选","已验证候选",IF(V206="停用候选","停用候选",IF(OR(V206="需修改候选",V206="收紧条件",V206="补漏／放宽",V206="优先复核"),"需修改／复核","观察中"))))</x:f>
        <x:v>观察中</x:v>
      </x:c>
      <x:c r="X206" s="34" t="str"/>
      <x:c r="Y206" s="34" t="str"/>
    </x:row>
    <x:row r="207">
      <x:c r="A207" s="34" t="str">
        <x:v>M5-SYNTH-184</x:v>
      </x:c>
      <x:c r="B207" s="34" t="str">
        <x:v>SYNTH</x:v>
      </x:c>
      <x:c r="C207" s="34" t="str">
        <x:v>P0_SYNTH总合成</x:v>
      </x:c>
      <x:c r="D207" s="34" t="str">
        <x:v>FG4｜全部RG已评估</x:v>
      </x:c>
      <x:c r="E207" s="34" t="str">
        <x:v>L4 FG证据等级</x:v>
      </x:c>
      <x:c r="F207" s="34" t="str">
        <x:v>证据门控</x:v>
      </x:c>
      <x:c r="G207" s="34" t="n">
        <x:v>92</x:v>
      </x:c>
      <x:c r="H207" s="34" t="str">
        <x:v>待验证</x:v>
      </x:c>
      <x:c r="I207" s="34" t="str"/>
      <x:c r="J207" s="34" t="str"/>
      <x:c r="K207" s="34" t="str"/>
      <x:c r="L207" s="34" t="str"/>
      <x:c r="M207" s="34" t="str"/>
      <x:c r="N207" s="34" t="n">
        <x:f>IF(A207="","",I207+J207+K207)</x:f>
        <x:v>0</x:v>
      </x:c>
      <x:c r="O207" s="56" t="str">
        <x:f>IF(N207=0,"",(I207+0.5*J207)/N207)</x:f>
      </x:c>
      <x:c r="P207" s="56" t="str">
        <x:f>IF(N207=0,"",(I207+0.5*J207+1)/(N207+2))</x:f>
      </x:c>
      <x:c r="Q207" s="34" t="str"/>
      <x:c r="R207" s="34" t="str"/>
      <x:c r="S207" s="34" t="str"/>
      <x:c r="T207" s="34" t="str"/>
      <x:c r="U207" s="34" t="str"/>
      <x:c r="V207" s="34" t="str">
        <x:f>IF(A207="","",IF(N207&lt;5,"样本不足",IF(Q207&gt;=1,"优先复核",IF(AND(N207&gt;=20,P207&lt;0.35,K207&gt;=5),"停用候选",IF(AND(N207&gt;=10,P207&lt;0.45),"需修改候选",IF(AND(N207&gt;=10,P207&gt;=0.75,R207/N207&lt;=0.15,S207/N207&lt;=0.15),"升级候选",IF(R207/N207&gt;0.3,"收紧条件",IF(S207/N207&gt;0.3,"补漏／放宽","继续观察"))))))))</x:f>
        <x:v>样本不足</x:v>
      </x:c>
      <x:c r="W207" s="34" t="str">
        <x:f>IF(V207="","",IF(V207="升级候选","已验证候选",IF(V207="停用候选","停用候选",IF(OR(V207="需修改候选",V207="收紧条件",V207="补漏／放宽",V207="优先复核"),"需修改／复核","观察中"))))</x:f>
        <x:v>观察中</x:v>
      </x:c>
      <x:c r="X207" s="34" t="str"/>
      <x:c r="Y207" s="34" t="str"/>
    </x:row>
    <x:row r="208">
      <x:c r="A208" s="34" t="str">
        <x:v>M5-SYNTH-185</x:v>
      </x:c>
      <x:c r="B208" s="34" t="str">
        <x:v>SYNTH</x:v>
      </x:c>
      <x:c r="C208" s="34" t="str">
        <x:v>P0_SYNTH总合成</x:v>
      </x:c>
      <x:c r="D208" s="34" t="str">
        <x:v>FG4｜RG01与RG07安全面必须pass</x:v>
      </x:c>
      <x:c r="E208" s="34" t="str">
        <x:v>L4 FG证据等级</x:v>
      </x:c>
      <x:c r="F208" s="34" t="str">
        <x:v>证据门控</x:v>
      </x:c>
      <x:c r="G208" s="34" t="n">
        <x:v>92</x:v>
      </x:c>
      <x:c r="H208" s="34" t="str">
        <x:v>待验证</x:v>
      </x:c>
      <x:c r="I208" s="34" t="str"/>
      <x:c r="J208" s="34" t="str"/>
      <x:c r="K208" s="34" t="str"/>
      <x:c r="L208" s="34" t="str"/>
      <x:c r="M208" s="34" t="str"/>
      <x:c r="N208" s="34" t="n">
        <x:f>IF(A208="","",I208+J208+K208)</x:f>
        <x:v>0</x:v>
      </x:c>
      <x:c r="O208" s="56" t="str">
        <x:f>IF(N208=0,"",(I208+0.5*J208)/N208)</x:f>
      </x:c>
      <x:c r="P208" s="56" t="str">
        <x:f>IF(N208=0,"",(I208+0.5*J208+1)/(N208+2))</x:f>
      </x:c>
      <x:c r="Q208" s="34" t="str"/>
      <x:c r="R208" s="34" t="str"/>
      <x:c r="S208" s="34" t="str"/>
      <x:c r="T208" s="34" t="str"/>
      <x:c r="U208" s="34" t="str"/>
      <x:c r="V208" s="34" t="str">
        <x:f>IF(A208="","",IF(N208&lt;5,"样本不足",IF(Q208&gt;=1,"优先复核",IF(AND(N208&gt;=20,P208&lt;0.35,K208&gt;=5),"停用候选",IF(AND(N208&gt;=10,P208&lt;0.45),"需修改候选",IF(AND(N208&gt;=10,P208&gt;=0.75,R208/N208&lt;=0.15,S208/N208&lt;=0.15),"升级候选",IF(R208/N208&gt;0.3,"收紧条件",IF(S208/N208&gt;0.3,"补漏／放宽","继续观察"))))))))</x:f>
        <x:v>样本不足</x:v>
      </x:c>
      <x:c r="W208" s="34" t="str">
        <x:f>IF(V208="","",IF(V208="升级候选","已验证候选",IF(V208="停用候选","停用候选",IF(OR(V208="需修改候选",V208="收紧条件",V208="补漏／放宽",V208="优先复核"),"需修改／复核","观察中"))))</x:f>
        <x:v>观察中</x:v>
      </x:c>
      <x:c r="X208" s="34" t="str"/>
      <x:c r="Y208" s="34" t="str"/>
    </x:row>
    <x:row r="209">
      <x:c r="A209" s="34" t="str">
        <x:v>M5-SYNTH-186</x:v>
      </x:c>
      <x:c r="B209" s="34" t="str">
        <x:v>SYNTH</x:v>
      </x:c>
      <x:c r="C209" s="34" t="str">
        <x:v>P0_SYNTH总合成</x:v>
      </x:c>
      <x:c r="D209" s="34" t="str">
        <x:v>FG4｜压力与现实代价证据必需</x:v>
      </x:c>
      <x:c r="E209" s="34" t="str">
        <x:v>L4 FG证据等级</x:v>
      </x:c>
      <x:c r="F209" s="34" t="str">
        <x:v>证据门控</x:v>
      </x:c>
      <x:c r="G209" s="34" t="n">
        <x:v>92</x:v>
      </x:c>
      <x:c r="H209" s="34" t="str">
        <x:v>待验证</x:v>
      </x:c>
      <x:c r="I209" s="34" t="str"/>
      <x:c r="J209" s="34" t="str"/>
      <x:c r="K209" s="34" t="str"/>
      <x:c r="L209" s="34" t="str"/>
      <x:c r="M209" s="34" t="str"/>
      <x:c r="N209" s="34" t="n">
        <x:f>IF(A209="","",I209+J209+K209)</x:f>
        <x:v>0</x:v>
      </x:c>
      <x:c r="O209" s="56" t="str">
        <x:f>IF(N209=0,"",(I209+0.5*J209)/N209)</x:f>
      </x:c>
      <x:c r="P209" s="56" t="str">
        <x:f>IF(N209=0,"",(I209+0.5*J209+1)/(N209+2))</x:f>
      </x:c>
      <x:c r="Q209" s="34" t="str"/>
      <x:c r="R209" s="34" t="str"/>
      <x:c r="S209" s="34" t="str"/>
      <x:c r="T209" s="34" t="str"/>
      <x:c r="U209" s="34" t="str"/>
      <x:c r="V209" s="34" t="str">
        <x:f>IF(A209="","",IF(N209&lt;5,"样本不足",IF(Q209&gt;=1,"优先复核",IF(AND(N209&gt;=20,P209&lt;0.35,K209&gt;=5),"停用候选",IF(AND(N209&gt;=10,P209&lt;0.45),"需修改候选",IF(AND(N209&gt;=10,P209&gt;=0.75,R209/N209&lt;=0.15,S209/N209&lt;=0.15),"升级候选",IF(R209/N209&gt;0.3,"收紧条件",IF(S209/N209&gt;0.3,"补漏／放宽","继续观察"))))))))</x:f>
        <x:v>样本不足</x:v>
      </x:c>
      <x:c r="W209" s="34" t="str">
        <x:f>IF(V209="","",IF(V209="升级候选","已验证候选",IF(V209="停用候选","停用候选",IF(OR(V209="需修改候选",V209="收紧条件",V209="补漏／放宽",V209="优先复核"),"需修改／复核","观察中"))))</x:f>
        <x:v>观察中</x:v>
      </x:c>
      <x:c r="X209" s="34" t="str"/>
      <x:c r="Y209" s="34" t="str"/>
    </x:row>
    <x:row r="210">
      <x:c r="A210" s="34" t="str">
        <x:v>M5-SYNTH-187</x:v>
      </x:c>
      <x:c r="B210" s="34" t="str">
        <x:v>SYNTH</x:v>
      </x:c>
      <x:c r="C210" s="34" t="str">
        <x:v>P0_SYNTH总合成</x:v>
      </x:c>
      <x:c r="D210" s="34" t="str">
        <x:v>FG4｜修复或恢复证据必需</x:v>
      </x:c>
      <x:c r="E210" s="34" t="str">
        <x:v>L4 FG证据等级</x:v>
      </x:c>
      <x:c r="F210" s="34" t="str">
        <x:v>证据门控</x:v>
      </x:c>
      <x:c r="G210" s="34" t="n">
        <x:v>92</x:v>
      </x:c>
      <x:c r="H210" s="34" t="str">
        <x:v>待验证</x:v>
      </x:c>
      <x:c r="I210" s="34" t="str"/>
      <x:c r="J210" s="34" t="str"/>
      <x:c r="K210" s="34" t="str"/>
      <x:c r="L210" s="34" t="str"/>
      <x:c r="M210" s="34" t="str"/>
      <x:c r="N210" s="34" t="n">
        <x:f>IF(A210="","",I210+J210+K210)</x:f>
        <x:v>0</x:v>
      </x:c>
      <x:c r="O210" s="56" t="str">
        <x:f>IF(N210=0,"",(I210+0.5*J210)/N210)</x:f>
      </x:c>
      <x:c r="P210" s="56" t="str">
        <x:f>IF(N210=0,"",(I210+0.5*J210+1)/(N210+2))</x:f>
      </x:c>
      <x:c r="Q210" s="34" t="str"/>
      <x:c r="R210" s="34" t="str"/>
      <x:c r="S210" s="34" t="str"/>
      <x:c r="T210" s="34" t="str"/>
      <x:c r="U210" s="34" t="str"/>
      <x:c r="V210" s="34" t="str">
        <x:f>IF(A210="","",IF(N210&lt;5,"样本不足",IF(Q210&gt;=1,"优先复核",IF(AND(N210&gt;=20,P210&lt;0.35,K210&gt;=5),"停用候选",IF(AND(N210&gt;=10,P210&lt;0.45),"需修改候选",IF(AND(N210&gt;=10,P210&gt;=0.75,R210/N210&lt;=0.15,S210/N210&lt;=0.15),"升级候选",IF(R210/N210&gt;0.3,"收紧条件",IF(S210/N210&gt;0.3,"补漏／放宽","继续观察"))))))))</x:f>
        <x:v>样本不足</x:v>
      </x:c>
      <x:c r="W210" s="34" t="str">
        <x:f>IF(V210="","",IF(V210="升级候选","已验证候选",IF(V210="停用候选","停用候选",IF(OR(V210="需修改候选",V210="收紧条件",V210="补漏／放宽",V210="优先复核"),"需修改／复核","观察中"))))</x:f>
        <x:v>观察中</x:v>
      </x:c>
      <x:c r="X210" s="34" t="str"/>
      <x:c r="Y210" s="34" t="str"/>
    </x:row>
    <x:row r="211">
      <x:c r="A211" s="34" t="str">
        <x:v>M5-SYNTH-188</x:v>
      </x:c>
      <x:c r="B211" s="34" t="str">
        <x:v>SYNTH</x:v>
      </x:c>
      <x:c r="C211" s="34" t="str">
        <x:v>P0_SYNTH总合成</x:v>
      </x:c>
      <x:c r="D211" s="34" t="str">
        <x:v>FG4｜重大转折或反例检验必需</x:v>
      </x:c>
      <x:c r="E211" s="34" t="str">
        <x:v>L4 FG证据等级</x:v>
      </x:c>
      <x:c r="F211" s="34" t="str">
        <x:v>证据门控</x:v>
      </x:c>
      <x:c r="G211" s="34" t="n">
        <x:v>92</x:v>
      </x:c>
      <x:c r="H211" s="34" t="str">
        <x:v>待验证</x:v>
      </x:c>
      <x:c r="I211" s="34" t="str"/>
      <x:c r="J211" s="34" t="str"/>
      <x:c r="K211" s="34" t="str"/>
      <x:c r="L211" s="34" t="str"/>
      <x:c r="M211" s="34" t="str"/>
      <x:c r="N211" s="34" t="n">
        <x:f>IF(A211="","",I211+J211+K211)</x:f>
        <x:v>0</x:v>
      </x:c>
      <x:c r="O211" s="56" t="str">
        <x:f>IF(N211=0,"",(I211+0.5*J211)/N211)</x:f>
      </x:c>
      <x:c r="P211" s="56" t="str">
        <x:f>IF(N211=0,"",(I211+0.5*J211+1)/(N211+2))</x:f>
      </x:c>
      <x:c r="Q211" s="34" t="str"/>
      <x:c r="R211" s="34" t="str"/>
      <x:c r="S211" s="34" t="str"/>
      <x:c r="T211" s="34" t="str"/>
      <x:c r="U211" s="34" t="str"/>
      <x:c r="V211" s="34" t="str">
        <x:f>IF(A211="","",IF(N211&lt;5,"样本不足",IF(Q211&gt;=1,"优先复核",IF(AND(N211&gt;=20,P211&lt;0.35,K211&gt;=5),"停用候选",IF(AND(N211&gt;=10,P211&lt;0.45),"需修改候选",IF(AND(N211&gt;=10,P211&gt;=0.75,R211/N211&lt;=0.15,S211/N211&lt;=0.15),"升级候选",IF(R211/N211&gt;0.3,"收紧条件",IF(S211/N211&gt;0.3,"补漏／放宽","继续观察"))))))))</x:f>
        <x:v>样本不足</x:v>
      </x:c>
      <x:c r="W211" s="34" t="str">
        <x:f>IF(V211="","",IF(V211="升级候选","已验证候选",IF(V211="停用候选","停用候选",IF(OR(V211="需修改候选",V211="收紧条件",V211="补漏／放宽",V211="优先复核"),"需修改／复核","观察中"))))</x:f>
        <x:v>观察中</x:v>
      </x:c>
      <x:c r="X211" s="34" t="str"/>
      <x:c r="Y211" s="34" t="str"/>
    </x:row>
    <x:row r="212">
      <x:c r="A212" s="34" t="str">
        <x:v>M5-SYNTH-189</x:v>
      </x:c>
      <x:c r="B212" s="34" t="str">
        <x:v>SYNTH</x:v>
      </x:c>
      <x:c r="C212" s="34" t="str">
        <x:v>P0_SYNTH总合成</x:v>
      </x:c>
      <x:c r="D212" s="34" t="str">
        <x:v>FG4｜桥接需现实重复有效</x:v>
      </x:c>
      <x:c r="E212" s="34" t="str">
        <x:v>L4 FG证据等级</x:v>
      </x:c>
      <x:c r="F212" s="34" t="str">
        <x:v>证据门控</x:v>
      </x:c>
      <x:c r="G212" s="34" t="n">
        <x:v>92</x:v>
      </x:c>
      <x:c r="H212" s="34" t="str">
        <x:v>待验证</x:v>
      </x:c>
      <x:c r="I212" s="34" t="str"/>
      <x:c r="J212" s="34" t="str"/>
      <x:c r="K212" s="34" t="str"/>
      <x:c r="L212" s="34" t="str"/>
      <x:c r="M212" s="34" t="str"/>
      <x:c r="N212" s="34" t="n">
        <x:f>IF(A212="","",I212+J212+K212)</x:f>
        <x:v>0</x:v>
      </x:c>
      <x:c r="O212" s="56" t="str">
        <x:f>IF(N212=0,"",(I212+0.5*J212)/N212)</x:f>
      </x:c>
      <x:c r="P212" s="56" t="str">
        <x:f>IF(N212=0,"",(I212+0.5*J212+1)/(N212+2))</x:f>
      </x:c>
      <x:c r="Q212" s="34" t="str"/>
      <x:c r="R212" s="34" t="str"/>
      <x:c r="S212" s="34" t="str"/>
      <x:c r="T212" s="34" t="str"/>
      <x:c r="U212" s="34" t="str"/>
      <x:c r="V212" s="34" t="str">
        <x:f>IF(A212="","",IF(N212&lt;5,"样本不足",IF(Q212&gt;=1,"优先复核",IF(AND(N212&gt;=20,P212&lt;0.35,K212&gt;=5),"停用候选",IF(AND(N212&gt;=10,P212&lt;0.45),"需修改候选",IF(AND(N212&gt;=10,P212&gt;=0.75,R212/N212&lt;=0.15,S212/N212&lt;=0.15),"升级候选",IF(R212/N212&gt;0.3,"收紧条件",IF(S212/N212&gt;0.3,"补漏／放宽","继续观察"))))))))</x:f>
        <x:v>样本不足</x:v>
      </x:c>
      <x:c r="W212" s="34" t="str">
        <x:f>IF(V212="","",IF(V212="升级候选","已验证候选",IF(V212="停用候选","停用候选",IF(OR(V212="需修改候选",V212="收紧条件",V212="补漏／放宽",V212="优先复核"),"需修改／复核","观察中"))))</x:f>
        <x:v>观察中</x:v>
      </x:c>
      <x:c r="X212" s="34" t="str"/>
      <x:c r="Y212" s="34" t="str"/>
    </x:row>
    <x:row r="213">
      <x:c r="A213" s="34" t="str">
        <x:v>M5-SYNTH-190</x:v>
      </x:c>
      <x:c r="B213" s="34" t="str">
        <x:v>SYNTH</x:v>
      </x:c>
      <x:c r="C213" s="34" t="str">
        <x:v>P0_SYNTH总合成</x:v>
      </x:c>
      <x:c r="D213" s="34" t="str">
        <x:v>FG4｜残余差异可存在但必须可管理</x:v>
      </x:c>
      <x:c r="E213" s="34" t="str">
        <x:v>L4 FG证据等级</x:v>
      </x:c>
      <x:c r="F213" s="34" t="str">
        <x:v>证据门控</x:v>
      </x:c>
      <x:c r="G213" s="34" t="n">
        <x:v>92</x:v>
      </x:c>
      <x:c r="H213" s="34" t="str">
        <x:v>待验证</x:v>
      </x:c>
      <x:c r="I213" s="34" t="str"/>
      <x:c r="J213" s="34" t="str"/>
      <x:c r="K213" s="34" t="str"/>
      <x:c r="L213" s="34" t="str"/>
      <x:c r="M213" s="34" t="str"/>
      <x:c r="N213" s="34" t="n">
        <x:f>IF(A213="","",I213+J213+K213)</x:f>
        <x:v>0</x:v>
      </x:c>
      <x:c r="O213" s="56" t="str">
        <x:f>IF(N213=0,"",(I213+0.5*J213)/N213)</x:f>
      </x:c>
      <x:c r="P213" s="56" t="str">
        <x:f>IF(N213=0,"",(I213+0.5*J213+1)/(N213+2))</x:f>
      </x:c>
      <x:c r="Q213" s="34" t="str"/>
      <x:c r="R213" s="34" t="str"/>
      <x:c r="S213" s="34" t="str"/>
      <x:c r="T213" s="34" t="str"/>
      <x:c r="U213" s="34" t="str"/>
      <x:c r="V213" s="34" t="str">
        <x:f>IF(A213="","",IF(N213&lt;5,"样本不足",IF(Q213&gt;=1,"优先复核",IF(AND(N213&gt;=20,P213&lt;0.35,K213&gt;=5),"停用候选",IF(AND(N213&gt;=10,P213&lt;0.45),"需修改候选",IF(AND(N213&gt;=10,P213&gt;=0.75,R213/N213&lt;=0.15,S213/N213&lt;=0.15),"升级候选",IF(R213/N213&gt;0.3,"收紧条件",IF(S213/N213&gt;0.3,"补漏／放宽","继续观察"))))))))</x:f>
        <x:v>样本不足</x:v>
      </x:c>
      <x:c r="W213" s="34" t="str">
        <x:f>IF(V213="","",IF(V213="升级候选","已验证候选",IF(V213="停用候选","停用候选",IF(OR(V213="需修改候选",V213="收紧条件",V213="补漏／放宽",V213="优先复核"),"需修改／复核","观察中"))))</x:f>
        <x:v>观察中</x:v>
      </x:c>
      <x:c r="X213" s="34" t="str"/>
      <x:c r="Y213" s="34" t="str"/>
    </x:row>
    <x:row r="214">
      <x:c r="A214" s="34" t="str">
        <x:v>M5-SYNTH-191</x:v>
      </x:c>
      <x:c r="B214" s="34" t="str">
        <x:v>SYNTH</x:v>
      </x:c>
      <x:c r="C214" s="34" t="str">
        <x:v>P0_SYNTH总合成</x:v>
      </x:c>
      <x:c r="D214" s="34" t="str">
        <x:v>FG4｜不同对象历史证据不替代当前对象</x:v>
      </x:c>
      <x:c r="E214" s="34" t="str">
        <x:v>L4 FG证据等级</x:v>
      </x:c>
      <x:c r="F214" s="34" t="str">
        <x:v>边界</x:v>
      </x:c>
      <x:c r="G214" s="34" t="n">
        <x:v>92</x:v>
      </x:c>
      <x:c r="H214" s="34" t="str">
        <x:v>待验证</x:v>
      </x:c>
      <x:c r="I214" s="34" t="str"/>
      <x:c r="J214" s="34" t="str"/>
      <x:c r="K214" s="34" t="str"/>
      <x:c r="L214" s="34" t="str"/>
      <x:c r="M214" s="34" t="str"/>
      <x:c r="N214" s="34" t="n">
        <x:f>IF(A214="","",I214+J214+K214)</x:f>
        <x:v>0</x:v>
      </x:c>
      <x:c r="O214" s="56" t="str">
        <x:f>IF(N214=0,"",(I214+0.5*J214)/N214)</x:f>
      </x:c>
      <x:c r="P214" s="56" t="str">
        <x:f>IF(N214=0,"",(I214+0.5*J214+1)/(N214+2))</x:f>
      </x:c>
      <x:c r="Q214" s="34" t="str"/>
      <x:c r="R214" s="34" t="str"/>
      <x:c r="S214" s="34" t="str"/>
      <x:c r="T214" s="34" t="str"/>
      <x:c r="U214" s="34" t="str"/>
      <x:c r="V214" s="34" t="str">
        <x:f>IF(A214="","",IF(N214&lt;5,"样本不足",IF(Q214&gt;=1,"优先复核",IF(AND(N214&gt;=20,P214&lt;0.35,K214&gt;=5),"停用候选",IF(AND(N214&gt;=10,P214&lt;0.45),"需修改候选",IF(AND(N214&gt;=10,P214&gt;=0.75,R214/N214&lt;=0.15,S214/N214&lt;=0.15),"升级候选",IF(R214/N214&gt;0.3,"收紧条件",IF(S214/N214&gt;0.3,"补漏／放宽","继续观察"))))))))</x:f>
        <x:v>样本不足</x:v>
      </x:c>
      <x:c r="W214" s="34" t="str">
        <x:f>IF(V214="","",IF(V214="升级候选","已验证候选",IF(V214="停用候选","停用候选",IF(OR(V214="需修改候选",V214="收紧条件",V214="补漏／放宽",V214="优先复核"),"需修改／复核","观察中"))))</x:f>
        <x:v>观察中</x:v>
      </x:c>
      <x:c r="X214" s="34" t="str"/>
      <x:c r="Y214" s="34" t="str"/>
    </x:row>
    <x:row r="215">
      <x:c r="A215" s="34" t="str">
        <x:v>M5-SYNTH-192</x:v>
      </x:c>
      <x:c r="B215" s="34" t="str">
        <x:v>SYNTH</x:v>
      </x:c>
      <x:c r="C215" s="34" t="str">
        <x:v>P0_SYNTH总合成</x:v>
      </x:c>
      <x:c r="D215" s="34" t="str">
        <x:v>FG升级与降级｜一次只升一级并记录新增证据</x:v>
      </x:c>
      <x:c r="E215" s="34" t="str">
        <x:v>L4 FG证据等级</x:v>
      </x:c>
      <x:c r="F215" s="34" t="str">
        <x:v>证据门控</x:v>
      </x:c>
      <x:c r="G215" s="34" t="n">
        <x:v>92</x:v>
      </x:c>
      <x:c r="H215" s="34" t="str">
        <x:v>待验证</x:v>
      </x:c>
      <x:c r="I215" s="34" t="str"/>
      <x:c r="J215" s="34" t="str"/>
      <x:c r="K215" s="34" t="str"/>
      <x:c r="L215" s="34" t="str"/>
      <x:c r="M215" s="34" t="str"/>
      <x:c r="N215" s="34" t="n">
        <x:f>IF(A215="","",I215+J215+K215)</x:f>
        <x:v>0</x:v>
      </x:c>
      <x:c r="O215" s="56" t="str">
        <x:f>IF(N215=0,"",(I215+0.5*J215)/N215)</x:f>
      </x:c>
      <x:c r="P215" s="56" t="str">
        <x:f>IF(N215=0,"",(I215+0.5*J215+1)/(N215+2))</x:f>
      </x:c>
      <x:c r="Q215" s="34" t="str"/>
      <x:c r="R215" s="34" t="str"/>
      <x:c r="S215" s="34" t="str"/>
      <x:c r="T215" s="34" t="str"/>
      <x:c r="U215" s="34" t="str"/>
      <x:c r="V215" s="34" t="str">
        <x:f>IF(A215="","",IF(N215&lt;5,"样本不足",IF(Q215&gt;=1,"优先复核",IF(AND(N215&gt;=20,P215&lt;0.35,K215&gt;=5),"停用候选",IF(AND(N215&gt;=10,P215&lt;0.45),"需修改候选",IF(AND(N215&gt;=10,P215&gt;=0.75,R215/N215&lt;=0.15,S215/N215&lt;=0.15),"升级候选",IF(R215/N215&gt;0.3,"收紧条件",IF(S215/N215&gt;0.3,"补漏／放宽","继续观察"))))))))</x:f>
        <x:v>样本不足</x:v>
      </x:c>
      <x:c r="W215" s="34" t="str">
        <x:f>IF(V215="","",IF(V215="升级候选","已验证候选",IF(V215="停用候选","停用候选",IF(OR(V215="需修改候选",V215="收紧条件",V215="补漏／放宽",V215="优先复核"),"需修改／复核","观察中"))))</x:f>
        <x:v>观察中</x:v>
      </x:c>
      <x:c r="X215" s="34" t="str"/>
      <x:c r="Y215" s="34" t="str"/>
    </x:row>
    <x:row r="216">
      <x:c r="A216" s="34" t="str">
        <x:v>M5-SYNTH-234</x:v>
      </x:c>
      <x:c r="B216" s="34" t="str">
        <x:v>SYNTH</x:v>
      </x:c>
      <x:c r="C216" s="34" t="str">
        <x:v>P0_SYNTH总合成</x:v>
      </x:c>
      <x:c r="D216" s="34" t="str">
        <x:v>AF01适配总状态｜成立门槛</x:v>
      </x:c>
      <x:c r="E216" s="34" t="str">
        <x:v>L6 适配总状态与残余</x:v>
      </x:c>
      <x:c r="F216" s="34" t="str">
        <x:v>状态门控</x:v>
      </x:c>
      <x:c r="G216" s="34" t="n">
        <x:v>92</x:v>
      </x:c>
      <x:c r="H216" s="34" t="str">
        <x:v>待验证</x:v>
      </x:c>
      <x:c r="I216" s="34" t="str"/>
      <x:c r="J216" s="34" t="str"/>
      <x:c r="K216" s="34" t="str"/>
      <x:c r="L216" s="34" t="str"/>
      <x:c r="M216" s="34" t="str"/>
      <x:c r="N216" s="34" t="n">
        <x:f>IF(A216="","",I216+J216+K216)</x:f>
        <x:v>0</x:v>
      </x:c>
      <x:c r="O216" s="56" t="str">
        <x:f>IF(N216=0,"",(I216+0.5*J216)/N216)</x:f>
      </x:c>
      <x:c r="P216" s="56" t="str">
        <x:f>IF(N216=0,"",(I216+0.5*J216+1)/(N216+2))</x:f>
      </x:c>
      <x:c r="Q216" s="34" t="str"/>
      <x:c r="R216" s="34" t="str"/>
      <x:c r="S216" s="34" t="str"/>
      <x:c r="T216" s="34" t="str"/>
      <x:c r="U216" s="34" t="str"/>
      <x:c r="V216" s="34" t="str">
        <x:f>IF(A216="","",IF(N216&lt;5,"样本不足",IF(Q216&gt;=1,"优先复核",IF(AND(N216&gt;=20,P216&lt;0.35,K216&gt;=5),"停用候选",IF(AND(N216&gt;=10,P216&lt;0.45),"需修改候选",IF(AND(N216&gt;=10,P216&gt;=0.75,R216/N216&lt;=0.15,S216/N216&lt;=0.15),"升级候选",IF(R216/N216&gt;0.3,"收紧条件",IF(S216/N216&gt;0.3,"补漏／放宽","继续观察"))))))))</x:f>
        <x:v>样本不足</x:v>
      </x:c>
      <x:c r="W216" s="34" t="str">
        <x:f>IF(V216="","",IF(V216="升级候选","已验证候选",IF(V216="停用候选","停用候选",IF(OR(V216="需修改候选",V216="收紧条件",V216="补漏／放宽",V216="优先复核"),"需修改／复核","观察中"))))</x:f>
        <x:v>观察中</x:v>
      </x:c>
      <x:c r="X216" s="34" t="str"/>
      <x:c r="Y216" s="34" t="str"/>
    </x:row>
    <x:row r="217">
      <x:c r="A217" s="34" t="str">
        <x:v>M5-SYNTH-237</x:v>
      </x:c>
      <x:c r="B217" s="34" t="str">
        <x:v>SYNTH</x:v>
      </x:c>
      <x:c r="C217" s="34" t="str">
        <x:v>P0_SYNTH总合成</x:v>
      </x:c>
      <x:c r="D217" s="34" t="str">
        <x:v>AF02适配总状态｜成立门槛</x:v>
      </x:c>
      <x:c r="E217" s="34" t="str">
        <x:v>L6 适配总状态与残余</x:v>
      </x:c>
      <x:c r="F217" s="34" t="str">
        <x:v>状态门控</x:v>
      </x:c>
      <x:c r="G217" s="34" t="n">
        <x:v>92</x:v>
      </x:c>
      <x:c r="H217" s="34" t="str">
        <x:v>待验证</x:v>
      </x:c>
      <x:c r="I217" s="34" t="str"/>
      <x:c r="J217" s="34" t="str"/>
      <x:c r="K217" s="34" t="str"/>
      <x:c r="L217" s="34" t="str"/>
      <x:c r="M217" s="34" t="str"/>
      <x:c r="N217" s="34" t="n">
        <x:f>IF(A217="","",I217+J217+K217)</x:f>
        <x:v>0</x:v>
      </x:c>
      <x:c r="O217" s="56" t="str">
        <x:f>IF(N217=0,"",(I217+0.5*J217)/N217)</x:f>
      </x:c>
      <x:c r="P217" s="56" t="str">
        <x:f>IF(N217=0,"",(I217+0.5*J217+1)/(N217+2))</x:f>
      </x:c>
      <x:c r="Q217" s="34" t="str"/>
      <x:c r="R217" s="34" t="str"/>
      <x:c r="S217" s="34" t="str"/>
      <x:c r="T217" s="34" t="str"/>
      <x:c r="U217" s="34" t="str"/>
      <x:c r="V217" s="34" t="str">
        <x:f>IF(A217="","",IF(N217&lt;5,"样本不足",IF(Q217&gt;=1,"优先复核",IF(AND(N217&gt;=20,P217&lt;0.35,K217&gt;=5),"停用候选",IF(AND(N217&gt;=10,P217&lt;0.45),"需修改候选",IF(AND(N217&gt;=10,P217&gt;=0.75,R217/N217&lt;=0.15,S217/N217&lt;=0.15),"升级候选",IF(R217/N217&gt;0.3,"收紧条件",IF(S217/N217&gt;0.3,"补漏／放宽","继续观察"))))))))</x:f>
        <x:v>样本不足</x:v>
      </x:c>
      <x:c r="W217" s="34" t="str">
        <x:f>IF(V217="","",IF(V217="升级候选","已验证候选",IF(V217="停用候选","停用候选",IF(OR(V217="需修改候选",V217="收紧条件",V217="补漏／放宽",V217="优先复核"),"需修改／复核","观察中"))))</x:f>
        <x:v>观察中</x:v>
      </x:c>
      <x:c r="X217" s="34" t="str"/>
      <x:c r="Y217" s="34" t="str"/>
    </x:row>
    <x:row r="218">
      <x:c r="A218" s="34" t="str">
        <x:v>M5-SYNTH-240</x:v>
      </x:c>
      <x:c r="B218" s="34" t="str">
        <x:v>SYNTH</x:v>
      </x:c>
      <x:c r="C218" s="34" t="str">
        <x:v>P0_SYNTH总合成</x:v>
      </x:c>
      <x:c r="D218" s="34" t="str">
        <x:v>AF03适配总状态｜成立门槛</x:v>
      </x:c>
      <x:c r="E218" s="34" t="str">
        <x:v>L6 适配总状态与残余</x:v>
      </x:c>
      <x:c r="F218" s="34" t="str">
        <x:v>状态门控</x:v>
      </x:c>
      <x:c r="G218" s="34" t="n">
        <x:v>92</x:v>
      </x:c>
      <x:c r="H218" s="34" t="str">
        <x:v>待验证</x:v>
      </x:c>
      <x:c r="I218" s="34" t="str"/>
      <x:c r="J218" s="34" t="str"/>
      <x:c r="K218" s="34" t="str"/>
      <x:c r="L218" s="34" t="str"/>
      <x:c r="M218" s="34" t="str"/>
      <x:c r="N218" s="34" t="n">
        <x:f>IF(A218="","",I218+J218+K218)</x:f>
        <x:v>0</x:v>
      </x:c>
      <x:c r="O218" s="56" t="str">
        <x:f>IF(N218=0,"",(I218+0.5*J218)/N218)</x:f>
      </x:c>
      <x:c r="P218" s="56" t="str">
        <x:f>IF(N218=0,"",(I218+0.5*J218+1)/(N218+2))</x:f>
      </x:c>
      <x:c r="Q218" s="34" t="str"/>
      <x:c r="R218" s="34" t="str"/>
      <x:c r="S218" s="34" t="str"/>
      <x:c r="T218" s="34" t="str"/>
      <x:c r="U218" s="34" t="str"/>
      <x:c r="V218" s="34" t="str">
        <x:f>IF(A218="","",IF(N218&lt;5,"样本不足",IF(Q218&gt;=1,"优先复核",IF(AND(N218&gt;=20,P218&lt;0.35,K218&gt;=5),"停用候选",IF(AND(N218&gt;=10,P218&lt;0.45),"需修改候选",IF(AND(N218&gt;=10,P218&gt;=0.75,R218/N218&lt;=0.15,S218/N218&lt;=0.15),"升级候选",IF(R218/N218&gt;0.3,"收紧条件",IF(S218/N218&gt;0.3,"补漏／放宽","继续观察"))))))))</x:f>
        <x:v>样本不足</x:v>
      </x:c>
      <x:c r="W218" s="34" t="str">
        <x:f>IF(V218="","",IF(V218="升级候选","已验证候选",IF(V218="停用候选","停用候选",IF(OR(V218="需修改候选",V218="收紧条件",V218="补漏／放宽",V218="优先复核"),"需修改／复核","观察中"))))</x:f>
        <x:v>观察中</x:v>
      </x:c>
      <x:c r="X218" s="34" t="str"/>
      <x:c r="Y218" s="34" t="str"/>
    </x:row>
    <x:row r="219">
      <x:c r="A219" s="34" t="str">
        <x:v>M5-SYNTH-243</x:v>
      </x:c>
      <x:c r="B219" s="34" t="str">
        <x:v>SYNTH</x:v>
      </x:c>
      <x:c r="C219" s="34" t="str">
        <x:v>P0_SYNTH总合成</x:v>
      </x:c>
      <x:c r="D219" s="34" t="str">
        <x:v>AF04适配总状态｜成立门槛</x:v>
      </x:c>
      <x:c r="E219" s="34" t="str">
        <x:v>L6 适配总状态与残余</x:v>
      </x:c>
      <x:c r="F219" s="34" t="str">
        <x:v>状态门控</x:v>
      </x:c>
      <x:c r="G219" s="34" t="n">
        <x:v>92</x:v>
      </x:c>
      <x:c r="H219" s="34" t="str">
        <x:v>待验证</x:v>
      </x:c>
      <x:c r="I219" s="34" t="str"/>
      <x:c r="J219" s="34" t="str"/>
      <x:c r="K219" s="34" t="str"/>
      <x:c r="L219" s="34" t="str"/>
      <x:c r="M219" s="34" t="str"/>
      <x:c r="N219" s="34" t="n">
        <x:f>IF(A219="","",I219+J219+K219)</x:f>
        <x:v>0</x:v>
      </x:c>
      <x:c r="O219" s="56" t="str">
        <x:f>IF(N219=0,"",(I219+0.5*J219)/N219)</x:f>
      </x:c>
      <x:c r="P219" s="56" t="str">
        <x:f>IF(N219=0,"",(I219+0.5*J219+1)/(N219+2))</x:f>
      </x:c>
      <x:c r="Q219" s="34" t="str"/>
      <x:c r="R219" s="34" t="str"/>
      <x:c r="S219" s="34" t="str"/>
      <x:c r="T219" s="34" t="str"/>
      <x:c r="U219" s="34" t="str"/>
      <x:c r="V219" s="34" t="str">
        <x:f>IF(A219="","",IF(N219&lt;5,"样本不足",IF(Q219&gt;=1,"优先复核",IF(AND(N219&gt;=20,P219&lt;0.35,K219&gt;=5),"停用候选",IF(AND(N219&gt;=10,P219&lt;0.45),"需修改候选",IF(AND(N219&gt;=10,P219&gt;=0.75,R219/N219&lt;=0.15,S219/N219&lt;=0.15),"升级候选",IF(R219/N219&gt;0.3,"收紧条件",IF(S219/N219&gt;0.3,"补漏／放宽","继续观察"))))))))</x:f>
        <x:v>样本不足</x:v>
      </x:c>
      <x:c r="W219" s="34" t="str">
        <x:f>IF(V219="","",IF(V219="升级候选","已验证候选",IF(V219="停用候选","停用候选",IF(OR(V219="需修改候选",V219="收紧条件",V219="补漏／放宽",V219="优先复核"),"需修改／复核","观察中"))))</x:f>
        <x:v>观察中</x:v>
      </x:c>
      <x:c r="X219" s="34" t="str"/>
      <x:c r="Y219" s="34" t="str"/>
    </x:row>
    <x:row r="220">
      <x:c r="A220" s="34" t="str">
        <x:v>M5-SYNTH-246</x:v>
      </x:c>
      <x:c r="B220" s="34" t="str">
        <x:v>SYNTH</x:v>
      </x:c>
      <x:c r="C220" s="34" t="str">
        <x:v>P0_SYNTH总合成</x:v>
      </x:c>
      <x:c r="D220" s="34" t="str">
        <x:v>AF05适配总状态｜成立门槛</x:v>
      </x:c>
      <x:c r="E220" s="34" t="str">
        <x:v>L6 适配总状态与残余</x:v>
      </x:c>
      <x:c r="F220" s="34" t="str">
        <x:v>状态门控</x:v>
      </x:c>
      <x:c r="G220" s="34" t="n">
        <x:v>92</x:v>
      </x:c>
      <x:c r="H220" s="34" t="str">
        <x:v>待验证</x:v>
      </x:c>
      <x:c r="I220" s="34" t="str"/>
      <x:c r="J220" s="34" t="str"/>
      <x:c r="K220" s="34" t="str"/>
      <x:c r="L220" s="34" t="str"/>
      <x:c r="M220" s="34" t="str"/>
      <x:c r="N220" s="34" t="n">
        <x:f>IF(A220="","",I220+J220+K220)</x:f>
        <x:v>0</x:v>
      </x:c>
      <x:c r="O220" s="56" t="str">
        <x:f>IF(N220=0,"",(I220+0.5*J220)/N220)</x:f>
      </x:c>
      <x:c r="P220" s="56" t="str">
        <x:f>IF(N220=0,"",(I220+0.5*J220+1)/(N220+2))</x:f>
      </x:c>
      <x:c r="Q220" s="34" t="str"/>
      <x:c r="R220" s="34" t="str"/>
      <x:c r="S220" s="34" t="str"/>
      <x:c r="T220" s="34" t="str"/>
      <x:c r="U220" s="34" t="str"/>
      <x:c r="V220" s="34" t="str">
        <x:f>IF(A220="","",IF(N220&lt;5,"样本不足",IF(Q220&gt;=1,"优先复核",IF(AND(N220&gt;=20,P220&lt;0.35,K220&gt;=5),"停用候选",IF(AND(N220&gt;=10,P220&lt;0.45),"需修改候选",IF(AND(N220&gt;=10,P220&gt;=0.75,R220/N220&lt;=0.15,S220/N220&lt;=0.15),"升级候选",IF(R220/N220&gt;0.3,"收紧条件",IF(S220/N220&gt;0.3,"补漏／放宽","继续观察"))))))))</x:f>
        <x:v>样本不足</x:v>
      </x:c>
      <x:c r="W220" s="34" t="str">
        <x:f>IF(V220="","",IF(V220="升级候选","已验证候选",IF(V220="停用候选","停用候选",IF(OR(V220="需修改候选",V220="收紧条件",V220="补漏／放宽",V220="优先复核"),"需修改／复核","观察中"))))</x:f>
        <x:v>观察中</x:v>
      </x:c>
      <x:c r="X220" s="34" t="str"/>
      <x:c r="Y220" s="34" t="str"/>
    </x:row>
    <x:row r="221">
      <x:c r="A221" s="34" t="str">
        <x:v>M5-SYNTH-249</x:v>
      </x:c>
      <x:c r="B221" s="34" t="str">
        <x:v>SYNTH</x:v>
      </x:c>
      <x:c r="C221" s="34" t="str">
        <x:v>P0_SYNTH总合成</x:v>
      </x:c>
      <x:c r="D221" s="34" t="str">
        <x:v>AF06适配总状态｜成立门槛</x:v>
      </x:c>
      <x:c r="E221" s="34" t="str">
        <x:v>L6 适配总状态与残余</x:v>
      </x:c>
      <x:c r="F221" s="34" t="str">
        <x:v>状态门控</x:v>
      </x:c>
      <x:c r="G221" s="34" t="n">
        <x:v>92</x:v>
      </x:c>
      <x:c r="H221" s="34" t="str">
        <x:v>待验证</x:v>
      </x:c>
      <x:c r="I221" s="34" t="str"/>
      <x:c r="J221" s="34" t="str"/>
      <x:c r="K221" s="34" t="str"/>
      <x:c r="L221" s="34" t="str"/>
      <x:c r="M221" s="34" t="str"/>
      <x:c r="N221" s="34" t="n">
        <x:f>IF(A221="","",I221+J221+K221)</x:f>
        <x:v>0</x:v>
      </x:c>
      <x:c r="O221" s="56" t="str">
        <x:f>IF(N221=0,"",(I221+0.5*J221)/N221)</x:f>
      </x:c>
      <x:c r="P221" s="56" t="str">
        <x:f>IF(N221=0,"",(I221+0.5*J221+1)/(N221+2))</x:f>
      </x:c>
      <x:c r="Q221" s="34" t="str"/>
      <x:c r="R221" s="34" t="str"/>
      <x:c r="S221" s="34" t="str"/>
      <x:c r="T221" s="34" t="str"/>
      <x:c r="U221" s="34" t="str"/>
      <x:c r="V221" s="34" t="str">
        <x:f>IF(A221="","",IF(N221&lt;5,"样本不足",IF(Q221&gt;=1,"优先复核",IF(AND(N221&gt;=20,P221&lt;0.35,K221&gt;=5),"停用候选",IF(AND(N221&gt;=10,P221&lt;0.45),"需修改候选",IF(AND(N221&gt;=10,P221&gt;=0.75,R221/N221&lt;=0.15,S221/N221&lt;=0.15),"升级候选",IF(R221/N221&gt;0.3,"收紧条件",IF(S221/N221&gt;0.3,"补漏／放宽","继续观察"))))))))</x:f>
        <x:v>样本不足</x:v>
      </x:c>
      <x:c r="W221" s="34" t="str">
        <x:f>IF(V221="","",IF(V221="升级候选","已验证候选",IF(V221="停用候选","停用候选",IF(OR(V221="需修改候选",V221="收紧条件",V221="补漏／放宽",V221="优先复核"),"需修改／复核","观察中"))))</x:f>
        <x:v>观察中</x:v>
      </x:c>
      <x:c r="X221" s="34" t="str"/>
      <x:c r="Y221" s="34" t="str"/>
    </x:row>
    <x:row r="222">
      <x:c r="A222" s="34" t="str">
        <x:v>M5-SYNTH-252</x:v>
      </x:c>
      <x:c r="B222" s="34" t="str">
        <x:v>SYNTH</x:v>
      </x:c>
      <x:c r="C222" s="34" t="str">
        <x:v>P0_SYNTH总合成</x:v>
      </x:c>
      <x:c r="D222" s="34" t="str">
        <x:v>AF07适配总状态｜成立门槛</x:v>
      </x:c>
      <x:c r="E222" s="34" t="str">
        <x:v>L6 适配总状态与残余</x:v>
      </x:c>
      <x:c r="F222" s="34" t="str">
        <x:v>状态门控</x:v>
      </x:c>
      <x:c r="G222" s="34" t="n">
        <x:v>92</x:v>
      </x:c>
      <x:c r="H222" s="34" t="str">
        <x:v>待验证</x:v>
      </x:c>
      <x:c r="I222" s="34" t="str"/>
      <x:c r="J222" s="34" t="str"/>
      <x:c r="K222" s="34" t="str"/>
      <x:c r="L222" s="34" t="str"/>
      <x:c r="M222" s="34" t="str"/>
      <x:c r="N222" s="34" t="n">
        <x:f>IF(A222="","",I222+J222+K222)</x:f>
        <x:v>0</x:v>
      </x:c>
      <x:c r="O222" s="56" t="str">
        <x:f>IF(N222=0,"",(I222+0.5*J222)/N222)</x:f>
      </x:c>
      <x:c r="P222" s="56" t="str">
        <x:f>IF(N222=0,"",(I222+0.5*J222+1)/(N222+2))</x:f>
      </x:c>
      <x:c r="Q222" s="34" t="str"/>
      <x:c r="R222" s="34" t="str"/>
      <x:c r="S222" s="34" t="str"/>
      <x:c r="T222" s="34" t="str"/>
      <x:c r="U222" s="34" t="str"/>
      <x:c r="V222" s="34" t="str">
        <x:f>IF(A222="","",IF(N222&lt;5,"样本不足",IF(Q222&gt;=1,"优先复核",IF(AND(N222&gt;=20,P222&lt;0.35,K222&gt;=5),"停用候选",IF(AND(N222&gt;=10,P222&lt;0.45),"需修改候选",IF(AND(N222&gt;=10,P222&gt;=0.75,R222/N222&lt;=0.15,S222/N222&lt;=0.15),"升级候选",IF(R222/N222&gt;0.3,"收紧条件",IF(S222/N222&gt;0.3,"补漏／放宽","继续观察"))))))))</x:f>
        <x:v>样本不足</x:v>
      </x:c>
      <x:c r="W222" s="34" t="str">
        <x:f>IF(V222="","",IF(V222="升级候选","已验证候选",IF(V222="停用候选","停用候选",IF(OR(V222="需修改候选",V222="收紧条件",V222="补漏／放宽",V222="优先复核"),"需修改／复核","观察中"))))</x:f>
        <x:v>观察中</x:v>
      </x:c>
      <x:c r="X222" s="34" t="str"/>
      <x:c r="Y222" s="34" t="str"/>
    </x:row>
    <x:row r="223">
      <x:c r="A223" s="34" t="str">
        <x:v>M5-SYNTH-255</x:v>
      </x:c>
      <x:c r="B223" s="34" t="str">
        <x:v>SYNTH</x:v>
      </x:c>
      <x:c r="C223" s="34" t="str">
        <x:v>P0_SYNTH总合成</x:v>
      </x:c>
      <x:c r="D223" s="34" t="str">
        <x:v>AF08适配总状态｜成立门槛</x:v>
      </x:c>
      <x:c r="E223" s="34" t="str">
        <x:v>L6 适配总状态与残余</x:v>
      </x:c>
      <x:c r="F223" s="34" t="str">
        <x:v>状态门控</x:v>
      </x:c>
      <x:c r="G223" s="34" t="n">
        <x:v>92</x:v>
      </x:c>
      <x:c r="H223" s="34" t="str">
        <x:v>待验证</x:v>
      </x:c>
      <x:c r="I223" s="34" t="str"/>
      <x:c r="J223" s="34" t="str"/>
      <x:c r="K223" s="34" t="str"/>
      <x:c r="L223" s="34" t="str"/>
      <x:c r="M223" s="34" t="str"/>
      <x:c r="N223" s="34" t="n">
        <x:f>IF(A223="","",I223+J223+K223)</x:f>
        <x:v>0</x:v>
      </x:c>
      <x:c r="O223" s="56" t="str">
        <x:f>IF(N223=0,"",(I223+0.5*J223)/N223)</x:f>
      </x:c>
      <x:c r="P223" s="56" t="str">
        <x:f>IF(N223=0,"",(I223+0.5*J223+1)/(N223+2))</x:f>
      </x:c>
      <x:c r="Q223" s="34" t="str"/>
      <x:c r="R223" s="34" t="str"/>
      <x:c r="S223" s="34" t="str"/>
      <x:c r="T223" s="34" t="str"/>
      <x:c r="U223" s="34" t="str"/>
      <x:c r="V223" s="34" t="str">
        <x:f>IF(A223="","",IF(N223&lt;5,"样本不足",IF(Q223&gt;=1,"优先复核",IF(AND(N223&gt;=20,P223&lt;0.35,K223&gt;=5),"停用候选",IF(AND(N223&gt;=10,P223&lt;0.45),"需修改候选",IF(AND(N223&gt;=10,P223&gt;=0.75,R223/N223&lt;=0.15,S223/N223&lt;=0.15),"升级候选",IF(R223/N223&gt;0.3,"收紧条件",IF(S223/N223&gt;0.3,"补漏／放宽","继续观察"))))))))</x:f>
        <x:v>样本不足</x:v>
      </x:c>
      <x:c r="W223" s="34" t="str">
        <x:f>IF(V223="","",IF(V223="升级候选","已验证候选",IF(V223="停用候选","停用候选",IF(OR(V223="需修改候选",V223="收紧条件",V223="补漏／放宽",V223="优先复核"),"需修改／复核","观察中"))))</x:f>
        <x:v>观察中</x:v>
      </x:c>
      <x:c r="X223" s="34" t="str"/>
      <x:c r="Y223" s="34" t="str"/>
    </x:row>
    <x:row r="224">
      <x:c r="A224" s="34" t="str">
        <x:v>M5-SYNTH-258</x:v>
      </x:c>
      <x:c r="B224" s="34" t="str">
        <x:v>SYNTH</x:v>
      </x:c>
      <x:c r="C224" s="34" t="str">
        <x:v>P0_SYNTH总合成</x:v>
      </x:c>
      <x:c r="D224" s="34" t="str">
        <x:v>AF09适配总状态｜成立门槛</x:v>
      </x:c>
      <x:c r="E224" s="34" t="str">
        <x:v>L6 适配总状态与残余</x:v>
      </x:c>
      <x:c r="F224" s="34" t="str">
        <x:v>状态门控</x:v>
      </x:c>
      <x:c r="G224" s="34" t="n">
        <x:v>92</x:v>
      </x:c>
      <x:c r="H224" s="34" t="str">
        <x:v>待验证</x:v>
      </x:c>
      <x:c r="I224" s="34" t="str"/>
      <x:c r="J224" s="34" t="str"/>
      <x:c r="K224" s="34" t="str"/>
      <x:c r="L224" s="34" t="str"/>
      <x:c r="M224" s="34" t="str"/>
      <x:c r="N224" s="34" t="n">
        <x:f>IF(A224="","",I224+J224+K224)</x:f>
        <x:v>0</x:v>
      </x:c>
      <x:c r="O224" s="56" t="str">
        <x:f>IF(N224=0,"",(I224+0.5*J224)/N224)</x:f>
      </x:c>
      <x:c r="P224" s="56" t="str">
        <x:f>IF(N224=0,"",(I224+0.5*J224+1)/(N224+2))</x:f>
      </x:c>
      <x:c r="Q224" s="34" t="str"/>
      <x:c r="R224" s="34" t="str"/>
      <x:c r="S224" s="34" t="str"/>
      <x:c r="T224" s="34" t="str"/>
      <x:c r="U224" s="34" t="str"/>
      <x:c r="V224" s="34" t="str">
        <x:f>IF(A224="","",IF(N224&lt;5,"样本不足",IF(Q224&gt;=1,"优先复核",IF(AND(N224&gt;=20,P224&lt;0.35,K224&gt;=5),"停用候选",IF(AND(N224&gt;=10,P224&lt;0.45),"需修改候选",IF(AND(N224&gt;=10,P224&gt;=0.75,R224/N224&lt;=0.15,S224/N224&lt;=0.15),"升级候选",IF(R224/N224&gt;0.3,"收紧条件",IF(S224/N224&gt;0.3,"补漏／放宽","继续观察"))))))))</x:f>
        <x:v>样本不足</x:v>
      </x:c>
      <x:c r="W224" s="34" t="str">
        <x:f>IF(V224="","",IF(V224="升级候选","已验证候选",IF(V224="停用候选","停用候选",IF(OR(V224="需修改候选",V224="收紧条件",V224="补漏／放宽",V224="优先复核"),"需修改／复核","观察中"))))</x:f>
        <x:v>观察中</x:v>
      </x:c>
      <x:c r="X224" s="34" t="str"/>
      <x:c r="Y224" s="34" t="str"/>
    </x:row>
    <x:row r="225">
      <x:c r="A225" s="34" t="str">
        <x:v>M5-SYNTH-260</x:v>
      </x:c>
      <x:c r="B225" s="34" t="str">
        <x:v>SYNTH</x:v>
      </x:c>
      <x:c r="C225" s="34" t="str">
        <x:v>P0_SYNTH总合成</x:v>
      </x:c>
      <x:c r="D225" s="34" t="str">
        <x:v>FB0桥接层级｜桥接停止／不适用</x:v>
      </x:c>
      <x:c r="E225" s="34" t="str">
        <x:v>L6 适配总状态与残余</x:v>
      </x:c>
      <x:c r="F225" s="34" t="str">
        <x:v>桥接状态</x:v>
      </x:c>
      <x:c r="G225" s="34" t="n">
        <x:v>92</x:v>
      </x:c>
      <x:c r="H225" s="34" t="str">
        <x:v>待验证</x:v>
      </x:c>
      <x:c r="I225" s="34" t="str"/>
      <x:c r="J225" s="34" t="str"/>
      <x:c r="K225" s="34" t="str"/>
      <x:c r="L225" s="34" t="str"/>
      <x:c r="M225" s="34" t="str"/>
      <x:c r="N225" s="34" t="n">
        <x:f>IF(A225="","",I225+J225+K225)</x:f>
        <x:v>0</x:v>
      </x:c>
      <x:c r="O225" s="56" t="str">
        <x:f>IF(N225=0,"",(I225+0.5*J225)/N225)</x:f>
      </x:c>
      <x:c r="P225" s="56" t="str">
        <x:f>IF(N225=0,"",(I225+0.5*J225+1)/(N225+2))</x:f>
      </x:c>
      <x:c r="Q225" s="34" t="str"/>
      <x:c r="R225" s="34" t="str"/>
      <x:c r="S225" s="34" t="str"/>
      <x:c r="T225" s="34" t="str"/>
      <x:c r="U225" s="34" t="str"/>
      <x:c r="V225" s="34" t="str">
        <x:f>IF(A225="","",IF(N225&lt;5,"样本不足",IF(Q225&gt;=1,"优先复核",IF(AND(N225&gt;=20,P225&lt;0.35,K225&gt;=5),"停用候选",IF(AND(N225&gt;=10,P225&lt;0.45),"需修改候选",IF(AND(N225&gt;=10,P225&gt;=0.75,R225/N225&lt;=0.15,S225/N225&lt;=0.15),"升级候选",IF(R225/N225&gt;0.3,"收紧条件",IF(S225/N225&gt;0.3,"补漏／放宽","继续观察"))))))))</x:f>
        <x:v>样本不足</x:v>
      </x:c>
      <x:c r="W225" s="34" t="str">
        <x:f>IF(V225="","",IF(V225="升级候选","已验证候选",IF(V225="停用候选","停用候选",IF(OR(V225="需修改候选",V225="收紧条件",V225="补漏／放宽",V225="优先复核"),"需修改／复核","观察中"))))</x:f>
        <x:v>观察中</x:v>
      </x:c>
      <x:c r="X225" s="34" t="str"/>
      <x:c r="Y225" s="34" t="str"/>
    </x:row>
    <x:row r="226">
      <x:c r="A226" s="34" t="str">
        <x:v>M5-SYNTH-261</x:v>
      </x:c>
      <x:c r="B226" s="34" t="str">
        <x:v>SYNTH</x:v>
      </x:c>
      <x:c r="C226" s="34" t="str">
        <x:v>P0_SYNTH总合成</x:v>
      </x:c>
      <x:c r="D226" s="34" t="str">
        <x:v>FB1桥接层级｜结构桥接计划</x:v>
      </x:c>
      <x:c r="E226" s="34" t="str">
        <x:v>L6 适配总状态与残余</x:v>
      </x:c>
      <x:c r="F226" s="34" t="str">
        <x:v>桥接状态</x:v>
      </x:c>
      <x:c r="G226" s="34" t="n">
        <x:v>92</x:v>
      </x:c>
      <x:c r="H226" s="34" t="str">
        <x:v>待验证</x:v>
      </x:c>
      <x:c r="I226" s="34" t="str"/>
      <x:c r="J226" s="34" t="str"/>
      <x:c r="K226" s="34" t="str"/>
      <x:c r="L226" s="34" t="str"/>
      <x:c r="M226" s="34" t="str"/>
      <x:c r="N226" s="34" t="n">
        <x:f>IF(A226="","",I226+J226+K226)</x:f>
        <x:v>0</x:v>
      </x:c>
      <x:c r="O226" s="56" t="str">
        <x:f>IF(N226=0,"",(I226+0.5*J226)/N226)</x:f>
      </x:c>
      <x:c r="P226" s="56" t="str">
        <x:f>IF(N226=0,"",(I226+0.5*J226+1)/(N226+2))</x:f>
      </x:c>
      <x:c r="Q226" s="34" t="str"/>
      <x:c r="R226" s="34" t="str"/>
      <x:c r="S226" s="34" t="str"/>
      <x:c r="T226" s="34" t="str"/>
      <x:c r="U226" s="34" t="str"/>
      <x:c r="V226" s="34" t="str">
        <x:f>IF(A226="","",IF(N226&lt;5,"样本不足",IF(Q226&gt;=1,"优先复核",IF(AND(N226&gt;=20,P226&lt;0.35,K226&gt;=5),"停用候选",IF(AND(N226&gt;=10,P226&lt;0.45),"需修改候选",IF(AND(N226&gt;=10,P226&gt;=0.75,R226/N226&lt;=0.15,S226/N226&lt;=0.15),"升级候选",IF(R226/N226&gt;0.3,"收紧条件",IF(S226/N226&gt;0.3,"补漏／放宽","继续观察"))))))))</x:f>
        <x:v>样本不足</x:v>
      </x:c>
      <x:c r="W226" s="34" t="str">
        <x:f>IF(V226="","",IF(V226="升级候选","已验证候选",IF(V226="停用候选","停用候选",IF(OR(V226="需修改候选",V226="收紧条件",V226="补漏／放宽",V226="优先复核"),"需修改／复核","观察中"))))</x:f>
        <x:v>观察中</x:v>
      </x:c>
      <x:c r="X226" s="34" t="str"/>
      <x:c r="Y226" s="34" t="str"/>
    </x:row>
    <x:row r="227">
      <x:c r="A227" s="34" t="str">
        <x:v>M5-SYNTH-262</x:v>
      </x:c>
      <x:c r="B227" s="34" t="str">
        <x:v>SYNTH</x:v>
      </x:c>
      <x:c r="C227" s="34" t="str">
        <x:v>P0_SYNTH总合成</x:v>
      </x:c>
      <x:c r="D227" s="34" t="str">
        <x:v>FB2桥接层级｜行为可观察</x:v>
      </x:c>
      <x:c r="E227" s="34" t="str">
        <x:v>L6 适配总状态与残余</x:v>
      </x:c>
      <x:c r="F227" s="34" t="str">
        <x:v>桥接状态</x:v>
      </x:c>
      <x:c r="G227" s="34" t="n">
        <x:v>92</x:v>
      </x:c>
      <x:c r="H227" s="34" t="str">
        <x:v>待验证</x:v>
      </x:c>
      <x:c r="I227" s="34" t="str"/>
      <x:c r="J227" s="34" t="str"/>
      <x:c r="K227" s="34" t="str"/>
      <x:c r="L227" s="34" t="str"/>
      <x:c r="M227" s="34" t="str"/>
      <x:c r="N227" s="34" t="n">
        <x:f>IF(A227="","",I227+J227+K227)</x:f>
        <x:v>0</x:v>
      </x:c>
      <x:c r="O227" s="56" t="str">
        <x:f>IF(N227=0,"",(I227+0.5*J227)/N227)</x:f>
      </x:c>
      <x:c r="P227" s="56" t="str">
        <x:f>IF(N227=0,"",(I227+0.5*J227+1)/(N227+2))</x:f>
      </x:c>
      <x:c r="Q227" s="34" t="str"/>
      <x:c r="R227" s="34" t="str"/>
      <x:c r="S227" s="34" t="str"/>
      <x:c r="T227" s="34" t="str"/>
      <x:c r="U227" s="34" t="str"/>
      <x:c r="V227" s="34" t="str">
        <x:f>IF(A227="","",IF(N227&lt;5,"样本不足",IF(Q227&gt;=1,"优先复核",IF(AND(N227&gt;=20,P227&lt;0.35,K227&gt;=5),"停用候选",IF(AND(N227&gt;=10,P227&lt;0.45),"需修改候选",IF(AND(N227&gt;=10,P227&gt;=0.75,R227/N227&lt;=0.15,S227/N227&lt;=0.15),"升级候选",IF(R227/N227&gt;0.3,"收紧条件",IF(S227/N227&gt;0.3,"补漏／放宽","继续观察"))))))))</x:f>
        <x:v>样本不足</x:v>
      </x:c>
      <x:c r="W227" s="34" t="str">
        <x:f>IF(V227="","",IF(V227="升级候选","已验证候选",IF(V227="停用候选","停用候选",IF(OR(V227="需修改候选",V227="收紧条件",V227="补漏／放宽",V227="优先复核"),"需修改／复核","观察中"))))</x:f>
        <x:v>观察中</x:v>
      </x:c>
      <x:c r="X227" s="34" t="str"/>
      <x:c r="Y227" s="34" t="str"/>
    </x:row>
    <x:row r="228">
      <x:c r="A228" s="34" t="str">
        <x:v>M5-SYNTH-263</x:v>
      </x:c>
      <x:c r="B228" s="34" t="str">
        <x:v>SYNTH</x:v>
      </x:c>
      <x:c r="C228" s="34" t="str">
        <x:v>P0_SYNTH总合成</x:v>
      </x:c>
      <x:c r="D228" s="34" t="str">
        <x:v>FB3桥接层级｜单次桥接有效</x:v>
      </x:c>
      <x:c r="E228" s="34" t="str">
        <x:v>L6 适配总状态与残余</x:v>
      </x:c>
      <x:c r="F228" s="34" t="str">
        <x:v>桥接状态</x:v>
      </x:c>
      <x:c r="G228" s="34" t="n">
        <x:v>92</x:v>
      </x:c>
      <x:c r="H228" s="34" t="str">
        <x:v>待验证</x:v>
      </x:c>
      <x:c r="I228" s="34" t="str"/>
      <x:c r="J228" s="34" t="str"/>
      <x:c r="K228" s="34" t="str"/>
      <x:c r="L228" s="34" t="str"/>
      <x:c r="M228" s="34" t="str"/>
      <x:c r="N228" s="34" t="n">
        <x:f>IF(A228="","",I228+J228+K228)</x:f>
        <x:v>0</x:v>
      </x:c>
      <x:c r="O228" s="56" t="str">
        <x:f>IF(N228=0,"",(I228+0.5*J228)/N228)</x:f>
      </x:c>
      <x:c r="P228" s="56" t="str">
        <x:f>IF(N228=0,"",(I228+0.5*J228+1)/(N228+2))</x:f>
      </x:c>
      <x:c r="Q228" s="34" t="str"/>
      <x:c r="R228" s="34" t="str"/>
      <x:c r="S228" s="34" t="str"/>
      <x:c r="T228" s="34" t="str"/>
      <x:c r="U228" s="34" t="str"/>
      <x:c r="V228" s="34" t="str">
        <x:f>IF(A228="","",IF(N228&lt;5,"样本不足",IF(Q228&gt;=1,"优先复核",IF(AND(N228&gt;=20,P228&lt;0.35,K228&gt;=5),"停用候选",IF(AND(N228&gt;=10,P228&lt;0.45),"需修改候选",IF(AND(N228&gt;=10,P228&gt;=0.75,R228/N228&lt;=0.15,S228/N228&lt;=0.15),"升级候选",IF(R228/N228&gt;0.3,"收紧条件",IF(S228/N228&gt;0.3,"补漏／放宽","继续观察"))))))))</x:f>
        <x:v>样本不足</x:v>
      </x:c>
      <x:c r="W228" s="34" t="str">
        <x:f>IF(V228="","",IF(V228="升级候选","已验证候选",IF(V228="停用候选","停用候选",IF(OR(V228="需修改候选",V228="收紧条件",V228="补漏／放宽",V228="优先复核"),"需修改／复核","观察中"))))</x:f>
        <x:v>观察中</x:v>
      </x:c>
      <x:c r="X228" s="34" t="str"/>
      <x:c r="Y228" s="34" t="str"/>
    </x:row>
    <x:row r="229">
      <x:c r="A229" s="34" t="str">
        <x:v>M5-SYNTH-264</x:v>
      </x:c>
      <x:c r="B229" s="34" t="str">
        <x:v>SYNTH</x:v>
      </x:c>
      <x:c r="C229" s="34" t="str">
        <x:v>P0_SYNTH总合成</x:v>
      </x:c>
      <x:c r="D229" s="34" t="str">
        <x:v>FB4桥接层级｜跨场景重复有效</x:v>
      </x:c>
      <x:c r="E229" s="34" t="str">
        <x:v>L6 适配总状态与残余</x:v>
      </x:c>
      <x:c r="F229" s="34" t="str">
        <x:v>桥接状态</x:v>
      </x:c>
      <x:c r="G229" s="34" t="n">
        <x:v>92</x:v>
      </x:c>
      <x:c r="H229" s="34" t="str">
        <x:v>待验证</x:v>
      </x:c>
      <x:c r="I229" s="34" t="str"/>
      <x:c r="J229" s="34" t="str"/>
      <x:c r="K229" s="34" t="str"/>
      <x:c r="L229" s="34" t="str"/>
      <x:c r="M229" s="34" t="str"/>
      <x:c r="N229" s="34" t="n">
        <x:f>IF(A229="","",I229+J229+K229)</x:f>
        <x:v>0</x:v>
      </x:c>
      <x:c r="O229" s="56" t="str">
        <x:f>IF(N229=0,"",(I229+0.5*J229)/N229)</x:f>
      </x:c>
      <x:c r="P229" s="56" t="str">
        <x:f>IF(N229=0,"",(I229+0.5*J229+1)/(N229+2))</x:f>
      </x:c>
      <x:c r="Q229" s="34" t="str"/>
      <x:c r="R229" s="34" t="str"/>
      <x:c r="S229" s="34" t="str"/>
      <x:c r="T229" s="34" t="str"/>
      <x:c r="U229" s="34" t="str"/>
      <x:c r="V229" s="34" t="str">
        <x:f>IF(A229="","",IF(N229&lt;5,"样本不足",IF(Q229&gt;=1,"优先复核",IF(AND(N229&gt;=20,P229&lt;0.35,K229&gt;=5),"停用候选",IF(AND(N229&gt;=10,P229&lt;0.45),"需修改候选",IF(AND(N229&gt;=10,P229&gt;=0.75,R229/N229&lt;=0.15,S229/N229&lt;=0.15),"升级候选",IF(R229/N229&gt;0.3,"收紧条件",IF(S229/N229&gt;0.3,"补漏／放宽","继续观察"))))))))</x:f>
        <x:v>样本不足</x:v>
      </x:c>
      <x:c r="W229" s="34" t="str">
        <x:f>IF(V229="","",IF(V229="升级候选","已验证候选",IF(V229="停用候选","停用候选",IF(OR(V229="需修改候选",V229="收紧条件",V229="补漏／放宽",V229="优先复核"),"需修改／复核","观察中"))))</x:f>
        <x:v>观察中</x:v>
      </x:c>
      <x:c r="X229" s="34" t="str"/>
      <x:c r="Y229" s="34" t="str"/>
    </x:row>
    <x:row r="230">
      <x:c r="A230" s="34" t="str">
        <x:v>M5-SYNTH-265</x:v>
      </x:c>
      <x:c r="B230" s="34" t="str">
        <x:v>SYNTH</x:v>
      </x:c>
      <x:c r="C230" s="34" t="str">
        <x:v>P0_SYNTH总合成</x:v>
      </x:c>
      <x:c r="D230" s="34" t="str">
        <x:v>FB5桥接层级｜压力／转折检验后稳定</x:v>
      </x:c>
      <x:c r="E230" s="34" t="str">
        <x:v>L6 适配总状态与残余</x:v>
      </x:c>
      <x:c r="F230" s="34" t="str">
        <x:v>桥接状态</x:v>
      </x:c>
      <x:c r="G230" s="34" t="n">
        <x:v>92</x:v>
      </x:c>
      <x:c r="H230" s="34" t="str">
        <x:v>待验证</x:v>
      </x:c>
      <x:c r="I230" s="34" t="str"/>
      <x:c r="J230" s="34" t="str"/>
      <x:c r="K230" s="34" t="str"/>
      <x:c r="L230" s="34" t="str"/>
      <x:c r="M230" s="34" t="str"/>
      <x:c r="N230" s="34" t="n">
        <x:f>IF(A230="","",I230+J230+K230)</x:f>
        <x:v>0</x:v>
      </x:c>
      <x:c r="O230" s="56" t="str">
        <x:f>IF(N230=0,"",(I230+0.5*J230)/N230)</x:f>
      </x:c>
      <x:c r="P230" s="56" t="str">
        <x:f>IF(N230=0,"",(I230+0.5*J230+1)/(N230+2))</x:f>
      </x:c>
      <x:c r="Q230" s="34" t="str"/>
      <x:c r="R230" s="34" t="str"/>
      <x:c r="S230" s="34" t="str"/>
      <x:c r="T230" s="34" t="str"/>
      <x:c r="U230" s="34" t="str"/>
      <x:c r="V230" s="34" t="str">
        <x:f>IF(A230="","",IF(N230&lt;5,"样本不足",IF(Q230&gt;=1,"优先复核",IF(AND(N230&gt;=20,P230&lt;0.35,K230&gt;=5),"停用候选",IF(AND(N230&gt;=10,P230&lt;0.45),"需修改候选",IF(AND(N230&gt;=10,P230&gt;=0.75,R230/N230&lt;=0.15,S230/N230&lt;=0.15),"升级候选",IF(R230/N230&gt;0.3,"收紧条件",IF(S230/N230&gt;0.3,"补漏／放宽","继续观察"))))))))</x:f>
        <x:v>样本不足</x:v>
      </x:c>
      <x:c r="W230" s="34" t="str">
        <x:f>IF(V230="","",IF(V230="升级候选","已验证候选",IF(V230="停用候选","停用候选",IF(OR(V230="需修改候选",V230="收紧条件",V230="补漏／放宽",V230="优先复核"),"需修改／复核","观察中"))))</x:f>
        <x:v>观察中</x:v>
      </x:c>
      <x:c r="X230" s="34" t="str"/>
      <x:c r="Y230" s="34" t="str"/>
    </x:row>
    <x:row r="231">
      <x:c r="A231" s="34" t="str">
        <x:v>M5-SYNTH-266</x:v>
      </x:c>
      <x:c r="B231" s="34" t="str">
        <x:v>SYNTH</x:v>
      </x:c>
      <x:c r="C231" s="34" t="str">
        <x:v>P0_SYNTH总合成</x:v>
      </x:c>
      <x:c r="D231" s="34" t="str">
        <x:v>残余风险｜无具体对象</x:v>
      </x:c>
      <x:c r="E231" s="34" t="str">
        <x:v>L6 适配总状态与残余</x:v>
      </x:c>
      <x:c r="F231" s="34" t="str">
        <x:v>残余</x:v>
      </x:c>
      <x:c r="G231" s="34" t="n">
        <x:v>92</x:v>
      </x:c>
      <x:c r="H231" s="34" t="str">
        <x:v>待验证</x:v>
      </x:c>
      <x:c r="I231" s="34" t="str"/>
      <x:c r="J231" s="34" t="str"/>
      <x:c r="K231" s="34" t="str"/>
      <x:c r="L231" s="34" t="str"/>
      <x:c r="M231" s="34" t="str"/>
      <x:c r="N231" s="34" t="n">
        <x:f>IF(A231="","",I231+J231+K231)</x:f>
        <x:v>0</x:v>
      </x:c>
      <x:c r="O231" s="56" t="str">
        <x:f>IF(N231=0,"",(I231+0.5*J231)/N231)</x:f>
      </x:c>
      <x:c r="P231" s="56" t="str">
        <x:f>IF(N231=0,"",(I231+0.5*J231+1)/(N231+2))</x:f>
      </x:c>
      <x:c r="Q231" s="34" t="str"/>
      <x:c r="R231" s="34" t="str"/>
      <x:c r="S231" s="34" t="str"/>
      <x:c r="T231" s="34" t="str"/>
      <x:c r="U231" s="34" t="str"/>
      <x:c r="V231" s="34" t="str">
        <x:f>IF(A231="","",IF(N231&lt;5,"样本不足",IF(Q231&gt;=1,"优先复核",IF(AND(N231&gt;=20,P231&lt;0.35,K231&gt;=5),"停用候选",IF(AND(N231&gt;=10,P231&lt;0.45),"需修改候选",IF(AND(N231&gt;=10,P231&gt;=0.75,R231/N231&lt;=0.15,S231/N231&lt;=0.15),"升级候选",IF(R231/N231&gt;0.3,"收紧条件",IF(S231/N231&gt;0.3,"补漏／放宽","继续观察"))))))))</x:f>
        <x:v>样本不足</x:v>
      </x:c>
      <x:c r="W231" s="34" t="str">
        <x:f>IF(V231="","",IF(V231="升级候选","已验证候选",IF(V231="停用候选","停用候选",IF(OR(V231="需修改候选",V231="收紧条件",V231="补漏／放宽",V231="优先复核"),"需修改／复核","观察中"))))</x:f>
        <x:v>观察中</x:v>
      </x:c>
      <x:c r="X231" s="34" t="str"/>
      <x:c r="Y231" s="34" t="str"/>
    </x:row>
    <x:row r="232">
      <x:c r="A232" s="34" t="str">
        <x:v>M5-SYNTH-267</x:v>
      </x:c>
      <x:c r="B232" s="34" t="str">
        <x:v>SYNTH</x:v>
      </x:c>
      <x:c r="C232" s="34" t="str">
        <x:v>P0_SYNTH总合成</x:v>
      </x:c>
      <x:c r="D232" s="34" t="str">
        <x:v>残余风险｜伴侣能力未验证</x:v>
      </x:c>
      <x:c r="E232" s="34" t="str">
        <x:v>L6 适配总状态与残余</x:v>
      </x:c>
      <x:c r="F232" s="34" t="str">
        <x:v>残余</x:v>
      </x:c>
      <x:c r="G232" s="34" t="n">
        <x:v>92</x:v>
      </x:c>
      <x:c r="H232" s="34" t="str">
        <x:v>待验证</x:v>
      </x:c>
      <x:c r="I232" s="34" t="str"/>
      <x:c r="J232" s="34" t="str"/>
      <x:c r="K232" s="34" t="str"/>
      <x:c r="L232" s="34" t="str"/>
      <x:c r="M232" s="34" t="str"/>
      <x:c r="N232" s="34" t="n">
        <x:f>IF(A232="","",I232+J232+K232)</x:f>
        <x:v>0</x:v>
      </x:c>
      <x:c r="O232" s="56" t="str">
        <x:f>IF(N232=0,"",(I232+0.5*J232)/N232)</x:f>
      </x:c>
      <x:c r="P232" s="56" t="str">
        <x:f>IF(N232=0,"",(I232+0.5*J232+1)/(N232+2))</x:f>
      </x:c>
      <x:c r="Q232" s="34" t="str"/>
      <x:c r="R232" s="34" t="str"/>
      <x:c r="S232" s="34" t="str"/>
      <x:c r="T232" s="34" t="str"/>
      <x:c r="U232" s="34" t="str"/>
      <x:c r="V232" s="34" t="str">
        <x:f>IF(A232="","",IF(N232&lt;5,"样本不足",IF(Q232&gt;=1,"优先复核",IF(AND(N232&gt;=20,P232&lt;0.35,K232&gt;=5),"停用候选",IF(AND(N232&gt;=10,P232&lt;0.45),"需修改候选",IF(AND(N232&gt;=10,P232&gt;=0.75,R232/N232&lt;=0.15,S232/N232&lt;=0.15),"升级候选",IF(R232/N232&gt;0.3,"收紧条件",IF(S232/N232&gt;0.3,"补漏／放宽","继续观察"))))))))</x:f>
        <x:v>样本不足</x:v>
      </x:c>
      <x:c r="W232" s="34" t="str">
        <x:f>IF(V232="","",IF(V232="升级候选","已验证候选",IF(V232="停用候选","停用候选",IF(OR(V232="需修改候选",V232="收紧条件",V232="补漏／放宽",V232="优先复核"),"需修改／复核","观察中"))))</x:f>
        <x:v>观察中</x:v>
      </x:c>
      <x:c r="X232" s="34" t="str"/>
      <x:c r="Y232" s="34" t="str"/>
    </x:row>
    <x:row r="233">
      <x:c r="A233" s="34" t="str">
        <x:v>M5-SYNTH-268</x:v>
      </x:c>
      <x:c r="B233" s="34" t="str">
        <x:v>SYNTH</x:v>
      </x:c>
      <x:c r="C233" s="34" t="str">
        <x:v>P0_SYNTH总合成</x:v>
      </x:c>
      <x:c r="D233" s="34" t="str">
        <x:v>残余风险｜交换未闭合</x:v>
      </x:c>
      <x:c r="E233" s="34" t="str">
        <x:v>L6 适配总状态与残余</x:v>
      </x:c>
      <x:c r="F233" s="34" t="str">
        <x:v>残余</x:v>
      </x:c>
      <x:c r="G233" s="34" t="n">
        <x:v>92</x:v>
      </x:c>
      <x:c r="H233" s="34" t="str">
        <x:v>待验证</x:v>
      </x:c>
      <x:c r="I233" s="34" t="str"/>
      <x:c r="J233" s="34" t="str"/>
      <x:c r="K233" s="34" t="str"/>
      <x:c r="L233" s="34" t="str"/>
      <x:c r="M233" s="34" t="str"/>
      <x:c r="N233" s="34" t="n">
        <x:f>IF(A233="","",I233+J233+K233)</x:f>
        <x:v>0</x:v>
      </x:c>
      <x:c r="O233" s="56" t="str">
        <x:f>IF(N233=0,"",(I233+0.5*J233)/N233)</x:f>
      </x:c>
      <x:c r="P233" s="56" t="str">
        <x:f>IF(N233=0,"",(I233+0.5*J233+1)/(N233+2))</x:f>
      </x:c>
      <x:c r="Q233" s="34" t="str"/>
      <x:c r="R233" s="34" t="str"/>
      <x:c r="S233" s="34" t="str"/>
      <x:c r="T233" s="34" t="str"/>
      <x:c r="U233" s="34" t="str"/>
      <x:c r="V233" s="34" t="str">
        <x:f>IF(A233="","",IF(N233&lt;5,"样本不足",IF(Q233&gt;=1,"优先复核",IF(AND(N233&gt;=20,P233&lt;0.35,K233&gt;=5),"停用候选",IF(AND(N233&gt;=10,P233&lt;0.45),"需修改候选",IF(AND(N233&gt;=10,P233&gt;=0.75,R233/N233&lt;=0.15,S233/N233&lt;=0.15),"升级候选",IF(R233/N233&gt;0.3,"收紧条件",IF(S233/N233&gt;0.3,"补漏／放宽","继续观察"))))))))</x:f>
        <x:v>样本不足</x:v>
      </x:c>
      <x:c r="W233" s="34" t="str">
        <x:f>IF(V233="","",IF(V233="升级候选","已验证候选",IF(V233="停用候选","停用候选",IF(OR(V233="需修改候选",V233="收紧条件",V233="补漏／放宽",V233="优先复核"),"需修改／复核","观察中"))))</x:f>
        <x:v>观察中</x:v>
      </x:c>
      <x:c r="X233" s="34" t="str"/>
      <x:c r="Y233" s="34" t="str"/>
    </x:row>
    <x:row r="234">
      <x:c r="A234" s="34" t="str">
        <x:v>M5-SYNTH-269</x:v>
      </x:c>
      <x:c r="B234" s="34" t="str">
        <x:v>SYNTH</x:v>
      </x:c>
      <x:c r="C234" s="34" t="str">
        <x:v>P0_SYNTH总合成</x:v>
      </x:c>
      <x:c r="D234" s="34" t="str">
        <x:v>残余风险｜边界未闭合</x:v>
      </x:c>
      <x:c r="E234" s="34" t="str">
        <x:v>L6 适配总状态与残余</x:v>
      </x:c>
      <x:c r="F234" s="34" t="str">
        <x:v>残余</x:v>
      </x:c>
      <x:c r="G234" s="34" t="n">
        <x:v>92</x:v>
      </x:c>
      <x:c r="H234" s="34" t="str">
        <x:v>待验证</x:v>
      </x:c>
      <x:c r="I234" s="34" t="str"/>
      <x:c r="J234" s="34" t="str"/>
      <x:c r="K234" s="34" t="str"/>
      <x:c r="L234" s="34" t="str"/>
      <x:c r="M234" s="34" t="str"/>
      <x:c r="N234" s="34" t="n">
        <x:f>IF(A234="","",I234+J234+K234)</x:f>
        <x:v>0</x:v>
      </x:c>
      <x:c r="O234" s="56" t="str">
        <x:f>IF(N234=0,"",(I234+0.5*J234)/N234)</x:f>
      </x:c>
      <x:c r="P234" s="56" t="str">
        <x:f>IF(N234=0,"",(I234+0.5*J234+1)/(N234+2))</x:f>
      </x:c>
      <x:c r="Q234" s="34" t="str"/>
      <x:c r="R234" s="34" t="str"/>
      <x:c r="S234" s="34" t="str"/>
      <x:c r="T234" s="34" t="str"/>
      <x:c r="U234" s="34" t="str"/>
      <x:c r="V234" s="34" t="str">
        <x:f>IF(A234="","",IF(N234&lt;5,"样本不足",IF(Q234&gt;=1,"优先复核",IF(AND(N234&gt;=20,P234&lt;0.35,K234&gt;=5),"停用候选",IF(AND(N234&gt;=10,P234&lt;0.45),"需修改候选",IF(AND(N234&gt;=10,P234&gt;=0.75,R234/N234&lt;=0.15,S234/N234&lt;=0.15),"升级候选",IF(R234/N234&gt;0.3,"收紧条件",IF(S234/N234&gt;0.3,"补漏／放宽","继续观察"))))))))</x:f>
        <x:v>样本不足</x:v>
      </x:c>
      <x:c r="W234" s="34" t="str">
        <x:f>IF(V234="","",IF(V234="升级候选","已验证候选",IF(V234="停用候选","停用候选",IF(OR(V234="需修改候选",V234="收紧条件",V234="补漏／放宽",V234="优先复核"),"需修改／复核","观察中"))))</x:f>
        <x:v>观察中</x:v>
      </x:c>
      <x:c r="X234" s="34" t="str"/>
      <x:c r="Y234" s="34" t="str"/>
    </x:row>
    <x:row r="235">
      <x:c r="A235" s="34" t="str">
        <x:v>M5-SYNTH-270</x:v>
      </x:c>
      <x:c r="B235" s="34" t="str">
        <x:v>SYNTH</x:v>
      </x:c>
      <x:c r="C235" s="34" t="str">
        <x:v>P0_SYNTH总合成</x:v>
      </x:c>
      <x:c r="D235" s="34" t="str">
        <x:v>残余风险｜修复未闭合</x:v>
      </x:c>
      <x:c r="E235" s="34" t="str">
        <x:v>L6 适配总状态与残余</x:v>
      </x:c>
      <x:c r="F235" s="34" t="str">
        <x:v>残余</x:v>
      </x:c>
      <x:c r="G235" s="34" t="n">
        <x:v>92</x:v>
      </x:c>
      <x:c r="H235" s="34" t="str">
        <x:v>待验证</x:v>
      </x:c>
      <x:c r="I235" s="34" t="str"/>
      <x:c r="J235" s="34" t="str"/>
      <x:c r="K235" s="34" t="str"/>
      <x:c r="L235" s="34" t="str"/>
      <x:c r="M235" s="34" t="str"/>
      <x:c r="N235" s="34" t="n">
        <x:f>IF(A235="","",I235+J235+K235)</x:f>
        <x:v>0</x:v>
      </x:c>
      <x:c r="O235" s="56" t="str">
        <x:f>IF(N235=0,"",(I235+0.5*J235)/N235)</x:f>
      </x:c>
      <x:c r="P235" s="56" t="str">
        <x:f>IF(N235=0,"",(I235+0.5*J235+1)/(N235+2))</x:f>
      </x:c>
      <x:c r="Q235" s="34" t="str"/>
      <x:c r="R235" s="34" t="str"/>
      <x:c r="S235" s="34" t="str"/>
      <x:c r="T235" s="34" t="str"/>
      <x:c r="U235" s="34" t="str"/>
      <x:c r="V235" s="34" t="str">
        <x:f>IF(A235="","",IF(N235&lt;5,"样本不足",IF(Q235&gt;=1,"优先复核",IF(AND(N235&gt;=20,P235&lt;0.35,K235&gt;=5),"停用候选",IF(AND(N235&gt;=10,P235&lt;0.45),"需修改候选",IF(AND(N235&gt;=10,P235&gt;=0.75,R235/N235&lt;=0.15,S235/N235&lt;=0.15),"升级候选",IF(R235/N235&gt;0.3,"收紧条件",IF(S235/N235&gt;0.3,"补漏／放宽","继续观察"))))))))</x:f>
        <x:v>样本不足</x:v>
      </x:c>
      <x:c r="W235" s="34" t="str">
        <x:f>IF(V235="","",IF(V235="升级候选","已验证候选",IF(V235="停用候选","停用候选",IF(OR(V235="需修改候选",V235="收紧条件",V235="补漏／放宽",V235="优先复核"),"需修改／复核","观察中"))))</x:f>
        <x:v>观察中</x:v>
      </x:c>
      <x:c r="X235" s="34" t="str"/>
      <x:c r="Y235" s="34" t="str"/>
    </x:row>
    <x:row r="236">
      <x:c r="A236" s="34" t="str">
        <x:v>M5-SYNTH-271</x:v>
      </x:c>
      <x:c r="B236" s="34" t="str">
        <x:v>SYNTH</x:v>
      </x:c>
      <x:c r="C236" s="34" t="str">
        <x:v>P0_SYNTH总合成</x:v>
      </x:c>
      <x:c r="D236" s="34" t="str">
        <x:v>残余风险｜节奏未闭合</x:v>
      </x:c>
      <x:c r="E236" s="34" t="str">
        <x:v>L6 适配总状态与残余</x:v>
      </x:c>
      <x:c r="F236" s="34" t="str">
        <x:v>残余</x:v>
      </x:c>
      <x:c r="G236" s="34" t="n">
        <x:v>92</x:v>
      </x:c>
      <x:c r="H236" s="34" t="str">
        <x:v>待验证</x:v>
      </x:c>
      <x:c r="I236" s="34" t="str"/>
      <x:c r="J236" s="34" t="str"/>
      <x:c r="K236" s="34" t="str"/>
      <x:c r="L236" s="34" t="str"/>
      <x:c r="M236" s="34" t="str"/>
      <x:c r="N236" s="34" t="n">
        <x:f>IF(A236="","",I236+J236+K236)</x:f>
        <x:v>0</x:v>
      </x:c>
      <x:c r="O236" s="56" t="str">
        <x:f>IF(N236=0,"",(I236+0.5*J236)/N236)</x:f>
      </x:c>
      <x:c r="P236" s="56" t="str">
        <x:f>IF(N236=0,"",(I236+0.5*J236+1)/(N236+2))</x:f>
      </x:c>
      <x:c r="Q236" s="34" t="str"/>
      <x:c r="R236" s="34" t="str"/>
      <x:c r="S236" s="34" t="str"/>
      <x:c r="T236" s="34" t="str"/>
      <x:c r="U236" s="34" t="str"/>
      <x:c r="V236" s="34" t="str">
        <x:f>IF(A236="","",IF(N236&lt;5,"样本不足",IF(Q236&gt;=1,"优先复核",IF(AND(N236&gt;=20,P236&lt;0.35,K236&gt;=5),"停用候选",IF(AND(N236&gt;=10,P236&lt;0.45),"需修改候选",IF(AND(N236&gt;=10,P236&gt;=0.75,R236/N236&lt;=0.15,S236/N236&lt;=0.15),"升级候选",IF(R236/N236&gt;0.3,"收紧条件",IF(S236/N236&gt;0.3,"补漏／放宽","继续观察"))))))))</x:f>
        <x:v>样本不足</x:v>
      </x:c>
      <x:c r="W236" s="34" t="str">
        <x:f>IF(V236="","",IF(V236="升级候选","已验证候选",IF(V236="停用候选","停用候选",IF(OR(V236="需修改候选",V236="收紧条件",V236="补漏／放宽",V236="优先复核"),"需修改／复核","观察中"))))</x:f>
        <x:v>观察中</x:v>
      </x:c>
      <x:c r="X236" s="34" t="str"/>
      <x:c r="Y236" s="34" t="str"/>
    </x:row>
    <x:row r="237">
      <x:c r="A237" s="34" t="str">
        <x:v>M5-SYNTH-272</x:v>
      </x:c>
      <x:c r="B237" s="34" t="str">
        <x:v>SYNTH</x:v>
      </x:c>
      <x:c r="C237" s="34" t="str">
        <x:v>P0_SYNTH总合成</x:v>
      </x:c>
      <x:c r="D237" s="34" t="str">
        <x:v>残余风险｜核心现实门槛开放</x:v>
      </x:c>
      <x:c r="E237" s="34" t="str">
        <x:v>L6 适配总状态与残余</x:v>
      </x:c>
      <x:c r="F237" s="34" t="str">
        <x:v>残余</x:v>
      </x:c>
      <x:c r="G237" s="34" t="n">
        <x:v>92</x:v>
      </x:c>
      <x:c r="H237" s="34" t="str">
        <x:v>待验证</x:v>
      </x:c>
      <x:c r="I237" s="34" t="str"/>
      <x:c r="J237" s="34" t="str"/>
      <x:c r="K237" s="34" t="str"/>
      <x:c r="L237" s="34" t="str"/>
      <x:c r="M237" s="34" t="str"/>
      <x:c r="N237" s="34" t="n">
        <x:f>IF(A237="","",I237+J237+K237)</x:f>
        <x:v>0</x:v>
      </x:c>
      <x:c r="O237" s="56" t="str">
        <x:f>IF(N237=0,"",(I237+0.5*J237)/N237)</x:f>
      </x:c>
      <x:c r="P237" s="56" t="str">
        <x:f>IF(N237=0,"",(I237+0.5*J237+1)/(N237+2))</x:f>
      </x:c>
      <x:c r="Q237" s="34" t="str"/>
      <x:c r="R237" s="34" t="str"/>
      <x:c r="S237" s="34" t="str"/>
      <x:c r="T237" s="34" t="str"/>
      <x:c r="U237" s="34" t="str"/>
      <x:c r="V237" s="34" t="str">
        <x:f>IF(A237="","",IF(N237&lt;5,"样本不足",IF(Q237&gt;=1,"优先复核",IF(AND(N237&gt;=20,P237&lt;0.35,K237&gt;=5),"停用候选",IF(AND(N237&gt;=10,P237&lt;0.45),"需修改候选",IF(AND(N237&gt;=10,P237&gt;=0.75,R237/N237&lt;=0.15,S237/N237&lt;=0.15),"升级候选",IF(R237/N237&gt;0.3,"收紧条件",IF(S237/N237&gt;0.3,"补漏／放宽","继续观察"))))))))</x:f>
        <x:v>样本不足</x:v>
      </x:c>
      <x:c r="W237" s="34" t="str">
        <x:f>IF(V237="","",IF(V237="升级候选","已验证候选",IF(V237="停用候选","停用候选",IF(OR(V237="需修改候选",V237="收紧条件",V237="补漏／放宽",V237="优先复核"),"需修改／复核","观察中"))))</x:f>
        <x:v>观察中</x:v>
      </x:c>
      <x:c r="X237" s="34" t="str"/>
      <x:c r="Y237" s="34" t="str"/>
    </x:row>
    <x:row r="238">
      <x:c r="A238" s="34" t="str">
        <x:v>M5-SYNTH-194</x:v>
      </x:c>
      <x:c r="B238" s="34" t="str">
        <x:v>SYNTH</x:v>
      </x:c>
      <x:c r="C238" s="34" t="str">
        <x:v>P0_SYNTH总合成</x:v>
      </x:c>
      <x:c r="D238" s="34" t="str">
        <x:v>主适配排序｜先PR1后PR2</x:v>
      </x:c>
      <x:c r="E238" s="34" t="str">
        <x:v>L5 冲突裁决与主次排序</x:v>
      </x:c>
      <x:c r="F238" s="34" t="str">
        <x:v>裁决</x:v>
      </x:c>
      <x:c r="G238" s="34" t="n">
        <x:v>90</x:v>
      </x:c>
      <x:c r="H238" s="34" t="str">
        <x:v>待验证</x:v>
      </x:c>
      <x:c r="I238" s="34" t="str"/>
      <x:c r="J238" s="34" t="str"/>
      <x:c r="K238" s="34" t="str"/>
      <x:c r="L238" s="34" t="str"/>
      <x:c r="M238" s="34" t="str"/>
      <x:c r="N238" s="34" t="n">
        <x:f>IF(A238="","",I238+J238+K238)</x:f>
        <x:v>0</x:v>
      </x:c>
      <x:c r="O238" s="56" t="str">
        <x:f>IF(N238=0,"",(I238+0.5*J238)/N238)</x:f>
      </x:c>
      <x:c r="P238" s="56" t="str">
        <x:f>IF(N238=0,"",(I238+0.5*J238+1)/(N238+2))</x:f>
      </x:c>
      <x:c r="Q238" s="34" t="str"/>
      <x:c r="R238" s="34" t="str"/>
      <x:c r="S238" s="34" t="str"/>
      <x:c r="T238" s="34" t="str"/>
      <x:c r="U238" s="34" t="str"/>
      <x:c r="V238" s="34" t="str">
        <x:f>IF(A238="","",IF(N238&lt;5,"样本不足",IF(Q238&gt;=1,"优先复核",IF(AND(N238&gt;=20,P238&lt;0.35,K238&gt;=5),"停用候选",IF(AND(N238&gt;=10,P238&lt;0.45),"需修改候选",IF(AND(N238&gt;=10,P238&gt;=0.75,R238/N238&lt;=0.15,S238/N238&lt;=0.15),"升级候选",IF(R238/N238&gt;0.3,"收紧条件",IF(S238/N238&gt;0.3,"补漏／放宽","继续观察"))))))))</x:f>
        <x:v>样本不足</x:v>
      </x:c>
      <x:c r="W238" s="34" t="str">
        <x:f>IF(V238="","",IF(V238="升级候选","已验证候选",IF(V238="停用候选","停用候选",IF(OR(V238="需修改候选",V238="收紧条件",V238="补漏／放宽",V238="优先复核"),"需修改／复核","观察中"))))</x:f>
        <x:v>观察中</x:v>
      </x:c>
      <x:c r="X238" s="34" t="str"/>
      <x:c r="Y238" s="34" t="str"/>
    </x:row>
    <x:row r="239">
      <x:c r="A239" s="34" t="str">
        <x:v>M5-SYNTH-195</x:v>
      </x:c>
      <x:c r="B239" s="34" t="str">
        <x:v>SYNTH</x:v>
      </x:c>
      <x:c r="C239" s="34" t="str">
        <x:v>P0_SYNTH总合成</x:v>
      </x:c>
      <x:c r="D239" s="34" t="str">
        <x:v>主适配排序｜同等级现实证据优先</x:v>
      </x:c>
      <x:c r="E239" s="34" t="str">
        <x:v>L5 冲突裁决与主次排序</x:v>
      </x:c>
      <x:c r="F239" s="34" t="str">
        <x:v>裁决</x:v>
      </x:c>
      <x:c r="G239" s="34" t="n">
        <x:v>90</x:v>
      </x:c>
      <x:c r="H239" s="34" t="str">
        <x:v>待验证</x:v>
      </x:c>
      <x:c r="I239" s="34" t="str"/>
      <x:c r="J239" s="34" t="str"/>
      <x:c r="K239" s="34" t="str"/>
      <x:c r="L239" s="34" t="str"/>
      <x:c r="M239" s="34" t="str"/>
      <x:c r="N239" s="34" t="n">
        <x:f>IF(A239="","",I239+J239+K239)</x:f>
        <x:v>0</x:v>
      </x:c>
      <x:c r="O239" s="56" t="str">
        <x:f>IF(N239=0,"",(I239+0.5*J239)/N239)</x:f>
      </x:c>
      <x:c r="P239" s="56" t="str">
        <x:f>IF(N239=0,"",(I239+0.5*J239+1)/(N239+2))</x:f>
      </x:c>
      <x:c r="Q239" s="34" t="str"/>
      <x:c r="R239" s="34" t="str"/>
      <x:c r="S239" s="34" t="str"/>
      <x:c r="T239" s="34" t="str"/>
      <x:c r="U239" s="34" t="str"/>
      <x:c r="V239" s="34" t="str">
        <x:f>IF(A239="","",IF(N239&lt;5,"样本不足",IF(Q239&gt;=1,"优先复核",IF(AND(N239&gt;=20,P239&lt;0.35,K239&gt;=5),"停用候选",IF(AND(N239&gt;=10,P239&lt;0.45),"需修改候选",IF(AND(N239&gt;=10,P239&gt;=0.75,R239/N239&lt;=0.15,S239/N239&lt;=0.15),"升级候选",IF(R239/N239&gt;0.3,"收紧条件",IF(S239/N239&gt;0.3,"补漏／放宽","继续观察"))))))))</x:f>
        <x:v>样本不足</x:v>
      </x:c>
      <x:c r="W239" s="34" t="str">
        <x:f>IF(V239="","",IF(V239="升级候选","已验证候选",IF(V239="停用候选","停用候选",IF(OR(V239="需修改候选",V239="收紧条件",V239="补漏／放宽",V239="优先复核"),"需修改／复核","观察中"))))</x:f>
        <x:v>观察中</x:v>
      </x:c>
      <x:c r="X239" s="34" t="str"/>
      <x:c r="Y239" s="34" t="str"/>
    </x:row>
    <x:row r="240">
      <x:c r="A240" s="34" t="str">
        <x:v>M5-SYNTH-196</x:v>
      </x:c>
      <x:c r="B240" s="34" t="str">
        <x:v>SYNTH</x:v>
      </x:c>
      <x:c r="C240" s="34" t="str">
        <x:v>P0_SYNTH总合成</x:v>
      </x:c>
      <x:c r="D240" s="34" t="str">
        <x:v>主适配排序｜能改变M4主风险者优先</x:v>
      </x:c>
      <x:c r="E240" s="34" t="str">
        <x:v>L5 冲突裁决与主次排序</x:v>
      </x:c>
      <x:c r="F240" s="34" t="str">
        <x:v>裁决</x:v>
      </x:c>
      <x:c r="G240" s="34" t="n">
        <x:v>90</x:v>
      </x:c>
      <x:c r="H240" s="34" t="str">
        <x:v>待验证</x:v>
      </x:c>
      <x:c r="I240" s="34" t="str"/>
      <x:c r="J240" s="34" t="str"/>
      <x:c r="K240" s="34" t="str"/>
      <x:c r="L240" s="34" t="str"/>
      <x:c r="M240" s="34" t="str"/>
      <x:c r="N240" s="34" t="n">
        <x:f>IF(A240="","",I240+J240+K240)</x:f>
        <x:v>0</x:v>
      </x:c>
      <x:c r="O240" s="56" t="str">
        <x:f>IF(N240=0,"",(I240+0.5*J240)/N240)</x:f>
      </x:c>
      <x:c r="P240" s="56" t="str">
        <x:f>IF(N240=0,"",(I240+0.5*J240+1)/(N240+2))</x:f>
      </x:c>
      <x:c r="Q240" s="34" t="str"/>
      <x:c r="R240" s="34" t="str"/>
      <x:c r="S240" s="34" t="str"/>
      <x:c r="T240" s="34" t="str"/>
      <x:c r="U240" s="34" t="str"/>
      <x:c r="V240" s="34" t="str">
        <x:f>IF(A240="","",IF(N240&lt;5,"样本不足",IF(Q240&gt;=1,"优先复核",IF(AND(N240&gt;=20,P240&lt;0.35,K240&gt;=5),"停用候选",IF(AND(N240&gt;=10,P240&lt;0.45),"需修改候选",IF(AND(N240&gt;=10,P240&gt;=0.75,R240/N240&lt;=0.15,S240/N240&lt;=0.15),"升级候选",IF(R240/N240&gt;0.3,"收紧条件",IF(S240/N240&gt;0.3,"补漏／放宽","继续观察"))))))))</x:f>
        <x:v>样本不足</x:v>
      </x:c>
      <x:c r="W240" s="34" t="str">
        <x:f>IF(V240="","",IF(V240="升级候选","已验证候选",IF(V240="停用候选","停用候选",IF(OR(V240="需修改候选",V240="收紧条件",V240="补漏／放宽",V240="优先复核"),"需修改／复核","观察中"))))</x:f>
        <x:v>观察中</x:v>
      </x:c>
      <x:c r="X240" s="34" t="str"/>
      <x:c r="Y240" s="34" t="str"/>
    </x:row>
    <x:row r="241">
      <x:c r="A241" s="34" t="str">
        <x:v>M5-SYNTH-197</x:v>
      </x:c>
      <x:c r="B241" s="34" t="str">
        <x:v>SYNTH</x:v>
      </x:c>
      <x:c r="C241" s="34" t="str">
        <x:v>P0_SYNTH总合成</x:v>
      </x:c>
      <x:c r="D241" s="34" t="str">
        <x:v>主次上限｜一个主需要一个次需要</x:v>
      </x:c>
      <x:c r="E241" s="34" t="str">
        <x:v>L5 冲突裁决与主次排序</x:v>
      </x:c>
      <x:c r="F241" s="34" t="str">
        <x:v>裁决</x:v>
      </x:c>
      <x:c r="G241" s="34" t="n">
        <x:v>90</x:v>
      </x:c>
      <x:c r="H241" s="34" t="str">
        <x:v>待验证</x:v>
      </x:c>
      <x:c r="I241" s="34" t="str"/>
      <x:c r="J241" s="34" t="str"/>
      <x:c r="K241" s="34" t="str"/>
      <x:c r="L241" s="34" t="str"/>
      <x:c r="M241" s="34" t="str"/>
      <x:c r="N241" s="34" t="n">
        <x:f>IF(A241="","",I241+J241+K241)</x:f>
        <x:v>0</x:v>
      </x:c>
      <x:c r="O241" s="56" t="str">
        <x:f>IF(N241=0,"",(I241+0.5*J241)/N241)</x:f>
      </x:c>
      <x:c r="P241" s="56" t="str">
        <x:f>IF(N241=0,"",(I241+0.5*J241+1)/(N241+2))</x:f>
      </x:c>
      <x:c r="Q241" s="34" t="str"/>
      <x:c r="R241" s="34" t="str"/>
      <x:c r="S241" s="34" t="str"/>
      <x:c r="T241" s="34" t="str"/>
      <x:c r="U241" s="34" t="str"/>
      <x:c r="V241" s="34" t="str">
        <x:f>IF(A241="","",IF(N241&lt;5,"样本不足",IF(Q241&gt;=1,"优先复核",IF(AND(N241&gt;=20,P241&lt;0.35,K241&gt;=5),"停用候选",IF(AND(N241&gt;=10,P241&lt;0.45),"需修改候选",IF(AND(N241&gt;=10,P241&gt;=0.75,R241/N241&lt;=0.15,S241/N241&lt;=0.15),"升级候选",IF(R241/N241&gt;0.3,"收紧条件",IF(S241/N241&gt;0.3,"补漏／放宽","继续观察"))))))))</x:f>
        <x:v>样本不足</x:v>
      </x:c>
      <x:c r="W241" s="34" t="str">
        <x:f>IF(V241="","",IF(V241="升级候选","已验证候选",IF(V241="停用候选","停用候选",IF(OR(V241="需修改候选",V241="收紧条件",V241="补漏／放宽",V241="优先复核"),"需修改／复核","观察中"))))</x:f>
        <x:v>观察中</x:v>
      </x:c>
      <x:c r="X241" s="34" t="str"/>
      <x:c r="Y241" s="34" t="str"/>
    </x:row>
    <x:row r="242">
      <x:c r="A242" s="34" t="str">
        <x:v>M5-SYNTH-198</x:v>
      </x:c>
      <x:c r="B242" s="34" t="str">
        <x:v>SYNTH</x:v>
      </x:c>
      <x:c r="C242" s="34" t="str">
        <x:v>P0_SYNTH总合成</x:v>
      </x:c>
      <x:c r="D242" s="34" t="str">
        <x:v>次需要必须功能独立</x:v>
      </x:c>
      <x:c r="E242" s="34" t="str">
        <x:v>L5 冲突裁决与主次排序</x:v>
      </x:c>
      <x:c r="F242" s="34" t="str">
        <x:v>裁决</x:v>
      </x:c>
      <x:c r="G242" s="34" t="n">
        <x:v>90</x:v>
      </x:c>
      <x:c r="H242" s="34" t="str">
        <x:v>待验证</x:v>
      </x:c>
      <x:c r="I242" s="34" t="str"/>
      <x:c r="J242" s="34" t="str"/>
      <x:c r="K242" s="34" t="str"/>
      <x:c r="L242" s="34" t="str"/>
      <x:c r="M242" s="34" t="str"/>
      <x:c r="N242" s="34" t="n">
        <x:f>IF(A242="","",I242+J242+K242)</x:f>
        <x:v>0</x:v>
      </x:c>
      <x:c r="O242" s="56" t="str">
        <x:f>IF(N242=0,"",(I242+0.5*J242)/N242)</x:f>
      </x:c>
      <x:c r="P242" s="56" t="str">
        <x:f>IF(N242=0,"",(I242+0.5*J242+1)/(N242+2))</x:f>
      </x:c>
      <x:c r="Q242" s="34" t="str"/>
      <x:c r="R242" s="34" t="str"/>
      <x:c r="S242" s="34" t="str"/>
      <x:c r="T242" s="34" t="str"/>
      <x:c r="U242" s="34" t="str"/>
      <x:c r="V242" s="34" t="str">
        <x:f>IF(A242="","",IF(N242&lt;5,"样本不足",IF(Q242&gt;=1,"优先复核",IF(AND(N242&gt;=20,P242&lt;0.35,K242&gt;=5),"停用候选",IF(AND(N242&gt;=10,P242&lt;0.45),"需修改候选",IF(AND(N242&gt;=10,P242&gt;=0.75,R242/N242&lt;=0.15,S242/N242&lt;=0.15),"升级候选",IF(R242/N242&gt;0.3,"收紧条件",IF(S242/N242&gt;0.3,"补漏／放宽","继续观察"))))))))</x:f>
        <x:v>样本不足</x:v>
      </x:c>
      <x:c r="W242" s="34" t="str">
        <x:f>IF(V242="","",IF(V242="升级候选","已验证候选",IF(V242="停用候选","停用候选",IF(OR(V242="需修改候选",V242="收紧条件",V242="补漏／放宽",V242="优先复核"),"需修改／复核","观察中"))))</x:f>
        <x:v>观察中</x:v>
      </x:c>
      <x:c r="X242" s="34" t="str"/>
      <x:c r="Y242" s="34" t="str"/>
    </x:row>
    <x:row r="243">
      <x:c r="A243" s="34" t="str">
        <x:v>M5-SYNTH-199</x:v>
      </x:c>
      <x:c r="B243" s="34" t="str">
        <x:v>SYNTH</x:v>
      </x:c>
      <x:c r="C243" s="34" t="str">
        <x:v>P0_SYNTH总合成</x:v>
      </x:c>
      <x:c r="D243" s="34" t="str">
        <x:v>PARTNER必须服务BASE主需要</x:v>
      </x:c>
      <x:c r="E243" s="34" t="str">
        <x:v>L5 冲突裁决与主次排序</x:v>
      </x:c>
      <x:c r="F243" s="34" t="str">
        <x:v>裁决</x:v>
      </x:c>
      <x:c r="G243" s="34" t="n">
        <x:v>90</x:v>
      </x:c>
      <x:c r="H243" s="34" t="str">
        <x:v>待验证</x:v>
      </x:c>
      <x:c r="I243" s="34" t="str"/>
      <x:c r="J243" s="34" t="str"/>
      <x:c r="K243" s="34" t="str"/>
      <x:c r="L243" s="34" t="str"/>
      <x:c r="M243" s="34" t="str"/>
      <x:c r="N243" s="34" t="n">
        <x:f>IF(A243="","",I243+J243+K243)</x:f>
        <x:v>0</x:v>
      </x:c>
      <x:c r="O243" s="56" t="str">
        <x:f>IF(N243=0,"",(I243+0.5*J243)/N243)</x:f>
      </x:c>
      <x:c r="P243" s="56" t="str">
        <x:f>IF(N243=0,"",(I243+0.5*J243+1)/(N243+2))</x:f>
      </x:c>
      <x:c r="Q243" s="34" t="str"/>
      <x:c r="R243" s="34" t="str"/>
      <x:c r="S243" s="34" t="str"/>
      <x:c r="T243" s="34" t="str"/>
      <x:c r="U243" s="34" t="str"/>
      <x:c r="V243" s="34" t="str">
        <x:f>IF(A243="","",IF(N243&lt;5,"样本不足",IF(Q243&gt;=1,"优先复核",IF(AND(N243&gt;=20,P243&lt;0.35,K243&gt;=5),"停用候选",IF(AND(N243&gt;=10,P243&lt;0.45),"需修改候选",IF(AND(N243&gt;=10,P243&gt;=0.75,R243/N243&lt;=0.15,S243/N243&lt;=0.15),"升级候选",IF(R243/N243&gt;0.3,"收紧条件",IF(S243/N243&gt;0.3,"补漏／放宽","继续观察"))))))))</x:f>
        <x:v>样本不足</x:v>
      </x:c>
      <x:c r="W243" s="34" t="str">
        <x:f>IF(V243="","",IF(V243="升级候选","已验证候选",IF(V243="停用候选","停用候选",IF(OR(V243="需修改候选",V243="收紧条件",V243="补漏／放宽",V243="优先复核"),"需修改／复核","观察中"))))</x:f>
        <x:v>观察中</x:v>
      </x:c>
      <x:c r="X243" s="34" t="str"/>
      <x:c r="Y243" s="34" t="str"/>
    </x:row>
    <x:row r="244">
      <x:c r="A244" s="34" t="str">
        <x:v>M5-SYNTH-200</x:v>
      </x:c>
      <x:c r="B244" s="34" t="str">
        <x:v>SYNTH</x:v>
      </x:c>
      <x:c r="C244" s="34" t="str">
        <x:v>P0_SYNTH总合成</x:v>
      </x:c>
      <x:c r="D244" s="34" t="str">
        <x:v>同功能族跨模块合成为一条适配链</x:v>
      </x:c>
      <x:c r="E244" s="34" t="str">
        <x:v>L5 冲突裁决与主次排序</x:v>
      </x:c>
      <x:c r="F244" s="34" t="str">
        <x:v>裁决</x:v>
      </x:c>
      <x:c r="G244" s="34" t="n">
        <x:v>90</x:v>
      </x:c>
      <x:c r="H244" s="34" t="str">
        <x:v>待验证</x:v>
      </x:c>
      <x:c r="I244" s="34" t="str"/>
      <x:c r="J244" s="34" t="str"/>
      <x:c r="K244" s="34" t="str"/>
      <x:c r="L244" s="34" t="str"/>
      <x:c r="M244" s="34" t="str"/>
      <x:c r="N244" s="34" t="n">
        <x:f>IF(A244="","",I244+J244+K244)</x:f>
        <x:v>0</x:v>
      </x:c>
      <x:c r="O244" s="56" t="str">
        <x:f>IF(N244=0,"",(I244+0.5*J244)/N244)</x:f>
      </x:c>
      <x:c r="P244" s="56" t="str">
        <x:f>IF(N244=0,"",(I244+0.5*J244+1)/(N244+2))</x:f>
      </x:c>
      <x:c r="Q244" s="34" t="str"/>
      <x:c r="R244" s="34" t="str"/>
      <x:c r="S244" s="34" t="str"/>
      <x:c r="T244" s="34" t="str"/>
      <x:c r="U244" s="34" t="str"/>
      <x:c r="V244" s="34" t="str">
        <x:f>IF(A244="","",IF(N244&lt;5,"样本不足",IF(Q244&gt;=1,"优先复核",IF(AND(N244&gt;=20,P244&lt;0.35,K244&gt;=5),"停用候选",IF(AND(N244&gt;=10,P244&lt;0.45),"需修改候选",IF(AND(N244&gt;=10,P244&gt;=0.75,R244/N244&lt;=0.15,S244/N244&lt;=0.15),"升级候选",IF(R244/N244&gt;0.3,"收紧条件",IF(S244/N244&gt;0.3,"补漏／放宽","继续观察"))))))))</x:f>
        <x:v>样本不足</x:v>
      </x:c>
      <x:c r="W244" s="34" t="str">
        <x:f>IF(V244="","",IF(V244="升级候选","已验证候选",IF(V244="停用候选","停用候选",IF(OR(V244="需修改候选",V244="收紧条件",V244="补漏／放宽",V244="优先复核"),"需修改／复核","观察中"))))</x:f>
        <x:v>观察中</x:v>
      </x:c>
      <x:c r="X244" s="34" t="str"/>
      <x:c r="Y244" s="34" t="str"/>
    </x:row>
    <x:row r="245">
      <x:c r="A245" s="34" t="str">
        <x:v>M5-SYNTH-201</x:v>
      </x:c>
      <x:c r="B245" s="34" t="str">
        <x:v>SYNTH</x:v>
      </x:c>
      <x:c r="C245" s="34" t="str">
        <x:v>P0_SYNTH总合成</x:v>
      </x:c>
      <x:c r="D245" s="34" t="str">
        <x:v>GAP不独立取代主适配</x:v>
      </x:c>
      <x:c r="E245" s="34" t="str">
        <x:v>L5 冲突裁决与主次排序</x:v>
      </x:c>
      <x:c r="F245" s="34" t="str">
        <x:v>裁决</x:v>
      </x:c>
      <x:c r="G245" s="34" t="n">
        <x:v>90</x:v>
      </x:c>
      <x:c r="H245" s="34" t="str">
        <x:v>待验证</x:v>
      </x:c>
      <x:c r="I245" s="34" t="str"/>
      <x:c r="J245" s="34" t="str"/>
      <x:c r="K245" s="34" t="str"/>
      <x:c r="L245" s="34" t="str"/>
      <x:c r="M245" s="34" t="str"/>
      <x:c r="N245" s="34" t="n">
        <x:f>IF(A245="","",I245+J245+K245)</x:f>
        <x:v>0</x:v>
      </x:c>
      <x:c r="O245" s="56" t="str">
        <x:f>IF(N245=0,"",(I245+0.5*J245)/N245)</x:f>
      </x:c>
      <x:c r="P245" s="56" t="str">
        <x:f>IF(N245=0,"",(I245+0.5*J245+1)/(N245+2))</x:f>
      </x:c>
      <x:c r="Q245" s="34" t="str"/>
      <x:c r="R245" s="34" t="str"/>
      <x:c r="S245" s="34" t="str"/>
      <x:c r="T245" s="34" t="str"/>
      <x:c r="U245" s="34" t="str"/>
      <x:c r="V245" s="34" t="str">
        <x:f>IF(A245="","",IF(N245&lt;5,"样本不足",IF(Q245&gt;=1,"优先复核",IF(AND(N245&gt;=20,P245&lt;0.35,K245&gt;=5),"停用候选",IF(AND(N245&gt;=10,P245&lt;0.45),"需修改候选",IF(AND(N245&gt;=10,P245&gt;=0.75,R245/N245&lt;=0.15,S245/N245&lt;=0.15),"升级候选",IF(R245/N245&gt;0.3,"收紧条件",IF(S245/N245&gt;0.3,"补漏／放宽","继续观察"))))))))</x:f>
        <x:v>样本不足</x:v>
      </x:c>
      <x:c r="W245" s="34" t="str">
        <x:f>IF(V245="","",IF(V245="升级候选","已验证候选",IF(V245="停用候选","停用候选",IF(OR(V245="需修改候选",V245="收紧条件",V245="补漏／放宽",V245="优先复核"),"需修改／复核","观察中"))))</x:f>
        <x:v>观察中</x:v>
      </x:c>
      <x:c r="X245" s="34" t="str"/>
      <x:c r="Y245" s="34" t="str"/>
    </x:row>
    <x:row r="246">
      <x:c r="A246" s="34" t="str">
        <x:v>M5-SYNTH-202</x:v>
      </x:c>
      <x:c r="B246" s="34" t="str">
        <x:v>SYNTH</x:v>
      </x:c>
      <x:c r="C246" s="34" t="str">
        <x:v>P0_SYNTH总合成</x:v>
      </x:c>
      <x:c r="D246" s="34" t="str">
        <x:v>M1高吸引／M5低适配｜吸引不加分</x:v>
      </x:c>
      <x:c r="E246" s="34" t="str">
        <x:v>L5 冲突裁决与主次排序</x:v>
      </x:c>
      <x:c r="F246" s="34" t="str">
        <x:v>裁决</x:v>
      </x:c>
      <x:c r="G246" s="34" t="n">
        <x:v>90</x:v>
      </x:c>
      <x:c r="H246" s="34" t="str">
        <x:v>待验证</x:v>
      </x:c>
      <x:c r="I246" s="34" t="str"/>
      <x:c r="J246" s="34" t="str"/>
      <x:c r="K246" s="34" t="str"/>
      <x:c r="L246" s="34" t="str"/>
      <x:c r="M246" s="34" t="str"/>
      <x:c r="N246" s="34" t="n">
        <x:f>IF(A246="","",I246+J246+K246)</x:f>
        <x:v>0</x:v>
      </x:c>
      <x:c r="O246" s="56" t="str">
        <x:f>IF(N246=0,"",(I246+0.5*J246)/N246)</x:f>
      </x:c>
      <x:c r="P246" s="56" t="str">
        <x:f>IF(N246=0,"",(I246+0.5*J246+1)/(N246+2))</x:f>
      </x:c>
      <x:c r="Q246" s="34" t="str"/>
      <x:c r="R246" s="34" t="str"/>
      <x:c r="S246" s="34" t="str"/>
      <x:c r="T246" s="34" t="str"/>
      <x:c r="U246" s="34" t="str"/>
      <x:c r="V246" s="34" t="str">
        <x:f>IF(A246="","",IF(N246&lt;5,"样本不足",IF(Q246&gt;=1,"优先复核",IF(AND(N246&gt;=20,P246&lt;0.35,K246&gt;=5),"停用候选",IF(AND(N246&gt;=10,P246&lt;0.45),"需修改候选",IF(AND(N246&gt;=10,P246&gt;=0.75,R246/N246&lt;=0.15,S246/N246&lt;=0.15),"升级候选",IF(R246/N246&gt;0.3,"收紧条件",IF(S246/N246&gt;0.3,"补漏／放宽","继续观察"))))))))</x:f>
        <x:v>样本不足</x:v>
      </x:c>
      <x:c r="W246" s="34" t="str">
        <x:f>IF(V246="","",IF(V246="升级候选","已验证候选",IF(V246="停用候选","停用候选",IF(OR(V246="需修改候选",V246="收紧条件",V246="补漏／放宽",V246="优先复核"),"需修改／复核","观察中"))))</x:f>
        <x:v>观察中</x:v>
      </x:c>
      <x:c r="X246" s="34" t="str"/>
      <x:c r="Y246" s="34" t="str"/>
    </x:row>
    <x:row r="247">
      <x:c r="A247" s="34" t="str">
        <x:v>M5-SYNTH-203</x:v>
      </x:c>
      <x:c r="B247" s="34" t="str">
        <x:v>SYNTH</x:v>
      </x:c>
      <x:c r="C247" s="34" t="str">
        <x:v>P0_SYNTH总合成</x:v>
      </x:c>
      <x:c r="D247" s="34" t="str">
        <x:v>M1低吸引／M5高适配｜不得建议勉强进入</x:v>
      </x:c>
      <x:c r="E247" s="34" t="str">
        <x:v>L5 冲突裁决与主次排序</x:v>
      </x:c>
      <x:c r="F247" s="34" t="str">
        <x:v>裁决</x:v>
      </x:c>
      <x:c r="G247" s="34" t="n">
        <x:v>90</x:v>
      </x:c>
      <x:c r="H247" s="34" t="str">
        <x:v>待验证</x:v>
      </x:c>
      <x:c r="I247" s="34" t="str"/>
      <x:c r="J247" s="34" t="str"/>
      <x:c r="K247" s="34" t="str"/>
      <x:c r="L247" s="34" t="str"/>
      <x:c r="M247" s="34" t="str"/>
      <x:c r="N247" s="34" t="n">
        <x:f>IF(A247="","",I247+J247+K247)</x:f>
        <x:v>0</x:v>
      </x:c>
      <x:c r="O247" s="56" t="str">
        <x:f>IF(N247=0,"",(I247+0.5*J247)/N247)</x:f>
      </x:c>
      <x:c r="P247" s="56" t="str">
        <x:f>IF(N247=0,"",(I247+0.5*J247+1)/(N247+2))</x:f>
      </x:c>
      <x:c r="Q247" s="34" t="str"/>
      <x:c r="R247" s="34" t="str"/>
      <x:c r="S247" s="34" t="str"/>
      <x:c r="T247" s="34" t="str"/>
      <x:c r="U247" s="34" t="str"/>
      <x:c r="V247" s="34" t="str">
        <x:f>IF(A247="","",IF(N247&lt;5,"样本不足",IF(Q247&gt;=1,"优先复核",IF(AND(N247&gt;=20,P247&lt;0.35,K247&gt;=5),"停用候选",IF(AND(N247&gt;=10,P247&lt;0.45),"需修改候选",IF(AND(N247&gt;=10,P247&gt;=0.75,R247/N247&lt;=0.15,S247/N247&lt;=0.15),"升级候选",IF(R247/N247&gt;0.3,"收紧条件",IF(S247/N247&gt;0.3,"补漏／放宽","继续观察"))))))))</x:f>
        <x:v>样本不足</x:v>
      </x:c>
      <x:c r="W247" s="34" t="str">
        <x:f>IF(V247="","",IF(V247="升级候选","已验证候选",IF(V247="停用候选","停用候选",IF(OR(V247="需修改候选",V247="收紧条件",V247="补漏／放宽",V247="优先复核"),"需修改／复核","观察中"))))</x:f>
        <x:v>观察中</x:v>
      </x:c>
      <x:c r="X247" s="34" t="str"/>
      <x:c r="Y247" s="34" t="str"/>
    </x:row>
    <x:row r="248">
      <x:c r="A248" s="34" t="str">
        <x:v>M5-SYNTH-204</x:v>
      </x:c>
      <x:c r="B248" s="34" t="str">
        <x:v>SYNTH</x:v>
      </x:c>
      <x:c r="C248" s="34" t="str">
        <x:v>P0_SYNTH总合成</x:v>
      </x:c>
      <x:c r="D248" s="34" t="str">
        <x:v>M2准入通过／长期结构不足｜不升级</x:v>
      </x:c>
      <x:c r="E248" s="34" t="str">
        <x:v>L5 冲突裁决与主次排序</x:v>
      </x:c>
      <x:c r="F248" s="34" t="str">
        <x:v>裁决</x:v>
      </x:c>
      <x:c r="G248" s="34" t="n">
        <x:v>90</x:v>
      </x:c>
      <x:c r="H248" s="34" t="str">
        <x:v>待验证</x:v>
      </x:c>
      <x:c r="I248" s="34" t="str"/>
      <x:c r="J248" s="34" t="str"/>
      <x:c r="K248" s="34" t="str"/>
      <x:c r="L248" s="34" t="str"/>
      <x:c r="M248" s="34" t="str"/>
      <x:c r="N248" s="34" t="n">
        <x:f>IF(A248="","",I248+J248+K248)</x:f>
        <x:v>0</x:v>
      </x:c>
      <x:c r="O248" s="56" t="str">
        <x:f>IF(N248=0,"",(I248+0.5*J248)/N248)</x:f>
      </x:c>
      <x:c r="P248" s="56" t="str">
        <x:f>IF(N248=0,"",(I248+0.5*J248+1)/(N248+2))</x:f>
      </x:c>
      <x:c r="Q248" s="34" t="str"/>
      <x:c r="R248" s="34" t="str"/>
      <x:c r="S248" s="34" t="str"/>
      <x:c r="T248" s="34" t="str"/>
      <x:c r="U248" s="34" t="str"/>
      <x:c r="V248" s="34" t="str">
        <x:f>IF(A248="","",IF(N248&lt;5,"样本不足",IF(Q248&gt;=1,"优先复核",IF(AND(N248&gt;=20,P248&lt;0.35,K248&gt;=5),"停用候选",IF(AND(N248&gt;=10,P248&lt;0.45),"需修改候选",IF(AND(N248&gt;=10,P248&gt;=0.75,R248/N248&lt;=0.15,S248/N248&lt;=0.15),"升级候选",IF(R248/N248&gt;0.3,"收紧条件",IF(S248/N248&gt;0.3,"补漏／放宽","继续观察"))))))))</x:f>
        <x:v>样本不足</x:v>
      </x:c>
      <x:c r="W248" s="34" t="str">
        <x:f>IF(V248="","",IF(V248="升级候选","已验证候选",IF(V248="停用候选","停用候选",IF(OR(V248="需修改候选",V248="收紧条件",V248="补漏／放宽",V248="优先复核"),"需修改／复核","观察中"))))</x:f>
        <x:v>观察中</x:v>
      </x:c>
      <x:c r="X248" s="34" t="str"/>
      <x:c r="Y248" s="34" t="str"/>
    </x:row>
    <x:row r="249">
      <x:c r="A249" s="34" t="str">
        <x:v>M5-SYNTH-205</x:v>
      </x:c>
      <x:c r="B249" s="34" t="str">
        <x:v>SYNTH</x:v>
      </x:c>
      <x:c r="C249" s="34" t="str">
        <x:v>P0_SYNTH总合成</x:v>
      </x:c>
      <x:c r="D249" s="34" t="str">
        <x:v>M3正常功能与M4风险同源｜功能先行</x:v>
      </x:c>
      <x:c r="E249" s="34" t="str">
        <x:v>L5 冲突裁决与主次排序</x:v>
      </x:c>
      <x:c r="F249" s="34" t="str">
        <x:v>裁决</x:v>
      </x:c>
      <x:c r="G249" s="34" t="n">
        <x:v>90</x:v>
      </x:c>
      <x:c r="H249" s="34" t="str">
        <x:v>待验证</x:v>
      </x:c>
      <x:c r="I249" s="34" t="str"/>
      <x:c r="J249" s="34" t="str"/>
      <x:c r="K249" s="34" t="str"/>
      <x:c r="L249" s="34" t="str"/>
      <x:c r="M249" s="34" t="str"/>
      <x:c r="N249" s="34" t="n">
        <x:f>IF(A249="","",I249+J249+K249)</x:f>
        <x:v>0</x:v>
      </x:c>
      <x:c r="O249" s="56" t="str">
        <x:f>IF(N249=0,"",(I249+0.5*J249)/N249)</x:f>
      </x:c>
      <x:c r="P249" s="56" t="str">
        <x:f>IF(N249=0,"",(I249+0.5*J249+1)/(N249+2))</x:f>
      </x:c>
      <x:c r="Q249" s="34" t="str"/>
      <x:c r="R249" s="34" t="str"/>
      <x:c r="S249" s="34" t="str"/>
      <x:c r="T249" s="34" t="str"/>
      <x:c r="U249" s="34" t="str"/>
      <x:c r="V249" s="34" t="str">
        <x:f>IF(A249="","",IF(N249&lt;5,"样本不足",IF(Q249&gt;=1,"优先复核",IF(AND(N249&gt;=20,P249&lt;0.35,K249&gt;=5),"停用候选",IF(AND(N249&gt;=10,P249&lt;0.45),"需修改候选",IF(AND(N249&gt;=10,P249&gt;=0.75,R249/N249&lt;=0.15,S249/N249&lt;=0.15),"升级候选",IF(R249/N249&gt;0.3,"收紧条件",IF(S249/N249&gt;0.3,"补漏／放宽","继续观察"))))))))</x:f>
        <x:v>样本不足</x:v>
      </x:c>
      <x:c r="W249" s="34" t="str">
        <x:f>IF(V249="","",IF(V249="升级候选","已验证候选",IF(V249="停用候选","停用候选",IF(OR(V249="需修改候选",V249="收紧条件",V249="补漏／放宽",V249="优先复核"),"需修改／复核","观察中"))))</x:f>
        <x:v>观察中</x:v>
      </x:c>
      <x:c r="X249" s="34" t="str"/>
      <x:c r="Y249" s="34" t="str"/>
    </x:row>
    <x:row r="250">
      <x:c r="A250" s="34" t="str">
        <x:v>M5-SYNTH-206</x:v>
      </x:c>
      <x:c r="B250" s="34" t="str">
        <x:v>SYNTH</x:v>
      </x:c>
      <x:c r="C250" s="34" t="str">
        <x:v>P0_SYNTH总合成</x:v>
      </x:c>
      <x:c r="D250" s="34" t="str">
        <x:v>M4风险高／M5保护结构强｜历史风险不清零</x:v>
      </x:c>
      <x:c r="E250" s="34" t="str">
        <x:v>L5 冲突裁决与主次排序</x:v>
      </x:c>
      <x:c r="F250" s="34" t="str">
        <x:v>裁决</x:v>
      </x:c>
      <x:c r="G250" s="34" t="n">
        <x:v>90</x:v>
      </x:c>
      <x:c r="H250" s="34" t="str">
        <x:v>待验证</x:v>
      </x:c>
      <x:c r="I250" s="34" t="str"/>
      <x:c r="J250" s="34" t="str"/>
      <x:c r="K250" s="34" t="str"/>
      <x:c r="L250" s="34" t="str"/>
      <x:c r="M250" s="34" t="str"/>
      <x:c r="N250" s="34" t="n">
        <x:f>IF(A250="","",I250+J250+K250)</x:f>
        <x:v>0</x:v>
      </x:c>
      <x:c r="O250" s="56" t="str">
        <x:f>IF(N250=0,"",(I250+0.5*J250)/N250)</x:f>
      </x:c>
      <x:c r="P250" s="56" t="str">
        <x:f>IF(N250=0,"",(I250+0.5*J250+1)/(N250+2))</x:f>
      </x:c>
      <x:c r="Q250" s="34" t="str"/>
      <x:c r="R250" s="34" t="str"/>
      <x:c r="S250" s="34" t="str"/>
      <x:c r="T250" s="34" t="str"/>
      <x:c r="U250" s="34" t="str"/>
      <x:c r="V250" s="34" t="str">
        <x:f>IF(A250="","",IF(N250&lt;5,"样本不足",IF(Q250&gt;=1,"优先复核",IF(AND(N250&gt;=20,P250&lt;0.35,K250&gt;=5),"停用候选",IF(AND(N250&gt;=10,P250&lt;0.45),"需修改候选",IF(AND(N250&gt;=10,P250&gt;=0.75,R250/N250&lt;=0.15,S250/N250&lt;=0.15),"升级候选",IF(R250/N250&gt;0.3,"收紧条件",IF(S250/N250&gt;0.3,"补漏／放宽","继续观察"))))))))</x:f>
        <x:v>样本不足</x:v>
      </x:c>
      <x:c r="W250" s="34" t="str">
        <x:f>IF(V250="","",IF(V250="升级候选","已验证候选",IF(V250="停用候选","停用候选",IF(OR(V250="需修改候选",V250="收紧条件",V250="补漏／放宽",V250="优先复核"),"需修改／复核","观察中"))))</x:f>
        <x:v>观察中</x:v>
      </x:c>
      <x:c r="X250" s="34" t="str"/>
      <x:c r="Y250" s="34" t="str"/>
    </x:row>
    <x:row r="251">
      <x:c r="A251" s="34" t="str">
        <x:v>M5-SYNTH-207</x:v>
      </x:c>
      <x:c r="B251" s="34" t="str">
        <x:v>SYNTH</x:v>
      </x:c>
      <x:c r="C251" s="34" t="str">
        <x:v>P0_SYNTH总合成</x:v>
      </x:c>
      <x:c r="D251" s="34" t="str">
        <x:v>PARTNER强／EXCHANGE弱｜个人能力不等于关系互惠</x:v>
      </x:c>
      <x:c r="E251" s="34" t="str">
        <x:v>L5 冲突裁决与主次排序</x:v>
      </x:c>
      <x:c r="F251" s="34" t="str">
        <x:v>裁决</x:v>
      </x:c>
      <x:c r="G251" s="34" t="n">
        <x:v>90</x:v>
      </x:c>
      <x:c r="H251" s="34" t="str">
        <x:v>待验证</x:v>
      </x:c>
      <x:c r="I251" s="34" t="str"/>
      <x:c r="J251" s="34" t="str"/>
      <x:c r="K251" s="34" t="str"/>
      <x:c r="L251" s="34" t="str"/>
      <x:c r="M251" s="34" t="str"/>
      <x:c r="N251" s="34" t="n">
        <x:f>IF(A251="","",I251+J251+K251)</x:f>
        <x:v>0</x:v>
      </x:c>
      <x:c r="O251" s="56" t="str">
        <x:f>IF(N251=0,"",(I251+0.5*J251)/N251)</x:f>
      </x:c>
      <x:c r="P251" s="56" t="str">
        <x:f>IF(N251=0,"",(I251+0.5*J251+1)/(N251+2))</x:f>
      </x:c>
      <x:c r="Q251" s="34" t="str"/>
      <x:c r="R251" s="34" t="str"/>
      <x:c r="S251" s="34" t="str"/>
      <x:c r="T251" s="34" t="str"/>
      <x:c r="U251" s="34" t="str"/>
      <x:c r="V251" s="34" t="str">
        <x:f>IF(A251="","",IF(N251&lt;5,"样本不足",IF(Q251&gt;=1,"优先复核",IF(AND(N251&gt;=20,P251&lt;0.35,K251&gt;=5),"停用候选",IF(AND(N251&gt;=10,P251&lt;0.45),"需修改候选",IF(AND(N251&gt;=10,P251&gt;=0.75,R251/N251&lt;=0.15,S251/N251&lt;=0.15),"升级候选",IF(R251/N251&gt;0.3,"收紧条件",IF(S251/N251&gt;0.3,"补漏／放宽","继续观察"))))))))</x:f>
        <x:v>样本不足</x:v>
      </x:c>
      <x:c r="W251" s="34" t="str">
        <x:f>IF(V251="","",IF(V251="升级候选","已验证候选",IF(V251="停用候选","停用候选",IF(OR(V251="需修改候选",V251="收紧条件",V251="补漏／放宽",V251="优先复核"),"需修改／复核","观察中"))))</x:f>
        <x:v>观察中</x:v>
      </x:c>
      <x:c r="X251" s="34" t="str"/>
      <x:c r="Y251" s="34" t="str"/>
    </x:row>
    <x:row r="252">
      <x:c r="A252" s="34" t="str">
        <x:v>M5-SYNTH-208</x:v>
      </x:c>
      <x:c r="B252" s="34" t="str">
        <x:v>SYNTH</x:v>
      </x:c>
      <x:c r="C252" s="34" t="str">
        <x:v>P0_SYNTH总合成</x:v>
      </x:c>
      <x:c r="D252" s="34" t="str">
        <x:v>EXCHANGE强／BOUND弱｜边界权威优先</x:v>
      </x:c>
      <x:c r="E252" s="34" t="str">
        <x:v>L5 冲突裁决与主次排序</x:v>
      </x:c>
      <x:c r="F252" s="34" t="str">
        <x:v>裁决</x:v>
      </x:c>
      <x:c r="G252" s="34" t="n">
        <x:v>90</x:v>
      </x:c>
      <x:c r="H252" s="34" t="str">
        <x:v>待验证</x:v>
      </x:c>
      <x:c r="I252" s="34" t="str"/>
      <x:c r="J252" s="34" t="str"/>
      <x:c r="K252" s="34" t="str"/>
      <x:c r="L252" s="34" t="str"/>
      <x:c r="M252" s="34" t="str"/>
      <x:c r="N252" s="34" t="n">
        <x:f>IF(A252="","",I252+J252+K252)</x:f>
        <x:v>0</x:v>
      </x:c>
      <x:c r="O252" s="56" t="str">
        <x:f>IF(N252=0,"",(I252+0.5*J252)/N252)</x:f>
      </x:c>
      <x:c r="P252" s="56" t="str">
        <x:f>IF(N252=0,"",(I252+0.5*J252+1)/(N252+2))</x:f>
      </x:c>
      <x:c r="Q252" s="34" t="str"/>
      <x:c r="R252" s="34" t="str"/>
      <x:c r="S252" s="34" t="str"/>
      <x:c r="T252" s="34" t="str"/>
      <x:c r="U252" s="34" t="str"/>
      <x:c r="V252" s="34" t="str">
        <x:f>IF(A252="","",IF(N252&lt;5,"样本不足",IF(Q252&gt;=1,"优先复核",IF(AND(N252&gt;=20,P252&lt;0.35,K252&gt;=5),"停用候选",IF(AND(N252&gt;=10,P252&lt;0.45),"需修改候选",IF(AND(N252&gt;=10,P252&gt;=0.75,R252/N252&lt;=0.15,S252/N252&lt;=0.15),"升级候选",IF(R252/N252&gt;0.3,"收紧条件",IF(S252/N252&gt;0.3,"补漏／放宽","继续观察"))))))))</x:f>
        <x:v>样本不足</x:v>
      </x:c>
      <x:c r="W252" s="34" t="str">
        <x:f>IF(V252="","",IF(V252="升级候选","已验证候选",IF(V252="停用候选","停用候选",IF(OR(V252="需修改候选",V252="收紧条件",V252="补漏／放宽",V252="优先复核"),"需修改／复核","观察中"))))</x:f>
        <x:v>观察中</x:v>
      </x:c>
      <x:c r="X252" s="34" t="str"/>
      <x:c r="Y252" s="34" t="str"/>
    </x:row>
    <x:row r="253">
      <x:c r="A253" s="34" t="str">
        <x:v>M5-SYNTH-209</x:v>
      </x:c>
      <x:c r="B253" s="34" t="str">
        <x:v>SYNTH</x:v>
      </x:c>
      <x:c r="C253" s="34" t="str">
        <x:v>P0_SYNTH总合成</x:v>
      </x:c>
      <x:c r="D253" s="34" t="str">
        <x:v>BOUND强／REPAIR弱｜日常可行但失衡后风险开放</x:v>
      </x:c>
      <x:c r="E253" s="34" t="str">
        <x:v>L5 冲突裁决与主次排序</x:v>
      </x:c>
      <x:c r="F253" s="34" t="str">
        <x:v>裁决</x:v>
      </x:c>
      <x:c r="G253" s="34" t="n">
        <x:v>90</x:v>
      </x:c>
      <x:c r="H253" s="34" t="str">
        <x:v>待验证</x:v>
      </x:c>
      <x:c r="I253" s="34" t="str"/>
      <x:c r="J253" s="34" t="str"/>
      <x:c r="K253" s="34" t="str"/>
      <x:c r="L253" s="34" t="str"/>
      <x:c r="M253" s="34" t="str"/>
      <x:c r="N253" s="34" t="n">
        <x:f>IF(A253="","",I253+J253+K253)</x:f>
        <x:v>0</x:v>
      </x:c>
      <x:c r="O253" s="56" t="str">
        <x:f>IF(N253=0,"",(I253+0.5*J253)/N253)</x:f>
      </x:c>
      <x:c r="P253" s="56" t="str">
        <x:f>IF(N253=0,"",(I253+0.5*J253+1)/(N253+2))</x:f>
      </x:c>
      <x:c r="Q253" s="34" t="str"/>
      <x:c r="R253" s="34" t="str"/>
      <x:c r="S253" s="34" t="str"/>
      <x:c r="T253" s="34" t="str"/>
      <x:c r="U253" s="34" t="str"/>
      <x:c r="V253" s="34" t="str">
        <x:f>IF(A253="","",IF(N253&lt;5,"样本不足",IF(Q253&gt;=1,"优先复核",IF(AND(N253&gt;=20,P253&lt;0.35,K253&gt;=5),"停用候选",IF(AND(N253&gt;=10,P253&lt;0.45),"需修改候选",IF(AND(N253&gt;=10,P253&gt;=0.75,R253/N253&lt;=0.15,S253/N253&lt;=0.15),"升级候选",IF(R253/N253&gt;0.3,"收紧条件",IF(S253/N253&gt;0.3,"补漏／放宽","继续观察"))))))))</x:f>
        <x:v>样本不足</x:v>
      </x:c>
      <x:c r="W253" s="34" t="str">
        <x:f>IF(V253="","",IF(V253="升级候选","已验证候选",IF(V253="停用候选","停用候选",IF(OR(V253="需修改候选",V253="收紧条件",V253="补漏／放宽",V253="优先复核"),"需修改／复核","观察中"))))</x:f>
        <x:v>观察中</x:v>
      </x:c>
      <x:c r="X253" s="34" t="str"/>
      <x:c r="Y253" s="34" t="str"/>
    </x:row>
    <x:row r="254">
      <x:c r="A254" s="34" t="str">
        <x:v>M5-SYNTH-210</x:v>
      </x:c>
      <x:c r="B254" s="34" t="str">
        <x:v>SYNTH</x:v>
      </x:c>
      <x:c r="C254" s="34" t="str">
        <x:v>P0_SYNTH总合成</x:v>
      </x:c>
      <x:c r="D254" s="34" t="str">
        <x:v>REPAIR强／RHYTHM弱｜会修复但日常成本高</x:v>
      </x:c>
      <x:c r="E254" s="34" t="str">
        <x:v>L5 冲突裁决与主次排序</x:v>
      </x:c>
      <x:c r="F254" s="34" t="str">
        <x:v>裁决</x:v>
      </x:c>
      <x:c r="G254" s="34" t="n">
        <x:v>90</x:v>
      </x:c>
      <x:c r="H254" s="34" t="str">
        <x:v>待验证</x:v>
      </x:c>
      <x:c r="I254" s="34" t="str"/>
      <x:c r="J254" s="34" t="str"/>
      <x:c r="K254" s="34" t="str"/>
      <x:c r="L254" s="34" t="str"/>
      <x:c r="M254" s="34" t="str"/>
      <x:c r="N254" s="34" t="n">
        <x:f>IF(A254="","",I254+J254+K254)</x:f>
        <x:v>0</x:v>
      </x:c>
      <x:c r="O254" s="56" t="str">
        <x:f>IF(N254=0,"",(I254+0.5*J254)/N254)</x:f>
      </x:c>
      <x:c r="P254" s="56" t="str">
        <x:f>IF(N254=0,"",(I254+0.5*J254+1)/(N254+2))</x:f>
      </x:c>
      <x:c r="Q254" s="34" t="str"/>
      <x:c r="R254" s="34" t="str"/>
      <x:c r="S254" s="34" t="str"/>
      <x:c r="T254" s="34" t="str"/>
      <x:c r="U254" s="34" t="str"/>
      <x:c r="V254" s="34" t="str">
        <x:f>IF(A254="","",IF(N254&lt;5,"样本不足",IF(Q254&gt;=1,"优先复核",IF(AND(N254&gt;=20,P254&lt;0.35,K254&gt;=5),"停用候选",IF(AND(N254&gt;=10,P254&lt;0.45),"需修改候选",IF(AND(N254&gt;=10,P254&gt;=0.75,R254/N254&lt;=0.15,S254/N254&lt;=0.15),"升级候选",IF(R254/N254&gt;0.3,"收紧条件",IF(S254/N254&gt;0.3,"补漏／放宽","继续观察"))))))))</x:f>
        <x:v>样本不足</x:v>
      </x:c>
      <x:c r="W254" s="34" t="str">
        <x:f>IF(V254="","",IF(V254="升级候选","已验证候选",IF(V254="停用候选","停用候选",IF(OR(V254="需修改候选",V254="收紧条件",V254="补漏／放宽",V254="优先复核"),"需修改／复核","观察中"))))</x:f>
        <x:v>观察中</x:v>
      </x:c>
      <x:c r="X254" s="34" t="str"/>
      <x:c r="Y254" s="34" t="str"/>
    </x:row>
    <x:row r="255">
      <x:c r="A255" s="34" t="str">
        <x:v>M5-SYNTH-212</x:v>
      </x:c>
      <x:c r="B255" s="34" t="str">
        <x:v>SYNTH</x:v>
      </x:c>
      <x:c r="C255" s="34" t="str">
        <x:v>P0_SYNTH总合成</x:v>
      </x:c>
      <x:c r="D255" s="34" t="str">
        <x:v>桥接计划强／现实未启动｜只算FB1</x:v>
      </x:c>
      <x:c r="E255" s="34" t="str">
        <x:v>L5 冲突裁决与主次排序</x:v>
      </x:c>
      <x:c r="F255" s="34" t="str">
        <x:v>裁决</x:v>
      </x:c>
      <x:c r="G255" s="34" t="n">
        <x:v>90</x:v>
      </x:c>
      <x:c r="H255" s="34" t="str">
        <x:v>待验证</x:v>
      </x:c>
      <x:c r="I255" s="34" t="str"/>
      <x:c r="J255" s="34" t="str"/>
      <x:c r="K255" s="34" t="str"/>
      <x:c r="L255" s="34" t="str"/>
      <x:c r="M255" s="34" t="str"/>
      <x:c r="N255" s="34" t="n">
        <x:f>IF(A255="","",I255+J255+K255)</x:f>
        <x:v>0</x:v>
      </x:c>
      <x:c r="O255" s="56" t="str">
        <x:f>IF(N255=0,"",(I255+0.5*J255)/N255)</x:f>
      </x:c>
      <x:c r="P255" s="56" t="str">
        <x:f>IF(N255=0,"",(I255+0.5*J255+1)/(N255+2))</x:f>
      </x:c>
      <x:c r="Q255" s="34" t="str"/>
      <x:c r="R255" s="34" t="str"/>
      <x:c r="S255" s="34" t="str"/>
      <x:c r="T255" s="34" t="str"/>
      <x:c r="U255" s="34" t="str"/>
      <x:c r="V255" s="34" t="str">
        <x:f>IF(A255="","",IF(N255&lt;5,"样本不足",IF(Q255&gt;=1,"优先复核",IF(AND(N255&gt;=20,P255&lt;0.35,K255&gt;=5),"停用候选",IF(AND(N255&gt;=10,P255&lt;0.45),"需修改候选",IF(AND(N255&gt;=10,P255&gt;=0.75,R255/N255&lt;=0.15,S255/N255&lt;=0.15),"升级候选",IF(R255/N255&gt;0.3,"收紧条件",IF(S255/N255&gt;0.3,"补漏／放宽","继续观察"))))))))</x:f>
        <x:v>样本不足</x:v>
      </x:c>
      <x:c r="W255" s="34" t="str">
        <x:f>IF(V255="","",IF(V255="升级候选","已验证候选",IF(V255="停用候选","停用候选",IF(OR(V255="需修改候选",V255="收紧条件",V255="补漏／放宽",V255="优先复核"),"需修改／复核","观察中"))))</x:f>
        <x:v>观察中</x:v>
      </x:c>
      <x:c r="X255" s="34" t="str"/>
      <x:c r="Y255" s="34" t="str"/>
    </x:row>
    <x:row r="256">
      <x:c r="A256" s="34" t="str">
        <x:v>M5-SYNTH-213</x:v>
      </x:c>
      <x:c r="B256" s="34" t="str">
        <x:v>SYNTH</x:v>
      </x:c>
      <x:c r="C256" s="34" t="str">
        <x:v>P0_SYNTH总合成</x:v>
      </x:c>
      <x:c r="D256" s="34" t="str">
        <x:v>桥接一次有效／未复发检验｜最高FB3</x:v>
      </x:c>
      <x:c r="E256" s="34" t="str">
        <x:v>L5 冲突裁决与主次排序</x:v>
      </x:c>
      <x:c r="F256" s="34" t="str">
        <x:v>裁决</x:v>
      </x:c>
      <x:c r="G256" s="34" t="n">
        <x:v>90</x:v>
      </x:c>
      <x:c r="H256" s="34" t="str">
        <x:v>待验证</x:v>
      </x:c>
      <x:c r="I256" s="34" t="str"/>
      <x:c r="J256" s="34" t="str"/>
      <x:c r="K256" s="34" t="str"/>
      <x:c r="L256" s="34" t="str"/>
      <x:c r="M256" s="34" t="str"/>
      <x:c r="N256" s="34" t="n">
        <x:f>IF(A256="","",I256+J256+K256)</x:f>
        <x:v>0</x:v>
      </x:c>
      <x:c r="O256" s="56" t="str">
        <x:f>IF(N256=0,"",(I256+0.5*J256)/N256)</x:f>
      </x:c>
      <x:c r="P256" s="56" t="str">
        <x:f>IF(N256=0,"",(I256+0.5*J256+1)/(N256+2))</x:f>
      </x:c>
      <x:c r="Q256" s="34" t="str"/>
      <x:c r="R256" s="34" t="str"/>
      <x:c r="S256" s="34" t="str"/>
      <x:c r="T256" s="34" t="str"/>
      <x:c r="U256" s="34" t="str"/>
      <x:c r="V256" s="34" t="str">
        <x:f>IF(A256="","",IF(N256&lt;5,"样本不足",IF(Q256&gt;=1,"优先复核",IF(AND(N256&gt;=20,P256&lt;0.35,K256&gt;=5),"停用候选",IF(AND(N256&gt;=10,P256&lt;0.45),"需修改候选",IF(AND(N256&gt;=10,P256&gt;=0.75,R256/N256&lt;=0.15,S256/N256&lt;=0.15),"升级候选",IF(R256/N256&gt;0.3,"收紧条件",IF(S256/N256&gt;0.3,"补漏／放宽","继续观察"))))))))</x:f>
        <x:v>样本不足</x:v>
      </x:c>
      <x:c r="W256" s="34" t="str">
        <x:f>IF(V256="","",IF(V256="升级候选","已验证候选",IF(V256="停用候选","停用候选",IF(OR(V256="需修改候选",V256="收紧条件",V256="补漏／放宽",V256="优先复核"),"需修改／复核","观察中"))))</x:f>
        <x:v>观察中</x:v>
      </x:c>
      <x:c r="X256" s="34" t="str"/>
      <x:c r="Y256" s="34" t="str"/>
    </x:row>
    <x:row r="257">
      <x:c r="A257" s="34" t="str">
        <x:v>M5-SYNTH-214</x:v>
      </x:c>
      <x:c r="B257" s="34" t="str">
        <x:v>SYNTH</x:v>
      </x:c>
      <x:c r="C257" s="34" t="str">
        <x:v>P0_SYNTH总合成</x:v>
      </x:c>
      <x:c r="D257" s="34" t="str">
        <x:v>两个独立PR1候选｜按现实否决风险排序</x:v>
      </x:c>
      <x:c r="E257" s="34" t="str">
        <x:v>L5 冲突裁决与主次排序</x:v>
      </x:c>
      <x:c r="F257" s="34" t="str">
        <x:v>裁决</x:v>
      </x:c>
      <x:c r="G257" s="34" t="n">
        <x:v>90</x:v>
      </x:c>
      <x:c r="H257" s="34" t="str">
        <x:v>待验证</x:v>
      </x:c>
      <x:c r="I257" s="34" t="str"/>
      <x:c r="J257" s="34" t="str"/>
      <x:c r="K257" s="34" t="str"/>
      <x:c r="L257" s="34" t="str"/>
      <x:c r="M257" s="34" t="str"/>
      <x:c r="N257" s="34" t="n">
        <x:f>IF(A257="","",I257+J257+K257)</x:f>
        <x:v>0</x:v>
      </x:c>
      <x:c r="O257" s="56" t="str">
        <x:f>IF(N257=0,"",(I257+0.5*J257)/N257)</x:f>
      </x:c>
      <x:c r="P257" s="56" t="str">
        <x:f>IF(N257=0,"",(I257+0.5*J257+1)/(N257+2))</x:f>
      </x:c>
      <x:c r="Q257" s="34" t="str"/>
      <x:c r="R257" s="34" t="str"/>
      <x:c r="S257" s="34" t="str"/>
      <x:c r="T257" s="34" t="str"/>
      <x:c r="U257" s="34" t="str"/>
      <x:c r="V257" s="34" t="str">
        <x:f>IF(A257="","",IF(N257&lt;5,"样本不足",IF(Q257&gt;=1,"优先复核",IF(AND(N257&gt;=20,P257&lt;0.35,K257&gt;=5),"停用候选",IF(AND(N257&gt;=10,P257&lt;0.45),"需修改候选",IF(AND(N257&gt;=10,P257&gt;=0.75,R257/N257&lt;=0.15,S257/N257&lt;=0.15),"升级候选",IF(R257/N257&gt;0.3,"收紧条件",IF(S257/N257&gt;0.3,"补漏／放宽","继续观察"))))))))</x:f>
        <x:v>样本不足</x:v>
      </x:c>
      <x:c r="W257" s="34" t="str">
        <x:f>IF(V257="","",IF(V257="升级候选","已验证候选",IF(V257="停用候选","停用候选",IF(OR(V257="需修改候选",V257="收紧条件",V257="补漏／放宽",V257="优先复核"),"需修改／复核","观察中"))))</x:f>
        <x:v>观察中</x:v>
      </x:c>
      <x:c r="X257" s="34" t="str"/>
      <x:c r="Y257" s="34" t="str"/>
    </x:row>
    <x:row r="258">
      <x:c r="A258" s="34" t="str">
        <x:v>M5-SYNTH-215</x:v>
      </x:c>
      <x:c r="B258" s="34" t="str">
        <x:v>SYNTH</x:v>
      </x:c>
      <x:c r="C258" s="34" t="str">
        <x:v>P0_SYNTH总合成</x:v>
      </x:c>
      <x:c r="D258" s="34" t="str">
        <x:v>两个独立GAP候选｜一主一次</x:v>
      </x:c>
      <x:c r="E258" s="34" t="str">
        <x:v>L5 冲突裁决与主次排序</x:v>
      </x:c>
      <x:c r="F258" s="34" t="str">
        <x:v>裁决</x:v>
      </x:c>
      <x:c r="G258" s="34" t="n">
        <x:v>90</x:v>
      </x:c>
      <x:c r="H258" s="34" t="str">
        <x:v>待验证</x:v>
      </x:c>
      <x:c r="I258" s="34" t="str"/>
      <x:c r="J258" s="34" t="str"/>
      <x:c r="K258" s="34" t="str"/>
      <x:c r="L258" s="34" t="str"/>
      <x:c r="M258" s="34" t="str"/>
      <x:c r="N258" s="34" t="n">
        <x:f>IF(A258="","",I258+J258+K258)</x:f>
        <x:v>0</x:v>
      </x:c>
      <x:c r="O258" s="56" t="str">
        <x:f>IF(N258=0,"",(I258+0.5*J258)/N258)</x:f>
      </x:c>
      <x:c r="P258" s="56" t="str">
        <x:f>IF(N258=0,"",(I258+0.5*J258+1)/(N258+2))</x:f>
      </x:c>
      <x:c r="Q258" s="34" t="str"/>
      <x:c r="R258" s="34" t="str"/>
      <x:c r="S258" s="34" t="str"/>
      <x:c r="T258" s="34" t="str"/>
      <x:c r="U258" s="34" t="str"/>
      <x:c r="V258" s="34" t="str">
        <x:f>IF(A258="","",IF(N258&lt;5,"样本不足",IF(Q258&gt;=1,"优先复核",IF(AND(N258&gt;=20,P258&lt;0.35,K258&gt;=5),"停用候选",IF(AND(N258&gt;=10,P258&lt;0.45),"需修改候选",IF(AND(N258&gt;=10,P258&gt;=0.75,R258/N258&lt;=0.15,S258/N258&lt;=0.15),"升级候选",IF(R258/N258&gt;0.3,"收紧条件",IF(S258/N258&gt;0.3,"补漏／放宽","继续观察"))))))))</x:f>
        <x:v>样本不足</x:v>
      </x:c>
      <x:c r="W258" s="34" t="str">
        <x:f>IF(V258="","",IF(V258="升级候选","已验证候选",IF(V258="停用候选","停用候选",IF(OR(V258="需修改候选",V258="收紧条件",V258="补漏／放宽",V258="优先复核"),"需修改／复核","观察中"))))</x:f>
        <x:v>观察中</x:v>
      </x:c>
      <x:c r="X258" s="34" t="str"/>
      <x:c r="Y258" s="34" t="str"/>
    </x:row>
    <x:row r="259">
      <x:c r="A259" s="34" t="str">
        <x:v>M5-SYNTH-216</x:v>
      </x:c>
      <x:c r="B259" s="34" t="str">
        <x:v>SYNTH</x:v>
      </x:c>
      <x:c r="C259" s="34" t="str">
        <x:v>P0_SYNTH总合成</x:v>
      </x:c>
      <x:c r="D259" s="34" t="str">
        <x:v>权威模块冲突｜高权威字段优先</x:v>
      </x:c>
      <x:c r="E259" s="34" t="str">
        <x:v>L5 冲突裁决与主次排序</x:v>
      </x:c>
      <x:c r="F259" s="34" t="str">
        <x:v>裁决</x:v>
      </x:c>
      <x:c r="G259" s="34" t="n">
        <x:v>90</x:v>
      </x:c>
      <x:c r="H259" s="34" t="str">
        <x:v>待验证</x:v>
      </x:c>
      <x:c r="I259" s="34" t="str"/>
      <x:c r="J259" s="34" t="str"/>
      <x:c r="K259" s="34" t="str"/>
      <x:c r="L259" s="34" t="str"/>
      <x:c r="M259" s="34" t="str"/>
      <x:c r="N259" s="34" t="n">
        <x:f>IF(A259="","",I259+J259+K259)</x:f>
        <x:v>0</x:v>
      </x:c>
      <x:c r="O259" s="56" t="str">
        <x:f>IF(N259=0,"",(I259+0.5*J259)/N259)</x:f>
      </x:c>
      <x:c r="P259" s="56" t="str">
        <x:f>IF(N259=0,"",(I259+0.5*J259+1)/(N259+2))</x:f>
      </x:c>
      <x:c r="Q259" s="34" t="str"/>
      <x:c r="R259" s="34" t="str"/>
      <x:c r="S259" s="34" t="str"/>
      <x:c r="T259" s="34" t="str"/>
      <x:c r="U259" s="34" t="str"/>
      <x:c r="V259" s="34" t="str">
        <x:f>IF(A259="","",IF(N259&lt;5,"样本不足",IF(Q259&gt;=1,"优先复核",IF(AND(N259&gt;=20,P259&lt;0.35,K259&gt;=5),"停用候选",IF(AND(N259&gt;=10,P259&lt;0.45),"需修改候选",IF(AND(N259&gt;=10,P259&gt;=0.75,R259/N259&lt;=0.15,S259/N259&lt;=0.15),"升级候选",IF(R259/N259&gt;0.3,"收紧条件",IF(S259/N259&gt;0.3,"补漏／放宽","继续观察"))))))))</x:f>
        <x:v>样本不足</x:v>
      </x:c>
      <x:c r="W259" s="34" t="str">
        <x:f>IF(V259="","",IF(V259="升级候选","已验证候选",IF(V259="停用候选","停用候选",IF(OR(V259="需修改候选",V259="收紧条件",V259="补漏／放宽",V259="优先复核"),"需修改／复核","观察中"))))</x:f>
        <x:v>观察中</x:v>
      </x:c>
      <x:c r="X259" s="34" t="str"/>
      <x:c r="Y259" s="34" t="str"/>
    </x:row>
    <x:row r="260">
      <x:c r="A260" s="34" t="str">
        <x:v>M5-SYNTH-217</x:v>
      </x:c>
      <x:c r="B260" s="34" t="str">
        <x:v>SYNTH</x:v>
      </x:c>
      <x:c r="C260" s="34" t="str">
        <x:v>P0_SYNTH总合成</x:v>
      </x:c>
      <x:c r="D260" s="34" t="str">
        <x:v>主权威模块内部冲突｜降级而非平均</x:v>
      </x:c>
      <x:c r="E260" s="34" t="str">
        <x:v>L5 冲突裁决与主次排序</x:v>
      </x:c>
      <x:c r="F260" s="34" t="str">
        <x:v>裁决</x:v>
      </x:c>
      <x:c r="G260" s="34" t="n">
        <x:v>90</x:v>
      </x:c>
      <x:c r="H260" s="34" t="str">
        <x:v>待验证</x:v>
      </x:c>
      <x:c r="I260" s="34" t="str"/>
      <x:c r="J260" s="34" t="str"/>
      <x:c r="K260" s="34" t="str"/>
      <x:c r="L260" s="34" t="str"/>
      <x:c r="M260" s="34" t="str"/>
      <x:c r="N260" s="34" t="n">
        <x:f>IF(A260="","",I260+J260+K260)</x:f>
        <x:v>0</x:v>
      </x:c>
      <x:c r="O260" s="56" t="str">
        <x:f>IF(N260=0,"",(I260+0.5*J260)/N260)</x:f>
      </x:c>
      <x:c r="P260" s="56" t="str">
        <x:f>IF(N260=0,"",(I260+0.5*J260+1)/(N260+2))</x:f>
      </x:c>
      <x:c r="Q260" s="34" t="str"/>
      <x:c r="R260" s="34" t="str"/>
      <x:c r="S260" s="34" t="str"/>
      <x:c r="T260" s="34" t="str"/>
      <x:c r="U260" s="34" t="str"/>
      <x:c r="V260" s="34" t="str">
        <x:f>IF(A260="","",IF(N260&lt;5,"样本不足",IF(Q260&gt;=1,"优先复核",IF(AND(N260&gt;=20,P260&lt;0.35,K260&gt;=5),"停用候选",IF(AND(N260&gt;=10,P260&lt;0.45),"需修改候选",IF(AND(N260&gt;=10,P260&gt;=0.75,R260/N260&lt;=0.15,S260/N260&lt;=0.15),"升级候选",IF(R260/N260&gt;0.3,"收紧条件",IF(S260/N260&gt;0.3,"补漏／放宽","继续观察"))))))))</x:f>
        <x:v>样本不足</x:v>
      </x:c>
      <x:c r="W260" s="34" t="str">
        <x:f>IF(V260="","",IF(V260="升级候选","已验证候选",IF(V260="停用候选","停用候选",IF(OR(V260="需修改候选",V260="收紧条件",V260="补漏／放宽",V260="优先复核"),"需修改／复核","观察中"))))</x:f>
        <x:v>观察中</x:v>
      </x:c>
      <x:c r="X260" s="34" t="str"/>
      <x:c r="Y260" s="34" t="str"/>
    </x:row>
    <x:row r="261">
      <x:c r="A261" s="34" t="str">
        <x:v>M5-SYNTH-218</x:v>
      </x:c>
      <x:c r="B261" s="34" t="str">
        <x:v>SYNTH</x:v>
      </x:c>
      <x:c r="C261" s="34" t="str">
        <x:v>P0_SYNTH总合成</x:v>
      </x:c>
      <x:c r="D261" s="34" t="str">
        <x:v>具体对象当前资料与历史对象分开</x:v>
      </x:c>
      <x:c r="E261" s="34" t="str">
        <x:v>L5 冲突裁决与主次排序</x:v>
      </x:c>
      <x:c r="F261" s="34" t="str">
        <x:v>裁决</x:v>
      </x:c>
      <x:c r="G261" s="34" t="n">
        <x:v>90</x:v>
      </x:c>
      <x:c r="H261" s="34" t="str">
        <x:v>待验证</x:v>
      </x:c>
      <x:c r="I261" s="34" t="str"/>
      <x:c r="J261" s="34" t="str"/>
      <x:c r="K261" s="34" t="str"/>
      <x:c r="L261" s="34" t="str"/>
      <x:c r="M261" s="34" t="str"/>
      <x:c r="N261" s="34" t="n">
        <x:f>IF(A261="","",I261+J261+K261)</x:f>
        <x:v>0</x:v>
      </x:c>
      <x:c r="O261" s="56" t="str">
        <x:f>IF(N261=0,"",(I261+0.5*J261)/N261)</x:f>
      </x:c>
      <x:c r="P261" s="56" t="str">
        <x:f>IF(N261=0,"",(I261+0.5*J261+1)/(N261+2))</x:f>
      </x:c>
      <x:c r="Q261" s="34" t="str"/>
      <x:c r="R261" s="34" t="str"/>
      <x:c r="S261" s="34" t="str"/>
      <x:c r="T261" s="34" t="str"/>
      <x:c r="U261" s="34" t="str"/>
      <x:c r="V261" s="34" t="str">
        <x:f>IF(A261="","",IF(N261&lt;5,"样本不足",IF(Q261&gt;=1,"优先复核",IF(AND(N261&gt;=20,P261&lt;0.35,K261&gt;=5),"停用候选",IF(AND(N261&gt;=10,P261&lt;0.45),"需修改候选",IF(AND(N261&gt;=10,P261&gt;=0.75,R261/N261&lt;=0.15,S261/N261&lt;=0.15),"升级候选",IF(R261/N261&gt;0.3,"收紧条件",IF(S261/N261&gt;0.3,"补漏／放宽","继续观察"))))))))</x:f>
        <x:v>样本不足</x:v>
      </x:c>
      <x:c r="W261" s="34" t="str">
        <x:f>IF(V261="","",IF(V261="升级候选","已验证候选",IF(V261="停用候选","停用候选",IF(OR(V261="需修改候选",V261="收紧条件",V261="补漏／放宽",V261="优先复核"),"需修改／复核","观察中"))))</x:f>
        <x:v>观察中</x:v>
      </x:c>
      <x:c r="X261" s="34" t="str"/>
      <x:c r="Y261" s="34" t="str"/>
    </x:row>
    <x:row r="262">
      <x:c r="A262" s="34" t="str">
        <x:v>M5-SYNTH-219</x:v>
      </x:c>
      <x:c r="B262" s="34" t="str">
        <x:v>SYNTH</x:v>
      </x:c>
      <x:c r="C262" s="34" t="str">
        <x:v>P0_SYNTH总合成</x:v>
      </x:c>
      <x:c r="D262" s="34" t="str">
        <x:v>一方自述与双方事件冲突｜事件优先</x:v>
      </x:c>
      <x:c r="E262" s="34" t="str">
        <x:v>L5 冲突裁决与主次排序</x:v>
      </x:c>
      <x:c r="F262" s="34" t="str">
        <x:v>裁决</x:v>
      </x:c>
      <x:c r="G262" s="34" t="n">
        <x:v>90</x:v>
      </x:c>
      <x:c r="H262" s="34" t="str">
        <x:v>待验证</x:v>
      </x:c>
      <x:c r="I262" s="34" t="str"/>
      <x:c r="J262" s="34" t="str"/>
      <x:c r="K262" s="34" t="str"/>
      <x:c r="L262" s="34" t="str"/>
      <x:c r="M262" s="34" t="str"/>
      <x:c r="N262" s="34" t="n">
        <x:f>IF(A262="","",I262+J262+K262)</x:f>
        <x:v>0</x:v>
      </x:c>
      <x:c r="O262" s="56" t="str">
        <x:f>IF(N262=0,"",(I262+0.5*J262)/N262)</x:f>
      </x:c>
      <x:c r="P262" s="56" t="str">
        <x:f>IF(N262=0,"",(I262+0.5*J262+1)/(N262+2))</x:f>
      </x:c>
      <x:c r="Q262" s="34" t="str"/>
      <x:c r="R262" s="34" t="str"/>
      <x:c r="S262" s="34" t="str"/>
      <x:c r="T262" s="34" t="str"/>
      <x:c r="U262" s="34" t="str"/>
      <x:c r="V262" s="34" t="str">
        <x:f>IF(A262="","",IF(N262&lt;5,"样本不足",IF(Q262&gt;=1,"优先复核",IF(AND(N262&gt;=20,P262&lt;0.35,K262&gt;=5),"停用候选",IF(AND(N262&gt;=10,P262&lt;0.45),"需修改候选",IF(AND(N262&gt;=10,P262&gt;=0.75,R262/N262&lt;=0.15,S262/N262&lt;=0.15),"升级候选",IF(R262/N262&gt;0.3,"收紧条件",IF(S262/N262&gt;0.3,"补漏／放宽","继续观察"))))))))</x:f>
        <x:v>样本不足</x:v>
      </x:c>
      <x:c r="W262" s="34" t="str">
        <x:f>IF(V262="","",IF(V262="升级候选","已验证候选",IF(V262="停用候选","停用候选",IF(OR(V262="需修改候选",V262="收紧条件",V262="补漏／放宽",V262="优先复核"),"需修改／复核","观察中"))))</x:f>
        <x:v>观察中</x:v>
      </x:c>
      <x:c r="X262" s="34" t="str"/>
      <x:c r="Y262" s="34" t="str"/>
    </x:row>
    <x:row r="263">
      <x:c r="A263" s="34" t="str">
        <x:v>M5-SYNTH-220</x:v>
      </x:c>
      <x:c r="B263" s="34" t="str">
        <x:v>SYNTH</x:v>
      </x:c>
      <x:c r="C263" s="34" t="str">
        <x:v>P0_SYNTH总合成</x:v>
      </x:c>
      <x:c r="D263" s="34" t="str">
        <x:v>用户明确偏好与命理推断冲突｜现实偏好保留</x:v>
      </x:c>
      <x:c r="E263" s="34" t="str">
        <x:v>L5 冲突裁决与主次排序</x:v>
      </x:c>
      <x:c r="F263" s="34" t="str">
        <x:v>裁决</x:v>
      </x:c>
      <x:c r="G263" s="34" t="n">
        <x:v>90</x:v>
      </x:c>
      <x:c r="H263" s="34" t="str">
        <x:v>待验证</x:v>
      </x:c>
      <x:c r="I263" s="34" t="str"/>
      <x:c r="J263" s="34" t="str"/>
      <x:c r="K263" s="34" t="str"/>
      <x:c r="L263" s="34" t="str"/>
      <x:c r="M263" s="34" t="str"/>
      <x:c r="N263" s="34" t="n">
        <x:f>IF(A263="","",I263+J263+K263)</x:f>
        <x:v>0</x:v>
      </x:c>
      <x:c r="O263" s="56" t="str">
        <x:f>IF(N263=0,"",(I263+0.5*J263)/N263)</x:f>
      </x:c>
      <x:c r="P263" s="56" t="str">
        <x:f>IF(N263=0,"",(I263+0.5*J263+1)/(N263+2))</x:f>
      </x:c>
      <x:c r="Q263" s="34" t="str"/>
      <x:c r="R263" s="34" t="str"/>
      <x:c r="S263" s="34" t="str"/>
      <x:c r="T263" s="34" t="str"/>
      <x:c r="U263" s="34" t="str"/>
      <x:c r="V263" s="34" t="str">
        <x:f>IF(A263="","",IF(N263&lt;5,"样本不足",IF(Q263&gt;=1,"优先复核",IF(AND(N263&gt;=20,P263&lt;0.35,K263&gt;=5),"停用候选",IF(AND(N263&gt;=10,P263&lt;0.45),"需修改候选",IF(AND(N263&gt;=10,P263&gt;=0.75,R263/N263&lt;=0.15,S263/N263&lt;=0.15),"升级候选",IF(R263/N263&gt;0.3,"收紧条件",IF(S263/N263&gt;0.3,"补漏／放宽","继续观察"))))))))</x:f>
        <x:v>样本不足</x:v>
      </x:c>
      <x:c r="W263" s="34" t="str">
        <x:f>IF(V263="","",IF(V263="升级候选","已验证候选",IF(V263="停用候选","停用候选",IF(OR(V263="需修改候选",V263="收紧条件",V263="补漏／放宽",V263="优先复核"),"需修改／复核","观察中"))))</x:f>
        <x:v>观察中</x:v>
      </x:c>
      <x:c r="X263" s="34" t="str"/>
      <x:c r="Y263" s="34" t="str"/>
    </x:row>
    <x:row r="264">
      <x:c r="A264" s="34" t="str">
        <x:v>M5-SYNTH-221</x:v>
      </x:c>
      <x:c r="B264" s="34" t="str">
        <x:v>SYNTH</x:v>
      </x:c>
      <x:c r="C264" s="34" t="str">
        <x:v>P0_SYNTH总合成</x:v>
      </x:c>
      <x:c r="D264" s="34" t="str">
        <x:v>现实对象功能不足但愿意学习｜不等于不适配</x:v>
      </x:c>
      <x:c r="E264" s="34" t="str">
        <x:v>L5 冲突裁决与主次排序</x:v>
      </x:c>
      <x:c r="F264" s="34" t="str">
        <x:v>裁决</x:v>
      </x:c>
      <x:c r="G264" s="34" t="n">
        <x:v>90</x:v>
      </x:c>
      <x:c r="H264" s="34" t="str">
        <x:v>待验证</x:v>
      </x:c>
      <x:c r="I264" s="34" t="str"/>
      <x:c r="J264" s="34" t="str"/>
      <x:c r="K264" s="34" t="str"/>
      <x:c r="L264" s="34" t="str"/>
      <x:c r="M264" s="34" t="str"/>
      <x:c r="N264" s="34" t="n">
        <x:f>IF(A264="","",I264+J264+K264)</x:f>
        <x:v>0</x:v>
      </x:c>
      <x:c r="O264" s="56" t="str">
        <x:f>IF(N264=0,"",(I264+0.5*J264)/N264)</x:f>
      </x:c>
      <x:c r="P264" s="56" t="str">
        <x:f>IF(N264=0,"",(I264+0.5*J264+1)/(N264+2))</x:f>
      </x:c>
      <x:c r="Q264" s="34" t="str"/>
      <x:c r="R264" s="34" t="str"/>
      <x:c r="S264" s="34" t="str"/>
      <x:c r="T264" s="34" t="str"/>
      <x:c r="U264" s="34" t="str"/>
      <x:c r="V264" s="34" t="str">
        <x:f>IF(A264="","",IF(N264&lt;5,"样本不足",IF(Q264&gt;=1,"优先复核",IF(AND(N264&gt;=20,P264&lt;0.35,K264&gt;=5),"停用候选",IF(AND(N264&gt;=10,P264&lt;0.45),"需修改候选",IF(AND(N264&gt;=10,P264&gt;=0.75,R264/N264&lt;=0.15,S264/N264&lt;=0.15),"升级候选",IF(R264/N264&gt;0.3,"收紧条件",IF(S264/N264&gt;0.3,"补漏／放宽","继续观察"))))))))</x:f>
        <x:v>样本不足</x:v>
      </x:c>
      <x:c r="W264" s="34" t="str">
        <x:f>IF(V264="","",IF(V264="升级候选","已验证候选",IF(V264="停用候选","停用候选",IF(OR(V264="需修改候选",V264="收紧条件",V264="补漏／放宽",V264="优先复核"),"需修改／复核","观察中"))))</x:f>
        <x:v>观察中</x:v>
      </x:c>
      <x:c r="X264" s="34" t="str"/>
      <x:c r="Y264" s="34" t="str"/>
    </x:row>
    <x:row r="265">
      <x:c r="A265" s="34" t="str">
        <x:v>M5-SYNTH-222</x:v>
      </x:c>
      <x:c r="B265" s="34" t="str">
        <x:v>SYNTH</x:v>
      </x:c>
      <x:c r="C265" s="34" t="str">
        <x:v>P0_SYNTH总合成</x:v>
      </x:c>
      <x:c r="D265" s="34" t="str">
        <x:v>对象功能很强但越权｜成熟度优先于强度</x:v>
      </x:c>
      <x:c r="E265" s="34" t="str">
        <x:v>L5 冲突裁决与主次排序</x:v>
      </x:c>
      <x:c r="F265" s="34" t="str">
        <x:v>裁决</x:v>
      </x:c>
      <x:c r="G265" s="34" t="n">
        <x:v>90</x:v>
      </x:c>
      <x:c r="H265" s="34" t="str">
        <x:v>待验证</x:v>
      </x:c>
      <x:c r="I265" s="34" t="str"/>
      <x:c r="J265" s="34" t="str"/>
      <x:c r="K265" s="34" t="str"/>
      <x:c r="L265" s="34" t="str"/>
      <x:c r="M265" s="34" t="str"/>
      <x:c r="N265" s="34" t="n">
        <x:f>IF(A265="","",I265+J265+K265)</x:f>
        <x:v>0</x:v>
      </x:c>
      <x:c r="O265" s="56" t="str">
        <x:f>IF(N265=0,"",(I265+0.5*J265)/N265)</x:f>
      </x:c>
      <x:c r="P265" s="56" t="str">
        <x:f>IF(N265=0,"",(I265+0.5*J265+1)/(N265+2))</x:f>
      </x:c>
      <x:c r="Q265" s="34" t="str"/>
      <x:c r="R265" s="34" t="str"/>
      <x:c r="S265" s="34" t="str"/>
      <x:c r="T265" s="34" t="str"/>
      <x:c r="U265" s="34" t="str"/>
      <x:c r="V265" s="34" t="str">
        <x:f>IF(A265="","",IF(N265&lt;5,"样本不足",IF(Q265&gt;=1,"优先复核",IF(AND(N265&gt;=20,P265&lt;0.35,K265&gt;=5),"停用候选",IF(AND(N265&gt;=10,P265&lt;0.45),"需修改候选",IF(AND(N265&gt;=10,P265&gt;=0.75,R265/N265&lt;=0.15,S265/N265&lt;=0.15),"升级候选",IF(R265/N265&gt;0.3,"收紧条件",IF(S265/N265&gt;0.3,"补漏／放宽","继续观察"))))))))</x:f>
        <x:v>样本不足</x:v>
      </x:c>
      <x:c r="W265" s="34" t="str">
        <x:f>IF(V265="","",IF(V265="升级候选","已验证候选",IF(V265="停用候选","停用候选",IF(OR(V265="需修改候选",V265="收紧条件",V265="补漏／放宽",V265="优先复核"),"需修改／复核","观察中"))))</x:f>
        <x:v>观察中</x:v>
      </x:c>
      <x:c r="X265" s="34" t="str"/>
      <x:c r="Y265" s="34" t="str"/>
    </x:row>
    <x:row r="266">
      <x:c r="A266" s="34" t="str">
        <x:v>M5-SYNTH-223</x:v>
      </x:c>
      <x:c r="B266" s="34" t="str">
        <x:v>SYNTH</x:v>
      </x:c>
      <x:c r="C266" s="34" t="str">
        <x:v>P0_SYNTH总合成</x:v>
      </x:c>
      <x:c r="D266" s="34" t="str">
        <x:v>高心动＋高准入＋低现实结构｜主差异优先</x:v>
      </x:c>
      <x:c r="E266" s="34" t="str">
        <x:v>L5 冲突裁决与主次排序</x:v>
      </x:c>
      <x:c r="F266" s="34" t="str">
        <x:v>裁决</x:v>
      </x:c>
      <x:c r="G266" s="34" t="n">
        <x:v>90</x:v>
      </x:c>
      <x:c r="H266" s="34" t="str">
        <x:v>待验证</x:v>
      </x:c>
      <x:c r="I266" s="34" t="str"/>
      <x:c r="J266" s="34" t="str"/>
      <x:c r="K266" s="34" t="str"/>
      <x:c r="L266" s="34" t="str"/>
      <x:c r="M266" s="34" t="str"/>
      <x:c r="N266" s="34" t="n">
        <x:f>IF(A266="","",I266+J266+K266)</x:f>
        <x:v>0</x:v>
      </x:c>
      <x:c r="O266" s="56" t="str">
        <x:f>IF(N266=0,"",(I266+0.5*J266)/N266)</x:f>
      </x:c>
      <x:c r="P266" s="56" t="str">
        <x:f>IF(N266=0,"",(I266+0.5*J266+1)/(N266+2))</x:f>
      </x:c>
      <x:c r="Q266" s="34" t="str"/>
      <x:c r="R266" s="34" t="str"/>
      <x:c r="S266" s="34" t="str"/>
      <x:c r="T266" s="34" t="str"/>
      <x:c r="U266" s="34" t="str"/>
      <x:c r="V266" s="34" t="str">
        <x:f>IF(A266="","",IF(N266&lt;5,"样本不足",IF(Q266&gt;=1,"优先复核",IF(AND(N266&gt;=20,P266&lt;0.35,K266&gt;=5),"停用候选",IF(AND(N266&gt;=10,P266&lt;0.45),"需修改候选",IF(AND(N266&gt;=10,P266&gt;=0.75,R266/N266&lt;=0.15,S266/N266&lt;=0.15),"升级候选",IF(R266/N266&gt;0.3,"收紧条件",IF(S266/N266&gt;0.3,"补漏／放宽","继续观察"))))))))</x:f>
        <x:v>样本不足</x:v>
      </x:c>
      <x:c r="W266" s="34" t="str">
        <x:f>IF(V266="","",IF(V266="升级候选","已验证候选",IF(V266="停用候选","停用候选",IF(OR(V266="需修改候选",V266="收紧条件",V266="补漏／放宽",V266="优先复核"),"需修改／复核","观察中"))))</x:f>
        <x:v>观察中</x:v>
      </x:c>
      <x:c r="X266" s="34" t="str"/>
      <x:c r="Y266" s="34" t="str"/>
    </x:row>
    <x:row r="267">
      <x:c r="A267" s="34" t="str">
        <x:v>M5-SYNTH-224</x:v>
      </x:c>
      <x:c r="B267" s="34" t="str">
        <x:v>SYNTH</x:v>
      </x:c>
      <x:c r="C267" s="34" t="str">
        <x:v>P0_SYNTH总合成</x:v>
      </x:c>
      <x:c r="D267" s="34" t="str">
        <x:v>低心动＋高现实结构｜吸引底线另行确认</x:v>
      </x:c>
      <x:c r="E267" s="34" t="str">
        <x:v>L5 冲突裁决与主次排序</x:v>
      </x:c>
      <x:c r="F267" s="34" t="str">
        <x:v>裁决</x:v>
      </x:c>
      <x:c r="G267" s="34" t="n">
        <x:v>90</x:v>
      </x:c>
      <x:c r="H267" s="34" t="str">
        <x:v>待验证</x:v>
      </x:c>
      <x:c r="I267" s="34" t="str"/>
      <x:c r="J267" s="34" t="str"/>
      <x:c r="K267" s="34" t="str"/>
      <x:c r="L267" s="34" t="str"/>
      <x:c r="M267" s="34" t="str"/>
      <x:c r="N267" s="34" t="n">
        <x:f>IF(A267="","",I267+J267+K267)</x:f>
        <x:v>0</x:v>
      </x:c>
      <x:c r="O267" s="56" t="str">
        <x:f>IF(N267=0,"",(I267+0.5*J267)/N267)</x:f>
      </x:c>
      <x:c r="P267" s="56" t="str">
        <x:f>IF(N267=0,"",(I267+0.5*J267+1)/(N267+2))</x:f>
      </x:c>
      <x:c r="Q267" s="34" t="str"/>
      <x:c r="R267" s="34" t="str"/>
      <x:c r="S267" s="34" t="str"/>
      <x:c r="T267" s="34" t="str"/>
      <x:c r="U267" s="34" t="str"/>
      <x:c r="V267" s="34" t="str">
        <x:f>IF(A267="","",IF(N267&lt;5,"样本不足",IF(Q267&gt;=1,"优先复核",IF(AND(N267&gt;=20,P267&lt;0.35,K267&gt;=5),"停用候选",IF(AND(N267&gt;=10,P267&lt;0.45),"需修改候选",IF(AND(N267&gt;=10,P267&gt;=0.75,R267/N267&lt;=0.15,S267/N267&lt;=0.15),"升级候选",IF(R267/N267&gt;0.3,"收紧条件",IF(S267/N267&gt;0.3,"补漏／放宽","继续观察"))))))))</x:f>
        <x:v>样本不足</x:v>
      </x:c>
      <x:c r="W267" s="34" t="str">
        <x:f>IF(V267="","",IF(V267="升级候选","已验证候选",IF(V267="停用候选","停用候选",IF(OR(V267="需修改候选",V267="收紧条件",V267="补漏／放宽",V267="优先复核"),"需修改／复核","观察中"))))</x:f>
        <x:v>观察中</x:v>
      </x:c>
      <x:c r="X267" s="34" t="str"/>
      <x:c r="Y267" s="34" t="str"/>
    </x:row>
    <x:row r="268">
      <x:c r="A268" s="34" t="str">
        <x:v>M5-SYNTH-225</x:v>
      </x:c>
      <x:c r="B268" s="34" t="str">
        <x:v>SYNTH</x:v>
      </x:c>
      <x:c r="C268" s="34" t="str">
        <x:v>P0_SYNTH总合成</x:v>
      </x:c>
      <x:c r="D268" s="34" t="str">
        <x:v>核心门槛全通过但修复未验证｜最高AF05／FG3</x:v>
      </x:c>
      <x:c r="E268" s="34" t="str">
        <x:v>L5 冲突裁决与主次排序</x:v>
      </x:c>
      <x:c r="F268" s="34" t="str">
        <x:v>裁决</x:v>
      </x:c>
      <x:c r="G268" s="34" t="n">
        <x:v>90</x:v>
      </x:c>
      <x:c r="H268" s="34" t="str">
        <x:v>待验证</x:v>
      </x:c>
      <x:c r="I268" s="34" t="str"/>
      <x:c r="J268" s="34" t="str"/>
      <x:c r="K268" s="34" t="str"/>
      <x:c r="L268" s="34" t="str"/>
      <x:c r="M268" s="34" t="str"/>
      <x:c r="N268" s="34" t="n">
        <x:f>IF(A268="","",I268+J268+K268)</x:f>
        <x:v>0</x:v>
      </x:c>
      <x:c r="O268" s="56" t="str">
        <x:f>IF(N268=0,"",(I268+0.5*J268)/N268)</x:f>
      </x:c>
      <x:c r="P268" s="56" t="str">
        <x:f>IF(N268=0,"",(I268+0.5*J268+1)/(N268+2))</x:f>
      </x:c>
      <x:c r="Q268" s="34" t="str"/>
      <x:c r="R268" s="34" t="str"/>
      <x:c r="S268" s="34" t="str"/>
      <x:c r="T268" s="34" t="str"/>
      <x:c r="U268" s="34" t="str"/>
      <x:c r="V268" s="34" t="str">
        <x:f>IF(A268="","",IF(N268&lt;5,"样本不足",IF(Q268&gt;=1,"优先复核",IF(AND(N268&gt;=20,P268&lt;0.35,K268&gt;=5),"停用候选",IF(AND(N268&gt;=10,P268&lt;0.45),"需修改候选",IF(AND(N268&gt;=10,P268&gt;=0.75,R268/N268&lt;=0.15,S268/N268&lt;=0.15),"升级候选",IF(R268/N268&gt;0.3,"收紧条件",IF(S268/N268&gt;0.3,"补漏／放宽","继续观察"))))))))</x:f>
        <x:v>样本不足</x:v>
      </x:c>
      <x:c r="W268" s="34" t="str">
        <x:f>IF(V268="","",IF(V268="升级候选","已验证候选",IF(V268="停用候选","停用候选",IF(OR(V268="需修改候选",V268="收紧条件",V268="补漏／放宽",V268="优先复核"),"需修改／复核","观察中"))))</x:f>
        <x:v>观察中</x:v>
      </x:c>
      <x:c r="X268" s="34" t="str"/>
      <x:c r="Y268" s="34" t="str"/>
    </x:row>
    <x:row r="269">
      <x:c r="A269" s="34" t="str">
        <x:v>M5-SYNTH-227</x:v>
      </x:c>
      <x:c r="B269" s="34" t="str">
        <x:v>SYNTH</x:v>
      </x:c>
      <x:c r="C269" s="34" t="str">
        <x:v>P0_SYNTH总合成</x:v>
      </x:c>
      <x:c r="D269" s="34" t="str">
        <x:v>条件性适配与阶段性适配收敛</x:v>
      </x:c>
      <x:c r="E269" s="34" t="str">
        <x:v>L5 冲突裁决与主次排序</x:v>
      </x:c>
      <x:c r="F269" s="34" t="str">
        <x:v>裁决</x:v>
      </x:c>
      <x:c r="G269" s="34" t="n">
        <x:v>90</x:v>
      </x:c>
      <x:c r="H269" s="34" t="str">
        <x:v>待验证</x:v>
      </x:c>
      <x:c r="I269" s="34" t="str"/>
      <x:c r="J269" s="34" t="str"/>
      <x:c r="K269" s="34" t="str"/>
      <x:c r="L269" s="34" t="str"/>
      <x:c r="M269" s="34" t="str"/>
      <x:c r="N269" s="34" t="n">
        <x:f>IF(A269="","",I269+J269+K269)</x:f>
        <x:v>0</x:v>
      </x:c>
      <x:c r="O269" s="56" t="str">
        <x:f>IF(N269=0,"",(I269+0.5*J269)/N269)</x:f>
      </x:c>
      <x:c r="P269" s="56" t="str">
        <x:f>IF(N269=0,"",(I269+0.5*J269+1)/(N269+2))</x:f>
      </x:c>
      <x:c r="Q269" s="34" t="str"/>
      <x:c r="R269" s="34" t="str"/>
      <x:c r="S269" s="34" t="str"/>
      <x:c r="T269" s="34" t="str"/>
      <x:c r="U269" s="34" t="str"/>
      <x:c r="V269" s="34" t="str">
        <x:f>IF(A269="","",IF(N269&lt;5,"样本不足",IF(Q269&gt;=1,"优先复核",IF(AND(N269&gt;=20,P269&lt;0.35,K269&gt;=5),"停用候选",IF(AND(N269&gt;=10,P269&lt;0.45),"需修改候选",IF(AND(N269&gt;=10,P269&gt;=0.75,R269/N269&lt;=0.15,S269/N269&lt;=0.15),"升级候选",IF(R269/N269&gt;0.3,"收紧条件",IF(S269/N269&gt;0.3,"补漏／放宽","继续观察"))))))))</x:f>
        <x:v>样本不足</x:v>
      </x:c>
      <x:c r="W269" s="34" t="str">
        <x:f>IF(V269="","",IF(V269="升级候选","已验证候选",IF(V269="停用候选","停用候选",IF(OR(V269="需修改候选",V269="收紧条件",V269="补漏／放宽",V269="优先复核"),"需修改／复核","观察中"))))</x:f>
        <x:v>观察中</x:v>
      </x:c>
      <x:c r="X269" s="34" t="str"/>
      <x:c r="Y269" s="34" t="str"/>
    </x:row>
    <x:row r="270">
      <x:c r="A270" s="34" t="str">
        <x:v>M5-SYNTH-229</x:v>
      </x:c>
      <x:c r="B270" s="34" t="str">
        <x:v>SYNTH</x:v>
      </x:c>
      <x:c r="C270" s="34" t="str">
        <x:v>P0_SYNTH总合成</x:v>
      </x:c>
      <x:c r="D270" s="34" t="str">
        <x:v>缺失关键模块不等于零分</x:v>
      </x:c>
      <x:c r="E270" s="34" t="str">
        <x:v>L5 冲突裁决与主次排序</x:v>
      </x:c>
      <x:c r="F270" s="34" t="str">
        <x:v>裁决</x:v>
      </x:c>
      <x:c r="G270" s="34" t="n">
        <x:v>90</x:v>
      </x:c>
      <x:c r="H270" s="34" t="str">
        <x:v>待验证</x:v>
      </x:c>
      <x:c r="I270" s="34" t="str"/>
      <x:c r="J270" s="34" t="str"/>
      <x:c r="K270" s="34" t="str"/>
      <x:c r="L270" s="34" t="str"/>
      <x:c r="M270" s="34" t="str"/>
      <x:c r="N270" s="34" t="n">
        <x:f>IF(A270="","",I270+J270+K270)</x:f>
        <x:v>0</x:v>
      </x:c>
      <x:c r="O270" s="56" t="str">
        <x:f>IF(N270=0,"",(I270+0.5*J270)/N270)</x:f>
      </x:c>
      <x:c r="P270" s="56" t="str">
        <x:f>IF(N270=0,"",(I270+0.5*J270+1)/(N270+2))</x:f>
      </x:c>
      <x:c r="Q270" s="34" t="str"/>
      <x:c r="R270" s="34" t="str"/>
      <x:c r="S270" s="34" t="str"/>
      <x:c r="T270" s="34" t="str"/>
      <x:c r="U270" s="34" t="str"/>
      <x:c r="V270" s="34" t="str">
        <x:f>IF(A270="","",IF(N270&lt;5,"样本不足",IF(Q270&gt;=1,"优先复核",IF(AND(N270&gt;=20,P270&lt;0.35,K270&gt;=5),"停用候选",IF(AND(N270&gt;=10,P270&lt;0.45),"需修改候选",IF(AND(N270&gt;=10,P270&gt;=0.75,R270/N270&lt;=0.15,S270/N270&lt;=0.15),"升级候选",IF(R270/N270&gt;0.3,"收紧条件",IF(S270/N270&gt;0.3,"补漏／放宽","继续观察"))))))))</x:f>
        <x:v>样本不足</x:v>
      </x:c>
      <x:c r="W270" s="34" t="str">
        <x:f>IF(V270="","",IF(V270="升级候选","已验证候选",IF(V270="停用候选","停用候选",IF(OR(V270="需修改候选",V270="收紧条件",V270="补漏／放宽",V270="优先复核"),"需修改／复核","观察中"))))</x:f>
        <x:v>观察中</x:v>
      </x:c>
      <x:c r="X270" s="34" t="str"/>
      <x:c r="Y270" s="34" t="str"/>
    </x:row>
    <x:row r="271">
      <x:c r="A271" s="34" t="str">
        <x:v>M5-SYNTH-230</x:v>
      </x:c>
      <x:c r="B271" s="34" t="str">
        <x:v>SYNTH</x:v>
      </x:c>
      <x:c r="C271" s="34" t="str">
        <x:v>P0_SYNTH总合成</x:v>
      </x:c>
      <x:c r="D271" s="34" t="str">
        <x:v>不同关系阶段相反表现｜情境分层</x:v>
      </x:c>
      <x:c r="E271" s="34" t="str">
        <x:v>L5 冲突裁决与主次排序</x:v>
      </x:c>
      <x:c r="F271" s="34" t="str">
        <x:v>裁决</x:v>
      </x:c>
      <x:c r="G271" s="34" t="n">
        <x:v>90</x:v>
      </x:c>
      <x:c r="H271" s="34" t="str">
        <x:v>待验证</x:v>
      </x:c>
      <x:c r="I271" s="34" t="str"/>
      <x:c r="J271" s="34" t="str"/>
      <x:c r="K271" s="34" t="str"/>
      <x:c r="L271" s="34" t="str"/>
      <x:c r="M271" s="34" t="str"/>
      <x:c r="N271" s="34" t="n">
        <x:f>IF(A271="","",I271+J271+K271)</x:f>
        <x:v>0</x:v>
      </x:c>
      <x:c r="O271" s="56" t="str">
        <x:f>IF(N271=0,"",(I271+0.5*J271)/N271)</x:f>
      </x:c>
      <x:c r="P271" s="56" t="str">
        <x:f>IF(N271=0,"",(I271+0.5*J271+1)/(N271+2))</x:f>
      </x:c>
      <x:c r="Q271" s="34" t="str"/>
      <x:c r="R271" s="34" t="str"/>
      <x:c r="S271" s="34" t="str"/>
      <x:c r="T271" s="34" t="str"/>
      <x:c r="U271" s="34" t="str"/>
      <x:c r="V271" s="34" t="str">
        <x:f>IF(A271="","",IF(N271&lt;5,"样本不足",IF(Q271&gt;=1,"优先复核",IF(AND(N271&gt;=20,P271&lt;0.35,K271&gt;=5),"停用候选",IF(AND(N271&gt;=10,P271&lt;0.45),"需修改候选",IF(AND(N271&gt;=10,P271&gt;=0.75,R271/N271&lt;=0.15,S271/N271&lt;=0.15),"升级候选",IF(R271/N271&gt;0.3,"收紧条件",IF(S271/N271&gt;0.3,"补漏／放宽","继续观察"))))))))</x:f>
        <x:v>样本不足</x:v>
      </x:c>
      <x:c r="W271" s="34" t="str">
        <x:f>IF(V271="","",IF(V271="升级候选","已验证候选",IF(V271="停用候选","停用候选",IF(OR(V271="需修改候选",V271="收紧条件",V271="补漏／放宽",V271="优先复核"),"需修改／复核","观察中"))))</x:f>
        <x:v>观察中</x:v>
      </x:c>
      <x:c r="X271" s="34" t="str"/>
      <x:c r="Y271" s="34" t="str"/>
    </x:row>
    <x:row r="272">
      <x:c r="A272" s="34" t="str">
        <x:v>M5-SYNTH-231</x:v>
      </x:c>
      <x:c r="B272" s="34" t="str">
        <x:v>SYNTH</x:v>
      </x:c>
      <x:c r="C272" s="34" t="str">
        <x:v>P0_SYNTH总合成</x:v>
      </x:c>
      <x:c r="D272" s="34" t="str">
        <x:v>现实不可调差异优先于可调风格差异</x:v>
      </x:c>
      <x:c r="E272" s="34" t="str">
        <x:v>L5 冲突裁决与主次排序</x:v>
      </x:c>
      <x:c r="F272" s="34" t="str">
        <x:v>裁决</x:v>
      </x:c>
      <x:c r="G272" s="34" t="n">
        <x:v>90</x:v>
      </x:c>
      <x:c r="H272" s="34" t="str">
        <x:v>待验证</x:v>
      </x:c>
      <x:c r="I272" s="34" t="str"/>
      <x:c r="J272" s="34" t="str"/>
      <x:c r="K272" s="34" t="str"/>
      <x:c r="L272" s="34" t="str"/>
      <x:c r="M272" s="34" t="str"/>
      <x:c r="N272" s="34" t="n">
        <x:f>IF(A272="","",I272+J272+K272)</x:f>
        <x:v>0</x:v>
      </x:c>
      <x:c r="O272" s="56" t="str">
        <x:f>IF(N272=0,"",(I272+0.5*J272)/N272)</x:f>
      </x:c>
      <x:c r="P272" s="56" t="str">
        <x:f>IF(N272=0,"",(I272+0.5*J272+1)/(N272+2))</x:f>
      </x:c>
      <x:c r="Q272" s="34" t="str"/>
      <x:c r="R272" s="34" t="str"/>
      <x:c r="S272" s="34" t="str"/>
      <x:c r="T272" s="34" t="str"/>
      <x:c r="U272" s="34" t="str"/>
      <x:c r="V272" s="34" t="str">
        <x:f>IF(A272="","",IF(N272&lt;5,"样本不足",IF(Q272&gt;=1,"优先复核",IF(AND(N272&gt;=20,P272&lt;0.35,K272&gt;=5),"停用候选",IF(AND(N272&gt;=10,P272&lt;0.45),"需修改候选",IF(AND(N272&gt;=10,P272&gt;=0.75,R272/N272&lt;=0.15,S272/N272&lt;=0.15),"升级候选",IF(R272/N272&gt;0.3,"收紧条件",IF(S272/N272&gt;0.3,"补漏／放宽","继续观察"))))))))</x:f>
        <x:v>样本不足</x:v>
      </x:c>
      <x:c r="W272" s="34" t="str">
        <x:f>IF(V272="","",IF(V272="升级候选","已验证候选",IF(V272="停用候选","停用候选",IF(OR(V272="需修改候选",V272="收紧条件",V272="补漏／放宽",V272="优先复核"),"需修改／复核","观察中"))))</x:f>
        <x:v>观察中</x:v>
      </x:c>
      <x:c r="X272" s="34" t="str"/>
      <x:c r="Y272" s="34" t="str"/>
    </x:row>
    <x:row r="273">
      <x:c r="A273" s="34" t="str">
        <x:v>M5-SYNTH-232</x:v>
      </x:c>
      <x:c r="B273" s="34" t="str">
        <x:v>SYNTH</x:v>
      </x:c>
      <x:c r="C273" s="34" t="str">
        <x:v>P0_SYNTH总合成</x:v>
      </x:c>
      <x:c r="D273" s="34" t="str">
        <x:v>最终主线必须可由规则与事实回溯</x:v>
      </x:c>
      <x:c r="E273" s="34" t="str">
        <x:v>L5 冲突裁决与主次排序</x:v>
      </x:c>
      <x:c r="F273" s="34" t="str">
        <x:v>裁决</x:v>
      </x:c>
      <x:c r="G273" s="34" t="n">
        <x:v>90</x:v>
      </x:c>
      <x:c r="H273" s="34" t="str">
        <x:v>待验证</x:v>
      </x:c>
      <x:c r="I273" s="34" t="str"/>
      <x:c r="J273" s="34" t="str"/>
      <x:c r="K273" s="34" t="str"/>
      <x:c r="L273" s="34" t="str"/>
      <x:c r="M273" s="34" t="str"/>
      <x:c r="N273" s="34" t="n">
        <x:f>IF(A273="","",I273+J273+K273)</x:f>
        <x:v>0</x:v>
      </x:c>
      <x:c r="O273" s="56" t="str">
        <x:f>IF(N273=0,"",(I273+0.5*J273)/N273)</x:f>
      </x:c>
      <x:c r="P273" s="56" t="str">
        <x:f>IF(N273=0,"",(I273+0.5*J273+1)/(N273+2))</x:f>
      </x:c>
      <x:c r="Q273" s="34" t="str"/>
      <x:c r="R273" s="34" t="str"/>
      <x:c r="S273" s="34" t="str"/>
      <x:c r="T273" s="34" t="str"/>
      <x:c r="U273" s="34" t="str"/>
      <x:c r="V273" s="34" t="str">
        <x:f>IF(A273="","",IF(N273&lt;5,"样本不足",IF(Q273&gt;=1,"优先复核",IF(AND(N273&gt;=20,P273&lt;0.35,K273&gt;=5),"停用候选",IF(AND(N273&gt;=10,P273&lt;0.45),"需修改候选",IF(AND(N273&gt;=10,P273&gt;=0.75,R273/N273&lt;=0.15,S273/N273&lt;=0.15),"升级候选",IF(R273/N273&gt;0.3,"收紧条件",IF(S273/N273&gt;0.3,"补漏／放宽","继续观察"))))))))</x:f>
        <x:v>样本不足</x:v>
      </x:c>
      <x:c r="W273" s="34" t="str">
        <x:f>IF(V273="","",IF(V273="升级候选","已验证候选",IF(V273="停用候选","停用候选",IF(OR(V273="需修改候选",V273="收紧条件",V273="补漏／放宽",V273="优先复核"),"需修改／复核","观察中"))))</x:f>
        <x:v>观察中</x:v>
      </x:c>
      <x:c r="X273" s="34" t="str"/>
      <x:c r="Y273" s="34" t="str"/>
    </x:row>
    <x:row r="274">
      <x:c r="A274" s="34" t="str">
        <x:v>M5-SYNTH-235</x:v>
      </x:c>
      <x:c r="B274" s="34" t="str">
        <x:v>SYNTH</x:v>
      </x:c>
      <x:c r="C274" s="34" t="str">
        <x:v>P0_SYNTH总合成</x:v>
      </x:c>
      <x:c r="D274" s="34" t="str">
        <x:v>AF01适配总状态｜发布边界</x:v>
      </x:c>
      <x:c r="E274" s="34" t="str">
        <x:v>L6 适配总状态与残余</x:v>
      </x:c>
      <x:c r="F274" s="34" t="str">
        <x:v>输出</x:v>
      </x:c>
      <x:c r="G274" s="34" t="n">
        <x:v>90</x:v>
      </x:c>
      <x:c r="H274" s="34" t="str">
        <x:v>待验证</x:v>
      </x:c>
      <x:c r="I274" s="34" t="str"/>
      <x:c r="J274" s="34" t="str"/>
      <x:c r="K274" s="34" t="str"/>
      <x:c r="L274" s="34" t="str"/>
      <x:c r="M274" s="34" t="str"/>
      <x:c r="N274" s="34" t="n">
        <x:f>IF(A274="","",I274+J274+K274)</x:f>
        <x:v>0</x:v>
      </x:c>
      <x:c r="O274" s="56" t="str">
        <x:f>IF(N274=0,"",(I274+0.5*J274)/N274)</x:f>
      </x:c>
      <x:c r="P274" s="56" t="str">
        <x:f>IF(N274=0,"",(I274+0.5*J274+1)/(N274+2))</x:f>
      </x:c>
      <x:c r="Q274" s="34" t="str"/>
      <x:c r="R274" s="34" t="str"/>
      <x:c r="S274" s="34" t="str"/>
      <x:c r="T274" s="34" t="str"/>
      <x:c r="U274" s="34" t="str"/>
      <x:c r="V274" s="34" t="str">
        <x:f>IF(A274="","",IF(N274&lt;5,"样本不足",IF(Q274&gt;=1,"优先复核",IF(AND(N274&gt;=20,P274&lt;0.35,K274&gt;=5),"停用候选",IF(AND(N274&gt;=10,P274&lt;0.45),"需修改候选",IF(AND(N274&gt;=10,P274&gt;=0.75,R274/N274&lt;=0.15,S274/N274&lt;=0.15),"升级候选",IF(R274/N274&gt;0.3,"收紧条件",IF(S274/N274&gt;0.3,"补漏／放宽","继续观察"))))))))</x:f>
        <x:v>样本不足</x:v>
      </x:c>
      <x:c r="W274" s="34" t="str">
        <x:f>IF(V274="","",IF(V274="升级候选","已验证候选",IF(V274="停用候选","停用候选",IF(OR(V274="需修改候选",V274="收紧条件",V274="补漏／放宽",V274="优先复核"),"需修改／复核","观察中"))))</x:f>
        <x:v>观察中</x:v>
      </x:c>
      <x:c r="X274" s="34" t="str"/>
      <x:c r="Y274" s="34" t="str"/>
    </x:row>
    <x:row r="275">
      <x:c r="A275" s="34" t="str">
        <x:v>M5-SYNTH-238</x:v>
      </x:c>
      <x:c r="B275" s="34" t="str">
        <x:v>SYNTH</x:v>
      </x:c>
      <x:c r="C275" s="34" t="str">
        <x:v>P0_SYNTH总合成</x:v>
      </x:c>
      <x:c r="D275" s="34" t="str">
        <x:v>AF02适配总状态｜发布边界</x:v>
      </x:c>
      <x:c r="E275" s="34" t="str">
        <x:v>L6 适配总状态与残余</x:v>
      </x:c>
      <x:c r="F275" s="34" t="str">
        <x:v>输出</x:v>
      </x:c>
      <x:c r="G275" s="34" t="n">
        <x:v>90</x:v>
      </x:c>
      <x:c r="H275" s="34" t="str">
        <x:v>待验证</x:v>
      </x:c>
      <x:c r="I275" s="34" t="str"/>
      <x:c r="J275" s="34" t="str"/>
      <x:c r="K275" s="34" t="str"/>
      <x:c r="L275" s="34" t="str"/>
      <x:c r="M275" s="34" t="str"/>
      <x:c r="N275" s="34" t="n">
        <x:f>IF(A275="","",I275+J275+K275)</x:f>
        <x:v>0</x:v>
      </x:c>
      <x:c r="O275" s="56" t="str">
        <x:f>IF(N275=0,"",(I275+0.5*J275)/N275)</x:f>
      </x:c>
      <x:c r="P275" s="56" t="str">
        <x:f>IF(N275=0,"",(I275+0.5*J275+1)/(N275+2))</x:f>
      </x:c>
      <x:c r="Q275" s="34" t="str"/>
      <x:c r="R275" s="34" t="str"/>
      <x:c r="S275" s="34" t="str"/>
      <x:c r="T275" s="34" t="str"/>
      <x:c r="U275" s="34" t="str"/>
      <x:c r="V275" s="34" t="str">
        <x:f>IF(A275="","",IF(N275&lt;5,"样本不足",IF(Q275&gt;=1,"优先复核",IF(AND(N275&gt;=20,P275&lt;0.35,K275&gt;=5),"停用候选",IF(AND(N275&gt;=10,P275&lt;0.45),"需修改候选",IF(AND(N275&gt;=10,P275&gt;=0.75,R275/N275&lt;=0.15,S275/N275&lt;=0.15),"升级候选",IF(R275/N275&gt;0.3,"收紧条件",IF(S275/N275&gt;0.3,"补漏／放宽","继续观察"))))))))</x:f>
        <x:v>样本不足</x:v>
      </x:c>
      <x:c r="W275" s="34" t="str">
        <x:f>IF(V275="","",IF(V275="升级候选","已验证候选",IF(V275="停用候选","停用候选",IF(OR(V275="需修改候选",V275="收紧条件",V275="补漏／放宽",V275="优先复核"),"需修改／复核","观察中"))))</x:f>
        <x:v>观察中</x:v>
      </x:c>
      <x:c r="X275" s="34" t="str"/>
      <x:c r="Y275" s="34" t="str"/>
    </x:row>
    <x:row r="276">
      <x:c r="A276" s="34" t="str">
        <x:v>M5-SYNTH-241</x:v>
      </x:c>
      <x:c r="B276" s="34" t="str">
        <x:v>SYNTH</x:v>
      </x:c>
      <x:c r="C276" s="34" t="str">
        <x:v>P0_SYNTH总合成</x:v>
      </x:c>
      <x:c r="D276" s="34" t="str">
        <x:v>AF03适配总状态｜发布边界</x:v>
      </x:c>
      <x:c r="E276" s="34" t="str">
        <x:v>L6 适配总状态与残余</x:v>
      </x:c>
      <x:c r="F276" s="34" t="str">
        <x:v>输出</x:v>
      </x:c>
      <x:c r="G276" s="34" t="n">
        <x:v>90</x:v>
      </x:c>
      <x:c r="H276" s="34" t="str">
        <x:v>待验证</x:v>
      </x:c>
      <x:c r="I276" s="34" t="str"/>
      <x:c r="J276" s="34" t="str"/>
      <x:c r="K276" s="34" t="str"/>
      <x:c r="L276" s="34" t="str"/>
      <x:c r="M276" s="34" t="str"/>
      <x:c r="N276" s="34" t="n">
        <x:f>IF(A276="","",I276+J276+K276)</x:f>
        <x:v>0</x:v>
      </x:c>
      <x:c r="O276" s="56" t="str">
        <x:f>IF(N276=0,"",(I276+0.5*J276)/N276)</x:f>
      </x:c>
      <x:c r="P276" s="56" t="str">
        <x:f>IF(N276=0,"",(I276+0.5*J276+1)/(N276+2))</x:f>
      </x:c>
      <x:c r="Q276" s="34" t="str"/>
      <x:c r="R276" s="34" t="str"/>
      <x:c r="S276" s="34" t="str"/>
      <x:c r="T276" s="34" t="str"/>
      <x:c r="U276" s="34" t="str"/>
      <x:c r="V276" s="34" t="str">
        <x:f>IF(A276="","",IF(N276&lt;5,"样本不足",IF(Q276&gt;=1,"优先复核",IF(AND(N276&gt;=20,P276&lt;0.35,K276&gt;=5),"停用候选",IF(AND(N276&gt;=10,P276&lt;0.45),"需修改候选",IF(AND(N276&gt;=10,P276&gt;=0.75,R276/N276&lt;=0.15,S276/N276&lt;=0.15),"升级候选",IF(R276/N276&gt;0.3,"收紧条件",IF(S276/N276&gt;0.3,"补漏／放宽","继续观察"))))))))</x:f>
        <x:v>样本不足</x:v>
      </x:c>
      <x:c r="W276" s="34" t="str">
        <x:f>IF(V276="","",IF(V276="升级候选","已验证候选",IF(V276="停用候选","停用候选",IF(OR(V276="需修改候选",V276="收紧条件",V276="补漏／放宽",V276="优先复核"),"需修改／复核","观察中"))))</x:f>
        <x:v>观察中</x:v>
      </x:c>
      <x:c r="X276" s="34" t="str"/>
      <x:c r="Y276" s="34" t="str"/>
    </x:row>
    <x:row r="277">
      <x:c r="A277" s="34" t="str">
        <x:v>M5-SYNTH-244</x:v>
      </x:c>
      <x:c r="B277" s="34" t="str">
        <x:v>SYNTH</x:v>
      </x:c>
      <x:c r="C277" s="34" t="str">
        <x:v>P0_SYNTH总合成</x:v>
      </x:c>
      <x:c r="D277" s="34" t="str">
        <x:v>AF04适配总状态｜发布边界</x:v>
      </x:c>
      <x:c r="E277" s="34" t="str">
        <x:v>L6 适配总状态与残余</x:v>
      </x:c>
      <x:c r="F277" s="34" t="str">
        <x:v>输出</x:v>
      </x:c>
      <x:c r="G277" s="34" t="n">
        <x:v>90</x:v>
      </x:c>
      <x:c r="H277" s="34" t="str">
        <x:v>待验证</x:v>
      </x:c>
      <x:c r="I277" s="34" t="str"/>
      <x:c r="J277" s="34" t="str"/>
      <x:c r="K277" s="34" t="str"/>
      <x:c r="L277" s="34" t="str"/>
      <x:c r="M277" s="34" t="str"/>
      <x:c r="N277" s="34" t="n">
        <x:f>IF(A277="","",I277+J277+K277)</x:f>
        <x:v>0</x:v>
      </x:c>
      <x:c r="O277" s="56" t="str">
        <x:f>IF(N277=0,"",(I277+0.5*J277)/N277)</x:f>
      </x:c>
      <x:c r="P277" s="56" t="str">
        <x:f>IF(N277=0,"",(I277+0.5*J277+1)/(N277+2))</x:f>
      </x:c>
      <x:c r="Q277" s="34" t="str"/>
      <x:c r="R277" s="34" t="str"/>
      <x:c r="S277" s="34" t="str"/>
      <x:c r="T277" s="34" t="str"/>
      <x:c r="U277" s="34" t="str"/>
      <x:c r="V277" s="34" t="str">
        <x:f>IF(A277="","",IF(N277&lt;5,"样本不足",IF(Q277&gt;=1,"优先复核",IF(AND(N277&gt;=20,P277&lt;0.35,K277&gt;=5),"停用候选",IF(AND(N277&gt;=10,P277&lt;0.45),"需修改候选",IF(AND(N277&gt;=10,P277&gt;=0.75,R277/N277&lt;=0.15,S277/N277&lt;=0.15),"升级候选",IF(R277/N277&gt;0.3,"收紧条件",IF(S277/N277&gt;0.3,"补漏／放宽","继续观察"))))))))</x:f>
        <x:v>样本不足</x:v>
      </x:c>
      <x:c r="W277" s="34" t="str">
        <x:f>IF(V277="","",IF(V277="升级候选","已验证候选",IF(V277="停用候选","停用候选",IF(OR(V277="需修改候选",V277="收紧条件",V277="补漏／放宽",V277="优先复核"),"需修改／复核","观察中"))))</x:f>
        <x:v>观察中</x:v>
      </x:c>
      <x:c r="X277" s="34" t="str"/>
      <x:c r="Y277" s="34" t="str"/>
    </x:row>
    <x:row r="278">
      <x:c r="A278" s="34" t="str">
        <x:v>M5-SYNTH-247</x:v>
      </x:c>
      <x:c r="B278" s="34" t="str">
        <x:v>SYNTH</x:v>
      </x:c>
      <x:c r="C278" s="34" t="str">
        <x:v>P0_SYNTH总合成</x:v>
      </x:c>
      <x:c r="D278" s="34" t="str">
        <x:v>AF05适配总状态｜发布边界</x:v>
      </x:c>
      <x:c r="E278" s="34" t="str">
        <x:v>L6 适配总状态与残余</x:v>
      </x:c>
      <x:c r="F278" s="34" t="str">
        <x:v>输出</x:v>
      </x:c>
      <x:c r="G278" s="34" t="n">
        <x:v>90</x:v>
      </x:c>
      <x:c r="H278" s="34" t="str">
        <x:v>待验证</x:v>
      </x:c>
      <x:c r="I278" s="34" t="str"/>
      <x:c r="J278" s="34" t="str"/>
      <x:c r="K278" s="34" t="str"/>
      <x:c r="L278" s="34" t="str"/>
      <x:c r="M278" s="34" t="str"/>
      <x:c r="N278" s="34" t="n">
        <x:f>IF(A278="","",I278+J278+K278)</x:f>
        <x:v>0</x:v>
      </x:c>
      <x:c r="O278" s="56" t="str">
        <x:f>IF(N278=0,"",(I278+0.5*J278)/N278)</x:f>
      </x:c>
      <x:c r="P278" s="56" t="str">
        <x:f>IF(N278=0,"",(I278+0.5*J278+1)/(N278+2))</x:f>
      </x:c>
      <x:c r="Q278" s="34" t="str"/>
      <x:c r="R278" s="34" t="str"/>
      <x:c r="S278" s="34" t="str"/>
      <x:c r="T278" s="34" t="str"/>
      <x:c r="U278" s="34" t="str"/>
      <x:c r="V278" s="34" t="str">
        <x:f>IF(A278="","",IF(N278&lt;5,"样本不足",IF(Q278&gt;=1,"优先复核",IF(AND(N278&gt;=20,P278&lt;0.35,K278&gt;=5),"停用候选",IF(AND(N278&gt;=10,P278&lt;0.45),"需修改候选",IF(AND(N278&gt;=10,P278&gt;=0.75,R278/N278&lt;=0.15,S278/N278&lt;=0.15),"升级候选",IF(R278/N278&gt;0.3,"收紧条件",IF(S278/N278&gt;0.3,"补漏／放宽","继续观察"))))))))</x:f>
        <x:v>样本不足</x:v>
      </x:c>
      <x:c r="W278" s="34" t="str">
        <x:f>IF(V278="","",IF(V278="升级候选","已验证候选",IF(V278="停用候选","停用候选",IF(OR(V278="需修改候选",V278="收紧条件",V278="补漏／放宽",V278="优先复核"),"需修改／复核","观察中"))))</x:f>
        <x:v>观察中</x:v>
      </x:c>
      <x:c r="X278" s="34" t="str"/>
      <x:c r="Y278" s="34" t="str"/>
    </x:row>
    <x:row r="279">
      <x:c r="A279" s="34" t="str">
        <x:v>M5-SYNTH-250</x:v>
      </x:c>
      <x:c r="B279" s="34" t="str">
        <x:v>SYNTH</x:v>
      </x:c>
      <x:c r="C279" s="34" t="str">
        <x:v>P0_SYNTH总合成</x:v>
      </x:c>
      <x:c r="D279" s="34" t="str">
        <x:v>AF06适配总状态｜发布边界</x:v>
      </x:c>
      <x:c r="E279" s="34" t="str">
        <x:v>L6 适配总状态与残余</x:v>
      </x:c>
      <x:c r="F279" s="34" t="str">
        <x:v>输出</x:v>
      </x:c>
      <x:c r="G279" s="34" t="n">
        <x:v>90</x:v>
      </x:c>
      <x:c r="H279" s="34" t="str">
        <x:v>待验证</x:v>
      </x:c>
      <x:c r="I279" s="34" t="str"/>
      <x:c r="J279" s="34" t="str"/>
      <x:c r="K279" s="34" t="str"/>
      <x:c r="L279" s="34" t="str"/>
      <x:c r="M279" s="34" t="str"/>
      <x:c r="N279" s="34" t="n">
        <x:f>IF(A279="","",I279+J279+K279)</x:f>
        <x:v>0</x:v>
      </x:c>
      <x:c r="O279" s="56" t="str">
        <x:f>IF(N279=0,"",(I279+0.5*J279)/N279)</x:f>
      </x:c>
      <x:c r="P279" s="56" t="str">
        <x:f>IF(N279=0,"",(I279+0.5*J279+1)/(N279+2))</x:f>
      </x:c>
      <x:c r="Q279" s="34" t="str"/>
      <x:c r="R279" s="34" t="str"/>
      <x:c r="S279" s="34" t="str"/>
      <x:c r="T279" s="34" t="str"/>
      <x:c r="U279" s="34" t="str"/>
      <x:c r="V279" s="34" t="str">
        <x:f>IF(A279="","",IF(N279&lt;5,"样本不足",IF(Q279&gt;=1,"优先复核",IF(AND(N279&gt;=20,P279&lt;0.35,K279&gt;=5),"停用候选",IF(AND(N279&gt;=10,P279&lt;0.45),"需修改候选",IF(AND(N279&gt;=10,P279&gt;=0.75,R279/N279&lt;=0.15,S279/N279&lt;=0.15),"升级候选",IF(R279/N279&gt;0.3,"收紧条件",IF(S279/N279&gt;0.3,"补漏／放宽","继续观察"))))))))</x:f>
        <x:v>样本不足</x:v>
      </x:c>
      <x:c r="W279" s="34" t="str">
        <x:f>IF(V279="","",IF(V279="升级候选","已验证候选",IF(V279="停用候选","停用候选",IF(OR(V279="需修改候选",V279="收紧条件",V279="补漏／放宽",V279="优先复核"),"需修改／复核","观察中"))))</x:f>
        <x:v>观察中</x:v>
      </x:c>
      <x:c r="X279" s="34" t="str"/>
      <x:c r="Y279" s="34" t="str"/>
    </x:row>
    <x:row r="280">
      <x:c r="A280" s="34" t="str">
        <x:v>M5-SYNTH-253</x:v>
      </x:c>
      <x:c r="B280" s="34" t="str">
        <x:v>SYNTH</x:v>
      </x:c>
      <x:c r="C280" s="34" t="str">
        <x:v>P0_SYNTH总合成</x:v>
      </x:c>
      <x:c r="D280" s="34" t="str">
        <x:v>AF07适配总状态｜发布边界</x:v>
      </x:c>
      <x:c r="E280" s="34" t="str">
        <x:v>L6 适配总状态与残余</x:v>
      </x:c>
      <x:c r="F280" s="34" t="str">
        <x:v>输出</x:v>
      </x:c>
      <x:c r="G280" s="34" t="n">
        <x:v>90</x:v>
      </x:c>
      <x:c r="H280" s="34" t="str">
        <x:v>待验证</x:v>
      </x:c>
      <x:c r="I280" s="34" t="str"/>
      <x:c r="J280" s="34" t="str"/>
      <x:c r="K280" s="34" t="str"/>
      <x:c r="L280" s="34" t="str"/>
      <x:c r="M280" s="34" t="str"/>
      <x:c r="N280" s="34" t="n">
        <x:f>IF(A280="","",I280+J280+K280)</x:f>
        <x:v>0</x:v>
      </x:c>
      <x:c r="O280" s="56" t="str">
        <x:f>IF(N280=0,"",(I280+0.5*J280)/N280)</x:f>
      </x:c>
      <x:c r="P280" s="56" t="str">
        <x:f>IF(N280=0,"",(I280+0.5*J280+1)/(N280+2))</x:f>
      </x:c>
      <x:c r="Q280" s="34" t="str"/>
      <x:c r="R280" s="34" t="str"/>
      <x:c r="S280" s="34" t="str"/>
      <x:c r="T280" s="34" t="str"/>
      <x:c r="U280" s="34" t="str"/>
      <x:c r="V280" s="34" t="str">
        <x:f>IF(A280="","",IF(N280&lt;5,"样本不足",IF(Q280&gt;=1,"优先复核",IF(AND(N280&gt;=20,P280&lt;0.35,K280&gt;=5),"停用候选",IF(AND(N280&gt;=10,P280&lt;0.45),"需修改候选",IF(AND(N280&gt;=10,P280&gt;=0.75,R280/N280&lt;=0.15,S280/N280&lt;=0.15),"升级候选",IF(R280/N280&gt;0.3,"收紧条件",IF(S280/N280&gt;0.3,"补漏／放宽","继续观察"))))))))</x:f>
        <x:v>样本不足</x:v>
      </x:c>
      <x:c r="W280" s="34" t="str">
        <x:f>IF(V280="","",IF(V280="升级候选","已验证候选",IF(V280="停用候选","停用候选",IF(OR(V280="需修改候选",V280="收紧条件",V280="补漏／放宽",V280="优先复核"),"需修改／复核","观察中"))))</x:f>
        <x:v>观察中</x:v>
      </x:c>
      <x:c r="X280" s="34" t="str"/>
      <x:c r="Y280" s="34" t="str"/>
    </x:row>
    <x:row r="281">
      <x:c r="A281" s="34" t="str">
        <x:v>M5-SYNTH-256</x:v>
      </x:c>
      <x:c r="B281" s="34" t="str">
        <x:v>SYNTH</x:v>
      </x:c>
      <x:c r="C281" s="34" t="str">
        <x:v>P0_SYNTH总合成</x:v>
      </x:c>
      <x:c r="D281" s="34" t="str">
        <x:v>AF08适配总状态｜发布边界</x:v>
      </x:c>
      <x:c r="E281" s="34" t="str">
        <x:v>L6 适配总状态与残余</x:v>
      </x:c>
      <x:c r="F281" s="34" t="str">
        <x:v>输出</x:v>
      </x:c>
      <x:c r="G281" s="34" t="n">
        <x:v>90</x:v>
      </x:c>
      <x:c r="H281" s="34" t="str">
        <x:v>待验证</x:v>
      </x:c>
      <x:c r="I281" s="34" t="str"/>
      <x:c r="J281" s="34" t="str"/>
      <x:c r="K281" s="34" t="str"/>
      <x:c r="L281" s="34" t="str"/>
      <x:c r="M281" s="34" t="str"/>
      <x:c r="N281" s="34" t="n">
        <x:f>IF(A281="","",I281+J281+K281)</x:f>
        <x:v>0</x:v>
      </x:c>
      <x:c r="O281" s="56" t="str">
        <x:f>IF(N281=0,"",(I281+0.5*J281)/N281)</x:f>
      </x:c>
      <x:c r="P281" s="56" t="str">
        <x:f>IF(N281=0,"",(I281+0.5*J281+1)/(N281+2))</x:f>
      </x:c>
      <x:c r="Q281" s="34" t="str"/>
      <x:c r="R281" s="34" t="str"/>
      <x:c r="S281" s="34" t="str"/>
      <x:c r="T281" s="34" t="str"/>
      <x:c r="U281" s="34" t="str"/>
      <x:c r="V281" s="34" t="str">
        <x:f>IF(A281="","",IF(N281&lt;5,"样本不足",IF(Q281&gt;=1,"优先复核",IF(AND(N281&gt;=20,P281&lt;0.35,K281&gt;=5),"停用候选",IF(AND(N281&gt;=10,P281&lt;0.45),"需修改候选",IF(AND(N281&gt;=10,P281&gt;=0.75,R281/N281&lt;=0.15,S281/N281&lt;=0.15),"升级候选",IF(R281/N281&gt;0.3,"收紧条件",IF(S281/N281&gt;0.3,"补漏／放宽","继续观察"))))))))</x:f>
        <x:v>样本不足</x:v>
      </x:c>
      <x:c r="W281" s="34" t="str">
        <x:f>IF(V281="","",IF(V281="升级候选","已验证候选",IF(V281="停用候选","停用候选",IF(OR(V281="需修改候选",V281="收紧条件",V281="补漏／放宽",V281="优先复核"),"需修改／复核","观察中"))))</x:f>
        <x:v>观察中</x:v>
      </x:c>
      <x:c r="X281" s="34" t="str"/>
      <x:c r="Y281" s="34" t="str"/>
    </x:row>
    <x:row r="282">
      <x:c r="A282" s="34" t="str">
        <x:v>M5-SYNTH-259</x:v>
      </x:c>
      <x:c r="B282" s="34" t="str">
        <x:v>SYNTH</x:v>
      </x:c>
      <x:c r="C282" s="34" t="str">
        <x:v>P0_SYNTH总合成</x:v>
      </x:c>
      <x:c r="D282" s="34" t="str">
        <x:v>AF09适配总状态｜发布边界</x:v>
      </x:c>
      <x:c r="E282" s="34" t="str">
        <x:v>L6 适配总状态与残余</x:v>
      </x:c>
      <x:c r="F282" s="34" t="str">
        <x:v>输出</x:v>
      </x:c>
      <x:c r="G282" s="34" t="n">
        <x:v>90</x:v>
      </x:c>
      <x:c r="H282" s="34" t="str">
        <x:v>待验证</x:v>
      </x:c>
      <x:c r="I282" s="34" t="str"/>
      <x:c r="J282" s="34" t="str"/>
      <x:c r="K282" s="34" t="str"/>
      <x:c r="L282" s="34" t="str"/>
      <x:c r="M282" s="34" t="str"/>
      <x:c r="N282" s="34" t="n">
        <x:f>IF(A282="","",I282+J282+K282)</x:f>
        <x:v>0</x:v>
      </x:c>
      <x:c r="O282" s="56" t="str">
        <x:f>IF(N282=0,"",(I282+0.5*J282)/N282)</x:f>
      </x:c>
      <x:c r="P282" s="56" t="str">
        <x:f>IF(N282=0,"",(I282+0.5*J282+1)/(N282+2))</x:f>
      </x:c>
      <x:c r="Q282" s="34" t="str"/>
      <x:c r="R282" s="34" t="str"/>
      <x:c r="S282" s="34" t="str"/>
      <x:c r="T282" s="34" t="str"/>
      <x:c r="U282" s="34" t="str"/>
      <x:c r="V282" s="34" t="str">
        <x:f>IF(A282="","",IF(N282&lt;5,"样本不足",IF(Q282&gt;=1,"优先复核",IF(AND(N282&gt;=20,P282&lt;0.35,K282&gt;=5),"停用候选",IF(AND(N282&gt;=10,P282&lt;0.45),"需修改候选",IF(AND(N282&gt;=10,P282&gt;=0.75,R282/N282&lt;=0.15,S282/N282&lt;=0.15),"升级候选",IF(R282/N282&gt;0.3,"收紧条件",IF(S282/N282&gt;0.3,"补漏／放宽","继续观察"))))))))</x:f>
        <x:v>样本不足</x:v>
      </x:c>
      <x:c r="W282" s="34" t="str">
        <x:f>IF(V282="","",IF(V282="升级候选","已验证候选",IF(V282="停用候选","停用候选",IF(OR(V282="需修改候选",V282="收紧条件",V282="补漏／放宽",V282="优先复核"),"需修改／复核","观察中"))))</x:f>
        <x:v>观察中</x:v>
      </x:c>
      <x:c r="X282" s="34" t="str"/>
      <x:c r="Y282" s="34" t="str"/>
    </x:row>
    <x:row r="283">
      <x:c r="A283" s="34" t="str">
        <x:v>M5-SYNTH-297</x:v>
      </x:c>
      <x:c r="B283" s="34" t="str">
        <x:v>SYNTH</x:v>
      </x:c>
      <x:c r="C283" s="34" t="str">
        <x:v>P0_SYNTH总合成</x:v>
      </x:c>
      <x:c r="D283" s="34" t="str">
        <x:v>报告顺序｜一句话总状态</x:v>
      </x:c>
      <x:c r="E283" s="34" t="str">
        <x:v>L8 报告、JSON、测试与发布</x:v>
      </x:c>
      <x:c r="F283" s="34" t="str">
        <x:v>模板／输出</x:v>
      </x:c>
      <x:c r="G283" s="34" t="n">
        <x:v>86</x:v>
      </x:c>
      <x:c r="H283" s="34" t="str">
        <x:v>待验证</x:v>
      </x:c>
      <x:c r="I283" s="34" t="str"/>
      <x:c r="J283" s="34" t="str"/>
      <x:c r="K283" s="34" t="str"/>
      <x:c r="L283" s="34" t="str"/>
      <x:c r="M283" s="34" t="str"/>
      <x:c r="N283" s="34" t="n">
        <x:f>IF(A283="","",I283+J283+K283)</x:f>
        <x:v>0</x:v>
      </x:c>
      <x:c r="O283" s="56" t="str">
        <x:f>IF(N283=0,"",(I283+0.5*J283)/N283)</x:f>
      </x:c>
      <x:c r="P283" s="56" t="str">
        <x:f>IF(N283=0,"",(I283+0.5*J283+1)/(N283+2))</x:f>
      </x:c>
      <x:c r="Q283" s="34" t="str"/>
      <x:c r="R283" s="34" t="str"/>
      <x:c r="S283" s="34" t="str"/>
      <x:c r="T283" s="34" t="str"/>
      <x:c r="U283" s="34" t="str"/>
      <x:c r="V283" s="34" t="str">
        <x:f>IF(A283="","",IF(N283&lt;5,"样本不足",IF(Q283&gt;=1,"优先复核",IF(AND(N283&gt;=20,P283&lt;0.35,K283&gt;=5),"停用候选",IF(AND(N283&gt;=10,P283&lt;0.45),"需修改候选",IF(AND(N283&gt;=10,P283&gt;=0.75,R283/N283&lt;=0.15,S283/N283&lt;=0.15),"升级候选",IF(R283/N283&gt;0.3,"收紧条件",IF(S283/N283&gt;0.3,"补漏／放宽","继续观察"))))))))</x:f>
        <x:v>样本不足</x:v>
      </x:c>
      <x:c r="W283" s="34" t="str">
        <x:f>IF(V283="","",IF(V283="升级候选","已验证候选",IF(V283="停用候选","停用候选",IF(OR(V283="需修改候选",V283="收紧条件",V283="补漏／放宽",V283="优先复核"),"需修改／复核","观察中"))))</x:f>
        <x:v>观察中</x:v>
      </x:c>
      <x:c r="X283" s="34" t="str"/>
      <x:c r="Y283" s="34" t="str"/>
    </x:row>
    <x:row r="284">
      <x:c r="A284" s="34" t="str">
        <x:v>M5-SYNTH-298</x:v>
      </x:c>
      <x:c r="B284" s="34" t="str">
        <x:v>SYNTH</x:v>
      </x:c>
      <x:c r="C284" s="34" t="str">
        <x:v>P0_SYNTH总合成</x:v>
      </x:c>
      <x:c r="D284" s="34" t="str">
        <x:v>报告顺序｜核心需要与伴侣行为</x:v>
      </x:c>
      <x:c r="E284" s="34" t="str">
        <x:v>L8 报告、JSON、测试与发布</x:v>
      </x:c>
      <x:c r="F284" s="34" t="str">
        <x:v>模板／输出</x:v>
      </x:c>
      <x:c r="G284" s="34" t="n">
        <x:v>86</x:v>
      </x:c>
      <x:c r="H284" s="34" t="str">
        <x:v>待验证</x:v>
      </x:c>
      <x:c r="I284" s="34" t="str"/>
      <x:c r="J284" s="34" t="str"/>
      <x:c r="K284" s="34" t="str"/>
      <x:c r="L284" s="34" t="str"/>
      <x:c r="M284" s="34" t="str"/>
      <x:c r="N284" s="34" t="n">
        <x:f>IF(A284="","",I284+J284+K284)</x:f>
        <x:v>0</x:v>
      </x:c>
      <x:c r="O284" s="56" t="str">
        <x:f>IF(N284=0,"",(I284+0.5*J284)/N284)</x:f>
      </x:c>
      <x:c r="P284" s="56" t="str">
        <x:f>IF(N284=0,"",(I284+0.5*J284+1)/(N284+2))</x:f>
      </x:c>
      <x:c r="Q284" s="34" t="str"/>
      <x:c r="R284" s="34" t="str"/>
      <x:c r="S284" s="34" t="str"/>
      <x:c r="T284" s="34" t="str"/>
      <x:c r="U284" s="34" t="str"/>
      <x:c r="V284" s="34" t="str">
        <x:f>IF(A284="","",IF(N284&lt;5,"样本不足",IF(Q284&gt;=1,"优先复核",IF(AND(N284&gt;=20,P284&lt;0.35,K284&gt;=5),"停用候选",IF(AND(N284&gt;=10,P284&lt;0.45),"需修改候选",IF(AND(N284&gt;=10,P284&gt;=0.75,R284/N284&lt;=0.15,S284/N284&lt;=0.15),"升级候选",IF(R284/N284&gt;0.3,"收紧条件",IF(S284/N284&gt;0.3,"补漏／放宽","继续观察"))))))))</x:f>
        <x:v>样本不足</x:v>
      </x:c>
      <x:c r="W284" s="34" t="str">
        <x:f>IF(V284="","",IF(V284="升级候选","已验证候选",IF(V284="停用候选","停用候选",IF(OR(V284="需修改候选",V284="收紧条件",V284="补漏／放宽",V284="优先复核"),"需修改／复核","观察中"))))</x:f>
        <x:v>观察中</x:v>
      </x:c>
      <x:c r="X284" s="34" t="str"/>
      <x:c r="Y284" s="34" t="str"/>
    </x:row>
    <x:row r="285">
      <x:c r="A285" s="34" t="str">
        <x:v>M5-SYNTH-299</x:v>
      </x:c>
      <x:c r="B285" s="34" t="str">
        <x:v>SYNTH</x:v>
      </x:c>
      <x:c r="C285" s="34" t="str">
        <x:v>P0_SYNTH总合成</x:v>
      </x:c>
      <x:c r="D285" s="34" t="str">
        <x:v>报告顺序｜交换、边界、修复与节奏</x:v>
      </x:c>
      <x:c r="E285" s="34" t="str">
        <x:v>L8 报告、JSON、测试与发布</x:v>
      </x:c>
      <x:c r="F285" s="34" t="str">
        <x:v>模板／输出</x:v>
      </x:c>
      <x:c r="G285" s="34" t="n">
        <x:v>86</x:v>
      </x:c>
      <x:c r="H285" s="34" t="str">
        <x:v>待验证</x:v>
      </x:c>
      <x:c r="I285" s="34" t="str"/>
      <x:c r="J285" s="34" t="str"/>
      <x:c r="K285" s="34" t="str"/>
      <x:c r="L285" s="34" t="str"/>
      <x:c r="M285" s="34" t="str"/>
      <x:c r="N285" s="34" t="n">
        <x:f>IF(A285="","",I285+J285+K285)</x:f>
        <x:v>0</x:v>
      </x:c>
      <x:c r="O285" s="56" t="str">
        <x:f>IF(N285=0,"",(I285+0.5*J285)/N285)</x:f>
      </x:c>
      <x:c r="P285" s="56" t="str">
        <x:f>IF(N285=0,"",(I285+0.5*J285+1)/(N285+2))</x:f>
      </x:c>
      <x:c r="Q285" s="34" t="str"/>
      <x:c r="R285" s="34" t="str"/>
      <x:c r="S285" s="34" t="str"/>
      <x:c r="T285" s="34" t="str"/>
      <x:c r="U285" s="34" t="str"/>
      <x:c r="V285" s="34" t="str">
        <x:f>IF(A285="","",IF(N285&lt;5,"样本不足",IF(Q285&gt;=1,"优先复核",IF(AND(N285&gt;=20,P285&lt;0.35,K285&gt;=5),"停用候选",IF(AND(N285&gt;=10,P285&lt;0.45),"需修改候选",IF(AND(N285&gt;=10,P285&gt;=0.75,R285/N285&lt;=0.15,S285/N285&lt;=0.15),"升级候选",IF(R285/N285&gt;0.3,"收紧条件",IF(S285/N285&gt;0.3,"补漏／放宽","继续观察"))))))))</x:f>
        <x:v>样本不足</x:v>
      </x:c>
      <x:c r="W285" s="34" t="str">
        <x:f>IF(V285="","",IF(V285="升级候选","已验证候选",IF(V285="停用候选","停用候选",IF(OR(V285="需修改候选",V285="收紧条件",V285="补漏／放宽",V285="优先复核"),"需修改／复核","观察中"))))</x:f>
        <x:v>观察中</x:v>
      </x:c>
      <x:c r="X285" s="34" t="str"/>
      <x:c r="Y285" s="34" t="str"/>
    </x:row>
    <x:row r="286">
      <x:c r="A286" s="34" t="str">
        <x:v>M5-SYNTH-300</x:v>
      </x:c>
      <x:c r="B286" s="34" t="str">
        <x:v>SYNTH</x:v>
      </x:c>
      <x:c r="C286" s="34" t="str">
        <x:v>P0_SYNTH总合成</x:v>
      </x:c>
      <x:c r="D286" s="34" t="str">
        <x:v>报告顺序｜主差异与桥接</x:v>
      </x:c>
      <x:c r="E286" s="34" t="str">
        <x:v>L8 报告、JSON、测试与发布</x:v>
      </x:c>
      <x:c r="F286" s="34" t="str">
        <x:v>模板／输出</x:v>
      </x:c>
      <x:c r="G286" s="34" t="n">
        <x:v>86</x:v>
      </x:c>
      <x:c r="H286" s="34" t="str">
        <x:v>待验证</x:v>
      </x:c>
      <x:c r="I286" s="34" t="str"/>
      <x:c r="J286" s="34" t="str"/>
      <x:c r="K286" s="34" t="str"/>
      <x:c r="L286" s="34" t="str"/>
      <x:c r="M286" s="34" t="str"/>
      <x:c r="N286" s="34" t="n">
        <x:f>IF(A286="","",I286+J286+K286)</x:f>
        <x:v>0</x:v>
      </x:c>
      <x:c r="O286" s="56" t="str">
        <x:f>IF(N286=0,"",(I286+0.5*J286)/N286)</x:f>
      </x:c>
      <x:c r="P286" s="56" t="str">
        <x:f>IF(N286=0,"",(I286+0.5*J286+1)/(N286+2))</x:f>
      </x:c>
      <x:c r="Q286" s="34" t="str"/>
      <x:c r="R286" s="34" t="str"/>
      <x:c r="S286" s="34" t="str"/>
      <x:c r="T286" s="34" t="str"/>
      <x:c r="U286" s="34" t="str"/>
      <x:c r="V286" s="34" t="str">
        <x:f>IF(A286="","",IF(N286&lt;5,"样本不足",IF(Q286&gt;=1,"优先复核",IF(AND(N286&gt;=20,P286&lt;0.35,K286&gt;=5),"停用候选",IF(AND(N286&gt;=10,P286&lt;0.45),"需修改候选",IF(AND(N286&gt;=10,P286&gt;=0.75,R286/N286&lt;=0.15,S286/N286&lt;=0.15),"升级候选",IF(R286/N286&gt;0.3,"收紧条件",IF(S286/N286&gt;0.3,"补漏／放宽","继续观察"))))))))</x:f>
        <x:v>样本不足</x:v>
      </x:c>
      <x:c r="W286" s="34" t="str">
        <x:f>IF(V286="","",IF(V286="升级候选","已验证候选",IF(V286="停用候选","停用候选",IF(OR(V286="需修改候选",V286="收紧条件",V286="补漏／放宽",V286="优先复核"),"需修改／复核","观察中"))))</x:f>
        <x:v>观察中</x:v>
      </x:c>
      <x:c r="X286" s="34" t="str"/>
      <x:c r="Y286" s="34" t="str"/>
    </x:row>
    <x:row r="287">
      <x:c r="A287" s="34" t="str">
        <x:v>M5-SYNTH-301</x:v>
      </x:c>
      <x:c r="B287" s="34" t="str">
        <x:v>SYNTH</x:v>
      </x:c>
      <x:c r="C287" s="34" t="str">
        <x:v>P0_SYNTH总合成</x:v>
      </x:c>
      <x:c r="D287" s="34" t="str">
        <x:v>报告顺序｜现实门槛</x:v>
      </x:c>
      <x:c r="E287" s="34" t="str">
        <x:v>L8 报告、JSON、测试与发布</x:v>
      </x:c>
      <x:c r="F287" s="34" t="str">
        <x:v>模板／输出</x:v>
      </x:c>
      <x:c r="G287" s="34" t="n">
        <x:v>86</x:v>
      </x:c>
      <x:c r="H287" s="34" t="str">
        <x:v>待验证</x:v>
      </x:c>
      <x:c r="I287" s="34" t="str"/>
      <x:c r="J287" s="34" t="str"/>
      <x:c r="K287" s="34" t="str"/>
      <x:c r="L287" s="34" t="str"/>
      <x:c r="M287" s="34" t="str"/>
      <x:c r="N287" s="34" t="n">
        <x:f>IF(A287="","",I287+J287+K287)</x:f>
        <x:v>0</x:v>
      </x:c>
      <x:c r="O287" s="56" t="str">
        <x:f>IF(N287=0,"",(I287+0.5*J287)/N287)</x:f>
      </x:c>
      <x:c r="P287" s="56" t="str">
        <x:f>IF(N287=0,"",(I287+0.5*J287+1)/(N287+2))</x:f>
      </x:c>
      <x:c r="Q287" s="34" t="str"/>
      <x:c r="R287" s="34" t="str"/>
      <x:c r="S287" s="34" t="str"/>
      <x:c r="T287" s="34" t="str"/>
      <x:c r="U287" s="34" t="str"/>
      <x:c r="V287" s="34" t="str">
        <x:f>IF(A287="","",IF(N287&lt;5,"样本不足",IF(Q287&gt;=1,"优先复核",IF(AND(N287&gt;=20,P287&lt;0.35,K287&gt;=5),"停用候选",IF(AND(N287&gt;=10,P287&lt;0.45),"需修改候选",IF(AND(N287&gt;=10,P287&gt;=0.75,R287/N287&lt;=0.15,S287/N287&lt;=0.15),"升级候选",IF(R287/N287&gt;0.3,"收紧条件",IF(S287/N287&gt;0.3,"补漏／放宽","继续观察"))))))))</x:f>
        <x:v>样本不足</x:v>
      </x:c>
      <x:c r="W287" s="34" t="str">
        <x:f>IF(V287="","",IF(V287="升级候选","已验证候选",IF(V287="停用候选","停用候选",IF(OR(V287="需修改候选",V287="收紧条件",V287="补漏／放宽",V287="优先复核"),"需修改／复核","观察中"))))</x:f>
        <x:v>观察中</x:v>
      </x:c>
      <x:c r="X287" s="34" t="str"/>
      <x:c r="Y287" s="34" t="str"/>
    </x:row>
    <x:row r="288">
      <x:c r="A288" s="34" t="str">
        <x:v>M5-SYNTH-302</x:v>
      </x:c>
      <x:c r="B288" s="34" t="str">
        <x:v>SYNTH</x:v>
      </x:c>
      <x:c r="C288" s="34" t="str">
        <x:v>P0_SYNTH总合成</x:v>
      </x:c>
      <x:c r="D288" s="34" t="str">
        <x:v>报告顺序｜证据边界与观察计划</x:v>
      </x:c>
      <x:c r="E288" s="34" t="str">
        <x:v>L8 报告、JSON、测试与发布</x:v>
      </x:c>
      <x:c r="F288" s="34" t="str">
        <x:v>模板／输出</x:v>
      </x:c>
      <x:c r="G288" s="34" t="n">
        <x:v>86</x:v>
      </x:c>
      <x:c r="H288" s="34" t="str">
        <x:v>待验证</x:v>
      </x:c>
      <x:c r="I288" s="34" t="str"/>
      <x:c r="J288" s="34" t="str"/>
      <x:c r="K288" s="34" t="str"/>
      <x:c r="L288" s="34" t="str"/>
      <x:c r="M288" s="34" t="str"/>
      <x:c r="N288" s="34" t="n">
        <x:f>IF(A288="","",I288+J288+K288)</x:f>
        <x:v>0</x:v>
      </x:c>
      <x:c r="O288" s="56" t="str">
        <x:f>IF(N288=0,"",(I288+0.5*J288)/N288)</x:f>
      </x:c>
      <x:c r="P288" s="56" t="str">
        <x:f>IF(N288=0,"",(I288+0.5*J288+1)/(N288+2))</x:f>
      </x:c>
      <x:c r="Q288" s="34" t="str"/>
      <x:c r="R288" s="34" t="str"/>
      <x:c r="S288" s="34" t="str"/>
      <x:c r="T288" s="34" t="str"/>
      <x:c r="U288" s="34" t="str"/>
      <x:c r="V288" s="34" t="str">
        <x:f>IF(A288="","",IF(N288&lt;5,"样本不足",IF(Q288&gt;=1,"优先复核",IF(AND(N288&gt;=20,P288&lt;0.35,K288&gt;=5),"停用候选",IF(AND(N288&gt;=10,P288&lt;0.45),"需修改候选",IF(AND(N288&gt;=10,P288&gt;=0.75,R288/N288&lt;=0.15,S288/N288&lt;=0.15),"升级候选",IF(R288/N288&gt;0.3,"收紧条件",IF(S288/N288&gt;0.3,"补漏／放宽","继续观察"))))))))</x:f>
        <x:v>样本不足</x:v>
      </x:c>
      <x:c r="W288" s="34" t="str">
        <x:f>IF(V288="","",IF(V288="升级候选","已验证候选",IF(V288="停用候选","停用候选",IF(OR(V288="需修改候选",V288="收紧条件",V288="补漏／放宽",V288="优先复核"),"需修改／复核","观察中"))))</x:f>
        <x:v>观察中</x:v>
      </x:c>
      <x:c r="X288" s="34" t="str"/>
      <x:c r="Y288" s="34" t="str"/>
    </x:row>
    <x:row r="289">
      <x:c r="A289" s="34" t="str">
        <x:v>M5-SYNTH-303</x:v>
      </x:c>
      <x:c r="B289" s="34" t="str">
        <x:v>SYNTH</x:v>
      </x:c>
      <x:c r="C289" s="34" t="str">
        <x:v>P0_SYNTH总合成</x:v>
      </x:c>
      <x:c r="D289" s="34" t="str">
        <x:v>一句话模板｜FG1无对象</x:v>
      </x:c>
      <x:c r="E289" s="34" t="str">
        <x:v>L8 报告、JSON、测试与发布</x:v>
      </x:c>
      <x:c r="F289" s="34" t="str">
        <x:v>模板／输出</x:v>
      </x:c>
      <x:c r="G289" s="34" t="n">
        <x:v>86</x:v>
      </x:c>
      <x:c r="H289" s="34" t="str">
        <x:v>待验证</x:v>
      </x:c>
      <x:c r="I289" s="34" t="str"/>
      <x:c r="J289" s="34" t="str"/>
      <x:c r="K289" s="34" t="str"/>
      <x:c r="L289" s="34" t="str"/>
      <x:c r="M289" s="34" t="str"/>
      <x:c r="N289" s="34" t="n">
        <x:f>IF(A289="","",I289+J289+K289)</x:f>
        <x:v>0</x:v>
      </x:c>
      <x:c r="O289" s="56" t="str">
        <x:f>IF(N289=0,"",(I289+0.5*J289)/N289)</x:f>
      </x:c>
      <x:c r="P289" s="56" t="str">
        <x:f>IF(N289=0,"",(I289+0.5*J289+1)/(N289+2))</x:f>
      </x:c>
      <x:c r="Q289" s="34" t="str"/>
      <x:c r="R289" s="34" t="str"/>
      <x:c r="S289" s="34" t="str"/>
      <x:c r="T289" s="34" t="str"/>
      <x:c r="U289" s="34" t="str"/>
      <x:c r="V289" s="34" t="str">
        <x:f>IF(A289="","",IF(N289&lt;5,"样本不足",IF(Q289&gt;=1,"优先复核",IF(AND(N289&gt;=20,P289&lt;0.35,K289&gt;=5),"停用候选",IF(AND(N289&gt;=10,P289&lt;0.45),"需修改候选",IF(AND(N289&gt;=10,P289&gt;=0.75,R289/N289&lt;=0.15,S289/N289&lt;=0.15),"升级候选",IF(R289/N289&gt;0.3,"收紧条件",IF(S289/N289&gt;0.3,"补漏／放宽","继续观察"))))))))</x:f>
        <x:v>样本不足</x:v>
      </x:c>
      <x:c r="W289" s="34" t="str">
        <x:f>IF(V289="","",IF(V289="升级候选","已验证候选",IF(V289="停用候选","停用候选",IF(OR(V289="需修改候选",V289="收紧条件",V289="补漏／放宽",V289="优先复核"),"需修改／复核","观察中"))))</x:f>
        <x:v>观察中</x:v>
      </x:c>
      <x:c r="X289" s="34" t="str"/>
      <x:c r="Y289" s="34" t="str"/>
    </x:row>
    <x:row r="290">
      <x:c r="A290" s="34" t="str">
        <x:v>M5-SYNTH-304</x:v>
      </x:c>
      <x:c r="B290" s="34" t="str">
        <x:v>SYNTH</x:v>
      </x:c>
      <x:c r="C290" s="34" t="str">
        <x:v>P0_SYNTH总合成</x:v>
      </x:c>
      <x:c r="D290" s="34" t="str">
        <x:v>一句话模板｜FG2具体对象待验证</x:v>
      </x:c>
      <x:c r="E290" s="34" t="str">
        <x:v>L8 报告、JSON、测试与发布</x:v>
      </x:c>
      <x:c r="F290" s="34" t="str">
        <x:v>模板／输出</x:v>
      </x:c>
      <x:c r="G290" s="34" t="n">
        <x:v>86</x:v>
      </x:c>
      <x:c r="H290" s="34" t="str">
        <x:v>待验证</x:v>
      </x:c>
      <x:c r="I290" s="34" t="str"/>
      <x:c r="J290" s="34" t="str"/>
      <x:c r="K290" s="34" t="str"/>
      <x:c r="L290" s="34" t="str"/>
      <x:c r="M290" s="34" t="str"/>
      <x:c r="N290" s="34" t="n">
        <x:f>IF(A290="","",I290+J290+K290)</x:f>
        <x:v>0</x:v>
      </x:c>
      <x:c r="O290" s="56" t="str">
        <x:f>IF(N290=0,"",(I290+0.5*J290)/N290)</x:f>
      </x:c>
      <x:c r="P290" s="56" t="str">
        <x:f>IF(N290=0,"",(I290+0.5*J290+1)/(N290+2))</x:f>
      </x:c>
      <x:c r="Q290" s="34" t="str"/>
      <x:c r="R290" s="34" t="str"/>
      <x:c r="S290" s="34" t="str"/>
      <x:c r="T290" s="34" t="str"/>
      <x:c r="U290" s="34" t="str"/>
      <x:c r="V290" s="34" t="str">
        <x:f>IF(A290="","",IF(N290&lt;5,"样本不足",IF(Q290&gt;=1,"优先复核",IF(AND(N290&gt;=20,P290&lt;0.35,K290&gt;=5),"停用候选",IF(AND(N290&gt;=10,P290&lt;0.45),"需修改候选",IF(AND(N290&gt;=10,P290&gt;=0.75,R290/N290&lt;=0.15,S290/N290&lt;=0.15),"升级候选",IF(R290/N290&gt;0.3,"收紧条件",IF(S290/N290&gt;0.3,"补漏／放宽","继续观察"))))))))</x:f>
        <x:v>样本不足</x:v>
      </x:c>
      <x:c r="W290" s="34" t="str">
        <x:f>IF(V290="","",IF(V290="升级候选","已验证候选",IF(V290="停用候选","停用候选",IF(OR(V290="需修改候选",V290="收紧条件",V290="补漏／放宽",V290="优先复核"),"需修改／复核","观察中"))))</x:f>
        <x:v>观察中</x:v>
      </x:c>
      <x:c r="X290" s="34" t="str"/>
      <x:c r="Y290" s="34" t="str"/>
    </x:row>
    <x:row r="291">
      <x:c r="A291" s="34" t="str">
        <x:v>M5-SYNTH-305</x:v>
      </x:c>
      <x:c r="B291" s="34" t="str">
        <x:v>SYNTH</x:v>
      </x:c>
      <x:c r="C291" s="34" t="str">
        <x:v>P0_SYNTH总合成</x:v>
      </x:c>
      <x:c r="D291" s="34" t="str">
        <x:v>一句话模板｜AF04条件性适配</x:v>
      </x:c>
      <x:c r="E291" s="34" t="str">
        <x:v>L8 报告、JSON、测试与发布</x:v>
      </x:c>
      <x:c r="F291" s="34" t="str">
        <x:v>模板／输出</x:v>
      </x:c>
      <x:c r="G291" s="34" t="n">
        <x:v>86</x:v>
      </x:c>
      <x:c r="H291" s="34" t="str">
        <x:v>待验证</x:v>
      </x:c>
      <x:c r="I291" s="34" t="str"/>
      <x:c r="J291" s="34" t="str"/>
      <x:c r="K291" s="34" t="str"/>
      <x:c r="L291" s="34" t="str"/>
      <x:c r="M291" s="34" t="str"/>
      <x:c r="N291" s="34" t="n">
        <x:f>IF(A291="","",I291+J291+K291)</x:f>
        <x:v>0</x:v>
      </x:c>
      <x:c r="O291" s="56" t="str">
        <x:f>IF(N291=0,"",(I291+0.5*J291)/N291)</x:f>
      </x:c>
      <x:c r="P291" s="56" t="str">
        <x:f>IF(N291=0,"",(I291+0.5*J291+1)/(N291+2))</x:f>
      </x:c>
      <x:c r="Q291" s="34" t="str"/>
      <x:c r="R291" s="34" t="str"/>
      <x:c r="S291" s="34" t="str"/>
      <x:c r="T291" s="34" t="str"/>
      <x:c r="U291" s="34" t="str"/>
      <x:c r="V291" s="34" t="str">
        <x:f>IF(A291="","",IF(N291&lt;5,"样本不足",IF(Q291&gt;=1,"优先复核",IF(AND(N291&gt;=20,P291&lt;0.35,K291&gt;=5),"停用候选",IF(AND(N291&gt;=10,P291&lt;0.45),"需修改候选",IF(AND(N291&gt;=10,P291&gt;=0.75,R291/N291&lt;=0.15,S291/N291&lt;=0.15),"升级候选",IF(R291/N291&gt;0.3,"收紧条件",IF(S291/N291&gt;0.3,"补漏／放宽","继续观察"))))))))</x:f>
        <x:v>样本不足</x:v>
      </x:c>
      <x:c r="W291" s="34" t="str">
        <x:f>IF(V291="","",IF(V291="升级候选","已验证候选",IF(V291="停用候选","停用候选",IF(OR(V291="需修改候选",V291="收紧条件",V291="补漏／放宽",V291="优先复核"),"需修改／复核","观察中"))))</x:f>
        <x:v>观察中</x:v>
      </x:c>
      <x:c r="X291" s="34" t="str"/>
      <x:c r="Y291" s="34" t="str"/>
    </x:row>
    <x:row r="292">
      <x:c r="A292" s="34" t="str">
        <x:v>M5-SYNTH-306</x:v>
      </x:c>
      <x:c r="B292" s="34" t="str">
        <x:v>SYNTH</x:v>
      </x:c>
      <x:c r="C292" s="34" t="str">
        <x:v>P0_SYNTH总合成</x:v>
      </x:c>
      <x:c r="D292" s="34" t="str">
        <x:v>一句话模板｜FG3多领域适配</x:v>
      </x:c>
      <x:c r="E292" s="34" t="str">
        <x:v>L8 报告、JSON、测试与发布</x:v>
      </x:c>
      <x:c r="F292" s="34" t="str">
        <x:v>模板／输出</x:v>
      </x:c>
      <x:c r="G292" s="34" t="n">
        <x:v>86</x:v>
      </x:c>
      <x:c r="H292" s="34" t="str">
        <x:v>待验证</x:v>
      </x:c>
      <x:c r="I292" s="34" t="str"/>
      <x:c r="J292" s="34" t="str"/>
      <x:c r="K292" s="34" t="str"/>
      <x:c r="L292" s="34" t="str"/>
      <x:c r="M292" s="34" t="str"/>
      <x:c r="N292" s="34" t="n">
        <x:f>IF(A292="","",I292+J292+K292)</x:f>
        <x:v>0</x:v>
      </x:c>
      <x:c r="O292" s="56" t="str">
        <x:f>IF(N292=0,"",(I292+0.5*J292)/N292)</x:f>
      </x:c>
      <x:c r="P292" s="56" t="str">
        <x:f>IF(N292=0,"",(I292+0.5*J292+1)/(N292+2))</x:f>
      </x:c>
      <x:c r="Q292" s="34" t="str"/>
      <x:c r="R292" s="34" t="str"/>
      <x:c r="S292" s="34" t="str"/>
      <x:c r="T292" s="34" t="str"/>
      <x:c r="U292" s="34" t="str"/>
      <x:c r="V292" s="34" t="str">
        <x:f>IF(A292="","",IF(N292&lt;5,"样本不足",IF(Q292&gt;=1,"优先复核",IF(AND(N292&gt;=20,P292&lt;0.35,K292&gt;=5),"停用候选",IF(AND(N292&gt;=10,P292&lt;0.45),"需修改候选",IF(AND(N292&gt;=10,P292&gt;=0.75,R292/N292&lt;=0.15,S292/N292&lt;=0.15),"升级候选",IF(R292/N292&gt;0.3,"收紧条件",IF(S292/N292&gt;0.3,"补漏／放宽","继续观察"))))))))</x:f>
        <x:v>样本不足</x:v>
      </x:c>
      <x:c r="W292" s="34" t="str">
        <x:f>IF(V292="","",IF(V292="升级候选","已验证候选",IF(V292="停用候选","停用候选",IF(OR(V292="需修改候选",V292="收紧条件",V292="补漏／放宽",V292="优先复核"),"需修改／复核","观察中"))))</x:f>
        <x:v>观察中</x:v>
      </x:c>
      <x:c r="X292" s="34" t="str"/>
      <x:c r="Y292" s="34" t="str"/>
    </x:row>
    <x:row r="293">
      <x:c r="A293" s="34" t="str">
        <x:v>M5-SYNTH-307</x:v>
      </x:c>
      <x:c r="B293" s="34" t="str">
        <x:v>SYNTH</x:v>
      </x:c>
      <x:c r="C293" s="34" t="str">
        <x:v>P0_SYNTH总合成</x:v>
      </x:c>
      <x:c r="D293" s="34" t="str">
        <x:v>一句话模板｜FG4稳定适配</x:v>
      </x:c>
      <x:c r="E293" s="34" t="str">
        <x:v>L8 报告、JSON、测试与发布</x:v>
      </x:c>
      <x:c r="F293" s="34" t="str">
        <x:v>模板／输出</x:v>
      </x:c>
      <x:c r="G293" s="34" t="n">
        <x:v>86</x:v>
      </x:c>
      <x:c r="H293" s="34" t="str">
        <x:v>待验证</x:v>
      </x:c>
      <x:c r="I293" s="34" t="str"/>
      <x:c r="J293" s="34" t="str"/>
      <x:c r="K293" s="34" t="str"/>
      <x:c r="L293" s="34" t="str"/>
      <x:c r="M293" s="34" t="str"/>
      <x:c r="N293" s="34" t="n">
        <x:f>IF(A293="","",I293+J293+K293)</x:f>
        <x:v>0</x:v>
      </x:c>
      <x:c r="O293" s="56" t="str">
        <x:f>IF(N293=0,"",(I293+0.5*J293)/N293)</x:f>
      </x:c>
      <x:c r="P293" s="56" t="str">
        <x:f>IF(N293=0,"",(I293+0.5*J293+1)/(N293+2))</x:f>
      </x:c>
      <x:c r="Q293" s="34" t="str"/>
      <x:c r="R293" s="34" t="str"/>
      <x:c r="S293" s="34" t="str"/>
      <x:c r="T293" s="34" t="str"/>
      <x:c r="U293" s="34" t="str"/>
      <x:c r="V293" s="34" t="str">
        <x:f>IF(A293="","",IF(N293&lt;5,"样本不足",IF(Q293&gt;=1,"优先复核",IF(AND(N293&gt;=20,P293&lt;0.35,K293&gt;=5),"停用候选",IF(AND(N293&gt;=10,P293&lt;0.45),"需修改候选",IF(AND(N293&gt;=10,P293&gt;=0.75,R293/N293&lt;=0.15,S293/N293&lt;=0.15),"升级候选",IF(R293/N293&gt;0.3,"收紧条件",IF(S293/N293&gt;0.3,"补漏／放宽","继续观察"))))))))</x:f>
        <x:v>样本不足</x:v>
      </x:c>
      <x:c r="W293" s="34" t="str">
        <x:f>IF(V293="","",IF(V293="升级候选","已验证候选",IF(V293="停用候选","停用候选",IF(OR(V293="需修改候选",V293="收紧条件",V293="补漏／放宽",V293="优先复核"),"需修改／复核","观察中"))))</x:f>
        <x:v>观察中</x:v>
      </x:c>
      <x:c r="X293" s="34" t="str"/>
      <x:c r="Y293" s="34" t="str"/>
    </x:row>
    <x:row r="294">
      <x:c r="A294" s="34" t="str">
        <x:v>M5-SYNTH-309</x:v>
      </x:c>
      <x:c r="B294" s="34" t="str">
        <x:v>SYNTH</x:v>
      </x:c>
      <x:c r="C294" s="34" t="str">
        <x:v>P0_SYNTH总合成</x:v>
      </x:c>
      <x:c r="D294" s="34" t="str">
        <x:v>简版报告结构</x:v>
      </x:c>
      <x:c r="E294" s="34" t="str">
        <x:v>L8 报告、JSON、测试与发布</x:v>
      </x:c>
      <x:c r="F294" s="34" t="str">
        <x:v>模板／输出</x:v>
      </x:c>
      <x:c r="G294" s="34" t="n">
        <x:v>86</x:v>
      </x:c>
      <x:c r="H294" s="34" t="str">
        <x:v>待验证</x:v>
      </x:c>
      <x:c r="I294" s="34" t="str"/>
      <x:c r="J294" s="34" t="str"/>
      <x:c r="K294" s="34" t="str"/>
      <x:c r="L294" s="34" t="str"/>
      <x:c r="M294" s="34" t="str"/>
      <x:c r="N294" s="34" t="n">
        <x:f>IF(A294="","",I294+J294+K294)</x:f>
        <x:v>0</x:v>
      </x:c>
      <x:c r="O294" s="56" t="str">
        <x:f>IF(N294=0,"",(I294+0.5*J294)/N294)</x:f>
      </x:c>
      <x:c r="P294" s="56" t="str">
        <x:f>IF(N294=0,"",(I294+0.5*J294+1)/(N294+2))</x:f>
      </x:c>
      <x:c r="Q294" s="34" t="str"/>
      <x:c r="R294" s="34" t="str"/>
      <x:c r="S294" s="34" t="str"/>
      <x:c r="T294" s="34" t="str"/>
      <x:c r="U294" s="34" t="str"/>
      <x:c r="V294" s="34" t="str">
        <x:f>IF(A294="","",IF(N294&lt;5,"样本不足",IF(Q294&gt;=1,"优先复核",IF(AND(N294&gt;=20,P294&lt;0.35,K294&gt;=5),"停用候选",IF(AND(N294&gt;=10,P294&lt;0.45),"需修改候选",IF(AND(N294&gt;=10,P294&gt;=0.75,R294/N294&lt;=0.15,S294/N294&lt;=0.15),"升级候选",IF(R294/N294&gt;0.3,"收紧条件",IF(S294/N294&gt;0.3,"补漏／放宽","继续观察"))))))))</x:f>
        <x:v>样本不足</x:v>
      </x:c>
      <x:c r="W294" s="34" t="str">
        <x:f>IF(V294="","",IF(V294="升级候选","已验证候选",IF(V294="停用候选","停用候选",IF(OR(V294="需修改候选",V294="收紧条件",V294="补漏／放宽",V294="优先复核"),"需修改／复核","观察中"))))</x:f>
        <x:v>观察中</x:v>
      </x:c>
      <x:c r="X294" s="34" t="str"/>
      <x:c r="Y294" s="34" t="str"/>
    </x:row>
    <x:row r="295">
      <x:c r="A295" s="34" t="str">
        <x:v>M5-SYNTH-310</x:v>
      </x:c>
      <x:c r="B295" s="34" t="str">
        <x:v>SYNTH</x:v>
      </x:c>
      <x:c r="C295" s="34" t="str">
        <x:v>P0_SYNTH总合成</x:v>
      </x:c>
      <x:c r="D295" s="34" t="str">
        <x:v>专业版报告结构</x:v>
      </x:c>
      <x:c r="E295" s="34" t="str">
        <x:v>L8 报告、JSON、测试与发布</x:v>
      </x:c>
      <x:c r="F295" s="34" t="str">
        <x:v>模板／输出</x:v>
      </x:c>
      <x:c r="G295" s="34" t="n">
        <x:v>86</x:v>
      </x:c>
      <x:c r="H295" s="34" t="str">
        <x:v>待验证</x:v>
      </x:c>
      <x:c r="I295" s="34" t="str"/>
      <x:c r="J295" s="34" t="str"/>
      <x:c r="K295" s="34" t="str"/>
      <x:c r="L295" s="34" t="str"/>
      <x:c r="M295" s="34" t="str"/>
      <x:c r="N295" s="34" t="n">
        <x:f>IF(A295="","",I295+J295+K295)</x:f>
        <x:v>0</x:v>
      </x:c>
      <x:c r="O295" s="56" t="str">
        <x:f>IF(N295=0,"",(I295+0.5*J295)/N295)</x:f>
      </x:c>
      <x:c r="P295" s="56" t="str">
        <x:f>IF(N295=0,"",(I295+0.5*J295+1)/(N295+2))</x:f>
      </x:c>
      <x:c r="Q295" s="34" t="str"/>
      <x:c r="R295" s="34" t="str"/>
      <x:c r="S295" s="34" t="str"/>
      <x:c r="T295" s="34" t="str"/>
      <x:c r="U295" s="34" t="str"/>
      <x:c r="V295" s="34" t="str">
        <x:f>IF(A295="","",IF(N295&lt;5,"样本不足",IF(Q295&gt;=1,"优先复核",IF(AND(N295&gt;=20,P295&lt;0.35,K295&gt;=5),"停用候选",IF(AND(N295&gt;=10,P295&lt;0.45),"需修改候选",IF(AND(N295&gt;=10,P295&gt;=0.75,R295/N295&lt;=0.15,S295/N295&lt;=0.15),"升级候选",IF(R295/N295&gt;0.3,"收紧条件",IF(S295/N295&gt;0.3,"补漏／放宽","继续观察"))))))))</x:f>
        <x:v>样本不足</x:v>
      </x:c>
      <x:c r="W295" s="34" t="str">
        <x:f>IF(V295="","",IF(V295="升级候选","已验证候选",IF(V295="停用候选","停用候选",IF(OR(V295="需修改候选",V295="收紧条件",V295="补漏／放宽",V295="优先复核"),"需修改／复核","观察中"))))</x:f>
        <x:v>观察中</x:v>
      </x:c>
      <x:c r="X295" s="34" t="str"/>
      <x:c r="Y295" s="34" t="str"/>
    </x:row>
    <x:row r="296">
      <x:c r="A296" s="34" t="str">
        <x:v>M5-SYNTH-313</x:v>
      </x:c>
      <x:c r="B296" s="34" t="str">
        <x:v>SYNTH</x:v>
      </x:c>
      <x:c r="C296" s="34" t="str">
        <x:v>P0_SYNTH总合成</x:v>
      </x:c>
      <x:c r="D296" s="34" t="str">
        <x:v>测试场景｜无对象结构需求</x:v>
      </x:c>
      <x:c r="E296" s="34" t="str">
        <x:v>L8 报告、JSON、测试与发布</x:v>
      </x:c>
      <x:c r="F296" s="34" t="str">
        <x:v>验证／发布</x:v>
      </x:c>
      <x:c r="G296" s="34" t="n">
        <x:v>86</x:v>
      </x:c>
      <x:c r="H296" s="34" t="str">
        <x:v>待验证</x:v>
      </x:c>
      <x:c r="I296" s="34" t="str"/>
      <x:c r="J296" s="34" t="str"/>
      <x:c r="K296" s="34" t="str"/>
      <x:c r="L296" s="34" t="str"/>
      <x:c r="M296" s="34" t="str"/>
      <x:c r="N296" s="34" t="n">
        <x:f>IF(A296="","",I296+J296+K296)</x:f>
        <x:v>0</x:v>
      </x:c>
      <x:c r="O296" s="56" t="str">
        <x:f>IF(N296=0,"",(I296+0.5*J296)/N296)</x:f>
      </x:c>
      <x:c r="P296" s="56" t="str">
        <x:f>IF(N296=0,"",(I296+0.5*J296+1)/(N296+2))</x:f>
      </x:c>
      <x:c r="Q296" s="34" t="str"/>
      <x:c r="R296" s="34" t="str"/>
      <x:c r="S296" s="34" t="str"/>
      <x:c r="T296" s="34" t="str"/>
      <x:c r="U296" s="34" t="str"/>
      <x:c r="V296" s="34" t="str">
        <x:f>IF(A296="","",IF(N296&lt;5,"样本不足",IF(Q296&gt;=1,"优先复核",IF(AND(N296&gt;=20,P296&lt;0.35,K296&gt;=5),"停用候选",IF(AND(N296&gt;=10,P296&lt;0.45),"需修改候选",IF(AND(N296&gt;=10,P296&gt;=0.75,R296/N296&lt;=0.15,S296/N296&lt;=0.15),"升级候选",IF(R296/N296&gt;0.3,"收紧条件",IF(S296/N296&gt;0.3,"补漏／放宽","继续观察"))))))))</x:f>
        <x:v>样本不足</x:v>
      </x:c>
      <x:c r="W296" s="34" t="str">
        <x:f>IF(V296="","",IF(V296="升级候选","已验证候选",IF(V296="停用候选","停用候选",IF(OR(V296="需修改候选",V296="收紧条件",V296="补漏／放宽",V296="优先复核"),"需修改／复核","观察中"))))</x:f>
        <x:v>观察中</x:v>
      </x:c>
      <x:c r="X296" s="34" t="str"/>
      <x:c r="Y296" s="34" t="str"/>
    </x:row>
    <x:row r="297">
      <x:c r="A297" s="34" t="str">
        <x:v>M5-SYNTH-314</x:v>
      </x:c>
      <x:c r="B297" s="34" t="str">
        <x:v>SYNTH</x:v>
      </x:c>
      <x:c r="C297" s="34" t="str">
        <x:v>P0_SYNTH总合成</x:v>
      </x:c>
      <x:c r="D297" s="34" t="str">
        <x:v>测试场景｜高心动低适配</x:v>
      </x:c>
      <x:c r="E297" s="34" t="str">
        <x:v>L8 报告、JSON、测试与发布</x:v>
      </x:c>
      <x:c r="F297" s="34" t="str">
        <x:v>验证／发布</x:v>
      </x:c>
      <x:c r="G297" s="34" t="n">
        <x:v>86</x:v>
      </x:c>
      <x:c r="H297" s="34" t="str">
        <x:v>待验证</x:v>
      </x:c>
      <x:c r="I297" s="34" t="str"/>
      <x:c r="J297" s="34" t="str"/>
      <x:c r="K297" s="34" t="str"/>
      <x:c r="L297" s="34" t="str"/>
      <x:c r="M297" s="34" t="str"/>
      <x:c r="N297" s="34" t="n">
        <x:f>IF(A297="","",I297+J297+K297)</x:f>
        <x:v>0</x:v>
      </x:c>
      <x:c r="O297" s="56" t="str">
        <x:f>IF(N297=0,"",(I297+0.5*J297)/N297)</x:f>
      </x:c>
      <x:c r="P297" s="56" t="str">
        <x:f>IF(N297=0,"",(I297+0.5*J297+1)/(N297+2))</x:f>
      </x:c>
      <x:c r="Q297" s="34" t="str"/>
      <x:c r="R297" s="34" t="str"/>
      <x:c r="S297" s="34" t="str"/>
      <x:c r="T297" s="34" t="str"/>
      <x:c r="U297" s="34" t="str"/>
      <x:c r="V297" s="34" t="str">
        <x:f>IF(A297="","",IF(N297&lt;5,"样本不足",IF(Q297&gt;=1,"优先复核",IF(AND(N297&gt;=20,P297&lt;0.35,K297&gt;=5),"停用候选",IF(AND(N297&gt;=10,P297&lt;0.45),"需修改候选",IF(AND(N297&gt;=10,P297&gt;=0.75,R297/N297&lt;=0.15,S297/N297&lt;=0.15),"升级候选",IF(R297/N297&gt;0.3,"收紧条件",IF(S297/N297&gt;0.3,"补漏／放宽","继续观察"))))))))</x:f>
        <x:v>样本不足</x:v>
      </x:c>
      <x:c r="W297" s="34" t="str">
        <x:f>IF(V297="","",IF(V297="升级候选","已验证候选",IF(V297="停用候选","停用候选",IF(OR(V297="需修改候选",V297="收紧条件",V297="补漏／放宽",V297="优先复核"),"需修改／复核","观察中"))))</x:f>
        <x:v>观察中</x:v>
      </x:c>
      <x:c r="X297" s="34" t="str"/>
      <x:c r="Y297" s="34" t="str"/>
    </x:row>
    <x:row r="298">
      <x:c r="A298" s="34" t="str">
        <x:v>M5-SYNTH-315</x:v>
      </x:c>
      <x:c r="B298" s="34" t="str">
        <x:v>SYNTH</x:v>
      </x:c>
      <x:c r="C298" s="34" t="str">
        <x:v>P0_SYNTH总合成</x:v>
      </x:c>
      <x:c r="D298" s="34" t="str">
        <x:v>测试场景｜低心动高适配</x:v>
      </x:c>
      <x:c r="E298" s="34" t="str">
        <x:v>L8 报告、JSON、测试与发布</x:v>
      </x:c>
      <x:c r="F298" s="34" t="str">
        <x:v>验证／发布</x:v>
      </x:c>
      <x:c r="G298" s="34" t="n">
        <x:v>86</x:v>
      </x:c>
      <x:c r="H298" s="34" t="str">
        <x:v>待验证</x:v>
      </x:c>
      <x:c r="I298" s="34" t="str"/>
      <x:c r="J298" s="34" t="str"/>
      <x:c r="K298" s="34" t="str"/>
      <x:c r="L298" s="34" t="str"/>
      <x:c r="M298" s="34" t="str"/>
      <x:c r="N298" s="34" t="n">
        <x:f>IF(A298="","",I298+J298+K298)</x:f>
        <x:v>0</x:v>
      </x:c>
      <x:c r="O298" s="56" t="str">
        <x:f>IF(N298=0,"",(I298+0.5*J298)/N298)</x:f>
      </x:c>
      <x:c r="P298" s="56" t="str">
        <x:f>IF(N298=0,"",(I298+0.5*J298+1)/(N298+2))</x:f>
      </x:c>
      <x:c r="Q298" s="34" t="str"/>
      <x:c r="R298" s="34" t="str"/>
      <x:c r="S298" s="34" t="str"/>
      <x:c r="T298" s="34" t="str"/>
      <x:c r="U298" s="34" t="str"/>
      <x:c r="V298" s="34" t="str">
        <x:f>IF(A298="","",IF(N298&lt;5,"样本不足",IF(Q298&gt;=1,"优先复核",IF(AND(N298&gt;=20,P298&lt;0.35,K298&gt;=5),"停用候选",IF(AND(N298&gt;=10,P298&lt;0.45),"需修改候选",IF(AND(N298&gt;=10,P298&gt;=0.75,R298/N298&lt;=0.15,S298/N298&lt;=0.15),"升级候选",IF(R298/N298&gt;0.3,"收紧条件",IF(S298/N298&gt;0.3,"补漏／放宽","继续观察"))))))))</x:f>
        <x:v>样本不足</x:v>
      </x:c>
      <x:c r="W298" s="34" t="str">
        <x:f>IF(V298="","",IF(V298="升级候选","已验证候选",IF(V298="停用候选","停用候选",IF(OR(V298="需修改候选",V298="收紧条件",V298="补漏／放宽",V298="优先复核"),"需修改／复核","观察中"))))</x:f>
        <x:v>观察中</x:v>
      </x:c>
      <x:c r="X298" s="34" t="str"/>
      <x:c r="Y298" s="34" t="str"/>
    </x:row>
    <x:row r="299">
      <x:c r="A299" s="34" t="str">
        <x:v>M5-SYNTH-316</x:v>
      </x:c>
      <x:c r="B299" s="34" t="str">
        <x:v>SYNTH</x:v>
      </x:c>
      <x:c r="C299" s="34" t="str">
        <x:v>P0_SYNTH总合成</x:v>
      </x:c>
      <x:c r="D299" s="34" t="str">
        <x:v>测试场景｜个人能力强但交换弱</x:v>
      </x:c>
      <x:c r="E299" s="34" t="str">
        <x:v>L8 报告、JSON、测试与发布</x:v>
      </x:c>
      <x:c r="F299" s="34" t="str">
        <x:v>验证／发布</x:v>
      </x:c>
      <x:c r="G299" s="34" t="n">
        <x:v>86</x:v>
      </x:c>
      <x:c r="H299" s="34" t="str">
        <x:v>待验证</x:v>
      </x:c>
      <x:c r="I299" s="34" t="str"/>
      <x:c r="J299" s="34" t="str"/>
      <x:c r="K299" s="34" t="str"/>
      <x:c r="L299" s="34" t="str"/>
      <x:c r="M299" s="34" t="str"/>
      <x:c r="N299" s="34" t="n">
        <x:f>IF(A299="","",I299+J299+K299)</x:f>
        <x:v>0</x:v>
      </x:c>
      <x:c r="O299" s="56" t="str">
        <x:f>IF(N299=0,"",(I299+0.5*J299)/N299)</x:f>
      </x:c>
      <x:c r="P299" s="56" t="str">
        <x:f>IF(N299=0,"",(I299+0.5*J299+1)/(N299+2))</x:f>
      </x:c>
      <x:c r="Q299" s="34" t="str"/>
      <x:c r="R299" s="34" t="str"/>
      <x:c r="S299" s="34" t="str"/>
      <x:c r="T299" s="34" t="str"/>
      <x:c r="U299" s="34" t="str"/>
      <x:c r="V299" s="34" t="str">
        <x:f>IF(A299="","",IF(N299&lt;5,"样本不足",IF(Q299&gt;=1,"优先复核",IF(AND(N299&gt;=20,P299&lt;0.35,K299&gt;=5),"停用候选",IF(AND(N299&gt;=10,P299&lt;0.45),"需修改候选",IF(AND(N299&gt;=10,P299&gt;=0.75,R299/N299&lt;=0.15,S299/N299&lt;=0.15),"升级候选",IF(R299/N299&gt;0.3,"收紧条件",IF(S299/N299&gt;0.3,"补漏／放宽","继续观察"))))))))</x:f>
        <x:v>样本不足</x:v>
      </x:c>
      <x:c r="W299" s="34" t="str">
        <x:f>IF(V299="","",IF(V299="升级候选","已验证候选",IF(V299="停用候选","停用候选",IF(OR(V299="需修改候选",V299="收紧条件",V299="补漏／放宽",V299="优先复核"),"需修改／复核","观察中"))))</x:f>
        <x:v>观察中</x:v>
      </x:c>
      <x:c r="X299" s="34" t="str"/>
      <x:c r="Y299" s="34" t="str"/>
    </x:row>
    <x:row r="300">
      <x:c r="A300" s="34" t="str">
        <x:v>M5-SYNTH-318</x:v>
      </x:c>
      <x:c r="B300" s="34" t="str">
        <x:v>SYNTH</x:v>
      </x:c>
      <x:c r="C300" s="34" t="str">
        <x:v>P0_SYNTH总合成</x:v>
      </x:c>
      <x:c r="D300" s="34" t="str">
        <x:v>测试场景｜核心现实目标不匹配</x:v>
      </x:c>
      <x:c r="E300" s="34" t="str">
        <x:v>L8 报告、JSON、测试与发布</x:v>
      </x:c>
      <x:c r="F300" s="34" t="str">
        <x:v>验证／发布</x:v>
      </x:c>
      <x:c r="G300" s="34" t="n">
        <x:v>86</x:v>
      </x:c>
      <x:c r="H300" s="34" t="str">
        <x:v>待验证</x:v>
      </x:c>
      <x:c r="I300" s="34" t="str"/>
      <x:c r="J300" s="34" t="str"/>
      <x:c r="K300" s="34" t="str"/>
      <x:c r="L300" s="34" t="str"/>
      <x:c r="M300" s="34" t="str"/>
      <x:c r="N300" s="34" t="n">
        <x:f>IF(A300="","",I300+J300+K300)</x:f>
        <x:v>0</x:v>
      </x:c>
      <x:c r="O300" s="56" t="str">
        <x:f>IF(N300=0,"",(I300+0.5*J300)/N300)</x:f>
      </x:c>
      <x:c r="P300" s="56" t="str">
        <x:f>IF(N300=0,"",(I300+0.5*J300+1)/(N300+2))</x:f>
      </x:c>
      <x:c r="Q300" s="34" t="str"/>
      <x:c r="R300" s="34" t="str"/>
      <x:c r="S300" s="34" t="str"/>
      <x:c r="T300" s="34" t="str"/>
      <x:c r="U300" s="34" t="str"/>
      <x:c r="V300" s="34" t="str">
        <x:f>IF(A300="","",IF(N300&lt;5,"样本不足",IF(Q300&gt;=1,"优先复核",IF(AND(N300&gt;=20,P300&lt;0.35,K300&gt;=5),"停用候选",IF(AND(N300&gt;=10,P300&lt;0.45),"需修改候选",IF(AND(N300&gt;=10,P300&gt;=0.75,R300/N300&lt;=0.15,S300/N300&lt;=0.15),"升级候选",IF(R300/N300&gt;0.3,"收紧条件",IF(S300/N300&gt;0.3,"补漏／放宽","继续观察"))))))))</x:f>
        <x:v>样本不足</x:v>
      </x:c>
      <x:c r="W300" s="34" t="str">
        <x:f>IF(V300="","",IF(V300="升级候选","已验证候选",IF(V300="停用候选","停用候选",IF(OR(V300="需修改候选",V300="收紧条件",V300="补漏／放宽",V300="优先复核"),"需修改／复核","观察中"))))</x:f>
        <x:v>观察中</x:v>
      </x:c>
      <x:c r="X300" s="34" t="str"/>
      <x:c r="Y300" s="34" t="str"/>
    </x:row>
    <x:row r="301">
      <x:c r="A301" s="34" t="str">
        <x:v>M5-SYNTH-319</x:v>
      </x:c>
      <x:c r="B301" s="34" t="str">
        <x:v>SYNTH</x:v>
      </x:c>
      <x:c r="C301" s="34" t="str">
        <x:v>P0_SYNTH总合成</x:v>
      </x:c>
      <x:c r="D301" s="34" t="str">
        <x:v>测试场景｜FG4跨状态验证</x:v>
      </x:c>
      <x:c r="E301" s="34" t="str">
        <x:v>L8 报告、JSON、测试与发布</x:v>
      </x:c>
      <x:c r="F301" s="34" t="str">
        <x:v>验证／发布</x:v>
      </x:c>
      <x:c r="G301" s="34" t="n">
        <x:v>86</x:v>
      </x:c>
      <x:c r="H301" s="34" t="str">
        <x:v>待验证</x:v>
      </x:c>
      <x:c r="I301" s="34" t="str"/>
      <x:c r="J301" s="34" t="str"/>
      <x:c r="K301" s="34" t="str"/>
      <x:c r="L301" s="34" t="str"/>
      <x:c r="M301" s="34" t="str"/>
      <x:c r="N301" s="34" t="n">
        <x:f>IF(A301="","",I301+J301+K301)</x:f>
        <x:v>0</x:v>
      </x:c>
      <x:c r="O301" s="56" t="str">
        <x:f>IF(N301=0,"",(I301+0.5*J301)/N301)</x:f>
      </x:c>
      <x:c r="P301" s="56" t="str">
        <x:f>IF(N301=0,"",(I301+0.5*J301+1)/(N301+2))</x:f>
      </x:c>
      <x:c r="Q301" s="34" t="str"/>
      <x:c r="R301" s="34" t="str"/>
      <x:c r="S301" s="34" t="str"/>
      <x:c r="T301" s="34" t="str"/>
      <x:c r="U301" s="34" t="str"/>
      <x:c r="V301" s="34" t="str">
        <x:f>IF(A301="","",IF(N301&lt;5,"样本不足",IF(Q301&gt;=1,"优先复核",IF(AND(N301&gt;=20,P301&lt;0.35,K301&gt;=5),"停用候选",IF(AND(N301&gt;=10,P301&lt;0.45),"需修改候选",IF(AND(N301&gt;=10,P301&gt;=0.75,R301/N301&lt;=0.15,S301/N301&lt;=0.15),"升级候选",IF(R301/N301&gt;0.3,"收紧条件",IF(S301/N301&gt;0.3,"补漏／放宽","继续观察"))))))))</x:f>
        <x:v>样本不足</x:v>
      </x:c>
      <x:c r="W301" s="34" t="str">
        <x:f>IF(V301="","",IF(V301="升级候选","已验证候选",IF(V301="停用候选","停用候选",IF(OR(V301="需修改候选",V301="收紧条件",V301="补漏／放宽",V301="优先复核"),"需修改／复核","观察中"))))</x:f>
        <x:v>观察中</x:v>
      </x:c>
      <x:c r="X301" s="34" t="str"/>
      <x:c r="Y301" s="34" t="str"/>
    </x:row>
    <x:row r="302">
      <x:c r="A302" s="34" t="str">
        <x:v>M5-SYNTH-320</x:v>
      </x:c>
      <x:c r="B302" s="34" t="str">
        <x:v>SYNTH</x:v>
      </x:c>
      <x:c r="C302" s="34" t="str">
        <x:v>P0_SYNTH总合成</x:v>
      </x:c>
      <x:c r="D302" s="34" t="str">
        <x:v>版本发布与下一阶段</x:v>
      </x:c>
      <x:c r="E302" s="34" t="str">
        <x:v>L8 报告、JSON、测试与发布</x:v>
      </x:c>
      <x:c r="F302" s="34" t="str">
        <x:v>验证／发布</x:v>
      </x:c>
      <x:c r="G302" s="34" t="n">
        <x:v>86</x:v>
      </x:c>
      <x:c r="H302" s="34" t="str">
        <x:v>待验证</x:v>
      </x:c>
      <x:c r="I302" s="34" t="str"/>
      <x:c r="J302" s="34" t="str"/>
      <x:c r="K302" s="34" t="str"/>
      <x:c r="L302" s="34" t="str"/>
      <x:c r="M302" s="34" t="str"/>
      <x:c r="N302" s="34" t="n">
        <x:f>IF(A302="","",I302+J302+K302)</x:f>
        <x:v>0</x:v>
      </x:c>
      <x:c r="O302" s="56" t="str">
        <x:f>IF(N302=0,"",(I302+0.5*J302)/N302)</x:f>
      </x:c>
      <x:c r="P302" s="56" t="str">
        <x:f>IF(N302=0,"",(I302+0.5*J302+1)/(N302+2))</x:f>
      </x:c>
      <x:c r="Q302" s="34" t="str"/>
      <x:c r="R302" s="34" t="str"/>
      <x:c r="S302" s="34" t="str"/>
      <x:c r="T302" s="34" t="str"/>
      <x:c r="U302" s="34" t="str"/>
      <x:c r="V302" s="34" t="str">
        <x:f>IF(A302="","",IF(N302&lt;5,"样本不足",IF(Q302&gt;=1,"优先复核",IF(AND(N302&gt;=20,P302&lt;0.35,K302&gt;=5),"停用候选",IF(AND(N302&gt;=10,P302&lt;0.45),"需修改候选",IF(AND(N302&gt;=10,P302&gt;=0.75,R302/N302&lt;=0.15,S302/N302&lt;=0.15),"升级候选",IF(R302/N302&gt;0.3,"收紧条件",IF(S302/N302&gt;0.3,"补漏／放宽","继续观察"))))))))</x:f>
        <x:v>样本不足</x:v>
      </x:c>
      <x:c r="W302" s="34" t="str">
        <x:f>IF(V302="","",IF(V302="升级候选","已验证候选",IF(V302="停用候选","停用候选",IF(OR(V302="需修改候选",V302="收紧条件",V302="补漏／放宽",V302="优先复核"),"需修改／复核","观察中"))))</x:f>
        <x:v>观察中</x:v>
      </x:c>
      <x:c r="X302" s="34" t="str"/>
      <x:c r="Y302" s="34" t="str"/>
    </x:row>
    <x:row r="303">
      <x:c r="A303" s="34" t="str">
        <x:v>M5-SYNTH-273</x:v>
      </x:c>
      <x:c r="B303" s="34" t="str">
        <x:v>SYNTH</x:v>
      </x:c>
      <x:c r="C303" s="34" t="str">
        <x:v>P0_SYNTH总合成</x:v>
      </x:c>
      <x:c r="D303" s="34" t="str">
        <x:v>总体置信度公式｜字段加权而非简单平均</x:v>
      </x:c>
      <x:c r="E303" s="34" t="str">
        <x:v>L7 置信度与反例</x:v>
      </x:c>
      <x:c r="F303" s="34" t="str">
        <x:v>评分／置信</x:v>
      </x:c>
      <x:c r="G303" s="34" t="n">
        <x:v>84</x:v>
      </x:c>
      <x:c r="H303" s="34" t="str">
        <x:v>待验证</x:v>
      </x:c>
      <x:c r="I303" s="34" t="str"/>
      <x:c r="J303" s="34" t="str"/>
      <x:c r="K303" s="34" t="str"/>
      <x:c r="L303" s="34" t="str"/>
      <x:c r="M303" s="34" t="str"/>
      <x:c r="N303" s="34" t="n">
        <x:f>IF(A303="","",I303+J303+K303)</x:f>
        <x:v>0</x:v>
      </x:c>
      <x:c r="O303" s="56" t="str">
        <x:f>IF(N303=0,"",(I303+0.5*J303)/N303)</x:f>
      </x:c>
      <x:c r="P303" s="56" t="str">
        <x:f>IF(N303=0,"",(I303+0.5*J303+1)/(N303+2))</x:f>
      </x:c>
      <x:c r="Q303" s="34" t="str"/>
      <x:c r="R303" s="34" t="str"/>
      <x:c r="S303" s="34" t="str"/>
      <x:c r="T303" s="34" t="str"/>
      <x:c r="U303" s="34" t="str"/>
      <x:c r="V303" s="34" t="str">
        <x:f>IF(A303="","",IF(N303&lt;5,"样本不足",IF(Q303&gt;=1,"优先复核",IF(AND(N303&gt;=20,P303&lt;0.35,K303&gt;=5),"停用候选",IF(AND(N303&gt;=10,P303&lt;0.45),"需修改候选",IF(AND(N303&gt;=10,P303&gt;=0.75,R303/N303&lt;=0.15,S303/N303&lt;=0.15),"升级候选",IF(R303/N303&gt;0.3,"收紧条件",IF(S303/N303&gt;0.3,"补漏／放宽","继续观察"))))))))</x:f>
        <x:v>样本不足</x:v>
      </x:c>
      <x:c r="W303" s="34" t="str">
        <x:f>IF(V303="","",IF(V303="升级候选","已验证候选",IF(V303="停用候选","停用候选",IF(OR(V303="需修改候选",V303="收紧条件",V303="补漏／放宽",V303="优先复核"),"需修改／复核","观察中"))))</x:f>
        <x:v>观察中</x:v>
      </x:c>
      <x:c r="X303" s="34" t="str"/>
      <x:c r="Y303" s="34" t="str"/>
    </x:row>
    <x:row r="304">
      <x:c r="A304" s="34" t="str">
        <x:v>M5-SYNTH-274</x:v>
      </x:c>
      <x:c r="B304" s="34" t="str">
        <x:v>SYNTH</x:v>
      </x:c>
      <x:c r="C304" s="34" t="str">
        <x:v>P0_SYNTH总合成</x:v>
      </x:c>
      <x:c r="D304" s="34" t="str">
        <x:v>字段级置信优先于总体置信</x:v>
      </x:c>
      <x:c r="E304" s="34" t="str">
        <x:v>L7 置信度与反例</x:v>
      </x:c>
      <x:c r="F304" s="34" t="str">
        <x:v>评分／置信</x:v>
      </x:c>
      <x:c r="G304" s="34" t="n">
        <x:v>84</x:v>
      </x:c>
      <x:c r="H304" s="34" t="str">
        <x:v>待验证</x:v>
      </x:c>
      <x:c r="I304" s="34" t="str"/>
      <x:c r="J304" s="34" t="str"/>
      <x:c r="K304" s="34" t="str"/>
      <x:c r="L304" s="34" t="str"/>
      <x:c r="M304" s="34" t="str"/>
      <x:c r="N304" s="34" t="n">
        <x:f>IF(A304="","",I304+J304+K304)</x:f>
        <x:v>0</x:v>
      </x:c>
      <x:c r="O304" s="56" t="str">
        <x:f>IF(N304=0,"",(I304+0.5*J304)/N304)</x:f>
      </x:c>
      <x:c r="P304" s="56" t="str">
        <x:f>IF(N304=0,"",(I304+0.5*J304+1)/(N304+2))</x:f>
      </x:c>
      <x:c r="Q304" s="34" t="str"/>
      <x:c r="R304" s="34" t="str"/>
      <x:c r="S304" s="34" t="str"/>
      <x:c r="T304" s="34" t="str"/>
      <x:c r="U304" s="34" t="str"/>
      <x:c r="V304" s="34" t="str">
        <x:f>IF(A304="","",IF(N304&lt;5,"样本不足",IF(Q304&gt;=1,"优先复核",IF(AND(N304&gt;=20,P304&lt;0.35,K304&gt;=5),"停用候选",IF(AND(N304&gt;=10,P304&lt;0.45),"需修改候选",IF(AND(N304&gt;=10,P304&gt;=0.75,R304/N304&lt;=0.15,S304/N304&lt;=0.15),"升级候选",IF(R304/N304&gt;0.3,"收紧条件",IF(S304/N304&gt;0.3,"补漏／放宽","继续观察"))))))))</x:f>
        <x:v>样本不足</x:v>
      </x:c>
      <x:c r="W304" s="34" t="str">
        <x:f>IF(V304="","",IF(V304="升级候选","已验证候选",IF(V304="停用候选","停用候选",IF(OR(V304="需修改候选",V304="收紧条件",V304="补漏／放宽",V304="优先复核"),"需修改／复核","观察中"))))</x:f>
        <x:v>观察中</x:v>
      </x:c>
      <x:c r="X304" s="34" t="str"/>
      <x:c r="Y304" s="34" t="str"/>
    </x:row>
    <x:row r="305">
      <x:c r="A305" s="34" t="str">
        <x:v>M5-SYNTH-275</x:v>
      </x:c>
      <x:c r="B305" s="34" t="str">
        <x:v>SYNTH</x:v>
      </x:c>
      <x:c r="C305" s="34" t="str">
        <x:v>P0_SYNTH总合成</x:v>
      </x:c>
      <x:c r="D305" s="34" t="str">
        <x:v>独立source_id加分</x:v>
      </x:c>
      <x:c r="E305" s="34" t="str">
        <x:v>L7 置信度与反例</x:v>
      </x:c>
      <x:c r="F305" s="34" t="str">
        <x:v>评分／置信</x:v>
      </x:c>
      <x:c r="G305" s="34" t="n">
        <x:v>84</x:v>
      </x:c>
      <x:c r="H305" s="34" t="str">
        <x:v>待验证</x:v>
      </x:c>
      <x:c r="I305" s="34" t="str"/>
      <x:c r="J305" s="34" t="str"/>
      <x:c r="K305" s="34" t="str"/>
      <x:c r="L305" s="34" t="str"/>
      <x:c r="M305" s="34" t="str"/>
      <x:c r="N305" s="34" t="n">
        <x:f>IF(A305="","",I305+J305+K305)</x:f>
        <x:v>0</x:v>
      </x:c>
      <x:c r="O305" s="56" t="str">
        <x:f>IF(N305=0,"",(I305+0.5*J305)/N305)</x:f>
      </x:c>
      <x:c r="P305" s="56" t="str">
        <x:f>IF(N305=0,"",(I305+0.5*J305+1)/(N305+2))</x:f>
      </x:c>
      <x:c r="Q305" s="34" t="str"/>
      <x:c r="R305" s="34" t="str"/>
      <x:c r="S305" s="34" t="str"/>
      <x:c r="T305" s="34" t="str"/>
      <x:c r="U305" s="34" t="str"/>
      <x:c r="V305" s="34" t="str">
        <x:f>IF(A305="","",IF(N305&lt;5,"样本不足",IF(Q305&gt;=1,"优先复核",IF(AND(N305&gt;=20,P305&lt;0.35,K305&gt;=5),"停用候选",IF(AND(N305&gt;=10,P305&lt;0.45),"需修改候选",IF(AND(N305&gt;=10,P305&gt;=0.75,R305/N305&lt;=0.15,S305/N305&lt;=0.15),"升级候选",IF(R305/N305&gt;0.3,"收紧条件",IF(S305/N305&gt;0.3,"补漏／放宽","继续观察"))))))))</x:f>
        <x:v>样本不足</x:v>
      </x:c>
      <x:c r="W305" s="34" t="str">
        <x:f>IF(V305="","",IF(V305="升级候选","已验证候选",IF(V305="停用候选","停用候选",IF(OR(V305="需修改候选",V305="收紧条件",V305="补漏／放宽",V305="优先复核"),"需修改／复核","观察中"))))</x:f>
        <x:v>观察中</x:v>
      </x:c>
      <x:c r="X305" s="34" t="str"/>
      <x:c r="Y305" s="34" t="str"/>
    </x:row>
    <x:row r="306">
      <x:c r="A306" s="34" t="str">
        <x:v>M5-SYNTH-276</x:v>
      </x:c>
      <x:c r="B306" s="34" t="str">
        <x:v>SYNTH</x:v>
      </x:c>
      <x:c r="C306" s="34" t="str">
        <x:v>P0_SYNTH总合成</x:v>
      </x:c>
      <x:c r="D306" s="34" t="str">
        <x:v>具体对象重复行为加分</x:v>
      </x:c>
      <x:c r="E306" s="34" t="str">
        <x:v>L7 置信度与反例</x:v>
      </x:c>
      <x:c r="F306" s="34" t="str">
        <x:v>评分／置信</x:v>
      </x:c>
      <x:c r="G306" s="34" t="n">
        <x:v>84</x:v>
      </x:c>
      <x:c r="H306" s="34" t="str">
        <x:v>待验证</x:v>
      </x:c>
      <x:c r="I306" s="34" t="str"/>
      <x:c r="J306" s="34" t="str"/>
      <x:c r="K306" s="34" t="str"/>
      <x:c r="L306" s="34" t="str"/>
      <x:c r="M306" s="34" t="str"/>
      <x:c r="N306" s="34" t="n">
        <x:f>IF(A306="","",I306+J306+K306)</x:f>
        <x:v>0</x:v>
      </x:c>
      <x:c r="O306" s="56" t="str">
        <x:f>IF(N306=0,"",(I306+0.5*J306)/N306)</x:f>
      </x:c>
      <x:c r="P306" s="56" t="str">
        <x:f>IF(N306=0,"",(I306+0.5*J306+1)/(N306+2))</x:f>
      </x:c>
      <x:c r="Q306" s="34" t="str"/>
      <x:c r="R306" s="34" t="str"/>
      <x:c r="S306" s="34" t="str"/>
      <x:c r="T306" s="34" t="str"/>
      <x:c r="U306" s="34" t="str"/>
      <x:c r="V306" s="34" t="str">
        <x:f>IF(A306="","",IF(N306&lt;5,"样本不足",IF(Q306&gt;=1,"优先复核",IF(AND(N306&gt;=20,P306&lt;0.35,K306&gt;=5),"停用候选",IF(AND(N306&gt;=10,P306&lt;0.45),"需修改候选",IF(AND(N306&gt;=10,P306&gt;=0.75,R306/N306&lt;=0.15,S306/N306&lt;=0.15),"升级候选",IF(R306/N306&gt;0.3,"收紧条件",IF(S306/N306&gt;0.3,"补漏／放宽","继续观察"))))))))</x:f>
        <x:v>样本不足</x:v>
      </x:c>
      <x:c r="W306" s="34" t="str">
        <x:f>IF(V306="","",IF(V306="升级候选","已验证候选",IF(V306="停用候选","停用候选",IF(OR(V306="需修改候选",V306="收紧条件",V306="补漏／放宽",V306="优先复核"),"需修改／复核","观察中"))))</x:f>
        <x:v>观察中</x:v>
      </x:c>
      <x:c r="X306" s="34" t="str"/>
      <x:c r="Y306" s="34" t="str"/>
    </x:row>
    <x:row r="307">
      <x:c r="A307" s="34" t="str">
        <x:v>M5-SYNTH-277</x:v>
      </x:c>
      <x:c r="B307" s="34" t="str">
        <x:v>SYNTH</x:v>
      </x:c>
      <x:c r="C307" s="34" t="str">
        <x:v>P0_SYNTH总合成</x:v>
      </x:c>
      <x:c r="D307" s="34" t="str">
        <x:v>跨场景事件加分</x:v>
      </x:c>
      <x:c r="E307" s="34" t="str">
        <x:v>L7 置信度与反例</x:v>
      </x:c>
      <x:c r="F307" s="34" t="str">
        <x:v>评分／置信</x:v>
      </x:c>
      <x:c r="G307" s="34" t="n">
        <x:v>84</x:v>
      </x:c>
      <x:c r="H307" s="34" t="str">
        <x:v>待验证</x:v>
      </x:c>
      <x:c r="I307" s="34" t="str"/>
      <x:c r="J307" s="34" t="str"/>
      <x:c r="K307" s="34" t="str"/>
      <x:c r="L307" s="34" t="str"/>
      <x:c r="M307" s="34" t="str"/>
      <x:c r="N307" s="34" t="n">
        <x:f>IF(A307="","",I307+J307+K307)</x:f>
        <x:v>0</x:v>
      </x:c>
      <x:c r="O307" s="56" t="str">
        <x:f>IF(N307=0,"",(I307+0.5*J307)/N307)</x:f>
      </x:c>
      <x:c r="P307" s="56" t="str">
        <x:f>IF(N307=0,"",(I307+0.5*J307+1)/(N307+2))</x:f>
      </x:c>
      <x:c r="Q307" s="34" t="str"/>
      <x:c r="R307" s="34" t="str"/>
      <x:c r="S307" s="34" t="str"/>
      <x:c r="T307" s="34" t="str"/>
      <x:c r="U307" s="34" t="str"/>
      <x:c r="V307" s="34" t="str">
        <x:f>IF(A307="","",IF(N307&lt;5,"样本不足",IF(Q307&gt;=1,"优先复核",IF(AND(N307&gt;=20,P307&lt;0.35,K307&gt;=5),"停用候选",IF(AND(N307&gt;=10,P307&lt;0.45),"需修改候选",IF(AND(N307&gt;=10,P307&gt;=0.75,R307/N307&lt;=0.15,S307/N307&lt;=0.15),"升级候选",IF(R307/N307&gt;0.3,"收紧条件",IF(S307/N307&gt;0.3,"补漏／放宽","继续观察"))))))))</x:f>
        <x:v>样本不足</x:v>
      </x:c>
      <x:c r="W307" s="34" t="str">
        <x:f>IF(V307="","",IF(V307="升级候选","已验证候选",IF(V307="停用候选","停用候选",IF(OR(V307="需修改候选",V307="收紧条件",V307="补漏／放宽",V307="优先复核"),"需修改／复核","观察中"))))</x:f>
        <x:v>观察中</x:v>
      </x:c>
      <x:c r="X307" s="34" t="str"/>
      <x:c r="Y307" s="34" t="str"/>
    </x:row>
    <x:row r="308">
      <x:c r="A308" s="34" t="str">
        <x:v>M5-SYNTH-278</x:v>
      </x:c>
      <x:c r="B308" s="34" t="str">
        <x:v>SYNTH</x:v>
      </x:c>
      <x:c r="C308" s="34" t="str">
        <x:v>P0_SYNTH总合成</x:v>
      </x:c>
      <x:c r="D308" s="34" t="str">
        <x:v>压力或现实代价证据加分</x:v>
      </x:c>
      <x:c r="E308" s="34" t="str">
        <x:v>L7 置信度与反例</x:v>
      </x:c>
      <x:c r="F308" s="34" t="str">
        <x:v>评分／置信</x:v>
      </x:c>
      <x:c r="G308" s="34" t="n">
        <x:v>84</x:v>
      </x:c>
      <x:c r="H308" s="34" t="str">
        <x:v>待验证</x:v>
      </x:c>
      <x:c r="I308" s="34" t="str"/>
      <x:c r="J308" s="34" t="str"/>
      <x:c r="K308" s="34" t="str"/>
      <x:c r="L308" s="34" t="str"/>
      <x:c r="M308" s="34" t="str"/>
      <x:c r="N308" s="34" t="n">
        <x:f>IF(A308="","",I308+J308+K308)</x:f>
        <x:v>0</x:v>
      </x:c>
      <x:c r="O308" s="56" t="str">
        <x:f>IF(N308=0,"",(I308+0.5*J308)/N308)</x:f>
      </x:c>
      <x:c r="P308" s="56" t="str">
        <x:f>IF(N308=0,"",(I308+0.5*J308+1)/(N308+2))</x:f>
      </x:c>
      <x:c r="Q308" s="34" t="str"/>
      <x:c r="R308" s="34" t="str"/>
      <x:c r="S308" s="34" t="str"/>
      <x:c r="T308" s="34" t="str"/>
      <x:c r="U308" s="34" t="str"/>
      <x:c r="V308" s="34" t="str">
        <x:f>IF(A308="","",IF(N308&lt;5,"样本不足",IF(Q308&gt;=1,"优先复核",IF(AND(N308&gt;=20,P308&lt;0.35,K308&gt;=5),"停用候选",IF(AND(N308&gt;=10,P308&lt;0.45),"需修改候选",IF(AND(N308&gt;=10,P308&gt;=0.75,R308/N308&lt;=0.15,S308/N308&lt;=0.15),"升级候选",IF(R308/N308&gt;0.3,"收紧条件",IF(S308/N308&gt;0.3,"补漏／放宽","继续观察"))))))))</x:f>
        <x:v>样本不足</x:v>
      </x:c>
      <x:c r="W308" s="34" t="str">
        <x:f>IF(V308="","",IF(V308="升级候选","已验证候选",IF(V308="停用候选","停用候选",IF(OR(V308="需修改候选",V308="收紧条件",V308="补漏／放宽",V308="优先复核"),"需修改／复核","观察中"))))</x:f>
        <x:v>观察中</x:v>
      </x:c>
      <x:c r="X308" s="34" t="str"/>
      <x:c r="Y308" s="34" t="str"/>
    </x:row>
    <x:row r="309">
      <x:c r="A309" s="34" t="str">
        <x:v>M5-SYNTH-279</x:v>
      </x:c>
      <x:c r="B309" s="34" t="str">
        <x:v>SYNTH</x:v>
      </x:c>
      <x:c r="C309" s="34" t="str">
        <x:v>P0_SYNTH总合成</x:v>
      </x:c>
      <x:c r="D309" s="34" t="str">
        <x:v>修复与恢复证据加分</x:v>
      </x:c>
      <x:c r="E309" s="34" t="str">
        <x:v>L7 置信度与反例</x:v>
      </x:c>
      <x:c r="F309" s="34" t="str">
        <x:v>评分／置信</x:v>
      </x:c>
      <x:c r="G309" s="34" t="n">
        <x:v>84</x:v>
      </x:c>
      <x:c r="H309" s="34" t="str">
        <x:v>待验证</x:v>
      </x:c>
      <x:c r="I309" s="34" t="str"/>
      <x:c r="J309" s="34" t="str"/>
      <x:c r="K309" s="34" t="str"/>
      <x:c r="L309" s="34" t="str"/>
      <x:c r="M309" s="34" t="str"/>
      <x:c r="N309" s="34" t="n">
        <x:f>IF(A309="","",I309+J309+K309)</x:f>
        <x:v>0</x:v>
      </x:c>
      <x:c r="O309" s="56" t="str">
        <x:f>IF(N309=0,"",(I309+0.5*J309)/N309)</x:f>
      </x:c>
      <x:c r="P309" s="56" t="str">
        <x:f>IF(N309=0,"",(I309+0.5*J309+1)/(N309+2))</x:f>
      </x:c>
      <x:c r="Q309" s="34" t="str"/>
      <x:c r="R309" s="34" t="str"/>
      <x:c r="S309" s="34" t="str"/>
      <x:c r="T309" s="34" t="str"/>
      <x:c r="U309" s="34" t="str"/>
      <x:c r="V309" s="34" t="str">
        <x:f>IF(A309="","",IF(N309&lt;5,"样本不足",IF(Q309&gt;=1,"优先复核",IF(AND(N309&gt;=20,P309&lt;0.35,K309&gt;=5),"停用候选",IF(AND(N309&gt;=10,P309&lt;0.45),"需修改候选",IF(AND(N309&gt;=10,P309&gt;=0.75,R309/N309&lt;=0.15,S309/N309&lt;=0.15),"升级候选",IF(R309/N309&gt;0.3,"收紧条件",IF(S309/N309&gt;0.3,"补漏／放宽","继续观察"))))))))</x:f>
        <x:v>样本不足</x:v>
      </x:c>
      <x:c r="W309" s="34" t="str">
        <x:f>IF(V309="","",IF(V309="升级候选","已验证候选",IF(V309="停用候选","停用候选",IF(OR(V309="需修改候选",V309="收紧条件",V309="补漏／放宽",V309="优先复核"),"需修改／复核","观察中"))))</x:f>
        <x:v>观察中</x:v>
      </x:c>
      <x:c r="X309" s="34" t="str"/>
      <x:c r="Y309" s="34" t="str"/>
    </x:row>
    <x:row r="310">
      <x:c r="A310" s="34" t="str">
        <x:v>M5-SYNTH-280</x:v>
      </x:c>
      <x:c r="B310" s="34" t="str">
        <x:v>SYNTH</x:v>
      </x:c>
      <x:c r="C310" s="34" t="str">
        <x:v>P0_SYNTH总合成</x:v>
      </x:c>
      <x:c r="D310" s="34" t="str">
        <x:v>重大转折证据加分</x:v>
      </x:c>
      <x:c r="E310" s="34" t="str">
        <x:v>L7 置信度与反例</x:v>
      </x:c>
      <x:c r="F310" s="34" t="str">
        <x:v>评分／置信</x:v>
      </x:c>
      <x:c r="G310" s="34" t="n">
        <x:v>84</x:v>
      </x:c>
      <x:c r="H310" s="34" t="str">
        <x:v>待验证</x:v>
      </x:c>
      <x:c r="I310" s="34" t="str"/>
      <x:c r="J310" s="34" t="str"/>
      <x:c r="K310" s="34" t="str"/>
      <x:c r="L310" s="34" t="str"/>
      <x:c r="M310" s="34" t="str"/>
      <x:c r="N310" s="34" t="n">
        <x:f>IF(A310="","",I310+J310+K310)</x:f>
        <x:v>0</x:v>
      </x:c>
      <x:c r="O310" s="56" t="str">
        <x:f>IF(N310=0,"",(I310+0.5*J310)/N310)</x:f>
      </x:c>
      <x:c r="P310" s="56" t="str">
        <x:f>IF(N310=0,"",(I310+0.5*J310+1)/(N310+2))</x:f>
      </x:c>
      <x:c r="Q310" s="34" t="str"/>
      <x:c r="R310" s="34" t="str"/>
      <x:c r="S310" s="34" t="str"/>
      <x:c r="T310" s="34" t="str"/>
      <x:c r="U310" s="34" t="str"/>
      <x:c r="V310" s="34" t="str">
        <x:f>IF(A310="","",IF(N310&lt;5,"样本不足",IF(Q310&gt;=1,"优先复核",IF(AND(N310&gt;=20,P310&lt;0.35,K310&gt;=5),"停用候选",IF(AND(N310&gt;=10,P310&lt;0.45),"需修改候选",IF(AND(N310&gt;=10,P310&gt;=0.75,R310/N310&lt;=0.15,S310/N310&lt;=0.15),"升级候选",IF(R310/N310&gt;0.3,"收紧条件",IF(S310/N310&gt;0.3,"补漏／放宽","继续观察"))))))))</x:f>
        <x:v>样本不足</x:v>
      </x:c>
      <x:c r="W310" s="34" t="str">
        <x:f>IF(V310="","",IF(V310="升级候选","已验证候选",IF(V310="停用候选","停用候选",IF(OR(V310="需修改候选",V310="收紧条件",V310="补漏／放宽",V310="优先复核"),"需修改／复核","观察中"))))</x:f>
        <x:v>观察中</x:v>
      </x:c>
      <x:c r="X310" s="34" t="str"/>
      <x:c r="Y310" s="34" t="str"/>
    </x:row>
    <x:row r="311">
      <x:c r="A311" s="34" t="str">
        <x:v>M5-SYNTH-281</x:v>
      </x:c>
      <x:c r="B311" s="34" t="str">
        <x:v>SYNTH</x:v>
      </x:c>
      <x:c r="C311" s="34" t="str">
        <x:v>P0_SYNTH总合成</x:v>
      </x:c>
      <x:c r="D311" s="34" t="str">
        <x:v>现实门槛完整评估加分</x:v>
      </x:c>
      <x:c r="E311" s="34" t="str">
        <x:v>L7 置信度与反例</x:v>
      </x:c>
      <x:c r="F311" s="34" t="str">
        <x:v>评分／置信</x:v>
      </x:c>
      <x:c r="G311" s="34" t="n">
        <x:v>84</x:v>
      </x:c>
      <x:c r="H311" s="34" t="str">
        <x:v>待验证</x:v>
      </x:c>
      <x:c r="I311" s="34" t="str"/>
      <x:c r="J311" s="34" t="str"/>
      <x:c r="K311" s="34" t="str"/>
      <x:c r="L311" s="34" t="str"/>
      <x:c r="M311" s="34" t="str"/>
      <x:c r="N311" s="34" t="n">
        <x:f>IF(A311="","",I311+J311+K311)</x:f>
        <x:v>0</x:v>
      </x:c>
      <x:c r="O311" s="56" t="str">
        <x:f>IF(N311=0,"",(I311+0.5*J311)/N311)</x:f>
      </x:c>
      <x:c r="P311" s="56" t="str">
        <x:f>IF(N311=0,"",(I311+0.5*J311+1)/(N311+2))</x:f>
      </x:c>
      <x:c r="Q311" s="34" t="str"/>
      <x:c r="R311" s="34" t="str"/>
      <x:c r="S311" s="34" t="str"/>
      <x:c r="T311" s="34" t="str"/>
      <x:c r="U311" s="34" t="str"/>
      <x:c r="V311" s="34" t="str">
        <x:f>IF(A311="","",IF(N311&lt;5,"样本不足",IF(Q311&gt;=1,"优先复核",IF(AND(N311&gt;=20,P311&lt;0.35,K311&gt;=5),"停用候选",IF(AND(N311&gt;=10,P311&lt;0.45),"需修改候选",IF(AND(N311&gt;=10,P311&gt;=0.75,R311/N311&lt;=0.15,S311/N311&lt;=0.15),"升级候选",IF(R311/N311&gt;0.3,"收紧条件",IF(S311/N311&gt;0.3,"补漏／放宽","继续观察"))))))))</x:f>
        <x:v>样本不足</x:v>
      </x:c>
      <x:c r="W311" s="34" t="str">
        <x:f>IF(V311="","",IF(V311="升级候选","已验证候选",IF(V311="停用候选","停用候选",IF(OR(V311="需修改候选",V311="收紧条件",V311="补漏／放宽",V311="优先复核"),"需修改／复核","观察中"))))</x:f>
        <x:v>观察中</x:v>
      </x:c>
      <x:c r="X311" s="34" t="str"/>
      <x:c r="Y311" s="34" t="str"/>
    </x:row>
    <x:row r="312">
      <x:c r="A312" s="34" t="str">
        <x:v>M5-SYNTH-282</x:v>
      </x:c>
      <x:c r="B312" s="34" t="str">
        <x:v>SYNTH</x:v>
      </x:c>
      <x:c r="C312" s="34" t="str">
        <x:v>P0_SYNTH总合成</x:v>
      </x:c>
      <x:c r="D312" s="34" t="str">
        <x:v>反例审查加分</x:v>
      </x:c>
      <x:c r="E312" s="34" t="str">
        <x:v>L7 置信度与反例</x:v>
      </x:c>
      <x:c r="F312" s="34" t="str">
        <x:v>评分／置信</x:v>
      </x:c>
      <x:c r="G312" s="34" t="n">
        <x:v>84</x:v>
      </x:c>
      <x:c r="H312" s="34" t="str">
        <x:v>待验证</x:v>
      </x:c>
      <x:c r="I312" s="34" t="str"/>
      <x:c r="J312" s="34" t="str"/>
      <x:c r="K312" s="34" t="str"/>
      <x:c r="L312" s="34" t="str"/>
      <x:c r="M312" s="34" t="str"/>
      <x:c r="N312" s="34" t="n">
        <x:f>IF(A312="","",I312+J312+K312)</x:f>
        <x:v>0</x:v>
      </x:c>
      <x:c r="O312" s="56" t="str">
        <x:f>IF(N312=0,"",(I312+0.5*J312)/N312)</x:f>
      </x:c>
      <x:c r="P312" s="56" t="str">
        <x:f>IF(N312=0,"",(I312+0.5*J312+1)/(N312+2))</x:f>
      </x:c>
      <x:c r="Q312" s="34" t="str"/>
      <x:c r="R312" s="34" t="str"/>
      <x:c r="S312" s="34" t="str"/>
      <x:c r="T312" s="34" t="str"/>
      <x:c r="U312" s="34" t="str"/>
      <x:c r="V312" s="34" t="str">
        <x:f>IF(A312="","",IF(N312&lt;5,"样本不足",IF(Q312&gt;=1,"优先复核",IF(AND(N312&gt;=20,P312&lt;0.35,K312&gt;=5),"停用候选",IF(AND(N312&gt;=10,P312&lt;0.45),"需修改候选",IF(AND(N312&gt;=10,P312&gt;=0.75,R312/N312&lt;=0.15,S312/N312&lt;=0.15),"升级候选",IF(R312/N312&gt;0.3,"收紧条件",IF(S312/N312&gt;0.3,"补漏／放宽","继续观察"))))))))</x:f>
        <x:v>样本不足</x:v>
      </x:c>
      <x:c r="W312" s="34" t="str">
        <x:f>IF(V312="","",IF(V312="升级候选","已验证候选",IF(V312="停用候选","停用候选",IF(OR(V312="需修改候选",V312="收紧条件",V312="补漏／放宽",V312="优先复核"),"需修改／复核","观察中"))))</x:f>
        <x:v>观察中</x:v>
      </x:c>
      <x:c r="X312" s="34" t="str"/>
      <x:c r="Y312" s="34" t="str"/>
    </x:row>
    <x:row r="313">
      <x:c r="A313" s="34" t="str">
        <x:v>M5-SYNTH-283</x:v>
      </x:c>
      <x:c r="B313" s="34" t="str">
        <x:v>SYNTH</x:v>
      </x:c>
      <x:c r="C313" s="34" t="str">
        <x:v>P0_SYNTH总合成</x:v>
      </x:c>
      <x:c r="D313" s="34" t="str">
        <x:v>接收方／双方资料加分</x:v>
      </x:c>
      <x:c r="E313" s="34" t="str">
        <x:v>L7 置信度与反例</x:v>
      </x:c>
      <x:c r="F313" s="34" t="str">
        <x:v>评分／置信</x:v>
      </x:c>
      <x:c r="G313" s="34" t="n">
        <x:v>84</x:v>
      </x:c>
      <x:c r="H313" s="34" t="str">
        <x:v>待验证</x:v>
      </x:c>
      <x:c r="I313" s="34" t="str"/>
      <x:c r="J313" s="34" t="str"/>
      <x:c r="K313" s="34" t="str"/>
      <x:c r="L313" s="34" t="str"/>
      <x:c r="M313" s="34" t="str"/>
      <x:c r="N313" s="34" t="n">
        <x:f>IF(A313="","",I313+J313+K313)</x:f>
        <x:v>0</x:v>
      </x:c>
      <x:c r="O313" s="56" t="str">
        <x:f>IF(N313=0,"",(I313+0.5*J313)/N313)</x:f>
      </x:c>
      <x:c r="P313" s="56" t="str">
        <x:f>IF(N313=0,"",(I313+0.5*J313+1)/(N313+2))</x:f>
      </x:c>
      <x:c r="Q313" s="34" t="str"/>
      <x:c r="R313" s="34" t="str"/>
      <x:c r="S313" s="34" t="str"/>
      <x:c r="T313" s="34" t="str"/>
      <x:c r="U313" s="34" t="str"/>
      <x:c r="V313" s="34" t="str">
        <x:f>IF(A313="","",IF(N313&lt;5,"样本不足",IF(Q313&gt;=1,"优先复核",IF(AND(N313&gt;=20,P313&lt;0.35,K313&gt;=5),"停用候选",IF(AND(N313&gt;=10,P313&lt;0.45),"需修改候选",IF(AND(N313&gt;=10,P313&gt;=0.75,R313/N313&lt;=0.15,S313/N313&lt;=0.15),"升级候选",IF(R313/N313&gt;0.3,"收紧条件",IF(S313/N313&gt;0.3,"补漏／放宽","继续观察"))))))))</x:f>
        <x:v>样本不足</x:v>
      </x:c>
      <x:c r="W313" s="34" t="str">
        <x:f>IF(V313="","",IF(V313="升级候选","已验证候选",IF(V313="停用候选","停用候选",IF(OR(V313="需修改候选",V313="收紧条件",V313="补漏／放宽",V313="优先复核"),"需修改／复核","观察中"))))</x:f>
        <x:v>观察中</x:v>
      </x:c>
      <x:c r="X313" s="34" t="str"/>
      <x:c r="Y313" s="34" t="str"/>
    </x:row>
    <x:row r="314">
      <x:c r="A314" s="34" t="str">
        <x:v>M5-SYNTH-284</x:v>
      </x:c>
      <x:c r="B314" s="34" t="str">
        <x:v>SYNTH</x:v>
      </x:c>
      <x:c r="C314" s="34" t="str">
        <x:v>P0_SYNTH总合成</x:v>
      </x:c>
      <x:c r="D314" s="34" t="str">
        <x:v>同源重复扣分</x:v>
      </x:c>
      <x:c r="E314" s="34" t="str">
        <x:v>L7 置信度与反例</x:v>
      </x:c>
      <x:c r="F314" s="34" t="str">
        <x:v>评分／置信</x:v>
      </x:c>
      <x:c r="G314" s="34" t="n">
        <x:v>84</x:v>
      </x:c>
      <x:c r="H314" s="34" t="str">
        <x:v>待验证</x:v>
      </x:c>
      <x:c r="I314" s="34" t="str"/>
      <x:c r="J314" s="34" t="str"/>
      <x:c r="K314" s="34" t="str"/>
      <x:c r="L314" s="34" t="str"/>
      <x:c r="M314" s="34" t="str"/>
      <x:c r="N314" s="34" t="n">
        <x:f>IF(A314="","",I314+J314+K314)</x:f>
        <x:v>0</x:v>
      </x:c>
      <x:c r="O314" s="56" t="str">
        <x:f>IF(N314=0,"",(I314+0.5*J314)/N314)</x:f>
      </x:c>
      <x:c r="P314" s="56" t="str">
        <x:f>IF(N314=0,"",(I314+0.5*J314+1)/(N314+2))</x:f>
      </x:c>
      <x:c r="Q314" s="34" t="str"/>
      <x:c r="R314" s="34" t="str"/>
      <x:c r="S314" s="34" t="str"/>
      <x:c r="T314" s="34" t="str"/>
      <x:c r="U314" s="34" t="str"/>
      <x:c r="V314" s="34" t="str">
        <x:f>IF(A314="","",IF(N314&lt;5,"样本不足",IF(Q314&gt;=1,"优先复核",IF(AND(N314&gt;=20,P314&lt;0.35,K314&gt;=5),"停用候选",IF(AND(N314&gt;=10,P314&lt;0.45),"需修改候选",IF(AND(N314&gt;=10,P314&gt;=0.75,R314/N314&lt;=0.15,S314/N314&lt;=0.15),"升级候选",IF(R314/N314&gt;0.3,"收紧条件",IF(S314/N314&gt;0.3,"补漏／放宽","继续观察"))))))))</x:f>
        <x:v>样本不足</x:v>
      </x:c>
      <x:c r="W314" s="34" t="str">
        <x:f>IF(V314="","",IF(V314="升级候选","已验证候选",IF(V314="停用候选","停用候选",IF(OR(V314="需修改候选",V314="收紧条件",V314="补漏／放宽",V314="优先复核"),"需修改／复核","观察中"))))</x:f>
        <x:v>观察中</x:v>
      </x:c>
      <x:c r="X314" s="34" t="str"/>
      <x:c r="Y314" s="34" t="str"/>
    </x:row>
    <x:row r="315">
      <x:c r="A315" s="34" t="str">
        <x:v>M5-SYNTH-285</x:v>
      </x:c>
      <x:c r="B315" s="34" t="str">
        <x:v>SYNTH</x:v>
      </x:c>
      <x:c r="C315" s="34" t="str">
        <x:v>P0_SYNTH总合成</x:v>
      </x:c>
      <x:c r="D315" s="34" t="str">
        <x:v>同一事件多描述扣分</x:v>
      </x:c>
      <x:c r="E315" s="34" t="str">
        <x:v>L7 置信度与反例</x:v>
      </x:c>
      <x:c r="F315" s="34" t="str">
        <x:v>评分／置信</x:v>
      </x:c>
      <x:c r="G315" s="34" t="n">
        <x:v>84</x:v>
      </x:c>
      <x:c r="H315" s="34" t="str">
        <x:v>待验证</x:v>
      </x:c>
      <x:c r="I315" s="34" t="str"/>
      <x:c r="J315" s="34" t="str"/>
      <x:c r="K315" s="34" t="str"/>
      <x:c r="L315" s="34" t="str"/>
      <x:c r="M315" s="34" t="str"/>
      <x:c r="N315" s="34" t="n">
        <x:f>IF(A315="","",I315+J315+K315)</x:f>
        <x:v>0</x:v>
      </x:c>
      <x:c r="O315" s="56" t="str">
        <x:f>IF(N315=0,"",(I315+0.5*J315)/N315)</x:f>
      </x:c>
      <x:c r="P315" s="56" t="str">
        <x:f>IF(N315=0,"",(I315+0.5*J315+1)/(N315+2))</x:f>
      </x:c>
      <x:c r="Q315" s="34" t="str"/>
      <x:c r="R315" s="34" t="str"/>
      <x:c r="S315" s="34" t="str"/>
      <x:c r="T315" s="34" t="str"/>
      <x:c r="U315" s="34" t="str"/>
      <x:c r="V315" s="34" t="str">
        <x:f>IF(A315="","",IF(N315&lt;5,"样本不足",IF(Q315&gt;=1,"优先复核",IF(AND(N315&gt;=20,P315&lt;0.35,K315&gt;=5),"停用候选",IF(AND(N315&gt;=10,P315&lt;0.45),"需修改候选",IF(AND(N315&gt;=10,P315&gt;=0.75,R315/N315&lt;=0.15,S315/N315&lt;=0.15),"升级候选",IF(R315/N315&gt;0.3,"收紧条件",IF(S315/N315&gt;0.3,"补漏／放宽","继续观察"))))))))</x:f>
        <x:v>样本不足</x:v>
      </x:c>
      <x:c r="W315" s="34" t="str">
        <x:f>IF(V315="","",IF(V315="升级候选","已验证候选",IF(V315="停用候选","停用候选",IF(OR(V315="需修改候选",V315="收紧条件",V315="补漏／放宽",V315="优先复核"),"需修改／复核","观察中"))))</x:f>
        <x:v>观察中</x:v>
      </x:c>
      <x:c r="X315" s="34" t="str"/>
      <x:c r="Y315" s="34" t="str"/>
    </x:row>
    <x:row r="316">
      <x:c r="A316" s="34" t="str">
        <x:v>M5-SYNTH-286</x:v>
      </x:c>
      <x:c r="B316" s="34" t="str">
        <x:v>SYNTH</x:v>
      </x:c>
      <x:c r="C316" s="34" t="str">
        <x:v>P0_SYNTH总合成</x:v>
      </x:c>
      <x:c r="D316" s="34" t="str">
        <x:v>字段权威冲突扣分</x:v>
      </x:c>
      <x:c r="E316" s="34" t="str">
        <x:v>L7 置信度与反例</x:v>
      </x:c>
      <x:c r="F316" s="34" t="str">
        <x:v>评分／置信</x:v>
      </x:c>
      <x:c r="G316" s="34" t="n">
        <x:v>84</x:v>
      </x:c>
      <x:c r="H316" s="34" t="str">
        <x:v>待验证</x:v>
      </x:c>
      <x:c r="I316" s="34" t="str"/>
      <x:c r="J316" s="34" t="str"/>
      <x:c r="K316" s="34" t="str"/>
      <x:c r="L316" s="34" t="str"/>
      <x:c r="M316" s="34" t="str"/>
      <x:c r="N316" s="34" t="n">
        <x:f>IF(A316="","",I316+J316+K316)</x:f>
        <x:v>0</x:v>
      </x:c>
      <x:c r="O316" s="56" t="str">
        <x:f>IF(N316=0,"",(I316+0.5*J316)/N316)</x:f>
      </x:c>
      <x:c r="P316" s="56" t="str">
        <x:f>IF(N316=0,"",(I316+0.5*J316+1)/(N316+2))</x:f>
      </x:c>
      <x:c r="Q316" s="34" t="str"/>
      <x:c r="R316" s="34" t="str"/>
      <x:c r="S316" s="34" t="str"/>
      <x:c r="T316" s="34" t="str"/>
      <x:c r="U316" s="34" t="str"/>
      <x:c r="V316" s="34" t="str">
        <x:f>IF(A316="","",IF(N316&lt;5,"样本不足",IF(Q316&gt;=1,"优先复核",IF(AND(N316&gt;=20,P316&lt;0.35,K316&gt;=5),"停用候选",IF(AND(N316&gt;=10,P316&lt;0.45),"需修改候选",IF(AND(N316&gt;=10,P316&gt;=0.75,R316/N316&lt;=0.15,S316/N316&lt;=0.15),"升级候选",IF(R316/N316&gt;0.3,"收紧条件",IF(S316/N316&gt;0.3,"补漏／放宽","继续观察"))))))))</x:f>
        <x:v>样本不足</x:v>
      </x:c>
      <x:c r="W316" s="34" t="str">
        <x:f>IF(V316="","",IF(V316="升级候选","已验证候选",IF(V316="停用候选","停用候选",IF(OR(V316="需修改候选",V316="收紧条件",V316="补漏／放宽",V316="优先复核"),"需修改／复核","观察中"))))</x:f>
        <x:v>观察中</x:v>
      </x:c>
      <x:c r="X316" s="34" t="str"/>
      <x:c r="Y316" s="34" t="str"/>
    </x:row>
    <x:row r="317">
      <x:c r="A317" s="34" t="str">
        <x:v>M5-SYNTH-287</x:v>
      </x:c>
      <x:c r="B317" s="34" t="str">
        <x:v>SYNTH</x:v>
      </x:c>
      <x:c r="C317" s="34" t="str">
        <x:v>P0_SYNTH总合成</x:v>
      </x:c>
      <x:c r="D317" s="34" t="str">
        <x:v>核心RG未知扣分</x:v>
      </x:c>
      <x:c r="E317" s="34" t="str">
        <x:v>L7 置信度与反例</x:v>
      </x:c>
      <x:c r="F317" s="34" t="str">
        <x:v>评分／置信</x:v>
      </x:c>
      <x:c r="G317" s="34" t="n">
        <x:v>84</x:v>
      </x:c>
      <x:c r="H317" s="34" t="str">
        <x:v>待验证</x:v>
      </x:c>
      <x:c r="I317" s="34" t="str"/>
      <x:c r="J317" s="34" t="str"/>
      <x:c r="K317" s="34" t="str"/>
      <x:c r="L317" s="34" t="str"/>
      <x:c r="M317" s="34" t="str"/>
      <x:c r="N317" s="34" t="n">
        <x:f>IF(A317="","",I317+J317+K317)</x:f>
        <x:v>0</x:v>
      </x:c>
      <x:c r="O317" s="56" t="str">
        <x:f>IF(N317=0,"",(I317+0.5*J317)/N317)</x:f>
      </x:c>
      <x:c r="P317" s="56" t="str">
        <x:f>IF(N317=0,"",(I317+0.5*J317+1)/(N317+2))</x:f>
      </x:c>
      <x:c r="Q317" s="34" t="str"/>
      <x:c r="R317" s="34" t="str"/>
      <x:c r="S317" s="34" t="str"/>
      <x:c r="T317" s="34" t="str"/>
      <x:c r="U317" s="34" t="str"/>
      <x:c r="V317" s="34" t="str">
        <x:f>IF(A317="","",IF(N317&lt;5,"样本不足",IF(Q317&gt;=1,"优先复核",IF(AND(N317&gt;=20,P317&lt;0.35,K317&gt;=5),"停用候选",IF(AND(N317&gt;=10,P317&lt;0.45),"需修改候选",IF(AND(N317&gt;=10,P317&gt;=0.75,R317/N317&lt;=0.15,S317/N317&lt;=0.15),"升级候选",IF(R317/N317&gt;0.3,"收紧条件",IF(S317/N317&gt;0.3,"补漏／放宽","继续观察"))))))))</x:f>
        <x:v>样本不足</x:v>
      </x:c>
      <x:c r="W317" s="34" t="str">
        <x:f>IF(V317="","",IF(V317="升级候选","已验证候选",IF(V317="停用候选","停用候选",IF(OR(V317="需修改候选",V317="收紧条件",V317="补漏／放宽",V317="优先复核"),"需修改／复核","观察中"))))</x:f>
        <x:v>观察中</x:v>
      </x:c>
      <x:c r="X317" s="34" t="str"/>
      <x:c r="Y317" s="34" t="str"/>
    </x:row>
    <x:row r="318">
      <x:c r="A318" s="34" t="str">
        <x:v>M5-SYNTH-288</x:v>
      </x:c>
      <x:c r="B318" s="34" t="str">
        <x:v>SYNTH</x:v>
      </x:c>
      <x:c r="C318" s="34" t="str">
        <x:v>P0_SYNTH总合成</x:v>
      </x:c>
      <x:c r="D318" s="34" t="str">
        <x:v>一方自述资料扣分</x:v>
      </x:c>
      <x:c r="E318" s="34" t="str">
        <x:v>L7 置信度与反例</x:v>
      </x:c>
      <x:c r="F318" s="34" t="str">
        <x:v>评分／置信</x:v>
      </x:c>
      <x:c r="G318" s="34" t="n">
        <x:v>84</x:v>
      </x:c>
      <x:c r="H318" s="34" t="str">
        <x:v>待验证</x:v>
      </x:c>
      <x:c r="I318" s="34" t="str"/>
      <x:c r="J318" s="34" t="str"/>
      <x:c r="K318" s="34" t="str"/>
      <x:c r="L318" s="34" t="str"/>
      <x:c r="M318" s="34" t="str"/>
      <x:c r="N318" s="34" t="n">
        <x:f>IF(A318="","",I318+J318+K318)</x:f>
        <x:v>0</x:v>
      </x:c>
      <x:c r="O318" s="56" t="str">
        <x:f>IF(N318=0,"",(I318+0.5*J318)/N318)</x:f>
      </x:c>
      <x:c r="P318" s="56" t="str">
        <x:f>IF(N318=0,"",(I318+0.5*J318+1)/(N318+2))</x:f>
      </x:c>
      <x:c r="Q318" s="34" t="str"/>
      <x:c r="R318" s="34" t="str"/>
      <x:c r="S318" s="34" t="str"/>
      <x:c r="T318" s="34" t="str"/>
      <x:c r="U318" s="34" t="str"/>
      <x:c r="V318" s="34" t="str">
        <x:f>IF(A318="","",IF(N318&lt;5,"样本不足",IF(Q318&gt;=1,"优先复核",IF(AND(N318&gt;=20,P318&lt;0.35,K318&gt;=5),"停用候选",IF(AND(N318&gt;=10,P318&lt;0.45),"需修改候选",IF(AND(N318&gt;=10,P318&gt;=0.75,R318/N318&lt;=0.15,S318/N318&lt;=0.15),"升级候选",IF(R318/N318&gt;0.3,"收紧条件",IF(S318/N318&gt;0.3,"补漏／放宽","继续观察"))))))))</x:f>
        <x:v>样本不足</x:v>
      </x:c>
      <x:c r="W318" s="34" t="str">
        <x:f>IF(V318="","",IF(V318="升级候选","已验证候选",IF(V318="停用候选","停用候选",IF(OR(V318="需修改候选",V318="收紧条件",V318="补漏／放宽",V318="优先复核"),"需修改／复核","观察中"))))</x:f>
        <x:v>观察中</x:v>
      </x:c>
      <x:c r="X318" s="34" t="str"/>
      <x:c r="Y318" s="34" t="str"/>
    </x:row>
    <x:row r="319">
      <x:c r="A319" s="34" t="str">
        <x:v>M5-SYNTH-289</x:v>
      </x:c>
      <x:c r="B319" s="34" t="str">
        <x:v>SYNTH</x:v>
      </x:c>
      <x:c r="C319" s="34" t="str">
        <x:v>P0_SYNTH总合成</x:v>
      </x:c>
      <x:c r="D319" s="34" t="str">
        <x:v>伪适配／伪互惠／伪边界／伪修复／伪节奏扣分</x:v>
      </x:c>
      <x:c r="E319" s="34" t="str">
        <x:v>L7 置信度与反例</x:v>
      </x:c>
      <x:c r="F319" s="34" t="str">
        <x:v>评分／置信</x:v>
      </x:c>
      <x:c r="G319" s="34" t="n">
        <x:v>84</x:v>
      </x:c>
      <x:c r="H319" s="34" t="str">
        <x:v>待验证</x:v>
      </x:c>
      <x:c r="I319" s="34" t="str"/>
      <x:c r="J319" s="34" t="str"/>
      <x:c r="K319" s="34" t="str"/>
      <x:c r="L319" s="34" t="str"/>
      <x:c r="M319" s="34" t="str"/>
      <x:c r="N319" s="34" t="n">
        <x:f>IF(A319="","",I319+J319+K319)</x:f>
        <x:v>0</x:v>
      </x:c>
      <x:c r="O319" s="56" t="str">
        <x:f>IF(N319=0,"",(I319+0.5*J319)/N319)</x:f>
      </x:c>
      <x:c r="P319" s="56" t="str">
        <x:f>IF(N319=0,"",(I319+0.5*J319+1)/(N319+2))</x:f>
      </x:c>
      <x:c r="Q319" s="34" t="str"/>
      <x:c r="R319" s="34" t="str"/>
      <x:c r="S319" s="34" t="str"/>
      <x:c r="T319" s="34" t="str"/>
      <x:c r="U319" s="34" t="str"/>
      <x:c r="V319" s="34" t="str">
        <x:f>IF(A319="","",IF(N319&lt;5,"样本不足",IF(Q319&gt;=1,"优先复核",IF(AND(N319&gt;=20,P319&lt;0.35,K319&gt;=5),"停用候选",IF(AND(N319&gt;=10,P319&lt;0.45),"需修改候选",IF(AND(N319&gt;=10,P319&gt;=0.75,R319/N319&lt;=0.15,S319/N319&lt;=0.15),"升级候选",IF(R319/N319&gt;0.3,"收紧条件",IF(S319/N319&gt;0.3,"补漏／放宽","继续观察"))))))))</x:f>
        <x:v>样本不足</x:v>
      </x:c>
      <x:c r="W319" s="34" t="str">
        <x:f>IF(V319="","",IF(V319="升级候选","已验证候选",IF(V319="停用候选","停用候选",IF(OR(V319="需修改候选",V319="收紧条件",V319="补漏／放宽",V319="优先复核"),"需修改／复核","观察中"))))</x:f>
        <x:v>观察中</x:v>
      </x:c>
      <x:c r="X319" s="34" t="str"/>
      <x:c r="Y319" s="34" t="str"/>
    </x:row>
    <x:row r="320">
      <x:c r="A320" s="34" t="str">
        <x:v>M5-SYNTH-290</x:v>
      </x:c>
      <x:c r="B320" s="34" t="str">
        <x:v>SYNTH</x:v>
      </x:c>
      <x:c r="C320" s="34" t="str">
        <x:v>P0_SYNTH总合成</x:v>
      </x:c>
      <x:c r="D320" s="34" t="str">
        <x:v>M3依赖模块未完成扣分</x:v>
      </x:c>
      <x:c r="E320" s="34" t="str">
        <x:v>L7 置信度与反例</x:v>
      </x:c>
      <x:c r="F320" s="34" t="str">
        <x:v>评分／置信</x:v>
      </x:c>
      <x:c r="G320" s="34" t="n">
        <x:v>84</x:v>
      </x:c>
      <x:c r="H320" s="34" t="str">
        <x:v>待验证</x:v>
      </x:c>
      <x:c r="I320" s="34" t="str"/>
      <x:c r="J320" s="34" t="str"/>
      <x:c r="K320" s="34" t="str"/>
      <x:c r="L320" s="34" t="str"/>
      <x:c r="M320" s="34" t="str"/>
      <x:c r="N320" s="34" t="n">
        <x:f>IF(A320="","",I320+J320+K320)</x:f>
        <x:v>0</x:v>
      </x:c>
      <x:c r="O320" s="56" t="str">
        <x:f>IF(N320=0,"",(I320+0.5*J320)/N320)</x:f>
      </x:c>
      <x:c r="P320" s="56" t="str">
        <x:f>IF(N320=0,"",(I320+0.5*J320+1)/(N320+2))</x:f>
      </x:c>
      <x:c r="Q320" s="34" t="str"/>
      <x:c r="R320" s="34" t="str"/>
      <x:c r="S320" s="34" t="str"/>
      <x:c r="T320" s="34" t="str"/>
      <x:c r="U320" s="34" t="str"/>
      <x:c r="V320" s="34" t="str">
        <x:f>IF(A320="","",IF(N320&lt;5,"样本不足",IF(Q320&gt;=1,"优先复核",IF(AND(N320&gt;=20,P320&lt;0.35,K320&gt;=5),"停用候选",IF(AND(N320&gt;=10,P320&lt;0.45),"需修改候选",IF(AND(N320&gt;=10,P320&gt;=0.75,R320/N320&lt;=0.15,S320/N320&lt;=0.15),"升级候选",IF(R320/N320&gt;0.3,"收紧条件",IF(S320/N320&gt;0.3,"补漏／放宽","继续观察"))))))))</x:f>
        <x:v>样本不足</x:v>
      </x:c>
      <x:c r="W320" s="34" t="str">
        <x:f>IF(V320="","",IF(V320="升级候选","已验证候选",IF(V320="停用候选","停用候选",IF(OR(V320="需修改候选",V320="收紧条件",V320="补漏／放宽",V320="优先复核"),"需修改／复核","观察中"))))</x:f>
        <x:v>观察中</x:v>
      </x:c>
      <x:c r="X320" s="34" t="str"/>
      <x:c r="Y320" s="34" t="str"/>
    </x:row>
    <x:row r="321">
      <x:c r="A321" s="34" t="str">
        <x:v>M5-SYNTH-291</x:v>
      </x:c>
      <x:c r="B321" s="34" t="str">
        <x:v>SYNTH</x:v>
      </x:c>
      <x:c r="C321" s="34" t="str">
        <x:v>P0_SYNTH总合成</x:v>
      </x:c>
      <x:c r="D321" s="34" t="str">
        <x:v>现实强反例直接降级</x:v>
      </x:c>
      <x:c r="E321" s="34" t="str">
        <x:v>L7 置信度与反例</x:v>
      </x:c>
      <x:c r="F321" s="34" t="str">
        <x:v>评分／置信</x:v>
      </x:c>
      <x:c r="G321" s="34" t="n">
        <x:v>84</x:v>
      </x:c>
      <x:c r="H321" s="34" t="str">
        <x:v>待验证</x:v>
      </x:c>
      <x:c r="I321" s="34" t="str"/>
      <x:c r="J321" s="34" t="str"/>
      <x:c r="K321" s="34" t="str"/>
      <x:c r="L321" s="34" t="str"/>
      <x:c r="M321" s="34" t="str"/>
      <x:c r="N321" s="34" t="n">
        <x:f>IF(A321="","",I321+J321+K321)</x:f>
        <x:v>0</x:v>
      </x:c>
      <x:c r="O321" s="56" t="str">
        <x:f>IF(N321=0,"",(I321+0.5*J321)/N321)</x:f>
      </x:c>
      <x:c r="P321" s="56" t="str">
        <x:f>IF(N321=0,"",(I321+0.5*J321+1)/(N321+2))</x:f>
      </x:c>
      <x:c r="Q321" s="34" t="str"/>
      <x:c r="R321" s="34" t="str"/>
      <x:c r="S321" s="34" t="str"/>
      <x:c r="T321" s="34" t="str"/>
      <x:c r="U321" s="34" t="str"/>
      <x:c r="V321" s="34" t="str">
        <x:f>IF(A321="","",IF(N321&lt;5,"样本不足",IF(Q321&gt;=1,"优先复核",IF(AND(N321&gt;=20,P321&lt;0.35,K321&gt;=5),"停用候选",IF(AND(N321&gt;=10,P321&lt;0.45),"需修改候选",IF(AND(N321&gt;=10,P321&gt;=0.75,R321/N321&lt;=0.15,S321/N321&lt;=0.15),"升级候选",IF(R321/N321&gt;0.3,"收紧条件",IF(S321/N321&gt;0.3,"补漏／放宽","继续观察"))))))))</x:f>
        <x:v>样本不足</x:v>
      </x:c>
      <x:c r="W321" s="34" t="str">
        <x:f>IF(V321="","",IF(V321="升级候选","已验证候选",IF(V321="停用候选","停用候选",IF(OR(V321="需修改候选",V321="收紧条件",V321="补漏／放宽",V321="优先复核"),"需修改／复核","观察中"))))</x:f>
        <x:v>观察中</x:v>
      </x:c>
      <x:c r="X321" s="34" t="str"/>
      <x:c r="Y321" s="34" t="str"/>
    </x:row>
    <x:row r="322">
      <x:c r="A322" s="34" t="str">
        <x:v>M5-SYNTH-292</x:v>
      </x:c>
      <x:c r="B322" s="34" t="str">
        <x:v>SYNTH</x:v>
      </x:c>
      <x:c r="C322" s="34" t="str">
        <x:v>P0_SYNTH总合成</x:v>
      </x:c>
      <x:c r="D322" s="34" t="str">
        <x:v>安全停止｜适配置信不评分</x:v>
      </x:c>
      <x:c r="E322" s="34" t="str">
        <x:v>L7 置信度与反例</x:v>
      </x:c>
      <x:c r="F322" s="34" t="str">
        <x:v>评分／置信</x:v>
      </x:c>
      <x:c r="G322" s="34" t="n">
        <x:v>84</x:v>
      </x:c>
      <x:c r="H322" s="34" t="str">
        <x:v>待验证</x:v>
      </x:c>
      <x:c r="I322" s="34" t="str"/>
      <x:c r="J322" s="34" t="str"/>
      <x:c r="K322" s="34" t="str"/>
      <x:c r="L322" s="34" t="str"/>
      <x:c r="M322" s="34" t="str"/>
      <x:c r="N322" s="34" t="n">
        <x:f>IF(A322="","",I322+J322+K322)</x:f>
        <x:v>0</x:v>
      </x:c>
      <x:c r="O322" s="56" t="str">
        <x:f>IF(N322=0,"",(I322+0.5*J322)/N322)</x:f>
      </x:c>
      <x:c r="P322" s="56" t="str">
        <x:f>IF(N322=0,"",(I322+0.5*J322+1)/(N322+2))</x:f>
      </x:c>
      <x:c r="Q322" s="34" t="str"/>
      <x:c r="R322" s="34" t="str"/>
      <x:c r="S322" s="34" t="str"/>
      <x:c r="T322" s="34" t="str"/>
      <x:c r="U322" s="34" t="str"/>
      <x:c r="V322" s="34" t="str">
        <x:f>IF(A322="","",IF(N322&lt;5,"样本不足",IF(Q322&gt;=1,"优先复核",IF(AND(N322&gt;=20,P322&lt;0.35,K322&gt;=5),"停用候选",IF(AND(N322&gt;=10,P322&lt;0.45),"需修改候选",IF(AND(N322&gt;=10,P322&gt;=0.75,R322/N322&lt;=0.15,S322/N322&lt;=0.15),"升级候选",IF(R322/N322&gt;0.3,"收紧条件",IF(S322/N322&gt;0.3,"补漏／放宽","继续观察"))))))))</x:f>
        <x:v>样本不足</x:v>
      </x:c>
      <x:c r="W322" s="34" t="str">
        <x:f>IF(V322="","",IF(V322="升级候选","已验证候选",IF(V322="停用候选","停用候选",IF(OR(V322="需修改候选",V322="收紧条件",V322="补漏／放宽",V322="优先复核"),"需修改／复核","观察中"))))</x:f>
        <x:v>观察中</x:v>
      </x:c>
      <x:c r="X322" s="34" t="str"/>
      <x:c r="Y322" s="34" t="str"/>
    </x:row>
    <x:row r="323">
      <x:c r="A323" s="34" t="str">
        <x:v>M5-SYNTH-293</x:v>
      </x:c>
      <x:c r="B323" s="34" t="str">
        <x:v>SYNTH</x:v>
      </x:c>
      <x:c r="C323" s="34" t="str">
        <x:v>P0_SYNTH总合成</x:v>
      </x:c>
      <x:c r="D323" s="34" t="str">
        <x:v>置信等级｜高</x:v>
      </x:c>
      <x:c r="E323" s="34" t="str">
        <x:v>L7 置信度与反例</x:v>
      </x:c>
      <x:c r="F323" s="34" t="str">
        <x:v>评分／置信</x:v>
      </x:c>
      <x:c r="G323" s="34" t="n">
        <x:v>84</x:v>
      </x:c>
      <x:c r="H323" s="34" t="str">
        <x:v>待验证</x:v>
      </x:c>
      <x:c r="I323" s="34" t="str"/>
      <x:c r="J323" s="34" t="str"/>
      <x:c r="K323" s="34" t="str"/>
      <x:c r="L323" s="34" t="str"/>
      <x:c r="M323" s="34" t="str"/>
      <x:c r="N323" s="34" t="n">
        <x:f>IF(A323="","",I323+J323+K323)</x:f>
        <x:v>0</x:v>
      </x:c>
      <x:c r="O323" s="56" t="str">
        <x:f>IF(N323=0,"",(I323+0.5*J323)/N323)</x:f>
      </x:c>
      <x:c r="P323" s="56" t="str">
        <x:f>IF(N323=0,"",(I323+0.5*J323+1)/(N323+2))</x:f>
      </x:c>
      <x:c r="Q323" s="34" t="str"/>
      <x:c r="R323" s="34" t="str"/>
      <x:c r="S323" s="34" t="str"/>
      <x:c r="T323" s="34" t="str"/>
      <x:c r="U323" s="34" t="str"/>
      <x:c r="V323" s="34" t="str">
        <x:f>IF(A323="","",IF(N323&lt;5,"样本不足",IF(Q323&gt;=1,"优先复核",IF(AND(N323&gt;=20,P323&lt;0.35,K323&gt;=5),"停用候选",IF(AND(N323&gt;=10,P323&lt;0.45),"需修改候选",IF(AND(N323&gt;=10,P323&gt;=0.75,R323/N323&lt;=0.15,S323/N323&lt;=0.15),"升级候选",IF(R323/N323&gt;0.3,"收紧条件",IF(S323/N323&gt;0.3,"补漏／放宽","继续观察"))))))))</x:f>
        <x:v>样本不足</x:v>
      </x:c>
      <x:c r="W323" s="34" t="str">
        <x:f>IF(V323="","",IF(V323="升级候选","已验证候选",IF(V323="停用候选","停用候选",IF(OR(V323="需修改候选",V323="收紧条件",V323="补漏／放宽",V323="优先复核"),"需修改／复核","观察中"))))</x:f>
        <x:v>观察中</x:v>
      </x:c>
      <x:c r="X323" s="34" t="str"/>
      <x:c r="Y323" s="34" t="str"/>
    </x:row>
    <x:row r="324">
      <x:c r="A324" s="34" t="str">
        <x:v>M5-SYNTH-294</x:v>
      </x:c>
      <x:c r="B324" s="34" t="str">
        <x:v>SYNTH</x:v>
      </x:c>
      <x:c r="C324" s="34" t="str">
        <x:v>P0_SYNTH总合成</x:v>
      </x:c>
      <x:c r="D324" s="34" t="str">
        <x:v>置信等级｜中高</x:v>
      </x:c>
      <x:c r="E324" s="34" t="str">
        <x:v>L7 置信度与反例</x:v>
      </x:c>
      <x:c r="F324" s="34" t="str">
        <x:v>评分／置信</x:v>
      </x:c>
      <x:c r="G324" s="34" t="n">
        <x:v>84</x:v>
      </x:c>
      <x:c r="H324" s="34" t="str">
        <x:v>待验证</x:v>
      </x:c>
      <x:c r="I324" s="34" t="str"/>
      <x:c r="J324" s="34" t="str"/>
      <x:c r="K324" s="34" t="str"/>
      <x:c r="L324" s="34" t="str"/>
      <x:c r="M324" s="34" t="str"/>
      <x:c r="N324" s="34" t="n">
        <x:f>IF(A324="","",I324+J324+K324)</x:f>
        <x:v>0</x:v>
      </x:c>
      <x:c r="O324" s="56" t="str">
        <x:f>IF(N324=0,"",(I324+0.5*J324)/N324)</x:f>
      </x:c>
      <x:c r="P324" s="56" t="str">
        <x:f>IF(N324=0,"",(I324+0.5*J324+1)/(N324+2))</x:f>
      </x:c>
      <x:c r="Q324" s="34" t="str"/>
      <x:c r="R324" s="34" t="str"/>
      <x:c r="S324" s="34" t="str"/>
      <x:c r="T324" s="34" t="str"/>
      <x:c r="U324" s="34" t="str"/>
      <x:c r="V324" s="34" t="str">
        <x:f>IF(A324="","",IF(N324&lt;5,"样本不足",IF(Q324&gt;=1,"优先复核",IF(AND(N324&gt;=20,P324&lt;0.35,K324&gt;=5),"停用候选",IF(AND(N324&gt;=10,P324&lt;0.45),"需修改候选",IF(AND(N324&gt;=10,P324&gt;=0.75,R324/N324&lt;=0.15,S324/N324&lt;=0.15),"升级候选",IF(R324/N324&gt;0.3,"收紧条件",IF(S324/N324&gt;0.3,"补漏／放宽","继续观察"))))))))</x:f>
        <x:v>样本不足</x:v>
      </x:c>
      <x:c r="W324" s="34" t="str">
        <x:f>IF(V324="","",IF(V324="升级候选","已验证候选",IF(V324="停用候选","停用候选",IF(OR(V324="需修改候选",V324="收紧条件",V324="补漏／放宽",V324="优先复核"),"需修改／复核","观察中"))))</x:f>
        <x:v>观察中</x:v>
      </x:c>
      <x:c r="X324" s="34" t="str"/>
      <x:c r="Y324" s="34" t="str"/>
    </x:row>
    <x:row r="325">
      <x:c r="A325" s="34" t="str">
        <x:v>M5-SYNTH-295</x:v>
      </x:c>
      <x:c r="B325" s="34" t="str">
        <x:v>SYNTH</x:v>
      </x:c>
      <x:c r="C325" s="34" t="str">
        <x:v>P0_SYNTH总合成</x:v>
      </x:c>
      <x:c r="D325" s="34" t="str">
        <x:v>置信等级｜中／中低／低</x:v>
      </x:c>
      <x:c r="E325" s="34" t="str">
        <x:v>L7 置信度与反例</x:v>
      </x:c>
      <x:c r="F325" s="34" t="str">
        <x:v>评分／置信</x:v>
      </x:c>
      <x:c r="G325" s="34" t="n">
        <x:v>84</x:v>
      </x:c>
      <x:c r="H325" s="34" t="str">
        <x:v>待验证</x:v>
      </x:c>
      <x:c r="I325" s="34" t="str"/>
      <x:c r="J325" s="34" t="str"/>
      <x:c r="K325" s="34" t="str"/>
      <x:c r="L325" s="34" t="str"/>
      <x:c r="M325" s="34" t="str"/>
      <x:c r="N325" s="34" t="n">
        <x:f>IF(A325="","",I325+J325+K325)</x:f>
        <x:v>0</x:v>
      </x:c>
      <x:c r="O325" s="56" t="str">
        <x:f>IF(N325=0,"",(I325+0.5*J325)/N325)</x:f>
      </x:c>
      <x:c r="P325" s="56" t="str">
        <x:f>IF(N325=0,"",(I325+0.5*J325+1)/(N325+2))</x:f>
      </x:c>
      <x:c r="Q325" s="34" t="str"/>
      <x:c r="R325" s="34" t="str"/>
      <x:c r="S325" s="34" t="str"/>
      <x:c r="T325" s="34" t="str"/>
      <x:c r="U325" s="34" t="str"/>
      <x:c r="V325" s="34" t="str">
        <x:f>IF(A325="","",IF(N325&lt;5,"样本不足",IF(Q325&gt;=1,"优先复核",IF(AND(N325&gt;=20,P325&lt;0.35,K325&gt;=5),"停用候选",IF(AND(N325&gt;=10,P325&lt;0.45),"需修改候选",IF(AND(N325&gt;=10,P325&gt;=0.75,R325/N325&lt;=0.15,S325/N325&lt;=0.15),"升级候选",IF(R325/N325&gt;0.3,"收紧条件",IF(S325/N325&gt;0.3,"补漏／放宽","继续观察"))))))))</x:f>
        <x:v>样本不足</x:v>
      </x:c>
      <x:c r="W325" s="34" t="str">
        <x:f>IF(V325="","",IF(V325="升级候选","已验证候选",IF(V325="停用候选","停用候选",IF(OR(V325="需修改候选",V325="收紧条件",V325="补漏／放宽",V325="优先复核"),"需修改／复核","观察中"))))</x:f>
        <x:v>观察中</x:v>
      </x:c>
      <x:c r="X325" s="34" t="str"/>
      <x:c r="Y325" s="34" t="str"/>
    </x:row>
    <x:row r="326">
      <x:c r="A326" s="34" t="str">
        <x:v>M5-BASE-001</x:v>
      </x:c>
      <x:c r="B326" s="34" t="str">
        <x:v>BASE</x:v>
      </x:c>
      <x:c r="C326" s="34" t="str">
        <x:v>P0_安全与硬门槛</x:v>
      </x:c>
      <x:c r="D326" s="34" t="str">
        <x:v>M5-BASE正式定义｜适配需求底盘与核心必要条件</x:v>
      </x:c>
      <x:c r="E326" s="34" t="str">
        <x:v>L0 定义、边界与证据合同</x:v>
      </x:c>
      <x:c r="F326" s="34" t="str">
        <x:v>定义</x:v>
      </x:c>
      <x:c r="G326" s="34" t="n">
        <x:v>100</x:v>
      </x:c>
      <x:c r="H326" s="34" t="str">
        <x:v>待验证</x:v>
      </x:c>
      <x:c r="I326" s="34" t="str"/>
      <x:c r="J326" s="34" t="str"/>
      <x:c r="K326" s="34" t="str"/>
      <x:c r="L326" s="34" t="str"/>
      <x:c r="M326" s="34" t="str"/>
      <x:c r="N326" s="34" t="n">
        <x:f>IF(A326="","",I326+J326+K326)</x:f>
        <x:v>0</x:v>
      </x:c>
      <x:c r="O326" s="56" t="str">
        <x:f>IF(N326=0,"",(I326+0.5*J326)/N326)</x:f>
      </x:c>
      <x:c r="P326" s="56" t="str">
        <x:f>IF(N326=0,"",(I326+0.5*J326+1)/(N326+2))</x:f>
      </x:c>
      <x:c r="Q326" s="34" t="str"/>
      <x:c r="R326" s="34" t="str"/>
      <x:c r="S326" s="34" t="str"/>
      <x:c r="T326" s="34" t="str"/>
      <x:c r="U326" s="34" t="str"/>
      <x:c r="V326" s="34" t="str">
        <x:f>IF(A326="","",IF(N326&lt;5,"样本不足",IF(Q326&gt;=1,"优先复核",IF(AND(N326&gt;=20,P326&lt;0.35,K326&gt;=5),"停用候选",IF(AND(N326&gt;=10,P326&lt;0.45),"需修改候选",IF(AND(N326&gt;=10,P326&gt;=0.75,R326/N326&lt;=0.15,S326/N326&lt;=0.15),"升级候选",IF(R326/N326&gt;0.3,"收紧条件",IF(S326/N326&gt;0.3,"补漏／放宽","继续观察"))))))))</x:f>
        <x:v>样本不足</x:v>
      </x:c>
      <x:c r="W326" s="34" t="str">
        <x:f>IF(V326="","",IF(V326="升级候选","已验证候选",IF(V326="停用候选","停用候选",IF(OR(V326="需修改候选",V326="收紧条件",V326="补漏／放宽",V326="优先复核"),"需修改／复核","观察中"))))</x:f>
        <x:v>观察中</x:v>
      </x:c>
      <x:c r="X326" s="34" t="str"/>
      <x:c r="Y326" s="34" t="str"/>
    </x:row>
    <x:row r="327">
      <x:c r="A327" s="34" t="str">
        <x:v>M5-BASE-002</x:v>
      </x:c>
      <x:c r="B327" s="34" t="str">
        <x:v>BASE</x:v>
      </x:c>
      <x:c r="C327" s="34" t="str">
        <x:v>P0_安全与硬门槛</x:v>
      </x:c>
      <x:c r="D327" s="34" t="str">
        <x:v>PR0安全底线优先｜安全不通过即停止高适配判断</x:v>
      </x:c>
      <x:c r="E327" s="34" t="str">
        <x:v>L0 定义、边界与证据合同</x:v>
      </x:c>
      <x:c r="F327" s="34" t="str">
        <x:v>安全</x:v>
      </x:c>
      <x:c r="G327" s="34" t="n">
        <x:v>100</x:v>
      </x:c>
      <x:c r="H327" s="34" t="str">
        <x:v>待验证</x:v>
      </x:c>
      <x:c r="I327" s="34" t="str"/>
      <x:c r="J327" s="34" t="str"/>
      <x:c r="K327" s="34" t="str"/>
      <x:c r="L327" s="34" t="str"/>
      <x:c r="M327" s="34" t="str"/>
      <x:c r="N327" s="34" t="n">
        <x:f>IF(A327="","",I327+J327+K327)</x:f>
        <x:v>0</x:v>
      </x:c>
      <x:c r="O327" s="56" t="str">
        <x:f>IF(N327=0,"",(I327+0.5*J327)/N327)</x:f>
      </x:c>
      <x:c r="P327" s="56" t="str">
        <x:f>IF(N327=0,"",(I327+0.5*J327+1)/(N327+2))</x:f>
      </x:c>
      <x:c r="Q327" s="34" t="str"/>
      <x:c r="R327" s="34" t="str"/>
      <x:c r="S327" s="34" t="str"/>
      <x:c r="T327" s="34" t="str"/>
      <x:c r="U327" s="34" t="str"/>
      <x:c r="V327" s="34" t="str">
        <x:f>IF(A327="","",IF(N327&lt;5,"样本不足",IF(Q327&gt;=1,"优先复核",IF(AND(N327&gt;=20,P327&lt;0.35,K327&gt;=5),"停用候选",IF(AND(N327&gt;=10,P327&lt;0.45),"需修改候选",IF(AND(N327&gt;=10,P327&gt;=0.75,R327/N327&lt;=0.15,S327/N327&lt;=0.15),"升级候选",IF(R327/N327&gt;0.3,"收紧条件",IF(S327/N327&gt;0.3,"补漏／放宽","继续观察"))))))))</x:f>
        <x:v>样本不足</x:v>
      </x:c>
      <x:c r="W327" s="34" t="str">
        <x:f>IF(V327="","",IF(V327="升级候选","已验证候选",IF(V327="停用候选","停用候选",IF(OR(V327="需修改候选",V327="收紧条件",V327="补漏／放宽",V327="优先复核"),"需修改／复核","观察中"))))</x:f>
        <x:v>观察中</x:v>
      </x:c>
      <x:c r="X327" s="34" t="str"/>
      <x:c r="Y327" s="34" t="str"/>
    </x:row>
    <x:row r="328">
      <x:c r="A328" s="34" t="str">
        <x:v>M5-BASE-003</x:v>
      </x:c>
      <x:c r="B328" s="34" t="str">
        <x:v>BASE</x:v>
      </x:c>
      <x:c r="C328" s="34" t="str">
        <x:v>P0_安全与硬门槛</x:v>
      </x:c>
      <x:c r="D328" s="34" t="str">
        <x:v>现实资料高于命理候选</x:v>
      </x:c>
      <x:c r="E328" s="34" t="str">
        <x:v>L0 定义、边界与证据合同</x:v>
      </x:c>
      <x:c r="F328" s="34" t="str">
        <x:v>边界</x:v>
      </x:c>
      <x:c r="G328" s="34" t="n">
        <x:v>100</x:v>
      </x:c>
      <x:c r="H328" s="34" t="str">
        <x:v>待验证</x:v>
      </x:c>
      <x:c r="I328" s="34" t="str"/>
      <x:c r="J328" s="34" t="str"/>
      <x:c r="K328" s="34" t="str"/>
      <x:c r="L328" s="34" t="str"/>
      <x:c r="M328" s="34" t="str"/>
      <x:c r="N328" s="34" t="n">
        <x:f>IF(A328="","",I328+J328+K328)</x:f>
        <x:v>0</x:v>
      </x:c>
      <x:c r="O328" s="56" t="str">
        <x:f>IF(N328=0,"",(I328+0.5*J328)/N328)</x:f>
      </x:c>
      <x:c r="P328" s="56" t="str">
        <x:f>IF(N328=0,"",(I328+0.5*J328+1)/(N328+2))</x:f>
      </x:c>
      <x:c r="Q328" s="34" t="str"/>
      <x:c r="R328" s="34" t="str"/>
      <x:c r="S328" s="34" t="str"/>
      <x:c r="T328" s="34" t="str"/>
      <x:c r="U328" s="34" t="str"/>
      <x:c r="V328" s="34" t="str">
        <x:f>IF(A328="","",IF(N328&lt;5,"样本不足",IF(Q328&gt;=1,"优先复核",IF(AND(N328&gt;=20,P328&lt;0.35,K328&gt;=5),"停用候选",IF(AND(N328&gt;=10,P328&lt;0.45),"需修改候选",IF(AND(N328&gt;=10,P328&gt;=0.75,R328/N328&lt;=0.15,S328/N328&lt;=0.15),"升级候选",IF(R328/N328&gt;0.3,"收紧条件",IF(S328/N328&gt;0.3,"补漏／放宽","继续观察"))))))))</x:f>
        <x:v>样本不足</x:v>
      </x:c>
      <x:c r="W328" s="34" t="str">
        <x:f>IF(V328="","",IF(V328="升级候选","已验证候选",IF(V328="停用候选","停用候选",IF(OR(V328="需修改候选",V328="收紧条件",V328="补漏／放宽",V328="优先复核"),"需修改／复核","观察中"))))</x:f>
        <x:v>观察中</x:v>
      </x:c>
      <x:c r="X328" s="34" t="str"/>
      <x:c r="Y328" s="34" t="str"/>
    </x:row>
    <x:row r="329">
      <x:c r="A329" s="34" t="str">
        <x:v>M5-BOUND-001</x:v>
      </x:c>
      <x:c r="B329" s="34" t="str">
        <x:v>BOUND</x:v>
      </x:c>
      <x:c r="C329" s="34" t="str">
        <x:v>P0_安全与硬门槛</x:v>
      </x:c>
      <x:c r="D329" s="34" t="str">
        <x:v>M5-BOUND正式定义｜边界、决定权、资源与亲密空间治理</x:v>
      </x:c>
      <x:c r="E329" s="34" t="str">
        <x:v>L0 定义、边界与证据合同</x:v>
      </x:c>
      <x:c r="F329" s="34" t="str">
        <x:v>定义</x:v>
      </x:c>
      <x:c r="G329" s="34" t="n">
        <x:v>100</x:v>
      </x:c>
      <x:c r="H329" s="34" t="str">
        <x:v>待验证</x:v>
      </x:c>
      <x:c r="I329" s="34" t="str"/>
      <x:c r="J329" s="34" t="str"/>
      <x:c r="K329" s="34" t="str"/>
      <x:c r="L329" s="34" t="str"/>
      <x:c r="M329" s="34" t="str"/>
      <x:c r="N329" s="34" t="n">
        <x:f>IF(A329="","",I329+J329+K329)</x:f>
        <x:v>0</x:v>
      </x:c>
      <x:c r="O329" s="56" t="str">
        <x:f>IF(N329=0,"",(I329+0.5*J329)/N329)</x:f>
      </x:c>
      <x:c r="P329" s="56" t="str">
        <x:f>IF(N329=0,"",(I329+0.5*J329+1)/(N329+2))</x:f>
      </x:c>
      <x:c r="Q329" s="34" t="str"/>
      <x:c r="R329" s="34" t="str"/>
      <x:c r="S329" s="34" t="str"/>
      <x:c r="T329" s="34" t="str"/>
      <x:c r="U329" s="34" t="str"/>
      <x:c r="V329" s="34" t="str">
        <x:f>IF(A329="","",IF(N329&lt;5,"样本不足",IF(Q329&gt;=1,"优先复核",IF(AND(N329&gt;=20,P329&lt;0.35,K329&gt;=5),"停用候选",IF(AND(N329&gt;=10,P329&lt;0.45),"需修改候选",IF(AND(N329&gt;=10,P329&gt;=0.75,R329/N329&lt;=0.15,S329/N329&lt;=0.15),"升级候选",IF(R329/N329&gt;0.3,"收紧条件",IF(S329/N329&gt;0.3,"补漏／放宽","继续观察"))))))))</x:f>
        <x:v>样本不足</x:v>
      </x:c>
      <x:c r="W329" s="34" t="str">
        <x:f>IF(V329="","",IF(V329="升级候选","已验证候选",IF(V329="停用候选","停用候选",IF(OR(V329="需修改候选",V329="收紧条件",V329="补漏／放宽",V329="优先复核"),"需修改／复核","观察中"))))</x:f>
        <x:v>观察中</x:v>
      </x:c>
      <x:c r="X329" s="34" t="str"/>
      <x:c r="Y329" s="34" t="str"/>
    </x:row>
    <x:row r="330">
      <x:c r="A330" s="34" t="str">
        <x:v>M5-BOUND-002</x:v>
      </x:c>
      <x:c r="B330" s="34" t="str">
        <x:v>BOUND</x:v>
      </x:c>
      <x:c r="C330" s="34" t="str">
        <x:v>P0_安全与硬门槛</x:v>
      </x:c>
      <x:c r="D330" s="34" t="str">
        <x:v>个人决定与共同决定必须分层</x:v>
      </x:c>
      <x:c r="E330" s="34" t="str">
        <x:v>L0 定义、边界与证据合同</x:v>
      </x:c>
      <x:c r="F330" s="34" t="str">
        <x:v>定义</x:v>
      </x:c>
      <x:c r="G330" s="34" t="n">
        <x:v>100</x:v>
      </x:c>
      <x:c r="H330" s="34" t="str">
        <x:v>待验证</x:v>
      </x:c>
      <x:c r="I330" s="34" t="str"/>
      <x:c r="J330" s="34" t="str"/>
      <x:c r="K330" s="34" t="str"/>
      <x:c r="L330" s="34" t="str"/>
      <x:c r="M330" s="34" t="str"/>
      <x:c r="N330" s="34" t="n">
        <x:f>IF(A330="","",I330+J330+K330)</x:f>
        <x:v>0</x:v>
      </x:c>
      <x:c r="O330" s="56" t="str">
        <x:f>IF(N330=0,"",(I330+0.5*J330)/N330)</x:f>
      </x:c>
      <x:c r="P330" s="56" t="str">
        <x:f>IF(N330=0,"",(I330+0.5*J330+1)/(N330+2))</x:f>
      </x:c>
      <x:c r="Q330" s="34" t="str"/>
      <x:c r="R330" s="34" t="str"/>
      <x:c r="S330" s="34" t="str"/>
      <x:c r="T330" s="34" t="str"/>
      <x:c r="U330" s="34" t="str"/>
      <x:c r="V330" s="34" t="str">
        <x:f>IF(A330="","",IF(N330&lt;5,"样本不足",IF(Q330&gt;=1,"优先复核",IF(AND(N330&gt;=20,P330&lt;0.35,K330&gt;=5),"停用候选",IF(AND(N330&gt;=10,P330&lt;0.45),"需修改候选",IF(AND(N330&gt;=10,P330&gt;=0.75,R330/N330&lt;=0.15,S330/N330&lt;=0.15),"升级候选",IF(R330/N330&gt;0.3,"收紧条件",IF(S330/N330&gt;0.3,"补漏／放宽","继续观察"))))))))</x:f>
        <x:v>样本不足</x:v>
      </x:c>
      <x:c r="W330" s="34" t="str">
        <x:f>IF(V330="","",IF(V330="升级候选","已验证候选",IF(V330="停用候选","停用候选",IF(OR(V330="需修改候选",V330="收紧条件",V330="补漏／放宽",V330="优先复核"),"需修改／复核","观察中"))))</x:f>
        <x:v>观察中</x:v>
      </x:c>
      <x:c r="X330" s="34" t="str"/>
      <x:c r="Y330" s="34" t="str"/>
    </x:row>
    <x:row r="331">
      <x:c r="A331" s="34" t="str">
        <x:v>M5-BOUND-003</x:v>
      </x:c>
      <x:c r="B331" s="34" t="str">
        <x:v>BOUND</x:v>
      </x:c>
      <x:c r="C331" s="34" t="str">
        <x:v>P0_安全与硬门槛</x:v>
      </x:c>
      <x:c r="D331" s="34" t="str">
        <x:v>亲密不等于失去隐私</x:v>
      </x:c>
      <x:c r="E331" s="34" t="str">
        <x:v>L0 定义、边界与证据合同</x:v>
      </x:c>
      <x:c r="F331" s="34" t="str">
        <x:v>边界</x:v>
      </x:c>
      <x:c r="G331" s="34" t="n">
        <x:v>100</x:v>
      </x:c>
      <x:c r="H331" s="34" t="str">
        <x:v>待验证</x:v>
      </x:c>
      <x:c r="I331" s="34" t="str"/>
      <x:c r="J331" s="34" t="str"/>
      <x:c r="K331" s="34" t="str"/>
      <x:c r="L331" s="34" t="str"/>
      <x:c r="M331" s="34" t="str"/>
      <x:c r="N331" s="34" t="n">
        <x:f>IF(A331="","",I331+J331+K331)</x:f>
        <x:v>0</x:v>
      </x:c>
      <x:c r="O331" s="56" t="str">
        <x:f>IF(N331=0,"",(I331+0.5*J331)/N331)</x:f>
      </x:c>
      <x:c r="P331" s="56" t="str">
        <x:f>IF(N331=0,"",(I331+0.5*J331+1)/(N331+2))</x:f>
      </x:c>
      <x:c r="Q331" s="34" t="str"/>
      <x:c r="R331" s="34" t="str"/>
      <x:c r="S331" s="34" t="str"/>
      <x:c r="T331" s="34" t="str"/>
      <x:c r="U331" s="34" t="str"/>
      <x:c r="V331" s="34" t="str">
        <x:f>IF(A331="","",IF(N331&lt;5,"样本不足",IF(Q331&gt;=1,"优先复核",IF(AND(N331&gt;=20,P331&lt;0.35,K331&gt;=5),"停用候选",IF(AND(N331&gt;=10,P331&lt;0.45),"需修改候选",IF(AND(N331&gt;=10,P331&gt;=0.75,R331/N331&lt;=0.15,S331/N331&lt;=0.15),"升级候选",IF(R331/N331&gt;0.3,"收紧条件",IF(S331/N331&gt;0.3,"补漏／放宽","继续观察"))))))))</x:f>
        <x:v>样本不足</x:v>
      </x:c>
      <x:c r="W331" s="34" t="str">
        <x:f>IF(V331="","",IF(V331="升级候选","已验证候选",IF(V331="停用候选","停用候选",IF(OR(V331="需修改候选",V331="收紧条件",V331="补漏／放宽",V331="优先复核"),"需修改／复核","观察中"))))</x:f>
        <x:v>观察中</x:v>
      </x:c>
      <x:c r="X331" s="34" t="str"/>
      <x:c r="Y331" s="34" t="str"/>
    </x:row>
    <x:row r="332">
      <x:c r="A332" s="34" t="str">
        <x:v>M5-BOUND-004</x:v>
      </x:c>
      <x:c r="B332" s="34" t="str">
        <x:v>BOUND</x:v>
      </x:c>
      <x:c r="C332" s="34" t="str">
        <x:v>P0_安全与硬门槛</x:v>
      </x:c>
      <x:c r="D332" s="34" t="str">
        <x:v>共享不等于共同拥有所有决定权</x:v>
      </x:c>
      <x:c r="E332" s="34" t="str">
        <x:v>L0 定义、边界与证据合同</x:v>
      </x:c>
      <x:c r="F332" s="34" t="str">
        <x:v>边界</x:v>
      </x:c>
      <x:c r="G332" s="34" t="n">
        <x:v>100</x:v>
      </x:c>
      <x:c r="H332" s="34" t="str">
        <x:v>待验证</x:v>
      </x:c>
      <x:c r="I332" s="34" t="str"/>
      <x:c r="J332" s="34" t="str"/>
      <x:c r="K332" s="34" t="str"/>
      <x:c r="L332" s="34" t="str"/>
      <x:c r="M332" s="34" t="str"/>
      <x:c r="N332" s="34" t="n">
        <x:f>IF(A332="","",I332+J332+K332)</x:f>
        <x:v>0</x:v>
      </x:c>
      <x:c r="O332" s="56" t="str">
        <x:f>IF(N332=0,"",(I332+0.5*J332)/N332)</x:f>
      </x:c>
      <x:c r="P332" s="56" t="str">
        <x:f>IF(N332=0,"",(I332+0.5*J332+1)/(N332+2))</x:f>
      </x:c>
      <x:c r="Q332" s="34" t="str"/>
      <x:c r="R332" s="34" t="str"/>
      <x:c r="S332" s="34" t="str"/>
      <x:c r="T332" s="34" t="str"/>
      <x:c r="U332" s="34" t="str"/>
      <x:c r="V332" s="34" t="str">
        <x:f>IF(A332="","",IF(N332&lt;5,"样本不足",IF(Q332&gt;=1,"优先复核",IF(AND(N332&gt;=20,P332&lt;0.35,K332&gt;=5),"停用候选",IF(AND(N332&gt;=10,P332&lt;0.45),"需修改候选",IF(AND(N332&gt;=10,P332&gt;=0.75,R332/N332&lt;=0.15,S332/N332&lt;=0.15),"升级候选",IF(R332/N332&gt;0.3,"收紧条件",IF(S332/N332&gt;0.3,"补漏／放宽","继续观察"))))))))</x:f>
        <x:v>样本不足</x:v>
      </x:c>
      <x:c r="W332" s="34" t="str">
        <x:f>IF(V332="","",IF(V332="升级候选","已验证候选",IF(V332="停用候选","停用候选",IF(OR(V332="需修改候选",V332="收紧条件",V332="补漏／放宽",V332="优先复核"),"需修改／复核","观察中"))))</x:f>
        <x:v>观察中</x:v>
      </x:c>
      <x:c r="X332" s="34" t="str"/>
      <x:c r="Y332" s="34" t="str"/>
    </x:row>
    <x:row r="333">
      <x:c r="A333" s="34" t="str">
        <x:v>M5-EXCHANGE-001</x:v>
      </x:c>
      <x:c r="B333" s="34" t="str">
        <x:v>EXCHANGE</x:v>
      </x:c>
      <x:c r="C333" s="34" t="str">
        <x:v>P0_安全与硬门槛</x:v>
      </x:c>
      <x:c r="D333" s="34" t="str">
        <x:v>M5-EXCHANGE正式定义｜表达、支持、投入与双向交换</x:v>
      </x:c>
      <x:c r="E333" s="34" t="str">
        <x:v>L0 定义、边界与证据合同</x:v>
      </x:c>
      <x:c r="F333" s="34" t="str">
        <x:v>定义</x:v>
      </x:c>
      <x:c r="G333" s="34" t="n">
        <x:v>100</x:v>
      </x:c>
      <x:c r="H333" s="34" t="str">
        <x:v>待验证</x:v>
      </x:c>
      <x:c r="I333" s="34" t="str"/>
      <x:c r="J333" s="34" t="str"/>
      <x:c r="K333" s="34" t="str"/>
      <x:c r="L333" s="34" t="str"/>
      <x:c r="M333" s="34" t="str"/>
      <x:c r="N333" s="34" t="n">
        <x:f>IF(A333="","",I333+J333+K333)</x:f>
        <x:v>0</x:v>
      </x:c>
      <x:c r="O333" s="56" t="str">
        <x:f>IF(N333=0,"",(I333+0.5*J333)/N333)</x:f>
      </x:c>
      <x:c r="P333" s="56" t="str">
        <x:f>IF(N333=0,"",(I333+0.5*J333+1)/(N333+2))</x:f>
      </x:c>
      <x:c r="Q333" s="34" t="str"/>
      <x:c r="R333" s="34" t="str"/>
      <x:c r="S333" s="34" t="str"/>
      <x:c r="T333" s="34" t="str"/>
      <x:c r="U333" s="34" t="str"/>
      <x:c r="V333" s="34" t="str">
        <x:f>IF(A333="","",IF(N333&lt;5,"样本不足",IF(Q333&gt;=1,"优先复核",IF(AND(N333&gt;=20,P333&lt;0.35,K333&gt;=5),"停用候选",IF(AND(N333&gt;=10,P333&lt;0.45),"需修改候选",IF(AND(N333&gt;=10,P333&gt;=0.75,R333/N333&lt;=0.15,S333/N333&lt;=0.15),"升级候选",IF(R333/N333&gt;0.3,"收紧条件",IF(S333/N333&gt;0.3,"补漏／放宽","继续观察"))))))))</x:f>
        <x:v>样本不足</x:v>
      </x:c>
      <x:c r="W333" s="34" t="str">
        <x:f>IF(V333="","",IF(V333="升级候选","已验证候选",IF(V333="停用候选","停用候选",IF(OR(V333="需修改候选",V333="收紧条件",V333="补漏／放宽",V333="优先复核"),"需修改／复核","观察中"))))</x:f>
        <x:v>观察中</x:v>
      </x:c>
      <x:c r="X333" s="34" t="str"/>
      <x:c r="Y333" s="34" t="str"/>
    </x:row>
    <x:row r="334">
      <x:c r="A334" s="34" t="str">
        <x:v>M5-EXCHANGE-002</x:v>
      </x:c>
      <x:c r="B334" s="34" t="str">
        <x:v>EXCHANGE</x:v>
      </x:c>
      <x:c r="C334" s="34" t="str">
        <x:v>P0_安全与硬门槛</x:v>
      </x:c>
      <x:c r="D334" s="34" t="str">
        <x:v>交换不等于等量｜公平与50/50分开</x:v>
      </x:c>
      <x:c r="E334" s="34" t="str">
        <x:v>L0 定义、边界与证据合同</x:v>
      </x:c>
      <x:c r="F334" s="34" t="str">
        <x:v>边界</x:v>
      </x:c>
      <x:c r="G334" s="34" t="n">
        <x:v>100</x:v>
      </x:c>
      <x:c r="H334" s="34" t="str">
        <x:v>待验证</x:v>
      </x:c>
      <x:c r="I334" s="34" t="str"/>
      <x:c r="J334" s="34" t="str"/>
      <x:c r="K334" s="34" t="str"/>
      <x:c r="L334" s="34" t="str"/>
      <x:c r="M334" s="34" t="str"/>
      <x:c r="N334" s="34" t="n">
        <x:f>IF(A334="","",I334+J334+K334)</x:f>
        <x:v>0</x:v>
      </x:c>
      <x:c r="O334" s="56" t="str">
        <x:f>IF(N334=0,"",(I334+0.5*J334)/N334)</x:f>
      </x:c>
      <x:c r="P334" s="56" t="str">
        <x:f>IF(N334=0,"",(I334+0.5*J334+1)/(N334+2))</x:f>
      </x:c>
      <x:c r="Q334" s="34" t="str"/>
      <x:c r="R334" s="34" t="str"/>
      <x:c r="S334" s="34" t="str"/>
      <x:c r="T334" s="34" t="str"/>
      <x:c r="U334" s="34" t="str"/>
      <x:c r="V334" s="34" t="str">
        <x:f>IF(A334="","",IF(N334&lt;5,"样本不足",IF(Q334&gt;=1,"优先复核",IF(AND(N334&gt;=20,P334&lt;0.35,K334&gt;=5),"停用候选",IF(AND(N334&gt;=10,P334&lt;0.45),"需修改候选",IF(AND(N334&gt;=10,P334&gt;=0.75,R334/N334&lt;=0.15,S334/N334&lt;=0.15),"升级候选",IF(R334/N334&gt;0.3,"收紧条件",IF(S334/N334&gt;0.3,"补漏／放宽","继续观察"))))))))</x:f>
        <x:v>样本不足</x:v>
      </x:c>
      <x:c r="W334" s="34" t="str">
        <x:f>IF(V334="","",IF(V334="升级候选","已验证候选",IF(V334="停用候选","停用候选",IF(OR(V334="需修改候选",V334="收紧条件",V334="补漏／放宽",V334="优先复核"),"需修改／复核","观察中"))))</x:f>
        <x:v>观察中</x:v>
      </x:c>
      <x:c r="X334" s="34" t="str"/>
      <x:c r="Y334" s="34" t="str"/>
    </x:row>
    <x:row r="335">
      <x:c r="A335" s="34" t="str">
        <x:v>M5-EXCHANGE-003</x:v>
      </x:c>
      <x:c r="B335" s="34" t="str">
        <x:v>EXCHANGE</x:v>
      </x:c>
      <x:c r="C335" s="34" t="str">
        <x:v>P0_安全与硬门槛</x:v>
      </x:c>
      <x:c r="D335" s="34" t="str">
        <x:v>给予、请求、接收和回馈必须分开</x:v>
      </x:c>
      <x:c r="E335" s="34" t="str">
        <x:v>L0 定义、边界与证据合同</x:v>
      </x:c>
      <x:c r="F335" s="34" t="str">
        <x:v>定义</x:v>
      </x:c>
      <x:c r="G335" s="34" t="n">
        <x:v>100</x:v>
      </x:c>
      <x:c r="H335" s="34" t="str">
        <x:v>待验证</x:v>
      </x:c>
      <x:c r="I335" s="34" t="str"/>
      <x:c r="J335" s="34" t="str"/>
      <x:c r="K335" s="34" t="str"/>
      <x:c r="L335" s="34" t="str"/>
      <x:c r="M335" s="34" t="str"/>
      <x:c r="N335" s="34" t="n">
        <x:f>IF(A335="","",I335+J335+K335)</x:f>
        <x:v>0</x:v>
      </x:c>
      <x:c r="O335" s="56" t="str">
        <x:f>IF(N335=0,"",(I335+0.5*J335)/N335)</x:f>
      </x:c>
      <x:c r="P335" s="56" t="str">
        <x:f>IF(N335=0,"",(I335+0.5*J335+1)/(N335+2))</x:f>
      </x:c>
      <x:c r="Q335" s="34" t="str"/>
      <x:c r="R335" s="34" t="str"/>
      <x:c r="S335" s="34" t="str"/>
      <x:c r="T335" s="34" t="str"/>
      <x:c r="U335" s="34" t="str"/>
      <x:c r="V335" s="34" t="str">
        <x:f>IF(A335="","",IF(N335&lt;5,"样本不足",IF(Q335&gt;=1,"优先复核",IF(AND(N335&gt;=20,P335&lt;0.35,K335&gt;=5),"停用候选",IF(AND(N335&gt;=10,P335&lt;0.45),"需修改候选",IF(AND(N335&gt;=10,P335&gt;=0.75,R335/N335&lt;=0.15,S335/N335&lt;=0.15),"升级候选",IF(R335/N335&gt;0.3,"收紧条件",IF(S335/N335&gt;0.3,"补漏／放宽","继续观察"))))))))</x:f>
        <x:v>样本不足</x:v>
      </x:c>
      <x:c r="W335" s="34" t="str">
        <x:f>IF(V335="","",IF(V335="升级候选","已验证候选",IF(V335="停用候选","停用候选",IF(OR(V335="需修改候选",V335="收紧条件",V335="补漏／放宽",V335="优先复核"),"需修改／复核","观察中"))))</x:f>
        <x:v>观察中</x:v>
      </x:c>
      <x:c r="X335" s="34" t="str"/>
      <x:c r="Y335" s="34" t="str"/>
    </x:row>
    <x:row r="336">
      <x:c r="A336" s="34" t="str">
        <x:v>M5-EXCHANGE-004</x:v>
      </x:c>
      <x:c r="B336" s="34" t="str">
        <x:v>EXCHANGE</x:v>
      </x:c>
      <x:c r="C336" s="34" t="str">
        <x:v>P0_安全与硬门槛</x:v>
      </x:c>
      <x:c r="D336" s="34" t="str">
        <x:v>单向可见不等于单向关系</x:v>
      </x:c>
      <x:c r="E336" s="34" t="str">
        <x:v>L0 定义、边界与证据合同</x:v>
      </x:c>
      <x:c r="F336" s="34" t="str">
        <x:v>边界</x:v>
      </x:c>
      <x:c r="G336" s="34" t="n">
        <x:v>100</x:v>
      </x:c>
      <x:c r="H336" s="34" t="str">
        <x:v>待验证</x:v>
      </x:c>
      <x:c r="I336" s="34" t="str"/>
      <x:c r="J336" s="34" t="str"/>
      <x:c r="K336" s="34" t="str"/>
      <x:c r="L336" s="34" t="str"/>
      <x:c r="M336" s="34" t="str"/>
      <x:c r="N336" s="34" t="n">
        <x:f>IF(A336="","",I336+J336+K336)</x:f>
        <x:v>0</x:v>
      </x:c>
      <x:c r="O336" s="56" t="str">
        <x:f>IF(N336=0,"",(I336+0.5*J336)/N336)</x:f>
      </x:c>
      <x:c r="P336" s="56" t="str">
        <x:f>IF(N336=0,"",(I336+0.5*J336+1)/(N336+2))</x:f>
      </x:c>
      <x:c r="Q336" s="34" t="str"/>
      <x:c r="R336" s="34" t="str"/>
      <x:c r="S336" s="34" t="str"/>
      <x:c r="T336" s="34" t="str"/>
      <x:c r="U336" s="34" t="str"/>
      <x:c r="V336" s="34" t="str">
        <x:f>IF(A336="","",IF(N336&lt;5,"样本不足",IF(Q336&gt;=1,"优先复核",IF(AND(N336&gt;=20,P336&lt;0.35,K336&gt;=5),"停用候选",IF(AND(N336&gt;=10,P336&lt;0.45),"需修改候选",IF(AND(N336&gt;=10,P336&gt;=0.75,R336/N336&lt;=0.15,S336/N336&lt;=0.15),"升级候选",IF(R336/N336&gt;0.3,"收紧条件",IF(S336/N336&gt;0.3,"补漏／放宽","继续观察"))))))))</x:f>
        <x:v>样本不足</x:v>
      </x:c>
      <x:c r="W336" s="34" t="str">
        <x:f>IF(V336="","",IF(V336="升级候选","已验证候选",IF(V336="停用候选","停用候选",IF(OR(V336="需修改候选",V336="收紧条件",V336="补漏／放宽",V336="优先复核"),"需修改／复核","观察中"))))</x:f>
        <x:v>观察中</x:v>
      </x:c>
      <x:c r="X336" s="34" t="str"/>
      <x:c r="Y336" s="34" t="str"/>
    </x:row>
    <x:row r="337">
      <x:c r="A337" s="34" t="str">
        <x:v>M5-GAP-001</x:v>
      </x:c>
      <x:c r="B337" s="34" t="str">
        <x:v>GAP</x:v>
      </x:c>
      <x:c r="C337" s="34" t="str">
        <x:v>P0_安全与硬门槛</x:v>
      </x:c>
      <x:c r="D337" s="34" t="str">
        <x:v>M5-GAP正式定义｜五模型关系差异整合</x:v>
      </x:c>
      <x:c r="E337" s="34" t="str">
        <x:v>L0 定义、边界与证据合同</x:v>
      </x:c>
      <x:c r="F337" s="34" t="str">
        <x:v>定义</x:v>
      </x:c>
      <x:c r="G337" s="34" t="n">
        <x:v>100</x:v>
      </x:c>
      <x:c r="H337" s="34" t="str">
        <x:v>待验证</x:v>
      </x:c>
      <x:c r="I337" s="34" t="str"/>
      <x:c r="J337" s="34" t="str"/>
      <x:c r="K337" s="34" t="str"/>
      <x:c r="L337" s="34" t="str"/>
      <x:c r="M337" s="34" t="str"/>
      <x:c r="N337" s="34" t="n">
        <x:f>IF(A337="","",I337+J337+K337)</x:f>
        <x:v>0</x:v>
      </x:c>
      <x:c r="O337" s="56" t="str">
        <x:f>IF(N337=0,"",(I337+0.5*J337)/N337)</x:f>
      </x:c>
      <x:c r="P337" s="56" t="str">
        <x:f>IF(N337=0,"",(I337+0.5*J337+1)/(N337+2))</x:f>
      </x:c>
      <x:c r="Q337" s="34" t="str"/>
      <x:c r="R337" s="34" t="str"/>
      <x:c r="S337" s="34" t="str"/>
      <x:c r="T337" s="34" t="str"/>
      <x:c r="U337" s="34" t="str"/>
      <x:c r="V337" s="34" t="str">
        <x:f>IF(A337="","",IF(N337&lt;5,"样本不足",IF(Q337&gt;=1,"优先复核",IF(AND(N337&gt;=20,P337&lt;0.35,K337&gt;=5),"停用候选",IF(AND(N337&gt;=10,P337&lt;0.45),"需修改候选",IF(AND(N337&gt;=10,P337&gt;=0.75,R337/N337&lt;=0.15,S337/N337&lt;=0.15),"升级候选",IF(R337/N337&gt;0.3,"收紧条件",IF(S337/N337&gt;0.3,"补漏／放宽","继续观察"))))))))</x:f>
        <x:v>样本不足</x:v>
      </x:c>
      <x:c r="W337" s="34" t="str">
        <x:f>IF(V337="","",IF(V337="升级候选","已验证候选",IF(V337="停用候选","停用候选",IF(OR(V337="需修改候选",V337="收紧条件",V337="补漏／放宽",V337="优先复核"),"需修改／复核","观察中"))))</x:f>
        <x:v>观察中</x:v>
      </x:c>
      <x:c r="X337" s="34" t="str"/>
      <x:c r="Y337" s="34" t="str"/>
    </x:row>
    <x:row r="338">
      <x:c r="A338" s="34" t="str">
        <x:v>M5-GAP-002</x:v>
      </x:c>
      <x:c r="B338" s="34" t="str">
        <x:v>GAP</x:v>
      </x:c>
      <x:c r="C338" s="34" t="str">
        <x:v>P0_安全与硬门槛</x:v>
      </x:c>
      <x:c r="D338" s="34" t="str">
        <x:v>五个模型必须保留各自职责</x:v>
      </x:c>
      <x:c r="E338" s="34" t="str">
        <x:v>L0 定义、边界与证据合同</x:v>
      </x:c>
      <x:c r="F338" s="34" t="str">
        <x:v>边界</x:v>
      </x:c>
      <x:c r="G338" s="34" t="n">
        <x:v>100</x:v>
      </x:c>
      <x:c r="H338" s="34" t="str">
        <x:v>待验证</x:v>
      </x:c>
      <x:c r="I338" s="34" t="str"/>
      <x:c r="J338" s="34" t="str"/>
      <x:c r="K338" s="34" t="str"/>
      <x:c r="L338" s="34" t="str"/>
      <x:c r="M338" s="34" t="str"/>
      <x:c r="N338" s="34" t="n">
        <x:f>IF(A338="","",I338+J338+K338)</x:f>
        <x:v>0</x:v>
      </x:c>
      <x:c r="O338" s="56" t="str">
        <x:f>IF(N338=0,"",(I338+0.5*J338)/N338)</x:f>
      </x:c>
      <x:c r="P338" s="56" t="str">
        <x:f>IF(N338=0,"",(I338+0.5*J338+1)/(N338+2))</x:f>
      </x:c>
      <x:c r="Q338" s="34" t="str"/>
      <x:c r="R338" s="34" t="str"/>
      <x:c r="S338" s="34" t="str"/>
      <x:c r="T338" s="34" t="str"/>
      <x:c r="U338" s="34" t="str"/>
      <x:c r="V338" s="34" t="str">
        <x:f>IF(A338="","",IF(N338&lt;5,"样本不足",IF(Q338&gt;=1,"优先复核",IF(AND(N338&gt;=20,P338&lt;0.35,K338&gt;=5),"停用候选",IF(AND(N338&gt;=10,P338&lt;0.45),"需修改候选",IF(AND(N338&gt;=10,P338&gt;=0.75,R338/N338&lt;=0.15,S338/N338&lt;=0.15),"升级候选",IF(R338/N338&gt;0.3,"收紧条件",IF(S338/N338&gt;0.3,"补漏／放宽","继续观察"))))))))</x:f>
        <x:v>样本不足</x:v>
      </x:c>
      <x:c r="W338" s="34" t="str">
        <x:f>IF(V338="","",IF(V338="升级候选","已验证候选",IF(V338="停用候选","停用候选",IF(OR(V338="需修改候选",V338="收紧条件",V338="补漏／放宽",V338="优先复核"),"需修改／复核","观察中"))))</x:f>
        <x:v>观察中</x:v>
      </x:c>
      <x:c r="X338" s="34" t="str"/>
      <x:c r="Y338" s="34" t="str"/>
    </x:row>
    <x:row r="339">
      <x:c r="A339" s="34" t="str">
        <x:v>M5-GAP-003</x:v>
      </x:c>
      <x:c r="B339" s="34" t="str">
        <x:v>GAP</x:v>
      </x:c>
      <x:c r="C339" s="34" t="str">
        <x:v>P0_安全与硬门槛</x:v>
      </x:c>
      <x:c r="D339" s="34" t="str">
        <x:v>差异不等于冲突</x:v>
      </x:c>
      <x:c r="E339" s="34" t="str">
        <x:v>L0 定义、边界与证据合同</x:v>
      </x:c>
      <x:c r="F339" s="34" t="str">
        <x:v>边界</x:v>
      </x:c>
      <x:c r="G339" s="34" t="n">
        <x:v>100</x:v>
      </x:c>
      <x:c r="H339" s="34" t="str">
        <x:v>待验证</x:v>
      </x:c>
      <x:c r="I339" s="34" t="str"/>
      <x:c r="J339" s="34" t="str"/>
      <x:c r="K339" s="34" t="str"/>
      <x:c r="L339" s="34" t="str"/>
      <x:c r="M339" s="34" t="str"/>
      <x:c r="N339" s="34" t="n">
        <x:f>IF(A339="","",I339+J339+K339)</x:f>
        <x:v>0</x:v>
      </x:c>
      <x:c r="O339" s="56" t="str">
        <x:f>IF(N339=0,"",(I339+0.5*J339)/N339)</x:f>
      </x:c>
      <x:c r="P339" s="56" t="str">
        <x:f>IF(N339=0,"",(I339+0.5*J339+1)/(N339+2))</x:f>
      </x:c>
      <x:c r="Q339" s="34" t="str"/>
      <x:c r="R339" s="34" t="str"/>
      <x:c r="S339" s="34" t="str"/>
      <x:c r="T339" s="34" t="str"/>
      <x:c r="U339" s="34" t="str"/>
      <x:c r="V339" s="34" t="str">
        <x:f>IF(A339="","",IF(N339&lt;5,"样本不足",IF(Q339&gt;=1,"优先复核",IF(AND(N339&gt;=20,P339&lt;0.35,K339&gt;=5),"停用候选",IF(AND(N339&gt;=10,P339&lt;0.45),"需修改候选",IF(AND(N339&gt;=10,P339&gt;=0.75,R339/N339&lt;=0.15,S339/N339&lt;=0.15),"升级候选",IF(R339/N339&gt;0.3,"收紧条件",IF(S339/N339&gt;0.3,"补漏／放宽","继续观察"))))))))</x:f>
        <x:v>样本不足</x:v>
      </x:c>
      <x:c r="W339" s="34" t="str">
        <x:f>IF(V339="","",IF(V339="升级候选","已验证候选",IF(V339="停用候选","停用候选",IF(OR(V339="需修改候选",V339="收紧条件",V339="补漏／放宽",V339="优先复核"),"需修改／复核","观察中"))))</x:f>
        <x:v>观察中</x:v>
      </x:c>
      <x:c r="X339" s="34" t="str"/>
      <x:c r="Y339" s="34" t="str"/>
    </x:row>
    <x:row r="340">
      <x:c r="A340" s="34" t="str">
        <x:v>M5-GAP-004</x:v>
      </x:c>
      <x:c r="B340" s="34" t="str">
        <x:v>GAP</x:v>
      </x:c>
      <x:c r="C340" s="34" t="str">
        <x:v>P0_安全与硬门槛</x:v>
      </x:c>
      <x:c r="D340" s="34" t="str">
        <x:v>一致不等于具体对象适配</x:v>
      </x:c>
      <x:c r="E340" s="34" t="str">
        <x:v>L0 定义、边界与证据合同</x:v>
      </x:c>
      <x:c r="F340" s="34" t="str">
        <x:v>边界</x:v>
      </x:c>
      <x:c r="G340" s="34" t="n">
        <x:v>100</x:v>
      </x:c>
      <x:c r="H340" s="34" t="str">
        <x:v>待验证</x:v>
      </x:c>
      <x:c r="I340" s="34" t="str"/>
      <x:c r="J340" s="34" t="str"/>
      <x:c r="K340" s="34" t="str"/>
      <x:c r="L340" s="34" t="str"/>
      <x:c r="M340" s="34" t="str"/>
      <x:c r="N340" s="34" t="n">
        <x:f>IF(A340="","",I340+J340+K340)</x:f>
        <x:v>0</x:v>
      </x:c>
      <x:c r="O340" s="56" t="str">
        <x:f>IF(N340=0,"",(I340+0.5*J340)/N340)</x:f>
      </x:c>
      <x:c r="P340" s="56" t="str">
        <x:f>IF(N340=0,"",(I340+0.5*J340+1)/(N340+2))</x:f>
      </x:c>
      <x:c r="Q340" s="34" t="str"/>
      <x:c r="R340" s="34" t="str"/>
      <x:c r="S340" s="34" t="str"/>
      <x:c r="T340" s="34" t="str"/>
      <x:c r="U340" s="34" t="str"/>
      <x:c r="V340" s="34" t="str">
        <x:f>IF(A340="","",IF(N340&lt;5,"样本不足",IF(Q340&gt;=1,"优先复核",IF(AND(N340&gt;=20,P340&lt;0.35,K340&gt;=5),"停用候选",IF(AND(N340&gt;=10,P340&lt;0.45),"需修改候选",IF(AND(N340&gt;=10,P340&gt;=0.75,R340/N340&lt;=0.15,S340/N340&lt;=0.15),"升级候选",IF(R340/N340&gt;0.3,"收紧条件",IF(S340/N340&gt;0.3,"补漏／放宽","继续观察"))))))))</x:f>
        <x:v>样本不足</x:v>
      </x:c>
      <x:c r="W340" s="34" t="str">
        <x:f>IF(V340="","",IF(V340="升级候选","已验证候选",IF(V340="停用候选","停用候选",IF(OR(V340="需修改候选",V340="收紧条件",V340="补漏／放宽",V340="优先复核"),"需修改／复核","观察中"))))</x:f>
        <x:v>观察中</x:v>
      </x:c>
      <x:c r="X340" s="34" t="str"/>
      <x:c r="Y340" s="34" t="str"/>
    </x:row>
    <x:row r="341">
      <x:c r="A341" s="34" t="str">
        <x:v>M5-PARTNER-001</x:v>
      </x:c>
      <x:c r="B341" s="34" t="str">
        <x:v>PARTNER</x:v>
      </x:c>
      <x:c r="C341" s="34" t="str">
        <x:v>P0_安全与硬门槛</x:v>
      </x:c>
      <x:c r="D341" s="34" t="str">
        <x:v>M5-PARTNER正式定义｜伴侣功能画像与可观察行为</x:v>
      </x:c>
      <x:c r="E341" s="34" t="str">
        <x:v>L0 定义、边界与证据合同</x:v>
      </x:c>
      <x:c r="F341" s="34" t="str">
        <x:v>定义</x:v>
      </x:c>
      <x:c r="G341" s="34" t="n">
        <x:v>100</x:v>
      </x:c>
      <x:c r="H341" s="34" t="str">
        <x:v>待验证</x:v>
      </x:c>
      <x:c r="I341" s="34" t="str"/>
      <x:c r="J341" s="34" t="str"/>
      <x:c r="K341" s="34" t="str"/>
      <x:c r="L341" s="34" t="str"/>
      <x:c r="M341" s="34" t="str"/>
      <x:c r="N341" s="34" t="n">
        <x:f>IF(A341="","",I341+J341+K341)</x:f>
        <x:v>0</x:v>
      </x:c>
      <x:c r="O341" s="56" t="str">
        <x:f>IF(N341=0,"",(I341+0.5*J341)/N341)</x:f>
      </x:c>
      <x:c r="P341" s="56" t="str">
        <x:f>IF(N341=0,"",(I341+0.5*J341+1)/(N341+2))</x:f>
      </x:c>
      <x:c r="Q341" s="34" t="str"/>
      <x:c r="R341" s="34" t="str"/>
      <x:c r="S341" s="34" t="str"/>
      <x:c r="T341" s="34" t="str"/>
      <x:c r="U341" s="34" t="str"/>
      <x:c r="V341" s="34" t="str">
        <x:f>IF(A341="","",IF(N341&lt;5,"样本不足",IF(Q341&gt;=1,"优先复核",IF(AND(N341&gt;=20,P341&lt;0.35,K341&gt;=5),"停用候选",IF(AND(N341&gt;=10,P341&lt;0.45),"需修改候选",IF(AND(N341&gt;=10,P341&gt;=0.75,R341/N341&lt;=0.15,S341/N341&lt;=0.15),"升级候选",IF(R341/N341&gt;0.3,"收紧条件",IF(S341/N341&gt;0.3,"补漏／放宽","继续观察"))))))))</x:f>
        <x:v>样本不足</x:v>
      </x:c>
      <x:c r="W341" s="34" t="str">
        <x:f>IF(V341="","",IF(V341="升级候选","已验证候选",IF(V341="停用候选","停用候选",IF(OR(V341="需修改候选",V341="收紧条件",V341="补漏／放宽",V341="优先复核"),"需修改／复核","观察中"))))</x:f>
        <x:v>观察中</x:v>
      </x:c>
      <x:c r="X341" s="34" t="str"/>
      <x:c r="Y341" s="34" t="str"/>
    </x:row>
    <x:row r="342">
      <x:c r="A342" s="34" t="str">
        <x:v>M5-PARTNER-002</x:v>
      </x:c>
      <x:c r="B342" s="34" t="str">
        <x:v>PARTNER</x:v>
      </x:c>
      <x:c r="C342" s="34" t="str">
        <x:v>P0_安全与硬门槛</x:v>
      </x:c>
      <x:c r="D342" s="34" t="str">
        <x:v>伴侣画像必须行为化｜禁止只用人格形容词</x:v>
      </x:c>
      <x:c r="E342" s="34" t="str">
        <x:v>L0 定义、边界与证据合同</x:v>
      </x:c>
      <x:c r="F342" s="34" t="str">
        <x:v>边界</x:v>
      </x:c>
      <x:c r="G342" s="34" t="n">
        <x:v>100</x:v>
      </x:c>
      <x:c r="H342" s="34" t="str">
        <x:v>待验证</x:v>
      </x:c>
      <x:c r="I342" s="34" t="str"/>
      <x:c r="J342" s="34" t="str"/>
      <x:c r="K342" s="34" t="str"/>
      <x:c r="L342" s="34" t="str"/>
      <x:c r="M342" s="34" t="str"/>
      <x:c r="N342" s="34" t="n">
        <x:f>IF(A342="","",I342+J342+K342)</x:f>
        <x:v>0</x:v>
      </x:c>
      <x:c r="O342" s="56" t="str">
        <x:f>IF(N342=0,"",(I342+0.5*J342)/N342)</x:f>
      </x:c>
      <x:c r="P342" s="56" t="str">
        <x:f>IF(N342=0,"",(I342+0.5*J342+1)/(N342+2))</x:f>
      </x:c>
      <x:c r="Q342" s="34" t="str"/>
      <x:c r="R342" s="34" t="str"/>
      <x:c r="S342" s="34" t="str"/>
      <x:c r="T342" s="34" t="str"/>
      <x:c r="U342" s="34" t="str"/>
      <x:c r="V342" s="34" t="str">
        <x:f>IF(A342="","",IF(N342&lt;5,"样本不足",IF(Q342&gt;=1,"优先复核",IF(AND(N342&gt;=20,P342&lt;0.35,K342&gt;=5),"停用候选",IF(AND(N342&gt;=10,P342&lt;0.45),"需修改候选",IF(AND(N342&gt;=10,P342&gt;=0.75,R342/N342&lt;=0.15,S342/N342&lt;=0.15),"升级候选",IF(R342/N342&gt;0.3,"收紧条件",IF(S342/N342&gt;0.3,"补漏／放宽","继续观察"))))))))</x:f>
        <x:v>样本不足</x:v>
      </x:c>
      <x:c r="W342" s="34" t="str">
        <x:f>IF(V342="","",IF(V342="升级候选","已验证候选",IF(V342="停用候选","停用候选",IF(OR(V342="需修改候选",V342="收紧条件",V342="补漏／放宽",V342="优先复核"),"需修改／复核","观察中"))))</x:f>
        <x:v>观察中</x:v>
      </x:c>
      <x:c r="X342" s="34" t="str"/>
      <x:c r="Y342" s="34" t="str"/>
    </x:row>
    <x:row r="343">
      <x:c r="A343" s="34" t="str">
        <x:v>M5-PARTNER-003</x:v>
      </x:c>
      <x:c r="B343" s="34" t="str">
        <x:v>PARTNER</x:v>
      </x:c>
      <x:c r="C343" s="34" t="str">
        <x:v>P0_安全与硬门槛</x:v>
      </x:c>
      <x:c r="D343" s="34" t="str">
        <x:v>具体对象现实行为高于命理画像</x:v>
      </x:c>
      <x:c r="E343" s="34" t="str">
        <x:v>L0 定义、边界与证据合同</x:v>
      </x:c>
      <x:c r="F343" s="34" t="str">
        <x:v>证据</x:v>
      </x:c>
      <x:c r="G343" s="34" t="n">
        <x:v>100</x:v>
      </x:c>
      <x:c r="H343" s="34" t="str">
        <x:v>待验证</x:v>
      </x:c>
      <x:c r="I343" s="34" t="str"/>
      <x:c r="J343" s="34" t="str"/>
      <x:c r="K343" s="34" t="str"/>
      <x:c r="L343" s="34" t="str"/>
      <x:c r="M343" s="34" t="str"/>
      <x:c r="N343" s="34" t="n">
        <x:f>IF(A343="","",I343+J343+K343)</x:f>
        <x:v>0</x:v>
      </x:c>
      <x:c r="O343" s="56" t="str">
        <x:f>IF(N343=0,"",(I343+0.5*J343)/N343)</x:f>
      </x:c>
      <x:c r="P343" s="56" t="str">
        <x:f>IF(N343=0,"",(I343+0.5*J343+1)/(N343+2))</x:f>
      </x:c>
      <x:c r="Q343" s="34" t="str"/>
      <x:c r="R343" s="34" t="str"/>
      <x:c r="S343" s="34" t="str"/>
      <x:c r="T343" s="34" t="str"/>
      <x:c r="U343" s="34" t="str"/>
      <x:c r="V343" s="34" t="str">
        <x:f>IF(A343="","",IF(N343&lt;5,"样本不足",IF(Q343&gt;=1,"优先复核",IF(AND(N343&gt;=20,P343&lt;0.35,K343&gt;=5),"停用候选",IF(AND(N343&gt;=10,P343&lt;0.45),"需修改候选",IF(AND(N343&gt;=10,P343&gt;=0.75,R343/N343&lt;=0.15,S343/N343&lt;=0.15),"升级候选",IF(R343/N343&gt;0.3,"收紧条件",IF(S343/N343&gt;0.3,"补漏／放宽","继续观察"))))))))</x:f>
        <x:v>样本不足</x:v>
      </x:c>
      <x:c r="W343" s="34" t="str">
        <x:f>IF(V343="","",IF(V343="升级候选","已验证候选",IF(V343="停用候选","停用候选",IF(OR(V343="需修改候选",V343="收紧条件",V343="补漏／放宽",V343="优先复核"),"需修改／复核","观察中"))))</x:f>
        <x:v>观察中</x:v>
      </x:c>
      <x:c r="X343" s="34" t="str"/>
      <x:c r="Y343" s="34" t="str"/>
    </x:row>
    <x:row r="344">
      <x:c r="A344" s="34" t="str">
        <x:v>M5-REPAIR-001</x:v>
      </x:c>
      <x:c r="B344" s="34" t="str">
        <x:v>REPAIR</x:v>
      </x:c>
      <x:c r="C344" s="34" t="str">
        <x:v>P0_安全与硬门槛</x:v>
      </x:c>
      <x:c r="D344" s="34" t="str">
        <x:v>M5-REPAIR正式定义｜冲突顺序、修复协议与状态协同</x:v>
      </x:c>
      <x:c r="E344" s="34" t="str">
        <x:v>L0 定义、边界与证据合同</x:v>
      </x:c>
      <x:c r="F344" s="34" t="str">
        <x:v>定义</x:v>
      </x:c>
      <x:c r="G344" s="34" t="n">
        <x:v>100</x:v>
      </x:c>
      <x:c r="H344" s="34" t="str">
        <x:v>待验证</x:v>
      </x:c>
      <x:c r="I344" s="34" t="str"/>
      <x:c r="J344" s="34" t="str"/>
      <x:c r="K344" s="34" t="str"/>
      <x:c r="L344" s="34" t="str"/>
      <x:c r="M344" s="34" t="str"/>
      <x:c r="N344" s="34" t="n">
        <x:f>IF(A344="","",I344+J344+K344)</x:f>
        <x:v>0</x:v>
      </x:c>
      <x:c r="O344" s="56" t="str">
        <x:f>IF(N344=0,"",(I344+0.5*J344)/N344)</x:f>
      </x:c>
      <x:c r="P344" s="56" t="str">
        <x:f>IF(N344=0,"",(I344+0.5*J344+1)/(N344+2))</x:f>
      </x:c>
      <x:c r="Q344" s="34" t="str"/>
      <x:c r="R344" s="34" t="str"/>
      <x:c r="S344" s="34" t="str"/>
      <x:c r="T344" s="34" t="str"/>
      <x:c r="U344" s="34" t="str"/>
      <x:c r="V344" s="34" t="str">
        <x:f>IF(A344="","",IF(N344&lt;5,"样本不足",IF(Q344&gt;=1,"优先复核",IF(AND(N344&gt;=20,P344&lt;0.35,K344&gt;=5),"停用候选",IF(AND(N344&gt;=10,P344&lt;0.45),"需修改候选",IF(AND(N344&gt;=10,P344&gt;=0.75,R344/N344&lt;=0.15,S344/N344&lt;=0.15),"升级候选",IF(R344/N344&gt;0.3,"收紧条件",IF(S344/N344&gt;0.3,"补漏／放宽","继续观察"))))))))</x:f>
        <x:v>样本不足</x:v>
      </x:c>
      <x:c r="W344" s="34" t="str">
        <x:f>IF(V344="","",IF(V344="升级候选","已验证候选",IF(V344="停用候选","停用候选",IF(OR(V344="需修改候选",V344="收紧条件",V344="补漏／放宽",V344="优先复核"),"需修改／复核","观察中"))))</x:f>
        <x:v>观察中</x:v>
      </x:c>
      <x:c r="X344" s="34" t="str"/>
      <x:c r="Y344" s="34" t="str"/>
    </x:row>
    <x:row r="345">
      <x:c r="A345" s="34" t="str">
        <x:v>M5-REPAIR-002</x:v>
      </x:c>
      <x:c r="B345" s="34" t="str">
        <x:v>REPAIR</x:v>
      </x:c>
      <x:c r="C345" s="34" t="str">
        <x:v>P0_安全与硬门槛</x:v>
      </x:c>
      <x:c r="D345" s="34" t="str">
        <x:v>问题停止、任务解决与关系修复必须分开</x:v>
      </x:c>
      <x:c r="E345" s="34" t="str">
        <x:v>L0 定义、边界与证据合同</x:v>
      </x:c>
      <x:c r="F345" s="34" t="str">
        <x:v>定义</x:v>
      </x:c>
      <x:c r="G345" s="34" t="n">
        <x:v>100</x:v>
      </x:c>
      <x:c r="H345" s="34" t="str">
        <x:v>待验证</x:v>
      </x:c>
      <x:c r="I345" s="34" t="str"/>
      <x:c r="J345" s="34" t="str"/>
      <x:c r="K345" s="34" t="str"/>
      <x:c r="L345" s="34" t="str"/>
      <x:c r="M345" s="34" t="str"/>
      <x:c r="N345" s="34" t="n">
        <x:f>IF(A345="","",I345+J345+K345)</x:f>
        <x:v>0</x:v>
      </x:c>
      <x:c r="O345" s="56" t="str">
        <x:f>IF(N345=0,"",(I345+0.5*J345)/N345)</x:f>
      </x:c>
      <x:c r="P345" s="56" t="str">
        <x:f>IF(N345=0,"",(I345+0.5*J345+1)/(N345+2))</x:f>
      </x:c>
      <x:c r="Q345" s="34" t="str"/>
      <x:c r="R345" s="34" t="str"/>
      <x:c r="S345" s="34" t="str"/>
      <x:c r="T345" s="34" t="str"/>
      <x:c r="U345" s="34" t="str"/>
      <x:c r="V345" s="34" t="str">
        <x:f>IF(A345="","",IF(N345&lt;5,"样本不足",IF(Q345&gt;=1,"优先复核",IF(AND(N345&gt;=20,P345&lt;0.35,K345&gt;=5),"停用候选",IF(AND(N345&gt;=10,P345&lt;0.45),"需修改候选",IF(AND(N345&gt;=10,P345&gt;=0.75,R345/N345&lt;=0.15,S345/N345&lt;=0.15),"升级候选",IF(R345/N345&gt;0.3,"收紧条件",IF(S345/N345&gt;0.3,"补漏／放宽","继续观察"))))))))</x:f>
        <x:v>样本不足</x:v>
      </x:c>
      <x:c r="W345" s="34" t="str">
        <x:f>IF(V345="","",IF(V345="升级候选","已验证候选",IF(V345="停用候选","停用候选",IF(OR(V345="需修改候选",V345="收紧条件",V345="补漏／放宽",V345="优先复核"),"需修改／复核","观察中"))))</x:f>
        <x:v>观察中</x:v>
      </x:c>
      <x:c r="X345" s="34" t="str"/>
      <x:c r="Y345" s="34" t="str"/>
    </x:row>
    <x:row r="346">
      <x:c r="A346" s="34" t="str">
        <x:v>M5-REPAIR-003</x:v>
      </x:c>
      <x:c r="B346" s="34" t="str">
        <x:v>REPAIR</x:v>
      </x:c>
      <x:c r="C346" s="34" t="str">
        <x:v>P0_安全与硬门槛</x:v>
      </x:c>
      <x:c r="D346" s="34" t="str">
        <x:v>修复不能创造原谅和继续义务</x:v>
      </x:c>
      <x:c r="E346" s="34" t="str">
        <x:v>L0 定义、边界与证据合同</x:v>
      </x:c>
      <x:c r="F346" s="34" t="str">
        <x:v>边界</x:v>
      </x:c>
      <x:c r="G346" s="34" t="n">
        <x:v>100</x:v>
      </x:c>
      <x:c r="H346" s="34" t="str">
        <x:v>待验证</x:v>
      </x:c>
      <x:c r="I346" s="34" t="str"/>
      <x:c r="J346" s="34" t="str"/>
      <x:c r="K346" s="34" t="str"/>
      <x:c r="L346" s="34" t="str"/>
      <x:c r="M346" s="34" t="str"/>
      <x:c r="N346" s="34" t="n">
        <x:f>IF(A346="","",I346+J346+K346)</x:f>
        <x:v>0</x:v>
      </x:c>
      <x:c r="O346" s="56" t="str">
        <x:f>IF(N346=0,"",(I346+0.5*J346)/N346)</x:f>
      </x:c>
      <x:c r="P346" s="56" t="str">
        <x:f>IF(N346=0,"",(I346+0.5*J346+1)/(N346+2))</x:f>
      </x:c>
      <x:c r="Q346" s="34" t="str"/>
      <x:c r="R346" s="34" t="str"/>
      <x:c r="S346" s="34" t="str"/>
      <x:c r="T346" s="34" t="str"/>
      <x:c r="U346" s="34" t="str"/>
      <x:c r="V346" s="34" t="str">
        <x:f>IF(A346="","",IF(N346&lt;5,"样本不足",IF(Q346&gt;=1,"优先复核",IF(AND(N346&gt;=20,P346&lt;0.35,K346&gt;=5),"停用候选",IF(AND(N346&gt;=10,P346&lt;0.45),"需修改候选",IF(AND(N346&gt;=10,P346&gt;=0.75,R346/N346&lt;=0.15,S346/N346&lt;=0.15),"升级候选",IF(R346/N346&gt;0.3,"收紧条件",IF(S346/N346&gt;0.3,"补漏／放宽","继续观察"))))))))</x:f>
        <x:v>样本不足</x:v>
      </x:c>
      <x:c r="W346" s="34" t="str">
        <x:f>IF(V346="","",IF(V346="升级候选","已验证候选",IF(V346="停用候选","停用候选",IF(OR(V346="需修改候选",V346="收紧条件",V346="补漏／放宽",V346="优先复核"),"需修改／复核","观察中"))))</x:f>
        <x:v>观察中</x:v>
      </x:c>
      <x:c r="X346" s="34" t="str"/>
      <x:c r="Y346" s="34" t="str"/>
    </x:row>
    <x:row r="347">
      <x:c r="A347" s="34" t="str">
        <x:v>M5-REPAIR-004</x:v>
      </x:c>
      <x:c r="B347" s="34" t="str">
        <x:v>REPAIR</x:v>
      </x:c>
      <x:c r="C347" s="34" t="str">
        <x:v>P0_安全与硬门槛</x:v>
      </x:c>
      <x:c r="D347" s="34" t="str">
        <x:v>双方参与不等于平均责任</x:v>
      </x:c>
      <x:c r="E347" s="34" t="str">
        <x:v>L0 定义、边界与证据合同</x:v>
      </x:c>
      <x:c r="F347" s="34" t="str">
        <x:v>边界</x:v>
      </x:c>
      <x:c r="G347" s="34" t="n">
        <x:v>100</x:v>
      </x:c>
      <x:c r="H347" s="34" t="str">
        <x:v>待验证</x:v>
      </x:c>
      <x:c r="I347" s="34" t="str"/>
      <x:c r="J347" s="34" t="str"/>
      <x:c r="K347" s="34" t="str"/>
      <x:c r="L347" s="34" t="str"/>
      <x:c r="M347" s="34" t="str"/>
      <x:c r="N347" s="34" t="n">
        <x:f>IF(A347="","",I347+J347+K347)</x:f>
        <x:v>0</x:v>
      </x:c>
      <x:c r="O347" s="56" t="str">
        <x:f>IF(N347=0,"",(I347+0.5*J347)/N347)</x:f>
      </x:c>
      <x:c r="P347" s="56" t="str">
        <x:f>IF(N347=0,"",(I347+0.5*J347+1)/(N347+2))</x:f>
      </x:c>
      <x:c r="Q347" s="34" t="str"/>
      <x:c r="R347" s="34" t="str"/>
      <x:c r="S347" s="34" t="str"/>
      <x:c r="T347" s="34" t="str"/>
      <x:c r="U347" s="34" t="str"/>
      <x:c r="V347" s="34" t="str">
        <x:f>IF(A347="","",IF(N347&lt;5,"样本不足",IF(Q347&gt;=1,"优先复核",IF(AND(N347&gt;=20,P347&lt;0.35,K347&gt;=5),"停用候选",IF(AND(N347&gt;=10,P347&lt;0.45),"需修改候选",IF(AND(N347&gt;=10,P347&gt;=0.75,R347/N347&lt;=0.15,S347/N347&lt;=0.15),"升级候选",IF(R347/N347&gt;0.3,"收紧条件",IF(S347/N347&gt;0.3,"补漏／放宽","继续观察"))))))))</x:f>
        <x:v>样本不足</x:v>
      </x:c>
      <x:c r="W347" s="34" t="str">
        <x:f>IF(V347="","",IF(V347="升级候选","已验证候选",IF(V347="停用候选","停用候选",IF(OR(V347="需修改候选",V347="收紧条件",V347="补漏／放宽",V347="优先复核"),"需修改／复核","观察中"))))</x:f>
        <x:v>观察中</x:v>
      </x:c>
      <x:c r="X347" s="34" t="str"/>
      <x:c r="Y347" s="34" t="str"/>
    </x:row>
    <x:row r="348">
      <x:c r="A348" s="34" t="str">
        <x:v>M5-RHYTHM-001</x:v>
      </x:c>
      <x:c r="B348" s="34" t="str">
        <x:v>RHYTHM</x:v>
      </x:c>
      <x:c r="C348" s="34" t="str">
        <x:v>P0_安全与硬门槛</x:v>
      </x:c>
      <x:c r="D348" s="34" t="str">
        <x:v>M5-RHYTHM正式定义｜推进节奏、生活协同与关系气候</x:v>
      </x:c>
      <x:c r="E348" s="34" t="str">
        <x:v>L0 定义、边界与证据合同</x:v>
      </x:c>
      <x:c r="F348" s="34" t="str">
        <x:v>定义</x:v>
      </x:c>
      <x:c r="G348" s="34" t="n">
        <x:v>100</x:v>
      </x:c>
      <x:c r="H348" s="34" t="str">
        <x:v>待验证</x:v>
      </x:c>
      <x:c r="I348" s="34" t="str"/>
      <x:c r="J348" s="34" t="str"/>
      <x:c r="K348" s="34" t="str"/>
      <x:c r="L348" s="34" t="str"/>
      <x:c r="M348" s="34" t="str"/>
      <x:c r="N348" s="34" t="n">
        <x:f>IF(A348="","",I348+J348+K348)</x:f>
        <x:v>0</x:v>
      </x:c>
      <x:c r="O348" s="56" t="str">
        <x:f>IF(N348=0,"",(I348+0.5*J348)/N348)</x:f>
      </x:c>
      <x:c r="P348" s="56" t="str">
        <x:f>IF(N348=0,"",(I348+0.5*J348+1)/(N348+2))</x:f>
      </x:c>
      <x:c r="Q348" s="34" t="str"/>
      <x:c r="R348" s="34" t="str"/>
      <x:c r="S348" s="34" t="str"/>
      <x:c r="T348" s="34" t="str"/>
      <x:c r="U348" s="34" t="str"/>
      <x:c r="V348" s="34" t="str">
        <x:f>IF(A348="","",IF(N348&lt;5,"样本不足",IF(Q348&gt;=1,"优先复核",IF(AND(N348&gt;=20,P348&lt;0.35,K348&gt;=5),"停用候选",IF(AND(N348&gt;=10,P348&lt;0.45),"需修改候选",IF(AND(N348&gt;=10,P348&gt;=0.75,R348/N348&lt;=0.15,S348/N348&lt;=0.15),"升级候选",IF(R348/N348&gt;0.3,"收紧条件",IF(S348/N348&gt;0.3,"补漏／放宽","继续观察"))))))))</x:f>
        <x:v>样本不足</x:v>
      </x:c>
      <x:c r="W348" s="34" t="str">
        <x:f>IF(V348="","",IF(V348="升级候选","已验证候选",IF(V348="停用候选","停用候选",IF(OR(V348="需修改候选",V348="收紧条件",V348="补漏／放宽",V348="优先复核"),"需修改／复核","观察中"))))</x:f>
        <x:v>观察中</x:v>
      </x:c>
      <x:c r="X348" s="34" t="str"/>
      <x:c r="Y348" s="34" t="str"/>
    </x:row>
    <x:row r="349">
      <x:c r="A349" s="34" t="str">
        <x:v>M5-RHYTHM-002</x:v>
      </x:c>
      <x:c r="B349" s="34" t="str">
        <x:v>RHYTHM</x:v>
      </x:c>
      <x:c r="C349" s="34" t="str">
        <x:v>P0_安全与硬门槛</x:v>
      </x:c>
      <x:c r="D349" s="34" t="str">
        <x:v>M2-TEMPO与M5-RHYTHM严格分工</x:v>
      </x:c>
      <x:c r="E349" s="34" t="str">
        <x:v>L0 定义、边界与证据合同</x:v>
      </x:c>
      <x:c r="F349" s="34" t="str">
        <x:v>边界</x:v>
      </x:c>
      <x:c r="G349" s="34" t="n">
        <x:v>100</x:v>
      </x:c>
      <x:c r="H349" s="34" t="str">
        <x:v>待验证</x:v>
      </x:c>
      <x:c r="I349" s="34" t="str"/>
      <x:c r="J349" s="34" t="str"/>
      <x:c r="K349" s="34" t="str"/>
      <x:c r="L349" s="34" t="str"/>
      <x:c r="M349" s="34" t="str"/>
      <x:c r="N349" s="34" t="n">
        <x:f>IF(A349="","",I349+J349+K349)</x:f>
        <x:v>0</x:v>
      </x:c>
      <x:c r="O349" s="56" t="str">
        <x:f>IF(N349=0,"",(I349+0.5*J349)/N349)</x:f>
      </x:c>
      <x:c r="P349" s="56" t="str">
        <x:f>IF(N349=0,"",(I349+0.5*J349+1)/(N349+2))</x:f>
      </x:c>
      <x:c r="Q349" s="34" t="str"/>
      <x:c r="R349" s="34" t="str"/>
      <x:c r="S349" s="34" t="str"/>
      <x:c r="T349" s="34" t="str"/>
      <x:c r="U349" s="34" t="str"/>
      <x:c r="V349" s="34" t="str">
        <x:f>IF(A349="","",IF(N349&lt;5,"样本不足",IF(Q349&gt;=1,"优先复核",IF(AND(N349&gt;=20,P349&lt;0.35,K349&gt;=5),"停用候选",IF(AND(N349&gt;=10,P349&lt;0.45),"需修改候选",IF(AND(N349&gt;=10,P349&gt;=0.75,R349/N349&lt;=0.15,S349/N349&lt;=0.15),"升级候选",IF(R349/N349&gt;0.3,"收紧条件",IF(S349/N349&gt;0.3,"补漏／放宽","继续观察"))))))))</x:f>
        <x:v>样本不足</x:v>
      </x:c>
      <x:c r="W349" s="34" t="str">
        <x:f>IF(V349="","",IF(V349="升级候选","已验证候选",IF(V349="停用候选","停用候选",IF(OR(V349="需修改候选",V349="收紧条件",V349="补漏／放宽",V349="优先复核"),"需修改／复核","观察中"))))</x:f>
        <x:v>观察中</x:v>
      </x:c>
      <x:c r="X349" s="34" t="str"/>
      <x:c r="Y349" s="34" t="str"/>
    </x:row>
    <x:row r="350">
      <x:c r="A350" s="34" t="str">
        <x:v>M5-RHYTHM-003</x:v>
      </x:c>
      <x:c r="B350" s="34" t="str">
        <x:v>RHYTHM</x:v>
      </x:c>
      <x:c r="C350" s="34" t="str">
        <x:v>P0_安全与硬门槛</x:v>
      </x:c>
      <x:c r="D350" s="34" t="str">
        <x:v>节奏快慢不直接等于质量</x:v>
      </x:c>
      <x:c r="E350" s="34" t="str">
        <x:v>L0 定义、边界与证据合同</x:v>
      </x:c>
      <x:c r="F350" s="34" t="str">
        <x:v>边界</x:v>
      </x:c>
      <x:c r="G350" s="34" t="n">
        <x:v>100</x:v>
      </x:c>
      <x:c r="H350" s="34" t="str">
        <x:v>待验证</x:v>
      </x:c>
      <x:c r="I350" s="34" t="str"/>
      <x:c r="J350" s="34" t="str"/>
      <x:c r="K350" s="34" t="str"/>
      <x:c r="L350" s="34" t="str"/>
      <x:c r="M350" s="34" t="str"/>
      <x:c r="N350" s="34" t="n">
        <x:f>IF(A350="","",I350+J350+K350)</x:f>
        <x:v>0</x:v>
      </x:c>
      <x:c r="O350" s="56" t="str">
        <x:f>IF(N350=0,"",(I350+0.5*J350)/N350)</x:f>
      </x:c>
      <x:c r="P350" s="56" t="str">
        <x:f>IF(N350=0,"",(I350+0.5*J350+1)/(N350+2))</x:f>
      </x:c>
      <x:c r="Q350" s="34" t="str"/>
      <x:c r="R350" s="34" t="str"/>
      <x:c r="S350" s="34" t="str"/>
      <x:c r="T350" s="34" t="str"/>
      <x:c r="U350" s="34" t="str"/>
      <x:c r="V350" s="34" t="str">
        <x:f>IF(A350="","",IF(N350&lt;5,"样本不足",IF(Q350&gt;=1,"优先复核",IF(AND(N350&gt;=20,P350&lt;0.35,K350&gt;=5),"停用候选",IF(AND(N350&gt;=10,P350&lt;0.45),"需修改候选",IF(AND(N350&gt;=10,P350&gt;=0.75,R350/N350&lt;=0.15,S350/N350&lt;=0.15),"升级候选",IF(R350/N350&gt;0.3,"收紧条件",IF(S350/N350&gt;0.3,"补漏／放宽","继续观察"))))))))</x:f>
        <x:v>样本不足</x:v>
      </x:c>
      <x:c r="W350" s="34" t="str">
        <x:f>IF(V350="","",IF(V350="升级候选","已验证候选",IF(V350="停用候选","停用候选",IF(OR(V350="需修改候选",V350="收紧条件",V350="补漏／放宽",V350="优先复核"),"需修改／复核","观察中"))))</x:f>
        <x:v>观察中</x:v>
      </x:c>
      <x:c r="X350" s="34" t="str"/>
      <x:c r="Y350" s="34" t="str"/>
    </x:row>
    <x:row r="351">
      <x:c r="A351" s="34" t="str">
        <x:v>M5-RHYTHM-004</x:v>
      </x:c>
      <x:c r="B351" s="34" t="str">
        <x:v>RHYTHM</x:v>
      </x:c>
      <x:c r="C351" s="34" t="str">
        <x:v>P0_安全与硬门槛</x:v>
      </x:c>
      <x:c r="D351" s="34" t="str">
        <x:v>高频联系不等于高亲密</x:v>
      </x:c>
      <x:c r="E351" s="34" t="str">
        <x:v>L0 定义、边界与证据合同</x:v>
      </x:c>
      <x:c r="F351" s="34" t="str">
        <x:v>边界</x:v>
      </x:c>
      <x:c r="G351" s="34" t="n">
        <x:v>100</x:v>
      </x:c>
      <x:c r="H351" s="34" t="str">
        <x:v>待验证</x:v>
      </x:c>
      <x:c r="I351" s="34" t="str"/>
      <x:c r="J351" s="34" t="str"/>
      <x:c r="K351" s="34" t="str"/>
      <x:c r="L351" s="34" t="str"/>
      <x:c r="M351" s="34" t="str"/>
      <x:c r="N351" s="34" t="n">
        <x:f>IF(A351="","",I351+J351+K351)</x:f>
        <x:v>0</x:v>
      </x:c>
      <x:c r="O351" s="56" t="str">
        <x:f>IF(N351=0,"",(I351+0.5*J351)/N351)</x:f>
      </x:c>
      <x:c r="P351" s="56" t="str">
        <x:f>IF(N351=0,"",(I351+0.5*J351+1)/(N351+2))</x:f>
      </x:c>
      <x:c r="Q351" s="34" t="str"/>
      <x:c r="R351" s="34" t="str"/>
      <x:c r="S351" s="34" t="str"/>
      <x:c r="T351" s="34" t="str"/>
      <x:c r="U351" s="34" t="str"/>
      <x:c r="V351" s="34" t="str">
        <x:f>IF(A351="","",IF(N351&lt;5,"样本不足",IF(Q351&gt;=1,"优先复核",IF(AND(N351&gt;=20,P351&lt;0.35,K351&gt;=5),"停用候选",IF(AND(N351&gt;=10,P351&lt;0.45),"需修改候选",IF(AND(N351&gt;=10,P351&gt;=0.75,R351/N351&lt;=0.15,S351/N351&lt;=0.15),"升级候选",IF(R351/N351&gt;0.3,"收紧条件",IF(S351/N351&gt;0.3,"补漏／放宽","继续观察"))))))))</x:f>
        <x:v>样本不足</x:v>
      </x:c>
      <x:c r="W351" s="34" t="str">
        <x:f>IF(V351="","",IF(V351="升级候选","已验证候选",IF(V351="停用候选","停用候选",IF(OR(V351="需修改候选",V351="收紧条件",V351="补漏／放宽",V351="优先复核"),"需修改／复核","观察中"))))</x:f>
        <x:v>观察中</x:v>
      </x:c>
      <x:c r="X351" s="34" t="str"/>
      <x:c r="Y351" s="34" t="str"/>
    </x:row>
    <x:row r="352">
      <x:c r="A352" s="34" t="str">
        <x:v>M5-BASE-004</x:v>
      </x:c>
      <x:c r="B352" s="34" t="str">
        <x:v>BASE</x:v>
      </x:c>
      <x:c r="C352" s="34" t="str">
        <x:v>P0_安全与硬门槛</x:v>
      </x:c>
      <x:c r="D352" s="34" t="str">
        <x:v>M1只比较心动与适配｜不得参与核心适配加分</x:v>
      </x:c>
      <x:c r="E352" s="34" t="str">
        <x:v>L0 定义、边界与证据合同</x:v>
      </x:c>
      <x:c r="F352" s="34" t="str">
        <x:v>接口</x:v>
      </x:c>
      <x:c r="G352" s="34" t="n">
        <x:v>99</x:v>
      </x:c>
      <x:c r="H352" s="34" t="str">
        <x:v>待验证</x:v>
      </x:c>
      <x:c r="I352" s="34" t="str"/>
      <x:c r="J352" s="34" t="str"/>
      <x:c r="K352" s="34" t="str"/>
      <x:c r="L352" s="34" t="str"/>
      <x:c r="M352" s="34" t="str"/>
      <x:c r="N352" s="34" t="n">
        <x:f>IF(A352="","",I352+J352+K352)</x:f>
        <x:v>0</x:v>
      </x:c>
      <x:c r="O352" s="56" t="str">
        <x:f>IF(N352=0,"",(I352+0.5*J352)/N352)</x:f>
      </x:c>
      <x:c r="P352" s="56" t="str">
        <x:f>IF(N352=0,"",(I352+0.5*J352+1)/(N352+2))</x:f>
      </x:c>
      <x:c r="Q352" s="34" t="str"/>
      <x:c r="R352" s="34" t="str"/>
      <x:c r="S352" s="34" t="str"/>
      <x:c r="T352" s="34" t="str"/>
      <x:c r="U352" s="34" t="str"/>
      <x:c r="V352" s="34" t="str">
        <x:f>IF(A352="","",IF(N352&lt;5,"样本不足",IF(Q352&gt;=1,"优先复核",IF(AND(N352&gt;=20,P352&lt;0.35,K352&gt;=5),"停用候选",IF(AND(N352&gt;=10,P352&lt;0.45),"需修改候选",IF(AND(N352&gt;=10,P352&gt;=0.75,R352/N352&lt;=0.15,S352/N352&lt;=0.15),"升级候选",IF(R352/N352&gt;0.3,"收紧条件",IF(S352/N352&gt;0.3,"补漏／放宽","继续观察"))))))))</x:f>
        <x:v>样本不足</x:v>
      </x:c>
      <x:c r="W352" s="34" t="str">
        <x:f>IF(V352="","",IF(V352="升级候选","已验证候选",IF(V352="停用候选","停用候选",IF(OR(V352="需修改候选",V352="收紧条件",V352="补漏／放宽",V352="优先复核"),"需修改／复核","观察中"))))</x:f>
        <x:v>观察中</x:v>
      </x:c>
      <x:c r="X352" s="34" t="str"/>
      <x:c r="Y352" s="34" t="str"/>
    </x:row>
    <x:row r="353">
      <x:c r="A353" s="34" t="str">
        <x:v>M5-BASE-005</x:v>
      </x:c>
      <x:c r="B353" s="34" t="str">
        <x:v>BASE</x:v>
      </x:c>
      <x:c r="C353" s="34" t="str">
        <x:v>P0_安全与硬门槛</x:v>
      </x:c>
      <x:c r="D353" s="34" t="str">
        <x:v>M2只提供准入条件｜通过门槛不等于长期适配</x:v>
      </x:c>
      <x:c r="E353" s="34" t="str">
        <x:v>L0 定义、边界与证据合同</x:v>
      </x:c>
      <x:c r="F353" s="34" t="str">
        <x:v>接口</x:v>
      </x:c>
      <x:c r="G353" s="34" t="n">
        <x:v>99</x:v>
      </x:c>
      <x:c r="H353" s="34" t="str">
        <x:v>待验证</x:v>
      </x:c>
      <x:c r="I353" s="34" t="str"/>
      <x:c r="J353" s="34" t="str"/>
      <x:c r="K353" s="34" t="str"/>
      <x:c r="L353" s="34" t="str"/>
      <x:c r="M353" s="34" t="str"/>
      <x:c r="N353" s="34" t="n">
        <x:f>IF(A353="","",I353+J353+K353)</x:f>
        <x:v>0</x:v>
      </x:c>
      <x:c r="O353" s="56" t="str">
        <x:f>IF(N353=0,"",(I353+0.5*J353)/N353)</x:f>
      </x:c>
      <x:c r="P353" s="56" t="str">
        <x:f>IF(N353=0,"",(I353+0.5*J353+1)/(N353+2))</x:f>
      </x:c>
      <x:c r="Q353" s="34" t="str"/>
      <x:c r="R353" s="34" t="str"/>
      <x:c r="S353" s="34" t="str"/>
      <x:c r="T353" s="34" t="str"/>
      <x:c r="U353" s="34" t="str"/>
      <x:c r="V353" s="34" t="str">
        <x:f>IF(A353="","",IF(N353&lt;5,"样本不足",IF(Q353&gt;=1,"优先复核",IF(AND(N353&gt;=20,P353&lt;0.35,K353&gt;=5),"停用候选",IF(AND(N353&gt;=10,P353&lt;0.45),"需修改候选",IF(AND(N353&gt;=10,P353&gt;=0.75,R353/N353&lt;=0.15,S353/N353&lt;=0.15),"升级候选",IF(R353/N353&gt;0.3,"收紧条件",IF(S353/N353&gt;0.3,"补漏／放宽","继续观察"))))))))</x:f>
        <x:v>样本不足</x:v>
      </x:c>
      <x:c r="W353" s="34" t="str">
        <x:f>IF(V353="","",IF(V353="升级候选","已验证候选",IF(V353="停用候选","停用候选",IF(OR(V353="需修改候选",V353="收紧条件",V353="补漏／放宽",V353="优先复核"),"需修改／复核","观察中"))))</x:f>
        <x:v>观察中</x:v>
      </x:c>
      <x:c r="X353" s="34" t="str"/>
      <x:c r="Y353" s="34" t="str"/>
    </x:row>
    <x:row r="354">
      <x:c r="A354" s="34" t="str">
        <x:v>M5-BASE-006</x:v>
      </x:c>
      <x:c r="B354" s="34" t="str">
        <x:v>BASE</x:v>
      </x:c>
      <x:c r="C354" s="34" t="str">
        <x:v>P0_安全与硬门槛</x:v>
      </x:c>
      <x:c r="D354" s="34" t="str">
        <x:v>M3正常功能优先｜不能只根据M4风险找相反的人</x:v>
      </x:c>
      <x:c r="E354" s="34" t="str">
        <x:v>L0 定义、边界与证据合同</x:v>
      </x:c>
      <x:c r="F354" s="34" t="str">
        <x:v>边界</x:v>
      </x:c>
      <x:c r="G354" s="34" t="n">
        <x:v>99</x:v>
      </x:c>
      <x:c r="H354" s="34" t="str">
        <x:v>待验证</x:v>
      </x:c>
      <x:c r="I354" s="34" t="str"/>
      <x:c r="J354" s="34" t="str"/>
      <x:c r="K354" s="34" t="str"/>
      <x:c r="L354" s="34" t="str"/>
      <x:c r="M354" s="34" t="str"/>
      <x:c r="N354" s="34" t="n">
        <x:f>IF(A354="","",I354+J354+K354)</x:f>
        <x:v>0</x:v>
      </x:c>
      <x:c r="O354" s="56" t="str">
        <x:f>IF(N354=0,"",(I354+0.5*J354)/N354)</x:f>
      </x:c>
      <x:c r="P354" s="56" t="str">
        <x:f>IF(N354=0,"",(I354+0.5*J354+1)/(N354+2))</x:f>
      </x:c>
      <x:c r="Q354" s="34" t="str"/>
      <x:c r="R354" s="34" t="str"/>
      <x:c r="S354" s="34" t="str"/>
      <x:c r="T354" s="34" t="str"/>
      <x:c r="U354" s="34" t="str"/>
      <x:c r="V354" s="34" t="str">
        <x:f>IF(A354="","",IF(N354&lt;5,"样本不足",IF(Q354&gt;=1,"优先复核",IF(AND(N354&gt;=20,P354&lt;0.35,K354&gt;=5),"停用候选",IF(AND(N354&gt;=10,P354&lt;0.45),"需修改候选",IF(AND(N354&gt;=10,P354&gt;=0.75,R354/N354&lt;=0.15,S354/N354&lt;=0.15),"升级候选",IF(R354/N354&gt;0.3,"收紧条件",IF(S354/N354&gt;0.3,"补漏／放宽","继续观察"))))))))</x:f>
        <x:v>样本不足</x:v>
      </x:c>
      <x:c r="W354" s="34" t="str">
        <x:f>IF(V354="","",IF(V354="升级候选","已验证候选",IF(V354="停用候选","停用候选",IF(OR(V354="需修改候选",V354="收紧条件",V354="补漏／放宽",V354="优先复核"),"需修改／复核","观察中"))))</x:f>
        <x:v>观察中</x:v>
      </x:c>
      <x:c r="X354" s="34" t="str"/>
      <x:c r="Y354" s="34" t="str"/>
    </x:row>
    <x:row r="355">
      <x:c r="A355" s="34" t="str">
        <x:v>M5-BASE-007</x:v>
      </x:c>
      <x:c r="B355" s="34" t="str">
        <x:v>BASE</x:v>
      </x:c>
      <x:c r="C355" s="34" t="str">
        <x:v>P0_安全与硬门槛</x:v>
      </x:c>
      <x:c r="D355" s="34" t="str">
        <x:v>M4风险必须转译为功能任务｜不得直接转成人格标签</x:v>
      </x:c>
      <x:c r="E355" s="34" t="str">
        <x:v>L0 定义、边界与证据合同</x:v>
      </x:c>
      <x:c r="F355" s="34" t="str">
        <x:v>接口</x:v>
      </x:c>
      <x:c r="G355" s="34" t="n">
        <x:v>99</x:v>
      </x:c>
      <x:c r="H355" s="34" t="str">
        <x:v>待验证</x:v>
      </x:c>
      <x:c r="I355" s="34" t="str"/>
      <x:c r="J355" s="34" t="str"/>
      <x:c r="K355" s="34" t="str"/>
      <x:c r="L355" s="34" t="str"/>
      <x:c r="M355" s="34" t="str"/>
      <x:c r="N355" s="34" t="n">
        <x:f>IF(A355="","",I355+J355+K355)</x:f>
        <x:v>0</x:v>
      </x:c>
      <x:c r="O355" s="56" t="str">
        <x:f>IF(N355=0,"",(I355+0.5*J355)/N355)</x:f>
      </x:c>
      <x:c r="P355" s="56" t="str">
        <x:f>IF(N355=0,"",(I355+0.5*J355+1)/(N355+2))</x:f>
      </x:c>
      <x:c r="Q355" s="34" t="str"/>
      <x:c r="R355" s="34" t="str"/>
      <x:c r="S355" s="34" t="str"/>
      <x:c r="T355" s="34" t="str"/>
      <x:c r="U355" s="34" t="str"/>
      <x:c r="V355" s="34" t="str">
        <x:f>IF(A355="","",IF(N355&lt;5,"样本不足",IF(Q355&gt;=1,"优先复核",IF(AND(N355&gt;=20,P355&lt;0.35,K355&gt;=5),"停用候选",IF(AND(N355&gt;=10,P355&lt;0.45),"需修改候选",IF(AND(N355&gt;=10,P355&gt;=0.75,R355/N355&lt;=0.15,S355/N355&lt;=0.15),"升级候选",IF(R355/N355&gt;0.3,"收紧条件",IF(S355/N355&gt;0.3,"补漏／放宽","继续观察"))))))))</x:f>
        <x:v>样本不足</x:v>
      </x:c>
      <x:c r="W355" s="34" t="str">
        <x:f>IF(V355="","",IF(V355="升级候选","已验证候选",IF(V355="停用候选","停用候选",IF(OR(V355="需修改候选",V355="收紧条件",V355="补漏／放宽",V355="优先复核"),"需修改／复核","观察中"))))</x:f>
        <x:v>观察中</x:v>
      </x:c>
      <x:c r="X355" s="34" t="str"/>
      <x:c r="Y355" s="34" t="str"/>
    </x:row>
    <x:row r="356">
      <x:c r="A356" s="34" t="str">
        <x:v>M5-BOUND-005</x:v>
      </x:c>
      <x:c r="B356" s="34" t="str">
        <x:v>BOUND</x:v>
      </x:c>
      <x:c r="C356" s="34" t="str">
        <x:v>P0_安全与硬门槛</x:v>
      </x:c>
      <x:c r="D356" s="34" t="str">
        <x:v>保护不等于替代决定</x:v>
      </x:c>
      <x:c r="E356" s="34" t="str">
        <x:v>L0 定义、边界与证据合同</x:v>
      </x:c>
      <x:c r="F356" s="34" t="str">
        <x:v>边界</x:v>
      </x:c>
      <x:c r="G356" s="34" t="n">
        <x:v>99</x:v>
      </x:c>
      <x:c r="H356" s="34" t="str">
        <x:v>待验证</x:v>
      </x:c>
      <x:c r="I356" s="34" t="str"/>
      <x:c r="J356" s="34" t="str"/>
      <x:c r="K356" s="34" t="str"/>
      <x:c r="L356" s="34" t="str"/>
      <x:c r="M356" s="34" t="str"/>
      <x:c r="N356" s="34" t="n">
        <x:f>IF(A356="","",I356+J356+K356)</x:f>
        <x:v>0</x:v>
      </x:c>
      <x:c r="O356" s="56" t="str">
        <x:f>IF(N356=0,"",(I356+0.5*J356)/N356)</x:f>
      </x:c>
      <x:c r="P356" s="56" t="str">
        <x:f>IF(N356=0,"",(I356+0.5*J356+1)/(N356+2))</x:f>
      </x:c>
      <x:c r="Q356" s="34" t="str"/>
      <x:c r="R356" s="34" t="str"/>
      <x:c r="S356" s="34" t="str"/>
      <x:c r="T356" s="34" t="str"/>
      <x:c r="U356" s="34" t="str"/>
      <x:c r="V356" s="34" t="str">
        <x:f>IF(A356="","",IF(N356&lt;5,"样本不足",IF(Q356&gt;=1,"优先复核",IF(AND(N356&gt;=20,P356&lt;0.35,K356&gt;=5),"停用候选",IF(AND(N356&gt;=10,P356&lt;0.45),"需修改候选",IF(AND(N356&gt;=10,P356&gt;=0.75,R356/N356&lt;=0.15,S356/N356&lt;=0.15),"升级候选",IF(R356/N356&gt;0.3,"收紧条件",IF(S356/N356&gt;0.3,"补漏／放宽","继续观察"))))))))</x:f>
        <x:v>样本不足</x:v>
      </x:c>
      <x:c r="W356" s="34" t="str">
        <x:f>IF(V356="","",IF(V356="升级候选","已验证候选",IF(V356="停用候选","停用候选",IF(OR(V356="需修改候选",V356="收紧条件",V356="补漏／放宽",V356="优先复核"),"需修改／复核","观察中"))))</x:f>
        <x:v>观察中</x:v>
      </x:c>
      <x:c r="X356" s="34" t="str"/>
      <x:c r="Y356" s="34" t="str"/>
    </x:row>
    <x:row r="357">
      <x:c r="A357" s="34" t="str">
        <x:v>M5-BOUND-006</x:v>
      </x:c>
      <x:c r="B357" s="34" t="str">
        <x:v>BOUND</x:v>
      </x:c>
      <x:c r="C357" s="34" t="str">
        <x:v>P0_安全与硬门槛</x:v>
      </x:c>
      <x:c r="D357" s="34" t="str">
        <x:v>依靠不等于失去自主</x:v>
      </x:c>
      <x:c r="E357" s="34" t="str">
        <x:v>L0 定义、边界与证据合同</x:v>
      </x:c>
      <x:c r="F357" s="34" t="str">
        <x:v>边界</x:v>
      </x:c>
      <x:c r="G357" s="34" t="n">
        <x:v>99</x:v>
      </x:c>
      <x:c r="H357" s="34" t="str">
        <x:v>待验证</x:v>
      </x:c>
      <x:c r="I357" s="34" t="str"/>
      <x:c r="J357" s="34" t="str"/>
      <x:c r="K357" s="34" t="str"/>
      <x:c r="L357" s="34" t="str"/>
      <x:c r="M357" s="34" t="str"/>
      <x:c r="N357" s="34" t="n">
        <x:f>IF(A357="","",I357+J357+K357)</x:f>
        <x:v>0</x:v>
      </x:c>
      <x:c r="O357" s="56" t="str">
        <x:f>IF(N357=0,"",(I357+0.5*J357)/N357)</x:f>
      </x:c>
      <x:c r="P357" s="56" t="str">
        <x:f>IF(N357=0,"",(I357+0.5*J357+1)/(N357+2))</x:f>
      </x:c>
      <x:c r="Q357" s="34" t="str"/>
      <x:c r="R357" s="34" t="str"/>
      <x:c r="S357" s="34" t="str"/>
      <x:c r="T357" s="34" t="str"/>
      <x:c r="U357" s="34" t="str"/>
      <x:c r="V357" s="34" t="str">
        <x:f>IF(A357="","",IF(N357&lt;5,"样本不足",IF(Q357&gt;=1,"优先复核",IF(AND(N357&gt;=20,P357&lt;0.35,K357&gt;=5),"停用候选",IF(AND(N357&gt;=10,P357&lt;0.45),"需修改候选",IF(AND(N357&gt;=10,P357&gt;=0.75,R357/N357&lt;=0.15,S357/N357&lt;=0.15),"升级候选",IF(R357/N357&gt;0.3,"收紧条件",IF(S357/N357&gt;0.3,"补漏／放宽","继续观察"))))))))</x:f>
        <x:v>样本不足</x:v>
      </x:c>
      <x:c r="W357" s="34" t="str">
        <x:f>IF(V357="","",IF(V357="升级候选","已验证候选",IF(V357="停用候选","停用候选",IF(OR(V357="需修改候选",V357="收紧条件",V357="补漏／放宽",V357="优先复核"),"需修改／复核","观察中"))))</x:f>
        <x:v>观察中</x:v>
      </x:c>
      <x:c r="X357" s="34" t="str"/>
      <x:c r="Y357" s="34" t="str"/>
    </x:row>
    <x:row r="358">
      <x:c r="A358" s="34" t="str">
        <x:v>M5-BOUND-007</x:v>
      </x:c>
      <x:c r="B358" s="34" t="str">
        <x:v>BOUND</x:v>
      </x:c>
      <x:c r="C358" s="34" t="str">
        <x:v>P0_安全与硬门槛</x:v>
      </x:c>
      <x:c r="D358" s="34" t="str">
        <x:v>同意必须具体、自愿、可撤回</x:v>
      </x:c>
      <x:c r="E358" s="34" t="str">
        <x:v>L0 定义、边界与证据合同</x:v>
      </x:c>
      <x:c r="F358" s="34" t="str">
        <x:v>安全</x:v>
      </x:c>
      <x:c r="G358" s="34" t="n">
        <x:v>99</x:v>
      </x:c>
      <x:c r="H358" s="34" t="str">
        <x:v>待验证</x:v>
      </x:c>
      <x:c r="I358" s="34" t="str"/>
      <x:c r="J358" s="34" t="str"/>
      <x:c r="K358" s="34" t="str"/>
      <x:c r="L358" s="34" t="str"/>
      <x:c r="M358" s="34" t="str"/>
      <x:c r="N358" s="34" t="n">
        <x:f>IF(A358="","",I358+J358+K358)</x:f>
        <x:v>0</x:v>
      </x:c>
      <x:c r="O358" s="56" t="str">
        <x:f>IF(N358=0,"",(I358+0.5*J358)/N358)</x:f>
      </x:c>
      <x:c r="P358" s="56" t="str">
        <x:f>IF(N358=0,"",(I358+0.5*J358+1)/(N358+2))</x:f>
      </x:c>
      <x:c r="Q358" s="34" t="str"/>
      <x:c r="R358" s="34" t="str"/>
      <x:c r="S358" s="34" t="str"/>
      <x:c r="T358" s="34" t="str"/>
      <x:c r="U358" s="34" t="str"/>
      <x:c r="V358" s="34" t="str">
        <x:f>IF(A358="","",IF(N358&lt;5,"样本不足",IF(Q358&gt;=1,"优先复核",IF(AND(N358&gt;=20,P358&lt;0.35,K358&gt;=5),"停用候选",IF(AND(N358&gt;=10,P358&lt;0.45),"需修改候选",IF(AND(N358&gt;=10,P358&gt;=0.75,R358/N358&lt;=0.15,S358/N358&lt;=0.15),"升级候选",IF(R358/N358&gt;0.3,"收紧条件",IF(S358/N358&gt;0.3,"补漏／放宽","继续观察"))))))))</x:f>
        <x:v>样本不足</x:v>
      </x:c>
      <x:c r="W358" s="34" t="str">
        <x:f>IF(V358="","",IF(V358="升级候选","已验证候选",IF(V358="停用候选","停用候选",IF(OR(V358="需修改候选",V358="收紧条件",V358="补漏／放宽",V358="优先复核"),"需修改／复核","观察中"))))</x:f>
        <x:v>观察中</x:v>
      </x:c>
      <x:c r="X358" s="34" t="str"/>
      <x:c r="Y358" s="34" t="str"/>
    </x:row>
    <x:row r="359">
      <x:c r="A359" s="34" t="str">
        <x:v>M5-BOUND-008</x:v>
      </x:c>
      <x:c r="B359" s="34" t="str">
        <x:v>BOUND</x:v>
      </x:c>
      <x:c r="C359" s="34" t="str">
        <x:v>P0_安全与硬门槛</x:v>
      </x:c>
      <x:c r="D359" s="34" t="str">
        <x:v>资源贡献不购买控制权</x:v>
      </x:c>
      <x:c r="E359" s="34" t="str">
        <x:v>L0 定义、边界与证据合同</x:v>
      </x:c>
      <x:c r="F359" s="34" t="str">
        <x:v>边界</x:v>
      </x:c>
      <x:c r="G359" s="34" t="n">
        <x:v>99</x:v>
      </x:c>
      <x:c r="H359" s="34" t="str">
        <x:v>待验证</x:v>
      </x:c>
      <x:c r="I359" s="34" t="str"/>
      <x:c r="J359" s="34" t="str"/>
      <x:c r="K359" s="34" t="str"/>
      <x:c r="L359" s="34" t="str"/>
      <x:c r="M359" s="34" t="str"/>
      <x:c r="N359" s="34" t="n">
        <x:f>IF(A359="","",I359+J359+K359)</x:f>
        <x:v>0</x:v>
      </x:c>
      <x:c r="O359" s="56" t="str">
        <x:f>IF(N359=0,"",(I359+0.5*J359)/N359)</x:f>
      </x:c>
      <x:c r="P359" s="56" t="str">
        <x:f>IF(N359=0,"",(I359+0.5*J359+1)/(N359+2))</x:f>
      </x:c>
      <x:c r="Q359" s="34" t="str"/>
      <x:c r="R359" s="34" t="str"/>
      <x:c r="S359" s="34" t="str"/>
      <x:c r="T359" s="34" t="str"/>
      <x:c r="U359" s="34" t="str"/>
      <x:c r="V359" s="34" t="str">
        <x:f>IF(A359="","",IF(N359&lt;5,"样本不足",IF(Q359&gt;=1,"优先复核",IF(AND(N359&gt;=20,P359&lt;0.35,K359&gt;=5),"停用候选",IF(AND(N359&gt;=10,P359&lt;0.45),"需修改候选",IF(AND(N359&gt;=10,P359&gt;=0.75,R359/N359&lt;=0.15,S359/N359&lt;=0.15),"升级候选",IF(R359/N359&gt;0.3,"收紧条件",IF(S359/N359&gt;0.3,"补漏／放宽","继续观察"))))))))</x:f>
        <x:v>样本不足</x:v>
      </x:c>
      <x:c r="W359" s="34" t="str">
        <x:f>IF(V359="","",IF(V359="升级候选","已验证候选",IF(V359="停用候选","停用候选",IF(OR(V359="需修改候选",V359="收紧条件",V359="补漏／放宽",V359="优先复核"),"需修改／复核","观察中"))))</x:f>
        <x:v>观察中</x:v>
      </x:c>
      <x:c r="X359" s="34" t="str"/>
      <x:c r="Y359" s="34" t="str"/>
    </x:row>
    <x:row r="360">
      <x:c r="A360" s="34" t="str">
        <x:v>M5-BOUND-009</x:v>
      </x:c>
      <x:c r="B360" s="34" t="str">
        <x:v>BOUND</x:v>
      </x:c>
      <x:c r="C360" s="34" t="str">
        <x:v>P0_安全与硬门槛</x:v>
      </x:c>
      <x:c r="D360" s="34" t="str">
        <x:v>M3-BOUND描述个人惯性｜M5治理双方结构</x:v>
      </x:c>
      <x:c r="E360" s="34" t="str">
        <x:v>L0 定义、边界与证据合同</x:v>
      </x:c>
      <x:c r="F360" s="34" t="str">
        <x:v>接口</x:v>
      </x:c>
      <x:c r="G360" s="34" t="n">
        <x:v>99</x:v>
      </x:c>
      <x:c r="H360" s="34" t="str">
        <x:v>待验证</x:v>
      </x:c>
      <x:c r="I360" s="34" t="str"/>
      <x:c r="J360" s="34" t="str"/>
      <x:c r="K360" s="34" t="str"/>
      <x:c r="L360" s="34" t="str"/>
      <x:c r="M360" s="34" t="str"/>
      <x:c r="N360" s="34" t="n">
        <x:f>IF(A360="","",I360+J360+K360)</x:f>
        <x:v>0</x:v>
      </x:c>
      <x:c r="O360" s="56" t="str">
        <x:f>IF(N360=0,"",(I360+0.5*J360)/N360)</x:f>
      </x:c>
      <x:c r="P360" s="56" t="str">
        <x:f>IF(N360=0,"",(I360+0.5*J360+1)/(N360+2))</x:f>
      </x:c>
      <x:c r="Q360" s="34" t="str"/>
      <x:c r="R360" s="34" t="str"/>
      <x:c r="S360" s="34" t="str"/>
      <x:c r="T360" s="34" t="str"/>
      <x:c r="U360" s="34" t="str"/>
      <x:c r="V360" s="34" t="str">
        <x:f>IF(A360="","",IF(N360&lt;5,"样本不足",IF(Q360&gt;=1,"优先复核",IF(AND(N360&gt;=20,P360&lt;0.35,K360&gt;=5),"停用候选",IF(AND(N360&gt;=10,P360&lt;0.45),"需修改候选",IF(AND(N360&gt;=10,P360&gt;=0.75,R360/N360&lt;=0.15,S360/N360&lt;=0.15),"升级候选",IF(R360/N360&gt;0.3,"收紧条件",IF(S360/N360&gt;0.3,"补漏／放宽","继续观察"))))))))</x:f>
        <x:v>样本不足</x:v>
      </x:c>
      <x:c r="W360" s="34" t="str">
        <x:f>IF(V360="","",IF(V360="升级候选","已验证候选",IF(V360="停用候选","停用候选",IF(OR(V360="需修改候选",V360="收紧条件",V360="补漏／放宽",V360="优先复核"),"需修改／复核","观察中"))))</x:f>
        <x:v>观察中</x:v>
      </x:c>
      <x:c r="X360" s="34" t="str"/>
      <x:c r="Y360" s="34" t="str"/>
    </x:row>
    <x:row r="361">
      <x:c r="A361" s="34" t="str">
        <x:v>M5-EXCHANGE-005</x:v>
      </x:c>
      <x:c r="B361" s="34" t="str">
        <x:v>EXCHANGE</x:v>
      </x:c>
      <x:c r="C361" s="34" t="str">
        <x:v>P0_安全与硬门槛</x:v>
      </x:c>
      <x:c r="D361" s="34" t="str">
        <x:v>暂时不对称不等于长期失衡</x:v>
      </x:c>
      <x:c r="E361" s="34" t="str">
        <x:v>L0 定义、边界与证据合同</x:v>
      </x:c>
      <x:c r="F361" s="34" t="str">
        <x:v>边界</x:v>
      </x:c>
      <x:c r="G361" s="34" t="n">
        <x:v>99</x:v>
      </x:c>
      <x:c r="H361" s="34" t="str">
        <x:v>待验证</x:v>
      </x:c>
      <x:c r="I361" s="34" t="str"/>
      <x:c r="J361" s="34" t="str"/>
      <x:c r="K361" s="34" t="str"/>
      <x:c r="L361" s="34" t="str"/>
      <x:c r="M361" s="34" t="str"/>
      <x:c r="N361" s="34" t="n">
        <x:f>IF(A361="","",I361+J361+K361)</x:f>
        <x:v>0</x:v>
      </x:c>
      <x:c r="O361" s="56" t="str">
        <x:f>IF(N361=0,"",(I361+0.5*J361)/N361)</x:f>
      </x:c>
      <x:c r="P361" s="56" t="str">
        <x:f>IF(N361=0,"",(I361+0.5*J361+1)/(N361+2))</x:f>
      </x:c>
      <x:c r="Q361" s="34" t="str"/>
      <x:c r="R361" s="34" t="str"/>
      <x:c r="S361" s="34" t="str"/>
      <x:c r="T361" s="34" t="str"/>
      <x:c r="U361" s="34" t="str"/>
      <x:c r="V361" s="34" t="str">
        <x:f>IF(A361="","",IF(N361&lt;5,"样本不足",IF(Q361&gt;=1,"优先复核",IF(AND(N361&gt;=20,P361&lt;0.35,K361&gt;=5),"停用候选",IF(AND(N361&gt;=10,P361&lt;0.45),"需修改候选",IF(AND(N361&gt;=10,P361&gt;=0.75,R361/N361&lt;=0.15,S361/N361&lt;=0.15),"升级候选",IF(R361/N361&gt;0.3,"收紧条件",IF(S361/N361&gt;0.3,"补漏／放宽","继续观察"))))))))</x:f>
        <x:v>样本不足</x:v>
      </x:c>
      <x:c r="W361" s="34" t="str">
        <x:f>IF(V361="","",IF(V361="升级候选","已验证候选",IF(V361="停用候选","停用候选",IF(OR(V361="需修改候选",V361="收紧条件",V361="补漏／放宽",V361="优先复核"),"需修改／复核","观察中"))))</x:f>
        <x:v>观察中</x:v>
      </x:c>
      <x:c r="X361" s="34" t="str"/>
      <x:c r="Y361" s="34" t="str"/>
    </x:row>
    <x:row r="362">
      <x:c r="A362" s="34" t="str">
        <x:v>M5-EXCHANGE-006</x:v>
      </x:c>
      <x:c r="B362" s="34" t="str">
        <x:v>EXCHANGE</x:v>
      </x:c>
      <x:c r="C362" s="34" t="str">
        <x:v>P0_安全与硬门槛</x:v>
      </x:c>
      <x:c r="D362" s="34" t="str">
        <x:v>交换结构必须保留同意与选择权</x:v>
      </x:c>
      <x:c r="E362" s="34" t="str">
        <x:v>L0 定义、边界与证据合同</x:v>
      </x:c>
      <x:c r="F362" s="34" t="str">
        <x:v>安全</x:v>
      </x:c>
      <x:c r="G362" s="34" t="n">
        <x:v>99</x:v>
      </x:c>
      <x:c r="H362" s="34" t="str">
        <x:v>待验证</x:v>
      </x:c>
      <x:c r="I362" s="34" t="str"/>
      <x:c r="J362" s="34" t="str"/>
      <x:c r="K362" s="34" t="str"/>
      <x:c r="L362" s="34" t="str"/>
      <x:c r="M362" s="34" t="str"/>
      <x:c r="N362" s="34" t="n">
        <x:f>IF(A362="","",I362+J362+K362)</x:f>
        <x:v>0</x:v>
      </x:c>
      <x:c r="O362" s="56" t="str">
        <x:f>IF(N362=0,"",(I362+0.5*J362)/N362)</x:f>
      </x:c>
      <x:c r="P362" s="56" t="str">
        <x:f>IF(N362=0,"",(I362+0.5*J362+1)/(N362+2))</x:f>
      </x:c>
      <x:c r="Q362" s="34" t="str"/>
      <x:c r="R362" s="34" t="str"/>
      <x:c r="S362" s="34" t="str"/>
      <x:c r="T362" s="34" t="str"/>
      <x:c r="U362" s="34" t="str"/>
      <x:c r="V362" s="34" t="str">
        <x:f>IF(A362="","",IF(N362&lt;5,"样本不足",IF(Q362&gt;=1,"优先复核",IF(AND(N362&gt;=20,P362&lt;0.35,K362&gt;=5),"停用候选",IF(AND(N362&gt;=10,P362&lt;0.45),"需修改候选",IF(AND(N362&gt;=10,P362&gt;=0.75,R362/N362&lt;=0.15,S362/N362&lt;=0.15),"升级候选",IF(R362/N362&gt;0.3,"收紧条件",IF(S362/N362&gt;0.3,"补漏／放宽","继续观察"))))))))</x:f>
        <x:v>样本不足</x:v>
      </x:c>
      <x:c r="W362" s="34" t="str">
        <x:f>IF(V362="","",IF(V362="升级候选","已验证候选",IF(V362="停用候选","停用候选",IF(OR(V362="需修改候选",V362="收紧条件",V362="补漏／放宽",V362="优先复核"),"需修改／复核","观察中"))))</x:f>
        <x:v>观察中</x:v>
      </x:c>
      <x:c r="X362" s="34" t="str"/>
      <x:c r="Y362" s="34" t="str"/>
    </x:row>
    <x:row r="363">
      <x:c r="A363" s="34" t="str">
        <x:v>M5-EXCHANGE-007</x:v>
      </x:c>
      <x:c r="B363" s="34" t="str">
        <x:v>EXCHANGE</x:v>
      </x:c>
      <x:c r="C363" s="34" t="str">
        <x:v>P0_安全与硬门槛</x:v>
      </x:c>
      <x:c r="D363" s="34" t="str">
        <x:v>M3描述个人惯性｜M5判断双方交换</x:v>
      </x:c>
      <x:c r="E363" s="34" t="str">
        <x:v>L0 定义、边界与证据合同</x:v>
      </x:c>
      <x:c r="F363" s="34" t="str">
        <x:v>接口</x:v>
      </x:c>
      <x:c r="G363" s="34" t="n">
        <x:v>99</x:v>
      </x:c>
      <x:c r="H363" s="34" t="str">
        <x:v>待验证</x:v>
      </x:c>
      <x:c r="I363" s="34" t="str"/>
      <x:c r="J363" s="34" t="str"/>
      <x:c r="K363" s="34" t="str"/>
      <x:c r="L363" s="34" t="str"/>
      <x:c r="M363" s="34" t="str"/>
      <x:c r="N363" s="34" t="n">
        <x:f>IF(A363="","",I363+J363+K363)</x:f>
        <x:v>0</x:v>
      </x:c>
      <x:c r="O363" s="56" t="str">
        <x:f>IF(N363=0,"",(I363+0.5*J363)/N363)</x:f>
      </x:c>
      <x:c r="P363" s="56" t="str">
        <x:f>IF(N363=0,"",(I363+0.5*J363+1)/(N363+2))</x:f>
      </x:c>
      <x:c r="Q363" s="34" t="str"/>
      <x:c r="R363" s="34" t="str"/>
      <x:c r="S363" s="34" t="str"/>
      <x:c r="T363" s="34" t="str"/>
      <x:c r="U363" s="34" t="str"/>
      <x:c r="V363" s="34" t="str">
        <x:f>IF(A363="","",IF(N363&lt;5,"样本不足",IF(Q363&gt;=1,"优先复核",IF(AND(N363&gt;=20,P363&lt;0.35,K363&gt;=5),"停用候选",IF(AND(N363&gt;=10,P363&lt;0.45),"需修改候选",IF(AND(N363&gt;=10,P363&gt;=0.75,R363/N363&lt;=0.15,S363/N363&lt;=0.15),"升级候选",IF(R363/N363&gt;0.3,"收紧条件",IF(S363/N363&gt;0.3,"补漏／放宽","继续观察"))))))))</x:f>
        <x:v>样本不足</x:v>
      </x:c>
      <x:c r="W363" s="34" t="str">
        <x:f>IF(V363="","",IF(V363="升级候选","已验证候选",IF(V363="停用候选","停用候选",IF(OR(V363="需修改候选",V363="收紧条件",V363="补漏／放宽",V363="优先复核"),"需修改／复核","观察中"))))</x:f>
        <x:v>观察中</x:v>
      </x:c>
      <x:c r="X363" s="34" t="str"/>
      <x:c r="Y363" s="34" t="str"/>
    </x:row>
    <x:row r="364">
      <x:c r="A364" s="34" t="str">
        <x:v>M5-EXCHANGE-008</x:v>
      </x:c>
      <x:c r="B364" s="34" t="str">
        <x:v>EXCHANGE</x:v>
      </x:c>
      <x:c r="C364" s="34" t="str">
        <x:v>P0_安全与硬门槛</x:v>
      </x:c>
      <x:c r="D364" s="34" t="str">
        <x:v>M4识别循环｜M5建立可持续替代结构</x:v>
      </x:c>
      <x:c r="E364" s="34" t="str">
        <x:v>L0 定义、边界与证据合同</x:v>
      </x:c>
      <x:c r="F364" s="34" t="str">
        <x:v>接口</x:v>
      </x:c>
      <x:c r="G364" s="34" t="n">
        <x:v>99</x:v>
      </x:c>
      <x:c r="H364" s="34" t="str">
        <x:v>待验证</x:v>
      </x:c>
      <x:c r="I364" s="34" t="str"/>
      <x:c r="J364" s="34" t="str"/>
      <x:c r="K364" s="34" t="str"/>
      <x:c r="L364" s="34" t="str"/>
      <x:c r="M364" s="34" t="str"/>
      <x:c r="N364" s="34" t="n">
        <x:f>IF(A364="","",I364+J364+K364)</x:f>
        <x:v>0</x:v>
      </x:c>
      <x:c r="O364" s="56" t="str">
        <x:f>IF(N364=0,"",(I364+0.5*J364)/N364)</x:f>
      </x:c>
      <x:c r="P364" s="56" t="str">
        <x:f>IF(N364=0,"",(I364+0.5*J364+1)/(N364+2))</x:f>
      </x:c>
      <x:c r="Q364" s="34" t="str"/>
      <x:c r="R364" s="34" t="str"/>
      <x:c r="S364" s="34" t="str"/>
      <x:c r="T364" s="34" t="str"/>
      <x:c r="U364" s="34" t="str"/>
      <x:c r="V364" s="34" t="str">
        <x:f>IF(A364="","",IF(N364&lt;5,"样本不足",IF(Q364&gt;=1,"优先复核",IF(AND(N364&gt;=20,P364&lt;0.35,K364&gt;=5),"停用候选",IF(AND(N364&gt;=10,P364&lt;0.45),"需修改候选",IF(AND(N364&gt;=10,P364&gt;=0.75,R364/N364&lt;=0.15,S364/N364&lt;=0.15),"升级候选",IF(R364/N364&gt;0.3,"收紧条件",IF(S364/N364&gt;0.3,"补漏／放宽","继续观察"))))))))</x:f>
        <x:v>样本不足</x:v>
      </x:c>
      <x:c r="W364" s="34" t="str">
        <x:f>IF(V364="","",IF(V364="升级候选","已验证候选",IF(V364="停用候选","停用候选",IF(OR(V364="需修改候选",V364="收紧条件",V364="补漏／放宽",V364="优先复核"),"需修改／复核","观察中"))))</x:f>
        <x:v>观察中</x:v>
      </x:c>
      <x:c r="X364" s="34" t="str"/>
      <x:c r="Y364" s="34" t="str"/>
    </x:row>
    <x:row r="365">
      <x:c r="A365" s="34" t="str">
        <x:v>M5-EXCHANGE-009</x:v>
      </x:c>
      <x:c r="B365" s="34" t="str">
        <x:v>EXCHANGE</x:v>
      </x:c>
      <x:c r="C365" s="34" t="str">
        <x:v>P0_安全与硬门槛</x:v>
      </x:c>
      <x:c r="D365" s="34" t="str">
        <x:v>M5-PARTNER个人能力不等于双人交换</x:v>
      </x:c>
      <x:c r="E365" s="34" t="str">
        <x:v>L0 定义、边界与证据合同</x:v>
      </x:c>
      <x:c r="F365" s="34" t="str">
        <x:v>接口</x:v>
      </x:c>
      <x:c r="G365" s="34" t="n">
        <x:v>99</x:v>
      </x:c>
      <x:c r="H365" s="34" t="str">
        <x:v>待验证</x:v>
      </x:c>
      <x:c r="I365" s="34" t="str"/>
      <x:c r="J365" s="34" t="str"/>
      <x:c r="K365" s="34" t="str"/>
      <x:c r="L365" s="34" t="str"/>
      <x:c r="M365" s="34" t="str"/>
      <x:c r="N365" s="34" t="n">
        <x:f>IF(A365="","",I365+J365+K365)</x:f>
        <x:v>0</x:v>
      </x:c>
      <x:c r="O365" s="56" t="str">
        <x:f>IF(N365=0,"",(I365+0.5*J365)/N365)</x:f>
      </x:c>
      <x:c r="P365" s="56" t="str">
        <x:f>IF(N365=0,"",(I365+0.5*J365+1)/(N365+2))</x:f>
      </x:c>
      <x:c r="Q365" s="34" t="str"/>
      <x:c r="R365" s="34" t="str"/>
      <x:c r="S365" s="34" t="str"/>
      <x:c r="T365" s="34" t="str"/>
      <x:c r="U365" s="34" t="str"/>
      <x:c r="V365" s="34" t="str">
        <x:f>IF(A365="","",IF(N365&lt;5,"样本不足",IF(Q365&gt;=1,"优先复核",IF(AND(N365&gt;=20,P365&lt;0.35,K365&gt;=5),"停用候选",IF(AND(N365&gt;=10,P365&lt;0.45),"需修改候选",IF(AND(N365&gt;=10,P365&gt;=0.75,R365/N365&lt;=0.15,S365/N365&lt;=0.15),"升级候选",IF(R365/N365&gt;0.3,"收紧条件",IF(S365/N365&gt;0.3,"补漏／放宽","继续观察"))))))))</x:f>
        <x:v>样本不足</x:v>
      </x:c>
      <x:c r="W365" s="34" t="str">
        <x:f>IF(V365="","",IF(V365="升级候选","已验证候选",IF(V365="停用候选","停用候选",IF(OR(V365="需修改候选",V365="收紧条件",V365="补漏／放宽",V365="优先复核"),"需修改／复核","观察中"))))</x:f>
        <x:v>观察中</x:v>
      </x:c>
      <x:c r="X365" s="34" t="str"/>
      <x:c r="Y365" s="34" t="str"/>
    </x:row>
    <x:row r="366">
      <x:c r="A366" s="34" t="str">
        <x:v>M5-GAP-005</x:v>
      </x:c>
      <x:c r="B366" s="34" t="str">
        <x:v>GAP</x:v>
      </x:c>
      <x:c r="C366" s="34" t="str">
        <x:v>P0_安全与硬门槛</x:v>
      </x:c>
      <x:c r="D366" s="34" t="str">
        <x:v>具体对象符合部分画像不等于正缘</x:v>
      </x:c>
      <x:c r="E366" s="34" t="str">
        <x:v>L0 定义、边界与证据合同</x:v>
      </x:c>
      <x:c r="F366" s="34" t="str">
        <x:v>边界</x:v>
      </x:c>
      <x:c r="G366" s="34" t="n">
        <x:v>99</x:v>
      </x:c>
      <x:c r="H366" s="34" t="str">
        <x:v>待验证</x:v>
      </x:c>
      <x:c r="I366" s="34" t="str"/>
      <x:c r="J366" s="34" t="str"/>
      <x:c r="K366" s="34" t="str"/>
      <x:c r="L366" s="34" t="str"/>
      <x:c r="M366" s="34" t="str"/>
      <x:c r="N366" s="34" t="n">
        <x:f>IF(A366="","",I366+J366+K366)</x:f>
        <x:v>0</x:v>
      </x:c>
      <x:c r="O366" s="56" t="str">
        <x:f>IF(N366=0,"",(I366+0.5*J366)/N366)</x:f>
      </x:c>
      <x:c r="P366" s="56" t="str">
        <x:f>IF(N366=0,"",(I366+0.5*J366+1)/(N366+2))</x:f>
      </x:c>
      <x:c r="Q366" s="34" t="str"/>
      <x:c r="R366" s="34" t="str"/>
      <x:c r="S366" s="34" t="str"/>
      <x:c r="T366" s="34" t="str"/>
      <x:c r="U366" s="34" t="str"/>
      <x:c r="V366" s="34" t="str">
        <x:f>IF(A366="","",IF(N366&lt;5,"样本不足",IF(Q366&gt;=1,"优先复核",IF(AND(N366&gt;=20,P366&lt;0.35,K366&gt;=5),"停用候选",IF(AND(N366&gt;=10,P366&lt;0.45),"需修改候选",IF(AND(N366&gt;=10,P366&gt;=0.75,R366/N366&lt;=0.15,S366/N366&lt;=0.15),"升级候选",IF(R366/N366&gt;0.3,"收紧条件",IF(S366/N366&gt;0.3,"补漏／放宽","继续观察"))))))))</x:f>
        <x:v>样本不足</x:v>
      </x:c>
      <x:c r="W366" s="34" t="str">
        <x:f>IF(V366="","",IF(V366="升级候选","已验证候选",IF(V366="停用候选","停用候选",IF(OR(V366="需修改候选",V366="收紧条件",V366="补漏／放宽",V366="优先复核"),"需修改／复核","观察中"))))</x:f>
        <x:v>观察中</x:v>
      </x:c>
      <x:c r="X366" s="34" t="str"/>
      <x:c r="Y366" s="34" t="str"/>
    </x:row>
    <x:row r="367">
      <x:c r="A367" s="34" t="str">
        <x:v>M5-GAP-006</x:v>
      </x:c>
      <x:c r="B367" s="34" t="str">
        <x:v>GAP</x:v>
      </x:c>
      <x:c r="C367" s="34" t="str">
        <x:v>P0_安全与硬门槛</x:v>
      </x:c>
      <x:c r="D367" s="34" t="str">
        <x:v>现实安全优先于差异合成</x:v>
      </x:c>
      <x:c r="E367" s="34" t="str">
        <x:v>L0 定义、边界与证据合同</x:v>
      </x:c>
      <x:c r="F367" s="34" t="str">
        <x:v>安全</x:v>
      </x:c>
      <x:c r="G367" s="34" t="n">
        <x:v>99</x:v>
      </x:c>
      <x:c r="H367" s="34" t="str">
        <x:v>待验证</x:v>
      </x:c>
      <x:c r="I367" s="34" t="str"/>
      <x:c r="J367" s="34" t="str"/>
      <x:c r="K367" s="34" t="str"/>
      <x:c r="L367" s="34" t="str"/>
      <x:c r="M367" s="34" t="str"/>
      <x:c r="N367" s="34" t="n">
        <x:f>IF(A367="","",I367+J367+K367)</x:f>
        <x:v>0</x:v>
      </x:c>
      <x:c r="O367" s="56" t="str">
        <x:f>IF(N367=0,"",(I367+0.5*J367)/N367)</x:f>
      </x:c>
      <x:c r="P367" s="56" t="str">
        <x:f>IF(N367=0,"",(I367+0.5*J367+1)/(N367+2))</x:f>
      </x:c>
      <x:c r="Q367" s="34" t="str"/>
      <x:c r="R367" s="34" t="str"/>
      <x:c r="S367" s="34" t="str"/>
      <x:c r="T367" s="34" t="str"/>
      <x:c r="U367" s="34" t="str"/>
      <x:c r="V367" s="34" t="str">
        <x:f>IF(A367="","",IF(N367&lt;5,"样本不足",IF(Q367&gt;=1,"优先复核",IF(AND(N367&gt;=20,P367&lt;0.35,K367&gt;=5),"停用候选",IF(AND(N367&gt;=10,P367&lt;0.45),"需修改候选",IF(AND(N367&gt;=10,P367&gt;=0.75,R367/N367&lt;=0.15,S367/N367&lt;=0.15),"升级候选",IF(R367/N367&gt;0.3,"收紧条件",IF(S367/N367&gt;0.3,"补漏／放宽","继续观察"))))))))</x:f>
        <x:v>样本不足</x:v>
      </x:c>
      <x:c r="W367" s="34" t="str">
        <x:f>IF(V367="","",IF(V367="升级候选","已验证候选",IF(V367="停用候选","停用候选",IF(OR(V367="需修改候选",V367="收紧条件",V367="补漏／放宽",V367="优先复核"),"需修改／复核","观察中"))))</x:f>
        <x:v>观察中</x:v>
      </x:c>
      <x:c r="X367" s="34" t="str"/>
      <x:c r="Y367" s="34" t="str"/>
    </x:row>
    <x:row r="368">
      <x:c r="A368" s="34" t="str">
        <x:v>M5-GAP-007</x:v>
      </x:c>
      <x:c r="B368" s="34" t="str">
        <x:v>GAP</x:v>
      </x:c>
      <x:c r="C368" s="34" t="str">
        <x:v>P0_安全与硬门槛</x:v>
      </x:c>
      <x:c r="D368" s="34" t="str">
        <x:v>M1只提供心动入口</x:v>
      </x:c>
      <x:c r="E368" s="34" t="str">
        <x:v>L0 定义、边界与证据合同</x:v>
      </x:c>
      <x:c r="F368" s="34" t="str">
        <x:v>接口</x:v>
      </x:c>
      <x:c r="G368" s="34" t="n">
        <x:v>99</x:v>
      </x:c>
      <x:c r="H368" s="34" t="str">
        <x:v>待验证</x:v>
      </x:c>
      <x:c r="I368" s="34" t="str"/>
      <x:c r="J368" s="34" t="str"/>
      <x:c r="K368" s="34" t="str"/>
      <x:c r="L368" s="34" t="str"/>
      <x:c r="M368" s="34" t="str"/>
      <x:c r="N368" s="34" t="n">
        <x:f>IF(A368="","",I368+J368+K368)</x:f>
        <x:v>0</x:v>
      </x:c>
      <x:c r="O368" s="56" t="str">
        <x:f>IF(N368=0,"",(I368+0.5*J368)/N368)</x:f>
      </x:c>
      <x:c r="P368" s="56" t="str">
        <x:f>IF(N368=0,"",(I368+0.5*J368+1)/(N368+2))</x:f>
      </x:c>
      <x:c r="Q368" s="34" t="str"/>
      <x:c r="R368" s="34" t="str"/>
      <x:c r="S368" s="34" t="str"/>
      <x:c r="T368" s="34" t="str"/>
      <x:c r="U368" s="34" t="str"/>
      <x:c r="V368" s="34" t="str">
        <x:f>IF(A368="","",IF(N368&lt;5,"样本不足",IF(Q368&gt;=1,"优先复核",IF(AND(N368&gt;=20,P368&lt;0.35,K368&gt;=5),"停用候选",IF(AND(N368&gt;=10,P368&lt;0.45),"需修改候选",IF(AND(N368&gt;=10,P368&gt;=0.75,R368/N368&lt;=0.15,S368/N368&lt;=0.15),"升级候选",IF(R368/N368&gt;0.3,"收紧条件",IF(S368/N368&gt;0.3,"补漏／放宽","继续观察"))))))))</x:f>
        <x:v>样本不足</x:v>
      </x:c>
      <x:c r="W368" s="34" t="str">
        <x:f>IF(V368="","",IF(V368="升级候选","已验证候选",IF(V368="停用候选","停用候选",IF(OR(V368="需修改候选",V368="收紧条件",V368="补漏／放宽",V368="优先复核"),"需修改／复核","观察中"))))</x:f>
        <x:v>观察中</x:v>
      </x:c>
      <x:c r="X368" s="34" t="str"/>
      <x:c r="Y368" s="34" t="str"/>
    </x:row>
    <x:row r="369">
      <x:c r="A369" s="34" t="str">
        <x:v>M5-GAP-008</x:v>
      </x:c>
      <x:c r="B369" s="34" t="str">
        <x:v>GAP</x:v>
      </x:c>
      <x:c r="C369" s="34" t="str">
        <x:v>P0_安全与硬门槛</x:v>
      </x:c>
      <x:c r="D369" s="34" t="str">
        <x:v>M2只提供关系准入</x:v>
      </x:c>
      <x:c r="E369" s="34" t="str">
        <x:v>L0 定义、边界与证据合同</x:v>
      </x:c>
      <x:c r="F369" s="34" t="str">
        <x:v>接口</x:v>
      </x:c>
      <x:c r="G369" s="34" t="n">
        <x:v>99</x:v>
      </x:c>
      <x:c r="H369" s="34" t="str">
        <x:v>待验证</x:v>
      </x:c>
      <x:c r="I369" s="34" t="str"/>
      <x:c r="J369" s="34" t="str"/>
      <x:c r="K369" s="34" t="str"/>
      <x:c r="L369" s="34" t="str"/>
      <x:c r="M369" s="34" t="str"/>
      <x:c r="N369" s="34" t="n">
        <x:f>IF(A369="","",I369+J369+K369)</x:f>
        <x:v>0</x:v>
      </x:c>
      <x:c r="O369" s="56" t="str">
        <x:f>IF(N369=0,"",(I369+0.5*J369)/N369)</x:f>
      </x:c>
      <x:c r="P369" s="56" t="str">
        <x:f>IF(N369=0,"",(I369+0.5*J369+1)/(N369+2))</x:f>
      </x:c>
      <x:c r="Q369" s="34" t="str"/>
      <x:c r="R369" s="34" t="str"/>
      <x:c r="S369" s="34" t="str"/>
      <x:c r="T369" s="34" t="str"/>
      <x:c r="U369" s="34" t="str"/>
      <x:c r="V369" s="34" t="str">
        <x:f>IF(A369="","",IF(N369&lt;5,"样本不足",IF(Q369&gt;=1,"优先复核",IF(AND(N369&gt;=20,P369&lt;0.35,K369&gt;=5),"停用候选",IF(AND(N369&gt;=10,P369&lt;0.45),"需修改候选",IF(AND(N369&gt;=10,P369&gt;=0.75,R369/N369&lt;=0.15,S369/N369&lt;=0.15),"升级候选",IF(R369/N369&gt;0.3,"收紧条件",IF(S369/N369&gt;0.3,"补漏／放宽","继续观察"))))))))</x:f>
        <x:v>样本不足</x:v>
      </x:c>
      <x:c r="W369" s="34" t="str">
        <x:f>IF(V369="","",IF(V369="升级候选","已验证候选",IF(V369="停用候选","停用候选",IF(OR(V369="需修改候选",V369="收紧条件",V369="补漏／放宽",V369="优先复核"),"需修改／复核","观察中"))))</x:f>
        <x:v>观察中</x:v>
      </x:c>
      <x:c r="X369" s="34" t="str"/>
      <x:c r="Y369" s="34" t="str"/>
    </x:row>
    <x:row r="370">
      <x:c r="A370" s="34" t="str">
        <x:v>M5-GAP-009</x:v>
      </x:c>
      <x:c r="B370" s="34" t="str">
        <x:v>GAP</x:v>
      </x:c>
      <x:c r="C370" s="34" t="str">
        <x:v>P0_安全与硬门槛</x:v>
      </x:c>
      <x:c r="D370" s="34" t="str">
        <x:v>M3只提供个人相处惯性</x:v>
      </x:c>
      <x:c r="E370" s="34" t="str">
        <x:v>L0 定义、边界与证据合同</x:v>
      </x:c>
      <x:c r="F370" s="34" t="str">
        <x:v>接口</x:v>
      </x:c>
      <x:c r="G370" s="34" t="n">
        <x:v>99</x:v>
      </x:c>
      <x:c r="H370" s="34" t="str">
        <x:v>待验证</x:v>
      </x:c>
      <x:c r="I370" s="34" t="str"/>
      <x:c r="J370" s="34" t="str"/>
      <x:c r="K370" s="34" t="str"/>
      <x:c r="L370" s="34" t="str"/>
      <x:c r="M370" s="34" t="str"/>
      <x:c r="N370" s="34" t="n">
        <x:f>IF(A370="","",I370+J370+K370)</x:f>
        <x:v>0</x:v>
      </x:c>
      <x:c r="O370" s="56" t="str">
        <x:f>IF(N370=0,"",(I370+0.5*J370)/N370)</x:f>
      </x:c>
      <x:c r="P370" s="56" t="str">
        <x:f>IF(N370=0,"",(I370+0.5*J370+1)/(N370+2))</x:f>
      </x:c>
      <x:c r="Q370" s="34" t="str"/>
      <x:c r="R370" s="34" t="str"/>
      <x:c r="S370" s="34" t="str"/>
      <x:c r="T370" s="34" t="str"/>
      <x:c r="U370" s="34" t="str"/>
      <x:c r="V370" s="34" t="str">
        <x:f>IF(A370="","",IF(N370&lt;5,"样本不足",IF(Q370&gt;=1,"优先复核",IF(AND(N370&gt;=20,P370&lt;0.35,K370&gt;=5),"停用候选",IF(AND(N370&gt;=10,P370&lt;0.45),"需修改候选",IF(AND(N370&gt;=10,P370&gt;=0.75,R370/N370&lt;=0.15,S370/N370&lt;=0.15),"升级候选",IF(R370/N370&gt;0.3,"收紧条件",IF(S370/N370&gt;0.3,"补漏／放宽","继续观察"))))))))</x:f>
        <x:v>样本不足</x:v>
      </x:c>
      <x:c r="W370" s="34" t="str">
        <x:f>IF(V370="","",IF(V370="升级候选","已验证候选",IF(V370="停用候选","停用候选",IF(OR(V370="需修改候选",V370="收紧条件",V370="补漏／放宽",V370="优先复核"),"需修改／复核","观察中"))))</x:f>
        <x:v>观察中</x:v>
      </x:c>
      <x:c r="X370" s="34" t="str"/>
      <x:c r="Y370" s="34" t="str"/>
    </x:row>
    <x:row r="371">
      <x:c r="A371" s="34" t="str">
        <x:v>M5-PARTNER-004</x:v>
      </x:c>
      <x:c r="B371" s="34" t="str">
        <x:v>PARTNER</x:v>
      </x:c>
      <x:c r="C371" s="34" t="str">
        <x:v>P0_安全与硬门槛</x:v>
      </x:c>
      <x:c r="D371" s="34" t="str">
        <x:v>不使用伴侣命盘代替现实能力</x:v>
      </x:c>
      <x:c r="E371" s="34" t="str">
        <x:v>L0 定义、边界与证据合同</x:v>
      </x:c>
      <x:c r="F371" s="34" t="str">
        <x:v>边界</x:v>
      </x:c>
      <x:c r="G371" s="34" t="n">
        <x:v>99</x:v>
      </x:c>
      <x:c r="H371" s="34" t="str">
        <x:v>待验证</x:v>
      </x:c>
      <x:c r="I371" s="34" t="str"/>
      <x:c r="J371" s="34" t="str"/>
      <x:c r="K371" s="34" t="str"/>
      <x:c r="L371" s="34" t="str"/>
      <x:c r="M371" s="34" t="str"/>
      <x:c r="N371" s="34" t="n">
        <x:f>IF(A371="","",I371+J371+K371)</x:f>
        <x:v>0</x:v>
      </x:c>
      <x:c r="O371" s="56" t="str">
        <x:f>IF(N371=0,"",(I371+0.5*J371)/N371)</x:f>
      </x:c>
      <x:c r="P371" s="56" t="str">
        <x:f>IF(N371=0,"",(I371+0.5*J371+1)/(N371+2))</x:f>
      </x:c>
      <x:c r="Q371" s="34" t="str"/>
      <x:c r="R371" s="34" t="str"/>
      <x:c r="S371" s="34" t="str"/>
      <x:c r="T371" s="34" t="str"/>
      <x:c r="U371" s="34" t="str"/>
      <x:c r="V371" s="34" t="str">
        <x:f>IF(A371="","",IF(N371&lt;5,"样本不足",IF(Q371&gt;=1,"优先复核",IF(AND(N371&gt;=20,P371&lt;0.35,K371&gt;=5),"停用候选",IF(AND(N371&gt;=10,P371&lt;0.45),"需修改候选",IF(AND(N371&gt;=10,P371&gt;=0.75,R371/N371&lt;=0.15,S371/N371&lt;=0.15),"升级候选",IF(R371/N371&gt;0.3,"收紧条件",IF(S371/N371&gt;0.3,"补漏／放宽","继续观察"))))))))</x:f>
        <x:v>样本不足</x:v>
      </x:c>
      <x:c r="W371" s="34" t="str">
        <x:f>IF(V371="","",IF(V371="升级候选","已验证候选",IF(V371="停用候选","停用候选",IF(OR(V371="需修改候选",V371="收紧条件",V371="补漏／放宽",V371="优先复核"),"需修改／复核","观察中"))))</x:f>
        <x:v>观察中</x:v>
      </x:c>
      <x:c r="X371" s="34" t="str"/>
      <x:c r="Y371" s="34" t="str"/>
    </x:row>
    <x:row r="372">
      <x:c r="A372" s="34" t="str">
        <x:v>M5-PARTNER-005</x:v>
      </x:c>
      <x:c r="B372" s="34" t="str">
        <x:v>PARTNER</x:v>
      </x:c>
      <x:c r="C372" s="34" t="str">
        <x:v>P0_安全与硬门槛</x:v>
      </x:c>
      <x:c r="D372" s="34" t="str">
        <x:v>PR0安全底线优先</x:v>
      </x:c>
      <x:c r="E372" s="34" t="str">
        <x:v>L0 定义、边界与证据合同</x:v>
      </x:c>
      <x:c r="F372" s="34" t="str">
        <x:v>安全</x:v>
      </x:c>
      <x:c r="G372" s="34" t="n">
        <x:v>99</x:v>
      </x:c>
      <x:c r="H372" s="34" t="str">
        <x:v>待验证</x:v>
      </x:c>
      <x:c r="I372" s="34" t="str"/>
      <x:c r="J372" s="34" t="str"/>
      <x:c r="K372" s="34" t="str"/>
      <x:c r="L372" s="34" t="str"/>
      <x:c r="M372" s="34" t="str"/>
      <x:c r="N372" s="34" t="n">
        <x:f>IF(A372="","",I372+J372+K372)</x:f>
        <x:v>0</x:v>
      </x:c>
      <x:c r="O372" s="56" t="str">
        <x:f>IF(N372=0,"",(I372+0.5*J372)/N372)</x:f>
      </x:c>
      <x:c r="P372" s="56" t="str">
        <x:f>IF(N372=0,"",(I372+0.5*J372+1)/(N372+2))</x:f>
      </x:c>
      <x:c r="Q372" s="34" t="str"/>
      <x:c r="R372" s="34" t="str"/>
      <x:c r="S372" s="34" t="str"/>
      <x:c r="T372" s="34" t="str"/>
      <x:c r="U372" s="34" t="str"/>
      <x:c r="V372" s="34" t="str">
        <x:f>IF(A372="","",IF(N372&lt;5,"样本不足",IF(Q372&gt;=1,"优先复核",IF(AND(N372&gt;=20,P372&lt;0.35,K372&gt;=5),"停用候选",IF(AND(N372&gt;=10,P372&lt;0.45),"需修改候选",IF(AND(N372&gt;=10,P372&gt;=0.75,R372/N372&lt;=0.15,S372/N372&lt;=0.15),"升级候选",IF(R372/N372&gt;0.3,"收紧条件",IF(S372/N372&gt;0.3,"补漏／放宽","继续观察"))))))))</x:f>
        <x:v>样本不足</x:v>
      </x:c>
      <x:c r="W372" s="34" t="str">
        <x:f>IF(V372="","",IF(V372="升级候选","已验证候选",IF(V372="停用候选","停用候选",IF(OR(V372="需修改候选",V372="收紧条件",V372="补漏／放宽",V372="优先复核"),"需修改／复核","观察中"))))</x:f>
        <x:v>观察中</x:v>
      </x:c>
      <x:c r="X372" s="34" t="str"/>
      <x:c r="Y372" s="34" t="str"/>
    </x:row>
    <x:row r="373">
      <x:c r="A373" s="34" t="str">
        <x:v>M5-PARTNER-006</x:v>
      </x:c>
      <x:c r="B373" s="34" t="str">
        <x:v>PARTNER</x:v>
      </x:c>
      <x:c r="C373" s="34" t="str">
        <x:v>P0_安全与硬门槛</x:v>
      </x:c>
      <x:c r="D373" s="34" t="str">
        <x:v>M1心动只作为观察偏差提醒</x:v>
      </x:c>
      <x:c r="E373" s="34" t="str">
        <x:v>L0 定义、边界与证据合同</x:v>
      </x:c>
      <x:c r="F373" s="34" t="str">
        <x:v>接口</x:v>
      </x:c>
      <x:c r="G373" s="34" t="n">
        <x:v>99</x:v>
      </x:c>
      <x:c r="H373" s="34" t="str">
        <x:v>待验证</x:v>
      </x:c>
      <x:c r="I373" s="34" t="str"/>
      <x:c r="J373" s="34" t="str"/>
      <x:c r="K373" s="34" t="str"/>
      <x:c r="L373" s="34" t="str"/>
      <x:c r="M373" s="34" t="str"/>
      <x:c r="N373" s="34" t="n">
        <x:f>IF(A373="","",I373+J373+K373)</x:f>
        <x:v>0</x:v>
      </x:c>
      <x:c r="O373" s="56" t="str">
        <x:f>IF(N373=0,"",(I373+0.5*J373)/N373)</x:f>
      </x:c>
      <x:c r="P373" s="56" t="str">
        <x:f>IF(N373=0,"",(I373+0.5*J373+1)/(N373+2))</x:f>
      </x:c>
      <x:c r="Q373" s="34" t="str"/>
      <x:c r="R373" s="34" t="str"/>
      <x:c r="S373" s="34" t="str"/>
      <x:c r="T373" s="34" t="str"/>
      <x:c r="U373" s="34" t="str"/>
      <x:c r="V373" s="34" t="str">
        <x:f>IF(A373="","",IF(N373&lt;5,"样本不足",IF(Q373&gt;=1,"优先复核",IF(AND(N373&gt;=20,P373&lt;0.35,K373&gt;=5),"停用候选",IF(AND(N373&gt;=10,P373&lt;0.45),"需修改候选",IF(AND(N373&gt;=10,P373&gt;=0.75,R373/N373&lt;=0.15,S373/N373&lt;=0.15),"升级候选",IF(R373/N373&gt;0.3,"收紧条件",IF(S373/N373&gt;0.3,"补漏／放宽","继续观察"))))))))</x:f>
        <x:v>样本不足</x:v>
      </x:c>
      <x:c r="W373" s="34" t="str">
        <x:f>IF(V373="","",IF(V373="升级候选","已验证候选",IF(V373="停用候选","停用候选",IF(OR(V373="需修改候选",V373="收紧条件",V373="补漏／放宽",V373="优先复核"),"需修改／复核","观察中"))))</x:f>
        <x:v>观察中</x:v>
      </x:c>
      <x:c r="X373" s="34" t="str"/>
      <x:c r="Y373" s="34" t="str"/>
    </x:row>
    <x:row r="374">
      <x:c r="A374" s="34" t="str">
        <x:v>M5-PARTNER-007</x:v>
      </x:c>
      <x:c r="B374" s="34" t="str">
        <x:v>PARTNER</x:v>
      </x:c>
      <x:c r="C374" s="34" t="str">
        <x:v>P0_安全与硬门槛</x:v>
      </x:c>
      <x:c r="D374" s="34" t="str">
        <x:v>M2准入只作为起点</x:v>
      </x:c>
      <x:c r="E374" s="34" t="str">
        <x:v>L0 定义、边界与证据合同</x:v>
      </x:c>
      <x:c r="F374" s="34" t="str">
        <x:v>接口</x:v>
      </x:c>
      <x:c r="G374" s="34" t="n">
        <x:v>99</x:v>
      </x:c>
      <x:c r="H374" s="34" t="str">
        <x:v>待验证</x:v>
      </x:c>
      <x:c r="I374" s="34" t="str"/>
      <x:c r="J374" s="34" t="str"/>
      <x:c r="K374" s="34" t="str"/>
      <x:c r="L374" s="34" t="str"/>
      <x:c r="M374" s="34" t="str"/>
      <x:c r="N374" s="34" t="n">
        <x:f>IF(A374="","",I374+J374+K374)</x:f>
        <x:v>0</x:v>
      </x:c>
      <x:c r="O374" s="56" t="str">
        <x:f>IF(N374=0,"",(I374+0.5*J374)/N374)</x:f>
      </x:c>
      <x:c r="P374" s="56" t="str">
        <x:f>IF(N374=0,"",(I374+0.5*J374+1)/(N374+2))</x:f>
      </x:c>
      <x:c r="Q374" s="34" t="str"/>
      <x:c r="R374" s="34" t="str"/>
      <x:c r="S374" s="34" t="str"/>
      <x:c r="T374" s="34" t="str"/>
      <x:c r="U374" s="34" t="str"/>
      <x:c r="V374" s="34" t="str">
        <x:f>IF(A374="","",IF(N374&lt;5,"样本不足",IF(Q374&gt;=1,"优先复核",IF(AND(N374&gt;=20,P374&lt;0.35,K374&gt;=5),"停用候选",IF(AND(N374&gt;=10,P374&lt;0.45),"需修改候选",IF(AND(N374&gt;=10,P374&gt;=0.75,R374/N374&lt;=0.15,S374/N374&lt;=0.15),"升级候选",IF(R374/N374&gt;0.3,"收紧条件",IF(S374/N374&gt;0.3,"补漏／放宽","继续观察"))))))))</x:f>
        <x:v>样本不足</x:v>
      </x:c>
      <x:c r="W374" s="34" t="str">
        <x:f>IF(V374="","",IF(V374="升级候选","已验证候选",IF(V374="停用候选","停用候选",IF(OR(V374="需修改候选",V374="收紧条件",V374="补漏／放宽",V374="优先复核"),"需修改／复核","观察中"))))</x:f>
        <x:v>观察中</x:v>
      </x:c>
      <x:c r="X374" s="34" t="str"/>
      <x:c r="Y374" s="34" t="str"/>
    </x:row>
    <x:row r="375">
      <x:c r="A375" s="34" t="str">
        <x:v>M5-REPAIR-005</x:v>
      </x:c>
      <x:c r="B375" s="34" t="str">
        <x:v>REPAIR</x:v>
      </x:c>
      <x:c r="C375" s="34" t="str">
        <x:v>P0_安全与硬门槛</x:v>
      </x:c>
      <x:c r="D375" s="34" t="str">
        <x:v>安全高于沟通和关系恢复</x:v>
      </x:c>
      <x:c r="E375" s="34" t="str">
        <x:v>L0 定义、边界与证据合同</x:v>
      </x:c>
      <x:c r="F375" s="34" t="str">
        <x:v>安全</x:v>
      </x:c>
      <x:c r="G375" s="34" t="n">
        <x:v>99</x:v>
      </x:c>
      <x:c r="H375" s="34" t="str">
        <x:v>待验证</x:v>
      </x:c>
      <x:c r="I375" s="34" t="str"/>
      <x:c r="J375" s="34" t="str"/>
      <x:c r="K375" s="34" t="str"/>
      <x:c r="L375" s="34" t="str"/>
      <x:c r="M375" s="34" t="str"/>
      <x:c r="N375" s="34" t="n">
        <x:f>IF(A375="","",I375+J375+K375)</x:f>
        <x:v>0</x:v>
      </x:c>
      <x:c r="O375" s="56" t="str">
        <x:f>IF(N375=0,"",(I375+0.5*J375)/N375)</x:f>
      </x:c>
      <x:c r="P375" s="56" t="str">
        <x:f>IF(N375=0,"",(I375+0.5*J375+1)/(N375+2))</x:f>
      </x:c>
      <x:c r="Q375" s="34" t="str"/>
      <x:c r="R375" s="34" t="str"/>
      <x:c r="S375" s="34" t="str"/>
      <x:c r="T375" s="34" t="str"/>
      <x:c r="U375" s="34" t="str"/>
      <x:c r="V375" s="34" t="str">
        <x:f>IF(A375="","",IF(N375&lt;5,"样本不足",IF(Q375&gt;=1,"优先复核",IF(AND(N375&gt;=20,P375&lt;0.35,K375&gt;=5),"停用候选",IF(AND(N375&gt;=10,P375&lt;0.45),"需修改候选",IF(AND(N375&gt;=10,P375&gt;=0.75,R375/N375&lt;=0.15,S375/N375&lt;=0.15),"升级候选",IF(R375/N375&gt;0.3,"收紧条件",IF(S375/N375&gt;0.3,"补漏／放宽","继续观察"))))))))</x:f>
        <x:v>样本不足</x:v>
      </x:c>
      <x:c r="W375" s="34" t="str">
        <x:f>IF(V375="","",IF(V375="升级候选","已验证候选",IF(V375="停用候选","停用候选",IF(OR(V375="需修改候选",V375="收紧条件",V375="补漏／放宽",V375="优先复核"),"需修改／复核","观察中"))))</x:f>
        <x:v>观察中</x:v>
      </x:c>
      <x:c r="X375" s="34" t="str"/>
      <x:c r="Y375" s="34" t="str"/>
    </x:row>
    <x:row r="376">
      <x:c r="A376" s="34" t="str">
        <x:v>M5-REPAIR-006</x:v>
      </x:c>
      <x:c r="B376" s="34" t="str">
        <x:v>REPAIR</x:v>
      </x:c>
      <x:c r="C376" s="34" t="str">
        <x:v>P0_安全与硬门槛</x:v>
      </x:c>
      <x:c r="D376" s="34" t="str">
        <x:v>接收方反馈是双向闭环硬门槛</x:v>
      </x:c>
      <x:c r="E376" s="34" t="str">
        <x:v>L0 定义、边界与证据合同</x:v>
      </x:c>
      <x:c r="F376" s="34" t="str">
        <x:v>边界</x:v>
      </x:c>
      <x:c r="G376" s="34" t="n">
        <x:v>99</x:v>
      </x:c>
      <x:c r="H376" s="34" t="str">
        <x:v>待验证</x:v>
      </x:c>
      <x:c r="I376" s="34" t="str"/>
      <x:c r="J376" s="34" t="str"/>
      <x:c r="K376" s="34" t="str"/>
      <x:c r="L376" s="34" t="str"/>
      <x:c r="M376" s="34" t="str"/>
      <x:c r="N376" s="34" t="n">
        <x:f>IF(A376="","",I376+J376+K376)</x:f>
        <x:v>0</x:v>
      </x:c>
      <x:c r="O376" s="56" t="str">
        <x:f>IF(N376=0,"",(I376+0.5*J376)/N376)</x:f>
      </x:c>
      <x:c r="P376" s="56" t="str">
        <x:f>IF(N376=0,"",(I376+0.5*J376+1)/(N376+2))</x:f>
      </x:c>
      <x:c r="Q376" s="34" t="str"/>
      <x:c r="R376" s="34" t="str"/>
      <x:c r="S376" s="34" t="str"/>
      <x:c r="T376" s="34" t="str"/>
      <x:c r="U376" s="34" t="str"/>
      <x:c r="V376" s="34" t="str">
        <x:f>IF(A376="","",IF(N376&lt;5,"样本不足",IF(Q376&gt;=1,"优先复核",IF(AND(N376&gt;=20,P376&lt;0.35,K376&gt;=5),"停用候选",IF(AND(N376&gt;=10,P376&lt;0.45),"需修改候选",IF(AND(N376&gt;=10,P376&gt;=0.75,R376/N376&lt;=0.15,S376/N376&lt;=0.15),"升级候选",IF(R376/N376&gt;0.3,"收紧条件",IF(S376/N376&gt;0.3,"补漏／放宽","继续观察"))))))))</x:f>
        <x:v>样本不足</x:v>
      </x:c>
      <x:c r="W376" s="34" t="str">
        <x:f>IF(V376="","",IF(V376="升级候选","已验证候选",IF(V376="停用候选","停用候选",IF(OR(V376="需修改候选",V376="收紧条件",V376="补漏／放宽",V376="优先复核"),"需修改／复核","观察中"))))</x:f>
        <x:v>观察中</x:v>
      </x:c>
      <x:c r="X376" s="34" t="str"/>
      <x:c r="Y376" s="34" t="str"/>
    </x:row>
    <x:row r="377">
      <x:c r="A377" s="34" t="str">
        <x:v>M5-REPAIR-007</x:v>
      </x:c>
      <x:c r="B377" s="34" t="str">
        <x:v>REPAIR</x:v>
      </x:c>
      <x:c r="C377" s="34" t="str">
        <x:v>P0_安全与硬门槛</x:v>
      </x:c>
      <x:c r="D377" s="34" t="str">
        <x:v>持续兑现是稳定改变硬门槛</x:v>
      </x:c>
      <x:c r="E377" s="34" t="str">
        <x:v>L0 定义、边界与证据合同</x:v>
      </x:c>
      <x:c r="F377" s="34" t="str">
        <x:v>边界</x:v>
      </x:c>
      <x:c r="G377" s="34" t="n">
        <x:v>99</x:v>
      </x:c>
      <x:c r="H377" s="34" t="str">
        <x:v>待验证</x:v>
      </x:c>
      <x:c r="I377" s="34" t="str"/>
      <x:c r="J377" s="34" t="str"/>
      <x:c r="K377" s="34" t="str"/>
      <x:c r="L377" s="34" t="str"/>
      <x:c r="M377" s="34" t="str"/>
      <x:c r="N377" s="34" t="n">
        <x:f>IF(A377="","",I377+J377+K377)</x:f>
        <x:v>0</x:v>
      </x:c>
      <x:c r="O377" s="56" t="str">
        <x:f>IF(N377=0,"",(I377+0.5*J377)/N377)</x:f>
      </x:c>
      <x:c r="P377" s="56" t="str">
        <x:f>IF(N377=0,"",(I377+0.5*J377+1)/(N377+2))</x:f>
      </x:c>
      <x:c r="Q377" s="34" t="str"/>
      <x:c r="R377" s="34" t="str"/>
      <x:c r="S377" s="34" t="str"/>
      <x:c r="T377" s="34" t="str"/>
      <x:c r="U377" s="34" t="str"/>
      <x:c r="V377" s="34" t="str">
        <x:f>IF(A377="","",IF(N377&lt;5,"样本不足",IF(Q377&gt;=1,"优先复核",IF(AND(N377&gt;=20,P377&lt;0.35,K377&gt;=5),"停用候选",IF(AND(N377&gt;=10,P377&lt;0.45),"需修改候选",IF(AND(N377&gt;=10,P377&gt;=0.75,R377/N377&lt;=0.15,S377/N377&lt;=0.15),"升级候选",IF(R377/N377&gt;0.3,"收紧条件",IF(S377/N377&gt;0.3,"补漏／放宽","继续观察"))))))))</x:f>
        <x:v>样本不足</x:v>
      </x:c>
      <x:c r="W377" s="34" t="str">
        <x:f>IF(V377="","",IF(V377="升级候选","已验证候选",IF(V377="停用候选","停用候选",IF(OR(V377="需修改候选",V377="收紧条件",V377="补漏／放宽",V377="优先复核"),"需修改／复核","观察中"))))</x:f>
        <x:v>观察中</x:v>
      </x:c>
      <x:c r="X377" s="34" t="str"/>
      <x:c r="Y377" s="34" t="str"/>
    </x:row>
    <x:row r="378">
      <x:c r="A378" s="34" t="str">
        <x:v>M5-REPAIR-008</x:v>
      </x:c>
      <x:c r="B378" s="34" t="str">
        <x:v>REPAIR</x:v>
      </x:c>
      <x:c r="C378" s="34" t="str">
        <x:v>P0_安全与硬门槛</x:v>
      </x:c>
      <x:c r="D378" s="34" t="str">
        <x:v>M3-CONFLICT描述个人反应｜M5组织双人协议</x:v>
      </x:c>
      <x:c r="E378" s="34" t="str">
        <x:v>L0 定义、边界与证据合同</x:v>
      </x:c>
      <x:c r="F378" s="34" t="str">
        <x:v>接口</x:v>
      </x:c>
      <x:c r="G378" s="34" t="n">
        <x:v>99</x:v>
      </x:c>
      <x:c r="H378" s="34" t="str">
        <x:v>待验证</x:v>
      </x:c>
      <x:c r="I378" s="34" t="str"/>
      <x:c r="J378" s="34" t="str"/>
      <x:c r="K378" s="34" t="str"/>
      <x:c r="L378" s="34" t="str"/>
      <x:c r="M378" s="34" t="str"/>
      <x:c r="N378" s="34" t="n">
        <x:f>IF(A378="","",I378+J378+K378)</x:f>
        <x:v>0</x:v>
      </x:c>
      <x:c r="O378" s="56" t="str">
        <x:f>IF(N378=0,"",(I378+0.5*J378)/N378)</x:f>
      </x:c>
      <x:c r="P378" s="56" t="str">
        <x:f>IF(N378=0,"",(I378+0.5*J378+1)/(N378+2))</x:f>
      </x:c>
      <x:c r="Q378" s="34" t="str"/>
      <x:c r="R378" s="34" t="str"/>
      <x:c r="S378" s="34" t="str"/>
      <x:c r="T378" s="34" t="str"/>
      <x:c r="U378" s="34" t="str"/>
      <x:c r="V378" s="34" t="str">
        <x:f>IF(A378="","",IF(N378&lt;5,"样本不足",IF(Q378&gt;=1,"优先复核",IF(AND(N378&gt;=20,P378&lt;0.35,K378&gt;=5),"停用候选",IF(AND(N378&gt;=10,P378&lt;0.45),"需修改候选",IF(AND(N378&gt;=10,P378&gt;=0.75,R378/N378&lt;=0.15,S378/N378&lt;=0.15),"升级候选",IF(R378/N378&gt;0.3,"收紧条件",IF(S378/N378&gt;0.3,"补漏／放宽","继续观察"))))))))</x:f>
        <x:v>样本不足</x:v>
      </x:c>
      <x:c r="W378" s="34" t="str">
        <x:f>IF(V378="","",IF(V378="升级候选","已验证候选",IF(V378="停用候选","停用候选",IF(OR(V378="需修改候选",V378="收紧条件",V378="补漏／放宽",V378="优先复核"),"需修改／复核","观察中"))))</x:f>
        <x:v>观察中</x:v>
      </x:c>
      <x:c r="X378" s="34" t="str"/>
      <x:c r="Y378" s="34" t="str"/>
    </x:row>
    <x:row r="379">
      <x:c r="A379" s="34" t="str">
        <x:v>M5-REPAIR-009</x:v>
      </x:c>
      <x:c r="B379" s="34" t="str">
        <x:v>REPAIR</x:v>
      </x:c>
      <x:c r="C379" s="34" t="str">
        <x:v>P0_安全与硬门槛</x:v>
      </x:c>
      <x:c r="D379" s="34" t="str">
        <x:v>M3-REPAIR与STATE未完成｜本版保持暂定</x:v>
      </x:c>
      <x:c r="E379" s="34" t="str">
        <x:v>L0 定义、边界与证据合同</x:v>
      </x:c>
      <x:c r="F379" s="34" t="str">
        <x:v>依赖</x:v>
      </x:c>
      <x:c r="G379" s="34" t="n">
        <x:v>99</x:v>
      </x:c>
      <x:c r="H379" s="34" t="str">
        <x:v>待验证</x:v>
      </x:c>
      <x:c r="I379" s="34" t="str"/>
      <x:c r="J379" s="34" t="str"/>
      <x:c r="K379" s="34" t="str"/>
      <x:c r="L379" s="34" t="str"/>
      <x:c r="M379" s="34" t="str"/>
      <x:c r="N379" s="34" t="n">
        <x:f>IF(A379="","",I379+J379+K379)</x:f>
        <x:v>0</x:v>
      </x:c>
      <x:c r="O379" s="56" t="str">
        <x:f>IF(N379=0,"",(I379+0.5*J379)/N379)</x:f>
      </x:c>
      <x:c r="P379" s="56" t="str">
        <x:f>IF(N379=0,"",(I379+0.5*J379+1)/(N379+2))</x:f>
      </x:c>
      <x:c r="Q379" s="34" t="str"/>
      <x:c r="R379" s="34" t="str"/>
      <x:c r="S379" s="34" t="str"/>
      <x:c r="T379" s="34" t="str"/>
      <x:c r="U379" s="34" t="str"/>
      <x:c r="V379" s="34" t="str">
        <x:f>IF(A379="","",IF(N379&lt;5,"样本不足",IF(Q379&gt;=1,"优先复核",IF(AND(N379&gt;=20,P379&lt;0.35,K379&gt;=5),"停用候选",IF(AND(N379&gt;=10,P379&lt;0.45),"需修改候选",IF(AND(N379&gt;=10,P379&gt;=0.75,R379/N379&lt;=0.15,S379/N379&lt;=0.15),"升级候选",IF(R379/N379&gt;0.3,"收紧条件",IF(S379/N379&gt;0.3,"补漏／放宽","继续观察"))))))))</x:f>
        <x:v>样本不足</x:v>
      </x:c>
      <x:c r="W379" s="34" t="str">
        <x:f>IF(V379="","",IF(V379="升级候选","已验证候选",IF(V379="停用候选","停用候选",IF(OR(V379="需修改候选",V379="收紧条件",V379="补漏／放宽",V379="优先复核"),"需修改／复核","观察中"))))</x:f>
        <x:v>观察中</x:v>
      </x:c>
      <x:c r="X379" s="34" t="str"/>
      <x:c r="Y379" s="34" t="str"/>
    </x:row>
    <x:row r="380">
      <x:c r="A380" s="34" t="str">
        <x:v>M5-RHYTHM-005</x:v>
      </x:c>
      <x:c r="B380" s="34" t="str">
        <x:v>RHYTHM</x:v>
      </x:c>
      <x:c r="C380" s="34" t="str">
        <x:v>P0_安全与硬门槛</x:v>
      </x:c>
      <x:c r="D380" s="34" t="str">
        <x:v>低频联系不等于不爱或不投入</x:v>
      </x:c>
      <x:c r="E380" s="34" t="str">
        <x:v>L0 定义、边界与证据合同</x:v>
      </x:c>
      <x:c r="F380" s="34" t="str">
        <x:v>边界</x:v>
      </x:c>
      <x:c r="G380" s="34" t="n">
        <x:v>99</x:v>
      </x:c>
      <x:c r="H380" s="34" t="str">
        <x:v>待验证</x:v>
      </x:c>
      <x:c r="I380" s="34" t="str"/>
      <x:c r="J380" s="34" t="str"/>
      <x:c r="K380" s="34" t="str"/>
      <x:c r="L380" s="34" t="str"/>
      <x:c r="M380" s="34" t="str"/>
      <x:c r="N380" s="34" t="n">
        <x:f>IF(A380="","",I380+J380+K380)</x:f>
        <x:v>0</x:v>
      </x:c>
      <x:c r="O380" s="56" t="str">
        <x:f>IF(N380=0,"",(I380+0.5*J380)/N380)</x:f>
      </x:c>
      <x:c r="P380" s="56" t="str">
        <x:f>IF(N380=0,"",(I380+0.5*J380+1)/(N380+2))</x:f>
      </x:c>
      <x:c r="Q380" s="34" t="str"/>
      <x:c r="R380" s="34" t="str"/>
      <x:c r="S380" s="34" t="str"/>
      <x:c r="T380" s="34" t="str"/>
      <x:c r="U380" s="34" t="str"/>
      <x:c r="V380" s="34" t="str">
        <x:f>IF(A380="","",IF(N380&lt;5,"样本不足",IF(Q380&gt;=1,"优先复核",IF(AND(N380&gt;=20,P380&lt;0.35,K380&gt;=5),"停用候选",IF(AND(N380&gt;=10,P380&lt;0.45),"需修改候选",IF(AND(N380&gt;=10,P380&gt;=0.75,R380/N380&lt;=0.15,S380/N380&lt;=0.15),"升级候选",IF(R380/N380&gt;0.3,"收紧条件",IF(S380/N380&gt;0.3,"补漏／放宽","继续观察"))))))))</x:f>
        <x:v>样本不足</x:v>
      </x:c>
      <x:c r="W380" s="34" t="str">
        <x:f>IF(V380="","",IF(V380="升级候选","已验证候选",IF(V380="停用候选","停用候选",IF(OR(V380="需修改候选",V380="收紧条件",V380="补漏／放宽",V380="优先复核"),"需修改／复核","观察中"))))</x:f>
        <x:v>观察中</x:v>
      </x:c>
      <x:c r="X380" s="34" t="str"/>
      <x:c r="Y380" s="34" t="str"/>
    </x:row>
    <x:row r="381">
      <x:c r="A381" s="34" t="str">
        <x:v>M5-RHYTHM-006</x:v>
      </x:c>
      <x:c r="B381" s="34" t="str">
        <x:v>RHYTHM</x:v>
      </x:c>
      <x:c r="C381" s="34" t="str">
        <x:v>P0_安全与硬门槛</x:v>
      </x:c>
      <x:c r="D381" s="34" t="str">
        <x:v>共同时间不等于亲密质量</x:v>
      </x:c>
      <x:c r="E381" s="34" t="str">
        <x:v>L0 定义、边界与证据合同</x:v>
      </x:c>
      <x:c r="F381" s="34" t="str">
        <x:v>边界</x:v>
      </x:c>
      <x:c r="G381" s="34" t="n">
        <x:v>99</x:v>
      </x:c>
      <x:c r="H381" s="34" t="str">
        <x:v>待验证</x:v>
      </x:c>
      <x:c r="I381" s="34" t="str"/>
      <x:c r="J381" s="34" t="str"/>
      <x:c r="K381" s="34" t="str"/>
      <x:c r="L381" s="34" t="str"/>
      <x:c r="M381" s="34" t="str"/>
      <x:c r="N381" s="34" t="n">
        <x:f>IF(A381="","",I381+J381+K381)</x:f>
        <x:v>0</x:v>
      </x:c>
      <x:c r="O381" s="56" t="str">
        <x:f>IF(N381=0,"",(I381+0.5*J381)/N381)</x:f>
      </x:c>
      <x:c r="P381" s="56" t="str">
        <x:f>IF(N381=0,"",(I381+0.5*J381+1)/(N381+2))</x:f>
      </x:c>
      <x:c r="Q381" s="34" t="str"/>
      <x:c r="R381" s="34" t="str"/>
      <x:c r="S381" s="34" t="str"/>
      <x:c r="T381" s="34" t="str"/>
      <x:c r="U381" s="34" t="str"/>
      <x:c r="V381" s="34" t="str">
        <x:f>IF(A381="","",IF(N381&lt;5,"样本不足",IF(Q381&gt;=1,"优先复核",IF(AND(N381&gt;=20,P381&lt;0.35,K381&gt;=5),"停用候选",IF(AND(N381&gt;=10,P381&lt;0.45),"需修改候选",IF(AND(N381&gt;=10,P381&gt;=0.75,R381/N381&lt;=0.15,S381/N381&lt;=0.15),"升级候选",IF(R381/N381&gt;0.3,"收紧条件",IF(S381/N381&gt;0.3,"补漏／放宽","继续观察"))))))))</x:f>
        <x:v>样本不足</x:v>
      </x:c>
      <x:c r="W381" s="34" t="str">
        <x:f>IF(V381="","",IF(V381="升级候选","已验证候选",IF(V381="停用候选","停用候选",IF(OR(V381="需修改候选",V381="收紧条件",V381="补漏／放宽",V381="优先复核"),"需修改／复核","观察中"))))</x:f>
        <x:v>观察中</x:v>
      </x:c>
      <x:c r="X381" s="34" t="str"/>
      <x:c r="Y381" s="34" t="str"/>
    </x:row>
    <x:row r="382">
      <x:c r="A382" s="34" t="str">
        <x:v>M5-RHYTHM-007</x:v>
      </x:c>
      <x:c r="B382" s="34" t="str">
        <x:v>RHYTHM</x:v>
      </x:c>
      <x:c r="C382" s="34" t="str">
        <x:v>P0_安全与硬门槛</x:v>
      </x:c>
      <x:c r="D382" s="34" t="str">
        <x:v>节奏必须建立在双方同意上</x:v>
      </x:c>
      <x:c r="E382" s="34" t="str">
        <x:v>L0 定义、边界与证据合同</x:v>
      </x:c>
      <x:c r="F382" s="34" t="str">
        <x:v>安全</x:v>
      </x:c>
      <x:c r="G382" s="34" t="n">
        <x:v>99</x:v>
      </x:c>
      <x:c r="H382" s="34" t="str">
        <x:v>待验证</x:v>
      </x:c>
      <x:c r="I382" s="34" t="str"/>
      <x:c r="J382" s="34" t="str"/>
      <x:c r="K382" s="34" t="str"/>
      <x:c r="L382" s="34" t="str"/>
      <x:c r="M382" s="34" t="str"/>
      <x:c r="N382" s="34" t="n">
        <x:f>IF(A382="","",I382+J382+K382)</x:f>
        <x:v>0</x:v>
      </x:c>
      <x:c r="O382" s="56" t="str">
        <x:f>IF(N382=0,"",(I382+0.5*J382)/N382)</x:f>
      </x:c>
      <x:c r="P382" s="56" t="str">
        <x:f>IF(N382=0,"",(I382+0.5*J382+1)/(N382+2))</x:f>
      </x:c>
      <x:c r="Q382" s="34" t="str"/>
      <x:c r="R382" s="34" t="str"/>
      <x:c r="S382" s="34" t="str"/>
      <x:c r="T382" s="34" t="str"/>
      <x:c r="U382" s="34" t="str"/>
      <x:c r="V382" s="34" t="str">
        <x:f>IF(A382="","",IF(N382&lt;5,"样本不足",IF(Q382&gt;=1,"优先复核",IF(AND(N382&gt;=20,P382&lt;0.35,K382&gt;=5),"停用候选",IF(AND(N382&gt;=10,P382&lt;0.45),"需修改候选",IF(AND(N382&gt;=10,P382&gt;=0.75,R382/N382&lt;=0.15,S382/N382&lt;=0.15),"升级候选",IF(R382/N382&gt;0.3,"收紧条件",IF(S382/N382&gt;0.3,"补漏／放宽","继续观察"))))))))</x:f>
        <x:v>样本不足</x:v>
      </x:c>
      <x:c r="W382" s="34" t="str">
        <x:f>IF(V382="","",IF(V382="升级候选","已验证候选",IF(V382="停用候选","停用候选",IF(OR(V382="需修改候选",V382="收紧条件",V382="补漏／放宽",V382="优先复核"),"需修改／复核","观察中"))))</x:f>
        <x:v>观察中</x:v>
      </x:c>
      <x:c r="X382" s="34" t="str"/>
      <x:c r="Y382" s="34" t="str"/>
    </x:row>
    <x:row r="383">
      <x:c r="A383" s="34" t="str">
        <x:v>M5-RHYTHM-008</x:v>
      </x:c>
      <x:c r="B383" s="34" t="str">
        <x:v>RHYTHM</x:v>
      </x:c>
      <x:c r="C383" s="34" t="str">
        <x:v>P0_安全与硬门槛</x:v>
      </x:c>
      <x:c r="D383" s="34" t="str">
        <x:v>生活容量高于理想频率</x:v>
      </x:c>
      <x:c r="E383" s="34" t="str">
        <x:v>L0 定义、边界与证据合同</x:v>
      </x:c>
      <x:c r="F383" s="34" t="str">
        <x:v>边界</x:v>
      </x:c>
      <x:c r="G383" s="34" t="n">
        <x:v>99</x:v>
      </x:c>
      <x:c r="H383" s="34" t="str">
        <x:v>待验证</x:v>
      </x:c>
      <x:c r="I383" s="34" t="str"/>
      <x:c r="J383" s="34" t="str"/>
      <x:c r="K383" s="34" t="str"/>
      <x:c r="L383" s="34" t="str"/>
      <x:c r="M383" s="34" t="str"/>
      <x:c r="N383" s="34" t="n">
        <x:f>IF(A383="","",I383+J383+K383)</x:f>
        <x:v>0</x:v>
      </x:c>
      <x:c r="O383" s="56" t="str">
        <x:f>IF(N383=0,"",(I383+0.5*J383)/N383)</x:f>
      </x:c>
      <x:c r="P383" s="56" t="str">
        <x:f>IF(N383=0,"",(I383+0.5*J383+1)/(N383+2))</x:f>
      </x:c>
      <x:c r="Q383" s="34" t="str"/>
      <x:c r="R383" s="34" t="str"/>
      <x:c r="S383" s="34" t="str"/>
      <x:c r="T383" s="34" t="str"/>
      <x:c r="U383" s="34" t="str"/>
      <x:c r="V383" s="34" t="str">
        <x:f>IF(A383="","",IF(N383&lt;5,"样本不足",IF(Q383&gt;=1,"优先复核",IF(AND(N383&gt;=20,P383&lt;0.35,K383&gt;=5),"停用候选",IF(AND(N383&gt;=10,P383&lt;0.45),"需修改候选",IF(AND(N383&gt;=10,P383&gt;=0.75,R383/N383&lt;=0.15,S383/N383&lt;=0.15),"升级候选",IF(R383/N383&gt;0.3,"收紧条件",IF(S383/N383&gt;0.3,"补漏／放宽","继续观察"))))))))</x:f>
        <x:v>样本不足</x:v>
      </x:c>
      <x:c r="W383" s="34" t="str">
        <x:f>IF(V383="","",IF(V383="升级候选","已验证候选",IF(V383="停用候选","停用候选",IF(OR(V383="需修改候选",V383="收紧条件",V383="补漏／放宽",V383="优先复核"),"需修改／复核","观察中"))))</x:f>
        <x:v>观察中</x:v>
      </x:c>
      <x:c r="X383" s="34" t="str"/>
      <x:c r="Y383" s="34" t="str"/>
    </x:row>
    <x:row r="384">
      <x:c r="A384" s="34" t="str">
        <x:v>M5-RHYTHM-009</x:v>
      </x:c>
      <x:c r="B384" s="34" t="str">
        <x:v>RHYTHM</x:v>
      </x:c>
      <x:c r="C384" s="34" t="str">
        <x:v>P0_安全与硬门槛</x:v>
      </x:c>
      <x:c r="D384" s="34" t="str">
        <x:v>阶段性节奏不等于永久模式</x:v>
      </x:c>
      <x:c r="E384" s="34" t="str">
        <x:v>L0 定义、边界与证据合同</x:v>
      </x:c>
      <x:c r="F384" s="34" t="str">
        <x:v>边界</x:v>
      </x:c>
      <x:c r="G384" s="34" t="n">
        <x:v>99</x:v>
      </x:c>
      <x:c r="H384" s="34" t="str">
        <x:v>待验证</x:v>
      </x:c>
      <x:c r="I384" s="34" t="str"/>
      <x:c r="J384" s="34" t="str"/>
      <x:c r="K384" s="34" t="str"/>
      <x:c r="L384" s="34" t="str"/>
      <x:c r="M384" s="34" t="str"/>
      <x:c r="N384" s="34" t="n">
        <x:f>IF(A384="","",I384+J384+K384)</x:f>
        <x:v>0</x:v>
      </x:c>
      <x:c r="O384" s="56" t="str">
        <x:f>IF(N384=0,"",(I384+0.5*J384)/N384)</x:f>
      </x:c>
      <x:c r="P384" s="56" t="str">
        <x:f>IF(N384=0,"",(I384+0.5*J384+1)/(N384+2))</x:f>
      </x:c>
      <x:c r="Q384" s="34" t="str"/>
      <x:c r="R384" s="34" t="str"/>
      <x:c r="S384" s="34" t="str"/>
      <x:c r="T384" s="34" t="str"/>
      <x:c r="U384" s="34" t="str"/>
      <x:c r="V384" s="34" t="str">
        <x:f>IF(A384="","",IF(N384&lt;5,"样本不足",IF(Q384&gt;=1,"优先复核",IF(AND(N384&gt;=20,P384&lt;0.35,K384&gt;=5),"停用候选",IF(AND(N384&gt;=10,P384&lt;0.45),"需修改候选",IF(AND(N384&gt;=10,P384&gt;=0.75,R384/N384&lt;=0.15,S384/N384&lt;=0.15),"升级候选",IF(R384/N384&gt;0.3,"收紧条件",IF(S384/N384&gt;0.3,"补漏／放宽","继续观察"))))))))</x:f>
        <x:v>样本不足</x:v>
      </x:c>
      <x:c r="W384" s="34" t="str">
        <x:f>IF(V384="","",IF(V384="升级候选","已验证候选",IF(V384="停用候选","停用候选",IF(OR(V384="需修改候选",V384="收紧条件",V384="补漏／放宽",V384="优先复核"),"需修改／复核","观察中"))))</x:f>
        <x:v>观察中</x:v>
      </x:c>
      <x:c r="X384" s="34" t="str"/>
      <x:c r="Y384" s="34" t="str"/>
    </x:row>
    <x:row r="385">
      <x:c r="A385" s="34" t="str">
        <x:v>M5-BASE-345</x:v>
      </x:c>
      <x:c r="B385" s="34" t="str">
        <x:v>BASE</x:v>
      </x:c>
      <x:c r="C385" s="34" t="str">
        <x:v>P0_安全与硬门槛</x:v>
      </x:c>
      <x:c r="D385" s="34" t="str">
        <x:v>FG0｜安全停止</x:v>
      </x:c>
      <x:c r="E385" s="34" t="str">
        <x:v>L9 证据等级、评分与报告</x:v>
      </x:c>
      <x:c r="F385" s="34" t="str">
        <x:v>停止</x:v>
      </x:c>
      <x:c r="G385" s="34" t="n">
        <x:v>98</x:v>
      </x:c>
      <x:c r="H385" s="34" t="str">
        <x:v>待验证</x:v>
      </x:c>
      <x:c r="I385" s="34" t="str"/>
      <x:c r="J385" s="34" t="str"/>
      <x:c r="K385" s="34" t="str"/>
      <x:c r="L385" s="34" t="str"/>
      <x:c r="M385" s="34" t="str"/>
      <x:c r="N385" s="34" t="n">
        <x:f>IF(A385="","",I385+J385+K385)</x:f>
        <x:v>0</x:v>
      </x:c>
      <x:c r="O385" s="56" t="str">
        <x:f>IF(N385=0,"",(I385+0.5*J385)/N385)</x:f>
      </x:c>
      <x:c r="P385" s="56" t="str">
        <x:f>IF(N385=0,"",(I385+0.5*J385+1)/(N385+2))</x:f>
      </x:c>
      <x:c r="Q385" s="34" t="str"/>
      <x:c r="R385" s="34" t="str"/>
      <x:c r="S385" s="34" t="str"/>
      <x:c r="T385" s="34" t="str"/>
      <x:c r="U385" s="34" t="str"/>
      <x:c r="V385" s="34" t="str">
        <x:f>IF(A385="","",IF(N385&lt;5,"样本不足",IF(Q385&gt;=1,"优先复核",IF(AND(N385&gt;=20,P385&lt;0.35,K385&gt;=5),"停用候选",IF(AND(N385&gt;=10,P385&lt;0.45),"需修改候选",IF(AND(N385&gt;=10,P385&gt;=0.75,R385/N385&lt;=0.15,S385/N385&lt;=0.15),"升级候选",IF(R385/N385&gt;0.3,"收紧条件",IF(S385/N385&gt;0.3,"补漏／放宽","继续观察"))))))))</x:f>
        <x:v>样本不足</x:v>
      </x:c>
      <x:c r="W385" s="34" t="str">
        <x:f>IF(V385="","",IF(V385="升级候选","已验证候选",IF(V385="停用候选","停用候选",IF(OR(V385="需修改候选",V385="收紧条件",V385="补漏／放宽",V385="优先复核"),"需修改／复核","观察中"))))</x:f>
        <x:v>观察中</x:v>
      </x:c>
      <x:c r="X385" s="34" t="str"/>
      <x:c r="Y385" s="34" t="str"/>
    </x:row>
    <x:row r="386">
      <x:c r="A386" s="34" t="str">
        <x:v>M5-BASE-346</x:v>
      </x:c>
      <x:c r="B386" s="34" t="str">
        <x:v>BASE</x:v>
      </x:c>
      <x:c r="C386" s="34" t="str">
        <x:v>P0_安全与硬门槛</x:v>
      </x:c>
      <x:c r="D386" s="34" t="str">
        <x:v>FG0｜基础资料停止</x:v>
      </x:c>
      <x:c r="E386" s="34" t="str">
        <x:v>L9 证据等级、评分与报告</x:v>
      </x:c>
      <x:c r="F386" s="34" t="str">
        <x:v>停止</x:v>
      </x:c>
      <x:c r="G386" s="34" t="n">
        <x:v>98</x:v>
      </x:c>
      <x:c r="H386" s="34" t="str">
        <x:v>待验证</x:v>
      </x:c>
      <x:c r="I386" s="34" t="str"/>
      <x:c r="J386" s="34" t="str"/>
      <x:c r="K386" s="34" t="str"/>
      <x:c r="L386" s="34" t="str"/>
      <x:c r="M386" s="34" t="str"/>
      <x:c r="N386" s="34" t="n">
        <x:f>IF(A386="","",I386+J386+K386)</x:f>
        <x:v>0</x:v>
      </x:c>
      <x:c r="O386" s="56" t="str">
        <x:f>IF(N386=0,"",(I386+0.5*J386)/N386)</x:f>
      </x:c>
      <x:c r="P386" s="56" t="str">
        <x:f>IF(N386=0,"",(I386+0.5*J386+1)/(N386+2))</x:f>
      </x:c>
      <x:c r="Q386" s="34" t="str"/>
      <x:c r="R386" s="34" t="str"/>
      <x:c r="S386" s="34" t="str"/>
      <x:c r="T386" s="34" t="str"/>
      <x:c r="U386" s="34" t="str"/>
      <x:c r="V386" s="34" t="str">
        <x:f>IF(A386="","",IF(N386&lt;5,"样本不足",IF(Q386&gt;=1,"优先复核",IF(AND(N386&gt;=20,P386&lt;0.35,K386&gt;=5),"停用候选",IF(AND(N386&gt;=10,P386&lt;0.45),"需修改候选",IF(AND(N386&gt;=10,P386&gt;=0.75,R386/N386&lt;=0.15,S386/N386&lt;=0.15),"升级候选",IF(R386/N386&gt;0.3,"收紧条件",IF(S386/N386&gt;0.3,"补漏／放宽","继续观察"))))))))</x:f>
        <x:v>样本不足</x:v>
      </x:c>
      <x:c r="W386" s="34" t="str">
        <x:f>IF(V386="","",IF(V386="升级候选","已验证候选",IF(V386="停用候选","停用候选",IF(OR(V386="需修改候选",V386="收紧条件",V386="补漏／放宽",V386="优先复核"),"需修改／复核","观察中"))))</x:f>
        <x:v>观察中</x:v>
      </x:c>
      <x:c r="X386" s="34" t="str"/>
      <x:c r="Y386" s="34" t="str"/>
    </x:row>
    <x:row r="387">
      <x:c r="A387" s="34" t="str">
        <x:v>M5-BOUND-449</x:v>
      </x:c>
      <x:c r="B387" s="34" t="str">
        <x:v>BOUND</x:v>
      </x:c>
      <x:c r="C387" s="34" t="str">
        <x:v>P0_安全与硬门槛</x:v>
      </x:c>
      <x:c r="D387" s="34" t="str">
        <x:v>M4 RN01安全接口</x:v>
      </x:c>
      <x:c r="E387" s="34" t="str">
        <x:v>L9 状态、接口、去重与停止</x:v>
      </x:c>
      <x:c r="F387" s="34" t="str">
        <x:v>安全</x:v>
      </x:c>
      <x:c r="G387" s="34" t="n">
        <x:v>98</x:v>
      </x:c>
      <x:c r="H387" s="34" t="str">
        <x:v>待验证</x:v>
      </x:c>
      <x:c r="I387" s="34" t="str"/>
      <x:c r="J387" s="34" t="str"/>
      <x:c r="K387" s="34" t="str"/>
      <x:c r="L387" s="34" t="str"/>
      <x:c r="M387" s="34" t="str"/>
      <x:c r="N387" s="34" t="n">
        <x:f>IF(A387="","",I387+J387+K387)</x:f>
        <x:v>0</x:v>
      </x:c>
      <x:c r="O387" s="56" t="str">
        <x:f>IF(N387=0,"",(I387+0.5*J387)/N387)</x:f>
      </x:c>
      <x:c r="P387" s="56" t="str">
        <x:f>IF(N387=0,"",(I387+0.5*J387+1)/(N387+2))</x:f>
      </x:c>
      <x:c r="Q387" s="34" t="str"/>
      <x:c r="R387" s="34" t="str"/>
      <x:c r="S387" s="34" t="str"/>
      <x:c r="T387" s="34" t="str"/>
      <x:c r="U387" s="34" t="str"/>
      <x:c r="V387" s="34" t="str">
        <x:f>IF(A387="","",IF(N387&lt;5,"样本不足",IF(Q387&gt;=1,"优先复核",IF(AND(N387&gt;=20,P387&lt;0.35,K387&gt;=5),"停用候选",IF(AND(N387&gt;=10,P387&lt;0.45),"需修改候选",IF(AND(N387&gt;=10,P387&gt;=0.75,R387/N387&lt;=0.15,S387/N387&lt;=0.15),"升级候选",IF(R387/N387&gt;0.3,"收紧条件",IF(S387/N387&gt;0.3,"补漏／放宽","继续观察"))))))))</x:f>
        <x:v>样本不足</x:v>
      </x:c>
      <x:c r="W387" s="34" t="str">
        <x:f>IF(V387="","",IF(V387="升级候选","已验证候选",IF(V387="停用候选","停用候选",IF(OR(V387="需修改候选",V387="收紧条件",V387="补漏／放宽",V387="优先复核"),"需修改／复核","观察中"))))</x:f>
        <x:v>观察中</x:v>
      </x:c>
      <x:c r="X387" s="34" t="str"/>
      <x:c r="Y387" s="34" t="str"/>
    </x:row>
    <x:row r="388">
      <x:c r="A388" s="34" t="str">
        <x:v>M5-BOUND-482</x:v>
      </x:c>
      <x:c r="B388" s="34" t="str">
        <x:v>BOUND</x:v>
      </x:c>
      <x:c r="C388" s="34" t="str">
        <x:v>P0_安全与硬门槛</x:v>
      </x:c>
      <x:c r="D388" s="34" t="str">
        <x:v>BS08未定停止</x:v>
      </x:c>
      <x:c r="E388" s="34" t="str">
        <x:v>L10 评分、报告与校准</x:v>
      </x:c>
      <x:c r="F388" s="34" t="str">
        <x:v>停止</x:v>
      </x:c>
      <x:c r="G388" s="34" t="n">
        <x:v>98</x:v>
      </x:c>
      <x:c r="H388" s="34" t="str">
        <x:v>待验证</x:v>
      </x:c>
      <x:c r="I388" s="34" t="str"/>
      <x:c r="J388" s="34" t="str"/>
      <x:c r="K388" s="34" t="str"/>
      <x:c r="L388" s="34" t="str"/>
      <x:c r="M388" s="34" t="str"/>
      <x:c r="N388" s="34" t="n">
        <x:f>IF(A388="","",I388+J388+K388)</x:f>
        <x:v>0</x:v>
      </x:c>
      <x:c r="O388" s="56" t="str">
        <x:f>IF(N388=0,"",(I388+0.5*J388)/N388)</x:f>
      </x:c>
      <x:c r="P388" s="56" t="str">
        <x:f>IF(N388=0,"",(I388+0.5*J388+1)/(N388+2))</x:f>
      </x:c>
      <x:c r="Q388" s="34" t="str"/>
      <x:c r="R388" s="34" t="str"/>
      <x:c r="S388" s="34" t="str"/>
      <x:c r="T388" s="34" t="str"/>
      <x:c r="U388" s="34" t="str"/>
      <x:c r="V388" s="34" t="str">
        <x:f>IF(A388="","",IF(N388&lt;5,"样本不足",IF(Q388&gt;=1,"优先复核",IF(AND(N388&gt;=20,P388&lt;0.35,K388&gt;=5),"停用候选",IF(AND(N388&gt;=10,P388&lt;0.45),"需修改候选",IF(AND(N388&gt;=10,P388&gt;=0.75,R388/N388&lt;=0.15,S388/N388&lt;=0.15),"升级候选",IF(R388/N388&gt;0.3,"收紧条件",IF(S388/N388&gt;0.3,"补漏／放宽","继续观察"))))))))</x:f>
        <x:v>样本不足</x:v>
      </x:c>
      <x:c r="W388" s="34" t="str">
        <x:f>IF(V388="","",IF(V388="升级候选","已验证候选",IF(V388="停用候选","停用候选",IF(OR(V388="需修改候选",V388="收紧条件",V388="补漏／放宽",V388="优先复核"),"需修改／复核","观察中"))))</x:f>
        <x:v>观察中</x:v>
      </x:c>
      <x:c r="X388" s="34" t="str"/>
      <x:c r="Y388" s="34" t="str"/>
    </x:row>
    <x:row r="389">
      <x:c r="A389" s="34" t="str">
        <x:v>M5-BOUND-506</x:v>
      </x:c>
      <x:c r="B389" s="34" t="str">
        <x:v>BOUND</x:v>
      </x:c>
      <x:c r="C389" s="34" t="str">
        <x:v>P0_安全与硬门槛</x:v>
      </x:c>
      <x:c r="D389" s="34" t="str">
        <x:v>同意权高优先级门控</x:v>
      </x:c>
      <x:c r="E389" s="34" t="str">
        <x:v>L10 评分、报告与校准</x:v>
      </x:c>
      <x:c r="F389" s="34" t="str">
        <x:v>安全</x:v>
      </x:c>
      <x:c r="G389" s="34" t="n">
        <x:v>98</x:v>
      </x:c>
      <x:c r="H389" s="34" t="str">
        <x:v>待验证</x:v>
      </x:c>
      <x:c r="I389" s="34" t="str"/>
      <x:c r="J389" s="34" t="str"/>
      <x:c r="K389" s="34" t="str"/>
      <x:c r="L389" s="34" t="str"/>
      <x:c r="M389" s="34" t="str"/>
      <x:c r="N389" s="34" t="n">
        <x:f>IF(A389="","",I389+J389+K389)</x:f>
        <x:v>0</x:v>
      </x:c>
      <x:c r="O389" s="56" t="str">
        <x:f>IF(N389=0,"",(I389+0.5*J389)/N389)</x:f>
      </x:c>
      <x:c r="P389" s="56" t="str">
        <x:f>IF(N389=0,"",(I389+0.5*J389+1)/(N389+2))</x:f>
      </x:c>
      <x:c r="Q389" s="34" t="str"/>
      <x:c r="R389" s="34" t="str"/>
      <x:c r="S389" s="34" t="str"/>
      <x:c r="T389" s="34" t="str"/>
      <x:c r="U389" s="34" t="str"/>
      <x:c r="V389" s="34" t="str">
        <x:f>IF(A389="","",IF(N389&lt;5,"样本不足",IF(Q389&gt;=1,"优先复核",IF(AND(N389&gt;=20,P389&lt;0.35,K389&gt;=5),"停用候选",IF(AND(N389&gt;=10,P389&lt;0.45),"需修改候选",IF(AND(N389&gt;=10,P389&gt;=0.75,R389/N389&lt;=0.15,S389/N389&lt;=0.15),"升级候选",IF(R389/N389&gt;0.3,"收紧条件",IF(S389/N389&gt;0.3,"补漏／放宽","继续观察"))))))))</x:f>
        <x:v>样本不足</x:v>
      </x:c>
      <x:c r="W389" s="34" t="str">
        <x:f>IF(V389="","",IF(V389="升级候选","已验证候选",IF(V389="停用候选","停用候选",IF(OR(V389="需修改候选",V389="收紧条件",V389="补漏／放宽",V389="优先复核"),"需修改／复核","观察中"))))</x:f>
        <x:v>观察中</x:v>
      </x:c>
      <x:c r="X389" s="34" t="str"/>
      <x:c r="Y389" s="34" t="str"/>
    </x:row>
    <x:row r="390">
      <x:c r="A390" s="34" t="str">
        <x:v>M5-BOUND-507</x:v>
      </x:c>
      <x:c r="B390" s="34" t="str">
        <x:v>BOUND</x:v>
      </x:c>
      <x:c r="C390" s="34" t="str">
        <x:v>P0_安全与硬门槛</x:v>
      </x:c>
      <x:c r="D390" s="34" t="str">
        <x:v>资源控制高优先级门控</x:v>
      </x:c>
      <x:c r="E390" s="34" t="str">
        <x:v>L10 评分、报告与校准</x:v>
      </x:c>
      <x:c r="F390" s="34" t="str">
        <x:v>安全</x:v>
      </x:c>
      <x:c r="G390" s="34" t="n">
        <x:v>98</x:v>
      </x:c>
      <x:c r="H390" s="34" t="str">
        <x:v>待验证</x:v>
      </x:c>
      <x:c r="I390" s="34" t="str"/>
      <x:c r="J390" s="34" t="str"/>
      <x:c r="K390" s="34" t="str"/>
      <x:c r="L390" s="34" t="str"/>
      <x:c r="M390" s="34" t="str"/>
      <x:c r="N390" s="34" t="n">
        <x:f>IF(A390="","",I390+J390+K390)</x:f>
        <x:v>0</x:v>
      </x:c>
      <x:c r="O390" s="56" t="str">
        <x:f>IF(N390=0,"",(I390+0.5*J390)/N390)</x:f>
      </x:c>
      <x:c r="P390" s="56" t="str">
        <x:f>IF(N390=0,"",(I390+0.5*J390+1)/(N390+2))</x:f>
      </x:c>
      <x:c r="Q390" s="34" t="str"/>
      <x:c r="R390" s="34" t="str"/>
      <x:c r="S390" s="34" t="str"/>
      <x:c r="T390" s="34" t="str"/>
      <x:c r="U390" s="34" t="str"/>
      <x:c r="V390" s="34" t="str">
        <x:f>IF(A390="","",IF(N390&lt;5,"样本不足",IF(Q390&gt;=1,"优先复核",IF(AND(N390&gt;=20,P390&lt;0.35,K390&gt;=5),"停用候选",IF(AND(N390&gt;=10,P390&lt;0.45),"需修改候选",IF(AND(N390&gt;=10,P390&gt;=0.75,R390/N390&lt;=0.15,S390/N390&lt;=0.15),"升级候选",IF(R390/N390&gt;0.3,"收紧条件",IF(S390/N390&gt;0.3,"补漏／放宽","继续观察"))))))))</x:f>
        <x:v>样本不足</x:v>
      </x:c>
      <x:c r="W390" s="34" t="str">
        <x:f>IF(V390="","",IF(V390="升级候选","已验证候选",IF(V390="停用候选","停用候选",IF(OR(V390="需修改候选",V390="收紧条件",V390="补漏／放宽",V390="优先复核"),"需修改／复核","观察中"))))</x:f>
        <x:v>观察中</x:v>
      </x:c>
      <x:c r="X390" s="34" t="str"/>
      <x:c r="Y390" s="34" t="str"/>
    </x:row>
    <x:row r="391">
      <x:c r="A391" s="34" t="str">
        <x:v>M5-BOUND-508</x:v>
      </x:c>
      <x:c r="B391" s="34" t="str">
        <x:v>BOUND</x:v>
      </x:c>
      <x:c r="C391" s="34" t="str">
        <x:v>P0_安全与硬门槛</x:v>
      </x:c>
      <x:c r="D391" s="34" t="str">
        <x:v>数字监控高优先级门控</x:v>
      </x:c>
      <x:c r="E391" s="34" t="str">
        <x:v>L10 评分、报告与校准</x:v>
      </x:c>
      <x:c r="F391" s="34" t="str">
        <x:v>安全</x:v>
      </x:c>
      <x:c r="G391" s="34" t="n">
        <x:v>98</x:v>
      </x:c>
      <x:c r="H391" s="34" t="str">
        <x:v>待验证</x:v>
      </x:c>
      <x:c r="I391" s="34" t="str"/>
      <x:c r="J391" s="34" t="str"/>
      <x:c r="K391" s="34" t="str"/>
      <x:c r="L391" s="34" t="str"/>
      <x:c r="M391" s="34" t="str"/>
      <x:c r="N391" s="34" t="n">
        <x:f>IF(A391="","",I391+J391+K391)</x:f>
        <x:v>0</x:v>
      </x:c>
      <x:c r="O391" s="56" t="str">
        <x:f>IF(N391=0,"",(I391+0.5*J391)/N391)</x:f>
      </x:c>
      <x:c r="P391" s="56" t="str">
        <x:f>IF(N391=0,"",(I391+0.5*J391+1)/(N391+2))</x:f>
      </x:c>
      <x:c r="Q391" s="34" t="str"/>
      <x:c r="R391" s="34" t="str"/>
      <x:c r="S391" s="34" t="str"/>
      <x:c r="T391" s="34" t="str"/>
      <x:c r="U391" s="34" t="str"/>
      <x:c r="V391" s="34" t="str">
        <x:f>IF(A391="","",IF(N391&lt;5,"样本不足",IF(Q391&gt;=1,"优先复核",IF(AND(N391&gt;=20,P391&lt;0.35,K391&gt;=5),"停用候选",IF(AND(N391&gt;=10,P391&lt;0.45),"需修改候选",IF(AND(N391&gt;=10,P391&gt;=0.75,R391/N391&lt;=0.15,S391/N391&lt;=0.15),"升级候选",IF(R391/N391&gt;0.3,"收紧条件",IF(S391/N391&gt;0.3,"补漏／放宽","继续观察"))))))))</x:f>
        <x:v>样本不足</x:v>
      </x:c>
      <x:c r="W391" s="34" t="str">
        <x:f>IF(V391="","",IF(V391="升级候选","已验证候选",IF(V391="停用候选","停用候选",IF(OR(V391="需修改候选",V391="收紧条件",V391="补漏／放宽",V391="优先复核"),"需修改／复核","观察中"))))</x:f>
        <x:v>观察中</x:v>
      </x:c>
      <x:c r="X391" s="34" t="str"/>
      <x:c r="Y391" s="34" t="str"/>
    </x:row>
    <x:row r="392">
      <x:c r="A392" s="34" t="str">
        <x:v>M5-BOUND-509</x:v>
      </x:c>
      <x:c r="B392" s="34" t="str">
        <x:v>BOUND</x:v>
      </x:c>
      <x:c r="C392" s="34" t="str">
        <x:v>P0_安全与硬门槛</x:v>
      </x:c>
      <x:c r="D392" s="34" t="str">
        <x:v>身体亲密高优先级门控</x:v>
      </x:c>
      <x:c r="E392" s="34" t="str">
        <x:v>L10 评分、报告与校准</x:v>
      </x:c>
      <x:c r="F392" s="34" t="str">
        <x:v>安全</x:v>
      </x:c>
      <x:c r="G392" s="34" t="n">
        <x:v>98</x:v>
      </x:c>
      <x:c r="H392" s="34" t="str">
        <x:v>待验证</x:v>
      </x:c>
      <x:c r="I392" s="34" t="str"/>
      <x:c r="J392" s="34" t="str"/>
      <x:c r="K392" s="34" t="str"/>
      <x:c r="L392" s="34" t="str"/>
      <x:c r="M392" s="34" t="str"/>
      <x:c r="N392" s="34" t="n">
        <x:f>IF(A392="","",I392+J392+K392)</x:f>
        <x:v>0</x:v>
      </x:c>
      <x:c r="O392" s="56" t="str">
        <x:f>IF(N392=0,"",(I392+0.5*J392)/N392)</x:f>
      </x:c>
      <x:c r="P392" s="56" t="str">
        <x:f>IF(N392=0,"",(I392+0.5*J392+1)/(N392+2))</x:f>
      </x:c>
      <x:c r="Q392" s="34" t="str"/>
      <x:c r="R392" s="34" t="str"/>
      <x:c r="S392" s="34" t="str"/>
      <x:c r="T392" s="34" t="str"/>
      <x:c r="U392" s="34" t="str"/>
      <x:c r="V392" s="34" t="str">
        <x:f>IF(A392="","",IF(N392&lt;5,"样本不足",IF(Q392&gt;=1,"优先复核",IF(AND(N392&gt;=20,P392&lt;0.35,K392&gt;=5),"停用候选",IF(AND(N392&gt;=10,P392&lt;0.45),"需修改候选",IF(AND(N392&gt;=10,P392&gt;=0.75,R392/N392&lt;=0.15,S392/N392&lt;=0.15),"升级候选",IF(R392/N392&gt;0.3,"收紧条件",IF(S392/N392&gt;0.3,"补漏／放宽","继续观察"))))))))</x:f>
        <x:v>样本不足</x:v>
      </x:c>
      <x:c r="W392" s="34" t="str">
        <x:f>IF(V392="","",IF(V392="升级候选","已验证候选",IF(V392="停用候选","停用候选",IF(OR(V392="需修改候选",V392="收紧条件",V392="补漏／放宽",V392="优先复核"),"需修改／复核","观察中"))))</x:f>
        <x:v>观察中</x:v>
      </x:c>
      <x:c r="X392" s="34" t="str"/>
      <x:c r="Y392" s="34" t="str"/>
    </x:row>
    <x:row r="393">
      <x:c r="A393" s="34" t="str">
        <x:v>M5-EXCHANGE-428</x:v>
      </x:c>
      <x:c r="B393" s="34" t="str">
        <x:v>EXCHANGE</x:v>
      </x:c>
      <x:c r="C393" s="34" t="str">
        <x:v>P0_安全与硬门槛</x:v>
      </x:c>
      <x:c r="D393" s="34" t="str">
        <x:v>安全风险停止普通交换分析</x:v>
      </x:c>
      <x:c r="E393" s="34" t="str">
        <x:v>L9 状态、接口、去重与停止</x:v>
      </x:c>
      <x:c r="F393" s="34" t="str">
        <x:v>安全</x:v>
      </x:c>
      <x:c r="G393" s="34" t="n">
        <x:v>98</x:v>
      </x:c>
      <x:c r="H393" s="34" t="str">
        <x:v>待验证</x:v>
      </x:c>
      <x:c r="I393" s="34" t="str"/>
      <x:c r="J393" s="34" t="str"/>
      <x:c r="K393" s="34" t="str"/>
      <x:c r="L393" s="34" t="str"/>
      <x:c r="M393" s="34" t="str"/>
      <x:c r="N393" s="34" t="n">
        <x:f>IF(A393="","",I393+J393+K393)</x:f>
        <x:v>0</x:v>
      </x:c>
      <x:c r="O393" s="56" t="str">
        <x:f>IF(N393=0,"",(I393+0.5*J393)/N393)</x:f>
      </x:c>
      <x:c r="P393" s="56" t="str">
        <x:f>IF(N393=0,"",(I393+0.5*J393+1)/(N393+2))</x:f>
      </x:c>
      <x:c r="Q393" s="34" t="str"/>
      <x:c r="R393" s="34" t="str"/>
      <x:c r="S393" s="34" t="str"/>
      <x:c r="T393" s="34" t="str"/>
      <x:c r="U393" s="34" t="str"/>
      <x:c r="V393" s="34" t="str">
        <x:f>IF(A393="","",IF(N393&lt;5,"样本不足",IF(Q393&gt;=1,"优先复核",IF(AND(N393&gt;=20,P393&lt;0.35,K393&gt;=5),"停用候选",IF(AND(N393&gt;=10,P393&lt;0.45),"需修改候选",IF(AND(N393&gt;=10,P393&gt;=0.75,R393/N393&lt;=0.15,S393/N393&lt;=0.15),"升级候选",IF(R393/N393&gt;0.3,"收紧条件",IF(S393/N393&gt;0.3,"补漏／放宽","继续观察"))))))))</x:f>
        <x:v>样本不足</x:v>
      </x:c>
      <x:c r="W393" s="34" t="str">
        <x:f>IF(V393="","",IF(V393="升级候选","已验证候选",IF(V393="停用候选","停用候选",IF(OR(V393="需修改候选",V393="收紧条件",V393="补漏／放宽",V393="优先复核"),"需修改／复核","观察中"))))</x:f>
        <x:v>观察中</x:v>
      </x:c>
      <x:c r="X393" s="34" t="str"/>
      <x:c r="Y393" s="34" t="str"/>
    </x:row>
    <x:row r="394">
      <x:c r="A394" s="34" t="str">
        <x:v>M5-EXCHANGE-429</x:v>
      </x:c>
      <x:c r="B394" s="34" t="str">
        <x:v>EXCHANGE</x:v>
      </x:c>
      <x:c r="C394" s="34" t="str">
        <x:v>P0_安全与硬门槛</x:v>
      </x:c>
      <x:c r="D394" s="34" t="str">
        <x:v>资料不足停止交换定性</x:v>
      </x:c>
      <x:c r="E394" s="34" t="str">
        <x:v>L9 状态、接口、去重与停止</x:v>
      </x:c>
      <x:c r="F394" s="34" t="str">
        <x:v>停止</x:v>
      </x:c>
      <x:c r="G394" s="34" t="n">
        <x:v>98</x:v>
      </x:c>
      <x:c r="H394" s="34" t="str">
        <x:v>待验证</x:v>
      </x:c>
      <x:c r="I394" s="34" t="str"/>
      <x:c r="J394" s="34" t="str"/>
      <x:c r="K394" s="34" t="str"/>
      <x:c r="L394" s="34" t="str"/>
      <x:c r="M394" s="34" t="str"/>
      <x:c r="N394" s="34" t="n">
        <x:f>IF(A394="","",I394+J394+K394)</x:f>
        <x:v>0</x:v>
      </x:c>
      <x:c r="O394" s="56" t="str">
        <x:f>IF(N394=0,"",(I394+0.5*J394)/N394)</x:f>
      </x:c>
      <x:c r="P394" s="56" t="str">
        <x:f>IF(N394=0,"",(I394+0.5*J394+1)/(N394+2))</x:f>
      </x:c>
      <x:c r="Q394" s="34" t="str"/>
      <x:c r="R394" s="34" t="str"/>
      <x:c r="S394" s="34" t="str"/>
      <x:c r="T394" s="34" t="str"/>
      <x:c r="U394" s="34" t="str"/>
      <x:c r="V394" s="34" t="str">
        <x:f>IF(A394="","",IF(N394&lt;5,"样本不足",IF(Q394&gt;=1,"优先复核",IF(AND(N394&gt;=20,P394&lt;0.35,K394&gt;=5),"停用候选",IF(AND(N394&gt;=10,P394&lt;0.45),"需修改候选",IF(AND(N394&gt;=10,P394&gt;=0.75,R394/N394&lt;=0.15,S394/N394&lt;=0.15),"升级候选",IF(R394/N394&gt;0.3,"收紧条件",IF(S394/N394&gt;0.3,"补漏／放宽","继续观察"))))))))</x:f>
        <x:v>样本不足</x:v>
      </x:c>
      <x:c r="W394" s="34" t="str">
        <x:f>IF(V394="","",IF(V394="升级候选","已验证候选",IF(V394="停用候选","停用候选",IF(OR(V394="需修改候选",V394="收紧条件",V394="补漏／放宽",V394="优先复核"),"需修改／复核","观察中"))))</x:f>
        <x:v>观察中</x:v>
      </x:c>
      <x:c r="X394" s="34" t="str"/>
      <x:c r="Y394" s="34" t="str"/>
    </x:row>
    <x:row r="395">
      <x:c r="A395" s="34" t="str">
        <x:v>M5-EXCHANGE-430</x:v>
      </x:c>
      <x:c r="B395" s="34" t="str">
        <x:v>EXCHANGE</x:v>
      </x:c>
      <x:c r="C395" s="34" t="str">
        <x:v>P0_安全与硬门槛</x:v>
      </x:c>
      <x:c r="D395" s="34" t="str">
        <x:v>强现实反例覆盖结构候选</x:v>
      </x:c>
      <x:c r="E395" s="34" t="str">
        <x:v>L9 状态、接口、去重与停止</x:v>
      </x:c>
      <x:c r="F395" s="34" t="str">
        <x:v>停止</x:v>
      </x:c>
      <x:c r="G395" s="34" t="n">
        <x:v>98</x:v>
      </x:c>
      <x:c r="H395" s="34" t="str">
        <x:v>待验证</x:v>
      </x:c>
      <x:c r="I395" s="34" t="str"/>
      <x:c r="J395" s="34" t="str"/>
      <x:c r="K395" s="34" t="str"/>
      <x:c r="L395" s="34" t="str"/>
      <x:c r="M395" s="34" t="str"/>
      <x:c r="N395" s="34" t="n">
        <x:f>IF(A395="","",I395+J395+K395)</x:f>
        <x:v>0</x:v>
      </x:c>
      <x:c r="O395" s="56" t="str">
        <x:f>IF(N395=0,"",(I395+0.5*J395)/N395)</x:f>
      </x:c>
      <x:c r="P395" s="56" t="str">
        <x:f>IF(N395=0,"",(I395+0.5*J395+1)/(N395+2))</x:f>
      </x:c>
      <x:c r="Q395" s="34" t="str"/>
      <x:c r="R395" s="34" t="str"/>
      <x:c r="S395" s="34" t="str"/>
      <x:c r="T395" s="34" t="str"/>
      <x:c r="U395" s="34" t="str"/>
      <x:c r="V395" s="34" t="str">
        <x:f>IF(A395="","",IF(N395&lt;5,"样本不足",IF(Q395&gt;=1,"优先复核",IF(AND(N395&gt;=20,P395&lt;0.35,K395&gt;=5),"停用候选",IF(AND(N395&gt;=10,P395&lt;0.45),"需修改候选",IF(AND(N395&gt;=10,P395&gt;=0.75,R395/N395&lt;=0.15,S395/N395&lt;=0.15),"升级候选",IF(R395/N395&gt;0.3,"收紧条件",IF(S395/N395&gt;0.3,"补漏／放宽","继续观察"))))))))</x:f>
        <x:v>样本不足</x:v>
      </x:c>
      <x:c r="W395" s="34" t="str">
        <x:f>IF(V395="","",IF(V395="升级候选","已验证候选",IF(V395="停用候选","停用候选",IF(OR(V395="需修改候选",V395="收紧条件",V395="补漏／放宽",V395="优先复核"),"需修改／复核","观察中"))))</x:f>
        <x:v>观察中</x:v>
      </x:c>
      <x:c r="X395" s="34" t="str"/>
      <x:c r="Y395" s="34" t="str"/>
    </x:row>
    <x:row r="396">
      <x:c r="A396" s="34" t="str">
        <x:v>M5-EXCHANGE-442</x:v>
      </x:c>
      <x:c r="B396" s="34" t="str">
        <x:v>EXCHANGE</x:v>
      </x:c>
      <x:c r="C396" s="34" t="str">
        <x:v>P0_安全与硬门槛</x:v>
      </x:c>
      <x:c r="D396" s="34" t="str">
        <x:v>XR08未定停止</x:v>
      </x:c>
      <x:c r="E396" s="34" t="str">
        <x:v>L10 评分、报告与校准</x:v>
      </x:c>
      <x:c r="F396" s="34" t="str">
        <x:v>停止</x:v>
      </x:c>
      <x:c r="G396" s="34" t="n">
        <x:v>98</x:v>
      </x:c>
      <x:c r="H396" s="34" t="str">
        <x:v>待验证</x:v>
      </x:c>
      <x:c r="I396" s="34" t="str"/>
      <x:c r="J396" s="34" t="str"/>
      <x:c r="K396" s="34" t="str"/>
      <x:c r="L396" s="34" t="str"/>
      <x:c r="M396" s="34" t="str"/>
      <x:c r="N396" s="34" t="n">
        <x:f>IF(A396="","",I396+J396+K396)</x:f>
        <x:v>0</x:v>
      </x:c>
      <x:c r="O396" s="56" t="str">
        <x:f>IF(N396=0,"",(I396+0.5*J396)/N396)</x:f>
      </x:c>
      <x:c r="P396" s="56" t="str">
        <x:f>IF(N396=0,"",(I396+0.5*J396+1)/(N396+2))</x:f>
      </x:c>
      <x:c r="Q396" s="34" t="str"/>
      <x:c r="R396" s="34" t="str"/>
      <x:c r="S396" s="34" t="str"/>
      <x:c r="T396" s="34" t="str"/>
      <x:c r="U396" s="34" t="str"/>
      <x:c r="V396" s="34" t="str">
        <x:f>IF(A396="","",IF(N396&lt;5,"样本不足",IF(Q396&gt;=1,"优先复核",IF(AND(N396&gt;=20,P396&lt;0.35,K396&gt;=5),"停用候选",IF(AND(N396&gt;=10,P396&lt;0.45),"需修改候选",IF(AND(N396&gt;=10,P396&gt;=0.75,R396/N396&lt;=0.15,S396/N396&lt;=0.15),"升级候选",IF(R396/N396&gt;0.3,"收紧条件",IF(S396/N396&gt;0.3,"补漏／放宽","继续观察"))))))))</x:f>
        <x:v>样本不足</x:v>
      </x:c>
      <x:c r="W396" s="34" t="str">
        <x:f>IF(V396="","",IF(V396="升级候选","已验证候选",IF(V396="停用候选","停用候选",IF(OR(V396="需修改候选",V396="收紧条件",V396="补漏／放宽",V396="优先复核"),"需修改／复核","观察中"))))</x:f>
        <x:v>观察中</x:v>
      </x:c>
      <x:c r="X396" s="34" t="str"/>
      <x:c r="Y396" s="34" t="str"/>
    </x:row>
    <x:row r="397">
      <x:c r="A397" s="34" t="str">
        <x:v>M5-EXCHANGE-472</x:v>
      </x:c>
      <x:c r="B397" s="34" t="str">
        <x:v>EXCHANGE</x:v>
      </x:c>
      <x:c r="C397" s="34" t="str">
        <x:v>P0_安全与硬门槛</x:v>
      </x:c>
      <x:c r="D397" s="34" t="str">
        <x:v>安全门控</x:v>
      </x:c>
      <x:c r="E397" s="34" t="str">
        <x:v>L10 评分、报告与校准</x:v>
      </x:c>
      <x:c r="F397" s="34" t="str">
        <x:v>停止</x:v>
      </x:c>
      <x:c r="G397" s="34" t="n">
        <x:v>98</x:v>
      </x:c>
      <x:c r="H397" s="34" t="str">
        <x:v>待验证</x:v>
      </x:c>
      <x:c r="I397" s="34" t="str"/>
      <x:c r="J397" s="34" t="str"/>
      <x:c r="K397" s="34" t="str"/>
      <x:c r="L397" s="34" t="str"/>
      <x:c r="M397" s="34" t="str"/>
      <x:c r="N397" s="34" t="n">
        <x:f>IF(A397="","",I397+J397+K397)</x:f>
        <x:v>0</x:v>
      </x:c>
      <x:c r="O397" s="56" t="str">
        <x:f>IF(N397=0,"",(I397+0.5*J397)/N397)</x:f>
      </x:c>
      <x:c r="P397" s="56" t="str">
        <x:f>IF(N397=0,"",(I397+0.5*J397+1)/(N397+2))</x:f>
      </x:c>
      <x:c r="Q397" s="34" t="str"/>
      <x:c r="R397" s="34" t="str"/>
      <x:c r="S397" s="34" t="str"/>
      <x:c r="T397" s="34" t="str"/>
      <x:c r="U397" s="34" t="str"/>
      <x:c r="V397" s="34" t="str">
        <x:f>IF(A397="","",IF(N397&lt;5,"样本不足",IF(Q397&gt;=1,"优先复核",IF(AND(N397&gt;=20,P397&lt;0.35,K397&gt;=5),"停用候选",IF(AND(N397&gt;=10,P397&lt;0.45),"需修改候选",IF(AND(N397&gt;=10,P397&gt;=0.75,R397/N397&lt;=0.15,S397/N397&lt;=0.15),"升级候选",IF(R397/N397&gt;0.3,"收紧条件",IF(S397/N397&gt;0.3,"补漏／放宽","继续观察"))))))))</x:f>
        <x:v>样本不足</x:v>
      </x:c>
      <x:c r="W397" s="34" t="str">
        <x:f>IF(V397="","",IF(V397="升级候选","已验证候选",IF(V397="停用候选","停用候选",IF(OR(V397="需修改候选",V397="收紧条件",V397="补漏／放宽",V397="优先复核"),"需修改／复核","观察中"))))</x:f>
        <x:v>观察中</x:v>
      </x:c>
      <x:c r="X397" s="34" t="str"/>
      <x:c r="Y397" s="34" t="str"/>
    </x:row>
    <x:row r="398">
      <x:c r="A398" s="34" t="str">
        <x:v>M5-GAP-030</x:v>
      </x:c>
      <x:c r="B398" s="34" t="str">
        <x:v>GAP</x:v>
      </x:c>
      <x:c r="C398" s="34" t="str">
        <x:v>P0_安全与硬门槛</x:v>
      </x:c>
      <x:c r="D398" s="34" t="str">
        <x:v>AX01 心动特质—核心适配功能｜停止条件</x:v>
      </x:c>
      <x:c r="E398" s="34" t="str">
        <x:v>L1 十项跨模型对照轴</x:v>
      </x:c>
      <x:c r="F398" s="34" t="str">
        <x:v>停止</x:v>
      </x:c>
      <x:c r="G398" s="34" t="n">
        <x:v>98</x:v>
      </x:c>
      <x:c r="H398" s="34" t="str">
        <x:v>待验证</x:v>
      </x:c>
      <x:c r="I398" s="34" t="str"/>
      <x:c r="J398" s="34" t="str"/>
      <x:c r="K398" s="34" t="str"/>
      <x:c r="L398" s="34" t="str"/>
      <x:c r="M398" s="34" t="str"/>
      <x:c r="N398" s="34" t="n">
        <x:f>IF(A398="","",I398+J398+K398)</x:f>
        <x:v>0</x:v>
      </x:c>
      <x:c r="O398" s="56" t="str">
        <x:f>IF(N398=0,"",(I398+0.5*J398)/N398)</x:f>
      </x:c>
      <x:c r="P398" s="56" t="str">
        <x:f>IF(N398=0,"",(I398+0.5*J398+1)/(N398+2))</x:f>
      </x:c>
      <x:c r="Q398" s="34" t="str"/>
      <x:c r="R398" s="34" t="str"/>
      <x:c r="S398" s="34" t="str"/>
      <x:c r="T398" s="34" t="str"/>
      <x:c r="U398" s="34" t="str"/>
      <x:c r="V398" s="34" t="str">
        <x:f>IF(A398="","",IF(N398&lt;5,"样本不足",IF(Q398&gt;=1,"优先复核",IF(AND(N398&gt;=20,P398&lt;0.35,K398&gt;=5),"停用候选",IF(AND(N398&gt;=10,P398&lt;0.45),"需修改候选",IF(AND(N398&gt;=10,P398&gt;=0.75,R398/N398&lt;=0.15,S398/N398&lt;=0.15),"升级候选",IF(R398/N398&gt;0.3,"收紧条件",IF(S398/N398&gt;0.3,"补漏／放宽","继续观察"))))))))</x:f>
        <x:v>样本不足</x:v>
      </x:c>
      <x:c r="W398" s="34" t="str">
        <x:f>IF(V398="","",IF(V398="升级候选","已验证候选",IF(V398="停用候选","停用候选",IF(OR(V398="需修改候选",V398="收紧条件",V398="补漏／放宽",V398="优先复核"),"需修改／复核","观察中"))))</x:f>
        <x:v>观察中</x:v>
      </x:c>
      <x:c r="X398" s="34" t="str"/>
      <x:c r="Y398" s="34" t="str"/>
    </x:row>
    <x:row r="399">
      <x:c r="A399" s="34" t="str">
        <x:v>M5-GAP-040</x:v>
      </x:c>
      <x:c r="B399" s="34" t="str">
        <x:v>GAP</x:v>
      </x:c>
      <x:c r="C399" s="34" t="str">
        <x:v>P0_安全与硬门槛</x:v>
      </x:c>
      <x:c r="D399" s="34" t="str">
        <x:v>AX02 心动互动节奏—长期生活节奏｜停止条件</x:v>
      </x:c>
      <x:c r="E399" s="34" t="str">
        <x:v>L1 十项跨模型对照轴</x:v>
      </x:c>
      <x:c r="F399" s="34" t="str">
        <x:v>停止</x:v>
      </x:c>
      <x:c r="G399" s="34" t="n">
        <x:v>98</x:v>
      </x:c>
      <x:c r="H399" s="34" t="str">
        <x:v>待验证</x:v>
      </x:c>
      <x:c r="I399" s="34" t="str"/>
      <x:c r="J399" s="34" t="str"/>
      <x:c r="K399" s="34" t="str"/>
      <x:c r="L399" s="34" t="str"/>
      <x:c r="M399" s="34" t="str"/>
      <x:c r="N399" s="34" t="n">
        <x:f>IF(A399="","",I399+J399+K399)</x:f>
        <x:v>0</x:v>
      </x:c>
      <x:c r="O399" s="56" t="str">
        <x:f>IF(N399=0,"",(I399+0.5*J399)/N399)</x:f>
      </x:c>
      <x:c r="P399" s="56" t="str">
        <x:f>IF(N399=0,"",(I399+0.5*J399+1)/(N399+2))</x:f>
      </x:c>
      <x:c r="Q399" s="34" t="str"/>
      <x:c r="R399" s="34" t="str"/>
      <x:c r="S399" s="34" t="str"/>
      <x:c r="T399" s="34" t="str"/>
      <x:c r="U399" s="34" t="str"/>
      <x:c r="V399" s="34" t="str">
        <x:f>IF(A399="","",IF(N399&lt;5,"样本不足",IF(Q399&gt;=1,"优先复核",IF(AND(N399&gt;=20,P399&lt;0.35,K399&gt;=5),"停用候选",IF(AND(N399&gt;=10,P399&lt;0.45),"需修改候选",IF(AND(N399&gt;=10,P399&gt;=0.75,R399/N399&lt;=0.15,S399/N399&lt;=0.15),"升级候选",IF(R399/N399&gt;0.3,"收紧条件",IF(S399/N399&gt;0.3,"补漏／放宽","继续观察"))))))))</x:f>
        <x:v>样本不足</x:v>
      </x:c>
      <x:c r="W399" s="34" t="str">
        <x:f>IF(V399="","",IF(V399="升级候选","已验证候选",IF(V399="停用候选","停用候选",IF(OR(V399="需修改候选",V399="收紧条件",V399="补漏／放宽",V399="优先复核"),"需修改／复核","观察中"))))</x:f>
        <x:v>观察中</x:v>
      </x:c>
      <x:c r="X399" s="34" t="str"/>
      <x:c r="Y399" s="34" t="str"/>
    </x:row>
    <x:row r="400">
      <x:c r="A400" s="34" t="str">
        <x:v>M5-GAP-050</x:v>
      </x:c>
      <x:c r="B400" s="34" t="str">
        <x:v>GAP</x:v>
      </x:c>
      <x:c r="C400" s="34" t="str">
        <x:v>P0_安全与硬门槛</x:v>
      </x:c>
      <x:c r="D400" s="34" t="str">
        <x:v>AX03 准入证据—伴侣成熟行为｜停止条件</x:v>
      </x:c>
      <x:c r="E400" s="34" t="str">
        <x:v>L1 十项跨模型对照轴</x:v>
      </x:c>
      <x:c r="F400" s="34" t="str">
        <x:v>停止</x:v>
      </x:c>
      <x:c r="G400" s="34" t="n">
        <x:v>98</x:v>
      </x:c>
      <x:c r="H400" s="34" t="str">
        <x:v>待验证</x:v>
      </x:c>
      <x:c r="I400" s="34" t="str"/>
      <x:c r="J400" s="34" t="str"/>
      <x:c r="K400" s="34" t="str"/>
      <x:c r="L400" s="34" t="str"/>
      <x:c r="M400" s="34" t="str"/>
      <x:c r="N400" s="34" t="n">
        <x:f>IF(A400="","",I400+J400+K400)</x:f>
        <x:v>0</x:v>
      </x:c>
      <x:c r="O400" s="56" t="str">
        <x:f>IF(N400=0,"",(I400+0.5*J400)/N400)</x:f>
      </x:c>
      <x:c r="P400" s="56" t="str">
        <x:f>IF(N400=0,"",(I400+0.5*J400+1)/(N400+2))</x:f>
      </x:c>
      <x:c r="Q400" s="34" t="str"/>
      <x:c r="R400" s="34" t="str"/>
      <x:c r="S400" s="34" t="str"/>
      <x:c r="T400" s="34" t="str"/>
      <x:c r="U400" s="34" t="str"/>
      <x:c r="V400" s="34" t="str">
        <x:f>IF(A400="","",IF(N400&lt;5,"样本不足",IF(Q400&gt;=1,"优先复核",IF(AND(N400&gt;=20,P400&lt;0.35,K400&gt;=5),"停用候选",IF(AND(N400&gt;=10,P400&lt;0.45),"需修改候选",IF(AND(N400&gt;=10,P400&gt;=0.75,R400/N400&lt;=0.15,S400/N400&lt;=0.15),"升级候选",IF(R400/N400&gt;0.3,"收紧条件",IF(S400/N400&gt;0.3,"补漏／放宽","继续观察"))))))))</x:f>
        <x:v>样本不足</x:v>
      </x:c>
      <x:c r="W400" s="34" t="str">
        <x:f>IF(V400="","",IF(V400="升级候选","已验证候选",IF(V400="停用候选","停用候选",IF(OR(V400="需修改候选",V400="收紧条件",V400="补漏／放宽",V400="优先复核"),"需修改／复核","观察中"))))</x:f>
        <x:v>观察中</x:v>
      </x:c>
      <x:c r="X400" s="34" t="str"/>
      <x:c r="Y400" s="34" t="str"/>
    </x:row>
    <x:row r="401">
      <x:c r="A401" s="34" t="str">
        <x:v>M5-GAP-060</x:v>
      </x:c>
      <x:c r="B401" s="34" t="str">
        <x:v>GAP</x:v>
      </x:c>
      <x:c r="C401" s="34" t="str">
        <x:v>P0_安全与硬门槛</x:v>
      </x:c>
      <x:c r="D401" s="34" t="str">
        <x:v>AX04 关系门槛—长期核心必要项｜停止条件</x:v>
      </x:c>
      <x:c r="E401" s="34" t="str">
        <x:v>L1 十项跨模型对照轴</x:v>
      </x:c>
      <x:c r="F401" s="34" t="str">
        <x:v>停止</x:v>
      </x:c>
      <x:c r="G401" s="34" t="n">
        <x:v>98</x:v>
      </x:c>
      <x:c r="H401" s="34" t="str">
        <x:v>待验证</x:v>
      </x:c>
      <x:c r="I401" s="34" t="str"/>
      <x:c r="J401" s="34" t="str"/>
      <x:c r="K401" s="34" t="str"/>
      <x:c r="L401" s="34" t="str"/>
      <x:c r="M401" s="34" t="str"/>
      <x:c r="N401" s="34" t="n">
        <x:f>IF(A401="","",I401+J401+K401)</x:f>
        <x:v>0</x:v>
      </x:c>
      <x:c r="O401" s="56" t="str">
        <x:f>IF(N401=0,"",(I401+0.5*J401)/N401)</x:f>
      </x:c>
      <x:c r="P401" s="56" t="str">
        <x:f>IF(N401=0,"",(I401+0.5*J401+1)/(N401+2))</x:f>
      </x:c>
      <x:c r="Q401" s="34" t="str"/>
      <x:c r="R401" s="34" t="str"/>
      <x:c r="S401" s="34" t="str"/>
      <x:c r="T401" s="34" t="str"/>
      <x:c r="U401" s="34" t="str"/>
      <x:c r="V401" s="34" t="str">
        <x:f>IF(A401="","",IF(N401&lt;5,"样本不足",IF(Q401&gt;=1,"优先复核",IF(AND(N401&gt;=20,P401&lt;0.35,K401&gt;=5),"停用候选",IF(AND(N401&gt;=10,P401&lt;0.45),"需修改候选",IF(AND(N401&gt;=10,P401&gt;=0.75,R401/N401&lt;=0.15,S401/N401&lt;=0.15),"升级候选",IF(R401/N401&gt;0.3,"收紧条件",IF(S401/N401&gt;0.3,"补漏／放宽","继续观察"))))))))</x:f>
        <x:v>样本不足</x:v>
      </x:c>
      <x:c r="W401" s="34" t="str">
        <x:f>IF(V401="","",IF(V401="升级候选","已验证候选",IF(V401="停用候选","停用候选",IF(OR(V401="需修改候选",V401="收紧条件",V401="补漏／放宽",V401="优先复核"),"需修改／复核","观察中"))))</x:f>
        <x:v>观察中</x:v>
      </x:c>
      <x:c r="X401" s="34" t="str"/>
      <x:c r="Y401" s="34" t="str"/>
    </x:row>
    <x:row r="402">
      <x:c r="A402" s="34" t="str">
        <x:v>M5-GAP-070</x:v>
      </x:c>
      <x:c r="B402" s="34" t="str">
        <x:v>GAP</x:v>
      </x:c>
      <x:c r="C402" s="34" t="str">
        <x:v>P0_安全与硬门槛</x:v>
      </x:c>
      <x:c r="D402" s="34" t="str">
        <x:v>AX05 自然相处功能—需要被保留的适配条件｜停止条件</x:v>
      </x:c>
      <x:c r="E402" s="34" t="str">
        <x:v>L1 十项跨模型对照轴</x:v>
      </x:c>
      <x:c r="F402" s="34" t="str">
        <x:v>停止</x:v>
      </x:c>
      <x:c r="G402" s="34" t="n">
        <x:v>98</x:v>
      </x:c>
      <x:c r="H402" s="34" t="str">
        <x:v>待验证</x:v>
      </x:c>
      <x:c r="I402" s="34" t="str"/>
      <x:c r="J402" s="34" t="str"/>
      <x:c r="K402" s="34" t="str"/>
      <x:c r="L402" s="34" t="str"/>
      <x:c r="M402" s="34" t="str"/>
      <x:c r="N402" s="34" t="n">
        <x:f>IF(A402="","",I402+J402+K402)</x:f>
        <x:v>0</x:v>
      </x:c>
      <x:c r="O402" s="56" t="str">
        <x:f>IF(N402=0,"",(I402+0.5*J402)/N402)</x:f>
      </x:c>
      <x:c r="P402" s="56" t="str">
        <x:f>IF(N402=0,"",(I402+0.5*J402+1)/(N402+2))</x:f>
      </x:c>
      <x:c r="Q402" s="34" t="str"/>
      <x:c r="R402" s="34" t="str"/>
      <x:c r="S402" s="34" t="str"/>
      <x:c r="T402" s="34" t="str"/>
      <x:c r="U402" s="34" t="str"/>
      <x:c r="V402" s="34" t="str">
        <x:f>IF(A402="","",IF(N402&lt;5,"样本不足",IF(Q402&gt;=1,"优先复核",IF(AND(N402&gt;=20,P402&lt;0.35,K402&gt;=5),"停用候选",IF(AND(N402&gt;=10,P402&lt;0.45),"需修改候选",IF(AND(N402&gt;=10,P402&gt;=0.75,R402/N402&lt;=0.15,S402/N402&lt;=0.15),"升级候选",IF(R402/N402&gt;0.3,"收紧条件",IF(S402/N402&gt;0.3,"补漏／放宽","继续观察"))))))))</x:f>
        <x:v>样本不足</x:v>
      </x:c>
      <x:c r="W402" s="34" t="str">
        <x:f>IF(V402="","",IF(V402="升级候选","已验证候选",IF(V402="停用候选","停用候选",IF(OR(V402="需修改候选",V402="收紧条件",V402="补漏／放宽",V402="优先复核"),"需修改／复核","观察中"))))</x:f>
        <x:v>观察中</x:v>
      </x:c>
      <x:c r="X402" s="34" t="str"/>
      <x:c r="Y402" s="34" t="str"/>
    </x:row>
    <x:row r="403">
      <x:c r="A403" s="34" t="str">
        <x:v>M5-GAP-080</x:v>
      </x:c>
      <x:c r="B403" s="34" t="str">
        <x:v>GAP</x:v>
      </x:c>
      <x:c r="C403" s="34" t="str">
        <x:v>P0_安全与硬门槛</x:v>
      </x:c>
      <x:c r="D403" s="34" t="str">
        <x:v>AX06 表达付出惯性—双向交换结构｜停止条件</x:v>
      </x:c>
      <x:c r="E403" s="34" t="str">
        <x:v>L1 十项跨模型对照轴</x:v>
      </x:c>
      <x:c r="F403" s="34" t="str">
        <x:v>停止</x:v>
      </x:c>
      <x:c r="G403" s="34" t="n">
        <x:v>98</x:v>
      </x:c>
      <x:c r="H403" s="34" t="str">
        <x:v>待验证</x:v>
      </x:c>
      <x:c r="I403" s="34" t="str"/>
      <x:c r="J403" s="34" t="str"/>
      <x:c r="K403" s="34" t="str"/>
      <x:c r="L403" s="34" t="str"/>
      <x:c r="M403" s="34" t="str"/>
      <x:c r="N403" s="34" t="n">
        <x:f>IF(A403="","",I403+J403+K403)</x:f>
        <x:v>0</x:v>
      </x:c>
      <x:c r="O403" s="56" t="str">
        <x:f>IF(N403=0,"",(I403+0.5*J403)/N403)</x:f>
      </x:c>
      <x:c r="P403" s="56" t="str">
        <x:f>IF(N403=0,"",(I403+0.5*J403+1)/(N403+2))</x:f>
      </x:c>
      <x:c r="Q403" s="34" t="str"/>
      <x:c r="R403" s="34" t="str"/>
      <x:c r="S403" s="34" t="str"/>
      <x:c r="T403" s="34" t="str"/>
      <x:c r="U403" s="34" t="str"/>
      <x:c r="V403" s="34" t="str">
        <x:f>IF(A403="","",IF(N403&lt;5,"样本不足",IF(Q403&gt;=1,"优先复核",IF(AND(N403&gt;=20,P403&lt;0.35,K403&gt;=5),"停用候选",IF(AND(N403&gt;=10,P403&lt;0.45),"需修改候选",IF(AND(N403&gt;=10,P403&gt;=0.75,R403/N403&lt;=0.15,S403/N403&lt;=0.15),"升级候选",IF(R403/N403&gt;0.3,"收紧条件",IF(S403/N403&gt;0.3,"补漏／放宽","继续观察"))))))))</x:f>
        <x:v>样本不足</x:v>
      </x:c>
      <x:c r="W403" s="34" t="str">
        <x:f>IF(V403="","",IF(V403="升级候选","已验证候选",IF(V403="停用候选","停用候选",IF(OR(V403="需修改候选",V403="收紧条件",V403="补漏／放宽",V403="优先复核"),"需修改／复核","观察中"))))</x:f>
        <x:v>观察中</x:v>
      </x:c>
      <x:c r="X403" s="34" t="str"/>
      <x:c r="Y403" s="34" t="str"/>
    </x:row>
    <x:row r="404">
      <x:c r="A404" s="34" t="str">
        <x:v>M5-GAP-090</x:v>
      </x:c>
      <x:c r="B404" s="34" t="str">
        <x:v>GAP</x:v>
      </x:c>
      <x:c r="C404" s="34" t="str">
        <x:v>P0_安全与硬门槛</x:v>
      </x:c>
      <x:c r="D404" s="34" t="str">
        <x:v>AX07 距离边界惯性—长期边界治理｜停止条件</x:v>
      </x:c>
      <x:c r="E404" s="34" t="str">
        <x:v>L1 十项跨模型对照轴</x:v>
      </x:c>
      <x:c r="F404" s="34" t="str">
        <x:v>停止</x:v>
      </x:c>
      <x:c r="G404" s="34" t="n">
        <x:v>98</x:v>
      </x:c>
      <x:c r="H404" s="34" t="str">
        <x:v>待验证</x:v>
      </x:c>
      <x:c r="I404" s="34" t="str"/>
      <x:c r="J404" s="34" t="str"/>
      <x:c r="K404" s="34" t="str"/>
      <x:c r="L404" s="34" t="str"/>
      <x:c r="M404" s="34" t="str"/>
      <x:c r="N404" s="34" t="n">
        <x:f>IF(A404="","",I404+J404+K404)</x:f>
        <x:v>0</x:v>
      </x:c>
      <x:c r="O404" s="56" t="str">
        <x:f>IF(N404=0,"",(I404+0.5*J404)/N404)</x:f>
      </x:c>
      <x:c r="P404" s="56" t="str">
        <x:f>IF(N404=0,"",(I404+0.5*J404+1)/(N404+2))</x:f>
      </x:c>
      <x:c r="Q404" s="34" t="str"/>
      <x:c r="R404" s="34" t="str"/>
      <x:c r="S404" s="34" t="str"/>
      <x:c r="T404" s="34" t="str"/>
      <x:c r="U404" s="34" t="str"/>
      <x:c r="V404" s="34" t="str">
        <x:f>IF(A404="","",IF(N404&lt;5,"样本不足",IF(Q404&gt;=1,"优先复核",IF(AND(N404&gt;=20,P404&lt;0.35,K404&gt;=5),"停用候选",IF(AND(N404&gt;=10,P404&lt;0.45),"需修改候选",IF(AND(N404&gt;=10,P404&gt;=0.75,R404/N404&lt;=0.15,S404/N404&lt;=0.15),"升级候选",IF(R404/N404&gt;0.3,"收紧条件",IF(S404/N404&gt;0.3,"补漏／放宽","继续观察"))))))))</x:f>
        <x:v>样本不足</x:v>
      </x:c>
      <x:c r="W404" s="34" t="str">
        <x:f>IF(V404="","",IF(V404="升级候选","已验证候选",IF(V404="停用候选","停用候选",IF(OR(V404="需修改候选",V404="收紧条件",V404="补漏／放宽",V404="优先复核"),"需修改／复核","观察中"))))</x:f>
        <x:v>观察中</x:v>
      </x:c>
      <x:c r="X404" s="34" t="str"/>
      <x:c r="Y404" s="34" t="str"/>
    </x:row>
    <x:row r="405">
      <x:c r="A405" s="34" t="str">
        <x:v>M5-GAP-100</x:v>
      </x:c>
      <x:c r="B405" s="34" t="str">
        <x:v>GAP</x:v>
      </x:c>
      <x:c r="C405" s="34" t="str">
        <x:v>P0_安全与硬门槛</x:v>
      </x:c>
      <x:c r="D405" s="34" t="str">
        <x:v>AX08 冲突处理惯性—适配修复协议｜停止条件</x:v>
      </x:c>
      <x:c r="E405" s="34" t="str">
        <x:v>L1 十项跨模型对照轴</x:v>
      </x:c>
      <x:c r="F405" s="34" t="str">
        <x:v>停止</x:v>
      </x:c>
      <x:c r="G405" s="34" t="n">
        <x:v>98</x:v>
      </x:c>
      <x:c r="H405" s="34" t="str">
        <x:v>待验证</x:v>
      </x:c>
      <x:c r="I405" s="34" t="str"/>
      <x:c r="J405" s="34" t="str"/>
      <x:c r="K405" s="34" t="str"/>
      <x:c r="L405" s="34" t="str"/>
      <x:c r="M405" s="34" t="str"/>
      <x:c r="N405" s="34" t="n">
        <x:f>IF(A405="","",I405+J405+K405)</x:f>
        <x:v>0</x:v>
      </x:c>
      <x:c r="O405" s="56" t="str">
        <x:f>IF(N405=0,"",(I405+0.5*J405)/N405)</x:f>
      </x:c>
      <x:c r="P405" s="56" t="str">
        <x:f>IF(N405=0,"",(I405+0.5*J405+1)/(N405+2))</x:f>
      </x:c>
      <x:c r="Q405" s="34" t="str"/>
      <x:c r="R405" s="34" t="str"/>
      <x:c r="S405" s="34" t="str"/>
      <x:c r="T405" s="34" t="str"/>
      <x:c r="U405" s="34" t="str"/>
      <x:c r="V405" s="34" t="str">
        <x:f>IF(A405="","",IF(N405&lt;5,"样本不足",IF(Q405&gt;=1,"优先复核",IF(AND(N405&gt;=20,P405&lt;0.35,K405&gt;=5),"停用候选",IF(AND(N405&gt;=10,P405&lt;0.45),"需修改候选",IF(AND(N405&gt;=10,P405&gt;=0.75,R405/N405&lt;=0.15,S405/N405&lt;=0.15),"升级候选",IF(R405/N405&gt;0.3,"收紧条件",IF(S405/N405&gt;0.3,"补漏／放宽","继续观察"))))))))</x:f>
        <x:v>样本不足</x:v>
      </x:c>
      <x:c r="W405" s="34" t="str">
        <x:f>IF(V405="","",IF(V405="升级候选","已验证候选",IF(V405="停用候选","停用候选",IF(OR(V405="需修改候选",V405="收紧条件",V405="补漏／放宽",V405="优先复核"),"需修改／复核","观察中"))))</x:f>
        <x:v>观察中</x:v>
      </x:c>
      <x:c r="X405" s="34" t="str"/>
      <x:c r="Y405" s="34" t="str"/>
    </x:row>
    <x:row r="406">
      <x:c r="A406" s="34" t="str">
        <x:v>M5-GAP-110</x:v>
      </x:c>
      <x:c r="B406" s="34" t="str">
        <x:v>GAP</x:v>
      </x:c>
      <x:c r="C406" s="34" t="str">
        <x:v>P0_安全与硬门槛</x:v>
      </x:c>
      <x:c r="D406" s="34" t="str">
        <x:v>AX09 主盲点—保护与退出机制｜停止条件</x:v>
      </x:c>
      <x:c r="E406" s="34" t="str">
        <x:v>L1 十项跨模型对照轴</x:v>
      </x:c>
      <x:c r="F406" s="34" t="str">
        <x:v>停止</x:v>
      </x:c>
      <x:c r="G406" s="34" t="n">
        <x:v>98</x:v>
      </x:c>
      <x:c r="H406" s="34" t="str">
        <x:v>待验证</x:v>
      </x:c>
      <x:c r="I406" s="34" t="str"/>
      <x:c r="J406" s="34" t="str"/>
      <x:c r="K406" s="34" t="str"/>
      <x:c r="L406" s="34" t="str"/>
      <x:c r="M406" s="34" t="str"/>
      <x:c r="N406" s="34" t="n">
        <x:f>IF(A406="","",I406+J406+K406)</x:f>
        <x:v>0</x:v>
      </x:c>
      <x:c r="O406" s="56" t="str">
        <x:f>IF(N406=0,"",(I406+0.5*J406)/N406)</x:f>
      </x:c>
      <x:c r="P406" s="56" t="str">
        <x:f>IF(N406=0,"",(I406+0.5*J406+1)/(N406+2))</x:f>
      </x:c>
      <x:c r="Q406" s="34" t="str"/>
      <x:c r="R406" s="34" t="str"/>
      <x:c r="S406" s="34" t="str"/>
      <x:c r="T406" s="34" t="str"/>
      <x:c r="U406" s="34" t="str"/>
      <x:c r="V406" s="34" t="str">
        <x:f>IF(A406="","",IF(N406&lt;5,"样本不足",IF(Q406&gt;=1,"优先复核",IF(AND(N406&gt;=20,P406&lt;0.35,K406&gt;=5),"停用候选",IF(AND(N406&gt;=10,P406&lt;0.45),"需修改候选",IF(AND(N406&gt;=10,P406&gt;=0.75,R406/N406&lt;=0.15,S406/N406&lt;=0.15),"升级候选",IF(R406/N406&gt;0.3,"收紧条件",IF(S406/N406&gt;0.3,"补漏／放宽","继续观察"))))))))</x:f>
        <x:v>样本不足</x:v>
      </x:c>
      <x:c r="W406" s="34" t="str">
        <x:f>IF(V406="","",IF(V406="升级候选","已验证候选",IF(V406="停用候选","停用候选",IF(OR(V406="需修改候选",V406="收紧条件",V406="补漏／放宽",V406="优先复核"),"需修改／复核","观察中"))))</x:f>
        <x:v>观察中</x:v>
      </x:c>
      <x:c r="X406" s="34" t="str"/>
      <x:c r="Y406" s="34" t="str"/>
    </x:row>
    <x:row r="407">
      <x:c r="A407" s="34" t="str">
        <x:v>M5-GAP-120</x:v>
      </x:c>
      <x:c r="B407" s="34" t="str">
        <x:v>GAP</x:v>
      </x:c>
      <x:c r="C407" s="34" t="str">
        <x:v>P0_安全与硬门槛</x:v>
      </x:c>
      <x:c r="D407" s="34" t="str">
        <x:v>AX10 命理结构候选—现实对象与生活门槛｜停止条件</x:v>
      </x:c>
      <x:c r="E407" s="34" t="str">
        <x:v>L1 十项跨模型对照轴</x:v>
      </x:c>
      <x:c r="F407" s="34" t="str">
        <x:v>停止</x:v>
      </x:c>
      <x:c r="G407" s="34" t="n">
        <x:v>98</x:v>
      </x:c>
      <x:c r="H407" s="34" t="str">
        <x:v>待验证</x:v>
      </x:c>
      <x:c r="I407" s="34" t="str"/>
      <x:c r="J407" s="34" t="str"/>
      <x:c r="K407" s="34" t="str"/>
      <x:c r="L407" s="34" t="str"/>
      <x:c r="M407" s="34" t="str"/>
      <x:c r="N407" s="34" t="n">
        <x:f>IF(A407="","",I407+J407+K407)</x:f>
        <x:v>0</x:v>
      </x:c>
      <x:c r="O407" s="56" t="str">
        <x:f>IF(N407=0,"",(I407+0.5*J407)/N407)</x:f>
      </x:c>
      <x:c r="P407" s="56" t="str">
        <x:f>IF(N407=0,"",(I407+0.5*J407+1)/(N407+2))</x:f>
      </x:c>
      <x:c r="Q407" s="34" t="str"/>
      <x:c r="R407" s="34" t="str"/>
      <x:c r="S407" s="34" t="str"/>
      <x:c r="T407" s="34" t="str"/>
      <x:c r="U407" s="34" t="str"/>
      <x:c r="V407" s="34" t="str">
        <x:f>IF(A407="","",IF(N407&lt;5,"样本不足",IF(Q407&gt;=1,"优先复核",IF(AND(N407&gt;=20,P407&lt;0.35,K407&gt;=5),"停用候选",IF(AND(N407&gt;=10,P407&lt;0.45),"需修改候选",IF(AND(N407&gt;=10,P407&gt;=0.75,R407/N407&lt;=0.15,S407/N407&lt;=0.15),"升级候选",IF(R407/N407&gt;0.3,"收紧条件",IF(S407/N407&gt;0.3,"补漏／放宽","继续观察"))))))))</x:f>
        <x:v>样本不足</x:v>
      </x:c>
      <x:c r="W407" s="34" t="str">
        <x:f>IF(V407="","",IF(V407="升级候选","已验证候选",IF(V407="停用候选","停用候选",IF(OR(V407="需修改候选",V407="收紧条件",V407="补漏／放宽",V407="优先复核"),"需修改／复核","观察中"))))</x:f>
        <x:v>观察中</x:v>
      </x:c>
      <x:c r="X407" s="34" t="str"/>
      <x:c r="Y407" s="34" t="str"/>
    </x:row>
    <x:row r="408">
      <x:c r="A408" s="34" t="str">
        <x:v>M5-GAP-548</x:v>
      </x:c>
      <x:c r="B408" s="34" t="str">
        <x:v>GAP</x:v>
      </x:c>
      <x:c r="C408" s="34" t="str">
        <x:v>P0_安全与硬门槛</x:v>
      </x:c>
      <x:c r="D408" s="34" t="str">
        <x:v>M4安全停止覆盖全部比较</x:v>
      </x:c>
      <x:c r="E408" s="34" t="str">
        <x:v>L11 状态、接口、去重与停止</x:v>
      </x:c>
      <x:c r="F408" s="34" t="str">
        <x:v>安全</x:v>
      </x:c>
      <x:c r="G408" s="34" t="n">
        <x:v>98</x:v>
      </x:c>
      <x:c r="H408" s="34" t="str">
        <x:v>待验证</x:v>
      </x:c>
      <x:c r="I408" s="34" t="str"/>
      <x:c r="J408" s="34" t="str"/>
      <x:c r="K408" s="34" t="str"/>
      <x:c r="L408" s="34" t="str"/>
      <x:c r="M408" s="34" t="str"/>
      <x:c r="N408" s="34" t="n">
        <x:f>IF(A408="","",I408+J408+K408)</x:f>
        <x:v>0</x:v>
      </x:c>
      <x:c r="O408" s="56" t="str">
        <x:f>IF(N408=0,"",(I408+0.5*J408)/N408)</x:f>
      </x:c>
      <x:c r="P408" s="56" t="str">
        <x:f>IF(N408=0,"",(I408+0.5*J408+1)/(N408+2))</x:f>
      </x:c>
      <x:c r="Q408" s="34" t="str"/>
      <x:c r="R408" s="34" t="str"/>
      <x:c r="S408" s="34" t="str"/>
      <x:c r="T408" s="34" t="str"/>
      <x:c r="U408" s="34" t="str"/>
      <x:c r="V408" s="34" t="str">
        <x:f>IF(A408="","",IF(N408&lt;5,"样本不足",IF(Q408&gt;=1,"优先复核",IF(AND(N408&gt;=20,P408&lt;0.35,K408&gt;=5),"停用候选",IF(AND(N408&gt;=10,P408&lt;0.45),"需修改候选",IF(AND(N408&gt;=10,P408&gt;=0.75,R408/N408&lt;=0.15,S408/N408&lt;=0.15),"升级候选",IF(R408/N408&gt;0.3,"收紧条件",IF(S408/N408&gt;0.3,"补漏／放宽","继续观察"))))))))</x:f>
        <x:v>样本不足</x:v>
      </x:c>
      <x:c r="W408" s="34" t="str">
        <x:f>IF(V408="","",IF(V408="升级候选","已验证候选",IF(V408="停用候选","停用候选",IF(OR(V408="需修改候选",V408="收紧条件",V408="补漏／放宽",V408="优先复核"),"需修改／复核","观察中"))))</x:f>
        <x:v>观察中</x:v>
      </x:c>
      <x:c r="X408" s="34" t="str"/>
      <x:c r="Y408" s="34" t="str"/>
    </x:row>
    <x:row r="409">
      <x:c r="A409" s="34" t="str">
        <x:v>M5-GAP-574</x:v>
      </x:c>
      <x:c r="B409" s="34" t="str">
        <x:v>GAP</x:v>
      </x:c>
      <x:c r="C409" s="34" t="str">
        <x:v>P0_安全与硬门槛</x:v>
      </x:c>
      <x:c r="D409" s="34" t="str">
        <x:v>M5主结构与现实对象反例冲突</x:v>
      </x:c>
      <x:c r="E409" s="34" t="str">
        <x:v>L11 状态、接口、去重与停止</x:v>
      </x:c>
      <x:c r="F409" s="34" t="str">
        <x:v>停止</x:v>
      </x:c>
      <x:c r="G409" s="34" t="n">
        <x:v>98</x:v>
      </x:c>
      <x:c r="H409" s="34" t="str">
        <x:v>待验证</x:v>
      </x:c>
      <x:c r="I409" s="34" t="str"/>
      <x:c r="J409" s="34" t="str"/>
      <x:c r="K409" s="34" t="str"/>
      <x:c r="L409" s="34" t="str"/>
      <x:c r="M409" s="34" t="str"/>
      <x:c r="N409" s="34" t="n">
        <x:f>IF(A409="","",I409+J409+K409)</x:f>
        <x:v>0</x:v>
      </x:c>
      <x:c r="O409" s="56" t="str">
        <x:f>IF(N409=0,"",(I409+0.5*J409)/N409)</x:f>
      </x:c>
      <x:c r="P409" s="56" t="str">
        <x:f>IF(N409=0,"",(I409+0.5*J409+1)/(N409+2))</x:f>
      </x:c>
      <x:c r="Q409" s="34" t="str"/>
      <x:c r="R409" s="34" t="str"/>
      <x:c r="S409" s="34" t="str"/>
      <x:c r="T409" s="34" t="str"/>
      <x:c r="U409" s="34" t="str"/>
      <x:c r="V409" s="34" t="str">
        <x:f>IF(A409="","",IF(N409&lt;5,"样本不足",IF(Q409&gt;=1,"优先复核",IF(AND(N409&gt;=20,P409&lt;0.35,K409&gt;=5),"停用候选",IF(AND(N409&gt;=10,P409&lt;0.45),"需修改候选",IF(AND(N409&gt;=10,P409&gt;=0.75,R409/N409&lt;=0.15,S409/N409&lt;=0.15),"升级候选",IF(R409/N409&gt;0.3,"收紧条件",IF(S409/N409&gt;0.3,"补漏／放宽","继续观察"))))))))</x:f>
        <x:v>样本不足</x:v>
      </x:c>
      <x:c r="W409" s="34" t="str">
        <x:f>IF(V409="","",IF(V409="升级候选","已验证候选",IF(V409="停用候选","停用候选",IF(OR(V409="需修改候选",V409="收紧条件",V409="补漏／放宽",V409="优先复核"),"需修改／复核","观察中"))))</x:f>
        <x:v>观察中</x:v>
      </x:c>
      <x:c r="X409" s="34" t="str"/>
      <x:c r="Y409" s="34" t="str"/>
    </x:row>
    <x:row r="410">
      <x:c r="A410" s="34" t="str">
        <x:v>M5-GAP-583</x:v>
      </x:c>
      <x:c r="B410" s="34" t="str">
        <x:v>GAP</x:v>
      </x:c>
      <x:c r="C410" s="34" t="str">
        <x:v>P0_安全与硬门槛</x:v>
      </x:c>
      <x:c r="D410" s="34" t="str">
        <x:v>合化争议停止精细比较</x:v>
      </x:c>
      <x:c r="E410" s="34" t="str">
        <x:v>L11 状态、接口、去重与停止</x:v>
      </x:c>
      <x:c r="F410" s="34" t="str">
        <x:v>停止</x:v>
      </x:c>
      <x:c r="G410" s="34" t="n">
        <x:v>98</x:v>
      </x:c>
      <x:c r="H410" s="34" t="str">
        <x:v>待验证</x:v>
      </x:c>
      <x:c r="I410" s="34" t="str"/>
      <x:c r="J410" s="34" t="str"/>
      <x:c r="K410" s="34" t="str"/>
      <x:c r="L410" s="34" t="str"/>
      <x:c r="M410" s="34" t="str"/>
      <x:c r="N410" s="34" t="n">
        <x:f>IF(A410="","",I410+J410+K410)</x:f>
        <x:v>0</x:v>
      </x:c>
      <x:c r="O410" s="56" t="str">
        <x:f>IF(N410=0,"",(I410+0.5*J410)/N410)</x:f>
      </x:c>
      <x:c r="P410" s="56" t="str">
        <x:f>IF(N410=0,"",(I410+0.5*J410+1)/(N410+2))</x:f>
      </x:c>
      <x:c r="Q410" s="34" t="str"/>
      <x:c r="R410" s="34" t="str"/>
      <x:c r="S410" s="34" t="str"/>
      <x:c r="T410" s="34" t="str"/>
      <x:c r="U410" s="34" t="str"/>
      <x:c r="V410" s="34" t="str">
        <x:f>IF(A410="","",IF(N410&lt;5,"样本不足",IF(Q410&gt;=1,"优先复核",IF(AND(N410&gt;=20,P410&lt;0.35,K410&gt;=5),"停用候选",IF(AND(N410&gt;=10,P410&lt;0.45),"需修改候选",IF(AND(N410&gt;=10,P410&gt;=0.75,R410/N410&lt;=0.15,S410/N410&lt;=0.15),"升级候选",IF(R410/N410&gt;0.3,"收紧条件",IF(S410/N410&gt;0.3,"补漏／放宽","继续观察"))))))))</x:f>
        <x:v>样本不足</x:v>
      </x:c>
      <x:c r="W410" s="34" t="str">
        <x:f>IF(V410="","",IF(V410="升级候选","已验证候选",IF(V410="停用候选","停用候选",IF(OR(V410="需修改候选",V410="收紧条件",V410="补漏／放宽",V410="优先复核"),"需修改／复核","观察中"))))</x:f>
        <x:v>观察中</x:v>
      </x:c>
      <x:c r="X410" s="34" t="str"/>
      <x:c r="Y410" s="34" t="str"/>
    </x:row>
    <x:row r="411">
      <x:c r="A411" s="34" t="str">
        <x:v>M5-GAP-588</x:v>
      </x:c>
      <x:c r="B411" s="34" t="str">
        <x:v>GAP</x:v>
      </x:c>
      <x:c r="C411" s="34" t="str">
        <x:v>P0_安全与硬门槛</x:v>
      </x:c>
      <x:c r="D411" s="34" t="str">
        <x:v>现实强反例覆盖结构一致</x:v>
      </x:c>
      <x:c r="E411" s="34" t="str">
        <x:v>L11 状态、接口、去重与停止</x:v>
      </x:c>
      <x:c r="F411" s="34" t="str">
        <x:v>停止</x:v>
      </x:c>
      <x:c r="G411" s="34" t="n">
        <x:v>98</x:v>
      </x:c>
      <x:c r="H411" s="34" t="str">
        <x:v>待验证</x:v>
      </x:c>
      <x:c r="I411" s="34" t="str"/>
      <x:c r="J411" s="34" t="str"/>
      <x:c r="K411" s="34" t="str"/>
      <x:c r="L411" s="34" t="str"/>
      <x:c r="M411" s="34" t="str"/>
      <x:c r="N411" s="34" t="n">
        <x:f>IF(A411="","",I411+J411+K411)</x:f>
        <x:v>0</x:v>
      </x:c>
      <x:c r="O411" s="56" t="str">
        <x:f>IF(N411=0,"",(I411+0.5*J411)/N411)</x:f>
      </x:c>
      <x:c r="P411" s="56" t="str">
        <x:f>IF(N411=0,"",(I411+0.5*J411+1)/(N411+2))</x:f>
      </x:c>
      <x:c r="Q411" s="34" t="str"/>
      <x:c r="R411" s="34" t="str"/>
      <x:c r="S411" s="34" t="str"/>
      <x:c r="T411" s="34" t="str"/>
      <x:c r="U411" s="34" t="str"/>
      <x:c r="V411" s="34" t="str">
        <x:f>IF(A411="","",IF(N411&lt;5,"样本不足",IF(Q411&gt;=1,"优先复核",IF(AND(N411&gt;=20,P411&lt;0.35,K411&gt;=5),"停用候选",IF(AND(N411&gt;=10,P411&lt;0.45),"需修改候选",IF(AND(N411&gt;=10,P411&gt;=0.75,R411/N411&lt;=0.15,S411/N411&lt;=0.15),"升级候选",IF(R411/N411&gt;0.3,"收紧条件",IF(S411/N411&gt;0.3,"补漏／放宽","继续观察"))))))))</x:f>
        <x:v>样本不足</x:v>
      </x:c>
      <x:c r="W411" s="34" t="str">
        <x:f>IF(V411="","",IF(V411="升级候选","已验证候选",IF(V411="停用候选","停用候选",IF(OR(V411="需修改候选",V411="收紧条件",V411="补漏／放宽",V411="优先复核"),"需修改／复核","观察中"))))</x:f>
        <x:v>观察中</x:v>
      </x:c>
      <x:c r="X411" s="34" t="str"/>
      <x:c r="Y411" s="34" t="str"/>
    </x:row>
    <x:row r="412">
      <x:c r="A412" s="34" t="str">
        <x:v>M5-GAP-589</x:v>
      </x:c>
      <x:c r="B412" s="34" t="str">
        <x:v>GAP</x:v>
      </x:c>
      <x:c r="C412" s="34" t="str">
        <x:v>P0_安全与硬门槛</x:v>
      </x:c>
      <x:c r="D412" s="34" t="str">
        <x:v>资料不足停止总体状态</x:v>
      </x:c>
      <x:c r="E412" s="34" t="str">
        <x:v>L11 状态、接口、去重与停止</x:v>
      </x:c>
      <x:c r="F412" s="34" t="str">
        <x:v>停止</x:v>
      </x:c>
      <x:c r="G412" s="34" t="n">
        <x:v>98</x:v>
      </x:c>
      <x:c r="H412" s="34" t="str">
        <x:v>待验证</x:v>
      </x:c>
      <x:c r="I412" s="34" t="str"/>
      <x:c r="J412" s="34" t="str"/>
      <x:c r="K412" s="34" t="str"/>
      <x:c r="L412" s="34" t="str"/>
      <x:c r="M412" s="34" t="str"/>
      <x:c r="N412" s="34" t="n">
        <x:f>IF(A412="","",I412+J412+K412)</x:f>
        <x:v>0</x:v>
      </x:c>
      <x:c r="O412" s="56" t="str">
        <x:f>IF(N412=0,"",(I412+0.5*J412)/N412)</x:f>
      </x:c>
      <x:c r="P412" s="56" t="str">
        <x:f>IF(N412=0,"",(I412+0.5*J412+1)/(N412+2))</x:f>
      </x:c>
      <x:c r="Q412" s="34" t="str"/>
      <x:c r="R412" s="34" t="str"/>
      <x:c r="S412" s="34" t="str"/>
      <x:c r="T412" s="34" t="str"/>
      <x:c r="U412" s="34" t="str"/>
      <x:c r="V412" s="34" t="str">
        <x:f>IF(A412="","",IF(N412&lt;5,"样本不足",IF(Q412&gt;=1,"优先复核",IF(AND(N412&gt;=20,P412&lt;0.35,K412&gt;=5),"停用候选",IF(AND(N412&gt;=10,P412&lt;0.45),"需修改候选",IF(AND(N412&gt;=10,P412&gt;=0.75,R412/N412&lt;=0.15,S412/N412&lt;=0.15),"升级候选",IF(R412/N412&gt;0.3,"收紧条件",IF(S412/N412&gt;0.3,"补漏／放宽","继续观察"))))))))</x:f>
        <x:v>样本不足</x:v>
      </x:c>
      <x:c r="W412" s="34" t="str">
        <x:f>IF(V412="","",IF(V412="升级候选","已验证候选",IF(V412="停用候选","停用候选",IF(OR(V412="需修改候选",V412="收紧条件",V412="补漏／放宽",V412="优先复核"),"需修改／复核","观察中"))))</x:f>
        <x:v>观察中</x:v>
      </x:c>
      <x:c r="X412" s="34" t="str"/>
      <x:c r="Y412" s="34" t="str"/>
    </x:row>
    <x:row r="413">
      <x:c r="A413" s="34" t="str">
        <x:v>M5-GAP-601</x:v>
      </x:c>
      <x:c r="B413" s="34" t="str">
        <x:v>GAP</x:v>
      </x:c>
      <x:c r="C413" s="34" t="str">
        <x:v>P0_安全与硬门槛</x:v>
      </x:c>
      <x:c r="D413" s="34" t="str">
        <x:v>GS08未定安全停止</x:v>
      </x:c>
      <x:c r="E413" s="34" t="str">
        <x:v>L12 评分、报告与校准</x:v>
      </x:c>
      <x:c r="F413" s="34" t="str">
        <x:v>停止</x:v>
      </x:c>
      <x:c r="G413" s="34" t="n">
        <x:v>98</x:v>
      </x:c>
      <x:c r="H413" s="34" t="str">
        <x:v>待验证</x:v>
      </x:c>
      <x:c r="I413" s="34" t="str"/>
      <x:c r="J413" s="34" t="str"/>
      <x:c r="K413" s="34" t="str"/>
      <x:c r="L413" s="34" t="str"/>
      <x:c r="M413" s="34" t="str"/>
      <x:c r="N413" s="34" t="n">
        <x:f>IF(A413="","",I413+J413+K413)</x:f>
        <x:v>0</x:v>
      </x:c>
      <x:c r="O413" s="56" t="str">
        <x:f>IF(N413=0,"",(I413+0.5*J413)/N413)</x:f>
      </x:c>
      <x:c r="P413" s="56" t="str">
        <x:f>IF(N413=0,"",(I413+0.5*J413+1)/(N413+2))</x:f>
      </x:c>
      <x:c r="Q413" s="34" t="str"/>
      <x:c r="R413" s="34" t="str"/>
      <x:c r="S413" s="34" t="str"/>
      <x:c r="T413" s="34" t="str"/>
      <x:c r="U413" s="34" t="str"/>
      <x:c r="V413" s="34" t="str">
        <x:f>IF(A413="","",IF(N413&lt;5,"样本不足",IF(Q413&gt;=1,"优先复核",IF(AND(N413&gt;=20,P413&lt;0.35,K413&gt;=5),"停用候选",IF(AND(N413&gt;=10,P413&lt;0.45),"需修改候选",IF(AND(N413&gt;=10,P413&gt;=0.75,R413/N413&lt;=0.15,S413/N413&lt;=0.15),"升级候选",IF(R413/N413&gt;0.3,"收紧条件",IF(S413/N413&gt;0.3,"补漏／放宽","继续观察"))))))))</x:f>
        <x:v>样本不足</x:v>
      </x:c>
      <x:c r="W413" s="34" t="str">
        <x:f>IF(V413="","",IF(V413="升级候选","已验证候选",IF(V413="停用候选","停用候选",IF(OR(V413="需修改候选",V413="收紧条件",V413="补漏／放宽",V413="优先复核"),"需修改／复核","观察中"))))</x:f>
        <x:v>观察中</x:v>
      </x:c>
      <x:c r="X413" s="34" t="str"/>
      <x:c r="Y413" s="34" t="str"/>
    </x:row>
    <x:row r="414">
      <x:c r="A414" s="34" t="str">
        <x:v>M5-GAP-604</x:v>
      </x:c>
      <x:c r="B414" s="34" t="str">
        <x:v>GAP</x:v>
      </x:c>
      <x:c r="C414" s="34" t="str">
        <x:v>P0_安全与硬门槛</x:v>
      </x:c>
      <x:c r="D414" s="34" t="str">
        <x:v>GE0门槛</x:v>
      </x:c>
      <x:c r="E414" s="34" t="str">
        <x:v>L12 评分、报告与校准</x:v>
      </x:c>
      <x:c r="F414" s="34" t="str">
        <x:v>停止</x:v>
      </x:c>
      <x:c r="G414" s="34" t="n">
        <x:v>98</x:v>
      </x:c>
      <x:c r="H414" s="34" t="str">
        <x:v>待验证</x:v>
      </x:c>
      <x:c r="I414" s="34" t="str"/>
      <x:c r="J414" s="34" t="str"/>
      <x:c r="K414" s="34" t="str"/>
      <x:c r="L414" s="34" t="str"/>
      <x:c r="M414" s="34" t="str"/>
      <x:c r="N414" s="34" t="n">
        <x:f>IF(A414="","",I414+J414+K414)</x:f>
        <x:v>0</x:v>
      </x:c>
      <x:c r="O414" s="56" t="str">
        <x:f>IF(N414=0,"",(I414+0.5*J414)/N414)</x:f>
      </x:c>
      <x:c r="P414" s="56" t="str">
        <x:f>IF(N414=0,"",(I414+0.5*J414+1)/(N414+2))</x:f>
      </x:c>
      <x:c r="Q414" s="34" t="str"/>
      <x:c r="R414" s="34" t="str"/>
      <x:c r="S414" s="34" t="str"/>
      <x:c r="T414" s="34" t="str"/>
      <x:c r="U414" s="34" t="str"/>
      <x:c r="V414" s="34" t="str">
        <x:f>IF(A414="","",IF(N414&lt;5,"样本不足",IF(Q414&gt;=1,"优先复核",IF(AND(N414&gt;=20,P414&lt;0.35,K414&gt;=5),"停用候选",IF(AND(N414&gt;=10,P414&lt;0.45),"需修改候选",IF(AND(N414&gt;=10,P414&gt;=0.75,R414/N414&lt;=0.15,S414/N414&lt;=0.15),"升级候选",IF(R414/N414&gt;0.3,"收紧条件",IF(S414/N414&gt;0.3,"补漏／放宽","继续观察"))))))))</x:f>
        <x:v>样本不足</x:v>
      </x:c>
      <x:c r="W414" s="34" t="str">
        <x:f>IF(V414="","",IF(V414="升级候选","已验证候选",IF(V414="停用候选","停用候选",IF(OR(V414="需修改候选",V414="收紧条件",V414="补漏／放宽",V414="优先复核"),"需修改／复核","观察中"))))</x:f>
        <x:v>观察中</x:v>
      </x:c>
      <x:c r="X414" s="34" t="str"/>
      <x:c r="Y414" s="34" t="str"/>
    </x:row>
    <x:row r="415">
      <x:c r="A415" s="34" t="str">
        <x:v>M5-GAP-625</x:v>
      </x:c>
      <x:c r="B415" s="34" t="str">
        <x:v>GAP</x:v>
      </x:c>
      <x:c r="C415" s="34" t="str">
        <x:v>P0_安全与硬门槛</x:v>
      </x:c>
      <x:c r="D415" s="34" t="str">
        <x:v>安全高优先级门控</x:v>
      </x:c>
      <x:c r="E415" s="34" t="str">
        <x:v>L12 评分、报告与校准</x:v>
      </x:c>
      <x:c r="F415" s="34" t="str">
        <x:v>安全</x:v>
      </x:c>
      <x:c r="G415" s="34" t="n">
        <x:v>98</x:v>
      </x:c>
      <x:c r="H415" s="34" t="str">
        <x:v>待验证</x:v>
      </x:c>
      <x:c r="I415" s="34" t="str"/>
      <x:c r="J415" s="34" t="str"/>
      <x:c r="K415" s="34" t="str"/>
      <x:c r="L415" s="34" t="str"/>
      <x:c r="M415" s="34" t="str"/>
      <x:c r="N415" s="34" t="n">
        <x:f>IF(A415="","",I415+J415+K415)</x:f>
        <x:v>0</x:v>
      </x:c>
      <x:c r="O415" s="56" t="str">
        <x:f>IF(N415=0,"",(I415+0.5*J415)/N415)</x:f>
      </x:c>
      <x:c r="P415" s="56" t="str">
        <x:f>IF(N415=0,"",(I415+0.5*J415+1)/(N415+2))</x:f>
      </x:c>
      <x:c r="Q415" s="34" t="str"/>
      <x:c r="R415" s="34" t="str"/>
      <x:c r="S415" s="34" t="str"/>
      <x:c r="T415" s="34" t="str"/>
      <x:c r="U415" s="34" t="str"/>
      <x:c r="V415" s="34" t="str">
        <x:f>IF(A415="","",IF(N415&lt;5,"样本不足",IF(Q415&gt;=1,"优先复核",IF(AND(N415&gt;=20,P415&lt;0.35,K415&gt;=5),"停用候选",IF(AND(N415&gt;=10,P415&lt;0.45),"需修改候选",IF(AND(N415&gt;=10,P415&gt;=0.75,R415/N415&lt;=0.15,S415/N415&lt;=0.15),"升级候选",IF(R415/N415&gt;0.3,"收紧条件",IF(S415/N415&gt;0.3,"补漏／放宽","继续观察"))))))))</x:f>
        <x:v>样本不足</x:v>
      </x:c>
      <x:c r="W415" s="34" t="str">
        <x:f>IF(V415="","",IF(V415="升级候选","已验证候选",IF(V415="停用候选","停用候选",IF(OR(V415="需修改候选",V415="收紧条件",V415="补漏／放宽",V415="优先复核"),"需修改／复核","观察中"))))</x:f>
        <x:v>观察中</x:v>
      </x:c>
      <x:c r="X415" s="34" t="str"/>
      <x:c r="Y415" s="34" t="str"/>
    </x:row>
    <x:row r="416">
      <x:c r="A416" s="34" t="str">
        <x:v>M5-GAP-626</x:v>
      </x:c>
      <x:c r="B416" s="34" t="str">
        <x:v>GAP</x:v>
      </x:c>
      <x:c r="C416" s="34" t="str">
        <x:v>P0_安全与硬门槛</x:v>
      </x:c>
      <x:c r="D416" s="34" t="str">
        <x:v>现实核心门槛否决</x:v>
      </x:c>
      <x:c r="E416" s="34" t="str">
        <x:v>L12 评分、报告与校准</x:v>
      </x:c>
      <x:c r="F416" s="34" t="str">
        <x:v>停止</x:v>
      </x:c>
      <x:c r="G416" s="34" t="n">
        <x:v>98</x:v>
      </x:c>
      <x:c r="H416" s="34" t="str">
        <x:v>待验证</x:v>
      </x:c>
      <x:c r="I416" s="34" t="str"/>
      <x:c r="J416" s="34" t="str"/>
      <x:c r="K416" s="34" t="str"/>
      <x:c r="L416" s="34" t="str"/>
      <x:c r="M416" s="34" t="str"/>
      <x:c r="N416" s="34" t="n">
        <x:f>IF(A416="","",I416+J416+K416)</x:f>
        <x:v>0</x:v>
      </x:c>
      <x:c r="O416" s="56" t="str">
        <x:f>IF(N416=0,"",(I416+0.5*J416)/N416)</x:f>
      </x:c>
      <x:c r="P416" s="56" t="str">
        <x:f>IF(N416=0,"",(I416+0.5*J416+1)/(N416+2))</x:f>
      </x:c>
      <x:c r="Q416" s="34" t="str"/>
      <x:c r="R416" s="34" t="str"/>
      <x:c r="S416" s="34" t="str"/>
      <x:c r="T416" s="34" t="str"/>
      <x:c r="U416" s="34" t="str"/>
      <x:c r="V416" s="34" t="str">
        <x:f>IF(A416="","",IF(N416&lt;5,"样本不足",IF(Q416&gt;=1,"优先复核",IF(AND(N416&gt;=20,P416&lt;0.35,K416&gt;=5),"停用候选",IF(AND(N416&gt;=10,P416&lt;0.45),"需修改候选",IF(AND(N416&gt;=10,P416&gt;=0.75,R416/N416&lt;=0.15,S416/N416&lt;=0.15),"升级候选",IF(R416/N416&gt;0.3,"收紧条件",IF(S416/N416&gt;0.3,"补漏／放宽","继续观察"))))))))</x:f>
        <x:v>样本不足</x:v>
      </x:c>
      <x:c r="W416" s="34" t="str">
        <x:f>IF(V416="","",IF(V416="升级候选","已验证候选",IF(V416="停用候选","停用候选",IF(OR(V416="需修改候选",V416="收紧条件",V416="补漏／放宽",V416="优先复核"),"需修改／复核","观察中"))))</x:f>
        <x:v>观察中</x:v>
      </x:c>
      <x:c r="X416" s="34" t="str"/>
      <x:c r="Y416" s="34" t="str"/>
    </x:row>
    <x:row r="417">
      <x:c r="A417" s="34" t="str">
        <x:v>M5-GAP-629</x:v>
      </x:c>
      <x:c r="B417" s="34" t="str">
        <x:v>GAP</x:v>
      </x:c>
      <x:c r="C417" s="34" t="str">
        <x:v>P0_安全与硬门槛</x:v>
      </x:c>
      <x:c r="D417" s="34" t="str">
        <x:v>单方牺牲桥接停止</x:v>
      </x:c>
      <x:c r="E417" s="34" t="str">
        <x:v>L12 评分、报告与校准</x:v>
      </x:c>
      <x:c r="F417" s="34" t="str">
        <x:v>停止</x:v>
      </x:c>
      <x:c r="G417" s="34" t="n">
        <x:v>98</x:v>
      </x:c>
      <x:c r="H417" s="34" t="str">
        <x:v>待验证</x:v>
      </x:c>
      <x:c r="I417" s="34" t="str"/>
      <x:c r="J417" s="34" t="str"/>
      <x:c r="K417" s="34" t="str"/>
      <x:c r="L417" s="34" t="str"/>
      <x:c r="M417" s="34" t="str"/>
      <x:c r="N417" s="34" t="n">
        <x:f>IF(A417="","",I417+J417+K417)</x:f>
        <x:v>0</x:v>
      </x:c>
      <x:c r="O417" s="56" t="str">
        <x:f>IF(N417=0,"",(I417+0.5*J417)/N417)</x:f>
      </x:c>
      <x:c r="P417" s="56" t="str">
        <x:f>IF(N417=0,"",(I417+0.5*J417+1)/(N417+2))</x:f>
      </x:c>
      <x:c r="Q417" s="34" t="str"/>
      <x:c r="R417" s="34" t="str"/>
      <x:c r="S417" s="34" t="str"/>
      <x:c r="T417" s="34" t="str"/>
      <x:c r="U417" s="34" t="str"/>
      <x:c r="V417" s="34" t="str">
        <x:f>IF(A417="","",IF(N417&lt;5,"样本不足",IF(Q417&gt;=1,"优先复核",IF(AND(N417&gt;=20,P417&lt;0.35,K417&gt;=5),"停用候选",IF(AND(N417&gt;=10,P417&lt;0.45),"需修改候选",IF(AND(N417&gt;=10,P417&gt;=0.75,R417/N417&lt;=0.15,S417/N417&lt;=0.15),"升级候选",IF(R417/N417&gt;0.3,"收紧条件",IF(S417/N417&gt;0.3,"补漏／放宽","继续观察"))))))))</x:f>
        <x:v>样本不足</x:v>
      </x:c>
      <x:c r="W417" s="34" t="str">
        <x:f>IF(V417="","",IF(V417="升级候选","已验证候选",IF(V417="停用候选","停用候选",IF(OR(V417="需修改候选",V417="收紧条件",V417="补漏／放宽",V417="优先复核"),"需修改／复核","观察中"))))</x:f>
        <x:v>观察中</x:v>
      </x:c>
      <x:c r="X417" s="34" t="str"/>
      <x:c r="Y417" s="34" t="str"/>
    </x:row>
    <x:row r="418">
      <x:c r="A418" s="34" t="str">
        <x:v>M5-PARTNER-424</x:v>
      </x:c>
      <x:c r="B418" s="34" t="str">
        <x:v>PARTNER</x:v>
      </x:c>
      <x:c r="C418" s="34" t="str">
        <x:v>P0_安全与硬门槛</x:v>
      </x:c>
      <x:c r="D418" s="34" t="str">
        <x:v>安全门控</x:v>
      </x:c>
      <x:c r="E418" s="34" t="str">
        <x:v>L9 评分、报告与校准</x:v>
      </x:c>
      <x:c r="F418" s="34" t="str">
        <x:v>停止</x:v>
      </x:c>
      <x:c r="G418" s="34" t="n">
        <x:v>98</x:v>
      </x:c>
      <x:c r="H418" s="34" t="str">
        <x:v>待验证</x:v>
      </x:c>
      <x:c r="I418" s="34" t="str"/>
      <x:c r="J418" s="34" t="str"/>
      <x:c r="K418" s="34" t="str"/>
      <x:c r="L418" s="34" t="str"/>
      <x:c r="M418" s="34" t="str"/>
      <x:c r="N418" s="34" t="n">
        <x:f>IF(A418="","",I418+J418+K418)</x:f>
        <x:v>0</x:v>
      </x:c>
      <x:c r="O418" s="56" t="str">
        <x:f>IF(N418=0,"",(I418+0.5*J418)/N418)</x:f>
      </x:c>
      <x:c r="P418" s="56" t="str">
        <x:f>IF(N418=0,"",(I418+0.5*J418+1)/(N418+2))</x:f>
      </x:c>
      <x:c r="Q418" s="34" t="str"/>
      <x:c r="R418" s="34" t="str"/>
      <x:c r="S418" s="34" t="str"/>
      <x:c r="T418" s="34" t="str"/>
      <x:c r="U418" s="34" t="str"/>
      <x:c r="V418" s="34" t="str">
        <x:f>IF(A418="","",IF(N418&lt;5,"样本不足",IF(Q418&gt;=1,"优先复核",IF(AND(N418&gt;=20,P418&lt;0.35,K418&gt;=5),"停用候选",IF(AND(N418&gt;=10,P418&lt;0.45),"需修改候选",IF(AND(N418&gt;=10,P418&gt;=0.75,R418/N418&lt;=0.15,S418/N418&lt;=0.15),"升级候选",IF(R418/N418&gt;0.3,"收紧条件",IF(S418/N418&gt;0.3,"补漏／放宽","继续观察"))))))))</x:f>
        <x:v>样本不足</x:v>
      </x:c>
      <x:c r="W418" s="34" t="str">
        <x:f>IF(V418="","",IF(V418="升级候选","已验证候选",IF(V418="停用候选","停用候选",IF(OR(V418="需修改候选",V418="收紧条件",V418="补漏／放宽",V418="优先复核"),"需修改／复核","观察中"))))</x:f>
        <x:v>观察中</x:v>
      </x:c>
      <x:c r="X418" s="34" t="str"/>
      <x:c r="Y418" s="34" t="str"/>
    </x:row>
    <x:row r="419">
      <x:c r="A419" s="34" t="str">
        <x:v>M5-PARTNER-425</x:v>
      </x:c>
      <x:c r="B419" s="34" t="str">
        <x:v>PARTNER</x:v>
      </x:c>
      <x:c r="C419" s="34" t="str">
        <x:v>P0_安全与硬门槛</x:v>
      </x:c>
      <x:c r="D419" s="34" t="str">
        <x:v>合化争议门控</x:v>
      </x:c>
      <x:c r="E419" s="34" t="str">
        <x:v>L9 评分、报告与校准</x:v>
      </x:c>
      <x:c r="F419" s="34" t="str">
        <x:v>停止</x:v>
      </x:c>
      <x:c r="G419" s="34" t="n">
        <x:v>98</x:v>
      </x:c>
      <x:c r="H419" s="34" t="str">
        <x:v>待验证</x:v>
      </x:c>
      <x:c r="I419" s="34" t="str"/>
      <x:c r="J419" s="34" t="str"/>
      <x:c r="K419" s="34" t="str"/>
      <x:c r="L419" s="34" t="str"/>
      <x:c r="M419" s="34" t="str"/>
      <x:c r="N419" s="34" t="n">
        <x:f>IF(A419="","",I419+J419+K419)</x:f>
        <x:v>0</x:v>
      </x:c>
      <x:c r="O419" s="56" t="str">
        <x:f>IF(N419=0,"",(I419+0.5*J419)/N419)</x:f>
      </x:c>
      <x:c r="P419" s="56" t="str">
        <x:f>IF(N419=0,"",(I419+0.5*J419+1)/(N419+2))</x:f>
      </x:c>
      <x:c r="Q419" s="34" t="str"/>
      <x:c r="R419" s="34" t="str"/>
      <x:c r="S419" s="34" t="str"/>
      <x:c r="T419" s="34" t="str"/>
      <x:c r="U419" s="34" t="str"/>
      <x:c r="V419" s="34" t="str">
        <x:f>IF(A419="","",IF(N419&lt;5,"样本不足",IF(Q419&gt;=1,"优先复核",IF(AND(N419&gt;=20,P419&lt;0.35,K419&gt;=5),"停用候选",IF(AND(N419&gt;=10,P419&lt;0.45),"需修改候选",IF(AND(N419&gt;=10,P419&gt;=0.75,R419/N419&lt;=0.15,S419/N419&lt;=0.15),"升级候选",IF(R419/N419&gt;0.3,"收紧条件",IF(S419/N419&gt;0.3,"补漏／放宽","继续观察"))))))))</x:f>
        <x:v>样本不足</x:v>
      </x:c>
      <x:c r="W419" s="34" t="str">
        <x:f>IF(V419="","",IF(V419="升级候选","已验证候选",IF(V419="停用候选","停用候选",IF(OR(V419="需修改候选",V419="收紧条件",V419="补漏／放宽",V419="优先复核"),"需修改／复核","观察中"))))</x:f>
        <x:v>观察中</x:v>
      </x:c>
      <x:c r="X419" s="34" t="str"/>
      <x:c r="Y419" s="34" t="str"/>
    </x:row>
    <x:row r="420">
      <x:c r="A420" s="34" t="str">
        <x:v>M5-REPAIR-477</x:v>
      </x:c>
      <x:c r="B420" s="34" t="str">
        <x:v>REPAIR</x:v>
      </x:c>
      <x:c r="C420" s="34" t="str">
        <x:v>P0_安全与硬门槛</x:v>
      </x:c>
      <x:c r="D420" s="34" t="str">
        <x:v>M4-RN01停止伤害接口</x:v>
      </x:c>
      <x:c r="E420" s="34" t="str">
        <x:v>L10 状态、接口、去重与停止</x:v>
      </x:c>
      <x:c r="F420" s="34" t="str">
        <x:v>安全</x:v>
      </x:c>
      <x:c r="G420" s="34" t="n">
        <x:v>98</x:v>
      </x:c>
      <x:c r="H420" s="34" t="str">
        <x:v>待验证</x:v>
      </x:c>
      <x:c r="I420" s="34" t="str"/>
      <x:c r="J420" s="34" t="str"/>
      <x:c r="K420" s="34" t="str"/>
      <x:c r="L420" s="34" t="str"/>
      <x:c r="M420" s="34" t="str"/>
      <x:c r="N420" s="34" t="n">
        <x:f>IF(A420="","",I420+J420+K420)</x:f>
        <x:v>0</x:v>
      </x:c>
      <x:c r="O420" s="56" t="str">
        <x:f>IF(N420=0,"",(I420+0.5*J420)/N420)</x:f>
      </x:c>
      <x:c r="P420" s="56" t="str">
        <x:f>IF(N420=0,"",(I420+0.5*J420+1)/(N420+2))</x:f>
      </x:c>
      <x:c r="Q420" s="34" t="str"/>
      <x:c r="R420" s="34" t="str"/>
      <x:c r="S420" s="34" t="str"/>
      <x:c r="T420" s="34" t="str"/>
      <x:c r="U420" s="34" t="str"/>
      <x:c r="V420" s="34" t="str">
        <x:f>IF(A420="","",IF(N420&lt;5,"样本不足",IF(Q420&gt;=1,"优先复核",IF(AND(N420&gt;=20,P420&lt;0.35,K420&gt;=5),"停用候选",IF(AND(N420&gt;=10,P420&lt;0.45),"需修改候选",IF(AND(N420&gt;=10,P420&gt;=0.75,R420/N420&lt;=0.15,S420/N420&lt;=0.15),"升级候选",IF(R420/N420&gt;0.3,"收紧条件",IF(S420/N420&gt;0.3,"补漏／放宽","继续观察"))))))))</x:f>
        <x:v>样本不足</x:v>
      </x:c>
      <x:c r="W420" s="34" t="str">
        <x:f>IF(V420="","",IF(V420="升级候选","已验证候选",IF(V420="停用候选","停用候选",IF(OR(V420="需修改候选",V420="收紧条件",V420="补漏／放宽",V420="优先复核"),"需修改／复核","观察中"))))</x:f>
        <x:v>观察中</x:v>
      </x:c>
      <x:c r="X420" s="34" t="str"/>
      <x:c r="Y420" s="34" t="str"/>
    </x:row>
    <x:row r="421">
      <x:c r="A421" s="34" t="str">
        <x:v>M5-REPAIR-504</x:v>
      </x:c>
      <x:c r="B421" s="34" t="str">
        <x:v>REPAIR</x:v>
      </x:c>
      <x:c r="C421" s="34" t="str">
        <x:v>P0_安全与硬门槛</x:v>
      </x:c>
      <x:c r="D421" s="34" t="str">
        <x:v>现实强反例覆盖结构候选</x:v>
      </x:c>
      <x:c r="E421" s="34" t="str">
        <x:v>L10 状态、接口、去重与停止</x:v>
      </x:c>
      <x:c r="F421" s="34" t="str">
        <x:v>停止</x:v>
      </x:c>
      <x:c r="G421" s="34" t="n">
        <x:v>98</x:v>
      </x:c>
      <x:c r="H421" s="34" t="str">
        <x:v>待验证</x:v>
      </x:c>
      <x:c r="I421" s="34" t="str"/>
      <x:c r="J421" s="34" t="str"/>
      <x:c r="K421" s="34" t="str"/>
      <x:c r="L421" s="34" t="str"/>
      <x:c r="M421" s="34" t="str"/>
      <x:c r="N421" s="34" t="n">
        <x:f>IF(A421="","",I421+J421+K421)</x:f>
        <x:v>0</x:v>
      </x:c>
      <x:c r="O421" s="56" t="str">
        <x:f>IF(N421=0,"",(I421+0.5*J421)/N421)</x:f>
      </x:c>
      <x:c r="P421" s="56" t="str">
        <x:f>IF(N421=0,"",(I421+0.5*J421+1)/(N421+2))</x:f>
      </x:c>
      <x:c r="Q421" s="34" t="str"/>
      <x:c r="R421" s="34" t="str"/>
      <x:c r="S421" s="34" t="str"/>
      <x:c r="T421" s="34" t="str"/>
      <x:c r="U421" s="34" t="str"/>
      <x:c r="V421" s="34" t="str">
        <x:f>IF(A421="","",IF(N421&lt;5,"样本不足",IF(Q421&gt;=1,"优先复核",IF(AND(N421&gt;=20,P421&lt;0.35,K421&gt;=5),"停用候选",IF(AND(N421&gt;=10,P421&lt;0.45),"需修改候选",IF(AND(N421&gt;=10,P421&gt;=0.75,R421/N421&lt;=0.15,S421/N421&lt;=0.15),"升级候选",IF(R421/N421&gt;0.3,"收紧条件",IF(S421/N421&gt;0.3,"补漏／放宽","继续观察"))))))))</x:f>
        <x:v>样本不足</x:v>
      </x:c>
      <x:c r="W421" s="34" t="str">
        <x:f>IF(V421="","",IF(V421="升级候选","已验证候选",IF(V421="停用候选","停用候选",IF(OR(V421="需修改候选",V421="收紧条件",V421="补漏／放宽",V421="优先复核"),"需修改／复核","观察中"))))</x:f>
        <x:v>观察中</x:v>
      </x:c>
      <x:c r="X421" s="34" t="str"/>
      <x:c r="Y421" s="34" t="str"/>
    </x:row>
    <x:row r="422">
      <x:c r="A422" s="34" t="str">
        <x:v>M5-REPAIR-505</x:v>
      </x:c>
      <x:c r="B422" s="34" t="str">
        <x:v>REPAIR</x:v>
      </x:c>
      <x:c r="C422" s="34" t="str">
        <x:v>P0_安全与硬门槛</x:v>
      </x:c>
      <x:c r="D422" s="34" t="str">
        <x:v>安全风险停止普通修复分析</x:v>
      </x:c>
      <x:c r="E422" s="34" t="str">
        <x:v>L10 状态、接口、去重与停止</x:v>
      </x:c>
      <x:c r="F422" s="34" t="str">
        <x:v>安全</x:v>
      </x:c>
      <x:c r="G422" s="34" t="n">
        <x:v>98</x:v>
      </x:c>
      <x:c r="H422" s="34" t="str">
        <x:v>待验证</x:v>
      </x:c>
      <x:c r="I422" s="34" t="str"/>
      <x:c r="J422" s="34" t="str"/>
      <x:c r="K422" s="34" t="str"/>
      <x:c r="L422" s="34" t="str"/>
      <x:c r="M422" s="34" t="str"/>
      <x:c r="N422" s="34" t="n">
        <x:f>IF(A422="","",I422+J422+K422)</x:f>
        <x:v>0</x:v>
      </x:c>
      <x:c r="O422" s="56" t="str">
        <x:f>IF(N422=0,"",(I422+0.5*J422)/N422)</x:f>
      </x:c>
      <x:c r="P422" s="56" t="str">
        <x:f>IF(N422=0,"",(I422+0.5*J422+1)/(N422+2))</x:f>
      </x:c>
      <x:c r="Q422" s="34" t="str"/>
      <x:c r="R422" s="34" t="str"/>
      <x:c r="S422" s="34" t="str"/>
      <x:c r="T422" s="34" t="str"/>
      <x:c r="U422" s="34" t="str"/>
      <x:c r="V422" s="34" t="str">
        <x:f>IF(A422="","",IF(N422&lt;5,"样本不足",IF(Q422&gt;=1,"优先复核",IF(AND(N422&gt;=20,P422&lt;0.35,K422&gt;=5),"停用候选",IF(AND(N422&gt;=10,P422&lt;0.45),"需修改候选",IF(AND(N422&gt;=10,P422&gt;=0.75,R422/N422&lt;=0.15,S422/N422&lt;=0.15),"升级候选",IF(R422/N422&gt;0.3,"收紧条件",IF(S422/N422&gt;0.3,"补漏／放宽","继续观察"))))))))</x:f>
        <x:v>样本不足</x:v>
      </x:c>
      <x:c r="W422" s="34" t="str">
        <x:f>IF(V422="","",IF(V422="升级候选","已验证候选",IF(V422="停用候选","停用候选",IF(OR(V422="需修改候选",V422="收紧条件",V422="补漏／放宽",V422="优先复核"),"需修改／复核","观察中"))))</x:f>
        <x:v>观察中</x:v>
      </x:c>
      <x:c r="X422" s="34" t="str"/>
      <x:c r="Y422" s="34" t="str"/>
    </x:row>
    <x:row r="423">
      <x:c r="A423" s="34" t="str">
        <x:v>M5-REPAIR-523</x:v>
      </x:c>
      <x:c r="B423" s="34" t="str">
        <x:v>REPAIR</x:v>
      </x:c>
      <x:c r="C423" s="34" t="str">
        <x:v>P0_安全与硬门槛</x:v>
      </x:c>
      <x:c r="D423" s="34" t="str">
        <x:v>RT08未定安全停止</x:v>
      </x:c>
      <x:c r="E423" s="34" t="str">
        <x:v>L11 评分、报告与校准</x:v>
      </x:c>
      <x:c r="F423" s="34" t="str">
        <x:v>停止</x:v>
      </x:c>
      <x:c r="G423" s="34" t="n">
        <x:v>98</x:v>
      </x:c>
      <x:c r="H423" s="34" t="str">
        <x:v>待验证</x:v>
      </x:c>
      <x:c r="I423" s="34" t="str"/>
      <x:c r="J423" s="34" t="str"/>
      <x:c r="K423" s="34" t="str"/>
      <x:c r="L423" s="34" t="str"/>
      <x:c r="M423" s="34" t="str"/>
      <x:c r="N423" s="34" t="n">
        <x:f>IF(A423="","",I423+J423+K423)</x:f>
        <x:v>0</x:v>
      </x:c>
      <x:c r="O423" s="56" t="str">
        <x:f>IF(N423=0,"",(I423+0.5*J423)/N423)</x:f>
      </x:c>
      <x:c r="P423" s="56" t="str">
        <x:f>IF(N423=0,"",(I423+0.5*J423+1)/(N423+2))</x:f>
      </x:c>
      <x:c r="Q423" s="34" t="str"/>
      <x:c r="R423" s="34" t="str"/>
      <x:c r="S423" s="34" t="str"/>
      <x:c r="T423" s="34" t="str"/>
      <x:c r="U423" s="34" t="str"/>
      <x:c r="V423" s="34" t="str">
        <x:f>IF(A423="","",IF(N423&lt;5,"样本不足",IF(Q423&gt;=1,"优先复核",IF(AND(N423&gt;=20,P423&lt;0.35,K423&gt;=5),"停用候选",IF(AND(N423&gt;=10,P423&lt;0.45),"需修改候选",IF(AND(N423&gt;=10,P423&gt;=0.75,R423/N423&lt;=0.15,S423/N423&lt;=0.15),"升级候选",IF(R423/N423&gt;0.3,"收紧条件",IF(S423/N423&gt;0.3,"补漏／放宽","继续观察"))))))))</x:f>
        <x:v>样本不足</x:v>
      </x:c>
      <x:c r="W423" s="34" t="str">
        <x:f>IF(V423="","",IF(V423="升级候选","已验证候选",IF(V423="停用候选","停用候选",IF(OR(V423="需修改候选",V423="收紧条件",V423="补漏／放宽",V423="优先复核"),"需修改／复核","观察中"))))</x:f>
        <x:v>观察中</x:v>
      </x:c>
      <x:c r="X423" s="34" t="str"/>
      <x:c r="Y423" s="34" t="str"/>
    </x:row>
    <x:row r="424">
      <x:c r="A424" s="34" t="str">
        <x:v>M5-REPAIR-531</x:v>
      </x:c>
      <x:c r="B424" s="34" t="str">
        <x:v>REPAIR</x:v>
      </x:c>
      <x:c r="C424" s="34" t="str">
        <x:v>P0_安全与硬门槛</x:v>
      </x:c>
      <x:c r="D424" s="34" t="str">
        <x:v>RO01安全停止加权</x:v>
      </x:c>
      <x:c r="E424" s="34" t="str">
        <x:v>L11 评分、报告与校准</x:v>
      </x:c>
      <x:c r="F424" s="34" t="str">
        <x:v>安全</x:v>
      </x:c>
      <x:c r="G424" s="34" t="n">
        <x:v>98</x:v>
      </x:c>
      <x:c r="H424" s="34" t="str">
        <x:v>待验证</x:v>
      </x:c>
      <x:c r="I424" s="34" t="str"/>
      <x:c r="J424" s="34" t="str"/>
      <x:c r="K424" s="34" t="str"/>
      <x:c r="L424" s="34" t="str"/>
      <x:c r="M424" s="34" t="str"/>
      <x:c r="N424" s="34" t="n">
        <x:f>IF(A424="","",I424+J424+K424)</x:f>
        <x:v>0</x:v>
      </x:c>
      <x:c r="O424" s="56" t="str">
        <x:f>IF(N424=0,"",(I424+0.5*J424)/N424)</x:f>
      </x:c>
      <x:c r="P424" s="56" t="str">
        <x:f>IF(N424=0,"",(I424+0.5*J424+1)/(N424+2))</x:f>
      </x:c>
      <x:c r="Q424" s="34" t="str"/>
      <x:c r="R424" s="34" t="str"/>
      <x:c r="S424" s="34" t="str"/>
      <x:c r="T424" s="34" t="str"/>
      <x:c r="U424" s="34" t="str"/>
      <x:c r="V424" s="34" t="str">
        <x:f>IF(A424="","",IF(N424&lt;5,"样本不足",IF(Q424&gt;=1,"优先复核",IF(AND(N424&gt;=20,P424&lt;0.35,K424&gt;=5),"停用候选",IF(AND(N424&gt;=10,P424&lt;0.45),"需修改候选",IF(AND(N424&gt;=10,P424&gt;=0.75,R424/N424&lt;=0.15,S424/N424&lt;=0.15),"升级候选",IF(R424/N424&gt;0.3,"收紧条件",IF(S424/N424&gt;0.3,"补漏／放宽","继续观察"))))))))</x:f>
        <x:v>样本不足</x:v>
      </x:c>
      <x:c r="W424" s="34" t="str">
        <x:f>IF(V424="","",IF(V424="升级候选","已验证候选",IF(V424="停用候选","停用候选",IF(OR(V424="需修改候选",V424="收紧条件",V424="补漏／放宽",V424="优先复核"),"需修改／复核","观察中"))))</x:f>
        <x:v>观察中</x:v>
      </x:c>
      <x:c r="X424" s="34" t="str"/>
      <x:c r="Y424" s="34" t="str"/>
    </x:row>
    <x:row r="425">
      <x:c r="A425" s="34" t="str">
        <x:v>M5-REPAIR-546</x:v>
      </x:c>
      <x:c r="B425" s="34" t="str">
        <x:v>REPAIR</x:v>
      </x:c>
      <x:c r="C425" s="34" t="str">
        <x:v>P0_安全与硬门槛</x:v>
      </x:c>
      <x:c r="D425" s="34" t="str">
        <x:v>安全高优先级门控</x:v>
      </x:c>
      <x:c r="E425" s="34" t="str">
        <x:v>L11 评分、报告与校准</x:v>
      </x:c>
      <x:c r="F425" s="34" t="str">
        <x:v>安全</x:v>
      </x:c>
      <x:c r="G425" s="34" t="n">
        <x:v>98</x:v>
      </x:c>
      <x:c r="H425" s="34" t="str">
        <x:v>待验证</x:v>
      </x:c>
      <x:c r="I425" s="34" t="str"/>
      <x:c r="J425" s="34" t="str"/>
      <x:c r="K425" s="34" t="str"/>
      <x:c r="L425" s="34" t="str"/>
      <x:c r="M425" s="34" t="str"/>
      <x:c r="N425" s="34" t="n">
        <x:f>IF(A425="","",I425+J425+K425)</x:f>
        <x:v>0</x:v>
      </x:c>
      <x:c r="O425" s="56" t="str">
        <x:f>IF(N425=0,"",(I425+0.5*J425)/N425)</x:f>
      </x:c>
      <x:c r="P425" s="56" t="str">
        <x:f>IF(N425=0,"",(I425+0.5*J425+1)/(N425+2))</x:f>
      </x:c>
      <x:c r="Q425" s="34" t="str"/>
      <x:c r="R425" s="34" t="str"/>
      <x:c r="S425" s="34" t="str"/>
      <x:c r="T425" s="34" t="str"/>
      <x:c r="U425" s="34" t="str"/>
      <x:c r="V425" s="34" t="str">
        <x:f>IF(A425="","",IF(N425&lt;5,"样本不足",IF(Q425&gt;=1,"优先复核",IF(AND(N425&gt;=20,P425&lt;0.35,K425&gt;=5),"停用候选",IF(AND(N425&gt;=10,P425&lt;0.45),"需修改候选",IF(AND(N425&gt;=10,P425&gt;=0.75,R425/N425&lt;=0.15,S425/N425&lt;=0.15),"升级候选",IF(R425/N425&gt;0.3,"收紧条件",IF(S425/N425&gt;0.3,"补漏／放宽","继续观察"))))))))</x:f>
        <x:v>样本不足</x:v>
      </x:c>
      <x:c r="W425" s="34" t="str">
        <x:f>IF(V425="","",IF(V425="升级候选","已验证候选",IF(V425="停用候选","停用候选",IF(OR(V425="需修改候选",V425="收紧条件",V425="补漏／放宽",V425="优先复核"),"需修改／复核","观察中"))))</x:f>
        <x:v>观察中</x:v>
      </x:c>
      <x:c r="X425" s="34" t="str"/>
      <x:c r="Y425" s="34" t="str"/>
    </x:row>
    <x:row r="426">
      <x:c r="A426" s="34" t="str">
        <x:v>M5-RHYTHM-540</x:v>
      </x:c>
      <x:c r="B426" s="34" t="str">
        <x:v>RHYTHM</x:v>
      </x:c>
      <x:c r="C426" s="34" t="str">
        <x:v>P0_安全与硬门槛</x:v>
      </x:c>
      <x:c r="D426" s="34" t="str">
        <x:v>高频监控与强迫同步安全门控</x:v>
      </x:c>
      <x:c r="E426" s="34" t="str">
        <x:v>L11 状态、接口、去重与停止</x:v>
      </x:c>
      <x:c r="F426" s="34" t="str">
        <x:v>安全</x:v>
      </x:c>
      <x:c r="G426" s="34" t="n">
        <x:v>98</x:v>
      </x:c>
      <x:c r="H426" s="34" t="str">
        <x:v>待验证</x:v>
      </x:c>
      <x:c r="I426" s="34" t="str"/>
      <x:c r="J426" s="34" t="str"/>
      <x:c r="K426" s="34" t="str"/>
      <x:c r="L426" s="34" t="str"/>
      <x:c r="M426" s="34" t="str"/>
      <x:c r="N426" s="34" t="n">
        <x:f>IF(A426="","",I426+J426+K426)</x:f>
        <x:v>0</x:v>
      </x:c>
      <x:c r="O426" s="56" t="str">
        <x:f>IF(N426=0,"",(I426+0.5*J426)/N426)</x:f>
      </x:c>
      <x:c r="P426" s="56" t="str">
        <x:f>IF(N426=0,"",(I426+0.5*J426+1)/(N426+2))</x:f>
      </x:c>
      <x:c r="Q426" s="34" t="str"/>
      <x:c r="R426" s="34" t="str"/>
      <x:c r="S426" s="34" t="str"/>
      <x:c r="T426" s="34" t="str"/>
      <x:c r="U426" s="34" t="str"/>
      <x:c r="V426" s="34" t="str">
        <x:f>IF(A426="","",IF(N426&lt;5,"样本不足",IF(Q426&gt;=1,"优先复核",IF(AND(N426&gt;=20,P426&lt;0.35,K426&gt;=5),"停用候选",IF(AND(N426&gt;=10,P426&lt;0.45),"需修改候选",IF(AND(N426&gt;=10,P426&gt;=0.75,R426/N426&lt;=0.15,S426/N426&lt;=0.15),"升级候选",IF(R426/N426&gt;0.3,"收紧条件",IF(S426/N426&gt;0.3,"补漏／放宽","继续观察"))))))))</x:f>
        <x:v>样本不足</x:v>
      </x:c>
      <x:c r="W426" s="34" t="str">
        <x:f>IF(V426="","",IF(V426="升级候选","已验证候选",IF(V426="停用候选","停用候选",IF(OR(V426="需修改候选",V426="收紧条件",V426="补漏／放宽",V426="优先复核"),"需修改／复核","观察中"))))</x:f>
        <x:v>观察中</x:v>
      </x:c>
      <x:c r="X426" s="34" t="str"/>
      <x:c r="Y426" s="34" t="str"/>
    </x:row>
    <x:row r="427">
      <x:c r="A427" s="34" t="str">
        <x:v>M5-RHYTHM-547</x:v>
      </x:c>
      <x:c r="B427" s="34" t="str">
        <x:v>RHYTHM</x:v>
      </x:c>
      <x:c r="C427" s="34" t="str">
        <x:v>P0_安全与硬门槛</x:v>
      </x:c>
      <x:c r="D427" s="34" t="str">
        <x:v>现实强反例覆盖结构候选</x:v>
      </x:c>
      <x:c r="E427" s="34" t="str">
        <x:v>L11 状态、接口、去重与停止</x:v>
      </x:c>
      <x:c r="F427" s="34" t="str">
        <x:v>停止</x:v>
      </x:c>
      <x:c r="G427" s="34" t="n">
        <x:v>98</x:v>
      </x:c>
      <x:c r="H427" s="34" t="str">
        <x:v>待验证</x:v>
      </x:c>
      <x:c r="I427" s="34" t="str"/>
      <x:c r="J427" s="34" t="str"/>
      <x:c r="K427" s="34" t="str"/>
      <x:c r="L427" s="34" t="str"/>
      <x:c r="M427" s="34" t="str"/>
      <x:c r="N427" s="34" t="n">
        <x:f>IF(A427="","",I427+J427+K427)</x:f>
        <x:v>0</x:v>
      </x:c>
      <x:c r="O427" s="56" t="str">
        <x:f>IF(N427=0,"",(I427+0.5*J427)/N427)</x:f>
      </x:c>
      <x:c r="P427" s="56" t="str">
        <x:f>IF(N427=0,"",(I427+0.5*J427+1)/(N427+2))</x:f>
      </x:c>
      <x:c r="Q427" s="34" t="str"/>
      <x:c r="R427" s="34" t="str"/>
      <x:c r="S427" s="34" t="str"/>
      <x:c r="T427" s="34" t="str"/>
      <x:c r="U427" s="34" t="str"/>
      <x:c r="V427" s="34" t="str">
        <x:f>IF(A427="","",IF(N427&lt;5,"样本不足",IF(Q427&gt;=1,"优先复核",IF(AND(N427&gt;=20,P427&lt;0.35,K427&gt;=5),"停用候选",IF(AND(N427&gt;=10,P427&lt;0.45),"需修改候选",IF(AND(N427&gt;=10,P427&gt;=0.75,R427/N427&lt;=0.15,S427/N427&lt;=0.15),"升级候选",IF(R427/N427&gt;0.3,"收紧条件",IF(S427/N427&gt;0.3,"补漏／放宽","继续观察"))))))))</x:f>
        <x:v>样本不足</x:v>
      </x:c>
      <x:c r="W427" s="34" t="str">
        <x:f>IF(V427="","",IF(V427="升级候选","已验证候选",IF(V427="停用候选","停用候选",IF(OR(V427="需修改候选",V427="收紧条件",V427="补漏／放宽",V427="优先复核"),"需修改／复核","观察中"))))</x:f>
        <x:v>观察中</x:v>
      </x:c>
      <x:c r="X427" s="34" t="str"/>
      <x:c r="Y427" s="34" t="str"/>
    </x:row>
    <x:row r="428">
      <x:c r="A428" s="34" t="str">
        <x:v>M5-RHYTHM-549</x:v>
      </x:c>
      <x:c r="B428" s="34" t="str">
        <x:v>RHYTHM</x:v>
      </x:c>
      <x:c r="C428" s="34" t="str">
        <x:v>P0_安全与硬门槛</x:v>
      </x:c>
      <x:c r="D428" s="34" t="str">
        <x:v>安全风险停止普通节奏分析</x:v>
      </x:c>
      <x:c r="E428" s="34" t="str">
        <x:v>L11 状态、接口、去重与停止</x:v>
      </x:c>
      <x:c r="F428" s="34" t="str">
        <x:v>安全</x:v>
      </x:c>
      <x:c r="G428" s="34" t="n">
        <x:v>98</x:v>
      </x:c>
      <x:c r="H428" s="34" t="str">
        <x:v>待验证</x:v>
      </x:c>
      <x:c r="I428" s="34" t="str"/>
      <x:c r="J428" s="34" t="str"/>
      <x:c r="K428" s="34" t="str"/>
      <x:c r="L428" s="34" t="str"/>
      <x:c r="M428" s="34" t="str"/>
      <x:c r="N428" s="34" t="n">
        <x:f>IF(A428="","",I428+J428+K428)</x:f>
        <x:v>0</x:v>
      </x:c>
      <x:c r="O428" s="56" t="str">
        <x:f>IF(N428=0,"",(I428+0.5*J428)/N428)</x:f>
      </x:c>
      <x:c r="P428" s="56" t="str">
        <x:f>IF(N428=0,"",(I428+0.5*J428+1)/(N428+2))</x:f>
      </x:c>
      <x:c r="Q428" s="34" t="str"/>
      <x:c r="R428" s="34" t="str"/>
      <x:c r="S428" s="34" t="str"/>
      <x:c r="T428" s="34" t="str"/>
      <x:c r="U428" s="34" t="str"/>
      <x:c r="V428" s="34" t="str">
        <x:f>IF(A428="","",IF(N428&lt;5,"样本不足",IF(Q428&gt;=1,"优先复核",IF(AND(N428&gt;=20,P428&lt;0.35,K428&gt;=5),"停用候选",IF(AND(N428&gt;=10,P428&lt;0.45),"需修改候选",IF(AND(N428&gt;=10,P428&gt;=0.75,R428/N428&lt;=0.15,S428/N428&lt;=0.15),"升级候选",IF(R428/N428&gt;0.3,"收紧条件",IF(S428/N428&gt;0.3,"补漏／放宽","继续观察"))))))))</x:f>
        <x:v>样本不足</x:v>
      </x:c>
      <x:c r="W428" s="34" t="str">
        <x:f>IF(V428="","",IF(V428="升级候选","已验证候选",IF(V428="停用候选","停用候选",IF(OR(V428="需修改候选",V428="收紧条件",V428="补漏／放宽",V428="优先复核"),"需修改／复核","观察中"))))</x:f>
        <x:v>观察中</x:v>
      </x:c>
      <x:c r="X428" s="34" t="str"/>
      <x:c r="Y428" s="34" t="str"/>
    </x:row>
    <x:row r="429">
      <x:c r="A429" s="34" t="str">
        <x:v>M5-RHYTHM-563</x:v>
      </x:c>
      <x:c r="B429" s="34" t="str">
        <x:v>RHYTHM</x:v>
      </x:c>
      <x:c r="C429" s="34" t="str">
        <x:v>P0_安全与硬门槛</x:v>
      </x:c>
      <x:c r="D429" s="34" t="str">
        <x:v>HS08未定安全停止</x:v>
      </x:c>
      <x:c r="E429" s="34" t="str">
        <x:v>L12 评分、报告与校准</x:v>
      </x:c>
      <x:c r="F429" s="34" t="str">
        <x:v>停止</x:v>
      </x:c>
      <x:c r="G429" s="34" t="n">
        <x:v>98</x:v>
      </x:c>
      <x:c r="H429" s="34" t="str">
        <x:v>待验证</x:v>
      </x:c>
      <x:c r="I429" s="34" t="str"/>
      <x:c r="J429" s="34" t="str"/>
      <x:c r="K429" s="34" t="str"/>
      <x:c r="L429" s="34" t="str"/>
      <x:c r="M429" s="34" t="str"/>
      <x:c r="N429" s="34" t="n">
        <x:f>IF(A429="","",I429+J429+K429)</x:f>
        <x:v>0</x:v>
      </x:c>
      <x:c r="O429" s="56" t="str">
        <x:f>IF(N429=0,"",(I429+0.5*J429)/N429)</x:f>
      </x:c>
      <x:c r="P429" s="56" t="str">
        <x:f>IF(N429=0,"",(I429+0.5*J429+1)/(N429+2))</x:f>
      </x:c>
      <x:c r="Q429" s="34" t="str"/>
      <x:c r="R429" s="34" t="str"/>
      <x:c r="S429" s="34" t="str"/>
      <x:c r="T429" s="34" t="str"/>
      <x:c r="U429" s="34" t="str"/>
      <x:c r="V429" s="34" t="str">
        <x:f>IF(A429="","",IF(N429&lt;5,"样本不足",IF(Q429&gt;=1,"优先复核",IF(AND(N429&gt;=20,P429&lt;0.35,K429&gt;=5),"停用候选",IF(AND(N429&gt;=10,P429&lt;0.45),"需修改候选",IF(AND(N429&gt;=10,P429&gt;=0.75,R429/N429&lt;=0.15,S429/N429&lt;=0.15),"升级候选",IF(R429/N429&gt;0.3,"收紧条件",IF(S429/N429&gt;0.3,"补漏／放宽","继续观察"))))))))</x:f>
        <x:v>样本不足</x:v>
      </x:c>
      <x:c r="W429" s="34" t="str">
        <x:f>IF(V429="","",IF(V429="升级候选","已验证候选",IF(V429="停用候选","停用候选",IF(OR(V429="需修改候选",V429="收紧条件",V429="补漏／放宽",V429="优先复核"),"需修改／复核","观察中"))))</x:f>
        <x:v>观察中</x:v>
      </x:c>
      <x:c r="X429" s="34" t="str"/>
      <x:c r="Y429" s="34" t="str"/>
    </x:row>
    <x:row r="430">
      <x:c r="A430" s="34" t="str">
        <x:v>M5-RHYTHM-595</x:v>
      </x:c>
      <x:c r="B430" s="34" t="str">
        <x:v>RHYTHM</x:v>
      </x:c>
      <x:c r="C430" s="34" t="str">
        <x:v>P0_安全与硬门槛</x:v>
      </x:c>
      <x:c r="D430" s="34" t="str">
        <x:v>安全高优先级门控</x:v>
      </x:c>
      <x:c r="E430" s="34" t="str">
        <x:v>L12 评分、报告与校准</x:v>
      </x:c>
      <x:c r="F430" s="34" t="str">
        <x:v>安全</x:v>
      </x:c>
      <x:c r="G430" s="34" t="n">
        <x:v>98</x:v>
      </x:c>
      <x:c r="H430" s="34" t="str">
        <x:v>待验证</x:v>
      </x:c>
      <x:c r="I430" s="34" t="str"/>
      <x:c r="J430" s="34" t="str"/>
      <x:c r="K430" s="34" t="str"/>
      <x:c r="L430" s="34" t="str"/>
      <x:c r="M430" s="34" t="str"/>
      <x:c r="N430" s="34" t="n">
        <x:f>IF(A430="","",I430+J430+K430)</x:f>
        <x:v>0</x:v>
      </x:c>
      <x:c r="O430" s="56" t="str">
        <x:f>IF(N430=0,"",(I430+0.5*J430)/N430)</x:f>
      </x:c>
      <x:c r="P430" s="56" t="str">
        <x:f>IF(N430=0,"",(I430+0.5*J430+1)/(N430+2))</x:f>
      </x:c>
      <x:c r="Q430" s="34" t="str"/>
      <x:c r="R430" s="34" t="str"/>
      <x:c r="S430" s="34" t="str"/>
      <x:c r="T430" s="34" t="str"/>
      <x:c r="U430" s="34" t="str"/>
      <x:c r="V430" s="34" t="str">
        <x:f>IF(A430="","",IF(N430&lt;5,"样本不足",IF(Q430&gt;=1,"优先复核",IF(AND(N430&gt;=20,P430&lt;0.35,K430&gt;=5),"停用候选",IF(AND(N430&gt;=10,P430&lt;0.45),"需修改候选",IF(AND(N430&gt;=10,P430&gt;=0.75,R430/N430&lt;=0.15,S430/N430&lt;=0.15),"升级候选",IF(R430/N430&gt;0.3,"收紧条件",IF(S430/N430&gt;0.3,"补漏／放宽","继续观察"))))))))</x:f>
        <x:v>样本不足</x:v>
      </x:c>
      <x:c r="W430" s="34" t="str">
        <x:f>IF(V430="","",IF(V430="升级候选","已验证候选",IF(V430="停用候选","停用候选",IF(OR(V430="需修改候选",V430="收紧条件",V430="补漏／放宽",V430="优先复核"),"需修改／复核","观察中"))))</x:f>
        <x:v>观察中</x:v>
      </x:c>
      <x:c r="X430" s="34" t="str"/>
      <x:c r="Y430" s="34" t="str"/>
    </x:row>
    <x:row r="431">
      <x:c r="A431" s="34" t="str">
        <x:v>M5-BASE-015</x:v>
      </x:c>
      <x:c r="B431" s="34" t="str">
        <x:v>BASE</x:v>
      </x:c>
      <x:c r="C431" s="34" t="str">
        <x:v>P0_安全与硬门槛</x:v>
      </x:c>
      <x:c r="D431" s="34" t="str">
        <x:v>安全事件停止普通互补叙事</x:v>
      </x:c>
      <x:c r="E431" s="34" t="str">
        <x:v>L0 定义、边界与证据合同</x:v>
      </x:c>
      <x:c r="F431" s="34" t="str">
        <x:v>安全</x:v>
      </x:c>
      <x:c r="G431" s="34" t="n">
        <x:v>97</x:v>
      </x:c>
      <x:c r="H431" s="34" t="str">
        <x:v>待验证</x:v>
      </x:c>
      <x:c r="I431" s="34" t="str"/>
      <x:c r="J431" s="34" t="str"/>
      <x:c r="K431" s="34" t="str"/>
      <x:c r="L431" s="34" t="str"/>
      <x:c r="M431" s="34" t="str"/>
      <x:c r="N431" s="34" t="n">
        <x:f>IF(A431="","",I431+J431+K431)</x:f>
        <x:v>0</x:v>
      </x:c>
      <x:c r="O431" s="56" t="str">
        <x:f>IF(N431=0,"",(I431+0.5*J431)/N431)</x:f>
      </x:c>
      <x:c r="P431" s="56" t="str">
        <x:f>IF(N431=0,"",(I431+0.5*J431+1)/(N431+2))</x:f>
      </x:c>
      <x:c r="Q431" s="34" t="str"/>
      <x:c r="R431" s="34" t="str"/>
      <x:c r="S431" s="34" t="str"/>
      <x:c r="T431" s="34" t="str"/>
      <x:c r="U431" s="34" t="str"/>
      <x:c r="V431" s="34" t="str">
        <x:f>IF(A431="","",IF(N431&lt;5,"样本不足",IF(Q431&gt;=1,"优先复核",IF(AND(N431&gt;=20,P431&lt;0.35,K431&gt;=5),"停用候选",IF(AND(N431&gt;=10,P431&lt;0.45),"需修改候选",IF(AND(N431&gt;=10,P431&gt;=0.75,R431/N431&lt;=0.15,S431/N431&lt;=0.15),"升级候选",IF(R431/N431&gt;0.3,"收紧条件",IF(S431/N431&gt;0.3,"补漏／放宽","继续观察"))))))))</x:f>
        <x:v>样本不足</x:v>
      </x:c>
      <x:c r="W431" s="34" t="str">
        <x:f>IF(V431="","",IF(V431="升级候选","已验证候选",IF(V431="停用候选","停用候选",IF(OR(V431="需修改候选",V431="收紧条件",V431="补漏／放宽",V431="优先复核"),"需修改／复核","观察中"))))</x:f>
        <x:v>观察中</x:v>
      </x:c>
      <x:c r="X431" s="34" t="str"/>
      <x:c r="Y431" s="34" t="str"/>
    </x:row>
    <x:row r="432">
      <x:c r="A432" s="34" t="str">
        <x:v>M5-PARTNER-403</x:v>
      </x:c>
      <x:c r="B432" s="34" t="str">
        <x:v>PARTNER</x:v>
      </x:c>
      <x:c r="C432" s="34" t="str">
        <x:v>P0_安全与硬门槛</x:v>
      </x:c>
      <x:c r="D432" s="34" t="str">
        <x:v>安全风险停止普通画像</x:v>
      </x:c>
      <x:c r="E432" s="34" t="str">
        <x:v>L8 状态、接口、去重与停止</x:v>
      </x:c>
      <x:c r="F432" s="34" t="str">
        <x:v>安全</x:v>
      </x:c>
      <x:c r="G432" s="34" t="n">
        <x:v>96</x:v>
      </x:c>
      <x:c r="H432" s="34" t="str">
        <x:v>待验证</x:v>
      </x:c>
      <x:c r="I432" s="34" t="str"/>
      <x:c r="J432" s="34" t="str"/>
      <x:c r="K432" s="34" t="str"/>
      <x:c r="L432" s="34" t="str"/>
      <x:c r="M432" s="34" t="str"/>
      <x:c r="N432" s="34" t="n">
        <x:f>IF(A432="","",I432+J432+K432)</x:f>
        <x:v>0</x:v>
      </x:c>
      <x:c r="O432" s="56" t="str">
        <x:f>IF(N432=0,"",(I432+0.5*J432)/N432)</x:f>
      </x:c>
      <x:c r="P432" s="56" t="str">
        <x:f>IF(N432=0,"",(I432+0.5*J432+1)/(N432+2))</x:f>
      </x:c>
      <x:c r="Q432" s="34" t="str"/>
      <x:c r="R432" s="34" t="str"/>
      <x:c r="S432" s="34" t="str"/>
      <x:c r="T432" s="34" t="str"/>
      <x:c r="U432" s="34" t="str"/>
      <x:c r="V432" s="34" t="str">
        <x:f>IF(A432="","",IF(N432&lt;5,"样本不足",IF(Q432&gt;=1,"优先复核",IF(AND(N432&gt;=20,P432&lt;0.35,K432&gt;=5),"停用候选",IF(AND(N432&gt;=10,P432&lt;0.45),"需修改候选",IF(AND(N432&gt;=10,P432&gt;=0.75,R432/N432&lt;=0.15,S432/N432&lt;=0.15),"升级候选",IF(R432/N432&gt;0.3,"收紧条件",IF(S432/N432&gt;0.3,"补漏／放宽","继续观察"))))))))</x:f>
        <x:v>样本不足</x:v>
      </x:c>
      <x:c r="W432" s="34" t="str">
        <x:f>IF(V432="","",IF(V432="升级候选","已验证候选",IF(V432="停用候选","停用候选",IF(OR(V432="需修改候选",V432="收紧条件",V432="补漏／放宽",V432="优先复核"),"需修改／复核","观察中"))))</x:f>
        <x:v>观察中</x:v>
      </x:c>
      <x:c r="X432" s="34" t="str"/>
      <x:c r="Y432" s="34" t="str"/>
    </x:row>
    <x:row r="433">
      <x:c r="A433" s="34" t="str">
        <x:v>M5-PARTNER-404</x:v>
      </x:c>
      <x:c r="B433" s="34" t="str">
        <x:v>PARTNER</x:v>
      </x:c>
      <x:c r="C433" s="34" t="str">
        <x:v>P0_安全与硬门槛</x:v>
      </x:c>
      <x:c r="D433" s="34" t="str">
        <x:v>合化争议停止细化</x:v>
      </x:c>
      <x:c r="E433" s="34" t="str">
        <x:v>L8 状态、接口、去重与停止</x:v>
      </x:c>
      <x:c r="F433" s="34" t="str">
        <x:v>停止</x:v>
      </x:c>
      <x:c r="G433" s="34" t="n">
        <x:v>96</x:v>
      </x:c>
      <x:c r="H433" s="34" t="str">
        <x:v>待验证</x:v>
      </x:c>
      <x:c r="I433" s="34" t="str"/>
      <x:c r="J433" s="34" t="str"/>
      <x:c r="K433" s="34" t="str"/>
      <x:c r="L433" s="34" t="str"/>
      <x:c r="M433" s="34" t="str"/>
      <x:c r="N433" s="34" t="n">
        <x:f>IF(A433="","",I433+J433+K433)</x:f>
        <x:v>0</x:v>
      </x:c>
      <x:c r="O433" s="56" t="str">
        <x:f>IF(N433=0,"",(I433+0.5*J433)/N433)</x:f>
      </x:c>
      <x:c r="P433" s="56" t="str">
        <x:f>IF(N433=0,"",(I433+0.5*J433+1)/(N433+2))</x:f>
      </x:c>
      <x:c r="Q433" s="34" t="str"/>
      <x:c r="R433" s="34" t="str"/>
      <x:c r="S433" s="34" t="str"/>
      <x:c r="T433" s="34" t="str"/>
      <x:c r="U433" s="34" t="str"/>
      <x:c r="V433" s="34" t="str">
        <x:f>IF(A433="","",IF(N433&lt;5,"样本不足",IF(Q433&gt;=1,"优先复核",IF(AND(N433&gt;=20,P433&lt;0.35,K433&gt;=5),"停用候选",IF(AND(N433&gt;=10,P433&lt;0.45),"需修改候选",IF(AND(N433&gt;=10,P433&gt;=0.75,R433/N433&lt;=0.15,S433/N433&lt;=0.15),"升级候选",IF(R433/N433&gt;0.3,"收紧条件",IF(S433/N433&gt;0.3,"补漏／放宽","继续观察"))))))))</x:f>
        <x:v>样本不足</x:v>
      </x:c>
      <x:c r="W433" s="34" t="str">
        <x:f>IF(V433="","",IF(V433="升级候选","已验证候选",IF(V433="停用候选","停用候选",IF(OR(V433="需修改候选",V433="收紧条件",V433="补漏／放宽",V433="优先复核"),"需修改／复核","观察中"))))</x:f>
        <x:v>观察中</x:v>
      </x:c>
      <x:c r="X433" s="34" t="str"/>
      <x:c r="Y433" s="34" t="str"/>
    </x:row>
    <x:row r="434">
      <x:c r="A434" s="34" t="str">
        <x:v>M5-PARTNER-405</x:v>
      </x:c>
      <x:c r="B434" s="34" t="str">
        <x:v>PARTNER</x:v>
      </x:c>
      <x:c r="C434" s="34" t="str">
        <x:v>P0_安全与硬门槛</x:v>
      </x:c>
      <x:c r="D434" s="34" t="str">
        <x:v>对象资料不足停止定性</x:v>
      </x:c>
      <x:c r="E434" s="34" t="str">
        <x:v>L8 状态、接口、去重与停止</x:v>
      </x:c>
      <x:c r="F434" s="34" t="str">
        <x:v>停止</x:v>
      </x:c>
      <x:c r="G434" s="34" t="n">
        <x:v>96</x:v>
      </x:c>
      <x:c r="H434" s="34" t="str">
        <x:v>待验证</x:v>
      </x:c>
      <x:c r="I434" s="34" t="str"/>
      <x:c r="J434" s="34" t="str"/>
      <x:c r="K434" s="34" t="str"/>
      <x:c r="L434" s="34" t="str"/>
      <x:c r="M434" s="34" t="str"/>
      <x:c r="N434" s="34" t="n">
        <x:f>IF(A434="","",I434+J434+K434)</x:f>
        <x:v>0</x:v>
      </x:c>
      <x:c r="O434" s="56" t="str">
        <x:f>IF(N434=0,"",(I434+0.5*J434)/N434)</x:f>
      </x:c>
      <x:c r="P434" s="56" t="str">
        <x:f>IF(N434=0,"",(I434+0.5*J434+1)/(N434+2))</x:f>
      </x:c>
      <x:c r="Q434" s="34" t="str"/>
      <x:c r="R434" s="34" t="str"/>
      <x:c r="S434" s="34" t="str"/>
      <x:c r="T434" s="34" t="str"/>
      <x:c r="U434" s="34" t="str"/>
      <x:c r="V434" s="34" t="str">
        <x:f>IF(A434="","",IF(N434&lt;5,"样本不足",IF(Q434&gt;=1,"优先复核",IF(AND(N434&gt;=20,P434&lt;0.35,K434&gt;=5),"停用候选",IF(AND(N434&gt;=10,P434&lt;0.45),"需修改候选",IF(AND(N434&gt;=10,P434&gt;=0.75,R434/N434&lt;=0.15,S434/N434&lt;=0.15),"升级候选",IF(R434/N434&gt;0.3,"收紧条件",IF(S434/N434&gt;0.3,"补漏／放宽","继续观察"))))))))</x:f>
        <x:v>样本不足</x:v>
      </x:c>
      <x:c r="W434" s="34" t="str">
        <x:f>IF(V434="","",IF(V434="升级候选","已验证候选",IF(V434="停用候选","停用候选",IF(OR(V434="需修改候选",V434="收紧条件",V434="补漏／放宽",V434="优先复核"),"需修改／复核","观察中"))))</x:f>
        <x:v>观察中</x:v>
      </x:c>
      <x:c r="X434" s="34" t="str"/>
      <x:c r="Y434" s="34" t="str"/>
    </x:row>
    <x:row r="435">
      <x:c r="A435" s="34" t="str">
        <x:v>M5-PARTNER-406</x:v>
      </x:c>
      <x:c r="B435" s="34" t="str">
        <x:v>PARTNER</x:v>
      </x:c>
      <x:c r="C435" s="34" t="str">
        <x:v>P0_安全与硬门槛</x:v>
      </x:c>
      <x:c r="D435" s="34" t="str">
        <x:v>强现实反例覆盖结构候选</x:v>
      </x:c>
      <x:c r="E435" s="34" t="str">
        <x:v>L8 状态、接口、去重与停止</x:v>
      </x:c>
      <x:c r="F435" s="34" t="str">
        <x:v>停止</x:v>
      </x:c>
      <x:c r="G435" s="34" t="n">
        <x:v>96</x:v>
      </x:c>
      <x:c r="H435" s="34" t="str">
        <x:v>待验证</x:v>
      </x:c>
      <x:c r="I435" s="34" t="str"/>
      <x:c r="J435" s="34" t="str"/>
      <x:c r="K435" s="34" t="str"/>
      <x:c r="L435" s="34" t="str"/>
      <x:c r="M435" s="34" t="str"/>
      <x:c r="N435" s="34" t="n">
        <x:f>IF(A435="","",I435+J435+K435)</x:f>
        <x:v>0</x:v>
      </x:c>
      <x:c r="O435" s="56" t="str">
        <x:f>IF(N435=0,"",(I435+0.5*J435)/N435)</x:f>
      </x:c>
      <x:c r="P435" s="56" t="str">
        <x:f>IF(N435=0,"",(I435+0.5*J435+1)/(N435+2))</x:f>
      </x:c>
      <x:c r="Q435" s="34" t="str"/>
      <x:c r="R435" s="34" t="str"/>
      <x:c r="S435" s="34" t="str"/>
      <x:c r="T435" s="34" t="str"/>
      <x:c r="U435" s="34" t="str"/>
      <x:c r="V435" s="34" t="str">
        <x:f>IF(A435="","",IF(N435&lt;5,"样本不足",IF(Q435&gt;=1,"优先复核",IF(AND(N435&gt;=20,P435&lt;0.35,K435&gt;=5),"停用候选",IF(AND(N435&gt;=10,P435&lt;0.45),"需修改候选",IF(AND(N435&gt;=10,P435&gt;=0.75,R435/N435&lt;=0.15,S435/N435&lt;=0.15),"升级候选",IF(R435/N435&gt;0.3,"收紧条件",IF(S435/N435&gt;0.3,"补漏／放宽","继续观察"))))))))</x:f>
        <x:v>样本不足</x:v>
      </x:c>
      <x:c r="W435" s="34" t="str">
        <x:f>IF(V435="","",IF(V435="升级候选","已验证候选",IF(V435="停用候选","停用候选",IF(OR(V435="需修改候选",V435="收紧条件",V435="补漏／放宽",V435="优先复核"),"需修改／复核","观察中"))))</x:f>
        <x:v>观察中</x:v>
      </x:c>
      <x:c r="X435" s="34" t="str"/>
      <x:c r="Y435" s="34" t="str"/>
    </x:row>
    <x:row r="436">
      <x:c r="A436" s="34" t="str">
        <x:v>M5-BASE-008</x:v>
      </x:c>
      <x:c r="B436" s="34" t="str">
        <x:v>BASE</x:v>
      </x:c>
      <x:c r="C436" s="34" t="str">
        <x:v>P1_高优先级</x:v>
      </x:c>
      <x:c r="D436" s="34" t="str">
        <x:v>适配采用交集而非简单加总</x:v>
      </x:c>
      <x:c r="E436" s="34" t="str">
        <x:v>L0 定义、边界与证据合同</x:v>
      </x:c>
      <x:c r="F436" s="34" t="str">
        <x:v>边界</x:v>
      </x:c>
      <x:c r="G436" s="34" t="n">
        <x:v>98</x:v>
      </x:c>
      <x:c r="H436" s="34" t="str">
        <x:v>待验证</x:v>
      </x:c>
      <x:c r="I436" s="34" t="str"/>
      <x:c r="J436" s="34" t="str"/>
      <x:c r="K436" s="34" t="str"/>
      <x:c r="L436" s="34" t="str"/>
      <x:c r="M436" s="34" t="str"/>
      <x:c r="N436" s="34" t="n">
        <x:f>IF(A436="","",I436+J436+K436)</x:f>
        <x:v>0</x:v>
      </x:c>
      <x:c r="O436" s="56" t="str">
        <x:f>IF(N436=0,"",(I436+0.5*J436)/N436)</x:f>
      </x:c>
      <x:c r="P436" s="56" t="str">
        <x:f>IF(N436=0,"",(I436+0.5*J436+1)/(N436+2))</x:f>
      </x:c>
      <x:c r="Q436" s="34" t="str"/>
      <x:c r="R436" s="34" t="str"/>
      <x:c r="S436" s="34" t="str"/>
      <x:c r="T436" s="34" t="str"/>
      <x:c r="U436" s="34" t="str"/>
      <x:c r="V436" s="34" t="str">
        <x:f>IF(A436="","",IF(N436&lt;5,"样本不足",IF(Q436&gt;=1,"优先复核",IF(AND(N436&gt;=20,P436&lt;0.35,K436&gt;=5),"停用候选",IF(AND(N436&gt;=10,P436&lt;0.45),"需修改候选",IF(AND(N436&gt;=10,P436&gt;=0.75,R436/N436&lt;=0.15,S436/N436&lt;=0.15),"升级候选",IF(R436/N436&gt;0.3,"收紧条件",IF(S436/N436&gt;0.3,"补漏／放宽","继续观察"))))))))</x:f>
        <x:v>样本不足</x:v>
      </x:c>
      <x:c r="W436" s="34" t="str">
        <x:f>IF(V436="","",IF(V436="升级候选","已验证候选",IF(V436="停用候选","停用候选",IF(OR(V436="需修改候选",V436="收紧条件",V436="补漏／放宽",V436="优先复核"),"需修改／复核","观察中"))))</x:f>
        <x:v>观察中</x:v>
      </x:c>
      <x:c r="X436" s="34" t="str"/>
      <x:c r="Y436" s="34" t="str"/>
    </x:row>
    <x:row r="437">
      <x:c r="A437" s="34" t="str">
        <x:v>M5-BASE-009</x:v>
      </x:c>
      <x:c r="B437" s="34" t="str">
        <x:v>BASE</x:v>
      </x:c>
      <x:c r="C437" s="34" t="str">
        <x:v>P1_高优先级</x:v>
      </x:c>
      <x:c r="D437" s="34" t="str">
        <x:v>正文一主一次｜限制理想清单膨胀</x:v>
      </x:c>
      <x:c r="E437" s="34" t="str">
        <x:v>L0 定义、边界与证据合同</x:v>
      </x:c>
      <x:c r="F437" s="34" t="str">
        <x:v>输出</x:v>
      </x:c>
      <x:c r="G437" s="34" t="n">
        <x:v>98</x:v>
      </x:c>
      <x:c r="H437" s="34" t="str">
        <x:v>待验证</x:v>
      </x:c>
      <x:c r="I437" s="34" t="str"/>
      <x:c r="J437" s="34" t="str"/>
      <x:c r="K437" s="34" t="str"/>
      <x:c r="L437" s="34" t="str"/>
      <x:c r="M437" s="34" t="str"/>
      <x:c r="N437" s="34" t="n">
        <x:f>IF(A437="","",I437+J437+K437)</x:f>
        <x:v>0</x:v>
      </x:c>
      <x:c r="O437" s="56" t="str">
        <x:f>IF(N437=0,"",(I437+0.5*J437)/N437)</x:f>
      </x:c>
      <x:c r="P437" s="56" t="str">
        <x:f>IF(N437=0,"",(I437+0.5*J437+1)/(N437+2))</x:f>
      </x:c>
      <x:c r="Q437" s="34" t="str"/>
      <x:c r="R437" s="34" t="str"/>
      <x:c r="S437" s="34" t="str"/>
      <x:c r="T437" s="34" t="str"/>
      <x:c r="U437" s="34" t="str"/>
      <x:c r="V437" s="34" t="str">
        <x:f>IF(A437="","",IF(N437&lt;5,"样本不足",IF(Q437&gt;=1,"优先复核",IF(AND(N437&gt;=20,P437&lt;0.35,K437&gt;=5),"停用候选",IF(AND(N437&gt;=10,P437&lt;0.45),"需修改候选",IF(AND(N437&gt;=10,P437&gt;=0.75,R437/N437&lt;=0.15,S437/N437&lt;=0.15),"升级候选",IF(R437/N437&gt;0.3,"收紧条件",IF(S437/N437&gt;0.3,"补漏／放宽","继续观察"))))))))</x:f>
        <x:v>样本不足</x:v>
      </x:c>
      <x:c r="W437" s="34" t="str">
        <x:f>IF(V437="","",IF(V437="升级候选","已验证候选",IF(V437="停用候选","停用候选",IF(OR(V437="需修改候选",V437="收紧条件",V437="补漏／放宽",V437="优先复核"),"需修改／复核","观察中"))))</x:f>
        <x:v>观察中</x:v>
      </x:c>
      <x:c r="X437" s="34" t="str"/>
      <x:c r="Y437" s="34" t="str"/>
    </x:row>
    <x:row r="438">
      <x:c r="A438" s="34" t="str">
        <x:v>M5-BASE-010</x:v>
      </x:c>
      <x:c r="B438" s="34" t="str">
        <x:v>BASE</x:v>
      </x:c>
      <x:c r="C438" s="34" t="str">
        <x:v>P1_高优先级</x:v>
      </x:c>
      <x:c r="D438" s="34" t="str">
        <x:v>抽象特质必须落到可观察行为</x:v>
      </x:c>
      <x:c r="E438" s="34" t="str">
        <x:v>L0 定义、边界与证据合同</x:v>
      </x:c>
      <x:c r="F438" s="34" t="str">
        <x:v>证据</x:v>
      </x:c>
      <x:c r="G438" s="34" t="n">
        <x:v>98</x:v>
      </x:c>
      <x:c r="H438" s="34" t="str">
        <x:v>待验证</x:v>
      </x:c>
      <x:c r="I438" s="34" t="str"/>
      <x:c r="J438" s="34" t="str"/>
      <x:c r="K438" s="34" t="str"/>
      <x:c r="L438" s="34" t="str"/>
      <x:c r="M438" s="34" t="str"/>
      <x:c r="N438" s="34" t="n">
        <x:f>IF(A438="","",I438+J438+K438)</x:f>
        <x:v>0</x:v>
      </x:c>
      <x:c r="O438" s="56" t="str">
        <x:f>IF(N438=0,"",(I438+0.5*J438)/N438)</x:f>
      </x:c>
      <x:c r="P438" s="56" t="str">
        <x:f>IF(N438=0,"",(I438+0.5*J438+1)/(N438+2))</x:f>
      </x:c>
      <x:c r="Q438" s="34" t="str"/>
      <x:c r="R438" s="34" t="str"/>
      <x:c r="S438" s="34" t="str"/>
      <x:c r="T438" s="34" t="str"/>
      <x:c r="U438" s="34" t="str"/>
      <x:c r="V438" s="34" t="str">
        <x:f>IF(A438="","",IF(N438&lt;5,"样本不足",IF(Q438&gt;=1,"优先复核",IF(AND(N438&gt;=20,P438&lt;0.35,K438&gt;=5),"停用候选",IF(AND(N438&gt;=10,P438&lt;0.45),"需修改候选",IF(AND(N438&gt;=10,P438&gt;=0.75,R438/N438&lt;=0.15,S438/N438&lt;=0.15),"升级候选",IF(R438/N438&gt;0.3,"收紧条件",IF(S438/N438&gt;0.3,"补漏／放宽","继续观察"))))))))</x:f>
        <x:v>样本不足</x:v>
      </x:c>
      <x:c r="W438" s="34" t="str">
        <x:f>IF(V438="","",IF(V438="升级候选","已验证候选",IF(V438="停用候选","停用候选",IF(OR(V438="需修改候选",V438="收紧条件",V438="补漏／放宽",V438="优先复核"),"需修改／复核","观察中"))))</x:f>
        <x:v>观察中</x:v>
      </x:c>
      <x:c r="X438" s="34" t="str"/>
      <x:c r="Y438" s="34" t="str"/>
    </x:row>
    <x:row r="439">
      <x:c r="A439" s="34" t="str">
        <x:v>M5-BASE-011</x:v>
      </x:c>
      <x:c r="B439" s="34" t="str">
        <x:v>BASE</x:v>
      </x:c>
      <x:c r="C439" s="34" t="str">
        <x:v>P1_高优先级</x:v>
      </x:c>
      <x:c r="D439" s="34" t="str">
        <x:v>十神功能化｜禁止直接输出十神型伴侣</x:v>
      </x:c>
      <x:c r="E439" s="34" t="str">
        <x:v>L0 定义、边界与证据合同</x:v>
      </x:c>
      <x:c r="F439" s="34" t="str">
        <x:v>边界</x:v>
      </x:c>
      <x:c r="G439" s="34" t="n">
        <x:v>98</x:v>
      </x:c>
      <x:c r="H439" s="34" t="str">
        <x:v>待验证</x:v>
      </x:c>
      <x:c r="I439" s="34" t="str"/>
      <x:c r="J439" s="34" t="str"/>
      <x:c r="K439" s="34" t="str"/>
      <x:c r="L439" s="34" t="str"/>
      <x:c r="M439" s="34" t="str"/>
      <x:c r="N439" s="34" t="n">
        <x:f>IF(A439="","",I439+J439+K439)</x:f>
        <x:v>0</x:v>
      </x:c>
      <x:c r="O439" s="56" t="str">
        <x:f>IF(N439=0,"",(I439+0.5*J439)/N439)</x:f>
      </x:c>
      <x:c r="P439" s="56" t="str">
        <x:f>IF(N439=0,"",(I439+0.5*J439+1)/(N439+2))</x:f>
      </x:c>
      <x:c r="Q439" s="34" t="str"/>
      <x:c r="R439" s="34" t="str"/>
      <x:c r="S439" s="34" t="str"/>
      <x:c r="T439" s="34" t="str"/>
      <x:c r="U439" s="34" t="str"/>
      <x:c r="V439" s="34" t="str">
        <x:f>IF(A439="","",IF(N439&lt;5,"样本不足",IF(Q439&gt;=1,"优先复核",IF(AND(N439&gt;=20,P439&lt;0.35,K439&gt;=5),"停用候选",IF(AND(N439&gt;=10,P439&lt;0.45),"需修改候选",IF(AND(N439&gt;=10,P439&gt;=0.75,R439/N439&lt;=0.15,S439/N439&lt;=0.15),"升级候选",IF(R439/N439&gt;0.3,"收紧条件",IF(S439/N439&gt;0.3,"补漏／放宽","继续观察"))))))))</x:f>
        <x:v>样本不足</x:v>
      </x:c>
      <x:c r="W439" s="34" t="str">
        <x:f>IF(V439="","",IF(V439="升级候选","已验证候选",IF(V439="停用候选","停用候选",IF(OR(V439="需修改候选",V439="收紧条件",V439="补漏／放宽",V439="优先复核"),"需修改／复核","观察中"))))</x:f>
        <x:v>观察中</x:v>
      </x:c>
      <x:c r="X439" s="34" t="str"/>
      <x:c r="Y439" s="34" t="str"/>
    </x:row>
    <x:row r="440">
      <x:c r="A440" s="34" t="str">
        <x:v>M5-BASE-347</x:v>
      </x:c>
      <x:c r="B440" s="34" t="str">
        <x:v>BASE</x:v>
      </x:c>
      <x:c r="C440" s="34" t="str">
        <x:v>P1_高优先级</x:v>
      </x:c>
      <x:c r="D440" s="34" t="str">
        <x:v>FG0｜具体对象资料不足</x:v>
      </x:c>
      <x:c r="E440" s="34" t="str">
        <x:v>L9 证据等级、评分与报告</x:v>
      </x:c>
      <x:c r="F440" s="34" t="str">
        <x:v>停止／降级</x:v>
      </x:c>
      <x:c r="G440" s="34" t="n">
        <x:v>98</x:v>
      </x:c>
      <x:c r="H440" s="34" t="str">
        <x:v>待验证</x:v>
      </x:c>
      <x:c r="I440" s="34" t="str"/>
      <x:c r="J440" s="34" t="str"/>
      <x:c r="K440" s="34" t="str"/>
      <x:c r="L440" s="34" t="str"/>
      <x:c r="M440" s="34" t="str"/>
      <x:c r="N440" s="34" t="n">
        <x:f>IF(A440="","",I440+J440+K440)</x:f>
        <x:v>0</x:v>
      </x:c>
      <x:c r="O440" s="56" t="str">
        <x:f>IF(N440=0,"",(I440+0.5*J440)/N440)</x:f>
      </x:c>
      <x:c r="P440" s="56" t="str">
        <x:f>IF(N440=0,"",(I440+0.5*J440+1)/(N440+2))</x:f>
      </x:c>
      <x:c r="Q440" s="34" t="str"/>
      <x:c r="R440" s="34" t="str"/>
      <x:c r="S440" s="34" t="str"/>
      <x:c r="T440" s="34" t="str"/>
      <x:c r="U440" s="34" t="str"/>
      <x:c r="V440" s="34" t="str">
        <x:f>IF(A440="","",IF(N440&lt;5,"样本不足",IF(Q440&gt;=1,"优先复核",IF(AND(N440&gt;=20,P440&lt;0.35,K440&gt;=5),"停用候选",IF(AND(N440&gt;=10,P440&lt;0.45),"需修改候选",IF(AND(N440&gt;=10,P440&gt;=0.75,R440/N440&lt;=0.15,S440/N440&lt;=0.15),"升级候选",IF(R440/N440&gt;0.3,"收紧条件",IF(S440/N440&gt;0.3,"补漏／放宽","继续观察"))))))))</x:f>
        <x:v>样本不足</x:v>
      </x:c>
      <x:c r="W440" s="34" t="str">
        <x:f>IF(V440="","",IF(V440="升级候选","已验证候选",IF(V440="停用候选","停用候选",IF(OR(V440="需修改候选",V440="收紧条件",V440="补漏／放宽",V440="优先复核"),"需修改／复核","观察中"))))</x:f>
        <x:v>观察中</x:v>
      </x:c>
      <x:c r="X440" s="34" t="str"/>
      <x:c r="Y440" s="34" t="str"/>
    </x:row>
    <x:row r="441">
      <x:c r="A441" s="34" t="str">
        <x:v>M5-BASE-348</x:v>
      </x:c>
      <x:c r="B441" s="34" t="str">
        <x:v>BASE</x:v>
      </x:c>
      <x:c r="C441" s="34" t="str">
        <x:v>P1_高优先级</x:v>
      </x:c>
      <x:c r="D441" s="34" t="str">
        <x:v>FG0｜只有五行喜用标签</x:v>
      </x:c>
      <x:c r="E441" s="34" t="str">
        <x:v>L9 证据等级、评分与报告</x:v>
      </x:c>
      <x:c r="F441" s="34" t="str">
        <x:v>停止／降级</x:v>
      </x:c>
      <x:c r="G441" s="34" t="n">
        <x:v>98</x:v>
      </x:c>
      <x:c r="H441" s="34" t="str">
        <x:v>待验证</x:v>
      </x:c>
      <x:c r="I441" s="34" t="str"/>
      <x:c r="J441" s="34" t="str"/>
      <x:c r="K441" s="34" t="str"/>
      <x:c r="L441" s="34" t="str"/>
      <x:c r="M441" s="34" t="str"/>
      <x:c r="N441" s="34" t="n">
        <x:f>IF(A441="","",I441+J441+K441)</x:f>
        <x:v>0</x:v>
      </x:c>
      <x:c r="O441" s="56" t="str">
        <x:f>IF(N441=0,"",(I441+0.5*J441)/N441)</x:f>
      </x:c>
      <x:c r="P441" s="56" t="str">
        <x:f>IF(N441=0,"",(I441+0.5*J441+1)/(N441+2))</x:f>
      </x:c>
      <x:c r="Q441" s="34" t="str"/>
      <x:c r="R441" s="34" t="str"/>
      <x:c r="S441" s="34" t="str"/>
      <x:c r="T441" s="34" t="str"/>
      <x:c r="U441" s="34" t="str"/>
      <x:c r="V441" s="34" t="str">
        <x:f>IF(A441="","",IF(N441&lt;5,"样本不足",IF(Q441&gt;=1,"优先复核",IF(AND(N441&gt;=20,P441&lt;0.35,K441&gt;=5),"停用候选",IF(AND(N441&gt;=10,P441&lt;0.45),"需修改候选",IF(AND(N441&gt;=10,P441&gt;=0.75,R441/N441&lt;=0.15,S441/N441&lt;=0.15),"升级候选",IF(R441/N441&gt;0.3,"收紧条件",IF(S441/N441&gt;0.3,"补漏／放宽","继续观察"))))))))</x:f>
        <x:v>样本不足</x:v>
      </x:c>
      <x:c r="W441" s="34" t="str">
        <x:f>IF(V441="","",IF(V441="升级候选","已验证候选",IF(V441="停用候选","停用候选",IF(OR(V441="需修改候选",V441="收紧条件",V441="补漏／放宽",V441="优先复核"),"需修改／复核","观察中"))))</x:f>
        <x:v>观察中</x:v>
      </x:c>
      <x:c r="X441" s="34" t="str"/>
      <x:c r="Y441" s="34" t="str"/>
    </x:row>
    <x:row r="442">
      <x:c r="A442" s="34" t="str">
        <x:v>M5-BASE-349</x:v>
      </x:c>
      <x:c r="B442" s="34" t="str">
        <x:v>BASE</x:v>
      </x:c>
      <x:c r="C442" s="34" t="str">
        <x:v>P1_高优先级</x:v>
      </x:c>
      <x:c r="D442" s="34" t="str">
        <x:v>FG0｜现实反例优先</x:v>
      </x:c>
      <x:c r="E442" s="34" t="str">
        <x:v>L9 证据等级、评分与报告</x:v>
      </x:c>
      <x:c r="F442" s="34" t="str">
        <x:v>降级</x:v>
      </x:c>
      <x:c r="G442" s="34" t="n">
        <x:v>98</x:v>
      </x:c>
      <x:c r="H442" s="34" t="str">
        <x:v>待验证</x:v>
      </x:c>
      <x:c r="I442" s="34" t="str"/>
      <x:c r="J442" s="34" t="str"/>
      <x:c r="K442" s="34" t="str"/>
      <x:c r="L442" s="34" t="str"/>
      <x:c r="M442" s="34" t="str"/>
      <x:c r="N442" s="34" t="n">
        <x:f>IF(A442="","",I442+J442+K442)</x:f>
        <x:v>0</x:v>
      </x:c>
      <x:c r="O442" s="56" t="str">
        <x:f>IF(N442=0,"",(I442+0.5*J442)/N442)</x:f>
      </x:c>
      <x:c r="P442" s="56" t="str">
        <x:f>IF(N442=0,"",(I442+0.5*J442+1)/(N442+2))</x:f>
      </x:c>
      <x:c r="Q442" s="34" t="str"/>
      <x:c r="R442" s="34" t="str"/>
      <x:c r="S442" s="34" t="str"/>
      <x:c r="T442" s="34" t="str"/>
      <x:c r="U442" s="34" t="str"/>
      <x:c r="V442" s="34" t="str">
        <x:f>IF(A442="","",IF(N442&lt;5,"样本不足",IF(Q442&gt;=1,"优先复核",IF(AND(N442&gt;=20,P442&lt;0.35,K442&gt;=5),"停用候选",IF(AND(N442&gt;=10,P442&lt;0.45),"需修改候选",IF(AND(N442&gt;=10,P442&gt;=0.75,R442/N442&lt;=0.15,S442/N442&lt;=0.15),"升级候选",IF(R442/N442&gt;0.3,"收紧条件",IF(S442/N442&gt;0.3,"补漏／放宽","继续观察"))))))))</x:f>
        <x:v>样本不足</x:v>
      </x:c>
      <x:c r="W442" s="34" t="str">
        <x:f>IF(V442="","",IF(V442="升级候选","已验证候选",IF(V442="停用候选","停用候选",IF(OR(V442="需修改候选",V442="收紧条件",V442="补漏／放宽",V442="优先复核"),"需修改／复核","观察中"))))</x:f>
        <x:v>观察中</x:v>
      </x:c>
      <x:c r="X442" s="34" t="str"/>
      <x:c r="Y442" s="34" t="str"/>
    </x:row>
    <x:row r="443">
      <x:c r="A443" s="34" t="str">
        <x:v>M5-BOUND-010</x:v>
      </x:c>
      <x:c r="B443" s="34" t="str">
        <x:v>BOUND</x:v>
      </x:c>
      <x:c r="C443" s="34" t="str">
        <x:v>P1_高优先级</x:v>
      </x:c>
      <x:c r="D443" s="34" t="str">
        <x:v>M5-EXCHANGE提供负荷与资源接口</x:v>
      </x:c>
      <x:c r="E443" s="34" t="str">
        <x:v>L0 定义、边界与证据合同</x:v>
      </x:c>
      <x:c r="F443" s="34" t="str">
        <x:v>接口</x:v>
      </x:c>
      <x:c r="G443" s="34" t="n">
        <x:v>98</x:v>
      </x:c>
      <x:c r="H443" s="34" t="str">
        <x:v>待验证</x:v>
      </x:c>
      <x:c r="I443" s="34" t="str"/>
      <x:c r="J443" s="34" t="str"/>
      <x:c r="K443" s="34" t="str"/>
      <x:c r="L443" s="34" t="str"/>
      <x:c r="M443" s="34" t="str"/>
      <x:c r="N443" s="34" t="n">
        <x:f>IF(A443="","",I443+J443+K443)</x:f>
        <x:v>0</x:v>
      </x:c>
      <x:c r="O443" s="56" t="str">
        <x:f>IF(N443=0,"",(I443+0.5*J443)/N443)</x:f>
      </x:c>
      <x:c r="P443" s="56" t="str">
        <x:f>IF(N443=0,"",(I443+0.5*J443+1)/(N443+2))</x:f>
      </x:c>
      <x:c r="Q443" s="34" t="str"/>
      <x:c r="R443" s="34" t="str"/>
      <x:c r="S443" s="34" t="str"/>
      <x:c r="T443" s="34" t="str"/>
      <x:c r="U443" s="34" t="str"/>
      <x:c r="V443" s="34" t="str">
        <x:f>IF(A443="","",IF(N443&lt;5,"样本不足",IF(Q443&gt;=1,"优先复核",IF(AND(N443&gt;=20,P443&lt;0.35,K443&gt;=5),"停用候选",IF(AND(N443&gt;=10,P443&lt;0.45),"需修改候选",IF(AND(N443&gt;=10,P443&gt;=0.75,R443/N443&lt;=0.15,S443/N443&lt;=0.15),"升级候选",IF(R443/N443&gt;0.3,"收紧条件",IF(S443/N443&gt;0.3,"补漏／放宽","继续观察"))))))))</x:f>
        <x:v>样本不足</x:v>
      </x:c>
      <x:c r="W443" s="34" t="str">
        <x:f>IF(V443="","",IF(V443="升级候选","已验证候选",IF(V443="停用候选","停用候选",IF(OR(V443="需修改候选",V443="收紧条件",V443="补漏／放宽",V443="优先复核"),"需修改／复核","观察中"))))</x:f>
        <x:v>观察中</x:v>
      </x:c>
      <x:c r="X443" s="34" t="str"/>
      <x:c r="Y443" s="34" t="str"/>
    </x:row>
    <x:row r="444">
      <x:c r="A444" s="34" t="str">
        <x:v>M5-BOUND-011</x:v>
      </x:c>
      <x:c r="B444" s="34" t="str">
        <x:v>BOUND</x:v>
      </x:c>
      <x:c r="C444" s="34" t="str">
        <x:v>P1_高优先级</x:v>
      </x:c>
      <x:c r="D444" s="34" t="str">
        <x:v>M4识别越界循环｜M5建立替代治理</x:v>
      </x:c>
      <x:c r="E444" s="34" t="str">
        <x:v>L0 定义、边界与证据合同</x:v>
      </x:c>
      <x:c r="F444" s="34" t="str">
        <x:v>接口</x:v>
      </x:c>
      <x:c r="G444" s="34" t="n">
        <x:v>98</x:v>
      </x:c>
      <x:c r="H444" s="34" t="str">
        <x:v>待验证</x:v>
      </x:c>
      <x:c r="I444" s="34" t="str"/>
      <x:c r="J444" s="34" t="str"/>
      <x:c r="K444" s="34" t="str"/>
      <x:c r="L444" s="34" t="str"/>
      <x:c r="M444" s="34" t="str"/>
      <x:c r="N444" s="34" t="n">
        <x:f>IF(A444="","",I444+J444+K444)</x:f>
        <x:v>0</x:v>
      </x:c>
      <x:c r="O444" s="56" t="str">
        <x:f>IF(N444=0,"",(I444+0.5*J444)/N444)</x:f>
      </x:c>
      <x:c r="P444" s="56" t="str">
        <x:f>IF(N444=0,"",(I444+0.5*J444+1)/(N444+2))</x:f>
      </x:c>
      <x:c r="Q444" s="34" t="str"/>
      <x:c r="R444" s="34" t="str"/>
      <x:c r="S444" s="34" t="str"/>
      <x:c r="T444" s="34" t="str"/>
      <x:c r="U444" s="34" t="str"/>
      <x:c r="V444" s="34" t="str">
        <x:f>IF(A444="","",IF(N444&lt;5,"样本不足",IF(Q444&gt;=1,"优先复核",IF(AND(N444&gt;=20,P444&lt;0.35,K444&gt;=5),"停用候选",IF(AND(N444&gt;=10,P444&lt;0.45),"需修改候选",IF(AND(N444&gt;=10,P444&gt;=0.75,R444/N444&lt;=0.15,S444/N444&lt;=0.15),"升级候选",IF(R444/N444&gt;0.3,"收紧条件",IF(S444/N444&gt;0.3,"补漏／放宽","继续观察"))))))))</x:f>
        <x:v>样本不足</x:v>
      </x:c>
      <x:c r="W444" s="34" t="str">
        <x:f>IF(V444="","",IF(V444="升级候选","已验证候选",IF(V444="停用候选","停用候选",IF(OR(V444="需修改候选",V444="收紧条件",V444="补漏／放宽",V444="优先复核"),"需修改／复核","观察中"))))</x:f>
        <x:v>观察中</x:v>
      </x:c>
      <x:c r="X444" s="34" t="str"/>
      <x:c r="Y444" s="34" t="str"/>
    </x:row>
    <x:row r="445">
      <x:c r="A445" s="34" t="str">
        <x:v>M5-BOUND-012</x:v>
      </x:c>
      <x:c r="B445" s="34" t="str">
        <x:v>BOUND</x:v>
      </x:c>
      <x:c r="C445" s="34" t="str">
        <x:v>P1_高优先级</x:v>
      </x:c>
      <x:c r="D445" s="34" t="str">
        <x:v>具体关系现实行为高于命理结构</x:v>
      </x:c>
      <x:c r="E445" s="34" t="str">
        <x:v>L0 定义、边界与证据合同</x:v>
      </x:c>
      <x:c r="F445" s="34" t="str">
        <x:v>证据</x:v>
      </x:c>
      <x:c r="G445" s="34" t="n">
        <x:v>98</x:v>
      </x:c>
      <x:c r="H445" s="34" t="str">
        <x:v>待验证</x:v>
      </x:c>
      <x:c r="I445" s="34" t="str"/>
      <x:c r="J445" s="34" t="str"/>
      <x:c r="K445" s="34" t="str"/>
      <x:c r="L445" s="34" t="str"/>
      <x:c r="M445" s="34" t="str"/>
      <x:c r="N445" s="34" t="n">
        <x:f>IF(A445="","",I445+J445+K445)</x:f>
        <x:v>0</x:v>
      </x:c>
      <x:c r="O445" s="56" t="str">
        <x:f>IF(N445=0,"",(I445+0.5*J445)/N445)</x:f>
      </x:c>
      <x:c r="P445" s="56" t="str">
        <x:f>IF(N445=0,"",(I445+0.5*J445+1)/(N445+2))</x:f>
      </x:c>
      <x:c r="Q445" s="34" t="str"/>
      <x:c r="R445" s="34" t="str"/>
      <x:c r="S445" s="34" t="str"/>
      <x:c r="T445" s="34" t="str"/>
      <x:c r="U445" s="34" t="str"/>
      <x:c r="V445" s="34" t="str">
        <x:f>IF(A445="","",IF(N445&lt;5,"样本不足",IF(Q445&gt;=1,"优先复核",IF(AND(N445&gt;=20,P445&lt;0.35,K445&gt;=5),"停用候选",IF(AND(N445&gt;=10,P445&lt;0.45),"需修改候选",IF(AND(N445&gt;=10,P445&gt;=0.75,R445/N445&lt;=0.15,S445/N445&lt;=0.15),"升级候选",IF(R445/N445&gt;0.3,"收紧条件",IF(S445/N445&gt;0.3,"补漏／放宽","继续观察"))))))))</x:f>
        <x:v>样本不足</x:v>
      </x:c>
      <x:c r="W445" s="34" t="str">
        <x:f>IF(V445="","",IF(V445="升级候选","已验证候选",IF(V445="停用候选","停用候选",IF(OR(V445="需修改候选",V445="收紧条件",V445="补漏／放宽",V445="优先复核"),"需修改／复核","观察中"))))</x:f>
        <x:v>观察中</x:v>
      </x:c>
      <x:c r="X445" s="34" t="str"/>
      <x:c r="Y445" s="34" t="str"/>
    </x:row>
    <x:row r="446">
      <x:c r="A446" s="34" t="str">
        <x:v>M5-BOUND-013</x:v>
      </x:c>
      <x:c r="B446" s="34" t="str">
        <x:v>BOUND</x:v>
      </x:c>
      <x:c r="C446" s="34" t="str">
        <x:v>P1_高优先级</x:v>
      </x:c>
      <x:c r="D446" s="34" t="str">
        <x:v>同一source_id只计一次基础权重</x:v>
      </x:c>
      <x:c r="E446" s="34" t="str">
        <x:v>L0 定义、边界与证据合同</x:v>
      </x:c>
      <x:c r="F446" s="34" t="str">
        <x:v>去重</x:v>
      </x:c>
      <x:c r="G446" s="34" t="n">
        <x:v>98</x:v>
      </x:c>
      <x:c r="H446" s="34" t="str">
        <x:v>待验证</x:v>
      </x:c>
      <x:c r="I446" s="34" t="str"/>
      <x:c r="J446" s="34" t="str"/>
      <x:c r="K446" s="34" t="str"/>
      <x:c r="L446" s="34" t="str"/>
      <x:c r="M446" s="34" t="str"/>
      <x:c r="N446" s="34" t="n">
        <x:f>IF(A446="","",I446+J446+K446)</x:f>
        <x:v>0</x:v>
      </x:c>
      <x:c r="O446" s="56" t="str">
        <x:f>IF(N446=0,"",(I446+0.5*J446)/N446)</x:f>
      </x:c>
      <x:c r="P446" s="56" t="str">
        <x:f>IF(N446=0,"",(I446+0.5*J446+1)/(N446+2))</x:f>
      </x:c>
      <x:c r="Q446" s="34" t="str"/>
      <x:c r="R446" s="34" t="str"/>
      <x:c r="S446" s="34" t="str"/>
      <x:c r="T446" s="34" t="str"/>
      <x:c r="U446" s="34" t="str"/>
      <x:c r="V446" s="34" t="str">
        <x:f>IF(A446="","",IF(N446&lt;5,"样本不足",IF(Q446&gt;=1,"优先复核",IF(AND(N446&gt;=20,P446&lt;0.35,K446&gt;=5),"停用候选",IF(AND(N446&gt;=10,P446&lt;0.45),"需修改候选",IF(AND(N446&gt;=10,P446&gt;=0.75,R446/N446&lt;=0.15,S446/N446&lt;=0.15),"升级候选",IF(R446/N446&gt;0.3,"收紧条件",IF(S446/N446&gt;0.3,"补漏／放宽","继续观察"))))))))</x:f>
        <x:v>样本不足</x:v>
      </x:c>
      <x:c r="W446" s="34" t="str">
        <x:f>IF(V446="","",IF(V446="升级候选","已验证候选",IF(V446="停用候选","停用候选",IF(OR(V446="需修改候选",V446="收紧条件",V446="补漏／放宽",V446="优先复核"),"需修改／复核","观察中"))))</x:f>
        <x:v>观察中</x:v>
      </x:c>
      <x:c r="X446" s="34" t="str"/>
      <x:c r="Y446" s="34" t="str"/>
    </x:row>
    <x:row r="447">
      <x:c r="A447" s="34" t="str">
        <x:v>M5-BOUND-014</x:v>
      </x:c>
      <x:c r="B447" s="34" t="str">
        <x:v>BOUND</x:v>
      </x:c>
      <x:c r="C447" s="34" t="str">
        <x:v>P1_高优先级</x:v>
      </x:c>
      <x:c r="D447" s="34" t="str">
        <x:v>同一event_id只算一次边界事件</x:v>
      </x:c>
      <x:c r="E447" s="34" t="str">
        <x:v>L0 定义、边界与证据合同</x:v>
      </x:c>
      <x:c r="F447" s="34" t="str">
        <x:v>去重</x:v>
      </x:c>
      <x:c r="G447" s="34" t="n">
        <x:v>98</x:v>
      </x:c>
      <x:c r="H447" s="34" t="str">
        <x:v>待验证</x:v>
      </x:c>
      <x:c r="I447" s="34" t="str"/>
      <x:c r="J447" s="34" t="str"/>
      <x:c r="K447" s="34" t="str"/>
      <x:c r="L447" s="34" t="str"/>
      <x:c r="M447" s="34" t="str"/>
      <x:c r="N447" s="34" t="n">
        <x:f>IF(A447="","",I447+J447+K447)</x:f>
        <x:v>0</x:v>
      </x:c>
      <x:c r="O447" s="56" t="str">
        <x:f>IF(N447=0,"",(I447+0.5*J447)/N447)</x:f>
      </x:c>
      <x:c r="P447" s="56" t="str">
        <x:f>IF(N447=0,"",(I447+0.5*J447+1)/(N447+2))</x:f>
      </x:c>
      <x:c r="Q447" s="34" t="str"/>
      <x:c r="R447" s="34" t="str"/>
      <x:c r="S447" s="34" t="str"/>
      <x:c r="T447" s="34" t="str"/>
      <x:c r="U447" s="34" t="str"/>
      <x:c r="V447" s="34" t="str">
        <x:f>IF(A447="","",IF(N447&lt;5,"样本不足",IF(Q447&gt;=1,"优先复核",IF(AND(N447&gt;=20,P447&lt;0.35,K447&gt;=5),"停用候选",IF(AND(N447&gt;=10,P447&lt;0.45),"需修改候选",IF(AND(N447&gt;=10,P447&gt;=0.75,R447/N447&lt;=0.15,S447/N447&lt;=0.15),"升级候选",IF(R447/N447&gt;0.3,"收紧条件",IF(S447/N447&gt;0.3,"补漏／放宽","继续观察"))))))))</x:f>
        <x:v>样本不足</x:v>
      </x:c>
      <x:c r="W447" s="34" t="str">
        <x:f>IF(V447="","",IF(V447="升级候选","已验证候选",IF(V447="停用候选","停用候选",IF(OR(V447="需修改候选",V447="收紧条件",V447="补漏／放宽",V447="优先复核"),"需修改／复核","观察中"))))</x:f>
        <x:v>观察中</x:v>
      </x:c>
      <x:c r="X447" s="34" t="str"/>
      <x:c r="Y447" s="34" t="str"/>
    </x:row>
    <x:row r="448">
      <x:c r="A448" s="34" t="str">
        <x:v>M5-BOUND-245</x:v>
      </x:c>
      <x:c r="B448" s="34" t="str">
        <x:v>BOUND</x:v>
      </x:c>
      <x:c r="C448" s="34" t="str">
        <x:v>P1_高优先级</x:v>
      </x:c>
      <x:c r="D448" s="34" t="str">
        <x:v>BS01 稳定双向边界｜禁止人格化</x:v>
      </x:c>
      <x:c r="E448" s="34" t="str">
        <x:v>L4 边界状态</x:v>
      </x:c>
      <x:c r="F448" s="34" t="str">
        <x:v>边界</x:v>
      </x:c>
      <x:c r="G448" s="34" t="n">
        <x:v>98</x:v>
      </x:c>
      <x:c r="H448" s="34" t="str">
        <x:v>待验证</x:v>
      </x:c>
      <x:c r="I448" s="34" t="str"/>
      <x:c r="J448" s="34" t="str"/>
      <x:c r="K448" s="34" t="str"/>
      <x:c r="L448" s="34" t="str"/>
      <x:c r="M448" s="34" t="str"/>
      <x:c r="N448" s="34" t="n">
        <x:f>IF(A448="","",I448+J448+K448)</x:f>
        <x:v>0</x:v>
      </x:c>
      <x:c r="O448" s="56" t="str">
        <x:f>IF(N448=0,"",(I448+0.5*J448)/N448)</x:f>
      </x:c>
      <x:c r="P448" s="56" t="str">
        <x:f>IF(N448=0,"",(I448+0.5*J448+1)/(N448+2))</x:f>
      </x:c>
      <x:c r="Q448" s="34" t="str"/>
      <x:c r="R448" s="34" t="str"/>
      <x:c r="S448" s="34" t="str"/>
      <x:c r="T448" s="34" t="str"/>
      <x:c r="U448" s="34" t="str"/>
      <x:c r="V448" s="34" t="str">
        <x:f>IF(A448="","",IF(N448&lt;5,"样本不足",IF(Q448&gt;=1,"优先复核",IF(AND(N448&gt;=20,P448&lt;0.35,K448&gt;=5),"停用候选",IF(AND(N448&gt;=10,P448&lt;0.45),"需修改候选",IF(AND(N448&gt;=10,P448&gt;=0.75,R448/N448&lt;=0.15,S448/N448&lt;=0.15),"升级候选",IF(R448/N448&gt;0.3,"收紧条件",IF(S448/N448&gt;0.3,"补漏／放宽","继续观察"))))))))</x:f>
        <x:v>样本不足</x:v>
      </x:c>
      <x:c r="W448" s="34" t="str">
        <x:f>IF(V448="","",IF(V448="升级候选","已验证候选",IF(V448="停用候选","停用候选",IF(OR(V448="需修改候选",V448="收紧条件",V448="补漏／放宽",V448="优先复核"),"需修改／复核","观察中"))))</x:f>
        <x:v>观察中</x:v>
      </x:c>
      <x:c r="X448" s="34" t="str"/>
      <x:c r="Y448" s="34" t="str"/>
    </x:row>
    <x:row r="449">
      <x:c r="A449" s="34" t="str">
        <x:v>M5-BOUND-250</x:v>
      </x:c>
      <x:c r="B449" s="34" t="str">
        <x:v>BOUND</x:v>
      </x:c>
      <x:c r="C449" s="34" t="str">
        <x:v>P1_高优先级</x:v>
      </x:c>
      <x:c r="D449" s="34" t="str">
        <x:v>BS02 高共享且自主保留｜禁止人格化</x:v>
      </x:c>
      <x:c r="E449" s="34" t="str">
        <x:v>L4 边界状态</x:v>
      </x:c>
      <x:c r="F449" s="34" t="str">
        <x:v>边界</x:v>
      </x:c>
      <x:c r="G449" s="34" t="n">
        <x:v>98</x:v>
      </x:c>
      <x:c r="H449" s="34" t="str">
        <x:v>待验证</x:v>
      </x:c>
      <x:c r="I449" s="34" t="str"/>
      <x:c r="J449" s="34" t="str"/>
      <x:c r="K449" s="34" t="str"/>
      <x:c r="L449" s="34" t="str"/>
      <x:c r="M449" s="34" t="str"/>
      <x:c r="N449" s="34" t="n">
        <x:f>IF(A449="","",I449+J449+K449)</x:f>
        <x:v>0</x:v>
      </x:c>
      <x:c r="O449" s="56" t="str">
        <x:f>IF(N449=0,"",(I449+0.5*J449)/N449)</x:f>
      </x:c>
      <x:c r="P449" s="56" t="str">
        <x:f>IF(N449=0,"",(I449+0.5*J449+1)/(N449+2))</x:f>
      </x:c>
      <x:c r="Q449" s="34" t="str"/>
      <x:c r="R449" s="34" t="str"/>
      <x:c r="S449" s="34" t="str"/>
      <x:c r="T449" s="34" t="str"/>
      <x:c r="U449" s="34" t="str"/>
      <x:c r="V449" s="34" t="str">
        <x:f>IF(A449="","",IF(N449&lt;5,"样本不足",IF(Q449&gt;=1,"优先复核",IF(AND(N449&gt;=20,P449&lt;0.35,K449&gt;=5),"停用候选",IF(AND(N449&gt;=10,P449&lt;0.45),"需修改候选",IF(AND(N449&gt;=10,P449&gt;=0.75,R449/N449&lt;=0.15,S449/N449&lt;=0.15),"升级候选",IF(R449/N449&gt;0.3,"收紧条件",IF(S449/N449&gt;0.3,"补漏／放宽","继续观察"))))))))</x:f>
        <x:v>样本不足</x:v>
      </x:c>
      <x:c r="W449" s="34" t="str">
        <x:f>IF(V449="","",IF(V449="升级候选","已验证候选",IF(V449="停用候选","停用候选",IF(OR(V449="需修改候选",V449="收紧条件",V449="补漏／放宽",V449="优先复核"),"需修改／复核","观察中"))))</x:f>
        <x:v>观察中</x:v>
      </x:c>
      <x:c r="X449" s="34" t="str"/>
      <x:c r="Y449" s="34" t="str"/>
    </x:row>
    <x:row r="450">
      <x:c r="A450" s="34" t="str">
        <x:v>M5-BOUND-255</x:v>
      </x:c>
      <x:c r="B450" s="34" t="str">
        <x:v>BOUND</x:v>
      </x:c>
      <x:c r="C450" s="34" t="str">
        <x:v>P1_高优先级</x:v>
      </x:c>
      <x:c r="D450" s="34" t="str">
        <x:v>BS03 高独立且连接稳定｜禁止人格化</x:v>
      </x:c>
      <x:c r="E450" s="34" t="str">
        <x:v>L4 边界状态</x:v>
      </x:c>
      <x:c r="F450" s="34" t="str">
        <x:v>边界</x:v>
      </x:c>
      <x:c r="G450" s="34" t="n">
        <x:v>98</x:v>
      </x:c>
      <x:c r="H450" s="34" t="str">
        <x:v>待验证</x:v>
      </x:c>
      <x:c r="I450" s="34" t="str"/>
      <x:c r="J450" s="34" t="str"/>
      <x:c r="K450" s="34" t="str"/>
      <x:c r="L450" s="34" t="str"/>
      <x:c r="M450" s="34" t="str"/>
      <x:c r="N450" s="34" t="n">
        <x:f>IF(A450="","",I450+J450+K450)</x:f>
        <x:v>0</x:v>
      </x:c>
      <x:c r="O450" s="56" t="str">
        <x:f>IF(N450=0,"",(I450+0.5*J450)/N450)</x:f>
      </x:c>
      <x:c r="P450" s="56" t="str">
        <x:f>IF(N450=0,"",(I450+0.5*J450+1)/(N450+2))</x:f>
      </x:c>
      <x:c r="Q450" s="34" t="str"/>
      <x:c r="R450" s="34" t="str"/>
      <x:c r="S450" s="34" t="str"/>
      <x:c r="T450" s="34" t="str"/>
      <x:c r="U450" s="34" t="str"/>
      <x:c r="V450" s="34" t="str">
        <x:f>IF(A450="","",IF(N450&lt;5,"样本不足",IF(Q450&gt;=1,"优先复核",IF(AND(N450&gt;=20,P450&lt;0.35,K450&gt;=5),"停用候选",IF(AND(N450&gt;=10,P450&lt;0.45),"需修改候选",IF(AND(N450&gt;=10,P450&gt;=0.75,R450/N450&lt;=0.15,S450/N450&lt;=0.15),"升级候选",IF(R450/N450&gt;0.3,"收紧条件",IF(S450/N450&gt;0.3,"补漏／放宽","继续观察"))))))))</x:f>
        <x:v>样本不足</x:v>
      </x:c>
      <x:c r="W450" s="34" t="str">
        <x:f>IF(V450="","",IF(V450="升级候选","已验证候选",IF(V450="停用候选","停用候选",IF(OR(V450="需修改候选",V450="收紧条件",V450="补漏／放宽",V450="优先复核"),"需修改／复核","观察中"))))</x:f>
        <x:v>观察中</x:v>
      </x:c>
      <x:c r="X450" s="34" t="str"/>
      <x:c r="Y450" s="34" t="str"/>
    </x:row>
    <x:row r="451">
      <x:c r="A451" s="34" t="str">
        <x:v>M5-BOUND-260</x:v>
      </x:c>
      <x:c r="B451" s="34" t="str">
        <x:v>BOUND</x:v>
      </x:c>
      <x:c r="C451" s="34" t="str">
        <x:v>P1_高优先级</x:v>
      </x:c>
      <x:c r="D451" s="34" t="str">
        <x:v>BS04 条件性授权与分工｜禁止人格化</x:v>
      </x:c>
      <x:c r="E451" s="34" t="str">
        <x:v>L4 边界状态</x:v>
      </x:c>
      <x:c r="F451" s="34" t="str">
        <x:v>边界</x:v>
      </x:c>
      <x:c r="G451" s="34" t="n">
        <x:v>98</x:v>
      </x:c>
      <x:c r="H451" s="34" t="str">
        <x:v>待验证</x:v>
      </x:c>
      <x:c r="I451" s="34" t="str"/>
      <x:c r="J451" s="34" t="str"/>
      <x:c r="K451" s="34" t="str"/>
      <x:c r="L451" s="34" t="str"/>
      <x:c r="M451" s="34" t="str"/>
      <x:c r="N451" s="34" t="n">
        <x:f>IF(A451="","",I451+J451+K451)</x:f>
        <x:v>0</x:v>
      </x:c>
      <x:c r="O451" s="56" t="str">
        <x:f>IF(N451=0,"",(I451+0.5*J451)/N451)</x:f>
      </x:c>
      <x:c r="P451" s="56" t="str">
        <x:f>IF(N451=0,"",(I451+0.5*J451+1)/(N451+2))</x:f>
      </x:c>
      <x:c r="Q451" s="34" t="str"/>
      <x:c r="R451" s="34" t="str"/>
      <x:c r="S451" s="34" t="str"/>
      <x:c r="T451" s="34" t="str"/>
      <x:c r="U451" s="34" t="str"/>
      <x:c r="V451" s="34" t="str">
        <x:f>IF(A451="","",IF(N451&lt;5,"样本不足",IF(Q451&gt;=1,"优先复核",IF(AND(N451&gt;=20,P451&lt;0.35,K451&gt;=5),"停用候选",IF(AND(N451&gt;=10,P451&lt;0.45),"需修改候选",IF(AND(N451&gt;=10,P451&gt;=0.75,R451/N451&lt;=0.15,S451/N451&lt;=0.15),"升级候选",IF(R451/N451&gt;0.3,"收紧条件",IF(S451/N451&gt;0.3,"补漏／放宽","继续观察"))))))))</x:f>
        <x:v>样本不足</x:v>
      </x:c>
      <x:c r="W451" s="34" t="str">
        <x:f>IF(V451="","",IF(V451="升级候选","已验证候选",IF(V451="停用候选","停用候选",IF(OR(V451="需修改候选",V451="收紧条件",V451="补漏／放宽",V451="优先复核"),"需修改／复核","观察中"))))</x:f>
        <x:v>观察中</x:v>
      </x:c>
      <x:c r="X451" s="34" t="str"/>
      <x:c r="Y451" s="34" t="str"/>
    </x:row>
    <x:row r="452">
      <x:c r="A452" s="34" t="str">
        <x:v>M5-BOUND-265</x:v>
      </x:c>
      <x:c r="B452" s="34" t="str">
        <x:v>BOUND</x:v>
      </x:c>
      <x:c r="C452" s="34" t="str">
        <x:v>P1_高优先级</x:v>
      </x:c>
      <x:c r="D452" s="34" t="str">
        <x:v>BS05 规则清楚但执行未证｜禁止人格化</x:v>
      </x:c>
      <x:c r="E452" s="34" t="str">
        <x:v>L4 边界状态</x:v>
      </x:c>
      <x:c r="F452" s="34" t="str">
        <x:v>边界</x:v>
      </x:c>
      <x:c r="G452" s="34" t="n">
        <x:v>98</x:v>
      </x:c>
      <x:c r="H452" s="34" t="str">
        <x:v>待验证</x:v>
      </x:c>
      <x:c r="I452" s="34" t="str"/>
      <x:c r="J452" s="34" t="str"/>
      <x:c r="K452" s="34" t="str"/>
      <x:c r="L452" s="34" t="str"/>
      <x:c r="M452" s="34" t="str"/>
      <x:c r="N452" s="34" t="n">
        <x:f>IF(A452="","",I452+J452+K452)</x:f>
        <x:v>0</x:v>
      </x:c>
      <x:c r="O452" s="56" t="str">
        <x:f>IF(N452=0,"",(I452+0.5*J452)/N452)</x:f>
      </x:c>
      <x:c r="P452" s="56" t="str">
        <x:f>IF(N452=0,"",(I452+0.5*J452+1)/(N452+2))</x:f>
      </x:c>
      <x:c r="Q452" s="34" t="str"/>
      <x:c r="R452" s="34" t="str"/>
      <x:c r="S452" s="34" t="str"/>
      <x:c r="T452" s="34" t="str"/>
      <x:c r="U452" s="34" t="str"/>
      <x:c r="V452" s="34" t="str">
        <x:f>IF(A452="","",IF(N452&lt;5,"样本不足",IF(Q452&gt;=1,"优先复核",IF(AND(N452&gt;=20,P452&lt;0.35,K452&gt;=5),"停用候选",IF(AND(N452&gt;=10,P452&lt;0.45),"需修改候选",IF(AND(N452&gt;=10,P452&gt;=0.75,R452/N452&lt;=0.15,S452/N452&lt;=0.15),"升级候选",IF(R452/N452&gt;0.3,"收紧条件",IF(S452/N452&gt;0.3,"补漏／放宽","继续观察"))))))))</x:f>
        <x:v>样本不足</x:v>
      </x:c>
      <x:c r="W452" s="34" t="str">
        <x:f>IF(V452="","",IF(V452="升级候选","已验证候选",IF(V452="停用候选","停用候选",IF(OR(V452="需修改候选",V452="收紧条件",V452="补漏／放宽",V452="优先复核"),"需修改／复核","观察中"))))</x:f>
        <x:v>观察中</x:v>
      </x:c>
      <x:c r="X452" s="34" t="str"/>
      <x:c r="Y452" s="34" t="str"/>
    </x:row>
    <x:row r="453">
      <x:c r="A453" s="34" t="str">
        <x:v>M5-BOUND-270</x:v>
      </x:c>
      <x:c r="B453" s="34" t="str">
        <x:v>BOUND</x:v>
      </x:c>
      <x:c r="C453" s="34" t="str">
        <x:v>P1_高优先级</x:v>
      </x:c>
      <x:c r="D453" s="34" t="str">
        <x:v>BS06 边界不对称候选｜禁止人格化</x:v>
      </x:c>
      <x:c r="E453" s="34" t="str">
        <x:v>L4 边界状态</x:v>
      </x:c>
      <x:c r="F453" s="34" t="str">
        <x:v>边界</x:v>
      </x:c>
      <x:c r="G453" s="34" t="n">
        <x:v>98</x:v>
      </x:c>
      <x:c r="H453" s="34" t="str">
        <x:v>待验证</x:v>
      </x:c>
      <x:c r="I453" s="34" t="str"/>
      <x:c r="J453" s="34" t="str"/>
      <x:c r="K453" s="34" t="str"/>
      <x:c r="L453" s="34" t="str"/>
      <x:c r="M453" s="34" t="str"/>
      <x:c r="N453" s="34" t="n">
        <x:f>IF(A453="","",I453+J453+K453)</x:f>
        <x:v>0</x:v>
      </x:c>
      <x:c r="O453" s="56" t="str">
        <x:f>IF(N453=0,"",(I453+0.5*J453)/N453)</x:f>
      </x:c>
      <x:c r="P453" s="56" t="str">
        <x:f>IF(N453=0,"",(I453+0.5*J453+1)/(N453+2))</x:f>
      </x:c>
      <x:c r="Q453" s="34" t="str"/>
      <x:c r="R453" s="34" t="str"/>
      <x:c r="S453" s="34" t="str"/>
      <x:c r="T453" s="34" t="str"/>
      <x:c r="U453" s="34" t="str"/>
      <x:c r="V453" s="34" t="str">
        <x:f>IF(A453="","",IF(N453&lt;5,"样本不足",IF(Q453&gt;=1,"优先复核",IF(AND(N453&gt;=20,P453&lt;0.35,K453&gt;=5),"停用候选",IF(AND(N453&gt;=10,P453&lt;0.45),"需修改候选",IF(AND(N453&gt;=10,P453&gt;=0.75,R453/N453&lt;=0.15,S453/N453&lt;=0.15),"升级候选",IF(R453/N453&gt;0.3,"收紧条件",IF(S453/N453&gt;0.3,"补漏／放宽","继续观察"))))))))</x:f>
        <x:v>样本不足</x:v>
      </x:c>
      <x:c r="W453" s="34" t="str">
        <x:f>IF(V453="","",IF(V453="升级候选","已验证候选",IF(V453="停用候选","停用候选",IF(OR(V453="需修改候选",V453="收紧条件",V453="补漏／放宽",V453="优先复核"),"需修改／复核","观察中"))))</x:f>
        <x:v>观察中</x:v>
      </x:c>
      <x:c r="X453" s="34" t="str"/>
      <x:c r="Y453" s="34" t="str"/>
    </x:row>
    <x:row r="454">
      <x:c r="A454" s="34" t="str">
        <x:v>M5-BOUND-275</x:v>
      </x:c>
      <x:c r="B454" s="34" t="str">
        <x:v>BOUND</x:v>
      </x:c>
      <x:c r="C454" s="34" t="str">
        <x:v>P1_高优先级</x:v>
      </x:c>
      <x:c r="D454" s="34" t="str">
        <x:v>BS07 控制与失权风险候选｜禁止人格化</x:v>
      </x:c>
      <x:c r="E454" s="34" t="str">
        <x:v>L4 边界状态</x:v>
      </x:c>
      <x:c r="F454" s="34" t="str">
        <x:v>边界</x:v>
      </x:c>
      <x:c r="G454" s="34" t="n">
        <x:v>98</x:v>
      </x:c>
      <x:c r="H454" s="34" t="str">
        <x:v>待验证</x:v>
      </x:c>
      <x:c r="I454" s="34" t="str"/>
      <x:c r="J454" s="34" t="str"/>
      <x:c r="K454" s="34" t="str"/>
      <x:c r="L454" s="34" t="str"/>
      <x:c r="M454" s="34" t="str"/>
      <x:c r="N454" s="34" t="n">
        <x:f>IF(A454="","",I454+J454+K454)</x:f>
        <x:v>0</x:v>
      </x:c>
      <x:c r="O454" s="56" t="str">
        <x:f>IF(N454=0,"",(I454+0.5*J454)/N454)</x:f>
      </x:c>
      <x:c r="P454" s="56" t="str">
        <x:f>IF(N454=0,"",(I454+0.5*J454+1)/(N454+2))</x:f>
      </x:c>
      <x:c r="Q454" s="34" t="str"/>
      <x:c r="R454" s="34" t="str"/>
      <x:c r="S454" s="34" t="str"/>
      <x:c r="T454" s="34" t="str"/>
      <x:c r="U454" s="34" t="str"/>
      <x:c r="V454" s="34" t="str">
        <x:f>IF(A454="","",IF(N454&lt;5,"样本不足",IF(Q454&gt;=1,"优先复核",IF(AND(N454&gt;=20,P454&lt;0.35,K454&gt;=5),"停用候选",IF(AND(N454&gt;=10,P454&lt;0.45),"需修改候选",IF(AND(N454&gt;=10,P454&gt;=0.75,R454/N454&lt;=0.15,S454/N454&lt;=0.15),"升级候选",IF(R454/N454&gt;0.3,"收紧条件",IF(S454/N454&gt;0.3,"补漏／放宽","继续观察"))))))))</x:f>
        <x:v>样本不足</x:v>
      </x:c>
      <x:c r="W454" s="34" t="str">
        <x:f>IF(V454="","",IF(V454="升级候选","已验证候选",IF(V454="停用候选","停用候选",IF(OR(V454="需修改候选",V454="收紧条件",V454="补漏／放宽",V454="优先复核"),"需修改／复核","观察中"))))</x:f>
        <x:v>观察中</x:v>
      </x:c>
      <x:c r="X454" s="34" t="str"/>
      <x:c r="Y454" s="34" t="str"/>
    </x:row>
    <x:row r="455">
      <x:c r="A455" s="34" t="str">
        <x:v>M5-BOUND-280</x:v>
      </x:c>
      <x:c r="B455" s="34" t="str">
        <x:v>BOUND</x:v>
      </x:c>
      <x:c r="C455" s="34" t="str">
        <x:v>P1_高优先级</x:v>
      </x:c>
      <x:c r="D455" s="34" t="str">
        <x:v>BS08 边界未定／安全停止｜禁止人格化</x:v>
      </x:c>
      <x:c r="E455" s="34" t="str">
        <x:v>L4 边界状态</x:v>
      </x:c>
      <x:c r="F455" s="34" t="str">
        <x:v>边界</x:v>
      </x:c>
      <x:c r="G455" s="34" t="n">
        <x:v>98</x:v>
      </x:c>
      <x:c r="H455" s="34" t="str">
        <x:v>待验证</x:v>
      </x:c>
      <x:c r="I455" s="34" t="str"/>
      <x:c r="J455" s="34" t="str"/>
      <x:c r="K455" s="34" t="str"/>
      <x:c r="L455" s="34" t="str"/>
      <x:c r="M455" s="34" t="str"/>
      <x:c r="N455" s="34" t="n">
        <x:f>IF(A455="","",I455+J455+K455)</x:f>
        <x:v>0</x:v>
      </x:c>
      <x:c r="O455" s="56" t="str">
        <x:f>IF(N455=0,"",(I455+0.5*J455)/N455)</x:f>
      </x:c>
      <x:c r="P455" s="56" t="str">
        <x:f>IF(N455=0,"",(I455+0.5*J455+1)/(N455+2))</x:f>
      </x:c>
      <x:c r="Q455" s="34" t="str"/>
      <x:c r="R455" s="34" t="str"/>
      <x:c r="S455" s="34" t="str"/>
      <x:c r="T455" s="34" t="str"/>
      <x:c r="U455" s="34" t="str"/>
      <x:c r="V455" s="34" t="str">
        <x:f>IF(A455="","",IF(N455&lt;5,"样本不足",IF(Q455&gt;=1,"优先复核",IF(AND(N455&gt;=20,P455&lt;0.35,K455&gt;=5),"停用候选",IF(AND(N455&gt;=10,P455&lt;0.45),"需修改候选",IF(AND(N455&gt;=10,P455&gt;=0.75,R455/N455&lt;=0.15,S455/N455&lt;=0.15),"升级候选",IF(R455/N455&gt;0.3,"收紧条件",IF(S455/N455&gt;0.3,"补漏／放宽","继续观察"))))))))</x:f>
        <x:v>样本不足</x:v>
      </x:c>
      <x:c r="W455" s="34" t="str">
        <x:f>IF(V455="","",IF(V455="升级候选","已验证候选",IF(V455="停用候选","停用候选",IF(OR(V455="需修改候选",V455="收紧条件",V455="补漏／放宽",V455="优先复核"),"需修改／复核","观察中"))))</x:f>
        <x:v>观察中</x:v>
      </x:c>
      <x:c r="X455" s="34" t="str"/>
      <x:c r="Y455" s="34" t="str"/>
    </x:row>
    <x:row r="456">
      <x:c r="A456" s="34" t="str">
        <x:v>M5-BOUND-460</x:v>
      </x:c>
      <x:c r="B456" s="34" t="str">
        <x:v>BOUND</x:v>
      </x:c>
      <x:c r="C456" s="34" t="str">
        <x:v>P1_高优先级</x:v>
      </x:c>
      <x:c r="D456" s="34" t="str">
        <x:v>贡献不转换为基本控制权</x:v>
      </x:c>
      <x:c r="E456" s="34" t="str">
        <x:v>L9 状态、接口、去重与停止</x:v>
      </x:c>
      <x:c r="F456" s="34" t="str">
        <x:v>边界</x:v>
      </x:c>
      <x:c r="G456" s="34" t="n">
        <x:v>98</x:v>
      </x:c>
      <x:c r="H456" s="34" t="str">
        <x:v>待验证</x:v>
      </x:c>
      <x:c r="I456" s="34" t="str"/>
      <x:c r="J456" s="34" t="str"/>
      <x:c r="K456" s="34" t="str"/>
      <x:c r="L456" s="34" t="str"/>
      <x:c r="M456" s="34" t="str"/>
      <x:c r="N456" s="34" t="n">
        <x:f>IF(A456="","",I456+J456+K456)</x:f>
        <x:v>0</x:v>
      </x:c>
      <x:c r="O456" s="56" t="str">
        <x:f>IF(N456=0,"",(I456+0.5*J456)/N456)</x:f>
      </x:c>
      <x:c r="P456" s="56" t="str">
        <x:f>IF(N456=0,"",(I456+0.5*J456+1)/(N456+2))</x:f>
      </x:c>
      <x:c r="Q456" s="34" t="str"/>
      <x:c r="R456" s="34" t="str"/>
      <x:c r="S456" s="34" t="str"/>
      <x:c r="T456" s="34" t="str"/>
      <x:c r="U456" s="34" t="str"/>
      <x:c r="V456" s="34" t="str">
        <x:f>IF(A456="","",IF(N456&lt;5,"样本不足",IF(Q456&gt;=1,"优先复核",IF(AND(N456&gt;=20,P456&lt;0.35,K456&gt;=5),"停用候选",IF(AND(N456&gt;=10,P456&lt;0.45),"需修改候选",IF(AND(N456&gt;=10,P456&gt;=0.75,R456/N456&lt;=0.15,S456/N456&lt;=0.15),"升级候选",IF(R456/N456&gt;0.3,"收紧条件",IF(S456/N456&gt;0.3,"补漏／放宽","继续观察"))))))))</x:f>
        <x:v>样本不足</x:v>
      </x:c>
      <x:c r="W456" s="34" t="str">
        <x:f>IF(V456="","",IF(V456="升级候选","已验证候选",IF(V456="停用候选","停用候选",IF(OR(V456="需修改候选",V456="收紧条件",V456="补漏／放宽",V456="优先复核"),"需修改／复核","观察中"))))</x:f>
        <x:v>观察中</x:v>
      </x:c>
      <x:c r="X456" s="34" t="str"/>
      <x:c r="Y456" s="34" t="str"/>
    </x:row>
    <x:row r="457">
      <x:c r="A457" s="34" t="str">
        <x:v>M5-BOUND-461</x:v>
      </x:c>
      <x:c r="B457" s="34" t="str">
        <x:v>BOUND</x:v>
      </x:c>
      <x:c r="C457" s="34" t="str">
        <x:v>P1_高优先级</x:v>
      </x:c>
      <x:c r="D457" s="34" t="str">
        <x:v>支持必须增加自主</x:v>
      </x:c>
      <x:c r="E457" s="34" t="str">
        <x:v>L9 状态、接口、去重与停止</x:v>
      </x:c>
      <x:c r="F457" s="34" t="str">
        <x:v>边界</x:v>
      </x:c>
      <x:c r="G457" s="34" t="n">
        <x:v>98</x:v>
      </x:c>
      <x:c r="H457" s="34" t="str">
        <x:v>待验证</x:v>
      </x:c>
      <x:c r="I457" s="34" t="str"/>
      <x:c r="J457" s="34" t="str"/>
      <x:c r="K457" s="34" t="str"/>
      <x:c r="L457" s="34" t="str"/>
      <x:c r="M457" s="34" t="str"/>
      <x:c r="N457" s="34" t="n">
        <x:f>IF(A457="","",I457+J457+K457)</x:f>
        <x:v>0</x:v>
      </x:c>
      <x:c r="O457" s="56" t="str">
        <x:f>IF(N457=0,"",(I457+0.5*J457)/N457)</x:f>
      </x:c>
      <x:c r="P457" s="56" t="str">
        <x:f>IF(N457=0,"",(I457+0.5*J457+1)/(N457+2))</x:f>
      </x:c>
      <x:c r="Q457" s="34" t="str"/>
      <x:c r="R457" s="34" t="str"/>
      <x:c r="S457" s="34" t="str"/>
      <x:c r="T457" s="34" t="str"/>
      <x:c r="U457" s="34" t="str"/>
      <x:c r="V457" s="34" t="str">
        <x:f>IF(A457="","",IF(N457&lt;5,"样本不足",IF(Q457&gt;=1,"优先复核",IF(AND(N457&gt;=20,P457&lt;0.35,K457&gt;=5),"停用候选",IF(AND(N457&gt;=10,P457&lt;0.45),"需修改候选",IF(AND(N457&gt;=10,P457&gt;=0.75,R457/N457&lt;=0.15,S457/N457&lt;=0.15),"升级候选",IF(R457/N457&gt;0.3,"收紧条件",IF(S457/N457&gt;0.3,"补漏／放宽","继续观察"))))))))</x:f>
        <x:v>样本不足</x:v>
      </x:c>
      <x:c r="W457" s="34" t="str">
        <x:f>IF(V457="","",IF(V457="升级候选","已验证候选",IF(V457="停用候选","停用候选",IF(OR(V457="需修改候选",V457="收紧条件",V457="补漏／放宽",V457="优先复核"),"需修改／复核","观察中"))))</x:f>
        <x:v>观察中</x:v>
      </x:c>
      <x:c r="X457" s="34" t="str"/>
      <x:c r="Y457" s="34" t="str"/>
    </x:row>
    <x:row r="458">
      <x:c r="A458" s="34" t="str">
        <x:v>M5-BOUND-462</x:v>
      </x:c>
      <x:c r="B458" s="34" t="str">
        <x:v>BOUND</x:v>
      </x:c>
      <x:c r="C458" s="34" t="str">
        <x:v>P1_高优先级</x:v>
      </x:c>
      <x:c r="D458" s="34" t="str">
        <x:v>透明不等于无隐私</x:v>
      </x:c>
      <x:c r="E458" s="34" t="str">
        <x:v>L9 状态、接口、去重与停止</x:v>
      </x:c>
      <x:c r="F458" s="34" t="str">
        <x:v>边界</x:v>
      </x:c>
      <x:c r="G458" s="34" t="n">
        <x:v>98</x:v>
      </x:c>
      <x:c r="H458" s="34" t="str">
        <x:v>待验证</x:v>
      </x:c>
      <x:c r="I458" s="34" t="str"/>
      <x:c r="J458" s="34" t="str"/>
      <x:c r="K458" s="34" t="str"/>
      <x:c r="L458" s="34" t="str"/>
      <x:c r="M458" s="34" t="str"/>
      <x:c r="N458" s="34" t="n">
        <x:f>IF(A458="","",I458+J458+K458)</x:f>
        <x:v>0</x:v>
      </x:c>
      <x:c r="O458" s="56" t="str">
        <x:f>IF(N458=0,"",(I458+0.5*J458)/N458)</x:f>
      </x:c>
      <x:c r="P458" s="56" t="str">
        <x:f>IF(N458=0,"",(I458+0.5*J458+1)/(N458+2))</x:f>
      </x:c>
      <x:c r="Q458" s="34" t="str"/>
      <x:c r="R458" s="34" t="str"/>
      <x:c r="S458" s="34" t="str"/>
      <x:c r="T458" s="34" t="str"/>
      <x:c r="U458" s="34" t="str"/>
      <x:c r="V458" s="34" t="str">
        <x:f>IF(A458="","",IF(N458&lt;5,"样本不足",IF(Q458&gt;=1,"优先复核",IF(AND(N458&gt;=20,P458&lt;0.35,K458&gt;=5),"停用候选",IF(AND(N458&gt;=10,P458&lt;0.45),"需修改候选",IF(AND(N458&gt;=10,P458&gt;=0.75,R458/N458&lt;=0.15,S458/N458&lt;=0.15),"升级候选",IF(R458/N458&gt;0.3,"收紧条件",IF(S458/N458&gt;0.3,"补漏／放宽","继续观察"))))))))</x:f>
        <x:v>样本不足</x:v>
      </x:c>
      <x:c r="W458" s="34" t="str">
        <x:f>IF(V458="","",IF(V458="升级候选","已验证候选",IF(V458="停用候选","停用候选",IF(OR(V458="需修改候选",V458="收紧条件",V458="补漏／放宽",V458="优先复核"),"需修改／复核","观察中"))))</x:f>
        <x:v>观察中</x:v>
      </x:c>
      <x:c r="X458" s="34" t="str"/>
      <x:c r="Y458" s="34" t="str"/>
    </x:row>
    <x:row r="459">
      <x:c r="A459" s="34" t="str">
        <x:v>M5-BOUND-483</x:v>
      </x:c>
      <x:c r="B459" s="34" t="str">
        <x:v>BOUND</x:v>
      </x:c>
      <x:c r="C459" s="34" t="str">
        <x:v>P1_高优先级</x:v>
      </x:c>
      <x:c r="D459" s="34" t="str">
        <x:v>BV0—BV1发布上限</x:v>
      </x:c>
      <x:c r="E459" s="34" t="str">
        <x:v>L10 评分、报告与校准</x:v>
      </x:c>
      <x:c r="F459" s="34" t="str">
        <x:v>边界</x:v>
      </x:c>
      <x:c r="G459" s="34" t="n">
        <x:v>98</x:v>
      </x:c>
      <x:c r="H459" s="34" t="str">
        <x:v>待验证</x:v>
      </x:c>
      <x:c r="I459" s="34" t="str"/>
      <x:c r="J459" s="34" t="str"/>
      <x:c r="K459" s="34" t="str"/>
      <x:c r="L459" s="34" t="str"/>
      <x:c r="M459" s="34" t="str"/>
      <x:c r="N459" s="34" t="n">
        <x:f>IF(A459="","",I459+J459+K459)</x:f>
        <x:v>0</x:v>
      </x:c>
      <x:c r="O459" s="56" t="str">
        <x:f>IF(N459=0,"",(I459+0.5*J459)/N459)</x:f>
      </x:c>
      <x:c r="P459" s="56" t="str">
        <x:f>IF(N459=0,"",(I459+0.5*J459+1)/(N459+2))</x:f>
      </x:c>
      <x:c r="Q459" s="34" t="str"/>
      <x:c r="R459" s="34" t="str"/>
      <x:c r="S459" s="34" t="str"/>
      <x:c r="T459" s="34" t="str"/>
      <x:c r="U459" s="34" t="str"/>
      <x:c r="V459" s="34" t="str">
        <x:f>IF(A459="","",IF(N459&lt;5,"样本不足",IF(Q459&gt;=1,"优先复核",IF(AND(N459&gt;=20,P459&lt;0.35,K459&gt;=5),"停用候选",IF(AND(N459&gt;=10,P459&lt;0.45),"需修改候选",IF(AND(N459&gt;=10,P459&gt;=0.75,R459/N459&lt;=0.15,S459/N459&lt;=0.15),"升级候选",IF(R459/N459&gt;0.3,"收紧条件",IF(S459/N459&gt;0.3,"补漏／放宽","继续观察"))))))))</x:f>
        <x:v>样本不足</x:v>
      </x:c>
      <x:c r="W459" s="34" t="str">
        <x:f>IF(V459="","",IF(V459="升级候选","已验证候选",IF(V459="停用候选","停用候选",IF(OR(V459="需修改候选",V459="收紧条件",V459="补漏／放宽",V459="优先复核"),"需修改／复核","观察中"))))</x:f>
        <x:v>观察中</x:v>
      </x:c>
      <x:c r="X459" s="34" t="str"/>
      <x:c r="Y459" s="34" t="str"/>
    </x:row>
    <x:row r="460">
      <x:c r="A460" s="34" t="str">
        <x:v>M5-BOUND-484</x:v>
      </x:c>
      <x:c r="B460" s="34" t="str">
        <x:v>BOUND</x:v>
      </x:c>
      <x:c r="C460" s="34" t="str">
        <x:v>P1_高优先级</x:v>
      </x:c>
      <x:c r="D460" s="34" t="str">
        <x:v>BV2单次事件上限</x:v>
      </x:c>
      <x:c r="E460" s="34" t="str">
        <x:v>L10 评分、报告与校准</x:v>
      </x:c>
      <x:c r="F460" s="34" t="str">
        <x:v>边界</x:v>
      </x:c>
      <x:c r="G460" s="34" t="n">
        <x:v>98</x:v>
      </x:c>
      <x:c r="H460" s="34" t="str">
        <x:v>待验证</x:v>
      </x:c>
      <x:c r="I460" s="34" t="str"/>
      <x:c r="J460" s="34" t="str"/>
      <x:c r="K460" s="34" t="str"/>
      <x:c r="L460" s="34" t="str"/>
      <x:c r="M460" s="34" t="str"/>
      <x:c r="N460" s="34" t="n">
        <x:f>IF(A460="","",I460+J460+K460)</x:f>
        <x:v>0</x:v>
      </x:c>
      <x:c r="O460" s="56" t="str">
        <x:f>IF(N460=0,"",(I460+0.5*J460)/N460)</x:f>
      </x:c>
      <x:c r="P460" s="56" t="str">
        <x:f>IF(N460=0,"",(I460+0.5*J460+1)/(N460+2))</x:f>
      </x:c>
      <x:c r="Q460" s="34" t="str"/>
      <x:c r="R460" s="34" t="str"/>
      <x:c r="S460" s="34" t="str"/>
      <x:c r="T460" s="34" t="str"/>
      <x:c r="U460" s="34" t="str"/>
      <x:c r="V460" s="34" t="str">
        <x:f>IF(A460="","",IF(N460&lt;5,"样本不足",IF(Q460&gt;=1,"优先复核",IF(AND(N460&gt;=20,P460&lt;0.35,K460&gt;=5),"停用候选",IF(AND(N460&gt;=10,P460&lt;0.45),"需修改候选",IF(AND(N460&gt;=10,P460&gt;=0.75,R460/N460&lt;=0.15,S460/N460&lt;=0.15),"升级候选",IF(R460/N460&gt;0.3,"收紧条件",IF(S460/N460&gt;0.3,"补漏／放宽","继续观察"))))))))</x:f>
        <x:v>样本不足</x:v>
      </x:c>
      <x:c r="W460" s="34" t="str">
        <x:f>IF(V460="","",IF(V460="升级候选","已验证候选",IF(V460="停用候选","停用候选",IF(OR(V460="需修改候选",V460="收紧条件",V460="补漏／放宽",V460="优先复核"),"需修改／复核","观察中"))))</x:f>
        <x:v>观察中</x:v>
      </x:c>
      <x:c r="X460" s="34" t="str"/>
      <x:c r="Y460" s="34" t="str"/>
    </x:row>
    <x:row r="461">
      <x:c r="A461" s="34" t="str">
        <x:v>M5-BOUND-502</x:v>
      </x:c>
      <x:c r="B461" s="34" t="str">
        <x:v>BOUND</x:v>
      </x:c>
      <x:c r="C461" s="34" t="str">
        <x:v>P1_高优先级</x:v>
      </x:c>
      <x:c r="D461" s="34" t="str">
        <x:v>同一event_id基础分封顶</x:v>
      </x:c>
      <x:c r="E461" s="34" t="str">
        <x:v>L10 评分、报告与校准</x:v>
      </x:c>
      <x:c r="F461" s="34" t="str">
        <x:v>去重</x:v>
      </x:c>
      <x:c r="G461" s="34" t="n">
        <x:v>98</x:v>
      </x:c>
      <x:c r="H461" s="34" t="str">
        <x:v>待验证</x:v>
      </x:c>
      <x:c r="I461" s="34" t="str"/>
      <x:c r="J461" s="34" t="str"/>
      <x:c r="K461" s="34" t="str"/>
      <x:c r="L461" s="34" t="str"/>
      <x:c r="M461" s="34" t="str"/>
      <x:c r="N461" s="34" t="n">
        <x:f>IF(A461="","",I461+J461+K461)</x:f>
        <x:v>0</x:v>
      </x:c>
      <x:c r="O461" s="56" t="str">
        <x:f>IF(N461=0,"",(I461+0.5*J461)/N461)</x:f>
      </x:c>
      <x:c r="P461" s="56" t="str">
        <x:f>IF(N461=0,"",(I461+0.5*J461+1)/(N461+2))</x:f>
      </x:c>
      <x:c r="Q461" s="34" t="str"/>
      <x:c r="R461" s="34" t="str"/>
      <x:c r="S461" s="34" t="str"/>
      <x:c r="T461" s="34" t="str"/>
      <x:c r="U461" s="34" t="str"/>
      <x:c r="V461" s="34" t="str">
        <x:f>IF(A461="","",IF(N461&lt;5,"样本不足",IF(Q461&gt;=1,"优先复核",IF(AND(N461&gt;=20,P461&lt;0.35,K461&gt;=5),"停用候选",IF(AND(N461&gt;=10,P461&lt;0.45),"需修改候选",IF(AND(N461&gt;=10,P461&gt;=0.75,R461/N461&lt;=0.15,S461/N461&lt;=0.15),"升级候选",IF(R461/N461&gt;0.3,"收紧条件",IF(S461/N461&gt;0.3,"补漏／放宽","继续观察"))))))))</x:f>
        <x:v>样本不足</x:v>
      </x:c>
      <x:c r="W461" s="34" t="str">
        <x:f>IF(V461="","",IF(V461="升级候选","已验证候选",IF(V461="停用候选","停用候选",IF(OR(V461="需修改候选",V461="收紧条件",V461="补漏／放宽",V461="优先复核"),"需修改／复核","观察中"))))</x:f>
        <x:v>观察中</x:v>
      </x:c>
      <x:c r="X461" s="34" t="str"/>
      <x:c r="Y461" s="34" t="str"/>
    </x:row>
    <x:row r="462">
      <x:c r="A462" s="34" t="str">
        <x:v>M5-BOUND-503</x:v>
      </x:c>
      <x:c r="B462" s="34" t="str">
        <x:v>BOUND</x:v>
      </x:c>
      <x:c r="C462" s="34" t="str">
        <x:v>P1_高优先级</x:v>
      </x:c>
      <x:c r="D462" s="34" t="str">
        <x:v>同一source_id基础分封顶</x:v>
      </x:c>
      <x:c r="E462" s="34" t="str">
        <x:v>L10 评分、报告与校准</x:v>
      </x:c>
      <x:c r="F462" s="34" t="str">
        <x:v>去重</x:v>
      </x:c>
      <x:c r="G462" s="34" t="n">
        <x:v>98</x:v>
      </x:c>
      <x:c r="H462" s="34" t="str">
        <x:v>待验证</x:v>
      </x:c>
      <x:c r="I462" s="34" t="str"/>
      <x:c r="J462" s="34" t="str"/>
      <x:c r="K462" s="34" t="str"/>
      <x:c r="L462" s="34" t="str"/>
      <x:c r="M462" s="34" t="str"/>
      <x:c r="N462" s="34" t="n">
        <x:f>IF(A462="","",I462+J462+K462)</x:f>
        <x:v>0</x:v>
      </x:c>
      <x:c r="O462" s="56" t="str">
        <x:f>IF(N462=0,"",(I462+0.5*J462)/N462)</x:f>
      </x:c>
      <x:c r="P462" s="56" t="str">
        <x:f>IF(N462=0,"",(I462+0.5*J462+1)/(N462+2))</x:f>
      </x:c>
      <x:c r="Q462" s="34" t="str"/>
      <x:c r="R462" s="34" t="str"/>
      <x:c r="S462" s="34" t="str"/>
      <x:c r="T462" s="34" t="str"/>
      <x:c r="U462" s="34" t="str"/>
      <x:c r="V462" s="34" t="str">
        <x:f>IF(A462="","",IF(N462&lt;5,"样本不足",IF(Q462&gt;=1,"优先复核",IF(AND(N462&gt;=20,P462&lt;0.35,K462&gt;=5),"停用候选",IF(AND(N462&gt;=10,P462&lt;0.45),"需修改候选",IF(AND(N462&gt;=10,P462&gt;=0.75,R462/N462&lt;=0.15,S462/N462&lt;=0.15),"升级候选",IF(R462/N462&gt;0.3,"收紧条件",IF(S462/N462&gt;0.3,"补漏／放宽","继续观察"))))))))</x:f>
        <x:v>样本不足</x:v>
      </x:c>
      <x:c r="W462" s="34" t="str">
        <x:f>IF(V462="","",IF(V462="升级候选","已验证候选",IF(V462="停用候选","停用候选",IF(OR(V462="需修改候选",V462="收紧条件",V462="补漏／放宽",V462="优先复核"),"需修改／复核","观察中"))))</x:f>
        <x:v>观察中</x:v>
      </x:c>
      <x:c r="X462" s="34" t="str"/>
      <x:c r="Y462" s="34" t="str"/>
    </x:row>
    <x:row r="463">
      <x:c r="A463" s="34" t="str">
        <x:v>M5-EXCHANGE-010</x:v>
      </x:c>
      <x:c r="B463" s="34" t="str">
        <x:v>EXCHANGE</x:v>
      </x:c>
      <x:c r="C463" s="34" t="str">
        <x:v>P1_高优先级</x:v>
      </x:c>
      <x:c r="D463" s="34" t="str">
        <x:v>现实双人事件高于命理结构</x:v>
      </x:c>
      <x:c r="E463" s="34" t="str">
        <x:v>L0 定义、边界与证据合同</x:v>
      </x:c>
      <x:c r="F463" s="34" t="str">
        <x:v>证据</x:v>
      </x:c>
      <x:c r="G463" s="34" t="n">
        <x:v>98</x:v>
      </x:c>
      <x:c r="H463" s="34" t="str">
        <x:v>待验证</x:v>
      </x:c>
      <x:c r="I463" s="34" t="str"/>
      <x:c r="J463" s="34" t="str"/>
      <x:c r="K463" s="34" t="str"/>
      <x:c r="L463" s="34" t="str"/>
      <x:c r="M463" s="34" t="str"/>
      <x:c r="N463" s="34" t="n">
        <x:f>IF(A463="","",I463+J463+K463)</x:f>
        <x:v>0</x:v>
      </x:c>
      <x:c r="O463" s="56" t="str">
        <x:f>IF(N463=0,"",(I463+0.5*J463)/N463)</x:f>
      </x:c>
      <x:c r="P463" s="56" t="str">
        <x:f>IF(N463=0,"",(I463+0.5*J463+1)/(N463+2))</x:f>
      </x:c>
      <x:c r="Q463" s="34" t="str"/>
      <x:c r="R463" s="34" t="str"/>
      <x:c r="S463" s="34" t="str"/>
      <x:c r="T463" s="34" t="str"/>
      <x:c r="U463" s="34" t="str"/>
      <x:c r="V463" s="34" t="str">
        <x:f>IF(A463="","",IF(N463&lt;5,"样本不足",IF(Q463&gt;=1,"优先复核",IF(AND(N463&gt;=20,P463&lt;0.35,K463&gt;=5),"停用候选",IF(AND(N463&gt;=10,P463&lt;0.45),"需修改候选",IF(AND(N463&gt;=10,P463&gt;=0.75,R463/N463&lt;=0.15,S463/N463&lt;=0.15),"升级候选",IF(R463/N463&gt;0.3,"收紧条件",IF(S463/N463&gt;0.3,"补漏／放宽","继续观察"))))))))</x:f>
        <x:v>样本不足</x:v>
      </x:c>
      <x:c r="W463" s="34" t="str">
        <x:f>IF(V463="","",IF(V463="升级候选","已验证候选",IF(V463="停用候选","停用候选",IF(OR(V463="需修改候选",V463="收紧条件",V463="补漏／放宽",V463="优先复核"),"需修改／复核","观察中"))))</x:f>
        <x:v>观察中</x:v>
      </x:c>
      <x:c r="X463" s="34" t="str"/>
      <x:c r="Y463" s="34" t="str"/>
    </x:row>
    <x:row r="464">
      <x:c r="A464" s="34" t="str">
        <x:v>M5-EXCHANGE-011</x:v>
      </x:c>
      <x:c r="B464" s="34" t="str">
        <x:v>EXCHANGE</x:v>
      </x:c>
      <x:c r="C464" s="34" t="str">
        <x:v>P1_高优先级</x:v>
      </x:c>
      <x:c r="D464" s="34" t="str">
        <x:v>同一source_id只计一次基础权重</x:v>
      </x:c>
      <x:c r="E464" s="34" t="str">
        <x:v>L0 定义、边界与证据合同</x:v>
      </x:c>
      <x:c r="F464" s="34" t="str">
        <x:v>去重</x:v>
      </x:c>
      <x:c r="G464" s="34" t="n">
        <x:v>98</x:v>
      </x:c>
      <x:c r="H464" s="34" t="str">
        <x:v>待验证</x:v>
      </x:c>
      <x:c r="I464" s="34" t="str"/>
      <x:c r="J464" s="34" t="str"/>
      <x:c r="K464" s="34" t="str"/>
      <x:c r="L464" s="34" t="str"/>
      <x:c r="M464" s="34" t="str"/>
      <x:c r="N464" s="34" t="n">
        <x:f>IF(A464="","",I464+J464+K464)</x:f>
        <x:v>0</x:v>
      </x:c>
      <x:c r="O464" s="56" t="str">
        <x:f>IF(N464=0,"",(I464+0.5*J464)/N464)</x:f>
      </x:c>
      <x:c r="P464" s="56" t="str">
        <x:f>IF(N464=0,"",(I464+0.5*J464+1)/(N464+2))</x:f>
      </x:c>
      <x:c r="Q464" s="34" t="str"/>
      <x:c r="R464" s="34" t="str"/>
      <x:c r="S464" s="34" t="str"/>
      <x:c r="T464" s="34" t="str"/>
      <x:c r="U464" s="34" t="str"/>
      <x:c r="V464" s="34" t="str">
        <x:f>IF(A464="","",IF(N464&lt;5,"样本不足",IF(Q464&gt;=1,"优先复核",IF(AND(N464&gt;=20,P464&lt;0.35,K464&gt;=5),"停用候选",IF(AND(N464&gt;=10,P464&lt;0.45),"需修改候选",IF(AND(N464&gt;=10,P464&gt;=0.75,R464/N464&lt;=0.15,S464/N464&lt;=0.15),"升级候选",IF(R464/N464&gt;0.3,"收紧条件",IF(S464/N464&gt;0.3,"补漏／放宽","继续观察"))))))))</x:f>
        <x:v>样本不足</x:v>
      </x:c>
      <x:c r="W464" s="34" t="str">
        <x:f>IF(V464="","",IF(V464="升级候选","已验证候选",IF(V464="停用候选","停用候选",IF(OR(V464="需修改候选",V464="收紧条件",V464="补漏／放宽",V464="优先复核"),"需修改／复核","观察中"))))</x:f>
        <x:v>观察中</x:v>
      </x:c>
      <x:c r="X464" s="34" t="str"/>
      <x:c r="Y464" s="34" t="str"/>
    </x:row>
    <x:row r="465">
      <x:c r="A465" s="34" t="str">
        <x:v>M5-EXCHANGE-012</x:v>
      </x:c>
      <x:c r="B465" s="34" t="str">
        <x:v>EXCHANGE</x:v>
      </x:c>
      <x:c r="C465" s="34" t="str">
        <x:v>P1_高优先级</x:v>
      </x:c>
      <x:c r="D465" s="34" t="str">
        <x:v>同一event_id只算一次交换事件</x:v>
      </x:c>
      <x:c r="E465" s="34" t="str">
        <x:v>L0 定义、边界与证据合同</x:v>
      </x:c>
      <x:c r="F465" s="34" t="str">
        <x:v>去重</x:v>
      </x:c>
      <x:c r="G465" s="34" t="n">
        <x:v>98</x:v>
      </x:c>
      <x:c r="H465" s="34" t="str">
        <x:v>待验证</x:v>
      </x:c>
      <x:c r="I465" s="34" t="str"/>
      <x:c r="J465" s="34" t="str"/>
      <x:c r="K465" s="34" t="str"/>
      <x:c r="L465" s="34" t="str"/>
      <x:c r="M465" s="34" t="str"/>
      <x:c r="N465" s="34" t="n">
        <x:f>IF(A465="","",I465+J465+K465)</x:f>
        <x:v>0</x:v>
      </x:c>
      <x:c r="O465" s="56" t="str">
        <x:f>IF(N465=0,"",(I465+0.5*J465)/N465)</x:f>
      </x:c>
      <x:c r="P465" s="56" t="str">
        <x:f>IF(N465=0,"",(I465+0.5*J465+1)/(N465+2))</x:f>
      </x:c>
      <x:c r="Q465" s="34" t="str"/>
      <x:c r="R465" s="34" t="str"/>
      <x:c r="S465" s="34" t="str"/>
      <x:c r="T465" s="34" t="str"/>
      <x:c r="U465" s="34" t="str"/>
      <x:c r="V465" s="34" t="str">
        <x:f>IF(A465="","",IF(N465&lt;5,"样本不足",IF(Q465&gt;=1,"优先复核",IF(AND(N465&gt;=20,P465&lt;0.35,K465&gt;=5),"停用候选",IF(AND(N465&gt;=10,P465&lt;0.45),"需修改候选",IF(AND(N465&gt;=10,P465&gt;=0.75,R465/N465&lt;=0.15,S465/N465&lt;=0.15),"升级候选",IF(R465/N465&gt;0.3,"收紧条件",IF(S465/N465&gt;0.3,"补漏／放宽","继续观察"))))))))</x:f>
        <x:v>样本不足</x:v>
      </x:c>
      <x:c r="W465" s="34" t="str">
        <x:f>IF(V465="","",IF(V465="升级候选","已验证候选",IF(V465="停用候选","停用候选",IF(OR(V465="需修改候选",V465="收紧条件",V465="补漏／放宽",V465="优先复核"),"需修改／复核","观察中"))))</x:f>
        <x:v>观察中</x:v>
      </x:c>
      <x:c r="X465" s="34" t="str"/>
      <x:c r="Y465" s="34" t="str"/>
    </x:row>
    <x:row r="466">
      <x:c r="A466" s="34" t="str">
        <x:v>M5-EXCHANGE-013</x:v>
      </x:c>
      <x:c r="B466" s="34" t="str">
        <x:v>EXCHANGE</x:v>
      </x:c>
      <x:c r="C466" s="34" t="str">
        <x:v>P1_高优先级</x:v>
      </x:c>
      <x:c r="D466" s="34" t="str">
        <x:v>交换强度不等于交换成熟</x:v>
      </x:c>
      <x:c r="E466" s="34" t="str">
        <x:v>L0 定义、边界与证据合同</x:v>
      </x:c>
      <x:c r="F466" s="34" t="str">
        <x:v>边界</x:v>
      </x:c>
      <x:c r="G466" s="34" t="n">
        <x:v>98</x:v>
      </x:c>
      <x:c r="H466" s="34" t="str">
        <x:v>待验证</x:v>
      </x:c>
      <x:c r="I466" s="34" t="str"/>
      <x:c r="J466" s="34" t="str"/>
      <x:c r="K466" s="34" t="str"/>
      <x:c r="L466" s="34" t="str"/>
      <x:c r="M466" s="34" t="str"/>
      <x:c r="N466" s="34" t="n">
        <x:f>IF(A466="","",I466+J466+K466)</x:f>
        <x:v>0</x:v>
      </x:c>
      <x:c r="O466" s="56" t="str">
        <x:f>IF(N466=0,"",(I466+0.5*J466)/N466)</x:f>
      </x:c>
      <x:c r="P466" s="56" t="str">
        <x:f>IF(N466=0,"",(I466+0.5*J466+1)/(N466+2))</x:f>
      </x:c>
      <x:c r="Q466" s="34" t="str"/>
      <x:c r="R466" s="34" t="str"/>
      <x:c r="S466" s="34" t="str"/>
      <x:c r="T466" s="34" t="str"/>
      <x:c r="U466" s="34" t="str"/>
      <x:c r="V466" s="34" t="str">
        <x:f>IF(A466="","",IF(N466&lt;5,"样本不足",IF(Q466&gt;=1,"优先复核",IF(AND(N466&gt;=20,P466&lt;0.35,K466&gt;=5),"停用候选",IF(AND(N466&gt;=10,P466&lt;0.45),"需修改候选",IF(AND(N466&gt;=10,P466&gt;=0.75,R466/N466&lt;=0.15,S466/N466&lt;=0.15),"升级候选",IF(R466/N466&gt;0.3,"收紧条件",IF(S466/N466&gt;0.3,"补漏／放宽","继续观察"))))))))</x:f>
        <x:v>样本不足</x:v>
      </x:c>
      <x:c r="W466" s="34" t="str">
        <x:f>IF(V466="","",IF(V466="升级候选","已验证候选",IF(V466="停用候选","停用候选",IF(OR(V466="需修改候选",V466="收紧条件",V466="补漏／放宽",V466="优先复核"),"需修改／复核","观察中"))))</x:f>
        <x:v>观察中</x:v>
      </x:c>
      <x:c r="X466" s="34" t="str"/>
      <x:c r="Y466" s="34" t="str"/>
    </x:row>
    <x:row r="467">
      <x:c r="A467" s="34" t="str">
        <x:v>M5-EXCHANGE-014</x:v>
      </x:c>
      <x:c r="B467" s="34" t="str">
        <x:v>EXCHANGE</x:v>
      </x:c>
      <x:c r="C467" s="34" t="str">
        <x:v>P1_高优先级</x:v>
      </x:c>
      <x:c r="D467" s="34" t="str">
        <x:v>及时回报不等于健康互惠</x:v>
      </x:c>
      <x:c r="E467" s="34" t="str">
        <x:v>L0 定义、边界与证据合同</x:v>
      </x:c>
      <x:c r="F467" s="34" t="str">
        <x:v>边界</x:v>
      </x:c>
      <x:c r="G467" s="34" t="n">
        <x:v>98</x:v>
      </x:c>
      <x:c r="H467" s="34" t="str">
        <x:v>待验证</x:v>
      </x:c>
      <x:c r="I467" s="34" t="str"/>
      <x:c r="J467" s="34" t="str"/>
      <x:c r="K467" s="34" t="str"/>
      <x:c r="L467" s="34" t="str"/>
      <x:c r="M467" s="34" t="str"/>
      <x:c r="N467" s="34" t="n">
        <x:f>IF(A467="","",I467+J467+K467)</x:f>
        <x:v>0</x:v>
      </x:c>
      <x:c r="O467" s="56" t="str">
        <x:f>IF(N467=0,"",(I467+0.5*J467)/N467)</x:f>
      </x:c>
      <x:c r="P467" s="56" t="str">
        <x:f>IF(N467=0,"",(I467+0.5*J467+1)/(N467+2))</x:f>
      </x:c>
      <x:c r="Q467" s="34" t="str"/>
      <x:c r="R467" s="34" t="str"/>
      <x:c r="S467" s="34" t="str"/>
      <x:c r="T467" s="34" t="str"/>
      <x:c r="U467" s="34" t="str"/>
      <x:c r="V467" s="34" t="str">
        <x:f>IF(A467="","",IF(N467&lt;5,"样本不足",IF(Q467&gt;=1,"优先复核",IF(AND(N467&gt;=20,P467&lt;0.35,K467&gt;=5),"停用候选",IF(AND(N467&gt;=10,P467&lt;0.45),"需修改候选",IF(AND(N467&gt;=10,P467&gt;=0.75,R467/N467&lt;=0.15,S467/N467&lt;=0.15),"升级候选",IF(R467/N467&gt;0.3,"收紧条件",IF(S467/N467&gt;0.3,"补漏／放宽","继续观察"))))))))</x:f>
        <x:v>样本不足</x:v>
      </x:c>
      <x:c r="W467" s="34" t="str">
        <x:f>IF(V467="","",IF(V467="升级候选","已验证候选",IF(V467="停用候选","停用候选",IF(OR(V467="需修改候选",V467="收紧条件",V467="补漏／放宽",V467="优先复核"),"需修改／复核","观察中"))))</x:f>
        <x:v>观察中</x:v>
      </x:c>
      <x:c r="X467" s="34" t="str"/>
      <x:c r="Y467" s="34" t="str"/>
    </x:row>
    <x:row r="468">
      <x:c r="A468" s="34" t="str">
        <x:v>M5-EXCHANGE-215</x:v>
      </x:c>
      <x:c r="B468" s="34" t="str">
        <x:v>EXCHANGE</x:v>
      </x:c>
      <x:c r="C468" s="34" t="str">
        <x:v>P1_高优先级</x:v>
      </x:c>
      <x:c r="D468" s="34" t="str">
        <x:v>XR01 稳定双向交换｜禁止人格化</x:v>
      </x:c>
      <x:c r="E468" s="34" t="str">
        <x:v>L4 交换状态</x:v>
      </x:c>
      <x:c r="F468" s="34" t="str">
        <x:v>边界</x:v>
      </x:c>
      <x:c r="G468" s="34" t="n">
        <x:v>98</x:v>
      </x:c>
      <x:c r="H468" s="34" t="str">
        <x:v>待验证</x:v>
      </x:c>
      <x:c r="I468" s="34" t="str"/>
      <x:c r="J468" s="34" t="str"/>
      <x:c r="K468" s="34" t="str"/>
      <x:c r="L468" s="34" t="str"/>
      <x:c r="M468" s="34" t="str"/>
      <x:c r="N468" s="34" t="n">
        <x:f>IF(A468="","",I468+J468+K468)</x:f>
        <x:v>0</x:v>
      </x:c>
      <x:c r="O468" s="56" t="str">
        <x:f>IF(N468=0,"",(I468+0.5*J468)/N468)</x:f>
      </x:c>
      <x:c r="P468" s="56" t="str">
        <x:f>IF(N468=0,"",(I468+0.5*J468+1)/(N468+2))</x:f>
      </x:c>
      <x:c r="Q468" s="34" t="str"/>
      <x:c r="R468" s="34" t="str"/>
      <x:c r="S468" s="34" t="str"/>
      <x:c r="T468" s="34" t="str"/>
      <x:c r="U468" s="34" t="str"/>
      <x:c r="V468" s="34" t="str">
        <x:f>IF(A468="","",IF(N468&lt;5,"样本不足",IF(Q468&gt;=1,"优先复核",IF(AND(N468&gt;=20,P468&lt;0.35,K468&gt;=5),"停用候选",IF(AND(N468&gt;=10,P468&lt;0.45),"需修改候选",IF(AND(N468&gt;=10,P468&gt;=0.75,R468/N468&lt;=0.15,S468/N468&lt;=0.15),"升级候选",IF(R468/N468&gt;0.3,"收紧条件",IF(S468/N468&gt;0.3,"补漏／放宽","继续观察"))))))))</x:f>
        <x:v>样本不足</x:v>
      </x:c>
      <x:c r="W468" s="34" t="str">
        <x:f>IF(V468="","",IF(V468="升级候选","已验证候选",IF(V468="停用候选","停用候选",IF(OR(V468="需修改候选",V468="收紧条件",V468="补漏／放宽",V468="优先复核"),"需修改／复核","观察中"))))</x:f>
        <x:v>观察中</x:v>
      </x:c>
      <x:c r="X468" s="34" t="str"/>
      <x:c r="Y468" s="34" t="str"/>
    </x:row>
    <x:row r="469">
      <x:c r="A469" s="34" t="str">
        <x:v>M5-EXCHANGE-220</x:v>
      </x:c>
      <x:c r="B469" s="34" t="str">
        <x:v>EXCHANGE</x:v>
      </x:c>
      <x:c r="C469" s="34" t="str">
        <x:v>P1_高优先级</x:v>
      </x:c>
      <x:c r="D469" s="34" t="str">
        <x:v>XR02 非对称但协商分工｜禁止人格化</x:v>
      </x:c>
      <x:c r="E469" s="34" t="str">
        <x:v>L4 交换状态</x:v>
      </x:c>
      <x:c r="F469" s="34" t="str">
        <x:v>边界</x:v>
      </x:c>
      <x:c r="G469" s="34" t="n">
        <x:v>98</x:v>
      </x:c>
      <x:c r="H469" s="34" t="str">
        <x:v>待验证</x:v>
      </x:c>
      <x:c r="I469" s="34" t="str"/>
      <x:c r="J469" s="34" t="str"/>
      <x:c r="K469" s="34" t="str"/>
      <x:c r="L469" s="34" t="str"/>
      <x:c r="M469" s="34" t="str"/>
      <x:c r="N469" s="34" t="n">
        <x:f>IF(A469="","",I469+J469+K469)</x:f>
        <x:v>0</x:v>
      </x:c>
      <x:c r="O469" s="56" t="str">
        <x:f>IF(N469=0,"",(I469+0.5*J469)/N469)</x:f>
      </x:c>
      <x:c r="P469" s="56" t="str">
        <x:f>IF(N469=0,"",(I469+0.5*J469+1)/(N469+2))</x:f>
      </x:c>
      <x:c r="Q469" s="34" t="str"/>
      <x:c r="R469" s="34" t="str"/>
      <x:c r="S469" s="34" t="str"/>
      <x:c r="T469" s="34" t="str"/>
      <x:c r="U469" s="34" t="str"/>
      <x:c r="V469" s="34" t="str">
        <x:f>IF(A469="","",IF(N469&lt;5,"样本不足",IF(Q469&gt;=1,"优先复核",IF(AND(N469&gt;=20,P469&lt;0.35,K469&gt;=5),"停用候选",IF(AND(N469&gt;=10,P469&lt;0.45),"需修改候选",IF(AND(N469&gt;=10,P469&gt;=0.75,R469/N469&lt;=0.15,S469/N469&lt;=0.15),"升级候选",IF(R469/N469&gt;0.3,"收紧条件",IF(S469/N469&gt;0.3,"补漏／放宽","继续观察"))))))))</x:f>
        <x:v>样本不足</x:v>
      </x:c>
      <x:c r="W469" s="34" t="str">
        <x:f>IF(V469="","",IF(V469="升级候选","已验证候选",IF(V469="停用候选","停用候选",IF(OR(V469="需修改候选",V469="收紧条件",V469="补漏／放宽",V469="优先复核"),"需修改／复核","观察中"))))</x:f>
        <x:v>观察中</x:v>
      </x:c>
      <x:c r="X469" s="34" t="str"/>
      <x:c r="Y469" s="34" t="str"/>
    </x:row>
    <x:row r="470">
      <x:c r="A470" s="34" t="str">
        <x:v>M5-EXCHANGE-225</x:v>
      </x:c>
      <x:c r="B470" s="34" t="str">
        <x:v>EXCHANGE</x:v>
      </x:c>
      <x:c r="C470" s="34" t="str">
        <x:v>P1_高优先级</x:v>
      </x:c>
      <x:c r="D470" s="34" t="str">
        <x:v>XR03 错峰但长期平衡｜禁止人格化</x:v>
      </x:c>
      <x:c r="E470" s="34" t="str">
        <x:v>L4 交换状态</x:v>
      </x:c>
      <x:c r="F470" s="34" t="str">
        <x:v>边界</x:v>
      </x:c>
      <x:c r="G470" s="34" t="n">
        <x:v>98</x:v>
      </x:c>
      <x:c r="H470" s="34" t="str">
        <x:v>待验证</x:v>
      </x:c>
      <x:c r="I470" s="34" t="str"/>
      <x:c r="J470" s="34" t="str"/>
      <x:c r="K470" s="34" t="str"/>
      <x:c r="L470" s="34" t="str"/>
      <x:c r="M470" s="34" t="str"/>
      <x:c r="N470" s="34" t="n">
        <x:f>IF(A470="","",I470+J470+K470)</x:f>
        <x:v>0</x:v>
      </x:c>
      <x:c r="O470" s="56" t="str">
        <x:f>IF(N470=0,"",(I470+0.5*J470)/N470)</x:f>
      </x:c>
      <x:c r="P470" s="56" t="str">
        <x:f>IF(N470=0,"",(I470+0.5*J470+1)/(N470+2))</x:f>
      </x:c>
      <x:c r="Q470" s="34" t="str"/>
      <x:c r="R470" s="34" t="str"/>
      <x:c r="S470" s="34" t="str"/>
      <x:c r="T470" s="34" t="str"/>
      <x:c r="U470" s="34" t="str"/>
      <x:c r="V470" s="34" t="str">
        <x:f>IF(A470="","",IF(N470&lt;5,"样本不足",IF(Q470&gt;=1,"优先复核",IF(AND(N470&gt;=20,P470&lt;0.35,K470&gt;=5),"停用候选",IF(AND(N470&gt;=10,P470&lt;0.45),"需修改候选",IF(AND(N470&gt;=10,P470&gt;=0.75,R470/N470&lt;=0.15,S470/N470&lt;=0.15),"升级候选",IF(R470/N470&gt;0.3,"收紧条件",IF(S470/N470&gt;0.3,"补漏／放宽","继续观察"))))))))</x:f>
        <x:v>样本不足</x:v>
      </x:c>
      <x:c r="W470" s="34" t="str">
        <x:f>IF(V470="","",IF(V470="升级候选","已验证候选",IF(V470="停用候选","停用候选",IF(OR(V470="需修改候选",V470="收紧条件",V470="补漏／放宽",V470="优先复核"),"需修改／复核","观察中"))))</x:f>
        <x:v>观察中</x:v>
      </x:c>
      <x:c r="X470" s="34" t="str"/>
      <x:c r="Y470" s="34" t="str"/>
    </x:row>
    <x:row r="471">
      <x:c r="A471" s="34" t="str">
        <x:v>M5-EXCHANGE-230</x:v>
      </x:c>
      <x:c r="B471" s="34" t="str">
        <x:v>EXCHANGE</x:v>
      </x:c>
      <x:c r="C471" s="34" t="str">
        <x:v>P1_高优先级</x:v>
      </x:c>
      <x:c r="D471" s="34" t="str">
        <x:v>XR04 条件性有效交换｜禁止人格化</x:v>
      </x:c>
      <x:c r="E471" s="34" t="str">
        <x:v>L4 交换状态</x:v>
      </x:c>
      <x:c r="F471" s="34" t="str">
        <x:v>边界</x:v>
      </x:c>
      <x:c r="G471" s="34" t="n">
        <x:v>98</x:v>
      </x:c>
      <x:c r="H471" s="34" t="str">
        <x:v>待验证</x:v>
      </x:c>
      <x:c r="I471" s="34" t="str"/>
      <x:c r="J471" s="34" t="str"/>
      <x:c r="K471" s="34" t="str"/>
      <x:c r="L471" s="34" t="str"/>
      <x:c r="M471" s="34" t="str"/>
      <x:c r="N471" s="34" t="n">
        <x:f>IF(A471="","",I471+J471+K471)</x:f>
        <x:v>0</x:v>
      </x:c>
      <x:c r="O471" s="56" t="str">
        <x:f>IF(N471=0,"",(I471+0.5*J471)/N471)</x:f>
      </x:c>
      <x:c r="P471" s="56" t="str">
        <x:f>IF(N471=0,"",(I471+0.5*J471+1)/(N471+2))</x:f>
      </x:c>
      <x:c r="Q471" s="34" t="str"/>
      <x:c r="R471" s="34" t="str"/>
      <x:c r="S471" s="34" t="str"/>
      <x:c r="T471" s="34" t="str"/>
      <x:c r="U471" s="34" t="str"/>
      <x:c r="V471" s="34" t="str">
        <x:f>IF(A471="","",IF(N471&lt;5,"样本不足",IF(Q471&gt;=1,"优先复核",IF(AND(N471&gt;=20,P471&lt;0.35,K471&gt;=5),"停用候选",IF(AND(N471&gt;=10,P471&lt;0.45),"需修改候选",IF(AND(N471&gt;=10,P471&gt;=0.75,R471/N471&lt;=0.15,S471/N471&lt;=0.15),"升级候选",IF(R471/N471&gt;0.3,"收紧条件",IF(S471/N471&gt;0.3,"补漏／放宽","继续观察"))))))))</x:f>
        <x:v>样本不足</x:v>
      </x:c>
      <x:c r="W471" s="34" t="str">
        <x:f>IF(V471="","",IF(V471="升级候选","已验证候选",IF(V471="停用候选","停用候选",IF(OR(V471="需修改候选",V471="收紧条件",V471="补漏／放宽",V471="优先复核"),"需修改／复核","观察中"))))</x:f>
        <x:v>观察中</x:v>
      </x:c>
      <x:c r="X471" s="34" t="str"/>
      <x:c r="Y471" s="34" t="str"/>
    </x:row>
    <x:row r="472">
      <x:c r="A472" s="34" t="str">
        <x:v>M5-EXCHANGE-235</x:v>
      </x:c>
      <x:c r="B472" s="34" t="str">
        <x:v>EXCHANGE</x:v>
      </x:c>
      <x:c r="C472" s="34" t="str">
        <x:v>P1_高优先级</x:v>
      </x:c>
      <x:c r="D472" s="34" t="str">
        <x:v>XR05 单向可见候选｜禁止人格化</x:v>
      </x:c>
      <x:c r="E472" s="34" t="str">
        <x:v>L4 交换状态</x:v>
      </x:c>
      <x:c r="F472" s="34" t="str">
        <x:v>边界</x:v>
      </x:c>
      <x:c r="G472" s="34" t="n">
        <x:v>98</x:v>
      </x:c>
      <x:c r="H472" s="34" t="str">
        <x:v>待验证</x:v>
      </x:c>
      <x:c r="I472" s="34" t="str"/>
      <x:c r="J472" s="34" t="str"/>
      <x:c r="K472" s="34" t="str"/>
      <x:c r="L472" s="34" t="str"/>
      <x:c r="M472" s="34" t="str"/>
      <x:c r="N472" s="34" t="n">
        <x:f>IF(A472="","",I472+J472+K472)</x:f>
        <x:v>0</x:v>
      </x:c>
      <x:c r="O472" s="56" t="str">
        <x:f>IF(N472=0,"",(I472+0.5*J472)/N472)</x:f>
      </x:c>
      <x:c r="P472" s="56" t="str">
        <x:f>IF(N472=0,"",(I472+0.5*J472+1)/(N472+2))</x:f>
      </x:c>
      <x:c r="Q472" s="34" t="str"/>
      <x:c r="R472" s="34" t="str"/>
      <x:c r="S472" s="34" t="str"/>
      <x:c r="T472" s="34" t="str"/>
      <x:c r="U472" s="34" t="str"/>
      <x:c r="V472" s="34" t="str">
        <x:f>IF(A472="","",IF(N472&lt;5,"样本不足",IF(Q472&gt;=1,"优先复核",IF(AND(N472&gt;=20,P472&lt;0.35,K472&gt;=5),"停用候选",IF(AND(N472&gt;=10,P472&lt;0.45),"需修改候选",IF(AND(N472&gt;=10,P472&gt;=0.75,R472/N472&lt;=0.15,S472/N472&lt;=0.15),"升级候选",IF(R472/N472&gt;0.3,"收紧条件",IF(S472/N472&gt;0.3,"补漏／放宽","继续观察"))))))))</x:f>
        <x:v>样本不足</x:v>
      </x:c>
      <x:c r="W472" s="34" t="str">
        <x:f>IF(V472="","",IF(V472="升级候选","已验证候选",IF(V472="停用候选","停用候选",IF(OR(V472="需修改候选",V472="收紧条件",V472="补漏／放宽",V472="优先复核"),"需修改／复核","观察中"))))</x:f>
        <x:v>观察中</x:v>
      </x:c>
      <x:c r="X472" s="34" t="str"/>
      <x:c r="Y472" s="34" t="str"/>
    </x:row>
    <x:row r="473">
      <x:c r="A473" s="34" t="str">
        <x:v>M5-EXCHANGE-240</x:v>
      </x:c>
      <x:c r="B473" s="34" t="str">
        <x:v>EXCHANGE</x:v>
      </x:c>
      <x:c r="C473" s="34" t="str">
        <x:v>P1_高优先级</x:v>
      </x:c>
      <x:c r="D473" s="34" t="str">
        <x:v>XR06 补偿替代候选｜禁止人格化</x:v>
      </x:c>
      <x:c r="E473" s="34" t="str">
        <x:v>L4 交换状态</x:v>
      </x:c>
      <x:c r="F473" s="34" t="str">
        <x:v>边界</x:v>
      </x:c>
      <x:c r="G473" s="34" t="n">
        <x:v>98</x:v>
      </x:c>
      <x:c r="H473" s="34" t="str">
        <x:v>待验证</x:v>
      </x:c>
      <x:c r="I473" s="34" t="str"/>
      <x:c r="J473" s="34" t="str"/>
      <x:c r="K473" s="34" t="str"/>
      <x:c r="L473" s="34" t="str"/>
      <x:c r="M473" s="34" t="str"/>
      <x:c r="N473" s="34" t="n">
        <x:f>IF(A473="","",I473+J473+K473)</x:f>
        <x:v>0</x:v>
      </x:c>
      <x:c r="O473" s="56" t="str">
        <x:f>IF(N473=0,"",(I473+0.5*J473)/N473)</x:f>
      </x:c>
      <x:c r="P473" s="56" t="str">
        <x:f>IF(N473=0,"",(I473+0.5*J473+1)/(N473+2))</x:f>
      </x:c>
      <x:c r="Q473" s="34" t="str"/>
      <x:c r="R473" s="34" t="str"/>
      <x:c r="S473" s="34" t="str"/>
      <x:c r="T473" s="34" t="str"/>
      <x:c r="U473" s="34" t="str"/>
      <x:c r="V473" s="34" t="str">
        <x:f>IF(A473="","",IF(N473&lt;5,"样本不足",IF(Q473&gt;=1,"优先复核",IF(AND(N473&gt;=20,P473&lt;0.35,K473&gt;=5),"停用候选",IF(AND(N473&gt;=10,P473&lt;0.45),"需修改候选",IF(AND(N473&gt;=10,P473&gt;=0.75,R473/N473&lt;=0.15,S473/N473&lt;=0.15),"升级候选",IF(R473/N473&gt;0.3,"收紧条件",IF(S473/N473&gt;0.3,"补漏／放宽","继续观察"))))))))</x:f>
        <x:v>样本不足</x:v>
      </x:c>
      <x:c r="W473" s="34" t="str">
        <x:f>IF(V473="","",IF(V473="升级候选","已验证候选",IF(V473="停用候选","停用候选",IF(OR(V473="需修改候选",V473="收紧条件",V473="补漏／放宽",V473="优先复核"),"需修改／复核","观察中"))))</x:f>
        <x:v>观察中</x:v>
      </x:c>
      <x:c r="X473" s="34" t="str"/>
      <x:c r="Y473" s="34" t="str"/>
    </x:row>
    <x:row r="474">
      <x:c r="A474" s="34" t="str">
        <x:v>M5-EXCHANGE-245</x:v>
      </x:c>
      <x:c r="B474" s="34" t="str">
        <x:v>EXCHANGE</x:v>
      </x:c>
      <x:c r="C474" s="34" t="str">
        <x:v>P1_高优先级</x:v>
      </x:c>
      <x:c r="D474" s="34" t="str">
        <x:v>XR07 长期单方负荷候选｜禁止人格化</x:v>
      </x:c>
      <x:c r="E474" s="34" t="str">
        <x:v>L4 交换状态</x:v>
      </x:c>
      <x:c r="F474" s="34" t="str">
        <x:v>边界</x:v>
      </x:c>
      <x:c r="G474" s="34" t="n">
        <x:v>98</x:v>
      </x:c>
      <x:c r="H474" s="34" t="str">
        <x:v>待验证</x:v>
      </x:c>
      <x:c r="I474" s="34" t="str"/>
      <x:c r="J474" s="34" t="str"/>
      <x:c r="K474" s="34" t="str"/>
      <x:c r="L474" s="34" t="str"/>
      <x:c r="M474" s="34" t="str"/>
      <x:c r="N474" s="34" t="n">
        <x:f>IF(A474="","",I474+J474+K474)</x:f>
        <x:v>0</x:v>
      </x:c>
      <x:c r="O474" s="56" t="str">
        <x:f>IF(N474=0,"",(I474+0.5*J474)/N474)</x:f>
      </x:c>
      <x:c r="P474" s="56" t="str">
        <x:f>IF(N474=0,"",(I474+0.5*J474+1)/(N474+2))</x:f>
      </x:c>
      <x:c r="Q474" s="34" t="str"/>
      <x:c r="R474" s="34" t="str"/>
      <x:c r="S474" s="34" t="str"/>
      <x:c r="T474" s="34" t="str"/>
      <x:c r="U474" s="34" t="str"/>
      <x:c r="V474" s="34" t="str">
        <x:f>IF(A474="","",IF(N474&lt;5,"样本不足",IF(Q474&gt;=1,"优先复核",IF(AND(N474&gt;=20,P474&lt;0.35,K474&gt;=5),"停用候选",IF(AND(N474&gt;=10,P474&lt;0.45),"需修改候选",IF(AND(N474&gt;=10,P474&gt;=0.75,R474/N474&lt;=0.15,S474/N474&lt;=0.15),"升级候选",IF(R474/N474&gt;0.3,"收紧条件",IF(S474/N474&gt;0.3,"补漏／放宽","继续观察"))))))))</x:f>
        <x:v>样本不足</x:v>
      </x:c>
      <x:c r="W474" s="34" t="str">
        <x:f>IF(V474="","",IF(V474="升级候选","已验证候选",IF(V474="停用候选","停用候选",IF(OR(V474="需修改候选",V474="收紧条件",V474="补漏／放宽",V474="优先复核"),"需修改／复核","观察中"))))</x:f>
        <x:v>观察中</x:v>
      </x:c>
      <x:c r="X474" s="34" t="str"/>
      <x:c r="Y474" s="34" t="str"/>
    </x:row>
    <x:row r="475">
      <x:c r="A475" s="34" t="str">
        <x:v>M5-EXCHANGE-250</x:v>
      </x:c>
      <x:c r="B475" s="34" t="str">
        <x:v>EXCHANGE</x:v>
      </x:c>
      <x:c r="C475" s="34" t="str">
        <x:v>P1_高优先级</x:v>
      </x:c>
      <x:c r="D475" s="34" t="str">
        <x:v>XR08 交换未定／停止｜禁止人格化</x:v>
      </x:c>
      <x:c r="E475" s="34" t="str">
        <x:v>L4 交换状态</x:v>
      </x:c>
      <x:c r="F475" s="34" t="str">
        <x:v>边界</x:v>
      </x:c>
      <x:c r="G475" s="34" t="n">
        <x:v>98</x:v>
      </x:c>
      <x:c r="H475" s="34" t="str">
        <x:v>待验证</x:v>
      </x:c>
      <x:c r="I475" s="34" t="str"/>
      <x:c r="J475" s="34" t="str"/>
      <x:c r="K475" s="34" t="str"/>
      <x:c r="L475" s="34" t="str"/>
      <x:c r="M475" s="34" t="str"/>
      <x:c r="N475" s="34" t="n">
        <x:f>IF(A475="","",I475+J475+K475)</x:f>
        <x:v>0</x:v>
      </x:c>
      <x:c r="O475" s="56" t="str">
        <x:f>IF(N475=0,"",(I475+0.5*J475)/N475)</x:f>
      </x:c>
      <x:c r="P475" s="56" t="str">
        <x:f>IF(N475=0,"",(I475+0.5*J475+1)/(N475+2))</x:f>
      </x:c>
      <x:c r="Q475" s="34" t="str"/>
      <x:c r="R475" s="34" t="str"/>
      <x:c r="S475" s="34" t="str"/>
      <x:c r="T475" s="34" t="str"/>
      <x:c r="U475" s="34" t="str"/>
      <x:c r="V475" s="34" t="str">
        <x:f>IF(A475="","",IF(N475&lt;5,"样本不足",IF(Q475&gt;=1,"优先复核",IF(AND(N475&gt;=20,P475&lt;0.35,K475&gt;=5),"停用候选",IF(AND(N475&gt;=10,P475&lt;0.45),"需修改候选",IF(AND(N475&gt;=10,P475&gt;=0.75,R475/N475&lt;=0.15,S475/N475&lt;=0.15),"升级候选",IF(R475/N475&gt;0.3,"收紧条件",IF(S475/N475&gt;0.3,"补漏／放宽","继续观察"))))))))</x:f>
        <x:v>样本不足</x:v>
      </x:c>
      <x:c r="W475" s="34" t="str">
        <x:f>IF(V475="","",IF(V475="升级候选","已验证候选",IF(V475="停用候选","停用候选",IF(OR(V475="需修改候选",V475="收紧条件",V475="补漏／放宽",V475="优先复核"),"需修改／复核","观察中"))))</x:f>
        <x:v>观察中</x:v>
      </x:c>
      <x:c r="X475" s="34" t="str"/>
      <x:c r="Y475" s="34" t="str"/>
    </x:row>
    <x:row r="476">
      <x:c r="A476" s="34" t="str">
        <x:v>M5-EXCHANGE-417</x:v>
      </x:c>
      <x:c r="B476" s="34" t="str">
        <x:v>EXCHANGE</x:v>
      </x:c>
      <x:c r="C476" s="34" t="str">
        <x:v>P1_高优先级</x:v>
      </x:c>
      <x:c r="D476" s="34" t="str">
        <x:v>跨领域补偿不能自动抵消</x:v>
      </x:c>
      <x:c r="E476" s="34" t="str">
        <x:v>L9 状态、接口、去重与停止</x:v>
      </x:c>
      <x:c r="F476" s="34" t="str">
        <x:v>边界</x:v>
      </x:c>
      <x:c r="G476" s="34" t="n">
        <x:v>98</x:v>
      </x:c>
      <x:c r="H476" s="34" t="str">
        <x:v>待验证</x:v>
      </x:c>
      <x:c r="I476" s="34" t="str"/>
      <x:c r="J476" s="34" t="str"/>
      <x:c r="K476" s="34" t="str"/>
      <x:c r="L476" s="34" t="str"/>
      <x:c r="M476" s="34" t="str"/>
      <x:c r="N476" s="34" t="n">
        <x:f>IF(A476="","",I476+J476+K476)</x:f>
        <x:v>0</x:v>
      </x:c>
      <x:c r="O476" s="56" t="str">
        <x:f>IF(N476=0,"",(I476+0.5*J476)/N476)</x:f>
      </x:c>
      <x:c r="P476" s="56" t="str">
        <x:f>IF(N476=0,"",(I476+0.5*J476+1)/(N476+2))</x:f>
      </x:c>
      <x:c r="Q476" s="34" t="str"/>
      <x:c r="R476" s="34" t="str"/>
      <x:c r="S476" s="34" t="str"/>
      <x:c r="T476" s="34" t="str"/>
      <x:c r="U476" s="34" t="str"/>
      <x:c r="V476" s="34" t="str">
        <x:f>IF(A476="","",IF(N476&lt;5,"样本不足",IF(Q476&gt;=1,"优先复核",IF(AND(N476&gt;=20,P476&lt;0.35,K476&gt;=5),"停用候选",IF(AND(N476&gt;=10,P476&lt;0.45),"需修改候选",IF(AND(N476&gt;=10,P476&gt;=0.75,R476/N476&lt;=0.15,S476/N476&lt;=0.15),"升级候选",IF(R476/N476&gt;0.3,"收紧条件",IF(S476/N476&gt;0.3,"补漏／放宽","继续观察"))))))))</x:f>
        <x:v>样本不足</x:v>
      </x:c>
      <x:c r="W476" s="34" t="str">
        <x:f>IF(V476="","",IF(V476="升级候选","已验证候选",IF(V476="停用候选","停用候选",IF(OR(V476="需修改候选",V476="收紧条件",V476="补漏／放宽",V476="优先复核"),"需修改／复核","观察中"))))</x:f>
        <x:v>观察中</x:v>
      </x:c>
      <x:c r="X476" s="34" t="str"/>
      <x:c r="Y476" s="34" t="str"/>
    </x:row>
    <x:row r="477">
      <x:c r="A477" s="34" t="str">
        <x:v>M5-EXCHANGE-418</x:v>
      </x:c>
      <x:c r="B477" s="34" t="str">
        <x:v>EXCHANGE</x:v>
      </x:c>
      <x:c r="C477" s="34" t="str">
        <x:v>P1_高优先级</x:v>
      </x:c>
      <x:c r="D477" s="34" t="str">
        <x:v>角色分工必须可重订</x:v>
      </x:c>
      <x:c r="E477" s="34" t="str">
        <x:v>L9 状态、接口、去重与停止</x:v>
      </x:c>
      <x:c r="F477" s="34" t="str">
        <x:v>边界</x:v>
      </x:c>
      <x:c r="G477" s="34" t="n">
        <x:v>98</x:v>
      </x:c>
      <x:c r="H477" s="34" t="str">
        <x:v>待验证</x:v>
      </x:c>
      <x:c r="I477" s="34" t="str"/>
      <x:c r="J477" s="34" t="str"/>
      <x:c r="K477" s="34" t="str"/>
      <x:c r="L477" s="34" t="str"/>
      <x:c r="M477" s="34" t="str"/>
      <x:c r="N477" s="34" t="n">
        <x:f>IF(A477="","",I477+J477+K477)</x:f>
        <x:v>0</x:v>
      </x:c>
      <x:c r="O477" s="56" t="str">
        <x:f>IF(N477=0,"",(I477+0.5*J477)/N477)</x:f>
      </x:c>
      <x:c r="P477" s="56" t="str">
        <x:f>IF(N477=0,"",(I477+0.5*J477+1)/(N477+2))</x:f>
      </x:c>
      <x:c r="Q477" s="34" t="str"/>
      <x:c r="R477" s="34" t="str"/>
      <x:c r="S477" s="34" t="str"/>
      <x:c r="T477" s="34" t="str"/>
      <x:c r="U477" s="34" t="str"/>
      <x:c r="V477" s="34" t="str">
        <x:f>IF(A477="","",IF(N477&lt;5,"样本不足",IF(Q477&gt;=1,"优先复核",IF(AND(N477&gt;=20,P477&lt;0.35,K477&gt;=5),"停用候选",IF(AND(N477&gt;=10,P477&lt;0.45),"需修改候选",IF(AND(N477&gt;=10,P477&gt;=0.75,R477/N477&lt;=0.15,S477/N477&lt;=0.15),"升级候选",IF(R477/N477&gt;0.3,"收紧条件",IF(S477/N477&gt;0.3,"补漏／放宽","继续观察"))))))))</x:f>
        <x:v>样本不足</x:v>
      </x:c>
      <x:c r="W477" s="34" t="str">
        <x:f>IF(V477="","",IF(V477="升级候选","已验证候选",IF(V477="停用候选","停用候选",IF(OR(V477="需修改候选",V477="收紧条件",V477="补漏／放宽",V477="优先复核"),"需修改／复核","观察中"))))</x:f>
        <x:v>观察中</x:v>
      </x:c>
      <x:c r="X477" s="34" t="str"/>
      <x:c r="Y477" s="34" t="str"/>
    </x:row>
    <x:row r="478">
      <x:c r="A478" s="34" t="str">
        <x:v>M5-EXCHANGE-419</x:v>
      </x:c>
      <x:c r="B478" s="34" t="str">
        <x:v>EXCHANGE</x:v>
      </x:c>
      <x:c r="C478" s="34" t="str">
        <x:v>P1_高优先级</x:v>
      </x:c>
      <x:c r="D478" s="34" t="str">
        <x:v>错峰互惠必须有回流点</x:v>
      </x:c>
      <x:c r="E478" s="34" t="str">
        <x:v>L9 状态、接口、去重与停止</x:v>
      </x:c>
      <x:c r="F478" s="34" t="str">
        <x:v>边界</x:v>
      </x:c>
      <x:c r="G478" s="34" t="n">
        <x:v>98</x:v>
      </x:c>
      <x:c r="H478" s="34" t="str">
        <x:v>待验证</x:v>
      </x:c>
      <x:c r="I478" s="34" t="str"/>
      <x:c r="J478" s="34" t="str"/>
      <x:c r="K478" s="34" t="str"/>
      <x:c r="L478" s="34" t="str"/>
      <x:c r="M478" s="34" t="str"/>
      <x:c r="N478" s="34" t="n">
        <x:f>IF(A478="","",I478+J478+K478)</x:f>
        <x:v>0</x:v>
      </x:c>
      <x:c r="O478" s="56" t="str">
        <x:f>IF(N478=0,"",(I478+0.5*J478)/N478)</x:f>
      </x:c>
      <x:c r="P478" s="56" t="str">
        <x:f>IF(N478=0,"",(I478+0.5*J478+1)/(N478+2))</x:f>
      </x:c>
      <x:c r="Q478" s="34" t="str"/>
      <x:c r="R478" s="34" t="str"/>
      <x:c r="S478" s="34" t="str"/>
      <x:c r="T478" s="34" t="str"/>
      <x:c r="U478" s="34" t="str"/>
      <x:c r="V478" s="34" t="str">
        <x:f>IF(A478="","",IF(N478&lt;5,"样本不足",IF(Q478&gt;=1,"优先复核",IF(AND(N478&gt;=20,P478&lt;0.35,K478&gt;=5),"停用候选",IF(AND(N478&gt;=10,P478&lt;0.45),"需修改候选",IF(AND(N478&gt;=10,P478&gt;=0.75,R478/N478&lt;=0.15,S478/N478&lt;=0.15),"升级候选",IF(R478/N478&gt;0.3,"收紧条件",IF(S478/N478&gt;0.3,"补漏／放宽","继续观察"))))))))</x:f>
        <x:v>样本不足</x:v>
      </x:c>
      <x:c r="W478" s="34" t="str">
        <x:f>IF(V478="","",IF(V478="升级候选","已验证候选",IF(V478="停用候选","停用候选",IF(OR(V478="需修改候选",V478="收紧条件",V478="补漏／放宽",V478="优先复核"),"需修改／复核","观察中"))))</x:f>
        <x:v>观察中</x:v>
      </x:c>
      <x:c r="X478" s="34" t="str"/>
      <x:c r="Y478" s="34" t="str"/>
    </x:row>
    <x:row r="479">
      <x:c r="A479" s="34" t="str">
        <x:v>M5-EXCHANGE-443</x:v>
      </x:c>
      <x:c r="B479" s="34" t="str">
        <x:v>EXCHANGE</x:v>
      </x:c>
      <x:c r="C479" s="34" t="str">
        <x:v>P1_高优先级</x:v>
      </x:c>
      <x:c r="D479" s="34" t="str">
        <x:v>XV0—XV1发布上限</x:v>
      </x:c>
      <x:c r="E479" s="34" t="str">
        <x:v>L10 评分、报告与校准</x:v>
      </x:c>
      <x:c r="F479" s="34" t="str">
        <x:v>边界</x:v>
      </x:c>
      <x:c r="G479" s="34" t="n">
        <x:v>98</x:v>
      </x:c>
      <x:c r="H479" s="34" t="str">
        <x:v>待验证</x:v>
      </x:c>
      <x:c r="I479" s="34" t="str"/>
      <x:c r="J479" s="34" t="str"/>
      <x:c r="K479" s="34" t="str"/>
      <x:c r="L479" s="34" t="str"/>
      <x:c r="M479" s="34" t="str"/>
      <x:c r="N479" s="34" t="n">
        <x:f>IF(A479="","",I479+J479+K479)</x:f>
        <x:v>0</x:v>
      </x:c>
      <x:c r="O479" s="56" t="str">
        <x:f>IF(N479=0,"",(I479+0.5*J479)/N479)</x:f>
      </x:c>
      <x:c r="P479" s="56" t="str">
        <x:f>IF(N479=0,"",(I479+0.5*J479+1)/(N479+2))</x:f>
      </x:c>
      <x:c r="Q479" s="34" t="str"/>
      <x:c r="R479" s="34" t="str"/>
      <x:c r="S479" s="34" t="str"/>
      <x:c r="T479" s="34" t="str"/>
      <x:c r="U479" s="34" t="str"/>
      <x:c r="V479" s="34" t="str">
        <x:f>IF(A479="","",IF(N479&lt;5,"样本不足",IF(Q479&gt;=1,"优先复核",IF(AND(N479&gt;=20,P479&lt;0.35,K479&gt;=5),"停用候选",IF(AND(N479&gt;=10,P479&lt;0.45),"需修改候选",IF(AND(N479&gt;=10,P479&gt;=0.75,R479/N479&lt;=0.15,S479/N479&lt;=0.15),"升级候选",IF(R479/N479&gt;0.3,"收紧条件",IF(S479/N479&gt;0.3,"补漏／放宽","继续观察"))))))))</x:f>
        <x:v>样本不足</x:v>
      </x:c>
      <x:c r="W479" s="34" t="str">
        <x:f>IF(V479="","",IF(V479="升级候选","已验证候选",IF(V479="停用候选","停用候选",IF(OR(V479="需修改候选",V479="收紧条件",V479="补漏／放宽",V479="优先复核"),"需修改／复核","观察中"))))</x:f>
        <x:v>观察中</x:v>
      </x:c>
      <x:c r="X479" s="34" t="str"/>
      <x:c r="Y479" s="34" t="str"/>
    </x:row>
    <x:row r="480">
      <x:c r="A480" s="34" t="str">
        <x:v>M5-EXCHANGE-444</x:v>
      </x:c>
      <x:c r="B480" s="34" t="str">
        <x:v>EXCHANGE</x:v>
      </x:c>
      <x:c r="C480" s="34" t="str">
        <x:v>P1_高优先级</x:v>
      </x:c>
      <x:c r="D480" s="34" t="str">
        <x:v>XV2单次事件上限</x:v>
      </x:c>
      <x:c r="E480" s="34" t="str">
        <x:v>L10 评分、报告与校准</x:v>
      </x:c>
      <x:c r="F480" s="34" t="str">
        <x:v>边界</x:v>
      </x:c>
      <x:c r="G480" s="34" t="n">
        <x:v>98</x:v>
      </x:c>
      <x:c r="H480" s="34" t="str">
        <x:v>待验证</x:v>
      </x:c>
      <x:c r="I480" s="34" t="str"/>
      <x:c r="J480" s="34" t="str"/>
      <x:c r="K480" s="34" t="str"/>
      <x:c r="L480" s="34" t="str"/>
      <x:c r="M480" s="34" t="str"/>
      <x:c r="N480" s="34" t="n">
        <x:f>IF(A480="","",I480+J480+K480)</x:f>
        <x:v>0</x:v>
      </x:c>
      <x:c r="O480" s="56" t="str">
        <x:f>IF(N480=0,"",(I480+0.5*J480)/N480)</x:f>
      </x:c>
      <x:c r="P480" s="56" t="str">
        <x:f>IF(N480=0,"",(I480+0.5*J480+1)/(N480+2))</x:f>
      </x:c>
      <x:c r="Q480" s="34" t="str"/>
      <x:c r="R480" s="34" t="str"/>
      <x:c r="S480" s="34" t="str"/>
      <x:c r="T480" s="34" t="str"/>
      <x:c r="U480" s="34" t="str"/>
      <x:c r="V480" s="34" t="str">
        <x:f>IF(A480="","",IF(N480&lt;5,"样本不足",IF(Q480&gt;=1,"优先复核",IF(AND(N480&gt;=20,P480&lt;0.35,K480&gt;=5),"停用候选",IF(AND(N480&gt;=10,P480&lt;0.45),"需修改候选",IF(AND(N480&gt;=10,P480&gt;=0.75,R480/N480&lt;=0.15,S480/N480&lt;=0.15),"升级候选",IF(R480/N480&gt;0.3,"收紧条件",IF(S480/N480&gt;0.3,"补漏／放宽","继续观察"))))))))</x:f>
        <x:v>样本不足</x:v>
      </x:c>
      <x:c r="W480" s="34" t="str">
        <x:f>IF(V480="","",IF(V480="升级候选","已验证候选",IF(V480="停用候选","停用候选",IF(OR(V480="需修改候选",V480="收紧条件",V480="补漏／放宽",V480="优先复核"),"需修改／复核","观察中"))))</x:f>
        <x:v>观察中</x:v>
      </x:c>
      <x:c r="X480" s="34" t="str"/>
      <x:c r="Y480" s="34" t="str"/>
    </x:row>
    <x:row r="481">
      <x:c r="A481" s="34" t="str">
        <x:v>M5-EXCHANGE-461</x:v>
      </x:c>
      <x:c r="B481" s="34" t="str">
        <x:v>EXCHANGE</x:v>
      </x:c>
      <x:c r="C481" s="34" t="str">
        <x:v>P1_高优先级</x:v>
      </x:c>
      <x:c r="D481" s="34" t="str">
        <x:v>同一event_id基础分封顶</x:v>
      </x:c>
      <x:c r="E481" s="34" t="str">
        <x:v>L10 评分、报告与校准</x:v>
      </x:c>
      <x:c r="F481" s="34" t="str">
        <x:v>去重</x:v>
      </x:c>
      <x:c r="G481" s="34" t="n">
        <x:v>98</x:v>
      </x:c>
      <x:c r="H481" s="34" t="str">
        <x:v>待验证</x:v>
      </x:c>
      <x:c r="I481" s="34" t="str"/>
      <x:c r="J481" s="34" t="str"/>
      <x:c r="K481" s="34" t="str"/>
      <x:c r="L481" s="34" t="str"/>
      <x:c r="M481" s="34" t="str"/>
      <x:c r="N481" s="34" t="n">
        <x:f>IF(A481="","",I481+J481+K481)</x:f>
        <x:v>0</x:v>
      </x:c>
      <x:c r="O481" s="56" t="str">
        <x:f>IF(N481=0,"",(I481+0.5*J481)/N481)</x:f>
      </x:c>
      <x:c r="P481" s="56" t="str">
        <x:f>IF(N481=0,"",(I481+0.5*J481+1)/(N481+2))</x:f>
      </x:c>
      <x:c r="Q481" s="34" t="str"/>
      <x:c r="R481" s="34" t="str"/>
      <x:c r="S481" s="34" t="str"/>
      <x:c r="T481" s="34" t="str"/>
      <x:c r="U481" s="34" t="str"/>
      <x:c r="V481" s="34" t="str">
        <x:f>IF(A481="","",IF(N481&lt;5,"样本不足",IF(Q481&gt;=1,"优先复核",IF(AND(N481&gt;=20,P481&lt;0.35,K481&gt;=5),"停用候选",IF(AND(N481&gt;=10,P481&lt;0.45),"需修改候选",IF(AND(N481&gt;=10,P481&gt;=0.75,R481/N481&lt;=0.15,S481/N481&lt;=0.15),"升级候选",IF(R481/N481&gt;0.3,"收紧条件",IF(S481/N481&gt;0.3,"补漏／放宽","继续观察"))))))))</x:f>
        <x:v>样本不足</x:v>
      </x:c>
      <x:c r="W481" s="34" t="str">
        <x:f>IF(V481="","",IF(V481="升级候选","已验证候选",IF(V481="停用候选","停用候选",IF(OR(V481="需修改候选",V481="收紧条件",V481="补漏／放宽",V481="优先复核"),"需修改／复核","观察中"))))</x:f>
        <x:v>观察中</x:v>
      </x:c>
      <x:c r="X481" s="34" t="str"/>
      <x:c r="Y481" s="34" t="str"/>
    </x:row>
    <x:row r="482">
      <x:c r="A482" s="34" t="str">
        <x:v>M5-EXCHANGE-462</x:v>
      </x:c>
      <x:c r="B482" s="34" t="str">
        <x:v>EXCHANGE</x:v>
      </x:c>
      <x:c r="C482" s="34" t="str">
        <x:v>P1_高优先级</x:v>
      </x:c>
      <x:c r="D482" s="34" t="str">
        <x:v>同一source_id基础分封顶</x:v>
      </x:c>
      <x:c r="E482" s="34" t="str">
        <x:v>L10 评分、报告与校准</x:v>
      </x:c>
      <x:c r="F482" s="34" t="str">
        <x:v>去重</x:v>
      </x:c>
      <x:c r="G482" s="34" t="n">
        <x:v>98</x:v>
      </x:c>
      <x:c r="H482" s="34" t="str">
        <x:v>待验证</x:v>
      </x:c>
      <x:c r="I482" s="34" t="str"/>
      <x:c r="J482" s="34" t="str"/>
      <x:c r="K482" s="34" t="str"/>
      <x:c r="L482" s="34" t="str"/>
      <x:c r="M482" s="34" t="str"/>
      <x:c r="N482" s="34" t="n">
        <x:f>IF(A482="","",I482+J482+K482)</x:f>
        <x:v>0</x:v>
      </x:c>
      <x:c r="O482" s="56" t="str">
        <x:f>IF(N482=0,"",(I482+0.5*J482)/N482)</x:f>
      </x:c>
      <x:c r="P482" s="56" t="str">
        <x:f>IF(N482=0,"",(I482+0.5*J482+1)/(N482+2))</x:f>
      </x:c>
      <x:c r="Q482" s="34" t="str"/>
      <x:c r="R482" s="34" t="str"/>
      <x:c r="S482" s="34" t="str"/>
      <x:c r="T482" s="34" t="str"/>
      <x:c r="U482" s="34" t="str"/>
      <x:c r="V482" s="34" t="str">
        <x:f>IF(A482="","",IF(N482&lt;5,"样本不足",IF(Q482&gt;=1,"优先复核",IF(AND(N482&gt;=20,P482&lt;0.35,K482&gt;=5),"停用候选",IF(AND(N482&gt;=10,P482&lt;0.45),"需修改候选",IF(AND(N482&gt;=10,P482&gt;=0.75,R482/N482&lt;=0.15,S482/N482&lt;=0.15),"升级候选",IF(R482/N482&gt;0.3,"收紧条件",IF(S482/N482&gt;0.3,"补漏／放宽","继续观察"))))))))</x:f>
        <x:v>样本不足</x:v>
      </x:c>
      <x:c r="W482" s="34" t="str">
        <x:f>IF(V482="","",IF(V482="升级候选","已验证候选",IF(V482="停用候选","停用候选",IF(OR(V482="需修改候选",V482="收紧条件",V482="补漏／放宽",V482="优先复核"),"需修改／复核","观察中"))))</x:f>
        <x:v>观察中</x:v>
      </x:c>
      <x:c r="X482" s="34" t="str"/>
      <x:c r="Y482" s="34" t="str"/>
    </x:row>
    <x:row r="483">
      <x:c r="A483" s="34" t="str">
        <x:v>M5-EXCHANGE-464</x:v>
      </x:c>
      <x:c r="B483" s="34" t="str">
        <x:v>EXCHANGE</x:v>
      </x:c>
      <x:c r="C483" s="34" t="str">
        <x:v>P1_高优先级</x:v>
      </x:c>
      <x:c r="D483" s="34" t="str">
        <x:v>情绪与现实领域不能自动互抵</x:v>
      </x:c>
      <x:c r="E483" s="34" t="str">
        <x:v>L10 评分、报告与校准</x:v>
      </x:c>
      <x:c r="F483" s="34" t="str">
        <x:v>边界</x:v>
      </x:c>
      <x:c r="G483" s="34" t="n">
        <x:v>98</x:v>
      </x:c>
      <x:c r="H483" s="34" t="str">
        <x:v>待验证</x:v>
      </x:c>
      <x:c r="I483" s="34" t="str"/>
      <x:c r="J483" s="34" t="str"/>
      <x:c r="K483" s="34" t="str"/>
      <x:c r="L483" s="34" t="str"/>
      <x:c r="M483" s="34" t="str"/>
      <x:c r="N483" s="34" t="n">
        <x:f>IF(A483="","",I483+J483+K483)</x:f>
        <x:v>0</x:v>
      </x:c>
      <x:c r="O483" s="56" t="str">
        <x:f>IF(N483=0,"",(I483+0.5*J483)/N483)</x:f>
      </x:c>
      <x:c r="P483" s="56" t="str">
        <x:f>IF(N483=0,"",(I483+0.5*J483+1)/(N483+2))</x:f>
      </x:c>
      <x:c r="Q483" s="34" t="str"/>
      <x:c r="R483" s="34" t="str"/>
      <x:c r="S483" s="34" t="str"/>
      <x:c r="T483" s="34" t="str"/>
      <x:c r="U483" s="34" t="str"/>
      <x:c r="V483" s="34" t="str">
        <x:f>IF(A483="","",IF(N483&lt;5,"样本不足",IF(Q483&gt;=1,"优先复核",IF(AND(N483&gt;=20,P483&lt;0.35,K483&gt;=5),"停用候选",IF(AND(N483&gt;=10,P483&lt;0.45),"需修改候选",IF(AND(N483&gt;=10,P483&gt;=0.75,R483/N483&lt;=0.15,S483/N483&lt;=0.15),"升级候选",IF(R483/N483&gt;0.3,"收紧条件",IF(S483/N483&gt;0.3,"补漏／放宽","继续观察"))))))))</x:f>
        <x:v>样本不足</x:v>
      </x:c>
      <x:c r="W483" s="34" t="str">
        <x:f>IF(V483="","",IF(V483="升级候选","已验证候选",IF(V483="停用候选","停用候选",IF(OR(V483="需修改候选",V483="收紧条件",V483="补漏／放宽",V483="优先复核"),"需修改／复核","观察中"))))</x:f>
        <x:v>观察中</x:v>
      </x:c>
      <x:c r="X483" s="34" t="str"/>
      <x:c r="Y483" s="34" t="str"/>
    </x:row>
    <x:row r="484">
      <x:c r="A484" s="34" t="str">
        <x:v>M5-EXCHANGE-478</x:v>
      </x:c>
      <x:c r="B484" s="34" t="str">
        <x:v>EXCHANGE</x:v>
      </x:c>
      <x:c r="C484" s="34" t="str">
        <x:v>P1_高优先级</x:v>
      </x:c>
      <x:c r="D484" s="34" t="str">
        <x:v>正文密度限制</x:v>
      </x:c>
      <x:c r="E484" s="34" t="str">
        <x:v>L10 评分、报告与校准</x:v>
      </x:c>
      <x:c r="F484" s="34" t="str">
        <x:v>边界</x:v>
      </x:c>
      <x:c r="G484" s="34" t="n">
        <x:v>98</x:v>
      </x:c>
      <x:c r="H484" s="34" t="str">
        <x:v>待验证</x:v>
      </x:c>
      <x:c r="I484" s="34" t="str"/>
      <x:c r="J484" s="34" t="str"/>
      <x:c r="K484" s="34" t="str"/>
      <x:c r="L484" s="34" t="str"/>
      <x:c r="M484" s="34" t="str"/>
      <x:c r="N484" s="34" t="n">
        <x:f>IF(A484="","",I484+J484+K484)</x:f>
        <x:v>0</x:v>
      </x:c>
      <x:c r="O484" s="56" t="str">
        <x:f>IF(N484=0,"",(I484+0.5*J484)/N484)</x:f>
      </x:c>
      <x:c r="P484" s="56" t="str">
        <x:f>IF(N484=0,"",(I484+0.5*J484+1)/(N484+2))</x:f>
      </x:c>
      <x:c r="Q484" s="34" t="str"/>
      <x:c r="R484" s="34" t="str"/>
      <x:c r="S484" s="34" t="str"/>
      <x:c r="T484" s="34" t="str"/>
      <x:c r="U484" s="34" t="str"/>
      <x:c r="V484" s="34" t="str">
        <x:f>IF(A484="","",IF(N484&lt;5,"样本不足",IF(Q484&gt;=1,"优先复核",IF(AND(N484&gt;=20,P484&lt;0.35,K484&gt;=5),"停用候选",IF(AND(N484&gt;=10,P484&lt;0.45),"需修改候选",IF(AND(N484&gt;=10,P484&gt;=0.75,R484/N484&lt;=0.15,S484/N484&lt;=0.15),"升级候选",IF(R484/N484&gt;0.3,"收紧条件",IF(S484/N484&gt;0.3,"补漏／放宽","继续观察"))))))))</x:f>
        <x:v>样本不足</x:v>
      </x:c>
      <x:c r="W484" s="34" t="str">
        <x:f>IF(V484="","",IF(V484="升级候选","已验证候选",IF(V484="停用候选","停用候选",IF(OR(V484="需修改候选",V484="收紧条件",V484="补漏／放宽",V484="优先复核"),"需修改／复核","观察中"))))</x:f>
        <x:v>观察中</x:v>
      </x:c>
      <x:c r="X484" s="34" t="str"/>
      <x:c r="Y484" s="34" t="str"/>
    </x:row>
    <x:row r="485">
      <x:c r="A485" s="34" t="str">
        <x:v>M5-GAP-010</x:v>
      </x:c>
      <x:c r="B485" s="34" t="str">
        <x:v>GAP</x:v>
      </x:c>
      <x:c r="C485" s="34" t="str">
        <x:v>P1_高优先级</x:v>
      </x:c>
      <x:c r="D485" s="34" t="str">
        <x:v>M4只提供失衡风险与保护候选</x:v>
      </x:c>
      <x:c r="E485" s="34" t="str">
        <x:v>L0 定义、边界与证据合同</x:v>
      </x:c>
      <x:c r="F485" s="34" t="str">
        <x:v>接口</x:v>
      </x:c>
      <x:c r="G485" s="34" t="n">
        <x:v>98</x:v>
      </x:c>
      <x:c r="H485" s="34" t="str">
        <x:v>待验证</x:v>
      </x:c>
      <x:c r="I485" s="34" t="str"/>
      <x:c r="J485" s="34" t="str"/>
      <x:c r="K485" s="34" t="str"/>
      <x:c r="L485" s="34" t="str"/>
      <x:c r="M485" s="34" t="str"/>
      <x:c r="N485" s="34" t="n">
        <x:f>IF(A485="","",I485+J485+K485)</x:f>
        <x:v>0</x:v>
      </x:c>
      <x:c r="O485" s="56" t="str">
        <x:f>IF(N485=0,"",(I485+0.5*J485)/N485)</x:f>
      </x:c>
      <x:c r="P485" s="56" t="str">
        <x:f>IF(N485=0,"",(I485+0.5*J485+1)/(N485+2))</x:f>
      </x:c>
      <x:c r="Q485" s="34" t="str"/>
      <x:c r="R485" s="34" t="str"/>
      <x:c r="S485" s="34" t="str"/>
      <x:c r="T485" s="34" t="str"/>
      <x:c r="U485" s="34" t="str"/>
      <x:c r="V485" s="34" t="str">
        <x:f>IF(A485="","",IF(N485&lt;5,"样本不足",IF(Q485&gt;=1,"优先复核",IF(AND(N485&gt;=20,P485&lt;0.35,K485&gt;=5),"停用候选",IF(AND(N485&gt;=10,P485&lt;0.45),"需修改候选",IF(AND(N485&gt;=10,P485&gt;=0.75,R485/N485&lt;=0.15,S485/N485&lt;=0.15),"升级候选",IF(R485/N485&gt;0.3,"收紧条件",IF(S485/N485&gt;0.3,"补漏／放宽","继续观察"))))))))</x:f>
        <x:v>样本不足</x:v>
      </x:c>
      <x:c r="W485" s="34" t="str">
        <x:f>IF(V485="","",IF(V485="升级候选","已验证候选",IF(V485="停用候选","停用候选",IF(OR(V485="需修改候选",V485="收紧条件",V485="补漏／放宽",V485="优先复核"),"需修改／复核","观察中"))))</x:f>
        <x:v>观察中</x:v>
      </x:c>
      <x:c r="X485" s="34" t="str"/>
      <x:c r="Y485" s="34" t="str"/>
    </x:row>
    <x:row r="486">
      <x:c r="A486" s="34" t="str">
        <x:v>M5-GAP-011</x:v>
      </x:c>
      <x:c r="B486" s="34" t="str">
        <x:v>GAP</x:v>
      </x:c>
      <x:c r="C486" s="34" t="str">
        <x:v>P1_高优先级</x:v>
      </x:c>
      <x:c r="D486" s="34" t="str">
        <x:v>M5负责长期适配主权威</x:v>
      </x:c>
      <x:c r="E486" s="34" t="str">
        <x:v>L0 定义、边界与证据合同</x:v>
      </x:c>
      <x:c r="F486" s="34" t="str">
        <x:v>权威</x:v>
      </x:c>
      <x:c r="G486" s="34" t="n">
        <x:v>98</x:v>
      </x:c>
      <x:c r="H486" s="34" t="str">
        <x:v>待验证</x:v>
      </x:c>
      <x:c r="I486" s="34" t="str"/>
      <x:c r="J486" s="34" t="str"/>
      <x:c r="K486" s="34" t="str"/>
      <x:c r="L486" s="34" t="str"/>
      <x:c r="M486" s="34" t="str"/>
      <x:c r="N486" s="34" t="n">
        <x:f>IF(A486="","",I486+J486+K486)</x:f>
        <x:v>0</x:v>
      </x:c>
      <x:c r="O486" s="56" t="str">
        <x:f>IF(N486=0,"",(I486+0.5*J486)/N486)</x:f>
      </x:c>
      <x:c r="P486" s="56" t="str">
        <x:f>IF(N486=0,"",(I486+0.5*J486+1)/(N486+2))</x:f>
      </x:c>
      <x:c r="Q486" s="34" t="str"/>
      <x:c r="R486" s="34" t="str"/>
      <x:c r="S486" s="34" t="str"/>
      <x:c r="T486" s="34" t="str"/>
      <x:c r="U486" s="34" t="str"/>
      <x:c r="V486" s="34" t="str">
        <x:f>IF(A486="","",IF(N486&lt;5,"样本不足",IF(Q486&gt;=1,"优先复核",IF(AND(N486&gt;=20,P486&lt;0.35,K486&gt;=5),"停用候选",IF(AND(N486&gt;=10,P486&lt;0.45),"需修改候选",IF(AND(N486&gt;=10,P486&gt;=0.75,R486/N486&lt;=0.15,S486/N486&lt;=0.15),"升级候选",IF(R486/N486&gt;0.3,"收紧条件",IF(S486/N486&gt;0.3,"补漏／放宽","继续观察"))))))))</x:f>
        <x:v>样本不足</x:v>
      </x:c>
      <x:c r="W486" s="34" t="str">
        <x:f>IF(V486="","",IF(V486="升级候选","已验证候选",IF(V486="停用候选","停用候选",IF(OR(V486="需修改候选",V486="收紧条件",V486="补漏／放宽",V486="优先复核"),"需修改／复核","观察中"))))</x:f>
        <x:v>观察中</x:v>
      </x:c>
      <x:c r="X486" s="34" t="str"/>
      <x:c r="Y486" s="34" t="str"/>
    </x:row>
    <x:row r="487">
      <x:c r="A487" s="34" t="str">
        <x:v>M5-GAP-012</x:v>
      </x:c>
      <x:c r="B487" s="34" t="str">
        <x:v>GAP</x:v>
      </x:c>
      <x:c r="C487" s="34" t="str">
        <x:v>P1_高优先级</x:v>
      </x:c>
      <x:c r="D487" s="34" t="str">
        <x:v>现实行为与门槛拥有最终修正权</x:v>
      </x:c>
      <x:c r="E487" s="34" t="str">
        <x:v>L0 定义、边界与证据合同</x:v>
      </x:c>
      <x:c r="F487" s="34" t="str">
        <x:v>证据</x:v>
      </x:c>
      <x:c r="G487" s="34" t="n">
        <x:v>98</x:v>
      </x:c>
      <x:c r="H487" s="34" t="str">
        <x:v>待验证</x:v>
      </x:c>
      <x:c r="I487" s="34" t="str"/>
      <x:c r="J487" s="34" t="str"/>
      <x:c r="K487" s="34" t="str"/>
      <x:c r="L487" s="34" t="str"/>
      <x:c r="M487" s="34" t="str"/>
      <x:c r="N487" s="34" t="n">
        <x:f>IF(A487="","",I487+J487+K487)</x:f>
        <x:v>0</x:v>
      </x:c>
      <x:c r="O487" s="56" t="str">
        <x:f>IF(N487=0,"",(I487+0.5*J487)/N487)</x:f>
      </x:c>
      <x:c r="P487" s="56" t="str">
        <x:f>IF(N487=0,"",(I487+0.5*J487+1)/(N487+2))</x:f>
      </x:c>
      <x:c r="Q487" s="34" t="str"/>
      <x:c r="R487" s="34" t="str"/>
      <x:c r="S487" s="34" t="str"/>
      <x:c r="T487" s="34" t="str"/>
      <x:c r="U487" s="34" t="str"/>
      <x:c r="V487" s="34" t="str">
        <x:f>IF(A487="","",IF(N487&lt;5,"样本不足",IF(Q487&gt;=1,"优先复核",IF(AND(N487&gt;=20,P487&lt;0.35,K487&gt;=5),"停用候选",IF(AND(N487&gt;=10,P487&lt;0.45),"需修改候选",IF(AND(N487&gt;=10,P487&gt;=0.75,R487/N487&lt;=0.15,S487/N487&lt;=0.15),"升级候选",IF(R487/N487&gt;0.3,"收紧条件",IF(S487/N487&gt;0.3,"补漏／放宽","继续观察"))))))))</x:f>
        <x:v>样本不足</x:v>
      </x:c>
      <x:c r="W487" s="34" t="str">
        <x:f>IF(V487="","",IF(V487="升级候选","已验证候选",IF(V487="停用候选","停用候选",IF(OR(V487="需修改候选",V487="收紧条件",V487="补漏／放宽",V487="优先复核"),"需修改／复核","观察中"))))</x:f>
        <x:v>观察中</x:v>
      </x:c>
      <x:c r="X487" s="34" t="str"/>
      <x:c r="Y487" s="34" t="str"/>
    </x:row>
    <x:row r="488">
      <x:c r="A488" s="34" t="str">
        <x:v>M5-GAP-013</x:v>
      </x:c>
      <x:c r="B488" s="34" t="str">
        <x:v>GAP</x:v>
      </x:c>
      <x:c r="C488" s="34" t="str">
        <x:v>P1_高优先级</x:v>
      </x:c>
      <x:c r="D488" s="34" t="str">
        <x:v>同一source_id只计一次基础权重</x:v>
      </x:c>
      <x:c r="E488" s="34" t="str">
        <x:v>L0 定义、边界与证据合同</x:v>
      </x:c>
      <x:c r="F488" s="34" t="str">
        <x:v>去重</x:v>
      </x:c>
      <x:c r="G488" s="34" t="n">
        <x:v>98</x:v>
      </x:c>
      <x:c r="H488" s="34" t="str">
        <x:v>待验证</x:v>
      </x:c>
      <x:c r="I488" s="34" t="str"/>
      <x:c r="J488" s="34" t="str"/>
      <x:c r="K488" s="34" t="str"/>
      <x:c r="L488" s="34" t="str"/>
      <x:c r="M488" s="34" t="str"/>
      <x:c r="N488" s="34" t="n">
        <x:f>IF(A488="","",I488+J488+K488)</x:f>
        <x:v>0</x:v>
      </x:c>
      <x:c r="O488" s="56" t="str">
        <x:f>IF(N488=0,"",(I488+0.5*J488)/N488)</x:f>
      </x:c>
      <x:c r="P488" s="56" t="str">
        <x:f>IF(N488=0,"",(I488+0.5*J488+1)/(N488+2))</x:f>
      </x:c>
      <x:c r="Q488" s="34" t="str"/>
      <x:c r="R488" s="34" t="str"/>
      <x:c r="S488" s="34" t="str"/>
      <x:c r="T488" s="34" t="str"/>
      <x:c r="U488" s="34" t="str"/>
      <x:c r="V488" s="34" t="str">
        <x:f>IF(A488="","",IF(N488&lt;5,"样本不足",IF(Q488&gt;=1,"优先复核",IF(AND(N488&gt;=20,P488&lt;0.35,K488&gt;=5),"停用候选",IF(AND(N488&gt;=10,P488&lt;0.45),"需修改候选",IF(AND(N488&gt;=10,P488&gt;=0.75,R488/N488&lt;=0.15,S488/N488&lt;=0.15),"升级候选",IF(R488/N488&gt;0.3,"收紧条件",IF(S488/N488&gt;0.3,"补漏／放宽","继续观察"))))))))</x:f>
        <x:v>样本不足</x:v>
      </x:c>
      <x:c r="W488" s="34" t="str">
        <x:f>IF(V488="","",IF(V488="升级候选","已验证候选",IF(V488="停用候选","停用候选",IF(OR(V488="需修改候选",V488="收紧条件",V488="补漏／放宽",V488="优先复核"),"需修改／复核","观察中"))))</x:f>
        <x:v>观察中</x:v>
      </x:c>
      <x:c r="X488" s="34" t="str"/>
      <x:c r="Y488" s="34" t="str"/>
    </x:row>
    <x:row r="489">
      <x:c r="A489" s="34" t="str">
        <x:v>M5-GAP-014</x:v>
      </x:c>
      <x:c r="B489" s="34" t="str">
        <x:v>GAP</x:v>
      </x:c>
      <x:c r="C489" s="34" t="str">
        <x:v>P1_高优先级</x:v>
      </x:c>
      <x:c r="D489" s="34" t="str">
        <x:v>同一event_id只算一次现实事件</x:v>
      </x:c>
      <x:c r="E489" s="34" t="str">
        <x:v>L0 定义、边界与证据合同</x:v>
      </x:c>
      <x:c r="F489" s="34" t="str">
        <x:v>去重</x:v>
      </x:c>
      <x:c r="G489" s="34" t="n">
        <x:v>98</x:v>
      </x:c>
      <x:c r="H489" s="34" t="str">
        <x:v>待验证</x:v>
      </x:c>
      <x:c r="I489" s="34" t="str"/>
      <x:c r="J489" s="34" t="str"/>
      <x:c r="K489" s="34" t="str"/>
      <x:c r="L489" s="34" t="str"/>
      <x:c r="M489" s="34" t="str"/>
      <x:c r="N489" s="34" t="n">
        <x:f>IF(A489="","",I489+J489+K489)</x:f>
        <x:v>0</x:v>
      </x:c>
      <x:c r="O489" s="56" t="str">
        <x:f>IF(N489=0,"",(I489+0.5*J489)/N489)</x:f>
      </x:c>
      <x:c r="P489" s="56" t="str">
        <x:f>IF(N489=0,"",(I489+0.5*J489+1)/(N489+2))</x:f>
      </x:c>
      <x:c r="Q489" s="34" t="str"/>
      <x:c r="R489" s="34" t="str"/>
      <x:c r="S489" s="34" t="str"/>
      <x:c r="T489" s="34" t="str"/>
      <x:c r="U489" s="34" t="str"/>
      <x:c r="V489" s="34" t="str">
        <x:f>IF(A489="","",IF(N489&lt;5,"样本不足",IF(Q489&gt;=1,"优先复核",IF(AND(N489&gt;=20,P489&lt;0.35,K489&gt;=5),"停用候选",IF(AND(N489&gt;=10,P489&lt;0.45),"需修改候选",IF(AND(N489&gt;=10,P489&gt;=0.75,R489/N489&lt;=0.15,S489/N489&lt;=0.15),"升级候选",IF(R489/N489&gt;0.3,"收紧条件",IF(S489/N489&gt;0.3,"补漏／放宽","继续观察"))))))))</x:f>
        <x:v>样本不足</x:v>
      </x:c>
      <x:c r="W489" s="34" t="str">
        <x:f>IF(V489="","",IF(V489="升级候选","已验证候选",IF(V489="停用候选","停用候选",IF(OR(V489="需修改候选",V489="收紧条件",V489="补漏／放宽",V489="优先复核"),"需修改／复核","观察中"))))</x:f>
        <x:v>观察中</x:v>
      </x:c>
      <x:c r="X489" s="34" t="str"/>
      <x:c r="Y489" s="34" t="str"/>
    </x:row>
    <x:row r="490">
      <x:c r="A490" s="34" t="str">
        <x:v>M5-GAP-245</x:v>
      </x:c>
      <x:c r="B490" s="34" t="str">
        <x:v>GAP</x:v>
      </x:c>
      <x:c r="C490" s="34" t="str">
        <x:v>P1_高优先级</x:v>
      </x:c>
      <x:c r="D490" s="34" t="str">
        <x:v>GS01 五层高一致｜禁止决定论</x:v>
      </x:c>
      <x:c r="E490" s="34" t="str">
        <x:v>L4 五层总体差异状态</x:v>
      </x:c>
      <x:c r="F490" s="34" t="str">
        <x:v>边界</x:v>
      </x:c>
      <x:c r="G490" s="34" t="n">
        <x:v>98</x:v>
      </x:c>
      <x:c r="H490" s="34" t="str">
        <x:v>待验证</x:v>
      </x:c>
      <x:c r="I490" s="34" t="str"/>
      <x:c r="J490" s="34" t="str"/>
      <x:c r="K490" s="34" t="str"/>
      <x:c r="L490" s="34" t="str"/>
      <x:c r="M490" s="34" t="str"/>
      <x:c r="N490" s="34" t="n">
        <x:f>IF(A490="","",I490+J490+K490)</x:f>
        <x:v>0</x:v>
      </x:c>
      <x:c r="O490" s="56" t="str">
        <x:f>IF(N490=0,"",(I490+0.5*J490)/N490)</x:f>
      </x:c>
      <x:c r="P490" s="56" t="str">
        <x:f>IF(N490=0,"",(I490+0.5*J490+1)/(N490+2))</x:f>
      </x:c>
      <x:c r="Q490" s="34" t="str"/>
      <x:c r="R490" s="34" t="str"/>
      <x:c r="S490" s="34" t="str"/>
      <x:c r="T490" s="34" t="str"/>
      <x:c r="U490" s="34" t="str"/>
      <x:c r="V490" s="34" t="str">
        <x:f>IF(A490="","",IF(N490&lt;5,"样本不足",IF(Q490&gt;=1,"优先复核",IF(AND(N490&gt;=20,P490&lt;0.35,K490&gt;=5),"停用候选",IF(AND(N490&gt;=10,P490&lt;0.45),"需修改候选",IF(AND(N490&gt;=10,P490&gt;=0.75,R490/N490&lt;=0.15,S490/N490&lt;=0.15),"升级候选",IF(R490/N490&gt;0.3,"收紧条件",IF(S490/N490&gt;0.3,"补漏／放宽","继续观察"))))))))</x:f>
        <x:v>样本不足</x:v>
      </x:c>
      <x:c r="W490" s="34" t="str">
        <x:f>IF(V490="","",IF(V490="升级候选","已验证候选",IF(V490="停用候选","停用候选",IF(OR(V490="需修改候选",V490="收紧条件",V490="补漏／放宽",V490="优先复核"),"需修改／复核","观察中"))))</x:f>
        <x:v>观察中</x:v>
      </x:c>
      <x:c r="X490" s="34" t="str"/>
      <x:c r="Y490" s="34" t="str"/>
    </x:row>
    <x:row r="491">
      <x:c r="A491" s="34" t="str">
        <x:v>M5-GAP-250</x:v>
      </x:c>
      <x:c r="B491" s="34" t="str">
        <x:v>GAP</x:v>
      </x:c>
      <x:c r="C491" s="34" t="str">
        <x:v>P1_高优先级</x:v>
      </x:c>
      <x:c r="D491" s="34" t="str">
        <x:v>GS02 核心一致、实现方式不同｜禁止决定论</x:v>
      </x:c>
      <x:c r="E491" s="34" t="str">
        <x:v>L4 五层总体差异状态</x:v>
      </x:c>
      <x:c r="F491" s="34" t="str">
        <x:v>边界</x:v>
      </x:c>
      <x:c r="G491" s="34" t="n">
        <x:v>98</x:v>
      </x:c>
      <x:c r="H491" s="34" t="str">
        <x:v>待验证</x:v>
      </x:c>
      <x:c r="I491" s="34" t="str"/>
      <x:c r="J491" s="34" t="str"/>
      <x:c r="K491" s="34" t="str"/>
      <x:c r="L491" s="34" t="str"/>
      <x:c r="M491" s="34" t="str"/>
      <x:c r="N491" s="34" t="n">
        <x:f>IF(A491="","",I491+J491+K491)</x:f>
        <x:v>0</x:v>
      </x:c>
      <x:c r="O491" s="56" t="str">
        <x:f>IF(N491=0,"",(I491+0.5*J491)/N491)</x:f>
      </x:c>
      <x:c r="P491" s="56" t="str">
        <x:f>IF(N491=0,"",(I491+0.5*J491+1)/(N491+2))</x:f>
      </x:c>
      <x:c r="Q491" s="34" t="str"/>
      <x:c r="R491" s="34" t="str"/>
      <x:c r="S491" s="34" t="str"/>
      <x:c r="T491" s="34" t="str"/>
      <x:c r="U491" s="34" t="str"/>
      <x:c r="V491" s="34" t="str">
        <x:f>IF(A491="","",IF(N491&lt;5,"样本不足",IF(Q491&gt;=1,"优先复核",IF(AND(N491&gt;=20,P491&lt;0.35,K491&gt;=5),"停用候选",IF(AND(N491&gt;=10,P491&lt;0.45),"需修改候选",IF(AND(N491&gt;=10,P491&gt;=0.75,R491/N491&lt;=0.15,S491/N491&lt;=0.15),"升级候选",IF(R491/N491&gt;0.3,"收紧条件",IF(S491/N491&gt;0.3,"补漏／放宽","继续观察"))))))))</x:f>
        <x:v>样本不足</x:v>
      </x:c>
      <x:c r="W491" s="34" t="str">
        <x:f>IF(V491="","",IF(V491="升级候选","已验证候选",IF(V491="停用候选","停用候选",IF(OR(V491="需修改候选",V491="收紧条件",V491="补漏／放宽",V491="优先复核"),"需修改／复核","观察中"))))</x:f>
        <x:v>观察中</x:v>
      </x:c>
      <x:c r="X491" s="34" t="str"/>
      <x:c r="Y491" s="34" t="str"/>
    </x:row>
    <x:row r="492">
      <x:c r="A492" s="34" t="str">
        <x:v>M5-GAP-255</x:v>
      </x:c>
      <x:c r="B492" s="34" t="str">
        <x:v>GAP</x:v>
      </x:c>
      <x:c r="C492" s="34" t="str">
        <x:v>P1_高优先级</x:v>
      </x:c>
      <x:c r="D492" s="34" t="str">
        <x:v>GS03 心动—适配明显分离｜禁止决定论</x:v>
      </x:c>
      <x:c r="E492" s="34" t="str">
        <x:v>L4 五层总体差异状态</x:v>
      </x:c>
      <x:c r="F492" s="34" t="str">
        <x:v>边界</x:v>
      </x:c>
      <x:c r="G492" s="34" t="n">
        <x:v>98</x:v>
      </x:c>
      <x:c r="H492" s="34" t="str">
        <x:v>待验证</x:v>
      </x:c>
      <x:c r="I492" s="34" t="str"/>
      <x:c r="J492" s="34" t="str"/>
      <x:c r="K492" s="34" t="str"/>
      <x:c r="L492" s="34" t="str"/>
      <x:c r="M492" s="34" t="str"/>
      <x:c r="N492" s="34" t="n">
        <x:f>IF(A492="","",I492+J492+K492)</x:f>
        <x:v>0</x:v>
      </x:c>
      <x:c r="O492" s="56" t="str">
        <x:f>IF(N492=0,"",(I492+0.5*J492)/N492)</x:f>
      </x:c>
      <x:c r="P492" s="56" t="str">
        <x:f>IF(N492=0,"",(I492+0.5*J492+1)/(N492+2))</x:f>
      </x:c>
      <x:c r="Q492" s="34" t="str"/>
      <x:c r="R492" s="34" t="str"/>
      <x:c r="S492" s="34" t="str"/>
      <x:c r="T492" s="34" t="str"/>
      <x:c r="U492" s="34" t="str"/>
      <x:c r="V492" s="34" t="str">
        <x:f>IF(A492="","",IF(N492&lt;5,"样本不足",IF(Q492&gt;=1,"优先复核",IF(AND(N492&gt;=20,P492&lt;0.35,K492&gt;=5),"停用候选",IF(AND(N492&gt;=10,P492&lt;0.45),"需修改候选",IF(AND(N492&gt;=10,P492&gt;=0.75,R492/N492&lt;=0.15,S492/N492&lt;=0.15),"升级候选",IF(R492/N492&gt;0.3,"收紧条件",IF(S492/N492&gt;0.3,"补漏／放宽","继续观察"))))))))</x:f>
        <x:v>样本不足</x:v>
      </x:c>
      <x:c r="W492" s="34" t="str">
        <x:f>IF(V492="","",IF(V492="升级候选","已验证候选",IF(V492="停用候选","停用候选",IF(OR(V492="需修改候选",V492="收紧条件",V492="补漏／放宽",V492="优先复核"),"需修改／复核","观察中"))))</x:f>
        <x:v>观察中</x:v>
      </x:c>
      <x:c r="X492" s="34" t="str"/>
      <x:c r="Y492" s="34" t="str"/>
    </x:row>
    <x:row r="493">
      <x:c r="A493" s="34" t="str">
        <x:v>M5-GAP-260</x:v>
      </x:c>
      <x:c r="B493" s="34" t="str">
        <x:v>GAP</x:v>
      </x:c>
      <x:c r="C493" s="34" t="str">
        <x:v>P1_高优先级</x:v>
      </x:c>
      <x:c r="D493" s="34" t="str">
        <x:v>GS04 准入—适配明显分离｜禁止决定论</x:v>
      </x:c>
      <x:c r="E493" s="34" t="str">
        <x:v>L4 五层总体差异状态</x:v>
      </x:c>
      <x:c r="F493" s="34" t="str">
        <x:v>边界</x:v>
      </x:c>
      <x:c r="G493" s="34" t="n">
        <x:v>98</x:v>
      </x:c>
      <x:c r="H493" s="34" t="str">
        <x:v>待验证</x:v>
      </x:c>
      <x:c r="I493" s="34" t="str"/>
      <x:c r="J493" s="34" t="str"/>
      <x:c r="K493" s="34" t="str"/>
      <x:c r="L493" s="34" t="str"/>
      <x:c r="M493" s="34" t="str"/>
      <x:c r="N493" s="34" t="n">
        <x:f>IF(A493="","",I493+J493+K493)</x:f>
        <x:v>0</x:v>
      </x:c>
      <x:c r="O493" s="56" t="str">
        <x:f>IF(N493=0,"",(I493+0.5*J493)/N493)</x:f>
      </x:c>
      <x:c r="P493" s="56" t="str">
        <x:f>IF(N493=0,"",(I493+0.5*J493+1)/(N493+2))</x:f>
      </x:c>
      <x:c r="Q493" s="34" t="str"/>
      <x:c r="R493" s="34" t="str"/>
      <x:c r="S493" s="34" t="str"/>
      <x:c r="T493" s="34" t="str"/>
      <x:c r="U493" s="34" t="str"/>
      <x:c r="V493" s="34" t="str">
        <x:f>IF(A493="","",IF(N493&lt;5,"样本不足",IF(Q493&gt;=1,"优先复核",IF(AND(N493&gt;=20,P493&lt;0.35,K493&gt;=5),"停用候选",IF(AND(N493&gt;=10,P493&lt;0.45),"需修改候选",IF(AND(N493&gt;=10,P493&gt;=0.75,R493/N493&lt;=0.15,S493/N493&lt;=0.15),"升级候选",IF(R493/N493&gt;0.3,"收紧条件",IF(S493/N493&gt;0.3,"补漏／放宽","继续观察"))))))))</x:f>
        <x:v>样本不足</x:v>
      </x:c>
      <x:c r="W493" s="34" t="str">
        <x:f>IF(V493="","",IF(V493="升级候选","已验证候选",IF(V493="停用候选","停用候选",IF(OR(V493="需修改候选",V493="收紧条件",V493="补漏／放宽",V493="优先复核"),"需修改／复核","观察中"))))</x:f>
        <x:v>观察中</x:v>
      </x:c>
      <x:c r="X493" s="34" t="str"/>
      <x:c r="Y493" s="34" t="str"/>
    </x:row>
    <x:row r="494">
      <x:c r="A494" s="34" t="str">
        <x:v>M5-GAP-265</x:v>
      </x:c>
      <x:c r="B494" s="34" t="str">
        <x:v>GAP</x:v>
      </x:c>
      <x:c r="C494" s="34" t="str">
        <x:v>P1_高优先级</x:v>
      </x:c>
      <x:c r="D494" s="34" t="str">
        <x:v>GS05 相处惯性需要结构调整｜禁止决定论</x:v>
      </x:c>
      <x:c r="E494" s="34" t="str">
        <x:v>L4 五层总体差异状态</x:v>
      </x:c>
      <x:c r="F494" s="34" t="str">
        <x:v>边界</x:v>
      </x:c>
      <x:c r="G494" s="34" t="n">
        <x:v>98</x:v>
      </x:c>
      <x:c r="H494" s="34" t="str">
        <x:v>待验证</x:v>
      </x:c>
      <x:c r="I494" s="34" t="str"/>
      <x:c r="J494" s="34" t="str"/>
      <x:c r="K494" s="34" t="str"/>
      <x:c r="L494" s="34" t="str"/>
      <x:c r="M494" s="34" t="str"/>
      <x:c r="N494" s="34" t="n">
        <x:f>IF(A494="","",I494+J494+K494)</x:f>
        <x:v>0</x:v>
      </x:c>
      <x:c r="O494" s="56" t="str">
        <x:f>IF(N494=0,"",(I494+0.5*J494)/N494)</x:f>
      </x:c>
      <x:c r="P494" s="56" t="str">
        <x:f>IF(N494=0,"",(I494+0.5*J494+1)/(N494+2))</x:f>
      </x:c>
      <x:c r="Q494" s="34" t="str"/>
      <x:c r="R494" s="34" t="str"/>
      <x:c r="S494" s="34" t="str"/>
      <x:c r="T494" s="34" t="str"/>
      <x:c r="U494" s="34" t="str"/>
      <x:c r="V494" s="34" t="str">
        <x:f>IF(A494="","",IF(N494&lt;5,"样本不足",IF(Q494&gt;=1,"优先复核",IF(AND(N494&gt;=20,P494&lt;0.35,K494&gt;=5),"停用候选",IF(AND(N494&gt;=10,P494&lt;0.45),"需修改候选",IF(AND(N494&gt;=10,P494&gt;=0.75,R494/N494&lt;=0.15,S494/N494&lt;=0.15),"升级候选",IF(R494/N494&gt;0.3,"收紧条件",IF(S494/N494&gt;0.3,"补漏／放宽","继续观察"))))))))</x:f>
        <x:v>样本不足</x:v>
      </x:c>
      <x:c r="W494" s="34" t="str">
        <x:f>IF(V494="","",IF(V494="升级候选","已验证候选",IF(V494="停用候选","停用候选",IF(OR(V494="需修改候选",V494="收紧条件",V494="补漏／放宽",V494="优先复核"),"需修改／复核","观察中"))))</x:f>
        <x:v>观察中</x:v>
      </x:c>
      <x:c r="X494" s="34" t="str"/>
      <x:c r="Y494" s="34" t="str"/>
    </x:row>
    <x:row r="495">
      <x:c r="A495" s="34" t="str">
        <x:v>M5-GAP-270</x:v>
      </x:c>
      <x:c r="B495" s="34" t="str">
        <x:v>GAP</x:v>
      </x:c>
      <x:c r="C495" s="34" t="str">
        <x:v>P1_高优先级</x:v>
      </x:c>
      <x:c r="D495" s="34" t="str">
        <x:v>GS06 风险—保护尚未闭合｜禁止决定论</x:v>
      </x:c>
      <x:c r="E495" s="34" t="str">
        <x:v>L4 五层总体差异状态</x:v>
      </x:c>
      <x:c r="F495" s="34" t="str">
        <x:v>边界</x:v>
      </x:c>
      <x:c r="G495" s="34" t="n">
        <x:v>98</x:v>
      </x:c>
      <x:c r="H495" s="34" t="str">
        <x:v>待验证</x:v>
      </x:c>
      <x:c r="I495" s="34" t="str"/>
      <x:c r="J495" s="34" t="str"/>
      <x:c r="K495" s="34" t="str"/>
      <x:c r="L495" s="34" t="str"/>
      <x:c r="M495" s="34" t="str"/>
      <x:c r="N495" s="34" t="n">
        <x:f>IF(A495="","",I495+J495+K495)</x:f>
        <x:v>0</x:v>
      </x:c>
      <x:c r="O495" s="56" t="str">
        <x:f>IF(N495=0,"",(I495+0.5*J495)/N495)</x:f>
      </x:c>
      <x:c r="P495" s="56" t="str">
        <x:f>IF(N495=0,"",(I495+0.5*J495+1)/(N495+2))</x:f>
      </x:c>
      <x:c r="Q495" s="34" t="str"/>
      <x:c r="R495" s="34" t="str"/>
      <x:c r="S495" s="34" t="str"/>
      <x:c r="T495" s="34" t="str"/>
      <x:c r="U495" s="34" t="str"/>
      <x:c r="V495" s="34" t="str">
        <x:f>IF(A495="","",IF(N495&lt;5,"样本不足",IF(Q495&gt;=1,"优先复核",IF(AND(N495&gt;=20,P495&lt;0.35,K495&gt;=5),"停用候选",IF(AND(N495&gt;=10,P495&lt;0.45),"需修改候选",IF(AND(N495&gt;=10,P495&gt;=0.75,R495/N495&lt;=0.15,S495/N495&lt;=0.15),"升级候选",IF(R495/N495&gt;0.3,"收紧条件",IF(S495/N495&gt;0.3,"补漏／放宽","继续观察"))))))))</x:f>
        <x:v>样本不足</x:v>
      </x:c>
      <x:c r="W495" s="34" t="str">
        <x:f>IF(V495="","",IF(V495="升级候选","已验证候选",IF(V495="停用候选","停用候选",IF(OR(V495="需修改候选",V495="收紧条件",V495="补漏／放宽",V495="优先复核"),"需修改／复核","观察中"))))</x:f>
        <x:v>观察中</x:v>
      </x:c>
      <x:c r="X495" s="34" t="str"/>
      <x:c r="Y495" s="34" t="str"/>
    </x:row>
    <x:row r="496">
      <x:c r="A496" s="34" t="str">
        <x:v>M5-GAP-275</x:v>
      </x:c>
      <x:c r="B496" s="34" t="str">
        <x:v>GAP</x:v>
      </x:c>
      <x:c r="C496" s="34" t="str">
        <x:v>P1_高优先级</x:v>
      </x:c>
      <x:c r="D496" s="34" t="str">
        <x:v>GS07 条件性／阶段性适配｜禁止决定论</x:v>
      </x:c>
      <x:c r="E496" s="34" t="str">
        <x:v>L4 五层总体差异状态</x:v>
      </x:c>
      <x:c r="F496" s="34" t="str">
        <x:v>边界</x:v>
      </x:c>
      <x:c r="G496" s="34" t="n">
        <x:v>98</x:v>
      </x:c>
      <x:c r="H496" s="34" t="str">
        <x:v>待验证</x:v>
      </x:c>
      <x:c r="I496" s="34" t="str"/>
      <x:c r="J496" s="34" t="str"/>
      <x:c r="K496" s="34" t="str"/>
      <x:c r="L496" s="34" t="str"/>
      <x:c r="M496" s="34" t="str"/>
      <x:c r="N496" s="34" t="n">
        <x:f>IF(A496="","",I496+J496+K496)</x:f>
        <x:v>0</x:v>
      </x:c>
      <x:c r="O496" s="56" t="str">
        <x:f>IF(N496=0,"",(I496+0.5*J496)/N496)</x:f>
      </x:c>
      <x:c r="P496" s="56" t="str">
        <x:f>IF(N496=0,"",(I496+0.5*J496+1)/(N496+2))</x:f>
      </x:c>
      <x:c r="Q496" s="34" t="str"/>
      <x:c r="R496" s="34" t="str"/>
      <x:c r="S496" s="34" t="str"/>
      <x:c r="T496" s="34" t="str"/>
      <x:c r="U496" s="34" t="str"/>
      <x:c r="V496" s="34" t="str">
        <x:f>IF(A496="","",IF(N496&lt;5,"样本不足",IF(Q496&gt;=1,"优先复核",IF(AND(N496&gt;=20,P496&lt;0.35,K496&gt;=5),"停用候选",IF(AND(N496&gt;=10,P496&lt;0.45),"需修改候选",IF(AND(N496&gt;=10,P496&gt;=0.75,R496/N496&lt;=0.15,S496/N496&lt;=0.15),"升级候选",IF(R496/N496&gt;0.3,"收紧条件",IF(S496/N496&gt;0.3,"补漏／放宽","继续观察"))))))))</x:f>
        <x:v>样本不足</x:v>
      </x:c>
      <x:c r="W496" s="34" t="str">
        <x:f>IF(V496="","",IF(V496="升级候选","已验证候选",IF(V496="停用候选","停用候选",IF(OR(V496="需修改候选",V496="收紧条件",V496="补漏／放宽",V496="优先复核"),"需修改／复核","观察中"))))</x:f>
        <x:v>观察中</x:v>
      </x:c>
      <x:c r="X496" s="34" t="str"/>
      <x:c r="Y496" s="34" t="str"/>
    </x:row>
    <x:row r="497">
      <x:c r="A497" s="34" t="str">
        <x:v>M5-GAP-280</x:v>
      </x:c>
      <x:c r="B497" s="34" t="str">
        <x:v>GAP</x:v>
      </x:c>
      <x:c r="C497" s="34" t="str">
        <x:v>P1_高优先级</x:v>
      </x:c>
      <x:c r="D497" s="34" t="str">
        <x:v>GS08 差异未定／安全停止｜禁止决定论</x:v>
      </x:c>
      <x:c r="E497" s="34" t="str">
        <x:v>L4 五层总体差异状态</x:v>
      </x:c>
      <x:c r="F497" s="34" t="str">
        <x:v>边界</x:v>
      </x:c>
      <x:c r="G497" s="34" t="n">
        <x:v>98</x:v>
      </x:c>
      <x:c r="H497" s="34" t="str">
        <x:v>待验证</x:v>
      </x:c>
      <x:c r="I497" s="34" t="str"/>
      <x:c r="J497" s="34" t="str"/>
      <x:c r="K497" s="34" t="str"/>
      <x:c r="L497" s="34" t="str"/>
      <x:c r="M497" s="34" t="str"/>
      <x:c r="N497" s="34" t="n">
        <x:f>IF(A497="","",I497+J497+K497)</x:f>
        <x:v>0</x:v>
      </x:c>
      <x:c r="O497" s="56" t="str">
        <x:f>IF(N497=0,"",(I497+0.5*J497)/N497)</x:f>
      </x:c>
      <x:c r="P497" s="56" t="str">
        <x:f>IF(N497=0,"",(I497+0.5*J497+1)/(N497+2))</x:f>
      </x:c>
      <x:c r="Q497" s="34" t="str"/>
      <x:c r="R497" s="34" t="str"/>
      <x:c r="S497" s="34" t="str"/>
      <x:c r="T497" s="34" t="str"/>
      <x:c r="U497" s="34" t="str"/>
      <x:c r="V497" s="34" t="str">
        <x:f>IF(A497="","",IF(N497&lt;5,"样本不足",IF(Q497&gt;=1,"优先复核",IF(AND(N497&gt;=20,P497&lt;0.35,K497&gt;=5),"停用候选",IF(AND(N497&gt;=10,P497&lt;0.45),"需修改候选",IF(AND(N497&gt;=10,P497&gt;=0.75,R497/N497&lt;=0.15,S497/N497&lt;=0.15),"升级候选",IF(R497/N497&gt;0.3,"收紧条件",IF(S497/N497&gt;0.3,"补漏／放宽","继续观察"))))))))</x:f>
        <x:v>样本不足</x:v>
      </x:c>
      <x:c r="W497" s="34" t="str">
        <x:f>IF(V497="","",IF(V497="升级候选","已验证候选",IF(V497="停用候选","停用候选",IF(OR(V497="需修改候选",V497="收紧条件",V497="补漏／放宽",V497="优先复核"),"需修改／复核","观察中"))))</x:f>
        <x:v>观察中</x:v>
      </x:c>
      <x:c r="X497" s="34" t="str"/>
      <x:c r="Y497" s="34" t="str"/>
    </x:row>
    <x:row r="498">
      <x:c r="A498" s="34" t="str">
        <x:v>M5-GAP-460</x:v>
      </x:c>
      <x:c r="B498" s="34" t="str">
        <x:v>GAP</x:v>
      </x:c>
      <x:c r="C498" s="34" t="str">
        <x:v>P1_高优先级</x:v>
      </x:c>
      <x:c r="D498" s="34" t="str">
        <x:v>GP01 安全与选择权优先｜禁止越级</x:v>
      </x:c>
      <x:c r="E498" s="34" t="str">
        <x:v>L10 报告优先级与裁决</x:v>
      </x:c>
      <x:c r="F498" s="34" t="str">
        <x:v>边界</x:v>
      </x:c>
      <x:c r="G498" s="34" t="n">
        <x:v>98</x:v>
      </x:c>
      <x:c r="H498" s="34" t="str">
        <x:v>待验证</x:v>
      </x:c>
      <x:c r="I498" s="34" t="str"/>
      <x:c r="J498" s="34" t="str"/>
      <x:c r="K498" s="34" t="str"/>
      <x:c r="L498" s="34" t="str"/>
      <x:c r="M498" s="34" t="str"/>
      <x:c r="N498" s="34" t="n">
        <x:f>IF(A498="","",I498+J498+K498)</x:f>
        <x:v>0</x:v>
      </x:c>
      <x:c r="O498" s="56" t="str">
        <x:f>IF(N498=0,"",(I498+0.5*J498)/N498)</x:f>
      </x:c>
      <x:c r="P498" s="56" t="str">
        <x:f>IF(N498=0,"",(I498+0.5*J498+1)/(N498+2))</x:f>
      </x:c>
      <x:c r="Q498" s="34" t="str"/>
      <x:c r="R498" s="34" t="str"/>
      <x:c r="S498" s="34" t="str"/>
      <x:c r="T498" s="34" t="str"/>
      <x:c r="U498" s="34" t="str"/>
      <x:c r="V498" s="34" t="str">
        <x:f>IF(A498="","",IF(N498&lt;5,"样本不足",IF(Q498&gt;=1,"优先复核",IF(AND(N498&gt;=20,P498&lt;0.35,K498&gt;=5),"停用候选",IF(AND(N498&gt;=10,P498&lt;0.45),"需修改候选",IF(AND(N498&gt;=10,P498&gt;=0.75,R498/N498&lt;=0.15,S498/N498&lt;=0.15),"升级候选",IF(R498/N498&gt;0.3,"收紧条件",IF(S498/N498&gt;0.3,"补漏／放宽","继续观察"))))))))</x:f>
        <x:v>样本不足</x:v>
      </x:c>
      <x:c r="W498" s="34" t="str">
        <x:f>IF(V498="","",IF(V498="升级候选","已验证候选",IF(V498="停用候选","停用候选",IF(OR(V498="需修改候选",V498="收紧条件",V498="补漏／放宽",V498="优先复核"),"需修改／复核","观察中"))))</x:f>
        <x:v>观察中</x:v>
      </x:c>
      <x:c r="X498" s="34" t="str"/>
      <x:c r="Y498" s="34" t="str"/>
    </x:row>
    <x:row r="499">
      <x:c r="A499" s="34" t="str">
        <x:v>M5-GAP-464</x:v>
      </x:c>
      <x:c r="B499" s="34" t="str">
        <x:v>GAP</x:v>
      </x:c>
      <x:c r="C499" s="34" t="str">
        <x:v>P1_高优先级</x:v>
      </x:c>
      <x:c r="D499" s="34" t="str">
        <x:v>GP02 现实门槛优先｜禁止越级</x:v>
      </x:c>
      <x:c r="E499" s="34" t="str">
        <x:v>L10 报告优先级与裁决</x:v>
      </x:c>
      <x:c r="F499" s="34" t="str">
        <x:v>边界</x:v>
      </x:c>
      <x:c r="G499" s="34" t="n">
        <x:v>98</x:v>
      </x:c>
      <x:c r="H499" s="34" t="str">
        <x:v>待验证</x:v>
      </x:c>
      <x:c r="I499" s="34" t="str"/>
      <x:c r="J499" s="34" t="str"/>
      <x:c r="K499" s="34" t="str"/>
      <x:c r="L499" s="34" t="str"/>
      <x:c r="M499" s="34" t="str"/>
      <x:c r="N499" s="34" t="n">
        <x:f>IF(A499="","",I499+J499+K499)</x:f>
        <x:v>0</x:v>
      </x:c>
      <x:c r="O499" s="56" t="str">
        <x:f>IF(N499=0,"",(I499+0.5*J499)/N499)</x:f>
      </x:c>
      <x:c r="P499" s="56" t="str">
        <x:f>IF(N499=0,"",(I499+0.5*J499+1)/(N499+2))</x:f>
      </x:c>
      <x:c r="Q499" s="34" t="str"/>
      <x:c r="R499" s="34" t="str"/>
      <x:c r="S499" s="34" t="str"/>
      <x:c r="T499" s="34" t="str"/>
      <x:c r="U499" s="34" t="str"/>
      <x:c r="V499" s="34" t="str">
        <x:f>IF(A499="","",IF(N499&lt;5,"样本不足",IF(Q499&gt;=1,"优先复核",IF(AND(N499&gt;=20,P499&lt;0.35,K499&gt;=5),"停用候选",IF(AND(N499&gt;=10,P499&lt;0.45),"需修改候选",IF(AND(N499&gt;=10,P499&gt;=0.75,R499/N499&lt;=0.15,S499/N499&lt;=0.15),"升级候选",IF(R499/N499&gt;0.3,"收紧条件",IF(S499/N499&gt;0.3,"补漏／放宽","继续观察"))))))))</x:f>
        <x:v>样本不足</x:v>
      </x:c>
      <x:c r="W499" s="34" t="str">
        <x:f>IF(V499="","",IF(V499="升级候选","已验证候选",IF(V499="停用候选","停用候选",IF(OR(V499="需修改候选",V499="收紧条件",V499="补漏／放宽",V499="优先复核"),"需修改／复核","观察中"))))</x:f>
        <x:v>观察中</x:v>
      </x:c>
      <x:c r="X499" s="34" t="str"/>
      <x:c r="Y499" s="34" t="str"/>
    </x:row>
    <x:row r="500">
      <x:c r="A500" s="34" t="str">
        <x:v>M5-GAP-468</x:v>
      </x:c>
      <x:c r="B500" s="34" t="str">
        <x:v>GAP</x:v>
      </x:c>
      <x:c r="C500" s="34" t="str">
        <x:v>P1_高优先级</x:v>
      </x:c>
      <x:c r="D500" s="34" t="str">
        <x:v>GP03 核心必要项优先｜禁止越级</x:v>
      </x:c>
      <x:c r="E500" s="34" t="str">
        <x:v>L10 报告优先级与裁决</x:v>
      </x:c>
      <x:c r="F500" s="34" t="str">
        <x:v>边界</x:v>
      </x:c>
      <x:c r="G500" s="34" t="n">
        <x:v>98</x:v>
      </x:c>
      <x:c r="H500" s="34" t="str">
        <x:v>待验证</x:v>
      </x:c>
      <x:c r="I500" s="34" t="str"/>
      <x:c r="J500" s="34" t="str"/>
      <x:c r="K500" s="34" t="str"/>
      <x:c r="L500" s="34" t="str"/>
      <x:c r="M500" s="34" t="str"/>
      <x:c r="N500" s="34" t="n">
        <x:f>IF(A500="","",I500+J500+K500)</x:f>
        <x:v>0</x:v>
      </x:c>
      <x:c r="O500" s="56" t="str">
        <x:f>IF(N500=0,"",(I500+0.5*J500)/N500)</x:f>
      </x:c>
      <x:c r="P500" s="56" t="str">
        <x:f>IF(N500=0,"",(I500+0.5*J500+1)/(N500+2))</x:f>
      </x:c>
      <x:c r="Q500" s="34" t="str"/>
      <x:c r="R500" s="34" t="str"/>
      <x:c r="S500" s="34" t="str"/>
      <x:c r="T500" s="34" t="str"/>
      <x:c r="U500" s="34" t="str"/>
      <x:c r="V500" s="34" t="str">
        <x:f>IF(A500="","",IF(N500&lt;5,"样本不足",IF(Q500&gt;=1,"优先复核",IF(AND(N500&gt;=20,P500&lt;0.35,K500&gt;=5),"停用候选",IF(AND(N500&gt;=10,P500&lt;0.45),"需修改候选",IF(AND(N500&gt;=10,P500&gt;=0.75,R500/N500&lt;=0.15,S500/N500&lt;=0.15),"升级候选",IF(R500/N500&gt;0.3,"收紧条件",IF(S500/N500&gt;0.3,"补漏／放宽","继续观察"))))))))</x:f>
        <x:v>样本不足</x:v>
      </x:c>
      <x:c r="W500" s="34" t="str">
        <x:f>IF(V500="","",IF(V500="升级候选","已验证候选",IF(V500="停用候选","停用候选",IF(OR(V500="需修改候选",V500="收紧条件",V500="补漏／放宽",V500="优先复核"),"需修改／复核","观察中"))))</x:f>
        <x:v>观察中</x:v>
      </x:c>
      <x:c r="X500" s="34" t="str"/>
      <x:c r="Y500" s="34" t="str"/>
    </x:row>
    <x:row r="501">
      <x:c r="A501" s="34" t="str">
        <x:v>M5-GAP-472</x:v>
      </x:c>
      <x:c r="B501" s="34" t="str">
        <x:v>GAP</x:v>
      </x:c>
      <x:c r="C501" s="34" t="str">
        <x:v>P1_高优先级</x:v>
      </x:c>
      <x:c r="D501" s="34" t="str">
        <x:v>GP04 主差异优先｜禁止越级</x:v>
      </x:c>
      <x:c r="E501" s="34" t="str">
        <x:v>L10 报告优先级与裁决</x:v>
      </x:c>
      <x:c r="F501" s="34" t="str">
        <x:v>边界</x:v>
      </x:c>
      <x:c r="G501" s="34" t="n">
        <x:v>98</x:v>
      </x:c>
      <x:c r="H501" s="34" t="str">
        <x:v>待验证</x:v>
      </x:c>
      <x:c r="I501" s="34" t="str"/>
      <x:c r="J501" s="34" t="str"/>
      <x:c r="K501" s="34" t="str"/>
      <x:c r="L501" s="34" t="str"/>
      <x:c r="M501" s="34" t="str"/>
      <x:c r="N501" s="34" t="n">
        <x:f>IF(A501="","",I501+J501+K501)</x:f>
        <x:v>0</x:v>
      </x:c>
      <x:c r="O501" s="56" t="str">
        <x:f>IF(N501=0,"",(I501+0.5*J501)/N501)</x:f>
      </x:c>
      <x:c r="P501" s="56" t="str">
        <x:f>IF(N501=0,"",(I501+0.5*J501+1)/(N501+2))</x:f>
      </x:c>
      <x:c r="Q501" s="34" t="str"/>
      <x:c r="R501" s="34" t="str"/>
      <x:c r="S501" s="34" t="str"/>
      <x:c r="T501" s="34" t="str"/>
      <x:c r="U501" s="34" t="str"/>
      <x:c r="V501" s="34" t="str">
        <x:f>IF(A501="","",IF(N501&lt;5,"样本不足",IF(Q501&gt;=1,"优先复核",IF(AND(N501&gt;=20,P501&lt;0.35,K501&gt;=5),"停用候选",IF(AND(N501&gt;=10,P501&lt;0.45),"需修改候选",IF(AND(N501&gt;=10,P501&gt;=0.75,R501/N501&lt;=0.15,S501/N501&lt;=0.15),"升级候选",IF(R501/N501&gt;0.3,"收紧条件",IF(S501/N501&gt;0.3,"补漏／放宽","继续观察"))))))))</x:f>
        <x:v>样本不足</x:v>
      </x:c>
      <x:c r="W501" s="34" t="str">
        <x:f>IF(V501="","",IF(V501="升级候选","已验证候选",IF(V501="停用候选","停用候选",IF(OR(V501="需修改候选",V501="收紧条件",V501="补漏／放宽",V501="优先复核"),"需修改／复核","观察中"))))</x:f>
        <x:v>观察中</x:v>
      </x:c>
      <x:c r="X501" s="34" t="str"/>
      <x:c r="Y501" s="34" t="str"/>
    </x:row>
    <x:row r="502">
      <x:c r="A502" s="34" t="str">
        <x:v>M5-GAP-476</x:v>
      </x:c>
      <x:c r="B502" s="34" t="str">
        <x:v>GAP</x:v>
      </x:c>
      <x:c r="C502" s="34" t="str">
        <x:v>P1_高优先级</x:v>
      </x:c>
      <x:c r="D502" s="34" t="str">
        <x:v>GP05 独立次差异限制｜禁止越级</x:v>
      </x:c>
      <x:c r="E502" s="34" t="str">
        <x:v>L10 报告优先级与裁决</x:v>
      </x:c>
      <x:c r="F502" s="34" t="str">
        <x:v>边界</x:v>
      </x:c>
      <x:c r="G502" s="34" t="n">
        <x:v>98</x:v>
      </x:c>
      <x:c r="H502" s="34" t="str">
        <x:v>待验证</x:v>
      </x:c>
      <x:c r="I502" s="34" t="str"/>
      <x:c r="J502" s="34" t="str"/>
      <x:c r="K502" s="34" t="str"/>
      <x:c r="L502" s="34" t="str"/>
      <x:c r="M502" s="34" t="str"/>
      <x:c r="N502" s="34" t="n">
        <x:f>IF(A502="","",I502+J502+K502)</x:f>
        <x:v>0</x:v>
      </x:c>
      <x:c r="O502" s="56" t="str">
        <x:f>IF(N502=0,"",(I502+0.5*J502)/N502)</x:f>
      </x:c>
      <x:c r="P502" s="56" t="str">
        <x:f>IF(N502=0,"",(I502+0.5*J502+1)/(N502+2))</x:f>
      </x:c>
      <x:c r="Q502" s="34" t="str"/>
      <x:c r="R502" s="34" t="str"/>
      <x:c r="S502" s="34" t="str"/>
      <x:c r="T502" s="34" t="str"/>
      <x:c r="U502" s="34" t="str"/>
      <x:c r="V502" s="34" t="str">
        <x:f>IF(A502="","",IF(N502&lt;5,"样本不足",IF(Q502&gt;=1,"优先复核",IF(AND(N502&gt;=20,P502&lt;0.35,K502&gt;=5),"停用候选",IF(AND(N502&gt;=10,P502&lt;0.45),"需修改候选",IF(AND(N502&gt;=10,P502&gt;=0.75,R502/N502&lt;=0.15,S502/N502&lt;=0.15),"升级候选",IF(R502/N502&gt;0.3,"收紧条件",IF(S502/N502&gt;0.3,"补漏／放宽","继续观察"))))))))</x:f>
        <x:v>样本不足</x:v>
      </x:c>
      <x:c r="W502" s="34" t="str">
        <x:f>IF(V502="","",IF(V502="升级候选","已验证候选",IF(V502="停用候选","停用候选",IF(OR(V502="需修改候选",V502="收紧条件",V502="补漏／放宽",V502="优先复核"),"需修改／复核","观察中"))))</x:f>
        <x:v>观察中</x:v>
      </x:c>
      <x:c r="X502" s="34" t="str"/>
      <x:c r="Y502" s="34" t="str"/>
    </x:row>
    <x:row r="503">
      <x:c r="A503" s="34" t="str">
        <x:v>M5-GAP-480</x:v>
      </x:c>
      <x:c r="B503" s="34" t="str">
        <x:v>GAP</x:v>
      </x:c>
      <x:c r="C503" s="34" t="str">
        <x:v>P1_高优先级</x:v>
      </x:c>
      <x:c r="D503" s="34" t="str">
        <x:v>GP06 保护与桥接成对｜禁止越级</x:v>
      </x:c>
      <x:c r="E503" s="34" t="str">
        <x:v>L10 报告优先级与裁决</x:v>
      </x:c>
      <x:c r="F503" s="34" t="str">
        <x:v>边界</x:v>
      </x:c>
      <x:c r="G503" s="34" t="n">
        <x:v>98</x:v>
      </x:c>
      <x:c r="H503" s="34" t="str">
        <x:v>待验证</x:v>
      </x:c>
      <x:c r="I503" s="34" t="str"/>
      <x:c r="J503" s="34" t="str"/>
      <x:c r="K503" s="34" t="str"/>
      <x:c r="L503" s="34" t="str"/>
      <x:c r="M503" s="34" t="str"/>
      <x:c r="N503" s="34" t="n">
        <x:f>IF(A503="","",I503+J503+K503)</x:f>
        <x:v>0</x:v>
      </x:c>
      <x:c r="O503" s="56" t="str">
        <x:f>IF(N503=0,"",(I503+0.5*J503)/N503)</x:f>
      </x:c>
      <x:c r="P503" s="56" t="str">
        <x:f>IF(N503=0,"",(I503+0.5*J503+1)/(N503+2))</x:f>
      </x:c>
      <x:c r="Q503" s="34" t="str"/>
      <x:c r="R503" s="34" t="str"/>
      <x:c r="S503" s="34" t="str"/>
      <x:c r="T503" s="34" t="str"/>
      <x:c r="U503" s="34" t="str"/>
      <x:c r="V503" s="34" t="str">
        <x:f>IF(A503="","",IF(N503&lt;5,"样本不足",IF(Q503&gt;=1,"优先复核",IF(AND(N503&gt;=20,P503&lt;0.35,K503&gt;=5),"停用候选",IF(AND(N503&gt;=10,P503&lt;0.45),"需修改候选",IF(AND(N503&gt;=10,P503&gt;=0.75,R503/N503&lt;=0.15,S503/N503&lt;=0.15),"升级候选",IF(R503/N503&gt;0.3,"收紧条件",IF(S503/N503&gt;0.3,"补漏／放宽","继续观察"))))))))</x:f>
        <x:v>样本不足</x:v>
      </x:c>
      <x:c r="W503" s="34" t="str">
        <x:f>IF(V503="","",IF(V503="升级候选","已验证候选",IF(V503="停用候选","停用候选",IF(OR(V503="需修改候选",V503="收紧条件",V503="补漏／放宽",V503="优先复核"),"需修改／复核","观察中"))))</x:f>
        <x:v>观察中</x:v>
      </x:c>
      <x:c r="X503" s="34" t="str"/>
      <x:c r="Y503" s="34" t="str"/>
    </x:row>
    <x:row r="504">
      <x:c r="A504" s="34" t="str">
        <x:v>M5-GAP-484</x:v>
      </x:c>
      <x:c r="B504" s="34" t="str">
        <x:v>GAP</x:v>
      </x:c>
      <x:c r="C504" s="34" t="str">
        <x:v>P1_高优先级</x:v>
      </x:c>
      <x:c r="D504" s="34" t="str">
        <x:v>GP07 证据上限明确｜禁止越级</x:v>
      </x:c>
      <x:c r="E504" s="34" t="str">
        <x:v>L10 报告优先级与裁决</x:v>
      </x:c>
      <x:c r="F504" s="34" t="str">
        <x:v>边界</x:v>
      </x:c>
      <x:c r="G504" s="34" t="n">
        <x:v>98</x:v>
      </x:c>
      <x:c r="H504" s="34" t="str">
        <x:v>待验证</x:v>
      </x:c>
      <x:c r="I504" s="34" t="str"/>
      <x:c r="J504" s="34" t="str"/>
      <x:c r="K504" s="34" t="str"/>
      <x:c r="L504" s="34" t="str"/>
      <x:c r="M504" s="34" t="str"/>
      <x:c r="N504" s="34" t="n">
        <x:f>IF(A504="","",I504+J504+K504)</x:f>
        <x:v>0</x:v>
      </x:c>
      <x:c r="O504" s="56" t="str">
        <x:f>IF(N504=0,"",(I504+0.5*J504)/N504)</x:f>
      </x:c>
      <x:c r="P504" s="56" t="str">
        <x:f>IF(N504=0,"",(I504+0.5*J504+1)/(N504+2))</x:f>
      </x:c>
      <x:c r="Q504" s="34" t="str"/>
      <x:c r="R504" s="34" t="str"/>
      <x:c r="S504" s="34" t="str"/>
      <x:c r="T504" s="34" t="str"/>
      <x:c r="U504" s="34" t="str"/>
      <x:c r="V504" s="34" t="str">
        <x:f>IF(A504="","",IF(N504&lt;5,"样本不足",IF(Q504&gt;=1,"优先复核",IF(AND(N504&gt;=20,P504&lt;0.35,K504&gt;=5),"停用候选",IF(AND(N504&gt;=10,P504&lt;0.45),"需修改候选",IF(AND(N504&gt;=10,P504&gt;=0.75,R504/N504&lt;=0.15,S504/N504&lt;=0.15),"升级候选",IF(R504/N504&gt;0.3,"收紧条件",IF(S504/N504&gt;0.3,"补漏／放宽","继续观察"))))))))</x:f>
        <x:v>样本不足</x:v>
      </x:c>
      <x:c r="W504" s="34" t="str">
        <x:f>IF(V504="","",IF(V504="升级候选","已验证候选",IF(V504="停用候选","停用候选",IF(OR(V504="需修改候选",V504="收紧条件",V504="补漏／放宽",V504="优先复核"),"需修改／复核","观察中"))))</x:f>
        <x:v>观察中</x:v>
      </x:c>
      <x:c r="X504" s="34" t="str"/>
      <x:c r="Y504" s="34" t="str"/>
    </x:row>
    <x:row r="505">
      <x:c r="A505" s="34" t="str">
        <x:v>M5-GAP-488</x:v>
      </x:c>
      <x:c r="B505" s="34" t="str">
        <x:v>GAP</x:v>
      </x:c>
      <x:c r="C505" s="34" t="str">
        <x:v>P1_高优先级</x:v>
      </x:c>
      <x:c r="D505" s="34" t="str">
        <x:v>GP08 心动与准入只作背景｜禁止越级</x:v>
      </x:c>
      <x:c r="E505" s="34" t="str">
        <x:v>L10 报告优先级与裁决</x:v>
      </x:c>
      <x:c r="F505" s="34" t="str">
        <x:v>边界</x:v>
      </x:c>
      <x:c r="G505" s="34" t="n">
        <x:v>98</x:v>
      </x:c>
      <x:c r="H505" s="34" t="str">
        <x:v>待验证</x:v>
      </x:c>
      <x:c r="I505" s="34" t="str"/>
      <x:c r="J505" s="34" t="str"/>
      <x:c r="K505" s="34" t="str"/>
      <x:c r="L505" s="34" t="str"/>
      <x:c r="M505" s="34" t="str"/>
      <x:c r="N505" s="34" t="n">
        <x:f>IF(A505="","",I505+J505+K505)</x:f>
        <x:v>0</x:v>
      </x:c>
      <x:c r="O505" s="56" t="str">
        <x:f>IF(N505=0,"",(I505+0.5*J505)/N505)</x:f>
      </x:c>
      <x:c r="P505" s="56" t="str">
        <x:f>IF(N505=0,"",(I505+0.5*J505+1)/(N505+2))</x:f>
      </x:c>
      <x:c r="Q505" s="34" t="str"/>
      <x:c r="R505" s="34" t="str"/>
      <x:c r="S505" s="34" t="str"/>
      <x:c r="T505" s="34" t="str"/>
      <x:c r="U505" s="34" t="str"/>
      <x:c r="V505" s="34" t="str">
        <x:f>IF(A505="","",IF(N505&lt;5,"样本不足",IF(Q505&gt;=1,"优先复核",IF(AND(N505&gt;=20,P505&lt;0.35,K505&gt;=5),"停用候选",IF(AND(N505&gt;=10,P505&lt;0.45),"需修改候选",IF(AND(N505&gt;=10,P505&gt;=0.75,R505/N505&lt;=0.15,S505/N505&lt;=0.15),"升级候选",IF(R505/N505&gt;0.3,"收紧条件",IF(S505/N505&gt;0.3,"补漏／放宽","继续观察"))))))))</x:f>
        <x:v>样本不足</x:v>
      </x:c>
      <x:c r="W505" s="34" t="str">
        <x:f>IF(V505="","",IF(V505="升级候选","已验证候选",IF(V505="停用候选","停用候选",IF(OR(V505="需修改候选",V505="收紧条件",V505="补漏／放宽",V505="优先复核"),"需修改／复核","观察中"))))</x:f>
        <x:v>观察中</x:v>
      </x:c>
      <x:c r="X505" s="34" t="str"/>
      <x:c r="Y505" s="34" t="str"/>
    </x:row>
    <x:row r="506">
      <x:c r="A506" s="34" t="str"/>
      <x:c r="B506" s="34" t="str"/>
      <x:c r="C506" s="34" t="str"/>
      <x:c r="D506" s="34" t="str"/>
      <x:c r="E506" s="34" t="str"/>
      <x:c r="F506" s="34" t="str"/>
      <x:c r="G506" s="34" t="str"/>
      <x:c r="H506" s="34" t="str">
        <x:v>待验证</x:v>
      </x:c>
      <x:c r="I506" s="34" t="str"/>
      <x:c r="J506" s="34" t="str"/>
      <x:c r="K506" s="34" t="str"/>
      <x:c r="L506" s="34" t="str"/>
      <x:c r="M506" s="34" t="str"/>
      <x:c r="N506" s="34" t="str">
        <x:f>IF(A506="","",I506+J506+K506)</x:f>
      </x:c>
      <x:c r="O506" s="56" t="str">
        <x:f>IF(N506=0,"",(I506+0.5*J506)/N506)</x:f>
      </x:c>
      <x:c r="P506" s="56" t="str">
        <x:f>IF(N506=0,"",(I506+0.5*J506+1)/(N506+2))</x:f>
      </x:c>
      <x:c r="Q506" s="34" t="str"/>
      <x:c r="R506" s="34" t="str"/>
      <x:c r="S506" s="34" t="str"/>
      <x:c r="T506" s="34" t="str"/>
      <x:c r="U506" s="34" t="str"/>
      <x:c r="V506" s="34" t="str">
        <x:f>IF(A506="","",IF(N506&lt;5,"样本不足",IF(Q506&gt;=1,"优先复核",IF(AND(N506&gt;=20,P506&lt;0.35,K506&gt;=5),"停用候选",IF(AND(N506&gt;=10,P506&lt;0.45),"需修改候选",IF(AND(N506&gt;=10,P506&gt;=0.75,R506/N506&lt;=0.15,S506/N506&lt;=0.15),"升级候选",IF(R506/N506&gt;0.3,"收紧条件",IF(S506/N506&gt;0.3,"补漏／放宽","继续观察"))))))))</x:f>
      </x:c>
      <x:c r="W506" s="34" t="str">
        <x:f>IF(V506="","",IF(V506="升级候选","已验证候选",IF(V506="停用候选","停用候选",IF(OR(V506="需修改候选",V506="收紧条件",V506="补漏／放宽",V506="优先复核"),"需修改／复核","观察中"))))</x:f>
      </x:c>
      <x:c r="X506" s="34" t="str"/>
      <x:c r="Y506" s="34" t="str"/>
    </x:row>
    <x:row r="507">
      <x:c r="A507" s="34" t="str"/>
      <x:c r="B507" s="34" t="str"/>
      <x:c r="C507" s="34" t="str"/>
      <x:c r="D507" s="34" t="str"/>
      <x:c r="E507" s="34" t="str"/>
      <x:c r="F507" s="34" t="str"/>
      <x:c r="G507" s="34" t="str"/>
      <x:c r="H507" s="34" t="str">
        <x:v>待验证</x:v>
      </x:c>
      <x:c r="I507" s="34" t="str"/>
      <x:c r="J507" s="34" t="str"/>
      <x:c r="K507" s="34" t="str"/>
      <x:c r="L507" s="34" t="str"/>
      <x:c r="M507" s="34" t="str"/>
      <x:c r="N507" s="34" t="str">
        <x:f>IF(A507="","",I507+J507+K507)</x:f>
      </x:c>
      <x:c r="O507" s="56" t="str">
        <x:f>IF(N507=0,"",(I507+0.5*J507)/N507)</x:f>
      </x:c>
      <x:c r="P507" s="56" t="str">
        <x:f>IF(N507=0,"",(I507+0.5*J507+1)/(N507+2))</x:f>
      </x:c>
      <x:c r="Q507" s="34" t="str"/>
      <x:c r="R507" s="34" t="str"/>
      <x:c r="S507" s="34" t="str"/>
      <x:c r="T507" s="34" t="str"/>
      <x:c r="U507" s="34" t="str"/>
      <x:c r="V507" s="34" t="str">
        <x:f>IF(A507="","",IF(N507&lt;5,"样本不足",IF(Q507&gt;=1,"优先复核",IF(AND(N507&gt;=20,P507&lt;0.35,K507&gt;=5),"停用候选",IF(AND(N507&gt;=10,P507&lt;0.45),"需修改候选",IF(AND(N507&gt;=10,P507&gt;=0.75,R507/N507&lt;=0.15,S507/N507&lt;=0.15),"升级候选",IF(R507/N507&gt;0.3,"收紧条件",IF(S507/N507&gt;0.3,"补漏／放宽","继续观察"))))))))</x:f>
      </x:c>
      <x:c r="W507" s="34" t="str">
        <x:f>IF(V507="","",IF(V507="升级候选","已验证候选",IF(V507="停用候选","停用候选",IF(OR(V507="需修改候选",V507="收紧条件",V507="补漏／放宽",V507="优先复核"),"需修改／复核","观察中"))))</x:f>
      </x:c>
      <x:c r="X507" s="34" t="str"/>
      <x:c r="Y507" s="34" t="str"/>
    </x:row>
    <x:row r="508">
      <x:c r="A508" s="34" t="str"/>
      <x:c r="B508" s="34" t="str"/>
      <x:c r="C508" s="34" t="str"/>
      <x:c r="D508" s="34" t="str"/>
      <x:c r="E508" s="34" t="str"/>
      <x:c r="F508" s="34" t="str"/>
      <x:c r="G508" s="34" t="str"/>
      <x:c r="H508" s="34" t="str">
        <x:v>待验证</x:v>
      </x:c>
      <x:c r="I508" s="34" t="str"/>
      <x:c r="J508" s="34" t="str"/>
      <x:c r="K508" s="34" t="str"/>
      <x:c r="L508" s="34" t="str"/>
      <x:c r="M508" s="34" t="str"/>
      <x:c r="N508" s="34" t="str">
        <x:f>IF(A508="","",I508+J508+K508)</x:f>
      </x:c>
      <x:c r="O508" s="56" t="str">
        <x:f>IF(N508=0,"",(I508+0.5*J508)/N508)</x:f>
      </x:c>
      <x:c r="P508" s="56" t="str">
        <x:f>IF(N508=0,"",(I508+0.5*J508+1)/(N508+2))</x:f>
      </x:c>
      <x:c r="Q508" s="34" t="str"/>
      <x:c r="R508" s="34" t="str"/>
      <x:c r="S508" s="34" t="str"/>
      <x:c r="T508" s="34" t="str"/>
      <x:c r="U508" s="34" t="str"/>
      <x:c r="V508" s="34" t="str">
        <x:f>IF(A508="","",IF(N508&lt;5,"样本不足",IF(Q508&gt;=1,"优先复核",IF(AND(N508&gt;=20,P508&lt;0.35,K508&gt;=5),"停用候选",IF(AND(N508&gt;=10,P508&lt;0.45),"需修改候选",IF(AND(N508&gt;=10,P508&gt;=0.75,R508/N508&lt;=0.15,S508/N508&lt;=0.15),"升级候选",IF(R508/N508&gt;0.3,"收紧条件",IF(S508/N508&gt;0.3,"补漏／放宽","继续观察"))))))))</x:f>
      </x:c>
      <x:c r="W508" s="34" t="str">
        <x:f>IF(V508="","",IF(V508="升级候选","已验证候选",IF(V508="停用候选","停用候选",IF(OR(V508="需修改候选",V508="收紧条件",V508="补漏／放宽",V508="优先复核"),"需修改／复核","观察中"))))</x:f>
      </x:c>
      <x:c r="X508" s="34" t="str"/>
      <x:c r="Y508" s="34" t="str"/>
    </x:row>
    <x:row r="509">
      <x:c r="A509" s="34" t="str"/>
      <x:c r="B509" s="34" t="str"/>
      <x:c r="C509" s="34" t="str"/>
      <x:c r="D509" s="34" t="str"/>
      <x:c r="E509" s="34" t="str"/>
      <x:c r="F509" s="34" t="str"/>
      <x:c r="G509" s="34" t="str"/>
      <x:c r="H509" s="34" t="str">
        <x:v>待验证</x:v>
      </x:c>
      <x:c r="I509" s="34" t="str"/>
      <x:c r="J509" s="34" t="str"/>
      <x:c r="K509" s="34" t="str"/>
      <x:c r="L509" s="34" t="str"/>
      <x:c r="M509" s="34" t="str"/>
      <x:c r="N509" s="34" t="str">
        <x:f>IF(A509="","",I509+J509+K509)</x:f>
      </x:c>
      <x:c r="O509" s="56" t="str">
        <x:f>IF(N509=0,"",(I509+0.5*J509)/N509)</x:f>
      </x:c>
      <x:c r="P509" s="56" t="str">
        <x:f>IF(N509=0,"",(I509+0.5*J509+1)/(N509+2))</x:f>
      </x:c>
      <x:c r="Q509" s="34" t="str"/>
      <x:c r="R509" s="34" t="str"/>
      <x:c r="S509" s="34" t="str"/>
      <x:c r="T509" s="34" t="str"/>
      <x:c r="U509" s="34" t="str"/>
      <x:c r="V509" s="34" t="str">
        <x:f>IF(A509="","",IF(N509&lt;5,"样本不足",IF(Q509&gt;=1,"优先复核",IF(AND(N509&gt;=20,P509&lt;0.35,K509&gt;=5),"停用候选",IF(AND(N509&gt;=10,P509&lt;0.45),"需修改候选",IF(AND(N509&gt;=10,P509&gt;=0.75,R509/N509&lt;=0.15,S509/N509&lt;=0.15),"升级候选",IF(R509/N509&gt;0.3,"收紧条件",IF(S509/N509&gt;0.3,"补漏／放宽","继续观察"))))))))</x:f>
      </x:c>
      <x:c r="W509" s="34" t="str">
        <x:f>IF(V509="","",IF(V509="升级候选","已验证候选",IF(V509="停用候选","停用候选",IF(OR(V509="需修改候选",V509="收紧条件",V509="补漏／放宽",V509="优先复核"),"需修改／复核","观察中"))))</x:f>
      </x:c>
      <x:c r="X509" s="34" t="str"/>
      <x:c r="Y509" s="34" t="str"/>
    </x:row>
    <x:row r="510">
      <x:c r="A510" s="34" t="str"/>
      <x:c r="B510" s="34" t="str"/>
      <x:c r="C510" s="34" t="str"/>
      <x:c r="D510" s="34" t="str"/>
      <x:c r="E510" s="34" t="str"/>
      <x:c r="F510" s="34" t="str"/>
      <x:c r="G510" s="34" t="str"/>
      <x:c r="H510" s="34" t="str">
        <x:v>待验证</x:v>
      </x:c>
      <x:c r="I510" s="34" t="str"/>
      <x:c r="J510" s="34" t="str"/>
      <x:c r="K510" s="34" t="str"/>
      <x:c r="L510" s="34" t="str"/>
      <x:c r="M510" s="34" t="str"/>
      <x:c r="N510" s="34" t="str">
        <x:f>IF(A510="","",I510+J510+K510)</x:f>
      </x:c>
      <x:c r="O510" s="56" t="str">
        <x:f>IF(N510=0,"",(I510+0.5*J510)/N510)</x:f>
      </x:c>
      <x:c r="P510" s="56" t="str">
        <x:f>IF(N510=0,"",(I510+0.5*J510+1)/(N510+2))</x:f>
      </x:c>
      <x:c r="Q510" s="34" t="str"/>
      <x:c r="R510" s="34" t="str"/>
      <x:c r="S510" s="34" t="str"/>
      <x:c r="T510" s="34" t="str"/>
      <x:c r="U510" s="34" t="str"/>
      <x:c r="V510" s="34" t="str">
        <x:f>IF(A510="","",IF(N510&lt;5,"样本不足",IF(Q510&gt;=1,"优先复核",IF(AND(N510&gt;=20,P510&lt;0.35,K510&gt;=5),"停用候选",IF(AND(N510&gt;=10,P510&lt;0.45),"需修改候选",IF(AND(N510&gt;=10,P510&gt;=0.75,R510/N510&lt;=0.15,S510/N510&lt;=0.15),"升级候选",IF(R510/N510&gt;0.3,"收紧条件",IF(S510/N510&gt;0.3,"补漏／放宽","继续观察"))))))))</x:f>
      </x:c>
      <x:c r="W510" s="34" t="str">
        <x:f>IF(V510="","",IF(V510="升级候选","已验证候选",IF(V510="停用候选","停用候选",IF(OR(V510="需修改候选",V510="收紧条件",V510="补漏／放宽",V510="优先复核"),"需修改／复核","观察中"))))</x:f>
      </x:c>
      <x:c r="X510" s="34" t="str"/>
      <x:c r="Y510" s="34" t="str"/>
    </x:row>
    <x:row r="511">
      <x:c r="A511" s="34" t="str"/>
      <x:c r="B511" s="34" t="str"/>
      <x:c r="C511" s="34" t="str"/>
      <x:c r="D511" s="34" t="str"/>
      <x:c r="E511" s="34" t="str"/>
      <x:c r="F511" s="34" t="str"/>
      <x:c r="G511" s="34" t="str"/>
      <x:c r="H511" s="34" t="str">
        <x:v>待验证</x:v>
      </x:c>
      <x:c r="I511" s="34" t="str"/>
      <x:c r="J511" s="34" t="str"/>
      <x:c r="K511" s="34" t="str"/>
      <x:c r="L511" s="34" t="str"/>
      <x:c r="M511" s="34" t="str"/>
      <x:c r="N511" s="34" t="str">
        <x:f>IF(A511="","",I511+J511+K511)</x:f>
      </x:c>
      <x:c r="O511" s="56" t="str">
        <x:f>IF(N511=0,"",(I511+0.5*J511)/N511)</x:f>
      </x:c>
      <x:c r="P511" s="56" t="str">
        <x:f>IF(N511=0,"",(I511+0.5*J511+1)/(N511+2))</x:f>
      </x:c>
      <x:c r="Q511" s="34" t="str"/>
      <x:c r="R511" s="34" t="str"/>
      <x:c r="S511" s="34" t="str"/>
      <x:c r="T511" s="34" t="str"/>
      <x:c r="U511" s="34" t="str"/>
      <x:c r="V511" s="34" t="str">
        <x:f>IF(A511="","",IF(N511&lt;5,"样本不足",IF(Q511&gt;=1,"优先复核",IF(AND(N511&gt;=20,P511&lt;0.35,K511&gt;=5),"停用候选",IF(AND(N511&gt;=10,P511&lt;0.45),"需修改候选",IF(AND(N511&gt;=10,P511&gt;=0.75,R511/N511&lt;=0.15,S511/N511&lt;=0.15),"升级候选",IF(R511/N511&gt;0.3,"收紧条件",IF(S511/N511&gt;0.3,"补漏／放宽","继续观察"))))))))</x:f>
      </x:c>
      <x:c r="W511" s="34" t="str">
        <x:f>IF(V511="","",IF(V511="升级候选","已验证候选",IF(V511="停用候选","停用候选",IF(OR(V511="需修改候选",V511="收紧条件",V511="补漏／放宽",V511="优先复核"),"需修改／复核","观察中"))))</x:f>
      </x:c>
      <x:c r="X511" s="34" t="str"/>
      <x:c r="Y511" s="34" t="str"/>
    </x:row>
    <x:row r="512">
      <x:c r="A512" s="34" t="str"/>
      <x:c r="B512" s="34" t="str"/>
      <x:c r="C512" s="34" t="str"/>
      <x:c r="D512" s="34" t="str"/>
      <x:c r="E512" s="34" t="str"/>
      <x:c r="F512" s="34" t="str"/>
      <x:c r="G512" s="34" t="str"/>
      <x:c r="H512" s="34" t="str">
        <x:v>待验证</x:v>
      </x:c>
      <x:c r="I512" s="34" t="str"/>
      <x:c r="J512" s="34" t="str"/>
      <x:c r="K512" s="34" t="str"/>
      <x:c r="L512" s="34" t="str"/>
      <x:c r="M512" s="34" t="str"/>
      <x:c r="N512" s="34" t="str">
        <x:f>IF(A512="","",I512+J512+K512)</x:f>
      </x:c>
      <x:c r="O512" s="56" t="str">
        <x:f>IF(N512=0,"",(I512+0.5*J512)/N512)</x:f>
      </x:c>
      <x:c r="P512" s="56" t="str">
        <x:f>IF(N512=0,"",(I512+0.5*J512+1)/(N512+2))</x:f>
      </x:c>
      <x:c r="Q512" s="34" t="str"/>
      <x:c r="R512" s="34" t="str"/>
      <x:c r="S512" s="34" t="str"/>
      <x:c r="T512" s="34" t="str"/>
      <x:c r="U512" s="34" t="str"/>
      <x:c r="V512" s="34" t="str">
        <x:f>IF(A512="","",IF(N512&lt;5,"样本不足",IF(Q512&gt;=1,"优先复核",IF(AND(N512&gt;=20,P512&lt;0.35,K512&gt;=5),"停用候选",IF(AND(N512&gt;=10,P512&lt;0.45),"需修改候选",IF(AND(N512&gt;=10,P512&gt;=0.75,R512/N512&lt;=0.15,S512/N512&lt;=0.15),"升级候选",IF(R512/N512&gt;0.3,"收紧条件",IF(S512/N512&gt;0.3,"补漏／放宽","继续观察"))))))))</x:f>
      </x:c>
      <x:c r="W512" s="34" t="str">
        <x:f>IF(V512="","",IF(V512="升级候选","已验证候选",IF(V512="停用候选","停用候选",IF(OR(V512="需修改候选",V512="收紧条件",V512="补漏／放宽",V512="优先复核"),"需修改／复核","观察中"))))</x:f>
      </x:c>
      <x:c r="X512" s="34" t="str"/>
      <x:c r="Y512" s="34" t="str"/>
    </x:row>
    <x:row r="513">
      <x:c r="A513" s="34" t="str"/>
      <x:c r="B513" s="34" t="str"/>
      <x:c r="C513" s="34" t="str"/>
      <x:c r="D513" s="34" t="str"/>
      <x:c r="E513" s="34" t="str"/>
      <x:c r="F513" s="34" t="str"/>
      <x:c r="G513" s="34" t="str"/>
      <x:c r="H513" s="34" t="str">
        <x:v>待验证</x:v>
      </x:c>
      <x:c r="I513" s="34" t="str"/>
      <x:c r="J513" s="34" t="str"/>
      <x:c r="K513" s="34" t="str"/>
      <x:c r="L513" s="34" t="str"/>
      <x:c r="M513" s="34" t="str"/>
      <x:c r="N513" s="34" t="str">
        <x:f>IF(A513="","",I513+J513+K513)</x:f>
      </x:c>
      <x:c r="O513" s="56" t="str">
        <x:f>IF(N513=0,"",(I513+0.5*J513)/N513)</x:f>
      </x:c>
      <x:c r="P513" s="56" t="str">
        <x:f>IF(N513=0,"",(I513+0.5*J513+1)/(N513+2))</x:f>
      </x:c>
      <x:c r="Q513" s="34" t="str"/>
      <x:c r="R513" s="34" t="str"/>
      <x:c r="S513" s="34" t="str"/>
      <x:c r="T513" s="34" t="str"/>
      <x:c r="U513" s="34" t="str"/>
      <x:c r="V513" s="34" t="str">
        <x:f>IF(A513="","",IF(N513&lt;5,"样本不足",IF(Q513&gt;=1,"优先复核",IF(AND(N513&gt;=20,P513&lt;0.35,K513&gt;=5),"停用候选",IF(AND(N513&gt;=10,P513&lt;0.45),"需修改候选",IF(AND(N513&gt;=10,P513&gt;=0.75,R513/N513&lt;=0.15,S513/N513&lt;=0.15),"升级候选",IF(R513/N513&gt;0.3,"收紧条件",IF(S513/N513&gt;0.3,"补漏／放宽","继续观察"))))))))</x:f>
      </x:c>
      <x:c r="W513" s="34" t="str">
        <x:f>IF(V513="","",IF(V513="升级候选","已验证候选",IF(V513="停用候选","停用候选",IF(OR(V513="需修改候选",V513="收紧条件",V513="补漏／放宽",V513="优先复核"),"需修改／复核","观察中"))))</x:f>
      </x:c>
      <x:c r="X513" s="34" t="str"/>
      <x:c r="Y513" s="34" t="str"/>
    </x:row>
    <x:row r="514">
      <x:c r="A514" s="34" t="str"/>
      <x:c r="B514" s="34" t="str"/>
      <x:c r="C514" s="34" t="str"/>
      <x:c r="D514" s="34" t="str"/>
      <x:c r="E514" s="34" t="str"/>
      <x:c r="F514" s="34" t="str"/>
      <x:c r="G514" s="34" t="str"/>
      <x:c r="H514" s="34" t="str">
        <x:v>待验证</x:v>
      </x:c>
      <x:c r="I514" s="34" t="str"/>
      <x:c r="J514" s="34" t="str"/>
      <x:c r="K514" s="34" t="str"/>
      <x:c r="L514" s="34" t="str"/>
      <x:c r="M514" s="34" t="str"/>
      <x:c r="N514" s="34" t="str">
        <x:f>IF(A514="","",I514+J514+K514)</x:f>
      </x:c>
      <x:c r="O514" s="56" t="str">
        <x:f>IF(N514=0,"",(I514+0.5*J514)/N514)</x:f>
      </x:c>
      <x:c r="P514" s="56" t="str">
        <x:f>IF(N514=0,"",(I514+0.5*J514+1)/(N514+2))</x:f>
      </x:c>
      <x:c r="Q514" s="34" t="str"/>
      <x:c r="R514" s="34" t="str"/>
      <x:c r="S514" s="34" t="str"/>
      <x:c r="T514" s="34" t="str"/>
      <x:c r="U514" s="34" t="str"/>
      <x:c r="V514" s="34" t="str">
        <x:f>IF(A514="","",IF(N514&lt;5,"样本不足",IF(Q514&gt;=1,"优先复核",IF(AND(N514&gt;=20,P514&lt;0.35,K514&gt;=5),"停用候选",IF(AND(N514&gt;=10,P514&lt;0.45),"需修改候选",IF(AND(N514&gt;=10,P514&gt;=0.75,R514/N514&lt;=0.15,S514/N514&lt;=0.15),"升级候选",IF(R514/N514&gt;0.3,"收紧条件",IF(S514/N514&gt;0.3,"补漏／放宽","继续观察"))))))))</x:f>
      </x:c>
      <x:c r="W514" s="34" t="str">
        <x:f>IF(V514="","",IF(V514="升级候选","已验证候选",IF(V514="停用候选","停用候选",IF(OR(V514="需修改候选",V514="收紧条件",V514="补漏／放宽",V514="优先复核"),"需修改／复核","观察中"))))</x:f>
      </x:c>
      <x:c r="X514" s="34" t="str"/>
      <x:c r="Y514" s="34" t="str"/>
    </x:row>
    <x:row r="515">
      <x:c r="A515" s="34" t="str"/>
      <x:c r="B515" s="34" t="str"/>
      <x:c r="C515" s="34" t="str"/>
      <x:c r="D515" s="34" t="str"/>
      <x:c r="E515" s="34" t="str"/>
      <x:c r="F515" s="34" t="str"/>
      <x:c r="G515" s="34" t="str"/>
      <x:c r="H515" s="34" t="str">
        <x:v>待验证</x:v>
      </x:c>
      <x:c r="I515" s="34" t="str"/>
      <x:c r="J515" s="34" t="str"/>
      <x:c r="K515" s="34" t="str"/>
      <x:c r="L515" s="34" t="str"/>
      <x:c r="M515" s="34" t="str"/>
      <x:c r="N515" s="34" t="str">
        <x:f>IF(A515="","",I515+J515+K515)</x:f>
      </x:c>
      <x:c r="O515" s="56" t="str">
        <x:f>IF(N515=0,"",(I515+0.5*J515)/N515)</x:f>
      </x:c>
      <x:c r="P515" s="56" t="str">
        <x:f>IF(N515=0,"",(I515+0.5*J515+1)/(N515+2))</x:f>
      </x:c>
      <x:c r="Q515" s="34" t="str"/>
      <x:c r="R515" s="34" t="str"/>
      <x:c r="S515" s="34" t="str"/>
      <x:c r="T515" s="34" t="str"/>
      <x:c r="U515" s="34" t="str"/>
      <x:c r="V515" s="34" t="str">
        <x:f>IF(A515="","",IF(N515&lt;5,"样本不足",IF(Q515&gt;=1,"优先复核",IF(AND(N515&gt;=20,P515&lt;0.35,K515&gt;=5),"停用候选",IF(AND(N515&gt;=10,P515&lt;0.45),"需修改候选",IF(AND(N515&gt;=10,P515&gt;=0.75,R515/N515&lt;=0.15,S515/N515&lt;=0.15),"升级候选",IF(R515/N515&gt;0.3,"收紧条件",IF(S515/N515&gt;0.3,"补漏／放宽","继续观察"))))))))</x:f>
      </x:c>
      <x:c r="W515" s="34" t="str">
        <x:f>IF(V515="","",IF(V515="升级候选","已验证候选",IF(V515="停用候选","停用候选",IF(OR(V515="需修改候选",V515="收紧条件",V515="补漏／放宽",V515="优先复核"),"需修改／复核","观察中"))))</x:f>
      </x:c>
      <x:c r="X515" s="34" t="str"/>
      <x:c r="Y515" s="34" t="str"/>
    </x:row>
    <x:row r="516">
      <x:c r="A516" s="34" t="str"/>
      <x:c r="B516" s="34" t="str"/>
      <x:c r="C516" s="34" t="str"/>
      <x:c r="D516" s="34" t="str"/>
      <x:c r="E516" s="34" t="str"/>
      <x:c r="F516" s="34" t="str"/>
      <x:c r="G516" s="34" t="str"/>
      <x:c r="H516" s="34" t="str">
        <x:v>待验证</x:v>
      </x:c>
      <x:c r="I516" s="34" t="str"/>
      <x:c r="J516" s="34" t="str"/>
      <x:c r="K516" s="34" t="str"/>
      <x:c r="L516" s="34" t="str"/>
      <x:c r="M516" s="34" t="str"/>
      <x:c r="N516" s="34" t="str">
        <x:f>IF(A516="","",I516+J516+K516)</x:f>
      </x:c>
      <x:c r="O516" s="56" t="str">
        <x:f>IF(N516=0,"",(I516+0.5*J516)/N516)</x:f>
      </x:c>
      <x:c r="P516" s="56" t="str">
        <x:f>IF(N516=0,"",(I516+0.5*J516+1)/(N516+2))</x:f>
      </x:c>
      <x:c r="Q516" s="34" t="str"/>
      <x:c r="R516" s="34" t="str"/>
      <x:c r="S516" s="34" t="str"/>
      <x:c r="T516" s="34" t="str"/>
      <x:c r="U516" s="34" t="str"/>
      <x:c r="V516" s="34" t="str">
        <x:f>IF(A516="","",IF(N516&lt;5,"样本不足",IF(Q516&gt;=1,"优先复核",IF(AND(N516&gt;=20,P516&lt;0.35,K516&gt;=5),"停用候选",IF(AND(N516&gt;=10,P516&lt;0.45),"需修改候选",IF(AND(N516&gt;=10,P516&gt;=0.75,R516/N516&lt;=0.15,S516/N516&lt;=0.15),"升级候选",IF(R516/N516&gt;0.3,"收紧条件",IF(S516/N516&gt;0.3,"补漏／放宽","继续观察"))))))))</x:f>
      </x:c>
      <x:c r="W516" s="34" t="str">
        <x:f>IF(V516="","",IF(V516="升级候选","已验证候选",IF(V516="停用候选","停用候选",IF(OR(V516="需修改候选",V516="收紧条件",V516="补漏／放宽",V516="优先复核"),"需修改／复核","观察中"))))</x:f>
      </x:c>
      <x:c r="X516" s="34" t="str"/>
      <x:c r="Y516" s="34" t="str"/>
    </x:row>
    <x:row r="517">
      <x:c r="A517" s="34" t="str"/>
      <x:c r="B517" s="34" t="str"/>
      <x:c r="C517" s="34" t="str"/>
      <x:c r="D517" s="34" t="str"/>
      <x:c r="E517" s="34" t="str"/>
      <x:c r="F517" s="34" t="str"/>
      <x:c r="G517" s="34" t="str"/>
      <x:c r="H517" s="34" t="str">
        <x:v>待验证</x:v>
      </x:c>
      <x:c r="I517" s="34" t="str"/>
      <x:c r="J517" s="34" t="str"/>
      <x:c r="K517" s="34" t="str"/>
      <x:c r="L517" s="34" t="str"/>
      <x:c r="M517" s="34" t="str"/>
      <x:c r="N517" s="34" t="str">
        <x:f>IF(A517="","",I517+J517+K517)</x:f>
      </x:c>
      <x:c r="O517" s="56" t="str">
        <x:f>IF(N517=0,"",(I517+0.5*J517)/N517)</x:f>
      </x:c>
      <x:c r="P517" s="56" t="str">
        <x:f>IF(N517=0,"",(I517+0.5*J517+1)/(N517+2))</x:f>
      </x:c>
      <x:c r="Q517" s="34" t="str"/>
      <x:c r="R517" s="34" t="str"/>
      <x:c r="S517" s="34" t="str"/>
      <x:c r="T517" s="34" t="str"/>
      <x:c r="U517" s="34" t="str"/>
      <x:c r="V517" s="34" t="str">
        <x:f>IF(A517="","",IF(N517&lt;5,"样本不足",IF(Q517&gt;=1,"优先复核",IF(AND(N517&gt;=20,P517&lt;0.35,K517&gt;=5),"停用候选",IF(AND(N517&gt;=10,P517&lt;0.45),"需修改候选",IF(AND(N517&gt;=10,P517&gt;=0.75,R517/N517&lt;=0.15,S517/N517&lt;=0.15),"升级候选",IF(R517/N517&gt;0.3,"收紧条件",IF(S517/N517&gt;0.3,"补漏／放宽","继续观察"))))))))</x:f>
      </x:c>
      <x:c r="W517" s="34" t="str">
        <x:f>IF(V517="","",IF(V517="升级候选","已验证候选",IF(V517="停用候选","停用候选",IF(OR(V517="需修改候选",V517="收紧条件",V517="补漏／放宽",V517="优先复核"),"需修改／复核","观察中"))))</x:f>
      </x:c>
      <x:c r="X517" s="34" t="str"/>
      <x:c r="Y517" s="34" t="str"/>
    </x:row>
    <x:row r="518">
      <x:c r="A518" s="34" t="str"/>
      <x:c r="B518" s="34" t="str"/>
      <x:c r="C518" s="34" t="str"/>
      <x:c r="D518" s="34" t="str"/>
      <x:c r="E518" s="34" t="str"/>
      <x:c r="F518" s="34" t="str"/>
      <x:c r="G518" s="34" t="str"/>
      <x:c r="H518" s="34" t="str">
        <x:v>待验证</x:v>
      </x:c>
      <x:c r="I518" s="34" t="str"/>
      <x:c r="J518" s="34" t="str"/>
      <x:c r="K518" s="34" t="str"/>
      <x:c r="L518" s="34" t="str"/>
      <x:c r="M518" s="34" t="str"/>
      <x:c r="N518" s="34" t="str">
        <x:f>IF(A518="","",I518+J518+K518)</x:f>
      </x:c>
      <x:c r="O518" s="56" t="str">
        <x:f>IF(N518=0,"",(I518+0.5*J518)/N518)</x:f>
      </x:c>
      <x:c r="P518" s="56" t="str">
        <x:f>IF(N518=0,"",(I518+0.5*J518+1)/(N518+2))</x:f>
      </x:c>
      <x:c r="Q518" s="34" t="str"/>
      <x:c r="R518" s="34" t="str"/>
      <x:c r="S518" s="34" t="str"/>
      <x:c r="T518" s="34" t="str"/>
      <x:c r="U518" s="34" t="str"/>
      <x:c r="V518" s="34" t="str">
        <x:f>IF(A518="","",IF(N518&lt;5,"样本不足",IF(Q518&gt;=1,"优先复核",IF(AND(N518&gt;=20,P518&lt;0.35,K518&gt;=5),"停用候选",IF(AND(N518&gt;=10,P518&lt;0.45),"需修改候选",IF(AND(N518&gt;=10,P518&gt;=0.75,R518/N518&lt;=0.15,S518/N518&lt;=0.15),"升级候选",IF(R518/N518&gt;0.3,"收紧条件",IF(S518/N518&gt;0.3,"补漏／放宽","继续观察"))))))))</x:f>
      </x:c>
      <x:c r="W518" s="34" t="str">
        <x:f>IF(V518="","",IF(V518="升级候选","已验证候选",IF(V518="停用候选","停用候选",IF(OR(V518="需修改候选",V518="收紧条件",V518="补漏／放宽",V518="优先复核"),"需修改／复核","观察中"))))</x:f>
      </x:c>
      <x:c r="X518" s="34" t="str"/>
      <x:c r="Y518" s="34" t="str"/>
    </x:row>
    <x:row r="519">
      <x:c r="A519" s="34" t="str"/>
      <x:c r="B519" s="34" t="str"/>
      <x:c r="C519" s="34" t="str"/>
      <x:c r="D519" s="34" t="str"/>
      <x:c r="E519" s="34" t="str"/>
      <x:c r="F519" s="34" t="str"/>
      <x:c r="G519" s="34" t="str"/>
      <x:c r="H519" s="34" t="str">
        <x:v>待验证</x:v>
      </x:c>
      <x:c r="I519" s="34" t="str"/>
      <x:c r="J519" s="34" t="str"/>
      <x:c r="K519" s="34" t="str"/>
      <x:c r="L519" s="34" t="str"/>
      <x:c r="M519" s="34" t="str"/>
      <x:c r="N519" s="34" t="str">
        <x:f>IF(A519="","",I519+J519+K519)</x:f>
      </x:c>
      <x:c r="O519" s="56" t="str">
        <x:f>IF(N519=0,"",(I519+0.5*J519)/N519)</x:f>
      </x:c>
      <x:c r="P519" s="56" t="str">
        <x:f>IF(N519=0,"",(I519+0.5*J519+1)/(N519+2))</x:f>
      </x:c>
      <x:c r="Q519" s="34" t="str"/>
      <x:c r="R519" s="34" t="str"/>
      <x:c r="S519" s="34" t="str"/>
      <x:c r="T519" s="34" t="str"/>
      <x:c r="U519" s="34" t="str"/>
      <x:c r="V519" s="34" t="str">
        <x:f>IF(A519="","",IF(N519&lt;5,"样本不足",IF(Q519&gt;=1,"优先复核",IF(AND(N519&gt;=20,P519&lt;0.35,K519&gt;=5),"停用候选",IF(AND(N519&gt;=10,P519&lt;0.45),"需修改候选",IF(AND(N519&gt;=10,P519&gt;=0.75,R519/N519&lt;=0.15,S519/N519&lt;=0.15),"升级候选",IF(R519/N519&gt;0.3,"收紧条件",IF(S519/N519&gt;0.3,"补漏／放宽","继续观察"))))))))</x:f>
      </x:c>
      <x:c r="W519" s="34" t="str">
        <x:f>IF(V519="","",IF(V519="升级候选","已验证候选",IF(V519="停用候选","停用候选",IF(OR(V519="需修改候选",V519="收紧条件",V519="补漏／放宽",V519="优先复核"),"需修改／复核","观察中"))))</x:f>
      </x:c>
      <x:c r="X519" s="34" t="str"/>
      <x:c r="Y519" s="34" t="str"/>
    </x:row>
    <x:row r="520">
      <x:c r="A520" s="34" t="str"/>
      <x:c r="B520" s="34" t="str"/>
      <x:c r="C520" s="34" t="str"/>
      <x:c r="D520" s="34" t="str"/>
      <x:c r="E520" s="34" t="str"/>
      <x:c r="F520" s="34" t="str"/>
      <x:c r="G520" s="34" t="str"/>
      <x:c r="H520" s="34" t="str">
        <x:v>待验证</x:v>
      </x:c>
      <x:c r="I520" s="34" t="str"/>
      <x:c r="J520" s="34" t="str"/>
      <x:c r="K520" s="34" t="str"/>
      <x:c r="L520" s="34" t="str"/>
      <x:c r="M520" s="34" t="str"/>
      <x:c r="N520" s="34" t="str">
        <x:f>IF(A520="","",I520+J520+K520)</x:f>
      </x:c>
      <x:c r="O520" s="56" t="str">
        <x:f>IF(N520=0,"",(I520+0.5*J520)/N520)</x:f>
      </x:c>
      <x:c r="P520" s="56" t="str">
        <x:f>IF(N520=0,"",(I520+0.5*J520+1)/(N520+2))</x:f>
      </x:c>
      <x:c r="Q520" s="34" t="str"/>
      <x:c r="R520" s="34" t="str"/>
      <x:c r="S520" s="34" t="str"/>
      <x:c r="T520" s="34" t="str"/>
      <x:c r="U520" s="34" t="str"/>
      <x:c r="V520" s="34" t="str">
        <x:f>IF(A520="","",IF(N520&lt;5,"样本不足",IF(Q520&gt;=1,"优先复核",IF(AND(N520&gt;=20,P520&lt;0.35,K520&gt;=5),"停用候选",IF(AND(N520&gt;=10,P520&lt;0.45),"需修改候选",IF(AND(N520&gt;=10,P520&gt;=0.75,R520/N520&lt;=0.15,S520/N520&lt;=0.15),"升级候选",IF(R520/N520&gt;0.3,"收紧条件",IF(S520/N520&gt;0.3,"补漏／放宽","继续观察"))))))))</x:f>
      </x:c>
      <x:c r="W520" s="34" t="str">
        <x:f>IF(V520="","",IF(V520="升级候选","已验证候选",IF(V520="停用候选","停用候选",IF(OR(V520="需修改候选",V520="收紧条件",V520="补漏／放宽",V520="优先复核"),"需修改／复核","观察中"))))</x:f>
      </x:c>
      <x:c r="X520" s="34" t="str"/>
      <x:c r="Y520" s="34" t="str"/>
    </x:row>
    <x:row r="521">
      <x:c r="A521" s="34" t="str"/>
      <x:c r="B521" s="34" t="str"/>
      <x:c r="C521" s="34" t="str"/>
      <x:c r="D521" s="34" t="str"/>
      <x:c r="E521" s="34" t="str"/>
      <x:c r="F521" s="34" t="str"/>
      <x:c r="G521" s="34" t="str"/>
      <x:c r="H521" s="34" t="str">
        <x:v>待验证</x:v>
      </x:c>
      <x:c r="I521" s="34" t="str"/>
      <x:c r="J521" s="34" t="str"/>
      <x:c r="K521" s="34" t="str"/>
      <x:c r="L521" s="34" t="str"/>
      <x:c r="M521" s="34" t="str"/>
      <x:c r="N521" s="34" t="str">
        <x:f>IF(A521="","",I521+J521+K521)</x:f>
      </x:c>
      <x:c r="O521" s="56" t="str">
        <x:f>IF(N521=0,"",(I521+0.5*J521)/N521)</x:f>
      </x:c>
      <x:c r="P521" s="56" t="str">
        <x:f>IF(N521=0,"",(I521+0.5*J521+1)/(N521+2))</x:f>
      </x:c>
      <x:c r="Q521" s="34" t="str"/>
      <x:c r="R521" s="34" t="str"/>
      <x:c r="S521" s="34" t="str"/>
      <x:c r="T521" s="34" t="str"/>
      <x:c r="U521" s="34" t="str"/>
      <x:c r="V521" s="34" t="str">
        <x:f>IF(A521="","",IF(N521&lt;5,"样本不足",IF(Q521&gt;=1,"优先复核",IF(AND(N521&gt;=20,P521&lt;0.35,K521&gt;=5),"停用候选",IF(AND(N521&gt;=10,P521&lt;0.45),"需修改候选",IF(AND(N521&gt;=10,P521&gt;=0.75,R521/N521&lt;=0.15,S521/N521&lt;=0.15),"升级候选",IF(R521/N521&gt;0.3,"收紧条件",IF(S521/N521&gt;0.3,"补漏／放宽","继续观察"))))))))</x:f>
      </x:c>
      <x:c r="W521" s="34" t="str">
        <x:f>IF(V521="","",IF(V521="升级候选","已验证候选",IF(V521="停用候选","停用候选",IF(OR(V521="需修改候选",V521="收紧条件",V521="补漏／放宽",V521="优先复核"),"需修改／复核","观察中"))))</x:f>
      </x:c>
      <x:c r="X521" s="34" t="str"/>
      <x:c r="Y521" s="34" t="str"/>
    </x:row>
    <x:row r="522">
      <x:c r="A522" s="34" t="str"/>
      <x:c r="B522" s="34" t="str"/>
      <x:c r="C522" s="34" t="str"/>
      <x:c r="D522" s="34" t="str"/>
      <x:c r="E522" s="34" t="str"/>
      <x:c r="F522" s="34" t="str"/>
      <x:c r="G522" s="34" t="str"/>
      <x:c r="H522" s="34" t="str">
        <x:v>待验证</x:v>
      </x:c>
      <x:c r="I522" s="34" t="str"/>
      <x:c r="J522" s="34" t="str"/>
      <x:c r="K522" s="34" t="str"/>
      <x:c r="L522" s="34" t="str"/>
      <x:c r="M522" s="34" t="str"/>
      <x:c r="N522" s="34" t="str">
        <x:f>IF(A522="","",I522+J522+K522)</x:f>
      </x:c>
      <x:c r="O522" s="56" t="str">
        <x:f>IF(N522=0,"",(I522+0.5*J522)/N522)</x:f>
      </x:c>
      <x:c r="P522" s="56" t="str">
        <x:f>IF(N522=0,"",(I522+0.5*J522+1)/(N522+2))</x:f>
      </x:c>
      <x:c r="Q522" s="34" t="str"/>
      <x:c r="R522" s="34" t="str"/>
      <x:c r="S522" s="34" t="str"/>
      <x:c r="T522" s="34" t="str"/>
      <x:c r="U522" s="34" t="str"/>
      <x:c r="V522" s="34" t="str">
        <x:f>IF(A522="","",IF(N522&lt;5,"样本不足",IF(Q522&gt;=1,"优先复核",IF(AND(N522&gt;=20,P522&lt;0.35,K522&gt;=5),"停用候选",IF(AND(N522&gt;=10,P522&lt;0.45),"需修改候选",IF(AND(N522&gt;=10,P522&gt;=0.75,R522/N522&lt;=0.15,S522/N522&lt;=0.15),"升级候选",IF(R522/N522&gt;0.3,"收紧条件",IF(S522/N522&gt;0.3,"补漏／放宽","继续观察"))))))))</x:f>
      </x:c>
      <x:c r="W522" s="34" t="str">
        <x:f>IF(V522="","",IF(V522="升级候选","已验证候选",IF(V522="停用候选","停用候选",IF(OR(V522="需修改候选",V522="收紧条件",V522="补漏／放宽",V522="优先复核"),"需修改／复核","观察中"))))</x:f>
      </x:c>
      <x:c r="X522" s="34" t="str"/>
      <x:c r="Y522" s="34" t="str"/>
    </x:row>
    <x:row r="523">
      <x:c r="A523" s="34" t="str"/>
      <x:c r="B523" s="34" t="str"/>
      <x:c r="C523" s="34" t="str"/>
      <x:c r="D523" s="34" t="str"/>
      <x:c r="E523" s="34" t="str"/>
      <x:c r="F523" s="34" t="str"/>
      <x:c r="G523" s="34" t="str"/>
      <x:c r="H523" s="34" t="str">
        <x:v>待验证</x:v>
      </x:c>
      <x:c r="I523" s="34" t="str"/>
      <x:c r="J523" s="34" t="str"/>
      <x:c r="K523" s="34" t="str"/>
      <x:c r="L523" s="34" t="str"/>
      <x:c r="M523" s="34" t="str"/>
      <x:c r="N523" s="34" t="str">
        <x:f>IF(A523="","",I523+J523+K523)</x:f>
      </x:c>
      <x:c r="O523" s="56" t="str">
        <x:f>IF(N523=0,"",(I523+0.5*J523)/N523)</x:f>
      </x:c>
      <x:c r="P523" s="56" t="str">
        <x:f>IF(N523=0,"",(I523+0.5*J523+1)/(N523+2))</x:f>
      </x:c>
      <x:c r="Q523" s="34" t="str"/>
      <x:c r="R523" s="34" t="str"/>
      <x:c r="S523" s="34" t="str"/>
      <x:c r="T523" s="34" t="str"/>
      <x:c r="U523" s="34" t="str"/>
      <x:c r="V523" s="34" t="str">
        <x:f>IF(A523="","",IF(N523&lt;5,"样本不足",IF(Q523&gt;=1,"优先复核",IF(AND(N523&gt;=20,P523&lt;0.35,K523&gt;=5),"停用候选",IF(AND(N523&gt;=10,P523&lt;0.45),"需修改候选",IF(AND(N523&gt;=10,P523&gt;=0.75,R523/N523&lt;=0.15,S523/N523&lt;=0.15),"升级候选",IF(R523/N523&gt;0.3,"收紧条件",IF(S523/N523&gt;0.3,"补漏／放宽","继续观察"))))))))</x:f>
      </x:c>
      <x:c r="W523" s="34" t="str">
        <x:f>IF(V523="","",IF(V523="升级候选","已验证候选",IF(V523="停用候选","停用候选",IF(OR(V523="需修改候选",V523="收紧条件",V523="补漏／放宽",V523="优先复核"),"需修改／复核","观察中"))))</x:f>
      </x:c>
      <x:c r="X523" s="34" t="str"/>
      <x:c r="Y523" s="34" t="str"/>
    </x:row>
    <x:row r="524">
      <x:c r="A524" s="34" t="str"/>
      <x:c r="B524" s="34" t="str"/>
      <x:c r="C524" s="34" t="str"/>
      <x:c r="D524" s="34" t="str"/>
      <x:c r="E524" s="34" t="str"/>
      <x:c r="F524" s="34" t="str"/>
      <x:c r="G524" s="34" t="str"/>
      <x:c r="H524" s="34" t="str">
        <x:v>待验证</x:v>
      </x:c>
      <x:c r="I524" s="34" t="str"/>
      <x:c r="J524" s="34" t="str"/>
      <x:c r="K524" s="34" t="str"/>
      <x:c r="L524" s="34" t="str"/>
      <x:c r="M524" s="34" t="str"/>
      <x:c r="N524" s="34" t="str">
        <x:f>IF(A524="","",I524+J524+K524)</x:f>
      </x:c>
      <x:c r="O524" s="56" t="str">
        <x:f>IF(N524=0,"",(I524+0.5*J524)/N524)</x:f>
      </x:c>
      <x:c r="P524" s="56" t="str">
        <x:f>IF(N524=0,"",(I524+0.5*J524+1)/(N524+2))</x:f>
      </x:c>
      <x:c r="Q524" s="34" t="str"/>
      <x:c r="R524" s="34" t="str"/>
      <x:c r="S524" s="34" t="str"/>
      <x:c r="T524" s="34" t="str"/>
      <x:c r="U524" s="34" t="str"/>
      <x:c r="V524" s="34" t="str">
        <x:f>IF(A524="","",IF(N524&lt;5,"样本不足",IF(Q524&gt;=1,"优先复核",IF(AND(N524&gt;=20,P524&lt;0.35,K524&gt;=5),"停用候选",IF(AND(N524&gt;=10,P524&lt;0.45),"需修改候选",IF(AND(N524&gt;=10,P524&gt;=0.75,R524/N524&lt;=0.15,S524/N524&lt;=0.15),"升级候选",IF(R524/N524&gt;0.3,"收紧条件",IF(S524/N524&gt;0.3,"补漏／放宽","继续观察"))))))))</x:f>
      </x:c>
      <x:c r="W524" s="34" t="str">
        <x:f>IF(V524="","",IF(V524="升级候选","已验证候选",IF(V524="停用候选","停用候选",IF(OR(V524="需修改候选",V524="收紧条件",V524="补漏／放宽",V524="优先复核"),"需修改／复核","观察中"))))</x:f>
      </x:c>
      <x:c r="X524" s="34" t="str"/>
      <x:c r="Y524" s="34" t="str"/>
    </x:row>
    <x:row r="525">
      <x:c r="A525" s="34" t="str"/>
      <x:c r="B525" s="34" t="str"/>
      <x:c r="C525" s="34" t="str"/>
      <x:c r="D525" s="34" t="str"/>
      <x:c r="E525" s="34" t="str"/>
      <x:c r="F525" s="34" t="str"/>
      <x:c r="G525" s="34" t="str"/>
      <x:c r="H525" s="34" t="str">
        <x:v>待验证</x:v>
      </x:c>
      <x:c r="I525" s="34" t="str"/>
      <x:c r="J525" s="34" t="str"/>
      <x:c r="K525" s="34" t="str"/>
      <x:c r="L525" s="34" t="str"/>
      <x:c r="M525" s="34" t="str"/>
      <x:c r="N525" s="34" t="str">
        <x:f>IF(A525="","",I525+J525+K525)</x:f>
      </x:c>
      <x:c r="O525" s="56" t="str">
        <x:f>IF(N525=0,"",(I525+0.5*J525)/N525)</x:f>
      </x:c>
      <x:c r="P525" s="56" t="str">
        <x:f>IF(N525=0,"",(I525+0.5*J525+1)/(N525+2))</x:f>
      </x:c>
      <x:c r="Q525" s="34" t="str"/>
      <x:c r="R525" s="34" t="str"/>
      <x:c r="S525" s="34" t="str"/>
      <x:c r="T525" s="34" t="str"/>
      <x:c r="U525" s="34" t="str"/>
      <x:c r="V525" s="34" t="str">
        <x:f>IF(A525="","",IF(N525&lt;5,"样本不足",IF(Q525&gt;=1,"优先复核",IF(AND(N525&gt;=20,P525&lt;0.35,K525&gt;=5),"停用候选",IF(AND(N525&gt;=10,P525&lt;0.45),"需修改候选",IF(AND(N525&gt;=10,P525&gt;=0.75,R525/N525&lt;=0.15,S525/N525&lt;=0.15),"升级候选",IF(R525/N525&gt;0.3,"收紧条件",IF(S525/N525&gt;0.3,"补漏／放宽","继续观察"))))))))</x:f>
      </x:c>
      <x:c r="W525" s="34" t="str">
        <x:f>IF(V525="","",IF(V525="升级候选","已验证候选",IF(V525="停用候选","停用候选",IF(OR(V525="需修改候选",V525="收紧条件",V525="补漏／放宽",V525="优先复核"),"需修改／复核","观察中"))))</x:f>
      </x:c>
      <x:c r="X525" s="34" t="str"/>
      <x:c r="Y525" s="34" t="str"/>
    </x:row>
    <x:row r="526">
      <x:c r="A526" s="34" t="str"/>
      <x:c r="B526" s="34" t="str"/>
      <x:c r="C526" s="34" t="str"/>
      <x:c r="D526" s="34" t="str"/>
      <x:c r="E526" s="34" t="str"/>
      <x:c r="F526" s="34" t="str"/>
      <x:c r="G526" s="34" t="str"/>
      <x:c r="H526" s="34" t="str">
        <x:v>待验证</x:v>
      </x:c>
      <x:c r="I526" s="34" t="str"/>
      <x:c r="J526" s="34" t="str"/>
      <x:c r="K526" s="34" t="str"/>
      <x:c r="L526" s="34" t="str"/>
      <x:c r="M526" s="34" t="str"/>
      <x:c r="N526" s="34" t="str">
        <x:f>IF(A526="","",I526+J526+K526)</x:f>
      </x:c>
      <x:c r="O526" s="56" t="str">
        <x:f>IF(N526=0,"",(I526+0.5*J526)/N526)</x:f>
      </x:c>
      <x:c r="P526" s="56" t="str">
        <x:f>IF(N526=0,"",(I526+0.5*J526+1)/(N526+2))</x:f>
      </x:c>
      <x:c r="Q526" s="34" t="str"/>
      <x:c r="R526" s="34" t="str"/>
      <x:c r="S526" s="34" t="str"/>
      <x:c r="T526" s="34" t="str"/>
      <x:c r="U526" s="34" t="str"/>
      <x:c r="V526" s="34" t="str">
        <x:f>IF(A526="","",IF(N526&lt;5,"样本不足",IF(Q526&gt;=1,"优先复核",IF(AND(N526&gt;=20,P526&lt;0.35,K526&gt;=5),"停用候选",IF(AND(N526&gt;=10,P526&lt;0.45),"需修改候选",IF(AND(N526&gt;=10,P526&gt;=0.75,R526/N526&lt;=0.15,S526/N526&lt;=0.15),"升级候选",IF(R526/N526&gt;0.3,"收紧条件",IF(S526/N526&gt;0.3,"补漏／放宽","继续观察"))))))))</x:f>
      </x:c>
      <x:c r="W526" s="34" t="str">
        <x:f>IF(V526="","",IF(V526="升级候选","已验证候选",IF(V526="停用候选","停用候选",IF(OR(V526="需修改候选",V526="收紧条件",V526="补漏／放宽",V526="优先复核"),"需修改／复核","观察中"))))</x:f>
      </x:c>
      <x:c r="X526" s="34" t="str"/>
      <x:c r="Y526" s="34" t="str"/>
    </x:row>
    <x:row r="527">
      <x:c r="A527" s="34" t="str"/>
      <x:c r="B527" s="34" t="str"/>
      <x:c r="C527" s="34" t="str"/>
      <x:c r="D527" s="34" t="str"/>
      <x:c r="E527" s="34" t="str"/>
      <x:c r="F527" s="34" t="str"/>
      <x:c r="G527" s="34" t="str"/>
      <x:c r="H527" s="34" t="str">
        <x:v>待验证</x:v>
      </x:c>
      <x:c r="I527" s="34" t="str"/>
      <x:c r="J527" s="34" t="str"/>
      <x:c r="K527" s="34" t="str"/>
      <x:c r="L527" s="34" t="str"/>
      <x:c r="M527" s="34" t="str"/>
      <x:c r="N527" s="34" t="str">
        <x:f>IF(A527="","",I527+J527+K527)</x:f>
      </x:c>
      <x:c r="O527" s="56" t="str">
        <x:f>IF(N527=0,"",(I527+0.5*J527)/N527)</x:f>
      </x:c>
      <x:c r="P527" s="56" t="str">
        <x:f>IF(N527=0,"",(I527+0.5*J527+1)/(N527+2))</x:f>
      </x:c>
      <x:c r="Q527" s="34" t="str"/>
      <x:c r="R527" s="34" t="str"/>
      <x:c r="S527" s="34" t="str"/>
      <x:c r="T527" s="34" t="str"/>
      <x:c r="U527" s="34" t="str"/>
      <x:c r="V527" s="34" t="str">
        <x:f>IF(A527="","",IF(N527&lt;5,"样本不足",IF(Q527&gt;=1,"优先复核",IF(AND(N527&gt;=20,P527&lt;0.35,K527&gt;=5),"停用候选",IF(AND(N527&gt;=10,P527&lt;0.45),"需修改候选",IF(AND(N527&gt;=10,P527&gt;=0.75,R527/N527&lt;=0.15,S527/N527&lt;=0.15),"升级候选",IF(R527/N527&gt;0.3,"收紧条件",IF(S527/N527&gt;0.3,"补漏／放宽","继续观察"))))))))</x:f>
      </x:c>
      <x:c r="W527" s="34" t="str">
        <x:f>IF(V527="","",IF(V527="升级候选","已验证候选",IF(V527="停用候选","停用候选",IF(OR(V527="需修改候选",V527="收紧条件",V527="补漏／放宽",V527="优先复核"),"需修改／复核","观察中"))))</x:f>
      </x:c>
      <x:c r="X527" s="34" t="str"/>
      <x:c r="Y527" s="34" t="str"/>
    </x:row>
    <x:row r="528">
      <x:c r="A528" s="34" t="str"/>
      <x:c r="B528" s="34" t="str"/>
      <x:c r="C528" s="34" t="str"/>
      <x:c r="D528" s="34" t="str"/>
      <x:c r="E528" s="34" t="str"/>
      <x:c r="F528" s="34" t="str"/>
      <x:c r="G528" s="34" t="str"/>
      <x:c r="H528" s="34" t="str">
        <x:v>待验证</x:v>
      </x:c>
      <x:c r="I528" s="34" t="str"/>
      <x:c r="J528" s="34" t="str"/>
      <x:c r="K528" s="34" t="str"/>
      <x:c r="L528" s="34" t="str"/>
      <x:c r="M528" s="34" t="str"/>
      <x:c r="N528" s="34" t="str">
        <x:f>IF(A528="","",I528+J528+K528)</x:f>
      </x:c>
      <x:c r="O528" s="56" t="str">
        <x:f>IF(N528=0,"",(I528+0.5*J528)/N528)</x:f>
      </x:c>
      <x:c r="P528" s="56" t="str">
        <x:f>IF(N528=0,"",(I528+0.5*J528+1)/(N528+2))</x:f>
      </x:c>
      <x:c r="Q528" s="34" t="str"/>
      <x:c r="R528" s="34" t="str"/>
      <x:c r="S528" s="34" t="str"/>
      <x:c r="T528" s="34" t="str"/>
      <x:c r="U528" s="34" t="str"/>
      <x:c r="V528" s="34" t="str">
        <x:f>IF(A528="","",IF(N528&lt;5,"样本不足",IF(Q528&gt;=1,"优先复核",IF(AND(N528&gt;=20,P528&lt;0.35,K528&gt;=5),"停用候选",IF(AND(N528&gt;=10,P528&lt;0.45),"需修改候选",IF(AND(N528&gt;=10,P528&gt;=0.75,R528/N528&lt;=0.15,S528/N528&lt;=0.15),"升级候选",IF(R528/N528&gt;0.3,"收紧条件",IF(S528/N528&gt;0.3,"补漏／放宽","继续观察"))))))))</x:f>
      </x:c>
      <x:c r="W528" s="34" t="str">
        <x:f>IF(V528="","",IF(V528="升级候选","已验证候选",IF(V528="停用候选","停用候选",IF(OR(V528="需修改候选",V528="收紧条件",V528="补漏／放宽",V528="优先复核"),"需修改／复核","观察中"))))</x:f>
      </x:c>
      <x:c r="X528" s="34" t="str"/>
      <x:c r="Y528" s="34" t="str"/>
    </x:row>
    <x:row r="529">
      <x:c r="A529" s="34" t="str"/>
      <x:c r="B529" s="34" t="str"/>
      <x:c r="C529" s="34" t="str"/>
      <x:c r="D529" s="34" t="str"/>
      <x:c r="E529" s="34" t="str"/>
      <x:c r="F529" s="34" t="str"/>
      <x:c r="G529" s="34" t="str"/>
      <x:c r="H529" s="34" t="str">
        <x:v>待验证</x:v>
      </x:c>
      <x:c r="I529" s="34" t="str"/>
      <x:c r="J529" s="34" t="str"/>
      <x:c r="K529" s="34" t="str"/>
      <x:c r="L529" s="34" t="str"/>
      <x:c r="M529" s="34" t="str"/>
      <x:c r="N529" s="34" t="str">
        <x:f>IF(A529="","",I529+J529+K529)</x:f>
      </x:c>
      <x:c r="O529" s="56" t="str">
        <x:f>IF(N529=0,"",(I529+0.5*J529)/N529)</x:f>
      </x:c>
      <x:c r="P529" s="56" t="str">
        <x:f>IF(N529=0,"",(I529+0.5*J529+1)/(N529+2))</x:f>
      </x:c>
      <x:c r="Q529" s="34" t="str"/>
      <x:c r="R529" s="34" t="str"/>
      <x:c r="S529" s="34" t="str"/>
      <x:c r="T529" s="34" t="str"/>
      <x:c r="U529" s="34" t="str"/>
      <x:c r="V529" s="34" t="str">
        <x:f>IF(A529="","",IF(N529&lt;5,"样本不足",IF(Q529&gt;=1,"优先复核",IF(AND(N529&gt;=20,P529&lt;0.35,K529&gt;=5),"停用候选",IF(AND(N529&gt;=10,P529&lt;0.45),"需修改候选",IF(AND(N529&gt;=10,P529&gt;=0.75,R529/N529&lt;=0.15,S529/N529&lt;=0.15),"升级候选",IF(R529/N529&gt;0.3,"收紧条件",IF(S529/N529&gt;0.3,"补漏／放宽","继续观察"))))))))</x:f>
      </x:c>
      <x:c r="W529" s="34" t="str">
        <x:f>IF(V529="","",IF(V529="升级候选","已验证候选",IF(V529="停用候选","停用候选",IF(OR(V529="需修改候选",V529="收紧条件",V529="补漏／放宽",V529="优先复核"),"需修改／复核","观察中"))))</x:f>
      </x:c>
      <x:c r="X529" s="34" t="str"/>
      <x:c r="Y529" s="34" t="str"/>
    </x:row>
    <x:row r="530">
      <x:c r="A530" s="34" t="str"/>
      <x:c r="B530" s="34" t="str"/>
      <x:c r="C530" s="34" t="str"/>
      <x:c r="D530" s="34" t="str"/>
      <x:c r="E530" s="34" t="str"/>
      <x:c r="F530" s="34" t="str"/>
      <x:c r="G530" s="34" t="str"/>
      <x:c r="H530" s="34" t="str">
        <x:v>待验证</x:v>
      </x:c>
      <x:c r="I530" s="34" t="str"/>
      <x:c r="J530" s="34" t="str"/>
      <x:c r="K530" s="34" t="str"/>
      <x:c r="L530" s="34" t="str"/>
      <x:c r="M530" s="34" t="str"/>
      <x:c r="N530" s="34" t="str">
        <x:f>IF(A530="","",I530+J530+K530)</x:f>
      </x:c>
      <x:c r="O530" s="56" t="str">
        <x:f>IF(N530=0,"",(I530+0.5*J530)/N530)</x:f>
      </x:c>
      <x:c r="P530" s="56" t="str">
        <x:f>IF(N530=0,"",(I530+0.5*J530+1)/(N530+2))</x:f>
      </x:c>
      <x:c r="Q530" s="34" t="str"/>
      <x:c r="R530" s="34" t="str"/>
      <x:c r="S530" s="34" t="str"/>
      <x:c r="T530" s="34" t="str"/>
      <x:c r="U530" s="34" t="str"/>
      <x:c r="V530" s="34" t="str">
        <x:f>IF(A530="","",IF(N530&lt;5,"样本不足",IF(Q530&gt;=1,"优先复核",IF(AND(N530&gt;=20,P530&lt;0.35,K530&gt;=5),"停用候选",IF(AND(N530&gt;=10,P530&lt;0.45),"需修改候选",IF(AND(N530&gt;=10,P530&gt;=0.75,R530/N530&lt;=0.15,S530/N530&lt;=0.15),"升级候选",IF(R530/N530&gt;0.3,"收紧条件",IF(S530/N530&gt;0.3,"补漏／放宽","继续观察"))))))))</x:f>
      </x:c>
      <x:c r="W530" s="34" t="str">
        <x:f>IF(V530="","",IF(V530="升级候选","已验证候选",IF(V530="停用候选","停用候选",IF(OR(V530="需修改候选",V530="收紧条件",V530="补漏／放宽",V530="优先复核"),"需修改／复核","观察中"))))</x:f>
      </x:c>
      <x:c r="X530" s="34" t="str"/>
      <x:c r="Y530" s="34" t="str"/>
    </x:row>
    <x:row r="531">
      <x:c r="A531" s="34" t="str"/>
      <x:c r="B531" s="34" t="str"/>
      <x:c r="C531" s="34" t="str"/>
      <x:c r="D531" s="34" t="str"/>
      <x:c r="E531" s="34" t="str"/>
      <x:c r="F531" s="34" t="str"/>
      <x:c r="G531" s="34" t="str"/>
      <x:c r="H531" s="34" t="str">
        <x:v>待验证</x:v>
      </x:c>
      <x:c r="I531" s="34" t="str"/>
      <x:c r="J531" s="34" t="str"/>
      <x:c r="K531" s="34" t="str"/>
      <x:c r="L531" s="34" t="str"/>
      <x:c r="M531" s="34" t="str"/>
      <x:c r="N531" s="34" t="str">
        <x:f>IF(A531="","",I531+J531+K531)</x:f>
      </x:c>
      <x:c r="O531" s="56" t="str">
        <x:f>IF(N531=0,"",(I531+0.5*J531)/N531)</x:f>
      </x:c>
      <x:c r="P531" s="56" t="str">
        <x:f>IF(N531=0,"",(I531+0.5*J531+1)/(N531+2))</x:f>
      </x:c>
      <x:c r="Q531" s="34" t="str"/>
      <x:c r="R531" s="34" t="str"/>
      <x:c r="S531" s="34" t="str"/>
      <x:c r="T531" s="34" t="str"/>
      <x:c r="U531" s="34" t="str"/>
      <x:c r="V531" s="34" t="str">
        <x:f>IF(A531="","",IF(N531&lt;5,"样本不足",IF(Q531&gt;=1,"优先复核",IF(AND(N531&gt;=20,P531&lt;0.35,K531&gt;=5),"停用候选",IF(AND(N531&gt;=10,P531&lt;0.45),"需修改候选",IF(AND(N531&gt;=10,P531&gt;=0.75,R531/N531&lt;=0.15,S531/N531&lt;=0.15),"升级候选",IF(R531/N531&gt;0.3,"收紧条件",IF(S531/N531&gt;0.3,"补漏／放宽","继续观察"))))))))</x:f>
      </x:c>
      <x:c r="W531" s="34" t="str">
        <x:f>IF(V531="","",IF(V531="升级候选","已验证候选",IF(V531="停用候选","停用候选",IF(OR(V531="需修改候选",V531="收紧条件",V531="补漏／放宽",V531="优先复核"),"需修改／复核","观察中"))))</x:f>
      </x:c>
      <x:c r="X531" s="34" t="str"/>
      <x:c r="Y531" s="34" t="str"/>
    </x:row>
    <x:row r="532">
      <x:c r="A532" s="34" t="str"/>
      <x:c r="B532" s="34" t="str"/>
      <x:c r="C532" s="34" t="str"/>
      <x:c r="D532" s="34" t="str"/>
      <x:c r="E532" s="34" t="str"/>
      <x:c r="F532" s="34" t="str"/>
      <x:c r="G532" s="34" t="str"/>
      <x:c r="H532" s="34" t="str">
        <x:v>待验证</x:v>
      </x:c>
      <x:c r="I532" s="34" t="str"/>
      <x:c r="J532" s="34" t="str"/>
      <x:c r="K532" s="34" t="str"/>
      <x:c r="L532" s="34" t="str"/>
      <x:c r="M532" s="34" t="str"/>
      <x:c r="N532" s="34" t="str">
        <x:f>IF(A532="","",I532+J532+K532)</x:f>
      </x:c>
      <x:c r="O532" s="56" t="str">
        <x:f>IF(N532=0,"",(I532+0.5*J532)/N532)</x:f>
      </x:c>
      <x:c r="P532" s="56" t="str">
        <x:f>IF(N532=0,"",(I532+0.5*J532+1)/(N532+2))</x:f>
      </x:c>
      <x:c r="Q532" s="34" t="str"/>
      <x:c r="R532" s="34" t="str"/>
      <x:c r="S532" s="34" t="str"/>
      <x:c r="T532" s="34" t="str"/>
      <x:c r="U532" s="34" t="str"/>
      <x:c r="V532" s="34" t="str">
        <x:f>IF(A532="","",IF(N532&lt;5,"样本不足",IF(Q532&gt;=1,"优先复核",IF(AND(N532&gt;=20,P532&lt;0.35,K532&gt;=5),"停用候选",IF(AND(N532&gt;=10,P532&lt;0.45),"需修改候选",IF(AND(N532&gt;=10,P532&gt;=0.75,R532/N532&lt;=0.15,S532/N532&lt;=0.15),"升级候选",IF(R532/N532&gt;0.3,"收紧条件",IF(S532/N532&gt;0.3,"补漏／放宽","继续观察"))))))))</x:f>
      </x:c>
      <x:c r="W532" s="34" t="str">
        <x:f>IF(V532="","",IF(V532="升级候选","已验证候选",IF(V532="停用候选","停用候选",IF(OR(V532="需修改候选",V532="收紧条件",V532="补漏／放宽",V532="优先复核"),"需修改／复核","观察中"))))</x:f>
      </x:c>
      <x:c r="X532" s="34" t="str"/>
      <x:c r="Y532" s="34" t="str"/>
    </x:row>
    <x:row r="533">
      <x:c r="A533" s="34" t="str"/>
      <x:c r="B533" s="34" t="str"/>
      <x:c r="C533" s="34" t="str"/>
      <x:c r="D533" s="34" t="str"/>
      <x:c r="E533" s="34" t="str"/>
      <x:c r="F533" s="34" t="str"/>
      <x:c r="G533" s="34" t="str"/>
      <x:c r="H533" s="34" t="str">
        <x:v>待验证</x:v>
      </x:c>
      <x:c r="I533" s="34" t="str"/>
      <x:c r="J533" s="34" t="str"/>
      <x:c r="K533" s="34" t="str"/>
      <x:c r="L533" s="34" t="str"/>
      <x:c r="M533" s="34" t="str"/>
      <x:c r="N533" s="34" t="str">
        <x:f>IF(A533="","",I533+J533+K533)</x:f>
      </x:c>
      <x:c r="O533" s="56" t="str">
        <x:f>IF(N533=0,"",(I533+0.5*J533)/N533)</x:f>
      </x:c>
      <x:c r="P533" s="56" t="str">
        <x:f>IF(N533=0,"",(I533+0.5*J533+1)/(N533+2))</x:f>
      </x:c>
      <x:c r="Q533" s="34" t="str"/>
      <x:c r="R533" s="34" t="str"/>
      <x:c r="S533" s="34" t="str"/>
      <x:c r="T533" s="34" t="str"/>
      <x:c r="U533" s="34" t="str"/>
      <x:c r="V533" s="34" t="str">
        <x:f>IF(A533="","",IF(N533&lt;5,"样本不足",IF(Q533&gt;=1,"优先复核",IF(AND(N533&gt;=20,P533&lt;0.35,K533&gt;=5),"停用候选",IF(AND(N533&gt;=10,P533&lt;0.45),"需修改候选",IF(AND(N533&gt;=10,P533&gt;=0.75,R533/N533&lt;=0.15,S533/N533&lt;=0.15),"升级候选",IF(R533/N533&gt;0.3,"收紧条件",IF(S533/N533&gt;0.3,"补漏／放宽","继续观察"))))))))</x:f>
      </x:c>
      <x:c r="W533" s="34" t="str">
        <x:f>IF(V533="","",IF(V533="升级候选","已验证候选",IF(V533="停用候选","停用候选",IF(OR(V533="需修改候选",V533="收紧条件",V533="补漏／放宽",V533="优先复核"),"需修改／复核","观察中"))))</x:f>
      </x:c>
      <x:c r="X533" s="34" t="str"/>
      <x:c r="Y533" s="34" t="str"/>
    </x:row>
    <x:row r="534">
      <x:c r="A534" s="34" t="str"/>
      <x:c r="B534" s="34" t="str"/>
      <x:c r="C534" s="34" t="str"/>
      <x:c r="D534" s="34" t="str"/>
      <x:c r="E534" s="34" t="str"/>
      <x:c r="F534" s="34" t="str"/>
      <x:c r="G534" s="34" t="str"/>
      <x:c r="H534" s="34" t="str">
        <x:v>待验证</x:v>
      </x:c>
      <x:c r="I534" s="34" t="str"/>
      <x:c r="J534" s="34" t="str"/>
      <x:c r="K534" s="34" t="str"/>
      <x:c r="L534" s="34" t="str"/>
      <x:c r="M534" s="34" t="str"/>
      <x:c r="N534" s="34" t="str">
        <x:f>IF(A534="","",I534+J534+K534)</x:f>
      </x:c>
      <x:c r="O534" s="56" t="str">
        <x:f>IF(N534=0,"",(I534+0.5*J534)/N534)</x:f>
      </x:c>
      <x:c r="P534" s="56" t="str">
        <x:f>IF(N534=0,"",(I534+0.5*J534+1)/(N534+2))</x:f>
      </x:c>
      <x:c r="Q534" s="34" t="str"/>
      <x:c r="R534" s="34" t="str"/>
      <x:c r="S534" s="34" t="str"/>
      <x:c r="T534" s="34" t="str"/>
      <x:c r="U534" s="34" t="str"/>
      <x:c r="V534" s="34" t="str">
        <x:f>IF(A534="","",IF(N534&lt;5,"样本不足",IF(Q534&gt;=1,"优先复核",IF(AND(N534&gt;=20,P534&lt;0.35,K534&gt;=5),"停用候选",IF(AND(N534&gt;=10,P534&lt;0.45),"需修改候选",IF(AND(N534&gt;=10,P534&gt;=0.75,R534/N534&lt;=0.15,S534/N534&lt;=0.15),"升级候选",IF(R534/N534&gt;0.3,"收紧条件",IF(S534/N534&gt;0.3,"补漏／放宽","继续观察"))))))))</x:f>
      </x:c>
      <x:c r="W534" s="34" t="str">
        <x:f>IF(V534="","",IF(V534="升级候选","已验证候选",IF(V534="停用候选","停用候选",IF(OR(V534="需修改候选",V534="收紧条件",V534="补漏／放宽",V534="优先复核"),"需修改／复核","观察中"))))</x:f>
      </x:c>
      <x:c r="X534" s="34" t="str"/>
      <x:c r="Y534" s="34" t="str"/>
    </x:row>
    <x:row r="535">
      <x:c r="A535" s="34" t="str"/>
      <x:c r="B535" s="34" t="str"/>
      <x:c r="C535" s="34" t="str"/>
      <x:c r="D535" s="34" t="str"/>
      <x:c r="E535" s="34" t="str"/>
      <x:c r="F535" s="34" t="str"/>
      <x:c r="G535" s="34" t="str"/>
      <x:c r="H535" s="34" t="str">
        <x:v>待验证</x:v>
      </x:c>
      <x:c r="I535" s="34" t="str"/>
      <x:c r="J535" s="34" t="str"/>
      <x:c r="K535" s="34" t="str"/>
      <x:c r="L535" s="34" t="str"/>
      <x:c r="M535" s="34" t="str"/>
      <x:c r="N535" s="34" t="str">
        <x:f>IF(A535="","",I535+J535+K535)</x:f>
      </x:c>
      <x:c r="O535" s="56" t="str">
        <x:f>IF(N535=0,"",(I535+0.5*J535)/N535)</x:f>
      </x:c>
      <x:c r="P535" s="56" t="str">
        <x:f>IF(N535=0,"",(I535+0.5*J535+1)/(N535+2))</x:f>
      </x:c>
      <x:c r="Q535" s="34" t="str"/>
      <x:c r="R535" s="34" t="str"/>
      <x:c r="S535" s="34" t="str"/>
      <x:c r="T535" s="34" t="str"/>
      <x:c r="U535" s="34" t="str"/>
      <x:c r="V535" s="34" t="str">
        <x:f>IF(A535="","",IF(N535&lt;5,"样本不足",IF(Q535&gt;=1,"优先复核",IF(AND(N535&gt;=20,P535&lt;0.35,K535&gt;=5),"停用候选",IF(AND(N535&gt;=10,P535&lt;0.45),"需修改候选",IF(AND(N535&gt;=10,P535&gt;=0.75,R535/N535&lt;=0.15,S535/N535&lt;=0.15),"升级候选",IF(R535/N535&gt;0.3,"收紧条件",IF(S535/N535&gt;0.3,"补漏／放宽","继续观察"))))))))</x:f>
      </x:c>
      <x:c r="W535" s="34" t="str">
        <x:f>IF(V535="","",IF(V535="升级候选","已验证候选",IF(V535="停用候选","停用候选",IF(OR(V535="需修改候选",V535="收紧条件",V535="补漏／放宽",V535="优先复核"),"需修改／复核","观察中"))))</x:f>
      </x:c>
      <x:c r="X535" s="34" t="str"/>
      <x:c r="Y535" s="34" t="str"/>
    </x:row>
    <x:row r="536">
      <x:c r="A536" s="34" t="str"/>
      <x:c r="B536" s="34" t="str"/>
      <x:c r="C536" s="34" t="str"/>
      <x:c r="D536" s="34" t="str"/>
      <x:c r="E536" s="34" t="str"/>
      <x:c r="F536" s="34" t="str"/>
      <x:c r="G536" s="34" t="str"/>
      <x:c r="H536" s="34" t="str">
        <x:v>待验证</x:v>
      </x:c>
      <x:c r="I536" s="34" t="str"/>
      <x:c r="J536" s="34" t="str"/>
      <x:c r="K536" s="34" t="str"/>
      <x:c r="L536" s="34" t="str"/>
      <x:c r="M536" s="34" t="str"/>
      <x:c r="N536" s="34" t="str">
        <x:f>IF(A536="","",I536+J536+K536)</x:f>
      </x:c>
      <x:c r="O536" s="56" t="str">
        <x:f>IF(N536=0,"",(I536+0.5*J536)/N536)</x:f>
      </x:c>
      <x:c r="P536" s="56" t="str">
        <x:f>IF(N536=0,"",(I536+0.5*J536+1)/(N536+2))</x:f>
      </x:c>
      <x:c r="Q536" s="34" t="str"/>
      <x:c r="R536" s="34" t="str"/>
      <x:c r="S536" s="34" t="str"/>
      <x:c r="T536" s="34" t="str"/>
      <x:c r="U536" s="34" t="str"/>
      <x:c r="V536" s="34" t="str">
        <x:f>IF(A536="","",IF(N536&lt;5,"样本不足",IF(Q536&gt;=1,"优先复核",IF(AND(N536&gt;=20,P536&lt;0.35,K536&gt;=5),"停用候选",IF(AND(N536&gt;=10,P536&lt;0.45),"需修改候选",IF(AND(N536&gt;=10,P536&gt;=0.75,R536/N536&lt;=0.15,S536/N536&lt;=0.15),"升级候选",IF(R536/N536&gt;0.3,"收紧条件",IF(S536/N536&gt;0.3,"补漏／放宽","继续观察"))))))))</x:f>
      </x:c>
      <x:c r="W536" s="34" t="str">
        <x:f>IF(V536="","",IF(V536="升级候选","已验证候选",IF(V536="停用候选","停用候选",IF(OR(V536="需修改候选",V536="收紧条件",V536="补漏／放宽",V536="优先复核"),"需修改／复核","观察中"))))</x:f>
      </x:c>
      <x:c r="X536" s="34" t="str"/>
      <x:c r="Y536" s="34" t="str"/>
    </x:row>
    <x:row r="537">
      <x:c r="A537" s="34" t="str"/>
      <x:c r="B537" s="34" t="str"/>
      <x:c r="C537" s="34" t="str"/>
      <x:c r="D537" s="34" t="str"/>
      <x:c r="E537" s="34" t="str"/>
      <x:c r="F537" s="34" t="str"/>
      <x:c r="G537" s="34" t="str"/>
      <x:c r="H537" s="34" t="str">
        <x:v>待验证</x:v>
      </x:c>
      <x:c r="I537" s="34" t="str"/>
      <x:c r="J537" s="34" t="str"/>
      <x:c r="K537" s="34" t="str"/>
      <x:c r="L537" s="34" t="str"/>
      <x:c r="M537" s="34" t="str"/>
      <x:c r="N537" s="34" t="str">
        <x:f>IF(A537="","",I537+J537+K537)</x:f>
      </x:c>
      <x:c r="O537" s="56" t="str">
        <x:f>IF(N537=0,"",(I537+0.5*J537)/N537)</x:f>
      </x:c>
      <x:c r="P537" s="56" t="str">
        <x:f>IF(N537=0,"",(I537+0.5*J537+1)/(N537+2))</x:f>
      </x:c>
      <x:c r="Q537" s="34" t="str"/>
      <x:c r="R537" s="34" t="str"/>
      <x:c r="S537" s="34" t="str"/>
      <x:c r="T537" s="34" t="str"/>
      <x:c r="U537" s="34" t="str"/>
      <x:c r="V537" s="34" t="str">
        <x:f>IF(A537="","",IF(N537&lt;5,"样本不足",IF(Q537&gt;=1,"优先复核",IF(AND(N537&gt;=20,P537&lt;0.35,K537&gt;=5),"停用候选",IF(AND(N537&gt;=10,P537&lt;0.45),"需修改候选",IF(AND(N537&gt;=10,P537&gt;=0.75,R537/N537&lt;=0.15,S537/N537&lt;=0.15),"升级候选",IF(R537/N537&gt;0.3,"收紧条件",IF(S537/N537&gt;0.3,"补漏／放宽","继续观察"))))))))</x:f>
      </x:c>
      <x:c r="W537" s="34" t="str">
        <x:f>IF(V537="","",IF(V537="升级候选","已验证候选",IF(V537="停用候选","停用候选",IF(OR(V537="需修改候选",V537="收紧条件",V537="补漏／放宽",V537="优先复核"),"需修改／复核","观察中"))))</x:f>
      </x:c>
      <x:c r="X537" s="34" t="str"/>
      <x:c r="Y537" s="34" t="str"/>
    </x:row>
    <x:row r="538">
      <x:c r="A538" s="34" t="str"/>
      <x:c r="B538" s="34" t="str"/>
      <x:c r="C538" s="34" t="str"/>
      <x:c r="D538" s="34" t="str"/>
      <x:c r="E538" s="34" t="str"/>
      <x:c r="F538" s="34" t="str"/>
      <x:c r="G538" s="34" t="str"/>
      <x:c r="H538" s="34" t="str">
        <x:v>待验证</x:v>
      </x:c>
      <x:c r="I538" s="34" t="str"/>
      <x:c r="J538" s="34" t="str"/>
      <x:c r="K538" s="34" t="str"/>
      <x:c r="L538" s="34" t="str"/>
      <x:c r="M538" s="34" t="str"/>
      <x:c r="N538" s="34" t="str">
        <x:f>IF(A538="","",I538+J538+K538)</x:f>
      </x:c>
      <x:c r="O538" s="56" t="str">
        <x:f>IF(N538=0,"",(I538+0.5*J538)/N538)</x:f>
      </x:c>
      <x:c r="P538" s="56" t="str">
        <x:f>IF(N538=0,"",(I538+0.5*J538+1)/(N538+2))</x:f>
      </x:c>
      <x:c r="Q538" s="34" t="str"/>
      <x:c r="R538" s="34" t="str"/>
      <x:c r="S538" s="34" t="str"/>
      <x:c r="T538" s="34" t="str"/>
      <x:c r="U538" s="34" t="str"/>
      <x:c r="V538" s="34" t="str">
        <x:f>IF(A538="","",IF(N538&lt;5,"样本不足",IF(Q538&gt;=1,"优先复核",IF(AND(N538&gt;=20,P538&lt;0.35,K538&gt;=5),"停用候选",IF(AND(N538&gt;=10,P538&lt;0.45),"需修改候选",IF(AND(N538&gt;=10,P538&gt;=0.75,R538/N538&lt;=0.15,S538/N538&lt;=0.15),"升级候选",IF(R538/N538&gt;0.3,"收紧条件",IF(S538/N538&gt;0.3,"补漏／放宽","继续观察"))))))))</x:f>
      </x:c>
      <x:c r="W538" s="34" t="str">
        <x:f>IF(V538="","",IF(V538="升级候选","已验证候选",IF(V538="停用候选","停用候选",IF(OR(V538="需修改候选",V538="收紧条件",V538="补漏／放宽",V538="优先复核"),"需修改／复核","观察中"))))</x:f>
      </x:c>
      <x:c r="X538" s="34" t="str"/>
      <x:c r="Y538" s="34" t="str"/>
    </x:row>
    <x:row r="539">
      <x:c r="A539" s="34" t="str"/>
      <x:c r="B539" s="34" t="str"/>
      <x:c r="C539" s="34" t="str"/>
      <x:c r="D539" s="34" t="str"/>
      <x:c r="E539" s="34" t="str"/>
      <x:c r="F539" s="34" t="str"/>
      <x:c r="G539" s="34" t="str"/>
      <x:c r="H539" s="34" t="str">
        <x:v>待验证</x:v>
      </x:c>
      <x:c r="I539" s="34" t="str"/>
      <x:c r="J539" s="34" t="str"/>
      <x:c r="K539" s="34" t="str"/>
      <x:c r="L539" s="34" t="str"/>
      <x:c r="M539" s="34" t="str"/>
      <x:c r="N539" s="34" t="str">
        <x:f>IF(A539="","",I539+J539+K539)</x:f>
      </x:c>
      <x:c r="O539" s="56" t="str">
        <x:f>IF(N539=0,"",(I539+0.5*J539)/N539)</x:f>
      </x:c>
      <x:c r="P539" s="56" t="str">
        <x:f>IF(N539=0,"",(I539+0.5*J539+1)/(N539+2))</x:f>
      </x:c>
      <x:c r="Q539" s="34" t="str"/>
      <x:c r="R539" s="34" t="str"/>
      <x:c r="S539" s="34" t="str"/>
      <x:c r="T539" s="34" t="str"/>
      <x:c r="U539" s="34" t="str"/>
      <x:c r="V539" s="34" t="str">
        <x:f>IF(A539="","",IF(N539&lt;5,"样本不足",IF(Q539&gt;=1,"优先复核",IF(AND(N539&gt;=20,P539&lt;0.35,K539&gt;=5),"停用候选",IF(AND(N539&gt;=10,P539&lt;0.45),"需修改候选",IF(AND(N539&gt;=10,P539&gt;=0.75,R539/N539&lt;=0.15,S539/N539&lt;=0.15),"升级候选",IF(R539/N539&gt;0.3,"收紧条件",IF(S539/N539&gt;0.3,"补漏／放宽","继续观察"))))))))</x:f>
      </x:c>
      <x:c r="W539" s="34" t="str">
        <x:f>IF(V539="","",IF(V539="升级候选","已验证候选",IF(V539="停用候选","停用候选",IF(OR(V539="需修改候选",V539="收紧条件",V539="补漏／放宽",V539="优先复核"),"需修改／复核","观察中"))))</x:f>
      </x:c>
      <x:c r="X539" s="34" t="str"/>
      <x:c r="Y539" s="34" t="str"/>
    </x:row>
    <x:row r="540">
      <x:c r="A540" s="34" t="str"/>
      <x:c r="B540" s="34" t="str"/>
      <x:c r="C540" s="34" t="str"/>
      <x:c r="D540" s="34" t="str"/>
      <x:c r="E540" s="34" t="str"/>
      <x:c r="F540" s="34" t="str"/>
      <x:c r="G540" s="34" t="str"/>
      <x:c r="H540" s="34" t="str">
        <x:v>待验证</x:v>
      </x:c>
      <x:c r="I540" s="34" t="str"/>
      <x:c r="J540" s="34" t="str"/>
      <x:c r="K540" s="34" t="str"/>
      <x:c r="L540" s="34" t="str"/>
      <x:c r="M540" s="34" t="str"/>
      <x:c r="N540" s="34" t="str">
        <x:f>IF(A540="","",I540+J540+K540)</x:f>
      </x:c>
      <x:c r="O540" s="56" t="str">
        <x:f>IF(N540=0,"",(I540+0.5*J540)/N540)</x:f>
      </x:c>
      <x:c r="P540" s="56" t="str">
        <x:f>IF(N540=0,"",(I540+0.5*J540+1)/(N540+2))</x:f>
      </x:c>
      <x:c r="Q540" s="34" t="str"/>
      <x:c r="R540" s="34" t="str"/>
      <x:c r="S540" s="34" t="str"/>
      <x:c r="T540" s="34" t="str"/>
      <x:c r="U540" s="34" t="str"/>
      <x:c r="V540" s="34" t="str">
        <x:f>IF(A540="","",IF(N540&lt;5,"样本不足",IF(Q540&gt;=1,"优先复核",IF(AND(N540&gt;=20,P540&lt;0.35,K540&gt;=5),"停用候选",IF(AND(N540&gt;=10,P540&lt;0.45),"需修改候选",IF(AND(N540&gt;=10,P540&gt;=0.75,R540/N540&lt;=0.15,S540/N540&lt;=0.15),"升级候选",IF(R540/N540&gt;0.3,"收紧条件",IF(S540/N540&gt;0.3,"补漏／放宽","继续观察"))))))))</x:f>
      </x:c>
      <x:c r="W540" s="34" t="str">
        <x:f>IF(V540="","",IF(V540="升级候选","已验证候选",IF(V540="停用候选","停用候选",IF(OR(V540="需修改候选",V540="收紧条件",V540="补漏／放宽",V540="优先复核"),"需修改／复核","观察中"))))</x:f>
      </x:c>
      <x:c r="X540" s="34" t="str"/>
      <x:c r="Y540" s="34" t="str"/>
    </x:row>
    <x:row r="541">
      <x:c r="A541" s="34" t="str"/>
      <x:c r="B541" s="34" t="str"/>
      <x:c r="C541" s="34" t="str"/>
      <x:c r="D541" s="34" t="str"/>
      <x:c r="E541" s="34" t="str"/>
      <x:c r="F541" s="34" t="str"/>
      <x:c r="G541" s="34" t="str"/>
      <x:c r="H541" s="34" t="str">
        <x:v>待验证</x:v>
      </x:c>
      <x:c r="I541" s="34" t="str"/>
      <x:c r="J541" s="34" t="str"/>
      <x:c r="K541" s="34" t="str"/>
      <x:c r="L541" s="34" t="str"/>
      <x:c r="M541" s="34" t="str"/>
      <x:c r="N541" s="34" t="str">
        <x:f>IF(A541="","",I541+J541+K541)</x:f>
      </x:c>
      <x:c r="O541" s="56" t="str">
        <x:f>IF(N541=0,"",(I541+0.5*J541)/N541)</x:f>
      </x:c>
      <x:c r="P541" s="56" t="str">
        <x:f>IF(N541=0,"",(I541+0.5*J541+1)/(N541+2))</x:f>
      </x:c>
      <x:c r="Q541" s="34" t="str"/>
      <x:c r="R541" s="34" t="str"/>
      <x:c r="S541" s="34" t="str"/>
      <x:c r="T541" s="34" t="str"/>
      <x:c r="U541" s="34" t="str"/>
      <x:c r="V541" s="34" t="str">
        <x:f>IF(A541="","",IF(N541&lt;5,"样本不足",IF(Q541&gt;=1,"优先复核",IF(AND(N541&gt;=20,P541&lt;0.35,K541&gt;=5),"停用候选",IF(AND(N541&gt;=10,P541&lt;0.45),"需修改候选",IF(AND(N541&gt;=10,P541&gt;=0.75,R541/N541&lt;=0.15,S541/N541&lt;=0.15),"升级候选",IF(R541/N541&gt;0.3,"收紧条件",IF(S541/N541&gt;0.3,"补漏／放宽","继续观察"))))))))</x:f>
      </x:c>
      <x:c r="W541" s="34" t="str">
        <x:f>IF(V541="","",IF(V541="升级候选","已验证候选",IF(V541="停用候选","停用候选",IF(OR(V541="需修改候选",V541="收紧条件",V541="补漏／放宽",V541="优先复核"),"需修改／复核","观察中"))))</x:f>
      </x:c>
      <x:c r="X541" s="34" t="str"/>
      <x:c r="Y541" s="34" t="str"/>
    </x:row>
    <x:row r="542">
      <x:c r="A542" s="34" t="str"/>
      <x:c r="B542" s="34" t="str"/>
      <x:c r="C542" s="34" t="str"/>
      <x:c r="D542" s="34" t="str"/>
      <x:c r="E542" s="34" t="str"/>
      <x:c r="F542" s="34" t="str"/>
      <x:c r="G542" s="34" t="str"/>
      <x:c r="H542" s="34" t="str">
        <x:v>待验证</x:v>
      </x:c>
      <x:c r="I542" s="34" t="str"/>
      <x:c r="J542" s="34" t="str"/>
      <x:c r="K542" s="34" t="str"/>
      <x:c r="L542" s="34" t="str"/>
      <x:c r="M542" s="34" t="str"/>
      <x:c r="N542" s="34" t="str">
        <x:f>IF(A542="","",I542+J542+K542)</x:f>
      </x:c>
      <x:c r="O542" s="56" t="str">
        <x:f>IF(N542=0,"",(I542+0.5*J542)/N542)</x:f>
      </x:c>
      <x:c r="P542" s="56" t="str">
        <x:f>IF(N542=0,"",(I542+0.5*J542+1)/(N542+2))</x:f>
      </x:c>
      <x:c r="Q542" s="34" t="str"/>
      <x:c r="R542" s="34" t="str"/>
      <x:c r="S542" s="34" t="str"/>
      <x:c r="T542" s="34" t="str"/>
      <x:c r="U542" s="34" t="str"/>
      <x:c r="V542" s="34" t="str">
        <x:f>IF(A542="","",IF(N542&lt;5,"样本不足",IF(Q542&gt;=1,"优先复核",IF(AND(N542&gt;=20,P542&lt;0.35,K542&gt;=5),"停用候选",IF(AND(N542&gt;=10,P542&lt;0.45),"需修改候选",IF(AND(N542&gt;=10,P542&gt;=0.75,R542/N542&lt;=0.15,S542/N542&lt;=0.15),"升级候选",IF(R542/N542&gt;0.3,"收紧条件",IF(S542/N542&gt;0.3,"补漏／放宽","继续观察"))))))))</x:f>
      </x:c>
      <x:c r="W542" s="34" t="str">
        <x:f>IF(V542="","",IF(V542="升级候选","已验证候选",IF(V542="停用候选","停用候选",IF(OR(V542="需修改候选",V542="收紧条件",V542="补漏／放宽",V542="优先复核"),"需修改／复核","观察中"))))</x:f>
      </x:c>
      <x:c r="X542" s="34" t="str"/>
      <x:c r="Y542" s="34" t="str"/>
    </x:row>
    <x:row r="543">
      <x:c r="A543" s="34" t="str"/>
      <x:c r="B543" s="34" t="str"/>
      <x:c r="C543" s="34" t="str"/>
      <x:c r="D543" s="34" t="str"/>
      <x:c r="E543" s="34" t="str"/>
      <x:c r="F543" s="34" t="str"/>
      <x:c r="G543" s="34" t="str"/>
      <x:c r="H543" s="34" t="str">
        <x:v>待验证</x:v>
      </x:c>
      <x:c r="I543" s="34" t="str"/>
      <x:c r="J543" s="34" t="str"/>
      <x:c r="K543" s="34" t="str"/>
      <x:c r="L543" s="34" t="str"/>
      <x:c r="M543" s="34" t="str"/>
      <x:c r="N543" s="34" t="str">
        <x:f>IF(A543="","",I543+J543+K543)</x:f>
      </x:c>
      <x:c r="O543" s="56" t="str">
        <x:f>IF(N543=0,"",(I543+0.5*J543)/N543)</x:f>
      </x:c>
      <x:c r="P543" s="56" t="str">
        <x:f>IF(N543=0,"",(I543+0.5*J543+1)/(N543+2))</x:f>
      </x:c>
      <x:c r="Q543" s="34" t="str"/>
      <x:c r="R543" s="34" t="str"/>
      <x:c r="S543" s="34" t="str"/>
      <x:c r="T543" s="34" t="str"/>
      <x:c r="U543" s="34" t="str"/>
      <x:c r="V543" s="34" t="str">
        <x:f>IF(A543="","",IF(N543&lt;5,"样本不足",IF(Q543&gt;=1,"优先复核",IF(AND(N543&gt;=20,P543&lt;0.35,K543&gt;=5),"停用候选",IF(AND(N543&gt;=10,P543&lt;0.45),"需修改候选",IF(AND(N543&gt;=10,P543&gt;=0.75,R543/N543&lt;=0.15,S543/N543&lt;=0.15),"升级候选",IF(R543/N543&gt;0.3,"收紧条件",IF(S543/N543&gt;0.3,"补漏／放宽","继续观察"))))))))</x:f>
      </x:c>
      <x:c r="W543" s="34" t="str">
        <x:f>IF(V543="","",IF(V543="升级候选","已验证候选",IF(V543="停用候选","停用候选",IF(OR(V543="需修改候选",V543="收紧条件",V543="补漏／放宽",V543="优先复核"),"需修改／复核","观察中"))))</x:f>
      </x:c>
      <x:c r="X543" s="34" t="str"/>
      <x:c r="Y543" s="34" t="str"/>
    </x:row>
    <x:row r="544">
      <x:c r="A544" s="34" t="str"/>
      <x:c r="B544" s="34" t="str"/>
      <x:c r="C544" s="34" t="str"/>
      <x:c r="D544" s="34" t="str"/>
      <x:c r="E544" s="34" t="str"/>
      <x:c r="F544" s="34" t="str"/>
      <x:c r="G544" s="34" t="str"/>
      <x:c r="H544" s="34" t="str">
        <x:v>待验证</x:v>
      </x:c>
      <x:c r="I544" s="34" t="str"/>
      <x:c r="J544" s="34" t="str"/>
      <x:c r="K544" s="34" t="str"/>
      <x:c r="L544" s="34" t="str"/>
      <x:c r="M544" s="34" t="str"/>
      <x:c r="N544" s="34" t="str">
        <x:f>IF(A544="","",I544+J544+K544)</x:f>
      </x:c>
      <x:c r="O544" s="56" t="str">
        <x:f>IF(N544=0,"",(I544+0.5*J544)/N544)</x:f>
      </x:c>
      <x:c r="P544" s="56" t="str">
        <x:f>IF(N544=0,"",(I544+0.5*J544+1)/(N544+2))</x:f>
      </x:c>
      <x:c r="Q544" s="34" t="str"/>
      <x:c r="R544" s="34" t="str"/>
      <x:c r="S544" s="34" t="str"/>
      <x:c r="T544" s="34" t="str"/>
      <x:c r="U544" s="34" t="str"/>
      <x:c r="V544" s="34" t="str">
        <x:f>IF(A544="","",IF(N544&lt;5,"样本不足",IF(Q544&gt;=1,"优先复核",IF(AND(N544&gt;=20,P544&lt;0.35,K544&gt;=5),"停用候选",IF(AND(N544&gt;=10,P544&lt;0.45),"需修改候选",IF(AND(N544&gt;=10,P544&gt;=0.75,R544/N544&lt;=0.15,S544/N544&lt;=0.15),"升级候选",IF(R544/N544&gt;0.3,"收紧条件",IF(S544/N544&gt;0.3,"补漏／放宽","继续观察"))))))))</x:f>
      </x:c>
      <x:c r="W544" s="34" t="str">
        <x:f>IF(V544="","",IF(V544="升级候选","已验证候选",IF(V544="停用候选","停用候选",IF(OR(V544="需修改候选",V544="收紧条件",V544="补漏／放宽",V544="优先复核"),"需修改／复核","观察中"))))</x:f>
      </x:c>
      <x:c r="X544" s="34" t="str"/>
      <x:c r="Y544" s="34" t="str"/>
    </x:row>
    <x:row r="545">
      <x:c r="A545" s="34" t="str"/>
      <x:c r="B545" s="34" t="str"/>
      <x:c r="C545" s="34" t="str"/>
      <x:c r="D545" s="34" t="str"/>
      <x:c r="E545" s="34" t="str"/>
      <x:c r="F545" s="34" t="str"/>
      <x:c r="G545" s="34" t="str"/>
      <x:c r="H545" s="34" t="str">
        <x:v>待验证</x:v>
      </x:c>
      <x:c r="I545" s="34" t="str"/>
      <x:c r="J545" s="34" t="str"/>
      <x:c r="K545" s="34" t="str"/>
      <x:c r="L545" s="34" t="str"/>
      <x:c r="M545" s="34" t="str"/>
      <x:c r="N545" s="34" t="str">
        <x:f>IF(A545="","",I545+J545+K545)</x:f>
      </x:c>
      <x:c r="O545" s="56" t="str">
        <x:f>IF(N545=0,"",(I545+0.5*J545)/N545)</x:f>
      </x:c>
      <x:c r="P545" s="56" t="str">
        <x:f>IF(N545=0,"",(I545+0.5*J545+1)/(N545+2))</x:f>
      </x:c>
      <x:c r="Q545" s="34" t="str"/>
      <x:c r="R545" s="34" t="str"/>
      <x:c r="S545" s="34" t="str"/>
      <x:c r="T545" s="34" t="str"/>
      <x:c r="U545" s="34" t="str"/>
      <x:c r="V545" s="34" t="str">
        <x:f>IF(A545="","",IF(N545&lt;5,"样本不足",IF(Q545&gt;=1,"优先复核",IF(AND(N545&gt;=20,P545&lt;0.35,K545&gt;=5),"停用候选",IF(AND(N545&gt;=10,P545&lt;0.45),"需修改候选",IF(AND(N545&gt;=10,P545&gt;=0.75,R545/N545&lt;=0.15,S545/N545&lt;=0.15),"升级候选",IF(R545/N545&gt;0.3,"收紧条件",IF(S545/N545&gt;0.3,"补漏／放宽","继续观察"))))))))</x:f>
      </x:c>
      <x:c r="W545" s="34" t="str">
        <x:f>IF(V545="","",IF(V545="升级候选","已验证候选",IF(V545="停用候选","停用候选",IF(OR(V545="需修改候选",V545="收紧条件",V545="补漏／放宽",V545="优先复核"),"需修改／复核","观察中"))))</x:f>
      </x:c>
      <x:c r="X545" s="34" t="str"/>
      <x:c r="Y545" s="34" t="str"/>
    </x:row>
    <x:row r="546">
      <x:c r="A546" s="34" t="str"/>
      <x:c r="B546" s="34" t="str"/>
      <x:c r="C546" s="34" t="str"/>
      <x:c r="D546" s="34" t="str"/>
      <x:c r="E546" s="34" t="str"/>
      <x:c r="F546" s="34" t="str"/>
      <x:c r="G546" s="34" t="str"/>
      <x:c r="H546" s="34" t="str">
        <x:v>待验证</x:v>
      </x:c>
      <x:c r="I546" s="34" t="str"/>
      <x:c r="J546" s="34" t="str"/>
      <x:c r="K546" s="34" t="str"/>
      <x:c r="L546" s="34" t="str"/>
      <x:c r="M546" s="34" t="str"/>
      <x:c r="N546" s="34" t="str">
        <x:f>IF(A546="","",I546+J546+K546)</x:f>
      </x:c>
      <x:c r="O546" s="56" t="str">
        <x:f>IF(N546=0,"",(I546+0.5*J546)/N546)</x:f>
      </x:c>
      <x:c r="P546" s="56" t="str">
        <x:f>IF(N546=0,"",(I546+0.5*J546+1)/(N546+2))</x:f>
      </x:c>
      <x:c r="Q546" s="34" t="str"/>
      <x:c r="R546" s="34" t="str"/>
      <x:c r="S546" s="34" t="str"/>
      <x:c r="T546" s="34" t="str"/>
      <x:c r="U546" s="34" t="str"/>
      <x:c r="V546" s="34" t="str">
        <x:f>IF(A546="","",IF(N546&lt;5,"样本不足",IF(Q546&gt;=1,"优先复核",IF(AND(N546&gt;=20,P546&lt;0.35,K546&gt;=5),"停用候选",IF(AND(N546&gt;=10,P546&lt;0.45),"需修改候选",IF(AND(N546&gt;=10,P546&gt;=0.75,R546/N546&lt;=0.15,S546/N546&lt;=0.15),"升级候选",IF(R546/N546&gt;0.3,"收紧条件",IF(S546/N546&gt;0.3,"补漏／放宽","继续观察"))))))))</x:f>
      </x:c>
      <x:c r="W546" s="34" t="str">
        <x:f>IF(V546="","",IF(V546="升级候选","已验证候选",IF(V546="停用候选","停用候选",IF(OR(V546="需修改候选",V546="收紧条件",V546="补漏／放宽",V546="优先复核"),"需修改／复核","观察中"))))</x:f>
      </x:c>
      <x:c r="X546" s="34" t="str"/>
      <x:c r="Y546" s="34" t="str"/>
    </x:row>
    <x:row r="547">
      <x:c r="A547" s="34" t="str"/>
      <x:c r="B547" s="34" t="str"/>
      <x:c r="C547" s="34" t="str"/>
      <x:c r="D547" s="34" t="str"/>
      <x:c r="E547" s="34" t="str"/>
      <x:c r="F547" s="34" t="str"/>
      <x:c r="G547" s="34" t="str"/>
      <x:c r="H547" s="34" t="str">
        <x:v>待验证</x:v>
      </x:c>
      <x:c r="I547" s="34" t="str"/>
      <x:c r="J547" s="34" t="str"/>
      <x:c r="K547" s="34" t="str"/>
      <x:c r="L547" s="34" t="str"/>
      <x:c r="M547" s="34" t="str"/>
      <x:c r="N547" s="34" t="str">
        <x:f>IF(A547="","",I547+J547+K547)</x:f>
      </x:c>
      <x:c r="O547" s="56" t="str">
        <x:f>IF(N547=0,"",(I547+0.5*J547)/N547)</x:f>
      </x:c>
      <x:c r="P547" s="56" t="str">
        <x:f>IF(N547=0,"",(I547+0.5*J547+1)/(N547+2))</x:f>
      </x:c>
      <x:c r="Q547" s="34" t="str"/>
      <x:c r="R547" s="34" t="str"/>
      <x:c r="S547" s="34" t="str"/>
      <x:c r="T547" s="34" t="str"/>
      <x:c r="U547" s="34" t="str"/>
      <x:c r="V547" s="34" t="str">
        <x:f>IF(A547="","",IF(N547&lt;5,"样本不足",IF(Q547&gt;=1,"优先复核",IF(AND(N547&gt;=20,P547&lt;0.35,K547&gt;=5),"停用候选",IF(AND(N547&gt;=10,P547&lt;0.45),"需修改候选",IF(AND(N547&gt;=10,P547&gt;=0.75,R547/N547&lt;=0.15,S547/N547&lt;=0.15),"升级候选",IF(R547/N547&gt;0.3,"收紧条件",IF(S547/N547&gt;0.3,"补漏／放宽","继续观察"))))))))</x:f>
      </x:c>
      <x:c r="W547" s="34" t="str">
        <x:f>IF(V547="","",IF(V547="升级候选","已验证候选",IF(V547="停用候选","停用候选",IF(OR(V547="需修改候选",V547="收紧条件",V547="补漏／放宽",V547="优先复核"),"需修改／复核","观察中"))))</x:f>
      </x:c>
      <x:c r="X547" s="34" t="str"/>
      <x:c r="Y547" s="34" t="str"/>
    </x:row>
    <x:row r="548">
      <x:c r="A548" s="34" t="str"/>
      <x:c r="B548" s="34" t="str"/>
      <x:c r="C548" s="34" t="str"/>
      <x:c r="D548" s="34" t="str"/>
      <x:c r="E548" s="34" t="str"/>
      <x:c r="F548" s="34" t="str"/>
      <x:c r="G548" s="34" t="str"/>
      <x:c r="H548" s="34" t="str">
        <x:v>待验证</x:v>
      </x:c>
      <x:c r="I548" s="34" t="str"/>
      <x:c r="J548" s="34" t="str"/>
      <x:c r="K548" s="34" t="str"/>
      <x:c r="L548" s="34" t="str"/>
      <x:c r="M548" s="34" t="str"/>
      <x:c r="N548" s="34" t="str">
        <x:f>IF(A548="","",I548+J548+K548)</x:f>
      </x:c>
      <x:c r="O548" s="56" t="str">
        <x:f>IF(N548=0,"",(I548+0.5*J548)/N548)</x:f>
      </x:c>
      <x:c r="P548" s="56" t="str">
        <x:f>IF(N548=0,"",(I548+0.5*J548+1)/(N548+2))</x:f>
      </x:c>
      <x:c r="Q548" s="34" t="str"/>
      <x:c r="R548" s="34" t="str"/>
      <x:c r="S548" s="34" t="str"/>
      <x:c r="T548" s="34" t="str"/>
      <x:c r="U548" s="34" t="str"/>
      <x:c r="V548" s="34" t="str">
        <x:f>IF(A548="","",IF(N548&lt;5,"样本不足",IF(Q548&gt;=1,"优先复核",IF(AND(N548&gt;=20,P548&lt;0.35,K548&gt;=5),"停用候选",IF(AND(N548&gt;=10,P548&lt;0.45),"需修改候选",IF(AND(N548&gt;=10,P548&gt;=0.75,R548/N548&lt;=0.15,S548/N548&lt;=0.15),"升级候选",IF(R548/N548&gt;0.3,"收紧条件",IF(S548/N548&gt;0.3,"补漏／放宽","继续观察"))))))))</x:f>
      </x:c>
      <x:c r="W548" s="34" t="str">
        <x:f>IF(V548="","",IF(V548="升级候选","已验证候选",IF(V548="停用候选","停用候选",IF(OR(V548="需修改候选",V548="收紧条件",V548="补漏／放宽",V548="优先复核"),"需修改／复核","观察中"))))</x:f>
      </x:c>
      <x:c r="X548" s="34" t="str"/>
      <x:c r="Y548" s="34" t="str"/>
    </x:row>
    <x:row r="549">
      <x:c r="A549" s="34" t="str"/>
      <x:c r="B549" s="34" t="str"/>
      <x:c r="C549" s="34" t="str"/>
      <x:c r="D549" s="34" t="str"/>
      <x:c r="E549" s="34" t="str"/>
      <x:c r="F549" s="34" t="str"/>
      <x:c r="G549" s="34" t="str"/>
      <x:c r="H549" s="34" t="str">
        <x:v>待验证</x:v>
      </x:c>
      <x:c r="I549" s="34" t="str"/>
      <x:c r="J549" s="34" t="str"/>
      <x:c r="K549" s="34" t="str"/>
      <x:c r="L549" s="34" t="str"/>
      <x:c r="M549" s="34" t="str"/>
      <x:c r="N549" s="34" t="str">
        <x:f>IF(A549="","",I549+J549+K549)</x:f>
      </x:c>
      <x:c r="O549" s="56" t="str">
        <x:f>IF(N549=0,"",(I549+0.5*J549)/N549)</x:f>
      </x:c>
      <x:c r="P549" s="56" t="str">
        <x:f>IF(N549=0,"",(I549+0.5*J549+1)/(N549+2))</x:f>
      </x:c>
      <x:c r="Q549" s="34" t="str"/>
      <x:c r="R549" s="34" t="str"/>
      <x:c r="S549" s="34" t="str"/>
      <x:c r="T549" s="34" t="str"/>
      <x:c r="U549" s="34" t="str"/>
      <x:c r="V549" s="34" t="str">
        <x:f>IF(A549="","",IF(N549&lt;5,"样本不足",IF(Q549&gt;=1,"优先复核",IF(AND(N549&gt;=20,P549&lt;0.35,K549&gt;=5),"停用候选",IF(AND(N549&gt;=10,P549&lt;0.45),"需修改候选",IF(AND(N549&gt;=10,P549&gt;=0.75,R549/N549&lt;=0.15,S549/N549&lt;=0.15),"升级候选",IF(R549/N549&gt;0.3,"收紧条件",IF(S549/N549&gt;0.3,"补漏／放宽","继续观察"))))))))</x:f>
      </x:c>
      <x:c r="W549" s="34" t="str">
        <x:f>IF(V549="","",IF(V549="升级候选","已验证候选",IF(V549="停用候选","停用候选",IF(OR(V549="需修改候选",V549="收紧条件",V549="补漏／放宽",V549="优先复核"),"需修改／复核","观察中"))))</x:f>
      </x:c>
      <x:c r="X549" s="34" t="str"/>
      <x:c r="Y549" s="34" t="str"/>
    </x:row>
    <x:row r="550">
      <x:c r="A550" s="34" t="str"/>
      <x:c r="B550" s="34" t="str"/>
      <x:c r="C550" s="34" t="str"/>
      <x:c r="D550" s="34" t="str"/>
      <x:c r="E550" s="34" t="str"/>
      <x:c r="F550" s="34" t="str"/>
      <x:c r="G550" s="34" t="str"/>
      <x:c r="H550" s="34" t="str">
        <x:v>待验证</x:v>
      </x:c>
      <x:c r="I550" s="34" t="str"/>
      <x:c r="J550" s="34" t="str"/>
      <x:c r="K550" s="34" t="str"/>
      <x:c r="L550" s="34" t="str"/>
      <x:c r="M550" s="34" t="str"/>
      <x:c r="N550" s="34" t="str">
        <x:f>IF(A550="","",I550+J550+K550)</x:f>
      </x:c>
      <x:c r="O550" s="56" t="str">
        <x:f>IF(N550=0,"",(I550+0.5*J550)/N550)</x:f>
      </x:c>
      <x:c r="P550" s="56" t="str">
        <x:f>IF(N550=0,"",(I550+0.5*J550+1)/(N550+2))</x:f>
      </x:c>
      <x:c r="Q550" s="34" t="str"/>
      <x:c r="R550" s="34" t="str"/>
      <x:c r="S550" s="34" t="str"/>
      <x:c r="T550" s="34" t="str"/>
      <x:c r="U550" s="34" t="str"/>
      <x:c r="V550" s="34" t="str">
        <x:f>IF(A550="","",IF(N550&lt;5,"样本不足",IF(Q550&gt;=1,"优先复核",IF(AND(N550&gt;=20,P550&lt;0.35,K550&gt;=5),"停用候选",IF(AND(N550&gt;=10,P550&lt;0.45),"需修改候选",IF(AND(N550&gt;=10,P550&gt;=0.75,R550/N550&lt;=0.15,S550/N550&lt;=0.15),"升级候选",IF(R550/N550&gt;0.3,"收紧条件",IF(S550/N550&gt;0.3,"补漏／放宽","继续观察"))))))))</x:f>
      </x:c>
      <x:c r="W550" s="34" t="str">
        <x:f>IF(V550="","",IF(V550="升级候选","已验证候选",IF(V550="停用候选","停用候选",IF(OR(V550="需修改候选",V550="收紧条件",V550="补漏／放宽",V550="优先复核"),"需修改／复核","观察中"))))</x:f>
      </x:c>
      <x:c r="X550" s="34" t="str"/>
      <x:c r="Y550" s="34" t="str"/>
    </x:row>
    <x:row r="551">
      <x:c r="A551" s="34" t="str"/>
      <x:c r="B551" s="34" t="str"/>
      <x:c r="C551" s="34" t="str"/>
      <x:c r="D551" s="34" t="str"/>
      <x:c r="E551" s="34" t="str"/>
      <x:c r="F551" s="34" t="str"/>
      <x:c r="G551" s="34" t="str"/>
      <x:c r="H551" s="34" t="str">
        <x:v>待验证</x:v>
      </x:c>
      <x:c r="I551" s="34" t="str"/>
      <x:c r="J551" s="34" t="str"/>
      <x:c r="K551" s="34" t="str"/>
      <x:c r="L551" s="34" t="str"/>
      <x:c r="M551" s="34" t="str"/>
      <x:c r="N551" s="34" t="str">
        <x:f>IF(A551="","",I551+J551+K551)</x:f>
      </x:c>
      <x:c r="O551" s="56" t="str">
        <x:f>IF(N551=0,"",(I551+0.5*J551)/N551)</x:f>
      </x:c>
      <x:c r="P551" s="56" t="str">
        <x:f>IF(N551=0,"",(I551+0.5*J551+1)/(N551+2))</x:f>
      </x:c>
      <x:c r="Q551" s="34" t="str"/>
      <x:c r="R551" s="34" t="str"/>
      <x:c r="S551" s="34" t="str"/>
      <x:c r="T551" s="34" t="str"/>
      <x:c r="U551" s="34" t="str"/>
      <x:c r="V551" s="34" t="str">
        <x:f>IF(A551="","",IF(N551&lt;5,"样本不足",IF(Q551&gt;=1,"优先复核",IF(AND(N551&gt;=20,P551&lt;0.35,K551&gt;=5),"停用候选",IF(AND(N551&gt;=10,P551&lt;0.45),"需修改候选",IF(AND(N551&gt;=10,P551&gt;=0.75,R551/N551&lt;=0.15,S551/N551&lt;=0.15),"升级候选",IF(R551/N551&gt;0.3,"收紧条件",IF(S551/N551&gt;0.3,"补漏／放宽","继续观察"))))))))</x:f>
      </x:c>
      <x:c r="W551" s="34" t="str">
        <x:f>IF(V551="","",IF(V551="升级候选","已验证候选",IF(V551="停用候选","停用候选",IF(OR(V551="需修改候选",V551="收紧条件",V551="补漏／放宽",V551="优先复核"),"需修改／复核","观察中"))))</x:f>
      </x:c>
      <x:c r="X551" s="34" t="str"/>
      <x:c r="Y551" s="34" t="str"/>
    </x:row>
    <x:row r="552">
      <x:c r="A552" s="34" t="str"/>
      <x:c r="B552" s="34" t="str"/>
      <x:c r="C552" s="34" t="str"/>
      <x:c r="D552" s="34" t="str"/>
      <x:c r="E552" s="34" t="str"/>
      <x:c r="F552" s="34" t="str"/>
      <x:c r="G552" s="34" t="str"/>
      <x:c r="H552" s="34" t="str">
        <x:v>待验证</x:v>
      </x:c>
      <x:c r="I552" s="34" t="str"/>
      <x:c r="J552" s="34" t="str"/>
      <x:c r="K552" s="34" t="str"/>
      <x:c r="L552" s="34" t="str"/>
      <x:c r="M552" s="34" t="str"/>
      <x:c r="N552" s="34" t="str">
        <x:f>IF(A552="","",I552+J552+K552)</x:f>
      </x:c>
      <x:c r="O552" s="56" t="str">
        <x:f>IF(N552=0,"",(I552+0.5*J552)/N552)</x:f>
      </x:c>
      <x:c r="P552" s="56" t="str">
        <x:f>IF(N552=0,"",(I552+0.5*J552+1)/(N552+2))</x:f>
      </x:c>
      <x:c r="Q552" s="34" t="str"/>
      <x:c r="R552" s="34" t="str"/>
      <x:c r="S552" s="34" t="str"/>
      <x:c r="T552" s="34" t="str"/>
      <x:c r="U552" s="34" t="str"/>
      <x:c r="V552" s="34" t="str">
        <x:f>IF(A552="","",IF(N552&lt;5,"样本不足",IF(Q552&gt;=1,"优先复核",IF(AND(N552&gt;=20,P552&lt;0.35,K552&gt;=5),"停用候选",IF(AND(N552&gt;=10,P552&lt;0.45),"需修改候选",IF(AND(N552&gt;=10,P552&gt;=0.75,R552/N552&lt;=0.15,S552/N552&lt;=0.15),"升级候选",IF(R552/N552&gt;0.3,"收紧条件",IF(S552/N552&gt;0.3,"补漏／放宽","继续观察"))))))))</x:f>
      </x:c>
      <x:c r="W552" s="34" t="str">
        <x:f>IF(V552="","",IF(V552="升级候选","已验证候选",IF(V552="停用候选","停用候选",IF(OR(V552="需修改候选",V552="收紧条件",V552="补漏／放宽",V552="优先复核"),"需修改／复核","观察中"))))</x:f>
      </x:c>
      <x:c r="X552" s="34" t="str"/>
      <x:c r="Y552" s="34" t="str"/>
    </x:row>
    <x:row r="553">
      <x:c r="A553" s="34" t="str"/>
      <x:c r="B553" s="34" t="str"/>
      <x:c r="C553" s="34" t="str"/>
      <x:c r="D553" s="34" t="str"/>
      <x:c r="E553" s="34" t="str"/>
      <x:c r="F553" s="34" t="str"/>
      <x:c r="G553" s="34" t="str"/>
      <x:c r="H553" s="34" t="str">
        <x:v>待验证</x:v>
      </x:c>
      <x:c r="I553" s="34" t="str"/>
      <x:c r="J553" s="34" t="str"/>
      <x:c r="K553" s="34" t="str"/>
      <x:c r="L553" s="34" t="str"/>
      <x:c r="M553" s="34" t="str"/>
      <x:c r="N553" s="34" t="str">
        <x:f>IF(A553="","",I553+J553+K553)</x:f>
      </x:c>
      <x:c r="O553" s="56" t="str">
        <x:f>IF(N553=0,"",(I553+0.5*J553)/N553)</x:f>
      </x:c>
      <x:c r="P553" s="56" t="str">
        <x:f>IF(N553=0,"",(I553+0.5*J553+1)/(N553+2))</x:f>
      </x:c>
      <x:c r="Q553" s="34" t="str"/>
      <x:c r="R553" s="34" t="str"/>
      <x:c r="S553" s="34" t="str"/>
      <x:c r="T553" s="34" t="str"/>
      <x:c r="U553" s="34" t="str"/>
      <x:c r="V553" s="34" t="str">
        <x:f>IF(A553="","",IF(N553&lt;5,"样本不足",IF(Q553&gt;=1,"优先复核",IF(AND(N553&gt;=20,P553&lt;0.35,K553&gt;=5),"停用候选",IF(AND(N553&gt;=10,P553&lt;0.45),"需修改候选",IF(AND(N553&gt;=10,P553&gt;=0.75,R553/N553&lt;=0.15,S553/N553&lt;=0.15),"升级候选",IF(R553/N553&gt;0.3,"收紧条件",IF(S553/N553&gt;0.3,"补漏／放宽","继续观察"))))))))</x:f>
      </x:c>
      <x:c r="W553" s="34" t="str">
        <x:f>IF(V553="","",IF(V553="升级候选","已验证候选",IF(V553="停用候选","停用候选",IF(OR(V553="需修改候选",V553="收紧条件",V553="补漏／放宽",V553="优先复核"),"需修改／复核","观察中"))))</x:f>
      </x:c>
      <x:c r="X553" s="34" t="str"/>
      <x:c r="Y553" s="34" t="str"/>
    </x:row>
    <x:row r="554">
      <x:c r="A554" s="34" t="str"/>
      <x:c r="B554" s="34" t="str"/>
      <x:c r="C554" s="34" t="str"/>
      <x:c r="D554" s="34" t="str"/>
      <x:c r="E554" s="34" t="str"/>
      <x:c r="F554" s="34" t="str"/>
      <x:c r="G554" s="34" t="str"/>
      <x:c r="H554" s="34" t="str">
        <x:v>待验证</x:v>
      </x:c>
      <x:c r="I554" s="34" t="str"/>
      <x:c r="J554" s="34" t="str"/>
      <x:c r="K554" s="34" t="str"/>
      <x:c r="L554" s="34" t="str"/>
      <x:c r="M554" s="34" t="str"/>
      <x:c r="N554" s="34" t="str">
        <x:f>IF(A554="","",I554+J554+K554)</x:f>
      </x:c>
      <x:c r="O554" s="56" t="str">
        <x:f>IF(N554=0,"",(I554+0.5*J554)/N554)</x:f>
      </x:c>
      <x:c r="P554" s="56" t="str">
        <x:f>IF(N554=0,"",(I554+0.5*J554+1)/(N554+2))</x:f>
      </x:c>
      <x:c r="Q554" s="34" t="str"/>
      <x:c r="R554" s="34" t="str"/>
      <x:c r="S554" s="34" t="str"/>
      <x:c r="T554" s="34" t="str"/>
      <x:c r="U554" s="34" t="str"/>
      <x:c r="V554" s="34" t="str">
        <x:f>IF(A554="","",IF(N554&lt;5,"样本不足",IF(Q554&gt;=1,"优先复核",IF(AND(N554&gt;=20,P554&lt;0.35,K554&gt;=5),"停用候选",IF(AND(N554&gt;=10,P554&lt;0.45),"需修改候选",IF(AND(N554&gt;=10,P554&gt;=0.75,R554/N554&lt;=0.15,S554/N554&lt;=0.15),"升级候选",IF(R554/N554&gt;0.3,"收紧条件",IF(S554/N554&gt;0.3,"补漏／放宽","继续观察"))))))))</x:f>
      </x:c>
      <x:c r="W554" s="34" t="str">
        <x:f>IF(V554="","",IF(V554="升级候选","已验证候选",IF(V554="停用候选","停用候选",IF(OR(V554="需修改候选",V554="收紧条件",V554="补漏／放宽",V554="优先复核"),"需修改／复核","观察中"))))</x:f>
      </x:c>
      <x:c r="X554" s="34" t="str"/>
      <x:c r="Y554" s="34" t="str"/>
    </x:row>
    <x:row r="555">
      <x:c r="A555" s="34" t="str"/>
      <x:c r="B555" s="34" t="str"/>
      <x:c r="C555" s="34" t="str"/>
      <x:c r="D555" s="34" t="str"/>
      <x:c r="E555" s="34" t="str"/>
      <x:c r="F555" s="34" t="str"/>
      <x:c r="G555" s="34" t="str"/>
      <x:c r="H555" s="34" t="str">
        <x:v>待验证</x:v>
      </x:c>
      <x:c r="I555" s="34" t="str"/>
      <x:c r="J555" s="34" t="str"/>
      <x:c r="K555" s="34" t="str"/>
      <x:c r="L555" s="34" t="str"/>
      <x:c r="M555" s="34" t="str"/>
      <x:c r="N555" s="34" t="str">
        <x:f>IF(A555="","",I555+J555+K555)</x:f>
      </x:c>
      <x:c r="O555" s="56" t="str">
        <x:f>IF(N555=0,"",(I555+0.5*J555)/N555)</x:f>
      </x:c>
      <x:c r="P555" s="56" t="str">
        <x:f>IF(N555=0,"",(I555+0.5*J555+1)/(N555+2))</x:f>
      </x:c>
      <x:c r="Q555" s="34" t="str"/>
      <x:c r="R555" s="34" t="str"/>
      <x:c r="S555" s="34" t="str"/>
      <x:c r="T555" s="34" t="str"/>
      <x:c r="U555" s="34" t="str"/>
      <x:c r="V555" s="34" t="str">
        <x:f>IF(A555="","",IF(N555&lt;5,"样本不足",IF(Q555&gt;=1,"优先复核",IF(AND(N555&gt;=20,P555&lt;0.35,K555&gt;=5),"停用候选",IF(AND(N555&gt;=10,P555&lt;0.45),"需修改候选",IF(AND(N555&gt;=10,P555&gt;=0.75,R555/N555&lt;=0.15,S555/N555&lt;=0.15),"升级候选",IF(R555/N555&gt;0.3,"收紧条件",IF(S555/N555&gt;0.3,"补漏／放宽","继续观察"))))))))</x:f>
      </x:c>
      <x:c r="W555" s="34" t="str">
        <x:f>IF(V555="","",IF(V555="升级候选","已验证候选",IF(V555="停用候选","停用候选",IF(OR(V555="需修改候选",V555="收紧条件",V555="补漏／放宽",V555="优先复核"),"需修改／复核","观察中"))))</x:f>
      </x:c>
      <x:c r="X555" s="34" t="str"/>
      <x:c r="Y555" s="34" t="str"/>
    </x:row>
    <x:row r="556">
      <x:c r="A556" s="34" t="str"/>
      <x:c r="B556" s="34" t="str"/>
      <x:c r="C556" s="34" t="str"/>
      <x:c r="D556" s="34" t="str"/>
      <x:c r="E556" s="34" t="str"/>
      <x:c r="F556" s="34" t="str"/>
      <x:c r="G556" s="34" t="str"/>
      <x:c r="H556" s="34" t="str">
        <x:v>待验证</x:v>
      </x:c>
      <x:c r="I556" s="34" t="str"/>
      <x:c r="J556" s="34" t="str"/>
      <x:c r="K556" s="34" t="str"/>
      <x:c r="L556" s="34" t="str"/>
      <x:c r="M556" s="34" t="str"/>
      <x:c r="N556" s="34" t="str">
        <x:f>IF(A556="","",I556+J556+K556)</x:f>
      </x:c>
      <x:c r="O556" s="56" t="str">
        <x:f>IF(N556=0,"",(I556+0.5*J556)/N556)</x:f>
      </x:c>
      <x:c r="P556" s="56" t="str">
        <x:f>IF(N556=0,"",(I556+0.5*J556+1)/(N556+2))</x:f>
      </x:c>
      <x:c r="Q556" s="34" t="str"/>
      <x:c r="R556" s="34" t="str"/>
      <x:c r="S556" s="34" t="str"/>
      <x:c r="T556" s="34" t="str"/>
      <x:c r="U556" s="34" t="str"/>
      <x:c r="V556" s="34" t="str">
        <x:f>IF(A556="","",IF(N556&lt;5,"样本不足",IF(Q556&gt;=1,"优先复核",IF(AND(N556&gt;=20,P556&lt;0.35,K556&gt;=5),"停用候选",IF(AND(N556&gt;=10,P556&lt;0.45),"需修改候选",IF(AND(N556&gt;=10,P556&gt;=0.75,R556/N556&lt;=0.15,S556/N556&lt;=0.15),"升级候选",IF(R556/N556&gt;0.3,"收紧条件",IF(S556/N556&gt;0.3,"补漏／放宽","继续观察"))))))))</x:f>
      </x:c>
      <x:c r="W556" s="34" t="str">
        <x:f>IF(V556="","",IF(V556="升级候选","已验证候选",IF(V556="停用候选","停用候选",IF(OR(V556="需修改候选",V556="收紧条件",V556="补漏／放宽",V556="优先复核"),"需修改／复核","观察中"))))</x:f>
      </x:c>
      <x:c r="X556" s="34" t="str"/>
      <x:c r="Y556" s="34" t="str"/>
    </x:row>
    <x:row r="557">
      <x:c r="A557" s="34" t="str"/>
      <x:c r="B557" s="34" t="str"/>
      <x:c r="C557" s="34" t="str"/>
      <x:c r="D557" s="34" t="str"/>
      <x:c r="E557" s="34" t="str"/>
      <x:c r="F557" s="34" t="str"/>
      <x:c r="G557" s="34" t="str"/>
      <x:c r="H557" s="34" t="str">
        <x:v>待验证</x:v>
      </x:c>
      <x:c r="I557" s="34" t="str"/>
      <x:c r="J557" s="34" t="str"/>
      <x:c r="K557" s="34" t="str"/>
      <x:c r="L557" s="34" t="str"/>
      <x:c r="M557" s="34" t="str"/>
      <x:c r="N557" s="34" t="str">
        <x:f>IF(A557="","",I557+J557+K557)</x:f>
      </x:c>
      <x:c r="O557" s="56" t="str">
        <x:f>IF(N557=0,"",(I557+0.5*J557)/N557)</x:f>
      </x:c>
      <x:c r="P557" s="56" t="str">
        <x:f>IF(N557=0,"",(I557+0.5*J557+1)/(N557+2))</x:f>
      </x:c>
      <x:c r="Q557" s="34" t="str"/>
      <x:c r="R557" s="34" t="str"/>
      <x:c r="S557" s="34" t="str"/>
      <x:c r="T557" s="34" t="str"/>
      <x:c r="U557" s="34" t="str"/>
      <x:c r="V557" s="34" t="str">
        <x:f>IF(A557="","",IF(N557&lt;5,"样本不足",IF(Q557&gt;=1,"优先复核",IF(AND(N557&gt;=20,P557&lt;0.35,K557&gt;=5),"停用候选",IF(AND(N557&gt;=10,P557&lt;0.45),"需修改候选",IF(AND(N557&gt;=10,P557&gt;=0.75,R557/N557&lt;=0.15,S557/N557&lt;=0.15),"升级候选",IF(R557/N557&gt;0.3,"收紧条件",IF(S557/N557&gt;0.3,"补漏／放宽","继续观察"))))))))</x:f>
      </x:c>
      <x:c r="W557" s="34" t="str">
        <x:f>IF(V557="","",IF(V557="升级候选","已验证候选",IF(V557="停用候选","停用候选",IF(OR(V557="需修改候选",V557="收紧条件",V557="补漏／放宽",V557="优先复核"),"需修改／复核","观察中"))))</x:f>
      </x:c>
      <x:c r="X557" s="34" t="str"/>
      <x:c r="Y557" s="34" t="str"/>
    </x:row>
    <x:row r="558">
      <x:c r="A558" s="34" t="str"/>
      <x:c r="B558" s="34" t="str"/>
      <x:c r="C558" s="34" t="str"/>
      <x:c r="D558" s="34" t="str"/>
      <x:c r="E558" s="34" t="str"/>
      <x:c r="F558" s="34" t="str"/>
      <x:c r="G558" s="34" t="str"/>
      <x:c r="H558" s="34" t="str">
        <x:v>待验证</x:v>
      </x:c>
      <x:c r="I558" s="34" t="str"/>
      <x:c r="J558" s="34" t="str"/>
      <x:c r="K558" s="34" t="str"/>
      <x:c r="L558" s="34" t="str"/>
      <x:c r="M558" s="34" t="str"/>
      <x:c r="N558" s="34" t="str">
        <x:f>IF(A558="","",I558+J558+K558)</x:f>
      </x:c>
      <x:c r="O558" s="56" t="str">
        <x:f>IF(N558=0,"",(I558+0.5*J558)/N558)</x:f>
      </x:c>
      <x:c r="P558" s="56" t="str">
        <x:f>IF(N558=0,"",(I558+0.5*J558+1)/(N558+2))</x:f>
      </x:c>
      <x:c r="Q558" s="34" t="str"/>
      <x:c r="R558" s="34" t="str"/>
      <x:c r="S558" s="34" t="str"/>
      <x:c r="T558" s="34" t="str"/>
      <x:c r="U558" s="34" t="str"/>
      <x:c r="V558" s="34" t="str">
        <x:f>IF(A558="","",IF(N558&lt;5,"样本不足",IF(Q558&gt;=1,"优先复核",IF(AND(N558&gt;=20,P558&lt;0.35,K558&gt;=5),"停用候选",IF(AND(N558&gt;=10,P558&lt;0.45),"需修改候选",IF(AND(N558&gt;=10,P558&gt;=0.75,R558/N558&lt;=0.15,S558/N558&lt;=0.15),"升级候选",IF(R558/N558&gt;0.3,"收紧条件",IF(S558/N558&gt;0.3,"补漏／放宽","继续观察"))))))))</x:f>
      </x:c>
      <x:c r="W558" s="34" t="str">
        <x:f>IF(V558="","",IF(V558="升级候选","已验证候选",IF(V558="停用候选","停用候选",IF(OR(V558="需修改候选",V558="收紧条件",V558="补漏／放宽",V558="优先复核"),"需修改／复核","观察中"))))</x:f>
      </x:c>
      <x:c r="X558" s="34" t="str"/>
      <x:c r="Y558" s="34" t="str"/>
    </x:row>
    <x:row r="559">
      <x:c r="A559" s="34" t="str"/>
      <x:c r="B559" s="34" t="str"/>
      <x:c r="C559" s="34" t="str"/>
      <x:c r="D559" s="34" t="str"/>
      <x:c r="E559" s="34" t="str"/>
      <x:c r="F559" s="34" t="str"/>
      <x:c r="G559" s="34" t="str"/>
      <x:c r="H559" s="34" t="str">
        <x:v>待验证</x:v>
      </x:c>
      <x:c r="I559" s="34" t="str"/>
      <x:c r="J559" s="34" t="str"/>
      <x:c r="K559" s="34" t="str"/>
      <x:c r="L559" s="34" t="str"/>
      <x:c r="M559" s="34" t="str"/>
      <x:c r="N559" s="34" t="str">
        <x:f>IF(A559="","",I559+J559+K559)</x:f>
      </x:c>
      <x:c r="O559" s="56" t="str">
        <x:f>IF(N559=0,"",(I559+0.5*J559)/N559)</x:f>
      </x:c>
      <x:c r="P559" s="56" t="str">
        <x:f>IF(N559=0,"",(I559+0.5*J559+1)/(N559+2))</x:f>
      </x:c>
      <x:c r="Q559" s="34" t="str"/>
      <x:c r="R559" s="34" t="str"/>
      <x:c r="S559" s="34" t="str"/>
      <x:c r="T559" s="34" t="str"/>
      <x:c r="U559" s="34" t="str"/>
      <x:c r="V559" s="34" t="str">
        <x:f>IF(A559="","",IF(N559&lt;5,"样本不足",IF(Q559&gt;=1,"优先复核",IF(AND(N559&gt;=20,P559&lt;0.35,K559&gt;=5),"停用候选",IF(AND(N559&gt;=10,P559&lt;0.45),"需修改候选",IF(AND(N559&gt;=10,P559&gt;=0.75,R559/N559&lt;=0.15,S559/N559&lt;=0.15),"升级候选",IF(R559/N559&gt;0.3,"收紧条件",IF(S559/N559&gt;0.3,"补漏／放宽","继续观察"))))))))</x:f>
      </x:c>
      <x:c r="W559" s="34" t="str">
        <x:f>IF(V559="","",IF(V559="升级候选","已验证候选",IF(V559="停用候选","停用候选",IF(OR(V559="需修改候选",V559="收紧条件",V559="补漏／放宽",V559="优先复核"),"需修改／复核","观察中"))))</x:f>
      </x:c>
      <x:c r="X559" s="34" t="str"/>
      <x:c r="Y559" s="34" t="str"/>
    </x:row>
    <x:row r="560">
      <x:c r="A560" s="34" t="str"/>
      <x:c r="B560" s="34" t="str"/>
      <x:c r="C560" s="34" t="str"/>
      <x:c r="D560" s="34" t="str"/>
      <x:c r="E560" s="34" t="str"/>
      <x:c r="F560" s="34" t="str"/>
      <x:c r="G560" s="34" t="str"/>
      <x:c r="H560" s="34" t="str">
        <x:v>待验证</x:v>
      </x:c>
      <x:c r="I560" s="34" t="str"/>
      <x:c r="J560" s="34" t="str"/>
      <x:c r="K560" s="34" t="str"/>
      <x:c r="L560" s="34" t="str"/>
      <x:c r="M560" s="34" t="str"/>
      <x:c r="N560" s="34" t="str">
        <x:f>IF(A560="","",I560+J560+K560)</x:f>
      </x:c>
      <x:c r="O560" s="56" t="str">
        <x:f>IF(N560=0,"",(I560+0.5*J560)/N560)</x:f>
      </x:c>
      <x:c r="P560" s="56" t="str">
        <x:f>IF(N560=0,"",(I560+0.5*J560+1)/(N560+2))</x:f>
      </x:c>
      <x:c r="Q560" s="34" t="str"/>
      <x:c r="R560" s="34" t="str"/>
      <x:c r="S560" s="34" t="str"/>
      <x:c r="T560" s="34" t="str"/>
      <x:c r="U560" s="34" t="str"/>
      <x:c r="V560" s="34" t="str">
        <x:f>IF(A560="","",IF(N560&lt;5,"样本不足",IF(Q560&gt;=1,"优先复核",IF(AND(N560&gt;=20,P560&lt;0.35,K560&gt;=5),"停用候选",IF(AND(N560&gt;=10,P560&lt;0.45),"需修改候选",IF(AND(N560&gt;=10,P560&gt;=0.75,R560/N560&lt;=0.15,S560/N560&lt;=0.15),"升级候选",IF(R560/N560&gt;0.3,"收紧条件",IF(S560/N560&gt;0.3,"补漏／放宽","继续观察"))))))))</x:f>
      </x:c>
      <x:c r="W560" s="34" t="str">
        <x:f>IF(V560="","",IF(V560="升级候选","已验证候选",IF(V560="停用候选","停用候选",IF(OR(V560="需修改候选",V560="收紧条件",V560="补漏／放宽",V560="优先复核"),"需修改／复核","观察中"))))</x:f>
      </x:c>
      <x:c r="X560" s="34" t="str"/>
      <x:c r="Y560" s="34" t="str"/>
    </x:row>
    <x:row r="561">
      <x:c r="A561" s="34" t="str"/>
      <x:c r="B561" s="34" t="str"/>
      <x:c r="C561" s="34" t="str"/>
      <x:c r="D561" s="34" t="str"/>
      <x:c r="E561" s="34" t="str"/>
      <x:c r="F561" s="34" t="str"/>
      <x:c r="G561" s="34" t="str"/>
      <x:c r="H561" s="34" t="str">
        <x:v>待验证</x:v>
      </x:c>
      <x:c r="I561" s="34" t="str"/>
      <x:c r="J561" s="34" t="str"/>
      <x:c r="K561" s="34" t="str"/>
      <x:c r="L561" s="34" t="str"/>
      <x:c r="M561" s="34" t="str"/>
      <x:c r="N561" s="34" t="str">
        <x:f>IF(A561="","",I561+J561+K561)</x:f>
      </x:c>
      <x:c r="O561" s="56" t="str">
        <x:f>IF(N561=0,"",(I561+0.5*J561)/N561)</x:f>
      </x:c>
      <x:c r="P561" s="56" t="str">
        <x:f>IF(N561=0,"",(I561+0.5*J561+1)/(N561+2))</x:f>
      </x:c>
      <x:c r="Q561" s="34" t="str"/>
      <x:c r="R561" s="34" t="str"/>
      <x:c r="S561" s="34" t="str"/>
      <x:c r="T561" s="34" t="str"/>
      <x:c r="U561" s="34" t="str"/>
      <x:c r="V561" s="34" t="str">
        <x:f>IF(A561="","",IF(N561&lt;5,"样本不足",IF(Q561&gt;=1,"优先复核",IF(AND(N561&gt;=20,P561&lt;0.35,K561&gt;=5),"停用候选",IF(AND(N561&gt;=10,P561&lt;0.45),"需修改候选",IF(AND(N561&gt;=10,P561&gt;=0.75,R561/N561&lt;=0.15,S561/N561&lt;=0.15),"升级候选",IF(R561/N561&gt;0.3,"收紧条件",IF(S561/N561&gt;0.3,"补漏／放宽","继续观察"))))))))</x:f>
      </x:c>
      <x:c r="W561" s="34" t="str">
        <x:f>IF(V561="","",IF(V561="升级候选","已验证候选",IF(V561="停用候选","停用候选",IF(OR(V561="需修改候选",V561="收紧条件",V561="补漏／放宽",V561="优先复核"),"需修改／复核","观察中"))))</x:f>
      </x:c>
      <x:c r="X561" s="34" t="str"/>
      <x:c r="Y561" s="34" t="str"/>
    </x:row>
    <x:row r="562">
      <x:c r="A562" s="34" t="str"/>
      <x:c r="B562" s="34" t="str"/>
      <x:c r="C562" s="34" t="str"/>
      <x:c r="D562" s="34" t="str"/>
      <x:c r="E562" s="34" t="str"/>
      <x:c r="F562" s="34" t="str"/>
      <x:c r="G562" s="34" t="str"/>
      <x:c r="H562" s="34" t="str">
        <x:v>待验证</x:v>
      </x:c>
      <x:c r="I562" s="34" t="str"/>
      <x:c r="J562" s="34" t="str"/>
      <x:c r="K562" s="34" t="str"/>
      <x:c r="L562" s="34" t="str"/>
      <x:c r="M562" s="34" t="str"/>
      <x:c r="N562" s="34" t="str">
        <x:f>IF(A562="","",I562+J562+K562)</x:f>
      </x:c>
      <x:c r="O562" s="56" t="str">
        <x:f>IF(N562=0,"",(I562+0.5*J562)/N562)</x:f>
      </x:c>
      <x:c r="P562" s="56" t="str">
        <x:f>IF(N562=0,"",(I562+0.5*J562+1)/(N562+2))</x:f>
      </x:c>
      <x:c r="Q562" s="34" t="str"/>
      <x:c r="R562" s="34" t="str"/>
      <x:c r="S562" s="34" t="str"/>
      <x:c r="T562" s="34" t="str"/>
      <x:c r="U562" s="34" t="str"/>
      <x:c r="V562" s="34" t="str">
        <x:f>IF(A562="","",IF(N562&lt;5,"样本不足",IF(Q562&gt;=1,"优先复核",IF(AND(N562&gt;=20,P562&lt;0.35,K562&gt;=5),"停用候选",IF(AND(N562&gt;=10,P562&lt;0.45),"需修改候选",IF(AND(N562&gt;=10,P562&gt;=0.75,R562/N562&lt;=0.15,S562/N562&lt;=0.15),"升级候选",IF(R562/N562&gt;0.3,"收紧条件",IF(S562/N562&gt;0.3,"补漏／放宽","继续观察"))))))))</x:f>
      </x:c>
      <x:c r="W562" s="34" t="str">
        <x:f>IF(V562="","",IF(V562="升级候选","已验证候选",IF(V562="停用候选","停用候选",IF(OR(V562="需修改候选",V562="收紧条件",V562="补漏／放宽",V562="优先复核"),"需修改／复核","观察中"))))</x:f>
      </x:c>
      <x:c r="X562" s="34" t="str"/>
      <x:c r="Y562" s="34" t="str"/>
    </x:row>
    <x:row r="563">
      <x:c r="A563" s="34" t="str"/>
      <x:c r="B563" s="34" t="str"/>
      <x:c r="C563" s="34" t="str"/>
      <x:c r="D563" s="34" t="str"/>
      <x:c r="E563" s="34" t="str"/>
      <x:c r="F563" s="34" t="str"/>
      <x:c r="G563" s="34" t="str"/>
      <x:c r="H563" s="34" t="str">
        <x:v>待验证</x:v>
      </x:c>
      <x:c r="I563" s="34" t="str"/>
      <x:c r="J563" s="34" t="str"/>
      <x:c r="K563" s="34" t="str"/>
      <x:c r="L563" s="34" t="str"/>
      <x:c r="M563" s="34" t="str"/>
      <x:c r="N563" s="34" t="str">
        <x:f>IF(A563="","",I563+J563+K563)</x:f>
      </x:c>
      <x:c r="O563" s="56" t="str">
        <x:f>IF(N563=0,"",(I563+0.5*J563)/N563)</x:f>
      </x:c>
      <x:c r="P563" s="56" t="str">
        <x:f>IF(N563=0,"",(I563+0.5*J563+1)/(N563+2))</x:f>
      </x:c>
      <x:c r="Q563" s="34" t="str"/>
      <x:c r="R563" s="34" t="str"/>
      <x:c r="S563" s="34" t="str"/>
      <x:c r="T563" s="34" t="str"/>
      <x:c r="U563" s="34" t="str"/>
      <x:c r="V563" s="34" t="str">
        <x:f>IF(A563="","",IF(N563&lt;5,"样本不足",IF(Q563&gt;=1,"优先复核",IF(AND(N563&gt;=20,P563&lt;0.35,K563&gt;=5),"停用候选",IF(AND(N563&gt;=10,P563&lt;0.45),"需修改候选",IF(AND(N563&gt;=10,P563&gt;=0.75,R563/N563&lt;=0.15,S563/N563&lt;=0.15),"升级候选",IF(R563/N563&gt;0.3,"收紧条件",IF(S563/N563&gt;0.3,"补漏／放宽","继续观察"))))))))</x:f>
      </x:c>
      <x:c r="W563" s="34" t="str">
        <x:f>IF(V563="","",IF(V563="升级候选","已验证候选",IF(V563="停用候选","停用候选",IF(OR(V563="需修改候选",V563="收紧条件",V563="补漏／放宽",V563="优先复核"),"需修改／复核","观察中"))))</x:f>
      </x:c>
      <x:c r="X563" s="34" t="str"/>
      <x:c r="Y563" s="34" t="str"/>
    </x:row>
    <x:row r="564">
      <x:c r="A564" s="34" t="str"/>
      <x:c r="B564" s="34" t="str"/>
      <x:c r="C564" s="34" t="str"/>
      <x:c r="D564" s="34" t="str"/>
      <x:c r="E564" s="34" t="str"/>
      <x:c r="F564" s="34" t="str"/>
      <x:c r="G564" s="34" t="str"/>
      <x:c r="H564" s="34" t="str">
        <x:v>待验证</x:v>
      </x:c>
      <x:c r="I564" s="34" t="str"/>
      <x:c r="J564" s="34" t="str"/>
      <x:c r="K564" s="34" t="str"/>
      <x:c r="L564" s="34" t="str"/>
      <x:c r="M564" s="34" t="str"/>
      <x:c r="N564" s="34" t="str">
        <x:f>IF(A564="","",I564+J564+K564)</x:f>
      </x:c>
      <x:c r="O564" s="56" t="str">
        <x:f>IF(N564=0,"",(I564+0.5*J564)/N564)</x:f>
      </x:c>
      <x:c r="P564" s="56" t="str">
        <x:f>IF(N564=0,"",(I564+0.5*J564+1)/(N564+2))</x:f>
      </x:c>
      <x:c r="Q564" s="34" t="str"/>
      <x:c r="R564" s="34" t="str"/>
      <x:c r="S564" s="34" t="str"/>
      <x:c r="T564" s="34" t="str"/>
      <x:c r="U564" s="34" t="str"/>
      <x:c r="V564" s="34" t="str">
        <x:f>IF(A564="","",IF(N564&lt;5,"样本不足",IF(Q564&gt;=1,"优先复核",IF(AND(N564&gt;=20,P564&lt;0.35,K564&gt;=5),"停用候选",IF(AND(N564&gt;=10,P564&lt;0.45),"需修改候选",IF(AND(N564&gt;=10,P564&gt;=0.75,R564/N564&lt;=0.15,S564/N564&lt;=0.15),"升级候选",IF(R564/N564&gt;0.3,"收紧条件",IF(S564/N564&gt;0.3,"补漏／放宽","继续观察"))))))))</x:f>
      </x:c>
      <x:c r="W564" s="34" t="str">
        <x:f>IF(V564="","",IF(V564="升级候选","已验证候选",IF(V564="停用候选","停用候选",IF(OR(V564="需修改候选",V564="收紧条件",V564="补漏／放宽",V564="优先复核"),"需修改／复核","观察中"))))</x:f>
      </x:c>
      <x:c r="X564" s="34" t="str"/>
      <x:c r="Y564" s="34" t="str"/>
    </x:row>
    <x:row r="565">
      <x:c r="A565" s="34" t="str"/>
      <x:c r="B565" s="34" t="str"/>
      <x:c r="C565" s="34" t="str"/>
      <x:c r="D565" s="34" t="str"/>
      <x:c r="E565" s="34" t="str"/>
      <x:c r="F565" s="34" t="str"/>
      <x:c r="G565" s="34" t="str"/>
      <x:c r="H565" s="34" t="str">
        <x:v>待验证</x:v>
      </x:c>
      <x:c r="I565" s="34" t="str"/>
      <x:c r="J565" s="34" t="str"/>
      <x:c r="K565" s="34" t="str"/>
      <x:c r="L565" s="34" t="str"/>
      <x:c r="M565" s="34" t="str"/>
      <x:c r="N565" s="34" t="str">
        <x:f>IF(A565="","",I565+J565+K565)</x:f>
      </x:c>
      <x:c r="O565" s="56" t="str">
        <x:f>IF(N565=0,"",(I565+0.5*J565)/N565)</x:f>
      </x:c>
      <x:c r="P565" s="56" t="str">
        <x:f>IF(N565=0,"",(I565+0.5*J565+1)/(N565+2))</x:f>
      </x:c>
      <x:c r="Q565" s="34" t="str"/>
      <x:c r="R565" s="34" t="str"/>
      <x:c r="S565" s="34" t="str"/>
      <x:c r="T565" s="34" t="str"/>
      <x:c r="U565" s="34" t="str"/>
      <x:c r="V565" s="34" t="str">
        <x:f>IF(A565="","",IF(N565&lt;5,"样本不足",IF(Q565&gt;=1,"优先复核",IF(AND(N565&gt;=20,P565&lt;0.35,K565&gt;=5),"停用候选",IF(AND(N565&gt;=10,P565&lt;0.45),"需修改候选",IF(AND(N565&gt;=10,P565&gt;=0.75,R565/N565&lt;=0.15,S565/N565&lt;=0.15),"升级候选",IF(R565/N565&gt;0.3,"收紧条件",IF(S565/N565&gt;0.3,"补漏／放宽","继续观察"))))))))</x:f>
      </x:c>
      <x:c r="W565" s="34" t="str">
        <x:f>IF(V565="","",IF(V565="升级候选","已验证候选",IF(V565="停用候选","停用候选",IF(OR(V565="需修改候选",V565="收紧条件",V565="补漏／放宽",V565="优先复核"),"需修改／复核","观察中"))))</x:f>
      </x:c>
      <x:c r="X565" s="34" t="str"/>
      <x:c r="Y565" s="34" t="str"/>
    </x:row>
    <x:row r="566">
      <x:c r="A566" s="34" t="str"/>
      <x:c r="B566" s="34" t="str"/>
      <x:c r="C566" s="34" t="str"/>
      <x:c r="D566" s="34" t="str"/>
      <x:c r="E566" s="34" t="str"/>
      <x:c r="F566" s="34" t="str"/>
      <x:c r="G566" s="34" t="str"/>
      <x:c r="H566" s="34" t="str">
        <x:v>待验证</x:v>
      </x:c>
      <x:c r="I566" s="34" t="str"/>
      <x:c r="J566" s="34" t="str"/>
      <x:c r="K566" s="34" t="str"/>
      <x:c r="L566" s="34" t="str"/>
      <x:c r="M566" s="34" t="str"/>
      <x:c r="N566" s="34" t="str">
        <x:f>IF(A566="","",I566+J566+K566)</x:f>
      </x:c>
      <x:c r="O566" s="56" t="str">
        <x:f>IF(N566=0,"",(I566+0.5*J566)/N566)</x:f>
      </x:c>
      <x:c r="P566" s="56" t="str">
        <x:f>IF(N566=0,"",(I566+0.5*J566+1)/(N566+2))</x:f>
      </x:c>
      <x:c r="Q566" s="34" t="str"/>
      <x:c r="R566" s="34" t="str"/>
      <x:c r="S566" s="34" t="str"/>
      <x:c r="T566" s="34" t="str"/>
      <x:c r="U566" s="34" t="str"/>
      <x:c r="V566" s="34" t="str">
        <x:f>IF(A566="","",IF(N566&lt;5,"样本不足",IF(Q566&gt;=1,"优先复核",IF(AND(N566&gt;=20,P566&lt;0.35,K566&gt;=5),"停用候选",IF(AND(N566&gt;=10,P566&lt;0.45),"需修改候选",IF(AND(N566&gt;=10,P566&gt;=0.75,R566/N566&lt;=0.15,S566/N566&lt;=0.15),"升级候选",IF(R566/N566&gt;0.3,"收紧条件",IF(S566/N566&gt;0.3,"补漏／放宽","继续观察"))))))))</x:f>
      </x:c>
      <x:c r="W566" s="34" t="str">
        <x:f>IF(V566="","",IF(V566="升级候选","已验证候选",IF(V566="停用候选","停用候选",IF(OR(V566="需修改候选",V566="收紧条件",V566="补漏／放宽",V566="优先复核"),"需修改／复核","观察中"))))</x:f>
      </x:c>
      <x:c r="X566" s="34" t="str"/>
      <x:c r="Y566" s="34" t="str"/>
    </x:row>
    <x:row r="567">
      <x:c r="A567" s="34" t="str"/>
      <x:c r="B567" s="34" t="str"/>
      <x:c r="C567" s="34" t="str"/>
      <x:c r="D567" s="34" t="str"/>
      <x:c r="E567" s="34" t="str"/>
      <x:c r="F567" s="34" t="str"/>
      <x:c r="G567" s="34" t="str"/>
      <x:c r="H567" s="34" t="str">
        <x:v>待验证</x:v>
      </x:c>
      <x:c r="I567" s="34" t="str"/>
      <x:c r="J567" s="34" t="str"/>
      <x:c r="K567" s="34" t="str"/>
      <x:c r="L567" s="34" t="str"/>
      <x:c r="M567" s="34" t="str"/>
      <x:c r="N567" s="34" t="str">
        <x:f>IF(A567="","",I567+J567+K567)</x:f>
      </x:c>
      <x:c r="O567" s="56" t="str">
        <x:f>IF(N567=0,"",(I567+0.5*J567)/N567)</x:f>
      </x:c>
      <x:c r="P567" s="56" t="str">
        <x:f>IF(N567=0,"",(I567+0.5*J567+1)/(N567+2))</x:f>
      </x:c>
      <x:c r="Q567" s="34" t="str"/>
      <x:c r="R567" s="34" t="str"/>
      <x:c r="S567" s="34" t="str"/>
      <x:c r="T567" s="34" t="str"/>
      <x:c r="U567" s="34" t="str"/>
      <x:c r="V567" s="34" t="str">
        <x:f>IF(A567="","",IF(N567&lt;5,"样本不足",IF(Q567&gt;=1,"优先复核",IF(AND(N567&gt;=20,P567&lt;0.35,K567&gt;=5),"停用候选",IF(AND(N567&gt;=10,P567&lt;0.45),"需修改候选",IF(AND(N567&gt;=10,P567&gt;=0.75,R567/N567&lt;=0.15,S567/N567&lt;=0.15),"升级候选",IF(R567/N567&gt;0.3,"收紧条件",IF(S567/N567&gt;0.3,"补漏／放宽","继续观察"))))))))</x:f>
      </x:c>
      <x:c r="W567" s="34" t="str">
        <x:f>IF(V567="","",IF(V567="升级候选","已验证候选",IF(V567="停用候选","停用候选",IF(OR(V567="需修改候选",V567="收紧条件",V567="补漏／放宽",V567="优先复核"),"需修改／复核","观察中"))))</x:f>
      </x:c>
      <x:c r="X567" s="34" t="str"/>
      <x:c r="Y567" s="34" t="str"/>
    </x:row>
    <x:row r="568">
      <x:c r="A568" s="34" t="str"/>
      <x:c r="B568" s="34" t="str"/>
      <x:c r="C568" s="34" t="str"/>
      <x:c r="D568" s="34" t="str"/>
      <x:c r="E568" s="34" t="str"/>
      <x:c r="F568" s="34" t="str"/>
      <x:c r="G568" s="34" t="str"/>
      <x:c r="H568" s="34" t="str">
        <x:v>待验证</x:v>
      </x:c>
      <x:c r="I568" s="34" t="str"/>
      <x:c r="J568" s="34" t="str"/>
      <x:c r="K568" s="34" t="str"/>
      <x:c r="L568" s="34" t="str"/>
      <x:c r="M568" s="34" t="str"/>
      <x:c r="N568" s="34" t="str">
        <x:f>IF(A568="","",I568+J568+K568)</x:f>
      </x:c>
      <x:c r="O568" s="56" t="str">
        <x:f>IF(N568=0,"",(I568+0.5*J568)/N568)</x:f>
      </x:c>
      <x:c r="P568" s="56" t="str">
        <x:f>IF(N568=0,"",(I568+0.5*J568+1)/(N568+2))</x:f>
      </x:c>
      <x:c r="Q568" s="34" t="str"/>
      <x:c r="R568" s="34" t="str"/>
      <x:c r="S568" s="34" t="str"/>
      <x:c r="T568" s="34" t="str"/>
      <x:c r="U568" s="34" t="str"/>
      <x:c r="V568" s="34" t="str">
        <x:f>IF(A568="","",IF(N568&lt;5,"样本不足",IF(Q568&gt;=1,"优先复核",IF(AND(N568&gt;=20,P568&lt;0.35,K568&gt;=5),"停用候选",IF(AND(N568&gt;=10,P568&lt;0.45),"需修改候选",IF(AND(N568&gt;=10,P568&gt;=0.75,R568/N568&lt;=0.15,S568/N568&lt;=0.15),"升级候选",IF(R568/N568&gt;0.3,"收紧条件",IF(S568/N568&gt;0.3,"补漏／放宽","继续观察"))))))))</x:f>
      </x:c>
      <x:c r="W568" s="34" t="str">
        <x:f>IF(V568="","",IF(V568="升级候选","已验证候选",IF(V568="停用候选","停用候选",IF(OR(V568="需修改候选",V568="收紧条件",V568="补漏／放宽",V568="优先复核"),"需修改／复核","观察中"))))</x:f>
      </x:c>
      <x:c r="X568" s="34" t="str"/>
      <x:c r="Y568" s="34" t="str"/>
    </x:row>
    <x:row r="569">
      <x:c r="A569" s="34" t="str"/>
      <x:c r="B569" s="34" t="str"/>
      <x:c r="C569" s="34" t="str"/>
      <x:c r="D569" s="34" t="str"/>
      <x:c r="E569" s="34" t="str"/>
      <x:c r="F569" s="34" t="str"/>
      <x:c r="G569" s="34" t="str"/>
      <x:c r="H569" s="34" t="str">
        <x:v>待验证</x:v>
      </x:c>
      <x:c r="I569" s="34" t="str"/>
      <x:c r="J569" s="34" t="str"/>
      <x:c r="K569" s="34" t="str"/>
      <x:c r="L569" s="34" t="str"/>
      <x:c r="M569" s="34" t="str"/>
      <x:c r="N569" s="34" t="str">
        <x:f>IF(A569="","",I569+J569+K569)</x:f>
      </x:c>
      <x:c r="O569" s="56" t="str">
        <x:f>IF(N569=0,"",(I569+0.5*J569)/N569)</x:f>
      </x:c>
      <x:c r="P569" s="56" t="str">
        <x:f>IF(N569=0,"",(I569+0.5*J569+1)/(N569+2))</x:f>
      </x:c>
      <x:c r="Q569" s="34" t="str"/>
      <x:c r="R569" s="34" t="str"/>
      <x:c r="S569" s="34" t="str"/>
      <x:c r="T569" s="34" t="str"/>
      <x:c r="U569" s="34" t="str"/>
      <x:c r="V569" s="34" t="str">
        <x:f>IF(A569="","",IF(N569&lt;5,"样本不足",IF(Q569&gt;=1,"优先复核",IF(AND(N569&gt;=20,P569&lt;0.35,K569&gt;=5),"停用候选",IF(AND(N569&gt;=10,P569&lt;0.45),"需修改候选",IF(AND(N569&gt;=10,P569&gt;=0.75,R569/N569&lt;=0.15,S569/N569&lt;=0.15),"升级候选",IF(R569/N569&gt;0.3,"收紧条件",IF(S569/N569&gt;0.3,"补漏／放宽","继续观察"))))))))</x:f>
      </x:c>
      <x:c r="W569" s="34" t="str">
        <x:f>IF(V569="","",IF(V569="升级候选","已验证候选",IF(V569="停用候选","停用候选",IF(OR(V569="需修改候选",V569="收紧条件",V569="补漏／放宽",V569="优先复核"),"需修改／复核","观察中"))))</x:f>
      </x:c>
      <x:c r="X569" s="34" t="str"/>
      <x:c r="Y569" s="34" t="str"/>
    </x:row>
    <x:row r="570">
      <x:c r="A570" s="34" t="str"/>
      <x:c r="B570" s="34" t="str"/>
      <x:c r="C570" s="34" t="str"/>
      <x:c r="D570" s="34" t="str"/>
      <x:c r="E570" s="34" t="str"/>
      <x:c r="F570" s="34" t="str"/>
      <x:c r="G570" s="34" t="str"/>
      <x:c r="H570" s="34" t="str">
        <x:v>待验证</x:v>
      </x:c>
      <x:c r="I570" s="34" t="str"/>
      <x:c r="J570" s="34" t="str"/>
      <x:c r="K570" s="34" t="str"/>
      <x:c r="L570" s="34" t="str"/>
      <x:c r="M570" s="34" t="str"/>
      <x:c r="N570" s="34" t="str">
        <x:f>IF(A570="","",I570+J570+K570)</x:f>
      </x:c>
      <x:c r="O570" s="56" t="str">
        <x:f>IF(N570=0,"",(I570+0.5*J570)/N570)</x:f>
      </x:c>
      <x:c r="P570" s="56" t="str">
        <x:f>IF(N570=0,"",(I570+0.5*J570+1)/(N570+2))</x:f>
      </x:c>
      <x:c r="Q570" s="34" t="str"/>
      <x:c r="R570" s="34" t="str"/>
      <x:c r="S570" s="34" t="str"/>
      <x:c r="T570" s="34" t="str"/>
      <x:c r="U570" s="34" t="str"/>
      <x:c r="V570" s="34" t="str">
        <x:f>IF(A570="","",IF(N570&lt;5,"样本不足",IF(Q570&gt;=1,"优先复核",IF(AND(N570&gt;=20,P570&lt;0.35,K570&gt;=5),"停用候选",IF(AND(N570&gt;=10,P570&lt;0.45),"需修改候选",IF(AND(N570&gt;=10,P570&gt;=0.75,R570/N570&lt;=0.15,S570/N570&lt;=0.15),"升级候选",IF(R570/N570&gt;0.3,"收紧条件",IF(S570/N570&gt;0.3,"补漏／放宽","继续观察"))))))))</x:f>
      </x:c>
      <x:c r="W570" s="34" t="str">
        <x:f>IF(V570="","",IF(V570="升级候选","已验证候选",IF(V570="停用候选","停用候选",IF(OR(V570="需修改候选",V570="收紧条件",V570="补漏／放宽",V570="优先复核"),"需修改／复核","观察中"))))</x:f>
      </x:c>
      <x:c r="X570" s="34" t="str"/>
      <x:c r="Y570" s="34" t="str"/>
    </x:row>
    <x:row r="571">
      <x:c r="A571" s="34" t="str"/>
      <x:c r="B571" s="34" t="str"/>
      <x:c r="C571" s="34" t="str"/>
      <x:c r="D571" s="34" t="str"/>
      <x:c r="E571" s="34" t="str"/>
      <x:c r="F571" s="34" t="str"/>
      <x:c r="G571" s="34" t="str"/>
      <x:c r="H571" s="34" t="str">
        <x:v>待验证</x:v>
      </x:c>
      <x:c r="I571" s="34" t="str"/>
      <x:c r="J571" s="34" t="str"/>
      <x:c r="K571" s="34" t="str"/>
      <x:c r="L571" s="34" t="str"/>
      <x:c r="M571" s="34" t="str"/>
      <x:c r="N571" s="34" t="str">
        <x:f>IF(A571="","",I571+J571+K571)</x:f>
      </x:c>
      <x:c r="O571" s="56" t="str">
        <x:f>IF(N571=0,"",(I571+0.5*J571)/N571)</x:f>
      </x:c>
      <x:c r="P571" s="56" t="str">
        <x:f>IF(N571=0,"",(I571+0.5*J571+1)/(N571+2))</x:f>
      </x:c>
      <x:c r="Q571" s="34" t="str"/>
      <x:c r="R571" s="34" t="str"/>
      <x:c r="S571" s="34" t="str"/>
      <x:c r="T571" s="34" t="str"/>
      <x:c r="U571" s="34" t="str"/>
      <x:c r="V571" s="34" t="str">
        <x:f>IF(A571="","",IF(N571&lt;5,"样本不足",IF(Q571&gt;=1,"优先复核",IF(AND(N571&gt;=20,P571&lt;0.35,K571&gt;=5),"停用候选",IF(AND(N571&gt;=10,P571&lt;0.45),"需修改候选",IF(AND(N571&gt;=10,P571&gt;=0.75,R571/N571&lt;=0.15,S571/N571&lt;=0.15),"升级候选",IF(R571/N571&gt;0.3,"收紧条件",IF(S571/N571&gt;0.3,"补漏／放宽","继续观察"))))))))</x:f>
      </x:c>
      <x:c r="W571" s="34" t="str">
        <x:f>IF(V571="","",IF(V571="升级候选","已验证候选",IF(V571="停用候选","停用候选",IF(OR(V571="需修改候选",V571="收紧条件",V571="补漏／放宽",V571="优先复核"),"需修改／复核","观察中"))))</x:f>
      </x:c>
      <x:c r="X571" s="34" t="str"/>
      <x:c r="Y571" s="34" t="str"/>
    </x:row>
    <x:row r="572">
      <x:c r="A572" s="34" t="str"/>
      <x:c r="B572" s="34" t="str"/>
      <x:c r="C572" s="34" t="str"/>
      <x:c r="D572" s="34" t="str"/>
      <x:c r="E572" s="34" t="str"/>
      <x:c r="F572" s="34" t="str"/>
      <x:c r="G572" s="34" t="str"/>
      <x:c r="H572" s="34" t="str">
        <x:v>待验证</x:v>
      </x:c>
      <x:c r="I572" s="34" t="str"/>
      <x:c r="J572" s="34" t="str"/>
      <x:c r="K572" s="34" t="str"/>
      <x:c r="L572" s="34" t="str"/>
      <x:c r="M572" s="34" t="str"/>
      <x:c r="N572" s="34" t="str">
        <x:f>IF(A572="","",I572+J572+K572)</x:f>
      </x:c>
      <x:c r="O572" s="56" t="str">
        <x:f>IF(N572=0,"",(I572+0.5*J572)/N572)</x:f>
      </x:c>
      <x:c r="P572" s="56" t="str">
        <x:f>IF(N572=0,"",(I572+0.5*J572+1)/(N572+2))</x:f>
      </x:c>
      <x:c r="Q572" s="34" t="str"/>
      <x:c r="R572" s="34" t="str"/>
      <x:c r="S572" s="34" t="str"/>
      <x:c r="T572" s="34" t="str"/>
      <x:c r="U572" s="34" t="str"/>
      <x:c r="V572" s="34" t="str">
        <x:f>IF(A572="","",IF(N572&lt;5,"样本不足",IF(Q572&gt;=1,"优先复核",IF(AND(N572&gt;=20,P572&lt;0.35,K572&gt;=5),"停用候选",IF(AND(N572&gt;=10,P572&lt;0.45),"需修改候选",IF(AND(N572&gt;=10,P572&gt;=0.75,R572/N572&lt;=0.15,S572/N572&lt;=0.15),"升级候选",IF(R572/N572&gt;0.3,"收紧条件",IF(S572/N572&gt;0.3,"补漏／放宽","继续观察"))))))))</x:f>
      </x:c>
      <x:c r="W572" s="34" t="str">
        <x:f>IF(V572="","",IF(V572="升级候选","已验证候选",IF(V572="停用候选","停用候选",IF(OR(V572="需修改候选",V572="收紧条件",V572="补漏／放宽",V572="优先复核"),"需修改／复核","观察中"))))</x:f>
      </x:c>
      <x:c r="X572" s="34" t="str"/>
      <x:c r="Y572" s="34" t="str"/>
    </x:row>
    <x:row r="573">
      <x:c r="A573" s="34" t="str"/>
      <x:c r="B573" s="34" t="str"/>
      <x:c r="C573" s="34" t="str"/>
      <x:c r="D573" s="34" t="str"/>
      <x:c r="E573" s="34" t="str"/>
      <x:c r="F573" s="34" t="str"/>
      <x:c r="G573" s="34" t="str"/>
      <x:c r="H573" s="34" t="str">
        <x:v>待验证</x:v>
      </x:c>
      <x:c r="I573" s="34" t="str"/>
      <x:c r="J573" s="34" t="str"/>
      <x:c r="K573" s="34" t="str"/>
      <x:c r="L573" s="34" t="str"/>
      <x:c r="M573" s="34" t="str"/>
      <x:c r="N573" s="34" t="str">
        <x:f>IF(A573="","",I573+J573+K573)</x:f>
      </x:c>
      <x:c r="O573" s="56" t="str">
        <x:f>IF(N573=0,"",(I573+0.5*J573)/N573)</x:f>
      </x:c>
      <x:c r="P573" s="56" t="str">
        <x:f>IF(N573=0,"",(I573+0.5*J573+1)/(N573+2))</x:f>
      </x:c>
      <x:c r="Q573" s="34" t="str"/>
      <x:c r="R573" s="34" t="str"/>
      <x:c r="S573" s="34" t="str"/>
      <x:c r="T573" s="34" t="str"/>
      <x:c r="U573" s="34" t="str"/>
      <x:c r="V573" s="34" t="str">
        <x:f>IF(A573="","",IF(N573&lt;5,"样本不足",IF(Q573&gt;=1,"优先复核",IF(AND(N573&gt;=20,P573&lt;0.35,K573&gt;=5),"停用候选",IF(AND(N573&gt;=10,P573&lt;0.45),"需修改候选",IF(AND(N573&gt;=10,P573&gt;=0.75,R573/N573&lt;=0.15,S573/N573&lt;=0.15),"升级候选",IF(R573/N573&gt;0.3,"收紧条件",IF(S573/N573&gt;0.3,"补漏／放宽","继续观察"))))))))</x:f>
      </x:c>
      <x:c r="W573" s="34" t="str">
        <x:f>IF(V573="","",IF(V573="升级候选","已验证候选",IF(V573="停用候选","停用候选",IF(OR(V573="需修改候选",V573="收紧条件",V573="补漏／放宽",V573="优先复核"),"需修改／复核","观察中"))))</x:f>
      </x:c>
      <x:c r="X573" s="34" t="str"/>
      <x:c r="Y573" s="34" t="str"/>
    </x:row>
    <x:row r="574">
      <x:c r="A574" s="34" t="str"/>
      <x:c r="B574" s="34" t="str"/>
      <x:c r="C574" s="34" t="str"/>
      <x:c r="D574" s="34" t="str"/>
      <x:c r="E574" s="34" t="str"/>
      <x:c r="F574" s="34" t="str"/>
      <x:c r="G574" s="34" t="str"/>
      <x:c r="H574" s="34" t="str">
        <x:v>待验证</x:v>
      </x:c>
      <x:c r="I574" s="34" t="str"/>
      <x:c r="J574" s="34" t="str"/>
      <x:c r="K574" s="34" t="str"/>
      <x:c r="L574" s="34" t="str"/>
      <x:c r="M574" s="34" t="str"/>
      <x:c r="N574" s="34" t="str">
        <x:f>IF(A574="","",I574+J574+K574)</x:f>
      </x:c>
      <x:c r="O574" s="56" t="str">
        <x:f>IF(N574=0,"",(I574+0.5*J574)/N574)</x:f>
      </x:c>
      <x:c r="P574" s="56" t="str">
        <x:f>IF(N574=0,"",(I574+0.5*J574+1)/(N574+2))</x:f>
      </x:c>
      <x:c r="Q574" s="34" t="str"/>
      <x:c r="R574" s="34" t="str"/>
      <x:c r="S574" s="34" t="str"/>
      <x:c r="T574" s="34" t="str"/>
      <x:c r="U574" s="34" t="str"/>
      <x:c r="V574" s="34" t="str">
        <x:f>IF(A574="","",IF(N574&lt;5,"样本不足",IF(Q574&gt;=1,"优先复核",IF(AND(N574&gt;=20,P574&lt;0.35,K574&gt;=5),"停用候选",IF(AND(N574&gt;=10,P574&lt;0.45),"需修改候选",IF(AND(N574&gt;=10,P574&gt;=0.75,R574/N574&lt;=0.15,S574/N574&lt;=0.15),"升级候选",IF(R574/N574&gt;0.3,"收紧条件",IF(S574/N574&gt;0.3,"补漏／放宽","继续观察"))))))))</x:f>
      </x:c>
      <x:c r="W574" s="34" t="str">
        <x:f>IF(V574="","",IF(V574="升级候选","已验证候选",IF(V574="停用候选","停用候选",IF(OR(V574="需修改候选",V574="收紧条件",V574="补漏／放宽",V574="优先复核"),"需修改／复核","观察中"))))</x:f>
      </x:c>
      <x:c r="X574" s="34" t="str"/>
      <x:c r="Y574" s="34" t="str"/>
    </x:row>
    <x:row r="575">
      <x:c r="A575" s="34" t="str"/>
      <x:c r="B575" s="34" t="str"/>
      <x:c r="C575" s="34" t="str"/>
      <x:c r="D575" s="34" t="str"/>
      <x:c r="E575" s="34" t="str"/>
      <x:c r="F575" s="34" t="str"/>
      <x:c r="G575" s="34" t="str"/>
      <x:c r="H575" s="34" t="str">
        <x:v>待验证</x:v>
      </x:c>
      <x:c r="I575" s="34" t="str"/>
      <x:c r="J575" s="34" t="str"/>
      <x:c r="K575" s="34" t="str"/>
      <x:c r="L575" s="34" t="str"/>
      <x:c r="M575" s="34" t="str"/>
      <x:c r="N575" s="34" t="str">
        <x:f>IF(A575="","",I575+J575+K575)</x:f>
      </x:c>
      <x:c r="O575" s="56" t="str">
        <x:f>IF(N575=0,"",(I575+0.5*J575)/N575)</x:f>
      </x:c>
      <x:c r="P575" s="56" t="str">
        <x:f>IF(N575=0,"",(I575+0.5*J575+1)/(N575+2))</x:f>
      </x:c>
      <x:c r="Q575" s="34" t="str"/>
      <x:c r="R575" s="34" t="str"/>
      <x:c r="S575" s="34" t="str"/>
      <x:c r="T575" s="34" t="str"/>
      <x:c r="U575" s="34" t="str"/>
      <x:c r="V575" s="34" t="str">
        <x:f>IF(A575="","",IF(N575&lt;5,"样本不足",IF(Q575&gt;=1,"优先复核",IF(AND(N575&gt;=20,P575&lt;0.35,K575&gt;=5),"停用候选",IF(AND(N575&gt;=10,P575&lt;0.45),"需修改候选",IF(AND(N575&gt;=10,P575&gt;=0.75,R575/N575&lt;=0.15,S575/N575&lt;=0.15),"升级候选",IF(R575/N575&gt;0.3,"收紧条件",IF(S575/N575&gt;0.3,"补漏／放宽","继续观察"))))))))</x:f>
      </x:c>
      <x:c r="W575" s="34" t="str">
        <x:f>IF(V575="","",IF(V575="升级候选","已验证候选",IF(V575="停用候选","停用候选",IF(OR(V575="需修改候选",V575="收紧条件",V575="补漏／放宽",V575="优先复核"),"需修改／复核","观察中"))))</x:f>
      </x:c>
      <x:c r="X575" s="34" t="str"/>
      <x:c r="Y575" s="34" t="str"/>
    </x:row>
    <x:row r="576">
      <x:c r="A576" s="34" t="str"/>
      <x:c r="B576" s="34" t="str"/>
      <x:c r="C576" s="34" t="str"/>
      <x:c r="D576" s="34" t="str"/>
      <x:c r="E576" s="34" t="str"/>
      <x:c r="F576" s="34" t="str"/>
      <x:c r="G576" s="34" t="str"/>
      <x:c r="H576" s="34" t="str">
        <x:v>待验证</x:v>
      </x:c>
      <x:c r="I576" s="34" t="str"/>
      <x:c r="J576" s="34" t="str"/>
      <x:c r="K576" s="34" t="str"/>
      <x:c r="L576" s="34" t="str"/>
      <x:c r="M576" s="34" t="str"/>
      <x:c r="N576" s="34" t="str">
        <x:f>IF(A576="","",I576+J576+K576)</x:f>
      </x:c>
      <x:c r="O576" s="56" t="str">
        <x:f>IF(N576=0,"",(I576+0.5*J576)/N576)</x:f>
      </x:c>
      <x:c r="P576" s="56" t="str">
        <x:f>IF(N576=0,"",(I576+0.5*J576+1)/(N576+2))</x:f>
      </x:c>
      <x:c r="Q576" s="34" t="str"/>
      <x:c r="R576" s="34" t="str"/>
      <x:c r="S576" s="34" t="str"/>
      <x:c r="T576" s="34" t="str"/>
      <x:c r="U576" s="34" t="str"/>
      <x:c r="V576" s="34" t="str">
        <x:f>IF(A576="","",IF(N576&lt;5,"样本不足",IF(Q576&gt;=1,"优先复核",IF(AND(N576&gt;=20,P576&lt;0.35,K576&gt;=5),"停用候选",IF(AND(N576&gt;=10,P576&lt;0.45),"需修改候选",IF(AND(N576&gt;=10,P576&gt;=0.75,R576/N576&lt;=0.15,S576/N576&lt;=0.15),"升级候选",IF(R576/N576&gt;0.3,"收紧条件",IF(S576/N576&gt;0.3,"补漏／放宽","继续观察"))))))))</x:f>
      </x:c>
      <x:c r="W576" s="34" t="str">
        <x:f>IF(V576="","",IF(V576="升级候选","已验证候选",IF(V576="停用候选","停用候选",IF(OR(V576="需修改候选",V576="收紧条件",V576="补漏／放宽",V576="优先复核"),"需修改／复核","观察中"))))</x:f>
      </x:c>
      <x:c r="X576" s="34" t="str"/>
      <x:c r="Y576" s="34" t="str"/>
    </x:row>
    <x:row r="577">
      <x:c r="A577" s="34" t="str"/>
      <x:c r="B577" s="34" t="str"/>
      <x:c r="C577" s="34" t="str"/>
      <x:c r="D577" s="34" t="str"/>
      <x:c r="E577" s="34" t="str"/>
      <x:c r="F577" s="34" t="str"/>
      <x:c r="G577" s="34" t="str"/>
      <x:c r="H577" s="34" t="str">
        <x:v>待验证</x:v>
      </x:c>
      <x:c r="I577" s="34" t="str"/>
      <x:c r="J577" s="34" t="str"/>
      <x:c r="K577" s="34" t="str"/>
      <x:c r="L577" s="34" t="str"/>
      <x:c r="M577" s="34" t="str"/>
      <x:c r="N577" s="34" t="str">
        <x:f>IF(A577="","",I577+J577+K577)</x:f>
      </x:c>
      <x:c r="O577" s="56" t="str">
        <x:f>IF(N577=0,"",(I577+0.5*J577)/N577)</x:f>
      </x:c>
      <x:c r="P577" s="56" t="str">
        <x:f>IF(N577=0,"",(I577+0.5*J577+1)/(N577+2))</x:f>
      </x:c>
      <x:c r="Q577" s="34" t="str"/>
      <x:c r="R577" s="34" t="str"/>
      <x:c r="S577" s="34" t="str"/>
      <x:c r="T577" s="34" t="str"/>
      <x:c r="U577" s="34" t="str"/>
      <x:c r="V577" s="34" t="str">
        <x:f>IF(A577="","",IF(N577&lt;5,"样本不足",IF(Q577&gt;=1,"优先复核",IF(AND(N577&gt;=20,P577&lt;0.35,K577&gt;=5),"停用候选",IF(AND(N577&gt;=10,P577&lt;0.45),"需修改候选",IF(AND(N577&gt;=10,P577&gt;=0.75,R577/N577&lt;=0.15,S577/N577&lt;=0.15),"升级候选",IF(R577/N577&gt;0.3,"收紧条件",IF(S577/N577&gt;0.3,"补漏／放宽","继续观察"))))))))</x:f>
      </x:c>
      <x:c r="W577" s="34" t="str">
        <x:f>IF(V577="","",IF(V577="升级候选","已验证候选",IF(V577="停用候选","停用候选",IF(OR(V577="需修改候选",V577="收紧条件",V577="补漏／放宽",V577="优先复核"),"需修改／复核","观察中"))))</x:f>
      </x:c>
      <x:c r="X577" s="34" t="str"/>
      <x:c r="Y577" s="34" t="str"/>
    </x:row>
    <x:row r="578">
      <x:c r="A578" s="34" t="str"/>
      <x:c r="B578" s="34" t="str"/>
      <x:c r="C578" s="34" t="str"/>
      <x:c r="D578" s="34" t="str"/>
      <x:c r="E578" s="34" t="str"/>
      <x:c r="F578" s="34" t="str"/>
      <x:c r="G578" s="34" t="str"/>
      <x:c r="H578" s="34" t="str">
        <x:v>待验证</x:v>
      </x:c>
      <x:c r="I578" s="34" t="str"/>
      <x:c r="J578" s="34" t="str"/>
      <x:c r="K578" s="34" t="str"/>
      <x:c r="L578" s="34" t="str"/>
      <x:c r="M578" s="34" t="str"/>
      <x:c r="N578" s="34" t="str">
        <x:f>IF(A578="","",I578+J578+K578)</x:f>
      </x:c>
      <x:c r="O578" s="56" t="str">
        <x:f>IF(N578=0,"",(I578+0.5*J578)/N578)</x:f>
      </x:c>
      <x:c r="P578" s="56" t="str">
        <x:f>IF(N578=0,"",(I578+0.5*J578+1)/(N578+2))</x:f>
      </x:c>
      <x:c r="Q578" s="34" t="str"/>
      <x:c r="R578" s="34" t="str"/>
      <x:c r="S578" s="34" t="str"/>
      <x:c r="T578" s="34" t="str"/>
      <x:c r="U578" s="34" t="str"/>
      <x:c r="V578" s="34" t="str">
        <x:f>IF(A578="","",IF(N578&lt;5,"样本不足",IF(Q578&gt;=1,"优先复核",IF(AND(N578&gt;=20,P578&lt;0.35,K578&gt;=5),"停用候选",IF(AND(N578&gt;=10,P578&lt;0.45),"需修改候选",IF(AND(N578&gt;=10,P578&gt;=0.75,R578/N578&lt;=0.15,S578/N578&lt;=0.15),"升级候选",IF(R578/N578&gt;0.3,"收紧条件",IF(S578/N578&gt;0.3,"补漏／放宽","继续观察"))))))))</x:f>
      </x:c>
      <x:c r="W578" s="34" t="str">
        <x:f>IF(V578="","",IF(V578="升级候选","已验证候选",IF(V578="停用候选","停用候选",IF(OR(V578="需修改候选",V578="收紧条件",V578="补漏／放宽",V578="优先复核"),"需修改／复核","观察中"))))</x:f>
      </x:c>
      <x:c r="X578" s="34" t="str"/>
      <x:c r="Y578" s="34" t="str"/>
    </x:row>
    <x:row r="579">
      <x:c r="A579" s="34" t="str"/>
      <x:c r="B579" s="34" t="str"/>
      <x:c r="C579" s="34" t="str"/>
      <x:c r="D579" s="34" t="str"/>
      <x:c r="E579" s="34" t="str"/>
      <x:c r="F579" s="34" t="str"/>
      <x:c r="G579" s="34" t="str"/>
      <x:c r="H579" s="34" t="str">
        <x:v>待验证</x:v>
      </x:c>
      <x:c r="I579" s="34" t="str"/>
      <x:c r="J579" s="34" t="str"/>
      <x:c r="K579" s="34" t="str"/>
      <x:c r="L579" s="34" t="str"/>
      <x:c r="M579" s="34" t="str"/>
      <x:c r="N579" s="34" t="str">
        <x:f>IF(A579="","",I579+J579+K579)</x:f>
      </x:c>
      <x:c r="O579" s="56" t="str">
        <x:f>IF(N579=0,"",(I579+0.5*J579)/N579)</x:f>
      </x:c>
      <x:c r="P579" s="56" t="str">
        <x:f>IF(N579=0,"",(I579+0.5*J579+1)/(N579+2))</x:f>
      </x:c>
      <x:c r="Q579" s="34" t="str"/>
      <x:c r="R579" s="34" t="str"/>
      <x:c r="S579" s="34" t="str"/>
      <x:c r="T579" s="34" t="str"/>
      <x:c r="U579" s="34" t="str"/>
      <x:c r="V579" s="34" t="str">
        <x:f>IF(A579="","",IF(N579&lt;5,"样本不足",IF(Q579&gt;=1,"优先复核",IF(AND(N579&gt;=20,P579&lt;0.35,K579&gt;=5),"停用候选",IF(AND(N579&gt;=10,P579&lt;0.45),"需修改候选",IF(AND(N579&gt;=10,P579&gt;=0.75,R579/N579&lt;=0.15,S579/N579&lt;=0.15),"升级候选",IF(R579/N579&gt;0.3,"收紧条件",IF(S579/N579&gt;0.3,"补漏／放宽","继续观察"))))))))</x:f>
      </x:c>
      <x:c r="W579" s="34" t="str">
        <x:f>IF(V579="","",IF(V579="升级候选","已验证候选",IF(V579="停用候选","停用候选",IF(OR(V579="需修改候选",V579="收紧条件",V579="补漏／放宽",V579="优先复核"),"需修改／复核","观察中"))))</x:f>
      </x:c>
      <x:c r="X579" s="34" t="str"/>
      <x:c r="Y579" s="34" t="str"/>
    </x:row>
    <x:row r="580">
      <x:c r="A580" s="34" t="str"/>
      <x:c r="B580" s="34" t="str"/>
      <x:c r="C580" s="34" t="str"/>
      <x:c r="D580" s="34" t="str"/>
      <x:c r="E580" s="34" t="str"/>
      <x:c r="F580" s="34" t="str"/>
      <x:c r="G580" s="34" t="str"/>
      <x:c r="H580" s="34" t="str">
        <x:v>待验证</x:v>
      </x:c>
      <x:c r="I580" s="34" t="str"/>
      <x:c r="J580" s="34" t="str"/>
      <x:c r="K580" s="34" t="str"/>
      <x:c r="L580" s="34" t="str"/>
      <x:c r="M580" s="34" t="str"/>
      <x:c r="N580" s="34" t="str">
        <x:f>IF(A580="","",I580+J580+K580)</x:f>
      </x:c>
      <x:c r="O580" s="56" t="str">
        <x:f>IF(N580=0,"",(I580+0.5*J580)/N580)</x:f>
      </x:c>
      <x:c r="P580" s="56" t="str">
        <x:f>IF(N580=0,"",(I580+0.5*J580+1)/(N580+2))</x:f>
      </x:c>
      <x:c r="Q580" s="34" t="str"/>
      <x:c r="R580" s="34" t="str"/>
      <x:c r="S580" s="34" t="str"/>
      <x:c r="T580" s="34" t="str"/>
      <x:c r="U580" s="34" t="str"/>
      <x:c r="V580" s="34" t="str">
        <x:f>IF(A580="","",IF(N580&lt;5,"样本不足",IF(Q580&gt;=1,"优先复核",IF(AND(N580&gt;=20,P580&lt;0.35,K580&gt;=5),"停用候选",IF(AND(N580&gt;=10,P580&lt;0.45),"需修改候选",IF(AND(N580&gt;=10,P580&gt;=0.75,R580/N580&lt;=0.15,S580/N580&lt;=0.15),"升级候选",IF(R580/N580&gt;0.3,"收紧条件",IF(S580/N580&gt;0.3,"补漏／放宽","继续观察"))))))))</x:f>
      </x:c>
      <x:c r="W580" s="34" t="str">
        <x:f>IF(V580="","",IF(V580="升级候选","已验证候选",IF(V580="停用候选","停用候选",IF(OR(V580="需修改候选",V580="收紧条件",V580="补漏／放宽",V580="优先复核"),"需修改／复核","观察中"))))</x:f>
      </x:c>
      <x:c r="X580" s="34" t="str"/>
      <x:c r="Y580" s="34" t="str"/>
    </x:row>
    <x:row r="581">
      <x:c r="A581" s="34" t="str"/>
      <x:c r="B581" s="34" t="str"/>
      <x:c r="C581" s="34" t="str"/>
      <x:c r="D581" s="34" t="str"/>
      <x:c r="E581" s="34" t="str"/>
      <x:c r="F581" s="34" t="str"/>
      <x:c r="G581" s="34" t="str"/>
      <x:c r="H581" s="34" t="str">
        <x:v>待验证</x:v>
      </x:c>
      <x:c r="I581" s="34" t="str"/>
      <x:c r="J581" s="34" t="str"/>
      <x:c r="K581" s="34" t="str"/>
      <x:c r="L581" s="34" t="str"/>
      <x:c r="M581" s="34" t="str"/>
      <x:c r="N581" s="34" t="str">
        <x:f>IF(A581="","",I581+J581+K581)</x:f>
      </x:c>
      <x:c r="O581" s="56" t="str">
        <x:f>IF(N581=0,"",(I581+0.5*J581)/N581)</x:f>
      </x:c>
      <x:c r="P581" s="56" t="str">
        <x:f>IF(N581=0,"",(I581+0.5*J581+1)/(N581+2))</x:f>
      </x:c>
      <x:c r="Q581" s="34" t="str"/>
      <x:c r="R581" s="34" t="str"/>
      <x:c r="S581" s="34" t="str"/>
      <x:c r="T581" s="34" t="str"/>
      <x:c r="U581" s="34" t="str"/>
      <x:c r="V581" s="34" t="str">
        <x:f>IF(A581="","",IF(N581&lt;5,"样本不足",IF(Q581&gt;=1,"优先复核",IF(AND(N581&gt;=20,P581&lt;0.35,K581&gt;=5),"停用候选",IF(AND(N581&gt;=10,P581&lt;0.45),"需修改候选",IF(AND(N581&gt;=10,P581&gt;=0.75,R581/N581&lt;=0.15,S581/N581&lt;=0.15),"升级候选",IF(R581/N581&gt;0.3,"收紧条件",IF(S581/N581&gt;0.3,"补漏／放宽","继续观察"))))))))</x:f>
      </x:c>
      <x:c r="W581" s="34" t="str">
        <x:f>IF(V581="","",IF(V581="升级候选","已验证候选",IF(V581="停用候选","停用候选",IF(OR(V581="需修改候选",V581="收紧条件",V581="补漏／放宽",V581="优先复核"),"需修改／复核","观察中"))))</x:f>
      </x:c>
      <x:c r="X581" s="34" t="str"/>
      <x:c r="Y581" s="34" t="str"/>
    </x:row>
    <x:row r="582">
      <x:c r="A582" s="34" t="str"/>
      <x:c r="B582" s="34" t="str"/>
      <x:c r="C582" s="34" t="str"/>
      <x:c r="D582" s="34" t="str"/>
      <x:c r="E582" s="34" t="str"/>
      <x:c r="F582" s="34" t="str"/>
      <x:c r="G582" s="34" t="str"/>
      <x:c r="H582" s="34" t="str">
        <x:v>待验证</x:v>
      </x:c>
      <x:c r="I582" s="34" t="str"/>
      <x:c r="J582" s="34" t="str"/>
      <x:c r="K582" s="34" t="str"/>
      <x:c r="L582" s="34" t="str"/>
      <x:c r="M582" s="34" t="str"/>
      <x:c r="N582" s="34" t="str">
        <x:f>IF(A582="","",I582+J582+K582)</x:f>
      </x:c>
      <x:c r="O582" s="56" t="str">
        <x:f>IF(N582=0,"",(I582+0.5*J582)/N582)</x:f>
      </x:c>
      <x:c r="P582" s="56" t="str">
        <x:f>IF(N582=0,"",(I582+0.5*J582+1)/(N582+2))</x:f>
      </x:c>
      <x:c r="Q582" s="34" t="str"/>
      <x:c r="R582" s="34" t="str"/>
      <x:c r="S582" s="34" t="str"/>
      <x:c r="T582" s="34" t="str"/>
      <x:c r="U582" s="34" t="str"/>
      <x:c r="V582" s="34" t="str">
        <x:f>IF(A582="","",IF(N582&lt;5,"样本不足",IF(Q582&gt;=1,"优先复核",IF(AND(N582&gt;=20,P582&lt;0.35,K582&gt;=5),"停用候选",IF(AND(N582&gt;=10,P582&lt;0.45),"需修改候选",IF(AND(N582&gt;=10,P582&gt;=0.75,R582/N582&lt;=0.15,S582/N582&lt;=0.15),"升级候选",IF(R582/N582&gt;0.3,"收紧条件",IF(S582/N582&gt;0.3,"补漏／放宽","继续观察"))))))))</x:f>
      </x:c>
      <x:c r="W582" s="34" t="str">
        <x:f>IF(V582="","",IF(V582="升级候选","已验证候选",IF(V582="停用候选","停用候选",IF(OR(V582="需修改候选",V582="收紧条件",V582="补漏／放宽",V582="优先复核"),"需修改／复核","观察中"))))</x:f>
      </x:c>
      <x:c r="X582" s="34" t="str"/>
      <x:c r="Y582" s="34" t="str"/>
    </x:row>
    <x:row r="583">
      <x:c r="A583" s="34" t="str"/>
      <x:c r="B583" s="34" t="str"/>
      <x:c r="C583" s="34" t="str"/>
      <x:c r="D583" s="34" t="str"/>
      <x:c r="E583" s="34" t="str"/>
      <x:c r="F583" s="34" t="str"/>
      <x:c r="G583" s="34" t="str"/>
      <x:c r="H583" s="34" t="str">
        <x:v>待验证</x:v>
      </x:c>
      <x:c r="I583" s="34" t="str"/>
      <x:c r="J583" s="34" t="str"/>
      <x:c r="K583" s="34" t="str"/>
      <x:c r="L583" s="34" t="str"/>
      <x:c r="M583" s="34" t="str"/>
      <x:c r="N583" s="34" t="str">
        <x:f>IF(A583="","",I583+J583+K583)</x:f>
      </x:c>
      <x:c r="O583" s="56" t="str">
        <x:f>IF(N583=0,"",(I583+0.5*J583)/N583)</x:f>
      </x:c>
      <x:c r="P583" s="56" t="str">
        <x:f>IF(N583=0,"",(I583+0.5*J583+1)/(N583+2))</x:f>
      </x:c>
      <x:c r="Q583" s="34" t="str"/>
      <x:c r="R583" s="34" t="str"/>
      <x:c r="S583" s="34" t="str"/>
      <x:c r="T583" s="34" t="str"/>
      <x:c r="U583" s="34" t="str"/>
      <x:c r="V583" s="34" t="str">
        <x:f>IF(A583="","",IF(N583&lt;5,"样本不足",IF(Q583&gt;=1,"优先复核",IF(AND(N583&gt;=20,P583&lt;0.35,K583&gt;=5),"停用候选",IF(AND(N583&gt;=10,P583&lt;0.45),"需修改候选",IF(AND(N583&gt;=10,P583&gt;=0.75,R583/N583&lt;=0.15,S583/N583&lt;=0.15),"升级候选",IF(R583/N583&gt;0.3,"收紧条件",IF(S583/N583&gt;0.3,"补漏／放宽","继续观察"))))))))</x:f>
      </x:c>
      <x:c r="W583" s="34" t="str">
        <x:f>IF(V583="","",IF(V583="升级候选","已验证候选",IF(V583="停用候选","停用候选",IF(OR(V583="需修改候选",V583="收紧条件",V583="补漏／放宽",V583="优先复核"),"需修改／复核","观察中"))))</x:f>
      </x:c>
      <x:c r="X583" s="34" t="str"/>
      <x:c r="Y583" s="34" t="str"/>
    </x:row>
    <x:row r="584">
      <x:c r="A584" s="34" t="str"/>
      <x:c r="B584" s="34" t="str"/>
      <x:c r="C584" s="34" t="str"/>
      <x:c r="D584" s="34" t="str"/>
      <x:c r="E584" s="34" t="str"/>
      <x:c r="F584" s="34" t="str"/>
      <x:c r="G584" s="34" t="str"/>
      <x:c r="H584" s="34" t="str">
        <x:v>待验证</x:v>
      </x:c>
      <x:c r="I584" s="34" t="str"/>
      <x:c r="J584" s="34" t="str"/>
      <x:c r="K584" s="34" t="str"/>
      <x:c r="L584" s="34" t="str"/>
      <x:c r="M584" s="34" t="str"/>
      <x:c r="N584" s="34" t="str">
        <x:f>IF(A584="","",I584+J584+K584)</x:f>
      </x:c>
      <x:c r="O584" s="56" t="str">
        <x:f>IF(N584=0,"",(I584+0.5*J584)/N584)</x:f>
      </x:c>
      <x:c r="P584" s="56" t="str">
        <x:f>IF(N584=0,"",(I584+0.5*J584+1)/(N584+2))</x:f>
      </x:c>
      <x:c r="Q584" s="34" t="str"/>
      <x:c r="R584" s="34" t="str"/>
      <x:c r="S584" s="34" t="str"/>
      <x:c r="T584" s="34" t="str"/>
      <x:c r="U584" s="34" t="str"/>
      <x:c r="V584" s="34" t="str">
        <x:f>IF(A584="","",IF(N584&lt;5,"样本不足",IF(Q584&gt;=1,"优先复核",IF(AND(N584&gt;=20,P584&lt;0.35,K584&gt;=5),"停用候选",IF(AND(N584&gt;=10,P584&lt;0.45),"需修改候选",IF(AND(N584&gt;=10,P584&gt;=0.75,R584/N584&lt;=0.15,S584/N584&lt;=0.15),"升级候选",IF(R584/N584&gt;0.3,"收紧条件",IF(S584/N584&gt;0.3,"补漏／放宽","继续观察"))))))))</x:f>
      </x:c>
      <x:c r="W584" s="34" t="str">
        <x:f>IF(V584="","",IF(V584="升级候选","已验证候选",IF(V584="停用候选","停用候选",IF(OR(V584="需修改候选",V584="收紧条件",V584="补漏／放宽",V584="优先复核"),"需修改／复核","观察中"))))</x:f>
      </x:c>
      <x:c r="X584" s="34" t="str"/>
      <x:c r="Y584" s="34" t="str"/>
    </x:row>
    <x:row r="585">
      <x:c r="A585" s="34" t="str"/>
      <x:c r="B585" s="34" t="str"/>
      <x:c r="C585" s="34" t="str"/>
      <x:c r="D585" s="34" t="str"/>
      <x:c r="E585" s="34" t="str"/>
      <x:c r="F585" s="34" t="str"/>
      <x:c r="G585" s="34" t="str"/>
      <x:c r="H585" s="34" t="str">
        <x:v>待验证</x:v>
      </x:c>
      <x:c r="I585" s="34" t="str"/>
      <x:c r="J585" s="34" t="str"/>
      <x:c r="K585" s="34" t="str"/>
      <x:c r="L585" s="34" t="str"/>
      <x:c r="M585" s="34" t="str"/>
      <x:c r="N585" s="34" t="str">
        <x:f>IF(A585="","",I585+J585+K585)</x:f>
      </x:c>
      <x:c r="O585" s="56" t="str">
        <x:f>IF(N585=0,"",(I585+0.5*J585)/N585)</x:f>
      </x:c>
      <x:c r="P585" s="56" t="str">
        <x:f>IF(N585=0,"",(I585+0.5*J585+1)/(N585+2))</x:f>
      </x:c>
      <x:c r="Q585" s="34" t="str"/>
      <x:c r="R585" s="34" t="str"/>
      <x:c r="S585" s="34" t="str"/>
      <x:c r="T585" s="34" t="str"/>
      <x:c r="U585" s="34" t="str"/>
      <x:c r="V585" s="34" t="str">
        <x:f>IF(A585="","",IF(N585&lt;5,"样本不足",IF(Q585&gt;=1,"优先复核",IF(AND(N585&gt;=20,P585&lt;0.35,K585&gt;=5),"停用候选",IF(AND(N585&gt;=10,P585&lt;0.45),"需修改候选",IF(AND(N585&gt;=10,P585&gt;=0.75,R585/N585&lt;=0.15,S585/N585&lt;=0.15),"升级候选",IF(R585/N585&gt;0.3,"收紧条件",IF(S585/N585&gt;0.3,"补漏／放宽","继续观察"))))))))</x:f>
      </x:c>
      <x:c r="W585" s="34" t="str">
        <x:f>IF(V585="","",IF(V585="升级候选","已验证候选",IF(V585="停用候选","停用候选",IF(OR(V585="需修改候选",V585="收紧条件",V585="补漏／放宽",V585="优先复核"),"需修改／复核","观察中"))))</x:f>
      </x:c>
      <x:c r="X585" s="34" t="str"/>
      <x:c r="Y585" s="34" t="str"/>
    </x:row>
    <x:row r="586">
      <x:c r="A586" s="34" t="str"/>
      <x:c r="B586" s="34" t="str"/>
      <x:c r="C586" s="34" t="str"/>
      <x:c r="D586" s="34" t="str"/>
      <x:c r="E586" s="34" t="str"/>
      <x:c r="F586" s="34" t="str"/>
      <x:c r="G586" s="34" t="str"/>
      <x:c r="H586" s="34" t="str">
        <x:v>待验证</x:v>
      </x:c>
      <x:c r="I586" s="34" t="str"/>
      <x:c r="J586" s="34" t="str"/>
      <x:c r="K586" s="34" t="str"/>
      <x:c r="L586" s="34" t="str"/>
      <x:c r="M586" s="34" t="str"/>
      <x:c r="N586" s="34" t="str">
        <x:f>IF(A586="","",I586+J586+K586)</x:f>
      </x:c>
      <x:c r="O586" s="56" t="str">
        <x:f>IF(N586=0,"",(I586+0.5*J586)/N586)</x:f>
      </x:c>
      <x:c r="P586" s="56" t="str">
        <x:f>IF(N586=0,"",(I586+0.5*J586+1)/(N586+2))</x:f>
      </x:c>
      <x:c r="Q586" s="34" t="str"/>
      <x:c r="R586" s="34" t="str"/>
      <x:c r="S586" s="34" t="str"/>
      <x:c r="T586" s="34" t="str"/>
      <x:c r="U586" s="34" t="str"/>
      <x:c r="V586" s="34" t="str">
        <x:f>IF(A586="","",IF(N586&lt;5,"样本不足",IF(Q586&gt;=1,"优先复核",IF(AND(N586&gt;=20,P586&lt;0.35,K586&gt;=5),"停用候选",IF(AND(N586&gt;=10,P586&lt;0.45),"需修改候选",IF(AND(N586&gt;=10,P586&gt;=0.75,R586/N586&lt;=0.15,S586/N586&lt;=0.15),"升级候选",IF(R586/N586&gt;0.3,"收紧条件",IF(S586/N586&gt;0.3,"补漏／放宽","继续观察"))))))))</x:f>
      </x:c>
      <x:c r="W586" s="34" t="str">
        <x:f>IF(V586="","",IF(V586="升级候选","已验证候选",IF(V586="停用候选","停用候选",IF(OR(V586="需修改候选",V586="收紧条件",V586="补漏／放宽",V586="优先复核"),"需修改／复核","观察中"))))</x:f>
      </x:c>
      <x:c r="X586" s="34" t="str"/>
      <x:c r="Y586" s="34" t="str"/>
    </x:row>
    <x:row r="587">
      <x:c r="A587" s="34" t="str"/>
      <x:c r="B587" s="34" t="str"/>
      <x:c r="C587" s="34" t="str"/>
      <x:c r="D587" s="34" t="str"/>
      <x:c r="E587" s="34" t="str"/>
      <x:c r="F587" s="34" t="str"/>
      <x:c r="G587" s="34" t="str"/>
      <x:c r="H587" s="34" t="str">
        <x:v>待验证</x:v>
      </x:c>
      <x:c r="I587" s="34" t="str"/>
      <x:c r="J587" s="34" t="str"/>
      <x:c r="K587" s="34" t="str"/>
      <x:c r="L587" s="34" t="str"/>
      <x:c r="M587" s="34" t="str"/>
      <x:c r="N587" s="34" t="str">
        <x:f>IF(A587="","",I587+J587+K587)</x:f>
      </x:c>
      <x:c r="O587" s="56" t="str">
        <x:f>IF(N587=0,"",(I587+0.5*J587)/N587)</x:f>
      </x:c>
      <x:c r="P587" s="56" t="str">
        <x:f>IF(N587=0,"",(I587+0.5*J587+1)/(N587+2))</x:f>
      </x:c>
      <x:c r="Q587" s="34" t="str"/>
      <x:c r="R587" s="34" t="str"/>
      <x:c r="S587" s="34" t="str"/>
      <x:c r="T587" s="34" t="str"/>
      <x:c r="U587" s="34" t="str"/>
      <x:c r="V587" s="34" t="str">
        <x:f>IF(A587="","",IF(N587&lt;5,"样本不足",IF(Q587&gt;=1,"优先复核",IF(AND(N587&gt;=20,P587&lt;0.35,K587&gt;=5),"停用候选",IF(AND(N587&gt;=10,P587&lt;0.45),"需修改候选",IF(AND(N587&gt;=10,P587&gt;=0.75,R587/N587&lt;=0.15,S587/N587&lt;=0.15),"升级候选",IF(R587/N587&gt;0.3,"收紧条件",IF(S587/N587&gt;0.3,"补漏／放宽","继续观察"))))))))</x:f>
      </x:c>
      <x:c r="W587" s="34" t="str">
        <x:f>IF(V587="","",IF(V587="升级候选","已验证候选",IF(V587="停用候选","停用候选",IF(OR(V587="需修改候选",V587="收紧条件",V587="补漏／放宽",V587="优先复核"),"需修改／复核","观察中"))))</x:f>
      </x:c>
      <x:c r="X587" s="34" t="str"/>
      <x:c r="Y587" s="34" t="str"/>
    </x:row>
    <x:row r="588">
      <x:c r="A588" s="34" t="str"/>
      <x:c r="B588" s="34" t="str"/>
      <x:c r="C588" s="34" t="str"/>
      <x:c r="D588" s="34" t="str"/>
      <x:c r="E588" s="34" t="str"/>
      <x:c r="F588" s="34" t="str"/>
      <x:c r="G588" s="34" t="str"/>
      <x:c r="H588" s="34" t="str">
        <x:v>待验证</x:v>
      </x:c>
      <x:c r="I588" s="34" t="str"/>
      <x:c r="J588" s="34" t="str"/>
      <x:c r="K588" s="34" t="str"/>
      <x:c r="L588" s="34" t="str"/>
      <x:c r="M588" s="34" t="str"/>
      <x:c r="N588" s="34" t="str">
        <x:f>IF(A588="","",I588+J588+K588)</x:f>
      </x:c>
      <x:c r="O588" s="56" t="str">
        <x:f>IF(N588=0,"",(I588+0.5*J588)/N588)</x:f>
      </x:c>
      <x:c r="P588" s="56" t="str">
        <x:f>IF(N588=0,"",(I588+0.5*J588+1)/(N588+2))</x:f>
      </x:c>
      <x:c r="Q588" s="34" t="str"/>
      <x:c r="R588" s="34" t="str"/>
      <x:c r="S588" s="34" t="str"/>
      <x:c r="T588" s="34" t="str"/>
      <x:c r="U588" s="34" t="str"/>
      <x:c r="V588" s="34" t="str">
        <x:f>IF(A588="","",IF(N588&lt;5,"样本不足",IF(Q588&gt;=1,"优先复核",IF(AND(N588&gt;=20,P588&lt;0.35,K588&gt;=5),"停用候选",IF(AND(N588&gt;=10,P588&lt;0.45),"需修改候选",IF(AND(N588&gt;=10,P588&gt;=0.75,R588/N588&lt;=0.15,S588/N588&lt;=0.15),"升级候选",IF(R588/N588&gt;0.3,"收紧条件",IF(S588/N588&gt;0.3,"补漏／放宽","继续观察"))))))))</x:f>
      </x:c>
      <x:c r="W588" s="34" t="str">
        <x:f>IF(V588="","",IF(V588="升级候选","已验证候选",IF(V588="停用候选","停用候选",IF(OR(V588="需修改候选",V588="收紧条件",V588="补漏／放宽",V588="优先复核"),"需修改／复核","观察中"))))</x:f>
      </x:c>
      <x:c r="X588" s="34" t="str"/>
      <x:c r="Y588" s="34" t="str"/>
    </x:row>
    <x:row r="589">
      <x:c r="A589" s="34" t="str"/>
      <x:c r="B589" s="34" t="str"/>
      <x:c r="C589" s="34" t="str"/>
      <x:c r="D589" s="34" t="str"/>
      <x:c r="E589" s="34" t="str"/>
      <x:c r="F589" s="34" t="str"/>
      <x:c r="G589" s="34" t="str"/>
      <x:c r="H589" s="34" t="str">
        <x:v>待验证</x:v>
      </x:c>
      <x:c r="I589" s="34" t="str"/>
      <x:c r="J589" s="34" t="str"/>
      <x:c r="K589" s="34" t="str"/>
      <x:c r="L589" s="34" t="str"/>
      <x:c r="M589" s="34" t="str"/>
      <x:c r="N589" s="34" t="str">
        <x:f>IF(A589="","",I589+J589+K589)</x:f>
      </x:c>
      <x:c r="O589" s="56" t="str">
        <x:f>IF(N589=0,"",(I589+0.5*J589)/N589)</x:f>
      </x:c>
      <x:c r="P589" s="56" t="str">
        <x:f>IF(N589=0,"",(I589+0.5*J589+1)/(N589+2))</x:f>
      </x:c>
      <x:c r="Q589" s="34" t="str"/>
      <x:c r="R589" s="34" t="str"/>
      <x:c r="S589" s="34" t="str"/>
      <x:c r="T589" s="34" t="str"/>
      <x:c r="U589" s="34" t="str"/>
      <x:c r="V589" s="34" t="str">
        <x:f>IF(A589="","",IF(N589&lt;5,"样本不足",IF(Q589&gt;=1,"优先复核",IF(AND(N589&gt;=20,P589&lt;0.35,K589&gt;=5),"停用候选",IF(AND(N589&gt;=10,P589&lt;0.45),"需修改候选",IF(AND(N589&gt;=10,P589&gt;=0.75,R589/N589&lt;=0.15,S589/N589&lt;=0.15),"升级候选",IF(R589/N589&gt;0.3,"收紧条件",IF(S589/N589&gt;0.3,"补漏／放宽","继续观察"))))))))</x:f>
      </x:c>
      <x:c r="W589" s="34" t="str">
        <x:f>IF(V589="","",IF(V589="升级候选","已验证候选",IF(V589="停用候选","停用候选",IF(OR(V589="需修改候选",V589="收紧条件",V589="补漏／放宽",V589="优先复核"),"需修改／复核","观察中"))))</x:f>
      </x:c>
      <x:c r="X589" s="34" t="str"/>
      <x:c r="Y589" s="34" t="str"/>
    </x:row>
    <x:row r="590">
      <x:c r="A590" s="34" t="str"/>
      <x:c r="B590" s="34" t="str"/>
      <x:c r="C590" s="34" t="str"/>
      <x:c r="D590" s="34" t="str"/>
      <x:c r="E590" s="34" t="str"/>
      <x:c r="F590" s="34" t="str"/>
      <x:c r="G590" s="34" t="str"/>
      <x:c r="H590" s="34" t="str">
        <x:v>待验证</x:v>
      </x:c>
      <x:c r="I590" s="34" t="str"/>
      <x:c r="J590" s="34" t="str"/>
      <x:c r="K590" s="34" t="str"/>
      <x:c r="L590" s="34" t="str"/>
      <x:c r="M590" s="34" t="str"/>
      <x:c r="N590" s="34" t="str">
        <x:f>IF(A590="","",I590+J590+K590)</x:f>
      </x:c>
      <x:c r="O590" s="56" t="str">
        <x:f>IF(N590=0,"",(I590+0.5*J590)/N590)</x:f>
      </x:c>
      <x:c r="P590" s="56" t="str">
        <x:f>IF(N590=0,"",(I590+0.5*J590+1)/(N590+2))</x:f>
      </x:c>
      <x:c r="Q590" s="34" t="str"/>
      <x:c r="R590" s="34" t="str"/>
      <x:c r="S590" s="34" t="str"/>
      <x:c r="T590" s="34" t="str"/>
      <x:c r="U590" s="34" t="str"/>
      <x:c r="V590" s="34" t="str">
        <x:f>IF(A590="","",IF(N590&lt;5,"样本不足",IF(Q590&gt;=1,"优先复核",IF(AND(N590&gt;=20,P590&lt;0.35,K590&gt;=5),"停用候选",IF(AND(N590&gt;=10,P590&lt;0.45),"需修改候选",IF(AND(N590&gt;=10,P590&gt;=0.75,R590/N590&lt;=0.15,S590/N590&lt;=0.15),"升级候选",IF(R590/N590&gt;0.3,"收紧条件",IF(S590/N590&gt;0.3,"补漏／放宽","继续观察"))))))))</x:f>
      </x:c>
      <x:c r="W590" s="34" t="str">
        <x:f>IF(V590="","",IF(V590="升级候选","已验证候选",IF(V590="停用候选","停用候选",IF(OR(V590="需修改候选",V590="收紧条件",V590="补漏／放宽",V590="优先复核"),"需修改／复核","观察中"))))</x:f>
      </x:c>
      <x:c r="X590" s="34" t="str"/>
      <x:c r="Y590" s="34" t="str"/>
    </x:row>
    <x:row r="591">
      <x:c r="A591" s="34" t="str"/>
      <x:c r="B591" s="34" t="str"/>
      <x:c r="C591" s="34" t="str"/>
      <x:c r="D591" s="34" t="str"/>
      <x:c r="E591" s="34" t="str"/>
      <x:c r="F591" s="34" t="str"/>
      <x:c r="G591" s="34" t="str"/>
      <x:c r="H591" s="34" t="str">
        <x:v>待验证</x:v>
      </x:c>
      <x:c r="I591" s="34" t="str"/>
      <x:c r="J591" s="34" t="str"/>
      <x:c r="K591" s="34" t="str"/>
      <x:c r="L591" s="34" t="str"/>
      <x:c r="M591" s="34" t="str"/>
      <x:c r="N591" s="34" t="str">
        <x:f>IF(A591="","",I591+J591+K591)</x:f>
      </x:c>
      <x:c r="O591" s="56" t="str">
        <x:f>IF(N591=0,"",(I591+0.5*J591)/N591)</x:f>
      </x:c>
      <x:c r="P591" s="56" t="str">
        <x:f>IF(N591=0,"",(I591+0.5*J591+1)/(N591+2))</x:f>
      </x:c>
      <x:c r="Q591" s="34" t="str"/>
      <x:c r="R591" s="34" t="str"/>
      <x:c r="S591" s="34" t="str"/>
      <x:c r="T591" s="34" t="str"/>
      <x:c r="U591" s="34" t="str"/>
      <x:c r="V591" s="34" t="str">
        <x:f>IF(A591="","",IF(N591&lt;5,"样本不足",IF(Q591&gt;=1,"优先复核",IF(AND(N591&gt;=20,P591&lt;0.35,K591&gt;=5),"停用候选",IF(AND(N591&gt;=10,P591&lt;0.45),"需修改候选",IF(AND(N591&gt;=10,P591&gt;=0.75,R591/N591&lt;=0.15,S591/N591&lt;=0.15),"升级候选",IF(R591/N591&gt;0.3,"收紧条件",IF(S591/N591&gt;0.3,"补漏／放宽","继续观察"))))))))</x:f>
      </x:c>
      <x:c r="W591" s="34" t="str">
        <x:f>IF(V591="","",IF(V591="升级候选","已验证候选",IF(V591="停用候选","停用候选",IF(OR(V591="需修改候选",V591="收紧条件",V591="补漏／放宽",V591="优先复核"),"需修改／复核","观察中"))))</x:f>
      </x:c>
      <x:c r="X591" s="34" t="str"/>
      <x:c r="Y591" s="34" t="str"/>
    </x:row>
    <x:row r="592">
      <x:c r="A592" s="34" t="str"/>
      <x:c r="B592" s="34" t="str"/>
      <x:c r="C592" s="34" t="str"/>
      <x:c r="D592" s="34" t="str"/>
      <x:c r="E592" s="34" t="str"/>
      <x:c r="F592" s="34" t="str"/>
      <x:c r="G592" s="34" t="str"/>
      <x:c r="H592" s="34" t="str">
        <x:v>待验证</x:v>
      </x:c>
      <x:c r="I592" s="34" t="str"/>
      <x:c r="J592" s="34" t="str"/>
      <x:c r="K592" s="34" t="str"/>
      <x:c r="L592" s="34" t="str"/>
      <x:c r="M592" s="34" t="str"/>
      <x:c r="N592" s="34" t="str">
        <x:f>IF(A592="","",I592+J592+K592)</x:f>
      </x:c>
      <x:c r="O592" s="56" t="str">
        <x:f>IF(N592=0,"",(I592+0.5*J592)/N592)</x:f>
      </x:c>
      <x:c r="P592" s="56" t="str">
        <x:f>IF(N592=0,"",(I592+0.5*J592+1)/(N592+2))</x:f>
      </x:c>
      <x:c r="Q592" s="34" t="str"/>
      <x:c r="R592" s="34" t="str"/>
      <x:c r="S592" s="34" t="str"/>
      <x:c r="T592" s="34" t="str"/>
      <x:c r="U592" s="34" t="str"/>
      <x:c r="V592" s="34" t="str">
        <x:f>IF(A592="","",IF(N592&lt;5,"样本不足",IF(Q592&gt;=1,"优先复核",IF(AND(N592&gt;=20,P592&lt;0.35,K592&gt;=5),"停用候选",IF(AND(N592&gt;=10,P592&lt;0.45),"需修改候选",IF(AND(N592&gt;=10,P592&gt;=0.75,R592/N592&lt;=0.15,S592/N592&lt;=0.15),"升级候选",IF(R592/N592&gt;0.3,"收紧条件",IF(S592/N592&gt;0.3,"补漏／放宽","继续观察"))))))))</x:f>
      </x:c>
      <x:c r="W592" s="34" t="str">
        <x:f>IF(V592="","",IF(V592="升级候选","已验证候选",IF(V592="停用候选","停用候选",IF(OR(V592="需修改候选",V592="收紧条件",V592="补漏／放宽",V592="优先复核"),"需修改／复核","观察中"))))</x:f>
      </x:c>
      <x:c r="X592" s="34" t="str"/>
      <x:c r="Y592" s="34" t="str"/>
    </x:row>
    <x:row r="593">
      <x:c r="A593" s="34" t="str"/>
      <x:c r="B593" s="34" t="str"/>
      <x:c r="C593" s="34" t="str"/>
      <x:c r="D593" s="34" t="str"/>
      <x:c r="E593" s="34" t="str"/>
      <x:c r="F593" s="34" t="str"/>
      <x:c r="G593" s="34" t="str"/>
      <x:c r="H593" s="34" t="str">
        <x:v>待验证</x:v>
      </x:c>
      <x:c r="I593" s="34" t="str"/>
      <x:c r="J593" s="34" t="str"/>
      <x:c r="K593" s="34" t="str"/>
      <x:c r="L593" s="34" t="str"/>
      <x:c r="M593" s="34" t="str"/>
      <x:c r="N593" s="34" t="str">
        <x:f>IF(A593="","",I593+J593+K593)</x:f>
      </x:c>
      <x:c r="O593" s="56" t="str">
        <x:f>IF(N593=0,"",(I593+0.5*J593)/N593)</x:f>
      </x:c>
      <x:c r="P593" s="56" t="str">
        <x:f>IF(N593=0,"",(I593+0.5*J593+1)/(N593+2))</x:f>
      </x:c>
      <x:c r="Q593" s="34" t="str"/>
      <x:c r="R593" s="34" t="str"/>
      <x:c r="S593" s="34" t="str"/>
      <x:c r="T593" s="34" t="str"/>
      <x:c r="U593" s="34" t="str"/>
      <x:c r="V593" s="34" t="str">
        <x:f>IF(A593="","",IF(N593&lt;5,"样本不足",IF(Q593&gt;=1,"优先复核",IF(AND(N593&gt;=20,P593&lt;0.35,K593&gt;=5),"停用候选",IF(AND(N593&gt;=10,P593&lt;0.45),"需修改候选",IF(AND(N593&gt;=10,P593&gt;=0.75,R593/N593&lt;=0.15,S593/N593&lt;=0.15),"升级候选",IF(R593/N593&gt;0.3,"收紧条件",IF(S593/N593&gt;0.3,"补漏／放宽","继续观察"))))))))</x:f>
      </x:c>
      <x:c r="W593" s="34" t="str">
        <x:f>IF(V593="","",IF(V593="升级候选","已验证候选",IF(V593="停用候选","停用候选",IF(OR(V593="需修改候选",V593="收紧条件",V593="补漏／放宽",V593="优先复核"),"需修改／复核","观察中"))))</x:f>
      </x:c>
      <x:c r="X593" s="34" t="str"/>
      <x:c r="Y593" s="34" t="str"/>
    </x:row>
    <x:row r="594">
      <x:c r="A594" s="34" t="str"/>
      <x:c r="B594" s="34" t="str"/>
      <x:c r="C594" s="34" t="str"/>
      <x:c r="D594" s="34" t="str"/>
      <x:c r="E594" s="34" t="str"/>
      <x:c r="F594" s="34" t="str"/>
      <x:c r="G594" s="34" t="str"/>
      <x:c r="H594" s="34" t="str">
        <x:v>待验证</x:v>
      </x:c>
      <x:c r="I594" s="34" t="str"/>
      <x:c r="J594" s="34" t="str"/>
      <x:c r="K594" s="34" t="str"/>
      <x:c r="L594" s="34" t="str"/>
      <x:c r="M594" s="34" t="str"/>
      <x:c r="N594" s="34" t="str">
        <x:f>IF(A594="","",I594+J594+K594)</x:f>
      </x:c>
      <x:c r="O594" s="56" t="str">
        <x:f>IF(N594=0,"",(I594+0.5*J594)/N594)</x:f>
      </x:c>
      <x:c r="P594" s="56" t="str">
        <x:f>IF(N594=0,"",(I594+0.5*J594+1)/(N594+2))</x:f>
      </x:c>
      <x:c r="Q594" s="34" t="str"/>
      <x:c r="R594" s="34" t="str"/>
      <x:c r="S594" s="34" t="str"/>
      <x:c r="T594" s="34" t="str"/>
      <x:c r="U594" s="34" t="str"/>
      <x:c r="V594" s="34" t="str">
        <x:f>IF(A594="","",IF(N594&lt;5,"样本不足",IF(Q594&gt;=1,"优先复核",IF(AND(N594&gt;=20,P594&lt;0.35,K594&gt;=5),"停用候选",IF(AND(N594&gt;=10,P594&lt;0.45),"需修改候选",IF(AND(N594&gt;=10,P594&gt;=0.75,R594/N594&lt;=0.15,S594/N594&lt;=0.15),"升级候选",IF(R594/N594&gt;0.3,"收紧条件",IF(S594/N594&gt;0.3,"补漏／放宽","继续观察"))))))))</x:f>
      </x:c>
      <x:c r="W594" s="34" t="str">
        <x:f>IF(V594="","",IF(V594="升级候选","已验证候选",IF(V594="停用候选","停用候选",IF(OR(V594="需修改候选",V594="收紧条件",V594="补漏／放宽",V594="优先复核"),"需修改／复核","观察中"))))</x:f>
      </x:c>
      <x:c r="X594" s="34" t="str"/>
      <x:c r="Y594" s="34" t="str"/>
    </x:row>
    <x:row r="595">
      <x:c r="A595" s="34" t="str"/>
      <x:c r="B595" s="34" t="str"/>
      <x:c r="C595" s="34" t="str"/>
      <x:c r="D595" s="34" t="str"/>
      <x:c r="E595" s="34" t="str"/>
      <x:c r="F595" s="34" t="str"/>
      <x:c r="G595" s="34" t="str"/>
      <x:c r="H595" s="34" t="str">
        <x:v>待验证</x:v>
      </x:c>
      <x:c r="I595" s="34" t="str"/>
      <x:c r="J595" s="34" t="str"/>
      <x:c r="K595" s="34" t="str"/>
      <x:c r="L595" s="34" t="str"/>
      <x:c r="M595" s="34" t="str"/>
      <x:c r="N595" s="34" t="str">
        <x:f>IF(A595="","",I595+J595+K595)</x:f>
      </x:c>
      <x:c r="O595" s="56" t="str">
        <x:f>IF(N595=0,"",(I595+0.5*J595)/N595)</x:f>
      </x:c>
      <x:c r="P595" s="56" t="str">
        <x:f>IF(N595=0,"",(I595+0.5*J595+1)/(N595+2))</x:f>
      </x:c>
      <x:c r="Q595" s="34" t="str"/>
      <x:c r="R595" s="34" t="str"/>
      <x:c r="S595" s="34" t="str"/>
      <x:c r="T595" s="34" t="str"/>
      <x:c r="U595" s="34" t="str"/>
      <x:c r="V595" s="34" t="str">
        <x:f>IF(A595="","",IF(N595&lt;5,"样本不足",IF(Q595&gt;=1,"优先复核",IF(AND(N595&gt;=20,P595&lt;0.35,K595&gt;=5),"停用候选",IF(AND(N595&gt;=10,P595&lt;0.45),"需修改候选",IF(AND(N595&gt;=10,P595&gt;=0.75,R595/N595&lt;=0.15,S595/N595&lt;=0.15),"升级候选",IF(R595/N595&gt;0.3,"收紧条件",IF(S595/N595&gt;0.3,"补漏／放宽","继续观察"))))))))</x:f>
      </x:c>
      <x:c r="W595" s="34" t="str">
        <x:f>IF(V595="","",IF(V595="升级候选","已验证候选",IF(V595="停用候选","停用候选",IF(OR(V595="需修改候选",V595="收紧条件",V595="补漏／放宽",V595="优先复核"),"需修改／复核","观察中"))))</x:f>
      </x:c>
      <x:c r="X595" s="34" t="str"/>
      <x:c r="Y595" s="34" t="str"/>
    </x:row>
    <x:row r="596">
      <x:c r="A596" s="34" t="str"/>
      <x:c r="B596" s="34" t="str"/>
      <x:c r="C596" s="34" t="str"/>
      <x:c r="D596" s="34" t="str"/>
      <x:c r="E596" s="34" t="str"/>
      <x:c r="F596" s="34" t="str"/>
      <x:c r="G596" s="34" t="str"/>
      <x:c r="H596" s="34" t="str">
        <x:v>待验证</x:v>
      </x:c>
      <x:c r="I596" s="34" t="str"/>
      <x:c r="J596" s="34" t="str"/>
      <x:c r="K596" s="34" t="str"/>
      <x:c r="L596" s="34" t="str"/>
      <x:c r="M596" s="34" t="str"/>
      <x:c r="N596" s="34" t="str">
        <x:f>IF(A596="","",I596+J596+K596)</x:f>
      </x:c>
      <x:c r="O596" s="56" t="str">
        <x:f>IF(N596=0,"",(I596+0.5*J596)/N596)</x:f>
      </x:c>
      <x:c r="P596" s="56" t="str">
        <x:f>IF(N596=0,"",(I596+0.5*J596+1)/(N596+2))</x:f>
      </x:c>
      <x:c r="Q596" s="34" t="str"/>
      <x:c r="R596" s="34" t="str"/>
      <x:c r="S596" s="34" t="str"/>
      <x:c r="T596" s="34" t="str"/>
      <x:c r="U596" s="34" t="str"/>
      <x:c r="V596" s="34" t="str">
        <x:f>IF(A596="","",IF(N596&lt;5,"样本不足",IF(Q596&gt;=1,"优先复核",IF(AND(N596&gt;=20,P596&lt;0.35,K596&gt;=5),"停用候选",IF(AND(N596&gt;=10,P596&lt;0.45),"需修改候选",IF(AND(N596&gt;=10,P596&gt;=0.75,R596/N596&lt;=0.15,S596/N596&lt;=0.15),"升级候选",IF(R596/N596&gt;0.3,"收紧条件",IF(S596/N596&gt;0.3,"补漏／放宽","继续观察"))))))))</x:f>
      </x:c>
      <x:c r="W596" s="34" t="str">
        <x:f>IF(V596="","",IF(V596="升级候选","已验证候选",IF(V596="停用候选","停用候选",IF(OR(V596="需修改候选",V596="收紧条件",V596="补漏／放宽",V596="优先复核"),"需修改／复核","观察中"))))</x:f>
      </x:c>
      <x:c r="X596" s="34" t="str"/>
      <x:c r="Y596" s="34" t="str"/>
    </x:row>
    <x:row r="597">
      <x:c r="A597" s="34" t="str"/>
      <x:c r="B597" s="34" t="str"/>
      <x:c r="C597" s="34" t="str"/>
      <x:c r="D597" s="34" t="str"/>
      <x:c r="E597" s="34" t="str"/>
      <x:c r="F597" s="34" t="str"/>
      <x:c r="G597" s="34" t="str"/>
      <x:c r="H597" s="34" t="str">
        <x:v>待验证</x:v>
      </x:c>
      <x:c r="I597" s="34" t="str"/>
      <x:c r="J597" s="34" t="str"/>
      <x:c r="K597" s="34" t="str"/>
      <x:c r="L597" s="34" t="str"/>
      <x:c r="M597" s="34" t="str"/>
      <x:c r="N597" s="34" t="str">
        <x:f>IF(A597="","",I597+J597+K597)</x:f>
      </x:c>
      <x:c r="O597" s="56" t="str">
        <x:f>IF(N597=0,"",(I597+0.5*J597)/N597)</x:f>
      </x:c>
      <x:c r="P597" s="56" t="str">
        <x:f>IF(N597=0,"",(I597+0.5*J597+1)/(N597+2))</x:f>
      </x:c>
      <x:c r="Q597" s="34" t="str"/>
      <x:c r="R597" s="34" t="str"/>
      <x:c r="S597" s="34" t="str"/>
      <x:c r="T597" s="34" t="str"/>
      <x:c r="U597" s="34" t="str"/>
      <x:c r="V597" s="34" t="str">
        <x:f>IF(A597="","",IF(N597&lt;5,"样本不足",IF(Q597&gt;=1,"优先复核",IF(AND(N597&gt;=20,P597&lt;0.35,K597&gt;=5),"停用候选",IF(AND(N597&gt;=10,P597&lt;0.45),"需修改候选",IF(AND(N597&gt;=10,P597&gt;=0.75,R597/N597&lt;=0.15,S597/N597&lt;=0.15),"升级候选",IF(R597/N597&gt;0.3,"收紧条件",IF(S597/N597&gt;0.3,"补漏／放宽","继续观察"))))))))</x:f>
      </x:c>
      <x:c r="W597" s="34" t="str">
        <x:f>IF(V597="","",IF(V597="升级候选","已验证候选",IF(V597="停用候选","停用候选",IF(OR(V597="需修改候选",V597="收紧条件",V597="补漏／放宽",V597="优先复核"),"需修改／复核","观察中"))))</x:f>
      </x:c>
      <x:c r="X597" s="34" t="str"/>
      <x:c r="Y597" s="34" t="str"/>
    </x:row>
    <x:row r="598">
      <x:c r="A598" s="34" t="str"/>
      <x:c r="B598" s="34" t="str"/>
      <x:c r="C598" s="34" t="str"/>
      <x:c r="D598" s="34" t="str"/>
      <x:c r="E598" s="34" t="str"/>
      <x:c r="F598" s="34" t="str"/>
      <x:c r="G598" s="34" t="str"/>
      <x:c r="H598" s="34" t="str">
        <x:v>待验证</x:v>
      </x:c>
      <x:c r="I598" s="34" t="str"/>
      <x:c r="J598" s="34" t="str"/>
      <x:c r="K598" s="34" t="str"/>
      <x:c r="L598" s="34" t="str"/>
      <x:c r="M598" s="34" t="str"/>
      <x:c r="N598" s="34" t="str">
        <x:f>IF(A598="","",I598+J598+K598)</x:f>
      </x:c>
      <x:c r="O598" s="56" t="str">
        <x:f>IF(N598=0,"",(I598+0.5*J598)/N598)</x:f>
      </x:c>
      <x:c r="P598" s="56" t="str">
        <x:f>IF(N598=0,"",(I598+0.5*J598+1)/(N598+2))</x:f>
      </x:c>
      <x:c r="Q598" s="34" t="str"/>
      <x:c r="R598" s="34" t="str"/>
      <x:c r="S598" s="34" t="str"/>
      <x:c r="T598" s="34" t="str"/>
      <x:c r="U598" s="34" t="str"/>
      <x:c r="V598" s="34" t="str">
        <x:f>IF(A598="","",IF(N598&lt;5,"样本不足",IF(Q598&gt;=1,"优先复核",IF(AND(N598&gt;=20,P598&lt;0.35,K598&gt;=5),"停用候选",IF(AND(N598&gt;=10,P598&lt;0.45),"需修改候选",IF(AND(N598&gt;=10,P598&gt;=0.75,R598/N598&lt;=0.15,S598/N598&lt;=0.15),"升级候选",IF(R598/N598&gt;0.3,"收紧条件",IF(S598/N598&gt;0.3,"补漏／放宽","继续观察"))))))))</x:f>
      </x:c>
      <x:c r="W598" s="34" t="str">
        <x:f>IF(V598="","",IF(V598="升级候选","已验证候选",IF(V598="停用候选","停用候选",IF(OR(V598="需修改候选",V598="收紧条件",V598="补漏／放宽",V598="优先复核"),"需修改／复核","观察中"))))</x:f>
      </x:c>
      <x:c r="X598" s="34" t="str"/>
      <x:c r="Y598" s="34" t="str"/>
    </x:row>
    <x:row r="599">
      <x:c r="A599" s="34" t="str"/>
      <x:c r="B599" s="34" t="str"/>
      <x:c r="C599" s="34" t="str"/>
      <x:c r="D599" s="34" t="str"/>
      <x:c r="E599" s="34" t="str"/>
      <x:c r="F599" s="34" t="str"/>
      <x:c r="G599" s="34" t="str"/>
      <x:c r="H599" s="34" t="str">
        <x:v>待验证</x:v>
      </x:c>
      <x:c r="I599" s="34" t="str"/>
      <x:c r="J599" s="34" t="str"/>
      <x:c r="K599" s="34" t="str"/>
      <x:c r="L599" s="34" t="str"/>
      <x:c r="M599" s="34" t="str"/>
      <x:c r="N599" s="34" t="str">
        <x:f>IF(A599="","",I599+J599+K599)</x:f>
      </x:c>
      <x:c r="O599" s="56" t="str">
        <x:f>IF(N599=0,"",(I599+0.5*J599)/N599)</x:f>
      </x:c>
      <x:c r="P599" s="56" t="str">
        <x:f>IF(N599=0,"",(I599+0.5*J599+1)/(N599+2))</x:f>
      </x:c>
      <x:c r="Q599" s="34" t="str"/>
      <x:c r="R599" s="34" t="str"/>
      <x:c r="S599" s="34" t="str"/>
      <x:c r="T599" s="34" t="str"/>
      <x:c r="U599" s="34" t="str"/>
      <x:c r="V599" s="34" t="str">
        <x:f>IF(A599="","",IF(N599&lt;5,"样本不足",IF(Q599&gt;=1,"优先复核",IF(AND(N599&gt;=20,P599&lt;0.35,K599&gt;=5),"停用候选",IF(AND(N599&gt;=10,P599&lt;0.45),"需修改候选",IF(AND(N599&gt;=10,P599&gt;=0.75,R599/N599&lt;=0.15,S599/N599&lt;=0.15),"升级候选",IF(R599/N599&gt;0.3,"收紧条件",IF(S599/N599&gt;0.3,"补漏／放宽","继续观察"))))))))</x:f>
      </x:c>
      <x:c r="W599" s="34" t="str">
        <x:f>IF(V599="","",IF(V599="升级候选","已验证候选",IF(V599="停用候选","停用候选",IF(OR(V599="需修改候选",V599="收紧条件",V599="补漏／放宽",V599="优先复核"),"需修改／复核","观察中"))))</x:f>
      </x:c>
      <x:c r="X599" s="34" t="str"/>
      <x:c r="Y599" s="34" t="str"/>
    </x:row>
    <x:row r="600">
      <x:c r="A600" s="34" t="str"/>
      <x:c r="B600" s="34" t="str"/>
      <x:c r="C600" s="34" t="str"/>
      <x:c r="D600" s="34" t="str"/>
      <x:c r="E600" s="34" t="str"/>
      <x:c r="F600" s="34" t="str"/>
      <x:c r="G600" s="34" t="str"/>
      <x:c r="H600" s="34" t="str">
        <x:v>待验证</x:v>
      </x:c>
      <x:c r="I600" s="34" t="str"/>
      <x:c r="J600" s="34" t="str"/>
      <x:c r="K600" s="34" t="str"/>
      <x:c r="L600" s="34" t="str"/>
      <x:c r="M600" s="34" t="str"/>
      <x:c r="N600" s="34" t="str">
        <x:f>IF(A600="","",I600+J600+K600)</x:f>
      </x:c>
      <x:c r="O600" s="56" t="str">
        <x:f>IF(N600=0,"",(I600+0.5*J600)/N600)</x:f>
      </x:c>
      <x:c r="P600" s="56" t="str">
        <x:f>IF(N600=0,"",(I600+0.5*J600+1)/(N600+2))</x:f>
      </x:c>
      <x:c r="Q600" s="34" t="str"/>
      <x:c r="R600" s="34" t="str"/>
      <x:c r="S600" s="34" t="str"/>
      <x:c r="T600" s="34" t="str"/>
      <x:c r="U600" s="34" t="str"/>
      <x:c r="V600" s="34" t="str">
        <x:f>IF(A600="","",IF(N600&lt;5,"样本不足",IF(Q600&gt;=1,"优先复核",IF(AND(N600&gt;=20,P600&lt;0.35,K600&gt;=5),"停用候选",IF(AND(N600&gt;=10,P600&lt;0.45),"需修改候选",IF(AND(N600&gt;=10,P600&gt;=0.75,R600/N600&lt;=0.15,S600/N600&lt;=0.15),"升级候选",IF(R600/N600&gt;0.3,"收紧条件",IF(S600/N600&gt;0.3,"补漏／放宽","继续观察"))))))))</x:f>
      </x:c>
      <x:c r="W600" s="34" t="str">
        <x:f>IF(V600="","",IF(V600="升级候选","已验证候选",IF(V600="停用候选","停用候选",IF(OR(V600="需修改候选",V600="收紧条件",V600="补漏／放宽",V600="优先复核"),"需修改／复核","观察中"))))</x:f>
      </x:c>
      <x:c r="X600" s="34" t="str"/>
      <x:c r="Y600" s="34" t="str"/>
    </x:row>
    <x:row r="601">
      <x:c r="A601" s="34" t="str"/>
      <x:c r="B601" s="34" t="str"/>
      <x:c r="C601" s="34" t="str"/>
      <x:c r="D601" s="34" t="str"/>
      <x:c r="E601" s="34" t="str"/>
      <x:c r="F601" s="34" t="str"/>
      <x:c r="G601" s="34" t="str"/>
      <x:c r="H601" s="34" t="str">
        <x:v>待验证</x:v>
      </x:c>
      <x:c r="I601" s="34" t="str"/>
      <x:c r="J601" s="34" t="str"/>
      <x:c r="K601" s="34" t="str"/>
      <x:c r="L601" s="34" t="str"/>
      <x:c r="M601" s="34" t="str"/>
      <x:c r="N601" s="34" t="str">
        <x:f>IF(A601="","",I601+J601+K601)</x:f>
      </x:c>
      <x:c r="O601" s="56" t="str">
        <x:f>IF(N601=0,"",(I601+0.5*J601)/N601)</x:f>
      </x:c>
      <x:c r="P601" s="56" t="str">
        <x:f>IF(N601=0,"",(I601+0.5*J601+1)/(N601+2))</x:f>
      </x:c>
      <x:c r="Q601" s="34" t="str"/>
      <x:c r="R601" s="34" t="str"/>
      <x:c r="S601" s="34" t="str"/>
      <x:c r="T601" s="34" t="str"/>
      <x:c r="U601" s="34" t="str"/>
      <x:c r="V601" s="34" t="str">
        <x:f>IF(A601="","",IF(N601&lt;5,"样本不足",IF(Q601&gt;=1,"优先复核",IF(AND(N601&gt;=20,P601&lt;0.35,K601&gt;=5),"停用候选",IF(AND(N601&gt;=10,P601&lt;0.45),"需修改候选",IF(AND(N601&gt;=10,P601&gt;=0.75,R601/N601&lt;=0.15,S601/N601&lt;=0.15),"升级候选",IF(R601/N601&gt;0.3,"收紧条件",IF(S601/N601&gt;0.3,"补漏／放宽","继续观察"))))))))</x:f>
      </x:c>
      <x:c r="W601" s="34" t="str">
        <x:f>IF(V601="","",IF(V601="升级候选","已验证候选",IF(V601="停用候选","停用候选",IF(OR(V601="需修改候选",V601="收紧条件",V601="补漏／放宽",V601="优先复核"),"需修改／复核","观察中"))))</x:f>
      </x:c>
      <x:c r="X601" s="34" t="str"/>
      <x:c r="Y601" s="34" t="str"/>
    </x:row>
    <x:row r="602">
      <x:c r="A602" s="34" t="str"/>
      <x:c r="B602" s="34" t="str"/>
      <x:c r="C602" s="34" t="str"/>
      <x:c r="D602" s="34" t="str"/>
      <x:c r="E602" s="34" t="str"/>
      <x:c r="F602" s="34" t="str"/>
      <x:c r="G602" s="34" t="str"/>
      <x:c r="H602" s="34" t="str">
        <x:v>待验证</x:v>
      </x:c>
      <x:c r="I602" s="34" t="str"/>
      <x:c r="J602" s="34" t="str"/>
      <x:c r="K602" s="34" t="str"/>
      <x:c r="L602" s="34" t="str"/>
      <x:c r="M602" s="34" t="str"/>
      <x:c r="N602" s="34" t="str">
        <x:f>IF(A602="","",I602+J602+K602)</x:f>
      </x:c>
      <x:c r="O602" s="56" t="str">
        <x:f>IF(N602=0,"",(I602+0.5*J602)/N602)</x:f>
      </x:c>
      <x:c r="P602" s="56" t="str">
        <x:f>IF(N602=0,"",(I602+0.5*J602+1)/(N602+2))</x:f>
      </x:c>
      <x:c r="Q602" s="34" t="str"/>
      <x:c r="R602" s="34" t="str"/>
      <x:c r="S602" s="34" t="str"/>
      <x:c r="T602" s="34" t="str"/>
      <x:c r="U602" s="34" t="str"/>
      <x:c r="V602" s="34" t="str">
        <x:f>IF(A602="","",IF(N602&lt;5,"样本不足",IF(Q602&gt;=1,"优先复核",IF(AND(N602&gt;=20,P602&lt;0.35,K602&gt;=5),"停用候选",IF(AND(N602&gt;=10,P602&lt;0.45),"需修改候选",IF(AND(N602&gt;=10,P602&gt;=0.75,R602/N602&lt;=0.15,S602/N602&lt;=0.15),"升级候选",IF(R602/N602&gt;0.3,"收紧条件",IF(S602/N602&gt;0.3,"补漏／放宽","继续观察"))))))))</x:f>
      </x:c>
      <x:c r="W602" s="34" t="str">
        <x:f>IF(V602="","",IF(V602="升级候选","已验证候选",IF(V602="停用候选","停用候选",IF(OR(V602="需修改候选",V602="收紧条件",V602="补漏／放宽",V602="优先复核"),"需修改／复核","观察中"))))</x:f>
      </x:c>
      <x:c r="X602" s="34" t="str"/>
      <x:c r="Y602" s="34" t="str"/>
    </x:row>
    <x:row r="603">
      <x:c r="A603" s="34" t="str"/>
      <x:c r="B603" s="34" t="str"/>
      <x:c r="C603" s="34" t="str"/>
      <x:c r="D603" s="34" t="str"/>
      <x:c r="E603" s="34" t="str"/>
      <x:c r="F603" s="34" t="str"/>
      <x:c r="G603" s="34" t="str"/>
      <x:c r="H603" s="34" t="str">
        <x:v>待验证</x:v>
      </x:c>
      <x:c r="I603" s="34" t="str"/>
      <x:c r="J603" s="34" t="str"/>
      <x:c r="K603" s="34" t="str"/>
      <x:c r="L603" s="34" t="str"/>
      <x:c r="M603" s="34" t="str"/>
      <x:c r="N603" s="34" t="str">
        <x:f>IF(A603="","",I603+J603+K603)</x:f>
      </x:c>
      <x:c r="O603" s="56" t="str">
        <x:f>IF(N603=0,"",(I603+0.5*J603)/N603)</x:f>
      </x:c>
      <x:c r="P603" s="56" t="str">
        <x:f>IF(N603=0,"",(I603+0.5*J603+1)/(N603+2))</x:f>
      </x:c>
      <x:c r="Q603" s="34" t="str"/>
      <x:c r="R603" s="34" t="str"/>
      <x:c r="S603" s="34" t="str"/>
      <x:c r="T603" s="34" t="str"/>
      <x:c r="U603" s="34" t="str"/>
      <x:c r="V603" s="34" t="str">
        <x:f>IF(A603="","",IF(N603&lt;5,"样本不足",IF(Q603&gt;=1,"优先复核",IF(AND(N603&gt;=20,P603&lt;0.35,K603&gt;=5),"停用候选",IF(AND(N603&gt;=10,P603&lt;0.45),"需修改候选",IF(AND(N603&gt;=10,P603&gt;=0.75,R603/N603&lt;=0.15,S603/N603&lt;=0.15),"升级候选",IF(R603/N603&gt;0.3,"收紧条件",IF(S603/N603&gt;0.3,"补漏／放宽","继续观察"))))))))</x:f>
      </x:c>
      <x:c r="W603" s="34" t="str">
        <x:f>IF(V603="","",IF(V603="升级候选","已验证候选",IF(V603="停用候选","停用候选",IF(OR(V603="需修改候选",V603="收紧条件",V603="补漏／放宽",V603="优先复核"),"需修改／复核","观察中"))))</x:f>
      </x:c>
      <x:c r="X603" s="34" t="str"/>
      <x:c r="Y603" s="34" t="str"/>
    </x:row>
    <x:row r="604">
      <x:c r="A604" s="34" t="str"/>
      <x:c r="B604" s="34" t="str"/>
      <x:c r="C604" s="34" t="str"/>
      <x:c r="D604" s="34" t="str"/>
      <x:c r="E604" s="34" t="str"/>
      <x:c r="F604" s="34" t="str"/>
      <x:c r="G604" s="34" t="str"/>
      <x:c r="H604" s="34" t="str">
        <x:v>待验证</x:v>
      </x:c>
      <x:c r="I604" s="34" t="str"/>
      <x:c r="J604" s="34" t="str"/>
      <x:c r="K604" s="34" t="str"/>
      <x:c r="L604" s="34" t="str"/>
      <x:c r="M604" s="34" t="str"/>
      <x:c r="N604" s="34" t="str">
        <x:f>IF(A604="","",I604+J604+K604)</x:f>
      </x:c>
      <x:c r="O604" s="56" t="str">
        <x:f>IF(N604=0,"",(I604+0.5*J604)/N604)</x:f>
      </x:c>
      <x:c r="P604" s="56" t="str">
        <x:f>IF(N604=0,"",(I604+0.5*J604+1)/(N604+2))</x:f>
      </x:c>
      <x:c r="Q604" s="34" t="str"/>
      <x:c r="R604" s="34" t="str"/>
      <x:c r="S604" s="34" t="str"/>
      <x:c r="T604" s="34" t="str"/>
      <x:c r="U604" s="34" t="str"/>
      <x:c r="V604" s="34" t="str">
        <x:f>IF(A604="","",IF(N604&lt;5,"样本不足",IF(Q604&gt;=1,"优先复核",IF(AND(N604&gt;=20,P604&lt;0.35,K604&gt;=5),"停用候选",IF(AND(N604&gt;=10,P604&lt;0.45),"需修改候选",IF(AND(N604&gt;=10,P604&gt;=0.75,R604/N604&lt;=0.15,S604/N604&lt;=0.15),"升级候选",IF(R604/N604&gt;0.3,"收紧条件",IF(S604/N604&gt;0.3,"补漏／放宽","继续观察"))))))))</x:f>
      </x:c>
      <x:c r="W604" s="34" t="str">
        <x:f>IF(V604="","",IF(V604="升级候选","已验证候选",IF(V604="停用候选","停用候选",IF(OR(V604="需修改候选",V604="收紧条件",V604="补漏／放宽",V604="优先复核"),"需修改／复核","观察中"))))</x:f>
      </x:c>
      <x:c r="X604" s="34" t="str"/>
      <x:c r="Y604" s="34" t="str"/>
    </x:row>
    <x:row r="605">
      <x:c r="A605" s="34" t="str"/>
      <x:c r="B605" s="34" t="str"/>
      <x:c r="C605" s="34" t="str"/>
      <x:c r="D605" s="34" t="str"/>
      <x:c r="E605" s="34" t="str"/>
      <x:c r="F605" s="34" t="str"/>
      <x:c r="G605" s="34" t="str"/>
      <x:c r="H605" s="34" t="str">
        <x:v>待验证</x:v>
      </x:c>
      <x:c r="I605" s="34" t="str"/>
      <x:c r="J605" s="34" t="str"/>
      <x:c r="K605" s="34" t="str"/>
      <x:c r="L605" s="34" t="str"/>
      <x:c r="M605" s="34" t="str"/>
      <x:c r="N605" s="34" t="str">
        <x:f>IF(A605="","",I605+J605+K605)</x:f>
      </x:c>
      <x:c r="O605" s="56" t="str">
        <x:f>IF(N605=0,"",(I605+0.5*J605)/N605)</x:f>
      </x:c>
      <x:c r="P605" s="56" t="str">
        <x:f>IF(N605=0,"",(I605+0.5*J605+1)/(N605+2))</x:f>
      </x:c>
      <x:c r="Q605" s="34" t="str"/>
      <x:c r="R605" s="34" t="str"/>
      <x:c r="S605" s="34" t="str"/>
      <x:c r="T605" s="34" t="str"/>
      <x:c r="U605" s="34" t="str"/>
      <x:c r="V605" s="34" t="str">
        <x:f>IF(A605="","",IF(N605&lt;5,"样本不足",IF(Q605&gt;=1,"优先复核",IF(AND(N605&gt;=20,P605&lt;0.35,K605&gt;=5),"停用候选",IF(AND(N605&gt;=10,P605&lt;0.45),"需修改候选",IF(AND(N605&gt;=10,P605&gt;=0.75,R605/N605&lt;=0.15,S605/N605&lt;=0.15),"升级候选",IF(R605/N605&gt;0.3,"收紧条件",IF(S605/N605&gt;0.3,"补漏／放宽","继续观察"))))))))</x:f>
      </x:c>
      <x:c r="W605" s="34" t="str">
        <x:f>IF(V605="","",IF(V605="升级候选","已验证候选",IF(V605="停用候选","停用候选",IF(OR(V605="需修改候选",V605="收紧条件",V605="补漏／放宽",V605="优先复核"),"需修改／复核","观察中"))))</x:f>
      </x:c>
      <x:c r="X605" s="34" t="str"/>
      <x:c r="Y605" s="34" t="str"/>
    </x:row>
  </x:sheetData>
  <x:mergeCells>
    <x:mergeCell ref="A1:Y2"/>
    <x:mergeCell ref="A3:Y3"/>
  </x:mergeCells>
  <x:conditionalFormatting sqref="V6:V605">
    <x:cfRule type="expression" dxfId="4" priority="1">
      <x:formula>$V6="升级候选"</x:formula>
    </x:cfRule>
    <x:cfRule type="expression" dxfId="5" priority="2">
      <x:formula>$V6="停用候选"</x:formula>
    </x:cfRule>
  </x:conditionalFormatting>
  <x:dataValidations count="1">
    <x:dataValidation type="list" sqref="X6:X605">
      <x:formula1>"待验证,继续观察,保留,升级,修改,收紧条件,补漏／放宽,拆分,合并,停用"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17d3f0cd16456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14" hidden="0" customWidth="1"/>
    <x:col min="5" max="5" width="18" hidden="0" customWidth="1"/>
    <x:col min="6" max="6" width="12" hidden="0" customWidth="1"/>
    <x:col min="7" max="7" width="16" hidden="0" customWidth="1"/>
    <x:col min="8" max="8" width="58" hidden="0" customWidth="1"/>
    <x:col min="9" max="9" width="14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14" hidden="0" customWidth="1"/>
    <x:col min="15" max="15" width="18" hidden="0" customWidth="1"/>
    <x:col min="16" max="16" width="16" hidden="0" customWidth="1"/>
    <x:col min="17" max="17" width="40" hidden="0" customWidth="1"/>
  </x:cols>
  <x:sheetData>
    <x:row r="1">
      <x:c r="A1" s="45" t="str">
        <x:v>模块阈值、领先差与硬条件校准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50" t="str">
        <x:v>硬条件不得通过降低分值绕过。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</x:row>
    <x:row r="5">
      <x:c r="A5" s="55" t="str">
        <x:v>threshold_id</x:v>
      </x:c>
      <x:c r="B5" s="55" t="str">
        <x:v>模块</x:v>
      </x:c>
      <x:c r="C5" s="55" t="str">
        <x:v>对象</x:v>
      </x:c>
      <x:c r="D5" s="55" t="str">
        <x:v>当前值</x:v>
      </x:c>
      <x:c r="E5" s="55" t="str">
        <x:v>单位／逻辑</x:v>
      </x:c>
      <x:c r="F5" s="55" t="str">
        <x:v>领先差</x:v>
      </x:c>
      <x:c r="G5" s="55" t="str">
        <x:v>最少独立来源</x:v>
      </x:c>
      <x:c r="H5" s="55" t="str">
        <x:v>不可越过硬条件</x:v>
      </x:c>
      <x:c r="I5" s="55" t="str">
        <x:v>可评案例</x:v>
      </x:c>
      <x:c r="J5" s="55" t="str">
        <x:v>假阳性</x:v>
      </x:c>
      <x:c r="K5" s="55" t="str">
        <x:v>假阴性</x:v>
      </x:c>
      <x:c r="L5" s="55" t="str">
        <x:v>观察支持率</x:v>
      </x:c>
      <x:c r="M5" s="55" t="str">
        <x:v>自动建议</x:v>
      </x:c>
      <x:c r="N5" s="55" t="str">
        <x:v>候选值</x:v>
      </x:c>
      <x:c r="O5" s="55" t="str">
        <x:v>人工决定</x:v>
      </x:c>
      <x:c r="P5" s="55" t="str">
        <x:v>状态</x:v>
      </x:c>
      <x:c r="Q5" s="55" t="str">
        <x:v>备注</x:v>
      </x:c>
    </x:row>
    <x:row r="6">
      <x:c r="A6" s="34" t="str">
        <x:v>TH-BASE-01</x:v>
      </x:c>
      <x:c r="B6" s="34" t="str">
        <x:v>BASE</x:v>
      </x:c>
      <x:c r="C6" s="34" t="str">
        <x:v>主需求</x:v>
      </x:c>
      <x:c r="D6" s="34" t="str">
        <x:v>36</x:v>
      </x:c>
      <x:c r="E6" s="34" t="str">
        <x:v>净分</x:v>
      </x:c>
      <x:c r="F6" s="34" t="str">
        <x:v>8</x:v>
      </x:c>
      <x:c r="G6" s="34" t="str">
        <x:v>2</x:v>
      </x:c>
      <x:c r="H6" s="34" t="str">
        <x:v>PR1、两类独立来源</x:v>
      </x:c>
      <x:c r="I6" s="34" t="str"/>
      <x:c r="J6" s="34" t="str"/>
      <x:c r="K6" s="34" t="str"/>
      <x:c r="L6" s="56" t="str"/>
      <x:c r="M6" s="34" t="str">
        <x:f>IF(I6&lt;5,"样本不足",IF(J6/I6&gt;0.3,"建议收紧",IF(K6/I6&gt;0.3,"建议放宽",IF(L6&gt;=0.75,"暂时保留","继续观察"))))</x:f>
        <x:v>样本不足</x:v>
      </x:c>
      <x:c r="N6" s="34" t="str"/>
      <x:c r="O6" s="34" t="str">
        <x:v>待校准</x:v>
      </x:c>
      <x:c r="P6" s="34" t="str"/>
      <x:c r="Q6" s="34"/>
    </x:row>
    <x:row r="7">
      <x:c r="A7" s="34" t="str">
        <x:v>TH-BASE-02</x:v>
      </x:c>
      <x:c r="B7" s="34" t="str">
        <x:v>BASE</x:v>
      </x:c>
      <x:c r="C7" s="34" t="str">
        <x:v>次需求</x:v>
      </x:c>
      <x:c r="D7" s="34" t="str">
        <x:v>24</x:v>
      </x:c>
      <x:c r="E7" s="34" t="str">
        <x:v>净分</x:v>
      </x:c>
      <x:c r="F7" s="34" t="str"/>
      <x:c r="G7" s="34" t="str">
        <x:v>1</x:v>
      </x:c>
      <x:c r="H7" s="34" t="str">
        <x:v>与主需求功能独立</x:v>
      </x:c>
      <x:c r="I7" s="34" t="str"/>
      <x:c r="J7" s="34" t="str"/>
      <x:c r="K7" s="34" t="str"/>
      <x:c r="L7" s="56" t="str"/>
      <x:c r="M7" s="34" t="str">
        <x:f>IF(I7&lt;5,"样本不足",IF(J7/I7&gt;0.3,"建议收紧",IF(K7/I7&gt;0.3,"建议放宽",IF(L7&gt;=0.75,"暂时保留","继续观察"))))</x:f>
        <x:v>样本不足</x:v>
      </x:c>
      <x:c r="N7" s="34" t="str"/>
      <x:c r="O7" s="34" t="str">
        <x:v>待校准</x:v>
      </x:c>
      <x:c r="P7" s="34" t="str"/>
      <x:c r="Q7" s="34"/>
    </x:row>
    <x:row r="8">
      <x:c r="A8" s="34" t="str">
        <x:v>TH-PARTNER-01</x:v>
      </x:c>
      <x:c r="B8" s="34" t="str">
        <x:v>PARTNER</x:v>
      </x:c>
      <x:c r="C8" s="34" t="str">
        <x:v>主伴侣功能</x:v>
      </x:c>
      <x:c r="D8" s="34" t="str">
        <x:v>38</x:v>
      </x:c>
      <x:c r="E8" s="34" t="str">
        <x:v>净分</x:v>
      </x:c>
      <x:c r="F8" s="34" t="str">
        <x:v>8</x:v>
      </x:c>
      <x:c r="G8" s="34" t="str">
        <x:v>2</x:v>
      </x:c>
      <x:c r="H8" s="34" t="str">
        <x:v>来自PR1／PR2</x:v>
      </x:c>
      <x:c r="I8" s="34" t="str"/>
      <x:c r="J8" s="34" t="str"/>
      <x:c r="K8" s="34" t="str"/>
      <x:c r="L8" s="56" t="str"/>
      <x:c r="M8" s="34" t="str">
        <x:f>IF(I8&lt;5,"样本不足",IF(J8/I8&gt;0.3,"建议收紧",IF(K8/I8&gt;0.3,"建议放宽",IF(L8&gt;=0.75,"暂时保留","继续观察"))))</x:f>
        <x:v>样本不足</x:v>
      </x:c>
      <x:c r="N8" s="34" t="str"/>
      <x:c r="O8" s="34" t="str">
        <x:v>待校准</x:v>
      </x:c>
      <x:c r="P8" s="34" t="str"/>
      <x:c r="Q8" s="34"/>
    </x:row>
    <x:row r="9">
      <x:c r="A9" s="34" t="str">
        <x:v>TH-PARTNER-02</x:v>
      </x:c>
      <x:c r="B9" s="34" t="str">
        <x:v>PARTNER</x:v>
      </x:c>
      <x:c r="C9" s="34" t="str">
        <x:v>次伴侣功能</x:v>
      </x:c>
      <x:c r="D9" s="34" t="str">
        <x:v>26</x:v>
      </x:c>
      <x:c r="E9" s="34" t="str">
        <x:v>净分</x:v>
      </x:c>
      <x:c r="F9" s="34" t="str"/>
      <x:c r="G9" s="34" t="str">
        <x:v>1</x:v>
      </x:c>
      <x:c r="H9" s="34" t="str">
        <x:v>非同义重复</x:v>
      </x:c>
      <x:c r="I9" s="34" t="str"/>
      <x:c r="J9" s="34" t="str"/>
      <x:c r="K9" s="34" t="str"/>
      <x:c r="L9" s="56" t="str"/>
      <x:c r="M9" s="34" t="str">
        <x:f>IF(I9&lt;5,"样本不足",IF(J9/I9&gt;0.3,"建议收紧",IF(K9/I9&gt;0.3,"建议放宽",IF(L9&gt;=0.75,"暂时保留","继续观察"))))</x:f>
        <x:v>样本不足</x:v>
      </x:c>
      <x:c r="N9" s="34" t="str"/>
      <x:c r="O9" s="34" t="str">
        <x:v>待校准</x:v>
      </x:c>
      <x:c r="P9" s="34" t="str"/>
      <x:c r="Q9" s="34"/>
    </x:row>
    <x:row r="10">
      <x:c r="A10" s="34" t="str">
        <x:v>TH-PARTNER-03</x:v>
      </x:c>
      <x:c r="B10" s="34" t="str">
        <x:v>PARTNER</x:v>
      </x:c>
      <x:c r="C10" s="34" t="str">
        <x:v>PS01成熟</x:v>
      </x:c>
      <x:c r="D10" s="34" t="str">
        <x:v>PV4</x:v>
      </x:c>
      <x:c r="E10" s="34" t="str">
        <x:v>证据级</x:v>
      </x:c>
      <x:c r="F10" s="34" t="str"/>
      <x:c r="G10" s="34" t="str"/>
      <x:c r="H10" s="34" t="str">
        <x:v>关键PO至少两项</x:v>
      </x:c>
      <x:c r="I10" s="34" t="str"/>
      <x:c r="J10" s="34" t="str"/>
      <x:c r="K10" s="34" t="str"/>
      <x:c r="L10" s="56" t="str"/>
      <x:c r="M10" s="34" t="str">
        <x:f>IF(I10&lt;5,"样本不足",IF(J10/I10&gt;0.3,"建议收紧",IF(K10/I10&gt;0.3,"建议放宽",IF(L10&gt;=0.75,"暂时保留","继续观察"))))</x:f>
        <x:v>样本不足</x:v>
      </x:c>
      <x:c r="N10" s="34" t="str"/>
      <x:c r="O10" s="34" t="str">
        <x:v>待校准</x:v>
      </x:c>
      <x:c r="P10" s="34" t="str"/>
      <x:c r="Q10" s="34"/>
    </x:row>
    <x:row r="11">
      <x:c r="A11" s="34" t="str">
        <x:v>TH-EXCHANGE-01</x:v>
      </x:c>
      <x:c r="B11" s="34" t="str">
        <x:v>EXCHANGE</x:v>
      </x:c>
      <x:c r="C11" s="34" t="str">
        <x:v>主EC</x:v>
      </x:c>
      <x:c r="D11" s="34" t="str">
        <x:v>40</x:v>
      </x:c>
      <x:c r="E11" s="34" t="str">
        <x:v>净分</x:v>
      </x:c>
      <x:c r="F11" s="34" t="str">
        <x:v>8</x:v>
      </x:c>
      <x:c r="G11" s="34" t="str">
        <x:v>2</x:v>
      </x:c>
      <x:c r="H11" s="34" t="str">
        <x:v>PR1／PR2或主调节任务</x:v>
      </x:c>
      <x:c r="I11" s="34" t="str"/>
      <x:c r="J11" s="34" t="str"/>
      <x:c r="K11" s="34" t="str"/>
      <x:c r="L11" s="56" t="str"/>
      <x:c r="M11" s="34" t="str">
        <x:f>IF(I11&lt;5,"样本不足",IF(J11/I11&gt;0.3,"建议收紧",IF(K11/I11&gt;0.3,"建议放宽",IF(L11&gt;=0.75,"暂时保留","继续观察"))))</x:f>
        <x:v>样本不足</x:v>
      </x:c>
      <x:c r="N11" s="34" t="str"/>
      <x:c r="O11" s="34" t="str">
        <x:v>待校准</x:v>
      </x:c>
      <x:c r="P11" s="34" t="str"/>
      <x:c r="Q11" s="34"/>
    </x:row>
    <x:row r="12">
      <x:c r="A12" s="34" t="str">
        <x:v>TH-EXCHANGE-02</x:v>
      </x:c>
      <x:c r="B12" s="34" t="str">
        <x:v>EXCHANGE</x:v>
      </x:c>
      <x:c r="C12" s="34" t="str">
        <x:v>次EC</x:v>
      </x:c>
      <x:c r="D12" s="34" t="str">
        <x:v>28</x:v>
      </x:c>
      <x:c r="E12" s="34" t="str">
        <x:v>净分</x:v>
      </x:c>
      <x:c r="F12" s="34" t="str"/>
      <x:c r="G12" s="34" t="str">
        <x:v>1</x:v>
      </x:c>
      <x:c r="H12" s="34" t="str">
        <x:v>功能独立</x:v>
      </x:c>
      <x:c r="I12" s="34" t="str"/>
      <x:c r="J12" s="34" t="str"/>
      <x:c r="K12" s="34" t="str"/>
      <x:c r="L12" s="56" t="str"/>
      <x:c r="M12" s="34" t="str">
        <x:f>IF(I12&lt;5,"样本不足",IF(J12/I12&gt;0.3,"建议收紧",IF(K12/I12&gt;0.3,"建议放宽",IF(L12&gt;=0.75,"暂时保留","继续观察"))))</x:f>
        <x:v>样本不足</x:v>
      </x:c>
      <x:c r="N12" s="34" t="str"/>
      <x:c r="O12" s="34" t="str">
        <x:v>待校准</x:v>
      </x:c>
      <x:c r="P12" s="34" t="str"/>
      <x:c r="Q12" s="34"/>
    </x:row>
    <x:row r="13">
      <x:c r="A13" s="34" t="str">
        <x:v>TH-EXCHANGE-03</x:v>
      </x:c>
      <x:c r="B13" s="34" t="str">
        <x:v>EXCHANGE</x:v>
      </x:c>
      <x:c r="C13" s="34" t="str">
        <x:v>XR01稳定交换</x:v>
      </x:c>
      <x:c r="D13" s="34" t="str">
        <x:v>XV4</x:v>
      </x:c>
      <x:c r="E13" s="34" t="str">
        <x:v>证据级</x:v>
      </x:c>
      <x:c r="F13" s="34" t="str"/>
      <x:c r="G13" s="34" t="str"/>
      <x:c r="H13" s="34" t="str">
        <x:v>关键ED至少三项</x:v>
      </x:c>
      <x:c r="I13" s="34" t="str"/>
      <x:c r="J13" s="34" t="str"/>
      <x:c r="K13" s="34" t="str"/>
      <x:c r="L13" s="56" t="str"/>
      <x:c r="M13" s="34" t="str">
        <x:f>IF(I13&lt;5,"样本不足",IF(J13/I13&gt;0.3,"建议收紧",IF(K13/I13&gt;0.3,"建议放宽",IF(L13&gt;=0.75,"暂时保留","继续观察"))))</x:f>
        <x:v>样本不足</x:v>
      </x:c>
      <x:c r="N13" s="34" t="str"/>
      <x:c r="O13" s="34" t="str">
        <x:v>待校准</x:v>
      </x:c>
      <x:c r="P13" s="34" t="str"/>
      <x:c r="Q13" s="34"/>
    </x:row>
    <x:row r="14">
      <x:c r="A14" s="34" t="str">
        <x:v>TH-BOUND-01</x:v>
      </x:c>
      <x:c r="B14" s="34" t="str">
        <x:v>BOUND</x:v>
      </x:c>
      <x:c r="C14" s="34" t="str">
        <x:v>主BC</x:v>
      </x:c>
      <x:c r="D14" s="34" t="str">
        <x:v>42</x:v>
      </x:c>
      <x:c r="E14" s="34" t="str">
        <x:v>净分</x:v>
      </x:c>
      <x:c r="F14" s="34" t="str">
        <x:v>8</x:v>
      </x:c>
      <x:c r="G14" s="34" t="str">
        <x:v>2</x:v>
      </x:c>
      <x:c r="H14" s="34" t="str">
        <x:v>PR1／PR2或主调节任务</x:v>
      </x:c>
      <x:c r="I14" s="34" t="str"/>
      <x:c r="J14" s="34" t="str"/>
      <x:c r="K14" s="34" t="str"/>
      <x:c r="L14" s="56" t="str"/>
      <x:c r="M14" s="34" t="str">
        <x:f>IF(I14&lt;5,"样本不足",IF(J14/I14&gt;0.3,"建议收紧",IF(K14/I14&gt;0.3,"建议放宽",IF(L14&gt;=0.75,"暂时保留","继续观察"))))</x:f>
        <x:v>样本不足</x:v>
      </x:c>
      <x:c r="N14" s="34" t="str"/>
      <x:c r="O14" s="34" t="str">
        <x:v>待校准</x:v>
      </x:c>
      <x:c r="P14" s="34" t="str"/>
      <x:c r="Q14" s="34"/>
    </x:row>
    <x:row r="15">
      <x:c r="A15" s="34" t="str">
        <x:v>TH-BOUND-02</x:v>
      </x:c>
      <x:c r="B15" s="34" t="str">
        <x:v>BOUND</x:v>
      </x:c>
      <x:c r="C15" s="34" t="str">
        <x:v>次BC</x:v>
      </x:c>
      <x:c r="D15" s="34" t="str">
        <x:v>30</x:v>
      </x:c>
      <x:c r="E15" s="34" t="str">
        <x:v>净分</x:v>
      </x:c>
      <x:c r="F15" s="34" t="str"/>
      <x:c r="G15" s="34" t="str">
        <x:v>1</x:v>
      </x:c>
      <x:c r="H15" s="34" t="str">
        <x:v>功能独立</x:v>
      </x:c>
      <x:c r="I15" s="34" t="str"/>
      <x:c r="J15" s="34" t="str"/>
      <x:c r="K15" s="34" t="str"/>
      <x:c r="L15" s="56" t="str"/>
      <x:c r="M15" s="34" t="str">
        <x:f>IF(I15&lt;5,"样本不足",IF(J15/I15&gt;0.3,"建议收紧",IF(K15/I15&gt;0.3,"建议放宽",IF(L15&gt;=0.75,"暂时保留","继续观察"))))</x:f>
        <x:v>样本不足</x:v>
      </x:c>
      <x:c r="N15" s="34" t="str"/>
      <x:c r="O15" s="34" t="str">
        <x:v>待校准</x:v>
      </x:c>
      <x:c r="P15" s="34" t="str"/>
      <x:c r="Q15" s="34"/>
    </x:row>
    <x:row r="16">
      <x:c r="A16" s="34" t="str">
        <x:v>TH-BOUND-03</x:v>
      </x:c>
      <x:c r="B16" s="34" t="str">
        <x:v>BOUND</x:v>
      </x:c>
      <x:c r="C16" s="34" t="str">
        <x:v>BS01稳定边界</x:v>
      </x:c>
      <x:c r="D16" s="34" t="str">
        <x:v>BV4</x:v>
      </x:c>
      <x:c r="E16" s="34" t="str">
        <x:v>证据级</x:v>
      </x:c>
      <x:c r="F16" s="34" t="str"/>
      <x:c r="G16" s="34" t="str"/>
      <x:c r="H16" s="34" t="str">
        <x:v>关键BO至少三项</x:v>
      </x:c>
      <x:c r="I16" s="34" t="str"/>
      <x:c r="J16" s="34" t="str"/>
      <x:c r="K16" s="34" t="str"/>
      <x:c r="L16" s="56" t="str"/>
      <x:c r="M16" s="34" t="str">
        <x:f>IF(I16&lt;5,"样本不足",IF(J16/I16&gt;0.3,"建议收紧",IF(K16/I16&gt;0.3,"建议放宽",IF(L16&gt;=0.75,"暂时保留","继续观察"))))</x:f>
        <x:v>样本不足</x:v>
      </x:c>
      <x:c r="N16" s="34" t="str"/>
      <x:c r="O16" s="34" t="str">
        <x:v>待校准</x:v>
      </x:c>
      <x:c r="P16" s="34" t="str"/>
      <x:c r="Q16" s="34"/>
    </x:row>
    <x:row r="17">
      <x:c r="A17" s="34" t="str">
        <x:v>TH-BOUND-04</x:v>
      </x:c>
      <x:c r="B17" s="34" t="str">
        <x:v>BOUND</x:v>
      </x:c>
      <x:c r="C17" s="34" t="str">
        <x:v>BS07安全风险</x:v>
      </x:c>
      <x:c r="D17" s="34" t="str">
        <x:v>BV3</x:v>
      </x:c>
      <x:c r="E17" s="34" t="str">
        <x:v>证据级</x:v>
      </x:c>
      <x:c r="F17" s="34" t="str"/>
      <x:c r="G17" s="34" t="str"/>
      <x:c r="H17" s="34" t="str">
        <x:v>严重信号＋惩罚／威胁／难退出</x:v>
      </x:c>
      <x:c r="I17" s="34" t="str"/>
      <x:c r="J17" s="34" t="str"/>
      <x:c r="K17" s="34" t="str"/>
      <x:c r="L17" s="56" t="str"/>
      <x:c r="M17" s="34" t="str">
        <x:f>IF(I17&lt;5,"样本不足",IF(J17/I17&gt;0.3,"建议收紧",IF(K17/I17&gt;0.3,"建议放宽",IF(L17&gt;=0.75,"暂时保留","继续观察"))))</x:f>
        <x:v>样本不足</x:v>
      </x:c>
      <x:c r="N17" s="34" t="str"/>
      <x:c r="O17" s="34" t="str">
        <x:v>待校准</x:v>
      </x:c>
      <x:c r="P17" s="34" t="str"/>
      <x:c r="Q17" s="34"/>
    </x:row>
    <x:row r="18">
      <x:c r="A18" s="34" t="str">
        <x:v>TH-REPAIR-01</x:v>
      </x:c>
      <x:c r="B18" s="34" t="str">
        <x:v>REPAIR</x:v>
      </x:c>
      <x:c r="C18" s="34" t="str">
        <x:v>主RC</x:v>
      </x:c>
      <x:c r="D18" s="34" t="str">
        <x:v>44</x:v>
      </x:c>
      <x:c r="E18" s="34" t="str">
        <x:v>净分</x:v>
      </x:c>
      <x:c r="F18" s="34" t="str">
        <x:v>8</x:v>
      </x:c>
      <x:c r="G18" s="34" t="str">
        <x:v>2</x:v>
      </x:c>
      <x:c r="H18" s="34" t="str">
        <x:v>PR1／PR2或主修复任务</x:v>
      </x:c>
      <x:c r="I18" s="34" t="str"/>
      <x:c r="J18" s="34" t="str"/>
      <x:c r="K18" s="34" t="str"/>
      <x:c r="L18" s="56" t="str"/>
      <x:c r="M18" s="34" t="str">
        <x:f>IF(I18&lt;5,"样本不足",IF(J18/I18&gt;0.3,"建议收紧",IF(K18/I18&gt;0.3,"建议放宽",IF(L18&gt;=0.75,"暂时保留","继续观察"))))</x:f>
        <x:v>样本不足</x:v>
      </x:c>
      <x:c r="N18" s="34" t="str"/>
      <x:c r="O18" s="34" t="str">
        <x:v>待校准</x:v>
      </x:c>
      <x:c r="P18" s="34" t="str"/>
      <x:c r="Q18" s="34"/>
    </x:row>
    <x:row r="19">
      <x:c r="A19" s="34" t="str">
        <x:v>TH-REPAIR-02</x:v>
      </x:c>
      <x:c r="B19" s="34" t="str">
        <x:v>REPAIR</x:v>
      </x:c>
      <x:c r="C19" s="34" t="str">
        <x:v>次RC</x:v>
      </x:c>
      <x:c r="D19" s="34" t="str">
        <x:v>30</x:v>
      </x:c>
      <x:c r="E19" s="34" t="str">
        <x:v>净分</x:v>
      </x:c>
      <x:c r="F19" s="34" t="str"/>
      <x:c r="G19" s="34" t="str">
        <x:v>1</x:v>
      </x:c>
      <x:c r="H19" s="34" t="str">
        <x:v>功能独立</x:v>
      </x:c>
      <x:c r="I19" s="34" t="str"/>
      <x:c r="J19" s="34" t="str"/>
      <x:c r="K19" s="34" t="str"/>
      <x:c r="L19" s="56" t="str"/>
      <x:c r="M19" s="34" t="str">
        <x:f>IF(I19&lt;5,"样本不足",IF(J19/I19&gt;0.3,"建议收紧",IF(K19/I19&gt;0.3,"建议放宽",IF(L19&gt;=0.75,"暂时保留","继续观察"))))</x:f>
        <x:v>样本不足</x:v>
      </x:c>
      <x:c r="N19" s="34" t="str"/>
      <x:c r="O19" s="34" t="str">
        <x:v>待校准</x:v>
      </x:c>
      <x:c r="P19" s="34" t="str"/>
      <x:c r="Q19" s="34"/>
    </x:row>
    <x:row r="20">
      <x:c r="A20" s="34" t="str">
        <x:v>TH-REPAIR-03</x:v>
      </x:c>
      <x:c r="B20" s="34" t="str">
        <x:v>REPAIR</x:v>
      </x:c>
      <x:c r="C20" s="34" t="str">
        <x:v>RT01稳定修复</x:v>
      </x:c>
      <x:c r="D20" s="34" t="str">
        <x:v>FV4</x:v>
      </x:c>
      <x:c r="E20" s="34" t="str">
        <x:v>证据级</x:v>
      </x:c>
      <x:c r="F20" s="34" t="str"/>
      <x:c r="G20" s="34" t="str"/>
      <x:c r="H20" s="34" t="str">
        <x:v>RO01／03／04／07／10至少四项</x:v>
      </x:c>
      <x:c r="I20" s="34" t="str"/>
      <x:c r="J20" s="34" t="str"/>
      <x:c r="K20" s="34" t="str"/>
      <x:c r="L20" s="56" t="str"/>
      <x:c r="M20" s="34" t="str">
        <x:f>IF(I20&lt;5,"样本不足",IF(J20/I20&gt;0.3,"建议收紧",IF(K20/I20&gt;0.3,"建议放宽",IF(L20&gt;=0.75,"暂时保留","继续观察"))))</x:f>
        <x:v>样本不足</x:v>
      </x:c>
      <x:c r="N20" s="34" t="str"/>
      <x:c r="O20" s="34" t="str">
        <x:v>待校准</x:v>
      </x:c>
      <x:c r="P20" s="34" t="str"/>
      <x:c r="Q20" s="34"/>
    </x:row>
    <x:row r="21">
      <x:c r="A21" s="34" t="str">
        <x:v>TH-RHYTHM-01</x:v>
      </x:c>
      <x:c r="B21" s="34" t="str">
        <x:v>RHYTHM</x:v>
      </x:c>
      <x:c r="C21" s="34" t="str">
        <x:v>主HC</x:v>
      </x:c>
      <x:c r="D21" s="34" t="str">
        <x:v>46</x:v>
      </x:c>
      <x:c r="E21" s="34" t="str">
        <x:v>净分</x:v>
      </x:c>
      <x:c r="F21" s="34" t="str">
        <x:v>8</x:v>
      </x:c>
      <x:c r="G21" s="34" t="str">
        <x:v>2</x:v>
      </x:c>
      <x:c r="H21" s="34" t="str">
        <x:v>PR1／PR2或主节奏任务</x:v>
      </x:c>
      <x:c r="I21" s="34" t="str"/>
      <x:c r="J21" s="34" t="str"/>
      <x:c r="K21" s="34" t="str"/>
      <x:c r="L21" s="56" t="str"/>
      <x:c r="M21" s="34" t="str">
        <x:f>IF(I21&lt;5,"样本不足",IF(J21/I21&gt;0.3,"建议收紧",IF(K21/I21&gt;0.3,"建议放宽",IF(L21&gt;=0.75,"暂时保留","继续观察"))))</x:f>
        <x:v>样本不足</x:v>
      </x:c>
      <x:c r="N21" s="34" t="str"/>
      <x:c r="O21" s="34" t="str">
        <x:v>待校准</x:v>
      </x:c>
      <x:c r="P21" s="34" t="str"/>
      <x:c r="Q21" s="34"/>
    </x:row>
    <x:row r="22">
      <x:c r="A22" s="34" t="str">
        <x:v>TH-RHYTHM-02</x:v>
      </x:c>
      <x:c r="B22" s="34" t="str">
        <x:v>RHYTHM</x:v>
      </x:c>
      <x:c r="C22" s="34" t="str">
        <x:v>次HC</x:v>
      </x:c>
      <x:c r="D22" s="34" t="str">
        <x:v>32</x:v>
      </x:c>
      <x:c r="E22" s="34" t="str">
        <x:v>净分</x:v>
      </x:c>
      <x:c r="F22" s="34" t="str"/>
      <x:c r="G22" s="34" t="str">
        <x:v>1</x:v>
      </x:c>
      <x:c r="H22" s="34" t="str">
        <x:v>功能独立</x:v>
      </x:c>
      <x:c r="I22" s="34" t="str"/>
      <x:c r="J22" s="34" t="str"/>
      <x:c r="K22" s="34" t="str"/>
      <x:c r="L22" s="56" t="str"/>
      <x:c r="M22" s="34" t="str">
        <x:f>IF(I22&lt;5,"样本不足",IF(J22/I22&gt;0.3,"建议收紧",IF(K22/I22&gt;0.3,"建议放宽",IF(L22&gt;=0.75,"暂时保留","继续观察"))))</x:f>
        <x:v>样本不足</x:v>
      </x:c>
      <x:c r="N22" s="34" t="str"/>
      <x:c r="O22" s="34" t="str">
        <x:v>待校准</x:v>
      </x:c>
      <x:c r="P22" s="34" t="str"/>
      <x:c r="Q22" s="34"/>
    </x:row>
    <x:row r="23">
      <x:c r="A23" s="34" t="str">
        <x:v>TH-RHYTHM-03</x:v>
      </x:c>
      <x:c r="B23" s="34" t="str">
        <x:v>RHYTHM</x:v>
      </x:c>
      <x:c r="C23" s="34" t="str">
        <x:v>HS01稳定协同</x:v>
      </x:c>
      <x:c r="D23" s="34" t="str">
        <x:v>HV4</x:v>
      </x:c>
      <x:c r="E23" s="34" t="str">
        <x:v>证据级</x:v>
      </x:c>
      <x:c r="F23" s="34" t="str"/>
      <x:c r="G23" s="34" t="str"/>
      <x:c r="H23" s="34" t="str">
        <x:v>关键HO至少四项</x:v>
      </x:c>
      <x:c r="I23" s="34" t="str"/>
      <x:c r="J23" s="34" t="str"/>
      <x:c r="K23" s="34" t="str"/>
      <x:c r="L23" s="56" t="str"/>
      <x:c r="M23" s="34" t="str">
        <x:f>IF(I23&lt;5,"样本不足",IF(J23/I23&gt;0.3,"建议收紧",IF(K23/I23&gt;0.3,"建议放宽",IF(L23&gt;=0.75,"暂时保留","继续观察"))))</x:f>
        <x:v>样本不足</x:v>
      </x:c>
      <x:c r="N23" s="34" t="str"/>
      <x:c r="O23" s="34" t="str">
        <x:v>待校准</x:v>
      </x:c>
      <x:c r="P23" s="34" t="str"/>
      <x:c r="Q23" s="34"/>
    </x:row>
    <x:row r="24">
      <x:c r="A24" s="34" t="str">
        <x:v>TH-GAP-01</x:v>
      </x:c>
      <x:c r="B24" s="34" t="str">
        <x:v>GAP</x:v>
      </x:c>
      <x:c r="C24" s="34" t="str">
        <x:v>主差异</x:v>
      </x:c>
      <x:c r="D24" s="34" t="str">
        <x:v>48</x:v>
      </x:c>
      <x:c r="E24" s="34" t="str">
        <x:v>净分</x:v>
      </x:c>
      <x:c r="F24" s="34" t="str">
        <x:v>10</x:v>
      </x:c>
      <x:c r="G24" s="34" t="str">
        <x:v>2</x:v>
      </x:c>
      <x:c r="H24" s="34" t="str">
        <x:v>AX＋GT／GS＋两个GO</x:v>
      </x:c>
      <x:c r="I24" s="34" t="str"/>
      <x:c r="J24" s="34" t="str"/>
      <x:c r="K24" s="34" t="str"/>
      <x:c r="L24" s="56" t="str"/>
      <x:c r="M24" s="34" t="str">
        <x:f>IF(I24&lt;5,"样本不足",IF(J24/I24&gt;0.3,"建议收紧",IF(K24/I24&gt;0.3,"建议放宽",IF(L24&gt;=0.75,"暂时保留","继续观察"))))</x:f>
        <x:v>样本不足</x:v>
      </x:c>
      <x:c r="N24" s="34" t="str"/>
      <x:c r="O24" s="34" t="str">
        <x:v>待校准</x:v>
      </x:c>
      <x:c r="P24" s="34" t="str"/>
      <x:c r="Q24" s="34"/>
    </x:row>
    <x:row r="25">
      <x:c r="A25" s="34" t="str">
        <x:v>TH-GAP-02</x:v>
      </x:c>
      <x:c r="B25" s="34" t="str">
        <x:v>GAP</x:v>
      </x:c>
      <x:c r="C25" s="34" t="str">
        <x:v>次差异</x:v>
      </x:c>
      <x:c r="D25" s="34" t="str">
        <x:v>32</x:v>
      </x:c>
      <x:c r="E25" s="34" t="str">
        <x:v>净分</x:v>
      </x:c>
      <x:c r="F25" s="34" t="str"/>
      <x:c r="G25" s="34" t="str">
        <x:v>1</x:v>
      </x:c>
      <x:c r="H25" s="34" t="str">
        <x:v>与主差异独立</x:v>
      </x:c>
      <x:c r="I25" s="34" t="str"/>
      <x:c r="J25" s="34" t="str"/>
      <x:c r="K25" s="34" t="str"/>
      <x:c r="L25" s="56" t="str"/>
      <x:c r="M25" s="34" t="str">
        <x:f>IF(I25&lt;5,"样本不足",IF(J25/I25&gt;0.3,"建议收紧",IF(K25/I25&gt;0.3,"建议放宽",IF(L25&gt;=0.75,"暂时保留","继续观察"))))</x:f>
        <x:v>样本不足</x:v>
      </x:c>
      <x:c r="N25" s="34" t="str"/>
      <x:c r="O25" s="34" t="str">
        <x:v>待校准</x:v>
      </x:c>
      <x:c r="P25" s="34" t="str"/>
      <x:c r="Q25" s="34"/>
    </x:row>
    <x:row r="26">
      <x:c r="A26" s="34" t="str">
        <x:v>TH-GAP-03</x:v>
      </x:c>
      <x:c r="B26" s="34" t="str">
        <x:v>GAP</x:v>
      </x:c>
      <x:c r="C26" s="34" t="str">
        <x:v>GE5跨场景</x:v>
      </x:c>
      <x:c r="D26" s="34" t="str">
        <x:v>GE5</x:v>
      </x:c>
      <x:c r="E26" s="34" t="str">
        <x:v>证据级</x:v>
      </x:c>
      <x:c r="F26" s="34" t="str"/>
      <x:c r="G26" s="34" t="str"/>
      <x:c r="H26" s="34" t="str">
        <x:v>对象至少两个场景</x:v>
      </x:c>
      <x:c r="I26" s="34" t="str"/>
      <x:c r="J26" s="34" t="str"/>
      <x:c r="K26" s="34" t="str"/>
      <x:c r="L26" s="56" t="str"/>
      <x:c r="M26" s="34" t="str">
        <x:f>IF(I26&lt;5,"样本不足",IF(J26/I26&gt;0.3,"建议收紧",IF(K26/I26&gt;0.3,"建议放宽",IF(L26&gt;=0.75,"暂时保留","继续观察"))))</x:f>
        <x:v>样本不足</x:v>
      </x:c>
      <x:c r="N26" s="34" t="str"/>
      <x:c r="O26" s="34" t="str">
        <x:v>待校准</x:v>
      </x:c>
      <x:c r="P26" s="34" t="str"/>
      <x:c r="Q26" s="34"/>
    </x:row>
    <x:row r="27">
      <x:c r="A27" s="34" t="str">
        <x:v>TH-GAP-04</x:v>
      </x:c>
      <x:c r="B27" s="34" t="str">
        <x:v>GAP</x:v>
      </x:c>
      <x:c r="C27" s="34" t="str">
        <x:v>GE6压力转折</x:v>
      </x:c>
      <x:c r="D27" s="34" t="str">
        <x:v>GE6</x:v>
      </x:c>
      <x:c r="E27" s="34" t="str">
        <x:v>证据级</x:v>
      </x:c>
      <x:c r="F27" s="34" t="str"/>
      <x:c r="G27" s="34" t="str"/>
      <x:c r="H27" s="34" t="str">
        <x:v>压力／修复／重大转折</x:v>
      </x:c>
      <x:c r="I27" s="34" t="str"/>
      <x:c r="J27" s="34" t="str"/>
      <x:c r="K27" s="34" t="str"/>
      <x:c r="L27" s="56" t="str"/>
      <x:c r="M27" s="34" t="str">
        <x:f>IF(I27&lt;5,"样本不足",IF(J27/I27&gt;0.3,"建议收紧",IF(K27/I27&gt;0.3,"建议放宽",IF(L27&gt;=0.75,"暂时保留","继续观察"))))</x:f>
        <x:v>样本不足</x:v>
      </x:c>
      <x:c r="N27" s="34" t="str"/>
      <x:c r="O27" s="34" t="str">
        <x:v>待校准</x:v>
      </x:c>
      <x:c r="P27" s="34" t="str"/>
      <x:c r="Q27" s="34"/>
    </x:row>
    <x:row r="28">
      <x:c r="A28" s="34" t="str">
        <x:v>TH-SYNTH-01</x:v>
      </x:c>
      <x:c r="B28" s="34" t="str">
        <x:v>SYNTH</x:v>
      </x:c>
      <x:c r="C28" s="34" t="str">
        <x:v>FG1</x:v>
      </x:c>
      <x:c r="D28" s="34" t="str">
        <x:v>FG1</x:v>
      </x:c>
      <x:c r="E28" s="34" t="str">
        <x:v>发布级</x:v>
      </x:c>
      <x:c r="F28" s="34" t="str"/>
      <x:c r="G28" s="34" t="str"/>
      <x:c r="H28" s="34" t="str">
        <x:v>PR1明确，不评价具体对象</x:v>
      </x:c>
      <x:c r="I28" s="34" t="str"/>
      <x:c r="J28" s="34" t="str"/>
      <x:c r="K28" s="34" t="str"/>
      <x:c r="L28" s="56" t="str"/>
      <x:c r="M28" s="34" t="str">
        <x:f>IF(I28&lt;5,"样本不足",IF(J28/I28&gt;0.3,"建议收紧",IF(K28/I28&gt;0.3,"建议放宽",IF(L28&gt;=0.75,"暂时保留","继续观察"))))</x:f>
        <x:v>样本不足</x:v>
      </x:c>
      <x:c r="N28" s="34" t="str"/>
      <x:c r="O28" s="34" t="str">
        <x:v>待校准</x:v>
      </x:c>
      <x:c r="P28" s="34" t="str"/>
      <x:c r="Q28" s="34"/>
    </x:row>
    <x:row r="29">
      <x:c r="A29" s="34" t="str">
        <x:v>TH-SYNTH-02</x:v>
      </x:c>
      <x:c r="B29" s="34" t="str">
        <x:v>SYNTH</x:v>
      </x:c>
      <x:c r="C29" s="34" t="str">
        <x:v>FG2上限</x:v>
      </x:c>
      <x:c r="D29" s="34" t="str">
        <x:v>FG2</x:v>
      </x:c>
      <x:c r="E29" s="34" t="str">
        <x:v>发布级</x:v>
      </x:c>
      <x:c r="F29" s="34" t="str"/>
      <x:c r="G29" s="34" t="str"/>
      <x:c r="H29" s="34" t="str">
        <x:v>只有命盘／核心RG未知</x:v>
      </x:c>
      <x:c r="I29" s="34" t="str"/>
      <x:c r="J29" s="34" t="str"/>
      <x:c r="K29" s="34" t="str"/>
      <x:c r="L29" s="56" t="str"/>
      <x:c r="M29" s="34" t="str">
        <x:f>IF(I29&lt;5,"样本不足",IF(J29/I29&gt;0.3,"建议收紧",IF(K29/I29&gt;0.3,"建议放宽",IF(L29&gt;=0.75,"暂时保留","继续观察"))))</x:f>
        <x:v>样本不足</x:v>
      </x:c>
      <x:c r="N29" s="34" t="str"/>
      <x:c r="O29" s="34" t="str">
        <x:v>待校准</x:v>
      </x:c>
      <x:c r="P29" s="34" t="str"/>
      <x:c r="Q29" s="34"/>
    </x:row>
    <x:row r="30">
      <x:c r="A30" s="34" t="str">
        <x:v>TH-SYNTH-03</x:v>
      </x:c>
      <x:c r="B30" s="34" t="str">
        <x:v>SYNTH</x:v>
      </x:c>
      <x:c r="C30" s="34" t="str">
        <x:v>FG3</x:v>
      </x:c>
      <x:c r="D30" s="34" t="str">
        <x:v>FG3</x:v>
      </x:c>
      <x:c r="E30" s="34" t="str">
        <x:v>发布级</x:v>
      </x:c>
      <x:c r="F30" s="34" t="str"/>
      <x:c r="G30" s="34" t="str"/>
      <x:c r="H30" s="34" t="str">
        <x:v>PV4＋多模块现实重复＋RG01通过</x:v>
      </x:c>
      <x:c r="I30" s="34" t="str"/>
      <x:c r="J30" s="34" t="str"/>
      <x:c r="K30" s="34" t="str"/>
      <x:c r="L30" s="56" t="str"/>
      <x:c r="M30" s="34" t="str">
        <x:f>IF(I30&lt;5,"样本不足",IF(J30/I30&gt;0.3,"建议收紧",IF(K30/I30&gt;0.3,"建议放宽",IF(L30&gt;=0.75,"暂时保留","继续观察"))))</x:f>
        <x:v>样本不足</x:v>
      </x:c>
      <x:c r="N30" s="34" t="str"/>
      <x:c r="O30" s="34" t="str">
        <x:v>待校准</x:v>
      </x:c>
      <x:c r="P30" s="34" t="str"/>
      <x:c r="Q30" s="34"/>
    </x:row>
    <x:row r="31">
      <x:c r="A31" s="34" t="str">
        <x:v>TH-SYNTH-04</x:v>
      </x:c>
      <x:c r="B31" s="34" t="str">
        <x:v>SYNTH</x:v>
      </x:c>
      <x:c r="C31" s="34" t="str">
        <x:v>FG4</x:v>
      </x:c>
      <x:c r="D31" s="34" t="str">
        <x:v>FG4</x:v>
      </x:c>
      <x:c r="E31" s="34" t="str">
        <x:v>发布级</x:v>
      </x:c>
      <x:c r="F31" s="34" t="str"/>
      <x:c r="G31" s="34" t="str"/>
      <x:c r="H31" s="34" t="str">
        <x:v>压力／修复／转折＋全部RG已评估</x:v>
      </x:c>
      <x:c r="I31" s="34" t="str"/>
      <x:c r="J31" s="34" t="str"/>
      <x:c r="K31" s="34" t="str"/>
      <x:c r="L31" s="56" t="str"/>
      <x:c r="M31" s="34" t="str">
        <x:f>IF(I31&lt;5,"样本不足",IF(J31/I31&gt;0.3,"建议收紧",IF(K31/I31&gt;0.3,"建议放宽",IF(L31&gt;=0.75,"暂时保留","继续观察"))))</x:f>
        <x:v>样本不足</x:v>
      </x:c>
      <x:c r="N31" s="34" t="str"/>
      <x:c r="O31" s="34" t="str">
        <x:v>待校准</x:v>
      </x:c>
      <x:c r="P31" s="34" t="str"/>
      <x:c r="Q31" s="34"/>
    </x:row>
    <x:row r="32">
      <x:c r="A32" s="34" t="str">
        <x:v>TH-SYNTH-05</x:v>
      </x:c>
      <x:c r="B32" s="34" t="str">
        <x:v>SYNTH</x:v>
      </x:c>
      <x:c r="C32" s="34" t="str">
        <x:v>FB3</x:v>
      </x:c>
      <x:c r="D32" s="34" t="str">
        <x:v>FB3</x:v>
      </x:c>
      <x:c r="E32" s="34" t="str">
        <x:v>桥接级</x:v>
      </x:c>
      <x:c r="F32" s="34" t="str"/>
      <x:c r="G32" s="34" t="str"/>
      <x:c r="H32" s="34" t="str">
        <x:v>一次事件真实改变链条</x:v>
      </x:c>
      <x:c r="I32" s="34" t="str"/>
      <x:c r="J32" s="34" t="str"/>
      <x:c r="K32" s="34" t="str"/>
      <x:c r="L32" s="56" t="str"/>
      <x:c r="M32" s="34" t="str">
        <x:f>IF(I32&lt;5,"样本不足",IF(J32/I32&gt;0.3,"建议收紧",IF(K32/I32&gt;0.3,"建议放宽",IF(L32&gt;=0.75,"暂时保留","继续观察"))))</x:f>
        <x:v>样本不足</x:v>
      </x:c>
      <x:c r="N32" s="34" t="str"/>
      <x:c r="O32" s="34" t="str">
        <x:v>待校准</x:v>
      </x:c>
      <x:c r="P32" s="34" t="str"/>
      <x:c r="Q32" s="34"/>
    </x:row>
    <x:row r="33">
      <x:c r="A33" s="34" t="str">
        <x:v>TH-SYNTH-06</x:v>
      </x:c>
      <x:c r="B33" s="34" t="str">
        <x:v>SYNTH</x:v>
      </x:c>
      <x:c r="C33" s="34" t="str">
        <x:v>FB4</x:v>
      </x:c>
      <x:c r="D33" s="34" t="str">
        <x:v>FB4</x:v>
      </x:c>
      <x:c r="E33" s="34" t="str">
        <x:v>桥接级</x:v>
      </x:c>
      <x:c r="F33" s="34" t="str"/>
      <x:c r="G33" s="34" t="str"/>
      <x:c r="H33" s="34" t="str">
        <x:v>至少两个场景重复有效</x:v>
      </x:c>
      <x:c r="I33" s="34" t="str"/>
      <x:c r="J33" s="34" t="str"/>
      <x:c r="K33" s="34" t="str"/>
      <x:c r="L33" s="56" t="str"/>
      <x:c r="M33" s="34" t="str">
        <x:f>IF(I33&lt;5,"样本不足",IF(J33/I33&gt;0.3,"建议收紧",IF(K33/I33&gt;0.3,"建议放宽",IF(L33&gt;=0.75,"暂时保留","继续观察"))))</x:f>
        <x:v>样本不足</x:v>
      </x:c>
      <x:c r="N33" s="34" t="str"/>
      <x:c r="O33" s="34" t="str">
        <x:v>待校准</x:v>
      </x:c>
      <x:c r="P33" s="34" t="str"/>
      <x:c r="Q33" s="34"/>
    </x:row>
  </x:sheetData>
  <x:mergeCells>
    <x:mergeCell ref="A1:Q2"/>
    <x:mergeCell ref="A3:Q3"/>
  </x:mergeCells>
  <x:dataValidations count="2">
    <x:dataValidation type="list" sqref="O6:O33">
      <x:formula1>"保留,收紧,放宽,拆分,合并,停用,待讨论"</x:formula1>
    </x:dataValidation>
    <x:dataValidation type="list" sqref="P6:P33">
      <x:formula1>"待校准,观察中,已调整,冻结"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1e352810074e8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0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48" hidden="0" customWidth="1"/>
    <x:col min="10" max="10" width="42" hidden="0" customWidth="1"/>
    <x:col min="11" max="11" width="42" hidden="0" customWidth="1"/>
    <x:col min="12" max="12" width="16" hidden="0" customWidth="1"/>
    <x:col min="13" max="13" width="16" hidden="0" customWidth="1"/>
    <x:col min="14" max="14" width="40" hidden="0" customWidth="1"/>
  </x:cols>
  <x:sheetData>
    <x:row r="1">
      <x:c r="A1" s="45" t="str">
        <x:v>误差分类、根因与修订动作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3">
      <x:c r="A3" s="50" t="str">
        <x:v>区分资料、规则、阈值、去重、语言与安全问题。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</x:row>
    <x:row r="5">
      <x:c r="A5" s="55" t="str">
        <x:v>代码</x:v>
      </x:c>
      <x:c r="B5" s="55" t="str">
        <x:v>名称</x:v>
      </x:c>
      <x:c r="C5" s="55" t="str">
        <x:v>定义</x:v>
      </x:c>
      <x:c r="D5" s="55" t="str">
        <x:v>优先动作</x:v>
      </x:c>
    </x:row>
    <x:row r="6">
      <x:c r="A6" s="34" t="str">
        <x:v>EC01</x:v>
      </x:c>
      <x:c r="B6" s="34" t="str">
        <x:v>资料不足误判</x:v>
      </x:c>
      <x:c r="C6" s="34" t="str">
        <x:v>unknown／not_assessed被当成失败</x:v>
      </x:c>
      <x:c r="D6" s="34" t="str">
        <x:v>修正资料要求</x:v>
      </x:c>
    </x:row>
    <x:row r="7">
      <x:c r="A7" s="34" t="str">
        <x:v>EC02</x:v>
      </x:c>
      <x:c r="B7" s="34" t="str">
        <x:v>事实还原错误</x:v>
      </x:c>
      <x:c r="C7" s="34" t="str">
        <x:v>事件事实或时间线错误</x:v>
      </x:c>
      <x:c r="D7" s="34" t="str">
        <x:v>回到原始材料</x:v>
      </x:c>
    </x:row>
    <x:row r="8">
      <x:c r="A8" s="34" t="str">
        <x:v>EC03</x:v>
      </x:c>
      <x:c r="B8" s="34" t="str">
        <x:v>命盘状态错误</x:v>
      </x:c>
      <x:c r="C8" s="34" t="str">
        <x:v>旺衰、合化或十神映射错误</x:v>
      </x:c>
      <x:c r="D8" s="34" t="str">
        <x:v>停止受影响字段</x:v>
      </x:c>
    </x:row>
    <x:row r="9">
      <x:c r="A9" s="34" t="str">
        <x:v>EC04</x:v>
      </x:c>
      <x:c r="B9" s="34" t="str">
        <x:v>字段映射错误</x:v>
      </x:c>
      <x:c r="C9" s="34" t="str">
        <x:v>预测值与现实值不属于同一字段</x:v>
      </x:c>
      <x:c r="D9" s="34" t="str">
        <x:v>修正字段权威</x:v>
      </x:c>
    </x:row>
    <x:row r="10">
      <x:c r="A10" s="34" t="str">
        <x:v>EC05</x:v>
      </x:c>
      <x:c r="B10" s="34" t="str">
        <x:v>同源重复</x:v>
      </x:c>
      <x:c r="C10" s="34" t="str">
        <x:v>同一source_id重复计分</x:v>
      </x:c>
      <x:c r="D10" s="34" t="str">
        <x:v>去重</x:v>
      </x:c>
    </x:row>
    <x:row r="11">
      <x:c r="A11" s="34" t="str">
        <x:v>EC06</x:v>
      </x:c>
      <x:c r="B11" s="34" t="str">
        <x:v>同事件重复</x:v>
      </x:c>
      <x:c r="C11" s="34" t="str">
        <x:v>同一event_id拆成多份</x:v>
      </x:c>
      <x:c r="D11" s="34" t="str">
        <x:v>去重</x:v>
      </x:c>
    </x:row>
    <x:row r="12">
      <x:c r="A12" s="34" t="str">
        <x:v>EC07</x:v>
      </x:c>
      <x:c r="B12" s="34" t="str">
        <x:v>必要条件过松</x:v>
      </x:c>
      <x:c r="C12" s="34" t="str">
        <x:v>假阳性过多</x:v>
      </x:c>
      <x:c r="D12" s="34" t="str">
        <x:v>收紧条件</x:v>
      </x:c>
    </x:row>
    <x:row r="13">
      <x:c r="A13" s="34" t="str">
        <x:v>EC08</x:v>
      </x:c>
      <x:c r="B13" s="34" t="str">
        <x:v>必要条件过严</x:v>
      </x:c>
      <x:c r="C13" s="34" t="str">
        <x:v>假阴性过多</x:v>
      </x:c>
      <x:c r="D13" s="34" t="str">
        <x:v>放宽或补路由</x:v>
      </x:c>
    </x:row>
    <x:row r="14">
      <x:c r="A14" s="34" t="str">
        <x:v>EC09</x:v>
      </x:c>
      <x:c r="B14" s="34" t="str">
        <x:v>排除条件缺失</x:v>
      </x:c>
      <x:c r="C14" s="34" t="str">
        <x:v>反例情境未排除</x:v>
      </x:c>
      <x:c r="D14" s="34" t="str">
        <x:v>增加排除条件</x:v>
      </x:c>
    </x:row>
    <x:row r="15">
      <x:c r="A15" s="34" t="str">
        <x:v>EC10</x:v>
      </x:c>
      <x:c r="B15" s="34" t="str">
        <x:v>阶段错配</x:v>
      </x:c>
      <x:c r="C15" s="34" t="str">
        <x:v>平稳、压力、恢复混用</x:v>
      </x:c>
      <x:c r="D15" s="34" t="str">
        <x:v>增加阶段限定</x:v>
      </x:c>
    </x:row>
    <x:row r="16">
      <x:c r="A16" s="34" t="str">
        <x:v>EC11</x:v>
      </x:c>
      <x:c r="B16" s="34" t="str">
        <x:v>权威冲突</x:v>
      </x:c>
      <x:c r="C16" s="34" t="str">
        <x:v>低权威覆盖主权威</x:v>
      </x:c>
      <x:c r="D16" s="34" t="str">
        <x:v>修正裁决</x:v>
      </x:c>
    </x:row>
    <x:row r="17">
      <x:c r="A17" s="34" t="str">
        <x:v>EC12</x:v>
      </x:c>
      <x:c r="B17" s="34" t="str">
        <x:v>RG遗漏</x:v>
      </x:c>
      <x:c r="C17" s="34" t="str">
        <x:v>核心现实门槛未进入结论</x:v>
      </x:c>
      <x:c r="D17" s="34" t="str">
        <x:v>增加硬门控</x:v>
      </x:c>
    </x:row>
    <x:row r="18">
      <x:c r="A18" s="34" t="str">
        <x:v>EC13</x:v>
      </x:c>
      <x:c r="B18" s="34" t="str">
        <x:v>FG／AF越级</x:v>
      </x:c>
      <x:c r="C18" s="34" t="str">
        <x:v>证据不足却发布高等级</x:v>
      </x:c>
      <x:c r="D18" s="34" t="str">
        <x:v>降低等级</x:v>
      </x:c>
    </x:row>
    <x:row r="19">
      <x:c r="A19" s="34" t="str">
        <x:v>EC14</x:v>
      </x:c>
      <x:c r="B19" s="34" t="str">
        <x:v>语言过度</x:v>
      </x:c>
      <x:c r="C19" s="34" t="str">
        <x:v>候选写成确定、命定或人格</x:v>
      </x:c>
      <x:c r="D19" s="34" t="str">
        <x:v>重写语言</x:v>
      </x:c>
    </x:row>
    <x:row r="20">
      <x:c r="A20" s="34" t="str">
        <x:v>EC15</x:v>
      </x:c>
      <x:c r="B20" s="34" t="str">
        <x:v>观察不可执行</x:v>
      </x:c>
      <x:c r="C20" s="34" t="str">
        <x:v>没有具体行为验证</x:v>
      </x:c>
      <x:c r="D20" s="34" t="str">
        <x:v>增加观察任务</x:v>
      </x:c>
    </x:row>
    <x:row r="21">
      <x:c r="A21" s="34" t="str">
        <x:v>EC16</x:v>
      </x:c>
      <x:c r="B21" s="34" t="str">
        <x:v>安全处理错误</x:v>
      </x:c>
      <x:c r="C21" s="34" t="str">
        <x:v>平均责任或未及时停止</x:v>
      </x:c>
      <x:c r="D21" s="34" t="str">
        <x:v>立即优先复核</x:v>
      </x:c>
    </x:row>
    <x:row r="24">
      <x:c r="A24" s="55" t="str">
        <x:v>error_id</x:v>
      </x:c>
      <x:c r="B24" s="55" t="str">
        <x:v>case_id</x:v>
      </x:c>
      <x:c r="C24" s="55" t="str">
        <x:v>snapshot_id</x:v>
      </x:c>
      <x:c r="D24" s="55" t="str">
        <x:v>eval_or_hit_id</x:v>
      </x:c>
      <x:c r="E24" s="55" t="str">
        <x:v>错误代码</x:v>
      </x:c>
      <x:c r="F24" s="55" t="str">
        <x:v>严重度</x:v>
      </x:c>
      <x:c r="G24" s="55" t="str">
        <x:v>假阳性</x:v>
      </x:c>
      <x:c r="H24" s="55" t="str">
        <x:v>假阴性</x:v>
      </x:c>
      <x:c r="I24" s="55" t="str">
        <x:v>问题描述</x:v>
      </x:c>
      <x:c r="J24" s="55" t="str">
        <x:v>根因</x:v>
      </x:c>
      <x:c r="K24" s="55" t="str">
        <x:v>建议动作</x:v>
      </x:c>
      <x:c r="L24" s="55" t="str">
        <x:v>负责人</x:v>
      </x:c>
      <x:c r="M24" s="55" t="str">
        <x:v>状态</x:v>
      </x:c>
      <x:c r="N24" s="55" t="str">
        <x:v>备注</x:v>
      </x:c>
    </x:row>
    <x:row r="25">
      <x:c r="A25" s="34" t="str">
        <x:v>M5-ERR-001</x:v>
      </x:c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4" t="str"/>
      <x:c r="L25" s="34" t="str"/>
      <x:c r="M25" s="34" t="str"/>
      <x:c r="N25" s="34" t="str"/>
    </x:row>
    <x:row r="26">
      <x:c r="A26" s="34" t="str">
        <x:v>M5-ERR-002</x:v>
      </x:c>
      <x:c r="B26" s="34" t="str"/>
      <x:c r="C26" s="34" t="str"/>
      <x:c r="D26" s="34" t="str"/>
      <x:c r="E26" s="34" t="str"/>
      <x:c r="F26" s="34" t="str"/>
      <x:c r="G26" s="34" t="str"/>
      <x:c r="H26" s="34" t="str"/>
      <x:c r="I26" s="34" t="str"/>
      <x:c r="J26" s="34" t="str"/>
      <x:c r="K26" s="34" t="str"/>
      <x:c r="L26" s="34" t="str"/>
      <x:c r="M26" s="34" t="str"/>
      <x:c r="N26" s="34" t="str"/>
    </x:row>
    <x:row r="27">
      <x:c r="A27" s="34" t="str">
        <x:v>M5-ERR-003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34" t="str"/>
      <x:c r="J27" s="34" t="str"/>
      <x:c r="K27" s="34" t="str"/>
      <x:c r="L27" s="34" t="str"/>
      <x:c r="M27" s="34" t="str"/>
      <x:c r="N27" s="34" t="str"/>
    </x:row>
    <x:row r="28">
      <x:c r="A28" s="34" t="str">
        <x:v>M5-ERR-004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34" t="str"/>
      <x:c r="J28" s="34" t="str"/>
      <x:c r="K28" s="34" t="str"/>
      <x:c r="L28" s="34" t="str"/>
      <x:c r="M28" s="34" t="str"/>
      <x:c r="N28" s="34" t="str"/>
    </x:row>
    <x:row r="29">
      <x:c r="A29" s="34" t="str">
        <x:v>M5-ERR-005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/>
      <x:c r="N29" s="34" t="str"/>
    </x:row>
    <x:row r="30">
      <x:c r="A30" s="34" t="str">
        <x:v>M5-ERR-006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/>
      <x:c r="N30" s="34" t="str"/>
    </x:row>
    <x:row r="31">
      <x:c r="A31" s="34" t="str">
        <x:v>M5-ERR-007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4" t="str"/>
      <x:c r="J31" s="34" t="str"/>
      <x:c r="K31" s="34" t="str"/>
      <x:c r="L31" s="34" t="str"/>
      <x:c r="M31" s="34" t="str"/>
      <x:c r="N31" s="34" t="str"/>
    </x:row>
    <x:row r="32">
      <x:c r="A32" s="34" t="str">
        <x:v>M5-ERR-008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/>
      <x:c r="N32" s="34" t="str"/>
    </x:row>
    <x:row r="33">
      <x:c r="A33" s="34" t="str">
        <x:v>M5-ERR-009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/>
      <x:c r="N33" s="34" t="str"/>
    </x:row>
    <x:row r="34">
      <x:c r="A34" s="34" t="str">
        <x:v>M5-ERR-010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/>
      <x:c r="N34" s="34" t="str"/>
    </x:row>
    <x:row r="35">
      <x:c r="A35" s="34" t="str">
        <x:v>M5-ERR-011</x:v>
      </x:c>
      <x:c r="B35" s="34" t="str"/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/>
      <x:c r="N35" s="34" t="str"/>
    </x:row>
    <x:row r="36">
      <x:c r="A36" s="34" t="str">
        <x:v>M5-ERR-012</x:v>
      </x:c>
      <x:c r="B36" s="34" t="str"/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/>
      <x:c r="N36" s="34" t="str"/>
    </x:row>
    <x:row r="37">
      <x:c r="A37" s="34" t="str">
        <x:v>M5-ERR-013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/>
      <x:c r="N37" s="34" t="str"/>
    </x:row>
    <x:row r="38">
      <x:c r="A38" s="34" t="str">
        <x:v>M5-ERR-014</x:v>
      </x:c>
      <x:c r="B38" s="34" t="str"/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/>
      <x:c r="N38" s="34" t="str"/>
    </x:row>
    <x:row r="39">
      <x:c r="A39" s="34" t="str">
        <x:v>M5-ERR-015</x:v>
      </x:c>
      <x:c r="B39" s="34" t="str"/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/>
      <x:c r="N39" s="34" t="str"/>
    </x:row>
    <x:row r="40">
      <x:c r="A40" s="34" t="str">
        <x:v>M5-ERR-016</x:v>
      </x:c>
      <x:c r="B40" s="34" t="str"/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/>
      <x:c r="N40" s="34" t="str"/>
    </x:row>
    <x:row r="41">
      <x:c r="A41" s="34" t="str">
        <x:v>M5-ERR-017</x:v>
      </x:c>
      <x:c r="B41" s="34" t="str"/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/>
      <x:c r="N41" s="34" t="str"/>
    </x:row>
    <x:row r="42">
      <x:c r="A42" s="34" t="str">
        <x:v>M5-ERR-018</x:v>
      </x:c>
      <x:c r="B42" s="34" t="str"/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/>
      <x:c r="N42" s="34" t="str"/>
    </x:row>
    <x:row r="43">
      <x:c r="A43" s="34" t="str">
        <x:v>M5-ERR-019</x:v>
      </x:c>
      <x:c r="B43" s="34" t="str"/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/>
      <x:c r="N43" s="34" t="str"/>
    </x:row>
    <x:row r="44">
      <x:c r="A44" s="34" t="str">
        <x:v>M5-ERR-020</x:v>
      </x:c>
      <x:c r="B44" s="34" t="str"/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/>
      <x:c r="N44" s="34" t="str"/>
    </x:row>
    <x:row r="45">
      <x:c r="A45" s="34" t="str">
        <x:v>M5-ERR-021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/>
      <x:c r="N45" s="34" t="str"/>
    </x:row>
    <x:row r="46">
      <x:c r="A46" s="34" t="str">
        <x:v>M5-ERR-022</x:v>
      </x:c>
      <x:c r="B46" s="34" t="str"/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/>
      <x:c r="N46" s="34" t="str"/>
    </x:row>
    <x:row r="47">
      <x:c r="A47" s="34" t="str">
        <x:v>M5-ERR-023</x:v>
      </x:c>
      <x:c r="B47" s="34" t="str"/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/>
      <x:c r="N47" s="34" t="str"/>
    </x:row>
    <x:row r="48">
      <x:c r="A48" s="34" t="str">
        <x:v>M5-ERR-024</x:v>
      </x:c>
      <x:c r="B48" s="34" t="str"/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/>
      <x:c r="N48" s="34" t="str"/>
    </x:row>
    <x:row r="49">
      <x:c r="A49" s="34" t="str">
        <x:v>M5-ERR-025</x:v>
      </x:c>
      <x:c r="B49" s="34" t="str"/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/>
      <x:c r="N49" s="34" t="str"/>
    </x:row>
    <x:row r="50">
      <x:c r="A50" s="34" t="str">
        <x:v>M5-ERR-026</x:v>
      </x:c>
      <x:c r="B50" s="34" t="str"/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/>
      <x:c r="N50" s="34" t="str"/>
    </x:row>
    <x:row r="51">
      <x:c r="A51" s="34" t="str">
        <x:v>M5-ERR-027</x:v>
      </x:c>
      <x:c r="B51" s="34" t="str"/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/>
      <x:c r="N51" s="34" t="str"/>
    </x:row>
    <x:row r="52">
      <x:c r="A52" s="34" t="str">
        <x:v>M5-ERR-028</x:v>
      </x:c>
      <x:c r="B52" s="34" t="str"/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/>
      <x:c r="N52" s="34" t="str"/>
    </x:row>
    <x:row r="53">
      <x:c r="A53" s="34" t="str">
        <x:v>M5-ERR-029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/>
      <x:c r="N53" s="34" t="str"/>
    </x:row>
    <x:row r="54">
      <x:c r="A54" s="34" t="str">
        <x:v>M5-ERR-030</x:v>
      </x:c>
      <x:c r="B54" s="34" t="str"/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/>
      <x:c r="N54" s="34" t="str"/>
    </x:row>
    <x:row r="55">
      <x:c r="A55" s="34" t="str">
        <x:v>M5-ERR-031</x:v>
      </x:c>
      <x:c r="B55" s="34" t="str"/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/>
      <x:c r="N55" s="34" t="str"/>
    </x:row>
    <x:row r="56">
      <x:c r="A56" s="34" t="str">
        <x:v>M5-ERR-032</x:v>
      </x:c>
      <x:c r="B56" s="34" t="str"/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/>
      <x:c r="N56" s="34" t="str"/>
    </x:row>
    <x:row r="57">
      <x:c r="A57" s="34" t="str">
        <x:v>M5-ERR-033</x:v>
      </x:c>
      <x:c r="B57" s="34" t="str"/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/>
      <x:c r="K57" s="34" t="str"/>
      <x:c r="L57" s="34" t="str"/>
      <x:c r="M57" s="34" t="str"/>
      <x:c r="N57" s="34" t="str"/>
    </x:row>
    <x:row r="58">
      <x:c r="A58" s="34" t="str">
        <x:v>M5-ERR-034</x:v>
      </x:c>
      <x:c r="B58" s="34" t="str"/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/>
      <x:c r="N58" s="34" t="str"/>
    </x:row>
    <x:row r="59">
      <x:c r="A59" s="34" t="str">
        <x:v>M5-ERR-035</x:v>
      </x:c>
      <x:c r="B59" s="34" t="str"/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/>
      <x:c r="N59" s="34" t="str"/>
    </x:row>
    <x:row r="60">
      <x:c r="A60" s="34" t="str">
        <x:v>M5-ERR-036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/>
      <x:c r="N60" s="34" t="str"/>
    </x:row>
    <x:row r="61">
      <x:c r="A61" s="34" t="str">
        <x:v>M5-ERR-037</x:v>
      </x:c>
      <x:c r="B61" s="34" t="str"/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/>
      <x:c r="N61" s="34" t="str"/>
    </x:row>
    <x:row r="62">
      <x:c r="A62" s="34" t="str">
        <x:v>M5-ERR-038</x:v>
      </x:c>
      <x:c r="B62" s="34" t="str"/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/>
      <x:c r="N62" s="34" t="str"/>
    </x:row>
    <x:row r="63">
      <x:c r="A63" s="34" t="str">
        <x:v>M5-ERR-039</x:v>
      </x:c>
      <x:c r="B63" s="34" t="str"/>
      <x:c r="C63" s="34" t="str"/>
      <x:c r="D63" s="34" t="str"/>
      <x:c r="E63" s="34" t="str"/>
      <x:c r="F63" s="34" t="str"/>
      <x:c r="G63" s="34" t="str"/>
      <x:c r="H63" s="34" t="str"/>
      <x:c r="I63" s="34" t="str"/>
      <x:c r="J63" s="34" t="str"/>
      <x:c r="K63" s="34" t="str"/>
      <x:c r="L63" s="34" t="str"/>
      <x:c r="M63" s="34" t="str"/>
      <x:c r="N63" s="34" t="str"/>
    </x:row>
    <x:row r="64">
      <x:c r="A64" s="34" t="str">
        <x:v>M5-ERR-040</x:v>
      </x:c>
      <x:c r="B64" s="34" t="str"/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/>
      <x:c r="N64" s="34" t="str"/>
    </x:row>
    <x:row r="65">
      <x:c r="A65" s="34" t="str">
        <x:v>M5-ERR-041</x:v>
      </x:c>
      <x:c r="B65" s="34" t="str"/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/>
      <x:c r="N65" s="34" t="str"/>
    </x:row>
    <x:row r="66">
      <x:c r="A66" s="34" t="str">
        <x:v>M5-ERR-042</x:v>
      </x:c>
      <x:c r="B66" s="34" t="str"/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/>
      <x:c r="N66" s="34" t="str"/>
    </x:row>
    <x:row r="67">
      <x:c r="A67" s="34" t="str">
        <x:v>M5-ERR-043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/>
      <x:c r="N67" s="34" t="str"/>
    </x:row>
    <x:row r="68">
      <x:c r="A68" s="34" t="str">
        <x:v>M5-ERR-044</x:v>
      </x:c>
      <x:c r="B68" s="34" t="str"/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/>
      <x:c r="N68" s="34" t="str"/>
    </x:row>
    <x:row r="69">
      <x:c r="A69" s="34" t="str">
        <x:v>M5-ERR-045</x:v>
      </x:c>
      <x:c r="B69" s="34" t="str"/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/>
      <x:c r="N69" s="34" t="str"/>
    </x:row>
    <x:row r="70">
      <x:c r="A70" s="34" t="str">
        <x:v>M5-ERR-046</x:v>
      </x:c>
      <x:c r="B70" s="34" t="str"/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/>
      <x:c r="N70" s="34" t="str"/>
    </x:row>
    <x:row r="71">
      <x:c r="A71" s="34" t="str">
        <x:v>M5-ERR-047</x:v>
      </x:c>
      <x:c r="B71" s="34" t="str"/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/>
      <x:c r="N71" s="34" t="str"/>
    </x:row>
    <x:row r="72">
      <x:c r="A72" s="34" t="str">
        <x:v>M5-ERR-048</x:v>
      </x:c>
      <x:c r="B72" s="34" t="str"/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/>
      <x:c r="N72" s="34" t="str"/>
    </x:row>
    <x:row r="73">
      <x:c r="A73" s="34" t="str">
        <x:v>M5-ERR-049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/>
      <x:c r="N73" s="34" t="str"/>
    </x:row>
    <x:row r="74">
      <x:c r="A74" s="34" t="str">
        <x:v>M5-ERR-050</x:v>
      </x:c>
      <x:c r="B74" s="34" t="str"/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/>
      <x:c r="N74" s="34" t="str"/>
    </x:row>
    <x:row r="75">
      <x:c r="A75" s="34" t="str">
        <x:v>M5-ERR-051</x:v>
      </x:c>
      <x:c r="B75" s="34" t="str"/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/>
      <x:c r="N75" s="34" t="str"/>
    </x:row>
    <x:row r="76">
      <x:c r="A76" s="34" t="str">
        <x:v>M5-ERR-052</x:v>
      </x:c>
      <x:c r="B76" s="34" t="str"/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/>
      <x:c r="N76" s="34" t="str"/>
    </x:row>
    <x:row r="77">
      <x:c r="A77" s="34" t="str">
        <x:v>M5-ERR-053</x:v>
      </x:c>
      <x:c r="B77" s="34" t="str"/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/>
      <x:c r="N77" s="34" t="str"/>
    </x:row>
    <x:row r="78">
      <x:c r="A78" s="34" t="str">
        <x:v>M5-ERR-054</x:v>
      </x:c>
      <x:c r="B78" s="34" t="str"/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/>
      <x:c r="N78" s="34" t="str"/>
    </x:row>
    <x:row r="79">
      <x:c r="A79" s="34" t="str">
        <x:v>M5-ERR-055</x:v>
      </x:c>
      <x:c r="B79" s="34" t="str"/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/>
      <x:c r="N79" s="34" t="str"/>
    </x:row>
    <x:row r="80">
      <x:c r="A80" s="34" t="str">
        <x:v>M5-ERR-056</x:v>
      </x:c>
      <x:c r="B80" s="34" t="str"/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/>
      <x:c r="N80" s="34" t="str"/>
    </x:row>
    <x:row r="81">
      <x:c r="A81" s="34" t="str">
        <x:v>M5-ERR-057</x:v>
      </x:c>
      <x:c r="B81" s="34" t="str"/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/>
      <x:c r="N81" s="34" t="str"/>
    </x:row>
    <x:row r="82">
      <x:c r="A82" s="34" t="str">
        <x:v>M5-ERR-058</x:v>
      </x:c>
      <x:c r="B82" s="34" t="str"/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/>
      <x:c r="K82" s="34" t="str"/>
      <x:c r="L82" s="34" t="str"/>
      <x:c r="M82" s="34" t="str"/>
      <x:c r="N82" s="34" t="str"/>
    </x:row>
    <x:row r="83">
      <x:c r="A83" s="34" t="str">
        <x:v>M5-ERR-059</x:v>
      </x:c>
      <x:c r="B83" s="34" t="str"/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/>
      <x:c r="L83" s="34" t="str"/>
      <x:c r="M83" s="34" t="str"/>
      <x:c r="N83" s="34" t="str"/>
    </x:row>
    <x:row r="84">
      <x:c r="A84" s="34" t="str">
        <x:v>M5-ERR-060</x:v>
      </x:c>
      <x:c r="B84" s="34" t="str"/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/>
      <x:c r="K84" s="34" t="str"/>
      <x:c r="L84" s="34" t="str"/>
      <x:c r="M84" s="34" t="str"/>
      <x:c r="N84" s="34" t="str"/>
    </x:row>
    <x:row r="85">
      <x:c r="A85" s="34" t="str">
        <x:v>M5-ERR-061</x:v>
      </x:c>
      <x:c r="B85" s="34" t="str"/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/>
      <x:c r="K85" s="34" t="str"/>
      <x:c r="L85" s="34" t="str"/>
      <x:c r="M85" s="34" t="str"/>
      <x:c r="N85" s="34" t="str"/>
    </x:row>
    <x:row r="86">
      <x:c r="A86" s="34" t="str">
        <x:v>M5-ERR-062</x:v>
      </x:c>
      <x:c r="B86" s="34" t="str"/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  <x:c r="M86" s="34" t="str"/>
      <x:c r="N86" s="34" t="str"/>
    </x:row>
    <x:row r="87">
      <x:c r="A87" s="34" t="str">
        <x:v>M5-ERR-063</x:v>
      </x:c>
      <x:c r="B87" s="34" t="str"/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/>
      <x:c r="K87" s="34" t="str"/>
      <x:c r="L87" s="34" t="str"/>
      <x:c r="M87" s="34" t="str"/>
      <x:c r="N87" s="34" t="str"/>
    </x:row>
    <x:row r="88">
      <x:c r="A88" s="34" t="str">
        <x:v>M5-ERR-064</x:v>
      </x:c>
      <x:c r="B88" s="34" t="str"/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  <x:c r="M88" s="34" t="str"/>
      <x:c r="N88" s="34" t="str"/>
    </x:row>
    <x:row r="89">
      <x:c r="A89" s="34" t="str">
        <x:v>M5-ERR-065</x:v>
      </x:c>
      <x:c r="B89" s="34" t="str"/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/>
      <x:c r="K89" s="34" t="str"/>
      <x:c r="L89" s="34" t="str"/>
      <x:c r="M89" s="34" t="str"/>
      <x:c r="N89" s="34" t="str"/>
    </x:row>
    <x:row r="90">
      <x:c r="A90" s="34" t="str">
        <x:v>M5-ERR-066</x:v>
      </x:c>
      <x:c r="B90" s="34" t="str"/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/>
      <x:c r="K90" s="34" t="str"/>
      <x:c r="L90" s="34" t="str"/>
      <x:c r="M90" s="34" t="str"/>
      <x:c r="N90" s="34" t="str"/>
    </x:row>
    <x:row r="91">
      <x:c r="A91" s="34" t="str">
        <x:v>M5-ERR-067</x:v>
      </x:c>
      <x:c r="B91" s="34" t="str"/>
      <x:c r="C91" s="34" t="str"/>
      <x:c r="D91" s="34" t="str"/>
      <x:c r="E91" s="34" t="str"/>
      <x:c r="F91" s="34" t="str"/>
      <x:c r="G91" s="34" t="str"/>
      <x:c r="H91" s="34" t="str"/>
      <x:c r="I91" s="34" t="str"/>
      <x:c r="J91" s="34" t="str"/>
      <x:c r="K91" s="34" t="str"/>
      <x:c r="L91" s="34" t="str"/>
      <x:c r="M91" s="34" t="str"/>
      <x:c r="N91" s="34" t="str"/>
    </x:row>
    <x:row r="92">
      <x:c r="A92" s="34" t="str">
        <x:v>M5-ERR-068</x:v>
      </x:c>
      <x:c r="B92" s="34" t="str"/>
      <x:c r="C92" s="34" t="str"/>
      <x:c r="D92" s="34" t="str"/>
      <x:c r="E92" s="34" t="str"/>
      <x:c r="F92" s="34" t="str"/>
      <x:c r="G92" s="34" t="str"/>
      <x:c r="H92" s="34" t="str"/>
      <x:c r="I92" s="34" t="str"/>
      <x:c r="J92" s="34" t="str"/>
      <x:c r="K92" s="34" t="str"/>
      <x:c r="L92" s="34" t="str"/>
      <x:c r="M92" s="34" t="str"/>
      <x:c r="N92" s="34" t="str"/>
    </x:row>
    <x:row r="93">
      <x:c r="A93" s="34" t="str">
        <x:v>M5-ERR-069</x:v>
      </x:c>
      <x:c r="B93" s="34" t="str"/>
      <x:c r="C93" s="34" t="str"/>
      <x:c r="D93" s="34" t="str"/>
      <x:c r="E93" s="34" t="str"/>
      <x:c r="F93" s="34" t="str"/>
      <x:c r="G93" s="34" t="str"/>
      <x:c r="H93" s="34" t="str"/>
      <x:c r="I93" s="34" t="str"/>
      <x:c r="J93" s="34" t="str"/>
      <x:c r="K93" s="34" t="str"/>
      <x:c r="L93" s="34" t="str"/>
      <x:c r="M93" s="34" t="str"/>
      <x:c r="N93" s="34" t="str"/>
    </x:row>
    <x:row r="94">
      <x:c r="A94" s="34" t="str">
        <x:v>M5-ERR-070</x:v>
      </x:c>
      <x:c r="B94" s="34" t="str"/>
      <x:c r="C94" s="34" t="str"/>
      <x:c r="D94" s="34" t="str"/>
      <x:c r="E94" s="34" t="str"/>
      <x:c r="F94" s="34" t="str"/>
      <x:c r="G94" s="34" t="str"/>
      <x:c r="H94" s="34" t="str"/>
      <x:c r="I94" s="34" t="str"/>
      <x:c r="J94" s="34" t="str"/>
      <x:c r="K94" s="34" t="str"/>
      <x:c r="L94" s="34" t="str"/>
      <x:c r="M94" s="34" t="str"/>
      <x:c r="N94" s="34" t="str"/>
    </x:row>
    <x:row r="95">
      <x:c r="A95" s="34" t="str">
        <x:v>M5-ERR-071</x:v>
      </x:c>
      <x:c r="B95" s="34" t="str"/>
      <x:c r="C95" s="34" t="str"/>
      <x:c r="D95" s="34" t="str"/>
      <x:c r="E95" s="34" t="str"/>
      <x:c r="F95" s="34" t="str"/>
      <x:c r="G95" s="34" t="str"/>
      <x:c r="H95" s="34" t="str"/>
      <x:c r="I95" s="34" t="str"/>
      <x:c r="J95" s="34" t="str"/>
      <x:c r="K95" s="34" t="str"/>
      <x:c r="L95" s="34" t="str"/>
      <x:c r="M95" s="34" t="str"/>
      <x:c r="N95" s="34" t="str"/>
    </x:row>
    <x:row r="96">
      <x:c r="A96" s="34" t="str">
        <x:v>M5-ERR-072</x:v>
      </x:c>
      <x:c r="B96" s="34" t="str"/>
      <x:c r="C96" s="34" t="str"/>
      <x:c r="D96" s="34" t="str"/>
      <x:c r="E96" s="34" t="str"/>
      <x:c r="F96" s="34" t="str"/>
      <x:c r="G96" s="34" t="str"/>
      <x:c r="H96" s="34" t="str"/>
      <x:c r="I96" s="34" t="str"/>
      <x:c r="J96" s="34" t="str"/>
      <x:c r="K96" s="34" t="str"/>
      <x:c r="L96" s="34" t="str"/>
      <x:c r="M96" s="34" t="str"/>
      <x:c r="N96" s="34" t="str"/>
    </x:row>
    <x:row r="97">
      <x:c r="A97" s="34" t="str">
        <x:v>M5-ERR-073</x:v>
      </x:c>
      <x:c r="B97" s="34" t="str"/>
      <x:c r="C97" s="34" t="str"/>
      <x:c r="D97" s="34" t="str"/>
      <x:c r="E97" s="34" t="str"/>
      <x:c r="F97" s="34" t="str"/>
      <x:c r="G97" s="34" t="str"/>
      <x:c r="H97" s="34" t="str"/>
      <x:c r="I97" s="34" t="str"/>
      <x:c r="J97" s="34" t="str"/>
      <x:c r="K97" s="34" t="str"/>
      <x:c r="L97" s="34" t="str"/>
      <x:c r="M97" s="34" t="str"/>
      <x:c r="N97" s="34" t="str"/>
    </x:row>
    <x:row r="98">
      <x:c r="A98" s="34" t="str">
        <x:v>M5-ERR-074</x:v>
      </x:c>
      <x:c r="B98" s="34" t="str"/>
      <x:c r="C98" s="34" t="str"/>
      <x:c r="D98" s="34" t="str"/>
      <x:c r="E98" s="34" t="str"/>
      <x:c r="F98" s="34" t="str"/>
      <x:c r="G98" s="34" t="str"/>
      <x:c r="H98" s="34" t="str"/>
      <x:c r="I98" s="34" t="str"/>
      <x:c r="J98" s="34" t="str"/>
      <x:c r="K98" s="34" t="str"/>
      <x:c r="L98" s="34" t="str"/>
      <x:c r="M98" s="34" t="str"/>
      <x:c r="N98" s="34" t="str"/>
    </x:row>
    <x:row r="99">
      <x:c r="A99" s="34" t="str">
        <x:v>M5-ERR-075</x:v>
      </x:c>
      <x:c r="B99" s="34" t="str"/>
      <x:c r="C99" s="34" t="str"/>
      <x:c r="D99" s="34" t="str"/>
      <x:c r="E99" s="34" t="str"/>
      <x:c r="F99" s="34" t="str"/>
      <x:c r="G99" s="34" t="str"/>
      <x:c r="H99" s="34" t="str"/>
      <x:c r="I99" s="34" t="str"/>
      <x:c r="J99" s="34" t="str"/>
      <x:c r="K99" s="34" t="str"/>
      <x:c r="L99" s="34" t="str"/>
      <x:c r="M99" s="34" t="str"/>
      <x:c r="N99" s="34" t="str"/>
    </x:row>
    <x:row r="100">
      <x:c r="A100" s="34" t="str">
        <x:v>M5-ERR-076</x:v>
      </x:c>
      <x:c r="B100" s="34" t="str"/>
      <x:c r="C100" s="34" t="str"/>
      <x:c r="D100" s="34" t="str"/>
      <x:c r="E100" s="34" t="str"/>
      <x:c r="F100" s="34" t="str"/>
      <x:c r="G100" s="34" t="str"/>
      <x:c r="H100" s="34" t="str"/>
      <x:c r="I100" s="34" t="str"/>
      <x:c r="J100" s="34" t="str"/>
      <x:c r="K100" s="34" t="str"/>
      <x:c r="L100" s="34" t="str"/>
      <x:c r="M100" s="34" t="str"/>
      <x:c r="N100" s="34" t="str"/>
    </x:row>
    <x:row r="101">
      <x:c r="A101" s="34" t="str">
        <x:v>M5-ERR-077</x:v>
      </x:c>
      <x:c r="B101" s="34" t="str"/>
      <x:c r="C101" s="34" t="str"/>
      <x:c r="D101" s="34" t="str"/>
      <x:c r="E101" s="34" t="str"/>
      <x:c r="F101" s="34" t="str"/>
      <x:c r="G101" s="34" t="str"/>
      <x:c r="H101" s="34" t="str"/>
      <x:c r="I101" s="34" t="str"/>
      <x:c r="J101" s="34" t="str"/>
      <x:c r="K101" s="34" t="str"/>
      <x:c r="L101" s="34" t="str"/>
      <x:c r="M101" s="34" t="str"/>
      <x:c r="N101" s="34" t="str"/>
    </x:row>
    <x:row r="102">
      <x:c r="A102" s="34" t="str">
        <x:v>M5-ERR-078</x:v>
      </x:c>
      <x:c r="B102" s="34" t="str"/>
      <x:c r="C102" s="34" t="str"/>
      <x:c r="D102" s="34" t="str"/>
      <x:c r="E102" s="34" t="str"/>
      <x:c r="F102" s="34" t="str"/>
      <x:c r="G102" s="34" t="str"/>
      <x:c r="H102" s="34" t="str"/>
      <x:c r="I102" s="34" t="str"/>
      <x:c r="J102" s="34" t="str"/>
      <x:c r="K102" s="34" t="str"/>
      <x:c r="L102" s="34" t="str"/>
      <x:c r="M102" s="34" t="str"/>
      <x:c r="N102" s="34" t="str"/>
    </x:row>
    <x:row r="103">
      <x:c r="A103" s="34" t="str">
        <x:v>M5-ERR-079</x:v>
      </x:c>
      <x:c r="B103" s="34" t="str"/>
      <x:c r="C103" s="34" t="str"/>
      <x:c r="D103" s="34" t="str"/>
      <x:c r="E103" s="34" t="str"/>
      <x:c r="F103" s="34" t="str"/>
      <x:c r="G103" s="34" t="str"/>
      <x:c r="H103" s="34" t="str"/>
      <x:c r="I103" s="34" t="str"/>
      <x:c r="J103" s="34" t="str"/>
      <x:c r="K103" s="34" t="str"/>
      <x:c r="L103" s="34" t="str"/>
      <x:c r="M103" s="34" t="str"/>
      <x:c r="N103" s="34" t="str"/>
    </x:row>
    <x:row r="104">
      <x:c r="A104" s="34" t="str">
        <x:v>M5-ERR-080</x:v>
      </x:c>
      <x:c r="B104" s="34" t="str"/>
      <x:c r="C104" s="34" t="str"/>
      <x:c r="D104" s="34" t="str"/>
      <x:c r="E104" s="34" t="str"/>
      <x:c r="F104" s="34" t="str"/>
      <x:c r="G104" s="34" t="str"/>
      <x:c r="H104" s="34" t="str"/>
      <x:c r="I104" s="34" t="str"/>
      <x:c r="J104" s="34" t="str"/>
      <x:c r="K104" s="34" t="str"/>
      <x:c r="L104" s="34" t="str"/>
      <x:c r="M104" s="34" t="str"/>
      <x:c r="N104" s="34" t="str"/>
    </x:row>
    <x:row r="105">
      <x:c r="A105" s="34" t="str">
        <x:v>M5-ERR-081</x:v>
      </x:c>
      <x:c r="B105" s="34" t="str"/>
      <x:c r="C105" s="34" t="str"/>
      <x:c r="D105" s="34" t="str"/>
      <x:c r="E105" s="34" t="str"/>
      <x:c r="F105" s="34" t="str"/>
      <x:c r="G105" s="34" t="str"/>
      <x:c r="H105" s="34" t="str"/>
      <x:c r="I105" s="34" t="str"/>
      <x:c r="J105" s="34" t="str"/>
      <x:c r="K105" s="34" t="str"/>
      <x:c r="L105" s="34" t="str"/>
      <x:c r="M105" s="34" t="str"/>
      <x:c r="N105" s="34" t="str"/>
    </x:row>
    <x:row r="106">
      <x:c r="A106" s="34" t="str">
        <x:v>M5-ERR-082</x:v>
      </x:c>
      <x:c r="B106" s="34" t="str"/>
      <x:c r="C106" s="34" t="str"/>
      <x:c r="D106" s="34" t="str"/>
      <x:c r="E106" s="34" t="str"/>
      <x:c r="F106" s="34" t="str"/>
      <x:c r="G106" s="34" t="str"/>
      <x:c r="H106" s="34" t="str"/>
      <x:c r="I106" s="34" t="str"/>
      <x:c r="J106" s="34" t="str"/>
      <x:c r="K106" s="34" t="str"/>
      <x:c r="L106" s="34" t="str"/>
      <x:c r="M106" s="34" t="str"/>
      <x:c r="N106" s="34" t="str"/>
    </x:row>
    <x:row r="107">
      <x:c r="A107" s="34" t="str">
        <x:v>M5-ERR-083</x:v>
      </x:c>
      <x:c r="B107" s="34" t="str"/>
      <x:c r="C107" s="34" t="str"/>
      <x:c r="D107" s="34" t="str"/>
      <x:c r="E107" s="34" t="str"/>
      <x:c r="F107" s="34" t="str"/>
      <x:c r="G107" s="34" t="str"/>
      <x:c r="H107" s="34" t="str"/>
      <x:c r="I107" s="34" t="str"/>
      <x:c r="J107" s="34" t="str"/>
      <x:c r="K107" s="34" t="str"/>
      <x:c r="L107" s="34" t="str"/>
      <x:c r="M107" s="34" t="str"/>
      <x:c r="N107" s="34" t="str"/>
    </x:row>
    <x:row r="108">
      <x:c r="A108" s="34" t="str">
        <x:v>M5-ERR-084</x:v>
      </x:c>
      <x:c r="B108" s="34" t="str"/>
      <x:c r="C108" s="34" t="str"/>
      <x:c r="D108" s="34" t="str"/>
      <x:c r="E108" s="34" t="str"/>
      <x:c r="F108" s="34" t="str"/>
      <x:c r="G108" s="34" t="str"/>
      <x:c r="H108" s="34" t="str"/>
      <x:c r="I108" s="34" t="str"/>
      <x:c r="J108" s="34" t="str"/>
      <x:c r="K108" s="34" t="str"/>
      <x:c r="L108" s="34" t="str"/>
      <x:c r="M108" s="34" t="str"/>
      <x:c r="N108" s="34" t="str"/>
    </x:row>
    <x:row r="109">
      <x:c r="A109" s="34" t="str">
        <x:v>M5-ERR-085</x:v>
      </x:c>
      <x:c r="B109" s="34" t="str"/>
      <x:c r="C109" s="34" t="str"/>
      <x:c r="D109" s="34" t="str"/>
      <x:c r="E109" s="34" t="str"/>
      <x:c r="F109" s="34" t="str"/>
      <x:c r="G109" s="34" t="str"/>
      <x:c r="H109" s="34" t="str"/>
      <x:c r="I109" s="34" t="str"/>
      <x:c r="J109" s="34" t="str"/>
      <x:c r="K109" s="34" t="str"/>
      <x:c r="L109" s="34" t="str"/>
      <x:c r="M109" s="34" t="str"/>
      <x:c r="N109" s="34" t="str"/>
    </x:row>
    <x:row r="110">
      <x:c r="A110" s="34" t="str">
        <x:v>M5-ERR-086</x:v>
      </x:c>
      <x:c r="B110" s="34" t="str"/>
      <x:c r="C110" s="34" t="str"/>
      <x:c r="D110" s="34" t="str"/>
      <x:c r="E110" s="34" t="str"/>
      <x:c r="F110" s="34" t="str"/>
      <x:c r="G110" s="34" t="str"/>
      <x:c r="H110" s="34" t="str"/>
      <x:c r="I110" s="34" t="str"/>
      <x:c r="J110" s="34" t="str"/>
      <x:c r="K110" s="34" t="str"/>
      <x:c r="L110" s="34" t="str"/>
      <x:c r="M110" s="34" t="str"/>
      <x:c r="N110" s="34" t="str"/>
    </x:row>
    <x:row r="111">
      <x:c r="A111" s="34" t="str">
        <x:v>M5-ERR-087</x:v>
      </x:c>
      <x:c r="B111" s="34" t="str"/>
      <x:c r="C111" s="34" t="str"/>
      <x:c r="D111" s="34" t="str"/>
      <x:c r="E111" s="34" t="str"/>
      <x:c r="F111" s="34" t="str"/>
      <x:c r="G111" s="34" t="str"/>
      <x:c r="H111" s="34" t="str"/>
      <x:c r="I111" s="34" t="str"/>
      <x:c r="J111" s="34" t="str"/>
      <x:c r="K111" s="34" t="str"/>
      <x:c r="L111" s="34" t="str"/>
      <x:c r="M111" s="34" t="str"/>
      <x:c r="N111" s="34" t="str"/>
    </x:row>
    <x:row r="112">
      <x:c r="A112" s="34" t="str">
        <x:v>M5-ERR-088</x:v>
      </x:c>
      <x:c r="B112" s="34" t="str"/>
      <x:c r="C112" s="34" t="str"/>
      <x:c r="D112" s="34" t="str"/>
      <x:c r="E112" s="34" t="str"/>
      <x:c r="F112" s="34" t="str"/>
      <x:c r="G112" s="34" t="str"/>
      <x:c r="H112" s="34" t="str"/>
      <x:c r="I112" s="34" t="str"/>
      <x:c r="J112" s="34" t="str"/>
      <x:c r="K112" s="34" t="str"/>
      <x:c r="L112" s="34" t="str"/>
      <x:c r="M112" s="34" t="str"/>
      <x:c r="N112" s="34" t="str"/>
    </x:row>
    <x:row r="113">
      <x:c r="A113" s="34" t="str">
        <x:v>M5-ERR-089</x:v>
      </x:c>
      <x:c r="B113" s="34" t="str"/>
      <x:c r="C113" s="34" t="str"/>
      <x:c r="D113" s="34" t="str"/>
      <x:c r="E113" s="34" t="str"/>
      <x:c r="F113" s="34" t="str"/>
      <x:c r="G113" s="34" t="str"/>
      <x:c r="H113" s="34" t="str"/>
      <x:c r="I113" s="34" t="str"/>
      <x:c r="J113" s="34" t="str"/>
      <x:c r="K113" s="34" t="str"/>
      <x:c r="L113" s="34" t="str"/>
      <x:c r="M113" s="34" t="str"/>
      <x:c r="N113" s="34" t="str"/>
    </x:row>
    <x:row r="114">
      <x:c r="A114" s="34" t="str">
        <x:v>M5-ERR-090</x:v>
      </x:c>
      <x:c r="B114" s="34" t="str"/>
      <x:c r="C114" s="34" t="str"/>
      <x:c r="D114" s="34" t="str"/>
      <x:c r="E114" s="34" t="str"/>
      <x:c r="F114" s="34" t="str"/>
      <x:c r="G114" s="34" t="str"/>
      <x:c r="H114" s="34" t="str"/>
      <x:c r="I114" s="34" t="str"/>
      <x:c r="J114" s="34" t="str"/>
      <x:c r="K114" s="34" t="str"/>
      <x:c r="L114" s="34" t="str"/>
      <x:c r="M114" s="34" t="str"/>
      <x:c r="N114" s="34" t="str"/>
    </x:row>
    <x:row r="115">
      <x:c r="A115" s="34" t="str">
        <x:v>M5-ERR-091</x:v>
      </x:c>
      <x:c r="B115" s="34" t="str"/>
      <x:c r="C115" s="34" t="str"/>
      <x:c r="D115" s="34" t="str"/>
      <x:c r="E115" s="34" t="str"/>
      <x:c r="F115" s="34" t="str"/>
      <x:c r="G115" s="34" t="str"/>
      <x:c r="H115" s="34" t="str"/>
      <x:c r="I115" s="34" t="str"/>
      <x:c r="J115" s="34" t="str"/>
      <x:c r="K115" s="34" t="str"/>
      <x:c r="L115" s="34" t="str"/>
      <x:c r="M115" s="34" t="str"/>
      <x:c r="N115" s="34" t="str"/>
    </x:row>
    <x:row r="116">
      <x:c r="A116" s="34" t="str">
        <x:v>M5-ERR-092</x:v>
      </x:c>
      <x:c r="B116" s="34" t="str"/>
      <x:c r="C116" s="34" t="str"/>
      <x:c r="D116" s="34" t="str"/>
      <x:c r="E116" s="34" t="str"/>
      <x:c r="F116" s="34" t="str"/>
      <x:c r="G116" s="34" t="str"/>
      <x:c r="H116" s="34" t="str"/>
      <x:c r="I116" s="34" t="str"/>
      <x:c r="J116" s="34" t="str"/>
      <x:c r="K116" s="34" t="str"/>
      <x:c r="L116" s="34" t="str"/>
      <x:c r="M116" s="34" t="str"/>
      <x:c r="N116" s="34" t="str"/>
    </x:row>
    <x:row r="117">
      <x:c r="A117" s="34" t="str">
        <x:v>M5-ERR-093</x:v>
      </x:c>
      <x:c r="B117" s="34" t="str"/>
      <x:c r="C117" s="34" t="str"/>
      <x:c r="D117" s="34" t="str"/>
      <x:c r="E117" s="34" t="str"/>
      <x:c r="F117" s="34" t="str"/>
      <x:c r="G117" s="34" t="str"/>
      <x:c r="H117" s="34" t="str"/>
      <x:c r="I117" s="34" t="str"/>
      <x:c r="J117" s="34" t="str"/>
      <x:c r="K117" s="34" t="str"/>
      <x:c r="L117" s="34" t="str"/>
      <x:c r="M117" s="34" t="str"/>
      <x:c r="N117" s="34" t="str"/>
    </x:row>
    <x:row r="118">
      <x:c r="A118" s="34" t="str">
        <x:v>M5-ERR-094</x:v>
      </x:c>
      <x:c r="B118" s="34" t="str"/>
      <x:c r="C118" s="34" t="str"/>
      <x:c r="D118" s="34" t="str"/>
      <x:c r="E118" s="34" t="str"/>
      <x:c r="F118" s="34" t="str"/>
      <x:c r="G118" s="34" t="str"/>
      <x:c r="H118" s="34" t="str"/>
      <x:c r="I118" s="34" t="str"/>
      <x:c r="J118" s="34" t="str"/>
      <x:c r="K118" s="34" t="str"/>
      <x:c r="L118" s="34" t="str"/>
      <x:c r="M118" s="34" t="str"/>
      <x:c r="N118" s="34" t="str"/>
    </x:row>
    <x:row r="119">
      <x:c r="A119" s="34" t="str">
        <x:v>M5-ERR-095</x:v>
      </x:c>
      <x:c r="B119" s="34" t="str"/>
      <x:c r="C119" s="34" t="str"/>
      <x:c r="D119" s="34" t="str"/>
      <x:c r="E119" s="34" t="str"/>
      <x:c r="F119" s="34" t="str"/>
      <x:c r="G119" s="34" t="str"/>
      <x:c r="H119" s="34" t="str"/>
      <x:c r="I119" s="34" t="str"/>
      <x:c r="J119" s="34" t="str"/>
      <x:c r="K119" s="34" t="str"/>
      <x:c r="L119" s="34" t="str"/>
      <x:c r="M119" s="34" t="str"/>
      <x:c r="N119" s="34" t="str"/>
    </x:row>
    <x:row r="120">
      <x:c r="A120" s="34" t="str">
        <x:v>M5-ERR-096</x:v>
      </x:c>
      <x:c r="B120" s="34" t="str"/>
      <x:c r="C120" s="34" t="str"/>
      <x:c r="D120" s="34" t="str"/>
      <x:c r="E120" s="34" t="str"/>
      <x:c r="F120" s="34" t="str"/>
      <x:c r="G120" s="34" t="str"/>
      <x:c r="H120" s="34" t="str"/>
      <x:c r="I120" s="34" t="str"/>
      <x:c r="J120" s="34" t="str"/>
      <x:c r="K120" s="34" t="str"/>
      <x:c r="L120" s="34" t="str"/>
      <x:c r="M120" s="34" t="str"/>
      <x:c r="N120" s="34" t="str"/>
    </x:row>
    <x:row r="121">
      <x:c r="A121" s="34" t="str">
        <x:v>M5-ERR-097</x:v>
      </x:c>
      <x:c r="B121" s="34" t="str"/>
      <x:c r="C121" s="34" t="str"/>
      <x:c r="D121" s="34" t="str"/>
      <x:c r="E121" s="34" t="str"/>
      <x:c r="F121" s="34" t="str"/>
      <x:c r="G121" s="34" t="str"/>
      <x:c r="H121" s="34" t="str"/>
      <x:c r="I121" s="34" t="str"/>
      <x:c r="J121" s="34" t="str"/>
      <x:c r="K121" s="34" t="str"/>
      <x:c r="L121" s="34" t="str"/>
      <x:c r="M121" s="34" t="str"/>
      <x:c r="N121" s="34" t="str"/>
    </x:row>
    <x:row r="122">
      <x:c r="A122" s="34" t="str">
        <x:v>M5-ERR-098</x:v>
      </x:c>
      <x:c r="B122" s="34" t="str"/>
      <x:c r="C122" s="34" t="str"/>
      <x:c r="D122" s="34" t="str"/>
      <x:c r="E122" s="34" t="str"/>
      <x:c r="F122" s="34" t="str"/>
      <x:c r="G122" s="34" t="str"/>
      <x:c r="H122" s="34" t="str"/>
      <x:c r="I122" s="34" t="str"/>
      <x:c r="J122" s="34" t="str"/>
      <x:c r="K122" s="34" t="str"/>
      <x:c r="L122" s="34" t="str"/>
      <x:c r="M122" s="34" t="str"/>
      <x:c r="N122" s="34" t="str"/>
    </x:row>
    <x:row r="123">
      <x:c r="A123" s="34" t="str">
        <x:v>M5-ERR-099</x:v>
      </x:c>
      <x:c r="B123" s="34" t="str"/>
      <x:c r="C123" s="34" t="str"/>
      <x:c r="D123" s="34" t="str"/>
      <x:c r="E123" s="34" t="str"/>
      <x:c r="F123" s="34" t="str"/>
      <x:c r="G123" s="34" t="str"/>
      <x:c r="H123" s="34" t="str"/>
      <x:c r="I123" s="34" t="str"/>
      <x:c r="J123" s="34" t="str"/>
      <x:c r="K123" s="34" t="str"/>
      <x:c r="L123" s="34" t="str"/>
      <x:c r="M123" s="34" t="str"/>
      <x:c r="N123" s="34" t="str"/>
    </x:row>
    <x:row r="124">
      <x:c r="A124" s="34" t="str">
        <x:v>M5-ERR-100</x:v>
      </x:c>
      <x:c r="B124" s="34" t="str"/>
      <x:c r="C124" s="34" t="str"/>
      <x:c r="D124" s="34" t="str"/>
      <x:c r="E124" s="34" t="str"/>
      <x:c r="F124" s="34" t="str"/>
      <x:c r="G124" s="34" t="str"/>
      <x:c r="H124" s="34" t="str"/>
      <x:c r="I124" s="34" t="str"/>
      <x:c r="J124" s="34" t="str"/>
      <x:c r="K124" s="34" t="str"/>
      <x:c r="L124" s="34" t="str"/>
      <x:c r="M124" s="34" t="str"/>
      <x:c r="N124" s="34" t="str"/>
    </x:row>
    <x:row r="125">
      <x:c r="A125" s="34" t="str">
        <x:v>M5-ERR-101</x:v>
      </x:c>
      <x:c r="B125" s="34" t="str"/>
      <x:c r="C125" s="34" t="str"/>
      <x:c r="D125" s="34" t="str"/>
      <x:c r="E125" s="34" t="str"/>
      <x:c r="F125" s="34" t="str"/>
      <x:c r="G125" s="34" t="str"/>
      <x:c r="H125" s="34" t="str"/>
      <x:c r="I125" s="34" t="str"/>
      <x:c r="J125" s="34" t="str"/>
      <x:c r="K125" s="34" t="str"/>
      <x:c r="L125" s="34" t="str"/>
      <x:c r="M125" s="34" t="str"/>
      <x:c r="N125" s="34" t="str"/>
    </x:row>
    <x:row r="126">
      <x:c r="A126" s="34" t="str">
        <x:v>M5-ERR-102</x:v>
      </x:c>
      <x:c r="B126" s="34" t="str"/>
      <x:c r="C126" s="34" t="str"/>
      <x:c r="D126" s="34" t="str"/>
      <x:c r="E126" s="34" t="str"/>
      <x:c r="F126" s="34" t="str"/>
      <x:c r="G126" s="34" t="str"/>
      <x:c r="H126" s="34" t="str"/>
      <x:c r="I126" s="34" t="str"/>
      <x:c r="J126" s="34" t="str"/>
      <x:c r="K126" s="34" t="str"/>
      <x:c r="L126" s="34" t="str"/>
      <x:c r="M126" s="34" t="str"/>
      <x:c r="N126" s="34" t="str"/>
    </x:row>
    <x:row r="127">
      <x:c r="A127" s="34" t="str">
        <x:v>M5-ERR-103</x:v>
      </x:c>
      <x:c r="B127" s="34" t="str"/>
      <x:c r="C127" s="34" t="str"/>
      <x:c r="D127" s="34" t="str"/>
      <x:c r="E127" s="34" t="str"/>
      <x:c r="F127" s="34" t="str"/>
      <x:c r="G127" s="34" t="str"/>
      <x:c r="H127" s="34" t="str"/>
      <x:c r="I127" s="34" t="str"/>
      <x:c r="J127" s="34" t="str"/>
      <x:c r="K127" s="34" t="str"/>
      <x:c r="L127" s="34" t="str"/>
      <x:c r="M127" s="34" t="str"/>
      <x:c r="N127" s="34" t="str"/>
    </x:row>
    <x:row r="128">
      <x:c r="A128" s="34" t="str">
        <x:v>M5-ERR-104</x:v>
      </x:c>
      <x:c r="B128" s="34" t="str"/>
      <x:c r="C128" s="34" t="str"/>
      <x:c r="D128" s="34" t="str"/>
      <x:c r="E128" s="34" t="str"/>
      <x:c r="F128" s="34" t="str"/>
      <x:c r="G128" s="34" t="str"/>
      <x:c r="H128" s="34" t="str"/>
      <x:c r="I128" s="34" t="str"/>
      <x:c r="J128" s="34" t="str"/>
      <x:c r="K128" s="34" t="str"/>
      <x:c r="L128" s="34" t="str"/>
      <x:c r="M128" s="34" t="str"/>
      <x:c r="N128" s="34" t="str"/>
    </x:row>
    <x:row r="129">
      <x:c r="A129" s="34" t="str">
        <x:v>M5-ERR-105</x:v>
      </x:c>
      <x:c r="B129" s="34" t="str"/>
      <x:c r="C129" s="34" t="str"/>
      <x:c r="D129" s="34" t="str"/>
      <x:c r="E129" s="34" t="str"/>
      <x:c r="F129" s="34" t="str"/>
      <x:c r="G129" s="34" t="str"/>
      <x:c r="H129" s="34" t="str"/>
      <x:c r="I129" s="34" t="str"/>
      <x:c r="J129" s="34" t="str"/>
      <x:c r="K129" s="34" t="str"/>
      <x:c r="L129" s="34" t="str"/>
      <x:c r="M129" s="34" t="str"/>
      <x:c r="N129" s="34" t="str"/>
    </x:row>
    <x:row r="130">
      <x:c r="A130" s="34" t="str">
        <x:v>M5-ERR-106</x:v>
      </x:c>
      <x:c r="B130" s="34" t="str"/>
      <x:c r="C130" s="34" t="str"/>
      <x:c r="D130" s="34" t="str"/>
      <x:c r="E130" s="34" t="str"/>
      <x:c r="F130" s="34" t="str"/>
      <x:c r="G130" s="34" t="str"/>
      <x:c r="H130" s="34" t="str"/>
      <x:c r="I130" s="34" t="str"/>
      <x:c r="J130" s="34" t="str"/>
      <x:c r="K130" s="34" t="str"/>
      <x:c r="L130" s="34" t="str"/>
      <x:c r="M130" s="34" t="str"/>
      <x:c r="N130" s="34" t="str"/>
    </x:row>
    <x:row r="131">
      <x:c r="A131" s="34" t="str">
        <x:v>M5-ERR-107</x:v>
      </x:c>
      <x:c r="B131" s="34" t="str"/>
      <x:c r="C131" s="34" t="str"/>
      <x:c r="D131" s="34" t="str"/>
      <x:c r="E131" s="34" t="str"/>
      <x:c r="F131" s="34" t="str"/>
      <x:c r="G131" s="34" t="str"/>
      <x:c r="H131" s="34" t="str"/>
      <x:c r="I131" s="34" t="str"/>
      <x:c r="J131" s="34" t="str"/>
      <x:c r="K131" s="34" t="str"/>
      <x:c r="L131" s="34" t="str"/>
      <x:c r="M131" s="34" t="str"/>
      <x:c r="N131" s="34" t="str"/>
    </x:row>
    <x:row r="132">
      <x:c r="A132" s="34" t="str">
        <x:v>M5-ERR-108</x:v>
      </x:c>
      <x:c r="B132" s="34" t="str"/>
      <x:c r="C132" s="34" t="str"/>
      <x:c r="D132" s="34" t="str"/>
      <x:c r="E132" s="34" t="str"/>
      <x:c r="F132" s="34" t="str"/>
      <x:c r="G132" s="34" t="str"/>
      <x:c r="H132" s="34" t="str"/>
      <x:c r="I132" s="34" t="str"/>
      <x:c r="J132" s="34" t="str"/>
      <x:c r="K132" s="34" t="str"/>
      <x:c r="L132" s="34" t="str"/>
      <x:c r="M132" s="34" t="str"/>
      <x:c r="N132" s="34" t="str"/>
    </x:row>
    <x:row r="133">
      <x:c r="A133" s="34" t="str">
        <x:v>M5-ERR-109</x:v>
      </x:c>
      <x:c r="B133" s="34" t="str"/>
      <x:c r="C133" s="34" t="str"/>
      <x:c r="D133" s="34" t="str"/>
      <x:c r="E133" s="34" t="str"/>
      <x:c r="F133" s="34" t="str"/>
      <x:c r="G133" s="34" t="str"/>
      <x:c r="H133" s="34" t="str"/>
      <x:c r="I133" s="34" t="str"/>
      <x:c r="J133" s="34" t="str"/>
      <x:c r="K133" s="34" t="str"/>
      <x:c r="L133" s="34" t="str"/>
      <x:c r="M133" s="34" t="str"/>
      <x:c r="N133" s="34" t="str"/>
    </x:row>
    <x:row r="134">
      <x:c r="A134" s="34" t="str">
        <x:v>M5-ERR-110</x:v>
      </x:c>
      <x:c r="B134" s="34" t="str"/>
      <x:c r="C134" s="34" t="str"/>
      <x:c r="D134" s="34" t="str"/>
      <x:c r="E134" s="34" t="str"/>
      <x:c r="F134" s="34" t="str"/>
      <x:c r="G134" s="34" t="str"/>
      <x:c r="H134" s="34" t="str"/>
      <x:c r="I134" s="34" t="str"/>
      <x:c r="J134" s="34" t="str"/>
      <x:c r="K134" s="34" t="str"/>
      <x:c r="L134" s="34" t="str"/>
      <x:c r="M134" s="34" t="str"/>
      <x:c r="N134" s="34" t="str"/>
    </x:row>
    <x:row r="135">
      <x:c r="A135" s="34" t="str">
        <x:v>M5-ERR-111</x:v>
      </x:c>
      <x:c r="B135" s="34" t="str"/>
      <x:c r="C135" s="34" t="str"/>
      <x:c r="D135" s="34" t="str"/>
      <x:c r="E135" s="34" t="str"/>
      <x:c r="F135" s="34" t="str"/>
      <x:c r="G135" s="34" t="str"/>
      <x:c r="H135" s="34" t="str"/>
      <x:c r="I135" s="34" t="str"/>
      <x:c r="J135" s="34" t="str"/>
      <x:c r="K135" s="34" t="str"/>
      <x:c r="L135" s="34" t="str"/>
      <x:c r="M135" s="34" t="str"/>
      <x:c r="N135" s="34" t="str"/>
    </x:row>
    <x:row r="136">
      <x:c r="A136" s="34" t="str">
        <x:v>M5-ERR-112</x:v>
      </x:c>
      <x:c r="B136" s="34" t="str"/>
      <x:c r="C136" s="34" t="str"/>
      <x:c r="D136" s="34" t="str"/>
      <x:c r="E136" s="34" t="str"/>
      <x:c r="F136" s="34" t="str"/>
      <x:c r="G136" s="34" t="str"/>
      <x:c r="H136" s="34" t="str"/>
      <x:c r="I136" s="34" t="str"/>
      <x:c r="J136" s="34" t="str"/>
      <x:c r="K136" s="34" t="str"/>
      <x:c r="L136" s="34" t="str"/>
      <x:c r="M136" s="34" t="str"/>
      <x:c r="N136" s="34" t="str"/>
    </x:row>
    <x:row r="137">
      <x:c r="A137" s="34" t="str">
        <x:v>M5-ERR-113</x:v>
      </x:c>
      <x:c r="B137" s="34" t="str"/>
      <x:c r="C137" s="34" t="str"/>
      <x:c r="D137" s="34" t="str"/>
      <x:c r="E137" s="34" t="str"/>
      <x:c r="F137" s="34" t="str"/>
      <x:c r="G137" s="34" t="str"/>
      <x:c r="H137" s="34" t="str"/>
      <x:c r="I137" s="34" t="str"/>
      <x:c r="J137" s="34" t="str"/>
      <x:c r="K137" s="34" t="str"/>
      <x:c r="L137" s="34" t="str"/>
      <x:c r="M137" s="34" t="str"/>
      <x:c r="N137" s="34" t="str"/>
    </x:row>
    <x:row r="138">
      <x:c r="A138" s="34" t="str">
        <x:v>M5-ERR-114</x:v>
      </x:c>
      <x:c r="B138" s="34" t="str"/>
      <x:c r="C138" s="34" t="str"/>
      <x:c r="D138" s="34" t="str"/>
      <x:c r="E138" s="34" t="str"/>
      <x:c r="F138" s="34" t="str"/>
      <x:c r="G138" s="34" t="str"/>
      <x:c r="H138" s="34" t="str"/>
      <x:c r="I138" s="34" t="str"/>
      <x:c r="J138" s="34" t="str"/>
      <x:c r="K138" s="34" t="str"/>
      <x:c r="L138" s="34" t="str"/>
      <x:c r="M138" s="34" t="str"/>
      <x:c r="N138" s="34" t="str"/>
    </x:row>
    <x:row r="139">
      <x:c r="A139" s="34" t="str">
        <x:v>M5-ERR-115</x:v>
      </x:c>
      <x:c r="B139" s="34" t="str"/>
      <x:c r="C139" s="34" t="str"/>
      <x:c r="D139" s="34" t="str"/>
      <x:c r="E139" s="34" t="str"/>
      <x:c r="F139" s="34" t="str"/>
      <x:c r="G139" s="34" t="str"/>
      <x:c r="H139" s="34" t="str"/>
      <x:c r="I139" s="34" t="str"/>
      <x:c r="J139" s="34" t="str"/>
      <x:c r="K139" s="34" t="str"/>
      <x:c r="L139" s="34" t="str"/>
      <x:c r="M139" s="34" t="str"/>
      <x:c r="N139" s="34" t="str"/>
    </x:row>
    <x:row r="140">
      <x:c r="A140" s="34" t="str">
        <x:v>M5-ERR-116</x:v>
      </x:c>
      <x:c r="B140" s="34" t="str"/>
      <x:c r="C140" s="34" t="str"/>
      <x:c r="D140" s="34" t="str"/>
      <x:c r="E140" s="34" t="str"/>
      <x:c r="F140" s="34" t="str"/>
      <x:c r="G140" s="34" t="str"/>
      <x:c r="H140" s="34" t="str"/>
      <x:c r="I140" s="34" t="str"/>
      <x:c r="J140" s="34" t="str"/>
      <x:c r="K140" s="34" t="str"/>
      <x:c r="L140" s="34" t="str"/>
      <x:c r="M140" s="34" t="str"/>
      <x:c r="N140" s="34" t="str"/>
    </x:row>
    <x:row r="141">
      <x:c r="A141" s="34" t="str">
        <x:v>M5-ERR-117</x:v>
      </x:c>
      <x:c r="B141" s="34" t="str"/>
      <x:c r="C141" s="34" t="str"/>
      <x:c r="D141" s="34" t="str"/>
      <x:c r="E141" s="34" t="str"/>
      <x:c r="F141" s="34" t="str"/>
      <x:c r="G141" s="34" t="str"/>
      <x:c r="H141" s="34" t="str"/>
      <x:c r="I141" s="34" t="str"/>
      <x:c r="J141" s="34" t="str"/>
      <x:c r="K141" s="34" t="str"/>
      <x:c r="L141" s="34" t="str"/>
      <x:c r="M141" s="34" t="str"/>
      <x:c r="N141" s="34" t="str"/>
    </x:row>
    <x:row r="142">
      <x:c r="A142" s="34" t="str">
        <x:v>M5-ERR-118</x:v>
      </x:c>
      <x:c r="B142" s="34" t="str"/>
      <x:c r="C142" s="34" t="str"/>
      <x:c r="D142" s="34" t="str"/>
      <x:c r="E142" s="34" t="str"/>
      <x:c r="F142" s="34" t="str"/>
      <x:c r="G142" s="34" t="str"/>
      <x:c r="H142" s="34" t="str"/>
      <x:c r="I142" s="34" t="str"/>
      <x:c r="J142" s="34" t="str"/>
      <x:c r="K142" s="34" t="str"/>
      <x:c r="L142" s="34" t="str"/>
      <x:c r="M142" s="34" t="str"/>
      <x:c r="N142" s="34" t="str"/>
    </x:row>
    <x:row r="143">
      <x:c r="A143" s="34" t="str">
        <x:v>M5-ERR-119</x:v>
      </x:c>
      <x:c r="B143" s="34" t="str"/>
      <x:c r="C143" s="34" t="str"/>
      <x:c r="D143" s="34" t="str"/>
      <x:c r="E143" s="34" t="str"/>
      <x:c r="F143" s="34" t="str"/>
      <x:c r="G143" s="34" t="str"/>
      <x:c r="H143" s="34" t="str"/>
      <x:c r="I143" s="34" t="str"/>
      <x:c r="J143" s="34" t="str"/>
      <x:c r="K143" s="34" t="str"/>
      <x:c r="L143" s="34" t="str"/>
      <x:c r="M143" s="34" t="str"/>
      <x:c r="N143" s="34" t="str"/>
    </x:row>
    <x:row r="144">
      <x:c r="A144" s="34" t="str">
        <x:v>M5-ERR-120</x:v>
      </x:c>
      <x:c r="B144" s="34" t="str"/>
      <x:c r="C144" s="34" t="str"/>
      <x:c r="D144" s="34" t="str"/>
      <x:c r="E144" s="34" t="str"/>
      <x:c r="F144" s="34" t="str"/>
      <x:c r="G144" s="34" t="str"/>
      <x:c r="H144" s="34" t="str"/>
      <x:c r="I144" s="34" t="str"/>
      <x:c r="J144" s="34" t="str"/>
      <x:c r="K144" s="34" t="str"/>
      <x:c r="L144" s="34" t="str"/>
      <x:c r="M144" s="34" t="str"/>
      <x:c r="N144" s="34" t="str"/>
    </x:row>
    <x:row r="145">
      <x:c r="A145" s="34" t="str">
        <x:v>M5-ERR-121</x:v>
      </x:c>
      <x:c r="B145" s="34" t="str"/>
      <x:c r="C145" s="34" t="str"/>
      <x:c r="D145" s="34" t="str"/>
      <x:c r="E145" s="34" t="str"/>
      <x:c r="F145" s="34" t="str"/>
      <x:c r="G145" s="34" t="str"/>
      <x:c r="H145" s="34" t="str"/>
      <x:c r="I145" s="34" t="str"/>
      <x:c r="J145" s="34" t="str"/>
      <x:c r="K145" s="34" t="str"/>
      <x:c r="L145" s="34" t="str"/>
      <x:c r="M145" s="34" t="str"/>
      <x:c r="N145" s="34" t="str"/>
    </x:row>
    <x:row r="146">
      <x:c r="A146" s="34" t="str">
        <x:v>M5-ERR-122</x:v>
      </x:c>
      <x:c r="B146" s="34" t="str"/>
      <x:c r="C146" s="34" t="str"/>
      <x:c r="D146" s="34" t="str"/>
      <x:c r="E146" s="34" t="str"/>
      <x:c r="F146" s="34" t="str"/>
      <x:c r="G146" s="34" t="str"/>
      <x:c r="H146" s="34" t="str"/>
      <x:c r="I146" s="34" t="str"/>
      <x:c r="J146" s="34" t="str"/>
      <x:c r="K146" s="34" t="str"/>
      <x:c r="L146" s="34" t="str"/>
      <x:c r="M146" s="34" t="str"/>
      <x:c r="N146" s="34" t="str"/>
    </x:row>
    <x:row r="147">
      <x:c r="A147" s="34" t="str">
        <x:v>M5-ERR-123</x:v>
      </x:c>
      <x:c r="B147" s="34" t="str"/>
      <x:c r="C147" s="34" t="str"/>
      <x:c r="D147" s="34" t="str"/>
      <x:c r="E147" s="34" t="str"/>
      <x:c r="F147" s="34" t="str"/>
      <x:c r="G147" s="34" t="str"/>
      <x:c r="H147" s="34" t="str"/>
      <x:c r="I147" s="34" t="str"/>
      <x:c r="J147" s="34" t="str"/>
      <x:c r="K147" s="34" t="str"/>
      <x:c r="L147" s="34" t="str"/>
      <x:c r="M147" s="34" t="str"/>
      <x:c r="N147" s="34" t="str"/>
    </x:row>
    <x:row r="148">
      <x:c r="A148" s="34" t="str">
        <x:v>M5-ERR-124</x:v>
      </x:c>
      <x:c r="B148" s="34" t="str"/>
      <x:c r="C148" s="34" t="str"/>
      <x:c r="D148" s="34" t="str"/>
      <x:c r="E148" s="34" t="str"/>
      <x:c r="F148" s="34" t="str"/>
      <x:c r="G148" s="34" t="str"/>
      <x:c r="H148" s="34" t="str"/>
      <x:c r="I148" s="34" t="str"/>
      <x:c r="J148" s="34" t="str"/>
      <x:c r="K148" s="34" t="str"/>
      <x:c r="L148" s="34" t="str"/>
      <x:c r="M148" s="34" t="str"/>
      <x:c r="N148" s="34" t="str"/>
    </x:row>
    <x:row r="149">
      <x:c r="A149" s="34" t="str">
        <x:v>M5-ERR-125</x:v>
      </x:c>
      <x:c r="B149" s="34" t="str"/>
      <x:c r="C149" s="34" t="str"/>
      <x:c r="D149" s="34" t="str"/>
      <x:c r="E149" s="34" t="str"/>
      <x:c r="F149" s="34" t="str"/>
      <x:c r="G149" s="34" t="str"/>
      <x:c r="H149" s="34" t="str"/>
      <x:c r="I149" s="34" t="str"/>
      <x:c r="J149" s="34" t="str"/>
      <x:c r="K149" s="34" t="str"/>
      <x:c r="L149" s="34" t="str"/>
      <x:c r="M149" s="34" t="str"/>
      <x:c r="N149" s="34" t="str"/>
    </x:row>
    <x:row r="150">
      <x:c r="A150" s="34" t="str">
        <x:v>M5-ERR-126</x:v>
      </x:c>
      <x:c r="B150" s="34" t="str"/>
      <x:c r="C150" s="34" t="str"/>
      <x:c r="D150" s="34" t="str"/>
      <x:c r="E150" s="34" t="str"/>
      <x:c r="F150" s="34" t="str"/>
      <x:c r="G150" s="34" t="str"/>
      <x:c r="H150" s="34" t="str"/>
      <x:c r="I150" s="34" t="str"/>
      <x:c r="J150" s="34" t="str"/>
      <x:c r="K150" s="34" t="str"/>
      <x:c r="L150" s="34" t="str"/>
      <x:c r="M150" s="34" t="str"/>
      <x:c r="N150" s="34" t="str"/>
    </x:row>
    <x:row r="151">
      <x:c r="A151" s="34" t="str">
        <x:v>M5-ERR-127</x:v>
      </x:c>
      <x:c r="B151" s="34" t="str"/>
      <x:c r="C151" s="34" t="str"/>
      <x:c r="D151" s="34" t="str"/>
      <x:c r="E151" s="34" t="str"/>
      <x:c r="F151" s="34" t="str"/>
      <x:c r="G151" s="34" t="str"/>
      <x:c r="H151" s="34" t="str"/>
      <x:c r="I151" s="34" t="str"/>
      <x:c r="J151" s="34" t="str"/>
      <x:c r="K151" s="34" t="str"/>
      <x:c r="L151" s="34" t="str"/>
      <x:c r="M151" s="34" t="str"/>
      <x:c r="N151" s="34" t="str"/>
    </x:row>
    <x:row r="152">
      <x:c r="A152" s="34" t="str">
        <x:v>M5-ERR-128</x:v>
      </x:c>
      <x:c r="B152" s="34" t="str"/>
      <x:c r="C152" s="34" t="str"/>
      <x:c r="D152" s="34" t="str"/>
      <x:c r="E152" s="34" t="str"/>
      <x:c r="F152" s="34" t="str"/>
      <x:c r="G152" s="34" t="str"/>
      <x:c r="H152" s="34" t="str"/>
      <x:c r="I152" s="34" t="str"/>
      <x:c r="J152" s="34" t="str"/>
      <x:c r="K152" s="34" t="str"/>
      <x:c r="L152" s="34" t="str"/>
      <x:c r="M152" s="34" t="str"/>
      <x:c r="N152" s="34" t="str"/>
    </x:row>
    <x:row r="153">
      <x:c r="A153" s="34" t="str">
        <x:v>M5-ERR-129</x:v>
      </x:c>
      <x:c r="B153" s="34" t="str"/>
      <x:c r="C153" s="34" t="str"/>
      <x:c r="D153" s="34" t="str"/>
      <x:c r="E153" s="34" t="str"/>
      <x:c r="F153" s="34" t="str"/>
      <x:c r="G153" s="34" t="str"/>
      <x:c r="H153" s="34" t="str"/>
      <x:c r="I153" s="34" t="str"/>
      <x:c r="J153" s="34" t="str"/>
      <x:c r="K153" s="34" t="str"/>
      <x:c r="L153" s="34" t="str"/>
      <x:c r="M153" s="34" t="str"/>
      <x:c r="N153" s="34" t="str"/>
    </x:row>
    <x:row r="154">
      <x:c r="A154" s="34" t="str">
        <x:v>M5-ERR-130</x:v>
      </x:c>
      <x:c r="B154" s="34" t="str"/>
      <x:c r="C154" s="34" t="str"/>
      <x:c r="D154" s="34" t="str"/>
      <x:c r="E154" s="34" t="str"/>
      <x:c r="F154" s="34" t="str"/>
      <x:c r="G154" s="34" t="str"/>
      <x:c r="H154" s="34" t="str"/>
      <x:c r="I154" s="34" t="str"/>
      <x:c r="J154" s="34" t="str"/>
      <x:c r="K154" s="34" t="str"/>
      <x:c r="L154" s="34" t="str"/>
      <x:c r="M154" s="34" t="str"/>
      <x:c r="N154" s="34" t="str"/>
    </x:row>
    <x:row r="155">
      <x:c r="A155" s="34" t="str">
        <x:v>M5-ERR-131</x:v>
      </x:c>
      <x:c r="B155" s="34" t="str"/>
      <x:c r="C155" s="34" t="str"/>
      <x:c r="D155" s="34" t="str"/>
      <x:c r="E155" s="34" t="str"/>
      <x:c r="F155" s="34" t="str"/>
      <x:c r="G155" s="34" t="str"/>
      <x:c r="H155" s="34" t="str"/>
      <x:c r="I155" s="34" t="str"/>
      <x:c r="J155" s="34" t="str"/>
      <x:c r="K155" s="34" t="str"/>
      <x:c r="L155" s="34" t="str"/>
      <x:c r="M155" s="34" t="str"/>
      <x:c r="N155" s="34" t="str"/>
    </x:row>
    <x:row r="156">
      <x:c r="A156" s="34" t="str">
        <x:v>M5-ERR-132</x:v>
      </x:c>
      <x:c r="B156" s="34" t="str"/>
      <x:c r="C156" s="34" t="str"/>
      <x:c r="D156" s="34" t="str"/>
      <x:c r="E156" s="34" t="str"/>
      <x:c r="F156" s="34" t="str"/>
      <x:c r="G156" s="34" t="str"/>
      <x:c r="H156" s="34" t="str"/>
      <x:c r="I156" s="34" t="str"/>
      <x:c r="J156" s="34" t="str"/>
      <x:c r="K156" s="34" t="str"/>
      <x:c r="L156" s="34" t="str"/>
      <x:c r="M156" s="34" t="str"/>
      <x:c r="N156" s="34" t="str"/>
    </x:row>
    <x:row r="157">
      <x:c r="A157" s="34" t="str">
        <x:v>M5-ERR-133</x:v>
      </x:c>
      <x:c r="B157" s="34" t="str"/>
      <x:c r="C157" s="34" t="str"/>
      <x:c r="D157" s="34" t="str"/>
      <x:c r="E157" s="34" t="str"/>
      <x:c r="F157" s="34" t="str"/>
      <x:c r="G157" s="34" t="str"/>
      <x:c r="H157" s="34" t="str"/>
      <x:c r="I157" s="34" t="str"/>
      <x:c r="J157" s="34" t="str"/>
      <x:c r="K157" s="34" t="str"/>
      <x:c r="L157" s="34" t="str"/>
      <x:c r="M157" s="34" t="str"/>
      <x:c r="N157" s="34" t="str"/>
    </x:row>
    <x:row r="158">
      <x:c r="A158" s="34" t="str">
        <x:v>M5-ERR-134</x:v>
      </x:c>
      <x:c r="B158" s="34" t="str"/>
      <x:c r="C158" s="34" t="str"/>
      <x:c r="D158" s="34" t="str"/>
      <x:c r="E158" s="34" t="str"/>
      <x:c r="F158" s="34" t="str"/>
      <x:c r="G158" s="34" t="str"/>
      <x:c r="H158" s="34" t="str"/>
      <x:c r="I158" s="34" t="str"/>
      <x:c r="J158" s="34" t="str"/>
      <x:c r="K158" s="34" t="str"/>
      <x:c r="L158" s="34" t="str"/>
      <x:c r="M158" s="34" t="str"/>
      <x:c r="N158" s="34" t="str"/>
    </x:row>
    <x:row r="159">
      <x:c r="A159" s="34" t="str">
        <x:v>M5-ERR-135</x:v>
      </x:c>
      <x:c r="B159" s="34" t="str"/>
      <x:c r="C159" s="34" t="str"/>
      <x:c r="D159" s="34" t="str"/>
      <x:c r="E159" s="34" t="str"/>
      <x:c r="F159" s="34" t="str"/>
      <x:c r="G159" s="34" t="str"/>
      <x:c r="H159" s="34" t="str"/>
      <x:c r="I159" s="34" t="str"/>
      <x:c r="J159" s="34" t="str"/>
      <x:c r="K159" s="34" t="str"/>
      <x:c r="L159" s="34" t="str"/>
      <x:c r="M159" s="34" t="str"/>
      <x:c r="N159" s="34" t="str"/>
    </x:row>
    <x:row r="160">
      <x:c r="A160" s="34" t="str">
        <x:v>M5-ERR-136</x:v>
      </x:c>
      <x:c r="B160" s="34" t="str"/>
      <x:c r="C160" s="34" t="str"/>
      <x:c r="D160" s="34" t="str"/>
      <x:c r="E160" s="34" t="str"/>
      <x:c r="F160" s="34" t="str"/>
      <x:c r="G160" s="34" t="str"/>
      <x:c r="H160" s="34" t="str"/>
      <x:c r="I160" s="34" t="str"/>
      <x:c r="J160" s="34" t="str"/>
      <x:c r="K160" s="34" t="str"/>
      <x:c r="L160" s="34" t="str"/>
      <x:c r="M160" s="34" t="str"/>
      <x:c r="N160" s="34" t="str"/>
    </x:row>
    <x:row r="161">
      <x:c r="A161" s="34" t="str">
        <x:v>M5-ERR-137</x:v>
      </x:c>
      <x:c r="B161" s="34" t="str"/>
      <x:c r="C161" s="34" t="str"/>
      <x:c r="D161" s="34" t="str"/>
      <x:c r="E161" s="34" t="str"/>
      <x:c r="F161" s="34" t="str"/>
      <x:c r="G161" s="34" t="str"/>
      <x:c r="H161" s="34" t="str"/>
      <x:c r="I161" s="34" t="str"/>
      <x:c r="J161" s="34" t="str"/>
      <x:c r="K161" s="34" t="str"/>
      <x:c r="L161" s="34" t="str"/>
      <x:c r="M161" s="34" t="str"/>
      <x:c r="N161" s="34" t="str"/>
    </x:row>
    <x:row r="162">
      <x:c r="A162" s="34" t="str">
        <x:v>M5-ERR-138</x:v>
      </x:c>
      <x:c r="B162" s="34" t="str"/>
      <x:c r="C162" s="34" t="str"/>
      <x:c r="D162" s="34" t="str"/>
      <x:c r="E162" s="34" t="str"/>
      <x:c r="F162" s="34" t="str"/>
      <x:c r="G162" s="34" t="str"/>
      <x:c r="H162" s="34" t="str"/>
      <x:c r="I162" s="34" t="str"/>
      <x:c r="J162" s="34" t="str"/>
      <x:c r="K162" s="34" t="str"/>
      <x:c r="L162" s="34" t="str"/>
      <x:c r="M162" s="34" t="str"/>
      <x:c r="N162" s="34" t="str"/>
    </x:row>
    <x:row r="163">
      <x:c r="A163" s="34" t="str">
        <x:v>M5-ERR-139</x:v>
      </x:c>
      <x:c r="B163" s="34" t="str"/>
      <x:c r="C163" s="34" t="str"/>
      <x:c r="D163" s="34" t="str"/>
      <x:c r="E163" s="34" t="str"/>
      <x:c r="F163" s="34" t="str"/>
      <x:c r="G163" s="34" t="str"/>
      <x:c r="H163" s="34" t="str"/>
      <x:c r="I163" s="34" t="str"/>
      <x:c r="J163" s="34" t="str"/>
      <x:c r="K163" s="34" t="str"/>
      <x:c r="L163" s="34" t="str"/>
      <x:c r="M163" s="34" t="str"/>
      <x:c r="N163" s="34" t="str"/>
    </x:row>
    <x:row r="164">
      <x:c r="A164" s="34" t="str">
        <x:v>M5-ERR-140</x:v>
      </x:c>
      <x:c r="B164" s="34" t="str"/>
      <x:c r="C164" s="34" t="str"/>
      <x:c r="D164" s="34" t="str"/>
      <x:c r="E164" s="34" t="str"/>
      <x:c r="F164" s="34" t="str"/>
      <x:c r="G164" s="34" t="str"/>
      <x:c r="H164" s="34" t="str"/>
      <x:c r="I164" s="34" t="str"/>
      <x:c r="J164" s="34" t="str"/>
      <x:c r="K164" s="34" t="str"/>
      <x:c r="L164" s="34" t="str"/>
      <x:c r="M164" s="34" t="str"/>
      <x:c r="N164" s="34" t="str"/>
    </x:row>
    <x:row r="165">
      <x:c r="A165" s="34" t="str">
        <x:v>M5-ERR-141</x:v>
      </x:c>
      <x:c r="B165" s="34" t="str"/>
      <x:c r="C165" s="34" t="str"/>
      <x:c r="D165" s="34" t="str"/>
      <x:c r="E165" s="34" t="str"/>
      <x:c r="F165" s="34" t="str"/>
      <x:c r="G165" s="34" t="str"/>
      <x:c r="H165" s="34" t="str"/>
      <x:c r="I165" s="34" t="str"/>
      <x:c r="J165" s="34" t="str"/>
      <x:c r="K165" s="34" t="str"/>
      <x:c r="L165" s="34" t="str"/>
      <x:c r="M165" s="34" t="str"/>
      <x:c r="N165" s="34" t="str"/>
    </x:row>
    <x:row r="166">
      <x:c r="A166" s="34" t="str">
        <x:v>M5-ERR-142</x:v>
      </x:c>
      <x:c r="B166" s="34" t="str"/>
      <x:c r="C166" s="34" t="str"/>
      <x:c r="D166" s="34" t="str"/>
      <x:c r="E166" s="34" t="str"/>
      <x:c r="F166" s="34" t="str"/>
      <x:c r="G166" s="34" t="str"/>
      <x:c r="H166" s="34" t="str"/>
      <x:c r="I166" s="34" t="str"/>
      <x:c r="J166" s="34" t="str"/>
      <x:c r="K166" s="34" t="str"/>
      <x:c r="L166" s="34" t="str"/>
      <x:c r="M166" s="34" t="str"/>
      <x:c r="N166" s="34" t="str"/>
    </x:row>
    <x:row r="167">
      <x:c r="A167" s="34" t="str">
        <x:v>M5-ERR-143</x:v>
      </x:c>
      <x:c r="B167" s="34" t="str"/>
      <x:c r="C167" s="34" t="str"/>
      <x:c r="D167" s="34" t="str"/>
      <x:c r="E167" s="34" t="str"/>
      <x:c r="F167" s="34" t="str"/>
      <x:c r="G167" s="34" t="str"/>
      <x:c r="H167" s="34" t="str"/>
      <x:c r="I167" s="34" t="str"/>
      <x:c r="J167" s="34" t="str"/>
      <x:c r="K167" s="34" t="str"/>
      <x:c r="L167" s="34" t="str"/>
      <x:c r="M167" s="34" t="str"/>
      <x:c r="N167" s="34" t="str"/>
    </x:row>
    <x:row r="168">
      <x:c r="A168" s="34" t="str">
        <x:v>M5-ERR-144</x:v>
      </x:c>
      <x:c r="B168" s="34" t="str"/>
      <x:c r="C168" s="34" t="str"/>
      <x:c r="D168" s="34" t="str"/>
      <x:c r="E168" s="34" t="str"/>
      <x:c r="F168" s="34" t="str"/>
      <x:c r="G168" s="34" t="str"/>
      <x:c r="H168" s="34" t="str"/>
      <x:c r="I168" s="34" t="str"/>
      <x:c r="J168" s="34" t="str"/>
      <x:c r="K168" s="34" t="str"/>
      <x:c r="L168" s="34" t="str"/>
      <x:c r="M168" s="34" t="str"/>
      <x:c r="N168" s="34" t="str"/>
    </x:row>
    <x:row r="169">
      <x:c r="A169" s="34" t="str">
        <x:v>M5-ERR-145</x:v>
      </x:c>
      <x:c r="B169" s="34" t="str"/>
      <x:c r="C169" s="34" t="str"/>
      <x:c r="D169" s="34" t="str"/>
      <x:c r="E169" s="34" t="str"/>
      <x:c r="F169" s="34" t="str"/>
      <x:c r="G169" s="34" t="str"/>
      <x:c r="H169" s="34" t="str"/>
      <x:c r="I169" s="34" t="str"/>
      <x:c r="J169" s="34" t="str"/>
      <x:c r="K169" s="34" t="str"/>
      <x:c r="L169" s="34" t="str"/>
      <x:c r="M169" s="34" t="str"/>
      <x:c r="N169" s="34" t="str"/>
    </x:row>
    <x:row r="170">
      <x:c r="A170" s="34" t="str">
        <x:v>M5-ERR-146</x:v>
      </x:c>
      <x:c r="B170" s="34" t="str"/>
      <x:c r="C170" s="34" t="str"/>
      <x:c r="D170" s="34" t="str"/>
      <x:c r="E170" s="34" t="str"/>
      <x:c r="F170" s="34" t="str"/>
      <x:c r="G170" s="34" t="str"/>
      <x:c r="H170" s="34" t="str"/>
      <x:c r="I170" s="34" t="str"/>
      <x:c r="J170" s="34" t="str"/>
      <x:c r="K170" s="34" t="str"/>
      <x:c r="L170" s="34" t="str"/>
      <x:c r="M170" s="34" t="str"/>
      <x:c r="N170" s="34" t="str"/>
    </x:row>
    <x:row r="171">
      <x:c r="A171" s="34" t="str">
        <x:v>M5-ERR-147</x:v>
      </x:c>
      <x:c r="B171" s="34" t="str"/>
      <x:c r="C171" s="34" t="str"/>
      <x:c r="D171" s="34" t="str"/>
      <x:c r="E171" s="34" t="str"/>
      <x:c r="F171" s="34" t="str"/>
      <x:c r="G171" s="34" t="str"/>
      <x:c r="H171" s="34" t="str"/>
      <x:c r="I171" s="34" t="str"/>
      <x:c r="J171" s="34" t="str"/>
      <x:c r="K171" s="34" t="str"/>
      <x:c r="L171" s="34" t="str"/>
      <x:c r="M171" s="34" t="str"/>
      <x:c r="N171" s="34" t="str"/>
    </x:row>
    <x:row r="172">
      <x:c r="A172" s="34" t="str">
        <x:v>M5-ERR-148</x:v>
      </x:c>
      <x:c r="B172" s="34" t="str"/>
      <x:c r="C172" s="34" t="str"/>
      <x:c r="D172" s="34" t="str"/>
      <x:c r="E172" s="34" t="str"/>
      <x:c r="F172" s="34" t="str"/>
      <x:c r="G172" s="34" t="str"/>
      <x:c r="H172" s="34" t="str"/>
      <x:c r="I172" s="34" t="str"/>
      <x:c r="J172" s="34" t="str"/>
      <x:c r="K172" s="34" t="str"/>
      <x:c r="L172" s="34" t="str"/>
      <x:c r="M172" s="34" t="str"/>
      <x:c r="N172" s="34" t="str"/>
    </x:row>
    <x:row r="173">
      <x:c r="A173" s="34" t="str">
        <x:v>M5-ERR-149</x:v>
      </x:c>
      <x:c r="B173" s="34" t="str"/>
      <x:c r="C173" s="34" t="str"/>
      <x:c r="D173" s="34" t="str"/>
      <x:c r="E173" s="34" t="str"/>
      <x:c r="F173" s="34" t="str"/>
      <x:c r="G173" s="34" t="str"/>
      <x:c r="H173" s="34" t="str"/>
      <x:c r="I173" s="34" t="str"/>
      <x:c r="J173" s="34" t="str"/>
      <x:c r="K173" s="34" t="str"/>
      <x:c r="L173" s="34" t="str"/>
      <x:c r="M173" s="34" t="str"/>
      <x:c r="N173" s="34" t="str"/>
    </x:row>
    <x:row r="174">
      <x:c r="A174" s="34" t="str">
        <x:v>M5-ERR-150</x:v>
      </x:c>
      <x:c r="B174" s="34" t="str"/>
      <x:c r="C174" s="34" t="str"/>
      <x:c r="D174" s="34" t="str"/>
      <x:c r="E174" s="34" t="str"/>
      <x:c r="F174" s="34" t="str"/>
      <x:c r="G174" s="34" t="str"/>
      <x:c r="H174" s="34" t="str"/>
      <x:c r="I174" s="34" t="str"/>
      <x:c r="J174" s="34" t="str"/>
      <x:c r="K174" s="34" t="str"/>
      <x:c r="L174" s="34" t="str"/>
      <x:c r="M174" s="34" t="str"/>
      <x:c r="N174" s="34" t="str"/>
    </x:row>
    <x:row r="175">
      <x:c r="A175" s="34" t="str">
        <x:v>M5-ERR-151</x:v>
      </x:c>
      <x:c r="B175" s="34" t="str"/>
      <x:c r="C175" s="34" t="str"/>
      <x:c r="D175" s="34" t="str"/>
      <x:c r="E175" s="34" t="str"/>
      <x:c r="F175" s="34" t="str"/>
      <x:c r="G175" s="34" t="str"/>
      <x:c r="H175" s="34" t="str"/>
      <x:c r="I175" s="34" t="str"/>
      <x:c r="J175" s="34" t="str"/>
      <x:c r="K175" s="34" t="str"/>
      <x:c r="L175" s="34" t="str"/>
      <x:c r="M175" s="34" t="str"/>
      <x:c r="N175" s="34" t="str"/>
    </x:row>
    <x:row r="176">
      <x:c r="A176" s="34" t="str">
        <x:v>M5-ERR-152</x:v>
      </x:c>
      <x:c r="B176" s="34" t="str"/>
      <x:c r="C176" s="34" t="str"/>
      <x:c r="D176" s="34" t="str"/>
      <x:c r="E176" s="34" t="str"/>
      <x:c r="F176" s="34" t="str"/>
      <x:c r="G176" s="34" t="str"/>
      <x:c r="H176" s="34" t="str"/>
      <x:c r="I176" s="34" t="str"/>
      <x:c r="J176" s="34" t="str"/>
      <x:c r="K176" s="34" t="str"/>
      <x:c r="L176" s="34" t="str"/>
      <x:c r="M176" s="34" t="str"/>
      <x:c r="N176" s="34" t="str"/>
    </x:row>
    <x:row r="177">
      <x:c r="A177" s="34" t="str">
        <x:v>M5-ERR-153</x:v>
      </x:c>
      <x:c r="B177" s="34" t="str"/>
      <x:c r="C177" s="34" t="str"/>
      <x:c r="D177" s="34" t="str"/>
      <x:c r="E177" s="34" t="str"/>
      <x:c r="F177" s="34" t="str"/>
      <x:c r="G177" s="34" t="str"/>
      <x:c r="H177" s="34" t="str"/>
      <x:c r="I177" s="34" t="str"/>
      <x:c r="J177" s="34" t="str"/>
      <x:c r="K177" s="34" t="str"/>
      <x:c r="L177" s="34" t="str"/>
      <x:c r="M177" s="34" t="str"/>
      <x:c r="N177" s="34" t="str"/>
    </x:row>
    <x:row r="178">
      <x:c r="A178" s="34" t="str">
        <x:v>M5-ERR-154</x:v>
      </x:c>
      <x:c r="B178" s="34" t="str"/>
      <x:c r="C178" s="34" t="str"/>
      <x:c r="D178" s="34" t="str"/>
      <x:c r="E178" s="34" t="str"/>
      <x:c r="F178" s="34" t="str"/>
      <x:c r="G178" s="34" t="str"/>
      <x:c r="H178" s="34" t="str"/>
      <x:c r="I178" s="34" t="str"/>
      <x:c r="J178" s="34" t="str"/>
      <x:c r="K178" s="34" t="str"/>
      <x:c r="L178" s="34" t="str"/>
      <x:c r="M178" s="34" t="str"/>
      <x:c r="N178" s="34" t="str"/>
    </x:row>
    <x:row r="179">
      <x:c r="A179" s="34" t="str">
        <x:v>M5-ERR-155</x:v>
      </x:c>
      <x:c r="B179" s="34" t="str"/>
      <x:c r="C179" s="34" t="str"/>
      <x:c r="D179" s="34" t="str"/>
      <x:c r="E179" s="34" t="str"/>
      <x:c r="F179" s="34" t="str"/>
      <x:c r="G179" s="34" t="str"/>
      <x:c r="H179" s="34" t="str"/>
      <x:c r="I179" s="34" t="str"/>
      <x:c r="J179" s="34" t="str"/>
      <x:c r="K179" s="34" t="str"/>
      <x:c r="L179" s="34" t="str"/>
      <x:c r="M179" s="34" t="str"/>
      <x:c r="N179" s="34" t="str"/>
    </x:row>
    <x:row r="180">
      <x:c r="A180" s="34" t="str">
        <x:v>M5-ERR-156</x:v>
      </x:c>
      <x:c r="B180" s="34" t="str"/>
      <x:c r="C180" s="34" t="str"/>
      <x:c r="D180" s="34" t="str"/>
      <x:c r="E180" s="34" t="str"/>
      <x:c r="F180" s="34" t="str"/>
      <x:c r="G180" s="34" t="str"/>
      <x:c r="H180" s="34" t="str"/>
      <x:c r="I180" s="34" t="str"/>
      <x:c r="J180" s="34" t="str"/>
      <x:c r="K180" s="34" t="str"/>
      <x:c r="L180" s="34" t="str"/>
      <x:c r="M180" s="34" t="str"/>
      <x:c r="N180" s="34" t="str"/>
    </x:row>
    <x:row r="181">
      <x:c r="A181" s="34" t="str">
        <x:v>M5-ERR-157</x:v>
      </x:c>
      <x:c r="B181" s="34" t="str"/>
      <x:c r="C181" s="34" t="str"/>
      <x:c r="D181" s="34" t="str"/>
      <x:c r="E181" s="34" t="str"/>
      <x:c r="F181" s="34" t="str"/>
      <x:c r="G181" s="34" t="str"/>
      <x:c r="H181" s="34" t="str"/>
      <x:c r="I181" s="34" t="str"/>
      <x:c r="J181" s="34" t="str"/>
      <x:c r="K181" s="34" t="str"/>
      <x:c r="L181" s="34" t="str"/>
      <x:c r="M181" s="34" t="str"/>
      <x:c r="N181" s="34" t="str"/>
    </x:row>
    <x:row r="182">
      <x:c r="A182" s="34" t="str">
        <x:v>M5-ERR-158</x:v>
      </x:c>
      <x:c r="B182" s="34" t="str"/>
      <x:c r="C182" s="34" t="str"/>
      <x:c r="D182" s="34" t="str"/>
      <x:c r="E182" s="34" t="str"/>
      <x:c r="F182" s="34" t="str"/>
      <x:c r="G182" s="34" t="str"/>
      <x:c r="H182" s="34" t="str"/>
      <x:c r="I182" s="34" t="str"/>
      <x:c r="J182" s="34" t="str"/>
      <x:c r="K182" s="34" t="str"/>
      <x:c r="L182" s="34" t="str"/>
      <x:c r="M182" s="34" t="str"/>
      <x:c r="N182" s="34" t="str"/>
    </x:row>
    <x:row r="183">
      <x:c r="A183" s="34" t="str">
        <x:v>M5-ERR-159</x:v>
      </x:c>
      <x:c r="B183" s="34" t="str"/>
      <x:c r="C183" s="34" t="str"/>
      <x:c r="D183" s="34" t="str"/>
      <x:c r="E183" s="34" t="str"/>
      <x:c r="F183" s="34" t="str"/>
      <x:c r="G183" s="34" t="str"/>
      <x:c r="H183" s="34" t="str"/>
      <x:c r="I183" s="34" t="str"/>
      <x:c r="J183" s="34" t="str"/>
      <x:c r="K183" s="34" t="str"/>
      <x:c r="L183" s="34" t="str"/>
      <x:c r="M183" s="34" t="str"/>
      <x:c r="N183" s="34" t="str"/>
    </x:row>
    <x:row r="184">
      <x:c r="A184" s="34" t="str">
        <x:v>M5-ERR-160</x:v>
      </x:c>
      <x:c r="B184" s="34" t="str"/>
      <x:c r="C184" s="34" t="str"/>
      <x:c r="D184" s="34" t="str"/>
      <x:c r="E184" s="34" t="str"/>
      <x:c r="F184" s="34" t="str"/>
      <x:c r="G184" s="34" t="str"/>
      <x:c r="H184" s="34" t="str"/>
      <x:c r="I184" s="34" t="str"/>
      <x:c r="J184" s="34" t="str"/>
      <x:c r="K184" s="34" t="str"/>
      <x:c r="L184" s="34" t="str"/>
      <x:c r="M184" s="34" t="str"/>
      <x:c r="N184" s="34" t="str"/>
    </x:row>
    <x:row r="185">
      <x:c r="A185" s="34" t="str">
        <x:v>M5-ERR-161</x:v>
      </x:c>
      <x:c r="B185" s="34" t="str"/>
      <x:c r="C185" s="34" t="str"/>
      <x:c r="D185" s="34" t="str"/>
      <x:c r="E185" s="34" t="str"/>
      <x:c r="F185" s="34" t="str"/>
      <x:c r="G185" s="34" t="str"/>
      <x:c r="H185" s="34" t="str"/>
      <x:c r="I185" s="34" t="str"/>
      <x:c r="J185" s="34" t="str"/>
      <x:c r="K185" s="34" t="str"/>
      <x:c r="L185" s="34" t="str"/>
      <x:c r="M185" s="34" t="str"/>
      <x:c r="N185" s="34" t="str"/>
    </x:row>
    <x:row r="186">
      <x:c r="A186" s="34" t="str">
        <x:v>M5-ERR-162</x:v>
      </x:c>
      <x:c r="B186" s="34" t="str"/>
      <x:c r="C186" s="34" t="str"/>
      <x:c r="D186" s="34" t="str"/>
      <x:c r="E186" s="34" t="str"/>
      <x:c r="F186" s="34" t="str"/>
      <x:c r="G186" s="34" t="str"/>
      <x:c r="H186" s="34" t="str"/>
      <x:c r="I186" s="34" t="str"/>
      <x:c r="J186" s="34" t="str"/>
      <x:c r="K186" s="34" t="str"/>
      <x:c r="L186" s="34" t="str"/>
      <x:c r="M186" s="34" t="str"/>
      <x:c r="N186" s="34" t="str"/>
    </x:row>
    <x:row r="187">
      <x:c r="A187" s="34" t="str">
        <x:v>M5-ERR-163</x:v>
      </x:c>
      <x:c r="B187" s="34" t="str"/>
      <x:c r="C187" s="34" t="str"/>
      <x:c r="D187" s="34" t="str"/>
      <x:c r="E187" s="34" t="str"/>
      <x:c r="F187" s="34" t="str"/>
      <x:c r="G187" s="34" t="str"/>
      <x:c r="H187" s="34" t="str"/>
      <x:c r="I187" s="34" t="str"/>
      <x:c r="J187" s="34" t="str"/>
      <x:c r="K187" s="34" t="str"/>
      <x:c r="L187" s="34" t="str"/>
      <x:c r="M187" s="34" t="str"/>
      <x:c r="N187" s="34" t="str"/>
    </x:row>
    <x:row r="188">
      <x:c r="A188" s="34" t="str">
        <x:v>M5-ERR-164</x:v>
      </x:c>
      <x:c r="B188" s="34" t="str"/>
      <x:c r="C188" s="34" t="str"/>
      <x:c r="D188" s="34" t="str"/>
      <x:c r="E188" s="34" t="str"/>
      <x:c r="F188" s="34" t="str"/>
      <x:c r="G188" s="34" t="str"/>
      <x:c r="H188" s="34" t="str"/>
      <x:c r="I188" s="34" t="str"/>
      <x:c r="J188" s="34" t="str"/>
      <x:c r="K188" s="34" t="str"/>
      <x:c r="L188" s="34" t="str"/>
      <x:c r="M188" s="34" t="str"/>
      <x:c r="N188" s="34" t="str"/>
    </x:row>
    <x:row r="189">
      <x:c r="A189" s="34" t="str">
        <x:v>M5-ERR-165</x:v>
      </x:c>
      <x:c r="B189" s="34" t="str"/>
      <x:c r="C189" s="34" t="str"/>
      <x:c r="D189" s="34" t="str"/>
      <x:c r="E189" s="34" t="str"/>
      <x:c r="F189" s="34" t="str"/>
      <x:c r="G189" s="34" t="str"/>
      <x:c r="H189" s="34" t="str"/>
      <x:c r="I189" s="34" t="str"/>
      <x:c r="J189" s="34" t="str"/>
      <x:c r="K189" s="34" t="str"/>
      <x:c r="L189" s="34" t="str"/>
      <x:c r="M189" s="34" t="str"/>
      <x:c r="N189" s="34" t="str"/>
    </x:row>
    <x:row r="190">
      <x:c r="A190" s="34" t="str">
        <x:v>M5-ERR-166</x:v>
      </x:c>
      <x:c r="B190" s="34" t="str"/>
      <x:c r="C190" s="34" t="str"/>
      <x:c r="D190" s="34" t="str"/>
      <x:c r="E190" s="34" t="str"/>
      <x:c r="F190" s="34" t="str"/>
      <x:c r="G190" s="34" t="str"/>
      <x:c r="H190" s="34" t="str"/>
      <x:c r="I190" s="34" t="str"/>
      <x:c r="J190" s="34" t="str"/>
      <x:c r="K190" s="34" t="str"/>
      <x:c r="L190" s="34" t="str"/>
      <x:c r="M190" s="34" t="str"/>
      <x:c r="N190" s="34" t="str"/>
    </x:row>
    <x:row r="191">
      <x:c r="A191" s="34" t="str">
        <x:v>M5-ERR-167</x:v>
      </x:c>
      <x:c r="B191" s="34" t="str"/>
      <x:c r="C191" s="34" t="str"/>
      <x:c r="D191" s="34" t="str"/>
      <x:c r="E191" s="34" t="str"/>
      <x:c r="F191" s="34" t="str"/>
      <x:c r="G191" s="34" t="str"/>
      <x:c r="H191" s="34" t="str"/>
      <x:c r="I191" s="34" t="str"/>
      <x:c r="J191" s="34" t="str"/>
      <x:c r="K191" s="34" t="str"/>
      <x:c r="L191" s="34" t="str"/>
      <x:c r="M191" s="34" t="str"/>
      <x:c r="N191" s="34" t="str"/>
    </x:row>
    <x:row r="192">
      <x:c r="A192" s="34" t="str">
        <x:v>M5-ERR-168</x:v>
      </x:c>
      <x:c r="B192" s="34" t="str"/>
      <x:c r="C192" s="34" t="str"/>
      <x:c r="D192" s="34" t="str"/>
      <x:c r="E192" s="34" t="str"/>
      <x:c r="F192" s="34" t="str"/>
      <x:c r="G192" s="34" t="str"/>
      <x:c r="H192" s="34" t="str"/>
      <x:c r="I192" s="34" t="str"/>
      <x:c r="J192" s="34" t="str"/>
      <x:c r="K192" s="34" t="str"/>
      <x:c r="L192" s="34" t="str"/>
      <x:c r="M192" s="34" t="str"/>
      <x:c r="N192" s="34" t="str"/>
    </x:row>
    <x:row r="193">
      <x:c r="A193" s="34" t="str">
        <x:v>M5-ERR-169</x:v>
      </x:c>
      <x:c r="B193" s="34" t="str"/>
      <x:c r="C193" s="34" t="str"/>
      <x:c r="D193" s="34" t="str"/>
      <x:c r="E193" s="34" t="str"/>
      <x:c r="F193" s="34" t="str"/>
      <x:c r="G193" s="34" t="str"/>
      <x:c r="H193" s="34" t="str"/>
      <x:c r="I193" s="34" t="str"/>
      <x:c r="J193" s="34" t="str"/>
      <x:c r="K193" s="34" t="str"/>
      <x:c r="L193" s="34" t="str"/>
      <x:c r="M193" s="34" t="str"/>
      <x:c r="N193" s="34" t="str"/>
    </x:row>
    <x:row r="194">
      <x:c r="A194" s="34" t="str">
        <x:v>M5-ERR-170</x:v>
      </x:c>
      <x:c r="B194" s="34" t="str"/>
      <x:c r="C194" s="34" t="str"/>
      <x:c r="D194" s="34" t="str"/>
      <x:c r="E194" s="34" t="str"/>
      <x:c r="F194" s="34" t="str"/>
      <x:c r="G194" s="34" t="str"/>
      <x:c r="H194" s="34" t="str"/>
      <x:c r="I194" s="34" t="str"/>
      <x:c r="J194" s="34" t="str"/>
      <x:c r="K194" s="34" t="str"/>
      <x:c r="L194" s="34" t="str"/>
      <x:c r="M194" s="34" t="str"/>
      <x:c r="N194" s="34" t="str"/>
    </x:row>
    <x:row r="195">
      <x:c r="A195" s="34" t="str">
        <x:v>M5-ERR-171</x:v>
      </x:c>
      <x:c r="B195" s="34" t="str"/>
      <x:c r="C195" s="34" t="str"/>
      <x:c r="D195" s="34" t="str"/>
      <x:c r="E195" s="34" t="str"/>
      <x:c r="F195" s="34" t="str"/>
      <x:c r="G195" s="34" t="str"/>
      <x:c r="H195" s="34" t="str"/>
      <x:c r="I195" s="34" t="str"/>
      <x:c r="J195" s="34" t="str"/>
      <x:c r="K195" s="34" t="str"/>
      <x:c r="L195" s="34" t="str"/>
      <x:c r="M195" s="34" t="str"/>
      <x:c r="N195" s="34" t="str"/>
    </x:row>
    <x:row r="196">
      <x:c r="A196" s="34" t="str">
        <x:v>M5-ERR-172</x:v>
      </x:c>
      <x:c r="B196" s="34" t="str"/>
      <x:c r="C196" s="34" t="str"/>
      <x:c r="D196" s="34" t="str"/>
      <x:c r="E196" s="34" t="str"/>
      <x:c r="F196" s="34" t="str"/>
      <x:c r="G196" s="34" t="str"/>
      <x:c r="H196" s="34" t="str"/>
      <x:c r="I196" s="34" t="str"/>
      <x:c r="J196" s="34" t="str"/>
      <x:c r="K196" s="34" t="str"/>
      <x:c r="L196" s="34" t="str"/>
      <x:c r="M196" s="34" t="str"/>
      <x:c r="N196" s="34" t="str"/>
    </x:row>
    <x:row r="197">
      <x:c r="A197" s="34" t="str">
        <x:v>M5-ERR-173</x:v>
      </x:c>
      <x:c r="B197" s="34" t="str"/>
      <x:c r="C197" s="34" t="str"/>
      <x:c r="D197" s="34" t="str"/>
      <x:c r="E197" s="34" t="str"/>
      <x:c r="F197" s="34" t="str"/>
      <x:c r="G197" s="34" t="str"/>
      <x:c r="H197" s="34" t="str"/>
      <x:c r="I197" s="34" t="str"/>
      <x:c r="J197" s="34" t="str"/>
      <x:c r="K197" s="34" t="str"/>
      <x:c r="L197" s="34" t="str"/>
      <x:c r="M197" s="34" t="str"/>
      <x:c r="N197" s="34" t="str"/>
    </x:row>
    <x:row r="198">
      <x:c r="A198" s="34" t="str">
        <x:v>M5-ERR-174</x:v>
      </x:c>
      <x:c r="B198" s="34" t="str"/>
      <x:c r="C198" s="34" t="str"/>
      <x:c r="D198" s="34" t="str"/>
      <x:c r="E198" s="34" t="str"/>
      <x:c r="F198" s="34" t="str"/>
      <x:c r="G198" s="34" t="str"/>
      <x:c r="H198" s="34" t="str"/>
      <x:c r="I198" s="34" t="str"/>
      <x:c r="J198" s="34" t="str"/>
      <x:c r="K198" s="34" t="str"/>
      <x:c r="L198" s="34" t="str"/>
      <x:c r="M198" s="34" t="str"/>
      <x:c r="N198" s="34" t="str"/>
    </x:row>
    <x:row r="199">
      <x:c r="A199" s="34" t="str">
        <x:v>M5-ERR-175</x:v>
      </x:c>
      <x:c r="B199" s="34" t="str"/>
      <x:c r="C199" s="34" t="str"/>
      <x:c r="D199" s="34" t="str"/>
      <x:c r="E199" s="34" t="str"/>
      <x:c r="F199" s="34" t="str"/>
      <x:c r="G199" s="34" t="str"/>
      <x:c r="H199" s="34" t="str"/>
      <x:c r="I199" s="34" t="str"/>
      <x:c r="J199" s="34" t="str"/>
      <x:c r="K199" s="34" t="str"/>
      <x:c r="L199" s="34" t="str"/>
      <x:c r="M199" s="34" t="str"/>
      <x:c r="N199" s="34" t="str"/>
    </x:row>
    <x:row r="200">
      <x:c r="A200" s="34" t="str">
        <x:v>M5-ERR-176</x:v>
      </x:c>
      <x:c r="B200" s="34" t="str"/>
      <x:c r="C200" s="34" t="str"/>
      <x:c r="D200" s="34" t="str"/>
      <x:c r="E200" s="34" t="str"/>
      <x:c r="F200" s="34" t="str"/>
      <x:c r="G200" s="34" t="str"/>
      <x:c r="H200" s="34" t="str"/>
      <x:c r="I200" s="34" t="str"/>
      <x:c r="J200" s="34" t="str"/>
      <x:c r="K200" s="34" t="str"/>
      <x:c r="L200" s="34" t="str"/>
      <x:c r="M200" s="34" t="str"/>
      <x:c r="N200" s="34" t="str"/>
    </x:row>
    <x:row r="201">
      <x:c r="A201" s="34" t="str">
        <x:v>M5-ERR-177</x:v>
      </x:c>
      <x:c r="B201" s="34" t="str"/>
      <x:c r="C201" s="34" t="str"/>
      <x:c r="D201" s="34" t="str"/>
      <x:c r="E201" s="34" t="str"/>
      <x:c r="F201" s="34" t="str"/>
      <x:c r="G201" s="34" t="str"/>
      <x:c r="H201" s="34" t="str"/>
      <x:c r="I201" s="34" t="str"/>
      <x:c r="J201" s="34" t="str"/>
      <x:c r="K201" s="34" t="str"/>
      <x:c r="L201" s="34" t="str"/>
      <x:c r="M201" s="34" t="str"/>
      <x:c r="N201" s="34" t="str"/>
    </x:row>
    <x:row r="202">
      <x:c r="A202" s="34" t="str">
        <x:v>M5-ERR-178</x:v>
      </x:c>
      <x:c r="B202" s="34" t="str"/>
      <x:c r="C202" s="34" t="str"/>
      <x:c r="D202" s="34" t="str"/>
      <x:c r="E202" s="34" t="str"/>
      <x:c r="F202" s="34" t="str"/>
      <x:c r="G202" s="34" t="str"/>
      <x:c r="H202" s="34" t="str"/>
      <x:c r="I202" s="34" t="str"/>
      <x:c r="J202" s="34" t="str"/>
      <x:c r="K202" s="34" t="str"/>
      <x:c r="L202" s="34" t="str"/>
      <x:c r="M202" s="34" t="str"/>
      <x:c r="N202" s="34" t="str"/>
    </x:row>
    <x:row r="203">
      <x:c r="A203" s="34" t="str">
        <x:v>M5-ERR-179</x:v>
      </x:c>
      <x:c r="B203" s="34" t="str"/>
      <x:c r="C203" s="34" t="str"/>
      <x:c r="D203" s="34" t="str"/>
      <x:c r="E203" s="34" t="str"/>
      <x:c r="F203" s="34" t="str"/>
      <x:c r="G203" s="34" t="str"/>
      <x:c r="H203" s="34" t="str"/>
      <x:c r="I203" s="34" t="str"/>
      <x:c r="J203" s="34" t="str"/>
      <x:c r="K203" s="34" t="str"/>
      <x:c r="L203" s="34" t="str"/>
      <x:c r="M203" s="34" t="str"/>
      <x:c r="N203" s="34" t="str"/>
    </x:row>
    <x:row r="204">
      <x:c r="A204" s="34" t="str">
        <x:v>M5-ERR-180</x:v>
      </x:c>
      <x:c r="B204" s="34" t="str"/>
      <x:c r="C204" s="34" t="str"/>
      <x:c r="D204" s="34" t="str"/>
      <x:c r="E204" s="34" t="str"/>
      <x:c r="F204" s="34" t="str"/>
      <x:c r="G204" s="34" t="str"/>
      <x:c r="H204" s="34" t="str"/>
      <x:c r="I204" s="34" t="str"/>
      <x:c r="J204" s="34" t="str"/>
      <x:c r="K204" s="34" t="str"/>
      <x:c r="L204" s="34" t="str"/>
      <x:c r="M204" s="34" t="str"/>
      <x:c r="N204" s="34" t="str"/>
    </x:row>
    <x:row r="205">
      <x:c r="A205" s="34" t="str">
        <x:v>M5-ERR-181</x:v>
      </x:c>
      <x:c r="B205" s="34" t="str"/>
      <x:c r="C205" s="34" t="str"/>
      <x:c r="D205" s="34" t="str"/>
      <x:c r="E205" s="34" t="str"/>
      <x:c r="F205" s="34" t="str"/>
      <x:c r="G205" s="34" t="str"/>
      <x:c r="H205" s="34" t="str"/>
      <x:c r="I205" s="34" t="str"/>
      <x:c r="J205" s="34" t="str"/>
      <x:c r="K205" s="34" t="str"/>
      <x:c r="L205" s="34" t="str"/>
      <x:c r="M205" s="34" t="str"/>
      <x:c r="N205" s="34" t="str"/>
    </x:row>
    <x:row r="206">
      <x:c r="A206" s="34" t="str">
        <x:v>M5-ERR-182</x:v>
      </x:c>
      <x:c r="B206" s="34" t="str"/>
      <x:c r="C206" s="34" t="str"/>
      <x:c r="D206" s="34" t="str"/>
      <x:c r="E206" s="34" t="str"/>
      <x:c r="F206" s="34" t="str"/>
      <x:c r="G206" s="34" t="str"/>
      <x:c r="H206" s="34" t="str"/>
      <x:c r="I206" s="34" t="str"/>
      <x:c r="J206" s="34" t="str"/>
      <x:c r="K206" s="34" t="str"/>
      <x:c r="L206" s="34" t="str"/>
      <x:c r="M206" s="34" t="str"/>
      <x:c r="N206" s="34" t="str"/>
    </x:row>
    <x:row r="207">
      <x:c r="A207" s="34" t="str">
        <x:v>M5-ERR-183</x:v>
      </x:c>
      <x:c r="B207" s="34" t="str"/>
      <x:c r="C207" s="34" t="str"/>
      <x:c r="D207" s="34" t="str"/>
      <x:c r="E207" s="34" t="str"/>
      <x:c r="F207" s="34" t="str"/>
      <x:c r="G207" s="34" t="str"/>
      <x:c r="H207" s="34" t="str"/>
      <x:c r="I207" s="34" t="str"/>
      <x:c r="J207" s="34" t="str"/>
      <x:c r="K207" s="34" t="str"/>
      <x:c r="L207" s="34" t="str"/>
      <x:c r="M207" s="34" t="str"/>
      <x:c r="N207" s="34" t="str"/>
    </x:row>
    <x:row r="208">
      <x:c r="A208" s="34" t="str">
        <x:v>M5-ERR-184</x:v>
      </x:c>
      <x:c r="B208" s="34" t="str"/>
      <x:c r="C208" s="34" t="str"/>
      <x:c r="D208" s="34" t="str"/>
      <x:c r="E208" s="34" t="str"/>
      <x:c r="F208" s="34" t="str"/>
      <x:c r="G208" s="34" t="str"/>
      <x:c r="H208" s="34" t="str"/>
      <x:c r="I208" s="34" t="str"/>
      <x:c r="J208" s="34" t="str"/>
      <x:c r="K208" s="34" t="str"/>
      <x:c r="L208" s="34" t="str"/>
      <x:c r="M208" s="34" t="str"/>
      <x:c r="N208" s="34" t="str"/>
    </x:row>
    <x:row r="209">
      <x:c r="A209" s="34" t="str">
        <x:v>M5-ERR-185</x:v>
      </x:c>
      <x:c r="B209" s="34" t="str"/>
      <x:c r="C209" s="34" t="str"/>
      <x:c r="D209" s="34" t="str"/>
      <x:c r="E209" s="34" t="str"/>
      <x:c r="F209" s="34" t="str"/>
      <x:c r="G209" s="34" t="str"/>
      <x:c r="H209" s="34" t="str"/>
      <x:c r="I209" s="34" t="str"/>
      <x:c r="J209" s="34" t="str"/>
      <x:c r="K209" s="34" t="str"/>
      <x:c r="L209" s="34" t="str"/>
      <x:c r="M209" s="34" t="str"/>
      <x:c r="N209" s="34" t="str"/>
    </x:row>
    <x:row r="210">
      <x:c r="A210" s="34" t="str">
        <x:v>M5-ERR-186</x:v>
      </x:c>
      <x:c r="B210" s="34" t="str"/>
      <x:c r="C210" s="34" t="str"/>
      <x:c r="D210" s="34" t="str"/>
      <x:c r="E210" s="34" t="str"/>
      <x:c r="F210" s="34" t="str"/>
      <x:c r="G210" s="34" t="str"/>
      <x:c r="H210" s="34" t="str"/>
      <x:c r="I210" s="34" t="str"/>
      <x:c r="J210" s="34" t="str"/>
      <x:c r="K210" s="34" t="str"/>
      <x:c r="L210" s="34" t="str"/>
      <x:c r="M210" s="34" t="str"/>
      <x:c r="N210" s="34" t="str"/>
    </x:row>
    <x:row r="211">
      <x:c r="A211" s="34" t="str">
        <x:v>M5-ERR-187</x:v>
      </x:c>
      <x:c r="B211" s="34" t="str"/>
      <x:c r="C211" s="34" t="str"/>
      <x:c r="D211" s="34" t="str"/>
      <x:c r="E211" s="34" t="str"/>
      <x:c r="F211" s="34" t="str"/>
      <x:c r="G211" s="34" t="str"/>
      <x:c r="H211" s="34" t="str"/>
      <x:c r="I211" s="34" t="str"/>
      <x:c r="J211" s="34" t="str"/>
      <x:c r="K211" s="34" t="str"/>
      <x:c r="L211" s="34" t="str"/>
      <x:c r="M211" s="34" t="str"/>
      <x:c r="N211" s="34" t="str"/>
    </x:row>
    <x:row r="212">
      <x:c r="A212" s="34" t="str">
        <x:v>M5-ERR-188</x:v>
      </x:c>
      <x:c r="B212" s="34" t="str"/>
      <x:c r="C212" s="34" t="str"/>
      <x:c r="D212" s="34" t="str"/>
      <x:c r="E212" s="34" t="str"/>
      <x:c r="F212" s="34" t="str"/>
      <x:c r="G212" s="34" t="str"/>
      <x:c r="H212" s="34" t="str"/>
      <x:c r="I212" s="34" t="str"/>
      <x:c r="J212" s="34" t="str"/>
      <x:c r="K212" s="34" t="str"/>
      <x:c r="L212" s="34" t="str"/>
      <x:c r="M212" s="34" t="str"/>
      <x:c r="N212" s="34" t="str"/>
    </x:row>
    <x:row r="213">
      <x:c r="A213" s="34" t="str">
        <x:v>M5-ERR-189</x:v>
      </x:c>
      <x:c r="B213" s="34" t="str"/>
      <x:c r="C213" s="34" t="str"/>
      <x:c r="D213" s="34" t="str"/>
      <x:c r="E213" s="34" t="str"/>
      <x:c r="F213" s="34" t="str"/>
      <x:c r="G213" s="34" t="str"/>
      <x:c r="H213" s="34" t="str"/>
      <x:c r="I213" s="34" t="str"/>
      <x:c r="J213" s="34" t="str"/>
      <x:c r="K213" s="34" t="str"/>
      <x:c r="L213" s="34" t="str"/>
      <x:c r="M213" s="34" t="str"/>
      <x:c r="N213" s="34" t="str"/>
    </x:row>
    <x:row r="214">
      <x:c r="A214" s="34" t="str">
        <x:v>M5-ERR-190</x:v>
      </x:c>
      <x:c r="B214" s="34" t="str"/>
      <x:c r="C214" s="34" t="str"/>
      <x:c r="D214" s="34" t="str"/>
      <x:c r="E214" s="34" t="str"/>
      <x:c r="F214" s="34" t="str"/>
      <x:c r="G214" s="34" t="str"/>
      <x:c r="H214" s="34" t="str"/>
      <x:c r="I214" s="34" t="str"/>
      <x:c r="J214" s="34" t="str"/>
      <x:c r="K214" s="34" t="str"/>
      <x:c r="L214" s="34" t="str"/>
      <x:c r="M214" s="34" t="str"/>
      <x:c r="N214" s="34" t="str"/>
    </x:row>
    <x:row r="215">
      <x:c r="A215" s="34" t="str">
        <x:v>M5-ERR-191</x:v>
      </x:c>
      <x:c r="B215" s="34" t="str"/>
      <x:c r="C215" s="34" t="str"/>
      <x:c r="D215" s="34" t="str"/>
      <x:c r="E215" s="34" t="str"/>
      <x:c r="F215" s="34" t="str"/>
      <x:c r="G215" s="34" t="str"/>
      <x:c r="H215" s="34" t="str"/>
      <x:c r="I215" s="34" t="str"/>
      <x:c r="J215" s="34" t="str"/>
      <x:c r="K215" s="34" t="str"/>
      <x:c r="L215" s="34" t="str"/>
      <x:c r="M215" s="34" t="str"/>
      <x:c r="N215" s="34" t="str"/>
    </x:row>
    <x:row r="216">
      <x:c r="A216" s="34" t="str">
        <x:v>M5-ERR-192</x:v>
      </x:c>
      <x:c r="B216" s="34" t="str"/>
      <x:c r="C216" s="34" t="str"/>
      <x:c r="D216" s="34" t="str"/>
      <x:c r="E216" s="34" t="str"/>
      <x:c r="F216" s="34" t="str"/>
      <x:c r="G216" s="34" t="str"/>
      <x:c r="H216" s="34" t="str"/>
      <x:c r="I216" s="34" t="str"/>
      <x:c r="J216" s="34" t="str"/>
      <x:c r="K216" s="34" t="str"/>
      <x:c r="L216" s="34" t="str"/>
      <x:c r="M216" s="34" t="str"/>
      <x:c r="N216" s="34" t="str"/>
    </x:row>
    <x:row r="217">
      <x:c r="A217" s="34" t="str">
        <x:v>M5-ERR-193</x:v>
      </x:c>
      <x:c r="B217" s="34" t="str"/>
      <x:c r="C217" s="34" t="str"/>
      <x:c r="D217" s="34" t="str"/>
      <x:c r="E217" s="34" t="str"/>
      <x:c r="F217" s="34" t="str"/>
      <x:c r="G217" s="34" t="str"/>
      <x:c r="H217" s="34" t="str"/>
      <x:c r="I217" s="34" t="str"/>
      <x:c r="J217" s="34" t="str"/>
      <x:c r="K217" s="34" t="str"/>
      <x:c r="L217" s="34" t="str"/>
      <x:c r="M217" s="34" t="str"/>
      <x:c r="N217" s="34" t="str"/>
    </x:row>
    <x:row r="218">
      <x:c r="A218" s="34" t="str">
        <x:v>M5-ERR-194</x:v>
      </x:c>
      <x:c r="B218" s="34" t="str"/>
      <x:c r="C218" s="34" t="str"/>
      <x:c r="D218" s="34" t="str"/>
      <x:c r="E218" s="34" t="str"/>
      <x:c r="F218" s="34" t="str"/>
      <x:c r="G218" s="34" t="str"/>
      <x:c r="H218" s="34" t="str"/>
      <x:c r="I218" s="34" t="str"/>
      <x:c r="J218" s="34" t="str"/>
      <x:c r="K218" s="34" t="str"/>
      <x:c r="L218" s="34" t="str"/>
      <x:c r="M218" s="34" t="str"/>
      <x:c r="N218" s="34" t="str"/>
    </x:row>
    <x:row r="219">
      <x:c r="A219" s="34" t="str">
        <x:v>M5-ERR-195</x:v>
      </x:c>
      <x:c r="B219" s="34" t="str"/>
      <x:c r="C219" s="34" t="str"/>
      <x:c r="D219" s="34" t="str"/>
      <x:c r="E219" s="34" t="str"/>
      <x:c r="F219" s="34" t="str"/>
      <x:c r="G219" s="34" t="str"/>
      <x:c r="H219" s="34" t="str"/>
      <x:c r="I219" s="34" t="str"/>
      <x:c r="J219" s="34" t="str"/>
      <x:c r="K219" s="34" t="str"/>
      <x:c r="L219" s="34" t="str"/>
      <x:c r="M219" s="34" t="str"/>
      <x:c r="N219" s="34" t="str"/>
    </x:row>
    <x:row r="220">
      <x:c r="A220" s="34" t="str">
        <x:v>M5-ERR-196</x:v>
      </x:c>
      <x:c r="B220" s="34" t="str"/>
      <x:c r="C220" s="34" t="str"/>
      <x:c r="D220" s="34" t="str"/>
      <x:c r="E220" s="34" t="str"/>
      <x:c r="F220" s="34" t="str"/>
      <x:c r="G220" s="34" t="str"/>
      <x:c r="H220" s="34" t="str"/>
      <x:c r="I220" s="34" t="str"/>
      <x:c r="J220" s="34" t="str"/>
      <x:c r="K220" s="34" t="str"/>
      <x:c r="L220" s="34" t="str"/>
      <x:c r="M220" s="34" t="str"/>
      <x:c r="N220" s="34" t="str"/>
    </x:row>
    <x:row r="221">
      <x:c r="A221" s="34" t="str">
        <x:v>M5-ERR-197</x:v>
      </x:c>
      <x:c r="B221" s="34" t="str"/>
      <x:c r="C221" s="34" t="str"/>
      <x:c r="D221" s="34" t="str"/>
      <x:c r="E221" s="34" t="str"/>
      <x:c r="F221" s="34" t="str"/>
      <x:c r="G221" s="34" t="str"/>
      <x:c r="H221" s="34" t="str"/>
      <x:c r="I221" s="34" t="str"/>
      <x:c r="J221" s="34" t="str"/>
      <x:c r="K221" s="34" t="str"/>
      <x:c r="L221" s="34" t="str"/>
      <x:c r="M221" s="34" t="str"/>
      <x:c r="N221" s="34" t="str"/>
    </x:row>
    <x:row r="222">
      <x:c r="A222" s="34" t="str">
        <x:v>M5-ERR-198</x:v>
      </x:c>
      <x:c r="B222" s="34" t="str"/>
      <x:c r="C222" s="34" t="str"/>
      <x:c r="D222" s="34" t="str"/>
      <x:c r="E222" s="34" t="str"/>
      <x:c r="F222" s="34" t="str"/>
      <x:c r="G222" s="34" t="str"/>
      <x:c r="H222" s="34" t="str"/>
      <x:c r="I222" s="34" t="str"/>
      <x:c r="J222" s="34" t="str"/>
      <x:c r="K222" s="34" t="str"/>
      <x:c r="L222" s="34" t="str"/>
      <x:c r="M222" s="34" t="str"/>
      <x:c r="N222" s="34" t="str"/>
    </x:row>
    <x:row r="223">
      <x:c r="A223" s="34" t="str">
        <x:v>M5-ERR-199</x:v>
      </x:c>
      <x:c r="B223" s="34" t="str"/>
      <x:c r="C223" s="34" t="str"/>
      <x:c r="D223" s="34" t="str"/>
      <x:c r="E223" s="34" t="str"/>
      <x:c r="F223" s="34" t="str"/>
      <x:c r="G223" s="34" t="str"/>
      <x:c r="H223" s="34" t="str"/>
      <x:c r="I223" s="34" t="str"/>
      <x:c r="J223" s="34" t="str"/>
      <x:c r="K223" s="34" t="str"/>
      <x:c r="L223" s="34" t="str"/>
      <x:c r="M223" s="34" t="str"/>
      <x:c r="N223" s="34" t="str"/>
    </x:row>
    <x:row r="224">
      <x:c r="A224" s="34" t="str">
        <x:v>M5-ERR-200</x:v>
      </x:c>
      <x:c r="B224" s="34" t="str"/>
      <x:c r="C224" s="34" t="str"/>
      <x:c r="D224" s="34" t="str"/>
      <x:c r="E224" s="34" t="str"/>
      <x:c r="F224" s="34" t="str"/>
      <x:c r="G224" s="34" t="str"/>
      <x:c r="H224" s="34" t="str"/>
      <x:c r="I224" s="34" t="str"/>
      <x:c r="J224" s="34" t="str"/>
      <x:c r="K224" s="34" t="str"/>
      <x:c r="L224" s="34" t="str"/>
      <x:c r="M224" s="34" t="str"/>
      <x:c r="N224" s="34" t="str"/>
    </x:row>
  </x:sheetData>
  <x:mergeCells>
    <x:mergeCell ref="A1:N2"/>
    <x:mergeCell ref="A3:N3"/>
  </x:mergeCells>
  <x:dataValidations count="4">
    <x:dataValidation type="list" sqref="E25:E224">
      <x:formula1>"EC01,EC02,EC03,EC04,EC05,EC06,EC07,EC08,EC09,EC10,EC11,EC12,EC13,EC14,EC15,EC16"</x:formula1>
    </x:dataValidation>
    <x:dataValidation type="list" sqref="F25:F224">
      <x:formula1>"1,2,3"</x:formula1>
    </x:dataValidation>
    <x:dataValidation type="list" sqref="G25:H224">
      <x:formula1>"是,否,不适用"</x:formula1>
    </x:dataValidation>
    <x:dataValidation type="list" sqref="M25:M224">
      <x:formula1>"待处理,处理中,已解决,不处理"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d1581cd8c404814"/>
    <x:tablePart xmlns:r="http://schemas.openxmlformats.org/officeDocument/2006/relationships" r:id="R5014cdbf0c38402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2" hidden="0" customWidth="1"/>
    <x:col min="5" max="5" width="58" hidden="0" customWidth="1"/>
    <x:col min="6" max="6" width="14" hidden="0" customWidth="1"/>
    <x:col min="7" max="7" width="42" hidden="0" customWidth="1"/>
    <x:col min="8" max="8" width="58" hidden="0" customWidth="1"/>
    <x:col min="9" max="9" width="16" hidden="0" customWidth="1"/>
    <x:col min="10" max="10" width="14" hidden="0" customWidth="1"/>
    <x:col min="11" max="11" width="16" hidden="0" customWidth="1"/>
    <x:col min="12" max="12" width="16" hidden="0" customWidth="1"/>
    <x:col min="13" max="13" width="40" hidden="0" customWidth="1"/>
  </x:cols>
  <x:sheetData>
    <x:row r="1">
      <x:c r="A1" s="45" t="str">
        <x:v>用户语言校准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3">
      <x:c r="A3" s="50" t="str">
        <x:v>修正过度肯定、模糊、人格式定、决定论和缺乏行动性。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5">
      <x:c r="A5" s="55" t="str">
        <x:v>代码</x:v>
      </x:c>
      <x:c r="B5" s="55" t="str">
        <x:v>语言问题</x:v>
      </x:c>
    </x:row>
    <x:row r="6">
      <x:c r="A6" s="34" t="str">
        <x:v>L01</x:v>
      </x:c>
      <x:c r="B6" s="34" t="str">
        <x:v>过度肯定</x:v>
      </x:c>
    </x:row>
    <x:row r="7">
      <x:c r="A7" s="34" t="str">
        <x:v>L02</x:v>
      </x:c>
      <x:c r="B7" s="34" t="str">
        <x:v>表述模糊</x:v>
      </x:c>
    </x:row>
    <x:row r="8">
      <x:c r="A8" s="34" t="str">
        <x:v>L03</x:v>
      </x:c>
      <x:c r="B8" s="34" t="str">
        <x:v>术语过多</x:v>
      </x:c>
    </x:row>
    <x:row r="9">
      <x:c r="A9" s="34" t="str">
        <x:v>L04</x:v>
      </x:c>
      <x:c r="B9" s="34" t="str">
        <x:v>把结构写成人格</x:v>
      </x:c>
    </x:row>
    <x:row r="10">
      <x:c r="A10" s="34" t="str">
        <x:v>L05</x:v>
      </x:c>
      <x:c r="B10" s="34" t="str">
        <x:v>命定化／决定论</x:v>
      </x:c>
    </x:row>
    <x:row r="11">
      <x:c r="A11" s="34" t="str">
        <x:v>L06</x:v>
      </x:c>
      <x:c r="B11" s="34" t="str">
        <x:v>指责或羞辱</x:v>
      </x:c>
    </x:row>
    <x:row r="12">
      <x:c r="A12" s="34" t="str">
        <x:v>L07</x:v>
      </x:c>
      <x:c r="B12" s="34" t="str">
        <x:v>安全事件平均责任</x:v>
      </x:c>
    </x:row>
    <x:row r="13">
      <x:c r="A13" s="34" t="str">
        <x:v>L08</x:v>
      </x:c>
      <x:c r="B13" s="34" t="str">
        <x:v>缺少证据边界</x:v>
      </x:c>
    </x:row>
    <x:row r="14">
      <x:c r="A14" s="34" t="str">
        <x:v>L09</x:v>
      </x:c>
      <x:c r="B14" s="34" t="str">
        <x:v>没有可执行观察</x:v>
      </x:c>
    </x:row>
    <x:row r="15">
      <x:c r="A15" s="34" t="str">
        <x:v>L10</x:v>
      </x:c>
      <x:c r="B15" s="34" t="str">
        <x:v>信息密度过高</x:v>
      </x:c>
    </x:row>
    <x:row r="18">
      <x:c r="A18" s="55" t="str">
        <x:v>phrase_id</x:v>
      </x:c>
      <x:c r="B18" s="55" t="str">
        <x:v>case_id</x:v>
      </x:c>
      <x:c r="C18" s="55" t="str">
        <x:v>模块</x:v>
      </x:c>
      <x:c r="D18" s="55" t="str">
        <x:v>rule_id</x:v>
      </x:c>
      <x:c r="E18" s="55" t="str">
        <x:v>原始文本</x:v>
      </x:c>
      <x:c r="F18" s="55" t="str">
        <x:v>问题代码</x:v>
      </x:c>
      <x:c r="G18" s="55" t="str">
        <x:v>用户反馈</x:v>
      </x:c>
      <x:c r="H18" s="55" t="str">
        <x:v>修订文本</x:v>
      </x:c>
      <x:c r="I18" s="55" t="str">
        <x:v>已加证据边界</x:v>
      </x:c>
      <x:c r="J18" s="55" t="str">
        <x:v>已加行动性</x:v>
      </x:c>
      <x:c r="K18" s="55" t="str">
        <x:v>复核者</x:v>
      </x:c>
      <x:c r="L18" s="55" t="str">
        <x:v>状态</x:v>
      </x:c>
      <x:c r="M18" s="55" t="str">
        <x:v>备注</x:v>
      </x:c>
    </x:row>
    <x:row r="19">
      <x:c r="A19" s="34" t="str">
        <x:v>M5-LANG-001</x:v>
      </x:c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4" t="str"/>
      <x:c r="L19" s="34" t="str"/>
      <x:c r="M19" s="34" t="str"/>
    </x:row>
    <x:row r="20">
      <x:c r="A20" s="34" t="str">
        <x:v>M5-LANG-002</x:v>
      </x:c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4" t="str"/>
      <x:c r="L20" s="34" t="str"/>
      <x:c r="M20" s="34" t="str"/>
    </x:row>
    <x:row r="21">
      <x:c r="A21" s="34" t="str">
        <x:v>M5-LANG-003</x:v>
      </x:c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4" t="str"/>
      <x:c r="L21" s="34" t="str"/>
      <x:c r="M21" s="34" t="str"/>
    </x:row>
    <x:row r="22">
      <x:c r="A22" s="34" t="str">
        <x:v>M5-LANG-004</x:v>
      </x:c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4" t="str"/>
      <x:c r="L22" s="34" t="str"/>
      <x:c r="M22" s="34" t="str"/>
    </x:row>
    <x:row r="23">
      <x:c r="A23" s="34" t="str">
        <x:v>M5-LANG-005</x:v>
      </x:c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/>
    </x:row>
    <x:row r="24">
      <x:c r="A24" s="34" t="str">
        <x:v>M5-LANG-006</x:v>
      </x:c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4" t="str"/>
      <x:c r="L24" s="34" t="str"/>
      <x:c r="M24" s="34" t="str"/>
    </x:row>
    <x:row r="25">
      <x:c r="A25" s="34" t="str">
        <x:v>M5-LANG-007</x:v>
      </x:c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4" t="str"/>
      <x:c r="L25" s="34" t="str"/>
      <x:c r="M25" s="34" t="str"/>
    </x:row>
    <x:row r="26">
      <x:c r="A26" s="34" t="str">
        <x:v>M5-LANG-008</x:v>
      </x:c>
      <x:c r="B26" s="34" t="str"/>
      <x:c r="C26" s="34" t="str"/>
      <x:c r="D26" s="34" t="str"/>
      <x:c r="E26" s="34" t="str"/>
      <x:c r="F26" s="34" t="str"/>
      <x:c r="G26" s="34" t="str"/>
      <x:c r="H26" s="34" t="str"/>
      <x:c r="I26" s="34" t="str"/>
      <x:c r="J26" s="34" t="str"/>
      <x:c r="K26" s="34" t="str"/>
      <x:c r="L26" s="34" t="str"/>
      <x:c r="M26" s="34" t="str"/>
    </x:row>
    <x:row r="27">
      <x:c r="A27" s="34" t="str">
        <x:v>M5-LANG-009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34" t="str"/>
      <x:c r="J27" s="34" t="str"/>
      <x:c r="K27" s="34" t="str"/>
      <x:c r="L27" s="34" t="str"/>
      <x:c r="M27" s="34" t="str"/>
    </x:row>
    <x:row r="28">
      <x:c r="A28" s="34" t="str">
        <x:v>M5-LANG-010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34" t="str"/>
      <x:c r="J28" s="34" t="str"/>
      <x:c r="K28" s="34" t="str"/>
      <x:c r="L28" s="34" t="str"/>
      <x:c r="M28" s="34" t="str"/>
    </x:row>
    <x:row r="29">
      <x:c r="A29" s="34" t="str">
        <x:v>M5-LANG-011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/>
    </x:row>
    <x:row r="30">
      <x:c r="A30" s="34" t="str">
        <x:v>M5-LANG-012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/>
    </x:row>
    <x:row r="31">
      <x:c r="A31" s="34" t="str">
        <x:v>M5-LANG-013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4" t="str"/>
      <x:c r="J31" s="34" t="str"/>
      <x:c r="K31" s="34" t="str"/>
      <x:c r="L31" s="34" t="str"/>
      <x:c r="M31" s="34" t="str"/>
    </x:row>
    <x:row r="32">
      <x:c r="A32" s="34" t="str">
        <x:v>M5-LANG-014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/>
    </x:row>
    <x:row r="33">
      <x:c r="A33" s="34" t="str">
        <x:v>M5-LANG-015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/>
    </x:row>
    <x:row r="34">
      <x:c r="A34" s="34" t="str">
        <x:v>M5-LANG-016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/>
    </x:row>
    <x:row r="35">
      <x:c r="A35" s="34" t="str">
        <x:v>M5-LANG-017</x:v>
      </x:c>
      <x:c r="B35" s="34" t="str"/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/>
    </x:row>
    <x:row r="36">
      <x:c r="A36" s="34" t="str">
        <x:v>M5-LANG-018</x:v>
      </x:c>
      <x:c r="B36" s="34" t="str"/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/>
    </x:row>
    <x:row r="37">
      <x:c r="A37" s="34" t="str">
        <x:v>M5-LANG-019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/>
    </x:row>
    <x:row r="38">
      <x:c r="A38" s="34" t="str">
        <x:v>M5-LANG-020</x:v>
      </x:c>
      <x:c r="B38" s="34" t="str"/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/>
    </x:row>
    <x:row r="39">
      <x:c r="A39" s="34" t="str">
        <x:v>M5-LANG-021</x:v>
      </x:c>
      <x:c r="B39" s="34" t="str"/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/>
    </x:row>
    <x:row r="40">
      <x:c r="A40" s="34" t="str">
        <x:v>M5-LANG-022</x:v>
      </x:c>
      <x:c r="B40" s="34" t="str"/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/>
    </x:row>
    <x:row r="41">
      <x:c r="A41" s="34" t="str">
        <x:v>M5-LANG-023</x:v>
      </x:c>
      <x:c r="B41" s="34" t="str"/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/>
    </x:row>
    <x:row r="42">
      <x:c r="A42" s="34" t="str">
        <x:v>M5-LANG-024</x:v>
      </x:c>
      <x:c r="B42" s="34" t="str"/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/>
    </x:row>
    <x:row r="43">
      <x:c r="A43" s="34" t="str">
        <x:v>M5-LANG-025</x:v>
      </x:c>
      <x:c r="B43" s="34" t="str"/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/>
    </x:row>
    <x:row r="44">
      <x:c r="A44" s="34" t="str">
        <x:v>M5-LANG-026</x:v>
      </x:c>
      <x:c r="B44" s="34" t="str"/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/>
    </x:row>
    <x:row r="45">
      <x:c r="A45" s="34" t="str">
        <x:v>M5-LANG-027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/>
    </x:row>
    <x:row r="46">
      <x:c r="A46" s="34" t="str">
        <x:v>M5-LANG-028</x:v>
      </x:c>
      <x:c r="B46" s="34" t="str"/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/>
    </x:row>
    <x:row r="47">
      <x:c r="A47" s="34" t="str">
        <x:v>M5-LANG-029</x:v>
      </x:c>
      <x:c r="B47" s="34" t="str"/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/>
    </x:row>
    <x:row r="48">
      <x:c r="A48" s="34" t="str">
        <x:v>M5-LANG-030</x:v>
      </x:c>
      <x:c r="B48" s="34" t="str"/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/>
    </x:row>
    <x:row r="49">
      <x:c r="A49" s="34" t="str">
        <x:v>M5-LANG-031</x:v>
      </x:c>
      <x:c r="B49" s="34" t="str"/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/>
    </x:row>
    <x:row r="50">
      <x:c r="A50" s="34" t="str">
        <x:v>M5-LANG-032</x:v>
      </x:c>
      <x:c r="B50" s="34" t="str"/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/>
    </x:row>
    <x:row r="51">
      <x:c r="A51" s="34" t="str">
        <x:v>M5-LANG-033</x:v>
      </x:c>
      <x:c r="B51" s="34" t="str"/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/>
    </x:row>
    <x:row r="52">
      <x:c r="A52" s="34" t="str">
        <x:v>M5-LANG-034</x:v>
      </x:c>
      <x:c r="B52" s="34" t="str"/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/>
    </x:row>
    <x:row r="53">
      <x:c r="A53" s="34" t="str">
        <x:v>M5-LANG-035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/>
    </x:row>
    <x:row r="54">
      <x:c r="A54" s="34" t="str">
        <x:v>M5-LANG-036</x:v>
      </x:c>
      <x:c r="B54" s="34" t="str"/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/>
    </x:row>
    <x:row r="55">
      <x:c r="A55" s="34" t="str">
        <x:v>M5-LANG-037</x:v>
      </x:c>
      <x:c r="B55" s="34" t="str"/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/>
    </x:row>
    <x:row r="56">
      <x:c r="A56" s="34" t="str">
        <x:v>M5-LANG-038</x:v>
      </x:c>
      <x:c r="B56" s="34" t="str"/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/>
    </x:row>
    <x:row r="57">
      <x:c r="A57" s="34" t="str">
        <x:v>M5-LANG-039</x:v>
      </x:c>
      <x:c r="B57" s="34" t="str"/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/>
      <x:c r="K57" s="34" t="str"/>
      <x:c r="L57" s="34" t="str"/>
      <x:c r="M57" s="34" t="str"/>
    </x:row>
    <x:row r="58">
      <x:c r="A58" s="34" t="str">
        <x:v>M5-LANG-040</x:v>
      </x:c>
      <x:c r="B58" s="34" t="str"/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/>
    </x:row>
    <x:row r="59">
      <x:c r="A59" s="34" t="str">
        <x:v>M5-LANG-041</x:v>
      </x:c>
      <x:c r="B59" s="34" t="str"/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/>
    </x:row>
    <x:row r="60">
      <x:c r="A60" s="34" t="str">
        <x:v>M5-LANG-042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/>
    </x:row>
    <x:row r="61">
      <x:c r="A61" s="34" t="str">
        <x:v>M5-LANG-043</x:v>
      </x:c>
      <x:c r="B61" s="34" t="str"/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/>
    </x:row>
    <x:row r="62">
      <x:c r="A62" s="34" t="str">
        <x:v>M5-LANG-044</x:v>
      </x:c>
      <x:c r="B62" s="34" t="str"/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/>
    </x:row>
    <x:row r="63">
      <x:c r="A63" s="34" t="str">
        <x:v>M5-LANG-045</x:v>
      </x:c>
      <x:c r="B63" s="34" t="str"/>
      <x:c r="C63" s="34" t="str"/>
      <x:c r="D63" s="34" t="str"/>
      <x:c r="E63" s="34" t="str"/>
      <x:c r="F63" s="34" t="str"/>
      <x:c r="G63" s="34" t="str"/>
      <x:c r="H63" s="34" t="str"/>
      <x:c r="I63" s="34" t="str"/>
      <x:c r="J63" s="34" t="str"/>
      <x:c r="K63" s="34" t="str"/>
      <x:c r="L63" s="34" t="str"/>
      <x:c r="M63" s="34" t="str"/>
    </x:row>
    <x:row r="64">
      <x:c r="A64" s="34" t="str">
        <x:v>M5-LANG-046</x:v>
      </x:c>
      <x:c r="B64" s="34" t="str"/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/>
    </x:row>
    <x:row r="65">
      <x:c r="A65" s="34" t="str">
        <x:v>M5-LANG-047</x:v>
      </x:c>
      <x:c r="B65" s="34" t="str"/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/>
    </x:row>
    <x:row r="66">
      <x:c r="A66" s="34" t="str">
        <x:v>M5-LANG-048</x:v>
      </x:c>
      <x:c r="B66" s="34" t="str"/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/>
    </x:row>
    <x:row r="67">
      <x:c r="A67" s="34" t="str">
        <x:v>M5-LANG-049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/>
    </x:row>
    <x:row r="68">
      <x:c r="A68" s="34" t="str">
        <x:v>M5-LANG-050</x:v>
      </x:c>
      <x:c r="B68" s="34" t="str"/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/>
    </x:row>
    <x:row r="69">
      <x:c r="A69" s="34" t="str">
        <x:v>M5-LANG-051</x:v>
      </x:c>
      <x:c r="B69" s="34" t="str"/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/>
    </x:row>
    <x:row r="70">
      <x:c r="A70" s="34" t="str">
        <x:v>M5-LANG-052</x:v>
      </x:c>
      <x:c r="B70" s="34" t="str"/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/>
    </x:row>
    <x:row r="71">
      <x:c r="A71" s="34" t="str">
        <x:v>M5-LANG-053</x:v>
      </x:c>
      <x:c r="B71" s="34" t="str"/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/>
    </x:row>
    <x:row r="72">
      <x:c r="A72" s="34" t="str">
        <x:v>M5-LANG-054</x:v>
      </x:c>
      <x:c r="B72" s="34" t="str"/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/>
    </x:row>
    <x:row r="73">
      <x:c r="A73" s="34" t="str">
        <x:v>M5-LANG-055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/>
    </x:row>
    <x:row r="74">
      <x:c r="A74" s="34" t="str">
        <x:v>M5-LANG-056</x:v>
      </x:c>
      <x:c r="B74" s="34" t="str"/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/>
    </x:row>
    <x:row r="75">
      <x:c r="A75" s="34" t="str">
        <x:v>M5-LANG-057</x:v>
      </x:c>
      <x:c r="B75" s="34" t="str"/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/>
    </x:row>
    <x:row r="76">
      <x:c r="A76" s="34" t="str">
        <x:v>M5-LANG-058</x:v>
      </x:c>
      <x:c r="B76" s="34" t="str"/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/>
    </x:row>
    <x:row r="77">
      <x:c r="A77" s="34" t="str">
        <x:v>M5-LANG-059</x:v>
      </x:c>
      <x:c r="B77" s="34" t="str"/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/>
    </x:row>
    <x:row r="78">
      <x:c r="A78" s="34" t="str">
        <x:v>M5-LANG-060</x:v>
      </x:c>
      <x:c r="B78" s="34" t="str"/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/>
    </x:row>
    <x:row r="79">
      <x:c r="A79" s="34" t="str">
        <x:v>M5-LANG-061</x:v>
      </x:c>
      <x:c r="B79" s="34" t="str"/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/>
    </x:row>
    <x:row r="80">
      <x:c r="A80" s="34" t="str">
        <x:v>M5-LANG-062</x:v>
      </x:c>
      <x:c r="B80" s="34" t="str"/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/>
    </x:row>
    <x:row r="81">
      <x:c r="A81" s="34" t="str">
        <x:v>M5-LANG-063</x:v>
      </x:c>
      <x:c r="B81" s="34" t="str"/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/>
    </x:row>
    <x:row r="82">
      <x:c r="A82" s="34" t="str">
        <x:v>M5-LANG-064</x:v>
      </x:c>
      <x:c r="B82" s="34" t="str"/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/>
      <x:c r="K82" s="34" t="str"/>
      <x:c r="L82" s="34" t="str"/>
      <x:c r="M82" s="34" t="str"/>
    </x:row>
    <x:row r="83">
      <x:c r="A83" s="34" t="str">
        <x:v>M5-LANG-065</x:v>
      </x:c>
      <x:c r="B83" s="34" t="str"/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/>
      <x:c r="L83" s="34" t="str"/>
      <x:c r="M83" s="34" t="str"/>
    </x:row>
    <x:row r="84">
      <x:c r="A84" s="34" t="str">
        <x:v>M5-LANG-066</x:v>
      </x:c>
      <x:c r="B84" s="34" t="str"/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/>
      <x:c r="K84" s="34" t="str"/>
      <x:c r="L84" s="34" t="str"/>
      <x:c r="M84" s="34" t="str"/>
    </x:row>
    <x:row r="85">
      <x:c r="A85" s="34" t="str">
        <x:v>M5-LANG-067</x:v>
      </x:c>
      <x:c r="B85" s="34" t="str"/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/>
      <x:c r="K85" s="34" t="str"/>
      <x:c r="L85" s="34" t="str"/>
      <x:c r="M85" s="34" t="str"/>
    </x:row>
    <x:row r="86">
      <x:c r="A86" s="34" t="str">
        <x:v>M5-LANG-068</x:v>
      </x:c>
      <x:c r="B86" s="34" t="str"/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  <x:c r="M86" s="34" t="str"/>
    </x:row>
    <x:row r="87">
      <x:c r="A87" s="34" t="str">
        <x:v>M5-LANG-069</x:v>
      </x:c>
      <x:c r="B87" s="34" t="str"/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/>
      <x:c r="K87" s="34" t="str"/>
      <x:c r="L87" s="34" t="str"/>
      <x:c r="M87" s="34" t="str"/>
    </x:row>
    <x:row r="88">
      <x:c r="A88" s="34" t="str">
        <x:v>M5-LANG-070</x:v>
      </x:c>
      <x:c r="B88" s="34" t="str"/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  <x:c r="M88" s="34" t="str"/>
    </x:row>
    <x:row r="89">
      <x:c r="A89" s="34" t="str">
        <x:v>M5-LANG-071</x:v>
      </x:c>
      <x:c r="B89" s="34" t="str"/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/>
      <x:c r="K89" s="34" t="str"/>
      <x:c r="L89" s="34" t="str"/>
      <x:c r="M89" s="34" t="str"/>
    </x:row>
    <x:row r="90">
      <x:c r="A90" s="34" t="str">
        <x:v>M5-LANG-072</x:v>
      </x:c>
      <x:c r="B90" s="34" t="str"/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/>
      <x:c r="K90" s="34" t="str"/>
      <x:c r="L90" s="34" t="str"/>
      <x:c r="M90" s="34" t="str"/>
    </x:row>
    <x:row r="91">
      <x:c r="A91" s="34" t="str">
        <x:v>M5-LANG-073</x:v>
      </x:c>
      <x:c r="B91" s="34" t="str"/>
      <x:c r="C91" s="34" t="str"/>
      <x:c r="D91" s="34" t="str"/>
      <x:c r="E91" s="34" t="str"/>
      <x:c r="F91" s="34" t="str"/>
      <x:c r="G91" s="34" t="str"/>
      <x:c r="H91" s="34" t="str"/>
      <x:c r="I91" s="34" t="str"/>
      <x:c r="J91" s="34" t="str"/>
      <x:c r="K91" s="34" t="str"/>
      <x:c r="L91" s="34" t="str"/>
      <x:c r="M91" s="34" t="str"/>
    </x:row>
    <x:row r="92">
      <x:c r="A92" s="34" t="str">
        <x:v>M5-LANG-074</x:v>
      </x:c>
      <x:c r="B92" s="34" t="str"/>
      <x:c r="C92" s="34" t="str"/>
      <x:c r="D92" s="34" t="str"/>
      <x:c r="E92" s="34" t="str"/>
      <x:c r="F92" s="34" t="str"/>
      <x:c r="G92" s="34" t="str"/>
      <x:c r="H92" s="34" t="str"/>
      <x:c r="I92" s="34" t="str"/>
      <x:c r="J92" s="34" t="str"/>
      <x:c r="K92" s="34" t="str"/>
      <x:c r="L92" s="34" t="str"/>
      <x:c r="M92" s="34" t="str"/>
    </x:row>
    <x:row r="93">
      <x:c r="A93" s="34" t="str">
        <x:v>M5-LANG-075</x:v>
      </x:c>
      <x:c r="B93" s="34" t="str"/>
      <x:c r="C93" s="34" t="str"/>
      <x:c r="D93" s="34" t="str"/>
      <x:c r="E93" s="34" t="str"/>
      <x:c r="F93" s="34" t="str"/>
      <x:c r="G93" s="34" t="str"/>
      <x:c r="H93" s="34" t="str"/>
      <x:c r="I93" s="34" t="str"/>
      <x:c r="J93" s="34" t="str"/>
      <x:c r="K93" s="34" t="str"/>
      <x:c r="L93" s="34" t="str"/>
      <x:c r="M93" s="34" t="str"/>
    </x:row>
    <x:row r="94">
      <x:c r="A94" s="34" t="str">
        <x:v>M5-LANG-076</x:v>
      </x:c>
      <x:c r="B94" s="34" t="str"/>
      <x:c r="C94" s="34" t="str"/>
      <x:c r="D94" s="34" t="str"/>
      <x:c r="E94" s="34" t="str"/>
      <x:c r="F94" s="34" t="str"/>
      <x:c r="G94" s="34" t="str"/>
      <x:c r="H94" s="34" t="str"/>
      <x:c r="I94" s="34" t="str"/>
      <x:c r="J94" s="34" t="str"/>
      <x:c r="K94" s="34" t="str"/>
      <x:c r="L94" s="34" t="str"/>
      <x:c r="M94" s="34" t="str"/>
    </x:row>
    <x:row r="95">
      <x:c r="A95" s="34" t="str">
        <x:v>M5-LANG-077</x:v>
      </x:c>
      <x:c r="B95" s="34" t="str"/>
      <x:c r="C95" s="34" t="str"/>
      <x:c r="D95" s="34" t="str"/>
      <x:c r="E95" s="34" t="str"/>
      <x:c r="F95" s="34" t="str"/>
      <x:c r="G95" s="34" t="str"/>
      <x:c r="H95" s="34" t="str"/>
      <x:c r="I95" s="34" t="str"/>
      <x:c r="J95" s="34" t="str"/>
      <x:c r="K95" s="34" t="str"/>
      <x:c r="L95" s="34" t="str"/>
      <x:c r="M95" s="34" t="str"/>
    </x:row>
    <x:row r="96">
      <x:c r="A96" s="34" t="str">
        <x:v>M5-LANG-078</x:v>
      </x:c>
      <x:c r="B96" s="34" t="str"/>
      <x:c r="C96" s="34" t="str"/>
      <x:c r="D96" s="34" t="str"/>
      <x:c r="E96" s="34" t="str"/>
      <x:c r="F96" s="34" t="str"/>
      <x:c r="G96" s="34" t="str"/>
      <x:c r="H96" s="34" t="str"/>
      <x:c r="I96" s="34" t="str"/>
      <x:c r="J96" s="34" t="str"/>
      <x:c r="K96" s="34" t="str"/>
      <x:c r="L96" s="34" t="str"/>
      <x:c r="M96" s="34" t="str"/>
    </x:row>
    <x:row r="97">
      <x:c r="A97" s="34" t="str">
        <x:v>M5-LANG-079</x:v>
      </x:c>
      <x:c r="B97" s="34" t="str"/>
      <x:c r="C97" s="34" t="str"/>
      <x:c r="D97" s="34" t="str"/>
      <x:c r="E97" s="34" t="str"/>
      <x:c r="F97" s="34" t="str"/>
      <x:c r="G97" s="34" t="str"/>
      <x:c r="H97" s="34" t="str"/>
      <x:c r="I97" s="34" t="str"/>
      <x:c r="J97" s="34" t="str"/>
      <x:c r="K97" s="34" t="str"/>
      <x:c r="L97" s="34" t="str"/>
      <x:c r="M97" s="34" t="str"/>
    </x:row>
    <x:row r="98">
      <x:c r="A98" s="34" t="str">
        <x:v>M5-LANG-080</x:v>
      </x:c>
      <x:c r="B98" s="34" t="str"/>
      <x:c r="C98" s="34" t="str"/>
      <x:c r="D98" s="34" t="str"/>
      <x:c r="E98" s="34" t="str"/>
      <x:c r="F98" s="34" t="str"/>
      <x:c r="G98" s="34" t="str"/>
      <x:c r="H98" s="34" t="str"/>
      <x:c r="I98" s="34" t="str"/>
      <x:c r="J98" s="34" t="str"/>
      <x:c r="K98" s="34" t="str"/>
      <x:c r="L98" s="34" t="str"/>
      <x:c r="M98" s="34" t="str"/>
    </x:row>
    <x:row r="99">
      <x:c r="A99" s="34" t="str">
        <x:v>M5-LANG-081</x:v>
      </x:c>
      <x:c r="B99" s="34" t="str"/>
      <x:c r="C99" s="34" t="str"/>
      <x:c r="D99" s="34" t="str"/>
      <x:c r="E99" s="34" t="str"/>
      <x:c r="F99" s="34" t="str"/>
      <x:c r="G99" s="34" t="str"/>
      <x:c r="H99" s="34" t="str"/>
      <x:c r="I99" s="34" t="str"/>
      <x:c r="J99" s="34" t="str"/>
      <x:c r="K99" s="34" t="str"/>
      <x:c r="L99" s="34" t="str"/>
      <x:c r="M99" s="34" t="str"/>
    </x:row>
    <x:row r="100">
      <x:c r="A100" s="34" t="str">
        <x:v>M5-LANG-082</x:v>
      </x:c>
      <x:c r="B100" s="34" t="str"/>
      <x:c r="C100" s="34" t="str"/>
      <x:c r="D100" s="34" t="str"/>
      <x:c r="E100" s="34" t="str"/>
      <x:c r="F100" s="34" t="str"/>
      <x:c r="G100" s="34" t="str"/>
      <x:c r="H100" s="34" t="str"/>
      <x:c r="I100" s="34" t="str"/>
      <x:c r="J100" s="34" t="str"/>
      <x:c r="K100" s="34" t="str"/>
      <x:c r="L100" s="34" t="str"/>
      <x:c r="M100" s="34" t="str"/>
    </x:row>
    <x:row r="101">
      <x:c r="A101" s="34" t="str">
        <x:v>M5-LANG-083</x:v>
      </x:c>
      <x:c r="B101" s="34" t="str"/>
      <x:c r="C101" s="34" t="str"/>
      <x:c r="D101" s="34" t="str"/>
      <x:c r="E101" s="34" t="str"/>
      <x:c r="F101" s="34" t="str"/>
      <x:c r="G101" s="34" t="str"/>
      <x:c r="H101" s="34" t="str"/>
      <x:c r="I101" s="34" t="str"/>
      <x:c r="J101" s="34" t="str"/>
      <x:c r="K101" s="34" t="str"/>
      <x:c r="L101" s="34" t="str"/>
      <x:c r="M101" s="34" t="str"/>
    </x:row>
    <x:row r="102">
      <x:c r="A102" s="34" t="str">
        <x:v>M5-LANG-084</x:v>
      </x:c>
      <x:c r="B102" s="34" t="str"/>
      <x:c r="C102" s="34" t="str"/>
      <x:c r="D102" s="34" t="str"/>
      <x:c r="E102" s="34" t="str"/>
      <x:c r="F102" s="34" t="str"/>
      <x:c r="G102" s="34" t="str"/>
      <x:c r="H102" s="34" t="str"/>
      <x:c r="I102" s="34" t="str"/>
      <x:c r="J102" s="34" t="str"/>
      <x:c r="K102" s="34" t="str"/>
      <x:c r="L102" s="34" t="str"/>
      <x:c r="M102" s="34" t="str"/>
    </x:row>
    <x:row r="103">
      <x:c r="A103" s="34" t="str">
        <x:v>M5-LANG-085</x:v>
      </x:c>
      <x:c r="B103" s="34" t="str"/>
      <x:c r="C103" s="34" t="str"/>
      <x:c r="D103" s="34" t="str"/>
      <x:c r="E103" s="34" t="str"/>
      <x:c r="F103" s="34" t="str"/>
      <x:c r="G103" s="34" t="str"/>
      <x:c r="H103" s="34" t="str"/>
      <x:c r="I103" s="34" t="str"/>
      <x:c r="J103" s="34" t="str"/>
      <x:c r="K103" s="34" t="str"/>
      <x:c r="L103" s="34" t="str"/>
      <x:c r="M103" s="34" t="str"/>
    </x:row>
    <x:row r="104">
      <x:c r="A104" s="34" t="str">
        <x:v>M5-LANG-086</x:v>
      </x:c>
      <x:c r="B104" s="34" t="str"/>
      <x:c r="C104" s="34" t="str"/>
      <x:c r="D104" s="34" t="str"/>
      <x:c r="E104" s="34" t="str"/>
      <x:c r="F104" s="34" t="str"/>
      <x:c r="G104" s="34" t="str"/>
      <x:c r="H104" s="34" t="str"/>
      <x:c r="I104" s="34" t="str"/>
      <x:c r="J104" s="34" t="str"/>
      <x:c r="K104" s="34" t="str"/>
      <x:c r="L104" s="34" t="str"/>
      <x:c r="M104" s="34" t="str"/>
    </x:row>
    <x:row r="105">
      <x:c r="A105" s="34" t="str">
        <x:v>M5-LANG-087</x:v>
      </x:c>
      <x:c r="B105" s="34" t="str"/>
      <x:c r="C105" s="34" t="str"/>
      <x:c r="D105" s="34" t="str"/>
      <x:c r="E105" s="34" t="str"/>
      <x:c r="F105" s="34" t="str"/>
      <x:c r="G105" s="34" t="str"/>
      <x:c r="H105" s="34" t="str"/>
      <x:c r="I105" s="34" t="str"/>
      <x:c r="J105" s="34" t="str"/>
      <x:c r="K105" s="34" t="str"/>
      <x:c r="L105" s="34" t="str"/>
      <x:c r="M105" s="34" t="str"/>
    </x:row>
    <x:row r="106">
      <x:c r="A106" s="34" t="str">
        <x:v>M5-LANG-088</x:v>
      </x:c>
      <x:c r="B106" s="34" t="str"/>
      <x:c r="C106" s="34" t="str"/>
      <x:c r="D106" s="34" t="str"/>
      <x:c r="E106" s="34" t="str"/>
      <x:c r="F106" s="34" t="str"/>
      <x:c r="G106" s="34" t="str"/>
      <x:c r="H106" s="34" t="str"/>
      <x:c r="I106" s="34" t="str"/>
      <x:c r="J106" s="34" t="str"/>
      <x:c r="K106" s="34" t="str"/>
      <x:c r="L106" s="34" t="str"/>
      <x:c r="M106" s="34" t="str"/>
    </x:row>
    <x:row r="107">
      <x:c r="A107" s="34" t="str">
        <x:v>M5-LANG-089</x:v>
      </x:c>
      <x:c r="B107" s="34" t="str"/>
      <x:c r="C107" s="34" t="str"/>
      <x:c r="D107" s="34" t="str"/>
      <x:c r="E107" s="34" t="str"/>
      <x:c r="F107" s="34" t="str"/>
      <x:c r="G107" s="34" t="str"/>
      <x:c r="H107" s="34" t="str"/>
      <x:c r="I107" s="34" t="str"/>
      <x:c r="J107" s="34" t="str"/>
      <x:c r="K107" s="34" t="str"/>
      <x:c r="L107" s="34" t="str"/>
      <x:c r="M107" s="34" t="str"/>
    </x:row>
    <x:row r="108">
      <x:c r="A108" s="34" t="str">
        <x:v>M5-LANG-090</x:v>
      </x:c>
      <x:c r="B108" s="34" t="str"/>
      <x:c r="C108" s="34" t="str"/>
      <x:c r="D108" s="34" t="str"/>
      <x:c r="E108" s="34" t="str"/>
      <x:c r="F108" s="34" t="str"/>
      <x:c r="G108" s="34" t="str"/>
      <x:c r="H108" s="34" t="str"/>
      <x:c r="I108" s="34" t="str"/>
      <x:c r="J108" s="34" t="str"/>
      <x:c r="K108" s="34" t="str"/>
      <x:c r="L108" s="34" t="str"/>
      <x:c r="M108" s="34" t="str"/>
    </x:row>
    <x:row r="109">
      <x:c r="A109" s="34" t="str">
        <x:v>M5-LANG-091</x:v>
      </x:c>
      <x:c r="B109" s="34" t="str"/>
      <x:c r="C109" s="34" t="str"/>
      <x:c r="D109" s="34" t="str"/>
      <x:c r="E109" s="34" t="str"/>
      <x:c r="F109" s="34" t="str"/>
      <x:c r="G109" s="34" t="str"/>
      <x:c r="H109" s="34" t="str"/>
      <x:c r="I109" s="34" t="str"/>
      <x:c r="J109" s="34" t="str"/>
      <x:c r="K109" s="34" t="str"/>
      <x:c r="L109" s="34" t="str"/>
      <x:c r="M109" s="34" t="str"/>
    </x:row>
    <x:row r="110">
      <x:c r="A110" s="34" t="str">
        <x:v>M5-LANG-092</x:v>
      </x:c>
      <x:c r="B110" s="34" t="str"/>
      <x:c r="C110" s="34" t="str"/>
      <x:c r="D110" s="34" t="str"/>
      <x:c r="E110" s="34" t="str"/>
      <x:c r="F110" s="34" t="str"/>
      <x:c r="G110" s="34" t="str"/>
      <x:c r="H110" s="34" t="str"/>
      <x:c r="I110" s="34" t="str"/>
      <x:c r="J110" s="34" t="str"/>
      <x:c r="K110" s="34" t="str"/>
      <x:c r="L110" s="34" t="str"/>
      <x:c r="M110" s="34" t="str"/>
    </x:row>
    <x:row r="111">
      <x:c r="A111" s="34" t="str">
        <x:v>M5-LANG-093</x:v>
      </x:c>
      <x:c r="B111" s="34" t="str"/>
      <x:c r="C111" s="34" t="str"/>
      <x:c r="D111" s="34" t="str"/>
      <x:c r="E111" s="34" t="str"/>
      <x:c r="F111" s="34" t="str"/>
      <x:c r="G111" s="34" t="str"/>
      <x:c r="H111" s="34" t="str"/>
      <x:c r="I111" s="34" t="str"/>
      <x:c r="J111" s="34" t="str"/>
      <x:c r="K111" s="34" t="str"/>
      <x:c r="L111" s="34" t="str"/>
      <x:c r="M111" s="34" t="str"/>
    </x:row>
    <x:row r="112">
      <x:c r="A112" s="34" t="str">
        <x:v>M5-LANG-094</x:v>
      </x:c>
      <x:c r="B112" s="34" t="str"/>
      <x:c r="C112" s="34" t="str"/>
      <x:c r="D112" s="34" t="str"/>
      <x:c r="E112" s="34" t="str"/>
      <x:c r="F112" s="34" t="str"/>
      <x:c r="G112" s="34" t="str"/>
      <x:c r="H112" s="34" t="str"/>
      <x:c r="I112" s="34" t="str"/>
      <x:c r="J112" s="34" t="str"/>
      <x:c r="K112" s="34" t="str"/>
      <x:c r="L112" s="34" t="str"/>
      <x:c r="M112" s="34" t="str"/>
    </x:row>
    <x:row r="113">
      <x:c r="A113" s="34" t="str">
        <x:v>M5-LANG-095</x:v>
      </x:c>
      <x:c r="B113" s="34" t="str"/>
      <x:c r="C113" s="34" t="str"/>
      <x:c r="D113" s="34" t="str"/>
      <x:c r="E113" s="34" t="str"/>
      <x:c r="F113" s="34" t="str"/>
      <x:c r="G113" s="34" t="str"/>
      <x:c r="H113" s="34" t="str"/>
      <x:c r="I113" s="34" t="str"/>
      <x:c r="J113" s="34" t="str"/>
      <x:c r="K113" s="34" t="str"/>
      <x:c r="L113" s="34" t="str"/>
      <x:c r="M113" s="34" t="str"/>
    </x:row>
    <x:row r="114">
      <x:c r="A114" s="34" t="str">
        <x:v>M5-LANG-096</x:v>
      </x:c>
      <x:c r="B114" s="34" t="str"/>
      <x:c r="C114" s="34" t="str"/>
      <x:c r="D114" s="34" t="str"/>
      <x:c r="E114" s="34" t="str"/>
      <x:c r="F114" s="34" t="str"/>
      <x:c r="G114" s="34" t="str"/>
      <x:c r="H114" s="34" t="str"/>
      <x:c r="I114" s="34" t="str"/>
      <x:c r="J114" s="34" t="str"/>
      <x:c r="K114" s="34" t="str"/>
      <x:c r="L114" s="34" t="str"/>
      <x:c r="M114" s="34" t="str"/>
    </x:row>
    <x:row r="115">
      <x:c r="A115" s="34" t="str">
        <x:v>M5-LANG-097</x:v>
      </x:c>
      <x:c r="B115" s="34" t="str"/>
      <x:c r="C115" s="34" t="str"/>
      <x:c r="D115" s="34" t="str"/>
      <x:c r="E115" s="34" t="str"/>
      <x:c r="F115" s="34" t="str"/>
      <x:c r="G115" s="34" t="str"/>
      <x:c r="H115" s="34" t="str"/>
      <x:c r="I115" s="34" t="str"/>
      <x:c r="J115" s="34" t="str"/>
      <x:c r="K115" s="34" t="str"/>
      <x:c r="L115" s="34" t="str"/>
      <x:c r="M115" s="34" t="str"/>
    </x:row>
    <x:row r="116">
      <x:c r="A116" s="34" t="str">
        <x:v>M5-LANG-098</x:v>
      </x:c>
      <x:c r="B116" s="34" t="str"/>
      <x:c r="C116" s="34" t="str"/>
      <x:c r="D116" s="34" t="str"/>
      <x:c r="E116" s="34" t="str"/>
      <x:c r="F116" s="34" t="str"/>
      <x:c r="G116" s="34" t="str"/>
      <x:c r="H116" s="34" t="str"/>
      <x:c r="I116" s="34" t="str"/>
      <x:c r="J116" s="34" t="str"/>
      <x:c r="K116" s="34" t="str"/>
      <x:c r="L116" s="34" t="str"/>
      <x:c r="M116" s="34" t="str"/>
    </x:row>
    <x:row r="117">
      <x:c r="A117" s="34" t="str">
        <x:v>M5-LANG-099</x:v>
      </x:c>
      <x:c r="B117" s="34" t="str"/>
      <x:c r="C117" s="34" t="str"/>
      <x:c r="D117" s="34" t="str"/>
      <x:c r="E117" s="34" t="str"/>
      <x:c r="F117" s="34" t="str"/>
      <x:c r="G117" s="34" t="str"/>
      <x:c r="H117" s="34" t="str"/>
      <x:c r="I117" s="34" t="str"/>
      <x:c r="J117" s="34" t="str"/>
      <x:c r="K117" s="34" t="str"/>
      <x:c r="L117" s="34" t="str"/>
      <x:c r="M117" s="34" t="str"/>
    </x:row>
    <x:row r="118">
      <x:c r="A118" s="34" t="str">
        <x:v>M5-LANG-100</x:v>
      </x:c>
      <x:c r="B118" s="34" t="str"/>
      <x:c r="C118" s="34" t="str"/>
      <x:c r="D118" s="34" t="str"/>
      <x:c r="E118" s="34" t="str"/>
      <x:c r="F118" s="34" t="str"/>
      <x:c r="G118" s="34" t="str"/>
      <x:c r="H118" s="34" t="str"/>
      <x:c r="I118" s="34" t="str"/>
      <x:c r="J118" s="34" t="str"/>
      <x:c r="K118" s="34" t="str"/>
      <x:c r="L118" s="34" t="str"/>
      <x:c r="M118" s="34" t="str"/>
    </x:row>
    <x:row r="119">
      <x:c r="A119" s="34" t="str">
        <x:v>M5-LANG-101</x:v>
      </x:c>
      <x:c r="B119" s="34" t="str"/>
      <x:c r="C119" s="34" t="str"/>
      <x:c r="D119" s="34" t="str"/>
      <x:c r="E119" s="34" t="str"/>
      <x:c r="F119" s="34" t="str"/>
      <x:c r="G119" s="34" t="str"/>
      <x:c r="H119" s="34" t="str"/>
      <x:c r="I119" s="34" t="str"/>
      <x:c r="J119" s="34" t="str"/>
      <x:c r="K119" s="34" t="str"/>
      <x:c r="L119" s="34" t="str"/>
      <x:c r="M119" s="34" t="str"/>
    </x:row>
    <x:row r="120">
      <x:c r="A120" s="34" t="str">
        <x:v>M5-LANG-102</x:v>
      </x:c>
      <x:c r="B120" s="34" t="str"/>
      <x:c r="C120" s="34" t="str"/>
      <x:c r="D120" s="34" t="str"/>
      <x:c r="E120" s="34" t="str"/>
      <x:c r="F120" s="34" t="str"/>
      <x:c r="G120" s="34" t="str"/>
      <x:c r="H120" s="34" t="str"/>
      <x:c r="I120" s="34" t="str"/>
      <x:c r="J120" s="34" t="str"/>
      <x:c r="K120" s="34" t="str"/>
      <x:c r="L120" s="34" t="str"/>
      <x:c r="M120" s="34" t="str"/>
    </x:row>
    <x:row r="121">
      <x:c r="A121" s="34" t="str">
        <x:v>M5-LANG-103</x:v>
      </x:c>
      <x:c r="B121" s="34" t="str"/>
      <x:c r="C121" s="34" t="str"/>
      <x:c r="D121" s="34" t="str"/>
      <x:c r="E121" s="34" t="str"/>
      <x:c r="F121" s="34" t="str"/>
      <x:c r="G121" s="34" t="str"/>
      <x:c r="H121" s="34" t="str"/>
      <x:c r="I121" s="34" t="str"/>
      <x:c r="J121" s="34" t="str"/>
      <x:c r="K121" s="34" t="str"/>
      <x:c r="L121" s="34" t="str"/>
      <x:c r="M121" s="34" t="str"/>
    </x:row>
    <x:row r="122">
      <x:c r="A122" s="34" t="str">
        <x:v>M5-LANG-104</x:v>
      </x:c>
      <x:c r="B122" s="34" t="str"/>
      <x:c r="C122" s="34" t="str"/>
      <x:c r="D122" s="34" t="str"/>
      <x:c r="E122" s="34" t="str"/>
      <x:c r="F122" s="34" t="str"/>
      <x:c r="G122" s="34" t="str"/>
      <x:c r="H122" s="34" t="str"/>
      <x:c r="I122" s="34" t="str"/>
      <x:c r="J122" s="34" t="str"/>
      <x:c r="K122" s="34" t="str"/>
      <x:c r="L122" s="34" t="str"/>
      <x:c r="M122" s="34" t="str"/>
    </x:row>
    <x:row r="123">
      <x:c r="A123" s="34" t="str">
        <x:v>M5-LANG-105</x:v>
      </x:c>
      <x:c r="B123" s="34" t="str"/>
      <x:c r="C123" s="34" t="str"/>
      <x:c r="D123" s="34" t="str"/>
      <x:c r="E123" s="34" t="str"/>
      <x:c r="F123" s="34" t="str"/>
      <x:c r="G123" s="34" t="str"/>
      <x:c r="H123" s="34" t="str"/>
      <x:c r="I123" s="34" t="str"/>
      <x:c r="J123" s="34" t="str"/>
      <x:c r="K123" s="34" t="str"/>
      <x:c r="L123" s="34" t="str"/>
      <x:c r="M123" s="34" t="str"/>
    </x:row>
    <x:row r="124">
      <x:c r="A124" s="34" t="str">
        <x:v>M5-LANG-106</x:v>
      </x:c>
      <x:c r="B124" s="34" t="str"/>
      <x:c r="C124" s="34" t="str"/>
      <x:c r="D124" s="34" t="str"/>
      <x:c r="E124" s="34" t="str"/>
      <x:c r="F124" s="34" t="str"/>
      <x:c r="G124" s="34" t="str"/>
      <x:c r="H124" s="34" t="str"/>
      <x:c r="I124" s="34" t="str"/>
      <x:c r="J124" s="34" t="str"/>
      <x:c r="K124" s="34" t="str"/>
      <x:c r="L124" s="34" t="str"/>
      <x:c r="M124" s="34" t="str"/>
    </x:row>
    <x:row r="125">
      <x:c r="A125" s="34" t="str">
        <x:v>M5-LANG-107</x:v>
      </x:c>
      <x:c r="B125" s="34" t="str"/>
      <x:c r="C125" s="34" t="str"/>
      <x:c r="D125" s="34" t="str"/>
      <x:c r="E125" s="34" t="str"/>
      <x:c r="F125" s="34" t="str"/>
      <x:c r="G125" s="34" t="str"/>
      <x:c r="H125" s="34" t="str"/>
      <x:c r="I125" s="34" t="str"/>
      <x:c r="J125" s="34" t="str"/>
      <x:c r="K125" s="34" t="str"/>
      <x:c r="L125" s="34" t="str"/>
      <x:c r="M125" s="34" t="str"/>
    </x:row>
    <x:row r="126">
      <x:c r="A126" s="34" t="str">
        <x:v>M5-LANG-108</x:v>
      </x:c>
      <x:c r="B126" s="34" t="str"/>
      <x:c r="C126" s="34" t="str"/>
      <x:c r="D126" s="34" t="str"/>
      <x:c r="E126" s="34" t="str"/>
      <x:c r="F126" s="34" t="str"/>
      <x:c r="G126" s="34" t="str"/>
      <x:c r="H126" s="34" t="str"/>
      <x:c r="I126" s="34" t="str"/>
      <x:c r="J126" s="34" t="str"/>
      <x:c r="K126" s="34" t="str"/>
      <x:c r="L126" s="34" t="str"/>
      <x:c r="M126" s="34" t="str"/>
    </x:row>
    <x:row r="127">
      <x:c r="A127" s="34" t="str">
        <x:v>M5-LANG-109</x:v>
      </x:c>
      <x:c r="B127" s="34" t="str"/>
      <x:c r="C127" s="34" t="str"/>
      <x:c r="D127" s="34" t="str"/>
      <x:c r="E127" s="34" t="str"/>
      <x:c r="F127" s="34" t="str"/>
      <x:c r="G127" s="34" t="str"/>
      <x:c r="H127" s="34" t="str"/>
      <x:c r="I127" s="34" t="str"/>
      <x:c r="J127" s="34" t="str"/>
      <x:c r="K127" s="34" t="str"/>
      <x:c r="L127" s="34" t="str"/>
      <x:c r="M127" s="34" t="str"/>
    </x:row>
    <x:row r="128">
      <x:c r="A128" s="34" t="str">
        <x:v>M5-LANG-110</x:v>
      </x:c>
      <x:c r="B128" s="34" t="str"/>
      <x:c r="C128" s="34" t="str"/>
      <x:c r="D128" s="34" t="str"/>
      <x:c r="E128" s="34" t="str"/>
      <x:c r="F128" s="34" t="str"/>
      <x:c r="G128" s="34" t="str"/>
      <x:c r="H128" s="34" t="str"/>
      <x:c r="I128" s="34" t="str"/>
      <x:c r="J128" s="34" t="str"/>
      <x:c r="K128" s="34" t="str"/>
      <x:c r="L128" s="34" t="str"/>
      <x:c r="M128" s="34" t="str"/>
    </x:row>
    <x:row r="129">
      <x:c r="A129" s="34" t="str">
        <x:v>M5-LANG-111</x:v>
      </x:c>
      <x:c r="B129" s="34" t="str"/>
      <x:c r="C129" s="34" t="str"/>
      <x:c r="D129" s="34" t="str"/>
      <x:c r="E129" s="34" t="str"/>
      <x:c r="F129" s="34" t="str"/>
      <x:c r="G129" s="34" t="str"/>
      <x:c r="H129" s="34" t="str"/>
      <x:c r="I129" s="34" t="str"/>
      <x:c r="J129" s="34" t="str"/>
      <x:c r="K129" s="34" t="str"/>
      <x:c r="L129" s="34" t="str"/>
      <x:c r="M129" s="34" t="str"/>
    </x:row>
    <x:row r="130">
      <x:c r="A130" s="34" t="str">
        <x:v>M5-LANG-112</x:v>
      </x:c>
      <x:c r="B130" s="34" t="str"/>
      <x:c r="C130" s="34" t="str"/>
      <x:c r="D130" s="34" t="str"/>
      <x:c r="E130" s="34" t="str"/>
      <x:c r="F130" s="34" t="str"/>
      <x:c r="G130" s="34" t="str"/>
      <x:c r="H130" s="34" t="str"/>
      <x:c r="I130" s="34" t="str"/>
      <x:c r="J130" s="34" t="str"/>
      <x:c r="K130" s="34" t="str"/>
      <x:c r="L130" s="34" t="str"/>
      <x:c r="M130" s="34" t="str"/>
    </x:row>
    <x:row r="131">
      <x:c r="A131" s="34" t="str">
        <x:v>M5-LANG-113</x:v>
      </x:c>
      <x:c r="B131" s="34" t="str"/>
      <x:c r="C131" s="34" t="str"/>
      <x:c r="D131" s="34" t="str"/>
      <x:c r="E131" s="34" t="str"/>
      <x:c r="F131" s="34" t="str"/>
      <x:c r="G131" s="34" t="str"/>
      <x:c r="H131" s="34" t="str"/>
      <x:c r="I131" s="34" t="str"/>
      <x:c r="J131" s="34" t="str"/>
      <x:c r="K131" s="34" t="str"/>
      <x:c r="L131" s="34" t="str"/>
      <x:c r="M131" s="34" t="str"/>
    </x:row>
    <x:row r="132">
      <x:c r="A132" s="34" t="str">
        <x:v>M5-LANG-114</x:v>
      </x:c>
      <x:c r="B132" s="34" t="str"/>
      <x:c r="C132" s="34" t="str"/>
      <x:c r="D132" s="34" t="str"/>
      <x:c r="E132" s="34" t="str"/>
      <x:c r="F132" s="34" t="str"/>
      <x:c r="G132" s="34" t="str"/>
      <x:c r="H132" s="34" t="str"/>
      <x:c r="I132" s="34" t="str"/>
      <x:c r="J132" s="34" t="str"/>
      <x:c r="K132" s="34" t="str"/>
      <x:c r="L132" s="34" t="str"/>
      <x:c r="M132" s="34" t="str"/>
    </x:row>
    <x:row r="133">
      <x:c r="A133" s="34" t="str">
        <x:v>M5-LANG-115</x:v>
      </x:c>
      <x:c r="B133" s="34" t="str"/>
      <x:c r="C133" s="34" t="str"/>
      <x:c r="D133" s="34" t="str"/>
      <x:c r="E133" s="34" t="str"/>
      <x:c r="F133" s="34" t="str"/>
      <x:c r="G133" s="34" t="str"/>
      <x:c r="H133" s="34" t="str"/>
      <x:c r="I133" s="34" t="str"/>
      <x:c r="J133" s="34" t="str"/>
      <x:c r="K133" s="34" t="str"/>
      <x:c r="L133" s="34" t="str"/>
      <x:c r="M133" s="34" t="str"/>
    </x:row>
    <x:row r="134">
      <x:c r="A134" s="34" t="str">
        <x:v>M5-LANG-116</x:v>
      </x:c>
      <x:c r="B134" s="34" t="str"/>
      <x:c r="C134" s="34" t="str"/>
      <x:c r="D134" s="34" t="str"/>
      <x:c r="E134" s="34" t="str"/>
      <x:c r="F134" s="34" t="str"/>
      <x:c r="G134" s="34" t="str"/>
      <x:c r="H134" s="34" t="str"/>
      <x:c r="I134" s="34" t="str"/>
      <x:c r="J134" s="34" t="str"/>
      <x:c r="K134" s="34" t="str"/>
      <x:c r="L134" s="34" t="str"/>
      <x:c r="M134" s="34" t="str"/>
    </x:row>
    <x:row r="135">
      <x:c r="A135" s="34" t="str">
        <x:v>M5-LANG-117</x:v>
      </x:c>
      <x:c r="B135" s="34" t="str"/>
      <x:c r="C135" s="34" t="str"/>
      <x:c r="D135" s="34" t="str"/>
      <x:c r="E135" s="34" t="str"/>
      <x:c r="F135" s="34" t="str"/>
      <x:c r="G135" s="34" t="str"/>
      <x:c r="H135" s="34" t="str"/>
      <x:c r="I135" s="34" t="str"/>
      <x:c r="J135" s="34" t="str"/>
      <x:c r="K135" s="34" t="str"/>
      <x:c r="L135" s="34" t="str"/>
      <x:c r="M135" s="34" t="str"/>
    </x:row>
    <x:row r="136">
      <x:c r="A136" s="34" t="str">
        <x:v>M5-LANG-118</x:v>
      </x:c>
      <x:c r="B136" s="34" t="str"/>
      <x:c r="C136" s="34" t="str"/>
      <x:c r="D136" s="34" t="str"/>
      <x:c r="E136" s="34" t="str"/>
      <x:c r="F136" s="34" t="str"/>
      <x:c r="G136" s="34" t="str"/>
      <x:c r="H136" s="34" t="str"/>
      <x:c r="I136" s="34" t="str"/>
      <x:c r="J136" s="34" t="str"/>
      <x:c r="K136" s="34" t="str"/>
      <x:c r="L136" s="34" t="str"/>
      <x:c r="M136" s="34" t="str"/>
    </x:row>
    <x:row r="137">
      <x:c r="A137" s="34" t="str">
        <x:v>M5-LANG-119</x:v>
      </x:c>
      <x:c r="B137" s="34" t="str"/>
      <x:c r="C137" s="34" t="str"/>
      <x:c r="D137" s="34" t="str"/>
      <x:c r="E137" s="34" t="str"/>
      <x:c r="F137" s="34" t="str"/>
      <x:c r="G137" s="34" t="str"/>
      <x:c r="H137" s="34" t="str"/>
      <x:c r="I137" s="34" t="str"/>
      <x:c r="J137" s="34" t="str"/>
      <x:c r="K137" s="34" t="str"/>
      <x:c r="L137" s="34" t="str"/>
      <x:c r="M137" s="34" t="str"/>
    </x:row>
    <x:row r="138">
      <x:c r="A138" s="34" t="str">
        <x:v>M5-LANG-120</x:v>
      </x:c>
      <x:c r="B138" s="34" t="str"/>
      <x:c r="C138" s="34" t="str"/>
      <x:c r="D138" s="34" t="str"/>
      <x:c r="E138" s="34" t="str"/>
      <x:c r="F138" s="34" t="str"/>
      <x:c r="G138" s="34" t="str"/>
      <x:c r="H138" s="34" t="str"/>
      <x:c r="I138" s="34" t="str"/>
      <x:c r="J138" s="34" t="str"/>
      <x:c r="K138" s="34" t="str"/>
      <x:c r="L138" s="34" t="str"/>
      <x:c r="M138" s="34" t="str"/>
    </x:row>
    <x:row r="139">
      <x:c r="A139" s="34" t="str">
        <x:v>M5-LANG-121</x:v>
      </x:c>
      <x:c r="B139" s="34" t="str"/>
      <x:c r="C139" s="34" t="str"/>
      <x:c r="D139" s="34" t="str"/>
      <x:c r="E139" s="34" t="str"/>
      <x:c r="F139" s="34" t="str"/>
      <x:c r="G139" s="34" t="str"/>
      <x:c r="H139" s="34" t="str"/>
      <x:c r="I139" s="34" t="str"/>
      <x:c r="J139" s="34" t="str"/>
      <x:c r="K139" s="34" t="str"/>
      <x:c r="L139" s="34" t="str"/>
      <x:c r="M139" s="34" t="str"/>
    </x:row>
    <x:row r="140">
      <x:c r="A140" s="34" t="str">
        <x:v>M5-LANG-122</x:v>
      </x:c>
      <x:c r="B140" s="34" t="str"/>
      <x:c r="C140" s="34" t="str"/>
      <x:c r="D140" s="34" t="str"/>
      <x:c r="E140" s="34" t="str"/>
      <x:c r="F140" s="34" t="str"/>
      <x:c r="G140" s="34" t="str"/>
      <x:c r="H140" s="34" t="str"/>
      <x:c r="I140" s="34" t="str"/>
      <x:c r="J140" s="34" t="str"/>
      <x:c r="K140" s="34" t="str"/>
      <x:c r="L140" s="34" t="str"/>
      <x:c r="M140" s="34" t="str"/>
    </x:row>
    <x:row r="141">
      <x:c r="A141" s="34" t="str">
        <x:v>M5-LANG-123</x:v>
      </x:c>
      <x:c r="B141" s="34" t="str"/>
      <x:c r="C141" s="34" t="str"/>
      <x:c r="D141" s="34" t="str"/>
      <x:c r="E141" s="34" t="str"/>
      <x:c r="F141" s="34" t="str"/>
      <x:c r="G141" s="34" t="str"/>
      <x:c r="H141" s="34" t="str"/>
      <x:c r="I141" s="34" t="str"/>
      <x:c r="J141" s="34" t="str"/>
      <x:c r="K141" s="34" t="str"/>
      <x:c r="L141" s="34" t="str"/>
      <x:c r="M141" s="34" t="str"/>
    </x:row>
    <x:row r="142">
      <x:c r="A142" s="34" t="str">
        <x:v>M5-LANG-124</x:v>
      </x:c>
      <x:c r="B142" s="34" t="str"/>
      <x:c r="C142" s="34" t="str"/>
      <x:c r="D142" s="34" t="str"/>
      <x:c r="E142" s="34" t="str"/>
      <x:c r="F142" s="34" t="str"/>
      <x:c r="G142" s="34" t="str"/>
      <x:c r="H142" s="34" t="str"/>
      <x:c r="I142" s="34" t="str"/>
      <x:c r="J142" s="34" t="str"/>
      <x:c r="K142" s="34" t="str"/>
      <x:c r="L142" s="34" t="str"/>
      <x:c r="M142" s="34" t="str"/>
    </x:row>
    <x:row r="143">
      <x:c r="A143" s="34" t="str">
        <x:v>M5-LANG-125</x:v>
      </x:c>
      <x:c r="B143" s="34" t="str"/>
      <x:c r="C143" s="34" t="str"/>
      <x:c r="D143" s="34" t="str"/>
      <x:c r="E143" s="34" t="str"/>
      <x:c r="F143" s="34" t="str"/>
      <x:c r="G143" s="34" t="str"/>
      <x:c r="H143" s="34" t="str"/>
      <x:c r="I143" s="34" t="str"/>
      <x:c r="J143" s="34" t="str"/>
      <x:c r="K143" s="34" t="str"/>
      <x:c r="L143" s="34" t="str"/>
      <x:c r="M143" s="34" t="str"/>
    </x:row>
    <x:row r="144">
      <x:c r="A144" s="34" t="str">
        <x:v>M5-LANG-126</x:v>
      </x:c>
      <x:c r="B144" s="34" t="str"/>
      <x:c r="C144" s="34" t="str"/>
      <x:c r="D144" s="34" t="str"/>
      <x:c r="E144" s="34" t="str"/>
      <x:c r="F144" s="34" t="str"/>
      <x:c r="G144" s="34" t="str"/>
      <x:c r="H144" s="34" t="str"/>
      <x:c r="I144" s="34" t="str"/>
      <x:c r="J144" s="34" t="str"/>
      <x:c r="K144" s="34" t="str"/>
      <x:c r="L144" s="34" t="str"/>
      <x:c r="M144" s="34" t="str"/>
    </x:row>
    <x:row r="145">
      <x:c r="A145" s="34" t="str">
        <x:v>M5-LANG-127</x:v>
      </x:c>
      <x:c r="B145" s="34" t="str"/>
      <x:c r="C145" s="34" t="str"/>
      <x:c r="D145" s="34" t="str"/>
      <x:c r="E145" s="34" t="str"/>
      <x:c r="F145" s="34" t="str"/>
      <x:c r="G145" s="34" t="str"/>
      <x:c r="H145" s="34" t="str"/>
      <x:c r="I145" s="34" t="str"/>
      <x:c r="J145" s="34" t="str"/>
      <x:c r="K145" s="34" t="str"/>
      <x:c r="L145" s="34" t="str"/>
      <x:c r="M145" s="34" t="str"/>
    </x:row>
    <x:row r="146">
      <x:c r="A146" s="34" t="str">
        <x:v>M5-LANG-128</x:v>
      </x:c>
      <x:c r="B146" s="34" t="str"/>
      <x:c r="C146" s="34" t="str"/>
      <x:c r="D146" s="34" t="str"/>
      <x:c r="E146" s="34" t="str"/>
      <x:c r="F146" s="34" t="str"/>
      <x:c r="G146" s="34" t="str"/>
      <x:c r="H146" s="34" t="str"/>
      <x:c r="I146" s="34" t="str"/>
      <x:c r="J146" s="34" t="str"/>
      <x:c r="K146" s="34" t="str"/>
      <x:c r="L146" s="34" t="str"/>
      <x:c r="M146" s="34" t="str"/>
    </x:row>
    <x:row r="147">
      <x:c r="A147" s="34" t="str">
        <x:v>M5-LANG-129</x:v>
      </x:c>
      <x:c r="B147" s="34" t="str"/>
      <x:c r="C147" s="34" t="str"/>
      <x:c r="D147" s="34" t="str"/>
      <x:c r="E147" s="34" t="str"/>
      <x:c r="F147" s="34" t="str"/>
      <x:c r="G147" s="34" t="str"/>
      <x:c r="H147" s="34" t="str"/>
      <x:c r="I147" s="34" t="str"/>
      <x:c r="J147" s="34" t="str"/>
      <x:c r="K147" s="34" t="str"/>
      <x:c r="L147" s="34" t="str"/>
      <x:c r="M147" s="34" t="str"/>
    </x:row>
    <x:row r="148">
      <x:c r="A148" s="34" t="str">
        <x:v>M5-LANG-130</x:v>
      </x:c>
      <x:c r="B148" s="34" t="str"/>
      <x:c r="C148" s="34" t="str"/>
      <x:c r="D148" s="34" t="str"/>
      <x:c r="E148" s="34" t="str"/>
      <x:c r="F148" s="34" t="str"/>
      <x:c r="G148" s="34" t="str"/>
      <x:c r="H148" s="34" t="str"/>
      <x:c r="I148" s="34" t="str"/>
      <x:c r="J148" s="34" t="str"/>
      <x:c r="K148" s="34" t="str"/>
      <x:c r="L148" s="34" t="str"/>
      <x:c r="M148" s="34" t="str"/>
    </x:row>
    <x:row r="149">
      <x:c r="A149" s="34" t="str">
        <x:v>M5-LANG-131</x:v>
      </x:c>
      <x:c r="B149" s="34" t="str"/>
      <x:c r="C149" s="34" t="str"/>
      <x:c r="D149" s="34" t="str"/>
      <x:c r="E149" s="34" t="str"/>
      <x:c r="F149" s="34" t="str"/>
      <x:c r="G149" s="34" t="str"/>
      <x:c r="H149" s="34" t="str"/>
      <x:c r="I149" s="34" t="str"/>
      <x:c r="J149" s="34" t="str"/>
      <x:c r="K149" s="34" t="str"/>
      <x:c r="L149" s="34" t="str"/>
      <x:c r="M149" s="34" t="str"/>
    </x:row>
    <x:row r="150">
      <x:c r="A150" s="34" t="str">
        <x:v>M5-LANG-132</x:v>
      </x:c>
      <x:c r="B150" s="34" t="str"/>
      <x:c r="C150" s="34" t="str"/>
      <x:c r="D150" s="34" t="str"/>
      <x:c r="E150" s="34" t="str"/>
      <x:c r="F150" s="34" t="str"/>
      <x:c r="G150" s="34" t="str"/>
      <x:c r="H150" s="34" t="str"/>
      <x:c r="I150" s="34" t="str"/>
      <x:c r="J150" s="34" t="str"/>
      <x:c r="K150" s="34" t="str"/>
      <x:c r="L150" s="34" t="str"/>
      <x:c r="M150" s="34" t="str"/>
    </x:row>
    <x:row r="151">
      <x:c r="A151" s="34" t="str">
        <x:v>M5-LANG-133</x:v>
      </x:c>
      <x:c r="B151" s="34" t="str"/>
      <x:c r="C151" s="34" t="str"/>
      <x:c r="D151" s="34" t="str"/>
      <x:c r="E151" s="34" t="str"/>
      <x:c r="F151" s="34" t="str"/>
      <x:c r="G151" s="34" t="str"/>
      <x:c r="H151" s="34" t="str"/>
      <x:c r="I151" s="34" t="str"/>
      <x:c r="J151" s="34" t="str"/>
      <x:c r="K151" s="34" t="str"/>
      <x:c r="L151" s="34" t="str"/>
      <x:c r="M151" s="34" t="str"/>
    </x:row>
    <x:row r="152">
      <x:c r="A152" s="34" t="str">
        <x:v>M5-LANG-134</x:v>
      </x:c>
      <x:c r="B152" s="34" t="str"/>
      <x:c r="C152" s="34" t="str"/>
      <x:c r="D152" s="34" t="str"/>
      <x:c r="E152" s="34" t="str"/>
      <x:c r="F152" s="34" t="str"/>
      <x:c r="G152" s="34" t="str"/>
      <x:c r="H152" s="34" t="str"/>
      <x:c r="I152" s="34" t="str"/>
      <x:c r="J152" s="34" t="str"/>
      <x:c r="K152" s="34" t="str"/>
      <x:c r="L152" s="34" t="str"/>
      <x:c r="M152" s="34" t="str"/>
    </x:row>
    <x:row r="153">
      <x:c r="A153" s="34" t="str">
        <x:v>M5-LANG-135</x:v>
      </x:c>
      <x:c r="B153" s="34" t="str"/>
      <x:c r="C153" s="34" t="str"/>
      <x:c r="D153" s="34" t="str"/>
      <x:c r="E153" s="34" t="str"/>
      <x:c r="F153" s="34" t="str"/>
      <x:c r="G153" s="34" t="str"/>
      <x:c r="H153" s="34" t="str"/>
      <x:c r="I153" s="34" t="str"/>
      <x:c r="J153" s="34" t="str"/>
      <x:c r="K153" s="34" t="str"/>
      <x:c r="L153" s="34" t="str"/>
      <x:c r="M153" s="34" t="str"/>
    </x:row>
    <x:row r="154">
      <x:c r="A154" s="34" t="str">
        <x:v>M5-LANG-136</x:v>
      </x:c>
      <x:c r="B154" s="34" t="str"/>
      <x:c r="C154" s="34" t="str"/>
      <x:c r="D154" s="34" t="str"/>
      <x:c r="E154" s="34" t="str"/>
      <x:c r="F154" s="34" t="str"/>
      <x:c r="G154" s="34" t="str"/>
      <x:c r="H154" s="34" t="str"/>
      <x:c r="I154" s="34" t="str"/>
      <x:c r="J154" s="34" t="str"/>
      <x:c r="K154" s="34" t="str"/>
      <x:c r="L154" s="34" t="str"/>
      <x:c r="M154" s="34" t="str"/>
    </x:row>
    <x:row r="155">
      <x:c r="A155" s="34" t="str">
        <x:v>M5-LANG-137</x:v>
      </x:c>
      <x:c r="B155" s="34" t="str"/>
      <x:c r="C155" s="34" t="str"/>
      <x:c r="D155" s="34" t="str"/>
      <x:c r="E155" s="34" t="str"/>
      <x:c r="F155" s="34" t="str"/>
      <x:c r="G155" s="34" t="str"/>
      <x:c r="H155" s="34" t="str"/>
      <x:c r="I155" s="34" t="str"/>
      <x:c r="J155" s="34" t="str"/>
      <x:c r="K155" s="34" t="str"/>
      <x:c r="L155" s="34" t="str"/>
      <x:c r="M155" s="34" t="str"/>
    </x:row>
    <x:row r="156">
      <x:c r="A156" s="34" t="str">
        <x:v>M5-LANG-138</x:v>
      </x:c>
      <x:c r="B156" s="34" t="str"/>
      <x:c r="C156" s="34" t="str"/>
      <x:c r="D156" s="34" t="str"/>
      <x:c r="E156" s="34" t="str"/>
      <x:c r="F156" s="34" t="str"/>
      <x:c r="G156" s="34" t="str"/>
      <x:c r="H156" s="34" t="str"/>
      <x:c r="I156" s="34" t="str"/>
      <x:c r="J156" s="34" t="str"/>
      <x:c r="K156" s="34" t="str"/>
      <x:c r="L156" s="34" t="str"/>
      <x:c r="M156" s="34" t="str"/>
    </x:row>
    <x:row r="157">
      <x:c r="A157" s="34" t="str">
        <x:v>M5-LANG-139</x:v>
      </x:c>
      <x:c r="B157" s="34" t="str"/>
      <x:c r="C157" s="34" t="str"/>
      <x:c r="D157" s="34" t="str"/>
      <x:c r="E157" s="34" t="str"/>
      <x:c r="F157" s="34" t="str"/>
      <x:c r="G157" s="34" t="str"/>
      <x:c r="H157" s="34" t="str"/>
      <x:c r="I157" s="34" t="str"/>
      <x:c r="J157" s="34" t="str"/>
      <x:c r="K157" s="34" t="str"/>
      <x:c r="L157" s="34" t="str"/>
      <x:c r="M157" s="34" t="str"/>
    </x:row>
    <x:row r="158">
      <x:c r="A158" s="34" t="str">
        <x:v>M5-LANG-140</x:v>
      </x:c>
      <x:c r="B158" s="34" t="str"/>
      <x:c r="C158" s="34" t="str"/>
      <x:c r="D158" s="34" t="str"/>
      <x:c r="E158" s="34" t="str"/>
      <x:c r="F158" s="34" t="str"/>
      <x:c r="G158" s="34" t="str"/>
      <x:c r="H158" s="34" t="str"/>
      <x:c r="I158" s="34" t="str"/>
      <x:c r="J158" s="34" t="str"/>
      <x:c r="K158" s="34" t="str"/>
      <x:c r="L158" s="34" t="str"/>
      <x:c r="M158" s="34" t="str"/>
    </x:row>
    <x:row r="159">
      <x:c r="A159" s="34" t="str">
        <x:v>M5-LANG-141</x:v>
      </x:c>
      <x:c r="B159" s="34" t="str"/>
      <x:c r="C159" s="34" t="str"/>
      <x:c r="D159" s="34" t="str"/>
      <x:c r="E159" s="34" t="str"/>
      <x:c r="F159" s="34" t="str"/>
      <x:c r="G159" s="34" t="str"/>
      <x:c r="H159" s="34" t="str"/>
      <x:c r="I159" s="34" t="str"/>
      <x:c r="J159" s="34" t="str"/>
      <x:c r="K159" s="34" t="str"/>
      <x:c r="L159" s="34" t="str"/>
      <x:c r="M159" s="34" t="str"/>
    </x:row>
    <x:row r="160">
      <x:c r="A160" s="34" t="str">
        <x:v>M5-LANG-142</x:v>
      </x:c>
      <x:c r="B160" s="34" t="str"/>
      <x:c r="C160" s="34" t="str"/>
      <x:c r="D160" s="34" t="str"/>
      <x:c r="E160" s="34" t="str"/>
      <x:c r="F160" s="34" t="str"/>
      <x:c r="G160" s="34" t="str"/>
      <x:c r="H160" s="34" t="str"/>
      <x:c r="I160" s="34" t="str"/>
      <x:c r="J160" s="34" t="str"/>
      <x:c r="K160" s="34" t="str"/>
      <x:c r="L160" s="34" t="str"/>
      <x:c r="M160" s="34" t="str"/>
    </x:row>
    <x:row r="161">
      <x:c r="A161" s="34" t="str">
        <x:v>M5-LANG-143</x:v>
      </x:c>
      <x:c r="B161" s="34" t="str"/>
      <x:c r="C161" s="34" t="str"/>
      <x:c r="D161" s="34" t="str"/>
      <x:c r="E161" s="34" t="str"/>
      <x:c r="F161" s="34" t="str"/>
      <x:c r="G161" s="34" t="str"/>
      <x:c r="H161" s="34" t="str"/>
      <x:c r="I161" s="34" t="str"/>
      <x:c r="J161" s="34" t="str"/>
      <x:c r="K161" s="34" t="str"/>
      <x:c r="L161" s="34" t="str"/>
      <x:c r="M161" s="34" t="str"/>
    </x:row>
    <x:row r="162">
      <x:c r="A162" s="34" t="str">
        <x:v>M5-LANG-144</x:v>
      </x:c>
      <x:c r="B162" s="34" t="str"/>
      <x:c r="C162" s="34" t="str"/>
      <x:c r="D162" s="34" t="str"/>
      <x:c r="E162" s="34" t="str"/>
      <x:c r="F162" s="34" t="str"/>
      <x:c r="G162" s="34" t="str"/>
      <x:c r="H162" s="34" t="str"/>
      <x:c r="I162" s="34" t="str"/>
      <x:c r="J162" s="34" t="str"/>
      <x:c r="K162" s="34" t="str"/>
      <x:c r="L162" s="34" t="str"/>
      <x:c r="M162" s="34" t="str"/>
    </x:row>
    <x:row r="163">
      <x:c r="A163" s="34" t="str">
        <x:v>M5-LANG-145</x:v>
      </x:c>
      <x:c r="B163" s="34" t="str"/>
      <x:c r="C163" s="34" t="str"/>
      <x:c r="D163" s="34" t="str"/>
      <x:c r="E163" s="34" t="str"/>
      <x:c r="F163" s="34" t="str"/>
      <x:c r="G163" s="34" t="str"/>
      <x:c r="H163" s="34" t="str"/>
      <x:c r="I163" s="34" t="str"/>
      <x:c r="J163" s="34" t="str"/>
      <x:c r="K163" s="34" t="str"/>
      <x:c r="L163" s="34" t="str"/>
      <x:c r="M163" s="34" t="str"/>
    </x:row>
    <x:row r="164">
      <x:c r="A164" s="34" t="str">
        <x:v>M5-LANG-146</x:v>
      </x:c>
      <x:c r="B164" s="34" t="str"/>
      <x:c r="C164" s="34" t="str"/>
      <x:c r="D164" s="34" t="str"/>
      <x:c r="E164" s="34" t="str"/>
      <x:c r="F164" s="34" t="str"/>
      <x:c r="G164" s="34" t="str"/>
      <x:c r="H164" s="34" t="str"/>
      <x:c r="I164" s="34" t="str"/>
      <x:c r="J164" s="34" t="str"/>
      <x:c r="K164" s="34" t="str"/>
      <x:c r="L164" s="34" t="str"/>
      <x:c r="M164" s="34" t="str"/>
    </x:row>
    <x:row r="165">
      <x:c r="A165" s="34" t="str">
        <x:v>M5-LANG-147</x:v>
      </x:c>
      <x:c r="B165" s="34" t="str"/>
      <x:c r="C165" s="34" t="str"/>
      <x:c r="D165" s="34" t="str"/>
      <x:c r="E165" s="34" t="str"/>
      <x:c r="F165" s="34" t="str"/>
      <x:c r="G165" s="34" t="str"/>
      <x:c r="H165" s="34" t="str"/>
      <x:c r="I165" s="34" t="str"/>
      <x:c r="J165" s="34" t="str"/>
      <x:c r="K165" s="34" t="str"/>
      <x:c r="L165" s="34" t="str"/>
      <x:c r="M165" s="34" t="str"/>
    </x:row>
    <x:row r="166">
      <x:c r="A166" s="34" t="str">
        <x:v>M5-LANG-148</x:v>
      </x:c>
      <x:c r="B166" s="34" t="str"/>
      <x:c r="C166" s="34" t="str"/>
      <x:c r="D166" s="34" t="str"/>
      <x:c r="E166" s="34" t="str"/>
      <x:c r="F166" s="34" t="str"/>
      <x:c r="G166" s="34" t="str"/>
      <x:c r="H166" s="34" t="str"/>
      <x:c r="I166" s="34" t="str"/>
      <x:c r="J166" s="34" t="str"/>
      <x:c r="K166" s="34" t="str"/>
      <x:c r="L166" s="34" t="str"/>
      <x:c r="M166" s="34" t="str"/>
    </x:row>
    <x:row r="167">
      <x:c r="A167" s="34" t="str">
        <x:v>M5-LANG-149</x:v>
      </x:c>
      <x:c r="B167" s="34" t="str"/>
      <x:c r="C167" s="34" t="str"/>
      <x:c r="D167" s="34" t="str"/>
      <x:c r="E167" s="34" t="str"/>
      <x:c r="F167" s="34" t="str"/>
      <x:c r="G167" s="34" t="str"/>
      <x:c r="H167" s="34" t="str"/>
      <x:c r="I167" s="34" t="str"/>
      <x:c r="J167" s="34" t="str"/>
      <x:c r="K167" s="34" t="str"/>
      <x:c r="L167" s="34" t="str"/>
      <x:c r="M167" s="34" t="str"/>
    </x:row>
    <x:row r="168">
      <x:c r="A168" s="34" t="str">
        <x:v>M5-LANG-150</x:v>
      </x:c>
      <x:c r="B168" s="34" t="str"/>
      <x:c r="C168" s="34" t="str"/>
      <x:c r="D168" s="34" t="str"/>
      <x:c r="E168" s="34" t="str"/>
      <x:c r="F168" s="34" t="str"/>
      <x:c r="G168" s="34" t="str"/>
      <x:c r="H168" s="34" t="str"/>
      <x:c r="I168" s="34" t="str"/>
      <x:c r="J168" s="34" t="str"/>
      <x:c r="K168" s="34" t="str"/>
      <x:c r="L168" s="34" t="str"/>
      <x:c r="M168" s="34" t="str"/>
    </x:row>
    <x:row r="169">
      <x:c r="A169" s="34" t="str">
        <x:v>M5-LANG-151</x:v>
      </x:c>
      <x:c r="B169" s="34" t="str"/>
      <x:c r="C169" s="34" t="str"/>
      <x:c r="D169" s="34" t="str"/>
      <x:c r="E169" s="34" t="str"/>
      <x:c r="F169" s="34" t="str"/>
      <x:c r="G169" s="34" t="str"/>
      <x:c r="H169" s="34" t="str"/>
      <x:c r="I169" s="34" t="str"/>
      <x:c r="J169" s="34" t="str"/>
      <x:c r="K169" s="34" t="str"/>
      <x:c r="L169" s="34" t="str"/>
      <x:c r="M169" s="34" t="str"/>
    </x:row>
    <x:row r="170">
      <x:c r="A170" s="34" t="str">
        <x:v>M5-LANG-152</x:v>
      </x:c>
      <x:c r="B170" s="34" t="str"/>
      <x:c r="C170" s="34" t="str"/>
      <x:c r="D170" s="34" t="str"/>
      <x:c r="E170" s="34" t="str"/>
      <x:c r="F170" s="34" t="str"/>
      <x:c r="G170" s="34" t="str"/>
      <x:c r="H170" s="34" t="str"/>
      <x:c r="I170" s="34" t="str"/>
      <x:c r="J170" s="34" t="str"/>
      <x:c r="K170" s="34" t="str"/>
      <x:c r="L170" s="34" t="str"/>
      <x:c r="M170" s="34" t="str"/>
    </x:row>
    <x:row r="171">
      <x:c r="A171" s="34" t="str">
        <x:v>M5-LANG-153</x:v>
      </x:c>
      <x:c r="B171" s="34" t="str"/>
      <x:c r="C171" s="34" t="str"/>
      <x:c r="D171" s="34" t="str"/>
      <x:c r="E171" s="34" t="str"/>
      <x:c r="F171" s="34" t="str"/>
      <x:c r="G171" s="34" t="str"/>
      <x:c r="H171" s="34" t="str"/>
      <x:c r="I171" s="34" t="str"/>
      <x:c r="J171" s="34" t="str"/>
      <x:c r="K171" s="34" t="str"/>
      <x:c r="L171" s="34" t="str"/>
      <x:c r="M171" s="34" t="str"/>
    </x:row>
    <x:row r="172">
      <x:c r="A172" s="34" t="str">
        <x:v>M5-LANG-154</x:v>
      </x:c>
      <x:c r="B172" s="34" t="str"/>
      <x:c r="C172" s="34" t="str"/>
      <x:c r="D172" s="34" t="str"/>
      <x:c r="E172" s="34" t="str"/>
      <x:c r="F172" s="34" t="str"/>
      <x:c r="G172" s="34" t="str"/>
      <x:c r="H172" s="34" t="str"/>
      <x:c r="I172" s="34" t="str"/>
      <x:c r="J172" s="34" t="str"/>
      <x:c r="K172" s="34" t="str"/>
      <x:c r="L172" s="34" t="str"/>
      <x:c r="M172" s="34" t="str"/>
    </x:row>
    <x:row r="173">
      <x:c r="A173" s="34" t="str">
        <x:v>M5-LANG-155</x:v>
      </x:c>
      <x:c r="B173" s="34" t="str"/>
      <x:c r="C173" s="34" t="str"/>
      <x:c r="D173" s="34" t="str"/>
      <x:c r="E173" s="34" t="str"/>
      <x:c r="F173" s="34" t="str"/>
      <x:c r="G173" s="34" t="str"/>
      <x:c r="H173" s="34" t="str"/>
      <x:c r="I173" s="34" t="str"/>
      <x:c r="J173" s="34" t="str"/>
      <x:c r="K173" s="34" t="str"/>
      <x:c r="L173" s="34" t="str"/>
      <x:c r="M173" s="34" t="str"/>
    </x:row>
    <x:row r="174">
      <x:c r="A174" s="34" t="str">
        <x:v>M5-LANG-156</x:v>
      </x:c>
      <x:c r="B174" s="34" t="str"/>
      <x:c r="C174" s="34" t="str"/>
      <x:c r="D174" s="34" t="str"/>
      <x:c r="E174" s="34" t="str"/>
      <x:c r="F174" s="34" t="str"/>
      <x:c r="G174" s="34" t="str"/>
      <x:c r="H174" s="34" t="str"/>
      <x:c r="I174" s="34" t="str"/>
      <x:c r="J174" s="34" t="str"/>
      <x:c r="K174" s="34" t="str"/>
      <x:c r="L174" s="34" t="str"/>
      <x:c r="M174" s="34" t="str"/>
    </x:row>
    <x:row r="175">
      <x:c r="A175" s="34" t="str">
        <x:v>M5-LANG-157</x:v>
      </x:c>
      <x:c r="B175" s="34" t="str"/>
      <x:c r="C175" s="34" t="str"/>
      <x:c r="D175" s="34" t="str"/>
      <x:c r="E175" s="34" t="str"/>
      <x:c r="F175" s="34" t="str"/>
      <x:c r="G175" s="34" t="str"/>
      <x:c r="H175" s="34" t="str"/>
      <x:c r="I175" s="34" t="str"/>
      <x:c r="J175" s="34" t="str"/>
      <x:c r="K175" s="34" t="str"/>
      <x:c r="L175" s="34" t="str"/>
      <x:c r="M175" s="34" t="str"/>
    </x:row>
    <x:row r="176">
      <x:c r="A176" s="34" t="str">
        <x:v>M5-LANG-158</x:v>
      </x:c>
      <x:c r="B176" s="34" t="str"/>
      <x:c r="C176" s="34" t="str"/>
      <x:c r="D176" s="34" t="str"/>
      <x:c r="E176" s="34" t="str"/>
      <x:c r="F176" s="34" t="str"/>
      <x:c r="G176" s="34" t="str"/>
      <x:c r="H176" s="34" t="str"/>
      <x:c r="I176" s="34" t="str"/>
      <x:c r="J176" s="34" t="str"/>
      <x:c r="K176" s="34" t="str"/>
      <x:c r="L176" s="34" t="str"/>
      <x:c r="M176" s="34" t="str"/>
    </x:row>
    <x:row r="177">
      <x:c r="A177" s="34" t="str">
        <x:v>M5-LANG-159</x:v>
      </x:c>
      <x:c r="B177" s="34" t="str"/>
      <x:c r="C177" s="34" t="str"/>
      <x:c r="D177" s="34" t="str"/>
      <x:c r="E177" s="34" t="str"/>
      <x:c r="F177" s="34" t="str"/>
      <x:c r="G177" s="34" t="str"/>
      <x:c r="H177" s="34" t="str"/>
      <x:c r="I177" s="34" t="str"/>
      <x:c r="J177" s="34" t="str"/>
      <x:c r="K177" s="34" t="str"/>
      <x:c r="L177" s="34" t="str"/>
      <x:c r="M177" s="34" t="str"/>
    </x:row>
    <x:row r="178">
      <x:c r="A178" s="34" t="str">
        <x:v>M5-LANG-160</x:v>
      </x:c>
      <x:c r="B178" s="34" t="str"/>
      <x:c r="C178" s="34" t="str"/>
      <x:c r="D178" s="34" t="str"/>
      <x:c r="E178" s="34" t="str"/>
      <x:c r="F178" s="34" t="str"/>
      <x:c r="G178" s="34" t="str"/>
      <x:c r="H178" s="34" t="str"/>
      <x:c r="I178" s="34" t="str"/>
      <x:c r="J178" s="34" t="str"/>
      <x:c r="K178" s="34" t="str"/>
      <x:c r="L178" s="34" t="str"/>
      <x:c r="M178" s="34" t="str"/>
    </x:row>
    <x:row r="179">
      <x:c r="A179" s="34" t="str">
        <x:v>M5-LANG-161</x:v>
      </x:c>
      <x:c r="B179" s="34" t="str"/>
      <x:c r="C179" s="34" t="str"/>
      <x:c r="D179" s="34" t="str"/>
      <x:c r="E179" s="34" t="str"/>
      <x:c r="F179" s="34" t="str"/>
      <x:c r="G179" s="34" t="str"/>
      <x:c r="H179" s="34" t="str"/>
      <x:c r="I179" s="34" t="str"/>
      <x:c r="J179" s="34" t="str"/>
      <x:c r="K179" s="34" t="str"/>
      <x:c r="L179" s="34" t="str"/>
      <x:c r="M179" s="34" t="str"/>
    </x:row>
    <x:row r="180">
      <x:c r="A180" s="34" t="str">
        <x:v>M5-LANG-162</x:v>
      </x:c>
      <x:c r="B180" s="34" t="str"/>
      <x:c r="C180" s="34" t="str"/>
      <x:c r="D180" s="34" t="str"/>
      <x:c r="E180" s="34" t="str"/>
      <x:c r="F180" s="34" t="str"/>
      <x:c r="G180" s="34" t="str"/>
      <x:c r="H180" s="34" t="str"/>
      <x:c r="I180" s="34" t="str"/>
      <x:c r="J180" s="34" t="str"/>
      <x:c r="K180" s="34" t="str"/>
      <x:c r="L180" s="34" t="str"/>
      <x:c r="M180" s="34" t="str"/>
    </x:row>
    <x:row r="181">
      <x:c r="A181" s="34" t="str">
        <x:v>M5-LANG-163</x:v>
      </x:c>
      <x:c r="B181" s="34" t="str"/>
      <x:c r="C181" s="34" t="str"/>
      <x:c r="D181" s="34" t="str"/>
      <x:c r="E181" s="34" t="str"/>
      <x:c r="F181" s="34" t="str"/>
      <x:c r="G181" s="34" t="str"/>
      <x:c r="H181" s="34" t="str"/>
      <x:c r="I181" s="34" t="str"/>
      <x:c r="J181" s="34" t="str"/>
      <x:c r="K181" s="34" t="str"/>
      <x:c r="L181" s="34" t="str"/>
      <x:c r="M181" s="34" t="str"/>
    </x:row>
    <x:row r="182">
      <x:c r="A182" s="34" t="str">
        <x:v>M5-LANG-164</x:v>
      </x:c>
      <x:c r="B182" s="34" t="str"/>
      <x:c r="C182" s="34" t="str"/>
      <x:c r="D182" s="34" t="str"/>
      <x:c r="E182" s="34" t="str"/>
      <x:c r="F182" s="34" t="str"/>
      <x:c r="G182" s="34" t="str"/>
      <x:c r="H182" s="34" t="str"/>
      <x:c r="I182" s="34" t="str"/>
      <x:c r="J182" s="34" t="str"/>
      <x:c r="K182" s="34" t="str"/>
      <x:c r="L182" s="34" t="str"/>
      <x:c r="M182" s="34" t="str"/>
    </x:row>
    <x:row r="183">
      <x:c r="A183" s="34" t="str">
        <x:v>M5-LANG-165</x:v>
      </x:c>
      <x:c r="B183" s="34" t="str"/>
      <x:c r="C183" s="34" t="str"/>
      <x:c r="D183" s="34" t="str"/>
      <x:c r="E183" s="34" t="str"/>
      <x:c r="F183" s="34" t="str"/>
      <x:c r="G183" s="34" t="str"/>
      <x:c r="H183" s="34" t="str"/>
      <x:c r="I183" s="34" t="str"/>
      <x:c r="J183" s="34" t="str"/>
      <x:c r="K183" s="34" t="str"/>
      <x:c r="L183" s="34" t="str"/>
      <x:c r="M183" s="34" t="str"/>
    </x:row>
    <x:row r="184">
      <x:c r="A184" s="34" t="str">
        <x:v>M5-LANG-166</x:v>
      </x:c>
      <x:c r="B184" s="34" t="str"/>
      <x:c r="C184" s="34" t="str"/>
      <x:c r="D184" s="34" t="str"/>
      <x:c r="E184" s="34" t="str"/>
      <x:c r="F184" s="34" t="str"/>
      <x:c r="G184" s="34" t="str"/>
      <x:c r="H184" s="34" t="str"/>
      <x:c r="I184" s="34" t="str"/>
      <x:c r="J184" s="34" t="str"/>
      <x:c r="K184" s="34" t="str"/>
      <x:c r="L184" s="34" t="str"/>
      <x:c r="M184" s="34" t="str"/>
    </x:row>
    <x:row r="185">
      <x:c r="A185" s="34" t="str">
        <x:v>M5-LANG-167</x:v>
      </x:c>
      <x:c r="B185" s="34" t="str"/>
      <x:c r="C185" s="34" t="str"/>
      <x:c r="D185" s="34" t="str"/>
      <x:c r="E185" s="34" t="str"/>
      <x:c r="F185" s="34" t="str"/>
      <x:c r="G185" s="34" t="str"/>
      <x:c r="H185" s="34" t="str"/>
      <x:c r="I185" s="34" t="str"/>
      <x:c r="J185" s="34" t="str"/>
      <x:c r="K185" s="34" t="str"/>
      <x:c r="L185" s="34" t="str"/>
      <x:c r="M185" s="34" t="str"/>
    </x:row>
    <x:row r="186">
      <x:c r="A186" s="34" t="str">
        <x:v>M5-LANG-168</x:v>
      </x:c>
      <x:c r="B186" s="34" t="str"/>
      <x:c r="C186" s="34" t="str"/>
      <x:c r="D186" s="34" t="str"/>
      <x:c r="E186" s="34" t="str"/>
      <x:c r="F186" s="34" t="str"/>
      <x:c r="G186" s="34" t="str"/>
      <x:c r="H186" s="34" t="str"/>
      <x:c r="I186" s="34" t="str"/>
      <x:c r="J186" s="34" t="str"/>
      <x:c r="K186" s="34" t="str"/>
      <x:c r="L186" s="34" t="str"/>
      <x:c r="M186" s="34" t="str"/>
    </x:row>
    <x:row r="187">
      <x:c r="A187" s="34" t="str">
        <x:v>M5-LANG-169</x:v>
      </x:c>
      <x:c r="B187" s="34" t="str"/>
      <x:c r="C187" s="34" t="str"/>
      <x:c r="D187" s="34" t="str"/>
      <x:c r="E187" s="34" t="str"/>
      <x:c r="F187" s="34" t="str"/>
      <x:c r="G187" s="34" t="str"/>
      <x:c r="H187" s="34" t="str"/>
      <x:c r="I187" s="34" t="str"/>
      <x:c r="J187" s="34" t="str"/>
      <x:c r="K187" s="34" t="str"/>
      <x:c r="L187" s="34" t="str"/>
      <x:c r="M187" s="34" t="str"/>
    </x:row>
    <x:row r="188">
      <x:c r="A188" s="34" t="str">
        <x:v>M5-LANG-170</x:v>
      </x:c>
      <x:c r="B188" s="34" t="str"/>
      <x:c r="C188" s="34" t="str"/>
      <x:c r="D188" s="34" t="str"/>
      <x:c r="E188" s="34" t="str"/>
      <x:c r="F188" s="34" t="str"/>
      <x:c r="G188" s="34" t="str"/>
      <x:c r="H188" s="34" t="str"/>
      <x:c r="I188" s="34" t="str"/>
      <x:c r="J188" s="34" t="str"/>
      <x:c r="K188" s="34" t="str"/>
      <x:c r="L188" s="34" t="str"/>
      <x:c r="M188" s="34" t="str"/>
    </x:row>
    <x:row r="189">
      <x:c r="A189" s="34" t="str">
        <x:v>M5-LANG-171</x:v>
      </x:c>
      <x:c r="B189" s="34" t="str"/>
      <x:c r="C189" s="34" t="str"/>
      <x:c r="D189" s="34" t="str"/>
      <x:c r="E189" s="34" t="str"/>
      <x:c r="F189" s="34" t="str"/>
      <x:c r="G189" s="34" t="str"/>
      <x:c r="H189" s="34" t="str"/>
      <x:c r="I189" s="34" t="str"/>
      <x:c r="J189" s="34" t="str"/>
      <x:c r="K189" s="34" t="str"/>
      <x:c r="L189" s="34" t="str"/>
      <x:c r="M189" s="34" t="str"/>
    </x:row>
    <x:row r="190">
      <x:c r="A190" s="34" t="str">
        <x:v>M5-LANG-172</x:v>
      </x:c>
      <x:c r="B190" s="34" t="str"/>
      <x:c r="C190" s="34" t="str"/>
      <x:c r="D190" s="34" t="str"/>
      <x:c r="E190" s="34" t="str"/>
      <x:c r="F190" s="34" t="str"/>
      <x:c r="G190" s="34" t="str"/>
      <x:c r="H190" s="34" t="str"/>
      <x:c r="I190" s="34" t="str"/>
      <x:c r="J190" s="34" t="str"/>
      <x:c r="K190" s="34" t="str"/>
      <x:c r="L190" s="34" t="str"/>
      <x:c r="M190" s="34" t="str"/>
    </x:row>
    <x:row r="191">
      <x:c r="A191" s="34" t="str">
        <x:v>M5-LANG-173</x:v>
      </x:c>
      <x:c r="B191" s="34" t="str"/>
      <x:c r="C191" s="34" t="str"/>
      <x:c r="D191" s="34" t="str"/>
      <x:c r="E191" s="34" t="str"/>
      <x:c r="F191" s="34" t="str"/>
      <x:c r="G191" s="34" t="str"/>
      <x:c r="H191" s="34" t="str"/>
      <x:c r="I191" s="34" t="str"/>
      <x:c r="J191" s="34" t="str"/>
      <x:c r="K191" s="34" t="str"/>
      <x:c r="L191" s="34" t="str"/>
      <x:c r="M191" s="34" t="str"/>
    </x:row>
    <x:row r="192">
      <x:c r="A192" s="34" t="str">
        <x:v>M5-LANG-174</x:v>
      </x:c>
      <x:c r="B192" s="34" t="str"/>
      <x:c r="C192" s="34" t="str"/>
      <x:c r="D192" s="34" t="str"/>
      <x:c r="E192" s="34" t="str"/>
      <x:c r="F192" s="34" t="str"/>
      <x:c r="G192" s="34" t="str"/>
      <x:c r="H192" s="34" t="str"/>
      <x:c r="I192" s="34" t="str"/>
      <x:c r="J192" s="34" t="str"/>
      <x:c r="K192" s="34" t="str"/>
      <x:c r="L192" s="34" t="str"/>
      <x:c r="M192" s="34" t="str"/>
    </x:row>
    <x:row r="193">
      <x:c r="A193" s="34" t="str">
        <x:v>M5-LANG-175</x:v>
      </x:c>
      <x:c r="B193" s="34" t="str"/>
      <x:c r="C193" s="34" t="str"/>
      <x:c r="D193" s="34" t="str"/>
      <x:c r="E193" s="34" t="str"/>
      <x:c r="F193" s="34" t="str"/>
      <x:c r="G193" s="34" t="str"/>
      <x:c r="H193" s="34" t="str"/>
      <x:c r="I193" s="34" t="str"/>
      <x:c r="J193" s="34" t="str"/>
      <x:c r="K193" s="34" t="str"/>
      <x:c r="L193" s="34" t="str"/>
      <x:c r="M193" s="34" t="str"/>
    </x:row>
    <x:row r="194">
      <x:c r="A194" s="34" t="str">
        <x:v>M5-LANG-176</x:v>
      </x:c>
      <x:c r="B194" s="34" t="str"/>
      <x:c r="C194" s="34" t="str"/>
      <x:c r="D194" s="34" t="str"/>
      <x:c r="E194" s="34" t="str"/>
      <x:c r="F194" s="34" t="str"/>
      <x:c r="G194" s="34" t="str"/>
      <x:c r="H194" s="34" t="str"/>
      <x:c r="I194" s="34" t="str"/>
      <x:c r="J194" s="34" t="str"/>
      <x:c r="K194" s="34" t="str"/>
      <x:c r="L194" s="34" t="str"/>
      <x:c r="M194" s="34" t="str"/>
    </x:row>
    <x:row r="195">
      <x:c r="A195" s="34" t="str">
        <x:v>M5-LANG-177</x:v>
      </x:c>
      <x:c r="B195" s="34" t="str"/>
      <x:c r="C195" s="34" t="str"/>
      <x:c r="D195" s="34" t="str"/>
      <x:c r="E195" s="34" t="str"/>
      <x:c r="F195" s="34" t="str"/>
      <x:c r="G195" s="34" t="str"/>
      <x:c r="H195" s="34" t="str"/>
      <x:c r="I195" s="34" t="str"/>
      <x:c r="J195" s="34" t="str"/>
      <x:c r="K195" s="34" t="str"/>
      <x:c r="L195" s="34" t="str"/>
      <x:c r="M195" s="34" t="str"/>
    </x:row>
    <x:row r="196">
      <x:c r="A196" s="34" t="str">
        <x:v>M5-LANG-178</x:v>
      </x:c>
      <x:c r="B196" s="34" t="str"/>
      <x:c r="C196" s="34" t="str"/>
      <x:c r="D196" s="34" t="str"/>
      <x:c r="E196" s="34" t="str"/>
      <x:c r="F196" s="34" t="str"/>
      <x:c r="G196" s="34" t="str"/>
      <x:c r="H196" s="34" t="str"/>
      <x:c r="I196" s="34" t="str"/>
      <x:c r="J196" s="34" t="str"/>
      <x:c r="K196" s="34" t="str"/>
      <x:c r="L196" s="34" t="str"/>
      <x:c r="M196" s="34" t="str"/>
    </x:row>
    <x:row r="197">
      <x:c r="A197" s="34" t="str">
        <x:v>M5-LANG-179</x:v>
      </x:c>
      <x:c r="B197" s="34" t="str"/>
      <x:c r="C197" s="34" t="str"/>
      <x:c r="D197" s="34" t="str"/>
      <x:c r="E197" s="34" t="str"/>
      <x:c r="F197" s="34" t="str"/>
      <x:c r="G197" s="34" t="str"/>
      <x:c r="H197" s="34" t="str"/>
      <x:c r="I197" s="34" t="str"/>
      <x:c r="J197" s="34" t="str"/>
      <x:c r="K197" s="34" t="str"/>
      <x:c r="L197" s="34" t="str"/>
      <x:c r="M197" s="34" t="str"/>
    </x:row>
    <x:row r="198">
      <x:c r="A198" s="34" t="str">
        <x:v>M5-LANG-180</x:v>
      </x:c>
      <x:c r="B198" s="34" t="str"/>
      <x:c r="C198" s="34" t="str"/>
      <x:c r="D198" s="34" t="str"/>
      <x:c r="E198" s="34" t="str"/>
      <x:c r="F198" s="34" t="str"/>
      <x:c r="G198" s="34" t="str"/>
      <x:c r="H198" s="34" t="str"/>
      <x:c r="I198" s="34" t="str"/>
      <x:c r="J198" s="34" t="str"/>
      <x:c r="K198" s="34" t="str"/>
      <x:c r="L198" s="34" t="str"/>
      <x:c r="M198" s="34" t="str"/>
    </x:row>
    <x:row r="199">
      <x:c r="A199" s="34" t="str">
        <x:v>M5-LANG-181</x:v>
      </x:c>
      <x:c r="B199" s="34" t="str"/>
      <x:c r="C199" s="34" t="str"/>
      <x:c r="D199" s="34" t="str"/>
      <x:c r="E199" s="34" t="str"/>
      <x:c r="F199" s="34" t="str"/>
      <x:c r="G199" s="34" t="str"/>
      <x:c r="H199" s="34" t="str"/>
      <x:c r="I199" s="34" t="str"/>
      <x:c r="J199" s="34" t="str"/>
      <x:c r="K199" s="34" t="str"/>
      <x:c r="L199" s="34" t="str"/>
      <x:c r="M199" s="34" t="str"/>
    </x:row>
    <x:row r="200">
      <x:c r="A200" s="34" t="str">
        <x:v>M5-LANG-182</x:v>
      </x:c>
      <x:c r="B200" s="34" t="str"/>
      <x:c r="C200" s="34" t="str"/>
      <x:c r="D200" s="34" t="str"/>
      <x:c r="E200" s="34" t="str"/>
      <x:c r="F200" s="34" t="str"/>
      <x:c r="G200" s="34" t="str"/>
      <x:c r="H200" s="34" t="str"/>
      <x:c r="I200" s="34" t="str"/>
      <x:c r="J200" s="34" t="str"/>
      <x:c r="K200" s="34" t="str"/>
      <x:c r="L200" s="34" t="str"/>
      <x:c r="M200" s="34" t="str"/>
    </x:row>
    <x:row r="201">
      <x:c r="A201" s="34" t="str">
        <x:v>M5-LANG-183</x:v>
      </x:c>
      <x:c r="B201" s="34" t="str"/>
      <x:c r="C201" s="34" t="str"/>
      <x:c r="D201" s="34" t="str"/>
      <x:c r="E201" s="34" t="str"/>
      <x:c r="F201" s="34" t="str"/>
      <x:c r="G201" s="34" t="str"/>
      <x:c r="H201" s="34" t="str"/>
      <x:c r="I201" s="34" t="str"/>
      <x:c r="J201" s="34" t="str"/>
      <x:c r="K201" s="34" t="str"/>
      <x:c r="L201" s="34" t="str"/>
      <x:c r="M201" s="34" t="str"/>
    </x:row>
    <x:row r="202">
      <x:c r="A202" s="34" t="str">
        <x:v>M5-LANG-184</x:v>
      </x:c>
      <x:c r="B202" s="34" t="str"/>
      <x:c r="C202" s="34" t="str"/>
      <x:c r="D202" s="34" t="str"/>
      <x:c r="E202" s="34" t="str"/>
      <x:c r="F202" s="34" t="str"/>
      <x:c r="G202" s="34" t="str"/>
      <x:c r="H202" s="34" t="str"/>
      <x:c r="I202" s="34" t="str"/>
      <x:c r="J202" s="34" t="str"/>
      <x:c r="K202" s="34" t="str"/>
      <x:c r="L202" s="34" t="str"/>
      <x:c r="M202" s="34" t="str"/>
    </x:row>
    <x:row r="203">
      <x:c r="A203" s="34" t="str">
        <x:v>M5-LANG-185</x:v>
      </x:c>
      <x:c r="B203" s="34" t="str"/>
      <x:c r="C203" s="34" t="str"/>
      <x:c r="D203" s="34" t="str"/>
      <x:c r="E203" s="34" t="str"/>
      <x:c r="F203" s="34" t="str"/>
      <x:c r="G203" s="34" t="str"/>
      <x:c r="H203" s="34" t="str"/>
      <x:c r="I203" s="34" t="str"/>
      <x:c r="J203" s="34" t="str"/>
      <x:c r="K203" s="34" t="str"/>
      <x:c r="L203" s="34" t="str"/>
      <x:c r="M203" s="34" t="str"/>
    </x:row>
    <x:row r="204">
      <x:c r="A204" s="34" t="str">
        <x:v>M5-LANG-186</x:v>
      </x:c>
      <x:c r="B204" s="34" t="str"/>
      <x:c r="C204" s="34" t="str"/>
      <x:c r="D204" s="34" t="str"/>
      <x:c r="E204" s="34" t="str"/>
      <x:c r="F204" s="34" t="str"/>
      <x:c r="G204" s="34" t="str"/>
      <x:c r="H204" s="34" t="str"/>
      <x:c r="I204" s="34" t="str"/>
      <x:c r="J204" s="34" t="str"/>
      <x:c r="K204" s="34" t="str"/>
      <x:c r="L204" s="34" t="str"/>
      <x:c r="M204" s="34" t="str"/>
    </x:row>
    <x:row r="205">
      <x:c r="A205" s="34" t="str">
        <x:v>M5-LANG-187</x:v>
      </x:c>
      <x:c r="B205" s="34" t="str"/>
      <x:c r="C205" s="34" t="str"/>
      <x:c r="D205" s="34" t="str"/>
      <x:c r="E205" s="34" t="str"/>
      <x:c r="F205" s="34" t="str"/>
      <x:c r="G205" s="34" t="str"/>
      <x:c r="H205" s="34" t="str"/>
      <x:c r="I205" s="34" t="str"/>
      <x:c r="J205" s="34" t="str"/>
      <x:c r="K205" s="34" t="str"/>
      <x:c r="L205" s="34" t="str"/>
      <x:c r="M205" s="34" t="str"/>
    </x:row>
    <x:row r="206">
      <x:c r="A206" s="34" t="str">
        <x:v>M5-LANG-188</x:v>
      </x:c>
      <x:c r="B206" s="34" t="str"/>
      <x:c r="C206" s="34" t="str"/>
      <x:c r="D206" s="34" t="str"/>
      <x:c r="E206" s="34" t="str"/>
      <x:c r="F206" s="34" t="str"/>
      <x:c r="G206" s="34" t="str"/>
      <x:c r="H206" s="34" t="str"/>
      <x:c r="I206" s="34" t="str"/>
      <x:c r="J206" s="34" t="str"/>
      <x:c r="K206" s="34" t="str"/>
      <x:c r="L206" s="34" t="str"/>
      <x:c r="M206" s="34" t="str"/>
    </x:row>
    <x:row r="207">
      <x:c r="A207" s="34" t="str">
        <x:v>M5-LANG-189</x:v>
      </x:c>
      <x:c r="B207" s="34" t="str"/>
      <x:c r="C207" s="34" t="str"/>
      <x:c r="D207" s="34" t="str"/>
      <x:c r="E207" s="34" t="str"/>
      <x:c r="F207" s="34" t="str"/>
      <x:c r="G207" s="34" t="str"/>
      <x:c r="H207" s="34" t="str"/>
      <x:c r="I207" s="34" t="str"/>
      <x:c r="J207" s="34" t="str"/>
      <x:c r="K207" s="34" t="str"/>
      <x:c r="L207" s="34" t="str"/>
      <x:c r="M207" s="34" t="str"/>
    </x:row>
    <x:row r="208">
      <x:c r="A208" s="34" t="str">
        <x:v>M5-LANG-190</x:v>
      </x:c>
      <x:c r="B208" s="34" t="str"/>
      <x:c r="C208" s="34" t="str"/>
      <x:c r="D208" s="34" t="str"/>
      <x:c r="E208" s="34" t="str"/>
      <x:c r="F208" s="34" t="str"/>
      <x:c r="G208" s="34" t="str"/>
      <x:c r="H208" s="34" t="str"/>
      <x:c r="I208" s="34" t="str"/>
      <x:c r="J208" s="34" t="str"/>
      <x:c r="K208" s="34" t="str"/>
      <x:c r="L208" s="34" t="str"/>
      <x:c r="M208" s="34" t="str"/>
    </x:row>
    <x:row r="209">
      <x:c r="A209" s="34" t="str">
        <x:v>M5-LANG-191</x:v>
      </x:c>
      <x:c r="B209" s="34" t="str"/>
      <x:c r="C209" s="34" t="str"/>
      <x:c r="D209" s="34" t="str"/>
      <x:c r="E209" s="34" t="str"/>
      <x:c r="F209" s="34" t="str"/>
      <x:c r="G209" s="34" t="str"/>
      <x:c r="H209" s="34" t="str"/>
      <x:c r="I209" s="34" t="str"/>
      <x:c r="J209" s="34" t="str"/>
      <x:c r="K209" s="34" t="str"/>
      <x:c r="L209" s="34" t="str"/>
      <x:c r="M209" s="34" t="str"/>
    </x:row>
    <x:row r="210">
      <x:c r="A210" s="34" t="str">
        <x:v>M5-LANG-192</x:v>
      </x:c>
      <x:c r="B210" s="34" t="str"/>
      <x:c r="C210" s="34" t="str"/>
      <x:c r="D210" s="34" t="str"/>
      <x:c r="E210" s="34" t="str"/>
      <x:c r="F210" s="34" t="str"/>
      <x:c r="G210" s="34" t="str"/>
      <x:c r="H210" s="34" t="str"/>
      <x:c r="I210" s="34" t="str"/>
      <x:c r="J210" s="34" t="str"/>
      <x:c r="K210" s="34" t="str"/>
      <x:c r="L210" s="34" t="str"/>
      <x:c r="M210" s="34" t="str"/>
    </x:row>
    <x:row r="211">
      <x:c r="A211" s="34" t="str">
        <x:v>M5-LANG-193</x:v>
      </x:c>
      <x:c r="B211" s="34" t="str"/>
      <x:c r="C211" s="34" t="str"/>
      <x:c r="D211" s="34" t="str"/>
      <x:c r="E211" s="34" t="str"/>
      <x:c r="F211" s="34" t="str"/>
      <x:c r="G211" s="34" t="str"/>
      <x:c r="H211" s="34" t="str"/>
      <x:c r="I211" s="34" t="str"/>
      <x:c r="J211" s="34" t="str"/>
      <x:c r="K211" s="34" t="str"/>
      <x:c r="L211" s="34" t="str"/>
      <x:c r="M211" s="34" t="str"/>
    </x:row>
    <x:row r="212">
      <x:c r="A212" s="34" t="str">
        <x:v>M5-LANG-194</x:v>
      </x:c>
      <x:c r="B212" s="34" t="str"/>
      <x:c r="C212" s="34" t="str"/>
      <x:c r="D212" s="34" t="str"/>
      <x:c r="E212" s="34" t="str"/>
      <x:c r="F212" s="34" t="str"/>
      <x:c r="G212" s="34" t="str"/>
      <x:c r="H212" s="34" t="str"/>
      <x:c r="I212" s="34" t="str"/>
      <x:c r="J212" s="34" t="str"/>
      <x:c r="K212" s="34" t="str"/>
      <x:c r="L212" s="34" t="str"/>
      <x:c r="M212" s="34" t="str"/>
    </x:row>
    <x:row r="213">
      <x:c r="A213" s="34" t="str">
        <x:v>M5-LANG-195</x:v>
      </x:c>
      <x:c r="B213" s="34" t="str"/>
      <x:c r="C213" s="34" t="str"/>
      <x:c r="D213" s="34" t="str"/>
      <x:c r="E213" s="34" t="str"/>
      <x:c r="F213" s="34" t="str"/>
      <x:c r="G213" s="34" t="str"/>
      <x:c r="H213" s="34" t="str"/>
      <x:c r="I213" s="34" t="str"/>
      <x:c r="J213" s="34" t="str"/>
      <x:c r="K213" s="34" t="str"/>
      <x:c r="L213" s="34" t="str"/>
      <x:c r="M213" s="34" t="str"/>
    </x:row>
    <x:row r="214">
      <x:c r="A214" s="34" t="str">
        <x:v>M5-LANG-196</x:v>
      </x:c>
      <x:c r="B214" s="34" t="str"/>
      <x:c r="C214" s="34" t="str"/>
      <x:c r="D214" s="34" t="str"/>
      <x:c r="E214" s="34" t="str"/>
      <x:c r="F214" s="34" t="str"/>
      <x:c r="G214" s="34" t="str"/>
      <x:c r="H214" s="34" t="str"/>
      <x:c r="I214" s="34" t="str"/>
      <x:c r="J214" s="34" t="str"/>
      <x:c r="K214" s="34" t="str"/>
      <x:c r="L214" s="34" t="str"/>
      <x:c r="M214" s="34" t="str"/>
    </x:row>
    <x:row r="215">
      <x:c r="A215" s="34" t="str">
        <x:v>M5-LANG-197</x:v>
      </x:c>
      <x:c r="B215" s="34" t="str"/>
      <x:c r="C215" s="34" t="str"/>
      <x:c r="D215" s="34" t="str"/>
      <x:c r="E215" s="34" t="str"/>
      <x:c r="F215" s="34" t="str"/>
      <x:c r="G215" s="34" t="str"/>
      <x:c r="H215" s="34" t="str"/>
      <x:c r="I215" s="34" t="str"/>
      <x:c r="J215" s="34" t="str"/>
      <x:c r="K215" s="34" t="str"/>
      <x:c r="L215" s="34" t="str"/>
      <x:c r="M215" s="34" t="str"/>
    </x:row>
    <x:row r="216">
      <x:c r="A216" s="34" t="str">
        <x:v>M5-LANG-198</x:v>
      </x:c>
      <x:c r="B216" s="34" t="str"/>
      <x:c r="C216" s="34" t="str"/>
      <x:c r="D216" s="34" t="str"/>
      <x:c r="E216" s="34" t="str"/>
      <x:c r="F216" s="34" t="str"/>
      <x:c r="G216" s="34" t="str"/>
      <x:c r="H216" s="34" t="str"/>
      <x:c r="I216" s="34" t="str"/>
      <x:c r="J216" s="34" t="str"/>
      <x:c r="K216" s="34" t="str"/>
      <x:c r="L216" s="34" t="str"/>
      <x:c r="M216" s="34" t="str"/>
    </x:row>
    <x:row r="217">
      <x:c r="A217" s="34" t="str">
        <x:v>M5-LANG-199</x:v>
      </x:c>
      <x:c r="B217" s="34" t="str"/>
      <x:c r="C217" s="34" t="str"/>
      <x:c r="D217" s="34" t="str"/>
      <x:c r="E217" s="34" t="str"/>
      <x:c r="F217" s="34" t="str"/>
      <x:c r="G217" s="34" t="str"/>
      <x:c r="H217" s="34" t="str"/>
      <x:c r="I217" s="34" t="str"/>
      <x:c r="J217" s="34" t="str"/>
      <x:c r="K217" s="34" t="str"/>
      <x:c r="L217" s="34" t="str"/>
      <x:c r="M217" s="34" t="str"/>
    </x:row>
    <x:row r="218">
      <x:c r="A218" s="34" t="str">
        <x:v>M5-LANG-200</x:v>
      </x:c>
      <x:c r="B218" s="34" t="str"/>
      <x:c r="C218" s="34" t="str"/>
      <x:c r="D218" s="34" t="str"/>
      <x:c r="E218" s="34" t="str"/>
      <x:c r="F218" s="34" t="str"/>
      <x:c r="G218" s="34" t="str"/>
      <x:c r="H218" s="34" t="str"/>
      <x:c r="I218" s="34" t="str"/>
      <x:c r="J218" s="34" t="str"/>
      <x:c r="K218" s="34" t="str"/>
      <x:c r="L218" s="34" t="str"/>
      <x:c r="M218" s="34" t="str"/>
    </x:row>
  </x:sheetData>
  <x:mergeCells>
    <x:mergeCell ref="A1:M2"/>
    <x:mergeCell ref="A3:M3"/>
  </x:mergeCells>
  <x:dataValidations count="4">
    <x:dataValidation type="list" sqref="C19:C218">
      <x:formula1>"BASE,PARTNER,EXCHANGE,BOUND,REPAIR,RHYTHM,GAP,SYNTH"</x:formula1>
    </x:dataValidation>
    <x:dataValidation type="list" sqref="F19:F218">
      <x:formula1>"L01,L02,L03,L04,L05,L06,L07,L08,L09,L10"</x:formula1>
    </x:dataValidation>
    <x:dataValidation type="list" sqref="I19:J218">
      <x:formula1>"是,否"</x:formula1>
    </x:dataValidation>
    <x:dataValidation type="list" sqref="L19:L218">
      <x:formula1>"待处理,处理中,已通过,撤回"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97682d4d45d42c6"/>
    <x:tablePart xmlns:r="http://schemas.openxmlformats.org/officeDocument/2006/relationships" r:id="R226353684781400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28" hidden="0" customWidth="1"/>
    <x:col min="6" max="6" width="16" hidden="0" customWidth="1"/>
    <x:col min="7" max="7" width="30" hidden="0" customWidth="1"/>
    <x:col min="8" max="8" width="16" hidden="0" customWidth="1"/>
    <x:col min="9" max="9" width="30" hidden="0" customWidth="1"/>
    <x:col min="10" max="10" width="14" hidden="0" customWidth="1"/>
    <x:col min="11" max="11" width="14" hidden="0" customWidth="1"/>
    <x:col min="12" max="12" width="30" hidden="0" customWidth="1"/>
    <x:col min="13" max="13" width="16" hidden="0" customWidth="1"/>
    <x:col min="14" max="14" width="42" hidden="0" customWidth="1"/>
    <x:col min="15" max="15" width="16" hidden="0" customWidth="1"/>
    <x:col min="16" max="16" width="40" hidden="0" customWidth="1"/>
  </x:cols>
  <x:sheetData>
    <x:row r="1">
      <x:c r="A1" s="45" t="str">
        <x:v>双人盲评、一致性与裁决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</x:row>
    <x:row r="3">
      <x:c r="A3" s="50" t="str">
        <x:v>A、B复核者独立编码；分歧进入裁决。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</x:row>
    <x:row r="5">
      <x:c r="A5" s="55" t="str">
        <x:v>review_id</x:v>
      </x:c>
      <x:c r="B5" s="55" t="str">
        <x:v>case_id</x:v>
      </x:c>
      <x:c r="C5" s="55" t="str">
        <x:v>snapshot_id</x:v>
      </x:c>
      <x:c r="D5" s="55" t="str">
        <x:v>模块</x:v>
      </x:c>
      <x:c r="E5" s="55" t="str">
        <x:v>字段</x:v>
      </x:c>
      <x:c r="F5" s="55" t="str">
        <x:v>复核者A</x:v>
      </x:c>
      <x:c r="G5" s="55" t="str">
        <x:v>A值</x:v>
      </x:c>
      <x:c r="H5" s="55" t="str">
        <x:v>复核者B</x:v>
      </x:c>
      <x:c r="I5" s="55" t="str">
        <x:v>B值</x:v>
      </x:c>
      <x:c r="J5" s="55" t="str">
        <x:v>完全一致</x:v>
      </x:c>
      <x:c r="K5" s="55" t="str">
        <x:v>裁决一致分</x:v>
      </x:c>
      <x:c r="L5" s="55" t="str">
        <x:v>裁决值</x:v>
      </x:c>
      <x:c r="M5" s="55" t="str">
        <x:v>裁决者</x:v>
      </x:c>
      <x:c r="N5" s="55" t="str">
        <x:v>分歧原因</x:v>
      </x:c>
      <x:c r="O5" s="55" t="str">
        <x:v>状态</x:v>
      </x:c>
      <x:c r="P5" s="55" t="str">
        <x:v>备注</x:v>
      </x:c>
    </x:row>
    <x:row r="6">
      <x:c r="A6" s="34" t="str">
        <x:v>M5-BLIND-001</x:v>
      </x:c>
      <x:c r="B6" s="34" t="str"/>
      <x:c r="C6" s="34" t="str"/>
      <x:c r="D6" s="34" t="str"/>
      <x:c r="E6" s="34" t="str"/>
      <x:c r="F6" s="34" t="str"/>
      <x:c r="G6" s="34" t="str"/>
      <x:c r="H6" s="34" t="str"/>
      <x:c r="I6" s="34" t="str"/>
      <x:c r="J6" s="34" t="str">
        <x:f>IF(OR(G6="",I6=""),"待评",IF(G6=I6,"一致","不一致"))</x:f>
        <x:v>待评</x:v>
      </x:c>
      <x:c r="K6" s="34" t="str"/>
      <x:c r="L6" s="34" t="str"/>
      <x:c r="M6" s="34" t="str"/>
      <x:c r="N6" s="34" t="str"/>
      <x:c r="O6" s="34" t="str"/>
      <x:c r="P6" s="34" t="str"/>
    </x:row>
    <x:row r="7">
      <x:c r="A7" s="34" t="str">
        <x:v>M5-BLIND-002</x:v>
      </x:c>
      <x:c r="B7" s="34" t="str"/>
      <x:c r="C7" s="34" t="str"/>
      <x:c r="D7" s="34" t="str"/>
      <x:c r="E7" s="34" t="str"/>
      <x:c r="F7" s="34" t="str"/>
      <x:c r="G7" s="34" t="str"/>
      <x:c r="H7" s="34" t="str"/>
      <x:c r="I7" s="34" t="str"/>
      <x:c r="J7" s="34" t="str">
        <x:f>IF(OR(G7="",I7=""),"待评",IF(G7=I7,"一致","不一致"))</x:f>
        <x:v>待评</x:v>
      </x:c>
      <x:c r="K7" s="34" t="str"/>
      <x:c r="L7" s="34" t="str"/>
      <x:c r="M7" s="34" t="str"/>
      <x:c r="N7" s="34" t="str"/>
      <x:c r="O7" s="34" t="str"/>
      <x:c r="P7" s="34" t="str"/>
    </x:row>
    <x:row r="8">
      <x:c r="A8" s="34" t="str">
        <x:v>M5-BLIND-003</x:v>
      </x:c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>
        <x:f>IF(OR(G8="",I8=""),"待评",IF(G8=I8,"一致","不一致"))</x:f>
        <x:v>待评</x:v>
      </x:c>
      <x:c r="K8" s="34" t="str"/>
      <x:c r="L8" s="34" t="str"/>
      <x:c r="M8" s="34" t="str"/>
      <x:c r="N8" s="34" t="str"/>
      <x:c r="O8" s="34" t="str"/>
      <x:c r="P8" s="34" t="str"/>
    </x:row>
    <x:row r="9">
      <x:c r="A9" s="34" t="str">
        <x:v>M5-BLIND-004</x:v>
      </x:c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>
        <x:f>IF(OR(G9="",I9=""),"待评",IF(G9=I9,"一致","不一致"))</x:f>
        <x:v>待评</x:v>
      </x:c>
      <x:c r="K9" s="34" t="str"/>
      <x:c r="L9" s="34" t="str"/>
      <x:c r="M9" s="34" t="str"/>
      <x:c r="N9" s="34" t="str"/>
      <x:c r="O9" s="34" t="str"/>
      <x:c r="P9" s="34" t="str"/>
    </x:row>
    <x:row r="10">
      <x:c r="A10" s="34" t="str">
        <x:v>M5-BLIND-005</x:v>
      </x:c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>
        <x:f>IF(OR(G10="",I10=""),"待评",IF(G10=I10,"一致","不一致"))</x:f>
        <x:v>待评</x:v>
      </x:c>
      <x:c r="K10" s="34" t="str"/>
      <x:c r="L10" s="34" t="str"/>
      <x:c r="M10" s="34" t="str"/>
      <x:c r="N10" s="34" t="str"/>
      <x:c r="O10" s="34" t="str"/>
      <x:c r="P10" s="34" t="str"/>
    </x:row>
    <x:row r="11">
      <x:c r="A11" s="34" t="str">
        <x:v>M5-BLIND-006</x:v>
      </x:c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>
        <x:f>IF(OR(G11="",I11=""),"待评",IF(G11=I11,"一致","不一致"))</x:f>
        <x:v>待评</x:v>
      </x:c>
      <x:c r="K11" s="34" t="str"/>
      <x:c r="L11" s="34" t="str"/>
      <x:c r="M11" s="34" t="str"/>
      <x:c r="N11" s="34" t="str"/>
      <x:c r="O11" s="34" t="str"/>
      <x:c r="P11" s="34" t="str"/>
    </x:row>
    <x:row r="12">
      <x:c r="A12" s="34" t="str">
        <x:v>M5-BLIND-007</x:v>
      </x:c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>
        <x:f>IF(OR(G12="",I12=""),"待评",IF(G12=I12,"一致","不一致"))</x:f>
        <x:v>待评</x:v>
      </x:c>
      <x:c r="K12" s="34" t="str"/>
      <x:c r="L12" s="34" t="str"/>
      <x:c r="M12" s="34" t="str"/>
      <x:c r="N12" s="34" t="str"/>
      <x:c r="O12" s="34" t="str"/>
      <x:c r="P12" s="34" t="str"/>
    </x:row>
    <x:row r="13">
      <x:c r="A13" s="34" t="str">
        <x:v>M5-BLIND-008</x:v>
      </x:c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>
        <x:f>IF(OR(G13="",I13=""),"待评",IF(G13=I13,"一致","不一致"))</x:f>
        <x:v>待评</x:v>
      </x:c>
      <x:c r="K13" s="34" t="str"/>
      <x:c r="L13" s="34" t="str"/>
      <x:c r="M13" s="34" t="str"/>
      <x:c r="N13" s="34" t="str"/>
      <x:c r="O13" s="34" t="str"/>
      <x:c r="P13" s="34" t="str"/>
    </x:row>
    <x:row r="14">
      <x:c r="A14" s="34" t="str">
        <x:v>M5-BLIND-009</x:v>
      </x:c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>
        <x:f>IF(OR(G14="",I14=""),"待评",IF(G14=I14,"一致","不一致"))</x:f>
        <x:v>待评</x:v>
      </x:c>
      <x:c r="K14" s="34" t="str"/>
      <x:c r="L14" s="34" t="str"/>
      <x:c r="M14" s="34" t="str"/>
      <x:c r="N14" s="34" t="str"/>
      <x:c r="O14" s="34" t="str"/>
      <x:c r="P14" s="34" t="str"/>
    </x:row>
    <x:row r="15">
      <x:c r="A15" s="34" t="str">
        <x:v>M5-BLIND-010</x:v>
      </x:c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>
        <x:f>IF(OR(G15="",I15=""),"待评",IF(G15=I15,"一致","不一致"))</x:f>
        <x:v>待评</x:v>
      </x:c>
      <x:c r="K15" s="34" t="str"/>
      <x:c r="L15" s="34" t="str"/>
      <x:c r="M15" s="34" t="str"/>
      <x:c r="N15" s="34" t="str"/>
      <x:c r="O15" s="34" t="str"/>
      <x:c r="P15" s="34" t="str"/>
    </x:row>
    <x:row r="16">
      <x:c r="A16" s="34" t="str">
        <x:v>M5-BLIND-011</x:v>
      </x:c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>
        <x:f>IF(OR(G16="",I16=""),"待评",IF(G16=I16,"一致","不一致"))</x:f>
        <x:v>待评</x:v>
      </x:c>
      <x:c r="K16" s="34" t="str"/>
      <x:c r="L16" s="34" t="str"/>
      <x:c r="M16" s="34" t="str"/>
      <x:c r="N16" s="34" t="str"/>
      <x:c r="O16" s="34" t="str"/>
      <x:c r="P16" s="34" t="str"/>
    </x:row>
    <x:row r="17">
      <x:c r="A17" s="34" t="str">
        <x:v>M5-BLIND-012</x:v>
      </x:c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>
        <x:f>IF(OR(G17="",I17=""),"待评",IF(G17=I17,"一致","不一致"))</x:f>
        <x:v>待评</x:v>
      </x:c>
      <x:c r="K17" s="34" t="str"/>
      <x:c r="L17" s="34" t="str"/>
      <x:c r="M17" s="34" t="str"/>
      <x:c r="N17" s="34" t="str"/>
      <x:c r="O17" s="34" t="str"/>
      <x:c r="P17" s="34" t="str"/>
    </x:row>
    <x:row r="18">
      <x:c r="A18" s="34" t="str">
        <x:v>M5-BLIND-013</x:v>
      </x:c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>
        <x:f>IF(OR(G18="",I18=""),"待评",IF(G18=I18,"一致","不一致"))</x:f>
        <x:v>待评</x:v>
      </x:c>
      <x:c r="K18" s="34" t="str"/>
      <x:c r="L18" s="34" t="str"/>
      <x:c r="M18" s="34" t="str"/>
      <x:c r="N18" s="34" t="str"/>
      <x:c r="O18" s="34" t="str"/>
      <x:c r="P18" s="34" t="str"/>
    </x:row>
    <x:row r="19">
      <x:c r="A19" s="34" t="str">
        <x:v>M5-BLIND-014</x:v>
      </x:c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>
        <x:f>IF(OR(G19="",I19=""),"待评",IF(G19=I19,"一致","不一致"))</x:f>
        <x:v>待评</x:v>
      </x:c>
      <x:c r="K19" s="34" t="str"/>
      <x:c r="L19" s="34" t="str"/>
      <x:c r="M19" s="34" t="str"/>
      <x:c r="N19" s="34" t="str"/>
      <x:c r="O19" s="34" t="str"/>
      <x:c r="P19" s="34" t="str"/>
    </x:row>
    <x:row r="20">
      <x:c r="A20" s="34" t="str">
        <x:v>M5-BLIND-015</x:v>
      </x:c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>
        <x:f>IF(OR(G20="",I20=""),"待评",IF(G20=I20,"一致","不一致"))</x:f>
        <x:v>待评</x:v>
      </x:c>
      <x:c r="K20" s="34" t="str"/>
      <x:c r="L20" s="34" t="str"/>
      <x:c r="M20" s="34" t="str"/>
      <x:c r="N20" s="34" t="str"/>
      <x:c r="O20" s="34" t="str"/>
      <x:c r="P20" s="34" t="str"/>
    </x:row>
    <x:row r="21">
      <x:c r="A21" s="34" t="str">
        <x:v>M5-BLIND-016</x:v>
      </x:c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>
        <x:f>IF(OR(G21="",I21=""),"待评",IF(G21=I21,"一致","不一致"))</x:f>
        <x:v>待评</x:v>
      </x:c>
      <x:c r="K21" s="34" t="str"/>
      <x:c r="L21" s="34" t="str"/>
      <x:c r="M21" s="34" t="str"/>
      <x:c r="N21" s="34" t="str"/>
      <x:c r="O21" s="34" t="str"/>
      <x:c r="P21" s="34" t="str"/>
    </x:row>
    <x:row r="22">
      <x:c r="A22" s="34" t="str">
        <x:v>M5-BLIND-017</x:v>
      </x:c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>
        <x:f>IF(OR(G22="",I22=""),"待评",IF(G22=I22,"一致","不一致"))</x:f>
        <x:v>待评</x:v>
      </x:c>
      <x:c r="K22" s="34" t="str"/>
      <x:c r="L22" s="34" t="str"/>
      <x:c r="M22" s="34" t="str"/>
      <x:c r="N22" s="34" t="str"/>
      <x:c r="O22" s="34" t="str"/>
      <x:c r="P22" s="34" t="str"/>
    </x:row>
    <x:row r="23">
      <x:c r="A23" s="34" t="str">
        <x:v>M5-BLIND-018</x:v>
      </x:c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>
        <x:f>IF(OR(G23="",I23=""),"待评",IF(G23=I23,"一致","不一致"))</x:f>
        <x:v>待评</x:v>
      </x:c>
      <x:c r="K23" s="34" t="str"/>
      <x:c r="L23" s="34" t="str"/>
      <x:c r="M23" s="34" t="str"/>
      <x:c r="N23" s="34" t="str"/>
      <x:c r="O23" s="34" t="str"/>
      <x:c r="P23" s="34" t="str"/>
    </x:row>
    <x:row r="24">
      <x:c r="A24" s="34" t="str">
        <x:v>M5-BLIND-019</x:v>
      </x:c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>
        <x:f>IF(OR(G24="",I24=""),"待评",IF(G24=I24,"一致","不一致"))</x:f>
        <x:v>待评</x:v>
      </x:c>
      <x:c r="K24" s="34" t="str"/>
      <x:c r="L24" s="34" t="str"/>
      <x:c r="M24" s="34" t="str"/>
      <x:c r="N24" s="34" t="str"/>
      <x:c r="O24" s="34" t="str"/>
      <x:c r="P24" s="34" t="str"/>
    </x:row>
    <x:row r="25">
      <x:c r="A25" s="34" t="str">
        <x:v>M5-BLIND-020</x:v>
      </x:c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>
        <x:f>IF(OR(G25="",I25=""),"待评",IF(G25=I25,"一致","不一致"))</x:f>
        <x:v>待评</x:v>
      </x:c>
      <x:c r="K25" s="34" t="str"/>
      <x:c r="L25" s="34" t="str"/>
      <x:c r="M25" s="34" t="str"/>
      <x:c r="N25" s="34" t="str"/>
      <x:c r="O25" s="34" t="str"/>
      <x:c r="P25" s="34" t="str"/>
    </x:row>
    <x:row r="26">
      <x:c r="A26" s="34" t="str">
        <x:v>M5-BLIND-021</x:v>
      </x:c>
      <x:c r="B26" s="34" t="str"/>
      <x:c r="C26" s="34" t="str"/>
      <x:c r="D26" s="34" t="str"/>
      <x:c r="E26" s="34" t="str"/>
      <x:c r="F26" s="34" t="str"/>
      <x:c r="G26" s="34" t="str"/>
      <x:c r="H26" s="34" t="str"/>
      <x:c r="I26" s="34" t="str"/>
      <x:c r="J26" s="34" t="str">
        <x:f>IF(OR(G26="",I26=""),"待评",IF(G26=I26,"一致","不一致"))</x:f>
        <x:v>待评</x:v>
      </x:c>
      <x:c r="K26" s="34" t="str"/>
      <x:c r="L26" s="34" t="str"/>
      <x:c r="M26" s="34" t="str"/>
      <x:c r="N26" s="34" t="str"/>
      <x:c r="O26" s="34" t="str"/>
      <x:c r="P26" s="34" t="str"/>
    </x:row>
    <x:row r="27">
      <x:c r="A27" s="34" t="str">
        <x:v>M5-BLIND-022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34" t="str"/>
      <x:c r="J27" s="34" t="str">
        <x:f>IF(OR(G27="",I27=""),"待评",IF(G27=I27,"一致","不一致"))</x:f>
        <x:v>待评</x:v>
      </x:c>
      <x:c r="K27" s="34" t="str"/>
      <x:c r="L27" s="34" t="str"/>
      <x:c r="M27" s="34" t="str"/>
      <x:c r="N27" s="34" t="str"/>
      <x:c r="O27" s="34" t="str"/>
      <x:c r="P27" s="34" t="str"/>
    </x:row>
    <x:row r="28">
      <x:c r="A28" s="34" t="str">
        <x:v>M5-BLIND-023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34" t="str"/>
      <x:c r="J28" s="34" t="str">
        <x:f>IF(OR(G28="",I28=""),"待评",IF(G28=I28,"一致","不一致"))</x:f>
        <x:v>待评</x:v>
      </x:c>
      <x:c r="K28" s="34" t="str"/>
      <x:c r="L28" s="34" t="str"/>
      <x:c r="M28" s="34" t="str"/>
      <x:c r="N28" s="34" t="str"/>
      <x:c r="O28" s="34" t="str"/>
      <x:c r="P28" s="34" t="str"/>
    </x:row>
    <x:row r="29">
      <x:c r="A29" s="34" t="str">
        <x:v>M5-BLIND-024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4" t="str"/>
      <x:c r="J29" s="34" t="str">
        <x:f>IF(OR(G29="",I29=""),"待评",IF(G29=I29,"一致","不一致"))</x:f>
        <x:v>待评</x:v>
      </x:c>
      <x:c r="K29" s="34" t="str"/>
      <x:c r="L29" s="34" t="str"/>
      <x:c r="M29" s="34" t="str"/>
      <x:c r="N29" s="34" t="str"/>
      <x:c r="O29" s="34" t="str"/>
      <x:c r="P29" s="34" t="str"/>
    </x:row>
    <x:row r="30">
      <x:c r="A30" s="34" t="str">
        <x:v>M5-BLIND-025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34" t="str">
        <x:f>IF(OR(G30="",I30=""),"待评",IF(G30=I30,"一致","不一致"))</x:f>
        <x:v>待评</x:v>
      </x:c>
      <x:c r="K30" s="34" t="str"/>
      <x:c r="L30" s="34" t="str"/>
      <x:c r="M30" s="34" t="str"/>
      <x:c r="N30" s="34" t="str"/>
      <x:c r="O30" s="34" t="str"/>
      <x:c r="P30" s="34" t="str"/>
    </x:row>
    <x:row r="31">
      <x:c r="A31" s="34" t="str">
        <x:v>M5-BLIND-026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4" t="str"/>
      <x:c r="J31" s="34" t="str">
        <x:f>IF(OR(G31="",I31=""),"待评",IF(G31=I31,"一致","不一致"))</x:f>
        <x:v>待评</x:v>
      </x:c>
      <x:c r="K31" s="34" t="str"/>
      <x:c r="L31" s="34" t="str"/>
      <x:c r="M31" s="34" t="str"/>
      <x:c r="N31" s="34" t="str"/>
      <x:c r="O31" s="34" t="str"/>
      <x:c r="P31" s="34" t="str"/>
    </x:row>
    <x:row r="32">
      <x:c r="A32" s="34" t="str">
        <x:v>M5-BLIND-027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4" t="str"/>
      <x:c r="J32" s="34" t="str">
        <x:f>IF(OR(G32="",I32=""),"待评",IF(G32=I32,"一致","不一致"))</x:f>
        <x:v>待评</x:v>
      </x:c>
      <x:c r="K32" s="34" t="str"/>
      <x:c r="L32" s="34" t="str"/>
      <x:c r="M32" s="34" t="str"/>
      <x:c r="N32" s="34" t="str"/>
      <x:c r="O32" s="34" t="str"/>
      <x:c r="P32" s="34" t="str"/>
    </x:row>
    <x:row r="33">
      <x:c r="A33" s="34" t="str">
        <x:v>M5-BLIND-028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>
        <x:f>IF(OR(G33="",I33=""),"待评",IF(G33=I33,"一致","不一致"))</x:f>
        <x:v>待评</x:v>
      </x:c>
      <x:c r="K33" s="34" t="str"/>
      <x:c r="L33" s="34" t="str"/>
      <x:c r="M33" s="34" t="str"/>
      <x:c r="N33" s="34" t="str"/>
      <x:c r="O33" s="34" t="str"/>
      <x:c r="P33" s="34" t="str"/>
    </x:row>
    <x:row r="34">
      <x:c r="A34" s="34" t="str">
        <x:v>M5-BLIND-029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>
        <x:f>IF(OR(G34="",I34=""),"待评",IF(G34=I34,"一致","不一致"))</x:f>
        <x:v>待评</x:v>
      </x:c>
      <x:c r="K34" s="34" t="str"/>
      <x:c r="L34" s="34" t="str"/>
      <x:c r="M34" s="34" t="str"/>
      <x:c r="N34" s="34" t="str"/>
      <x:c r="O34" s="34" t="str"/>
      <x:c r="P34" s="34" t="str"/>
    </x:row>
    <x:row r="35">
      <x:c r="A35" s="34" t="str">
        <x:v>M5-BLIND-030</x:v>
      </x:c>
      <x:c r="B35" s="34" t="str"/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>
        <x:f>IF(OR(G35="",I35=""),"待评",IF(G35=I35,"一致","不一致"))</x:f>
        <x:v>待评</x:v>
      </x:c>
      <x:c r="K35" s="34" t="str"/>
      <x:c r="L35" s="34" t="str"/>
      <x:c r="M35" s="34" t="str"/>
      <x:c r="N35" s="34" t="str"/>
      <x:c r="O35" s="34" t="str"/>
      <x:c r="P35" s="34" t="str"/>
    </x:row>
    <x:row r="36">
      <x:c r="A36" s="34" t="str">
        <x:v>M5-BLIND-031</x:v>
      </x:c>
      <x:c r="B36" s="34" t="str"/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>
        <x:f>IF(OR(G36="",I36=""),"待评",IF(G36=I36,"一致","不一致"))</x:f>
        <x:v>待评</x:v>
      </x:c>
      <x:c r="K36" s="34" t="str"/>
      <x:c r="L36" s="34" t="str"/>
      <x:c r="M36" s="34" t="str"/>
      <x:c r="N36" s="34" t="str"/>
      <x:c r="O36" s="34" t="str"/>
      <x:c r="P36" s="34" t="str"/>
    </x:row>
    <x:row r="37">
      <x:c r="A37" s="34" t="str">
        <x:v>M5-BLIND-032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4" t="str"/>
      <x:c r="J37" s="34" t="str">
        <x:f>IF(OR(G37="",I37=""),"待评",IF(G37=I37,"一致","不一致"))</x:f>
        <x:v>待评</x:v>
      </x:c>
      <x:c r="K37" s="34" t="str"/>
      <x:c r="L37" s="34" t="str"/>
      <x:c r="M37" s="34" t="str"/>
      <x:c r="N37" s="34" t="str"/>
      <x:c r="O37" s="34" t="str"/>
      <x:c r="P37" s="34" t="str"/>
    </x:row>
    <x:row r="38">
      <x:c r="A38" s="34" t="str">
        <x:v>M5-BLIND-033</x:v>
      </x:c>
      <x:c r="B38" s="34" t="str"/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>
        <x:f>IF(OR(G38="",I38=""),"待评",IF(G38=I38,"一致","不一致"))</x:f>
        <x:v>待评</x:v>
      </x:c>
      <x:c r="K38" s="34" t="str"/>
      <x:c r="L38" s="34" t="str"/>
      <x:c r="M38" s="34" t="str"/>
      <x:c r="N38" s="34" t="str"/>
      <x:c r="O38" s="34" t="str"/>
      <x:c r="P38" s="34" t="str"/>
    </x:row>
    <x:row r="39">
      <x:c r="A39" s="34" t="str">
        <x:v>M5-BLIND-034</x:v>
      </x:c>
      <x:c r="B39" s="34" t="str"/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>
        <x:f>IF(OR(G39="",I39=""),"待评",IF(G39=I39,"一致","不一致"))</x:f>
        <x:v>待评</x:v>
      </x:c>
      <x:c r="K39" s="34" t="str"/>
      <x:c r="L39" s="34" t="str"/>
      <x:c r="M39" s="34" t="str"/>
      <x:c r="N39" s="34" t="str"/>
      <x:c r="O39" s="34" t="str"/>
      <x:c r="P39" s="34" t="str"/>
    </x:row>
    <x:row r="40">
      <x:c r="A40" s="34" t="str">
        <x:v>M5-BLIND-035</x:v>
      </x:c>
      <x:c r="B40" s="34" t="str"/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>
        <x:f>IF(OR(G40="",I40=""),"待评",IF(G40=I40,"一致","不一致"))</x:f>
        <x:v>待评</x:v>
      </x:c>
      <x:c r="K40" s="34" t="str"/>
      <x:c r="L40" s="34" t="str"/>
      <x:c r="M40" s="34" t="str"/>
      <x:c r="N40" s="34" t="str"/>
      <x:c r="O40" s="34" t="str"/>
      <x:c r="P40" s="34" t="str"/>
    </x:row>
    <x:row r="41">
      <x:c r="A41" s="34" t="str">
        <x:v>M5-BLIND-036</x:v>
      </x:c>
      <x:c r="B41" s="34" t="str"/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>
        <x:f>IF(OR(G41="",I41=""),"待评",IF(G41=I41,"一致","不一致"))</x:f>
        <x:v>待评</x:v>
      </x:c>
      <x:c r="K41" s="34" t="str"/>
      <x:c r="L41" s="34" t="str"/>
      <x:c r="M41" s="34" t="str"/>
      <x:c r="N41" s="34" t="str"/>
      <x:c r="O41" s="34" t="str"/>
      <x:c r="P41" s="34" t="str"/>
    </x:row>
    <x:row r="42">
      <x:c r="A42" s="34" t="str">
        <x:v>M5-BLIND-037</x:v>
      </x:c>
      <x:c r="B42" s="34" t="str"/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>
        <x:f>IF(OR(G42="",I42=""),"待评",IF(G42=I42,"一致","不一致"))</x:f>
        <x:v>待评</x:v>
      </x:c>
      <x:c r="K42" s="34" t="str"/>
      <x:c r="L42" s="34" t="str"/>
      <x:c r="M42" s="34" t="str"/>
      <x:c r="N42" s="34" t="str"/>
      <x:c r="O42" s="34" t="str"/>
      <x:c r="P42" s="34" t="str"/>
    </x:row>
    <x:row r="43">
      <x:c r="A43" s="34" t="str">
        <x:v>M5-BLIND-038</x:v>
      </x:c>
      <x:c r="B43" s="34" t="str"/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>
        <x:f>IF(OR(G43="",I43=""),"待评",IF(G43=I43,"一致","不一致"))</x:f>
        <x:v>待评</x:v>
      </x:c>
      <x:c r="K43" s="34" t="str"/>
      <x:c r="L43" s="34" t="str"/>
      <x:c r="M43" s="34" t="str"/>
      <x:c r="N43" s="34" t="str"/>
      <x:c r="O43" s="34" t="str"/>
      <x:c r="P43" s="34" t="str"/>
    </x:row>
    <x:row r="44">
      <x:c r="A44" s="34" t="str">
        <x:v>M5-BLIND-039</x:v>
      </x:c>
      <x:c r="B44" s="34" t="str"/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>
        <x:f>IF(OR(G44="",I44=""),"待评",IF(G44=I44,"一致","不一致"))</x:f>
        <x:v>待评</x:v>
      </x:c>
      <x:c r="K44" s="34" t="str"/>
      <x:c r="L44" s="34" t="str"/>
      <x:c r="M44" s="34" t="str"/>
      <x:c r="N44" s="34" t="str"/>
      <x:c r="O44" s="34" t="str"/>
      <x:c r="P44" s="34" t="str"/>
    </x:row>
    <x:row r="45">
      <x:c r="A45" s="34" t="str">
        <x:v>M5-BLIND-040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>
        <x:f>IF(OR(G45="",I45=""),"待评",IF(G45=I45,"一致","不一致"))</x:f>
        <x:v>待评</x:v>
      </x:c>
      <x:c r="K45" s="34" t="str"/>
      <x:c r="L45" s="34" t="str"/>
      <x:c r="M45" s="34" t="str"/>
      <x:c r="N45" s="34" t="str"/>
      <x:c r="O45" s="34" t="str"/>
      <x:c r="P45" s="34" t="str"/>
    </x:row>
    <x:row r="46">
      <x:c r="A46" s="34" t="str">
        <x:v>M5-BLIND-041</x:v>
      </x:c>
      <x:c r="B46" s="34" t="str"/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>
        <x:f>IF(OR(G46="",I46=""),"待评",IF(G46=I46,"一致","不一致"))</x:f>
        <x:v>待评</x:v>
      </x:c>
      <x:c r="K46" s="34" t="str"/>
      <x:c r="L46" s="34" t="str"/>
      <x:c r="M46" s="34" t="str"/>
      <x:c r="N46" s="34" t="str"/>
      <x:c r="O46" s="34" t="str"/>
      <x:c r="P46" s="34" t="str"/>
    </x:row>
    <x:row r="47">
      <x:c r="A47" s="34" t="str">
        <x:v>M5-BLIND-042</x:v>
      </x:c>
      <x:c r="B47" s="34" t="str"/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>
        <x:f>IF(OR(G47="",I47=""),"待评",IF(G47=I47,"一致","不一致"))</x:f>
        <x:v>待评</x:v>
      </x:c>
      <x:c r="K47" s="34" t="str"/>
      <x:c r="L47" s="34" t="str"/>
      <x:c r="M47" s="34" t="str"/>
      <x:c r="N47" s="34" t="str"/>
      <x:c r="O47" s="34" t="str"/>
      <x:c r="P47" s="34" t="str"/>
    </x:row>
    <x:row r="48">
      <x:c r="A48" s="34" t="str">
        <x:v>M5-BLIND-043</x:v>
      </x:c>
      <x:c r="B48" s="34" t="str"/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>
        <x:f>IF(OR(G48="",I48=""),"待评",IF(G48=I48,"一致","不一致"))</x:f>
        <x:v>待评</x:v>
      </x:c>
      <x:c r="K48" s="34" t="str"/>
      <x:c r="L48" s="34" t="str"/>
      <x:c r="M48" s="34" t="str"/>
      <x:c r="N48" s="34" t="str"/>
      <x:c r="O48" s="34" t="str"/>
      <x:c r="P48" s="34" t="str"/>
    </x:row>
    <x:row r="49">
      <x:c r="A49" s="34" t="str">
        <x:v>M5-BLIND-044</x:v>
      </x:c>
      <x:c r="B49" s="34" t="str"/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>
        <x:f>IF(OR(G49="",I49=""),"待评",IF(G49=I49,"一致","不一致"))</x:f>
        <x:v>待评</x:v>
      </x:c>
      <x:c r="K49" s="34" t="str"/>
      <x:c r="L49" s="34" t="str"/>
      <x:c r="M49" s="34" t="str"/>
      <x:c r="N49" s="34" t="str"/>
      <x:c r="O49" s="34" t="str"/>
      <x:c r="P49" s="34" t="str"/>
    </x:row>
    <x:row r="50">
      <x:c r="A50" s="34" t="str">
        <x:v>M5-BLIND-045</x:v>
      </x:c>
      <x:c r="B50" s="34" t="str"/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>
        <x:f>IF(OR(G50="",I50=""),"待评",IF(G50=I50,"一致","不一致"))</x:f>
        <x:v>待评</x:v>
      </x:c>
      <x:c r="K50" s="34" t="str"/>
      <x:c r="L50" s="34" t="str"/>
      <x:c r="M50" s="34" t="str"/>
      <x:c r="N50" s="34" t="str"/>
      <x:c r="O50" s="34" t="str"/>
      <x:c r="P50" s="34" t="str"/>
    </x:row>
    <x:row r="51">
      <x:c r="A51" s="34" t="str">
        <x:v>M5-BLIND-046</x:v>
      </x:c>
      <x:c r="B51" s="34" t="str"/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>
        <x:f>IF(OR(G51="",I51=""),"待评",IF(G51=I51,"一致","不一致"))</x:f>
        <x:v>待评</x:v>
      </x:c>
      <x:c r="K51" s="34" t="str"/>
      <x:c r="L51" s="34" t="str"/>
      <x:c r="M51" s="34" t="str"/>
      <x:c r="N51" s="34" t="str"/>
      <x:c r="O51" s="34" t="str"/>
      <x:c r="P51" s="34" t="str"/>
    </x:row>
    <x:row r="52">
      <x:c r="A52" s="34" t="str">
        <x:v>M5-BLIND-047</x:v>
      </x:c>
      <x:c r="B52" s="34" t="str"/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>
        <x:f>IF(OR(G52="",I52=""),"待评",IF(G52=I52,"一致","不一致"))</x:f>
        <x:v>待评</x:v>
      </x:c>
      <x:c r="K52" s="34" t="str"/>
      <x:c r="L52" s="34" t="str"/>
      <x:c r="M52" s="34" t="str"/>
      <x:c r="N52" s="34" t="str"/>
      <x:c r="O52" s="34" t="str"/>
      <x:c r="P52" s="34" t="str"/>
    </x:row>
    <x:row r="53">
      <x:c r="A53" s="34" t="str">
        <x:v>M5-BLIND-048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>
        <x:f>IF(OR(G53="",I53=""),"待评",IF(G53=I53,"一致","不一致"))</x:f>
        <x:v>待评</x:v>
      </x:c>
      <x:c r="K53" s="34" t="str"/>
      <x:c r="L53" s="34" t="str"/>
      <x:c r="M53" s="34" t="str"/>
      <x:c r="N53" s="34" t="str"/>
      <x:c r="O53" s="34" t="str"/>
      <x:c r="P53" s="34" t="str"/>
    </x:row>
    <x:row r="54">
      <x:c r="A54" s="34" t="str">
        <x:v>M5-BLIND-049</x:v>
      </x:c>
      <x:c r="B54" s="34" t="str"/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>
        <x:f>IF(OR(G54="",I54=""),"待评",IF(G54=I54,"一致","不一致"))</x:f>
        <x:v>待评</x:v>
      </x:c>
      <x:c r="K54" s="34" t="str"/>
      <x:c r="L54" s="34" t="str"/>
      <x:c r="M54" s="34" t="str"/>
      <x:c r="N54" s="34" t="str"/>
      <x:c r="O54" s="34" t="str"/>
      <x:c r="P54" s="34" t="str"/>
    </x:row>
    <x:row r="55">
      <x:c r="A55" s="34" t="str">
        <x:v>M5-BLIND-050</x:v>
      </x:c>
      <x:c r="B55" s="34" t="str"/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>
        <x:f>IF(OR(G55="",I55=""),"待评",IF(G55=I55,"一致","不一致"))</x:f>
        <x:v>待评</x:v>
      </x:c>
      <x:c r="K55" s="34" t="str"/>
      <x:c r="L55" s="34" t="str"/>
      <x:c r="M55" s="34" t="str"/>
      <x:c r="N55" s="34" t="str"/>
      <x:c r="O55" s="34" t="str"/>
      <x:c r="P55" s="34" t="str"/>
    </x:row>
    <x:row r="56">
      <x:c r="A56" s="34" t="str">
        <x:v>M5-BLIND-051</x:v>
      </x:c>
      <x:c r="B56" s="34" t="str"/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>
        <x:f>IF(OR(G56="",I56=""),"待评",IF(G56=I56,"一致","不一致"))</x:f>
        <x:v>待评</x:v>
      </x:c>
      <x:c r="K56" s="34" t="str"/>
      <x:c r="L56" s="34" t="str"/>
      <x:c r="M56" s="34" t="str"/>
      <x:c r="N56" s="34" t="str"/>
      <x:c r="O56" s="34" t="str"/>
      <x:c r="P56" s="34" t="str"/>
    </x:row>
    <x:row r="57">
      <x:c r="A57" s="34" t="str">
        <x:v>M5-BLIND-052</x:v>
      </x:c>
      <x:c r="B57" s="34" t="str"/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>
        <x:f>IF(OR(G57="",I57=""),"待评",IF(G57=I57,"一致","不一致"))</x:f>
        <x:v>待评</x:v>
      </x:c>
      <x:c r="K57" s="34" t="str"/>
      <x:c r="L57" s="34" t="str"/>
      <x:c r="M57" s="34" t="str"/>
      <x:c r="N57" s="34" t="str"/>
      <x:c r="O57" s="34" t="str"/>
      <x:c r="P57" s="34" t="str"/>
    </x:row>
    <x:row r="58">
      <x:c r="A58" s="34" t="str">
        <x:v>M5-BLIND-053</x:v>
      </x:c>
      <x:c r="B58" s="34" t="str"/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>
        <x:f>IF(OR(G58="",I58=""),"待评",IF(G58=I58,"一致","不一致"))</x:f>
        <x:v>待评</x:v>
      </x:c>
      <x:c r="K58" s="34" t="str"/>
      <x:c r="L58" s="34" t="str"/>
      <x:c r="M58" s="34" t="str"/>
      <x:c r="N58" s="34" t="str"/>
      <x:c r="O58" s="34" t="str"/>
      <x:c r="P58" s="34" t="str"/>
    </x:row>
    <x:row r="59">
      <x:c r="A59" s="34" t="str">
        <x:v>M5-BLIND-054</x:v>
      </x:c>
      <x:c r="B59" s="34" t="str"/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>
        <x:f>IF(OR(G59="",I59=""),"待评",IF(G59=I59,"一致","不一致"))</x:f>
        <x:v>待评</x:v>
      </x:c>
      <x:c r="K59" s="34" t="str"/>
      <x:c r="L59" s="34" t="str"/>
      <x:c r="M59" s="34" t="str"/>
      <x:c r="N59" s="34" t="str"/>
      <x:c r="O59" s="34" t="str"/>
      <x:c r="P59" s="34" t="str"/>
    </x:row>
    <x:row r="60">
      <x:c r="A60" s="34" t="str">
        <x:v>M5-BLIND-055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>
        <x:f>IF(OR(G60="",I60=""),"待评",IF(G60=I60,"一致","不一致"))</x:f>
        <x:v>待评</x:v>
      </x:c>
      <x:c r="K60" s="34" t="str"/>
      <x:c r="L60" s="34" t="str"/>
      <x:c r="M60" s="34" t="str"/>
      <x:c r="N60" s="34" t="str"/>
      <x:c r="O60" s="34" t="str"/>
      <x:c r="P60" s="34" t="str"/>
    </x:row>
    <x:row r="61">
      <x:c r="A61" s="34" t="str">
        <x:v>M5-BLIND-056</x:v>
      </x:c>
      <x:c r="B61" s="34" t="str"/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>
        <x:f>IF(OR(G61="",I61=""),"待评",IF(G61=I61,"一致","不一致"))</x:f>
        <x:v>待评</x:v>
      </x:c>
      <x:c r="K61" s="34" t="str"/>
      <x:c r="L61" s="34" t="str"/>
      <x:c r="M61" s="34" t="str"/>
      <x:c r="N61" s="34" t="str"/>
      <x:c r="O61" s="34" t="str"/>
      <x:c r="P61" s="34" t="str"/>
    </x:row>
    <x:row r="62">
      <x:c r="A62" s="34" t="str">
        <x:v>M5-BLIND-057</x:v>
      </x:c>
      <x:c r="B62" s="34" t="str"/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>
        <x:f>IF(OR(G62="",I62=""),"待评",IF(G62=I62,"一致","不一致"))</x:f>
        <x:v>待评</x:v>
      </x:c>
      <x:c r="K62" s="34" t="str"/>
      <x:c r="L62" s="34" t="str"/>
      <x:c r="M62" s="34" t="str"/>
      <x:c r="N62" s="34" t="str"/>
      <x:c r="O62" s="34" t="str"/>
      <x:c r="P62" s="34" t="str"/>
    </x:row>
    <x:row r="63">
      <x:c r="A63" s="34" t="str">
        <x:v>M5-BLIND-058</x:v>
      </x:c>
      <x:c r="B63" s="34" t="str"/>
      <x:c r="C63" s="34" t="str"/>
      <x:c r="D63" s="34" t="str"/>
      <x:c r="E63" s="34" t="str"/>
      <x:c r="F63" s="34" t="str"/>
      <x:c r="G63" s="34" t="str"/>
      <x:c r="H63" s="34" t="str"/>
      <x:c r="I63" s="34" t="str"/>
      <x:c r="J63" s="34" t="str">
        <x:f>IF(OR(G63="",I63=""),"待评",IF(G63=I63,"一致","不一致"))</x:f>
        <x:v>待评</x:v>
      </x:c>
      <x:c r="K63" s="34" t="str"/>
      <x:c r="L63" s="34" t="str"/>
      <x:c r="M63" s="34" t="str"/>
      <x:c r="N63" s="34" t="str"/>
      <x:c r="O63" s="34" t="str"/>
      <x:c r="P63" s="34" t="str"/>
    </x:row>
    <x:row r="64">
      <x:c r="A64" s="34" t="str">
        <x:v>M5-BLIND-059</x:v>
      </x:c>
      <x:c r="B64" s="34" t="str"/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>
        <x:f>IF(OR(G64="",I64=""),"待评",IF(G64=I64,"一致","不一致"))</x:f>
        <x:v>待评</x:v>
      </x:c>
      <x:c r="K64" s="34" t="str"/>
      <x:c r="L64" s="34" t="str"/>
      <x:c r="M64" s="34" t="str"/>
      <x:c r="N64" s="34" t="str"/>
      <x:c r="O64" s="34" t="str"/>
      <x:c r="P64" s="34" t="str"/>
    </x:row>
    <x:row r="65">
      <x:c r="A65" s="34" t="str">
        <x:v>M5-BLIND-060</x:v>
      </x:c>
      <x:c r="B65" s="34" t="str"/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>
        <x:f>IF(OR(G65="",I65=""),"待评",IF(G65=I65,"一致","不一致"))</x:f>
        <x:v>待评</x:v>
      </x:c>
      <x:c r="K65" s="34" t="str"/>
      <x:c r="L65" s="34" t="str"/>
      <x:c r="M65" s="34" t="str"/>
      <x:c r="N65" s="34" t="str"/>
      <x:c r="O65" s="34" t="str"/>
      <x:c r="P65" s="34" t="str"/>
    </x:row>
    <x:row r="66">
      <x:c r="A66" s="34" t="str">
        <x:v>M5-BLIND-061</x:v>
      </x:c>
      <x:c r="B66" s="34" t="str"/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>
        <x:f>IF(OR(G66="",I66=""),"待评",IF(G66=I66,"一致","不一致"))</x:f>
        <x:v>待评</x:v>
      </x:c>
      <x:c r="K66" s="34" t="str"/>
      <x:c r="L66" s="34" t="str"/>
      <x:c r="M66" s="34" t="str"/>
      <x:c r="N66" s="34" t="str"/>
      <x:c r="O66" s="34" t="str"/>
      <x:c r="P66" s="34" t="str"/>
    </x:row>
    <x:row r="67">
      <x:c r="A67" s="34" t="str">
        <x:v>M5-BLIND-062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>
        <x:f>IF(OR(G67="",I67=""),"待评",IF(G67=I67,"一致","不一致"))</x:f>
        <x:v>待评</x:v>
      </x:c>
      <x:c r="K67" s="34" t="str"/>
      <x:c r="L67" s="34" t="str"/>
      <x:c r="M67" s="34" t="str"/>
      <x:c r="N67" s="34" t="str"/>
      <x:c r="O67" s="34" t="str"/>
      <x:c r="P67" s="34" t="str"/>
    </x:row>
    <x:row r="68">
      <x:c r="A68" s="34" t="str">
        <x:v>M5-BLIND-063</x:v>
      </x:c>
      <x:c r="B68" s="34" t="str"/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>
        <x:f>IF(OR(G68="",I68=""),"待评",IF(G68=I68,"一致","不一致"))</x:f>
        <x:v>待评</x:v>
      </x:c>
      <x:c r="K68" s="34" t="str"/>
      <x:c r="L68" s="34" t="str"/>
      <x:c r="M68" s="34" t="str"/>
      <x:c r="N68" s="34" t="str"/>
      <x:c r="O68" s="34" t="str"/>
      <x:c r="P68" s="34" t="str"/>
    </x:row>
    <x:row r="69">
      <x:c r="A69" s="34" t="str">
        <x:v>M5-BLIND-064</x:v>
      </x:c>
      <x:c r="B69" s="34" t="str"/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>
        <x:f>IF(OR(G69="",I69=""),"待评",IF(G69=I69,"一致","不一致"))</x:f>
        <x:v>待评</x:v>
      </x:c>
      <x:c r="K69" s="34" t="str"/>
      <x:c r="L69" s="34" t="str"/>
      <x:c r="M69" s="34" t="str"/>
      <x:c r="N69" s="34" t="str"/>
      <x:c r="O69" s="34" t="str"/>
      <x:c r="P69" s="34" t="str"/>
    </x:row>
    <x:row r="70">
      <x:c r="A70" s="34" t="str">
        <x:v>M5-BLIND-065</x:v>
      </x:c>
      <x:c r="B70" s="34" t="str"/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>
        <x:f>IF(OR(G70="",I70=""),"待评",IF(G70=I70,"一致","不一致"))</x:f>
        <x:v>待评</x:v>
      </x:c>
      <x:c r="K70" s="34" t="str"/>
      <x:c r="L70" s="34" t="str"/>
      <x:c r="M70" s="34" t="str"/>
      <x:c r="N70" s="34" t="str"/>
      <x:c r="O70" s="34" t="str"/>
      <x:c r="P70" s="34" t="str"/>
    </x:row>
    <x:row r="71">
      <x:c r="A71" s="34" t="str">
        <x:v>M5-BLIND-066</x:v>
      </x:c>
      <x:c r="B71" s="34" t="str"/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>
        <x:f>IF(OR(G71="",I71=""),"待评",IF(G71=I71,"一致","不一致"))</x:f>
        <x:v>待评</x:v>
      </x:c>
      <x:c r="K71" s="34" t="str"/>
      <x:c r="L71" s="34" t="str"/>
      <x:c r="M71" s="34" t="str"/>
      <x:c r="N71" s="34" t="str"/>
      <x:c r="O71" s="34" t="str"/>
      <x:c r="P71" s="34" t="str"/>
    </x:row>
    <x:row r="72">
      <x:c r="A72" s="34" t="str">
        <x:v>M5-BLIND-067</x:v>
      </x:c>
      <x:c r="B72" s="34" t="str"/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>
        <x:f>IF(OR(G72="",I72=""),"待评",IF(G72=I72,"一致","不一致"))</x:f>
        <x:v>待评</x:v>
      </x:c>
      <x:c r="K72" s="34" t="str"/>
      <x:c r="L72" s="34" t="str"/>
      <x:c r="M72" s="34" t="str"/>
      <x:c r="N72" s="34" t="str"/>
      <x:c r="O72" s="34" t="str"/>
      <x:c r="P72" s="34" t="str"/>
    </x:row>
    <x:row r="73">
      <x:c r="A73" s="34" t="str">
        <x:v>M5-BLIND-068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>
        <x:f>IF(OR(G73="",I73=""),"待评",IF(G73=I73,"一致","不一致"))</x:f>
        <x:v>待评</x:v>
      </x:c>
      <x:c r="K73" s="34" t="str"/>
      <x:c r="L73" s="34" t="str"/>
      <x:c r="M73" s="34" t="str"/>
      <x:c r="N73" s="34" t="str"/>
      <x:c r="O73" s="34" t="str"/>
      <x:c r="P73" s="34" t="str"/>
    </x:row>
    <x:row r="74">
      <x:c r="A74" s="34" t="str">
        <x:v>M5-BLIND-069</x:v>
      </x:c>
      <x:c r="B74" s="34" t="str"/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>
        <x:f>IF(OR(G74="",I74=""),"待评",IF(G74=I74,"一致","不一致"))</x:f>
        <x:v>待评</x:v>
      </x:c>
      <x:c r="K74" s="34" t="str"/>
      <x:c r="L74" s="34" t="str"/>
      <x:c r="M74" s="34" t="str"/>
      <x:c r="N74" s="34" t="str"/>
      <x:c r="O74" s="34" t="str"/>
      <x:c r="P74" s="34" t="str"/>
    </x:row>
    <x:row r="75">
      <x:c r="A75" s="34" t="str">
        <x:v>M5-BLIND-070</x:v>
      </x:c>
      <x:c r="B75" s="34" t="str"/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>
        <x:f>IF(OR(G75="",I75=""),"待评",IF(G75=I75,"一致","不一致"))</x:f>
        <x:v>待评</x:v>
      </x:c>
      <x:c r="K75" s="34" t="str"/>
      <x:c r="L75" s="34" t="str"/>
      <x:c r="M75" s="34" t="str"/>
      <x:c r="N75" s="34" t="str"/>
      <x:c r="O75" s="34" t="str"/>
      <x:c r="P75" s="34" t="str"/>
    </x:row>
    <x:row r="76">
      <x:c r="A76" s="34" t="str">
        <x:v>M5-BLIND-071</x:v>
      </x:c>
      <x:c r="B76" s="34" t="str"/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>
        <x:f>IF(OR(G76="",I76=""),"待评",IF(G76=I76,"一致","不一致"))</x:f>
        <x:v>待评</x:v>
      </x:c>
      <x:c r="K76" s="34" t="str"/>
      <x:c r="L76" s="34" t="str"/>
      <x:c r="M76" s="34" t="str"/>
      <x:c r="N76" s="34" t="str"/>
      <x:c r="O76" s="34" t="str"/>
      <x:c r="P76" s="34" t="str"/>
    </x:row>
    <x:row r="77">
      <x:c r="A77" s="34" t="str">
        <x:v>M5-BLIND-072</x:v>
      </x:c>
      <x:c r="B77" s="34" t="str"/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>
        <x:f>IF(OR(G77="",I77=""),"待评",IF(G77=I77,"一致","不一致"))</x:f>
        <x:v>待评</x:v>
      </x:c>
      <x:c r="K77" s="34" t="str"/>
      <x:c r="L77" s="34" t="str"/>
      <x:c r="M77" s="34" t="str"/>
      <x:c r="N77" s="34" t="str"/>
      <x:c r="O77" s="34" t="str"/>
      <x:c r="P77" s="34" t="str"/>
    </x:row>
    <x:row r="78">
      <x:c r="A78" s="34" t="str">
        <x:v>M5-BLIND-073</x:v>
      </x:c>
      <x:c r="B78" s="34" t="str"/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>
        <x:f>IF(OR(G78="",I78=""),"待评",IF(G78=I78,"一致","不一致"))</x:f>
        <x:v>待评</x:v>
      </x:c>
      <x:c r="K78" s="34" t="str"/>
      <x:c r="L78" s="34" t="str"/>
      <x:c r="M78" s="34" t="str"/>
      <x:c r="N78" s="34" t="str"/>
      <x:c r="O78" s="34" t="str"/>
      <x:c r="P78" s="34" t="str"/>
    </x:row>
    <x:row r="79">
      <x:c r="A79" s="34" t="str">
        <x:v>M5-BLIND-074</x:v>
      </x:c>
      <x:c r="B79" s="34" t="str"/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>
        <x:f>IF(OR(G79="",I79=""),"待评",IF(G79=I79,"一致","不一致"))</x:f>
        <x:v>待评</x:v>
      </x:c>
      <x:c r="K79" s="34" t="str"/>
      <x:c r="L79" s="34" t="str"/>
      <x:c r="M79" s="34" t="str"/>
      <x:c r="N79" s="34" t="str"/>
      <x:c r="O79" s="34" t="str"/>
      <x:c r="P79" s="34" t="str"/>
    </x:row>
    <x:row r="80">
      <x:c r="A80" s="34" t="str">
        <x:v>M5-BLIND-075</x:v>
      </x:c>
      <x:c r="B80" s="34" t="str"/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>
        <x:f>IF(OR(G80="",I80=""),"待评",IF(G80=I80,"一致","不一致"))</x:f>
        <x:v>待评</x:v>
      </x:c>
      <x:c r="K80" s="34" t="str"/>
      <x:c r="L80" s="34" t="str"/>
      <x:c r="M80" s="34" t="str"/>
      <x:c r="N80" s="34" t="str"/>
      <x:c r="O80" s="34" t="str"/>
      <x:c r="P80" s="34" t="str"/>
    </x:row>
    <x:row r="81">
      <x:c r="A81" s="34" t="str">
        <x:v>M5-BLIND-076</x:v>
      </x:c>
      <x:c r="B81" s="34" t="str"/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>
        <x:f>IF(OR(G81="",I81=""),"待评",IF(G81=I81,"一致","不一致"))</x:f>
        <x:v>待评</x:v>
      </x:c>
      <x:c r="K81" s="34" t="str"/>
      <x:c r="L81" s="34" t="str"/>
      <x:c r="M81" s="34" t="str"/>
      <x:c r="N81" s="34" t="str"/>
      <x:c r="O81" s="34" t="str"/>
      <x:c r="P81" s="34" t="str"/>
    </x:row>
    <x:row r="82">
      <x:c r="A82" s="34" t="str">
        <x:v>M5-BLIND-077</x:v>
      </x:c>
      <x:c r="B82" s="34" t="str"/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>
        <x:f>IF(OR(G82="",I82=""),"待评",IF(G82=I82,"一致","不一致"))</x:f>
        <x:v>待评</x:v>
      </x:c>
      <x:c r="K82" s="34" t="str"/>
      <x:c r="L82" s="34" t="str"/>
      <x:c r="M82" s="34" t="str"/>
      <x:c r="N82" s="34" t="str"/>
      <x:c r="O82" s="34" t="str"/>
      <x:c r="P82" s="34" t="str"/>
    </x:row>
    <x:row r="83">
      <x:c r="A83" s="34" t="str">
        <x:v>M5-BLIND-078</x:v>
      </x:c>
      <x:c r="B83" s="34" t="str"/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>
        <x:f>IF(OR(G83="",I83=""),"待评",IF(G83=I83,"一致","不一致"))</x:f>
        <x:v>待评</x:v>
      </x:c>
      <x:c r="K83" s="34" t="str"/>
      <x:c r="L83" s="34" t="str"/>
      <x:c r="M83" s="34" t="str"/>
      <x:c r="N83" s="34" t="str"/>
      <x:c r="O83" s="34" t="str"/>
      <x:c r="P83" s="34" t="str"/>
    </x:row>
    <x:row r="84">
      <x:c r="A84" s="34" t="str">
        <x:v>M5-BLIND-079</x:v>
      </x:c>
      <x:c r="B84" s="34" t="str"/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>
        <x:f>IF(OR(G84="",I84=""),"待评",IF(G84=I84,"一致","不一致"))</x:f>
        <x:v>待评</x:v>
      </x:c>
      <x:c r="K84" s="34" t="str"/>
      <x:c r="L84" s="34" t="str"/>
      <x:c r="M84" s="34" t="str"/>
      <x:c r="N84" s="34" t="str"/>
      <x:c r="O84" s="34" t="str"/>
      <x:c r="P84" s="34" t="str"/>
    </x:row>
    <x:row r="85">
      <x:c r="A85" s="34" t="str">
        <x:v>M5-BLIND-080</x:v>
      </x:c>
      <x:c r="B85" s="34" t="str"/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>
        <x:f>IF(OR(G85="",I85=""),"待评",IF(G85=I85,"一致","不一致"))</x:f>
        <x:v>待评</x:v>
      </x:c>
      <x:c r="K85" s="34" t="str"/>
      <x:c r="L85" s="34" t="str"/>
      <x:c r="M85" s="34" t="str"/>
      <x:c r="N85" s="34" t="str"/>
      <x:c r="O85" s="34" t="str"/>
      <x:c r="P85" s="34" t="str"/>
    </x:row>
    <x:row r="86">
      <x:c r="A86" s="34" t="str">
        <x:v>M5-BLIND-081</x:v>
      </x:c>
      <x:c r="B86" s="34" t="str"/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>
        <x:f>IF(OR(G86="",I86=""),"待评",IF(G86=I86,"一致","不一致"))</x:f>
        <x:v>待评</x:v>
      </x:c>
      <x:c r="K86" s="34" t="str"/>
      <x:c r="L86" s="34" t="str"/>
      <x:c r="M86" s="34" t="str"/>
      <x:c r="N86" s="34" t="str"/>
      <x:c r="O86" s="34" t="str"/>
      <x:c r="P86" s="34" t="str"/>
    </x:row>
    <x:row r="87">
      <x:c r="A87" s="34" t="str">
        <x:v>M5-BLIND-082</x:v>
      </x:c>
      <x:c r="B87" s="34" t="str"/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>
        <x:f>IF(OR(G87="",I87=""),"待评",IF(G87=I87,"一致","不一致"))</x:f>
        <x:v>待评</x:v>
      </x:c>
      <x:c r="K87" s="34" t="str"/>
      <x:c r="L87" s="34" t="str"/>
      <x:c r="M87" s="34" t="str"/>
      <x:c r="N87" s="34" t="str"/>
      <x:c r="O87" s="34" t="str"/>
      <x:c r="P87" s="34" t="str"/>
    </x:row>
    <x:row r="88">
      <x:c r="A88" s="34" t="str">
        <x:v>M5-BLIND-083</x:v>
      </x:c>
      <x:c r="B88" s="34" t="str"/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>
        <x:f>IF(OR(G88="",I88=""),"待评",IF(G88=I88,"一致","不一致"))</x:f>
        <x:v>待评</x:v>
      </x:c>
      <x:c r="K88" s="34" t="str"/>
      <x:c r="L88" s="34" t="str"/>
      <x:c r="M88" s="34" t="str"/>
      <x:c r="N88" s="34" t="str"/>
      <x:c r="O88" s="34" t="str"/>
      <x:c r="P88" s="34" t="str"/>
    </x:row>
    <x:row r="89">
      <x:c r="A89" s="34" t="str">
        <x:v>M5-BLIND-084</x:v>
      </x:c>
      <x:c r="B89" s="34" t="str"/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>
        <x:f>IF(OR(G89="",I89=""),"待评",IF(G89=I89,"一致","不一致"))</x:f>
        <x:v>待评</x:v>
      </x:c>
      <x:c r="K89" s="34" t="str"/>
      <x:c r="L89" s="34" t="str"/>
      <x:c r="M89" s="34" t="str"/>
      <x:c r="N89" s="34" t="str"/>
      <x:c r="O89" s="34" t="str"/>
      <x:c r="P89" s="34" t="str"/>
    </x:row>
    <x:row r="90">
      <x:c r="A90" s="34" t="str">
        <x:v>M5-BLIND-085</x:v>
      </x:c>
      <x:c r="B90" s="34" t="str"/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>
        <x:f>IF(OR(G90="",I90=""),"待评",IF(G90=I90,"一致","不一致"))</x:f>
        <x:v>待评</x:v>
      </x:c>
      <x:c r="K90" s="34" t="str"/>
      <x:c r="L90" s="34" t="str"/>
      <x:c r="M90" s="34" t="str"/>
      <x:c r="N90" s="34" t="str"/>
      <x:c r="O90" s="34" t="str"/>
      <x:c r="P90" s="34" t="str"/>
    </x:row>
    <x:row r="91">
      <x:c r="A91" s="34" t="str">
        <x:v>M5-BLIND-086</x:v>
      </x:c>
      <x:c r="B91" s="34" t="str"/>
      <x:c r="C91" s="34" t="str"/>
      <x:c r="D91" s="34" t="str"/>
      <x:c r="E91" s="34" t="str"/>
      <x:c r="F91" s="34" t="str"/>
      <x:c r="G91" s="34" t="str"/>
      <x:c r="H91" s="34" t="str"/>
      <x:c r="I91" s="34" t="str"/>
      <x:c r="J91" s="34" t="str">
        <x:f>IF(OR(G91="",I91=""),"待评",IF(G91=I91,"一致","不一致"))</x:f>
        <x:v>待评</x:v>
      </x:c>
      <x:c r="K91" s="34" t="str"/>
      <x:c r="L91" s="34" t="str"/>
      <x:c r="M91" s="34" t="str"/>
      <x:c r="N91" s="34" t="str"/>
      <x:c r="O91" s="34" t="str"/>
      <x:c r="P91" s="34" t="str"/>
    </x:row>
    <x:row r="92">
      <x:c r="A92" s="34" t="str">
        <x:v>M5-BLIND-087</x:v>
      </x:c>
      <x:c r="B92" s="34" t="str"/>
      <x:c r="C92" s="34" t="str"/>
      <x:c r="D92" s="34" t="str"/>
      <x:c r="E92" s="34" t="str"/>
      <x:c r="F92" s="34" t="str"/>
      <x:c r="G92" s="34" t="str"/>
      <x:c r="H92" s="34" t="str"/>
      <x:c r="I92" s="34" t="str"/>
      <x:c r="J92" s="34" t="str">
        <x:f>IF(OR(G92="",I92=""),"待评",IF(G92=I92,"一致","不一致"))</x:f>
        <x:v>待评</x:v>
      </x:c>
      <x:c r="K92" s="34" t="str"/>
      <x:c r="L92" s="34" t="str"/>
      <x:c r="M92" s="34" t="str"/>
      <x:c r="N92" s="34" t="str"/>
      <x:c r="O92" s="34" t="str"/>
      <x:c r="P92" s="34" t="str"/>
    </x:row>
    <x:row r="93">
      <x:c r="A93" s="34" t="str">
        <x:v>M5-BLIND-088</x:v>
      </x:c>
      <x:c r="B93" s="34" t="str"/>
      <x:c r="C93" s="34" t="str"/>
      <x:c r="D93" s="34" t="str"/>
      <x:c r="E93" s="34" t="str"/>
      <x:c r="F93" s="34" t="str"/>
      <x:c r="G93" s="34" t="str"/>
      <x:c r="H93" s="34" t="str"/>
      <x:c r="I93" s="34" t="str"/>
      <x:c r="J93" s="34" t="str">
        <x:f>IF(OR(G93="",I93=""),"待评",IF(G93=I93,"一致","不一致"))</x:f>
        <x:v>待评</x:v>
      </x:c>
      <x:c r="K93" s="34" t="str"/>
      <x:c r="L93" s="34" t="str"/>
      <x:c r="M93" s="34" t="str"/>
      <x:c r="N93" s="34" t="str"/>
      <x:c r="O93" s="34" t="str"/>
      <x:c r="P93" s="34" t="str"/>
    </x:row>
    <x:row r="94">
      <x:c r="A94" s="34" t="str">
        <x:v>M5-BLIND-089</x:v>
      </x:c>
      <x:c r="B94" s="34" t="str"/>
      <x:c r="C94" s="34" t="str"/>
      <x:c r="D94" s="34" t="str"/>
      <x:c r="E94" s="34" t="str"/>
      <x:c r="F94" s="34" t="str"/>
      <x:c r="G94" s="34" t="str"/>
      <x:c r="H94" s="34" t="str"/>
      <x:c r="I94" s="34" t="str"/>
      <x:c r="J94" s="34" t="str">
        <x:f>IF(OR(G94="",I94=""),"待评",IF(G94=I94,"一致","不一致"))</x:f>
        <x:v>待评</x:v>
      </x:c>
      <x:c r="K94" s="34" t="str"/>
      <x:c r="L94" s="34" t="str"/>
      <x:c r="M94" s="34" t="str"/>
      <x:c r="N94" s="34" t="str"/>
      <x:c r="O94" s="34" t="str"/>
      <x:c r="P94" s="34" t="str"/>
    </x:row>
    <x:row r="95">
      <x:c r="A95" s="34" t="str">
        <x:v>M5-BLIND-090</x:v>
      </x:c>
      <x:c r="B95" s="34" t="str"/>
      <x:c r="C95" s="34" t="str"/>
      <x:c r="D95" s="34" t="str"/>
      <x:c r="E95" s="34" t="str"/>
      <x:c r="F95" s="34" t="str"/>
      <x:c r="G95" s="34" t="str"/>
      <x:c r="H95" s="34" t="str"/>
      <x:c r="I95" s="34" t="str"/>
      <x:c r="J95" s="34" t="str">
        <x:f>IF(OR(G95="",I95=""),"待评",IF(G95=I95,"一致","不一致"))</x:f>
        <x:v>待评</x:v>
      </x:c>
      <x:c r="K95" s="34" t="str"/>
      <x:c r="L95" s="34" t="str"/>
      <x:c r="M95" s="34" t="str"/>
      <x:c r="N95" s="34" t="str"/>
      <x:c r="O95" s="34" t="str"/>
      <x:c r="P95" s="34" t="str"/>
    </x:row>
    <x:row r="96">
      <x:c r="A96" s="34" t="str">
        <x:v>M5-BLIND-091</x:v>
      </x:c>
      <x:c r="B96" s="34" t="str"/>
      <x:c r="C96" s="34" t="str"/>
      <x:c r="D96" s="34" t="str"/>
      <x:c r="E96" s="34" t="str"/>
      <x:c r="F96" s="34" t="str"/>
      <x:c r="G96" s="34" t="str"/>
      <x:c r="H96" s="34" t="str"/>
      <x:c r="I96" s="34" t="str"/>
      <x:c r="J96" s="34" t="str">
        <x:f>IF(OR(G96="",I96=""),"待评",IF(G96=I96,"一致","不一致"))</x:f>
        <x:v>待评</x:v>
      </x:c>
      <x:c r="K96" s="34" t="str"/>
      <x:c r="L96" s="34" t="str"/>
      <x:c r="M96" s="34" t="str"/>
      <x:c r="N96" s="34" t="str"/>
      <x:c r="O96" s="34" t="str"/>
      <x:c r="P96" s="34" t="str"/>
    </x:row>
    <x:row r="97">
      <x:c r="A97" s="34" t="str">
        <x:v>M5-BLIND-092</x:v>
      </x:c>
      <x:c r="B97" s="34" t="str"/>
      <x:c r="C97" s="34" t="str"/>
      <x:c r="D97" s="34" t="str"/>
      <x:c r="E97" s="34" t="str"/>
      <x:c r="F97" s="34" t="str"/>
      <x:c r="G97" s="34" t="str"/>
      <x:c r="H97" s="34" t="str"/>
      <x:c r="I97" s="34" t="str"/>
      <x:c r="J97" s="34" t="str">
        <x:f>IF(OR(G97="",I97=""),"待评",IF(G97=I97,"一致","不一致"))</x:f>
        <x:v>待评</x:v>
      </x:c>
      <x:c r="K97" s="34" t="str"/>
      <x:c r="L97" s="34" t="str"/>
      <x:c r="M97" s="34" t="str"/>
      <x:c r="N97" s="34" t="str"/>
      <x:c r="O97" s="34" t="str"/>
      <x:c r="P97" s="34" t="str"/>
    </x:row>
    <x:row r="98">
      <x:c r="A98" s="34" t="str">
        <x:v>M5-BLIND-093</x:v>
      </x:c>
      <x:c r="B98" s="34" t="str"/>
      <x:c r="C98" s="34" t="str"/>
      <x:c r="D98" s="34" t="str"/>
      <x:c r="E98" s="34" t="str"/>
      <x:c r="F98" s="34" t="str"/>
      <x:c r="G98" s="34" t="str"/>
      <x:c r="H98" s="34" t="str"/>
      <x:c r="I98" s="34" t="str"/>
      <x:c r="J98" s="34" t="str">
        <x:f>IF(OR(G98="",I98=""),"待评",IF(G98=I98,"一致","不一致"))</x:f>
        <x:v>待评</x:v>
      </x:c>
      <x:c r="K98" s="34" t="str"/>
      <x:c r="L98" s="34" t="str"/>
      <x:c r="M98" s="34" t="str"/>
      <x:c r="N98" s="34" t="str"/>
      <x:c r="O98" s="34" t="str"/>
      <x:c r="P98" s="34" t="str"/>
    </x:row>
    <x:row r="99">
      <x:c r="A99" s="34" t="str">
        <x:v>M5-BLIND-094</x:v>
      </x:c>
      <x:c r="B99" s="34" t="str"/>
      <x:c r="C99" s="34" t="str"/>
      <x:c r="D99" s="34" t="str"/>
      <x:c r="E99" s="34" t="str"/>
      <x:c r="F99" s="34" t="str"/>
      <x:c r="G99" s="34" t="str"/>
      <x:c r="H99" s="34" t="str"/>
      <x:c r="I99" s="34" t="str"/>
      <x:c r="J99" s="34" t="str">
        <x:f>IF(OR(G99="",I99=""),"待评",IF(G99=I99,"一致","不一致"))</x:f>
        <x:v>待评</x:v>
      </x:c>
      <x:c r="K99" s="34" t="str"/>
      <x:c r="L99" s="34" t="str"/>
      <x:c r="M99" s="34" t="str"/>
      <x:c r="N99" s="34" t="str"/>
      <x:c r="O99" s="34" t="str"/>
      <x:c r="P99" s="34" t="str"/>
    </x:row>
    <x:row r="100">
      <x:c r="A100" s="34" t="str">
        <x:v>M5-BLIND-095</x:v>
      </x:c>
      <x:c r="B100" s="34" t="str"/>
      <x:c r="C100" s="34" t="str"/>
      <x:c r="D100" s="34" t="str"/>
      <x:c r="E100" s="34" t="str"/>
      <x:c r="F100" s="34" t="str"/>
      <x:c r="G100" s="34" t="str"/>
      <x:c r="H100" s="34" t="str"/>
      <x:c r="I100" s="34" t="str"/>
      <x:c r="J100" s="34" t="str">
        <x:f>IF(OR(G100="",I100=""),"待评",IF(G100=I100,"一致","不一致"))</x:f>
        <x:v>待评</x:v>
      </x:c>
      <x:c r="K100" s="34" t="str"/>
      <x:c r="L100" s="34" t="str"/>
      <x:c r="M100" s="34" t="str"/>
      <x:c r="N100" s="34" t="str"/>
      <x:c r="O100" s="34" t="str"/>
      <x:c r="P100" s="34" t="str"/>
    </x:row>
    <x:row r="101">
      <x:c r="A101" s="34" t="str">
        <x:v>M5-BLIND-096</x:v>
      </x:c>
      <x:c r="B101" s="34" t="str"/>
      <x:c r="C101" s="34" t="str"/>
      <x:c r="D101" s="34" t="str"/>
      <x:c r="E101" s="34" t="str"/>
      <x:c r="F101" s="34" t="str"/>
      <x:c r="G101" s="34" t="str"/>
      <x:c r="H101" s="34" t="str"/>
      <x:c r="I101" s="34" t="str"/>
      <x:c r="J101" s="34" t="str">
        <x:f>IF(OR(G101="",I101=""),"待评",IF(G101=I101,"一致","不一致"))</x:f>
        <x:v>待评</x:v>
      </x:c>
      <x:c r="K101" s="34" t="str"/>
      <x:c r="L101" s="34" t="str"/>
      <x:c r="M101" s="34" t="str"/>
      <x:c r="N101" s="34" t="str"/>
      <x:c r="O101" s="34" t="str"/>
      <x:c r="P101" s="34" t="str"/>
    </x:row>
    <x:row r="102">
      <x:c r="A102" s="34" t="str">
        <x:v>M5-BLIND-097</x:v>
      </x:c>
      <x:c r="B102" s="34" t="str"/>
      <x:c r="C102" s="34" t="str"/>
      <x:c r="D102" s="34" t="str"/>
      <x:c r="E102" s="34" t="str"/>
      <x:c r="F102" s="34" t="str"/>
      <x:c r="G102" s="34" t="str"/>
      <x:c r="H102" s="34" t="str"/>
      <x:c r="I102" s="34" t="str"/>
      <x:c r="J102" s="34" t="str">
        <x:f>IF(OR(G102="",I102=""),"待评",IF(G102=I102,"一致","不一致"))</x:f>
        <x:v>待评</x:v>
      </x:c>
      <x:c r="K102" s="34" t="str"/>
      <x:c r="L102" s="34" t="str"/>
      <x:c r="M102" s="34" t="str"/>
      <x:c r="N102" s="34" t="str"/>
      <x:c r="O102" s="34" t="str"/>
      <x:c r="P102" s="34" t="str"/>
    </x:row>
    <x:row r="103">
      <x:c r="A103" s="34" t="str">
        <x:v>M5-BLIND-098</x:v>
      </x:c>
      <x:c r="B103" s="34" t="str"/>
      <x:c r="C103" s="34" t="str"/>
      <x:c r="D103" s="34" t="str"/>
      <x:c r="E103" s="34" t="str"/>
      <x:c r="F103" s="34" t="str"/>
      <x:c r="G103" s="34" t="str"/>
      <x:c r="H103" s="34" t="str"/>
      <x:c r="I103" s="34" t="str"/>
      <x:c r="J103" s="34" t="str">
        <x:f>IF(OR(G103="",I103=""),"待评",IF(G103=I103,"一致","不一致"))</x:f>
        <x:v>待评</x:v>
      </x:c>
      <x:c r="K103" s="34" t="str"/>
      <x:c r="L103" s="34" t="str"/>
      <x:c r="M103" s="34" t="str"/>
      <x:c r="N103" s="34" t="str"/>
      <x:c r="O103" s="34" t="str"/>
      <x:c r="P103" s="34" t="str"/>
    </x:row>
    <x:row r="104">
      <x:c r="A104" s="34" t="str">
        <x:v>M5-BLIND-099</x:v>
      </x:c>
      <x:c r="B104" s="34" t="str"/>
      <x:c r="C104" s="34" t="str"/>
      <x:c r="D104" s="34" t="str"/>
      <x:c r="E104" s="34" t="str"/>
      <x:c r="F104" s="34" t="str"/>
      <x:c r="G104" s="34" t="str"/>
      <x:c r="H104" s="34" t="str"/>
      <x:c r="I104" s="34" t="str"/>
      <x:c r="J104" s="34" t="str">
        <x:f>IF(OR(G104="",I104=""),"待评",IF(G104=I104,"一致","不一致"))</x:f>
        <x:v>待评</x:v>
      </x:c>
      <x:c r="K104" s="34" t="str"/>
      <x:c r="L104" s="34" t="str"/>
      <x:c r="M104" s="34" t="str"/>
      <x:c r="N104" s="34" t="str"/>
      <x:c r="O104" s="34" t="str"/>
      <x:c r="P104" s="34" t="str"/>
    </x:row>
    <x:row r="105">
      <x:c r="A105" s="34" t="str">
        <x:v>M5-BLIND-100</x:v>
      </x:c>
      <x:c r="B105" s="34" t="str"/>
      <x:c r="C105" s="34" t="str"/>
      <x:c r="D105" s="34" t="str"/>
      <x:c r="E105" s="34" t="str"/>
      <x:c r="F105" s="34" t="str"/>
      <x:c r="G105" s="34" t="str"/>
      <x:c r="H105" s="34" t="str"/>
      <x:c r="I105" s="34" t="str"/>
      <x:c r="J105" s="34" t="str">
        <x:f>IF(OR(G105="",I105=""),"待评",IF(G105=I105,"一致","不一致"))</x:f>
        <x:v>待评</x:v>
      </x:c>
      <x:c r="K105" s="34" t="str"/>
      <x:c r="L105" s="34" t="str"/>
      <x:c r="M105" s="34" t="str"/>
      <x:c r="N105" s="34" t="str"/>
      <x:c r="O105" s="34" t="str"/>
      <x:c r="P105" s="34" t="str"/>
    </x:row>
    <x:row r="106">
      <x:c r="A106" s="34" t="str">
        <x:v>M5-BLIND-101</x:v>
      </x:c>
      <x:c r="B106" s="34" t="str"/>
      <x:c r="C106" s="34" t="str"/>
      <x:c r="D106" s="34" t="str"/>
      <x:c r="E106" s="34" t="str"/>
      <x:c r="F106" s="34" t="str"/>
      <x:c r="G106" s="34" t="str"/>
      <x:c r="H106" s="34" t="str"/>
      <x:c r="I106" s="34" t="str"/>
      <x:c r="J106" s="34" t="str">
        <x:f>IF(OR(G106="",I106=""),"待评",IF(G106=I106,"一致","不一致"))</x:f>
        <x:v>待评</x:v>
      </x:c>
      <x:c r="K106" s="34" t="str"/>
      <x:c r="L106" s="34" t="str"/>
      <x:c r="M106" s="34" t="str"/>
      <x:c r="N106" s="34" t="str"/>
      <x:c r="O106" s="34" t="str"/>
      <x:c r="P106" s="34" t="str"/>
    </x:row>
    <x:row r="107">
      <x:c r="A107" s="34" t="str">
        <x:v>M5-BLIND-102</x:v>
      </x:c>
      <x:c r="B107" s="34" t="str"/>
      <x:c r="C107" s="34" t="str"/>
      <x:c r="D107" s="34" t="str"/>
      <x:c r="E107" s="34" t="str"/>
      <x:c r="F107" s="34" t="str"/>
      <x:c r="G107" s="34" t="str"/>
      <x:c r="H107" s="34" t="str"/>
      <x:c r="I107" s="34" t="str"/>
      <x:c r="J107" s="34" t="str">
        <x:f>IF(OR(G107="",I107=""),"待评",IF(G107=I107,"一致","不一致"))</x:f>
        <x:v>待评</x:v>
      </x:c>
      <x:c r="K107" s="34" t="str"/>
      <x:c r="L107" s="34" t="str"/>
      <x:c r="M107" s="34" t="str"/>
      <x:c r="N107" s="34" t="str"/>
      <x:c r="O107" s="34" t="str"/>
      <x:c r="P107" s="34" t="str"/>
    </x:row>
    <x:row r="108">
      <x:c r="A108" s="34" t="str">
        <x:v>M5-BLIND-103</x:v>
      </x:c>
      <x:c r="B108" s="34" t="str"/>
      <x:c r="C108" s="34" t="str"/>
      <x:c r="D108" s="34" t="str"/>
      <x:c r="E108" s="34" t="str"/>
      <x:c r="F108" s="34" t="str"/>
      <x:c r="G108" s="34" t="str"/>
      <x:c r="H108" s="34" t="str"/>
      <x:c r="I108" s="34" t="str"/>
      <x:c r="J108" s="34" t="str">
        <x:f>IF(OR(G108="",I108=""),"待评",IF(G108=I108,"一致","不一致"))</x:f>
        <x:v>待评</x:v>
      </x:c>
      <x:c r="K108" s="34" t="str"/>
      <x:c r="L108" s="34" t="str"/>
      <x:c r="M108" s="34" t="str"/>
      <x:c r="N108" s="34" t="str"/>
      <x:c r="O108" s="34" t="str"/>
      <x:c r="P108" s="34" t="str"/>
    </x:row>
    <x:row r="109">
      <x:c r="A109" s="34" t="str">
        <x:v>M5-BLIND-104</x:v>
      </x:c>
      <x:c r="B109" s="34" t="str"/>
      <x:c r="C109" s="34" t="str"/>
      <x:c r="D109" s="34" t="str"/>
      <x:c r="E109" s="34" t="str"/>
      <x:c r="F109" s="34" t="str"/>
      <x:c r="G109" s="34" t="str"/>
      <x:c r="H109" s="34" t="str"/>
      <x:c r="I109" s="34" t="str"/>
      <x:c r="J109" s="34" t="str">
        <x:f>IF(OR(G109="",I109=""),"待评",IF(G109=I109,"一致","不一致"))</x:f>
        <x:v>待评</x:v>
      </x:c>
      <x:c r="K109" s="34" t="str"/>
      <x:c r="L109" s="34" t="str"/>
      <x:c r="M109" s="34" t="str"/>
      <x:c r="N109" s="34" t="str"/>
      <x:c r="O109" s="34" t="str"/>
      <x:c r="P109" s="34" t="str"/>
    </x:row>
    <x:row r="110">
      <x:c r="A110" s="34" t="str">
        <x:v>M5-BLIND-105</x:v>
      </x:c>
      <x:c r="B110" s="34" t="str"/>
      <x:c r="C110" s="34" t="str"/>
      <x:c r="D110" s="34" t="str"/>
      <x:c r="E110" s="34" t="str"/>
      <x:c r="F110" s="34" t="str"/>
      <x:c r="G110" s="34" t="str"/>
      <x:c r="H110" s="34" t="str"/>
      <x:c r="I110" s="34" t="str"/>
      <x:c r="J110" s="34" t="str">
        <x:f>IF(OR(G110="",I110=""),"待评",IF(G110=I110,"一致","不一致"))</x:f>
        <x:v>待评</x:v>
      </x:c>
      <x:c r="K110" s="34" t="str"/>
      <x:c r="L110" s="34" t="str"/>
      <x:c r="M110" s="34" t="str"/>
      <x:c r="N110" s="34" t="str"/>
      <x:c r="O110" s="34" t="str"/>
      <x:c r="P110" s="34" t="str"/>
    </x:row>
    <x:row r="111">
      <x:c r="A111" s="34" t="str">
        <x:v>M5-BLIND-106</x:v>
      </x:c>
      <x:c r="B111" s="34" t="str"/>
      <x:c r="C111" s="34" t="str"/>
      <x:c r="D111" s="34" t="str"/>
      <x:c r="E111" s="34" t="str"/>
      <x:c r="F111" s="34" t="str"/>
      <x:c r="G111" s="34" t="str"/>
      <x:c r="H111" s="34" t="str"/>
      <x:c r="I111" s="34" t="str"/>
      <x:c r="J111" s="34" t="str">
        <x:f>IF(OR(G111="",I111=""),"待评",IF(G111=I111,"一致","不一致"))</x:f>
        <x:v>待评</x:v>
      </x:c>
      <x:c r="K111" s="34" t="str"/>
      <x:c r="L111" s="34" t="str"/>
      <x:c r="M111" s="34" t="str"/>
      <x:c r="N111" s="34" t="str"/>
      <x:c r="O111" s="34" t="str"/>
      <x:c r="P111" s="34" t="str"/>
    </x:row>
    <x:row r="112">
      <x:c r="A112" s="34" t="str">
        <x:v>M5-BLIND-107</x:v>
      </x:c>
      <x:c r="B112" s="34" t="str"/>
      <x:c r="C112" s="34" t="str"/>
      <x:c r="D112" s="34" t="str"/>
      <x:c r="E112" s="34" t="str"/>
      <x:c r="F112" s="34" t="str"/>
      <x:c r="G112" s="34" t="str"/>
      <x:c r="H112" s="34" t="str"/>
      <x:c r="I112" s="34" t="str"/>
      <x:c r="J112" s="34" t="str">
        <x:f>IF(OR(G112="",I112=""),"待评",IF(G112=I112,"一致","不一致"))</x:f>
        <x:v>待评</x:v>
      </x:c>
      <x:c r="K112" s="34" t="str"/>
      <x:c r="L112" s="34" t="str"/>
      <x:c r="M112" s="34" t="str"/>
      <x:c r="N112" s="34" t="str"/>
      <x:c r="O112" s="34" t="str"/>
      <x:c r="P112" s="34" t="str"/>
    </x:row>
    <x:row r="113">
      <x:c r="A113" s="34" t="str">
        <x:v>M5-BLIND-108</x:v>
      </x:c>
      <x:c r="B113" s="34" t="str"/>
      <x:c r="C113" s="34" t="str"/>
      <x:c r="D113" s="34" t="str"/>
      <x:c r="E113" s="34" t="str"/>
      <x:c r="F113" s="34" t="str"/>
      <x:c r="G113" s="34" t="str"/>
      <x:c r="H113" s="34" t="str"/>
      <x:c r="I113" s="34" t="str"/>
      <x:c r="J113" s="34" t="str">
        <x:f>IF(OR(G113="",I113=""),"待评",IF(G113=I113,"一致","不一致"))</x:f>
        <x:v>待评</x:v>
      </x:c>
      <x:c r="K113" s="34" t="str"/>
      <x:c r="L113" s="34" t="str"/>
      <x:c r="M113" s="34" t="str"/>
      <x:c r="N113" s="34" t="str"/>
      <x:c r="O113" s="34" t="str"/>
      <x:c r="P113" s="34" t="str"/>
    </x:row>
    <x:row r="114">
      <x:c r="A114" s="34" t="str">
        <x:v>M5-BLIND-109</x:v>
      </x:c>
      <x:c r="B114" s="34" t="str"/>
      <x:c r="C114" s="34" t="str"/>
      <x:c r="D114" s="34" t="str"/>
      <x:c r="E114" s="34" t="str"/>
      <x:c r="F114" s="34" t="str"/>
      <x:c r="G114" s="34" t="str"/>
      <x:c r="H114" s="34" t="str"/>
      <x:c r="I114" s="34" t="str"/>
      <x:c r="J114" s="34" t="str">
        <x:f>IF(OR(G114="",I114=""),"待评",IF(G114=I114,"一致","不一致"))</x:f>
        <x:v>待评</x:v>
      </x:c>
      <x:c r="K114" s="34" t="str"/>
      <x:c r="L114" s="34" t="str"/>
      <x:c r="M114" s="34" t="str"/>
      <x:c r="N114" s="34" t="str"/>
      <x:c r="O114" s="34" t="str"/>
      <x:c r="P114" s="34" t="str"/>
    </x:row>
    <x:row r="115">
      <x:c r="A115" s="34" t="str">
        <x:v>M5-BLIND-110</x:v>
      </x:c>
      <x:c r="B115" s="34" t="str"/>
      <x:c r="C115" s="34" t="str"/>
      <x:c r="D115" s="34" t="str"/>
      <x:c r="E115" s="34" t="str"/>
      <x:c r="F115" s="34" t="str"/>
      <x:c r="G115" s="34" t="str"/>
      <x:c r="H115" s="34" t="str"/>
      <x:c r="I115" s="34" t="str"/>
      <x:c r="J115" s="34" t="str">
        <x:f>IF(OR(G115="",I115=""),"待评",IF(G115=I115,"一致","不一致"))</x:f>
        <x:v>待评</x:v>
      </x:c>
      <x:c r="K115" s="34" t="str"/>
      <x:c r="L115" s="34" t="str"/>
      <x:c r="M115" s="34" t="str"/>
      <x:c r="N115" s="34" t="str"/>
      <x:c r="O115" s="34" t="str"/>
      <x:c r="P115" s="34" t="str"/>
    </x:row>
    <x:row r="116">
      <x:c r="A116" s="34" t="str">
        <x:v>M5-BLIND-111</x:v>
      </x:c>
      <x:c r="B116" s="34" t="str"/>
      <x:c r="C116" s="34" t="str"/>
      <x:c r="D116" s="34" t="str"/>
      <x:c r="E116" s="34" t="str"/>
      <x:c r="F116" s="34" t="str"/>
      <x:c r="G116" s="34" t="str"/>
      <x:c r="H116" s="34" t="str"/>
      <x:c r="I116" s="34" t="str"/>
      <x:c r="J116" s="34" t="str">
        <x:f>IF(OR(G116="",I116=""),"待评",IF(G116=I116,"一致","不一致"))</x:f>
        <x:v>待评</x:v>
      </x:c>
      <x:c r="K116" s="34" t="str"/>
      <x:c r="L116" s="34" t="str"/>
      <x:c r="M116" s="34" t="str"/>
      <x:c r="N116" s="34" t="str"/>
      <x:c r="O116" s="34" t="str"/>
      <x:c r="P116" s="34" t="str"/>
    </x:row>
    <x:row r="117">
      <x:c r="A117" s="34" t="str">
        <x:v>M5-BLIND-112</x:v>
      </x:c>
      <x:c r="B117" s="34" t="str"/>
      <x:c r="C117" s="34" t="str"/>
      <x:c r="D117" s="34" t="str"/>
      <x:c r="E117" s="34" t="str"/>
      <x:c r="F117" s="34" t="str"/>
      <x:c r="G117" s="34" t="str"/>
      <x:c r="H117" s="34" t="str"/>
      <x:c r="I117" s="34" t="str"/>
      <x:c r="J117" s="34" t="str">
        <x:f>IF(OR(G117="",I117=""),"待评",IF(G117=I117,"一致","不一致"))</x:f>
        <x:v>待评</x:v>
      </x:c>
      <x:c r="K117" s="34" t="str"/>
      <x:c r="L117" s="34" t="str"/>
      <x:c r="M117" s="34" t="str"/>
      <x:c r="N117" s="34" t="str"/>
      <x:c r="O117" s="34" t="str"/>
      <x:c r="P117" s="34" t="str"/>
    </x:row>
    <x:row r="118">
      <x:c r="A118" s="34" t="str">
        <x:v>M5-BLIND-113</x:v>
      </x:c>
      <x:c r="B118" s="34" t="str"/>
      <x:c r="C118" s="34" t="str"/>
      <x:c r="D118" s="34" t="str"/>
      <x:c r="E118" s="34" t="str"/>
      <x:c r="F118" s="34" t="str"/>
      <x:c r="G118" s="34" t="str"/>
      <x:c r="H118" s="34" t="str"/>
      <x:c r="I118" s="34" t="str"/>
      <x:c r="J118" s="34" t="str">
        <x:f>IF(OR(G118="",I118=""),"待评",IF(G118=I118,"一致","不一致"))</x:f>
        <x:v>待评</x:v>
      </x:c>
      <x:c r="K118" s="34" t="str"/>
      <x:c r="L118" s="34" t="str"/>
      <x:c r="M118" s="34" t="str"/>
      <x:c r="N118" s="34" t="str"/>
      <x:c r="O118" s="34" t="str"/>
      <x:c r="P118" s="34" t="str"/>
    </x:row>
    <x:row r="119">
      <x:c r="A119" s="34" t="str">
        <x:v>M5-BLIND-114</x:v>
      </x:c>
      <x:c r="B119" s="34" t="str"/>
      <x:c r="C119" s="34" t="str"/>
      <x:c r="D119" s="34" t="str"/>
      <x:c r="E119" s="34" t="str"/>
      <x:c r="F119" s="34" t="str"/>
      <x:c r="G119" s="34" t="str"/>
      <x:c r="H119" s="34" t="str"/>
      <x:c r="I119" s="34" t="str"/>
      <x:c r="J119" s="34" t="str">
        <x:f>IF(OR(G119="",I119=""),"待评",IF(G119=I119,"一致","不一致"))</x:f>
        <x:v>待评</x:v>
      </x:c>
      <x:c r="K119" s="34" t="str"/>
      <x:c r="L119" s="34" t="str"/>
      <x:c r="M119" s="34" t="str"/>
      <x:c r="N119" s="34" t="str"/>
      <x:c r="O119" s="34" t="str"/>
      <x:c r="P119" s="34" t="str"/>
    </x:row>
    <x:row r="120">
      <x:c r="A120" s="34" t="str">
        <x:v>M5-BLIND-115</x:v>
      </x:c>
      <x:c r="B120" s="34" t="str"/>
      <x:c r="C120" s="34" t="str"/>
      <x:c r="D120" s="34" t="str"/>
      <x:c r="E120" s="34" t="str"/>
      <x:c r="F120" s="34" t="str"/>
      <x:c r="G120" s="34" t="str"/>
      <x:c r="H120" s="34" t="str"/>
      <x:c r="I120" s="34" t="str"/>
      <x:c r="J120" s="34" t="str">
        <x:f>IF(OR(G120="",I120=""),"待评",IF(G120=I120,"一致","不一致"))</x:f>
        <x:v>待评</x:v>
      </x:c>
      <x:c r="K120" s="34" t="str"/>
      <x:c r="L120" s="34" t="str"/>
      <x:c r="M120" s="34" t="str"/>
      <x:c r="N120" s="34" t="str"/>
      <x:c r="O120" s="34" t="str"/>
      <x:c r="P120" s="34" t="str"/>
    </x:row>
    <x:row r="121">
      <x:c r="A121" s="34" t="str">
        <x:v>M5-BLIND-116</x:v>
      </x:c>
      <x:c r="B121" s="34" t="str"/>
      <x:c r="C121" s="34" t="str"/>
      <x:c r="D121" s="34" t="str"/>
      <x:c r="E121" s="34" t="str"/>
      <x:c r="F121" s="34" t="str"/>
      <x:c r="G121" s="34" t="str"/>
      <x:c r="H121" s="34" t="str"/>
      <x:c r="I121" s="34" t="str"/>
      <x:c r="J121" s="34" t="str">
        <x:f>IF(OR(G121="",I121=""),"待评",IF(G121=I121,"一致","不一致"))</x:f>
        <x:v>待评</x:v>
      </x:c>
      <x:c r="K121" s="34" t="str"/>
      <x:c r="L121" s="34" t="str"/>
      <x:c r="M121" s="34" t="str"/>
      <x:c r="N121" s="34" t="str"/>
      <x:c r="O121" s="34" t="str"/>
      <x:c r="P121" s="34" t="str"/>
    </x:row>
    <x:row r="122">
      <x:c r="A122" s="34" t="str">
        <x:v>M5-BLIND-117</x:v>
      </x:c>
      <x:c r="B122" s="34" t="str"/>
      <x:c r="C122" s="34" t="str"/>
      <x:c r="D122" s="34" t="str"/>
      <x:c r="E122" s="34" t="str"/>
      <x:c r="F122" s="34" t="str"/>
      <x:c r="G122" s="34" t="str"/>
      <x:c r="H122" s="34" t="str"/>
      <x:c r="I122" s="34" t="str"/>
      <x:c r="J122" s="34" t="str">
        <x:f>IF(OR(G122="",I122=""),"待评",IF(G122=I122,"一致","不一致"))</x:f>
        <x:v>待评</x:v>
      </x:c>
      <x:c r="K122" s="34" t="str"/>
      <x:c r="L122" s="34" t="str"/>
      <x:c r="M122" s="34" t="str"/>
      <x:c r="N122" s="34" t="str"/>
      <x:c r="O122" s="34" t="str"/>
      <x:c r="P122" s="34" t="str"/>
    </x:row>
    <x:row r="123">
      <x:c r="A123" s="34" t="str">
        <x:v>M5-BLIND-118</x:v>
      </x:c>
      <x:c r="B123" s="34" t="str"/>
      <x:c r="C123" s="34" t="str"/>
      <x:c r="D123" s="34" t="str"/>
      <x:c r="E123" s="34" t="str"/>
      <x:c r="F123" s="34" t="str"/>
      <x:c r="G123" s="34" t="str"/>
      <x:c r="H123" s="34" t="str"/>
      <x:c r="I123" s="34" t="str"/>
      <x:c r="J123" s="34" t="str">
        <x:f>IF(OR(G123="",I123=""),"待评",IF(G123=I123,"一致","不一致"))</x:f>
        <x:v>待评</x:v>
      </x:c>
      <x:c r="K123" s="34" t="str"/>
      <x:c r="L123" s="34" t="str"/>
      <x:c r="M123" s="34" t="str"/>
      <x:c r="N123" s="34" t="str"/>
      <x:c r="O123" s="34" t="str"/>
      <x:c r="P123" s="34" t="str"/>
    </x:row>
    <x:row r="124">
      <x:c r="A124" s="34" t="str">
        <x:v>M5-BLIND-119</x:v>
      </x:c>
      <x:c r="B124" s="34" t="str"/>
      <x:c r="C124" s="34" t="str"/>
      <x:c r="D124" s="34" t="str"/>
      <x:c r="E124" s="34" t="str"/>
      <x:c r="F124" s="34" t="str"/>
      <x:c r="G124" s="34" t="str"/>
      <x:c r="H124" s="34" t="str"/>
      <x:c r="I124" s="34" t="str"/>
      <x:c r="J124" s="34" t="str">
        <x:f>IF(OR(G124="",I124=""),"待评",IF(G124=I124,"一致","不一致"))</x:f>
        <x:v>待评</x:v>
      </x:c>
      <x:c r="K124" s="34" t="str"/>
      <x:c r="L124" s="34" t="str"/>
      <x:c r="M124" s="34" t="str"/>
      <x:c r="N124" s="34" t="str"/>
      <x:c r="O124" s="34" t="str"/>
      <x:c r="P124" s="34" t="str"/>
    </x:row>
    <x:row r="125">
      <x:c r="A125" s="34" t="str">
        <x:v>M5-BLIND-120</x:v>
      </x:c>
      <x:c r="B125" s="34" t="str"/>
      <x:c r="C125" s="34" t="str"/>
      <x:c r="D125" s="34" t="str"/>
      <x:c r="E125" s="34" t="str"/>
      <x:c r="F125" s="34" t="str"/>
      <x:c r="G125" s="34" t="str"/>
      <x:c r="H125" s="34" t="str"/>
      <x:c r="I125" s="34" t="str"/>
      <x:c r="J125" s="34" t="str">
        <x:f>IF(OR(G125="",I125=""),"待评",IF(G125=I125,"一致","不一致"))</x:f>
        <x:v>待评</x:v>
      </x:c>
      <x:c r="K125" s="34" t="str"/>
      <x:c r="L125" s="34" t="str"/>
      <x:c r="M125" s="34" t="str"/>
      <x:c r="N125" s="34" t="str"/>
      <x:c r="O125" s="34" t="str"/>
      <x:c r="P125" s="34" t="str"/>
    </x:row>
    <x:row r="126">
      <x:c r="A126" s="34" t="str">
        <x:v>M5-BLIND-121</x:v>
      </x:c>
      <x:c r="B126" s="34" t="str"/>
      <x:c r="C126" s="34" t="str"/>
      <x:c r="D126" s="34" t="str"/>
      <x:c r="E126" s="34" t="str"/>
      <x:c r="F126" s="34" t="str"/>
      <x:c r="G126" s="34" t="str"/>
      <x:c r="H126" s="34" t="str"/>
      <x:c r="I126" s="34" t="str"/>
      <x:c r="J126" s="34" t="str">
        <x:f>IF(OR(G126="",I126=""),"待评",IF(G126=I126,"一致","不一致"))</x:f>
        <x:v>待评</x:v>
      </x:c>
      <x:c r="K126" s="34" t="str"/>
      <x:c r="L126" s="34" t="str"/>
      <x:c r="M126" s="34" t="str"/>
      <x:c r="N126" s="34" t="str"/>
      <x:c r="O126" s="34" t="str"/>
      <x:c r="P126" s="34" t="str"/>
    </x:row>
    <x:row r="127">
      <x:c r="A127" s="34" t="str">
        <x:v>M5-BLIND-122</x:v>
      </x:c>
      <x:c r="B127" s="34" t="str"/>
      <x:c r="C127" s="34" t="str"/>
      <x:c r="D127" s="34" t="str"/>
      <x:c r="E127" s="34" t="str"/>
      <x:c r="F127" s="34" t="str"/>
      <x:c r="G127" s="34" t="str"/>
      <x:c r="H127" s="34" t="str"/>
      <x:c r="I127" s="34" t="str"/>
      <x:c r="J127" s="34" t="str">
        <x:f>IF(OR(G127="",I127=""),"待评",IF(G127=I127,"一致","不一致"))</x:f>
        <x:v>待评</x:v>
      </x:c>
      <x:c r="K127" s="34" t="str"/>
      <x:c r="L127" s="34" t="str"/>
      <x:c r="M127" s="34" t="str"/>
      <x:c r="N127" s="34" t="str"/>
      <x:c r="O127" s="34" t="str"/>
      <x:c r="P127" s="34" t="str"/>
    </x:row>
    <x:row r="128">
      <x:c r="A128" s="34" t="str">
        <x:v>M5-BLIND-123</x:v>
      </x:c>
      <x:c r="B128" s="34" t="str"/>
      <x:c r="C128" s="34" t="str"/>
      <x:c r="D128" s="34" t="str"/>
      <x:c r="E128" s="34" t="str"/>
      <x:c r="F128" s="34" t="str"/>
      <x:c r="G128" s="34" t="str"/>
      <x:c r="H128" s="34" t="str"/>
      <x:c r="I128" s="34" t="str"/>
      <x:c r="J128" s="34" t="str">
        <x:f>IF(OR(G128="",I128=""),"待评",IF(G128=I128,"一致","不一致"))</x:f>
        <x:v>待评</x:v>
      </x:c>
      <x:c r="K128" s="34" t="str"/>
      <x:c r="L128" s="34" t="str"/>
      <x:c r="M128" s="34" t="str"/>
      <x:c r="N128" s="34" t="str"/>
      <x:c r="O128" s="34" t="str"/>
      <x:c r="P128" s="34" t="str"/>
    </x:row>
    <x:row r="129">
      <x:c r="A129" s="34" t="str">
        <x:v>M5-BLIND-124</x:v>
      </x:c>
      <x:c r="B129" s="34" t="str"/>
      <x:c r="C129" s="34" t="str"/>
      <x:c r="D129" s="34" t="str"/>
      <x:c r="E129" s="34" t="str"/>
      <x:c r="F129" s="34" t="str"/>
      <x:c r="G129" s="34" t="str"/>
      <x:c r="H129" s="34" t="str"/>
      <x:c r="I129" s="34" t="str"/>
      <x:c r="J129" s="34" t="str">
        <x:f>IF(OR(G129="",I129=""),"待评",IF(G129=I129,"一致","不一致"))</x:f>
        <x:v>待评</x:v>
      </x:c>
      <x:c r="K129" s="34" t="str"/>
      <x:c r="L129" s="34" t="str"/>
      <x:c r="M129" s="34" t="str"/>
      <x:c r="N129" s="34" t="str"/>
      <x:c r="O129" s="34" t="str"/>
      <x:c r="P129" s="34" t="str"/>
    </x:row>
    <x:row r="130">
      <x:c r="A130" s="34" t="str">
        <x:v>M5-BLIND-125</x:v>
      </x:c>
      <x:c r="B130" s="34" t="str"/>
      <x:c r="C130" s="34" t="str"/>
      <x:c r="D130" s="34" t="str"/>
      <x:c r="E130" s="34" t="str"/>
      <x:c r="F130" s="34" t="str"/>
      <x:c r="G130" s="34" t="str"/>
      <x:c r="H130" s="34" t="str"/>
      <x:c r="I130" s="34" t="str"/>
      <x:c r="J130" s="34" t="str">
        <x:f>IF(OR(G130="",I130=""),"待评",IF(G130=I130,"一致","不一致"))</x:f>
        <x:v>待评</x:v>
      </x:c>
      <x:c r="K130" s="34" t="str"/>
      <x:c r="L130" s="34" t="str"/>
      <x:c r="M130" s="34" t="str"/>
      <x:c r="N130" s="34" t="str"/>
      <x:c r="O130" s="34" t="str"/>
      <x:c r="P130" s="34" t="str"/>
    </x:row>
    <x:row r="131">
      <x:c r="A131" s="34" t="str">
        <x:v>M5-BLIND-126</x:v>
      </x:c>
      <x:c r="B131" s="34" t="str"/>
      <x:c r="C131" s="34" t="str"/>
      <x:c r="D131" s="34" t="str"/>
      <x:c r="E131" s="34" t="str"/>
      <x:c r="F131" s="34" t="str"/>
      <x:c r="G131" s="34" t="str"/>
      <x:c r="H131" s="34" t="str"/>
      <x:c r="I131" s="34" t="str"/>
      <x:c r="J131" s="34" t="str">
        <x:f>IF(OR(G131="",I131=""),"待评",IF(G131=I131,"一致","不一致"))</x:f>
        <x:v>待评</x:v>
      </x:c>
      <x:c r="K131" s="34" t="str"/>
      <x:c r="L131" s="34" t="str"/>
      <x:c r="M131" s="34" t="str"/>
      <x:c r="N131" s="34" t="str"/>
      <x:c r="O131" s="34" t="str"/>
      <x:c r="P131" s="34" t="str"/>
    </x:row>
    <x:row r="132">
      <x:c r="A132" s="34" t="str">
        <x:v>M5-BLIND-127</x:v>
      </x:c>
      <x:c r="B132" s="34" t="str"/>
      <x:c r="C132" s="34" t="str"/>
      <x:c r="D132" s="34" t="str"/>
      <x:c r="E132" s="34" t="str"/>
      <x:c r="F132" s="34" t="str"/>
      <x:c r="G132" s="34" t="str"/>
      <x:c r="H132" s="34" t="str"/>
      <x:c r="I132" s="34" t="str"/>
      <x:c r="J132" s="34" t="str">
        <x:f>IF(OR(G132="",I132=""),"待评",IF(G132=I132,"一致","不一致"))</x:f>
        <x:v>待评</x:v>
      </x:c>
      <x:c r="K132" s="34" t="str"/>
      <x:c r="L132" s="34" t="str"/>
      <x:c r="M132" s="34" t="str"/>
      <x:c r="N132" s="34" t="str"/>
      <x:c r="O132" s="34" t="str"/>
      <x:c r="P132" s="34" t="str"/>
    </x:row>
    <x:row r="133">
      <x:c r="A133" s="34" t="str">
        <x:v>M5-BLIND-128</x:v>
      </x:c>
      <x:c r="B133" s="34" t="str"/>
      <x:c r="C133" s="34" t="str"/>
      <x:c r="D133" s="34" t="str"/>
      <x:c r="E133" s="34" t="str"/>
      <x:c r="F133" s="34" t="str"/>
      <x:c r="G133" s="34" t="str"/>
      <x:c r="H133" s="34" t="str"/>
      <x:c r="I133" s="34" t="str"/>
      <x:c r="J133" s="34" t="str">
        <x:f>IF(OR(G133="",I133=""),"待评",IF(G133=I133,"一致","不一致"))</x:f>
        <x:v>待评</x:v>
      </x:c>
      <x:c r="K133" s="34" t="str"/>
      <x:c r="L133" s="34" t="str"/>
      <x:c r="M133" s="34" t="str"/>
      <x:c r="N133" s="34" t="str"/>
      <x:c r="O133" s="34" t="str"/>
      <x:c r="P133" s="34" t="str"/>
    </x:row>
    <x:row r="134">
      <x:c r="A134" s="34" t="str">
        <x:v>M5-BLIND-129</x:v>
      </x:c>
      <x:c r="B134" s="34" t="str"/>
      <x:c r="C134" s="34" t="str"/>
      <x:c r="D134" s="34" t="str"/>
      <x:c r="E134" s="34" t="str"/>
      <x:c r="F134" s="34" t="str"/>
      <x:c r="G134" s="34" t="str"/>
      <x:c r="H134" s="34" t="str"/>
      <x:c r="I134" s="34" t="str"/>
      <x:c r="J134" s="34" t="str">
        <x:f>IF(OR(G134="",I134=""),"待评",IF(G134=I134,"一致","不一致"))</x:f>
        <x:v>待评</x:v>
      </x:c>
      <x:c r="K134" s="34" t="str"/>
      <x:c r="L134" s="34" t="str"/>
      <x:c r="M134" s="34" t="str"/>
      <x:c r="N134" s="34" t="str"/>
      <x:c r="O134" s="34" t="str"/>
      <x:c r="P134" s="34" t="str"/>
    </x:row>
    <x:row r="135">
      <x:c r="A135" s="34" t="str">
        <x:v>M5-BLIND-130</x:v>
      </x:c>
      <x:c r="B135" s="34" t="str"/>
      <x:c r="C135" s="34" t="str"/>
      <x:c r="D135" s="34" t="str"/>
      <x:c r="E135" s="34" t="str"/>
      <x:c r="F135" s="34" t="str"/>
      <x:c r="G135" s="34" t="str"/>
      <x:c r="H135" s="34" t="str"/>
      <x:c r="I135" s="34" t="str"/>
      <x:c r="J135" s="34" t="str">
        <x:f>IF(OR(G135="",I135=""),"待评",IF(G135=I135,"一致","不一致"))</x:f>
        <x:v>待评</x:v>
      </x:c>
      <x:c r="K135" s="34" t="str"/>
      <x:c r="L135" s="34" t="str"/>
      <x:c r="M135" s="34" t="str"/>
      <x:c r="N135" s="34" t="str"/>
      <x:c r="O135" s="34" t="str"/>
      <x:c r="P135" s="34" t="str"/>
    </x:row>
    <x:row r="136">
      <x:c r="A136" s="34" t="str">
        <x:v>M5-BLIND-131</x:v>
      </x:c>
      <x:c r="B136" s="34" t="str"/>
      <x:c r="C136" s="34" t="str"/>
      <x:c r="D136" s="34" t="str"/>
      <x:c r="E136" s="34" t="str"/>
      <x:c r="F136" s="34" t="str"/>
      <x:c r="G136" s="34" t="str"/>
      <x:c r="H136" s="34" t="str"/>
      <x:c r="I136" s="34" t="str"/>
      <x:c r="J136" s="34" t="str">
        <x:f>IF(OR(G136="",I136=""),"待评",IF(G136=I136,"一致","不一致"))</x:f>
        <x:v>待评</x:v>
      </x:c>
      <x:c r="K136" s="34" t="str"/>
      <x:c r="L136" s="34" t="str"/>
      <x:c r="M136" s="34" t="str"/>
      <x:c r="N136" s="34" t="str"/>
      <x:c r="O136" s="34" t="str"/>
      <x:c r="P136" s="34" t="str"/>
    </x:row>
    <x:row r="137">
      <x:c r="A137" s="34" t="str">
        <x:v>M5-BLIND-132</x:v>
      </x:c>
      <x:c r="B137" s="34" t="str"/>
      <x:c r="C137" s="34" t="str"/>
      <x:c r="D137" s="34" t="str"/>
      <x:c r="E137" s="34" t="str"/>
      <x:c r="F137" s="34" t="str"/>
      <x:c r="G137" s="34" t="str"/>
      <x:c r="H137" s="34" t="str"/>
      <x:c r="I137" s="34" t="str"/>
      <x:c r="J137" s="34" t="str">
        <x:f>IF(OR(G137="",I137=""),"待评",IF(G137=I137,"一致","不一致"))</x:f>
        <x:v>待评</x:v>
      </x:c>
      <x:c r="K137" s="34" t="str"/>
      <x:c r="L137" s="34" t="str"/>
      <x:c r="M137" s="34" t="str"/>
      <x:c r="N137" s="34" t="str"/>
      <x:c r="O137" s="34" t="str"/>
      <x:c r="P137" s="34" t="str"/>
    </x:row>
    <x:row r="138">
      <x:c r="A138" s="34" t="str">
        <x:v>M5-BLIND-133</x:v>
      </x:c>
      <x:c r="B138" s="34" t="str"/>
      <x:c r="C138" s="34" t="str"/>
      <x:c r="D138" s="34" t="str"/>
      <x:c r="E138" s="34" t="str"/>
      <x:c r="F138" s="34" t="str"/>
      <x:c r="G138" s="34" t="str"/>
      <x:c r="H138" s="34" t="str"/>
      <x:c r="I138" s="34" t="str"/>
      <x:c r="J138" s="34" t="str">
        <x:f>IF(OR(G138="",I138=""),"待评",IF(G138=I138,"一致","不一致"))</x:f>
        <x:v>待评</x:v>
      </x:c>
      <x:c r="K138" s="34" t="str"/>
      <x:c r="L138" s="34" t="str"/>
      <x:c r="M138" s="34" t="str"/>
      <x:c r="N138" s="34" t="str"/>
      <x:c r="O138" s="34" t="str"/>
      <x:c r="P138" s="34" t="str"/>
    </x:row>
    <x:row r="139">
      <x:c r="A139" s="34" t="str">
        <x:v>M5-BLIND-134</x:v>
      </x:c>
      <x:c r="B139" s="34" t="str"/>
      <x:c r="C139" s="34" t="str"/>
      <x:c r="D139" s="34" t="str"/>
      <x:c r="E139" s="34" t="str"/>
      <x:c r="F139" s="34" t="str"/>
      <x:c r="G139" s="34" t="str"/>
      <x:c r="H139" s="34" t="str"/>
      <x:c r="I139" s="34" t="str"/>
      <x:c r="J139" s="34" t="str">
        <x:f>IF(OR(G139="",I139=""),"待评",IF(G139=I139,"一致","不一致"))</x:f>
        <x:v>待评</x:v>
      </x:c>
      <x:c r="K139" s="34" t="str"/>
      <x:c r="L139" s="34" t="str"/>
      <x:c r="M139" s="34" t="str"/>
      <x:c r="N139" s="34" t="str"/>
      <x:c r="O139" s="34" t="str"/>
      <x:c r="P139" s="34" t="str"/>
    </x:row>
    <x:row r="140">
      <x:c r="A140" s="34" t="str">
        <x:v>M5-BLIND-135</x:v>
      </x:c>
      <x:c r="B140" s="34" t="str"/>
      <x:c r="C140" s="34" t="str"/>
      <x:c r="D140" s="34" t="str"/>
      <x:c r="E140" s="34" t="str"/>
      <x:c r="F140" s="34" t="str"/>
      <x:c r="G140" s="34" t="str"/>
      <x:c r="H140" s="34" t="str"/>
      <x:c r="I140" s="34" t="str"/>
      <x:c r="J140" s="34" t="str">
        <x:f>IF(OR(G140="",I140=""),"待评",IF(G140=I140,"一致","不一致"))</x:f>
        <x:v>待评</x:v>
      </x:c>
      <x:c r="K140" s="34" t="str"/>
      <x:c r="L140" s="34" t="str"/>
      <x:c r="M140" s="34" t="str"/>
      <x:c r="N140" s="34" t="str"/>
      <x:c r="O140" s="34" t="str"/>
      <x:c r="P140" s="34" t="str"/>
    </x:row>
    <x:row r="141">
      <x:c r="A141" s="34" t="str">
        <x:v>M5-BLIND-136</x:v>
      </x:c>
      <x:c r="B141" s="34" t="str"/>
      <x:c r="C141" s="34" t="str"/>
      <x:c r="D141" s="34" t="str"/>
      <x:c r="E141" s="34" t="str"/>
      <x:c r="F141" s="34" t="str"/>
      <x:c r="G141" s="34" t="str"/>
      <x:c r="H141" s="34" t="str"/>
      <x:c r="I141" s="34" t="str"/>
      <x:c r="J141" s="34" t="str">
        <x:f>IF(OR(G141="",I141=""),"待评",IF(G141=I141,"一致","不一致"))</x:f>
        <x:v>待评</x:v>
      </x:c>
      <x:c r="K141" s="34" t="str"/>
      <x:c r="L141" s="34" t="str"/>
      <x:c r="M141" s="34" t="str"/>
      <x:c r="N141" s="34" t="str"/>
      <x:c r="O141" s="34" t="str"/>
      <x:c r="P141" s="34" t="str"/>
    </x:row>
    <x:row r="142">
      <x:c r="A142" s="34" t="str">
        <x:v>M5-BLIND-137</x:v>
      </x:c>
      <x:c r="B142" s="34" t="str"/>
      <x:c r="C142" s="34" t="str"/>
      <x:c r="D142" s="34" t="str"/>
      <x:c r="E142" s="34" t="str"/>
      <x:c r="F142" s="34" t="str"/>
      <x:c r="G142" s="34" t="str"/>
      <x:c r="H142" s="34" t="str"/>
      <x:c r="I142" s="34" t="str"/>
      <x:c r="J142" s="34" t="str">
        <x:f>IF(OR(G142="",I142=""),"待评",IF(G142=I142,"一致","不一致"))</x:f>
        <x:v>待评</x:v>
      </x:c>
      <x:c r="K142" s="34" t="str"/>
      <x:c r="L142" s="34" t="str"/>
      <x:c r="M142" s="34" t="str"/>
      <x:c r="N142" s="34" t="str"/>
      <x:c r="O142" s="34" t="str"/>
      <x:c r="P142" s="34" t="str"/>
    </x:row>
    <x:row r="143">
      <x:c r="A143" s="34" t="str">
        <x:v>M5-BLIND-138</x:v>
      </x:c>
      <x:c r="B143" s="34" t="str"/>
      <x:c r="C143" s="34" t="str"/>
      <x:c r="D143" s="34" t="str"/>
      <x:c r="E143" s="34" t="str"/>
      <x:c r="F143" s="34" t="str"/>
      <x:c r="G143" s="34" t="str"/>
      <x:c r="H143" s="34" t="str"/>
      <x:c r="I143" s="34" t="str"/>
      <x:c r="J143" s="34" t="str">
        <x:f>IF(OR(G143="",I143=""),"待评",IF(G143=I143,"一致","不一致"))</x:f>
        <x:v>待评</x:v>
      </x:c>
      <x:c r="K143" s="34" t="str"/>
      <x:c r="L143" s="34" t="str"/>
      <x:c r="M143" s="34" t="str"/>
      <x:c r="N143" s="34" t="str"/>
      <x:c r="O143" s="34" t="str"/>
      <x:c r="P143" s="34" t="str"/>
    </x:row>
    <x:row r="144">
      <x:c r="A144" s="34" t="str">
        <x:v>M5-BLIND-139</x:v>
      </x:c>
      <x:c r="B144" s="34" t="str"/>
      <x:c r="C144" s="34" t="str"/>
      <x:c r="D144" s="34" t="str"/>
      <x:c r="E144" s="34" t="str"/>
      <x:c r="F144" s="34" t="str"/>
      <x:c r="G144" s="34" t="str"/>
      <x:c r="H144" s="34" t="str"/>
      <x:c r="I144" s="34" t="str"/>
      <x:c r="J144" s="34" t="str">
        <x:f>IF(OR(G144="",I144=""),"待评",IF(G144=I144,"一致","不一致"))</x:f>
        <x:v>待评</x:v>
      </x:c>
      <x:c r="K144" s="34" t="str"/>
      <x:c r="L144" s="34" t="str"/>
      <x:c r="M144" s="34" t="str"/>
      <x:c r="N144" s="34" t="str"/>
      <x:c r="O144" s="34" t="str"/>
      <x:c r="P144" s="34" t="str"/>
    </x:row>
    <x:row r="145">
      <x:c r="A145" s="34" t="str">
        <x:v>M5-BLIND-140</x:v>
      </x:c>
      <x:c r="B145" s="34" t="str"/>
      <x:c r="C145" s="34" t="str"/>
      <x:c r="D145" s="34" t="str"/>
      <x:c r="E145" s="34" t="str"/>
      <x:c r="F145" s="34" t="str"/>
      <x:c r="G145" s="34" t="str"/>
      <x:c r="H145" s="34" t="str"/>
      <x:c r="I145" s="34" t="str"/>
      <x:c r="J145" s="34" t="str">
        <x:f>IF(OR(G145="",I145=""),"待评",IF(G145=I145,"一致","不一致"))</x:f>
        <x:v>待评</x:v>
      </x:c>
      <x:c r="K145" s="34" t="str"/>
      <x:c r="L145" s="34" t="str"/>
      <x:c r="M145" s="34" t="str"/>
      <x:c r="N145" s="34" t="str"/>
      <x:c r="O145" s="34" t="str"/>
      <x:c r="P145" s="34" t="str"/>
    </x:row>
    <x:row r="146">
      <x:c r="A146" s="34" t="str">
        <x:v>M5-BLIND-141</x:v>
      </x:c>
      <x:c r="B146" s="34" t="str"/>
      <x:c r="C146" s="34" t="str"/>
      <x:c r="D146" s="34" t="str"/>
      <x:c r="E146" s="34" t="str"/>
      <x:c r="F146" s="34" t="str"/>
      <x:c r="G146" s="34" t="str"/>
      <x:c r="H146" s="34" t="str"/>
      <x:c r="I146" s="34" t="str"/>
      <x:c r="J146" s="34" t="str">
        <x:f>IF(OR(G146="",I146=""),"待评",IF(G146=I146,"一致","不一致"))</x:f>
        <x:v>待评</x:v>
      </x:c>
      <x:c r="K146" s="34" t="str"/>
      <x:c r="L146" s="34" t="str"/>
      <x:c r="M146" s="34" t="str"/>
      <x:c r="N146" s="34" t="str"/>
      <x:c r="O146" s="34" t="str"/>
      <x:c r="P146" s="34" t="str"/>
    </x:row>
    <x:row r="147">
      <x:c r="A147" s="34" t="str">
        <x:v>M5-BLIND-142</x:v>
      </x:c>
      <x:c r="B147" s="34" t="str"/>
      <x:c r="C147" s="34" t="str"/>
      <x:c r="D147" s="34" t="str"/>
      <x:c r="E147" s="34" t="str"/>
      <x:c r="F147" s="34" t="str"/>
      <x:c r="G147" s="34" t="str"/>
      <x:c r="H147" s="34" t="str"/>
      <x:c r="I147" s="34" t="str"/>
      <x:c r="J147" s="34" t="str">
        <x:f>IF(OR(G147="",I147=""),"待评",IF(G147=I147,"一致","不一致"))</x:f>
        <x:v>待评</x:v>
      </x:c>
      <x:c r="K147" s="34" t="str"/>
      <x:c r="L147" s="34" t="str"/>
      <x:c r="M147" s="34" t="str"/>
      <x:c r="N147" s="34" t="str"/>
      <x:c r="O147" s="34" t="str"/>
      <x:c r="P147" s="34" t="str"/>
    </x:row>
    <x:row r="148">
      <x:c r="A148" s="34" t="str">
        <x:v>M5-BLIND-143</x:v>
      </x:c>
      <x:c r="B148" s="34" t="str"/>
      <x:c r="C148" s="34" t="str"/>
      <x:c r="D148" s="34" t="str"/>
      <x:c r="E148" s="34" t="str"/>
      <x:c r="F148" s="34" t="str"/>
      <x:c r="G148" s="34" t="str"/>
      <x:c r="H148" s="34" t="str"/>
      <x:c r="I148" s="34" t="str"/>
      <x:c r="J148" s="34" t="str">
        <x:f>IF(OR(G148="",I148=""),"待评",IF(G148=I148,"一致","不一致"))</x:f>
        <x:v>待评</x:v>
      </x:c>
      <x:c r="K148" s="34" t="str"/>
      <x:c r="L148" s="34" t="str"/>
      <x:c r="M148" s="34" t="str"/>
      <x:c r="N148" s="34" t="str"/>
      <x:c r="O148" s="34" t="str"/>
      <x:c r="P148" s="34" t="str"/>
    </x:row>
    <x:row r="149">
      <x:c r="A149" s="34" t="str">
        <x:v>M5-BLIND-144</x:v>
      </x:c>
      <x:c r="B149" s="34" t="str"/>
      <x:c r="C149" s="34" t="str"/>
      <x:c r="D149" s="34" t="str"/>
      <x:c r="E149" s="34" t="str"/>
      <x:c r="F149" s="34" t="str"/>
      <x:c r="G149" s="34" t="str"/>
      <x:c r="H149" s="34" t="str"/>
      <x:c r="I149" s="34" t="str"/>
      <x:c r="J149" s="34" t="str">
        <x:f>IF(OR(G149="",I149=""),"待评",IF(G149=I149,"一致","不一致"))</x:f>
        <x:v>待评</x:v>
      </x:c>
      <x:c r="K149" s="34" t="str"/>
      <x:c r="L149" s="34" t="str"/>
      <x:c r="M149" s="34" t="str"/>
      <x:c r="N149" s="34" t="str"/>
      <x:c r="O149" s="34" t="str"/>
      <x:c r="P149" s="34" t="str"/>
    </x:row>
    <x:row r="150">
      <x:c r="A150" s="34" t="str">
        <x:v>M5-BLIND-145</x:v>
      </x:c>
      <x:c r="B150" s="34" t="str"/>
      <x:c r="C150" s="34" t="str"/>
      <x:c r="D150" s="34" t="str"/>
      <x:c r="E150" s="34" t="str"/>
      <x:c r="F150" s="34" t="str"/>
      <x:c r="G150" s="34" t="str"/>
      <x:c r="H150" s="34" t="str"/>
      <x:c r="I150" s="34" t="str"/>
      <x:c r="J150" s="34" t="str">
        <x:f>IF(OR(G150="",I150=""),"待评",IF(G150=I150,"一致","不一致"))</x:f>
        <x:v>待评</x:v>
      </x:c>
      <x:c r="K150" s="34" t="str"/>
      <x:c r="L150" s="34" t="str"/>
      <x:c r="M150" s="34" t="str"/>
      <x:c r="N150" s="34" t="str"/>
      <x:c r="O150" s="34" t="str"/>
      <x:c r="P150" s="34" t="str"/>
    </x:row>
    <x:row r="151">
      <x:c r="A151" s="34" t="str">
        <x:v>M5-BLIND-146</x:v>
      </x:c>
      <x:c r="B151" s="34" t="str"/>
      <x:c r="C151" s="34" t="str"/>
      <x:c r="D151" s="34" t="str"/>
      <x:c r="E151" s="34" t="str"/>
      <x:c r="F151" s="34" t="str"/>
      <x:c r="G151" s="34" t="str"/>
      <x:c r="H151" s="34" t="str"/>
      <x:c r="I151" s="34" t="str"/>
      <x:c r="J151" s="34" t="str">
        <x:f>IF(OR(G151="",I151=""),"待评",IF(G151=I151,"一致","不一致"))</x:f>
        <x:v>待评</x:v>
      </x:c>
      <x:c r="K151" s="34" t="str"/>
      <x:c r="L151" s="34" t="str"/>
      <x:c r="M151" s="34" t="str"/>
      <x:c r="N151" s="34" t="str"/>
      <x:c r="O151" s="34" t="str"/>
      <x:c r="P151" s="34" t="str"/>
    </x:row>
    <x:row r="152">
      <x:c r="A152" s="34" t="str">
        <x:v>M5-BLIND-147</x:v>
      </x:c>
      <x:c r="B152" s="34" t="str"/>
      <x:c r="C152" s="34" t="str"/>
      <x:c r="D152" s="34" t="str"/>
      <x:c r="E152" s="34" t="str"/>
      <x:c r="F152" s="34" t="str"/>
      <x:c r="G152" s="34" t="str"/>
      <x:c r="H152" s="34" t="str"/>
      <x:c r="I152" s="34" t="str"/>
      <x:c r="J152" s="34" t="str">
        <x:f>IF(OR(G152="",I152=""),"待评",IF(G152=I152,"一致","不一致"))</x:f>
        <x:v>待评</x:v>
      </x:c>
      <x:c r="K152" s="34" t="str"/>
      <x:c r="L152" s="34" t="str"/>
      <x:c r="M152" s="34" t="str"/>
      <x:c r="N152" s="34" t="str"/>
      <x:c r="O152" s="34" t="str"/>
      <x:c r="P152" s="34" t="str"/>
    </x:row>
    <x:row r="153">
      <x:c r="A153" s="34" t="str">
        <x:v>M5-BLIND-148</x:v>
      </x:c>
      <x:c r="B153" s="34" t="str"/>
      <x:c r="C153" s="34" t="str"/>
      <x:c r="D153" s="34" t="str"/>
      <x:c r="E153" s="34" t="str"/>
      <x:c r="F153" s="34" t="str"/>
      <x:c r="G153" s="34" t="str"/>
      <x:c r="H153" s="34" t="str"/>
      <x:c r="I153" s="34" t="str"/>
      <x:c r="J153" s="34" t="str">
        <x:f>IF(OR(G153="",I153=""),"待评",IF(G153=I153,"一致","不一致"))</x:f>
        <x:v>待评</x:v>
      </x:c>
      <x:c r="K153" s="34" t="str"/>
      <x:c r="L153" s="34" t="str"/>
      <x:c r="M153" s="34" t="str"/>
      <x:c r="N153" s="34" t="str"/>
      <x:c r="O153" s="34" t="str"/>
      <x:c r="P153" s="34" t="str"/>
    </x:row>
    <x:row r="154">
      <x:c r="A154" s="34" t="str">
        <x:v>M5-BLIND-149</x:v>
      </x:c>
      <x:c r="B154" s="34" t="str"/>
      <x:c r="C154" s="34" t="str"/>
      <x:c r="D154" s="34" t="str"/>
      <x:c r="E154" s="34" t="str"/>
      <x:c r="F154" s="34" t="str"/>
      <x:c r="G154" s="34" t="str"/>
      <x:c r="H154" s="34" t="str"/>
      <x:c r="I154" s="34" t="str"/>
      <x:c r="J154" s="34" t="str">
        <x:f>IF(OR(G154="",I154=""),"待评",IF(G154=I154,"一致","不一致"))</x:f>
        <x:v>待评</x:v>
      </x:c>
      <x:c r="K154" s="34" t="str"/>
      <x:c r="L154" s="34" t="str"/>
      <x:c r="M154" s="34" t="str"/>
      <x:c r="N154" s="34" t="str"/>
      <x:c r="O154" s="34" t="str"/>
      <x:c r="P154" s="34" t="str"/>
    </x:row>
    <x:row r="155">
      <x:c r="A155" s="34" t="str">
        <x:v>M5-BLIND-150</x:v>
      </x:c>
      <x:c r="B155" s="34" t="str"/>
      <x:c r="C155" s="34" t="str"/>
      <x:c r="D155" s="34" t="str"/>
      <x:c r="E155" s="34" t="str"/>
      <x:c r="F155" s="34" t="str"/>
      <x:c r="G155" s="34" t="str"/>
      <x:c r="H155" s="34" t="str"/>
      <x:c r="I155" s="34" t="str"/>
      <x:c r="J155" s="34" t="str">
        <x:f>IF(OR(G155="",I155=""),"待评",IF(G155=I155,"一致","不一致"))</x:f>
        <x:v>待评</x:v>
      </x:c>
      <x:c r="K155" s="34" t="str"/>
      <x:c r="L155" s="34" t="str"/>
      <x:c r="M155" s="34" t="str"/>
      <x:c r="N155" s="34" t="str"/>
      <x:c r="O155" s="34" t="str"/>
      <x:c r="P155" s="34" t="str"/>
    </x:row>
    <x:row r="156">
      <x:c r="A156" s="34" t="str">
        <x:v>M5-BLIND-151</x:v>
      </x:c>
      <x:c r="B156" s="34" t="str"/>
      <x:c r="C156" s="34" t="str"/>
      <x:c r="D156" s="34" t="str"/>
      <x:c r="E156" s="34" t="str"/>
      <x:c r="F156" s="34" t="str"/>
      <x:c r="G156" s="34" t="str"/>
      <x:c r="H156" s="34" t="str"/>
      <x:c r="I156" s="34" t="str"/>
      <x:c r="J156" s="34" t="str">
        <x:f>IF(OR(G156="",I156=""),"待评",IF(G156=I156,"一致","不一致"))</x:f>
        <x:v>待评</x:v>
      </x:c>
      <x:c r="K156" s="34" t="str"/>
      <x:c r="L156" s="34" t="str"/>
      <x:c r="M156" s="34" t="str"/>
      <x:c r="N156" s="34" t="str"/>
      <x:c r="O156" s="34" t="str"/>
      <x:c r="P156" s="34" t="str"/>
    </x:row>
    <x:row r="157">
      <x:c r="A157" s="34" t="str">
        <x:v>M5-BLIND-152</x:v>
      </x:c>
      <x:c r="B157" s="34" t="str"/>
      <x:c r="C157" s="34" t="str"/>
      <x:c r="D157" s="34" t="str"/>
      <x:c r="E157" s="34" t="str"/>
      <x:c r="F157" s="34" t="str"/>
      <x:c r="G157" s="34" t="str"/>
      <x:c r="H157" s="34" t="str"/>
      <x:c r="I157" s="34" t="str"/>
      <x:c r="J157" s="34" t="str">
        <x:f>IF(OR(G157="",I157=""),"待评",IF(G157=I157,"一致","不一致"))</x:f>
        <x:v>待评</x:v>
      </x:c>
      <x:c r="K157" s="34" t="str"/>
      <x:c r="L157" s="34" t="str"/>
      <x:c r="M157" s="34" t="str"/>
      <x:c r="N157" s="34" t="str"/>
      <x:c r="O157" s="34" t="str"/>
      <x:c r="P157" s="34" t="str"/>
    </x:row>
    <x:row r="158">
      <x:c r="A158" s="34" t="str">
        <x:v>M5-BLIND-153</x:v>
      </x:c>
      <x:c r="B158" s="34" t="str"/>
      <x:c r="C158" s="34" t="str"/>
      <x:c r="D158" s="34" t="str"/>
      <x:c r="E158" s="34" t="str"/>
      <x:c r="F158" s="34" t="str"/>
      <x:c r="G158" s="34" t="str"/>
      <x:c r="H158" s="34" t="str"/>
      <x:c r="I158" s="34" t="str"/>
      <x:c r="J158" s="34" t="str">
        <x:f>IF(OR(G158="",I158=""),"待评",IF(G158=I158,"一致","不一致"))</x:f>
        <x:v>待评</x:v>
      </x:c>
      <x:c r="K158" s="34" t="str"/>
      <x:c r="L158" s="34" t="str"/>
      <x:c r="M158" s="34" t="str"/>
      <x:c r="N158" s="34" t="str"/>
      <x:c r="O158" s="34" t="str"/>
      <x:c r="P158" s="34" t="str"/>
    </x:row>
    <x:row r="159">
      <x:c r="A159" s="34" t="str">
        <x:v>M5-BLIND-154</x:v>
      </x:c>
      <x:c r="B159" s="34" t="str"/>
      <x:c r="C159" s="34" t="str"/>
      <x:c r="D159" s="34" t="str"/>
      <x:c r="E159" s="34" t="str"/>
      <x:c r="F159" s="34" t="str"/>
      <x:c r="G159" s="34" t="str"/>
      <x:c r="H159" s="34" t="str"/>
      <x:c r="I159" s="34" t="str"/>
      <x:c r="J159" s="34" t="str">
        <x:f>IF(OR(G159="",I159=""),"待评",IF(G159=I159,"一致","不一致"))</x:f>
        <x:v>待评</x:v>
      </x:c>
      <x:c r="K159" s="34" t="str"/>
      <x:c r="L159" s="34" t="str"/>
      <x:c r="M159" s="34" t="str"/>
      <x:c r="N159" s="34" t="str"/>
      <x:c r="O159" s="34" t="str"/>
      <x:c r="P159" s="34" t="str"/>
    </x:row>
    <x:row r="160">
      <x:c r="A160" s="34" t="str">
        <x:v>M5-BLIND-155</x:v>
      </x:c>
      <x:c r="B160" s="34" t="str"/>
      <x:c r="C160" s="34" t="str"/>
      <x:c r="D160" s="34" t="str"/>
      <x:c r="E160" s="34" t="str"/>
      <x:c r="F160" s="34" t="str"/>
      <x:c r="G160" s="34" t="str"/>
      <x:c r="H160" s="34" t="str"/>
      <x:c r="I160" s="34" t="str"/>
      <x:c r="J160" s="34" t="str">
        <x:f>IF(OR(G160="",I160=""),"待评",IF(G160=I160,"一致","不一致"))</x:f>
        <x:v>待评</x:v>
      </x:c>
      <x:c r="K160" s="34" t="str"/>
      <x:c r="L160" s="34" t="str"/>
      <x:c r="M160" s="34" t="str"/>
      <x:c r="N160" s="34" t="str"/>
      <x:c r="O160" s="34" t="str"/>
      <x:c r="P160" s="34" t="str"/>
    </x:row>
    <x:row r="161">
      <x:c r="A161" s="34" t="str">
        <x:v>M5-BLIND-156</x:v>
      </x:c>
      <x:c r="B161" s="34" t="str"/>
      <x:c r="C161" s="34" t="str"/>
      <x:c r="D161" s="34" t="str"/>
      <x:c r="E161" s="34" t="str"/>
      <x:c r="F161" s="34" t="str"/>
      <x:c r="G161" s="34" t="str"/>
      <x:c r="H161" s="34" t="str"/>
      <x:c r="I161" s="34" t="str"/>
      <x:c r="J161" s="34" t="str">
        <x:f>IF(OR(G161="",I161=""),"待评",IF(G161=I161,"一致","不一致"))</x:f>
        <x:v>待评</x:v>
      </x:c>
      <x:c r="K161" s="34" t="str"/>
      <x:c r="L161" s="34" t="str"/>
      <x:c r="M161" s="34" t="str"/>
      <x:c r="N161" s="34" t="str"/>
      <x:c r="O161" s="34" t="str"/>
      <x:c r="P161" s="34" t="str"/>
    </x:row>
    <x:row r="162">
      <x:c r="A162" s="34" t="str">
        <x:v>M5-BLIND-157</x:v>
      </x:c>
      <x:c r="B162" s="34" t="str"/>
      <x:c r="C162" s="34" t="str"/>
      <x:c r="D162" s="34" t="str"/>
      <x:c r="E162" s="34" t="str"/>
      <x:c r="F162" s="34" t="str"/>
      <x:c r="G162" s="34" t="str"/>
      <x:c r="H162" s="34" t="str"/>
      <x:c r="I162" s="34" t="str"/>
      <x:c r="J162" s="34" t="str">
        <x:f>IF(OR(G162="",I162=""),"待评",IF(G162=I162,"一致","不一致"))</x:f>
        <x:v>待评</x:v>
      </x:c>
      <x:c r="K162" s="34" t="str"/>
      <x:c r="L162" s="34" t="str"/>
      <x:c r="M162" s="34" t="str"/>
      <x:c r="N162" s="34" t="str"/>
      <x:c r="O162" s="34" t="str"/>
      <x:c r="P162" s="34" t="str"/>
    </x:row>
    <x:row r="163">
      <x:c r="A163" s="34" t="str">
        <x:v>M5-BLIND-158</x:v>
      </x:c>
      <x:c r="B163" s="34" t="str"/>
      <x:c r="C163" s="34" t="str"/>
      <x:c r="D163" s="34" t="str"/>
      <x:c r="E163" s="34" t="str"/>
      <x:c r="F163" s="34" t="str"/>
      <x:c r="G163" s="34" t="str"/>
      <x:c r="H163" s="34" t="str"/>
      <x:c r="I163" s="34" t="str"/>
      <x:c r="J163" s="34" t="str">
        <x:f>IF(OR(G163="",I163=""),"待评",IF(G163=I163,"一致","不一致"))</x:f>
        <x:v>待评</x:v>
      </x:c>
      <x:c r="K163" s="34" t="str"/>
      <x:c r="L163" s="34" t="str"/>
      <x:c r="M163" s="34" t="str"/>
      <x:c r="N163" s="34" t="str"/>
      <x:c r="O163" s="34" t="str"/>
      <x:c r="P163" s="34" t="str"/>
    </x:row>
    <x:row r="164">
      <x:c r="A164" s="34" t="str">
        <x:v>M5-BLIND-159</x:v>
      </x:c>
      <x:c r="B164" s="34" t="str"/>
      <x:c r="C164" s="34" t="str"/>
      <x:c r="D164" s="34" t="str"/>
      <x:c r="E164" s="34" t="str"/>
      <x:c r="F164" s="34" t="str"/>
      <x:c r="G164" s="34" t="str"/>
      <x:c r="H164" s="34" t="str"/>
      <x:c r="I164" s="34" t="str"/>
      <x:c r="J164" s="34" t="str">
        <x:f>IF(OR(G164="",I164=""),"待评",IF(G164=I164,"一致","不一致"))</x:f>
        <x:v>待评</x:v>
      </x:c>
      <x:c r="K164" s="34" t="str"/>
      <x:c r="L164" s="34" t="str"/>
      <x:c r="M164" s="34" t="str"/>
      <x:c r="N164" s="34" t="str"/>
      <x:c r="O164" s="34" t="str"/>
      <x:c r="P164" s="34" t="str"/>
    </x:row>
    <x:row r="165">
      <x:c r="A165" s="34" t="str">
        <x:v>M5-BLIND-160</x:v>
      </x:c>
      <x:c r="B165" s="34" t="str"/>
      <x:c r="C165" s="34" t="str"/>
      <x:c r="D165" s="34" t="str"/>
      <x:c r="E165" s="34" t="str"/>
      <x:c r="F165" s="34" t="str"/>
      <x:c r="G165" s="34" t="str"/>
      <x:c r="H165" s="34" t="str"/>
      <x:c r="I165" s="34" t="str"/>
      <x:c r="J165" s="34" t="str">
        <x:f>IF(OR(G165="",I165=""),"待评",IF(G165=I165,"一致","不一致"))</x:f>
        <x:v>待评</x:v>
      </x:c>
      <x:c r="K165" s="34" t="str"/>
      <x:c r="L165" s="34" t="str"/>
      <x:c r="M165" s="34" t="str"/>
      <x:c r="N165" s="34" t="str"/>
      <x:c r="O165" s="34" t="str"/>
      <x:c r="P165" s="34" t="str"/>
    </x:row>
    <x:row r="166">
      <x:c r="A166" s="34" t="str">
        <x:v>M5-BLIND-161</x:v>
      </x:c>
      <x:c r="B166" s="34" t="str"/>
      <x:c r="C166" s="34" t="str"/>
      <x:c r="D166" s="34" t="str"/>
      <x:c r="E166" s="34" t="str"/>
      <x:c r="F166" s="34" t="str"/>
      <x:c r="G166" s="34" t="str"/>
      <x:c r="H166" s="34" t="str"/>
      <x:c r="I166" s="34" t="str"/>
      <x:c r="J166" s="34" t="str">
        <x:f>IF(OR(G166="",I166=""),"待评",IF(G166=I166,"一致","不一致"))</x:f>
        <x:v>待评</x:v>
      </x:c>
      <x:c r="K166" s="34" t="str"/>
      <x:c r="L166" s="34" t="str"/>
      <x:c r="M166" s="34" t="str"/>
      <x:c r="N166" s="34" t="str"/>
      <x:c r="O166" s="34" t="str"/>
      <x:c r="P166" s="34" t="str"/>
    </x:row>
    <x:row r="167">
      <x:c r="A167" s="34" t="str">
        <x:v>M5-BLIND-162</x:v>
      </x:c>
      <x:c r="B167" s="34" t="str"/>
      <x:c r="C167" s="34" t="str"/>
      <x:c r="D167" s="34" t="str"/>
      <x:c r="E167" s="34" t="str"/>
      <x:c r="F167" s="34" t="str"/>
      <x:c r="G167" s="34" t="str"/>
      <x:c r="H167" s="34" t="str"/>
      <x:c r="I167" s="34" t="str"/>
      <x:c r="J167" s="34" t="str">
        <x:f>IF(OR(G167="",I167=""),"待评",IF(G167=I167,"一致","不一致"))</x:f>
        <x:v>待评</x:v>
      </x:c>
      <x:c r="K167" s="34" t="str"/>
      <x:c r="L167" s="34" t="str"/>
      <x:c r="M167" s="34" t="str"/>
      <x:c r="N167" s="34" t="str"/>
      <x:c r="O167" s="34" t="str"/>
      <x:c r="P167" s="34" t="str"/>
    </x:row>
    <x:row r="168">
      <x:c r="A168" s="34" t="str">
        <x:v>M5-BLIND-163</x:v>
      </x:c>
      <x:c r="B168" s="34" t="str"/>
      <x:c r="C168" s="34" t="str"/>
      <x:c r="D168" s="34" t="str"/>
      <x:c r="E168" s="34" t="str"/>
      <x:c r="F168" s="34" t="str"/>
      <x:c r="G168" s="34" t="str"/>
      <x:c r="H168" s="34" t="str"/>
      <x:c r="I168" s="34" t="str"/>
      <x:c r="J168" s="34" t="str">
        <x:f>IF(OR(G168="",I168=""),"待评",IF(G168=I168,"一致","不一致"))</x:f>
        <x:v>待评</x:v>
      </x:c>
      <x:c r="K168" s="34" t="str"/>
      <x:c r="L168" s="34" t="str"/>
      <x:c r="M168" s="34" t="str"/>
      <x:c r="N168" s="34" t="str"/>
      <x:c r="O168" s="34" t="str"/>
      <x:c r="P168" s="34" t="str"/>
    </x:row>
    <x:row r="169">
      <x:c r="A169" s="34" t="str">
        <x:v>M5-BLIND-164</x:v>
      </x:c>
      <x:c r="B169" s="34" t="str"/>
      <x:c r="C169" s="34" t="str"/>
      <x:c r="D169" s="34" t="str"/>
      <x:c r="E169" s="34" t="str"/>
      <x:c r="F169" s="34" t="str"/>
      <x:c r="G169" s="34" t="str"/>
      <x:c r="H169" s="34" t="str"/>
      <x:c r="I169" s="34" t="str"/>
      <x:c r="J169" s="34" t="str">
        <x:f>IF(OR(G169="",I169=""),"待评",IF(G169=I169,"一致","不一致"))</x:f>
        <x:v>待评</x:v>
      </x:c>
      <x:c r="K169" s="34" t="str"/>
      <x:c r="L169" s="34" t="str"/>
      <x:c r="M169" s="34" t="str"/>
      <x:c r="N169" s="34" t="str"/>
      <x:c r="O169" s="34" t="str"/>
      <x:c r="P169" s="34" t="str"/>
    </x:row>
    <x:row r="170">
      <x:c r="A170" s="34" t="str">
        <x:v>M5-BLIND-165</x:v>
      </x:c>
      <x:c r="B170" s="34" t="str"/>
      <x:c r="C170" s="34" t="str"/>
      <x:c r="D170" s="34" t="str"/>
      <x:c r="E170" s="34" t="str"/>
      <x:c r="F170" s="34" t="str"/>
      <x:c r="G170" s="34" t="str"/>
      <x:c r="H170" s="34" t="str"/>
      <x:c r="I170" s="34" t="str"/>
      <x:c r="J170" s="34" t="str">
        <x:f>IF(OR(G170="",I170=""),"待评",IF(G170=I170,"一致","不一致"))</x:f>
        <x:v>待评</x:v>
      </x:c>
      <x:c r="K170" s="34" t="str"/>
      <x:c r="L170" s="34" t="str"/>
      <x:c r="M170" s="34" t="str"/>
      <x:c r="N170" s="34" t="str"/>
      <x:c r="O170" s="34" t="str"/>
      <x:c r="P170" s="34" t="str"/>
    </x:row>
    <x:row r="171">
      <x:c r="A171" s="34" t="str">
        <x:v>M5-BLIND-166</x:v>
      </x:c>
      <x:c r="B171" s="34" t="str"/>
      <x:c r="C171" s="34" t="str"/>
      <x:c r="D171" s="34" t="str"/>
      <x:c r="E171" s="34" t="str"/>
      <x:c r="F171" s="34" t="str"/>
      <x:c r="G171" s="34" t="str"/>
      <x:c r="H171" s="34" t="str"/>
      <x:c r="I171" s="34" t="str"/>
      <x:c r="J171" s="34" t="str">
        <x:f>IF(OR(G171="",I171=""),"待评",IF(G171=I171,"一致","不一致"))</x:f>
        <x:v>待评</x:v>
      </x:c>
      <x:c r="K171" s="34" t="str"/>
      <x:c r="L171" s="34" t="str"/>
      <x:c r="M171" s="34" t="str"/>
      <x:c r="N171" s="34" t="str"/>
      <x:c r="O171" s="34" t="str"/>
      <x:c r="P171" s="34" t="str"/>
    </x:row>
    <x:row r="172">
      <x:c r="A172" s="34" t="str">
        <x:v>M5-BLIND-167</x:v>
      </x:c>
      <x:c r="B172" s="34" t="str"/>
      <x:c r="C172" s="34" t="str"/>
      <x:c r="D172" s="34" t="str"/>
      <x:c r="E172" s="34" t="str"/>
      <x:c r="F172" s="34" t="str"/>
      <x:c r="G172" s="34" t="str"/>
      <x:c r="H172" s="34" t="str"/>
      <x:c r="I172" s="34" t="str"/>
      <x:c r="J172" s="34" t="str">
        <x:f>IF(OR(G172="",I172=""),"待评",IF(G172=I172,"一致","不一致"))</x:f>
        <x:v>待评</x:v>
      </x:c>
      <x:c r="K172" s="34" t="str"/>
      <x:c r="L172" s="34" t="str"/>
      <x:c r="M172" s="34" t="str"/>
      <x:c r="N172" s="34" t="str"/>
      <x:c r="O172" s="34" t="str"/>
      <x:c r="P172" s="34" t="str"/>
    </x:row>
    <x:row r="173">
      <x:c r="A173" s="34" t="str">
        <x:v>M5-BLIND-168</x:v>
      </x:c>
      <x:c r="B173" s="34" t="str"/>
      <x:c r="C173" s="34" t="str"/>
      <x:c r="D173" s="34" t="str"/>
      <x:c r="E173" s="34" t="str"/>
      <x:c r="F173" s="34" t="str"/>
      <x:c r="G173" s="34" t="str"/>
      <x:c r="H173" s="34" t="str"/>
      <x:c r="I173" s="34" t="str"/>
      <x:c r="J173" s="34" t="str">
        <x:f>IF(OR(G173="",I173=""),"待评",IF(G173=I173,"一致","不一致"))</x:f>
        <x:v>待评</x:v>
      </x:c>
      <x:c r="K173" s="34" t="str"/>
      <x:c r="L173" s="34" t="str"/>
      <x:c r="M173" s="34" t="str"/>
      <x:c r="N173" s="34" t="str"/>
      <x:c r="O173" s="34" t="str"/>
      <x:c r="P173" s="34" t="str"/>
    </x:row>
    <x:row r="174">
      <x:c r="A174" s="34" t="str">
        <x:v>M5-BLIND-169</x:v>
      </x:c>
      <x:c r="B174" s="34" t="str"/>
      <x:c r="C174" s="34" t="str"/>
      <x:c r="D174" s="34" t="str"/>
      <x:c r="E174" s="34" t="str"/>
      <x:c r="F174" s="34" t="str"/>
      <x:c r="G174" s="34" t="str"/>
      <x:c r="H174" s="34" t="str"/>
      <x:c r="I174" s="34" t="str"/>
      <x:c r="J174" s="34" t="str">
        <x:f>IF(OR(G174="",I174=""),"待评",IF(G174=I174,"一致","不一致"))</x:f>
        <x:v>待评</x:v>
      </x:c>
      <x:c r="K174" s="34" t="str"/>
      <x:c r="L174" s="34" t="str"/>
      <x:c r="M174" s="34" t="str"/>
      <x:c r="N174" s="34" t="str"/>
      <x:c r="O174" s="34" t="str"/>
      <x:c r="P174" s="34" t="str"/>
    </x:row>
    <x:row r="175">
      <x:c r="A175" s="34" t="str">
        <x:v>M5-BLIND-170</x:v>
      </x:c>
      <x:c r="B175" s="34" t="str"/>
      <x:c r="C175" s="34" t="str"/>
      <x:c r="D175" s="34" t="str"/>
      <x:c r="E175" s="34" t="str"/>
      <x:c r="F175" s="34" t="str"/>
      <x:c r="G175" s="34" t="str"/>
      <x:c r="H175" s="34" t="str"/>
      <x:c r="I175" s="34" t="str"/>
      <x:c r="J175" s="34" t="str">
        <x:f>IF(OR(G175="",I175=""),"待评",IF(G175=I175,"一致","不一致"))</x:f>
        <x:v>待评</x:v>
      </x:c>
      <x:c r="K175" s="34" t="str"/>
      <x:c r="L175" s="34" t="str"/>
      <x:c r="M175" s="34" t="str"/>
      <x:c r="N175" s="34" t="str"/>
      <x:c r="O175" s="34" t="str"/>
      <x:c r="P175" s="34" t="str"/>
    </x:row>
    <x:row r="176">
      <x:c r="A176" s="34" t="str">
        <x:v>M5-BLIND-171</x:v>
      </x:c>
      <x:c r="B176" s="34" t="str"/>
      <x:c r="C176" s="34" t="str"/>
      <x:c r="D176" s="34" t="str"/>
      <x:c r="E176" s="34" t="str"/>
      <x:c r="F176" s="34" t="str"/>
      <x:c r="G176" s="34" t="str"/>
      <x:c r="H176" s="34" t="str"/>
      <x:c r="I176" s="34" t="str"/>
      <x:c r="J176" s="34" t="str">
        <x:f>IF(OR(G176="",I176=""),"待评",IF(G176=I176,"一致","不一致"))</x:f>
        <x:v>待评</x:v>
      </x:c>
      <x:c r="K176" s="34" t="str"/>
      <x:c r="L176" s="34" t="str"/>
      <x:c r="M176" s="34" t="str"/>
      <x:c r="N176" s="34" t="str"/>
      <x:c r="O176" s="34" t="str"/>
      <x:c r="P176" s="34" t="str"/>
    </x:row>
    <x:row r="177">
      <x:c r="A177" s="34" t="str">
        <x:v>M5-BLIND-172</x:v>
      </x:c>
      <x:c r="B177" s="34" t="str"/>
      <x:c r="C177" s="34" t="str"/>
      <x:c r="D177" s="34" t="str"/>
      <x:c r="E177" s="34" t="str"/>
      <x:c r="F177" s="34" t="str"/>
      <x:c r="G177" s="34" t="str"/>
      <x:c r="H177" s="34" t="str"/>
      <x:c r="I177" s="34" t="str"/>
      <x:c r="J177" s="34" t="str">
        <x:f>IF(OR(G177="",I177=""),"待评",IF(G177=I177,"一致","不一致"))</x:f>
        <x:v>待评</x:v>
      </x:c>
      <x:c r="K177" s="34" t="str"/>
      <x:c r="L177" s="34" t="str"/>
      <x:c r="M177" s="34" t="str"/>
      <x:c r="N177" s="34" t="str"/>
      <x:c r="O177" s="34" t="str"/>
      <x:c r="P177" s="34" t="str"/>
    </x:row>
    <x:row r="178">
      <x:c r="A178" s="34" t="str">
        <x:v>M5-BLIND-173</x:v>
      </x:c>
      <x:c r="B178" s="34" t="str"/>
      <x:c r="C178" s="34" t="str"/>
      <x:c r="D178" s="34" t="str"/>
      <x:c r="E178" s="34" t="str"/>
      <x:c r="F178" s="34" t="str"/>
      <x:c r="G178" s="34" t="str"/>
      <x:c r="H178" s="34" t="str"/>
      <x:c r="I178" s="34" t="str"/>
      <x:c r="J178" s="34" t="str">
        <x:f>IF(OR(G178="",I178=""),"待评",IF(G178=I178,"一致","不一致"))</x:f>
        <x:v>待评</x:v>
      </x:c>
      <x:c r="K178" s="34" t="str"/>
      <x:c r="L178" s="34" t="str"/>
      <x:c r="M178" s="34" t="str"/>
      <x:c r="N178" s="34" t="str"/>
      <x:c r="O178" s="34" t="str"/>
      <x:c r="P178" s="34" t="str"/>
    </x:row>
    <x:row r="179">
      <x:c r="A179" s="34" t="str">
        <x:v>M5-BLIND-174</x:v>
      </x:c>
      <x:c r="B179" s="34" t="str"/>
      <x:c r="C179" s="34" t="str"/>
      <x:c r="D179" s="34" t="str"/>
      <x:c r="E179" s="34" t="str"/>
      <x:c r="F179" s="34" t="str"/>
      <x:c r="G179" s="34" t="str"/>
      <x:c r="H179" s="34" t="str"/>
      <x:c r="I179" s="34" t="str"/>
      <x:c r="J179" s="34" t="str">
        <x:f>IF(OR(G179="",I179=""),"待评",IF(G179=I179,"一致","不一致"))</x:f>
        <x:v>待评</x:v>
      </x:c>
      <x:c r="K179" s="34" t="str"/>
      <x:c r="L179" s="34" t="str"/>
      <x:c r="M179" s="34" t="str"/>
      <x:c r="N179" s="34" t="str"/>
      <x:c r="O179" s="34" t="str"/>
      <x:c r="P179" s="34" t="str"/>
    </x:row>
    <x:row r="180">
      <x:c r="A180" s="34" t="str">
        <x:v>M5-BLIND-175</x:v>
      </x:c>
      <x:c r="B180" s="34" t="str"/>
      <x:c r="C180" s="34" t="str"/>
      <x:c r="D180" s="34" t="str"/>
      <x:c r="E180" s="34" t="str"/>
      <x:c r="F180" s="34" t="str"/>
      <x:c r="G180" s="34" t="str"/>
      <x:c r="H180" s="34" t="str"/>
      <x:c r="I180" s="34" t="str"/>
      <x:c r="J180" s="34" t="str">
        <x:f>IF(OR(G180="",I180=""),"待评",IF(G180=I180,"一致","不一致"))</x:f>
        <x:v>待评</x:v>
      </x:c>
      <x:c r="K180" s="34" t="str"/>
      <x:c r="L180" s="34" t="str"/>
      <x:c r="M180" s="34" t="str"/>
      <x:c r="N180" s="34" t="str"/>
      <x:c r="O180" s="34" t="str"/>
      <x:c r="P180" s="34" t="str"/>
    </x:row>
    <x:row r="181">
      <x:c r="A181" s="34" t="str">
        <x:v>M5-BLIND-176</x:v>
      </x:c>
      <x:c r="B181" s="34" t="str"/>
      <x:c r="C181" s="34" t="str"/>
      <x:c r="D181" s="34" t="str"/>
      <x:c r="E181" s="34" t="str"/>
      <x:c r="F181" s="34" t="str"/>
      <x:c r="G181" s="34" t="str"/>
      <x:c r="H181" s="34" t="str"/>
      <x:c r="I181" s="34" t="str"/>
      <x:c r="J181" s="34" t="str">
        <x:f>IF(OR(G181="",I181=""),"待评",IF(G181=I181,"一致","不一致"))</x:f>
        <x:v>待评</x:v>
      </x:c>
      <x:c r="K181" s="34" t="str"/>
      <x:c r="L181" s="34" t="str"/>
      <x:c r="M181" s="34" t="str"/>
      <x:c r="N181" s="34" t="str"/>
      <x:c r="O181" s="34" t="str"/>
      <x:c r="P181" s="34" t="str"/>
    </x:row>
    <x:row r="182">
      <x:c r="A182" s="34" t="str">
        <x:v>M5-BLIND-177</x:v>
      </x:c>
      <x:c r="B182" s="34" t="str"/>
      <x:c r="C182" s="34" t="str"/>
      <x:c r="D182" s="34" t="str"/>
      <x:c r="E182" s="34" t="str"/>
      <x:c r="F182" s="34" t="str"/>
      <x:c r="G182" s="34" t="str"/>
      <x:c r="H182" s="34" t="str"/>
      <x:c r="I182" s="34" t="str"/>
      <x:c r="J182" s="34" t="str">
        <x:f>IF(OR(G182="",I182=""),"待评",IF(G182=I182,"一致","不一致"))</x:f>
        <x:v>待评</x:v>
      </x:c>
      <x:c r="K182" s="34" t="str"/>
      <x:c r="L182" s="34" t="str"/>
      <x:c r="M182" s="34" t="str"/>
      <x:c r="N182" s="34" t="str"/>
      <x:c r="O182" s="34" t="str"/>
      <x:c r="P182" s="34" t="str"/>
    </x:row>
    <x:row r="183">
      <x:c r="A183" s="34" t="str">
        <x:v>M5-BLIND-178</x:v>
      </x:c>
      <x:c r="B183" s="34" t="str"/>
      <x:c r="C183" s="34" t="str"/>
      <x:c r="D183" s="34" t="str"/>
      <x:c r="E183" s="34" t="str"/>
      <x:c r="F183" s="34" t="str"/>
      <x:c r="G183" s="34" t="str"/>
      <x:c r="H183" s="34" t="str"/>
      <x:c r="I183" s="34" t="str"/>
      <x:c r="J183" s="34" t="str">
        <x:f>IF(OR(G183="",I183=""),"待评",IF(G183=I183,"一致","不一致"))</x:f>
        <x:v>待评</x:v>
      </x:c>
      <x:c r="K183" s="34" t="str"/>
      <x:c r="L183" s="34" t="str"/>
      <x:c r="M183" s="34" t="str"/>
      <x:c r="N183" s="34" t="str"/>
      <x:c r="O183" s="34" t="str"/>
      <x:c r="P183" s="34" t="str"/>
    </x:row>
    <x:row r="184">
      <x:c r="A184" s="34" t="str">
        <x:v>M5-BLIND-179</x:v>
      </x:c>
      <x:c r="B184" s="34" t="str"/>
      <x:c r="C184" s="34" t="str"/>
      <x:c r="D184" s="34" t="str"/>
      <x:c r="E184" s="34" t="str"/>
      <x:c r="F184" s="34" t="str"/>
      <x:c r="G184" s="34" t="str"/>
      <x:c r="H184" s="34" t="str"/>
      <x:c r="I184" s="34" t="str"/>
      <x:c r="J184" s="34" t="str">
        <x:f>IF(OR(G184="",I184=""),"待评",IF(G184=I184,"一致","不一致"))</x:f>
        <x:v>待评</x:v>
      </x:c>
      <x:c r="K184" s="34" t="str"/>
      <x:c r="L184" s="34" t="str"/>
      <x:c r="M184" s="34" t="str"/>
      <x:c r="N184" s="34" t="str"/>
      <x:c r="O184" s="34" t="str"/>
      <x:c r="P184" s="34" t="str"/>
    </x:row>
    <x:row r="185">
      <x:c r="A185" s="34" t="str">
        <x:v>M5-BLIND-180</x:v>
      </x:c>
      <x:c r="B185" s="34" t="str"/>
      <x:c r="C185" s="34" t="str"/>
      <x:c r="D185" s="34" t="str"/>
      <x:c r="E185" s="34" t="str"/>
      <x:c r="F185" s="34" t="str"/>
      <x:c r="G185" s="34" t="str"/>
      <x:c r="H185" s="34" t="str"/>
      <x:c r="I185" s="34" t="str"/>
      <x:c r="J185" s="34" t="str">
        <x:f>IF(OR(G185="",I185=""),"待评",IF(G185=I185,"一致","不一致"))</x:f>
        <x:v>待评</x:v>
      </x:c>
      <x:c r="K185" s="34" t="str"/>
      <x:c r="L185" s="34" t="str"/>
      <x:c r="M185" s="34" t="str"/>
      <x:c r="N185" s="34" t="str"/>
      <x:c r="O185" s="34" t="str"/>
      <x:c r="P185" s="34" t="str"/>
    </x:row>
    <x:row r="186">
      <x:c r="A186" s="34" t="str">
        <x:v>M5-BLIND-181</x:v>
      </x:c>
      <x:c r="B186" s="34" t="str"/>
      <x:c r="C186" s="34" t="str"/>
      <x:c r="D186" s="34" t="str"/>
      <x:c r="E186" s="34" t="str"/>
      <x:c r="F186" s="34" t="str"/>
      <x:c r="G186" s="34" t="str"/>
      <x:c r="H186" s="34" t="str"/>
      <x:c r="I186" s="34" t="str"/>
      <x:c r="J186" s="34" t="str">
        <x:f>IF(OR(G186="",I186=""),"待评",IF(G186=I186,"一致","不一致"))</x:f>
        <x:v>待评</x:v>
      </x:c>
      <x:c r="K186" s="34" t="str"/>
      <x:c r="L186" s="34" t="str"/>
      <x:c r="M186" s="34" t="str"/>
      <x:c r="N186" s="34" t="str"/>
      <x:c r="O186" s="34" t="str"/>
      <x:c r="P186" s="34" t="str"/>
    </x:row>
    <x:row r="187">
      <x:c r="A187" s="34" t="str">
        <x:v>M5-BLIND-182</x:v>
      </x:c>
      <x:c r="B187" s="34" t="str"/>
      <x:c r="C187" s="34" t="str"/>
      <x:c r="D187" s="34" t="str"/>
      <x:c r="E187" s="34" t="str"/>
      <x:c r="F187" s="34" t="str"/>
      <x:c r="G187" s="34" t="str"/>
      <x:c r="H187" s="34" t="str"/>
      <x:c r="I187" s="34" t="str"/>
      <x:c r="J187" s="34" t="str">
        <x:f>IF(OR(G187="",I187=""),"待评",IF(G187=I187,"一致","不一致"))</x:f>
        <x:v>待评</x:v>
      </x:c>
      <x:c r="K187" s="34" t="str"/>
      <x:c r="L187" s="34" t="str"/>
      <x:c r="M187" s="34" t="str"/>
      <x:c r="N187" s="34" t="str"/>
      <x:c r="O187" s="34" t="str"/>
      <x:c r="P187" s="34" t="str"/>
    </x:row>
    <x:row r="188">
      <x:c r="A188" s="34" t="str">
        <x:v>M5-BLIND-183</x:v>
      </x:c>
      <x:c r="B188" s="34" t="str"/>
      <x:c r="C188" s="34" t="str"/>
      <x:c r="D188" s="34" t="str"/>
      <x:c r="E188" s="34" t="str"/>
      <x:c r="F188" s="34" t="str"/>
      <x:c r="G188" s="34" t="str"/>
      <x:c r="H188" s="34" t="str"/>
      <x:c r="I188" s="34" t="str"/>
      <x:c r="J188" s="34" t="str">
        <x:f>IF(OR(G188="",I188=""),"待评",IF(G188=I188,"一致","不一致"))</x:f>
        <x:v>待评</x:v>
      </x:c>
      <x:c r="K188" s="34" t="str"/>
      <x:c r="L188" s="34" t="str"/>
      <x:c r="M188" s="34" t="str"/>
      <x:c r="N188" s="34" t="str"/>
      <x:c r="O188" s="34" t="str"/>
      <x:c r="P188" s="34" t="str"/>
    </x:row>
    <x:row r="189">
      <x:c r="A189" s="34" t="str">
        <x:v>M5-BLIND-184</x:v>
      </x:c>
      <x:c r="B189" s="34" t="str"/>
      <x:c r="C189" s="34" t="str"/>
      <x:c r="D189" s="34" t="str"/>
      <x:c r="E189" s="34" t="str"/>
      <x:c r="F189" s="34" t="str"/>
      <x:c r="G189" s="34" t="str"/>
      <x:c r="H189" s="34" t="str"/>
      <x:c r="I189" s="34" t="str"/>
      <x:c r="J189" s="34" t="str">
        <x:f>IF(OR(G189="",I189=""),"待评",IF(G189=I189,"一致","不一致"))</x:f>
        <x:v>待评</x:v>
      </x:c>
      <x:c r="K189" s="34" t="str"/>
      <x:c r="L189" s="34" t="str"/>
      <x:c r="M189" s="34" t="str"/>
      <x:c r="N189" s="34" t="str"/>
      <x:c r="O189" s="34" t="str"/>
      <x:c r="P189" s="34" t="str"/>
    </x:row>
    <x:row r="190">
      <x:c r="A190" s="34" t="str">
        <x:v>M5-BLIND-185</x:v>
      </x:c>
      <x:c r="B190" s="34" t="str"/>
      <x:c r="C190" s="34" t="str"/>
      <x:c r="D190" s="34" t="str"/>
      <x:c r="E190" s="34" t="str"/>
      <x:c r="F190" s="34" t="str"/>
      <x:c r="G190" s="34" t="str"/>
      <x:c r="H190" s="34" t="str"/>
      <x:c r="I190" s="34" t="str"/>
      <x:c r="J190" s="34" t="str">
        <x:f>IF(OR(G190="",I190=""),"待评",IF(G190=I190,"一致","不一致"))</x:f>
        <x:v>待评</x:v>
      </x:c>
      <x:c r="K190" s="34" t="str"/>
      <x:c r="L190" s="34" t="str"/>
      <x:c r="M190" s="34" t="str"/>
      <x:c r="N190" s="34" t="str"/>
      <x:c r="O190" s="34" t="str"/>
      <x:c r="P190" s="34" t="str"/>
    </x:row>
    <x:row r="191">
      <x:c r="A191" s="34" t="str">
        <x:v>M5-BLIND-186</x:v>
      </x:c>
      <x:c r="B191" s="34" t="str"/>
      <x:c r="C191" s="34" t="str"/>
      <x:c r="D191" s="34" t="str"/>
      <x:c r="E191" s="34" t="str"/>
      <x:c r="F191" s="34" t="str"/>
      <x:c r="G191" s="34" t="str"/>
      <x:c r="H191" s="34" t="str"/>
      <x:c r="I191" s="34" t="str"/>
      <x:c r="J191" s="34" t="str">
        <x:f>IF(OR(G191="",I191=""),"待评",IF(G191=I191,"一致","不一致"))</x:f>
        <x:v>待评</x:v>
      </x:c>
      <x:c r="K191" s="34" t="str"/>
      <x:c r="L191" s="34" t="str"/>
      <x:c r="M191" s="34" t="str"/>
      <x:c r="N191" s="34" t="str"/>
      <x:c r="O191" s="34" t="str"/>
      <x:c r="P191" s="34" t="str"/>
    </x:row>
    <x:row r="192">
      <x:c r="A192" s="34" t="str">
        <x:v>M5-BLIND-187</x:v>
      </x:c>
      <x:c r="B192" s="34" t="str"/>
      <x:c r="C192" s="34" t="str"/>
      <x:c r="D192" s="34" t="str"/>
      <x:c r="E192" s="34" t="str"/>
      <x:c r="F192" s="34" t="str"/>
      <x:c r="G192" s="34" t="str"/>
      <x:c r="H192" s="34" t="str"/>
      <x:c r="I192" s="34" t="str"/>
      <x:c r="J192" s="34" t="str">
        <x:f>IF(OR(G192="",I192=""),"待评",IF(G192=I192,"一致","不一致"))</x:f>
        <x:v>待评</x:v>
      </x:c>
      <x:c r="K192" s="34" t="str"/>
      <x:c r="L192" s="34" t="str"/>
      <x:c r="M192" s="34" t="str"/>
      <x:c r="N192" s="34" t="str"/>
      <x:c r="O192" s="34" t="str"/>
      <x:c r="P192" s="34" t="str"/>
    </x:row>
    <x:row r="193">
      <x:c r="A193" s="34" t="str">
        <x:v>M5-BLIND-188</x:v>
      </x:c>
      <x:c r="B193" s="34" t="str"/>
      <x:c r="C193" s="34" t="str"/>
      <x:c r="D193" s="34" t="str"/>
      <x:c r="E193" s="34" t="str"/>
      <x:c r="F193" s="34" t="str"/>
      <x:c r="G193" s="34" t="str"/>
      <x:c r="H193" s="34" t="str"/>
      <x:c r="I193" s="34" t="str"/>
      <x:c r="J193" s="34" t="str">
        <x:f>IF(OR(G193="",I193=""),"待评",IF(G193=I193,"一致","不一致"))</x:f>
        <x:v>待评</x:v>
      </x:c>
      <x:c r="K193" s="34" t="str"/>
      <x:c r="L193" s="34" t="str"/>
      <x:c r="M193" s="34" t="str"/>
      <x:c r="N193" s="34" t="str"/>
      <x:c r="O193" s="34" t="str"/>
      <x:c r="P193" s="34" t="str"/>
    </x:row>
    <x:row r="194">
      <x:c r="A194" s="34" t="str">
        <x:v>M5-BLIND-189</x:v>
      </x:c>
      <x:c r="B194" s="34" t="str"/>
      <x:c r="C194" s="34" t="str"/>
      <x:c r="D194" s="34" t="str"/>
      <x:c r="E194" s="34" t="str"/>
      <x:c r="F194" s="34" t="str"/>
      <x:c r="G194" s="34" t="str"/>
      <x:c r="H194" s="34" t="str"/>
      <x:c r="I194" s="34" t="str"/>
      <x:c r="J194" s="34" t="str">
        <x:f>IF(OR(G194="",I194=""),"待评",IF(G194=I194,"一致","不一致"))</x:f>
        <x:v>待评</x:v>
      </x:c>
      <x:c r="K194" s="34" t="str"/>
      <x:c r="L194" s="34" t="str"/>
      <x:c r="M194" s="34" t="str"/>
      <x:c r="N194" s="34" t="str"/>
      <x:c r="O194" s="34" t="str"/>
      <x:c r="P194" s="34" t="str"/>
    </x:row>
    <x:row r="195">
      <x:c r="A195" s="34" t="str">
        <x:v>M5-BLIND-190</x:v>
      </x:c>
      <x:c r="B195" s="34" t="str"/>
      <x:c r="C195" s="34" t="str"/>
      <x:c r="D195" s="34" t="str"/>
      <x:c r="E195" s="34" t="str"/>
      <x:c r="F195" s="34" t="str"/>
      <x:c r="G195" s="34" t="str"/>
      <x:c r="H195" s="34" t="str"/>
      <x:c r="I195" s="34" t="str"/>
      <x:c r="J195" s="34" t="str">
        <x:f>IF(OR(G195="",I195=""),"待评",IF(G195=I195,"一致","不一致"))</x:f>
        <x:v>待评</x:v>
      </x:c>
      <x:c r="K195" s="34" t="str"/>
      <x:c r="L195" s="34" t="str"/>
      <x:c r="M195" s="34" t="str"/>
      <x:c r="N195" s="34" t="str"/>
      <x:c r="O195" s="34" t="str"/>
      <x:c r="P195" s="34" t="str"/>
    </x:row>
    <x:row r="196">
      <x:c r="A196" s="34" t="str">
        <x:v>M5-BLIND-191</x:v>
      </x:c>
      <x:c r="B196" s="34" t="str"/>
      <x:c r="C196" s="34" t="str"/>
      <x:c r="D196" s="34" t="str"/>
      <x:c r="E196" s="34" t="str"/>
      <x:c r="F196" s="34" t="str"/>
      <x:c r="G196" s="34" t="str"/>
      <x:c r="H196" s="34" t="str"/>
      <x:c r="I196" s="34" t="str"/>
      <x:c r="J196" s="34" t="str">
        <x:f>IF(OR(G196="",I196=""),"待评",IF(G196=I196,"一致","不一致"))</x:f>
        <x:v>待评</x:v>
      </x:c>
      <x:c r="K196" s="34" t="str"/>
      <x:c r="L196" s="34" t="str"/>
      <x:c r="M196" s="34" t="str"/>
      <x:c r="N196" s="34" t="str"/>
      <x:c r="O196" s="34" t="str"/>
      <x:c r="P196" s="34" t="str"/>
    </x:row>
    <x:row r="197">
      <x:c r="A197" s="34" t="str">
        <x:v>M5-BLIND-192</x:v>
      </x:c>
      <x:c r="B197" s="34" t="str"/>
      <x:c r="C197" s="34" t="str"/>
      <x:c r="D197" s="34" t="str"/>
      <x:c r="E197" s="34" t="str"/>
      <x:c r="F197" s="34" t="str"/>
      <x:c r="G197" s="34" t="str"/>
      <x:c r="H197" s="34" t="str"/>
      <x:c r="I197" s="34" t="str"/>
      <x:c r="J197" s="34" t="str">
        <x:f>IF(OR(G197="",I197=""),"待评",IF(G197=I197,"一致","不一致"))</x:f>
        <x:v>待评</x:v>
      </x:c>
      <x:c r="K197" s="34" t="str"/>
      <x:c r="L197" s="34" t="str"/>
      <x:c r="M197" s="34" t="str"/>
      <x:c r="N197" s="34" t="str"/>
      <x:c r="O197" s="34" t="str"/>
      <x:c r="P197" s="34" t="str"/>
    </x:row>
    <x:row r="198">
      <x:c r="A198" s="34" t="str">
        <x:v>M5-BLIND-193</x:v>
      </x:c>
      <x:c r="B198" s="34" t="str"/>
      <x:c r="C198" s="34" t="str"/>
      <x:c r="D198" s="34" t="str"/>
      <x:c r="E198" s="34" t="str"/>
      <x:c r="F198" s="34" t="str"/>
      <x:c r="G198" s="34" t="str"/>
      <x:c r="H198" s="34" t="str"/>
      <x:c r="I198" s="34" t="str"/>
      <x:c r="J198" s="34" t="str">
        <x:f>IF(OR(G198="",I198=""),"待评",IF(G198=I198,"一致","不一致"))</x:f>
        <x:v>待评</x:v>
      </x:c>
      <x:c r="K198" s="34" t="str"/>
      <x:c r="L198" s="34" t="str"/>
      <x:c r="M198" s="34" t="str"/>
      <x:c r="N198" s="34" t="str"/>
      <x:c r="O198" s="34" t="str"/>
      <x:c r="P198" s="34" t="str"/>
    </x:row>
    <x:row r="199">
      <x:c r="A199" s="34" t="str">
        <x:v>M5-BLIND-194</x:v>
      </x:c>
      <x:c r="B199" s="34" t="str"/>
      <x:c r="C199" s="34" t="str"/>
      <x:c r="D199" s="34" t="str"/>
      <x:c r="E199" s="34" t="str"/>
      <x:c r="F199" s="34" t="str"/>
      <x:c r="G199" s="34" t="str"/>
      <x:c r="H199" s="34" t="str"/>
      <x:c r="I199" s="34" t="str"/>
      <x:c r="J199" s="34" t="str">
        <x:f>IF(OR(G199="",I199=""),"待评",IF(G199=I199,"一致","不一致"))</x:f>
        <x:v>待评</x:v>
      </x:c>
      <x:c r="K199" s="34" t="str"/>
      <x:c r="L199" s="34" t="str"/>
      <x:c r="M199" s="34" t="str"/>
      <x:c r="N199" s="34" t="str"/>
      <x:c r="O199" s="34" t="str"/>
      <x:c r="P199" s="34" t="str"/>
    </x:row>
    <x:row r="200">
      <x:c r="A200" s="34" t="str">
        <x:v>M5-BLIND-195</x:v>
      </x:c>
      <x:c r="B200" s="34" t="str"/>
      <x:c r="C200" s="34" t="str"/>
      <x:c r="D200" s="34" t="str"/>
      <x:c r="E200" s="34" t="str"/>
      <x:c r="F200" s="34" t="str"/>
      <x:c r="G200" s="34" t="str"/>
      <x:c r="H200" s="34" t="str"/>
      <x:c r="I200" s="34" t="str"/>
      <x:c r="J200" s="34" t="str">
        <x:f>IF(OR(G200="",I200=""),"待评",IF(G200=I200,"一致","不一致"))</x:f>
        <x:v>待评</x:v>
      </x:c>
      <x:c r="K200" s="34" t="str"/>
      <x:c r="L200" s="34" t="str"/>
      <x:c r="M200" s="34" t="str"/>
      <x:c r="N200" s="34" t="str"/>
      <x:c r="O200" s="34" t="str"/>
      <x:c r="P200" s="34" t="str"/>
    </x:row>
    <x:row r="201">
      <x:c r="A201" s="34" t="str">
        <x:v>M5-BLIND-196</x:v>
      </x:c>
      <x:c r="B201" s="34" t="str"/>
      <x:c r="C201" s="34" t="str"/>
      <x:c r="D201" s="34" t="str"/>
      <x:c r="E201" s="34" t="str"/>
      <x:c r="F201" s="34" t="str"/>
      <x:c r="G201" s="34" t="str"/>
      <x:c r="H201" s="34" t="str"/>
      <x:c r="I201" s="34" t="str"/>
      <x:c r="J201" s="34" t="str">
        <x:f>IF(OR(G201="",I201=""),"待评",IF(G201=I201,"一致","不一致"))</x:f>
        <x:v>待评</x:v>
      </x:c>
      <x:c r="K201" s="34" t="str"/>
      <x:c r="L201" s="34" t="str"/>
      <x:c r="M201" s="34" t="str"/>
      <x:c r="N201" s="34" t="str"/>
      <x:c r="O201" s="34" t="str"/>
      <x:c r="P201" s="34" t="str"/>
    </x:row>
    <x:row r="202">
      <x:c r="A202" s="34" t="str">
        <x:v>M5-BLIND-197</x:v>
      </x:c>
      <x:c r="B202" s="34" t="str"/>
      <x:c r="C202" s="34" t="str"/>
      <x:c r="D202" s="34" t="str"/>
      <x:c r="E202" s="34" t="str"/>
      <x:c r="F202" s="34" t="str"/>
      <x:c r="G202" s="34" t="str"/>
      <x:c r="H202" s="34" t="str"/>
      <x:c r="I202" s="34" t="str"/>
      <x:c r="J202" s="34" t="str">
        <x:f>IF(OR(G202="",I202=""),"待评",IF(G202=I202,"一致","不一致"))</x:f>
        <x:v>待评</x:v>
      </x:c>
      <x:c r="K202" s="34" t="str"/>
      <x:c r="L202" s="34" t="str"/>
      <x:c r="M202" s="34" t="str"/>
      <x:c r="N202" s="34" t="str"/>
      <x:c r="O202" s="34" t="str"/>
      <x:c r="P202" s="34" t="str"/>
    </x:row>
    <x:row r="203">
      <x:c r="A203" s="34" t="str">
        <x:v>M5-BLIND-198</x:v>
      </x:c>
      <x:c r="B203" s="34" t="str"/>
      <x:c r="C203" s="34" t="str"/>
      <x:c r="D203" s="34" t="str"/>
      <x:c r="E203" s="34" t="str"/>
      <x:c r="F203" s="34" t="str"/>
      <x:c r="G203" s="34" t="str"/>
      <x:c r="H203" s="34" t="str"/>
      <x:c r="I203" s="34" t="str"/>
      <x:c r="J203" s="34" t="str">
        <x:f>IF(OR(G203="",I203=""),"待评",IF(G203=I203,"一致","不一致"))</x:f>
        <x:v>待评</x:v>
      </x:c>
      <x:c r="K203" s="34" t="str"/>
      <x:c r="L203" s="34" t="str"/>
      <x:c r="M203" s="34" t="str"/>
      <x:c r="N203" s="34" t="str"/>
      <x:c r="O203" s="34" t="str"/>
      <x:c r="P203" s="34" t="str"/>
    </x:row>
    <x:row r="204">
      <x:c r="A204" s="34" t="str">
        <x:v>M5-BLIND-199</x:v>
      </x:c>
      <x:c r="B204" s="34" t="str"/>
      <x:c r="C204" s="34" t="str"/>
      <x:c r="D204" s="34" t="str"/>
      <x:c r="E204" s="34" t="str"/>
      <x:c r="F204" s="34" t="str"/>
      <x:c r="G204" s="34" t="str"/>
      <x:c r="H204" s="34" t="str"/>
      <x:c r="I204" s="34" t="str"/>
      <x:c r="J204" s="34" t="str">
        <x:f>IF(OR(G204="",I204=""),"待评",IF(G204=I204,"一致","不一致"))</x:f>
        <x:v>待评</x:v>
      </x:c>
      <x:c r="K204" s="34" t="str"/>
      <x:c r="L204" s="34" t="str"/>
      <x:c r="M204" s="34" t="str"/>
      <x:c r="N204" s="34" t="str"/>
      <x:c r="O204" s="34" t="str"/>
      <x:c r="P204" s="34" t="str"/>
    </x:row>
    <x:row r="205">
      <x:c r="A205" s="34" t="str">
        <x:v>M5-BLIND-200</x:v>
      </x:c>
      <x:c r="B205" s="34" t="str"/>
      <x:c r="C205" s="34" t="str"/>
      <x:c r="D205" s="34" t="str"/>
      <x:c r="E205" s="34" t="str"/>
      <x:c r="F205" s="34" t="str"/>
      <x:c r="G205" s="34" t="str"/>
      <x:c r="H205" s="34" t="str"/>
      <x:c r="I205" s="34" t="str"/>
      <x:c r="J205" s="34" t="str">
        <x:f>IF(OR(G205="",I205=""),"待评",IF(G205=I205,"一致","不一致"))</x:f>
        <x:v>待评</x:v>
      </x:c>
      <x:c r="K205" s="34" t="str"/>
      <x:c r="L205" s="34" t="str"/>
      <x:c r="M205" s="34" t="str"/>
      <x:c r="N205" s="34" t="str"/>
      <x:c r="O205" s="34" t="str"/>
      <x:c r="P205" s="34" t="str"/>
    </x:row>
  </x:sheetData>
  <x:mergeCells>
    <x:mergeCell ref="A1:P2"/>
    <x:mergeCell ref="A3:P3"/>
  </x:mergeCells>
  <x:dataValidations count="4">
    <x:dataValidation type="list" sqref="D6:D205">
      <x:formula1>"BASE,PARTNER,EXCHANGE,BOUND,REPAIR,RHYTHM,GAP,SYNTH"</x:formula1>
    </x:dataValidation>
    <x:dataValidation type="list" sqref="E6:E205">
      <x:formula1>"report_status,safety_status,universal_floor,primary_fit_need,secondary_fit_need,need_priority,flexible_preferences,similarity_complement_mode,primary_partner_function,secondary_partner_function,partner_expression_state,partner_evidence_level,required_partner_behaviors,pseudo_fit_warning,primary_exchange_channel,exchange_mode,exchange_state,exchange_evidence_level,exchange_path,primary_boundary_channel,boundary_mode,boundary_state,boundary_evidence_level,decision_governance,consent_boundary,primary_repair_channel,repair_protocol,repair_state,repair_evidence_level,repair_completion_standard,primary_rhythm_channel,rhythm_mode,rhythm_state,rhythm_evidence_level,relationship_phase,primary_gap,secondary_gap,gap_type,gap_state,gap_evidence_level,bridge_plan,reality_gates,final_fit_state,fit_grade,confidence,observation_plan,provenance,report_sections"</x:formula1>
    </x:dataValidation>
    <x:dataValidation type="list" sqref="K6:K205">
      <x:formula1>"1,0.75,0.5,0"</x:formula1>
    </x:dataValidation>
    <x:dataValidation type="list" sqref="O6:O205">
      <x:formula1>"待评,待裁决,已裁决,不可评估"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44b7fc89924cf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4" hidden="0" customWidth="1"/>
    <x:col min="4" max="4" width="18" hidden="0" customWidth="1"/>
    <x:col min="5" max="5" width="14" hidden="0" customWidth="1"/>
    <x:col min="6" max="6" width="14" hidden="0" customWidth="1"/>
    <x:col min="7" max="7" width="32" hidden="0" customWidth="1"/>
    <x:col min="8" max="8" width="18" hidden="0" customWidth="1"/>
    <x:col min="9" max="9" width="14" hidden="0" customWidth="1"/>
    <x:col min="10" max="10" width="14" hidden="0" customWidth="1"/>
    <x:col min="11" max="11" width="32" hidden="0" customWidth="1"/>
    <x:col min="12" max="12" width="14" hidden="0" customWidth="1"/>
    <x:col min="13" max="13" width="40" hidden="0" customWidth="1"/>
  </x:cols>
  <x:sheetData>
    <x:row r="1">
      <x:c r="A1" s="45" t="str">
        <x:v>C0：32类结构测试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3">
      <x:c r="A3" s="50" t="str">
        <x:v>逻辑与发布边界测试，不是真实准确率。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5">
      <x:c r="A5" s="55" t="str">
        <x:v>测试ID</x:v>
      </x:c>
      <x:c r="B5" s="55" t="str">
        <x:v>类别</x:v>
      </x:c>
      <x:c r="C5" s="55" t="str">
        <x:v>输入情境</x:v>
      </x:c>
      <x:c r="D5" s="55" t="str">
        <x:v>期望status</x:v>
      </x:c>
      <x:c r="E5" s="55" t="str">
        <x:v>期望AF</x:v>
      </x:c>
      <x:c r="F5" s="55" t="str">
        <x:v>期望FG</x:v>
      </x:c>
      <x:c r="G5" s="55" t="str">
        <x:v>期望关键输出</x:v>
      </x:c>
      <x:c r="H5" s="55" t="str">
        <x:v>实际status</x:v>
      </x:c>
      <x:c r="I5" s="55" t="str">
        <x:v>实际AF</x:v>
      </x:c>
      <x:c r="J5" s="55" t="str">
        <x:v>实际FG</x:v>
      </x:c>
      <x:c r="K5" s="55" t="str">
        <x:v>实际关键输出</x:v>
      </x:c>
      <x:c r="L5" s="55" t="str">
        <x:v>结果</x:v>
      </x:c>
      <x:c r="M5" s="55" t="str">
        <x:v>备注</x:v>
      </x:c>
    </x:row>
    <x:row r="6">
      <x:c r="A6" s="34" t="str">
        <x:v>T01</x:v>
      </x:c>
      <x:c r="B6" s="34" t="str">
        <x:v>无对象</x:v>
      </x:c>
      <x:c r="C6" s="34" t="str">
        <x:v>只有命盘与M1—M4结果</x:v>
      </x:c>
      <x:c r="D6" s="34" t="str">
        <x:v>limited</x:v>
      </x:c>
      <x:c r="E6" s="34" t="str">
        <x:v>AF01</x:v>
      </x:c>
      <x:c r="F6" s="34" t="str">
        <x:v>FG1</x:v>
      </x:c>
      <x:c r="G6" s="34" t="str">
        <x:v>不评价具体对象</x:v>
      </x:c>
      <x:c r="H6" s="34" t="str"/>
      <x:c r="I6" s="34" t="str"/>
      <x:c r="J6" s="34" t="str"/>
      <x:c r="K6" s="34" t="str"/>
      <x:c r="L6" s="34" t="str">
        <x:f>IF(AND(H6="",I6="",J6="",K6=""),"待运行",IF(AND(H6=D6,I6=E6,J6=F6,K6=G6),"通过","失败"))</x:f>
        <x:v>待运行</x:v>
      </x:c>
      <x:c r="M6" s="34" t="str"/>
    </x:row>
    <x:row r="7">
      <x:c r="A7" s="34" t="str">
        <x:v>T02</x:v>
      </x:c>
      <x:c r="B7" s="34" t="str">
        <x:v>结构候选</x:v>
      </x:c>
      <x:c r="C7" s="34" t="str">
        <x:v>无对象但观察标准完整</x:v>
      </x:c>
      <x:c r="D7" s="34" t="str">
        <x:v>limited</x:v>
      </x:c>
      <x:c r="E7" s="34" t="str">
        <x:v>AF01</x:v>
      </x:c>
      <x:c r="F7" s="34" t="str">
        <x:v>FG1</x:v>
      </x:c>
      <x:c r="G7" s="34" t="str">
        <x:v>只有命盘不升FG3</x:v>
      </x:c>
      <x:c r="H7" s="34" t="str"/>
      <x:c r="I7" s="34" t="str"/>
      <x:c r="J7" s="34" t="str"/>
      <x:c r="K7" s="34" t="str"/>
      <x:c r="L7" s="34" t="str">
        <x:f>IF(AND(H7="",I7="",J7="",K7=""),"待运行",IF(AND(H7=D7,I7=E7,J7=F7,K7=G7),"通过","失败"))</x:f>
        <x:v>待运行</x:v>
      </x:c>
      <x:c r="M7" s="34" t="str"/>
    </x:row>
    <x:row r="8">
      <x:c r="A8" s="34" t="str">
        <x:v>T03</x:v>
      </x:c>
      <x:c r="B8" s="34" t="str">
        <x:v>心动差异</x:v>
      </x:c>
      <x:c r="C8" s="34" t="str">
        <x:v>M1高心动，现实结构弱</x:v>
      </x:c>
      <x:c r="D8" s="34" t="str">
        <x:v>limited</x:v>
      </x:c>
      <x:c r="E8" s="34" t="str">
        <x:v>AF02</x:v>
      </x:c>
      <x:c r="F8" s="34" t="str">
        <x:v>FG2</x:v>
      </x:c>
      <x:c r="G8" s="34" t="str">
        <x:v>吸引不加分</x:v>
      </x:c>
      <x:c r="H8" s="34" t="str"/>
      <x:c r="I8" s="34" t="str"/>
      <x:c r="J8" s="34" t="str"/>
      <x:c r="K8" s="34" t="str"/>
      <x:c r="L8" s="34" t="str">
        <x:f>IF(AND(H8="",I8="",J8="",K8=""),"待运行",IF(AND(H8=D8,I8=E8,J8=F8,K8=G8),"通过","失败"))</x:f>
        <x:v>待运行</x:v>
      </x:c>
      <x:c r="M8" s="34" t="str"/>
    </x:row>
    <x:row r="9">
      <x:c r="A9" s="34" t="str">
        <x:v>T04</x:v>
      </x:c>
      <x:c r="B9" s="34" t="str">
        <x:v>低心动高适配</x:v>
      </x:c>
      <x:c r="C9" s="34" t="str">
        <x:v>现实多领域匹配，吸引不足</x:v>
      </x:c>
      <x:c r="D9" s="34" t="str">
        <x:v>complete</x:v>
      </x:c>
      <x:c r="E9" s="34" t="str">
        <x:v>AF05</x:v>
      </x:c>
      <x:c r="F9" s="34" t="str">
        <x:v>FG3</x:v>
      </x:c>
      <x:c r="G9" s="34" t="str">
        <x:v>不建议勉强选择</x:v>
      </x:c>
      <x:c r="H9" s="34" t="str"/>
      <x:c r="I9" s="34" t="str"/>
      <x:c r="J9" s="34" t="str"/>
      <x:c r="K9" s="34" t="str"/>
      <x:c r="L9" s="34" t="str">
        <x:f>IF(AND(H9="",I9="",J9="",K9=""),"待运行",IF(AND(H9=D9,I9=E9,J9=F9,K9=G9),"通过","失败"))</x:f>
        <x:v>待运行</x:v>
      </x:c>
      <x:c r="M9" s="34" t="str"/>
    </x:row>
    <x:row r="10">
      <x:c r="A10" s="34" t="str">
        <x:v>T05</x:v>
      </x:c>
      <x:c r="B10" s="34" t="str">
        <x:v>准入越级</x:v>
      </x:c>
      <x:c r="C10" s="34" t="str">
        <x:v>M2门槛通过，长期能力未验证</x:v>
      </x:c>
      <x:c r="D10" s="34" t="str">
        <x:v>limited</x:v>
      </x:c>
      <x:c r="E10" s="34" t="str">
        <x:v>AF02</x:v>
      </x:c>
      <x:c r="F10" s="34" t="str">
        <x:v>FG2</x:v>
      </x:c>
      <x:c r="G10" s="34" t="str">
        <x:v>准入不等于适配</x:v>
      </x:c>
      <x:c r="H10" s="34" t="str"/>
      <x:c r="I10" s="34" t="str"/>
      <x:c r="J10" s="34" t="str"/>
      <x:c r="K10" s="34" t="str"/>
      <x:c r="L10" s="34" t="str">
        <x:f>IF(AND(H10="",I10="",J10="",K10=""),"待运行",IF(AND(H10=D10,I10=E10,J10=F10,K10=G10),"通过","失败"))</x:f>
        <x:v>待运行</x:v>
      </x:c>
      <x:c r="M10" s="34" t="str"/>
    </x:row>
    <x:row r="11">
      <x:c r="A11" s="34" t="str">
        <x:v>T06</x:v>
      </x:c>
      <x:c r="B11" s="34" t="str">
        <x:v>对象强交换弱</x:v>
      </x:c>
      <x:c r="C11" s="34" t="str">
        <x:v>PV5，XV1</x:v>
      </x:c>
      <x:c r="D11" s="34" t="str">
        <x:v>limited</x:v>
      </x:c>
      <x:c r="E11" s="34" t="str">
        <x:v>AF03</x:v>
      </x:c>
      <x:c r="F11" s="34" t="str">
        <x:v>FG2</x:v>
      </x:c>
      <x:c r="G11" s="34" t="str">
        <x:v>个人能力不等于互惠</x:v>
      </x:c>
      <x:c r="H11" s="34" t="str"/>
      <x:c r="I11" s="34" t="str"/>
      <x:c r="J11" s="34" t="str"/>
      <x:c r="K11" s="34" t="str"/>
      <x:c r="L11" s="34" t="str">
        <x:f>IF(AND(H11="",I11="",J11="",K11=""),"待运行",IF(AND(H11=D11,I11=E11,J11=F11,K11=G11),"通过","失败"))</x:f>
        <x:v>待运行</x:v>
      </x:c>
      <x:c r="M11" s="34" t="str"/>
    </x:row>
    <x:row r="12">
      <x:c r="A12" s="34" t="str">
        <x:v>T07</x:v>
      </x:c>
      <x:c r="B12" s="34" t="str">
        <x:v>交换强边界弱</x:v>
      </x:c>
      <x:c r="C12" s="34" t="str">
        <x:v>XR01／XV4，BV1</x:v>
      </x:c>
      <x:c r="D12" s="34" t="str">
        <x:v>limited</x:v>
      </x:c>
      <x:c r="E12" s="34" t="str">
        <x:v>AF03</x:v>
      </x:c>
      <x:c r="F12" s="34" t="str">
        <x:v>FG3</x:v>
      </x:c>
      <x:c r="G12" s="34" t="str">
        <x:v>边界优先</x:v>
      </x:c>
      <x:c r="H12" s="34" t="str"/>
      <x:c r="I12" s="34" t="str"/>
      <x:c r="J12" s="34" t="str"/>
      <x:c r="K12" s="34" t="str"/>
      <x:c r="L12" s="34" t="str">
        <x:f>IF(AND(H12="",I12="",J12="",K12=""),"待运行",IF(AND(H12=D12,I12=E12,J12=F12,K12=G12),"通过","失败"))</x:f>
        <x:v>待运行</x:v>
      </x:c>
      <x:c r="M12" s="34" t="str"/>
    </x:row>
    <x:row r="13">
      <x:c r="A13" s="34" t="str">
        <x:v>T08</x:v>
      </x:c>
      <x:c r="B13" s="34" t="str">
        <x:v>安全停止</x:v>
      </x:c>
      <x:c r="C13" s="34" t="str">
        <x:v>RG01 fail</x:v>
      </x:c>
      <x:c r="D13" s="34" t="str">
        <x:v>stop</x:v>
      </x:c>
      <x:c r="E13" s="34" t="str">
        <x:v>AF09</x:v>
      </x:c>
      <x:c r="F13" s="34" t="str">
        <x:v>FG0</x:v>
      </x:c>
      <x:c r="G13" s="34" t="str">
        <x:v>安全覆盖全部</x:v>
      </x:c>
      <x:c r="H13" s="34" t="str"/>
      <x:c r="I13" s="34" t="str"/>
      <x:c r="J13" s="34" t="str"/>
      <x:c r="K13" s="34" t="str"/>
      <x:c r="L13" s="34" t="str">
        <x:f>IF(AND(H13="",I13="",J13="",K13=""),"待运行",IF(AND(H13=D13,I13=E13,J13=F13,K13=G13),"通过","失败"))</x:f>
        <x:v>待运行</x:v>
      </x:c>
      <x:c r="M13" s="34" t="str"/>
    </x:row>
    <x:row r="14">
      <x:c r="A14" s="34" t="str">
        <x:v>T09</x:v>
      </x:c>
      <x:c r="B14" s="34" t="str">
        <x:v>核心目标冲突</x:v>
      </x:c>
      <x:c r="C14" s="34" t="str">
        <x:v>RG03或RG06 fail</x:v>
      </x:c>
      <x:c r="D14" s="34" t="str">
        <x:v>limited</x:v>
      </x:c>
      <x:c r="E14" s="34" t="str">
        <x:v>AF08</x:v>
      </x:c>
      <x:c r="F14" s="34" t="str">
        <x:v>FG2</x:v>
      </x:c>
      <x:c r="G14" s="34" t="str">
        <x:v>核心门槛不匹配</x:v>
      </x:c>
      <x:c r="H14" s="34" t="str"/>
      <x:c r="I14" s="34" t="str"/>
      <x:c r="J14" s="34" t="str"/>
      <x:c r="K14" s="34" t="str"/>
      <x:c r="L14" s="34" t="str">
        <x:f>IF(AND(H14="",I14="",J14="",K14=""),"待运行",IF(AND(H14=D14,I14=E14,J14=F14,K14=G14),"通过","失败"))</x:f>
        <x:v>待运行</x:v>
      </x:c>
      <x:c r="M14" s="34" t="str"/>
    </x:row>
    <x:row r="15">
      <x:c r="A15" s="34" t="str">
        <x:v>T10</x:v>
      </x:c>
      <x:c r="B15" s="34" t="str">
        <x:v>单条件适配</x:v>
      </x:c>
      <x:c r="C15" s="34" t="str">
        <x:v>一个RG conditional且桥接重复有效</x:v>
      </x:c>
      <x:c r="D15" s="34" t="str">
        <x:v>complete</x:v>
      </x:c>
      <x:c r="E15" s="34" t="str">
        <x:v>AF04</x:v>
      </x:c>
      <x:c r="F15" s="34" t="str">
        <x:v>FG3</x:v>
      </x:c>
      <x:c r="G15" s="34" t="str">
        <x:v>写失效点</x:v>
      </x:c>
      <x:c r="H15" s="34" t="str"/>
      <x:c r="I15" s="34" t="str"/>
      <x:c r="J15" s="34" t="str"/>
      <x:c r="K15" s="34" t="str"/>
      <x:c r="L15" s="34" t="str">
        <x:f>IF(AND(H15="",I15="",J15="",K15=""),"待运行",IF(AND(H15=D15,I15=E15,J15=F15,K15=G15),"通过","失败"))</x:f>
        <x:v>待运行</x:v>
      </x:c>
      <x:c r="M15" s="34" t="str"/>
    </x:row>
    <x:row r="16">
      <x:c r="A16" s="34" t="str">
        <x:v>T11</x:v>
      </x:c>
      <x:c r="B16" s="34" t="str">
        <x:v>多条件适配</x:v>
      </x:c>
      <x:c r="C16" s="34" t="str">
        <x:v>两个以上RG conditional</x:v>
      </x:c>
      <x:c r="D16" s="34" t="str">
        <x:v>limited</x:v>
      </x:c>
      <x:c r="E16" s="34" t="str">
        <x:v>AF04</x:v>
      </x:c>
      <x:c r="F16" s="34" t="str">
        <x:v>FG3</x:v>
      </x:c>
      <x:c r="G16" s="34" t="str">
        <x:v>不得FG4</x:v>
      </x:c>
      <x:c r="H16" s="34" t="str"/>
      <x:c r="I16" s="34" t="str"/>
      <x:c r="J16" s="34" t="str"/>
      <x:c r="K16" s="34" t="str"/>
      <x:c r="L16" s="34" t="str">
        <x:f>IF(AND(H16="",I16="",J16="",K16=""),"待运行",IF(AND(H16=D16,I16=E16,J16=F16,K16=G16),"通过","失败"))</x:f>
        <x:v>待运行</x:v>
      </x:c>
      <x:c r="M16" s="34" t="str"/>
    </x:row>
    <x:row r="17">
      <x:c r="A17" s="34" t="str">
        <x:v>T12</x:v>
      </x:c>
      <x:c r="B17" s="34" t="str">
        <x:v>核心门槛未知</x:v>
      </x:c>
      <x:c r="C17" s="34" t="str">
        <x:v>RG02或RG07 unknown</x:v>
      </x:c>
      <x:c r="D17" s="34" t="str">
        <x:v>limited</x:v>
      </x:c>
      <x:c r="E17" s="34" t="str">
        <x:v>AF02</x:v>
      </x:c>
      <x:c r="F17" s="34" t="str">
        <x:v>FG2</x:v>
      </x:c>
      <x:c r="G17" s="34" t="str">
        <x:v>优先补RG</x:v>
      </x:c>
      <x:c r="H17" s="34" t="str"/>
      <x:c r="I17" s="34" t="str"/>
      <x:c r="J17" s="34" t="str"/>
      <x:c r="K17" s="34" t="str"/>
      <x:c r="L17" s="34" t="str">
        <x:f>IF(AND(H17="",I17="",J17="",K17=""),"待运行",IF(AND(H17=D17,I17=E17,J17=F17,K17=G17),"通过","失败"))</x:f>
        <x:v>待运行</x:v>
      </x:c>
      <x:c r="M17" s="34" t="str"/>
    </x:row>
    <x:row r="18">
      <x:c r="A18" s="34" t="str">
        <x:v>T13</x:v>
      </x:c>
      <x:c r="B18" s="34" t="str">
        <x:v>无修复事件</x:v>
      </x:c>
      <x:c r="C18" s="34" t="str">
        <x:v>其他模块强，FV0</x:v>
      </x:c>
      <x:c r="D18" s="34" t="str">
        <x:v>complete</x:v>
      </x:c>
      <x:c r="E18" s="34" t="str">
        <x:v>AF05</x:v>
      </x:c>
      <x:c r="F18" s="34" t="str">
        <x:v>FG3</x:v>
      </x:c>
      <x:c r="G18" s="34" t="str">
        <x:v>修复标未评估</x:v>
      </x:c>
      <x:c r="H18" s="34" t="str"/>
      <x:c r="I18" s="34" t="str"/>
      <x:c r="J18" s="34" t="str"/>
      <x:c r="K18" s="34" t="str"/>
      <x:c r="L18" s="34" t="str">
        <x:f>IF(AND(H18="",I18="",J18="",K18=""),"待运行",IF(AND(H18=D18,I18=E18,J18=F18,K18=G18),"通过","失败"))</x:f>
        <x:v>待运行</x:v>
      </x:c>
      <x:c r="M18" s="34" t="str"/>
    </x:row>
    <x:row r="19">
      <x:c r="A19" s="34" t="str">
        <x:v>T14</x:v>
      </x:c>
      <x:c r="B19" s="34" t="str">
        <x:v>一次修复</x:v>
      </x:c>
      <x:c r="C19" s="34" t="str">
        <x:v>FV2—FV4</x:v>
      </x:c>
      <x:c r="D19" s="34" t="str">
        <x:v>complete</x:v>
      </x:c>
      <x:c r="E19" s="34" t="str">
        <x:v>AF06</x:v>
      </x:c>
      <x:c r="F19" s="34" t="str">
        <x:v>FG3</x:v>
      </x:c>
      <x:c r="G19" s="34" t="str">
        <x:v>不得FG4</x:v>
      </x:c>
      <x:c r="H19" s="34" t="str"/>
      <x:c r="I19" s="34" t="str"/>
      <x:c r="J19" s="34" t="str"/>
      <x:c r="K19" s="34" t="str"/>
      <x:c r="L19" s="34" t="str">
        <x:f>IF(AND(H19="",I19="",J19="",K19=""),"待运行",IF(AND(H19=D19,I19=E19,J19=F19,K19=G19),"通过","失败"))</x:f>
        <x:v>待运行</x:v>
      </x:c>
      <x:c r="M19" s="34" t="str"/>
    </x:row>
    <x:row r="20">
      <x:c r="A20" s="34" t="str">
        <x:v>T15</x:v>
      </x:c>
      <x:c r="B20" s="34" t="str">
        <x:v>跨状态稳定</x:v>
      </x:c>
      <x:c r="C20" s="34" t="str">
        <x:v>压力、修复、转折、RG全通过</x:v>
      </x:c>
      <x:c r="D20" s="34" t="str">
        <x:v>complete</x:v>
      </x:c>
      <x:c r="E20" s="34" t="str">
        <x:v>AF07</x:v>
      </x:c>
      <x:c r="F20" s="34" t="str">
        <x:v>FG4</x:v>
      </x:c>
      <x:c r="G20" s="34" t="str">
        <x:v>高等级现实适配</x:v>
      </x:c>
      <x:c r="H20" s="34" t="str"/>
      <x:c r="I20" s="34" t="str"/>
      <x:c r="J20" s="34" t="str"/>
      <x:c r="K20" s="34" t="str"/>
      <x:c r="L20" s="34" t="str">
        <x:f>IF(AND(H20="",I20="",J20="",K20=""),"待运行",IF(AND(H20=D20,I20=E20,J20=F20,K20=G20),"通过","失败"))</x:f>
        <x:v>待运行</x:v>
      </x:c>
      <x:c r="M20" s="34" t="str"/>
    </x:row>
    <x:row r="21">
      <x:c r="A21" s="34" t="str">
        <x:v>T16</x:v>
      </x:c>
      <x:c r="B21" s="34" t="str">
        <x:v>source去重</x:v>
      </x:c>
      <x:c r="C21" s="34" t="str">
        <x:v>同一命盘事实跨模块</x:v>
      </x:c>
      <x:c r="D21" s="34" t="str">
        <x:v>limited</x:v>
      </x:c>
      <x:c r="E21" s="34" t="str">
        <x:v>AF01</x:v>
      </x:c>
      <x:c r="F21" s="34" t="str">
        <x:v>FG1</x:v>
      </x:c>
      <x:c r="G21" s="34" t="str">
        <x:v>基础分只计一次</x:v>
      </x:c>
      <x:c r="H21" s="34" t="str"/>
      <x:c r="I21" s="34" t="str"/>
      <x:c r="J21" s="34" t="str"/>
      <x:c r="K21" s="34" t="str"/>
      <x:c r="L21" s="34" t="str">
        <x:f>IF(AND(H21="",I21="",J21="",K21=""),"待运行",IF(AND(H21=D21,I21=E21,J21=F21,K21=G21),"通过","失败"))</x:f>
        <x:v>待运行</x:v>
      </x:c>
      <x:c r="M21" s="34" t="str"/>
    </x:row>
    <x:row r="22">
      <x:c r="A22" s="34" t="str">
        <x:v>T17</x:v>
      </x:c>
      <x:c r="B22" s="34" t="str">
        <x:v>event去重</x:v>
      </x:c>
      <x:c r="C22" s="34" t="str">
        <x:v>同一事件支持多profile</x:v>
      </x:c>
      <x:c r="D22" s="34" t="str">
        <x:v>limited</x:v>
      </x:c>
      <x:c r="E22" s="34" t="str">
        <x:v>AF02</x:v>
      </x:c>
      <x:c r="F22" s="34" t="str">
        <x:v>FG2</x:v>
      </x:c>
      <x:c r="G22" s="34" t="str">
        <x:v>事件数只计一次</x:v>
      </x:c>
      <x:c r="H22" s="34" t="str"/>
      <x:c r="I22" s="34" t="str"/>
      <x:c r="J22" s="34" t="str"/>
      <x:c r="K22" s="34" t="str"/>
      <x:c r="L22" s="34" t="str">
        <x:f>IF(AND(H22="",I22="",J22="",K22=""),"待运行",IF(AND(H22=D22,I22=E22,J22=F22,K22=G22),"通过","失败"))</x:f>
        <x:v>待运行</x:v>
      </x:c>
      <x:c r="M22" s="34" t="str"/>
    </x:row>
    <x:row r="23">
      <x:c r="A23" s="34" t="str">
        <x:v>T18</x:v>
      </x:c>
      <x:c r="B23" s="34" t="str">
        <x:v>真合化</x:v>
      </x:c>
      <x:c r="C23" s="34" t="str">
        <x:v>原功能与化神并存</x:v>
      </x:c>
      <x:c r="D23" s="34" t="str">
        <x:v>limited</x:v>
      </x:c>
      <x:c r="E23" s="34" t="str">
        <x:v>AF01</x:v>
      </x:c>
      <x:c r="F23" s="34" t="str">
        <x:v>FG1</x:v>
      </x:c>
      <x:c r="G23" s="34" t="str">
        <x:v>原功能清零</x:v>
      </x:c>
      <x:c r="H23" s="34" t="str"/>
      <x:c r="I23" s="34" t="str"/>
      <x:c r="J23" s="34" t="str"/>
      <x:c r="K23" s="34" t="str"/>
      <x:c r="L23" s="34" t="str">
        <x:f>IF(AND(H23="",I23="",J23="",K23=""),"待运行",IF(AND(H23=D23,I23=E23,J23=F23,K23=G23),"通过","失败"))</x:f>
        <x:v>待运行</x:v>
      </x:c>
      <x:c r="M23" s="34" t="str"/>
    </x:row>
    <x:row r="24">
      <x:c r="A24" s="34" t="str">
        <x:v>T19</x:v>
      </x:c>
      <x:c r="B24" s="34" t="str">
        <x:v>合而不化</x:v>
      </x:c>
      <x:c r="C24" s="34" t="str">
        <x:v>合而不化</x:v>
      </x:c>
      <x:c r="D24" s="34" t="str">
        <x:v>limited</x:v>
      </x:c>
      <x:c r="E24" s="34" t="str">
        <x:v>AF01</x:v>
      </x:c>
      <x:c r="F24" s="34" t="str">
        <x:v>FG1</x:v>
      </x:c>
      <x:c r="G24" s="34" t="str">
        <x:v>保留原功能</x:v>
      </x:c>
      <x:c r="H24" s="34" t="str"/>
      <x:c r="I24" s="34" t="str"/>
      <x:c r="J24" s="34" t="str"/>
      <x:c r="K24" s="34" t="str"/>
      <x:c r="L24" s="34" t="str">
        <x:f>IF(AND(H24="",I24="",J24="",K24=""),"待运行",IF(AND(H24=D24,I24=E24,J24=F24,K24=G24),"通过","失败"))</x:f>
        <x:v>待运行</x:v>
      </x:c>
      <x:c r="M24" s="34" t="str"/>
    </x:row>
    <x:row r="25">
      <x:c r="A25" s="34" t="str">
        <x:v>T20</x:v>
      </x:c>
      <x:c r="B25" s="34" t="str">
        <x:v>功能族收敛</x:v>
      </x:c>
      <x:c r="C25" s="34" t="str">
        <x:v>FN04／EC04／BC04／RC04／HC04</x:v>
      </x:c>
      <x:c r="D25" s="34" t="str">
        <x:v>limited</x:v>
      </x:c>
      <x:c r="E25" s="34" t="str">
        <x:v>AF01</x:v>
      </x:c>
      <x:c r="F25" s="34" t="str">
        <x:v>FG1</x:v>
      </x:c>
      <x:c r="G25" s="34" t="str">
        <x:v>合成FAM04链</x:v>
      </x:c>
      <x:c r="H25" s="34" t="str"/>
      <x:c r="I25" s="34" t="str"/>
      <x:c r="J25" s="34" t="str"/>
      <x:c r="K25" s="34" t="str"/>
      <x:c r="L25" s="34" t="str">
        <x:f>IF(AND(H25="",I25="",J25="",K25=""),"待运行",IF(AND(H25=D25,I25=E25,J25=F25,K25=G25),"通过","失败"))</x:f>
        <x:v>待运行</x:v>
      </x:c>
      <x:c r="M25" s="34" t="str"/>
    </x:row>
    <x:row r="26">
      <x:c r="A26" s="34" t="str">
        <x:v>T21</x:v>
      </x:c>
      <x:c r="B26" s="34" t="str">
        <x:v>两个独立需要</x:v>
      </x:c>
      <x:c r="C26" s="34" t="str">
        <x:v>两个PR1独立</x:v>
      </x:c>
      <x:c r="D26" s="34" t="str">
        <x:v>limited</x:v>
      </x:c>
      <x:c r="E26" s="34" t="str">
        <x:v>AF01</x:v>
      </x:c>
      <x:c r="F26" s="34" t="str">
        <x:v>FG1</x:v>
      </x:c>
      <x:c r="G26" s="34" t="str">
        <x:v>一主一次</x:v>
      </x:c>
      <x:c r="H26" s="34" t="str"/>
      <x:c r="I26" s="34" t="str"/>
      <x:c r="J26" s="34" t="str"/>
      <x:c r="K26" s="34" t="str"/>
      <x:c r="L26" s="34" t="str">
        <x:f>IF(AND(H26="",I26="",J26="",K26=""),"待运行",IF(AND(H26=D26,I26=E26,J26=F26,K26=G26),"通过","失败"))</x:f>
        <x:v>待运行</x:v>
      </x:c>
      <x:c r="M26" s="34" t="str"/>
    </x:row>
    <x:row r="27">
      <x:c r="A27" s="34" t="str">
        <x:v>T22</x:v>
      </x:c>
      <x:c r="B27" s="34" t="str">
        <x:v>两个独立差异</x:v>
      </x:c>
      <x:c r="C27" s="34" t="str">
        <x:v>两个GT独立</x:v>
      </x:c>
      <x:c r="D27" s="34" t="str">
        <x:v>limited</x:v>
      </x:c>
      <x:c r="E27" s="34" t="str">
        <x:v>AF03</x:v>
      </x:c>
      <x:c r="F27" s="34" t="str">
        <x:v>FG2</x:v>
      </x:c>
      <x:c r="G27" s="34" t="str">
        <x:v>一主一次差异</x:v>
      </x:c>
      <x:c r="H27" s="34" t="str"/>
      <x:c r="I27" s="34" t="str"/>
      <x:c r="J27" s="34" t="str"/>
      <x:c r="K27" s="34" t="str"/>
      <x:c r="L27" s="34" t="str">
        <x:f>IF(AND(H27="",I27="",J27="",K27=""),"待运行",IF(AND(H27=D27,I27=E27,J27=F27,K27=G27),"通过","失败"))</x:f>
        <x:v>待运行</x:v>
      </x:c>
      <x:c r="M27" s="34" t="str"/>
    </x:row>
    <x:row r="28">
      <x:c r="A28" s="34" t="str">
        <x:v>T23</x:v>
      </x:c>
      <x:c r="B28" s="34" t="str">
        <x:v>牺牲式桥接</x:v>
      </x:c>
      <x:c r="C28" s="34" t="str">
        <x:v>桥接要求长期失去自主</x:v>
      </x:c>
      <x:c r="D28" s="34" t="str">
        <x:v>stop</x:v>
      </x:c>
      <x:c r="E28" s="34" t="str">
        <x:v>AF09</x:v>
      </x:c>
      <x:c r="F28" s="34" t="str">
        <x:v>FG0</x:v>
      </x:c>
      <x:c r="G28" s="34" t="str">
        <x:v>FB0停止</x:v>
      </x:c>
      <x:c r="H28" s="34" t="str"/>
      <x:c r="I28" s="34" t="str"/>
      <x:c r="J28" s="34" t="str"/>
      <x:c r="K28" s="34" t="str"/>
      <x:c r="L28" s="34" t="str">
        <x:f>IF(AND(H28="",I28="",J28="",K28=""),"待运行",IF(AND(H28=D28,I28=E28,J28=F28,K28=G28),"通过","失败"))</x:f>
        <x:v>待运行</x:v>
      </x:c>
      <x:c r="M28" s="34" t="str"/>
    </x:row>
    <x:row r="29">
      <x:c r="A29" s="34" t="str">
        <x:v>T24</x:v>
      </x:c>
      <x:c r="B29" s="34" t="str">
        <x:v>桥接计划</x:v>
      </x:c>
      <x:c r="C29" s="34" t="str">
        <x:v>完整BP但未启动</x:v>
      </x:c>
      <x:c r="D29" s="34" t="str">
        <x:v>limited</x:v>
      </x:c>
      <x:c r="E29" s="34" t="str">
        <x:v>AF04</x:v>
      </x:c>
      <x:c r="F29" s="34" t="str">
        <x:v>FG2</x:v>
      </x:c>
      <x:c r="G29" s="34" t="str">
        <x:v>FB1</x:v>
      </x:c>
      <x:c r="H29" s="34" t="str"/>
      <x:c r="I29" s="34" t="str"/>
      <x:c r="J29" s="34" t="str"/>
      <x:c r="K29" s="34" t="str"/>
      <x:c r="L29" s="34" t="str">
        <x:f>IF(AND(H29="",I29="",J29="",K29=""),"待运行",IF(AND(H29=D29,I29=E29,J29=F29,K29=G29),"通过","失败"))</x:f>
        <x:v>待运行</x:v>
      </x:c>
      <x:c r="M29" s="34" t="str"/>
    </x:row>
    <x:row r="30">
      <x:c r="A30" s="34" t="str">
        <x:v>T25</x:v>
      </x:c>
      <x:c r="B30" s="34" t="str">
        <x:v>单次桥接</x:v>
      </x:c>
      <x:c r="C30" s="34" t="str">
        <x:v>一次事件改变风险链</x:v>
      </x:c>
      <x:c r="D30" s="34" t="str">
        <x:v>limited</x:v>
      </x:c>
      <x:c r="E30" s="34" t="str">
        <x:v>AF04</x:v>
      </x:c>
      <x:c r="F30" s="34" t="str">
        <x:v>FG3</x:v>
      </x:c>
      <x:c r="G30" s="34" t="str">
        <x:v>FB3</x:v>
      </x:c>
      <x:c r="H30" s="34" t="str"/>
      <x:c r="I30" s="34" t="str"/>
      <x:c r="J30" s="34" t="str"/>
      <x:c r="K30" s="34" t="str"/>
      <x:c r="L30" s="34" t="str">
        <x:f>IF(AND(H30="",I30="",J30="",K30=""),"待运行",IF(AND(H30=D30,I30=E30,J30=F30,K30=G30),"通过","失败"))</x:f>
        <x:v>待运行</x:v>
      </x:c>
      <x:c r="M30" s="34" t="str"/>
    </x:row>
    <x:row r="31">
      <x:c r="A31" s="34" t="str">
        <x:v>T26</x:v>
      </x:c>
      <x:c r="B31" s="34" t="str">
        <x:v>重复桥接</x:v>
      </x:c>
      <x:c r="C31" s="34" t="str">
        <x:v>两个场景重复有效</x:v>
      </x:c>
      <x:c r="D31" s="34" t="str">
        <x:v>complete</x:v>
      </x:c>
      <x:c r="E31" s="34" t="str">
        <x:v>AF05</x:v>
      </x:c>
      <x:c r="F31" s="34" t="str">
        <x:v>FG3</x:v>
      </x:c>
      <x:c r="G31" s="34" t="str">
        <x:v>FB4</x:v>
      </x:c>
      <x:c r="H31" s="34" t="str"/>
      <x:c r="I31" s="34" t="str"/>
      <x:c r="J31" s="34" t="str"/>
      <x:c r="K31" s="34" t="str"/>
      <x:c r="L31" s="34" t="str">
        <x:f>IF(AND(H31="",I31="",J31="",K31=""),"待运行",IF(AND(H31=D31,I31=E31,J31=F31,K31=G31),"通过","失败"))</x:f>
        <x:v>待运行</x:v>
      </x:c>
      <x:c r="M31" s="34" t="str"/>
    </x:row>
    <x:row r="32">
      <x:c r="A32" s="34" t="str">
        <x:v>T27</x:v>
      </x:c>
      <x:c r="B32" s="34" t="str">
        <x:v>节奏强核心失败</x:v>
      </x:c>
      <x:c r="C32" s="34" t="str">
        <x:v>HS01／HV5但RG03 fail</x:v>
      </x:c>
      <x:c r="D32" s="34" t="str">
        <x:v>limited</x:v>
      </x:c>
      <x:c r="E32" s="34" t="str">
        <x:v>AF08</x:v>
      </x:c>
      <x:c r="F32" s="34" t="str">
        <x:v>FG2</x:v>
      </x:c>
      <x:c r="G32" s="34" t="str">
        <x:v>现实门槛优先</x:v>
      </x:c>
      <x:c r="H32" s="34" t="str"/>
      <x:c r="I32" s="34" t="str"/>
      <x:c r="J32" s="34" t="str"/>
      <x:c r="K32" s="34" t="str"/>
      <x:c r="L32" s="34" t="str">
        <x:f>IF(AND(H32="",I32="",J32="",K32=""),"待运行",IF(AND(H32=D32,I32=E32,J32=F32,K32=G32),"通过","失败"))</x:f>
        <x:v>待运行</x:v>
      </x:c>
      <x:c r="M32" s="34" t="str"/>
    </x:row>
    <x:row r="33">
      <x:c r="A33" s="34" t="str">
        <x:v>T28</x:v>
      </x:c>
      <x:c r="B33" s="34" t="str">
        <x:v>修复强节奏弱</x:v>
      </x:c>
      <x:c r="C33" s="34" t="str">
        <x:v>RT01／FV5但HS07</x:v>
      </x:c>
      <x:c r="D33" s="34" t="str">
        <x:v>complete</x:v>
      </x:c>
      <x:c r="E33" s="34" t="str">
        <x:v>AF06</x:v>
      </x:c>
      <x:c r="F33" s="34" t="str">
        <x:v>FG3</x:v>
      </x:c>
      <x:c r="G33" s="34" t="str">
        <x:v>残余节奏风险</x:v>
      </x:c>
      <x:c r="H33" s="34" t="str"/>
      <x:c r="I33" s="34" t="str"/>
      <x:c r="J33" s="34" t="str"/>
      <x:c r="K33" s="34" t="str"/>
      <x:c r="L33" s="34" t="str">
        <x:f>IF(AND(H33="",I33="",J33="",K33=""),"待运行",IF(AND(H33=D33,I33=E33,J33=F33,K33=G33),"通过","失败"))</x:f>
        <x:v>待运行</x:v>
      </x:c>
      <x:c r="M33" s="34" t="str"/>
    </x:row>
    <x:row r="34">
      <x:c r="A34" s="34" t="str">
        <x:v>T29</x:v>
      </x:c>
      <x:c r="B34" s="34" t="str">
        <x:v>历史当前冲突</x:v>
      </x:c>
      <x:c r="C34" s="34" t="str">
        <x:v>历史失败，当前对象相反</x:v>
      </x:c>
      <x:c r="D34" s="34" t="str">
        <x:v>complete</x:v>
      </x:c>
      <x:c r="E34" s="34" t="str">
        <x:v>AF05</x:v>
      </x:c>
      <x:c r="F34" s="34" t="str">
        <x:v>FG3</x:v>
      </x:c>
      <x:c r="G34" s="34" t="str">
        <x:v>当前按当前证据</x:v>
      </x:c>
      <x:c r="H34" s="34" t="str"/>
      <x:c r="I34" s="34" t="str"/>
      <x:c r="J34" s="34" t="str"/>
      <x:c r="K34" s="34" t="str"/>
      <x:c r="L34" s="34" t="str">
        <x:f>IF(AND(H34="",I34="",J34="",K34=""),"待运行",IF(AND(H34=D34,I34=E34,J34=F34,K34=G34),"通过","失败"))</x:f>
        <x:v>待运行</x:v>
      </x:c>
      <x:c r="M34" s="34" t="str"/>
    </x:row>
    <x:row r="35">
      <x:c r="A35" s="34" t="str">
        <x:v>T30</x:v>
      </x:c>
      <x:c r="B35" s="34" t="str">
        <x:v>单方资料</x:v>
      </x:c>
      <x:c r="C35" s="34" t="str">
        <x:v>只有用户概括</x:v>
      </x:c>
      <x:c r="D35" s="34" t="str">
        <x:v>limited</x:v>
      </x:c>
      <x:c r="E35" s="34" t="str">
        <x:v>AF02</x:v>
      </x:c>
      <x:c r="F35" s="34" t="str">
        <x:v>FG2</x:v>
      </x:c>
      <x:c r="G35" s="34" t="str">
        <x:v>置信度降级</x:v>
      </x:c>
      <x:c r="H35" s="34" t="str"/>
      <x:c r="I35" s="34" t="str"/>
      <x:c r="J35" s="34" t="str"/>
      <x:c r="K35" s="34" t="str"/>
      <x:c r="L35" s="34" t="str">
        <x:f>IF(AND(H35="",I35="",J35="",K35=""),"待运行",IF(AND(H35=D35,I35=E35,J35=F35,K35=G35),"通过","失败"))</x:f>
        <x:v>待运行</x:v>
      </x:c>
      <x:c r="M35" s="34" t="str"/>
    </x:row>
    <x:row r="36">
      <x:c r="A36" s="34" t="str">
        <x:v>T31</x:v>
      </x:c>
      <x:c r="B36" s="34" t="str">
        <x:v>M3依赖</x:v>
      </x:c>
      <x:c r="C36" s="34" t="str">
        <x:v>依赖未完成M3模块</x:v>
      </x:c>
      <x:c r="D36" s="34" t="str">
        <x:v>limited</x:v>
      </x:c>
      <x:c r="E36" s="34" t="str">
        <x:v>AF03</x:v>
      </x:c>
      <x:c r="F36" s="34" t="str">
        <x:v>FG2</x:v>
      </x:c>
      <x:c r="G36" s="34" t="str">
        <x:v>provisional降权</x:v>
      </x:c>
      <x:c r="H36" s="34" t="str"/>
      <x:c r="I36" s="34" t="str"/>
      <x:c r="J36" s="34" t="str"/>
      <x:c r="K36" s="34" t="str"/>
      <x:c r="L36" s="34" t="str">
        <x:f>IF(AND(H36="",I36="",J36="",K36=""),"待运行",IF(AND(H36=D36,I36=E36,J36=F36,K36=G36),"通过","失败"))</x:f>
        <x:v>待运行</x:v>
      </x:c>
      <x:c r="M36" s="34" t="str"/>
    </x:row>
    <x:row r="37">
      <x:c r="A37" s="34" t="str">
        <x:v>T32</x:v>
      </x:c>
      <x:c r="B37" s="34" t="str">
        <x:v>安全历史短期改善</x:v>
      </x:c>
      <x:c r="C37" s="34" t="str">
        <x:v>严重安全历史＋短期收敛</x:v>
      </x:c>
      <x:c r="D37" s="34" t="str">
        <x:v>stop</x:v>
      </x:c>
      <x:c r="E37" s="34" t="str">
        <x:v>AF09</x:v>
      </x:c>
      <x:c r="F37" s="34" t="str">
        <x:v>FG0</x:v>
      </x:c>
      <x:c r="G37" s="34" t="str">
        <x:v>历史安全不清零</x:v>
      </x:c>
      <x:c r="H37" s="34" t="str"/>
      <x:c r="I37" s="34" t="str"/>
      <x:c r="J37" s="34" t="str"/>
      <x:c r="K37" s="34" t="str"/>
      <x:c r="L37" s="34" t="str">
        <x:f>IF(AND(H37="",I37="",J37="",K37=""),"待运行",IF(AND(H37=D37,I37=E37,J37=F37,K37=G37),"通过","失败"))</x:f>
        <x:v>待运行</x:v>
      </x:c>
      <x:c r="M37" s="34" t="str"/>
    </x:row>
  </x:sheetData>
  <x:mergeCells>
    <x:mergeCell ref="A1:M2"/>
    <x:mergeCell ref="A3:M3"/>
  </x:mergeCells>
  <x:conditionalFormatting sqref="L6:L37">
    <x:cfRule type="expression" dxfId="0" priority="1">
      <x:formula>$L6="通过"</x:formula>
    </x:cfRule>
    <x:cfRule type="expression" dxfId="1" priority="2">
      <x:formula>$L6="失败"</x:formula>
    </x:cfRule>
  </x:conditionalFormatting>
  <x:dataValidations count="3">
    <x:dataValidation type="list" sqref="H6:H37">
      <x:formula1>"complete,limited,stop"</x:formula1>
    </x:dataValidation>
    <x:dataValidation type="list" sqref="I6:I37">
      <x:formula1>"AF01,AF02,AF03,AF04,AF05,AF06,AF07,AF08,AF09"</x:formula1>
    </x:dataValidation>
    <x:dataValidation type="list" sqref="J6:J37">
      <x:formula1>"FG0,FG1,FG2,FG3,FG4"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9c66cfa8fa40f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22" hidden="0" customWidth="1"/>
    <x:col min="5" max="5" width="16" hidden="0" customWidth="1"/>
    <x:col min="6" max="6" width="20" hidden="0" customWidth="1"/>
    <x:col min="7" max="7" width="52" hidden="0" customWidth="1"/>
    <x:col min="8" max="8" width="52" hidden="0" customWidth="1"/>
    <x:col min="9" max="9" width="48" hidden="0" customWidth="1"/>
    <x:col min="10" max="10" width="32" hidden="0" customWidth="1"/>
    <x:col min="11" max="11" width="32" hidden="0" customWidth="1"/>
    <x:col min="12" max="12" width="32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40" hidden="0" customWidth="1"/>
  </x:cols>
  <x:sheetData>
    <x:row r="1">
      <x:c r="A1" s="45" t="str">
        <x:v>规则、阈值、语言与Schema变更日志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50" t="str">
        <x:v>所有修改必须说明旧值、新值、支持案例、反例和风险。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</x:row>
    <x:row r="5">
      <x:c r="A5" s="55" t="str">
        <x:v>change_id</x:v>
      </x:c>
      <x:c r="B5" s="55" t="str">
        <x:v>日期</x:v>
      </x:c>
      <x:c r="C5" s="55" t="str">
        <x:v>批次</x:v>
      </x:c>
      <x:c r="D5" s="55" t="str">
        <x:v>对象ID</x:v>
      </x:c>
      <x:c r="E5" s="55" t="str">
        <x:v>模块</x:v>
      </x:c>
      <x:c r="F5" s="55" t="str">
        <x:v>变更类型</x:v>
      </x:c>
      <x:c r="G5" s="55" t="str">
        <x:v>旧内容</x:v>
      </x:c>
      <x:c r="H5" s="55" t="str">
        <x:v>新内容</x:v>
      </x:c>
      <x:c r="I5" s="55" t="str">
        <x:v>原因</x:v>
      </x:c>
      <x:c r="J5" s="55" t="str">
        <x:v>支持案例</x:v>
      </x:c>
      <x:c r="K5" s="55" t="str">
        <x:v>反例案例</x:v>
      </x:c>
      <x:c r="L5" s="55" t="str">
        <x:v>风险</x:v>
      </x:c>
      <x:c r="M5" s="55" t="str">
        <x:v>提出人</x:v>
      </x:c>
      <x:c r="N5" s="55" t="str">
        <x:v>批准人</x:v>
      </x:c>
      <x:c r="O5" s="55" t="str">
        <x:v>状态</x:v>
      </x:c>
      <x:c r="P5" s="55" t="str">
        <x:v>目标版本</x:v>
      </x:c>
      <x:c r="Q5" s="55" t="str">
        <x:v>备注</x:v>
      </x:c>
    </x:row>
    <x:row r="6">
      <x:c r="A6" s="34" t="str">
        <x:v>M5-CHG-001</x:v>
      </x:c>
      <x:c r="B6" s="34" t="str"/>
      <x:c r="C6" s="34" t="str"/>
      <x:c r="D6" s="34" t="str"/>
      <x:c r="E6" s="34" t="str"/>
      <x:c r="F6" s="34" t="str"/>
      <x:c r="G6" s="34" t="str"/>
      <x:c r="H6" s="34" t="str"/>
      <x:c r="I6" s="34" t="str"/>
      <x:c r="J6" s="34" t="str"/>
      <x:c r="K6" s="34" t="str"/>
      <x:c r="L6" s="34" t="str"/>
      <x:c r="M6" s="34" t="str"/>
      <x:c r="N6" s="34" t="str"/>
      <x:c r="O6" s="34" t="str"/>
      <x:c r="P6" s="34" t="str"/>
      <x:c r="Q6" s="34" t="str"/>
    </x:row>
    <x:row r="7">
      <x:c r="A7" s="34" t="str">
        <x:v>M5-CHG-002</x:v>
      </x:c>
      <x:c r="B7" s="34" t="str"/>
      <x:c r="C7" s="34" t="str"/>
      <x:c r="D7" s="34" t="str"/>
      <x:c r="E7" s="34" t="str"/>
      <x:c r="F7" s="34" t="str"/>
      <x:c r="G7" s="34" t="str"/>
      <x:c r="H7" s="34" t="str"/>
      <x:c r="I7" s="34" t="str"/>
      <x:c r="J7" s="34" t="str"/>
      <x:c r="K7" s="34" t="str"/>
      <x:c r="L7" s="34" t="str"/>
      <x:c r="M7" s="34" t="str"/>
      <x:c r="N7" s="34" t="str"/>
      <x:c r="O7" s="34" t="str"/>
      <x:c r="P7" s="34" t="str"/>
      <x:c r="Q7" s="34" t="str"/>
    </x:row>
    <x:row r="8">
      <x:c r="A8" s="34" t="str">
        <x:v>M5-CHG-003</x:v>
      </x:c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4" t="str"/>
      <x:c r="L8" s="34" t="str"/>
      <x:c r="M8" s="34" t="str"/>
      <x:c r="N8" s="34" t="str"/>
      <x:c r="O8" s="34" t="str"/>
      <x:c r="P8" s="34" t="str"/>
      <x:c r="Q8" s="34" t="str"/>
    </x:row>
    <x:row r="9">
      <x:c r="A9" s="34" t="str">
        <x:v>M5-CHG-004</x:v>
      </x:c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4" t="str"/>
      <x:c r="L9" s="34" t="str"/>
      <x:c r="M9" s="34" t="str"/>
      <x:c r="N9" s="34" t="str"/>
      <x:c r="O9" s="34" t="str"/>
      <x:c r="P9" s="34" t="str"/>
      <x:c r="Q9" s="34" t="str"/>
    </x:row>
    <x:row r="10">
      <x:c r="A10" s="34" t="str">
        <x:v>M5-CHG-005</x:v>
      </x:c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4" t="str"/>
      <x:c r="L10" s="34" t="str"/>
      <x:c r="M10" s="34" t="str"/>
      <x:c r="N10" s="34" t="str"/>
      <x:c r="O10" s="34" t="str"/>
      <x:c r="P10" s="34" t="str"/>
      <x:c r="Q10" s="34" t="str"/>
    </x:row>
    <x:row r="11">
      <x:c r="A11" s="34" t="str">
        <x:v>M5-CHG-006</x:v>
      </x:c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4" t="str"/>
      <x:c r="L11" s="34" t="str"/>
      <x:c r="M11" s="34" t="str"/>
      <x:c r="N11" s="34" t="str"/>
      <x:c r="O11" s="34" t="str"/>
      <x:c r="P11" s="34" t="str"/>
      <x:c r="Q11" s="34" t="str"/>
    </x:row>
    <x:row r="12">
      <x:c r="A12" s="34" t="str">
        <x:v>M5-CHG-007</x:v>
      </x:c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4" t="str"/>
      <x:c r="L12" s="34" t="str"/>
      <x:c r="M12" s="34" t="str"/>
      <x:c r="N12" s="34" t="str"/>
      <x:c r="O12" s="34" t="str"/>
      <x:c r="P12" s="34" t="str"/>
      <x:c r="Q12" s="34" t="str"/>
    </x:row>
    <x:row r="13">
      <x:c r="A13" s="34" t="str">
        <x:v>M5-CHG-008</x:v>
      </x:c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4" t="str"/>
      <x:c r="L13" s="34" t="str"/>
      <x:c r="M13" s="34" t="str"/>
      <x:c r="N13" s="34" t="str"/>
      <x:c r="O13" s="34" t="str"/>
      <x:c r="P13" s="34" t="str"/>
      <x:c r="Q13" s="34" t="str"/>
    </x:row>
    <x:row r="14">
      <x:c r="A14" s="34" t="str">
        <x:v>M5-CHG-009</x:v>
      </x:c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4" t="str"/>
      <x:c r="L14" s="34" t="str"/>
      <x:c r="M14" s="34" t="str"/>
      <x:c r="N14" s="34" t="str"/>
      <x:c r="O14" s="34" t="str"/>
      <x:c r="P14" s="34" t="str"/>
      <x:c r="Q14" s="34" t="str"/>
    </x:row>
    <x:row r="15">
      <x:c r="A15" s="34" t="str">
        <x:v>M5-CHG-010</x:v>
      </x:c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4" t="str"/>
      <x:c r="L15" s="34" t="str"/>
      <x:c r="M15" s="34" t="str"/>
      <x:c r="N15" s="34" t="str"/>
      <x:c r="O15" s="34" t="str"/>
      <x:c r="P15" s="34" t="str"/>
      <x:c r="Q15" s="34" t="str"/>
    </x:row>
    <x:row r="16">
      <x:c r="A16" s="34" t="str">
        <x:v>M5-CHG-011</x:v>
      </x:c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4" t="str"/>
      <x:c r="L16" s="34" t="str"/>
      <x:c r="M16" s="34" t="str"/>
      <x:c r="N16" s="34" t="str"/>
      <x:c r="O16" s="34" t="str"/>
      <x:c r="P16" s="34" t="str"/>
      <x:c r="Q16" s="34" t="str"/>
    </x:row>
    <x:row r="17">
      <x:c r="A17" s="34" t="str">
        <x:v>M5-CHG-012</x:v>
      </x:c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4" t="str"/>
      <x:c r="L17" s="34" t="str"/>
      <x:c r="M17" s="34" t="str"/>
      <x:c r="N17" s="34" t="str"/>
      <x:c r="O17" s="34" t="str"/>
      <x:c r="P17" s="34" t="str"/>
      <x:c r="Q17" s="34" t="str"/>
    </x:row>
    <x:row r="18">
      <x:c r="A18" s="34" t="str">
        <x:v>M5-CHG-013</x:v>
      </x:c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4" t="str"/>
      <x:c r="L18" s="34" t="str"/>
      <x:c r="M18" s="34" t="str"/>
      <x:c r="N18" s="34" t="str"/>
      <x:c r="O18" s="34" t="str"/>
      <x:c r="P18" s="34" t="str"/>
      <x:c r="Q18" s="34" t="str"/>
    </x:row>
    <x:row r="19">
      <x:c r="A19" s="34" t="str">
        <x:v>M5-CHG-014</x:v>
      </x:c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4" t="str"/>
      <x:c r="L19" s="34" t="str"/>
      <x:c r="M19" s="34" t="str"/>
      <x:c r="N19" s="34" t="str"/>
      <x:c r="O19" s="34" t="str"/>
      <x:c r="P19" s="34" t="str"/>
      <x:c r="Q19" s="34" t="str"/>
    </x:row>
    <x:row r="20">
      <x:c r="A20" s="34" t="str">
        <x:v>M5-CHG-015</x:v>
      </x:c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4" t="str"/>
      <x:c r="L20" s="34" t="str"/>
      <x:c r="M20" s="34" t="str"/>
      <x:c r="N20" s="34" t="str"/>
      <x:c r="O20" s="34" t="str"/>
      <x:c r="P20" s="34" t="str"/>
      <x:c r="Q20" s="34" t="str"/>
    </x:row>
    <x:row r="21">
      <x:c r="A21" s="34" t="str">
        <x:v>M5-CHG-016</x:v>
      </x:c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4" t="str"/>
      <x:c r="L21" s="34" t="str"/>
      <x:c r="M21" s="34" t="str"/>
      <x:c r="N21" s="34" t="str"/>
      <x:c r="O21" s="34" t="str"/>
      <x:c r="P21" s="34" t="str"/>
      <x:c r="Q21" s="34" t="str"/>
    </x:row>
    <x:row r="22">
      <x:c r="A22" s="34" t="str">
        <x:v>M5-CHG-017</x:v>
      </x:c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4" t="str"/>
      <x:c r="L22" s="34" t="str"/>
      <x:c r="M22" s="34" t="str"/>
      <x:c r="N22" s="34" t="str"/>
      <x:c r="O22" s="34" t="str"/>
      <x:c r="P22" s="34" t="str"/>
      <x:c r="Q22" s="34" t="str"/>
    </x:row>
    <x:row r="23">
      <x:c r="A23" s="34" t="str">
        <x:v>M5-CHG-018</x:v>
      </x:c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4" t="str"/>
      <x:c r="L23" s="34" t="str"/>
      <x:c r="M23" s="34" t="str"/>
      <x:c r="N23" s="34" t="str"/>
      <x:c r="O23" s="34" t="str"/>
      <x:c r="P23" s="34" t="str"/>
      <x:c r="Q23" s="34" t="str"/>
    </x:row>
    <x:row r="24">
      <x:c r="A24" s="34" t="str">
        <x:v>M5-CHG-019</x:v>
      </x:c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4" t="str"/>
      <x:c r="L24" s="34" t="str"/>
      <x:c r="M24" s="34" t="str"/>
      <x:c r="N24" s="34" t="str"/>
      <x:c r="O24" s="34" t="str"/>
      <x:c r="P24" s="34" t="str"/>
      <x:c r="Q24" s="34" t="str"/>
    </x:row>
    <x:row r="25">
      <x:c r="A25" s="34" t="str">
        <x:v>M5-CHG-020</x:v>
      </x:c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4" t="str"/>
      <x:c r="L25" s="34" t="str"/>
      <x:c r="M25" s="34" t="str"/>
      <x:c r="N25" s="34" t="str"/>
      <x:c r="O25" s="34" t="str"/>
      <x:c r="P25" s="34" t="str"/>
      <x:c r="Q25" s="34" t="str"/>
    </x:row>
    <x:row r="26">
      <x:c r="A26" s="34" t="str">
        <x:v>M5-CHG-021</x:v>
      </x:c>
      <x:c r="B26" s="34" t="str"/>
      <x:c r="C26" s="34" t="str"/>
      <x:c r="D26" s="34" t="str"/>
      <x:c r="E26" s="34" t="str"/>
      <x:c r="F26" s="34" t="str"/>
      <x:c r="G26" s="34" t="str"/>
      <x:c r="H26" s="34" t="str"/>
      <x:c r="I26" s="34" t="str"/>
      <x:c r="J26" s="34" t="str"/>
      <x:c r="K26" s="34" t="str"/>
      <x:c r="L26" s="34" t="str"/>
      <x:c r="M26" s="34" t="str"/>
      <x:c r="N26" s="34" t="str"/>
      <x:c r="O26" s="34" t="str"/>
      <x:c r="P26" s="34" t="str"/>
      <x:c r="Q26" s="34" t="str"/>
    </x:row>
    <x:row r="27">
      <x:c r="A27" s="34" t="str">
        <x:v>M5-CHG-022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34" t="str"/>
      <x:c r="J27" s="34" t="str"/>
      <x:c r="K27" s="34" t="str"/>
      <x:c r="L27" s="34" t="str"/>
      <x:c r="M27" s="34" t="str"/>
      <x:c r="N27" s="34" t="str"/>
      <x:c r="O27" s="34" t="str"/>
      <x:c r="P27" s="34" t="str"/>
      <x:c r="Q27" s="34" t="str"/>
    </x:row>
    <x:row r="28">
      <x:c r="A28" s="34" t="str">
        <x:v>M5-CHG-023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34" t="str"/>
      <x:c r="J28" s="34" t="str"/>
      <x:c r="K28" s="34" t="str"/>
      <x:c r="L28" s="34" t="str"/>
      <x:c r="M28" s="34" t="str"/>
      <x:c r="N28" s="34" t="str"/>
      <x:c r="O28" s="34" t="str"/>
      <x:c r="P28" s="34" t="str"/>
      <x:c r="Q28" s="34" t="str"/>
    </x:row>
    <x:row r="29">
      <x:c r="A29" s="34" t="str">
        <x:v>M5-CHG-024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4" t="str"/>
      <x:c r="J29" s="34" t="str"/>
      <x:c r="K29" s="34" t="str"/>
      <x:c r="L29" s="34" t="str"/>
      <x:c r="M29" s="34" t="str"/>
      <x:c r="N29" s="34" t="str"/>
      <x:c r="O29" s="34" t="str"/>
      <x:c r="P29" s="34" t="str"/>
      <x:c r="Q29" s="34" t="str"/>
    </x:row>
    <x:row r="30">
      <x:c r="A30" s="34" t="str">
        <x:v>M5-CHG-025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/>
      <x:c r="L30" s="34" t="str"/>
      <x:c r="M30" s="34" t="str"/>
      <x:c r="N30" s="34" t="str"/>
      <x:c r="O30" s="34" t="str"/>
      <x:c r="P30" s="34" t="str"/>
      <x:c r="Q30" s="34" t="str"/>
    </x:row>
    <x:row r="31">
      <x:c r="A31" s="34" t="str">
        <x:v>M5-CHG-026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4" t="str"/>
      <x:c r="J31" s="34" t="str"/>
      <x:c r="K31" s="34" t="str"/>
      <x:c r="L31" s="34" t="str"/>
      <x:c r="M31" s="34" t="str"/>
      <x:c r="N31" s="34" t="str"/>
      <x:c r="O31" s="34" t="str"/>
      <x:c r="P31" s="34" t="str"/>
      <x:c r="Q31" s="34" t="str"/>
    </x:row>
    <x:row r="32">
      <x:c r="A32" s="34" t="str">
        <x:v>M5-CHG-027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4" t="str"/>
      <x:c r="J32" s="34" t="str"/>
      <x:c r="K32" s="34" t="str"/>
      <x:c r="L32" s="34" t="str"/>
      <x:c r="M32" s="34" t="str"/>
      <x:c r="N32" s="34" t="str"/>
      <x:c r="O32" s="34" t="str"/>
      <x:c r="P32" s="34" t="str"/>
      <x:c r="Q32" s="34" t="str"/>
    </x:row>
    <x:row r="33">
      <x:c r="A33" s="34" t="str">
        <x:v>M5-CHG-028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/>
      <x:c r="K33" s="34" t="str"/>
      <x:c r="L33" s="34" t="str"/>
      <x:c r="M33" s="34" t="str"/>
      <x:c r="N33" s="34" t="str"/>
      <x:c r="O33" s="34" t="str"/>
      <x:c r="P33" s="34" t="str"/>
      <x:c r="Q33" s="34" t="str"/>
    </x:row>
    <x:row r="34">
      <x:c r="A34" s="34" t="str">
        <x:v>M5-CHG-029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/>
      <x:c r="L34" s="34" t="str"/>
      <x:c r="M34" s="34" t="str"/>
      <x:c r="N34" s="34" t="str"/>
      <x:c r="O34" s="34" t="str"/>
      <x:c r="P34" s="34" t="str"/>
      <x:c r="Q34" s="34" t="str"/>
    </x:row>
    <x:row r="35">
      <x:c r="A35" s="34" t="str">
        <x:v>M5-CHG-030</x:v>
      </x:c>
      <x:c r="B35" s="34" t="str"/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/>
      <x:c r="L35" s="34" t="str"/>
      <x:c r="M35" s="34" t="str"/>
      <x:c r="N35" s="34" t="str"/>
      <x:c r="O35" s="34" t="str"/>
      <x:c r="P35" s="34" t="str"/>
      <x:c r="Q35" s="34" t="str"/>
    </x:row>
    <x:row r="36">
      <x:c r="A36" s="34" t="str">
        <x:v>M5-CHG-031</x:v>
      </x:c>
      <x:c r="B36" s="34" t="str"/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/>
      <x:c r="L36" s="34" t="str"/>
      <x:c r="M36" s="34" t="str"/>
      <x:c r="N36" s="34" t="str"/>
      <x:c r="O36" s="34" t="str"/>
      <x:c r="P36" s="34" t="str"/>
      <x:c r="Q36" s="34" t="str"/>
    </x:row>
    <x:row r="37">
      <x:c r="A37" s="34" t="str">
        <x:v>M5-CHG-032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4" t="str"/>
      <x:c r="J37" s="34" t="str"/>
      <x:c r="K37" s="34" t="str"/>
      <x:c r="L37" s="34" t="str"/>
      <x:c r="M37" s="34" t="str"/>
      <x:c r="N37" s="34" t="str"/>
      <x:c r="O37" s="34" t="str"/>
      <x:c r="P37" s="34" t="str"/>
      <x:c r="Q37" s="34" t="str"/>
    </x:row>
    <x:row r="38">
      <x:c r="A38" s="34" t="str">
        <x:v>M5-CHG-033</x:v>
      </x:c>
      <x:c r="B38" s="34" t="str"/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/>
      <x:c r="L38" s="34" t="str"/>
      <x:c r="M38" s="34" t="str"/>
      <x:c r="N38" s="34" t="str"/>
      <x:c r="O38" s="34" t="str"/>
      <x:c r="P38" s="34" t="str"/>
      <x:c r="Q38" s="34" t="str"/>
    </x:row>
    <x:row r="39">
      <x:c r="A39" s="34" t="str">
        <x:v>M5-CHG-034</x:v>
      </x:c>
      <x:c r="B39" s="34" t="str"/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/>
      <x:c r="K39" s="34" t="str"/>
      <x:c r="L39" s="34" t="str"/>
      <x:c r="M39" s="34" t="str"/>
      <x:c r="N39" s="34" t="str"/>
      <x:c r="O39" s="34" t="str"/>
      <x:c r="P39" s="34" t="str"/>
      <x:c r="Q39" s="34" t="str"/>
    </x:row>
    <x:row r="40">
      <x:c r="A40" s="34" t="str">
        <x:v>M5-CHG-035</x:v>
      </x:c>
      <x:c r="B40" s="34" t="str"/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/>
      <x:c r="L40" s="34" t="str"/>
      <x:c r="M40" s="34" t="str"/>
      <x:c r="N40" s="34" t="str"/>
      <x:c r="O40" s="34" t="str"/>
      <x:c r="P40" s="34" t="str"/>
      <x:c r="Q40" s="34" t="str"/>
    </x:row>
    <x:row r="41">
      <x:c r="A41" s="34" t="str">
        <x:v>M5-CHG-036</x:v>
      </x:c>
      <x:c r="B41" s="34" t="str"/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/>
      <x:c r="K41" s="34" t="str"/>
      <x:c r="L41" s="34" t="str"/>
      <x:c r="M41" s="34" t="str"/>
      <x:c r="N41" s="34" t="str"/>
      <x:c r="O41" s="34" t="str"/>
      <x:c r="P41" s="34" t="str"/>
      <x:c r="Q41" s="34" t="str"/>
    </x:row>
    <x:row r="42">
      <x:c r="A42" s="34" t="str">
        <x:v>M5-CHG-037</x:v>
      </x:c>
      <x:c r="B42" s="34" t="str"/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/>
      <x:c r="L42" s="34" t="str"/>
      <x:c r="M42" s="34" t="str"/>
      <x:c r="N42" s="34" t="str"/>
      <x:c r="O42" s="34" t="str"/>
      <x:c r="P42" s="34" t="str"/>
      <x:c r="Q42" s="34" t="str"/>
    </x:row>
    <x:row r="43">
      <x:c r="A43" s="34" t="str">
        <x:v>M5-CHG-038</x:v>
      </x:c>
      <x:c r="B43" s="34" t="str"/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/>
      <x:c r="K43" s="34" t="str"/>
      <x:c r="L43" s="34" t="str"/>
      <x:c r="M43" s="34" t="str"/>
      <x:c r="N43" s="34" t="str"/>
      <x:c r="O43" s="34" t="str"/>
      <x:c r="P43" s="34" t="str"/>
      <x:c r="Q43" s="34" t="str"/>
    </x:row>
    <x:row r="44">
      <x:c r="A44" s="34" t="str">
        <x:v>M5-CHG-039</x:v>
      </x:c>
      <x:c r="B44" s="34" t="str"/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/>
      <x:c r="L44" s="34" t="str"/>
      <x:c r="M44" s="34" t="str"/>
      <x:c r="N44" s="34" t="str"/>
      <x:c r="O44" s="34" t="str"/>
      <x:c r="P44" s="34" t="str"/>
      <x:c r="Q44" s="34" t="str"/>
    </x:row>
    <x:row r="45">
      <x:c r="A45" s="34" t="str">
        <x:v>M5-CHG-040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/>
      <x:c r="L45" s="34" t="str"/>
      <x:c r="M45" s="34" t="str"/>
      <x:c r="N45" s="34" t="str"/>
      <x:c r="O45" s="34" t="str"/>
      <x:c r="P45" s="34" t="str"/>
      <x:c r="Q45" s="34" t="str"/>
    </x:row>
    <x:row r="46">
      <x:c r="A46" s="34" t="str">
        <x:v>M5-CHG-041</x:v>
      </x:c>
      <x:c r="B46" s="34" t="str"/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/>
      <x:c r="K46" s="34" t="str"/>
      <x:c r="L46" s="34" t="str"/>
      <x:c r="M46" s="34" t="str"/>
      <x:c r="N46" s="34" t="str"/>
      <x:c r="O46" s="34" t="str"/>
      <x:c r="P46" s="34" t="str"/>
      <x:c r="Q46" s="34" t="str"/>
    </x:row>
    <x:row r="47">
      <x:c r="A47" s="34" t="str">
        <x:v>M5-CHG-042</x:v>
      </x:c>
      <x:c r="B47" s="34" t="str"/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/>
      <x:c r="L47" s="34" t="str"/>
      <x:c r="M47" s="34" t="str"/>
      <x:c r="N47" s="34" t="str"/>
      <x:c r="O47" s="34" t="str"/>
      <x:c r="P47" s="34" t="str"/>
      <x:c r="Q47" s="34" t="str"/>
    </x:row>
    <x:row r="48">
      <x:c r="A48" s="34" t="str">
        <x:v>M5-CHG-043</x:v>
      </x:c>
      <x:c r="B48" s="34" t="str"/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/>
      <x:c r="K48" s="34" t="str"/>
      <x:c r="L48" s="34" t="str"/>
      <x:c r="M48" s="34" t="str"/>
      <x:c r="N48" s="34" t="str"/>
      <x:c r="O48" s="34" t="str"/>
      <x:c r="P48" s="34" t="str"/>
      <x:c r="Q48" s="34" t="str"/>
    </x:row>
    <x:row r="49">
      <x:c r="A49" s="34" t="str">
        <x:v>M5-CHG-044</x:v>
      </x:c>
      <x:c r="B49" s="34" t="str"/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/>
      <x:c r="K49" s="34" t="str"/>
      <x:c r="L49" s="34" t="str"/>
      <x:c r="M49" s="34" t="str"/>
      <x:c r="N49" s="34" t="str"/>
      <x:c r="O49" s="34" t="str"/>
      <x:c r="P49" s="34" t="str"/>
      <x:c r="Q49" s="34" t="str"/>
    </x:row>
    <x:row r="50">
      <x:c r="A50" s="34" t="str">
        <x:v>M5-CHG-045</x:v>
      </x:c>
      <x:c r="B50" s="34" t="str"/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/>
      <x:c r="K50" s="34" t="str"/>
      <x:c r="L50" s="34" t="str"/>
      <x:c r="M50" s="34" t="str"/>
      <x:c r="N50" s="34" t="str"/>
      <x:c r="O50" s="34" t="str"/>
      <x:c r="P50" s="34" t="str"/>
      <x:c r="Q50" s="34" t="str"/>
    </x:row>
    <x:row r="51">
      <x:c r="A51" s="34" t="str">
        <x:v>M5-CHG-046</x:v>
      </x:c>
      <x:c r="B51" s="34" t="str"/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/>
      <x:c r="K51" s="34" t="str"/>
      <x:c r="L51" s="34" t="str"/>
      <x:c r="M51" s="34" t="str"/>
      <x:c r="N51" s="34" t="str"/>
      <x:c r="O51" s="34" t="str"/>
      <x:c r="P51" s="34" t="str"/>
      <x:c r="Q51" s="34" t="str"/>
    </x:row>
    <x:row r="52">
      <x:c r="A52" s="34" t="str">
        <x:v>M5-CHG-047</x:v>
      </x:c>
      <x:c r="B52" s="34" t="str"/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/>
      <x:c r="K52" s="34" t="str"/>
      <x:c r="L52" s="34" t="str"/>
      <x:c r="M52" s="34" t="str"/>
      <x:c r="N52" s="34" t="str"/>
      <x:c r="O52" s="34" t="str"/>
      <x:c r="P52" s="34" t="str"/>
      <x:c r="Q52" s="34" t="str"/>
    </x:row>
    <x:row r="53">
      <x:c r="A53" s="34" t="str">
        <x:v>M5-CHG-048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/>
      <x:c r="L53" s="34" t="str"/>
      <x:c r="M53" s="34" t="str"/>
      <x:c r="N53" s="34" t="str"/>
      <x:c r="O53" s="34" t="str"/>
      <x:c r="P53" s="34" t="str"/>
      <x:c r="Q53" s="34" t="str"/>
    </x:row>
    <x:row r="54">
      <x:c r="A54" s="34" t="str">
        <x:v>M5-CHG-049</x:v>
      </x:c>
      <x:c r="B54" s="34" t="str"/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/>
      <x:c r="K54" s="34" t="str"/>
      <x:c r="L54" s="34" t="str"/>
      <x:c r="M54" s="34" t="str"/>
      <x:c r="N54" s="34" t="str"/>
      <x:c r="O54" s="34" t="str"/>
      <x:c r="P54" s="34" t="str"/>
      <x:c r="Q54" s="34" t="str"/>
    </x:row>
    <x:row r="55">
      <x:c r="A55" s="34" t="str">
        <x:v>M5-CHG-050</x:v>
      </x:c>
      <x:c r="B55" s="34" t="str"/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/>
      <x:c r="K55" s="34" t="str"/>
      <x:c r="L55" s="34" t="str"/>
      <x:c r="M55" s="34" t="str"/>
      <x:c r="N55" s="34" t="str"/>
      <x:c r="O55" s="34" t="str"/>
      <x:c r="P55" s="34" t="str"/>
      <x:c r="Q55" s="34" t="str"/>
    </x:row>
    <x:row r="56">
      <x:c r="A56" s="34" t="str">
        <x:v>M5-CHG-051</x:v>
      </x:c>
      <x:c r="B56" s="34" t="str"/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/>
      <x:c r="K56" s="34" t="str"/>
      <x:c r="L56" s="34" t="str"/>
      <x:c r="M56" s="34" t="str"/>
      <x:c r="N56" s="34" t="str"/>
      <x:c r="O56" s="34" t="str"/>
      <x:c r="P56" s="34" t="str"/>
      <x:c r="Q56" s="34" t="str"/>
    </x:row>
    <x:row r="57">
      <x:c r="A57" s="34" t="str">
        <x:v>M5-CHG-052</x:v>
      </x:c>
      <x:c r="B57" s="34" t="str"/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/>
      <x:c r="K57" s="34" t="str"/>
      <x:c r="L57" s="34" t="str"/>
      <x:c r="M57" s="34" t="str"/>
      <x:c r="N57" s="34" t="str"/>
      <x:c r="O57" s="34" t="str"/>
      <x:c r="P57" s="34" t="str"/>
      <x:c r="Q57" s="34" t="str"/>
    </x:row>
    <x:row r="58">
      <x:c r="A58" s="34" t="str">
        <x:v>M5-CHG-053</x:v>
      </x:c>
      <x:c r="B58" s="34" t="str"/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/>
      <x:c r="K58" s="34" t="str"/>
      <x:c r="L58" s="34" t="str"/>
      <x:c r="M58" s="34" t="str"/>
      <x:c r="N58" s="34" t="str"/>
      <x:c r="O58" s="34" t="str"/>
      <x:c r="P58" s="34" t="str"/>
      <x:c r="Q58" s="34" t="str"/>
    </x:row>
    <x:row r="59">
      <x:c r="A59" s="34" t="str">
        <x:v>M5-CHG-054</x:v>
      </x:c>
      <x:c r="B59" s="34" t="str"/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/>
      <x:c r="K59" s="34" t="str"/>
      <x:c r="L59" s="34" t="str"/>
      <x:c r="M59" s="34" t="str"/>
      <x:c r="N59" s="34" t="str"/>
      <x:c r="O59" s="34" t="str"/>
      <x:c r="P59" s="34" t="str"/>
      <x:c r="Q59" s="34" t="str"/>
    </x:row>
    <x:row r="60">
      <x:c r="A60" s="34" t="str">
        <x:v>M5-CHG-055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/>
      <x:c r="L60" s="34" t="str"/>
      <x:c r="M60" s="34" t="str"/>
      <x:c r="N60" s="34" t="str"/>
      <x:c r="O60" s="34" t="str"/>
      <x:c r="P60" s="34" t="str"/>
      <x:c r="Q60" s="34" t="str"/>
    </x:row>
    <x:row r="61">
      <x:c r="A61" s="34" t="str">
        <x:v>M5-CHG-056</x:v>
      </x:c>
      <x:c r="B61" s="34" t="str"/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/>
      <x:c r="K61" s="34" t="str"/>
      <x:c r="L61" s="34" t="str"/>
      <x:c r="M61" s="34" t="str"/>
      <x:c r="N61" s="34" t="str"/>
      <x:c r="O61" s="34" t="str"/>
      <x:c r="P61" s="34" t="str"/>
      <x:c r="Q61" s="34" t="str"/>
    </x:row>
    <x:row r="62">
      <x:c r="A62" s="34" t="str">
        <x:v>M5-CHG-057</x:v>
      </x:c>
      <x:c r="B62" s="34" t="str"/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/>
      <x:c r="L62" s="34" t="str"/>
      <x:c r="M62" s="34" t="str"/>
      <x:c r="N62" s="34" t="str"/>
      <x:c r="O62" s="34" t="str"/>
      <x:c r="P62" s="34" t="str"/>
      <x:c r="Q62" s="34" t="str"/>
    </x:row>
    <x:row r="63">
      <x:c r="A63" s="34" t="str">
        <x:v>M5-CHG-058</x:v>
      </x:c>
      <x:c r="B63" s="34" t="str"/>
      <x:c r="C63" s="34" t="str"/>
      <x:c r="D63" s="34" t="str"/>
      <x:c r="E63" s="34" t="str"/>
      <x:c r="F63" s="34" t="str"/>
      <x:c r="G63" s="34" t="str"/>
      <x:c r="H63" s="34" t="str"/>
      <x:c r="I63" s="34" t="str"/>
      <x:c r="J63" s="34" t="str"/>
      <x:c r="K63" s="34" t="str"/>
      <x:c r="L63" s="34" t="str"/>
      <x:c r="M63" s="34" t="str"/>
      <x:c r="N63" s="34" t="str"/>
      <x:c r="O63" s="34" t="str"/>
      <x:c r="P63" s="34" t="str"/>
      <x:c r="Q63" s="34" t="str"/>
    </x:row>
    <x:row r="64">
      <x:c r="A64" s="34" t="str">
        <x:v>M5-CHG-059</x:v>
      </x:c>
      <x:c r="B64" s="34" t="str"/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/>
      <x:c r="K64" s="34" t="str"/>
      <x:c r="L64" s="34" t="str"/>
      <x:c r="M64" s="34" t="str"/>
      <x:c r="N64" s="34" t="str"/>
      <x:c r="O64" s="34" t="str"/>
      <x:c r="P64" s="34" t="str"/>
      <x:c r="Q64" s="34" t="str"/>
    </x:row>
    <x:row r="65">
      <x:c r="A65" s="34" t="str">
        <x:v>M5-CHG-060</x:v>
      </x:c>
      <x:c r="B65" s="34" t="str"/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/>
      <x:c r="L65" s="34" t="str"/>
      <x:c r="M65" s="34" t="str"/>
      <x:c r="N65" s="34" t="str"/>
      <x:c r="O65" s="34" t="str"/>
      <x:c r="P65" s="34" t="str"/>
      <x:c r="Q65" s="34" t="str"/>
    </x:row>
    <x:row r="66">
      <x:c r="A66" s="34" t="str">
        <x:v>M5-CHG-061</x:v>
      </x:c>
      <x:c r="B66" s="34" t="str"/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/>
      <x:c r="K66" s="34" t="str"/>
      <x:c r="L66" s="34" t="str"/>
      <x:c r="M66" s="34" t="str"/>
      <x:c r="N66" s="34" t="str"/>
      <x:c r="O66" s="34" t="str"/>
      <x:c r="P66" s="34" t="str"/>
      <x:c r="Q66" s="34" t="str"/>
    </x:row>
    <x:row r="67">
      <x:c r="A67" s="34" t="str">
        <x:v>M5-CHG-062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/>
      <x:c r="L67" s="34" t="str"/>
      <x:c r="M67" s="34" t="str"/>
      <x:c r="N67" s="34" t="str"/>
      <x:c r="O67" s="34" t="str"/>
      <x:c r="P67" s="34" t="str"/>
      <x:c r="Q67" s="34" t="str"/>
    </x:row>
    <x:row r="68">
      <x:c r="A68" s="34" t="str">
        <x:v>M5-CHG-063</x:v>
      </x:c>
      <x:c r="B68" s="34" t="str"/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/>
      <x:c r="K68" s="34" t="str"/>
      <x:c r="L68" s="34" t="str"/>
      <x:c r="M68" s="34" t="str"/>
      <x:c r="N68" s="34" t="str"/>
      <x:c r="O68" s="34" t="str"/>
      <x:c r="P68" s="34" t="str"/>
      <x:c r="Q68" s="34" t="str"/>
    </x:row>
    <x:row r="69">
      <x:c r="A69" s="34" t="str">
        <x:v>M5-CHG-064</x:v>
      </x:c>
      <x:c r="B69" s="34" t="str"/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/>
      <x:c r="K69" s="34" t="str"/>
      <x:c r="L69" s="34" t="str"/>
      <x:c r="M69" s="34" t="str"/>
      <x:c r="N69" s="34" t="str"/>
      <x:c r="O69" s="34" t="str"/>
      <x:c r="P69" s="34" t="str"/>
      <x:c r="Q69" s="34" t="str"/>
    </x:row>
    <x:row r="70">
      <x:c r="A70" s="34" t="str">
        <x:v>M5-CHG-065</x:v>
      </x:c>
      <x:c r="B70" s="34" t="str"/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/>
      <x:c r="K70" s="34" t="str"/>
      <x:c r="L70" s="34" t="str"/>
      <x:c r="M70" s="34" t="str"/>
      <x:c r="N70" s="34" t="str"/>
      <x:c r="O70" s="34" t="str"/>
      <x:c r="P70" s="34" t="str"/>
      <x:c r="Q70" s="34" t="str"/>
    </x:row>
    <x:row r="71">
      <x:c r="A71" s="34" t="str">
        <x:v>M5-CHG-066</x:v>
      </x:c>
      <x:c r="B71" s="34" t="str"/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/>
      <x:c r="K71" s="34" t="str"/>
      <x:c r="L71" s="34" t="str"/>
      <x:c r="M71" s="34" t="str"/>
      <x:c r="N71" s="34" t="str"/>
      <x:c r="O71" s="34" t="str"/>
      <x:c r="P71" s="34" t="str"/>
      <x:c r="Q71" s="34" t="str"/>
    </x:row>
    <x:row r="72">
      <x:c r="A72" s="34" t="str">
        <x:v>M5-CHG-067</x:v>
      </x:c>
      <x:c r="B72" s="34" t="str"/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/>
      <x:c r="K72" s="34" t="str"/>
      <x:c r="L72" s="34" t="str"/>
      <x:c r="M72" s="34" t="str"/>
      <x:c r="N72" s="34" t="str"/>
      <x:c r="O72" s="34" t="str"/>
      <x:c r="P72" s="34" t="str"/>
      <x:c r="Q72" s="34" t="str"/>
    </x:row>
    <x:row r="73">
      <x:c r="A73" s="34" t="str">
        <x:v>M5-CHG-068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/>
      <x:c r="L73" s="34" t="str"/>
      <x:c r="M73" s="34" t="str"/>
      <x:c r="N73" s="34" t="str"/>
      <x:c r="O73" s="34" t="str"/>
      <x:c r="P73" s="34" t="str"/>
      <x:c r="Q73" s="34" t="str"/>
    </x:row>
    <x:row r="74">
      <x:c r="A74" s="34" t="str">
        <x:v>M5-CHG-069</x:v>
      </x:c>
      <x:c r="B74" s="34" t="str"/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/>
      <x:c r="K74" s="34" t="str"/>
      <x:c r="L74" s="34" t="str"/>
      <x:c r="M74" s="34" t="str"/>
      <x:c r="N74" s="34" t="str"/>
      <x:c r="O74" s="34" t="str"/>
      <x:c r="P74" s="34" t="str"/>
      <x:c r="Q74" s="34" t="str"/>
    </x:row>
    <x:row r="75">
      <x:c r="A75" s="34" t="str">
        <x:v>M5-CHG-070</x:v>
      </x:c>
      <x:c r="B75" s="34" t="str"/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/>
      <x:c r="L75" s="34" t="str"/>
      <x:c r="M75" s="34" t="str"/>
      <x:c r="N75" s="34" t="str"/>
      <x:c r="O75" s="34" t="str"/>
      <x:c r="P75" s="34" t="str"/>
      <x:c r="Q75" s="34" t="str"/>
    </x:row>
    <x:row r="76">
      <x:c r="A76" s="34" t="str">
        <x:v>M5-CHG-071</x:v>
      </x:c>
      <x:c r="B76" s="34" t="str"/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/>
      <x:c r="K76" s="34" t="str"/>
      <x:c r="L76" s="34" t="str"/>
      <x:c r="M76" s="34" t="str"/>
      <x:c r="N76" s="34" t="str"/>
      <x:c r="O76" s="34" t="str"/>
      <x:c r="P76" s="34" t="str"/>
      <x:c r="Q76" s="34" t="str"/>
    </x:row>
    <x:row r="77">
      <x:c r="A77" s="34" t="str">
        <x:v>M5-CHG-072</x:v>
      </x:c>
      <x:c r="B77" s="34" t="str"/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/>
      <x:c r="K77" s="34" t="str"/>
      <x:c r="L77" s="34" t="str"/>
      <x:c r="M77" s="34" t="str"/>
      <x:c r="N77" s="34" t="str"/>
      <x:c r="O77" s="34" t="str"/>
      <x:c r="P77" s="34" t="str"/>
      <x:c r="Q77" s="34" t="str"/>
    </x:row>
    <x:row r="78">
      <x:c r="A78" s="34" t="str">
        <x:v>M5-CHG-073</x:v>
      </x:c>
      <x:c r="B78" s="34" t="str"/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/>
      <x:c r="K78" s="34" t="str"/>
      <x:c r="L78" s="34" t="str"/>
      <x:c r="M78" s="34" t="str"/>
      <x:c r="N78" s="34" t="str"/>
      <x:c r="O78" s="34" t="str"/>
      <x:c r="P78" s="34" t="str"/>
      <x:c r="Q78" s="34" t="str"/>
    </x:row>
    <x:row r="79">
      <x:c r="A79" s="34" t="str">
        <x:v>M5-CHG-074</x:v>
      </x:c>
      <x:c r="B79" s="34" t="str"/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/>
      <x:c r="K79" s="34" t="str"/>
      <x:c r="L79" s="34" t="str"/>
      <x:c r="M79" s="34" t="str"/>
      <x:c r="N79" s="34" t="str"/>
      <x:c r="O79" s="34" t="str"/>
      <x:c r="P79" s="34" t="str"/>
      <x:c r="Q79" s="34" t="str"/>
    </x:row>
    <x:row r="80">
      <x:c r="A80" s="34" t="str">
        <x:v>M5-CHG-075</x:v>
      </x:c>
      <x:c r="B80" s="34" t="str"/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/>
      <x:c r="K80" s="34" t="str"/>
      <x:c r="L80" s="34" t="str"/>
      <x:c r="M80" s="34" t="str"/>
      <x:c r="N80" s="34" t="str"/>
      <x:c r="O80" s="34" t="str"/>
      <x:c r="P80" s="34" t="str"/>
      <x:c r="Q80" s="34" t="str"/>
    </x:row>
    <x:row r="81">
      <x:c r="A81" s="34" t="str">
        <x:v>M5-CHG-076</x:v>
      </x:c>
      <x:c r="B81" s="34" t="str"/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/>
      <x:c r="K81" s="34" t="str"/>
      <x:c r="L81" s="34" t="str"/>
      <x:c r="M81" s="34" t="str"/>
      <x:c r="N81" s="34" t="str"/>
      <x:c r="O81" s="34" t="str"/>
      <x:c r="P81" s="34" t="str"/>
      <x:c r="Q81" s="34" t="str"/>
    </x:row>
    <x:row r="82">
      <x:c r="A82" s="34" t="str">
        <x:v>M5-CHG-077</x:v>
      </x:c>
      <x:c r="B82" s="34" t="str"/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/>
      <x:c r="K82" s="34" t="str"/>
      <x:c r="L82" s="34" t="str"/>
      <x:c r="M82" s="34" t="str"/>
      <x:c r="N82" s="34" t="str"/>
      <x:c r="O82" s="34" t="str"/>
      <x:c r="P82" s="34" t="str"/>
      <x:c r="Q82" s="34" t="str"/>
    </x:row>
    <x:row r="83">
      <x:c r="A83" s="34" t="str">
        <x:v>M5-CHG-078</x:v>
      </x:c>
      <x:c r="B83" s="34" t="str"/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/>
      <x:c r="L83" s="34" t="str"/>
      <x:c r="M83" s="34" t="str"/>
      <x:c r="N83" s="34" t="str"/>
      <x:c r="O83" s="34" t="str"/>
      <x:c r="P83" s="34" t="str"/>
      <x:c r="Q83" s="34" t="str"/>
    </x:row>
    <x:row r="84">
      <x:c r="A84" s="34" t="str">
        <x:v>M5-CHG-079</x:v>
      </x:c>
      <x:c r="B84" s="34" t="str"/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/>
      <x:c r="K84" s="34" t="str"/>
      <x:c r="L84" s="34" t="str"/>
      <x:c r="M84" s="34" t="str"/>
      <x:c r="N84" s="34" t="str"/>
      <x:c r="O84" s="34" t="str"/>
      <x:c r="P84" s="34" t="str"/>
      <x:c r="Q84" s="34" t="str"/>
    </x:row>
    <x:row r="85">
      <x:c r="A85" s="34" t="str">
        <x:v>M5-CHG-080</x:v>
      </x:c>
      <x:c r="B85" s="34" t="str"/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/>
      <x:c r="K85" s="34" t="str"/>
      <x:c r="L85" s="34" t="str"/>
      <x:c r="M85" s="34" t="str"/>
      <x:c r="N85" s="34" t="str"/>
      <x:c r="O85" s="34" t="str"/>
      <x:c r="P85" s="34" t="str"/>
      <x:c r="Q85" s="34" t="str"/>
    </x:row>
    <x:row r="86">
      <x:c r="A86" s="34" t="str">
        <x:v>M5-CHG-081</x:v>
      </x:c>
      <x:c r="B86" s="34" t="str"/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/>
      <x:c r="K86" s="34" t="str"/>
      <x:c r="L86" s="34" t="str"/>
      <x:c r="M86" s="34" t="str"/>
      <x:c r="N86" s="34" t="str"/>
      <x:c r="O86" s="34" t="str"/>
      <x:c r="P86" s="34" t="str"/>
      <x:c r="Q86" s="34" t="str"/>
    </x:row>
    <x:row r="87">
      <x:c r="A87" s="34" t="str">
        <x:v>M5-CHG-082</x:v>
      </x:c>
      <x:c r="B87" s="34" t="str"/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/>
      <x:c r="K87" s="34" t="str"/>
      <x:c r="L87" s="34" t="str"/>
      <x:c r="M87" s="34" t="str"/>
      <x:c r="N87" s="34" t="str"/>
      <x:c r="O87" s="34" t="str"/>
      <x:c r="P87" s="34" t="str"/>
      <x:c r="Q87" s="34" t="str"/>
    </x:row>
    <x:row r="88">
      <x:c r="A88" s="34" t="str">
        <x:v>M5-CHG-083</x:v>
      </x:c>
      <x:c r="B88" s="34" t="str"/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/>
      <x:c r="K88" s="34" t="str"/>
      <x:c r="L88" s="34" t="str"/>
      <x:c r="M88" s="34" t="str"/>
      <x:c r="N88" s="34" t="str"/>
      <x:c r="O88" s="34" t="str"/>
      <x:c r="P88" s="34" t="str"/>
      <x:c r="Q88" s="34" t="str"/>
    </x:row>
    <x:row r="89">
      <x:c r="A89" s="34" t="str">
        <x:v>M5-CHG-084</x:v>
      </x:c>
      <x:c r="B89" s="34" t="str"/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/>
      <x:c r="K89" s="34" t="str"/>
      <x:c r="L89" s="34" t="str"/>
      <x:c r="M89" s="34" t="str"/>
      <x:c r="N89" s="34" t="str"/>
      <x:c r="O89" s="34" t="str"/>
      <x:c r="P89" s="34" t="str"/>
      <x:c r="Q89" s="34" t="str"/>
    </x:row>
    <x:row r="90">
      <x:c r="A90" s="34" t="str">
        <x:v>M5-CHG-085</x:v>
      </x:c>
      <x:c r="B90" s="34" t="str"/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/>
      <x:c r="K90" s="34" t="str"/>
      <x:c r="L90" s="34" t="str"/>
      <x:c r="M90" s="34" t="str"/>
      <x:c r="N90" s="34" t="str"/>
      <x:c r="O90" s="34" t="str"/>
      <x:c r="P90" s="34" t="str"/>
      <x:c r="Q90" s="34" t="str"/>
    </x:row>
    <x:row r="91">
      <x:c r="A91" s="34" t="str">
        <x:v>M5-CHG-086</x:v>
      </x:c>
      <x:c r="B91" s="34" t="str"/>
      <x:c r="C91" s="34" t="str"/>
      <x:c r="D91" s="34" t="str"/>
      <x:c r="E91" s="34" t="str"/>
      <x:c r="F91" s="34" t="str"/>
      <x:c r="G91" s="34" t="str"/>
      <x:c r="H91" s="34" t="str"/>
      <x:c r="I91" s="34" t="str"/>
      <x:c r="J91" s="34" t="str"/>
      <x:c r="K91" s="34" t="str"/>
      <x:c r="L91" s="34" t="str"/>
      <x:c r="M91" s="34" t="str"/>
      <x:c r="N91" s="34" t="str"/>
      <x:c r="O91" s="34" t="str"/>
      <x:c r="P91" s="34" t="str"/>
      <x:c r="Q91" s="34" t="str"/>
    </x:row>
    <x:row r="92">
      <x:c r="A92" s="34" t="str">
        <x:v>M5-CHG-087</x:v>
      </x:c>
      <x:c r="B92" s="34" t="str"/>
      <x:c r="C92" s="34" t="str"/>
      <x:c r="D92" s="34" t="str"/>
      <x:c r="E92" s="34" t="str"/>
      <x:c r="F92" s="34" t="str"/>
      <x:c r="G92" s="34" t="str"/>
      <x:c r="H92" s="34" t="str"/>
      <x:c r="I92" s="34" t="str"/>
      <x:c r="J92" s="34" t="str"/>
      <x:c r="K92" s="34" t="str"/>
      <x:c r="L92" s="34" t="str"/>
      <x:c r="M92" s="34" t="str"/>
      <x:c r="N92" s="34" t="str"/>
      <x:c r="O92" s="34" t="str"/>
      <x:c r="P92" s="34" t="str"/>
      <x:c r="Q92" s="34" t="str"/>
    </x:row>
    <x:row r="93">
      <x:c r="A93" s="34" t="str">
        <x:v>M5-CHG-088</x:v>
      </x:c>
      <x:c r="B93" s="34" t="str"/>
      <x:c r="C93" s="34" t="str"/>
      <x:c r="D93" s="34" t="str"/>
      <x:c r="E93" s="34" t="str"/>
      <x:c r="F93" s="34" t="str"/>
      <x:c r="G93" s="34" t="str"/>
      <x:c r="H93" s="34" t="str"/>
      <x:c r="I93" s="34" t="str"/>
      <x:c r="J93" s="34" t="str"/>
      <x:c r="K93" s="34" t="str"/>
      <x:c r="L93" s="34" t="str"/>
      <x:c r="M93" s="34" t="str"/>
      <x:c r="N93" s="34" t="str"/>
      <x:c r="O93" s="34" t="str"/>
      <x:c r="P93" s="34" t="str"/>
      <x:c r="Q93" s="34" t="str"/>
    </x:row>
    <x:row r="94">
      <x:c r="A94" s="34" t="str">
        <x:v>M5-CHG-089</x:v>
      </x:c>
      <x:c r="B94" s="34" t="str"/>
      <x:c r="C94" s="34" t="str"/>
      <x:c r="D94" s="34" t="str"/>
      <x:c r="E94" s="34" t="str"/>
      <x:c r="F94" s="34" t="str"/>
      <x:c r="G94" s="34" t="str"/>
      <x:c r="H94" s="34" t="str"/>
      <x:c r="I94" s="34" t="str"/>
      <x:c r="J94" s="34" t="str"/>
      <x:c r="K94" s="34" t="str"/>
      <x:c r="L94" s="34" t="str"/>
      <x:c r="M94" s="34" t="str"/>
      <x:c r="N94" s="34" t="str"/>
      <x:c r="O94" s="34" t="str"/>
      <x:c r="P94" s="34" t="str"/>
      <x:c r="Q94" s="34" t="str"/>
    </x:row>
    <x:row r="95">
      <x:c r="A95" s="34" t="str">
        <x:v>M5-CHG-090</x:v>
      </x:c>
      <x:c r="B95" s="34" t="str"/>
      <x:c r="C95" s="34" t="str"/>
      <x:c r="D95" s="34" t="str"/>
      <x:c r="E95" s="34" t="str"/>
      <x:c r="F95" s="34" t="str"/>
      <x:c r="G95" s="34" t="str"/>
      <x:c r="H95" s="34" t="str"/>
      <x:c r="I95" s="34" t="str"/>
      <x:c r="J95" s="34" t="str"/>
      <x:c r="K95" s="34" t="str"/>
      <x:c r="L95" s="34" t="str"/>
      <x:c r="M95" s="34" t="str"/>
      <x:c r="N95" s="34" t="str"/>
      <x:c r="O95" s="34" t="str"/>
      <x:c r="P95" s="34" t="str"/>
      <x:c r="Q95" s="34" t="str"/>
    </x:row>
    <x:row r="96">
      <x:c r="A96" s="34" t="str">
        <x:v>M5-CHG-091</x:v>
      </x:c>
      <x:c r="B96" s="34" t="str"/>
      <x:c r="C96" s="34" t="str"/>
      <x:c r="D96" s="34" t="str"/>
      <x:c r="E96" s="34" t="str"/>
      <x:c r="F96" s="34" t="str"/>
      <x:c r="G96" s="34" t="str"/>
      <x:c r="H96" s="34" t="str"/>
      <x:c r="I96" s="34" t="str"/>
      <x:c r="J96" s="34" t="str"/>
      <x:c r="K96" s="34" t="str"/>
      <x:c r="L96" s="34" t="str"/>
      <x:c r="M96" s="34" t="str"/>
      <x:c r="N96" s="34" t="str"/>
      <x:c r="O96" s="34" t="str"/>
      <x:c r="P96" s="34" t="str"/>
      <x:c r="Q96" s="34" t="str"/>
    </x:row>
    <x:row r="97">
      <x:c r="A97" s="34" t="str">
        <x:v>M5-CHG-092</x:v>
      </x:c>
      <x:c r="B97" s="34" t="str"/>
      <x:c r="C97" s="34" t="str"/>
      <x:c r="D97" s="34" t="str"/>
      <x:c r="E97" s="34" t="str"/>
      <x:c r="F97" s="34" t="str"/>
      <x:c r="G97" s="34" t="str"/>
      <x:c r="H97" s="34" t="str"/>
      <x:c r="I97" s="34" t="str"/>
      <x:c r="J97" s="34" t="str"/>
      <x:c r="K97" s="34" t="str"/>
      <x:c r="L97" s="34" t="str"/>
      <x:c r="M97" s="34" t="str"/>
      <x:c r="N97" s="34" t="str"/>
      <x:c r="O97" s="34" t="str"/>
      <x:c r="P97" s="34" t="str"/>
      <x:c r="Q97" s="34" t="str"/>
    </x:row>
    <x:row r="98">
      <x:c r="A98" s="34" t="str">
        <x:v>M5-CHG-093</x:v>
      </x:c>
      <x:c r="B98" s="34" t="str"/>
      <x:c r="C98" s="34" t="str"/>
      <x:c r="D98" s="34" t="str"/>
      <x:c r="E98" s="34" t="str"/>
      <x:c r="F98" s="34" t="str"/>
      <x:c r="G98" s="34" t="str"/>
      <x:c r="H98" s="34" t="str"/>
      <x:c r="I98" s="34" t="str"/>
      <x:c r="J98" s="34" t="str"/>
      <x:c r="K98" s="34" t="str"/>
      <x:c r="L98" s="34" t="str"/>
      <x:c r="M98" s="34" t="str"/>
      <x:c r="N98" s="34" t="str"/>
      <x:c r="O98" s="34" t="str"/>
      <x:c r="P98" s="34" t="str"/>
      <x:c r="Q98" s="34" t="str"/>
    </x:row>
    <x:row r="99">
      <x:c r="A99" s="34" t="str">
        <x:v>M5-CHG-094</x:v>
      </x:c>
      <x:c r="B99" s="34" t="str"/>
      <x:c r="C99" s="34" t="str"/>
      <x:c r="D99" s="34" t="str"/>
      <x:c r="E99" s="34" t="str"/>
      <x:c r="F99" s="34" t="str"/>
      <x:c r="G99" s="34" t="str"/>
      <x:c r="H99" s="34" t="str"/>
      <x:c r="I99" s="34" t="str"/>
      <x:c r="J99" s="34" t="str"/>
      <x:c r="K99" s="34" t="str"/>
      <x:c r="L99" s="34" t="str"/>
      <x:c r="M99" s="34" t="str"/>
      <x:c r="N99" s="34" t="str"/>
      <x:c r="O99" s="34" t="str"/>
      <x:c r="P99" s="34" t="str"/>
      <x:c r="Q99" s="34" t="str"/>
    </x:row>
    <x:row r="100">
      <x:c r="A100" s="34" t="str">
        <x:v>M5-CHG-095</x:v>
      </x:c>
      <x:c r="B100" s="34" t="str"/>
      <x:c r="C100" s="34" t="str"/>
      <x:c r="D100" s="34" t="str"/>
      <x:c r="E100" s="34" t="str"/>
      <x:c r="F100" s="34" t="str"/>
      <x:c r="G100" s="34" t="str"/>
      <x:c r="H100" s="34" t="str"/>
      <x:c r="I100" s="34" t="str"/>
      <x:c r="J100" s="34" t="str"/>
      <x:c r="K100" s="34" t="str"/>
      <x:c r="L100" s="34" t="str"/>
      <x:c r="M100" s="34" t="str"/>
      <x:c r="N100" s="34" t="str"/>
      <x:c r="O100" s="34" t="str"/>
      <x:c r="P100" s="34" t="str"/>
      <x:c r="Q100" s="34" t="str"/>
    </x:row>
    <x:row r="101">
      <x:c r="A101" s="34" t="str">
        <x:v>M5-CHG-096</x:v>
      </x:c>
      <x:c r="B101" s="34" t="str"/>
      <x:c r="C101" s="34" t="str"/>
      <x:c r="D101" s="34" t="str"/>
      <x:c r="E101" s="34" t="str"/>
      <x:c r="F101" s="34" t="str"/>
      <x:c r="G101" s="34" t="str"/>
      <x:c r="H101" s="34" t="str"/>
      <x:c r="I101" s="34" t="str"/>
      <x:c r="J101" s="34" t="str"/>
      <x:c r="K101" s="34" t="str"/>
      <x:c r="L101" s="34" t="str"/>
      <x:c r="M101" s="34" t="str"/>
      <x:c r="N101" s="34" t="str"/>
      <x:c r="O101" s="34" t="str"/>
      <x:c r="P101" s="34" t="str"/>
      <x:c r="Q101" s="34" t="str"/>
    </x:row>
    <x:row r="102">
      <x:c r="A102" s="34" t="str">
        <x:v>M5-CHG-097</x:v>
      </x:c>
      <x:c r="B102" s="34" t="str"/>
      <x:c r="C102" s="34" t="str"/>
      <x:c r="D102" s="34" t="str"/>
      <x:c r="E102" s="34" t="str"/>
      <x:c r="F102" s="34" t="str"/>
      <x:c r="G102" s="34" t="str"/>
      <x:c r="H102" s="34" t="str"/>
      <x:c r="I102" s="34" t="str"/>
      <x:c r="J102" s="34" t="str"/>
      <x:c r="K102" s="34" t="str"/>
      <x:c r="L102" s="34" t="str"/>
      <x:c r="M102" s="34" t="str"/>
      <x:c r="N102" s="34" t="str"/>
      <x:c r="O102" s="34" t="str"/>
      <x:c r="P102" s="34" t="str"/>
      <x:c r="Q102" s="34" t="str"/>
    </x:row>
    <x:row r="103">
      <x:c r="A103" s="34" t="str">
        <x:v>M5-CHG-098</x:v>
      </x:c>
      <x:c r="B103" s="34" t="str"/>
      <x:c r="C103" s="34" t="str"/>
      <x:c r="D103" s="34" t="str"/>
      <x:c r="E103" s="34" t="str"/>
      <x:c r="F103" s="34" t="str"/>
      <x:c r="G103" s="34" t="str"/>
      <x:c r="H103" s="34" t="str"/>
      <x:c r="I103" s="34" t="str"/>
      <x:c r="J103" s="34" t="str"/>
      <x:c r="K103" s="34" t="str"/>
      <x:c r="L103" s="34" t="str"/>
      <x:c r="M103" s="34" t="str"/>
      <x:c r="N103" s="34" t="str"/>
      <x:c r="O103" s="34" t="str"/>
      <x:c r="P103" s="34" t="str"/>
      <x:c r="Q103" s="34" t="str"/>
    </x:row>
    <x:row r="104">
      <x:c r="A104" s="34" t="str">
        <x:v>M5-CHG-099</x:v>
      </x:c>
      <x:c r="B104" s="34" t="str"/>
      <x:c r="C104" s="34" t="str"/>
      <x:c r="D104" s="34" t="str"/>
      <x:c r="E104" s="34" t="str"/>
      <x:c r="F104" s="34" t="str"/>
      <x:c r="G104" s="34" t="str"/>
      <x:c r="H104" s="34" t="str"/>
      <x:c r="I104" s="34" t="str"/>
      <x:c r="J104" s="34" t="str"/>
      <x:c r="K104" s="34" t="str"/>
      <x:c r="L104" s="34" t="str"/>
      <x:c r="M104" s="34" t="str"/>
      <x:c r="N104" s="34" t="str"/>
      <x:c r="O104" s="34" t="str"/>
      <x:c r="P104" s="34" t="str"/>
      <x:c r="Q104" s="34" t="str"/>
    </x:row>
    <x:row r="105">
      <x:c r="A105" s="34" t="str">
        <x:v>M5-CHG-100</x:v>
      </x:c>
      <x:c r="B105" s="34" t="str"/>
      <x:c r="C105" s="34" t="str"/>
      <x:c r="D105" s="34" t="str"/>
      <x:c r="E105" s="34" t="str"/>
      <x:c r="F105" s="34" t="str"/>
      <x:c r="G105" s="34" t="str"/>
      <x:c r="H105" s="34" t="str"/>
      <x:c r="I105" s="34" t="str"/>
      <x:c r="J105" s="34" t="str"/>
      <x:c r="K105" s="34" t="str"/>
      <x:c r="L105" s="34" t="str"/>
      <x:c r="M105" s="34" t="str"/>
      <x:c r="N105" s="34" t="str"/>
      <x:c r="O105" s="34" t="str"/>
      <x:c r="P105" s="34" t="str"/>
      <x:c r="Q105" s="34" t="str"/>
    </x:row>
    <x:row r="106">
      <x:c r="A106" s="34" t="str">
        <x:v>M5-CHG-101</x:v>
      </x:c>
      <x:c r="B106" s="34" t="str"/>
      <x:c r="C106" s="34" t="str"/>
      <x:c r="D106" s="34" t="str"/>
      <x:c r="E106" s="34" t="str"/>
      <x:c r="F106" s="34" t="str"/>
      <x:c r="G106" s="34" t="str"/>
      <x:c r="H106" s="34" t="str"/>
      <x:c r="I106" s="34" t="str"/>
      <x:c r="J106" s="34" t="str"/>
      <x:c r="K106" s="34" t="str"/>
      <x:c r="L106" s="34" t="str"/>
      <x:c r="M106" s="34" t="str"/>
      <x:c r="N106" s="34" t="str"/>
      <x:c r="O106" s="34" t="str"/>
      <x:c r="P106" s="34" t="str"/>
      <x:c r="Q106" s="34" t="str"/>
    </x:row>
    <x:row r="107">
      <x:c r="A107" s="34" t="str">
        <x:v>M5-CHG-102</x:v>
      </x:c>
      <x:c r="B107" s="34" t="str"/>
      <x:c r="C107" s="34" t="str"/>
      <x:c r="D107" s="34" t="str"/>
      <x:c r="E107" s="34" t="str"/>
      <x:c r="F107" s="34" t="str"/>
      <x:c r="G107" s="34" t="str"/>
      <x:c r="H107" s="34" t="str"/>
      <x:c r="I107" s="34" t="str"/>
      <x:c r="J107" s="34" t="str"/>
      <x:c r="K107" s="34" t="str"/>
      <x:c r="L107" s="34" t="str"/>
      <x:c r="M107" s="34" t="str"/>
      <x:c r="N107" s="34" t="str"/>
      <x:c r="O107" s="34" t="str"/>
      <x:c r="P107" s="34" t="str"/>
      <x:c r="Q107" s="34" t="str"/>
    </x:row>
    <x:row r="108">
      <x:c r="A108" s="34" t="str">
        <x:v>M5-CHG-103</x:v>
      </x:c>
      <x:c r="B108" s="34" t="str"/>
      <x:c r="C108" s="34" t="str"/>
      <x:c r="D108" s="34" t="str"/>
      <x:c r="E108" s="34" t="str"/>
      <x:c r="F108" s="34" t="str"/>
      <x:c r="G108" s="34" t="str"/>
      <x:c r="H108" s="34" t="str"/>
      <x:c r="I108" s="34" t="str"/>
      <x:c r="J108" s="34" t="str"/>
      <x:c r="K108" s="34" t="str"/>
      <x:c r="L108" s="34" t="str"/>
      <x:c r="M108" s="34" t="str"/>
      <x:c r="N108" s="34" t="str"/>
      <x:c r="O108" s="34" t="str"/>
      <x:c r="P108" s="34" t="str"/>
      <x:c r="Q108" s="34" t="str"/>
    </x:row>
    <x:row r="109">
      <x:c r="A109" s="34" t="str">
        <x:v>M5-CHG-104</x:v>
      </x:c>
      <x:c r="B109" s="34" t="str"/>
      <x:c r="C109" s="34" t="str"/>
      <x:c r="D109" s="34" t="str"/>
      <x:c r="E109" s="34" t="str"/>
      <x:c r="F109" s="34" t="str"/>
      <x:c r="G109" s="34" t="str"/>
      <x:c r="H109" s="34" t="str"/>
      <x:c r="I109" s="34" t="str"/>
      <x:c r="J109" s="34" t="str"/>
      <x:c r="K109" s="34" t="str"/>
      <x:c r="L109" s="34" t="str"/>
      <x:c r="M109" s="34" t="str"/>
      <x:c r="N109" s="34" t="str"/>
      <x:c r="O109" s="34" t="str"/>
      <x:c r="P109" s="34" t="str"/>
      <x:c r="Q109" s="34" t="str"/>
    </x:row>
    <x:row r="110">
      <x:c r="A110" s="34" t="str">
        <x:v>M5-CHG-105</x:v>
      </x:c>
      <x:c r="B110" s="34" t="str"/>
      <x:c r="C110" s="34" t="str"/>
      <x:c r="D110" s="34" t="str"/>
      <x:c r="E110" s="34" t="str"/>
      <x:c r="F110" s="34" t="str"/>
      <x:c r="G110" s="34" t="str"/>
      <x:c r="H110" s="34" t="str"/>
      <x:c r="I110" s="34" t="str"/>
      <x:c r="J110" s="34" t="str"/>
      <x:c r="K110" s="34" t="str"/>
      <x:c r="L110" s="34" t="str"/>
      <x:c r="M110" s="34" t="str"/>
      <x:c r="N110" s="34" t="str"/>
      <x:c r="O110" s="34" t="str"/>
      <x:c r="P110" s="34" t="str"/>
      <x:c r="Q110" s="34" t="str"/>
    </x:row>
    <x:row r="111">
      <x:c r="A111" s="34" t="str">
        <x:v>M5-CHG-106</x:v>
      </x:c>
      <x:c r="B111" s="34" t="str"/>
      <x:c r="C111" s="34" t="str"/>
      <x:c r="D111" s="34" t="str"/>
      <x:c r="E111" s="34" t="str"/>
      <x:c r="F111" s="34" t="str"/>
      <x:c r="G111" s="34" t="str"/>
      <x:c r="H111" s="34" t="str"/>
      <x:c r="I111" s="34" t="str"/>
      <x:c r="J111" s="34" t="str"/>
      <x:c r="K111" s="34" t="str"/>
      <x:c r="L111" s="34" t="str"/>
      <x:c r="M111" s="34" t="str"/>
      <x:c r="N111" s="34" t="str"/>
      <x:c r="O111" s="34" t="str"/>
      <x:c r="P111" s="34" t="str"/>
      <x:c r="Q111" s="34" t="str"/>
    </x:row>
    <x:row r="112">
      <x:c r="A112" s="34" t="str">
        <x:v>M5-CHG-107</x:v>
      </x:c>
      <x:c r="B112" s="34" t="str"/>
      <x:c r="C112" s="34" t="str"/>
      <x:c r="D112" s="34" t="str"/>
      <x:c r="E112" s="34" t="str"/>
      <x:c r="F112" s="34" t="str"/>
      <x:c r="G112" s="34" t="str"/>
      <x:c r="H112" s="34" t="str"/>
      <x:c r="I112" s="34" t="str"/>
      <x:c r="J112" s="34" t="str"/>
      <x:c r="K112" s="34" t="str"/>
      <x:c r="L112" s="34" t="str"/>
      <x:c r="M112" s="34" t="str"/>
      <x:c r="N112" s="34" t="str"/>
      <x:c r="O112" s="34" t="str"/>
      <x:c r="P112" s="34" t="str"/>
      <x:c r="Q112" s="34" t="str"/>
    </x:row>
    <x:row r="113">
      <x:c r="A113" s="34" t="str">
        <x:v>M5-CHG-108</x:v>
      </x:c>
      <x:c r="B113" s="34" t="str"/>
      <x:c r="C113" s="34" t="str"/>
      <x:c r="D113" s="34" t="str"/>
      <x:c r="E113" s="34" t="str"/>
      <x:c r="F113" s="34" t="str"/>
      <x:c r="G113" s="34" t="str"/>
      <x:c r="H113" s="34" t="str"/>
      <x:c r="I113" s="34" t="str"/>
      <x:c r="J113" s="34" t="str"/>
      <x:c r="K113" s="34" t="str"/>
      <x:c r="L113" s="34" t="str"/>
      <x:c r="M113" s="34" t="str"/>
      <x:c r="N113" s="34" t="str"/>
      <x:c r="O113" s="34" t="str"/>
      <x:c r="P113" s="34" t="str"/>
      <x:c r="Q113" s="34" t="str"/>
    </x:row>
    <x:row r="114">
      <x:c r="A114" s="34" t="str">
        <x:v>M5-CHG-109</x:v>
      </x:c>
      <x:c r="B114" s="34" t="str"/>
      <x:c r="C114" s="34" t="str"/>
      <x:c r="D114" s="34" t="str"/>
      <x:c r="E114" s="34" t="str"/>
      <x:c r="F114" s="34" t="str"/>
      <x:c r="G114" s="34" t="str"/>
      <x:c r="H114" s="34" t="str"/>
      <x:c r="I114" s="34" t="str"/>
      <x:c r="J114" s="34" t="str"/>
      <x:c r="K114" s="34" t="str"/>
      <x:c r="L114" s="34" t="str"/>
      <x:c r="M114" s="34" t="str"/>
      <x:c r="N114" s="34" t="str"/>
      <x:c r="O114" s="34" t="str"/>
      <x:c r="P114" s="34" t="str"/>
      <x:c r="Q114" s="34" t="str"/>
    </x:row>
    <x:row r="115">
      <x:c r="A115" s="34" t="str">
        <x:v>M5-CHG-110</x:v>
      </x:c>
      <x:c r="B115" s="34" t="str"/>
      <x:c r="C115" s="34" t="str"/>
      <x:c r="D115" s="34" t="str"/>
      <x:c r="E115" s="34" t="str"/>
      <x:c r="F115" s="34" t="str"/>
      <x:c r="G115" s="34" t="str"/>
      <x:c r="H115" s="34" t="str"/>
      <x:c r="I115" s="34" t="str"/>
      <x:c r="J115" s="34" t="str"/>
      <x:c r="K115" s="34" t="str"/>
      <x:c r="L115" s="34" t="str"/>
      <x:c r="M115" s="34" t="str"/>
      <x:c r="N115" s="34" t="str"/>
      <x:c r="O115" s="34" t="str"/>
      <x:c r="P115" s="34" t="str"/>
      <x:c r="Q115" s="34" t="str"/>
    </x:row>
    <x:row r="116">
      <x:c r="A116" s="34" t="str">
        <x:v>M5-CHG-111</x:v>
      </x:c>
      <x:c r="B116" s="34" t="str"/>
      <x:c r="C116" s="34" t="str"/>
      <x:c r="D116" s="34" t="str"/>
      <x:c r="E116" s="34" t="str"/>
      <x:c r="F116" s="34" t="str"/>
      <x:c r="G116" s="34" t="str"/>
      <x:c r="H116" s="34" t="str"/>
      <x:c r="I116" s="34" t="str"/>
      <x:c r="J116" s="34" t="str"/>
      <x:c r="K116" s="34" t="str"/>
      <x:c r="L116" s="34" t="str"/>
      <x:c r="M116" s="34" t="str"/>
      <x:c r="N116" s="34" t="str"/>
      <x:c r="O116" s="34" t="str"/>
      <x:c r="P116" s="34" t="str"/>
      <x:c r="Q116" s="34" t="str"/>
    </x:row>
    <x:row r="117">
      <x:c r="A117" s="34" t="str">
        <x:v>M5-CHG-112</x:v>
      </x:c>
      <x:c r="B117" s="34" t="str"/>
      <x:c r="C117" s="34" t="str"/>
      <x:c r="D117" s="34" t="str"/>
      <x:c r="E117" s="34" t="str"/>
      <x:c r="F117" s="34" t="str"/>
      <x:c r="G117" s="34" t="str"/>
      <x:c r="H117" s="34" t="str"/>
      <x:c r="I117" s="34" t="str"/>
      <x:c r="J117" s="34" t="str"/>
      <x:c r="K117" s="34" t="str"/>
      <x:c r="L117" s="34" t="str"/>
      <x:c r="M117" s="34" t="str"/>
      <x:c r="N117" s="34" t="str"/>
      <x:c r="O117" s="34" t="str"/>
      <x:c r="P117" s="34" t="str"/>
      <x:c r="Q117" s="34" t="str"/>
    </x:row>
    <x:row r="118">
      <x:c r="A118" s="34" t="str">
        <x:v>M5-CHG-113</x:v>
      </x:c>
      <x:c r="B118" s="34" t="str"/>
      <x:c r="C118" s="34" t="str"/>
      <x:c r="D118" s="34" t="str"/>
      <x:c r="E118" s="34" t="str"/>
      <x:c r="F118" s="34" t="str"/>
      <x:c r="G118" s="34" t="str"/>
      <x:c r="H118" s="34" t="str"/>
      <x:c r="I118" s="34" t="str"/>
      <x:c r="J118" s="34" t="str"/>
      <x:c r="K118" s="34" t="str"/>
      <x:c r="L118" s="34" t="str"/>
      <x:c r="M118" s="34" t="str"/>
      <x:c r="N118" s="34" t="str"/>
      <x:c r="O118" s="34" t="str"/>
      <x:c r="P118" s="34" t="str"/>
      <x:c r="Q118" s="34" t="str"/>
    </x:row>
    <x:row r="119">
      <x:c r="A119" s="34" t="str">
        <x:v>M5-CHG-114</x:v>
      </x:c>
      <x:c r="B119" s="34" t="str"/>
      <x:c r="C119" s="34" t="str"/>
      <x:c r="D119" s="34" t="str"/>
      <x:c r="E119" s="34" t="str"/>
      <x:c r="F119" s="34" t="str"/>
      <x:c r="G119" s="34" t="str"/>
      <x:c r="H119" s="34" t="str"/>
      <x:c r="I119" s="34" t="str"/>
      <x:c r="J119" s="34" t="str"/>
      <x:c r="K119" s="34" t="str"/>
      <x:c r="L119" s="34" t="str"/>
      <x:c r="M119" s="34" t="str"/>
      <x:c r="N119" s="34" t="str"/>
      <x:c r="O119" s="34" t="str"/>
      <x:c r="P119" s="34" t="str"/>
      <x:c r="Q119" s="34" t="str"/>
    </x:row>
    <x:row r="120">
      <x:c r="A120" s="34" t="str">
        <x:v>M5-CHG-115</x:v>
      </x:c>
      <x:c r="B120" s="34" t="str"/>
      <x:c r="C120" s="34" t="str"/>
      <x:c r="D120" s="34" t="str"/>
      <x:c r="E120" s="34" t="str"/>
      <x:c r="F120" s="34" t="str"/>
      <x:c r="G120" s="34" t="str"/>
      <x:c r="H120" s="34" t="str"/>
      <x:c r="I120" s="34" t="str"/>
      <x:c r="J120" s="34" t="str"/>
      <x:c r="K120" s="34" t="str"/>
      <x:c r="L120" s="34" t="str"/>
      <x:c r="M120" s="34" t="str"/>
      <x:c r="N120" s="34" t="str"/>
      <x:c r="O120" s="34" t="str"/>
      <x:c r="P120" s="34" t="str"/>
      <x:c r="Q120" s="34" t="str"/>
    </x:row>
    <x:row r="121">
      <x:c r="A121" s="34" t="str">
        <x:v>M5-CHG-116</x:v>
      </x:c>
      <x:c r="B121" s="34" t="str"/>
      <x:c r="C121" s="34" t="str"/>
      <x:c r="D121" s="34" t="str"/>
      <x:c r="E121" s="34" t="str"/>
      <x:c r="F121" s="34" t="str"/>
      <x:c r="G121" s="34" t="str"/>
      <x:c r="H121" s="34" t="str"/>
      <x:c r="I121" s="34" t="str"/>
      <x:c r="J121" s="34" t="str"/>
      <x:c r="K121" s="34" t="str"/>
      <x:c r="L121" s="34" t="str"/>
      <x:c r="M121" s="34" t="str"/>
      <x:c r="N121" s="34" t="str"/>
      <x:c r="O121" s="34" t="str"/>
      <x:c r="P121" s="34" t="str"/>
      <x:c r="Q121" s="34" t="str"/>
    </x:row>
    <x:row r="122">
      <x:c r="A122" s="34" t="str">
        <x:v>M5-CHG-117</x:v>
      </x:c>
      <x:c r="B122" s="34" t="str"/>
      <x:c r="C122" s="34" t="str"/>
      <x:c r="D122" s="34" t="str"/>
      <x:c r="E122" s="34" t="str"/>
      <x:c r="F122" s="34" t="str"/>
      <x:c r="G122" s="34" t="str"/>
      <x:c r="H122" s="34" t="str"/>
      <x:c r="I122" s="34" t="str"/>
      <x:c r="J122" s="34" t="str"/>
      <x:c r="K122" s="34" t="str"/>
      <x:c r="L122" s="34" t="str"/>
      <x:c r="M122" s="34" t="str"/>
      <x:c r="N122" s="34" t="str"/>
      <x:c r="O122" s="34" t="str"/>
      <x:c r="P122" s="34" t="str"/>
      <x:c r="Q122" s="34" t="str"/>
    </x:row>
    <x:row r="123">
      <x:c r="A123" s="34" t="str">
        <x:v>M5-CHG-118</x:v>
      </x:c>
      <x:c r="B123" s="34" t="str"/>
      <x:c r="C123" s="34" t="str"/>
      <x:c r="D123" s="34" t="str"/>
      <x:c r="E123" s="34" t="str"/>
      <x:c r="F123" s="34" t="str"/>
      <x:c r="G123" s="34" t="str"/>
      <x:c r="H123" s="34" t="str"/>
      <x:c r="I123" s="34" t="str"/>
      <x:c r="J123" s="34" t="str"/>
      <x:c r="K123" s="34" t="str"/>
      <x:c r="L123" s="34" t="str"/>
      <x:c r="M123" s="34" t="str"/>
      <x:c r="N123" s="34" t="str"/>
      <x:c r="O123" s="34" t="str"/>
      <x:c r="P123" s="34" t="str"/>
      <x:c r="Q123" s="34" t="str"/>
    </x:row>
    <x:row r="124">
      <x:c r="A124" s="34" t="str">
        <x:v>M5-CHG-119</x:v>
      </x:c>
      <x:c r="B124" s="34" t="str"/>
      <x:c r="C124" s="34" t="str"/>
      <x:c r="D124" s="34" t="str"/>
      <x:c r="E124" s="34" t="str"/>
      <x:c r="F124" s="34" t="str"/>
      <x:c r="G124" s="34" t="str"/>
      <x:c r="H124" s="34" t="str"/>
      <x:c r="I124" s="34" t="str"/>
      <x:c r="J124" s="34" t="str"/>
      <x:c r="K124" s="34" t="str"/>
      <x:c r="L124" s="34" t="str"/>
      <x:c r="M124" s="34" t="str"/>
      <x:c r="N124" s="34" t="str"/>
      <x:c r="O124" s="34" t="str"/>
      <x:c r="P124" s="34" t="str"/>
      <x:c r="Q124" s="34" t="str"/>
    </x:row>
    <x:row r="125">
      <x:c r="A125" s="34" t="str">
        <x:v>M5-CHG-120</x:v>
      </x:c>
      <x:c r="B125" s="34" t="str"/>
      <x:c r="C125" s="34" t="str"/>
      <x:c r="D125" s="34" t="str"/>
      <x:c r="E125" s="34" t="str"/>
      <x:c r="F125" s="34" t="str"/>
      <x:c r="G125" s="34" t="str"/>
      <x:c r="H125" s="34" t="str"/>
      <x:c r="I125" s="34" t="str"/>
      <x:c r="J125" s="34" t="str"/>
      <x:c r="K125" s="34" t="str"/>
      <x:c r="L125" s="34" t="str"/>
      <x:c r="M125" s="34" t="str"/>
      <x:c r="N125" s="34" t="str"/>
      <x:c r="O125" s="34" t="str"/>
      <x:c r="P125" s="34" t="str"/>
      <x:c r="Q125" s="34" t="str"/>
    </x:row>
    <x:row r="126">
      <x:c r="A126" s="34" t="str">
        <x:v>M5-CHG-121</x:v>
      </x:c>
      <x:c r="B126" s="34" t="str"/>
      <x:c r="C126" s="34" t="str"/>
      <x:c r="D126" s="34" t="str"/>
      <x:c r="E126" s="34" t="str"/>
      <x:c r="F126" s="34" t="str"/>
      <x:c r="G126" s="34" t="str"/>
      <x:c r="H126" s="34" t="str"/>
      <x:c r="I126" s="34" t="str"/>
      <x:c r="J126" s="34" t="str"/>
      <x:c r="K126" s="34" t="str"/>
      <x:c r="L126" s="34" t="str"/>
      <x:c r="M126" s="34" t="str"/>
      <x:c r="N126" s="34" t="str"/>
      <x:c r="O126" s="34" t="str"/>
      <x:c r="P126" s="34" t="str"/>
      <x:c r="Q126" s="34" t="str"/>
    </x:row>
    <x:row r="127">
      <x:c r="A127" s="34" t="str">
        <x:v>M5-CHG-122</x:v>
      </x:c>
      <x:c r="B127" s="34" t="str"/>
      <x:c r="C127" s="34" t="str"/>
      <x:c r="D127" s="34" t="str"/>
      <x:c r="E127" s="34" t="str"/>
      <x:c r="F127" s="34" t="str"/>
      <x:c r="G127" s="34" t="str"/>
      <x:c r="H127" s="34" t="str"/>
      <x:c r="I127" s="34" t="str"/>
      <x:c r="J127" s="34" t="str"/>
      <x:c r="K127" s="34" t="str"/>
      <x:c r="L127" s="34" t="str"/>
      <x:c r="M127" s="34" t="str"/>
      <x:c r="N127" s="34" t="str"/>
      <x:c r="O127" s="34" t="str"/>
      <x:c r="P127" s="34" t="str"/>
      <x:c r="Q127" s="34" t="str"/>
    </x:row>
    <x:row r="128">
      <x:c r="A128" s="34" t="str">
        <x:v>M5-CHG-123</x:v>
      </x:c>
      <x:c r="B128" s="34" t="str"/>
      <x:c r="C128" s="34" t="str"/>
      <x:c r="D128" s="34" t="str"/>
      <x:c r="E128" s="34" t="str"/>
      <x:c r="F128" s="34" t="str"/>
      <x:c r="G128" s="34" t="str"/>
      <x:c r="H128" s="34" t="str"/>
      <x:c r="I128" s="34" t="str"/>
      <x:c r="J128" s="34" t="str"/>
      <x:c r="K128" s="34" t="str"/>
      <x:c r="L128" s="34" t="str"/>
      <x:c r="M128" s="34" t="str"/>
      <x:c r="N128" s="34" t="str"/>
      <x:c r="O128" s="34" t="str"/>
      <x:c r="P128" s="34" t="str"/>
      <x:c r="Q128" s="34" t="str"/>
    </x:row>
    <x:row r="129">
      <x:c r="A129" s="34" t="str">
        <x:v>M5-CHG-124</x:v>
      </x:c>
      <x:c r="B129" s="34" t="str"/>
      <x:c r="C129" s="34" t="str"/>
      <x:c r="D129" s="34" t="str"/>
      <x:c r="E129" s="34" t="str"/>
      <x:c r="F129" s="34" t="str"/>
      <x:c r="G129" s="34" t="str"/>
      <x:c r="H129" s="34" t="str"/>
      <x:c r="I129" s="34" t="str"/>
      <x:c r="J129" s="34" t="str"/>
      <x:c r="K129" s="34" t="str"/>
      <x:c r="L129" s="34" t="str"/>
      <x:c r="M129" s="34" t="str"/>
      <x:c r="N129" s="34" t="str"/>
      <x:c r="O129" s="34" t="str"/>
      <x:c r="P129" s="34" t="str"/>
      <x:c r="Q129" s="34" t="str"/>
    </x:row>
    <x:row r="130">
      <x:c r="A130" s="34" t="str">
        <x:v>M5-CHG-125</x:v>
      </x:c>
      <x:c r="B130" s="34" t="str"/>
      <x:c r="C130" s="34" t="str"/>
      <x:c r="D130" s="34" t="str"/>
      <x:c r="E130" s="34" t="str"/>
      <x:c r="F130" s="34" t="str"/>
      <x:c r="G130" s="34" t="str"/>
      <x:c r="H130" s="34" t="str"/>
      <x:c r="I130" s="34" t="str"/>
      <x:c r="J130" s="34" t="str"/>
      <x:c r="K130" s="34" t="str"/>
      <x:c r="L130" s="34" t="str"/>
      <x:c r="M130" s="34" t="str"/>
      <x:c r="N130" s="34" t="str"/>
      <x:c r="O130" s="34" t="str"/>
      <x:c r="P130" s="34" t="str"/>
      <x:c r="Q130" s="34" t="str"/>
    </x:row>
    <x:row r="131">
      <x:c r="A131" s="34" t="str">
        <x:v>M5-CHG-126</x:v>
      </x:c>
      <x:c r="B131" s="34" t="str"/>
      <x:c r="C131" s="34" t="str"/>
      <x:c r="D131" s="34" t="str"/>
      <x:c r="E131" s="34" t="str"/>
      <x:c r="F131" s="34" t="str"/>
      <x:c r="G131" s="34" t="str"/>
      <x:c r="H131" s="34" t="str"/>
      <x:c r="I131" s="34" t="str"/>
      <x:c r="J131" s="34" t="str"/>
      <x:c r="K131" s="34" t="str"/>
      <x:c r="L131" s="34" t="str"/>
      <x:c r="M131" s="34" t="str"/>
      <x:c r="N131" s="34" t="str"/>
      <x:c r="O131" s="34" t="str"/>
      <x:c r="P131" s="34" t="str"/>
      <x:c r="Q131" s="34" t="str"/>
    </x:row>
    <x:row r="132">
      <x:c r="A132" s="34" t="str">
        <x:v>M5-CHG-127</x:v>
      </x:c>
      <x:c r="B132" s="34" t="str"/>
      <x:c r="C132" s="34" t="str"/>
      <x:c r="D132" s="34" t="str"/>
      <x:c r="E132" s="34" t="str"/>
      <x:c r="F132" s="34" t="str"/>
      <x:c r="G132" s="34" t="str"/>
      <x:c r="H132" s="34" t="str"/>
      <x:c r="I132" s="34" t="str"/>
      <x:c r="J132" s="34" t="str"/>
      <x:c r="K132" s="34" t="str"/>
      <x:c r="L132" s="34" t="str"/>
      <x:c r="M132" s="34" t="str"/>
      <x:c r="N132" s="34" t="str"/>
      <x:c r="O132" s="34" t="str"/>
      <x:c r="P132" s="34" t="str"/>
      <x:c r="Q132" s="34" t="str"/>
    </x:row>
    <x:row r="133">
      <x:c r="A133" s="34" t="str">
        <x:v>M5-CHG-128</x:v>
      </x:c>
      <x:c r="B133" s="34" t="str"/>
      <x:c r="C133" s="34" t="str"/>
      <x:c r="D133" s="34" t="str"/>
      <x:c r="E133" s="34" t="str"/>
      <x:c r="F133" s="34" t="str"/>
      <x:c r="G133" s="34" t="str"/>
      <x:c r="H133" s="34" t="str"/>
      <x:c r="I133" s="34" t="str"/>
      <x:c r="J133" s="34" t="str"/>
      <x:c r="K133" s="34" t="str"/>
      <x:c r="L133" s="34" t="str"/>
      <x:c r="M133" s="34" t="str"/>
      <x:c r="N133" s="34" t="str"/>
      <x:c r="O133" s="34" t="str"/>
      <x:c r="P133" s="34" t="str"/>
      <x:c r="Q133" s="34" t="str"/>
    </x:row>
    <x:row r="134">
      <x:c r="A134" s="34" t="str">
        <x:v>M5-CHG-129</x:v>
      </x:c>
      <x:c r="B134" s="34" t="str"/>
      <x:c r="C134" s="34" t="str"/>
      <x:c r="D134" s="34" t="str"/>
      <x:c r="E134" s="34" t="str"/>
      <x:c r="F134" s="34" t="str"/>
      <x:c r="G134" s="34" t="str"/>
      <x:c r="H134" s="34" t="str"/>
      <x:c r="I134" s="34" t="str"/>
      <x:c r="J134" s="34" t="str"/>
      <x:c r="K134" s="34" t="str"/>
      <x:c r="L134" s="34" t="str"/>
      <x:c r="M134" s="34" t="str"/>
      <x:c r="N134" s="34" t="str"/>
      <x:c r="O134" s="34" t="str"/>
      <x:c r="P134" s="34" t="str"/>
      <x:c r="Q134" s="34" t="str"/>
    </x:row>
    <x:row r="135">
      <x:c r="A135" s="34" t="str">
        <x:v>M5-CHG-130</x:v>
      </x:c>
      <x:c r="B135" s="34" t="str"/>
      <x:c r="C135" s="34" t="str"/>
      <x:c r="D135" s="34" t="str"/>
      <x:c r="E135" s="34" t="str"/>
      <x:c r="F135" s="34" t="str"/>
      <x:c r="G135" s="34" t="str"/>
      <x:c r="H135" s="34" t="str"/>
      <x:c r="I135" s="34" t="str"/>
      <x:c r="J135" s="34" t="str"/>
      <x:c r="K135" s="34" t="str"/>
      <x:c r="L135" s="34" t="str"/>
      <x:c r="M135" s="34" t="str"/>
      <x:c r="N135" s="34" t="str"/>
      <x:c r="O135" s="34" t="str"/>
      <x:c r="P135" s="34" t="str"/>
      <x:c r="Q135" s="34" t="str"/>
    </x:row>
    <x:row r="136">
      <x:c r="A136" s="34" t="str">
        <x:v>M5-CHG-131</x:v>
      </x:c>
      <x:c r="B136" s="34" t="str"/>
      <x:c r="C136" s="34" t="str"/>
      <x:c r="D136" s="34" t="str"/>
      <x:c r="E136" s="34" t="str"/>
      <x:c r="F136" s="34" t="str"/>
      <x:c r="G136" s="34" t="str"/>
      <x:c r="H136" s="34" t="str"/>
      <x:c r="I136" s="34" t="str"/>
      <x:c r="J136" s="34" t="str"/>
      <x:c r="K136" s="34" t="str"/>
      <x:c r="L136" s="34" t="str"/>
      <x:c r="M136" s="34" t="str"/>
      <x:c r="N136" s="34" t="str"/>
      <x:c r="O136" s="34" t="str"/>
      <x:c r="P136" s="34" t="str"/>
      <x:c r="Q136" s="34" t="str"/>
    </x:row>
    <x:row r="137">
      <x:c r="A137" s="34" t="str">
        <x:v>M5-CHG-132</x:v>
      </x:c>
      <x:c r="B137" s="34" t="str"/>
      <x:c r="C137" s="34" t="str"/>
      <x:c r="D137" s="34" t="str"/>
      <x:c r="E137" s="34" t="str"/>
      <x:c r="F137" s="34" t="str"/>
      <x:c r="G137" s="34" t="str"/>
      <x:c r="H137" s="34" t="str"/>
      <x:c r="I137" s="34" t="str"/>
      <x:c r="J137" s="34" t="str"/>
      <x:c r="K137" s="34" t="str"/>
      <x:c r="L137" s="34" t="str"/>
      <x:c r="M137" s="34" t="str"/>
      <x:c r="N137" s="34" t="str"/>
      <x:c r="O137" s="34" t="str"/>
      <x:c r="P137" s="34" t="str"/>
      <x:c r="Q137" s="34" t="str"/>
    </x:row>
    <x:row r="138">
      <x:c r="A138" s="34" t="str">
        <x:v>M5-CHG-133</x:v>
      </x:c>
      <x:c r="B138" s="34" t="str"/>
      <x:c r="C138" s="34" t="str"/>
      <x:c r="D138" s="34" t="str"/>
      <x:c r="E138" s="34" t="str"/>
      <x:c r="F138" s="34" t="str"/>
      <x:c r="G138" s="34" t="str"/>
      <x:c r="H138" s="34" t="str"/>
      <x:c r="I138" s="34" t="str"/>
      <x:c r="J138" s="34" t="str"/>
      <x:c r="K138" s="34" t="str"/>
      <x:c r="L138" s="34" t="str"/>
      <x:c r="M138" s="34" t="str"/>
      <x:c r="N138" s="34" t="str"/>
      <x:c r="O138" s="34" t="str"/>
      <x:c r="P138" s="34" t="str"/>
      <x:c r="Q138" s="34" t="str"/>
    </x:row>
    <x:row r="139">
      <x:c r="A139" s="34" t="str">
        <x:v>M5-CHG-134</x:v>
      </x:c>
      <x:c r="B139" s="34" t="str"/>
      <x:c r="C139" s="34" t="str"/>
      <x:c r="D139" s="34" t="str"/>
      <x:c r="E139" s="34" t="str"/>
      <x:c r="F139" s="34" t="str"/>
      <x:c r="G139" s="34" t="str"/>
      <x:c r="H139" s="34" t="str"/>
      <x:c r="I139" s="34" t="str"/>
      <x:c r="J139" s="34" t="str"/>
      <x:c r="K139" s="34" t="str"/>
      <x:c r="L139" s="34" t="str"/>
      <x:c r="M139" s="34" t="str"/>
      <x:c r="N139" s="34" t="str"/>
      <x:c r="O139" s="34" t="str"/>
      <x:c r="P139" s="34" t="str"/>
      <x:c r="Q139" s="34" t="str"/>
    </x:row>
    <x:row r="140">
      <x:c r="A140" s="34" t="str">
        <x:v>M5-CHG-135</x:v>
      </x:c>
      <x:c r="B140" s="34" t="str"/>
      <x:c r="C140" s="34" t="str"/>
      <x:c r="D140" s="34" t="str"/>
      <x:c r="E140" s="34" t="str"/>
      <x:c r="F140" s="34" t="str"/>
      <x:c r="G140" s="34" t="str"/>
      <x:c r="H140" s="34" t="str"/>
      <x:c r="I140" s="34" t="str"/>
      <x:c r="J140" s="34" t="str"/>
      <x:c r="K140" s="34" t="str"/>
      <x:c r="L140" s="34" t="str"/>
      <x:c r="M140" s="34" t="str"/>
      <x:c r="N140" s="34" t="str"/>
      <x:c r="O140" s="34" t="str"/>
      <x:c r="P140" s="34" t="str"/>
      <x:c r="Q140" s="34" t="str"/>
    </x:row>
    <x:row r="141">
      <x:c r="A141" s="34" t="str">
        <x:v>M5-CHG-136</x:v>
      </x:c>
      <x:c r="B141" s="34" t="str"/>
      <x:c r="C141" s="34" t="str"/>
      <x:c r="D141" s="34" t="str"/>
      <x:c r="E141" s="34" t="str"/>
      <x:c r="F141" s="34" t="str"/>
      <x:c r="G141" s="34" t="str"/>
      <x:c r="H141" s="34" t="str"/>
      <x:c r="I141" s="34" t="str"/>
      <x:c r="J141" s="34" t="str"/>
      <x:c r="K141" s="34" t="str"/>
      <x:c r="L141" s="34" t="str"/>
      <x:c r="M141" s="34" t="str"/>
      <x:c r="N141" s="34" t="str"/>
      <x:c r="O141" s="34" t="str"/>
      <x:c r="P141" s="34" t="str"/>
      <x:c r="Q141" s="34" t="str"/>
    </x:row>
    <x:row r="142">
      <x:c r="A142" s="34" t="str">
        <x:v>M5-CHG-137</x:v>
      </x:c>
      <x:c r="B142" s="34" t="str"/>
      <x:c r="C142" s="34" t="str"/>
      <x:c r="D142" s="34" t="str"/>
      <x:c r="E142" s="34" t="str"/>
      <x:c r="F142" s="34" t="str"/>
      <x:c r="G142" s="34" t="str"/>
      <x:c r="H142" s="34" t="str"/>
      <x:c r="I142" s="34" t="str"/>
      <x:c r="J142" s="34" t="str"/>
      <x:c r="K142" s="34" t="str"/>
      <x:c r="L142" s="34" t="str"/>
      <x:c r="M142" s="34" t="str"/>
      <x:c r="N142" s="34" t="str"/>
      <x:c r="O142" s="34" t="str"/>
      <x:c r="P142" s="34" t="str"/>
      <x:c r="Q142" s="34" t="str"/>
    </x:row>
    <x:row r="143">
      <x:c r="A143" s="34" t="str">
        <x:v>M5-CHG-138</x:v>
      </x:c>
      <x:c r="B143" s="34" t="str"/>
      <x:c r="C143" s="34" t="str"/>
      <x:c r="D143" s="34" t="str"/>
      <x:c r="E143" s="34" t="str"/>
      <x:c r="F143" s="34" t="str"/>
      <x:c r="G143" s="34" t="str"/>
      <x:c r="H143" s="34" t="str"/>
      <x:c r="I143" s="34" t="str"/>
      <x:c r="J143" s="34" t="str"/>
      <x:c r="K143" s="34" t="str"/>
      <x:c r="L143" s="34" t="str"/>
      <x:c r="M143" s="34" t="str"/>
      <x:c r="N143" s="34" t="str"/>
      <x:c r="O143" s="34" t="str"/>
      <x:c r="P143" s="34" t="str"/>
      <x:c r="Q143" s="34" t="str"/>
    </x:row>
    <x:row r="144">
      <x:c r="A144" s="34" t="str">
        <x:v>M5-CHG-139</x:v>
      </x:c>
      <x:c r="B144" s="34" t="str"/>
      <x:c r="C144" s="34" t="str"/>
      <x:c r="D144" s="34" t="str"/>
      <x:c r="E144" s="34" t="str"/>
      <x:c r="F144" s="34" t="str"/>
      <x:c r="G144" s="34" t="str"/>
      <x:c r="H144" s="34" t="str"/>
      <x:c r="I144" s="34" t="str"/>
      <x:c r="J144" s="34" t="str"/>
      <x:c r="K144" s="34" t="str"/>
      <x:c r="L144" s="34" t="str"/>
      <x:c r="M144" s="34" t="str"/>
      <x:c r="N144" s="34" t="str"/>
      <x:c r="O144" s="34" t="str"/>
      <x:c r="P144" s="34" t="str"/>
      <x:c r="Q144" s="34" t="str"/>
    </x:row>
    <x:row r="145">
      <x:c r="A145" s="34" t="str">
        <x:v>M5-CHG-140</x:v>
      </x:c>
      <x:c r="B145" s="34" t="str"/>
      <x:c r="C145" s="34" t="str"/>
      <x:c r="D145" s="34" t="str"/>
      <x:c r="E145" s="34" t="str"/>
      <x:c r="F145" s="34" t="str"/>
      <x:c r="G145" s="34" t="str"/>
      <x:c r="H145" s="34" t="str"/>
      <x:c r="I145" s="34" t="str"/>
      <x:c r="J145" s="34" t="str"/>
      <x:c r="K145" s="34" t="str"/>
      <x:c r="L145" s="34" t="str"/>
      <x:c r="M145" s="34" t="str"/>
      <x:c r="N145" s="34" t="str"/>
      <x:c r="O145" s="34" t="str"/>
      <x:c r="P145" s="34" t="str"/>
      <x:c r="Q145" s="34" t="str"/>
    </x:row>
    <x:row r="146">
      <x:c r="A146" s="34" t="str">
        <x:v>M5-CHG-141</x:v>
      </x:c>
      <x:c r="B146" s="34" t="str"/>
      <x:c r="C146" s="34" t="str"/>
      <x:c r="D146" s="34" t="str"/>
      <x:c r="E146" s="34" t="str"/>
      <x:c r="F146" s="34" t="str"/>
      <x:c r="G146" s="34" t="str"/>
      <x:c r="H146" s="34" t="str"/>
      <x:c r="I146" s="34" t="str"/>
      <x:c r="J146" s="34" t="str"/>
      <x:c r="K146" s="34" t="str"/>
      <x:c r="L146" s="34" t="str"/>
      <x:c r="M146" s="34" t="str"/>
      <x:c r="N146" s="34" t="str"/>
      <x:c r="O146" s="34" t="str"/>
      <x:c r="P146" s="34" t="str"/>
      <x:c r="Q146" s="34" t="str"/>
    </x:row>
    <x:row r="147">
      <x:c r="A147" s="34" t="str">
        <x:v>M5-CHG-142</x:v>
      </x:c>
      <x:c r="B147" s="34" t="str"/>
      <x:c r="C147" s="34" t="str"/>
      <x:c r="D147" s="34" t="str"/>
      <x:c r="E147" s="34" t="str"/>
      <x:c r="F147" s="34" t="str"/>
      <x:c r="G147" s="34" t="str"/>
      <x:c r="H147" s="34" t="str"/>
      <x:c r="I147" s="34" t="str"/>
      <x:c r="J147" s="34" t="str"/>
      <x:c r="K147" s="34" t="str"/>
      <x:c r="L147" s="34" t="str"/>
      <x:c r="M147" s="34" t="str"/>
      <x:c r="N147" s="34" t="str"/>
      <x:c r="O147" s="34" t="str"/>
      <x:c r="P147" s="34" t="str"/>
      <x:c r="Q147" s="34" t="str"/>
    </x:row>
    <x:row r="148">
      <x:c r="A148" s="34" t="str">
        <x:v>M5-CHG-143</x:v>
      </x:c>
      <x:c r="B148" s="34" t="str"/>
      <x:c r="C148" s="34" t="str"/>
      <x:c r="D148" s="34" t="str"/>
      <x:c r="E148" s="34" t="str"/>
      <x:c r="F148" s="34" t="str"/>
      <x:c r="G148" s="34" t="str"/>
      <x:c r="H148" s="34" t="str"/>
      <x:c r="I148" s="34" t="str"/>
      <x:c r="J148" s="34" t="str"/>
      <x:c r="K148" s="34" t="str"/>
      <x:c r="L148" s="34" t="str"/>
      <x:c r="M148" s="34" t="str"/>
      <x:c r="N148" s="34" t="str"/>
      <x:c r="O148" s="34" t="str"/>
      <x:c r="P148" s="34" t="str"/>
      <x:c r="Q148" s="34" t="str"/>
    </x:row>
    <x:row r="149">
      <x:c r="A149" s="34" t="str">
        <x:v>M5-CHG-144</x:v>
      </x:c>
      <x:c r="B149" s="34" t="str"/>
      <x:c r="C149" s="34" t="str"/>
      <x:c r="D149" s="34" t="str"/>
      <x:c r="E149" s="34" t="str"/>
      <x:c r="F149" s="34" t="str"/>
      <x:c r="G149" s="34" t="str"/>
      <x:c r="H149" s="34" t="str"/>
      <x:c r="I149" s="34" t="str"/>
      <x:c r="J149" s="34" t="str"/>
      <x:c r="K149" s="34" t="str"/>
      <x:c r="L149" s="34" t="str"/>
      <x:c r="M149" s="34" t="str"/>
      <x:c r="N149" s="34" t="str"/>
      <x:c r="O149" s="34" t="str"/>
      <x:c r="P149" s="34" t="str"/>
      <x:c r="Q149" s="34" t="str"/>
    </x:row>
    <x:row r="150">
      <x:c r="A150" s="34" t="str">
        <x:v>M5-CHG-145</x:v>
      </x:c>
      <x:c r="B150" s="34" t="str"/>
      <x:c r="C150" s="34" t="str"/>
      <x:c r="D150" s="34" t="str"/>
      <x:c r="E150" s="34" t="str"/>
      <x:c r="F150" s="34" t="str"/>
      <x:c r="G150" s="34" t="str"/>
      <x:c r="H150" s="34" t="str"/>
      <x:c r="I150" s="34" t="str"/>
      <x:c r="J150" s="34" t="str"/>
      <x:c r="K150" s="34" t="str"/>
      <x:c r="L150" s="34" t="str"/>
      <x:c r="M150" s="34" t="str"/>
      <x:c r="N150" s="34" t="str"/>
      <x:c r="O150" s="34" t="str"/>
      <x:c r="P150" s="34" t="str"/>
      <x:c r="Q150" s="34" t="str"/>
    </x:row>
    <x:row r="151">
      <x:c r="A151" s="34" t="str">
        <x:v>M5-CHG-146</x:v>
      </x:c>
      <x:c r="B151" s="34" t="str"/>
      <x:c r="C151" s="34" t="str"/>
      <x:c r="D151" s="34" t="str"/>
      <x:c r="E151" s="34" t="str"/>
      <x:c r="F151" s="34" t="str"/>
      <x:c r="G151" s="34" t="str"/>
      <x:c r="H151" s="34" t="str"/>
      <x:c r="I151" s="34" t="str"/>
      <x:c r="J151" s="34" t="str"/>
      <x:c r="K151" s="34" t="str"/>
      <x:c r="L151" s="34" t="str"/>
      <x:c r="M151" s="34" t="str"/>
      <x:c r="N151" s="34" t="str"/>
      <x:c r="O151" s="34" t="str"/>
      <x:c r="P151" s="34" t="str"/>
      <x:c r="Q151" s="34" t="str"/>
    </x:row>
    <x:row r="152">
      <x:c r="A152" s="34" t="str">
        <x:v>M5-CHG-147</x:v>
      </x:c>
      <x:c r="B152" s="34" t="str"/>
      <x:c r="C152" s="34" t="str"/>
      <x:c r="D152" s="34" t="str"/>
      <x:c r="E152" s="34" t="str"/>
      <x:c r="F152" s="34" t="str"/>
      <x:c r="G152" s="34" t="str"/>
      <x:c r="H152" s="34" t="str"/>
      <x:c r="I152" s="34" t="str"/>
      <x:c r="J152" s="34" t="str"/>
      <x:c r="K152" s="34" t="str"/>
      <x:c r="L152" s="34" t="str"/>
      <x:c r="M152" s="34" t="str"/>
      <x:c r="N152" s="34" t="str"/>
      <x:c r="O152" s="34" t="str"/>
      <x:c r="P152" s="34" t="str"/>
      <x:c r="Q152" s="34" t="str"/>
    </x:row>
    <x:row r="153">
      <x:c r="A153" s="34" t="str">
        <x:v>M5-CHG-148</x:v>
      </x:c>
      <x:c r="B153" s="34" t="str"/>
      <x:c r="C153" s="34" t="str"/>
      <x:c r="D153" s="34" t="str"/>
      <x:c r="E153" s="34" t="str"/>
      <x:c r="F153" s="34" t="str"/>
      <x:c r="G153" s="34" t="str"/>
      <x:c r="H153" s="34" t="str"/>
      <x:c r="I153" s="34" t="str"/>
      <x:c r="J153" s="34" t="str"/>
      <x:c r="K153" s="34" t="str"/>
      <x:c r="L153" s="34" t="str"/>
      <x:c r="M153" s="34" t="str"/>
      <x:c r="N153" s="34" t="str"/>
      <x:c r="O153" s="34" t="str"/>
      <x:c r="P153" s="34" t="str"/>
      <x:c r="Q153" s="34" t="str"/>
    </x:row>
    <x:row r="154">
      <x:c r="A154" s="34" t="str">
        <x:v>M5-CHG-149</x:v>
      </x:c>
      <x:c r="B154" s="34" t="str"/>
      <x:c r="C154" s="34" t="str"/>
      <x:c r="D154" s="34" t="str"/>
      <x:c r="E154" s="34" t="str"/>
      <x:c r="F154" s="34" t="str"/>
      <x:c r="G154" s="34" t="str"/>
      <x:c r="H154" s="34" t="str"/>
      <x:c r="I154" s="34" t="str"/>
      <x:c r="J154" s="34" t="str"/>
      <x:c r="K154" s="34" t="str"/>
      <x:c r="L154" s="34" t="str"/>
      <x:c r="M154" s="34" t="str"/>
      <x:c r="N154" s="34" t="str"/>
      <x:c r="O154" s="34" t="str"/>
      <x:c r="P154" s="34" t="str"/>
      <x:c r="Q154" s="34" t="str"/>
    </x:row>
    <x:row r="155">
      <x:c r="A155" s="34" t="str">
        <x:v>M5-CHG-150</x:v>
      </x:c>
      <x:c r="B155" s="34" t="str"/>
      <x:c r="C155" s="34" t="str"/>
      <x:c r="D155" s="34" t="str"/>
      <x:c r="E155" s="34" t="str"/>
      <x:c r="F155" s="34" t="str"/>
      <x:c r="G155" s="34" t="str"/>
      <x:c r="H155" s="34" t="str"/>
      <x:c r="I155" s="34" t="str"/>
      <x:c r="J155" s="34" t="str"/>
      <x:c r="K155" s="34" t="str"/>
      <x:c r="L155" s="34" t="str"/>
      <x:c r="M155" s="34" t="str"/>
      <x:c r="N155" s="34" t="str"/>
      <x:c r="O155" s="34" t="str"/>
      <x:c r="P155" s="34" t="str"/>
      <x:c r="Q155" s="34" t="str"/>
    </x:row>
    <x:row r="156">
      <x:c r="A156" s="34" t="str">
        <x:v>M5-CHG-151</x:v>
      </x:c>
      <x:c r="B156" s="34" t="str"/>
      <x:c r="C156" s="34" t="str"/>
      <x:c r="D156" s="34" t="str"/>
      <x:c r="E156" s="34" t="str"/>
      <x:c r="F156" s="34" t="str"/>
      <x:c r="G156" s="34" t="str"/>
      <x:c r="H156" s="34" t="str"/>
      <x:c r="I156" s="34" t="str"/>
      <x:c r="J156" s="34" t="str"/>
      <x:c r="K156" s="34" t="str"/>
      <x:c r="L156" s="34" t="str"/>
      <x:c r="M156" s="34" t="str"/>
      <x:c r="N156" s="34" t="str"/>
      <x:c r="O156" s="34" t="str"/>
      <x:c r="P156" s="34" t="str"/>
      <x:c r="Q156" s="34" t="str"/>
    </x:row>
    <x:row r="157">
      <x:c r="A157" s="34" t="str">
        <x:v>M5-CHG-152</x:v>
      </x:c>
      <x:c r="B157" s="34" t="str"/>
      <x:c r="C157" s="34" t="str"/>
      <x:c r="D157" s="34" t="str"/>
      <x:c r="E157" s="34" t="str"/>
      <x:c r="F157" s="34" t="str"/>
      <x:c r="G157" s="34" t="str"/>
      <x:c r="H157" s="34" t="str"/>
      <x:c r="I157" s="34" t="str"/>
      <x:c r="J157" s="34" t="str"/>
      <x:c r="K157" s="34" t="str"/>
      <x:c r="L157" s="34" t="str"/>
      <x:c r="M157" s="34" t="str"/>
      <x:c r="N157" s="34" t="str"/>
      <x:c r="O157" s="34" t="str"/>
      <x:c r="P157" s="34" t="str"/>
      <x:c r="Q157" s="34" t="str"/>
    </x:row>
    <x:row r="158">
      <x:c r="A158" s="34" t="str">
        <x:v>M5-CHG-153</x:v>
      </x:c>
      <x:c r="B158" s="34" t="str"/>
      <x:c r="C158" s="34" t="str"/>
      <x:c r="D158" s="34" t="str"/>
      <x:c r="E158" s="34" t="str"/>
      <x:c r="F158" s="34" t="str"/>
      <x:c r="G158" s="34" t="str"/>
      <x:c r="H158" s="34" t="str"/>
      <x:c r="I158" s="34" t="str"/>
      <x:c r="J158" s="34" t="str"/>
      <x:c r="K158" s="34" t="str"/>
      <x:c r="L158" s="34" t="str"/>
      <x:c r="M158" s="34" t="str"/>
      <x:c r="N158" s="34" t="str"/>
      <x:c r="O158" s="34" t="str"/>
      <x:c r="P158" s="34" t="str"/>
      <x:c r="Q158" s="34" t="str"/>
    </x:row>
    <x:row r="159">
      <x:c r="A159" s="34" t="str">
        <x:v>M5-CHG-154</x:v>
      </x:c>
      <x:c r="B159" s="34" t="str"/>
      <x:c r="C159" s="34" t="str"/>
      <x:c r="D159" s="34" t="str"/>
      <x:c r="E159" s="34" t="str"/>
      <x:c r="F159" s="34" t="str"/>
      <x:c r="G159" s="34" t="str"/>
      <x:c r="H159" s="34" t="str"/>
      <x:c r="I159" s="34" t="str"/>
      <x:c r="J159" s="34" t="str"/>
      <x:c r="K159" s="34" t="str"/>
      <x:c r="L159" s="34" t="str"/>
      <x:c r="M159" s="34" t="str"/>
      <x:c r="N159" s="34" t="str"/>
      <x:c r="O159" s="34" t="str"/>
      <x:c r="P159" s="34" t="str"/>
      <x:c r="Q159" s="34" t="str"/>
    </x:row>
    <x:row r="160">
      <x:c r="A160" s="34" t="str">
        <x:v>M5-CHG-155</x:v>
      </x:c>
      <x:c r="B160" s="34" t="str"/>
      <x:c r="C160" s="34" t="str"/>
      <x:c r="D160" s="34" t="str"/>
      <x:c r="E160" s="34" t="str"/>
      <x:c r="F160" s="34" t="str"/>
      <x:c r="G160" s="34" t="str"/>
      <x:c r="H160" s="34" t="str"/>
      <x:c r="I160" s="34" t="str"/>
      <x:c r="J160" s="34" t="str"/>
      <x:c r="K160" s="34" t="str"/>
      <x:c r="L160" s="34" t="str"/>
      <x:c r="M160" s="34" t="str"/>
      <x:c r="N160" s="34" t="str"/>
      <x:c r="O160" s="34" t="str"/>
      <x:c r="P160" s="34" t="str"/>
      <x:c r="Q160" s="34" t="str"/>
    </x:row>
    <x:row r="161">
      <x:c r="A161" s="34" t="str">
        <x:v>M5-CHG-156</x:v>
      </x:c>
      <x:c r="B161" s="34" t="str"/>
      <x:c r="C161" s="34" t="str"/>
      <x:c r="D161" s="34" t="str"/>
      <x:c r="E161" s="34" t="str"/>
      <x:c r="F161" s="34" t="str"/>
      <x:c r="G161" s="34" t="str"/>
      <x:c r="H161" s="34" t="str"/>
      <x:c r="I161" s="34" t="str"/>
      <x:c r="J161" s="34" t="str"/>
      <x:c r="K161" s="34" t="str"/>
      <x:c r="L161" s="34" t="str"/>
      <x:c r="M161" s="34" t="str"/>
      <x:c r="N161" s="34" t="str"/>
      <x:c r="O161" s="34" t="str"/>
      <x:c r="P161" s="34" t="str"/>
      <x:c r="Q161" s="34" t="str"/>
    </x:row>
    <x:row r="162">
      <x:c r="A162" s="34" t="str">
        <x:v>M5-CHG-157</x:v>
      </x:c>
      <x:c r="B162" s="34" t="str"/>
      <x:c r="C162" s="34" t="str"/>
      <x:c r="D162" s="34" t="str"/>
      <x:c r="E162" s="34" t="str"/>
      <x:c r="F162" s="34" t="str"/>
      <x:c r="G162" s="34" t="str"/>
      <x:c r="H162" s="34" t="str"/>
      <x:c r="I162" s="34" t="str"/>
      <x:c r="J162" s="34" t="str"/>
      <x:c r="K162" s="34" t="str"/>
      <x:c r="L162" s="34" t="str"/>
      <x:c r="M162" s="34" t="str"/>
      <x:c r="N162" s="34" t="str"/>
      <x:c r="O162" s="34" t="str"/>
      <x:c r="P162" s="34" t="str"/>
      <x:c r="Q162" s="34" t="str"/>
    </x:row>
    <x:row r="163">
      <x:c r="A163" s="34" t="str">
        <x:v>M5-CHG-158</x:v>
      </x:c>
      <x:c r="B163" s="34" t="str"/>
      <x:c r="C163" s="34" t="str"/>
      <x:c r="D163" s="34" t="str"/>
      <x:c r="E163" s="34" t="str"/>
      <x:c r="F163" s="34" t="str"/>
      <x:c r="G163" s="34" t="str"/>
      <x:c r="H163" s="34" t="str"/>
      <x:c r="I163" s="34" t="str"/>
      <x:c r="J163" s="34" t="str"/>
      <x:c r="K163" s="34" t="str"/>
      <x:c r="L163" s="34" t="str"/>
      <x:c r="M163" s="34" t="str"/>
      <x:c r="N163" s="34" t="str"/>
      <x:c r="O163" s="34" t="str"/>
      <x:c r="P163" s="34" t="str"/>
      <x:c r="Q163" s="34" t="str"/>
    </x:row>
    <x:row r="164">
      <x:c r="A164" s="34" t="str">
        <x:v>M5-CHG-159</x:v>
      </x:c>
      <x:c r="B164" s="34" t="str"/>
      <x:c r="C164" s="34" t="str"/>
      <x:c r="D164" s="34" t="str"/>
      <x:c r="E164" s="34" t="str"/>
      <x:c r="F164" s="34" t="str"/>
      <x:c r="G164" s="34" t="str"/>
      <x:c r="H164" s="34" t="str"/>
      <x:c r="I164" s="34" t="str"/>
      <x:c r="J164" s="34" t="str"/>
      <x:c r="K164" s="34" t="str"/>
      <x:c r="L164" s="34" t="str"/>
      <x:c r="M164" s="34" t="str"/>
      <x:c r="N164" s="34" t="str"/>
      <x:c r="O164" s="34" t="str"/>
      <x:c r="P164" s="34" t="str"/>
      <x:c r="Q164" s="34" t="str"/>
    </x:row>
    <x:row r="165">
      <x:c r="A165" s="34" t="str">
        <x:v>M5-CHG-160</x:v>
      </x:c>
      <x:c r="B165" s="34" t="str"/>
      <x:c r="C165" s="34" t="str"/>
      <x:c r="D165" s="34" t="str"/>
      <x:c r="E165" s="34" t="str"/>
      <x:c r="F165" s="34" t="str"/>
      <x:c r="G165" s="34" t="str"/>
      <x:c r="H165" s="34" t="str"/>
      <x:c r="I165" s="34" t="str"/>
      <x:c r="J165" s="34" t="str"/>
      <x:c r="K165" s="34" t="str"/>
      <x:c r="L165" s="34" t="str"/>
      <x:c r="M165" s="34" t="str"/>
      <x:c r="N165" s="34" t="str"/>
      <x:c r="O165" s="34" t="str"/>
      <x:c r="P165" s="34" t="str"/>
      <x:c r="Q165" s="34" t="str"/>
    </x:row>
    <x:row r="166">
      <x:c r="A166" s="34" t="str">
        <x:v>M5-CHG-161</x:v>
      </x:c>
      <x:c r="B166" s="34" t="str"/>
      <x:c r="C166" s="34" t="str"/>
      <x:c r="D166" s="34" t="str"/>
      <x:c r="E166" s="34" t="str"/>
      <x:c r="F166" s="34" t="str"/>
      <x:c r="G166" s="34" t="str"/>
      <x:c r="H166" s="34" t="str"/>
      <x:c r="I166" s="34" t="str"/>
      <x:c r="J166" s="34" t="str"/>
      <x:c r="K166" s="34" t="str"/>
      <x:c r="L166" s="34" t="str"/>
      <x:c r="M166" s="34" t="str"/>
      <x:c r="N166" s="34" t="str"/>
      <x:c r="O166" s="34" t="str"/>
      <x:c r="P166" s="34" t="str"/>
      <x:c r="Q166" s="34" t="str"/>
    </x:row>
    <x:row r="167">
      <x:c r="A167" s="34" t="str">
        <x:v>M5-CHG-162</x:v>
      </x:c>
      <x:c r="B167" s="34" t="str"/>
      <x:c r="C167" s="34" t="str"/>
      <x:c r="D167" s="34" t="str"/>
      <x:c r="E167" s="34" t="str"/>
      <x:c r="F167" s="34" t="str"/>
      <x:c r="G167" s="34" t="str"/>
      <x:c r="H167" s="34" t="str"/>
      <x:c r="I167" s="34" t="str"/>
      <x:c r="J167" s="34" t="str"/>
      <x:c r="K167" s="34" t="str"/>
      <x:c r="L167" s="34" t="str"/>
      <x:c r="M167" s="34" t="str"/>
      <x:c r="N167" s="34" t="str"/>
      <x:c r="O167" s="34" t="str"/>
      <x:c r="P167" s="34" t="str"/>
      <x:c r="Q167" s="34" t="str"/>
    </x:row>
    <x:row r="168">
      <x:c r="A168" s="34" t="str">
        <x:v>M5-CHG-163</x:v>
      </x:c>
      <x:c r="B168" s="34" t="str"/>
      <x:c r="C168" s="34" t="str"/>
      <x:c r="D168" s="34" t="str"/>
      <x:c r="E168" s="34" t="str"/>
      <x:c r="F168" s="34" t="str"/>
      <x:c r="G168" s="34" t="str"/>
      <x:c r="H168" s="34" t="str"/>
      <x:c r="I168" s="34" t="str"/>
      <x:c r="J168" s="34" t="str"/>
      <x:c r="K168" s="34" t="str"/>
      <x:c r="L168" s="34" t="str"/>
      <x:c r="M168" s="34" t="str"/>
      <x:c r="N168" s="34" t="str"/>
      <x:c r="O168" s="34" t="str"/>
      <x:c r="P168" s="34" t="str"/>
      <x:c r="Q168" s="34" t="str"/>
    </x:row>
    <x:row r="169">
      <x:c r="A169" s="34" t="str">
        <x:v>M5-CHG-164</x:v>
      </x:c>
      <x:c r="B169" s="34" t="str"/>
      <x:c r="C169" s="34" t="str"/>
      <x:c r="D169" s="34" t="str"/>
      <x:c r="E169" s="34" t="str"/>
      <x:c r="F169" s="34" t="str"/>
      <x:c r="G169" s="34" t="str"/>
      <x:c r="H169" s="34" t="str"/>
      <x:c r="I169" s="34" t="str"/>
      <x:c r="J169" s="34" t="str"/>
      <x:c r="K169" s="34" t="str"/>
      <x:c r="L169" s="34" t="str"/>
      <x:c r="M169" s="34" t="str"/>
      <x:c r="N169" s="34" t="str"/>
      <x:c r="O169" s="34" t="str"/>
      <x:c r="P169" s="34" t="str"/>
      <x:c r="Q169" s="34" t="str"/>
    </x:row>
    <x:row r="170">
      <x:c r="A170" s="34" t="str">
        <x:v>M5-CHG-165</x:v>
      </x:c>
      <x:c r="B170" s="34" t="str"/>
      <x:c r="C170" s="34" t="str"/>
      <x:c r="D170" s="34" t="str"/>
      <x:c r="E170" s="34" t="str"/>
      <x:c r="F170" s="34" t="str"/>
      <x:c r="G170" s="34" t="str"/>
      <x:c r="H170" s="34" t="str"/>
      <x:c r="I170" s="34" t="str"/>
      <x:c r="J170" s="34" t="str"/>
      <x:c r="K170" s="34" t="str"/>
      <x:c r="L170" s="34" t="str"/>
      <x:c r="M170" s="34" t="str"/>
      <x:c r="N170" s="34" t="str"/>
      <x:c r="O170" s="34" t="str"/>
      <x:c r="P170" s="34" t="str"/>
      <x:c r="Q170" s="34" t="str"/>
    </x:row>
    <x:row r="171">
      <x:c r="A171" s="34" t="str">
        <x:v>M5-CHG-166</x:v>
      </x:c>
      <x:c r="B171" s="34" t="str"/>
      <x:c r="C171" s="34" t="str"/>
      <x:c r="D171" s="34" t="str"/>
      <x:c r="E171" s="34" t="str"/>
      <x:c r="F171" s="34" t="str"/>
      <x:c r="G171" s="34" t="str"/>
      <x:c r="H171" s="34" t="str"/>
      <x:c r="I171" s="34" t="str"/>
      <x:c r="J171" s="34" t="str"/>
      <x:c r="K171" s="34" t="str"/>
      <x:c r="L171" s="34" t="str"/>
      <x:c r="M171" s="34" t="str"/>
      <x:c r="N171" s="34" t="str"/>
      <x:c r="O171" s="34" t="str"/>
      <x:c r="P171" s="34" t="str"/>
      <x:c r="Q171" s="34" t="str"/>
    </x:row>
    <x:row r="172">
      <x:c r="A172" s="34" t="str">
        <x:v>M5-CHG-167</x:v>
      </x:c>
      <x:c r="B172" s="34" t="str"/>
      <x:c r="C172" s="34" t="str"/>
      <x:c r="D172" s="34" t="str"/>
      <x:c r="E172" s="34" t="str"/>
      <x:c r="F172" s="34" t="str"/>
      <x:c r="G172" s="34" t="str"/>
      <x:c r="H172" s="34" t="str"/>
      <x:c r="I172" s="34" t="str"/>
      <x:c r="J172" s="34" t="str"/>
      <x:c r="K172" s="34" t="str"/>
      <x:c r="L172" s="34" t="str"/>
      <x:c r="M172" s="34" t="str"/>
      <x:c r="N172" s="34" t="str"/>
      <x:c r="O172" s="34" t="str"/>
      <x:c r="P172" s="34" t="str"/>
      <x:c r="Q172" s="34" t="str"/>
    </x:row>
    <x:row r="173">
      <x:c r="A173" s="34" t="str">
        <x:v>M5-CHG-168</x:v>
      </x:c>
      <x:c r="B173" s="34" t="str"/>
      <x:c r="C173" s="34" t="str"/>
      <x:c r="D173" s="34" t="str"/>
      <x:c r="E173" s="34" t="str"/>
      <x:c r="F173" s="34" t="str"/>
      <x:c r="G173" s="34" t="str"/>
      <x:c r="H173" s="34" t="str"/>
      <x:c r="I173" s="34" t="str"/>
      <x:c r="J173" s="34" t="str"/>
      <x:c r="K173" s="34" t="str"/>
      <x:c r="L173" s="34" t="str"/>
      <x:c r="M173" s="34" t="str"/>
      <x:c r="N173" s="34" t="str"/>
      <x:c r="O173" s="34" t="str"/>
      <x:c r="P173" s="34" t="str"/>
      <x:c r="Q173" s="34" t="str"/>
    </x:row>
    <x:row r="174">
      <x:c r="A174" s="34" t="str">
        <x:v>M5-CHG-169</x:v>
      </x:c>
      <x:c r="B174" s="34" t="str"/>
      <x:c r="C174" s="34" t="str"/>
      <x:c r="D174" s="34" t="str"/>
      <x:c r="E174" s="34" t="str"/>
      <x:c r="F174" s="34" t="str"/>
      <x:c r="G174" s="34" t="str"/>
      <x:c r="H174" s="34" t="str"/>
      <x:c r="I174" s="34" t="str"/>
      <x:c r="J174" s="34" t="str"/>
      <x:c r="K174" s="34" t="str"/>
      <x:c r="L174" s="34" t="str"/>
      <x:c r="M174" s="34" t="str"/>
      <x:c r="N174" s="34" t="str"/>
      <x:c r="O174" s="34" t="str"/>
      <x:c r="P174" s="34" t="str"/>
      <x:c r="Q174" s="34" t="str"/>
    </x:row>
    <x:row r="175">
      <x:c r="A175" s="34" t="str">
        <x:v>M5-CHG-170</x:v>
      </x:c>
      <x:c r="B175" s="34" t="str"/>
      <x:c r="C175" s="34" t="str"/>
      <x:c r="D175" s="34" t="str"/>
      <x:c r="E175" s="34" t="str"/>
      <x:c r="F175" s="34" t="str"/>
      <x:c r="G175" s="34" t="str"/>
      <x:c r="H175" s="34" t="str"/>
      <x:c r="I175" s="34" t="str"/>
      <x:c r="J175" s="34" t="str"/>
      <x:c r="K175" s="34" t="str"/>
      <x:c r="L175" s="34" t="str"/>
      <x:c r="M175" s="34" t="str"/>
      <x:c r="N175" s="34" t="str"/>
      <x:c r="O175" s="34" t="str"/>
      <x:c r="P175" s="34" t="str"/>
      <x:c r="Q175" s="34" t="str"/>
    </x:row>
    <x:row r="176">
      <x:c r="A176" s="34" t="str">
        <x:v>M5-CHG-171</x:v>
      </x:c>
      <x:c r="B176" s="34" t="str"/>
      <x:c r="C176" s="34" t="str"/>
      <x:c r="D176" s="34" t="str"/>
      <x:c r="E176" s="34" t="str"/>
      <x:c r="F176" s="34" t="str"/>
      <x:c r="G176" s="34" t="str"/>
      <x:c r="H176" s="34" t="str"/>
      <x:c r="I176" s="34" t="str"/>
      <x:c r="J176" s="34" t="str"/>
      <x:c r="K176" s="34" t="str"/>
      <x:c r="L176" s="34" t="str"/>
      <x:c r="M176" s="34" t="str"/>
      <x:c r="N176" s="34" t="str"/>
      <x:c r="O176" s="34" t="str"/>
      <x:c r="P176" s="34" t="str"/>
      <x:c r="Q176" s="34" t="str"/>
    </x:row>
    <x:row r="177">
      <x:c r="A177" s="34" t="str">
        <x:v>M5-CHG-172</x:v>
      </x:c>
      <x:c r="B177" s="34" t="str"/>
      <x:c r="C177" s="34" t="str"/>
      <x:c r="D177" s="34" t="str"/>
      <x:c r="E177" s="34" t="str"/>
      <x:c r="F177" s="34" t="str"/>
      <x:c r="G177" s="34" t="str"/>
      <x:c r="H177" s="34" t="str"/>
      <x:c r="I177" s="34" t="str"/>
      <x:c r="J177" s="34" t="str"/>
      <x:c r="K177" s="34" t="str"/>
      <x:c r="L177" s="34" t="str"/>
      <x:c r="M177" s="34" t="str"/>
      <x:c r="N177" s="34" t="str"/>
      <x:c r="O177" s="34" t="str"/>
      <x:c r="P177" s="34" t="str"/>
      <x:c r="Q177" s="34" t="str"/>
    </x:row>
    <x:row r="178">
      <x:c r="A178" s="34" t="str">
        <x:v>M5-CHG-173</x:v>
      </x:c>
      <x:c r="B178" s="34" t="str"/>
      <x:c r="C178" s="34" t="str"/>
      <x:c r="D178" s="34" t="str"/>
      <x:c r="E178" s="34" t="str"/>
      <x:c r="F178" s="34" t="str"/>
      <x:c r="G178" s="34" t="str"/>
      <x:c r="H178" s="34" t="str"/>
      <x:c r="I178" s="34" t="str"/>
      <x:c r="J178" s="34" t="str"/>
      <x:c r="K178" s="34" t="str"/>
      <x:c r="L178" s="34" t="str"/>
      <x:c r="M178" s="34" t="str"/>
      <x:c r="N178" s="34" t="str"/>
      <x:c r="O178" s="34" t="str"/>
      <x:c r="P178" s="34" t="str"/>
      <x:c r="Q178" s="34" t="str"/>
    </x:row>
    <x:row r="179">
      <x:c r="A179" s="34" t="str">
        <x:v>M5-CHG-174</x:v>
      </x:c>
      <x:c r="B179" s="34" t="str"/>
      <x:c r="C179" s="34" t="str"/>
      <x:c r="D179" s="34" t="str"/>
      <x:c r="E179" s="34" t="str"/>
      <x:c r="F179" s="34" t="str"/>
      <x:c r="G179" s="34" t="str"/>
      <x:c r="H179" s="34" t="str"/>
      <x:c r="I179" s="34" t="str"/>
      <x:c r="J179" s="34" t="str"/>
      <x:c r="K179" s="34" t="str"/>
      <x:c r="L179" s="34" t="str"/>
      <x:c r="M179" s="34" t="str"/>
      <x:c r="N179" s="34" t="str"/>
      <x:c r="O179" s="34" t="str"/>
      <x:c r="P179" s="34" t="str"/>
      <x:c r="Q179" s="34" t="str"/>
    </x:row>
    <x:row r="180">
      <x:c r="A180" s="34" t="str">
        <x:v>M5-CHG-175</x:v>
      </x:c>
      <x:c r="B180" s="34" t="str"/>
      <x:c r="C180" s="34" t="str"/>
      <x:c r="D180" s="34" t="str"/>
      <x:c r="E180" s="34" t="str"/>
      <x:c r="F180" s="34" t="str"/>
      <x:c r="G180" s="34" t="str"/>
      <x:c r="H180" s="34" t="str"/>
      <x:c r="I180" s="34" t="str"/>
      <x:c r="J180" s="34" t="str"/>
      <x:c r="K180" s="34" t="str"/>
      <x:c r="L180" s="34" t="str"/>
      <x:c r="M180" s="34" t="str"/>
      <x:c r="N180" s="34" t="str"/>
      <x:c r="O180" s="34" t="str"/>
      <x:c r="P180" s="34" t="str"/>
      <x:c r="Q180" s="34" t="str"/>
    </x:row>
    <x:row r="181">
      <x:c r="A181" s="34" t="str">
        <x:v>M5-CHG-176</x:v>
      </x:c>
      <x:c r="B181" s="34" t="str"/>
      <x:c r="C181" s="34" t="str"/>
      <x:c r="D181" s="34" t="str"/>
      <x:c r="E181" s="34" t="str"/>
      <x:c r="F181" s="34" t="str"/>
      <x:c r="G181" s="34" t="str"/>
      <x:c r="H181" s="34" t="str"/>
      <x:c r="I181" s="34" t="str"/>
      <x:c r="J181" s="34" t="str"/>
      <x:c r="K181" s="34" t="str"/>
      <x:c r="L181" s="34" t="str"/>
      <x:c r="M181" s="34" t="str"/>
      <x:c r="N181" s="34" t="str"/>
      <x:c r="O181" s="34" t="str"/>
      <x:c r="P181" s="34" t="str"/>
      <x:c r="Q181" s="34" t="str"/>
    </x:row>
    <x:row r="182">
      <x:c r="A182" s="34" t="str">
        <x:v>M5-CHG-177</x:v>
      </x:c>
      <x:c r="B182" s="34" t="str"/>
      <x:c r="C182" s="34" t="str"/>
      <x:c r="D182" s="34" t="str"/>
      <x:c r="E182" s="34" t="str"/>
      <x:c r="F182" s="34" t="str"/>
      <x:c r="G182" s="34" t="str"/>
      <x:c r="H182" s="34" t="str"/>
      <x:c r="I182" s="34" t="str"/>
      <x:c r="J182" s="34" t="str"/>
      <x:c r="K182" s="34" t="str"/>
      <x:c r="L182" s="34" t="str"/>
      <x:c r="M182" s="34" t="str"/>
      <x:c r="N182" s="34" t="str"/>
      <x:c r="O182" s="34" t="str"/>
      <x:c r="P182" s="34" t="str"/>
      <x:c r="Q182" s="34" t="str"/>
    </x:row>
    <x:row r="183">
      <x:c r="A183" s="34" t="str">
        <x:v>M5-CHG-178</x:v>
      </x:c>
      <x:c r="B183" s="34" t="str"/>
      <x:c r="C183" s="34" t="str"/>
      <x:c r="D183" s="34" t="str"/>
      <x:c r="E183" s="34" t="str"/>
      <x:c r="F183" s="34" t="str"/>
      <x:c r="G183" s="34" t="str"/>
      <x:c r="H183" s="34" t="str"/>
      <x:c r="I183" s="34" t="str"/>
      <x:c r="J183" s="34" t="str"/>
      <x:c r="K183" s="34" t="str"/>
      <x:c r="L183" s="34" t="str"/>
      <x:c r="M183" s="34" t="str"/>
      <x:c r="N183" s="34" t="str"/>
      <x:c r="O183" s="34" t="str"/>
      <x:c r="P183" s="34" t="str"/>
      <x:c r="Q183" s="34" t="str"/>
    </x:row>
    <x:row r="184">
      <x:c r="A184" s="34" t="str">
        <x:v>M5-CHG-179</x:v>
      </x:c>
      <x:c r="B184" s="34" t="str"/>
      <x:c r="C184" s="34" t="str"/>
      <x:c r="D184" s="34" t="str"/>
      <x:c r="E184" s="34" t="str"/>
      <x:c r="F184" s="34" t="str"/>
      <x:c r="G184" s="34" t="str"/>
      <x:c r="H184" s="34" t="str"/>
      <x:c r="I184" s="34" t="str"/>
      <x:c r="J184" s="34" t="str"/>
      <x:c r="K184" s="34" t="str"/>
      <x:c r="L184" s="34" t="str"/>
      <x:c r="M184" s="34" t="str"/>
      <x:c r="N184" s="34" t="str"/>
      <x:c r="O184" s="34" t="str"/>
      <x:c r="P184" s="34" t="str"/>
      <x:c r="Q184" s="34" t="str"/>
    </x:row>
    <x:row r="185">
      <x:c r="A185" s="34" t="str">
        <x:v>M5-CHG-180</x:v>
      </x:c>
      <x:c r="B185" s="34" t="str"/>
      <x:c r="C185" s="34" t="str"/>
      <x:c r="D185" s="34" t="str"/>
      <x:c r="E185" s="34" t="str"/>
      <x:c r="F185" s="34" t="str"/>
      <x:c r="G185" s="34" t="str"/>
      <x:c r="H185" s="34" t="str"/>
      <x:c r="I185" s="34" t="str"/>
      <x:c r="J185" s="34" t="str"/>
      <x:c r="K185" s="34" t="str"/>
      <x:c r="L185" s="34" t="str"/>
      <x:c r="M185" s="34" t="str"/>
      <x:c r="N185" s="34" t="str"/>
      <x:c r="O185" s="34" t="str"/>
      <x:c r="P185" s="34" t="str"/>
      <x:c r="Q185" s="34" t="str"/>
    </x:row>
    <x:row r="186">
      <x:c r="A186" s="34" t="str">
        <x:v>M5-CHG-181</x:v>
      </x:c>
      <x:c r="B186" s="34" t="str"/>
      <x:c r="C186" s="34" t="str"/>
      <x:c r="D186" s="34" t="str"/>
      <x:c r="E186" s="34" t="str"/>
      <x:c r="F186" s="34" t="str"/>
      <x:c r="G186" s="34" t="str"/>
      <x:c r="H186" s="34" t="str"/>
      <x:c r="I186" s="34" t="str"/>
      <x:c r="J186" s="34" t="str"/>
      <x:c r="K186" s="34" t="str"/>
      <x:c r="L186" s="34" t="str"/>
      <x:c r="M186" s="34" t="str"/>
      <x:c r="N186" s="34" t="str"/>
      <x:c r="O186" s="34" t="str"/>
      <x:c r="P186" s="34" t="str"/>
      <x:c r="Q186" s="34" t="str"/>
    </x:row>
    <x:row r="187">
      <x:c r="A187" s="34" t="str">
        <x:v>M5-CHG-182</x:v>
      </x:c>
      <x:c r="B187" s="34" t="str"/>
      <x:c r="C187" s="34" t="str"/>
      <x:c r="D187" s="34" t="str"/>
      <x:c r="E187" s="34" t="str"/>
      <x:c r="F187" s="34" t="str"/>
      <x:c r="G187" s="34" t="str"/>
      <x:c r="H187" s="34" t="str"/>
      <x:c r="I187" s="34" t="str"/>
      <x:c r="J187" s="34" t="str"/>
      <x:c r="K187" s="34" t="str"/>
      <x:c r="L187" s="34" t="str"/>
      <x:c r="M187" s="34" t="str"/>
      <x:c r="N187" s="34" t="str"/>
      <x:c r="O187" s="34" t="str"/>
      <x:c r="P187" s="34" t="str"/>
      <x:c r="Q187" s="34" t="str"/>
    </x:row>
    <x:row r="188">
      <x:c r="A188" s="34" t="str">
        <x:v>M5-CHG-183</x:v>
      </x:c>
      <x:c r="B188" s="34" t="str"/>
      <x:c r="C188" s="34" t="str"/>
      <x:c r="D188" s="34" t="str"/>
      <x:c r="E188" s="34" t="str"/>
      <x:c r="F188" s="34" t="str"/>
      <x:c r="G188" s="34" t="str"/>
      <x:c r="H188" s="34" t="str"/>
      <x:c r="I188" s="34" t="str"/>
      <x:c r="J188" s="34" t="str"/>
      <x:c r="K188" s="34" t="str"/>
      <x:c r="L188" s="34" t="str"/>
      <x:c r="M188" s="34" t="str"/>
      <x:c r="N188" s="34" t="str"/>
      <x:c r="O188" s="34" t="str"/>
      <x:c r="P188" s="34" t="str"/>
      <x:c r="Q188" s="34" t="str"/>
    </x:row>
    <x:row r="189">
      <x:c r="A189" s="34" t="str">
        <x:v>M5-CHG-184</x:v>
      </x:c>
      <x:c r="B189" s="34" t="str"/>
      <x:c r="C189" s="34" t="str"/>
      <x:c r="D189" s="34" t="str"/>
      <x:c r="E189" s="34" t="str"/>
      <x:c r="F189" s="34" t="str"/>
      <x:c r="G189" s="34" t="str"/>
      <x:c r="H189" s="34" t="str"/>
      <x:c r="I189" s="34" t="str"/>
      <x:c r="J189" s="34" t="str"/>
      <x:c r="K189" s="34" t="str"/>
      <x:c r="L189" s="34" t="str"/>
      <x:c r="M189" s="34" t="str"/>
      <x:c r="N189" s="34" t="str"/>
      <x:c r="O189" s="34" t="str"/>
      <x:c r="P189" s="34" t="str"/>
      <x:c r="Q189" s="34" t="str"/>
    </x:row>
    <x:row r="190">
      <x:c r="A190" s="34" t="str">
        <x:v>M5-CHG-185</x:v>
      </x:c>
      <x:c r="B190" s="34" t="str"/>
      <x:c r="C190" s="34" t="str"/>
      <x:c r="D190" s="34" t="str"/>
      <x:c r="E190" s="34" t="str"/>
      <x:c r="F190" s="34" t="str"/>
      <x:c r="G190" s="34" t="str"/>
      <x:c r="H190" s="34" t="str"/>
      <x:c r="I190" s="34" t="str"/>
      <x:c r="J190" s="34" t="str"/>
      <x:c r="K190" s="34" t="str"/>
      <x:c r="L190" s="34" t="str"/>
      <x:c r="M190" s="34" t="str"/>
      <x:c r="N190" s="34" t="str"/>
      <x:c r="O190" s="34" t="str"/>
      <x:c r="P190" s="34" t="str"/>
      <x:c r="Q190" s="34" t="str"/>
    </x:row>
    <x:row r="191">
      <x:c r="A191" s="34" t="str">
        <x:v>M5-CHG-186</x:v>
      </x:c>
      <x:c r="B191" s="34" t="str"/>
      <x:c r="C191" s="34" t="str"/>
      <x:c r="D191" s="34" t="str"/>
      <x:c r="E191" s="34" t="str"/>
      <x:c r="F191" s="34" t="str"/>
      <x:c r="G191" s="34" t="str"/>
      <x:c r="H191" s="34" t="str"/>
      <x:c r="I191" s="34" t="str"/>
      <x:c r="J191" s="34" t="str"/>
      <x:c r="K191" s="34" t="str"/>
      <x:c r="L191" s="34" t="str"/>
      <x:c r="M191" s="34" t="str"/>
      <x:c r="N191" s="34" t="str"/>
      <x:c r="O191" s="34" t="str"/>
      <x:c r="P191" s="34" t="str"/>
      <x:c r="Q191" s="34" t="str"/>
    </x:row>
    <x:row r="192">
      <x:c r="A192" s="34" t="str">
        <x:v>M5-CHG-187</x:v>
      </x:c>
      <x:c r="B192" s="34" t="str"/>
      <x:c r="C192" s="34" t="str"/>
      <x:c r="D192" s="34" t="str"/>
      <x:c r="E192" s="34" t="str"/>
      <x:c r="F192" s="34" t="str"/>
      <x:c r="G192" s="34" t="str"/>
      <x:c r="H192" s="34" t="str"/>
      <x:c r="I192" s="34" t="str"/>
      <x:c r="J192" s="34" t="str"/>
      <x:c r="K192" s="34" t="str"/>
      <x:c r="L192" s="34" t="str"/>
      <x:c r="M192" s="34" t="str"/>
      <x:c r="N192" s="34" t="str"/>
      <x:c r="O192" s="34" t="str"/>
      <x:c r="P192" s="34" t="str"/>
      <x:c r="Q192" s="34" t="str"/>
    </x:row>
    <x:row r="193">
      <x:c r="A193" s="34" t="str">
        <x:v>M5-CHG-188</x:v>
      </x:c>
      <x:c r="B193" s="34" t="str"/>
      <x:c r="C193" s="34" t="str"/>
      <x:c r="D193" s="34" t="str"/>
      <x:c r="E193" s="34" t="str"/>
      <x:c r="F193" s="34" t="str"/>
      <x:c r="G193" s="34" t="str"/>
      <x:c r="H193" s="34" t="str"/>
      <x:c r="I193" s="34" t="str"/>
      <x:c r="J193" s="34" t="str"/>
      <x:c r="K193" s="34" t="str"/>
      <x:c r="L193" s="34" t="str"/>
      <x:c r="M193" s="34" t="str"/>
      <x:c r="N193" s="34" t="str"/>
      <x:c r="O193" s="34" t="str"/>
      <x:c r="P193" s="34" t="str"/>
      <x:c r="Q193" s="34" t="str"/>
    </x:row>
    <x:row r="194">
      <x:c r="A194" s="34" t="str">
        <x:v>M5-CHG-189</x:v>
      </x:c>
      <x:c r="B194" s="34" t="str"/>
      <x:c r="C194" s="34" t="str"/>
      <x:c r="D194" s="34" t="str"/>
      <x:c r="E194" s="34" t="str"/>
      <x:c r="F194" s="34" t="str"/>
      <x:c r="G194" s="34" t="str"/>
      <x:c r="H194" s="34" t="str"/>
      <x:c r="I194" s="34" t="str"/>
      <x:c r="J194" s="34" t="str"/>
      <x:c r="K194" s="34" t="str"/>
      <x:c r="L194" s="34" t="str"/>
      <x:c r="M194" s="34" t="str"/>
      <x:c r="N194" s="34" t="str"/>
      <x:c r="O194" s="34" t="str"/>
      <x:c r="P194" s="34" t="str"/>
      <x:c r="Q194" s="34" t="str"/>
    </x:row>
    <x:row r="195">
      <x:c r="A195" s="34" t="str">
        <x:v>M5-CHG-190</x:v>
      </x:c>
      <x:c r="B195" s="34" t="str"/>
      <x:c r="C195" s="34" t="str"/>
      <x:c r="D195" s="34" t="str"/>
      <x:c r="E195" s="34" t="str"/>
      <x:c r="F195" s="34" t="str"/>
      <x:c r="G195" s="34" t="str"/>
      <x:c r="H195" s="34" t="str"/>
      <x:c r="I195" s="34" t="str"/>
      <x:c r="J195" s="34" t="str"/>
      <x:c r="K195" s="34" t="str"/>
      <x:c r="L195" s="34" t="str"/>
      <x:c r="M195" s="34" t="str"/>
      <x:c r="N195" s="34" t="str"/>
      <x:c r="O195" s="34" t="str"/>
      <x:c r="P195" s="34" t="str"/>
      <x:c r="Q195" s="34" t="str"/>
    </x:row>
    <x:row r="196">
      <x:c r="A196" s="34" t="str">
        <x:v>M5-CHG-191</x:v>
      </x:c>
      <x:c r="B196" s="34" t="str"/>
      <x:c r="C196" s="34" t="str"/>
      <x:c r="D196" s="34" t="str"/>
      <x:c r="E196" s="34" t="str"/>
      <x:c r="F196" s="34" t="str"/>
      <x:c r="G196" s="34" t="str"/>
      <x:c r="H196" s="34" t="str"/>
      <x:c r="I196" s="34" t="str"/>
      <x:c r="J196" s="34" t="str"/>
      <x:c r="K196" s="34" t="str"/>
      <x:c r="L196" s="34" t="str"/>
      <x:c r="M196" s="34" t="str"/>
      <x:c r="N196" s="34" t="str"/>
      <x:c r="O196" s="34" t="str"/>
      <x:c r="P196" s="34" t="str"/>
      <x:c r="Q196" s="34" t="str"/>
    </x:row>
    <x:row r="197">
      <x:c r="A197" s="34" t="str">
        <x:v>M5-CHG-192</x:v>
      </x:c>
      <x:c r="B197" s="34" t="str"/>
      <x:c r="C197" s="34" t="str"/>
      <x:c r="D197" s="34" t="str"/>
      <x:c r="E197" s="34" t="str"/>
      <x:c r="F197" s="34" t="str"/>
      <x:c r="G197" s="34" t="str"/>
      <x:c r="H197" s="34" t="str"/>
      <x:c r="I197" s="34" t="str"/>
      <x:c r="J197" s="34" t="str"/>
      <x:c r="K197" s="34" t="str"/>
      <x:c r="L197" s="34" t="str"/>
      <x:c r="M197" s="34" t="str"/>
      <x:c r="N197" s="34" t="str"/>
      <x:c r="O197" s="34" t="str"/>
      <x:c r="P197" s="34" t="str"/>
      <x:c r="Q197" s="34" t="str"/>
    </x:row>
    <x:row r="198">
      <x:c r="A198" s="34" t="str">
        <x:v>M5-CHG-193</x:v>
      </x:c>
      <x:c r="B198" s="34" t="str"/>
      <x:c r="C198" s="34" t="str"/>
      <x:c r="D198" s="34" t="str"/>
      <x:c r="E198" s="34" t="str"/>
      <x:c r="F198" s="34" t="str"/>
      <x:c r="G198" s="34" t="str"/>
      <x:c r="H198" s="34" t="str"/>
      <x:c r="I198" s="34" t="str"/>
      <x:c r="J198" s="34" t="str"/>
      <x:c r="K198" s="34" t="str"/>
      <x:c r="L198" s="34" t="str"/>
      <x:c r="M198" s="34" t="str"/>
      <x:c r="N198" s="34" t="str"/>
      <x:c r="O198" s="34" t="str"/>
      <x:c r="P198" s="34" t="str"/>
      <x:c r="Q198" s="34" t="str"/>
    </x:row>
    <x:row r="199">
      <x:c r="A199" s="34" t="str">
        <x:v>M5-CHG-194</x:v>
      </x:c>
      <x:c r="B199" s="34" t="str"/>
      <x:c r="C199" s="34" t="str"/>
      <x:c r="D199" s="34" t="str"/>
      <x:c r="E199" s="34" t="str"/>
      <x:c r="F199" s="34" t="str"/>
      <x:c r="G199" s="34" t="str"/>
      <x:c r="H199" s="34" t="str"/>
      <x:c r="I199" s="34" t="str"/>
      <x:c r="J199" s="34" t="str"/>
      <x:c r="K199" s="34" t="str"/>
      <x:c r="L199" s="34" t="str"/>
      <x:c r="M199" s="34" t="str"/>
      <x:c r="N199" s="34" t="str"/>
      <x:c r="O199" s="34" t="str"/>
      <x:c r="P199" s="34" t="str"/>
      <x:c r="Q199" s="34" t="str"/>
    </x:row>
    <x:row r="200">
      <x:c r="A200" s="34" t="str">
        <x:v>M5-CHG-195</x:v>
      </x:c>
      <x:c r="B200" s="34" t="str"/>
      <x:c r="C200" s="34" t="str"/>
      <x:c r="D200" s="34" t="str"/>
      <x:c r="E200" s="34" t="str"/>
      <x:c r="F200" s="34" t="str"/>
      <x:c r="G200" s="34" t="str"/>
      <x:c r="H200" s="34" t="str"/>
      <x:c r="I200" s="34" t="str"/>
      <x:c r="J200" s="34" t="str"/>
      <x:c r="K200" s="34" t="str"/>
      <x:c r="L200" s="34" t="str"/>
      <x:c r="M200" s="34" t="str"/>
      <x:c r="N200" s="34" t="str"/>
      <x:c r="O200" s="34" t="str"/>
      <x:c r="P200" s="34" t="str"/>
      <x:c r="Q200" s="34" t="str"/>
    </x:row>
    <x:row r="201">
      <x:c r="A201" s="34" t="str">
        <x:v>M5-CHG-196</x:v>
      </x:c>
      <x:c r="B201" s="34" t="str"/>
      <x:c r="C201" s="34" t="str"/>
      <x:c r="D201" s="34" t="str"/>
      <x:c r="E201" s="34" t="str"/>
      <x:c r="F201" s="34" t="str"/>
      <x:c r="G201" s="34" t="str"/>
      <x:c r="H201" s="34" t="str"/>
      <x:c r="I201" s="34" t="str"/>
      <x:c r="J201" s="34" t="str"/>
      <x:c r="K201" s="34" t="str"/>
      <x:c r="L201" s="34" t="str"/>
      <x:c r="M201" s="34" t="str"/>
      <x:c r="N201" s="34" t="str"/>
      <x:c r="O201" s="34" t="str"/>
      <x:c r="P201" s="34" t="str"/>
      <x:c r="Q201" s="34" t="str"/>
    </x:row>
    <x:row r="202">
      <x:c r="A202" s="34" t="str">
        <x:v>M5-CHG-197</x:v>
      </x:c>
      <x:c r="B202" s="34" t="str"/>
      <x:c r="C202" s="34" t="str"/>
      <x:c r="D202" s="34" t="str"/>
      <x:c r="E202" s="34" t="str"/>
      <x:c r="F202" s="34" t="str"/>
      <x:c r="G202" s="34" t="str"/>
      <x:c r="H202" s="34" t="str"/>
      <x:c r="I202" s="34" t="str"/>
      <x:c r="J202" s="34" t="str"/>
      <x:c r="K202" s="34" t="str"/>
      <x:c r="L202" s="34" t="str"/>
      <x:c r="M202" s="34" t="str"/>
      <x:c r="N202" s="34" t="str"/>
      <x:c r="O202" s="34" t="str"/>
      <x:c r="P202" s="34" t="str"/>
      <x:c r="Q202" s="34" t="str"/>
    </x:row>
    <x:row r="203">
      <x:c r="A203" s="34" t="str">
        <x:v>M5-CHG-198</x:v>
      </x:c>
      <x:c r="B203" s="34" t="str"/>
      <x:c r="C203" s="34" t="str"/>
      <x:c r="D203" s="34" t="str"/>
      <x:c r="E203" s="34" t="str"/>
      <x:c r="F203" s="34" t="str"/>
      <x:c r="G203" s="34" t="str"/>
      <x:c r="H203" s="34" t="str"/>
      <x:c r="I203" s="34" t="str"/>
      <x:c r="J203" s="34" t="str"/>
      <x:c r="K203" s="34" t="str"/>
      <x:c r="L203" s="34" t="str"/>
      <x:c r="M203" s="34" t="str"/>
      <x:c r="N203" s="34" t="str"/>
      <x:c r="O203" s="34" t="str"/>
      <x:c r="P203" s="34" t="str"/>
      <x:c r="Q203" s="34" t="str"/>
    </x:row>
    <x:row r="204">
      <x:c r="A204" s="34" t="str">
        <x:v>M5-CHG-199</x:v>
      </x:c>
      <x:c r="B204" s="34" t="str"/>
      <x:c r="C204" s="34" t="str"/>
      <x:c r="D204" s="34" t="str"/>
      <x:c r="E204" s="34" t="str"/>
      <x:c r="F204" s="34" t="str"/>
      <x:c r="G204" s="34" t="str"/>
      <x:c r="H204" s="34" t="str"/>
      <x:c r="I204" s="34" t="str"/>
      <x:c r="J204" s="34" t="str"/>
      <x:c r="K204" s="34" t="str"/>
      <x:c r="L204" s="34" t="str"/>
      <x:c r="M204" s="34" t="str"/>
      <x:c r="N204" s="34" t="str"/>
      <x:c r="O204" s="34" t="str"/>
      <x:c r="P204" s="34" t="str"/>
      <x:c r="Q204" s="34" t="str"/>
    </x:row>
    <x:row r="205">
      <x:c r="A205" s="34" t="str">
        <x:v>M5-CHG-200</x:v>
      </x:c>
      <x:c r="B205" s="34" t="str"/>
      <x:c r="C205" s="34" t="str"/>
      <x:c r="D205" s="34" t="str"/>
      <x:c r="E205" s="34" t="str"/>
      <x:c r="F205" s="34" t="str"/>
      <x:c r="G205" s="34" t="str"/>
      <x:c r="H205" s="34" t="str"/>
      <x:c r="I205" s="34" t="str"/>
      <x:c r="J205" s="34" t="str"/>
      <x:c r="K205" s="34" t="str"/>
      <x:c r="L205" s="34" t="str"/>
      <x:c r="M205" s="34" t="str"/>
      <x:c r="N205" s="34" t="str"/>
      <x:c r="O205" s="34" t="str"/>
      <x:c r="P205" s="34" t="str"/>
      <x:c r="Q205" s="34" t="str"/>
    </x:row>
  </x:sheetData>
  <x:mergeCells>
    <x:mergeCell ref="A1:Q2"/>
    <x:mergeCell ref="A3:Q3"/>
  </x:mergeCells>
  <x:dataValidations count="4">
    <x:dataValidation type="list" sqref="C6:C205">
      <x:formula1>"C0,C1,C2,C3,C4,C5"</x:formula1>
    </x:dataValidation>
    <x:dataValidation type="list" sqref="E6:E205">
      <x:formula1>"BASE,PARTNER,EXCHANGE,BOUND,REPAIR,RHYTHM,GAP,SYNTH,Schema,报告"</x:formula1>
    </x:dataValidation>
    <x:dataValidation type="list" sqref="F6:F205">
      <x:formula1>"必要条件,排除条件,分值,领先差,证据门槛,字段权威,同源去重,用户语言,规则状态,新增,拆分,合并,停用,Schema"</x:formula1>
    </x:dataValidation>
    <x:dataValidation type="list" sqref="O6:O205">
      <x:formula1>"待讨论,待审批,已批准,已执行,已撤回"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da9c8656b14b7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14" hidden="0" customWidth="1"/>
    <x:col min="5" max="5" width="16" hidden="0" customWidth="1"/>
    <x:col min="6" max="6" width="52" hidden="0" customWidth="1"/>
    <x:col min="7" max="7" width="14" hidden="0" customWidth="1"/>
    <x:col min="8" max="8" width="18" hidden="0" customWidth="1"/>
    <x:col min="3" max="3" width="16" hidden="0" customWidth="1"/>
  </x:cols>
  <x:sheetData>
    <x:row r="1">
      <x:c r="A1" s="61" t="str">
        <x:v>M5-CALIBRATION 看板与版本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</x:row>
    <x:row r="3">
      <x:c r="A3" s="66" t="str">
        <x:v>自动汇总案例、结构测试、字段核验、规则建议、盲评和发布门槛。</x:v>
      </x:c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</x:row>
    <x:row r="5">
      <x:c r="A5" s="71" t="str">
        <x:v>核心指标</x:v>
      </x:c>
      <x:c r="B5" s="71" t="str">
        <x:v>当前值</x:v>
      </x:c>
      <x:c r="D5" s="73" t="str">
        <x:v>批次</x:v>
      </x:c>
      <x:c r="E5" s="73" t="str">
        <x:v>当前案例</x:v>
      </x:c>
      <x:c r="F5" s="73" t="str">
        <x:v>已冻结</x:v>
      </x:c>
      <x:c r="G5" s="73" t="str">
        <x:v>纳入统计</x:v>
      </x:c>
      <x:c r="H5" s="73" t="str">
        <x:v>状态</x:v>
      </x:c>
    </x:row>
    <x:row r="6">
      <x:c r="A6" s="34" t="str">
        <x:v>案例已建档</x:v>
      </x:c>
      <x:c r="B6" s="34" t="n">
        <x:f>COUNTIF('02_案例主档'!$B$6:$B$105,"&lt;&gt;")</x:f>
        <x:v>0</x:v>
      </x:c>
      <x:c r="D6" s="33" t="str">
        <x:v>C0</x:v>
      </x:c>
      <x:c r="E6" s="33" t="n">
        <x:f>COUNTIF('02_案例主档'!$B$6:$B$105,"C0")</x:f>
        <x:v>0</x:v>
      </x:c>
      <x:c r="F6" s="33" t="n">
        <x:f>COUNTIFS('02_案例主档'!$B$6:$B$105,"C0",'02_案例主档'!$S$6:$S$105,"是")</x:f>
        <x:v>0</x:v>
      </x:c>
      <x:c r="G6" s="33" t="n">
        <x:f>COUNTIFS('02_案例主档'!$B$6:$B$105,"C0",'02_案例主档'!$W$6:$W$105,"是")</x:f>
        <x:v>0</x:v>
      </x:c>
      <x:c r="H6" s="33" t="str">
        <x:v>未开始</x:v>
      </x:c>
    </x:row>
    <x:row r="7">
      <x:c r="A7" s="34" t="str">
        <x:v>预测已冻结</x:v>
      </x:c>
      <x:c r="B7" s="34" t="n">
        <x:f>COUNTIF('02_案例主档'!$S$6:$S$105,"是")</x:f>
        <x:v>0</x:v>
      </x:c>
      <x:c r="D7" s="33" t="str">
        <x:v>C1</x:v>
      </x:c>
      <x:c r="E7" s="33" t="n">
        <x:f>COUNTIF('02_案例主档'!$B$6:$B$105,"C1")</x:f>
        <x:v>0</x:v>
      </x:c>
      <x:c r="F7" s="33" t="n">
        <x:f>COUNTIFS('02_案例主档'!$B$6:$B$105,"C1",'02_案例主档'!$S$6:$S$105,"是")</x:f>
        <x:v>0</x:v>
      </x:c>
      <x:c r="G7" s="33" t="n">
        <x:f>COUNTIFS('02_案例主档'!$B$6:$B$105,"C1",'02_案例主档'!$W$6:$W$105,"是")</x:f>
        <x:v>0</x:v>
      </x:c>
      <x:c r="H7" s="33" t="str">
        <x:v>未开始</x:v>
      </x:c>
    </x:row>
    <x:row r="8">
      <x:c r="A8" s="34" t="str">
        <x:v>反馈完整</x:v>
      </x:c>
      <x:c r="B8" s="34" t="n">
        <x:f>COUNTIF('02_案例主档'!$U$6:$U$105,"是")</x:f>
        <x:v>0</x:v>
      </x:c>
      <x:c r="D8" s="33" t="str">
        <x:v>C2</x:v>
      </x:c>
      <x:c r="E8" s="33" t="n">
        <x:f>COUNTIF('02_案例主档'!$B$6:$B$105,"C2")</x:f>
        <x:v>0</x:v>
      </x:c>
      <x:c r="F8" s="33" t="n">
        <x:f>COUNTIFS('02_案例主档'!$B$6:$B$105,"C2",'02_案例主档'!$S$6:$S$105,"是")</x:f>
        <x:v>0</x:v>
      </x:c>
      <x:c r="G8" s="33" t="n">
        <x:f>COUNTIFS('02_案例主档'!$B$6:$B$105,"C2",'02_案例主档'!$W$6:$W$105,"是")</x:f>
        <x:v>0</x:v>
      </x:c>
      <x:c r="H8" s="33" t="str">
        <x:v>未开始</x:v>
      </x:c>
    </x:row>
    <x:row r="9">
      <x:c r="A9" s="34" t="str">
        <x:v>纳入统计</x:v>
      </x:c>
      <x:c r="B9" s="34" t="n">
        <x:f>COUNTIF('02_案例主档'!$W$6:$W$105,"是")</x:f>
        <x:v>0</x:v>
      </x:c>
      <x:c r="D9" s="33" t="str">
        <x:v>C3</x:v>
      </x:c>
      <x:c r="E9" s="33" t="n">
        <x:f>COUNTIF('02_案例主档'!$B$6:$B$105,"C3")</x:f>
        <x:v>0</x:v>
      </x:c>
      <x:c r="F9" s="33" t="n">
        <x:f>COUNTIFS('02_案例主档'!$B$6:$B$105,"C3",'02_案例主档'!$S$6:$S$105,"是")</x:f>
        <x:v>0</x:v>
      </x:c>
      <x:c r="G9" s="33" t="n">
        <x:f>COUNTIFS('02_案例主档'!$B$6:$B$105,"C3",'02_案例主档'!$W$6:$W$105,"是")</x:f>
        <x:v>0</x:v>
      </x:c>
      <x:c r="H9" s="33" t="str">
        <x:v>未开始</x:v>
      </x:c>
    </x:row>
    <x:row r="10">
      <x:c r="A10" s="34" t="str">
        <x:v>安全停止</x:v>
      </x:c>
      <x:c r="B10" s="34" t="n">
        <x:f>COUNTIF('02_案例主档'!$L$6:$L$105,"安全停止")</x:f>
        <x:v>0</x:v>
      </x:c>
      <x:c r="D10" s="33" t="str">
        <x:v>C4</x:v>
      </x:c>
      <x:c r="E10" s="33" t="n">
        <x:f>COUNTIF('02_案例主档'!$B$6:$B$105,"C4")</x:f>
        <x:v>0</x:v>
      </x:c>
      <x:c r="F10" s="33" t="n">
        <x:f>COUNTIFS('02_案例主档'!$B$6:$B$105,"C4",'02_案例主档'!$S$6:$S$105,"是")</x:f>
        <x:v>0</x:v>
      </x:c>
      <x:c r="G10" s="33" t="n">
        <x:f>COUNTIFS('02_案例主档'!$B$6:$B$105,"C4",'02_案例主档'!$W$6:$W$105,"是")</x:f>
        <x:v>0</x:v>
      </x:c>
      <x:c r="H10" s="33" t="str">
        <x:v>未开始</x:v>
      </x:c>
    </x:row>
    <x:row r="11">
      <x:c r="A11" s="34" t="str">
        <x:v>关系事件</x:v>
      </x:c>
      <x:c r="B11" s="34" t="n">
        <x:f>COUNTIF('04_关系事件'!$B$6:$B$505,"&lt;&gt;")</x:f>
        <x:v>0</x:v>
      </x:c>
      <x:c r="D11" s="33" t="str">
        <x:v>C5</x:v>
      </x:c>
      <x:c r="E11" s="33" t="n">
        <x:f>COUNTIF('02_案例主档'!$B$6:$B$105,"C5")</x:f>
        <x:v>0</x:v>
      </x:c>
      <x:c r="F11" s="33" t="n">
        <x:f>COUNTIFS('02_案例主档'!$B$6:$B$105,"C5",'02_案例主档'!$S$6:$S$105,"是")</x:f>
        <x:v>0</x:v>
      </x:c>
      <x:c r="G11" s="33" t="n">
        <x:f>COUNTIFS('02_案例主档'!$B$6:$B$105,"C5",'02_案例主档'!$W$6:$W$105,"是")</x:f>
        <x:v>0</x:v>
      </x:c>
      <x:c r="H11" s="33" t="str">
        <x:v>未开始</x:v>
      </x:c>
    </x:row>
    <x:row r="12">
      <x:c r="A12" s="34" t="str">
        <x:v>字段核验</x:v>
      </x:c>
      <x:c r="B12" s="34" t="n">
        <x:f>COUNTIF('06_字段核验'!$B$6:$B$805,"&lt;&gt;")</x:f>
        <x:v>0</x:v>
      </x:c>
    </x:row>
    <x:row r="13">
      <x:c r="A13" s="34" t="str">
        <x:v>规则命中</x:v>
      </x:c>
      <x:c r="B13" s="34" t="n">
        <x:f>COUNTIF('07_规则命中'!$B$6:$B$1005,"&lt;&gt;")</x:f>
        <x:v>0</x:v>
      </x:c>
    </x:row>
    <x:row r="14">
      <x:c r="A14" s="34" t="str">
        <x:v>可评规则</x:v>
      </x:c>
      <x:c r="B14" s="34" t="n">
        <x:f>COUNTIF('08_活跃规则校准'!$N$6:$N$605,"&gt;=5")</x:f>
        <x:v>0</x:v>
      </x:c>
    </x:row>
    <x:row r="15">
      <x:c r="A15" s="34" t="str">
        <x:v>升级候选</x:v>
      </x:c>
      <x:c r="B15" s="34" t="n">
        <x:f>COUNTIF('08_活跃规则校准'!$V$6:$V$605,"升级候选")</x:f>
        <x:v>0</x:v>
      </x:c>
    </x:row>
    <x:row r="16">
      <x:c r="A16" s="34" t="str">
        <x:v>修改／复核候选</x:v>
      </x:c>
      <x:c r="B16" s="34" t="n">
        <x:f>COUNTIF('08_活跃规则校准'!$W$6:$W$605,"需修改／复核")</x:f>
        <x:v>0</x:v>
      </x:c>
    </x:row>
    <x:row r="17">
      <x:c r="A17" s="34" t="str">
        <x:v>严重规则反例</x:v>
      </x:c>
      <x:c r="B17" s="34" t="n">
        <x:f>SUM('08_活跃规则校准'!$Q$6:$Q$605)</x:f>
        <x:v>0</x:v>
      </x:c>
    </x:row>
    <x:row r="18">
      <x:c r="A18" s="34" t="str">
        <x:v>结构测试通过</x:v>
      </x:c>
      <x:c r="B18" s="56" t="n">
        <x:f>COUNTIF('13_结构测试'!$L$6:$L$37,"通过")</x:f>
        <x:v>0</x:v>
      </x:c>
    </x:row>
    <x:row r="19">
      <x:c r="A19" s="34" t="str">
        <x:v>盲评完全一致率</x:v>
      </x:c>
      <x:c r="B19" s="34" t="n">
        <x:f>IF(COUNTIF('12_盲评一致性'!$J$6:$J$205,"一致")+COUNTIF('12_盲评一致性'!$J$6:$J$205,"不一致")=0,0,COUNTIF('12_盲评一致性'!$J$6:$J$205,"一致")/(COUNTIF('12_盲评一致性'!$J$6:$J$205,"一致")+COUNTIF('12_盲评一致性'!$J$6:$J$205,"不一致")))</x:f>
        <x:v>0</x:v>
      </x:c>
    </x:row>
    <x:row r="20">
      <x:c r="A20" s="34" t="str">
        <x:v>待处理语言</x:v>
      </x:c>
      <x:c r="B20" s="34" t="n">
        <x:f>COUNTIF('11_语言校准'!$L$19:$L$218,"待处理")</x:f>
        <x:v>0</x:v>
      </x:c>
    </x:row>
    <x:row r="21">
      <x:c r="A21" s="34" t="str">
        <x:v>待审批变更</x:v>
      </x:c>
      <x:c r="B21" s="34" t="n">
        <x:f>COUNTIF('14_变更日志'!$O$6:$O$205,"待审批")</x:f>
        <x:v>0</x:v>
      </x:c>
    </x:row>
    <x:row r="24">
      <x:c r="A24" s="75" t="str">
        <x:v>发布检查</x:v>
      </x:c>
      <x:c r="B24" s="75" t="str">
        <x:v>要求</x:v>
      </x:c>
      <x:c r="C24" s="75" t="str">
        <x:v>当前值</x:v>
      </x:c>
      <x:c r="D24" s="75" t="str">
        <x:v>门槛</x:v>
      </x:c>
      <x:c r="E24" s="75" t="str">
        <x:v>状态</x:v>
      </x:c>
      <x:c r="F24" s="75" t="str">
        <x:v>说明</x:v>
      </x:c>
    </x:row>
    <x:row r="25">
      <x:c r="A25" s="34" t="str">
        <x:v>C0结构测试</x:v>
      </x:c>
      <x:c r="B25" s="34" t="str">
        <x:v>32项通过</x:v>
      </x:c>
      <x:c r="C25" s="34" t="n">
        <x:f>COUNTIF('13_结构测试'!$L$6:$L$37,"通过")</x:f>
        <x:v>0</x:v>
      </x:c>
      <x:c r="D25" s="34" t="n">
        <x:v>32</x:v>
      </x:c>
      <x:c r="E25" s="34" t="str">
        <x:f>IF(C25&gt;=D25,"通过","未通过")</x:f>
        <x:v>未通过</x:v>
      </x:c>
      <x:c r="F25" s="34" t="str">
        <x:v>安全、去重、FG／AF与RG逻辑</x:v>
      </x:c>
    </x:row>
    <x:row r="26">
      <x:c r="A26" s="34" t="str">
        <x:v>C1试点案例</x:v>
      </x:c>
      <x:c r="B26" s="34" t="str">
        <x:v>纳入统计≥20</x:v>
      </x:c>
      <x:c r="C26" s="34" t="n">
        <x:f>COUNTIF('02_案例主档'!$W$6:$W$105,"是")</x:f>
        <x:v>0</x:v>
      </x:c>
      <x:c r="D26" s="34" t="n">
        <x:v>20</x:v>
      </x:c>
      <x:c r="E26" s="34" t="str">
        <x:f>IF(C26&gt;=D26,"通过","不足")</x:f>
        <x:v>不足</x:v>
      </x:c>
      <x:c r="F26" s="34" t="str">
        <x:v>先做20—30例</x:v>
      </x:c>
    </x:row>
    <x:row r="27">
      <x:c r="A27" s="34" t="str">
        <x:v>预测冻结率</x:v>
      </x:c>
      <x:c r="B27" s="34" t="str">
        <x:v>≥80%</x:v>
      </x:c>
      <x:c r="C27" s="56" t="n">
        <x:f>IF(COUNTIF('02_案例主档'!$B$6:$B$105,"&lt;&gt;")=0,0,COUNTIF('02_案例主档'!$S$6:$S$105,"是")/COUNTIF('02_案例主档'!$B$6:$B$105,"&lt;&gt;"))</x:f>
        <x:v>0</x:v>
      </x:c>
      <x:c r="D27" s="56" t="n">
        <x:v>0.8</x:v>
      </x:c>
      <x:c r="E27" s="34" t="str">
        <x:f>IF(C27&gt;=D27,"通过","不足")</x:f>
        <x:v>不足</x:v>
      </x:c>
      <x:c r="F27" s="34" t="str">
        <x:v>反馈前冻结</x:v>
      </x:c>
    </x:row>
    <x:row r="28">
      <x:c r="A28" s="34" t="str">
        <x:v>核心RG完整</x:v>
      </x:c>
      <x:c r="B28" s="34" t="str">
        <x:v>≥20例</x:v>
      </x:c>
      <x:c r="C28" s="34" t="n">
        <x:f>COUNTIF('02_案例主档'!$V$6:$V$105,"是")</x:f>
        <x:v>0</x:v>
      </x:c>
      <x:c r="D28" s="34" t="n">
        <x:v>20</x:v>
      </x:c>
      <x:c r="E28" s="34" t="str">
        <x:f>IF(C28&gt;=D28,"通过","不足")</x:f>
        <x:v>不足</x:v>
      </x:c>
      <x:c r="F28" s="34" t="str">
        <x:v>RG01／02／03／06／07</x:v>
      </x:c>
    </x:row>
    <x:row r="29">
      <x:c r="A29" s="34" t="str">
        <x:v>安全严重误差</x:v>
      </x:c>
      <x:c r="B29" s="34" t="str">
        <x:v>未解决=0</x:v>
      </x:c>
      <x:c r="C29" s="34" t="n">
        <x:f>COUNTIFS('10_误差分类'!$E$25:$E$224,"EC16",'10_误差分类'!$F$25:$F$224,3,'10_误差分类'!$M$25:$M$224,"&lt;&gt;已解决")</x:f>
        <x:v>0</x:v>
      </x:c>
      <x:c r="D29" s="34" t="n">
        <x:v>0</x:v>
      </x:c>
      <x:c r="E29" s="34" t="str">
        <x:f>IF(C29=D29,"通过","未通过")</x:f>
        <x:v>通过</x:v>
      </x:c>
      <x:c r="F29" s="34" t="str">
        <x:v>任何一个都需优先复核</x:v>
      </x:c>
    </x:row>
    <x:row r="30">
      <x:c r="A30" s="34" t="str">
        <x:v>双人盲评</x:v>
      </x:c>
      <x:c r="B30" s="34" t="str">
        <x:v>已裁决≥50</x:v>
      </x:c>
      <x:c r="C30" s="34" t="n">
        <x:f>COUNTIF('12_盲评一致性'!$O$6:$O$205,"已裁决")</x:f>
        <x:v>0</x:v>
      </x:c>
      <x:c r="D30" s="34" t="n">
        <x:v>50</x:v>
      </x:c>
      <x:c r="E30" s="34" t="str">
        <x:f>IF(C30&gt;=D30,"通过","不足")</x:f>
        <x:v>不足</x:v>
      </x:c>
      <x:c r="F30" s="34" t="str">
        <x:v>核心字段一致性</x:v>
      </x:c>
    </x:row>
    <x:row r="31">
      <x:c r="A31" s="34" t="str">
        <x:v>跨状态案例</x:v>
      </x:c>
      <x:c r="B31" s="34" t="str">
        <x:v>高信息≥30</x:v>
      </x:c>
      <x:c r="C31" s="34" t="n">
        <x:f>SUM('16_覆盖矩阵'!$B$46:$B$51)</x:f>
        <x:v>0</x:v>
      </x:c>
      <x:c r="D31" s="34" t="n">
        <x:v>30</x:v>
      </x:c>
      <x:c r="E31" s="34" t="str">
        <x:f>IF(C31&gt;=D31,"通过","不足")</x:f>
        <x:v>不足</x:v>
      </x:c>
      <x:c r="F31" s="34" t="str">
        <x:v>压力、修复、转折、异地</x:v>
      </x:c>
    </x:row>
    <x:row r="32">
      <x:c r="A32" s="34" t="str">
        <x:v>M3依赖</x:v>
      </x:c>
      <x:c r="B32" s="34" t="str">
        <x:v>已回填</x:v>
      </x:c>
      <x:c r="C32" s="34" t="str">
        <x:v>0</x:v>
      </x:c>
      <x:c r="D32" s="34" t="n">
        <x:v>1</x:v>
      </x:c>
      <x:c r="E32" s="34" t="str">
        <x:f>IF(C32&gt;=D32,"通过","待回填")</x:f>
        <x:v>待回填</x:v>
      </x:c>
      <x:c r="F32" s="34" t="str">
        <x:v>REPAIR／STATE／SYNTH</x:v>
      </x:c>
    </x:row>
    <x:row r="35">
      <x:c r="A35" s="73" t="str">
        <x:v>版本项</x:v>
      </x:c>
      <x:c r="B35" s="73" t="str">
        <x:v>当前值</x:v>
      </x:c>
      <x:c r="C35" s="73" t="str">
        <x:v>说明</x:v>
      </x:c>
      <x:c r="D35" t="str"/>
      <x:c r="E35" t="str"/>
      <x:c r="F35" t="str"/>
    </x:row>
    <x:row r="36">
      <x:c r="A36" s="33" t="str">
        <x:v>工作台版本</x:v>
      </x:c>
      <x:c r="B36" s="33" t="str">
        <x:v>0.10</x:v>
      </x:c>
      <x:c r="C36" s="33" t="str">
        <x:v>M5-CALIBRATION</x:v>
      </x:c>
      <x:c r="D36" t="str"/>
      <x:c r="E36" t="str"/>
      <x:c r="F36" t="str"/>
    </x:row>
    <x:row r="37">
      <x:c r="A37" s="33" t="str">
        <x:v>理论规则版本</x:v>
      </x:c>
      <x:c r="B37" s="33" t="str">
        <x:v>0.9</x:v>
      </x:c>
      <x:c r="C37" s="33" t="str">
        <x:v>M5总规则库</x:v>
      </x:c>
      <x:c r="D37" t="str"/>
      <x:c r="E37" t="str"/>
      <x:c r="F37" t="str"/>
    </x:row>
    <x:row r="38">
      <x:c r="A38" s="33" t="str">
        <x:v>规则总数</x:v>
      </x:c>
      <x:c r="B38" s="33" t="n">
        <x:v>3928</x:v>
      </x:c>
      <x:c r="C38" s="33" t="str">
        <x:v>全部仍待真实案例校准</x:v>
      </x:c>
      <x:c r="D38" t="str"/>
      <x:c r="E38" t="str"/>
      <x:c r="F38" t="str"/>
    </x:row>
    <x:row r="39">
      <x:c r="A39" s="33" t="str">
        <x:v>活跃规则位</x:v>
      </x:c>
      <x:c r="B39" s="33" t="n">
        <x:v>600</x:v>
      </x:c>
      <x:c r="C39" s="33" t="str">
        <x:v>500条优先规则＋100追加位</x:v>
      </x:c>
      <x:c r="D39" t="str"/>
      <x:c r="E39" t="str"/>
      <x:c r="F39" t="str"/>
    </x:row>
    <x:row r="40">
      <x:c r="A40" s="33" t="str">
        <x:v>真实案例</x:v>
      </x:c>
      <x:c r="B40" s="33" t="n">
        <x:v>0</x:v>
      </x:c>
      <x:c r="C40" s="33" t="str">
        <x:v>尚未录入</x:v>
      </x:c>
      <x:c r="D40" t="str"/>
      <x:c r="E40" t="str"/>
      <x:c r="F40" t="str"/>
    </x:row>
    <x:row r="41">
      <x:c r="A41" s="33" t="str">
        <x:v>下一阶段</x:v>
      </x:c>
      <x:c r="B41" s="33" t="str">
        <x:v>C0→C1</x:v>
      </x:c>
      <x:c r="C41" s="33" t="str">
        <x:v>先运行结构测试，再录入20—30例</x:v>
      </x:c>
      <x:c r="D41" t="str"/>
      <x:c r="E41" t="str"/>
      <x:c r="F41" t="str"/>
    </x:row>
    <x:row r="42">
      <x:c r="A42" s="33" t="str">
        <x:v>发布状态</x:v>
      </x:c>
      <x:c r="B42" s="33" t="str">
        <x:v>待验证</x:v>
      </x:c>
      <x:c r="C42" s="33" t="str">
        <x:v>不能宣称准确率已校准</x:v>
      </x:c>
      <x:c r="D42" t="str"/>
      <x:c r="E42" t="str"/>
      <x:c r="F42" t="str"/>
    </x:row>
  </x:sheetData>
  <x:mergeCells>
    <x:mergeCell ref="A1:N2"/>
    <x:mergeCell ref="A3:N3"/>
  </x:mergeCells>
  <x:dataValidations count="1">
    <x:dataValidation type="list" sqref="H6:H11">
      <x:formula1>"未开始,进行中,暂停,完成"</x:formula1>
    </x:dataValidation>
  </x:dataValidations>
  <x:pageMargins left="0.7" right="0.7" top="0.75" bottom="0.75" header="0.3" footer="0.3"/>
  <x:drawing xmlns:r="http://schemas.openxmlformats.org/officeDocument/2006/relationships" r:id="Redea98128af0446e"/>
  <x:tableParts count="1">
    <x:tablePart xmlns:r="http://schemas.openxmlformats.org/officeDocument/2006/relationships" r:id="R713908b04a6144c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</x:cols>
  <x:sheetData>
    <x:row r="1">
      <x:c r="A1" s="61" t="str">
        <x:v>功能族、模块、RG与高信息情境覆盖矩阵</x:v>
      </x:c>
      <x:c r="B1" s="61"/>
      <x:c r="C1" s="61"/>
      <x:c r="D1" s="61"/>
      <x:c r="E1" s="61"/>
      <x:c r="F1" s="61"/>
      <x:c r="G1" s="61"/>
      <x:c r="H1" s="61"/>
    </x:row>
    <x:row r="2">
      <x:c r="A2" s="61"/>
      <x:c r="B2" s="61"/>
      <x:c r="C2" s="61"/>
      <x:c r="D2" s="61"/>
      <x:c r="E2" s="61"/>
      <x:c r="F2" s="61"/>
      <x:c r="G2" s="61"/>
      <x:c r="H2" s="61"/>
    </x:row>
    <x:row r="3">
      <x:c r="A3" s="66" t="str">
        <x:v>覆盖不足不等于规则错误，但不能据此升级或冻结。</x:v>
      </x:c>
      <x:c r="B3" s="66"/>
      <x:c r="C3" s="66"/>
      <x:c r="D3" s="66"/>
      <x:c r="E3" s="66"/>
      <x:c r="F3" s="66"/>
      <x:c r="G3" s="66"/>
      <x:c r="H3" s="66"/>
    </x:row>
    <x:row r="5">
      <x:c r="A5" s="73" t="str">
        <x:v>FAM</x:v>
      </x:c>
      <x:c r="B5" s="73" t="str">
        <x:v>名称</x:v>
      </x:c>
      <x:c r="C5" s="73" t="str">
        <x:v>规则命中</x:v>
      </x:c>
      <x:c r="D5" s="73" t="str">
        <x:v>支持</x:v>
      </x:c>
      <x:c r="E5" s="73" t="str">
        <x:v>反例</x:v>
      </x:c>
      <x:c r="F5" s="73" t="str">
        <x:v>严重反例</x:v>
      </x:c>
      <x:c r="G5" s="73" t="str">
        <x:v>C1目标</x:v>
      </x:c>
      <x:c r="H5" s="73" t="str">
        <x:v>状态</x:v>
      </x:c>
    </x:row>
    <x:row r="6">
      <x:c r="A6" s="33" t="str">
        <x:v>FAM01</x:v>
      </x:c>
      <x:c r="B6" s="33" t="str">
        <x:v>平等自主</x:v>
      </x:c>
      <x:c r="C6" s="33" t="n">
        <x:f>COUNTIF('07_规则命中'!$F$6:$F$1005,$A6)</x:f>
        <x:v>0</x:v>
      </x:c>
      <x:c r="D6" s="33" t="n">
        <x:f>COUNTIFS('07_规则命中'!$F$6:$F$1005,$A6,'07_规则命中'!$J$6:$J$1005,"支持")</x:f>
        <x:v>0</x:v>
      </x:c>
      <x:c r="E6" s="33" t="n">
        <x:f>COUNTIFS('07_规则命中'!$F$6:$F$1005,$A6,'07_规则命中'!$J$6:$J$1005,"反例")</x:f>
        <x:v>0</x:v>
      </x:c>
      <x:c r="F6" s="33" t="n">
        <x:f>COUNTIFS('07_规则命中'!$F$6:$F$1005,$A6,'07_规则命中'!$J$6:$J$1005,"反例",'07_规则命中'!$K$6:$K$1005,"&gt;=3")</x:f>
        <x:v>0</x:v>
      </x:c>
      <x:c r="G6" s="33" t="n">
        <x:v>3</x:v>
      </x:c>
      <x:c r="H6" s="33" t="str">
        <x:f>IF(C6&gt;=G6,"达标","不足")</x:f>
        <x:v>不足</x:v>
      </x:c>
    </x:row>
    <x:row r="7">
      <x:c r="A7" s="33" t="str">
        <x:v>FAM02</x:v>
      </x:c>
      <x:c r="B7" s="33" t="str">
        <x:v>共同行动</x:v>
      </x:c>
      <x:c r="C7" s="33" t="n">
        <x:f>COUNTIF('07_规则命中'!$F$6:$F$1005,$A7)</x:f>
        <x:v>0</x:v>
      </x:c>
      <x:c r="D7" s="33" t="n">
        <x:f>COUNTIFS('07_规则命中'!$F$6:$F$1005,$A7,'07_规则命中'!$J$6:$J$1005,"支持")</x:f>
        <x:v>0</x:v>
      </x:c>
      <x:c r="E7" s="33" t="n">
        <x:f>COUNTIFS('07_规则命中'!$F$6:$F$1005,$A7,'07_规则命中'!$J$6:$J$1005,"反例")</x:f>
        <x:v>0</x:v>
      </x:c>
      <x:c r="F7" s="33" t="n">
        <x:f>COUNTIFS('07_规则命中'!$F$6:$F$1005,$A7,'07_规则命中'!$J$6:$J$1005,"反例",'07_规则命中'!$K$6:$K$1005,"&gt;=3")</x:f>
        <x:v>0</x:v>
      </x:c>
      <x:c r="G7" s="33" t="n">
        <x:v>3</x:v>
      </x:c>
      <x:c r="H7" s="33" t="str">
        <x:f>IF(C7&gt;=G7,"达标","不足")</x:f>
        <x:v>不足</x:v>
      </x:c>
    </x:row>
    <x:row r="8">
      <x:c r="A8" s="33" t="str">
        <x:v>FAM03</x:v>
      </x:c>
      <x:c r="B8" s="33" t="str">
        <x:v>舒适陪伴</x:v>
      </x:c>
      <x:c r="C8" s="33" t="n">
        <x:f>COUNTIF('07_规则命中'!$F$6:$F$1005,$A8)</x:f>
        <x:v>0</x:v>
      </x:c>
      <x:c r="D8" s="33" t="n">
        <x:f>COUNTIFS('07_规则命中'!$F$6:$F$1005,$A8,'07_规则命中'!$J$6:$J$1005,"支持")</x:f>
        <x:v>0</x:v>
      </x:c>
      <x:c r="E8" s="33" t="n">
        <x:f>COUNTIFS('07_规则命中'!$F$6:$F$1005,$A8,'07_规则命中'!$J$6:$J$1005,"反例")</x:f>
        <x:v>0</x:v>
      </x:c>
      <x:c r="F8" s="33" t="n">
        <x:f>COUNTIFS('07_规则命中'!$F$6:$F$1005,$A8,'07_规则命中'!$J$6:$J$1005,"反例",'07_规则命中'!$K$6:$K$1005,"&gt;=3")</x:f>
        <x:v>0</x:v>
      </x:c>
      <x:c r="G8" s="33" t="n">
        <x:v>3</x:v>
      </x:c>
      <x:c r="H8" s="33" t="str">
        <x:f>IF(C8&gt;=G8,"达标","不足")</x:f>
        <x:v>不足</x:v>
      </x:c>
    </x:row>
    <x:row r="9">
      <x:c r="A9" s="33" t="str">
        <x:v>FAM04</x:v>
      </x:c>
      <x:c r="B9" s="33" t="str">
        <x:v>清晰反馈</x:v>
      </x:c>
      <x:c r="C9" s="33" t="n">
        <x:f>COUNTIF('07_规则命中'!$F$6:$F$1005,$A9)</x:f>
        <x:v>0</x:v>
      </x:c>
      <x:c r="D9" s="33" t="n">
        <x:f>COUNTIFS('07_规则命中'!$F$6:$F$1005,$A9,'07_规则命中'!$J$6:$J$1005,"支持")</x:f>
        <x:v>0</x:v>
      </x:c>
      <x:c r="E9" s="33" t="n">
        <x:f>COUNTIFS('07_规则命中'!$F$6:$F$1005,$A9,'07_规则命中'!$J$6:$J$1005,"反例")</x:f>
        <x:v>0</x:v>
      </x:c>
      <x:c r="F9" s="33" t="n">
        <x:f>COUNTIFS('07_规则命中'!$F$6:$F$1005,$A9,'07_规则命中'!$J$6:$J$1005,"反例",'07_规则命中'!$K$6:$K$1005,"&gt;=3")</x:f>
        <x:v>0</x:v>
      </x:c>
      <x:c r="G9" s="33" t="n">
        <x:v>3</x:v>
      </x:c>
      <x:c r="H9" s="33" t="str">
        <x:f>IF(C9&gt;=G9,"达标","不足")</x:f>
        <x:v>不足</x:v>
      </x:c>
    </x:row>
    <x:row r="10">
      <x:c r="A10" s="33" t="str">
        <x:v>FAM05</x:v>
      </x:c>
      <x:c r="B10" s="33" t="str">
        <x:v>稳定经营</x:v>
      </x:c>
      <x:c r="C10" s="33" t="n">
        <x:f>COUNTIF('07_规则命中'!$F$6:$F$1005,$A10)</x:f>
        <x:v>0</x:v>
      </x:c>
      <x:c r="D10" s="33" t="n">
        <x:f>COUNTIFS('07_规则命中'!$F$6:$F$1005,$A10,'07_规则命中'!$J$6:$J$1005,"支持")</x:f>
        <x:v>0</x:v>
      </x:c>
      <x:c r="E10" s="33" t="n">
        <x:f>COUNTIFS('07_规则命中'!$F$6:$F$1005,$A10,'07_规则命中'!$J$6:$J$1005,"反例")</x:f>
        <x:v>0</x:v>
      </x:c>
      <x:c r="F10" s="33" t="n">
        <x:f>COUNTIFS('07_规则命中'!$F$6:$F$1005,$A10,'07_规则命中'!$J$6:$J$1005,"反例",'07_规则命中'!$K$6:$K$1005,"&gt;=3")</x:f>
        <x:v>0</x:v>
      </x:c>
      <x:c r="G10" s="33" t="n">
        <x:v>3</x:v>
      </x:c>
      <x:c r="H10" s="33" t="str">
        <x:f>IF(C10&gt;=G10,"达标","不足")</x:f>
        <x:v>不足</x:v>
      </x:c>
    </x:row>
    <x:row r="11">
      <x:c r="A11" s="33" t="str">
        <x:v>FAM06</x:v>
      </x:c>
      <x:c r="B11" s="33" t="str">
        <x:v>弹性体验</x:v>
      </x:c>
      <x:c r="C11" s="33" t="n">
        <x:f>COUNTIF('07_规则命中'!$F$6:$F$1005,$A11)</x:f>
        <x:v>0</x:v>
      </x:c>
      <x:c r="D11" s="33" t="n">
        <x:f>COUNTIFS('07_规则命中'!$F$6:$F$1005,$A11,'07_规则命中'!$J$6:$J$1005,"支持")</x:f>
        <x:v>0</x:v>
      </x:c>
      <x:c r="E11" s="33" t="n">
        <x:f>COUNTIFS('07_规则命中'!$F$6:$F$1005,$A11,'07_规则命中'!$J$6:$J$1005,"反例")</x:f>
        <x:v>0</x:v>
      </x:c>
      <x:c r="F11" s="33" t="n">
        <x:f>COUNTIFS('07_规则命中'!$F$6:$F$1005,$A11,'07_规则命中'!$J$6:$J$1005,"反例",'07_规则命中'!$K$6:$K$1005,"&gt;=3")</x:f>
        <x:v>0</x:v>
      </x:c>
      <x:c r="G11" s="33" t="n">
        <x:v>3</x:v>
      </x:c>
      <x:c r="H11" s="33" t="str">
        <x:f>IF(C11&gt;=G11,"达标","不足")</x:f>
        <x:v>不足</x:v>
      </x:c>
    </x:row>
    <x:row r="12">
      <x:c r="A12" s="33" t="str">
        <x:v>FAM07</x:v>
      </x:c>
      <x:c r="B12" s="33" t="str">
        <x:v>责任秩序</x:v>
      </x:c>
      <x:c r="C12" s="33" t="n">
        <x:f>COUNTIF('07_规则命中'!$F$6:$F$1005,$A12)</x:f>
        <x:v>0</x:v>
      </x:c>
      <x:c r="D12" s="33" t="n">
        <x:f>COUNTIFS('07_规则命中'!$F$6:$F$1005,$A12,'07_规则命中'!$J$6:$J$1005,"支持")</x:f>
        <x:v>0</x:v>
      </x:c>
      <x:c r="E12" s="33" t="n">
        <x:f>COUNTIFS('07_规则命中'!$F$6:$F$1005,$A12,'07_规则命中'!$J$6:$J$1005,"反例")</x:f>
        <x:v>0</x:v>
      </x:c>
      <x:c r="F12" s="33" t="n">
        <x:f>COUNTIFS('07_规则命中'!$F$6:$F$1005,$A12,'07_规则命中'!$J$6:$J$1005,"反例",'07_规则命中'!$K$6:$K$1005,"&gt;=3")</x:f>
        <x:v>0</x:v>
      </x:c>
      <x:c r="G12" s="33" t="n">
        <x:v>3</x:v>
      </x:c>
      <x:c r="H12" s="33" t="str">
        <x:f>IF(C12&gt;=G12,"达标","不足")</x:f>
        <x:v>不足</x:v>
      </x:c>
    </x:row>
    <x:row r="13">
      <x:c r="A13" s="33" t="str">
        <x:v>FAM08</x:v>
      </x:c>
      <x:c r="B13" s="33" t="str">
        <x:v>决断保护</x:v>
      </x:c>
      <x:c r="C13" s="33" t="n">
        <x:f>COUNTIF('07_规则命中'!$F$6:$F$1005,$A13)</x:f>
        <x:v>0</x:v>
      </x:c>
      <x:c r="D13" s="33" t="n">
        <x:f>COUNTIFS('07_规则命中'!$F$6:$F$1005,$A13,'07_规则命中'!$J$6:$J$1005,"支持")</x:f>
        <x:v>0</x:v>
      </x:c>
      <x:c r="E13" s="33" t="n">
        <x:f>COUNTIFS('07_规则命中'!$F$6:$F$1005,$A13,'07_规则命中'!$J$6:$J$1005,"反例")</x:f>
        <x:v>0</x:v>
      </x:c>
      <x:c r="F13" s="33" t="n">
        <x:f>COUNTIFS('07_规则命中'!$F$6:$F$1005,$A13,'07_规则命中'!$J$6:$J$1005,"反例",'07_规则命中'!$K$6:$K$1005,"&gt;=3")</x:f>
        <x:v>0</x:v>
      </x:c>
      <x:c r="G13" s="33" t="n">
        <x:v>3</x:v>
      </x:c>
      <x:c r="H13" s="33" t="str">
        <x:f>IF(C13&gt;=G13,"达标","不足")</x:f>
        <x:v>不足</x:v>
      </x:c>
    </x:row>
    <x:row r="14">
      <x:c r="A14" s="33" t="str">
        <x:v>FAM09</x:v>
      </x:c>
      <x:c r="B14" s="33" t="str">
        <x:v>安全承接</x:v>
      </x:c>
      <x:c r="C14" s="33" t="n">
        <x:f>COUNTIF('07_规则命中'!$F$6:$F$1005,$A14)</x:f>
        <x:v>0</x:v>
      </x:c>
      <x:c r="D14" s="33" t="n">
        <x:f>COUNTIFS('07_规则命中'!$F$6:$F$1005,$A14,'07_规则命中'!$J$6:$J$1005,"支持")</x:f>
        <x:v>0</x:v>
      </x:c>
      <x:c r="E14" s="33" t="n">
        <x:f>COUNTIFS('07_规则命中'!$F$6:$F$1005,$A14,'07_规则命中'!$J$6:$J$1005,"反例")</x:f>
        <x:v>0</x:v>
      </x:c>
      <x:c r="F14" s="33" t="n">
        <x:f>COUNTIFS('07_规则命中'!$F$6:$F$1005,$A14,'07_规则命中'!$J$6:$J$1005,"反例",'07_规则命中'!$K$6:$K$1005,"&gt;=3")</x:f>
        <x:v>0</x:v>
      </x:c>
      <x:c r="G14" s="33" t="n">
        <x:v>3</x:v>
      </x:c>
      <x:c r="H14" s="33" t="str">
        <x:f>IF(C14&gt;=G14,"达标","不足")</x:f>
        <x:v>不足</x:v>
      </x:c>
    </x:row>
    <x:row r="15">
      <x:c r="A15" s="33" t="str">
        <x:v>FAM10</x:v>
      </x:c>
      <x:c r="B15" s="33" t="str">
        <x:v>深度空间</x:v>
      </x:c>
      <x:c r="C15" s="33" t="n">
        <x:f>COUNTIF('07_规则命中'!$F$6:$F$1005,$A15)</x:f>
        <x:v>0</x:v>
      </x:c>
      <x:c r="D15" s="33" t="n">
        <x:f>COUNTIFS('07_规则命中'!$F$6:$F$1005,$A15,'07_规则命中'!$J$6:$J$1005,"支持")</x:f>
        <x:v>0</x:v>
      </x:c>
      <x:c r="E15" s="33" t="n">
        <x:f>COUNTIFS('07_规则命中'!$F$6:$F$1005,$A15,'07_规则命中'!$J$6:$J$1005,"反例")</x:f>
        <x:v>0</x:v>
      </x:c>
      <x:c r="F15" s="33" t="n">
        <x:f>COUNTIFS('07_规则命中'!$F$6:$F$1005,$A15,'07_规则命中'!$J$6:$J$1005,"反例",'07_规则命中'!$K$6:$K$1005,"&gt;=3")</x:f>
        <x:v>0</x:v>
      </x:c>
      <x:c r="G15" s="33" t="n">
        <x:v>3</x:v>
      </x:c>
      <x:c r="H15" s="33" t="str">
        <x:f>IF(C15&gt;=G15,"达标","不足")</x:f>
        <x:v>不足</x:v>
      </x:c>
    </x:row>
    <x:row r="19">
      <x:c r="A19" s="73" t="str">
        <x:v>模块</x:v>
      </x:c>
      <x:c r="B19" s="73" t="str">
        <x:v>字段核验</x:v>
      </x:c>
      <x:c r="C19" s="73" t="str">
        <x:v>规则命中</x:v>
      </x:c>
      <x:c r="D19" s="73" t="str">
        <x:v>假阳性</x:v>
      </x:c>
      <x:c r="E19" s="73" t="str">
        <x:v>假阴性</x:v>
      </x:c>
      <x:c r="F19" s="73" t="str">
        <x:v>严重误差</x:v>
      </x:c>
      <x:c r="G19" s="73" t="str">
        <x:v>状态</x:v>
      </x:c>
    </x:row>
    <x:row r="20">
      <x:c r="A20" s="33" t="str">
        <x:v>BASE</x:v>
      </x:c>
      <x:c r="B20" s="33" t="n">
        <x:f>COUNTIF('06_字段核验'!$D$6:$D$805,$A20)</x:f>
        <x:v>0</x:v>
      </x:c>
      <x:c r="C20" s="33" t="n">
        <x:f>COUNTIF('07_规则命中'!$E$6:$E$1005,$A20)</x:f>
        <x:v>0</x:v>
      </x:c>
      <x:c r="D20" s="33" t="n">
        <x:f>COUNTIFS('06_字段核验'!$D$6:$D$805,$A20,'06_字段核验'!$J$6:$J$805,"是")</x:f>
        <x:v>0</x:v>
      </x:c>
      <x:c r="E20" s="33" t="n">
        <x:f>COUNTIFS('06_字段核验'!$D$6:$D$805,$A20,'06_字段核验'!$K$6:$K$805,"是")</x:f>
        <x:v>0</x:v>
      </x:c>
      <x:c r="F20" s="33" t="n">
        <x:f>COUNTIFS('10_误差分类'!$F$25:$F$224,3,'10_误差分类'!$M$25:$M$224,"&lt;&gt;已解决")</x:f>
        <x:v>0</x:v>
      </x:c>
      <x:c r="G20" s="33" t="str">
        <x:f>IF(B20+C20=0,"无覆盖",IF(E20+F20&gt;0,"需复核","已覆盖"))</x:f>
        <x:v>无覆盖</x:v>
      </x:c>
    </x:row>
    <x:row r="21">
      <x:c r="A21" s="33" t="str">
        <x:v>PARTNER</x:v>
      </x:c>
      <x:c r="B21" s="33" t="n">
        <x:f>COUNTIF('06_字段核验'!$D$6:$D$805,$A21)</x:f>
        <x:v>0</x:v>
      </x:c>
      <x:c r="C21" s="33" t="n">
        <x:f>COUNTIF('07_规则命中'!$E$6:$E$1005,$A21)</x:f>
        <x:v>0</x:v>
      </x:c>
      <x:c r="D21" s="33" t="n">
        <x:f>COUNTIFS('06_字段核验'!$D$6:$D$805,$A21,'06_字段核验'!$J$6:$J$805,"是")</x:f>
        <x:v>0</x:v>
      </x:c>
      <x:c r="E21" s="33" t="n">
        <x:f>COUNTIFS('06_字段核验'!$D$6:$D$805,$A21,'06_字段核验'!$K$6:$K$805,"是")</x:f>
        <x:v>0</x:v>
      </x:c>
      <x:c r="F21" s="33" t="n">
        <x:f>COUNTIFS('10_误差分类'!$F$25:$F$224,3,'10_误差分类'!$M$25:$M$224,"&lt;&gt;已解决")</x:f>
        <x:v>0</x:v>
      </x:c>
      <x:c r="G21" s="33" t="str">
        <x:f>IF(B21+C21=0,"无覆盖",IF(E21+F21&gt;0,"需复核","已覆盖"))</x:f>
        <x:v>无覆盖</x:v>
      </x:c>
    </x:row>
    <x:row r="22">
      <x:c r="A22" s="33" t="str">
        <x:v>EXCHANGE</x:v>
      </x:c>
      <x:c r="B22" s="33" t="n">
        <x:f>COUNTIF('06_字段核验'!$D$6:$D$805,$A22)</x:f>
        <x:v>0</x:v>
      </x:c>
      <x:c r="C22" s="33" t="n">
        <x:f>COUNTIF('07_规则命中'!$E$6:$E$1005,$A22)</x:f>
        <x:v>0</x:v>
      </x:c>
      <x:c r="D22" s="33" t="n">
        <x:f>COUNTIFS('06_字段核验'!$D$6:$D$805,$A22,'06_字段核验'!$J$6:$J$805,"是")</x:f>
        <x:v>0</x:v>
      </x:c>
      <x:c r="E22" s="33" t="n">
        <x:f>COUNTIFS('06_字段核验'!$D$6:$D$805,$A22,'06_字段核验'!$K$6:$K$805,"是")</x:f>
        <x:v>0</x:v>
      </x:c>
      <x:c r="F22" s="33" t="n">
        <x:f>COUNTIFS('10_误差分类'!$F$25:$F$224,3,'10_误差分类'!$M$25:$M$224,"&lt;&gt;已解决")</x:f>
        <x:v>0</x:v>
      </x:c>
      <x:c r="G22" s="33" t="str">
        <x:f>IF(B22+C22=0,"无覆盖",IF(E22+F22&gt;0,"需复核","已覆盖"))</x:f>
        <x:v>无覆盖</x:v>
      </x:c>
    </x:row>
    <x:row r="23">
      <x:c r="A23" s="33" t="str">
        <x:v>BOUND</x:v>
      </x:c>
      <x:c r="B23" s="33" t="n">
        <x:f>COUNTIF('06_字段核验'!$D$6:$D$805,$A23)</x:f>
        <x:v>0</x:v>
      </x:c>
      <x:c r="C23" s="33" t="n">
        <x:f>COUNTIF('07_规则命中'!$E$6:$E$1005,$A23)</x:f>
        <x:v>0</x:v>
      </x:c>
      <x:c r="D23" s="33" t="n">
        <x:f>COUNTIFS('06_字段核验'!$D$6:$D$805,$A23,'06_字段核验'!$J$6:$J$805,"是")</x:f>
        <x:v>0</x:v>
      </x:c>
      <x:c r="E23" s="33" t="n">
        <x:f>COUNTIFS('06_字段核验'!$D$6:$D$805,$A23,'06_字段核验'!$K$6:$K$805,"是")</x:f>
        <x:v>0</x:v>
      </x:c>
      <x:c r="F23" s="33" t="n">
        <x:f>COUNTIFS('10_误差分类'!$F$25:$F$224,3,'10_误差分类'!$M$25:$M$224,"&lt;&gt;已解决")</x:f>
        <x:v>0</x:v>
      </x:c>
      <x:c r="G23" s="33" t="str">
        <x:f>IF(B23+C23=0,"无覆盖",IF(E23+F23&gt;0,"需复核","已覆盖"))</x:f>
        <x:v>无覆盖</x:v>
      </x:c>
    </x:row>
    <x:row r="24">
      <x:c r="A24" s="33" t="str">
        <x:v>REPAIR</x:v>
      </x:c>
      <x:c r="B24" s="33" t="n">
        <x:f>COUNTIF('06_字段核验'!$D$6:$D$805,$A24)</x:f>
        <x:v>0</x:v>
      </x:c>
      <x:c r="C24" s="33" t="n">
        <x:f>COUNTIF('07_规则命中'!$E$6:$E$1005,$A24)</x:f>
        <x:v>0</x:v>
      </x:c>
      <x:c r="D24" s="33" t="n">
        <x:f>COUNTIFS('06_字段核验'!$D$6:$D$805,$A24,'06_字段核验'!$J$6:$J$805,"是")</x:f>
        <x:v>0</x:v>
      </x:c>
      <x:c r="E24" s="33" t="n">
        <x:f>COUNTIFS('06_字段核验'!$D$6:$D$805,$A24,'06_字段核验'!$K$6:$K$805,"是")</x:f>
        <x:v>0</x:v>
      </x:c>
      <x:c r="F24" s="33" t="n">
        <x:f>COUNTIFS('10_误差分类'!$F$25:$F$224,3,'10_误差分类'!$M$25:$M$224,"&lt;&gt;已解决")</x:f>
        <x:v>0</x:v>
      </x:c>
      <x:c r="G24" s="33" t="str">
        <x:f>IF(B24+C24=0,"无覆盖",IF(E24+F24&gt;0,"需复核","已覆盖"))</x:f>
        <x:v>无覆盖</x:v>
      </x:c>
    </x:row>
    <x:row r="25">
      <x:c r="A25" s="33" t="str">
        <x:v>RHYTHM</x:v>
      </x:c>
      <x:c r="B25" s="33" t="n">
        <x:f>COUNTIF('06_字段核验'!$D$6:$D$805,$A25)</x:f>
        <x:v>0</x:v>
      </x:c>
      <x:c r="C25" s="33" t="n">
        <x:f>COUNTIF('07_规则命中'!$E$6:$E$1005,$A25)</x:f>
        <x:v>0</x:v>
      </x:c>
      <x:c r="D25" s="33" t="n">
        <x:f>COUNTIFS('06_字段核验'!$D$6:$D$805,$A25,'06_字段核验'!$J$6:$J$805,"是")</x:f>
        <x:v>0</x:v>
      </x:c>
      <x:c r="E25" s="33" t="n">
        <x:f>COUNTIFS('06_字段核验'!$D$6:$D$805,$A25,'06_字段核验'!$K$6:$K$805,"是")</x:f>
        <x:v>0</x:v>
      </x:c>
      <x:c r="F25" s="33" t="n">
        <x:f>COUNTIFS('10_误差分类'!$F$25:$F$224,3,'10_误差分类'!$M$25:$M$224,"&lt;&gt;已解决")</x:f>
        <x:v>0</x:v>
      </x:c>
      <x:c r="G25" s="33" t="str">
        <x:f>IF(B25+C25=0,"无覆盖",IF(E25+F25&gt;0,"需复核","已覆盖"))</x:f>
        <x:v>无覆盖</x:v>
      </x:c>
    </x:row>
    <x:row r="26">
      <x:c r="A26" s="33" t="str">
        <x:v>GAP</x:v>
      </x:c>
      <x:c r="B26" s="33" t="n">
        <x:f>COUNTIF('06_字段核验'!$D$6:$D$805,$A26)</x:f>
        <x:v>0</x:v>
      </x:c>
      <x:c r="C26" s="33" t="n">
        <x:f>COUNTIF('07_规则命中'!$E$6:$E$1005,$A26)</x:f>
        <x:v>0</x:v>
      </x:c>
      <x:c r="D26" s="33" t="n">
        <x:f>COUNTIFS('06_字段核验'!$D$6:$D$805,$A26,'06_字段核验'!$J$6:$J$805,"是")</x:f>
        <x:v>0</x:v>
      </x:c>
      <x:c r="E26" s="33" t="n">
        <x:f>COUNTIFS('06_字段核验'!$D$6:$D$805,$A26,'06_字段核验'!$K$6:$K$805,"是")</x:f>
        <x:v>0</x:v>
      </x:c>
      <x:c r="F26" s="33" t="n">
        <x:f>COUNTIFS('10_误差分类'!$F$25:$F$224,3,'10_误差分类'!$M$25:$M$224,"&lt;&gt;已解决")</x:f>
        <x:v>0</x:v>
      </x:c>
      <x:c r="G26" s="33" t="str">
        <x:f>IF(B26+C26=0,"无覆盖",IF(E26+F26&gt;0,"需复核","已覆盖"))</x:f>
        <x:v>无覆盖</x:v>
      </x:c>
    </x:row>
    <x:row r="27">
      <x:c r="A27" s="33" t="str">
        <x:v>SYNTH</x:v>
      </x:c>
      <x:c r="B27" s="33" t="n">
        <x:f>COUNTIF('06_字段核验'!$D$6:$D$805,$A27)</x:f>
        <x:v>0</x:v>
      </x:c>
      <x:c r="C27" s="33" t="n">
        <x:f>COUNTIF('07_规则命中'!$E$6:$E$1005,$A27)</x:f>
        <x:v>0</x:v>
      </x:c>
      <x:c r="D27" s="33" t="n">
        <x:f>COUNTIFS('06_字段核验'!$D$6:$D$805,$A27,'06_字段核验'!$J$6:$J$805,"是")</x:f>
        <x:v>0</x:v>
      </x:c>
      <x:c r="E27" s="33" t="n">
        <x:f>COUNTIFS('06_字段核验'!$D$6:$D$805,$A27,'06_字段核验'!$K$6:$K$805,"是")</x:f>
        <x:v>0</x:v>
      </x:c>
      <x:c r="F27" s="33" t="n">
        <x:f>COUNTIFS('10_误差分类'!$F$25:$F$224,3,'10_误差分类'!$M$25:$M$224,"&lt;&gt;已解决")</x:f>
        <x:v>0</x:v>
      </x:c>
      <x:c r="G27" s="33" t="str">
        <x:f>IF(B27+C27=0,"无覆盖",IF(E27+F27&gt;0,"需复核","已覆盖"))</x:f>
        <x:v>无覆盖</x:v>
      </x:c>
    </x:row>
    <x:row r="31">
      <x:c r="A31" s="73" t="str">
        <x:v>RG</x:v>
      </x:c>
      <x:c r="B31" s="73" t="str">
        <x:v>已评估</x:v>
      </x:c>
      <x:c r="C31" s="73" t="str">
        <x:v>pass</x:v>
      </x:c>
      <x:c r="D31" s="73" t="str">
        <x:v>conditional</x:v>
      </x:c>
      <x:c r="E31" s="73" t="str">
        <x:v>fail</x:v>
      </x:c>
      <x:c r="F31" s="73" t="str">
        <x:v>unknown</x:v>
      </x:c>
      <x:c r="G31" s="73" t="str">
        <x:v>C1目标</x:v>
      </x:c>
      <x:c r="H31" s="73" t="str">
        <x:v>状态</x:v>
      </x:c>
    </x:row>
    <x:row r="32">
      <x:c r="A32" s="33" t="str">
        <x:v>RG01</x:v>
      </x:c>
      <x:c r="B32" s="33" t="n">
        <x:f>COUNTIF('05_RG现实门槛'!$D$6:$D$405,$A32)</x:f>
        <x:v>0</x:v>
      </x:c>
      <x:c r="C32" s="33" t="n">
        <x:f>COUNTIFS('05_RG现实门槛'!$D$6:$D$405,$A32,'05_RG现实门槛'!$G$6:$G$405,"pass")</x:f>
        <x:v>0</x:v>
      </x:c>
      <x:c r="D32" s="33" t="n">
        <x:f>COUNTIFS('05_RG现实门槛'!$D$6:$D$405,$A32,'05_RG现实门槛'!$G$6:$G$405,"conditional")</x:f>
        <x:v>0</x:v>
      </x:c>
      <x:c r="E32" s="33" t="n">
        <x:f>COUNTIFS('05_RG现实门槛'!$D$6:$D$405,$A32,'05_RG现实门槛'!$G$6:$G$405,"fail")</x:f>
        <x:v>0</x:v>
      </x:c>
      <x:c r="F32" s="33" t="n">
        <x:f>COUNTIFS('05_RG现实门槛'!$D$6:$D$405,$A32,'05_RG现实门槛'!$G$6:$G$405,"unknown")</x:f>
        <x:v>0</x:v>
      </x:c>
      <x:c r="G32" s="33" t="n">
        <x:v>3</x:v>
      </x:c>
      <x:c r="H32" s="33" t="str">
        <x:f>IF(B32&gt;=G32,"达标","不足")</x:f>
        <x:v>不足</x:v>
      </x:c>
    </x:row>
    <x:row r="33">
      <x:c r="A33" s="33" t="str">
        <x:v>RG02</x:v>
      </x:c>
      <x:c r="B33" s="33" t="n">
        <x:f>COUNTIF('05_RG现实门槛'!$D$6:$D$405,$A33)</x:f>
        <x:v>0</x:v>
      </x:c>
      <x:c r="C33" s="33" t="n">
        <x:f>COUNTIFS('05_RG现实门槛'!$D$6:$D$405,$A33,'05_RG现实门槛'!$G$6:$G$405,"pass")</x:f>
        <x:v>0</x:v>
      </x:c>
      <x:c r="D33" s="33" t="n">
        <x:f>COUNTIFS('05_RG现实门槛'!$D$6:$D$405,$A33,'05_RG现实门槛'!$G$6:$G$405,"conditional")</x:f>
        <x:v>0</x:v>
      </x:c>
      <x:c r="E33" s="33" t="n">
        <x:f>COUNTIFS('05_RG现实门槛'!$D$6:$D$405,$A33,'05_RG现实门槛'!$G$6:$G$405,"fail")</x:f>
        <x:v>0</x:v>
      </x:c>
      <x:c r="F33" s="33" t="n">
        <x:f>COUNTIFS('05_RG现实门槛'!$D$6:$D$405,$A33,'05_RG现实门槛'!$G$6:$G$405,"unknown")</x:f>
        <x:v>0</x:v>
      </x:c>
      <x:c r="G33" s="33" t="n">
        <x:v>3</x:v>
      </x:c>
      <x:c r="H33" s="33" t="str">
        <x:f>IF(B33&gt;=G33,"达标","不足")</x:f>
        <x:v>不足</x:v>
      </x:c>
    </x:row>
    <x:row r="34">
      <x:c r="A34" s="33" t="str">
        <x:v>RG03</x:v>
      </x:c>
      <x:c r="B34" s="33" t="n">
        <x:f>COUNTIF('05_RG现实门槛'!$D$6:$D$405,$A34)</x:f>
        <x:v>0</x:v>
      </x:c>
      <x:c r="C34" s="33" t="n">
        <x:f>COUNTIFS('05_RG现实门槛'!$D$6:$D$405,$A34,'05_RG现实门槛'!$G$6:$G$405,"pass")</x:f>
        <x:v>0</x:v>
      </x:c>
      <x:c r="D34" s="33" t="n">
        <x:f>COUNTIFS('05_RG现实门槛'!$D$6:$D$405,$A34,'05_RG现实门槛'!$G$6:$G$405,"conditional")</x:f>
        <x:v>0</x:v>
      </x:c>
      <x:c r="E34" s="33" t="n">
        <x:f>COUNTIFS('05_RG现实门槛'!$D$6:$D$405,$A34,'05_RG现实门槛'!$G$6:$G$405,"fail")</x:f>
        <x:v>0</x:v>
      </x:c>
      <x:c r="F34" s="33" t="n">
        <x:f>COUNTIFS('05_RG现实门槛'!$D$6:$D$405,$A34,'05_RG现实门槛'!$G$6:$G$405,"unknown")</x:f>
        <x:v>0</x:v>
      </x:c>
      <x:c r="G34" s="33" t="n">
        <x:v>3</x:v>
      </x:c>
      <x:c r="H34" s="33" t="str">
        <x:f>IF(B34&gt;=G34,"达标","不足")</x:f>
        <x:v>不足</x:v>
      </x:c>
    </x:row>
    <x:row r="35">
      <x:c r="A35" s="33" t="str">
        <x:v>RG04</x:v>
      </x:c>
      <x:c r="B35" s="33" t="n">
        <x:f>COUNTIF('05_RG现实门槛'!$D$6:$D$405,$A35)</x:f>
        <x:v>0</x:v>
      </x:c>
      <x:c r="C35" s="33" t="n">
        <x:f>COUNTIFS('05_RG现实门槛'!$D$6:$D$405,$A35,'05_RG现实门槛'!$G$6:$G$405,"pass")</x:f>
        <x:v>0</x:v>
      </x:c>
      <x:c r="D35" s="33" t="n">
        <x:f>COUNTIFS('05_RG现实门槛'!$D$6:$D$405,$A35,'05_RG现实门槛'!$G$6:$G$405,"conditional")</x:f>
        <x:v>0</x:v>
      </x:c>
      <x:c r="E35" s="33" t="n">
        <x:f>COUNTIFS('05_RG现实门槛'!$D$6:$D$405,$A35,'05_RG现实门槛'!$G$6:$G$405,"fail")</x:f>
        <x:v>0</x:v>
      </x:c>
      <x:c r="F35" s="33" t="n">
        <x:f>COUNTIFS('05_RG现实门槛'!$D$6:$D$405,$A35,'05_RG现实门槛'!$G$6:$G$405,"unknown")</x:f>
        <x:v>0</x:v>
      </x:c>
      <x:c r="G35" s="33" t="n">
        <x:v>3</x:v>
      </x:c>
      <x:c r="H35" s="33" t="str">
        <x:f>IF(B35&gt;=G35,"达标","不足")</x:f>
        <x:v>不足</x:v>
      </x:c>
    </x:row>
    <x:row r="36">
      <x:c r="A36" s="33" t="str">
        <x:v>RG05</x:v>
      </x:c>
      <x:c r="B36" s="33" t="n">
        <x:f>COUNTIF('05_RG现实门槛'!$D$6:$D$405,$A36)</x:f>
        <x:v>0</x:v>
      </x:c>
      <x:c r="C36" s="33" t="n">
        <x:f>COUNTIFS('05_RG现实门槛'!$D$6:$D$405,$A36,'05_RG现实门槛'!$G$6:$G$405,"pass")</x:f>
        <x:v>0</x:v>
      </x:c>
      <x:c r="D36" s="33" t="n">
        <x:f>COUNTIFS('05_RG现实门槛'!$D$6:$D$405,$A36,'05_RG现实门槛'!$G$6:$G$405,"conditional")</x:f>
        <x:v>0</x:v>
      </x:c>
      <x:c r="E36" s="33" t="n">
        <x:f>COUNTIFS('05_RG现实门槛'!$D$6:$D$405,$A36,'05_RG现实门槛'!$G$6:$G$405,"fail")</x:f>
        <x:v>0</x:v>
      </x:c>
      <x:c r="F36" s="33" t="n">
        <x:f>COUNTIFS('05_RG现实门槛'!$D$6:$D$405,$A36,'05_RG现实门槛'!$G$6:$G$405,"unknown")</x:f>
        <x:v>0</x:v>
      </x:c>
      <x:c r="G36" s="33" t="n">
        <x:v>3</x:v>
      </x:c>
      <x:c r="H36" s="33" t="str">
        <x:f>IF(B36&gt;=G36,"达标","不足")</x:f>
        <x:v>不足</x:v>
      </x:c>
    </x:row>
    <x:row r="37">
      <x:c r="A37" s="33" t="str">
        <x:v>RG06</x:v>
      </x:c>
      <x:c r="B37" s="33" t="n">
        <x:f>COUNTIF('05_RG现实门槛'!$D$6:$D$405,$A37)</x:f>
        <x:v>0</x:v>
      </x:c>
      <x:c r="C37" s="33" t="n">
        <x:f>COUNTIFS('05_RG现实门槛'!$D$6:$D$405,$A37,'05_RG现实门槛'!$G$6:$G$405,"pass")</x:f>
        <x:v>0</x:v>
      </x:c>
      <x:c r="D37" s="33" t="n">
        <x:f>COUNTIFS('05_RG现实门槛'!$D$6:$D$405,$A37,'05_RG现实门槛'!$G$6:$G$405,"conditional")</x:f>
        <x:v>0</x:v>
      </x:c>
      <x:c r="E37" s="33" t="n">
        <x:f>COUNTIFS('05_RG现实门槛'!$D$6:$D$405,$A37,'05_RG现实门槛'!$G$6:$G$405,"fail")</x:f>
        <x:v>0</x:v>
      </x:c>
      <x:c r="F37" s="33" t="n">
        <x:f>COUNTIFS('05_RG现实门槛'!$D$6:$D$405,$A37,'05_RG现实门槛'!$G$6:$G$405,"unknown")</x:f>
        <x:v>0</x:v>
      </x:c>
      <x:c r="G37" s="33" t="n">
        <x:v>3</x:v>
      </x:c>
      <x:c r="H37" s="33" t="str">
        <x:f>IF(B37&gt;=G37,"达标","不足")</x:f>
        <x:v>不足</x:v>
      </x:c>
    </x:row>
    <x:row r="38">
      <x:c r="A38" s="33" t="str">
        <x:v>RG07</x:v>
      </x:c>
      <x:c r="B38" s="33" t="n">
        <x:f>COUNTIF('05_RG现实门槛'!$D$6:$D$405,$A38)</x:f>
        <x:v>0</x:v>
      </x:c>
      <x:c r="C38" s="33" t="n">
        <x:f>COUNTIFS('05_RG现实门槛'!$D$6:$D$405,$A38,'05_RG现实门槛'!$G$6:$G$405,"pass")</x:f>
        <x:v>0</x:v>
      </x:c>
      <x:c r="D38" s="33" t="n">
        <x:f>COUNTIFS('05_RG现实门槛'!$D$6:$D$405,$A38,'05_RG现实门槛'!$G$6:$G$405,"conditional")</x:f>
        <x:v>0</x:v>
      </x:c>
      <x:c r="E38" s="33" t="n">
        <x:f>COUNTIFS('05_RG现实门槛'!$D$6:$D$405,$A38,'05_RG现实门槛'!$G$6:$G$405,"fail")</x:f>
        <x:v>0</x:v>
      </x:c>
      <x:c r="F38" s="33" t="n">
        <x:f>COUNTIFS('05_RG现实门槛'!$D$6:$D$405,$A38,'05_RG现实门槛'!$G$6:$G$405,"unknown")</x:f>
        <x:v>0</x:v>
      </x:c>
      <x:c r="G38" s="33" t="n">
        <x:v>3</x:v>
      </x:c>
      <x:c r="H38" s="33" t="str">
        <x:f>IF(B38&gt;=G38,"达标","不足")</x:f>
        <x:v>不足</x:v>
      </x:c>
    </x:row>
    <x:row r="39">
      <x:c r="A39" s="33" t="str">
        <x:v>RG08</x:v>
      </x:c>
      <x:c r="B39" s="33" t="n">
        <x:f>COUNTIF('05_RG现实门槛'!$D$6:$D$405,$A39)</x:f>
        <x:v>0</x:v>
      </x:c>
      <x:c r="C39" s="33" t="n">
        <x:f>COUNTIFS('05_RG现实门槛'!$D$6:$D$405,$A39,'05_RG现实门槛'!$G$6:$G$405,"pass")</x:f>
        <x:v>0</x:v>
      </x:c>
      <x:c r="D39" s="33" t="n">
        <x:f>COUNTIFS('05_RG现实门槛'!$D$6:$D$405,$A39,'05_RG现实门槛'!$G$6:$G$405,"conditional")</x:f>
        <x:v>0</x:v>
      </x:c>
      <x:c r="E39" s="33" t="n">
        <x:f>COUNTIFS('05_RG现实门槛'!$D$6:$D$405,$A39,'05_RG现实门槛'!$G$6:$G$405,"fail")</x:f>
        <x:v>0</x:v>
      </x:c>
      <x:c r="F39" s="33" t="n">
        <x:f>COUNTIFS('05_RG现实门槛'!$D$6:$D$405,$A39,'05_RG现实门槛'!$G$6:$G$405,"unknown")</x:f>
        <x:v>0</x:v>
      </x:c>
      <x:c r="G39" s="33" t="n">
        <x:v>3</x:v>
      </x:c>
      <x:c r="H39" s="33" t="str">
        <x:f>IF(B39&gt;=G39,"达标","不足")</x:f>
        <x:v>不足</x:v>
      </x:c>
    </x:row>
    <x:row r="45">
      <x:c r="A45" s="73" t="str">
        <x:v>高信息情境</x:v>
      </x:c>
      <x:c r="B45" s="73" t="str">
        <x:v>当前数量</x:v>
      </x:c>
      <x:c r="C45" s="73" t="str">
        <x:v>C1／C2目标</x:v>
      </x:c>
      <x:c r="D45" s="73" t="str">
        <x:v>状态</x:v>
      </x:c>
    </x:row>
    <x:row r="46">
      <x:c r="A46" s="33" t="str">
        <x:v>高负荷阶段</x:v>
      </x:c>
      <x:c r="B46" s="33" t="n">
        <x:f>COUNTIF('04_关系事件'!$E$6:$E$505,"PH04_高负荷压缩")</x:f>
        <x:v>0</x:v>
      </x:c>
      <x:c r="C46" s="33" t="n">
        <x:v>5</x:v>
      </x:c>
      <x:c r="D46" s="33" t="str">
        <x:f>IF(B46&gt;=C46,"达标","不足")</x:f>
        <x:v>不足</x:v>
      </x:c>
    </x:row>
    <x:row r="47">
      <x:c r="A47" s="33" t="str">
        <x:v>冲突与修复</x:v>
      </x:c>
      <x:c r="B47" s="33" t="n">
        <x:f>COUNTIF('04_关系事件'!$G$6:$G$505,"冲突与修复")</x:f>
        <x:v>0</x:v>
      </x:c>
      <x:c r="C47" s="33" t="n">
        <x:v>5</x:v>
      </x:c>
      <x:c r="D47" s="33" t="str">
        <x:f>IF(B47&gt;=C47,"达标","不足")</x:f>
        <x:v>不足</x:v>
      </x:c>
    </x:row>
    <x:row r="48">
      <x:c r="A48" s="33" t="str">
        <x:v>恢复重连</x:v>
      </x:c>
      <x:c r="B48" s="33" t="n">
        <x:f>COUNTIF('04_关系事件'!$E$6:$E$505,"PH06_恢复重连")</x:f>
        <x:v>0</x:v>
      </x:c>
      <x:c r="C48" s="33" t="n">
        <x:v>5</x:v>
      </x:c>
      <x:c r="D48" s="33" t="str">
        <x:f>IF(B48&gt;=C48,"达标","不足")</x:f>
        <x:v>不足</x:v>
      </x:c>
    </x:row>
    <x:row r="49">
      <x:c r="A49" s="33" t="str">
        <x:v>重大转折</x:v>
      </x:c>
      <x:c r="B49" s="33" t="n">
        <x:f>COUNTIF('04_关系事件'!$G$6:$G$505,"重大转折")</x:f>
        <x:v>0</x:v>
      </x:c>
      <x:c r="C49" s="33" t="n">
        <x:v>5</x:v>
      </x:c>
      <x:c r="D49" s="33" t="str">
        <x:f>IF(B49&gt;=C49,"达标","不足")</x:f>
        <x:v>不足</x:v>
      </x:c>
    </x:row>
    <x:row r="50">
      <x:c r="A50" s="33" t="str">
        <x:v>异地案例</x:v>
      </x:c>
      <x:c r="B50" s="33" t="n">
        <x:f>COUNTIF('02_案例主档'!$H$6:$H$105,"异地")</x:f>
        <x:v>0</x:v>
      </x:c>
      <x:c r="C50" s="33" t="n">
        <x:v>5</x:v>
      </x:c>
      <x:c r="D50" s="33" t="str">
        <x:f>IF(B50&gt;=C50,"达标","不足")</x:f>
        <x:v>不足</x:v>
      </x:c>
    </x:row>
    <x:row r="51">
      <x:c r="A51" s="33" t="str">
        <x:v>家庭／照护</x:v>
      </x:c>
      <x:c r="B51" s="33" t="n">
        <x:f>COUNTIF('04_关系事件'!$G$6:$G$505,"家庭与照护")</x:f>
        <x:v>0</x:v>
      </x:c>
      <x:c r="C51" s="33" t="n">
        <x:v>5</x:v>
      </x:c>
      <x:c r="D51" s="33" t="str">
        <x:f>IF(B51&gt;=C51,"达标","不足")</x:f>
        <x:v>不足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>
      <x:c r="A1" s="61" t="str">
        <x:v>M5-CALIBRATION 下拉词典与编码说明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</x:row>
    <x:row r="3">
      <x:c r="A3" s="66" t="str">
        <x:v>用于数据验证和统一编码。</x:v>
      </x:c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</x:row>
    <x:row r="5">
      <x:c r="A5" s="75" t="str">
        <x:v>batch</x:v>
      </x:c>
      <x:c r="B5" s="75" t="str">
        <x:v>yes_no</x:v>
      </x:c>
      <x:c r="C5" s="75" t="str">
        <x:v>module</x:v>
      </x:c>
      <x:c r="D5" s="75" t="str">
        <x:v>match</x:v>
      </x:c>
      <x:c r="E5" s="75" t="str">
        <x:v>support</x:v>
      </x:c>
      <x:c r="F5" s="75" t="str">
        <x:v>safety</x:v>
      </x:c>
      <x:c r="G5" s="75" t="str">
        <x:v>RG_status</x:v>
      </x:c>
      <x:c r="H5" s="75" t="str">
        <x:v>AF</x:v>
      </x:c>
      <x:c r="I5" s="75" t="str">
        <x:v>FG</x:v>
      </x:c>
      <x:c r="J5" s="75" t="str">
        <x:v>confidence</x:v>
      </x:c>
      <x:c r="K5" s="75" t="str">
        <x:v>FB</x:v>
      </x:c>
      <x:c r="L5" s="75" t="str">
        <x:v>quality</x:v>
      </x:c>
      <x:c r="M5" s="75" t="str">
        <x:v>rule_action</x:v>
      </x:c>
      <x:c r="N5" s="75" t="str">
        <x:v>error_code</x:v>
      </x:c>
      <x:c r="O5" s="75" t="str">
        <x:v>language_code</x:v>
      </x:c>
      <x:c r="P5" s="75" t="str">
        <x:v>case_status</x:v>
      </x:c>
    </x:row>
    <x:row r="6">
      <x:c r="A6" s="33" t="str">
        <x:v>C0</x:v>
      </x:c>
      <x:c r="B6" s="33" t="str">
        <x:v>是</x:v>
      </x:c>
      <x:c r="C6" s="33" t="str">
        <x:v>BASE</x:v>
      </x:c>
      <x:c r="D6" s="33" t="str">
        <x:v>完全吻合</x:v>
      </x:c>
      <x:c r="E6" s="33" t="str">
        <x:v>支持</x:v>
      </x:c>
      <x:c r="F6" s="33" t="str">
        <x:v>无明显安全问题</x:v>
      </x:c>
      <x:c r="G6" s="33" t="str">
        <x:v>pass</x:v>
      </x:c>
      <x:c r="H6" s="33" t="str">
        <x:v>AF01</x:v>
      </x:c>
      <x:c r="I6" s="33" t="str">
        <x:v>FG0</x:v>
      </x:c>
      <x:c r="J6" s="33" t="str">
        <x:v>high</x:v>
      </x:c>
      <x:c r="K6" s="33" t="str">
        <x:v>FB0</x:v>
      </x:c>
      <x:c r="L6" s="33" t="str">
        <x:v>S0_抽象标签</x:v>
      </x:c>
      <x:c r="M6" s="33" t="str">
        <x:v>待验证</x:v>
      </x:c>
      <x:c r="N6" s="33" t="str">
        <x:v>EC01</x:v>
      </x:c>
      <x:c r="O6" s="33" t="str">
        <x:v>L01</x:v>
      </x:c>
      <x:c r="P6" s="33" t="str">
        <x:v>待录入</x:v>
      </x:c>
    </x:row>
    <x:row r="7">
      <x:c r="A7" s="33" t="str">
        <x:v>C1</x:v>
      </x:c>
      <x:c r="B7" s="33" t="str">
        <x:v>否</x:v>
      </x:c>
      <x:c r="C7" s="33" t="str">
        <x:v>PARTNER</x:v>
      </x:c>
      <x:c r="D7" s="33" t="str">
        <x:v>基本吻合</x:v>
      </x:c>
      <x:c r="E7" s="33" t="str">
        <x:v>部分支持</x:v>
      </x:c>
      <x:c r="F7" s="33" t="str">
        <x:v>需进一步筛查</x:v>
      </x:c>
      <x:c r="G7" s="33" t="str">
        <x:v>conditional</x:v>
      </x:c>
      <x:c r="H7" s="33" t="str">
        <x:v>AF02</x:v>
      </x:c>
      <x:c r="I7" s="33" t="str">
        <x:v>FG1</x:v>
      </x:c>
      <x:c r="J7" s="33" t="str">
        <x:v>medium_high</x:v>
      </x:c>
      <x:c r="K7" s="33" t="str">
        <x:v>FB1</x:v>
      </x:c>
      <x:c r="L7" s="33" t="str">
        <x:v>S1_单方具体事件</x:v>
      </x:c>
      <x:c r="M7" s="33" t="str">
        <x:v>继续观察</x:v>
      </x:c>
      <x:c r="N7" s="33" t="str">
        <x:v>EC02</x:v>
      </x:c>
      <x:c r="O7" s="33" t="str">
        <x:v>L02</x:v>
      </x:c>
      <x:c r="P7" s="33" t="str">
        <x:v>预测待冻结</x:v>
      </x:c>
    </x:row>
    <x:row r="8">
      <x:c r="A8" s="33" t="str">
        <x:v>C2</x:v>
      </x:c>
      <x:c r="B8" s="33" t="str"/>
      <x:c r="C8" s="33" t="str">
        <x:v>EXCHANGE</x:v>
      </x:c>
      <x:c r="D8" s="33" t="str">
        <x:v>部分吻合</x:v>
      </x:c>
      <x:c r="E8" s="33" t="str">
        <x:v>反例</x:v>
      </x:c>
      <x:c r="F8" s="33" t="str">
        <x:v>安全停止</x:v>
      </x:c>
      <x:c r="G8" s="33" t="str">
        <x:v>fail</x:v>
      </x:c>
      <x:c r="H8" s="33" t="str">
        <x:v>AF03</x:v>
      </x:c>
      <x:c r="I8" s="33" t="str">
        <x:v>FG2</x:v>
      </x:c>
      <x:c r="J8" s="33" t="str">
        <x:v>medium</x:v>
      </x:c>
      <x:c r="K8" s="33" t="str">
        <x:v>FB2</x:v>
      </x:c>
      <x:c r="L8" s="33" t="str">
        <x:v>S2_材料支持</x:v>
      </x:c>
      <x:c r="M8" s="33" t="str">
        <x:v>保留</x:v>
      </x:c>
      <x:c r="N8" s="33" t="str">
        <x:v>EC03</x:v>
      </x:c>
      <x:c r="O8" s="33" t="str">
        <x:v>L03</x:v>
      </x:c>
      <x:c r="P8" s="33" t="str">
        <x:v>反馈待收集</x:v>
      </x:c>
    </x:row>
    <x:row r="9">
      <x:c r="A9" s="33" t="str">
        <x:v>C3</x:v>
      </x:c>
      <x:c r="B9" s="33" t="str"/>
      <x:c r="C9" s="33" t="str">
        <x:v>BOUND</x:v>
      </x:c>
      <x:c r="D9" s="33" t="str">
        <x:v>明显不符</x:v>
      </x:c>
      <x:c r="E9" s="33" t="str">
        <x:v>不确定</x:v>
      </x:c>
      <x:c r="F9" s="33" t="str"/>
      <x:c r="G9" s="33" t="str">
        <x:v>unknown</x:v>
      </x:c>
      <x:c r="H9" s="33" t="str">
        <x:v>AF04</x:v>
      </x:c>
      <x:c r="I9" s="33" t="str">
        <x:v>FG3</x:v>
      </x:c>
      <x:c r="J9" s="33" t="str">
        <x:v>medium_low</x:v>
      </x:c>
      <x:c r="K9" s="33" t="str">
        <x:v>FB3</x:v>
      </x:c>
      <x:c r="L9" s="33" t="str">
        <x:v>S3_双方交叉核对</x:v>
      </x:c>
      <x:c r="M9" s="33" t="str">
        <x:v>升级</x:v>
      </x:c>
      <x:c r="N9" s="33" t="str">
        <x:v>EC04</x:v>
      </x:c>
      <x:c r="O9" s="33" t="str">
        <x:v>L04</x:v>
      </x:c>
      <x:c r="P9" s="33" t="str">
        <x:v>待核验</x:v>
      </x:c>
    </x:row>
    <x:row r="10">
      <x:c r="A10" s="33" t="str">
        <x:v>C4</x:v>
      </x:c>
      <x:c r="B10" s="33" t="str"/>
      <x:c r="C10" s="33" t="str">
        <x:v>REPAIR</x:v>
      </x:c>
      <x:c r="D10" s="33" t="str">
        <x:v>不可评估</x:v>
      </x:c>
      <x:c r="E10" s="33" t="str">
        <x:v>不可评估</x:v>
      </x:c>
      <x:c r="F10" s="33" t="str"/>
      <x:c r="G10" s="33" t="str">
        <x:v>not_assessed</x:v>
      </x:c>
      <x:c r="H10" s="33" t="str">
        <x:v>AF05</x:v>
      </x:c>
      <x:c r="I10" s="33" t="str">
        <x:v>FG4</x:v>
      </x:c>
      <x:c r="J10" s="33" t="str">
        <x:v>low</x:v>
      </x:c>
      <x:c r="K10" s="33" t="str">
        <x:v>FB4</x:v>
      </x:c>
      <x:c r="L10" s="33" t="str">
        <x:v>S4_跨时间独立资料</x:v>
      </x:c>
      <x:c r="M10" s="33" t="str">
        <x:v>修改</x:v>
      </x:c>
      <x:c r="N10" s="33" t="str">
        <x:v>EC05</x:v>
      </x:c>
      <x:c r="O10" s="33" t="str">
        <x:v>L05</x:v>
      </x:c>
      <x:c r="P10" s="33" t="str">
        <x:v>已评估</x:v>
      </x:c>
    </x:row>
    <x:row r="11">
      <x:c r="A11" s="33" t="str">
        <x:v>C5</x:v>
      </x:c>
      <x:c r="B11" s="33" t="str"/>
      <x:c r="C11" s="33" t="str">
        <x:v>RHYTHM</x:v>
      </x:c>
      <x:c r="D11" s="33" t="str"/>
      <x:c r="E11" s="33" t="str"/>
      <x:c r="F11" s="33" t="str"/>
      <x:c r="G11" s="33" t="str"/>
      <x:c r="H11" s="33" t="str">
        <x:v>AF06</x:v>
      </x:c>
      <x:c r="I11" s="33" t="str"/>
      <x:c r="J11" s="33" t="str">
        <x:v>not_applicable</x:v>
      </x:c>
      <x:c r="K11" s="33" t="str">
        <x:v>FB5</x:v>
      </x:c>
      <x:c r="L11" s="33" t="str"/>
      <x:c r="M11" s="33" t="str">
        <x:v>收紧条件</x:v>
      </x:c>
      <x:c r="N11" s="33" t="str">
        <x:v>EC06</x:v>
      </x:c>
      <x:c r="O11" s="33" t="str">
        <x:v>L06</x:v>
      </x:c>
      <x:c r="P11" s="33" t="str">
        <x:v>暂不纳入</x:v>
      </x:c>
    </x:row>
    <x:row r="12">
      <x:c r="A12" s="33" t="str"/>
      <x:c r="B12" s="33" t="str"/>
      <x:c r="C12" s="33" t="str">
        <x:v>GAP</x:v>
      </x:c>
      <x:c r="D12" s="33" t="str"/>
      <x:c r="E12" s="33" t="str"/>
      <x:c r="F12" s="33" t="str"/>
      <x:c r="G12" s="33" t="str"/>
      <x:c r="H12" s="33" t="str">
        <x:v>AF07</x:v>
      </x:c>
      <x:c r="I12" s="33" t="str"/>
      <x:c r="J12" s="33" t="str"/>
      <x:c r="K12" s="33" t="str"/>
      <x:c r="L12" s="33" t="str"/>
      <x:c r="M12" s="33" t="str">
        <x:v>补漏／放宽</x:v>
      </x:c>
      <x:c r="N12" s="33" t="str">
        <x:v>EC07</x:v>
      </x:c>
      <x:c r="O12" s="33" t="str">
        <x:v>L07</x:v>
      </x:c>
      <x:c r="P12" s="33" t="str">
        <x:v>安全停止</x:v>
      </x:c>
    </x:row>
    <x:row r="13">
      <x:c r="A13" s="33" t="str"/>
      <x:c r="B13" s="33" t="str"/>
      <x:c r="C13" s="33" t="str">
        <x:v>SYNTH</x:v>
      </x:c>
      <x:c r="D13" s="33" t="str"/>
      <x:c r="E13" s="33" t="str"/>
      <x:c r="F13" s="33" t="str"/>
      <x:c r="G13" s="33" t="str"/>
      <x:c r="H13" s="33" t="str">
        <x:v>AF08</x:v>
      </x:c>
      <x:c r="I13" s="33" t="str"/>
      <x:c r="J13" s="33" t="str"/>
      <x:c r="K13" s="33" t="str"/>
      <x:c r="L13" s="33" t="str"/>
      <x:c r="M13" s="33" t="str">
        <x:v>拆分</x:v>
      </x:c>
      <x:c r="N13" s="33" t="str">
        <x:v>EC08</x:v>
      </x:c>
      <x:c r="O13" s="33" t="str">
        <x:v>L08</x:v>
      </x:c>
      <x:c r="P13" s="33" t="str"/>
    </x:row>
    <x:row r="14">
      <x:c r="A14" s="33" t="str"/>
      <x:c r="B14" s="33" t="str"/>
      <x:c r="C14" s="33" t="str"/>
      <x:c r="D14" s="33" t="str"/>
      <x:c r="E14" s="33" t="str"/>
      <x:c r="F14" s="33" t="str"/>
      <x:c r="G14" s="33" t="str"/>
      <x:c r="H14" s="33" t="str">
        <x:v>AF09</x:v>
      </x:c>
      <x:c r="I14" s="33" t="str"/>
      <x:c r="J14" s="33" t="str"/>
      <x:c r="K14" s="33" t="str"/>
      <x:c r="L14" s="33" t="str"/>
      <x:c r="M14" s="33" t="str">
        <x:v>合并</x:v>
      </x:c>
      <x:c r="N14" s="33" t="str">
        <x:v>EC09</x:v>
      </x:c>
      <x:c r="O14" s="33" t="str">
        <x:v>L09</x:v>
      </x:c>
      <x:c r="P14" s="33" t="str"/>
    </x:row>
    <x:row r="15">
      <x:c r="A15" s="33" t="str"/>
      <x:c r="B15" s="33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>
        <x:v>停用</x:v>
      </x:c>
      <x:c r="N15" s="33" t="str">
        <x:v>EC10</x:v>
      </x:c>
      <x:c r="O15" s="33" t="str">
        <x:v>L10</x:v>
      </x:c>
      <x:c r="P15" s="33" t="str"/>
    </x:row>
    <x:row r="16">
      <x:c r="A16" s="33" t="str"/>
      <x:c r="B16" s="33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>
        <x:v>EC11</x:v>
      </x:c>
      <x:c r="O16" s="33" t="str"/>
      <x:c r="P16" s="33" t="str"/>
    </x:row>
    <x:row r="17">
      <x:c r="A17" s="33" t="str"/>
      <x:c r="B17" s="33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>
        <x:v>EC12</x:v>
      </x:c>
      <x:c r="O17" s="33" t="str"/>
      <x:c r="P17" s="33" t="str"/>
    </x:row>
    <x:row r="18">
      <x:c r="A18" s="33" t="str"/>
      <x:c r="B18" s="33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>
        <x:v>EC13</x:v>
      </x:c>
      <x:c r="O18" s="33" t="str"/>
      <x:c r="P18" s="33" t="str"/>
    </x:row>
    <x:row r="19">
      <x:c r="A19" s="33" t="str"/>
      <x:c r="B19" s="33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>
        <x:v>EC14</x:v>
      </x:c>
      <x:c r="O19" s="33" t="str"/>
      <x:c r="P19" s="33" t="str"/>
    </x:row>
    <x:row r="20">
      <x:c r="A20" s="33" t="str"/>
      <x:c r="B20" s="33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>
        <x:v>EC15</x:v>
      </x:c>
      <x:c r="O20" s="33" t="str"/>
      <x:c r="P20" s="33" t="str"/>
    </x:row>
    <x:row r="21">
      <x:c r="A21" s="33" t="str"/>
      <x:c r="B21" s="33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>
        <x:v>EC16</x:v>
      </x:c>
      <x:c r="O21" s="33" t="str"/>
      <x:c r="P21" s="33" t="str"/>
    </x:row>
  </x:sheetData>
  <x:mergeCells>
    <x:mergeCell ref="A1:P2"/>
    <x:mergeCell ref="A3:P3"/>
  </x:mergeCells>
  <x:pageMargins left="0.7" right="0.7" top="0.75" bottom="0.75" header="0.3" footer="0.3"/>
</x:worksheet>
</file>