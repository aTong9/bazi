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d699fca9ad4c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工作台说明" sheetId="1" r:id="Rc83d34c461b34958"/>
    <x:sheet xmlns:r="http://schemas.openxmlformats.org/officeDocument/2006/relationships" name="01_命例主档" sheetId="2" r:id="R73312ec61f454d09"/>
    <x:sheet xmlns:r="http://schemas.openxmlformats.org/officeDocument/2006/relationships" name="02_模块分析记录" sheetId="3" r:id="R4eba2fe1e872414e"/>
    <x:sheet xmlns:r="http://schemas.openxmlformats.org/officeDocument/2006/relationships" name="03_结构结论总表" sheetId="4" r:id="R269a7f950b31404c"/>
    <x:sheet xmlns:r="http://schemas.openxmlformats.org/officeDocument/2006/relationships" name="04_五行五维矩阵" sheetId="5" r:id="R25d613866a5d424b"/>
    <x:sheet xmlns:r="http://schemas.openxmlformats.org/officeDocument/2006/relationships" name="05_真实反馈与验证" sheetId="6" r:id="R207895c5aa4d425b"/>
    <x:sheet xmlns:r="http://schemas.openxmlformats.org/officeDocument/2006/relationships" name="06_差异与回归候选" sheetId="7" r:id="R9af7cd588cbe42f5"/>
    <x:sheet xmlns:r="http://schemas.openxmlformats.org/officeDocument/2006/relationships" name="07_用户报告模板" sheetId="8" r:id="R1950e27092774313"/>
    <x:sheet xmlns:r="http://schemas.openxmlformats.org/officeDocument/2006/relationships" name="08_规则索引" sheetId="9" r:id="R26988c02cd2340f9"/>
    <x:sheet xmlns:r="http://schemas.openxmlformats.org/officeDocument/2006/relationships" name="09_治理与待验证" sheetId="10" r:id="Rdacc35f9e38c404d"/>
    <x:sheet xmlns:r="http://schemas.openxmlformats.org/officeDocument/2006/relationships" name="99_下拉选项" sheetId="11" r:id="Ra3230eb898bc4a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hh:mm"/>
    <x:numFmt numFmtId="202" formatCode="0%"/>
    <x:numFmt numFmtId="203" formatCode="0.0%"/>
  </x:numFmts>
  <x:fonts count="9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  <x:font>
      <x:i/>
      <x:sz val="11"/>
      <x:color rgb="FF475569"/>
      <x:name val="Carlito"/>
    </x:font>
    <x:font>
      <x:sz val="11"/>
      <x:color rgb="FF92400E"/>
      <x:name val="Carlito"/>
    </x:font>
    <x:font>
      <x:sz val="11"/>
      <x:color rgb="FF1F2937"/>
      <x:name val="Carlito"/>
    </x:font>
    <x:font>
      <x:b/>
      <x:sz val="1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  <x:fill>
      <x:patternFill patternType="solid">
        <x:fgColor rgb="FFEAF2F8"/>
      </x:patternFill>
    </x:fill>
    <x:fill>
      <x:patternFill patternType="solid">
        <x:fgColor rgb="FFE5E7EB"/>
      </x:patternFill>
    </x:fill>
  </x:fills>
  <x:borders count="18">
    <x:border/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3" fontId="4" fillId="5" borderId="0" xfId="0" applyNumberFormat="1" applyFont="1" applyFill="1" applyBorder="1" applyAlignment="1">
      <x:alignment horizontal="center"/>
    </x:xf>
    <x:xf numFmtId="203" fontId="4" fillId="5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left" wrapText="1"/>
    </x:xf>
    <x:xf numFmtId="0" fontId="7" fillId="5" borderId="0" xfId="0" applyNumberFormat="1" applyFont="1" applyFill="1" applyBorder="1" applyAlignment="1">
      <x:alignment horizontal="left" vertical="top" wrapText="1"/>
    </x:xf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horizontal="left" wrapText="1"/>
    </x:xf>
    <x:xf numFmtId="0" fontId="7" fillId="5" borderId="1" xfId="0" applyNumberFormat="1" applyFont="1" applyFill="1" applyBorder="1" applyAlignment="1">
      <x:alignment horizontal="left"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left" vertical="center"/>
    </x:xf>
    <x:xf numFmtId="0" fontId="3" fillId="4" borderId="3" xfId="0" applyNumberFormat="1" applyFont="1" applyFill="1" applyBorder="1" applyAlignment="1">
      <x:alignment horizontal="left" vertical="center"/>
    </x:xf>
    <x:xf numFmtId="0" fontId="3" fillId="4" borderId="4" xfId="0" applyNumberFormat="1" applyFont="1" applyFill="1" applyBorder="1" applyAlignment="1">
      <x:alignment horizontal="left" vertical="center"/>
    </x:xf>
    <x:xf numFmtId="0" fontId="3" fillId="7" borderId="5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5" xfId="0" applyNumberFormat="1" applyFont="1" applyFill="1" applyBorder="1"/>
    <x:xf numFmtId="0" fontId="3" fillId="4" borderId="5" xfId="0" applyNumberFormat="1" applyFont="1" applyFill="1" applyBorder="1" applyAlignment="1">
      <x:alignment horizontal="left" vertical="center"/>
    </x:xf>
    <x:xf numFmtId="0" fontId="3" fillId="4" borderId="6" xfId="0" applyNumberFormat="1" applyFont="1" applyFill="1" applyBorder="1" applyAlignment="1">
      <x:alignment horizontal="left" vertical="center"/>
    </x:xf>
    <x:xf numFmtId="0" fontId="7" fillId="5" borderId="5" xfId="0" applyNumberFormat="1" applyFont="1" applyFill="1" applyBorder="1" applyAlignment="1">
      <x:alignment horizontal="left" vertical="top" wrapText="1"/>
    </x:xf>
    <x:xf numFmtId="0" fontId="7" fillId="5" borderId="6" xfId="0" applyNumberFormat="1" applyFont="1" applyFill="1" applyBorder="1" applyAlignment="1">
      <x:alignment horizontal="left" vertical="top" wrapText="1"/>
    </x:xf>
    <x:xf numFmtId="0" fontId="5" fillId="8" borderId="5" xfId="0" applyNumberFormat="1" applyFont="1" applyFill="1" applyBorder="1" applyAlignment="1">
      <x:alignment wrapText="1"/>
    </x:xf>
    <x:xf numFmtId="0" fontId="5" fillId="8" borderId="6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wrapText="1"/>
    </x:xf>
    <x:xf numFmtId="0" fontId="5" fillId="8" borderId="8" xfId="0" applyNumberFormat="1" applyFont="1" applyFill="1" applyBorder="1" applyAlignment="1">
      <x:alignment wrapText="1"/>
    </x:xf>
    <x:xf numFmtId="0" fontId="5" fillId="8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left" vertical="center"/>
    </x:xf>
    <x:xf numFmtId="0" fontId="3" fillId="4" borderId="11" xfId="0" applyNumberFormat="1" applyFont="1" applyFill="1" applyBorder="1" applyAlignment="1">
      <x:alignment horizontal="left" vertical="center"/>
    </x:xf>
    <x:xf numFmtId="0" fontId="3" fillId="4" borderId="12" xfId="0" applyNumberFormat="1" applyFont="1" applyFill="1" applyBorder="1" applyAlignment="1">
      <x:alignment horizontal="left" vertical="center"/>
    </x:xf>
    <x:xf numFmtId="0" fontId="3" fillId="7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/>
    <x:xf numFmtId="0" fontId="0" fillId="0" borderId="13" xfId="0" applyNumberFormat="1" applyFont="1" applyFill="1" applyBorder="1"/>
    <x:xf numFmtId="0" fontId="3" fillId="4" borderId="13" xfId="0" applyNumberFormat="1" applyFont="1" applyFill="1" applyBorder="1" applyAlignment="1">
      <x:alignment horizontal="left" vertical="center"/>
    </x:xf>
    <x:xf numFmtId="0" fontId="3" fillId="4" borderId="14" xfId="0" applyNumberFormat="1" applyFont="1" applyFill="1" applyBorder="1" applyAlignment="1">
      <x:alignment horizontal="left" vertical="center"/>
    </x:xf>
    <x:xf numFmtId="0" fontId="7" fillId="5" borderId="13" xfId="0" applyNumberFormat="1" applyFont="1" applyFill="1" applyBorder="1" applyAlignment="1">
      <x:alignment horizontal="left" vertical="top" wrapText="1"/>
    </x:xf>
    <x:xf numFmtId="0" fontId="7" fillId="5" borderId="14" xfId="0" applyNumberFormat="1" applyFont="1" applyFill="1" applyBorder="1" applyAlignment="1">
      <x:alignment horizontal="left" vertical="top" wrapText="1"/>
    </x:xf>
    <x:xf numFmtId="0" fontId="5" fillId="8" borderId="13" xfId="0" applyNumberFormat="1" applyFont="1" applyFill="1" applyBorder="1" applyAlignment="1">
      <x:alignment wrapText="1"/>
    </x:xf>
    <x:xf numFmtId="0" fontId="5" fillId="8" borderId="14" xfId="0" applyNumberFormat="1" applyFont="1" applyFill="1" applyBorder="1" applyAlignment="1">
      <x:alignment wrapText="1"/>
    </x:xf>
    <x:xf numFmtId="0" fontId="5" fillId="8" borderId="15" xfId="0" applyNumberFormat="1" applyFont="1" applyFill="1" applyBorder="1" applyAlignment="1">
      <x:alignment wrapText="1"/>
    </x:xf>
    <x:xf numFmtId="0" fontId="5" fillId="8" borderId="16" xfId="0" applyNumberFormat="1" applyFont="1" applyFill="1" applyBorder="1" applyAlignment="1">
      <x:alignment wrapText="1"/>
    </x:xf>
    <x:xf numFmtId="0" fontId="5" fillId="8" borderId="17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left" vertical="center" wrapText="1"/>
    </x:xf>
    <x:xf numFmtId="0" fontId="3" fillId="4" borderId="3" xfId="0" applyNumberFormat="1" applyFont="1" applyFill="1" applyBorder="1" applyAlignment="1">
      <x:alignment horizontal="left" vertical="center" wrapText="1"/>
    </x:xf>
    <x:xf numFmtId="0" fontId="3" fillId="4" borderId="4" xfId="0" applyNumberFormat="1" applyFont="1" applyFill="1" applyBorder="1" applyAlignment="1">
      <x:alignment horizontal="left" vertical="center" wrapText="1"/>
    </x:xf>
    <x:xf numFmtId="0" fontId="3" fillId="7" borderId="5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3" fillId="4" borderId="6" xfId="0" applyNumberFormat="1" applyFont="1" applyFill="1" applyBorder="1" applyAlignment="1">
      <x:alignment horizontal="left" vertical="center" wrapText="1"/>
    </x:xf>
    <x:xf numFmtId="0" fontId="3" fillId="4" borderId="10" xfId="0" applyNumberFormat="1" applyFont="1" applyFill="1" applyBorder="1" applyAlignment="1">
      <x:alignment horizontal="left" vertical="center" wrapText="1"/>
    </x:xf>
    <x:xf numFmtId="0" fontId="3" fillId="4" borderId="11" xfId="0" applyNumberFormat="1" applyFont="1" applyFill="1" applyBorder="1" applyAlignment="1">
      <x:alignment horizontal="left" vertical="center" wrapText="1"/>
    </x:xf>
    <x:xf numFmtId="0" fontId="3" fillId="4" borderId="12" xfId="0" applyNumberFormat="1" applyFont="1" applyFill="1" applyBorder="1" applyAlignment="1">
      <x:alignment horizontal="left" vertical="center" wrapText="1"/>
    </x:xf>
    <x:xf numFmtId="0" fontId="3" fillId="7" borderId="13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3" fillId="4" borderId="14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7" fillId="5" borderId="5" xfId="0" applyNumberFormat="1" applyFont="1" applyFill="1" applyBorder="1" applyAlignment="1">
      <x:alignment horizontal="left" vertical="center" wrapText="1"/>
    </x:xf>
    <x:xf numFmtId="0" fontId="7" fillId="5" borderId="0" xfId="0" applyNumberFormat="1" applyFont="1" applyFill="1" applyBorder="1" applyAlignment="1">
      <x:alignment horizontal="left" vertical="center" wrapText="1"/>
    </x:xf>
    <x:xf numFmtId="0" fontId="7" fillId="5" borderId="6" xfId="0" applyNumberFormat="1" applyFont="1" applyFill="1" applyBorder="1" applyAlignment="1">
      <x:alignment horizontal="left" vertical="center" wrapText="1"/>
    </x:xf>
    <x:xf numFmtId="0" fontId="5" fillId="8" borderId="5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8" borderId="6" xfId="0" applyNumberFormat="1" applyFont="1" applyFill="1" applyBorder="1" applyAlignment="1">
      <x:alignment vertical="center" wrapText="1"/>
    </x:xf>
    <x:xf numFmtId="0" fontId="5" fillId="8" borderId="7" xfId="0" applyNumberFormat="1" applyFont="1" applyFill="1" applyBorder="1" applyAlignment="1">
      <x:alignment vertical="center" wrapText="1"/>
    </x:xf>
    <x:xf numFmtId="0" fontId="5" fillId="8" borderId="8" xfId="0" applyNumberFormat="1" applyFont="1" applyFill="1" applyBorder="1" applyAlignment="1">
      <x:alignment vertical="center" wrapText="1"/>
    </x:xf>
    <x:xf numFmtId="0" fontId="5" fillId="8" borderId="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7" fillId="5" borderId="13" xfId="0" applyNumberFormat="1" applyFont="1" applyFill="1" applyBorder="1" applyAlignment="1">
      <x:alignment horizontal="left" vertical="center" wrapText="1"/>
    </x:xf>
    <x:xf numFmtId="0" fontId="7" fillId="5" borderId="1" xfId="0" applyNumberFormat="1" applyFont="1" applyFill="1" applyBorder="1" applyAlignment="1">
      <x:alignment horizontal="left" vertical="center" wrapText="1"/>
    </x:xf>
    <x:xf numFmtId="0" fontId="7" fillId="5" borderId="14" xfId="0" applyNumberFormat="1" applyFont="1" applyFill="1" applyBorder="1" applyAlignment="1">
      <x:alignment horizontal="left" vertical="center" wrapText="1"/>
    </x:xf>
    <x:xf numFmtId="0" fontId="5" fillId="8" borderId="13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0" fontId="5" fillId="8" borderId="14" xfId="0" applyNumberFormat="1" applyFont="1" applyFill="1" applyBorder="1" applyAlignment="1">
      <x:alignment vertical="center" wrapText="1"/>
    </x:xf>
    <x:xf numFmtId="0" fontId="5" fillId="8" borderId="15" xfId="0" applyNumberFormat="1" applyFont="1" applyFill="1" applyBorder="1" applyAlignment="1">
      <x:alignment vertical="center" wrapText="1"/>
    </x:xf>
    <x:xf numFmtId="0" fontId="5" fillId="8" borderId="16" xfId="0" applyNumberFormat="1" applyFont="1" applyFill="1" applyBorder="1" applyAlignment="1">
      <x:alignment vertical="center" wrapText="1"/>
    </x:xf>
    <x:xf numFmtId="0" fontId="5" fillId="8" borderId="17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/>
    </x:xf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</x:cellXfs>
  <x:cellStyles count="1">
    <x:cellStyle name="Normal" xfId="0"/>
  </x:cellStyles>
  <x:dxfs count="17"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ae8201026143e4" /><Relationship Type="http://schemas.openxmlformats.org/officeDocument/2006/relationships/theme" Target="/xl/theme/theme1.xml" Id="R14ca2dc95f754b45" /><Relationship Type="http://schemas.openxmlformats.org/officeDocument/2006/relationships/sharedStrings" Target="/xl/sharedStrings.xml" Id="R1815119f3cc0420d" /><Relationship Type="http://schemas.openxmlformats.org/officeDocument/2006/relationships/worksheet" Target="/xl/worksheets/sheet1.xml" Id="Rc83d34c461b34958" /><Relationship Type="http://schemas.openxmlformats.org/officeDocument/2006/relationships/worksheet" Target="/xl/worksheets/sheet2.xml" Id="R73312ec61f454d09" /><Relationship Type="http://schemas.openxmlformats.org/officeDocument/2006/relationships/worksheet" Target="/xl/worksheets/sheet3.xml" Id="R4eba2fe1e872414e" /><Relationship Type="http://schemas.openxmlformats.org/officeDocument/2006/relationships/worksheet" Target="/xl/worksheets/sheet4.xml" Id="R269a7f950b31404c" /><Relationship Type="http://schemas.openxmlformats.org/officeDocument/2006/relationships/worksheet" Target="/xl/worksheets/sheet5.xml" Id="R25d613866a5d424b" /><Relationship Type="http://schemas.openxmlformats.org/officeDocument/2006/relationships/worksheet" Target="/xl/worksheets/sheet6.xml" Id="R207895c5aa4d425b" /><Relationship Type="http://schemas.openxmlformats.org/officeDocument/2006/relationships/worksheet" Target="/xl/worksheets/sheet7.xml" Id="R9af7cd588cbe42f5" /><Relationship Type="http://schemas.openxmlformats.org/officeDocument/2006/relationships/worksheet" Target="/xl/worksheets/sheet8.xml" Id="R1950e27092774313" /><Relationship Type="http://schemas.openxmlformats.org/officeDocument/2006/relationships/worksheet" Target="/xl/worksheets/sheet9.xml" Id="R26988c02cd2340f9" /><Relationship Type="http://schemas.openxmlformats.org/officeDocument/2006/relationships/worksheet" Target="/xl/worksheets/sheet10.xml" Id="Rdacc35f9e38c404d" /><Relationship Type="http://schemas.openxmlformats.org/officeDocument/2006/relationships/worksheet" Target="/xl/worksheets/sheet11.xml" Id="Ra3230eb898bc4a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05f160ee0ff4c5c" /><Relationship Type="http://schemas.openxmlformats.org/officeDocument/2006/relationships/chart" Target="/xl/drawings/charts/chart2.xml" Id="R94bc9c2a21e548c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61bd53669cd1400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命例分析状态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'00_工作台说明'!$J$5:$J$9</c:f>
              <c:strCache>
                <c:ptCount val="0"/>
              </c:strCache>
            </c:strRef>
          </c:cat>
          <c:val>
            <c:numRef>
              <c:f>'00_工作台说明'!$K$5:$K$9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各模块完成率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名称</c:v>
          </c:tx>
          <c:cat>
            <c:strRef>
              <c:f>'00_工作台说明'!$J$28:$J$45</c:f>
              <c:strCache>
                <c:ptCount val="0"/>
              </c:strCache>
            </c:strRef>
          </c:cat>
          <c:val>
            <c:numRef>
              <c:f>'00_工作台说明'!$K$28:$K$45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完成率</c:v>
          </c:tx>
          <c:cat>
            <c:strRef>
              <c:f>'00_工作台说明'!$J$28:$J$45</c:f>
              <c:strCache>
                <c:ptCount val="0"/>
              </c:strCache>
            </c:strRef>
          </c:cat>
          <c:val>
            <c:numRef>
              <c:f>'00_工作台说明'!$L$28:$L$45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回归差异类型分布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'06_差异与回归候选'!$AB$9:$AB$21</c:f>
              <c:strCache>
                <c:ptCount val="0"/>
              </c:strCache>
            </c:strRef>
          </c:cat>
          <c:val>
            <c:numRef>
              <c:f>'06_差异与回归候选'!$AC$9:$AC$21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10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5f160ee0ff4c5c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bc9c2a21e548c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31</xdr:col>
      <xdr:colOff>0</xdr:colOff>
      <xdr:row>7</xdr:row>
      <xdr:rowOff>0</xdr:rowOff>
    </xdr:from>
    <xdr:to>
      <xdr:col>36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bd53669cd1400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RealCaseMasterTable" displayName="RealCaseMasterTable" ref="A5:AE55" headerRowCount="1" totalsRowCount="0" totalsRowShown="0">
  <x:tableColumns count="31">
    <x:tableColumn id="1" name="Case_ID"/>
    <x:tableColumn id="2" name="序号"/>
    <x:tableColumn id="3" name="命例名称/匿名编号"/>
    <x:tableColumn id="4" name="案例来源"/>
    <x:tableColumn id="5" name="性别"/>
    <x:tableColumn id="6" name="历法"/>
    <x:tableColumn id="7" name="出生日期"/>
    <x:tableColumn id="8" name="出生时间"/>
    <x:tableColumn id="9" name="时区"/>
    <x:tableColumn id="10" name="出生地"/>
    <x:tableColumn id="11" name="年柱"/>
    <x:tableColumn id="12" name="月柱"/>
    <x:tableColumn id="13" name="日柱"/>
    <x:tableColumn id="14" name="时柱"/>
    <x:tableColumn id="15" name="交节状态"/>
    <x:tableColumn id="16" name="日期确定性"/>
    <x:tableColumn id="17" name="时刻确定性"/>
    <x:tableColumn id="18" name="来源可靠性"/>
    <x:tableColumn id="19" name="隐私授权"/>
    <x:tableColumn id="20" name="咨询主题"/>
    <x:tableColumn id="21" name="分析师"/>
    <x:tableColumn id="22" name="复核人"/>
    <x:tableColumn id="23" name="登记日期"/>
    <x:tableColumn id="24" name="分析状态"/>
    <x:tableColumn id="25" name="总体置信度"/>
    <x:tableColumn id="26" name="使用核心版本"/>
    <x:tableColumn id="27" name="反馈状态"/>
    <x:tableColumn id="28" name="报告状态"/>
    <x:tableColumn id="29" name="纳入回归"/>
    <x:tableColumn id="30" name="备注"/>
    <x:tableColumn id="31" name="更新时间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ModuleAnalysisTable" displayName="ModuleAnalysisTable" ref="A5:V905" headerRowCount="1" totalsRowCount="0" totalsRowShown="0">
  <x:tableColumns count="22">
    <x:tableColumn id="1" name="Analysis_ID"/>
    <x:tableColumn id="2" name="Case_ID"/>
    <x:tableColumn id="3" name="模块代码"/>
    <x:tableColumn id="4" name="模块名称"/>
    <x:tableColumn id="5" name="推理层级"/>
    <x:tableColumn id="6" name="前置模块"/>
    <x:tableColumn id="7" name="结论状态"/>
    <x:tableColumn id="8" name="核心结论"/>
    <x:tableColumn id="9" name="支持证据"/>
    <x:tableColumn id="10" name="反向证据"/>
    <x:tableColumn id="11" name="关联Rule_ID"/>
    <x:tableColumn id="12" name="置信度"/>
    <x:tableColumn id="13" name="冲突Rule_ID"/>
    <x:tableColumn id="14" name="待核查项"/>
    <x:tableColumn id="15" name="分析师"/>
    <x:tableColumn id="16" name="复核人"/>
    <x:tableColumn id="17" name="分析日期"/>
    <x:tableColumn id="18" name="复核日期"/>
    <x:tableColumn id="19" name="是否需回归"/>
    <x:tableColumn id="20" name="差异类型"/>
    <x:tableColumn id="21" name="备注"/>
    <x:tableColumn id="22" name="记录完整度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CaseConclusionTable" displayName="CaseConclusionTable" ref="A5:AU55" headerRowCount="1" totalsRowCount="0" totalsRowShown="0">
  <x:tableColumns count="47">
    <x:tableColumn id="1" name="Case_ID"/>
    <x:tableColumn id="2" name="命例名称"/>
    <x:tableColumn id="3" name="四柱"/>
    <x:tableColumn id="4" name="日主"/>
    <x:tableColumn id="5" name="月令"/>
    <x:tableColumn id="6" name="主要关系"/>
    <x:tableColumn id="7" name="木有效旺衰"/>
    <x:tableColumn id="8" name="火有效旺衰"/>
    <x:tableColumn id="9" name="土有效旺衰"/>
    <x:tableColumn id="10" name="金有效旺衰"/>
    <x:tableColumn id="11" name="水有效旺衰"/>
    <x:tableColumn id="12" name="五行主势"/>
    <x:tableColumn id="13" name="日主旺衰"/>
    <x:tableColumn id="14" name="日主置信度"/>
    <x:tableColumn id="15" name="主要十神"/>
    <x:tableColumn id="16" name="十神清纯度"/>
    <x:tableColumn id="17" name="成立组合"/>
    <x:tableColumn id="18" name="主流通路径"/>
    <x:tableColumn id="19" name="主卡点"/>
    <x:tableColumn id="20" name="温度状态"/>
    <x:tableColumn id="21" name="湿度状态"/>
    <x:tableColumn id="22" name="调候紧急度"/>
    <x:tableColumn id="23" name="第一格局候选"/>
    <x:tableColumn id="24" name="最终格局"/>
    <x:tableColumn id="25" name="格局状态"/>
    <x:tableColumn id="26" name="破格因素"/>
    <x:tableColumn id="27" name="救应"/>
    <x:tableColumn id="28" name="根本主病"/>
    <x:tableColumn id="29" name="次级病"/>
    <x:tableColumn id="30" name="主药"/>
    <x:tableColumn id="31" name="辅助药"/>
    <x:tableColumn id="32" name="主用神"/>
    <x:tableColumn id="33" name="辅助用神"/>
    <x:tableColumn id="34" name="喜神"/>
    <x:tableColumn id="35" name="条件性喜神"/>
    <x:tableColumn id="36" name="中性"/>
    <x:tableColumn id="37" name="条件性忌神"/>
    <x:tableColumn id="38" name="忌神"/>
    <x:tableColumn id="39" name="仇神"/>
    <x:tableColumn id="40" name="M18冲突裁决摘要"/>
    <x:tableColumn id="41" name="总体置信度"/>
    <x:tableColumn id="42" name="关键反向证据"/>
    <x:tableColumn id="43" name="分析师"/>
    <x:tableColumn id="44" name="复核人"/>
    <x:tableColumn id="45" name="结论状态"/>
    <x:tableColumn id="46" name="更新时间"/>
    <x:tableColumn id="47" name="用户摘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FiveDimensionMatrixTable" displayName="FiveDimensionMatrixTable" ref="A5:W255" headerRowCount="1" totalsRowCount="0" totalsRowShown="0">
  <x:tableColumns count="23">
    <x:tableColumn id="1" name="Matrix_ID"/>
    <x:tableColumn id="2" name="Case_ID"/>
    <x:tableColumn id="3" name="五行"/>
    <x:tableColumn id="4" name="对应十神"/>
    <x:tableColumn id="5" name="扶抑作用"/>
    <x:tableColumn id="6" name="格局作用"/>
    <x:tableColumn id="7" name="通关作用"/>
    <x:tableColumn id="8" name="调候作用"/>
    <x:tableColumn id="9" name="病药作用"/>
    <x:tableColumn id="10" name="主要收益"/>
    <x:tableColumn id="11" name="主要副作用"/>
    <x:tableColumn id="12" name="适用条件"/>
    <x:tableColumn id="13" name="不适用条件"/>
    <x:tableColumn id="14" name="冲突维度"/>
    <x:tableColumn id="15" name="冲突Rule_ID"/>
    <x:tableColumn id="16" name="综合定位"/>
    <x:tableColumn id="17" name="主次优先级"/>
    <x:tableColumn id="18" name="是否条件性"/>
    <x:tableColumn id="19" name="条件说明"/>
    <x:tableColumn id="20" name="置信度"/>
    <x:tableColumn id="21" name="分析师"/>
    <x:tableColumn id="22" name="复核状态"/>
    <x:tableColumn id="23" name="更新时间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7" name="RealFeedbackTable" displayName="RealFeedbackTable" ref="A5:T255" headerRowCount="1" totalsRowCount="0" totalsRowShown="0">
  <x:tableColumns count="20">
    <x:tableColumn id="1" name="Feedback_ID"/>
    <x:tableColumn id="2" name="序号"/>
    <x:tableColumn id="3" name="Case_ID"/>
    <x:tableColumn id="4" name="反馈日期"/>
    <x:tableColumn id="5" name="反馈来源"/>
    <x:tableColumn id="6" name="主题领域"/>
    <x:tableColumn id="7" name="关联原局结论"/>
    <x:tableColumn id="8" name="可观察事实"/>
    <x:tableColumn id="9" name="证据类型"/>
    <x:tableColumn id="10" name="证据可靠性"/>
    <x:tableColumn id="11" name="支持程度"/>
    <x:tableColumn id="12" name="可能混杂因素"/>
    <x:tableColumn id="13" name="关联模块"/>
    <x:tableColumn id="14" name="目标Rule_ID"/>
    <x:tableColumn id="15" name="分析师解释"/>
    <x:tableColumn id="16" name="是否触发回归"/>
    <x:tableColumn id="17" name="是否转动态模型"/>
    <x:tableColumn id="18" name="记录人"/>
    <x:tableColumn id="19" name="更新时间"/>
    <x:tableColumn id="20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8" name="RegressionCandidateTable" displayName="RegressionCandidateTable" ref="A5:Z255" headerRowCount="1" totalsRowCount="0" totalsRowShown="0">
  <x:tableColumns count="26">
    <x:tableColumn id="1" name="Regression_ID"/>
    <x:tableColumn id="2" name="序号"/>
    <x:tableColumn id="3" name="Case_ID"/>
    <x:tableColumn id="4" name="Feedback_ID"/>
    <x:tableColumn id="5" name="差异类型"/>
    <x:tableColumn id="6" name="预期结构结论"/>
    <x:tableColumn id="7" name="实际/反馈结果"/>
    <x:tableColumn id="8" name="差异说明"/>
    <x:tableColumn id="9" name="根因类型"/>
    <x:tableColumn id="10" name="根因定位"/>
    <x:tableColumn id="11" name="目标模块"/>
    <x:tableColumn id="12" name="目标Rule_ID"/>
    <x:tableColumn id="13" name="严重度"/>
    <x:tableColumn id="14" name="影响下游"/>
    <x:tableColumn id="15" name="修订建议"/>
    <x:tableColumn id="16" name="回归测试类型"/>
    <x:tableColumn id="17" name="拟写M20案例名称"/>
    <x:tableColumn id="18" name="回归状态"/>
    <x:tableColumn id="19" name="负责人"/>
    <x:tableColumn id="20" name="复核人"/>
    <x:tableColumn id="21" name="创建日期"/>
    <x:tableColumn id="22" name="截止日期"/>
    <x:tableColumn id="23" name="复测结果"/>
    <x:tableColumn id="24" name="是否转M21"/>
    <x:tableColumn id="25" name="M21 Change_ID"/>
    <x:tableColumn id="26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" name="RuleIndexTable" displayName="RuleIndexTable" ref="A5:P1550" headerRowCount="1" totalsRowCount="0" totalsRowShown="0">
  <x:tableColumns count="16">
    <x:tableColumn id="1" name="ID"/>
    <x:tableColumn id="2" name="记录类别"/>
    <x:tableColumn id="3" name="模块"/>
    <x:tableColumn id="4" name="工作表"/>
    <x:tableColumn id="5" name="子类"/>
    <x:tableColumn id="6" name="序号"/>
    <x:tableColumn id="7" name="版本"/>
    <x:tableColumn id="8" name="记录名称"/>
    <x:tableColumn id="9" name="层级"/>
    <x:tableColumn id="10" name="结论标签/章节"/>
    <x:tableColumn id="11" name="标准输出/用户模板"/>
    <x:tableColumn id="12" name="置信度"/>
    <x:tableColumn id="13" name="规则状态"/>
    <x:tableColumn id="14" name="审核状态"/>
    <x:tableColumn id="15" name="更新日期"/>
    <x:tableColumn id="16" name="来源/备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2" name="GovernanceIndexTable" displayName="GovernanceIndexTable" ref="A5:O55" headerRowCount="1" totalsRowCount="0" totalsRowShown="0">
  <x:tableColumns count="15">
    <x:tableColumn id="1" name="Change_ID"/>
    <x:tableColumn id="2" name="议题类型"/>
    <x:tableColumn id="3" name="争议主题"/>
    <x:tableColumn id="4" name="关联Rule_ID"/>
    <x:tableColumn id="5" name="关联模块"/>
    <x:tableColumn id="6" name="采用规则"/>
    <x:tableColumn id="7" name="采用理由"/>
    <x:tableColumn id="8" name="反对证据"/>
    <x:tableColumn id="9" name="争议级别"/>
    <x:tableColumn id="10" name="影响范围"/>
    <x:tableColumn id="11" name="旧版本"/>
    <x:tableColumn id="12" name="新版本"/>
    <x:tableColumn id="13" name="变更类型"/>
    <x:tableColumn id="14" name="处理状态"/>
    <x:tableColumn id="15" name="来源/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14cc808644a4e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f5895887b444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92268eda534d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96fdd6bb9242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ce75aa211949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bc20370fb644dd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0d6bf4a4b8754e28" /><Relationship Type="http://schemas.openxmlformats.org/officeDocument/2006/relationships/table" Target="/xl/tables/table6.xml" Id="R784f9e1fb77d49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5e0e3060d7d464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cf4b085193fc4be0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52" hidden="0" customWidth="1"/>
    <x:col min="5" max="5" width="12" hidden="0" customWidth="1"/>
    <x:col min="6" max="6" width="18" hidden="0" customWidth="1"/>
    <x:col min="7" max="7" width="18" hidden="0" customWidth="1"/>
    <x:col min="8" max="8" width="18" hidden="0" customWidth="1"/>
    <x:col min="10" max="10" width="10" hidden="0" customWidth="1"/>
    <x:col min="11" max="11" width="22" hidden="0" customWidth="1"/>
    <x:col min="12" max="12" width="12" hidden="0" customWidth="1"/>
    <x:col min="13" max="13" width="13" hidden="0" customWidth="1"/>
    <x:col min="14" max="14" width="13" hidden="0" customWidth="1"/>
  </x:cols>
  <x:sheetData>
    <x:row r="1">
      <x:c r="A1" s="5" t="str">
        <x:v>M0真实命例分析与回归工作台 V1.0｜适配核心规则库V1.9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66" t="str">
        <x:v>用途：把M02—M19用于真实命例，记录可观察反馈，定位差异，并生成可回流M20案例测试与M21争议治理的候选。</x:v>
      </x:c>
      <x:c r="B2" s="166"/>
      <x:c r="C2" s="166"/>
      <x:c r="D2" s="166"/>
      <x:c r="E2" s="166"/>
      <x:c r="F2" s="166"/>
      <x:c r="G2" s="166"/>
      <x:c r="H2" s="166"/>
      <x:c r="I2" s="166"/>
      <x:c r="J2" s="166"/>
      <x:c r="K2" s="166"/>
      <x:c r="L2" s="166"/>
      <x:c r="M2" s="166"/>
      <x:c r="N2" s="166"/>
    </x:row>
    <x:row r="4">
      <x:c r="A4" s="45" t="str">
        <x:v>核心指标</x:v>
      </x:c>
      <x:c r="B4" s="45"/>
      <x:c r="C4" s="45"/>
      <x:c r="D4" s="45"/>
      <x:c r="E4" s="45"/>
      <x:c r="F4" s="45"/>
      <x:c r="G4" s="45"/>
      <x:c r="H4" s="45"/>
      <x:c r="J4" s="14" t="str">
        <x:v>命例分析状态</x:v>
      </x:c>
      <x:c r="K4" s="14" t="str">
        <x:v>数量</x:v>
      </x:c>
    </x:row>
    <x:row r="5">
      <x:c r="A5" s="45" t="str">
        <x:v>命例总数</x:v>
      </x:c>
      <x:c r="B5" s="170" t="n">
        <x:f>COUNTIF('01_命例主档'!$C$6:$C$55,"&lt;&gt;")</x:f>
        <x:v>0</x:v>
      </x:c>
      <x:c r="C5" s="45" t="str">
        <x:v>分析进行中</x:v>
      </x:c>
      <x:c r="D5" s="170" t="n">
        <x:f>COUNTIF('01_命例主档'!$X$6:$X$55,"进行中")</x:f>
        <x:v>0</x:v>
      </x:c>
      <x:c r="E5" s="45" t="str">
        <x:v>分析已完成</x:v>
      </x:c>
      <x:c r="F5" s="170" t="n">
        <x:f>COUNTIF('01_命例主档'!$X$6:$X$55,"已完成")</x:f>
        <x:v>0</x:v>
      </x:c>
      <x:c r="G5" s="45" t="str">
        <x:v>待复核</x:v>
      </x:c>
      <x:c r="H5" s="170" t="n">
        <x:f>COUNTIF('01_命例主档'!$X$6:$X$55,"待复核")</x:f>
        <x:v>0</x:v>
      </x:c>
      <x:c r="J5" t="str">
        <x:v>未开始</x:v>
      </x:c>
      <x:c r="K5" t="n">
        <x:f>COUNTIF('01_命例主档'!$X$6:$X$55,J5)</x:f>
        <x:v>0</x:v>
      </x:c>
    </x:row>
    <x:row r="6">
      <x:c r="J6" t="str">
        <x:v>进行中</x:v>
      </x:c>
      <x:c r="K6" t="n">
        <x:f>COUNTIF('01_命例主档'!$X$6:$X$55,J6)</x:f>
        <x:v>0</x:v>
      </x:c>
    </x:row>
    <x:row r="7">
      <x:c r="A7" s="45" t="str">
        <x:v>已有反馈</x:v>
      </x:c>
      <x:c r="B7" s="170" t="n">
        <x:f>COUNTIF('01_命例主档'!$AA$6:$AA$55,"已反馈")</x:f>
        <x:v>0</x:v>
      </x:c>
      <x:c r="C7" s="45" t="str">
        <x:v>回归待办</x:v>
      </x:c>
      <x:c r="D7" s="170" t="n">
        <x:f>COUNTIF('06_差异与回归候选'!$R$6:$R$255,"待建立")+COUNTIF('06_差异与回归候选'!$R$6:$R$255,"进行中")</x:f>
        <x:v>0</x:v>
      </x:c>
      <x:c r="E7" s="45" t="str">
        <x:v>M21待验证</x:v>
      </x:c>
      <x:c r="F7" s="170" t="n">
        <x:f>COUNTIF('09_治理与待验证'!$N$6:$N$55,"待验证")</x:f>
        <x:v>6</x:v>
      </x:c>
      <x:c r="G7" s="45" t="str">
        <x:v>高置信结论</x:v>
      </x:c>
      <x:c r="H7" s="170" t="n">
        <x:f>COUNTIF('03_结构结论总表'!$AO$6:$AO$55,"确定")+COUNTIF('03_结构结论总表'!$AO$6:$AO$55,"较高")</x:f>
        <x:v>0</x:v>
      </x:c>
      <x:c r="J7" t="str">
        <x:v>已完成</x:v>
      </x:c>
      <x:c r="K7" t="n">
        <x:f>COUNTIF('01_命例主档'!$X$6:$X$55,J7)</x:f>
        <x:v>0</x:v>
      </x:c>
    </x:row>
    <x:row r="8">
      <x:c r="J8" t="str">
        <x:v>待复核</x:v>
      </x:c>
      <x:c r="K8" t="n">
        <x:f>COUNTIF('01_命例主档'!$X$6:$X$55,J8)</x:f>
        <x:v>0</x:v>
      </x:c>
    </x:row>
    <x:row r="9">
      <x:c r="J9" t="str">
        <x:v>不适用</x:v>
      </x:c>
      <x:c r="K9" t="n">
        <x:f>COUNTIF('01_命例主档'!$X$6:$X$55,J9)</x:f>
        <x:v>0</x:v>
      </x:c>
    </x:row>
    <x:row r="10">
      <x:c r="A10" s="45" t="str">
        <x:v>建议工作流</x:v>
      </x:c>
      <x:c r="B10" s="45"/>
      <x:c r="C10" s="45"/>
      <x:c r="D10" s="45"/>
      <x:c r="E10" s="45" t="str">
        <x:v>质量闸门</x:v>
      </x:c>
      <x:c r="F10" s="45"/>
      <x:c r="G10" s="45"/>
      <x:c r="H10" s="45"/>
    </x:row>
    <x:row r="11">
      <x:c r="A11" s="173" t="str">
        <x:v>步骤</x:v>
      </x:c>
      <x:c r="B11" s="174" t="str">
        <x:v>工作表</x:v>
      </x:c>
      <x:c r="C11" s="175" t="str">
        <x:v>操作</x:v>
      </x:c>
      <x:c r="E11" s="173" t="str">
        <x:v>闸门</x:v>
      </x:c>
      <x:c r="F11" s="174" t="str">
        <x:v>要求</x:v>
      </x:c>
      <x:c r="G11" s="174" t="str"/>
      <x:c r="H11" s="175" t="str"/>
    </x:row>
    <x:row r="12">
      <x:c r="A12" s="127" t="str">
        <x:v>1</x:v>
      </x:c>
      <x:c r="B12" s="20" t="str">
        <x:v>01_命例主档</x:v>
      </x:c>
      <x:c r="C12" s="126" t="str">
        <x:v>核验出生资料、隐私授权和分析边界</x:v>
      </x:c>
      <x:c r="E12" s="127" t="str">
        <x:v>输入</x:v>
      </x:c>
      <x:c r="F12" s="20" t="str">
        <x:v>交节/时区/出生时刻未核准时，不唯一化月令与下游结论。</x:v>
      </x:c>
      <x:c r="G12" s="20" t="str"/>
      <x:c r="H12" s="126" t="str"/>
    </x:row>
    <x:row r="13">
      <x:c r="A13" s="127" t="str">
        <x:v>2</x:v>
      </x:c>
      <x:c r="B13" s="20" t="str">
        <x:v>02_模块分析记录</x:v>
      </x:c>
      <x:c r="C13" s="126" t="str">
        <x:v>按M02—M19逐模块写结论、证据、反证和Rule_ID</x:v>
      </x:c>
      <x:c r="E13" s="127" t="str">
        <x:v>推理</x:v>
      </x:c>
      <x:c r="F13" s="20" t="str">
        <x:v>识别、效应、结构、价值分层；禁止见冲即拔根、见旺即忌。</x:v>
      </x:c>
      <x:c r="G13" s="20" t="str"/>
      <x:c r="H13" s="126" t="str"/>
    </x:row>
    <x:row r="14">
      <x:c r="A14" s="127" t="str">
        <x:v>3</x:v>
      </x:c>
      <x:c r="B14" s="20" t="str">
        <x:v>03_结构结论总表</x:v>
      </x:c>
      <x:c r="C14" s="126" t="str">
        <x:v>把最终结构结论汇总为一行</x:v>
      </x:c>
      <x:c r="E14" s="127" t="str">
        <x:v>证据</x:v>
      </x:c>
      <x:c r="F14" s="20" t="str">
        <x:v>支持证据和反向证据同时保留，同源证据去重。</x:v>
      </x:c>
      <x:c r="G14" s="20" t="str"/>
      <x:c r="H14" s="126" t="str"/>
    </x:row>
    <x:row r="15">
      <x:c r="A15" s="127" t="str">
        <x:v>4</x:v>
      </x:c>
      <x:c r="B15" s="20" t="str">
        <x:v>04_五行五维矩阵</x:v>
      </x:c>
      <x:c r="C15" s="126" t="str">
        <x:v>逐五行完成扶抑、格局、通关、调候、病药评价</x:v>
      </x:c>
      <x:c r="E15" s="127" t="str">
        <x:v>反馈</x:v>
      </x:c>
      <x:c r="F15" s="20" t="str">
        <x:v>只记录可观察事实，不把现实结果直接当作命理因果证明。</x:v>
      </x:c>
      <x:c r="G15" s="20" t="str"/>
      <x:c r="H15" s="126" t="str"/>
    </x:row>
    <x:row r="16">
      <x:c r="A16" s="127" t="str">
        <x:v>5</x:v>
      </x:c>
      <x:c r="B16" s="20" t="str">
        <x:v>07_用户报告模板</x:v>
      </x:c>
      <x:c r="C16" s="126" t="str">
        <x:v>选择Case_ID生成用户可读报告</x:v>
      </x:c>
      <x:c r="E16" s="176" t="str">
        <x:v>回归</x:v>
      </x:c>
      <x:c r="F16" s="177" t="str">
        <x:v>差异必须能定位到具体模块与Rule_ID，才进入M20/M21。</x:v>
      </x:c>
      <x:c r="G16" s="177" t="str"/>
      <x:c r="H16" s="178" t="str"/>
    </x:row>
    <x:row r="17">
      <x:c r="A17" s="127" t="str">
        <x:v>6</x:v>
      </x:c>
      <x:c r="B17" s="20" t="str">
        <x:v>05_真实反馈与验证</x:v>
      </x:c>
      <x:c r="C17" s="126" t="str">
        <x:v>记录事实、证据来源和支持程度</x:v>
      </x:c>
    </x:row>
    <x:row r="18">
      <x:c r="A18" s="176" t="str">
        <x:v>7</x:v>
      </x:c>
      <x:c r="B18" s="177" t="str">
        <x:v>06_差异与回归候选</x:v>
      </x:c>
      <x:c r="C18" s="178" t="str">
        <x:v>定位差异并拟写M20/M21回流项</x:v>
      </x:c>
    </x:row>
    <x:row r="27">
      <x:c r="J27" s="14" t="str">
        <x:v>模块</x:v>
      </x:c>
      <x:c r="K27" s="14" t="str">
        <x:v>名称</x:v>
      </x:c>
      <x:c r="L27" s="14" t="str">
        <x:v>完成率</x:v>
      </x:c>
    </x:row>
    <x:row r="28">
      <x:c r="J28" t="str">
        <x:v>M02</x:v>
      </x:c>
      <x:c r="K28" t="str">
        <x:v>干支藏干基础</x:v>
      </x:c>
      <x:c r="L28" s="36" t="n">
        <x:f>IF($B$5=0,0,COUNTIFS('02_模块分析记录'!$C$6:$C$905,J28,'02_模块分析记录'!$G$6:$G$905,"已完成")/$B$5)</x:f>
        <x:v>0</x:v>
      </x:c>
    </x:row>
    <x:row r="29">
      <x:c r="J29" t="str">
        <x:v>M03</x:v>
      </x:c>
      <x:c r="K29" t="str">
        <x:v>月令与根气</x:v>
      </x:c>
      <x:c r="L29" s="36" t="n">
        <x:f>IF($B$5=0,0,COUNTIFS('02_模块分析记录'!$C$6:$C$905,J29,'02_模块分析记录'!$G$6:$G$905,"已完成")/$B$5)</x:f>
        <x:v>0</x:v>
      </x:c>
    </x:row>
    <x:row r="30">
      <x:c r="J30" t="str">
        <x:v>M04</x:v>
      </x:c>
      <x:c r="K30" t="str">
        <x:v>天干作用识别</x:v>
      </x:c>
      <x:c r="L30" s="36" t="n">
        <x:f>IF($B$5=0,0,COUNTIFS('02_模块分析记录'!$C$6:$C$905,J30,'02_模块分析记录'!$G$6:$G$905,"已完成")/$B$5)</x:f>
        <x:v>0</x:v>
      </x:c>
    </x:row>
    <x:row r="31">
      <x:c r="J31" t="str">
        <x:v>M05</x:v>
      </x:c>
      <x:c r="K31" t="str">
        <x:v>地支关系识别</x:v>
      </x:c>
      <x:c r="L31" s="36" t="n">
        <x:f>IF($B$5=0,0,COUNTIFS('02_模块分析记录'!$C$6:$C$905,J31,'02_模块分析记录'!$G$6:$G$905,"已完成")/$B$5)</x:f>
        <x:v>0</x:v>
      </x:c>
    </x:row>
    <x:row r="32">
      <x:c r="J32" t="str">
        <x:v>M06</x:v>
      </x:c>
      <x:c r="K32" t="str">
        <x:v>干支关系效应</x:v>
      </x:c>
      <x:c r="L32" s="36" t="n">
        <x:f>IF($B$5=0,0,COUNTIFS('02_模块分析记录'!$C$6:$C$905,J32,'02_模块分析记录'!$G$6:$G$905,"已完成")/$B$5)</x:f>
        <x:v>0</x:v>
      </x:c>
    </x:row>
    <x:row r="33">
      <x:c r="J33" t="str">
        <x:v>M07</x:v>
      </x:c>
      <x:c r="K33" t="str">
        <x:v>五行原始旺衰</x:v>
      </x:c>
      <x:c r="L33" s="36" t="n">
        <x:f>IF($B$5=0,0,COUNTIFS('02_模块分析记录'!$C$6:$C$905,J33,'02_模块分析记录'!$G$6:$G$905,"已完成")/$B$5)</x:f>
        <x:v>0</x:v>
      </x:c>
    </x:row>
    <x:row r="34">
      <x:c r="J34" t="str">
        <x:v>M08</x:v>
      </x:c>
      <x:c r="K34" t="str">
        <x:v>五行有效旺衰</x:v>
      </x:c>
      <x:c r="L34" s="36" t="n">
        <x:f>IF($B$5=0,0,COUNTIFS('02_模块分析记录'!$C$6:$C$905,J34,'02_模块分析记录'!$G$6:$G$905,"已完成")/$B$5)</x:f>
        <x:v>0</x:v>
      </x:c>
    </x:row>
    <x:row r="35">
      <x:c r="J35" t="str">
        <x:v>M09</x:v>
      </x:c>
      <x:c r="K35" t="str">
        <x:v>日主旺衰</x:v>
      </x:c>
      <x:c r="L35" s="36" t="n">
        <x:f>IF($B$5=0,0,COUNTIFS('02_模块分析记录'!$C$6:$C$905,J35,'02_模块分析记录'!$G$6:$G$905,"已完成")/$B$5)</x:f>
        <x:v>0</x:v>
      </x:c>
    </x:row>
    <x:row r="36">
      <x:c r="J36" t="str">
        <x:v>M10</x:v>
      </x:c>
      <x:c r="K36" t="str">
        <x:v>十神旺衰功能</x:v>
      </x:c>
      <x:c r="L36" s="36" t="n">
        <x:f>IF($B$5=0,0,COUNTIFS('02_模块分析记录'!$C$6:$C$905,J36,'02_模块分析记录'!$G$6:$G$905,"已完成")/$B$5)</x:f>
        <x:v>0</x:v>
      </x:c>
    </x:row>
    <x:row r="37">
      <x:c r="J37" t="str">
        <x:v>M11</x:v>
      </x:c>
      <x:c r="K37" t="str">
        <x:v>十神组合成立</x:v>
      </x:c>
      <x:c r="L37" s="36" t="n">
        <x:f>IF($B$5=0,0,COUNTIFS('02_模块分析记录'!$C$6:$C$905,J37,'02_模块分析记录'!$G$6:$G$905,"已完成")/$B$5)</x:f>
        <x:v>0</x:v>
      </x:c>
    </x:row>
    <x:row r="38">
      <x:c r="J38" t="str">
        <x:v>M12</x:v>
      </x:c>
      <x:c r="K38" t="str">
        <x:v>五行流通卡点</x:v>
      </x:c>
      <x:c r="L38" s="36" t="n">
        <x:f>IF($B$5=0,0,COUNTIFS('02_模块分析记录'!$C$6:$C$905,J38,'02_模块分析记录'!$G$6:$G$905,"已完成")/$B$5)</x:f>
        <x:v>0</x:v>
      </x:c>
    </x:row>
    <x:row r="39">
      <x:c r="J39" t="str">
        <x:v>M13</x:v>
      </x:c>
      <x:c r="K39" t="str">
        <x:v>寒暖燥湿</x:v>
      </x:c>
      <x:c r="L39" s="36" t="n">
        <x:f>IF($B$5=0,0,COUNTIFS('02_模块分析记录'!$C$6:$C$905,J39,'02_模块分析记录'!$G$6:$G$905,"已完成")/$B$5)</x:f>
        <x:v>0</x:v>
      </x:c>
    </x:row>
    <x:row r="40">
      <x:c r="J40" t="str">
        <x:v>M14</x:v>
      </x:c>
      <x:c r="K40" t="str">
        <x:v>格局候选判断</x:v>
      </x:c>
      <x:c r="L40" s="36" t="n">
        <x:f>IF($B$5=0,0,COUNTIFS('02_模块分析记录'!$C$6:$C$905,J40,'02_模块分析记录'!$G$6:$G$905,"已完成")/$B$5)</x:f>
        <x:v>0</x:v>
      </x:c>
    </x:row>
    <x:row r="41">
      <x:c r="J41" t="str">
        <x:v>M15</x:v>
      </x:c>
      <x:c r="K41" t="str">
        <x:v>格局成败救应</x:v>
      </x:c>
      <x:c r="L41" s="36" t="n">
        <x:f>IF($B$5=0,0,COUNTIFS('02_模块分析记录'!$C$6:$C$905,J41,'02_模块分析记录'!$G$6:$G$905,"已完成")/$B$5)</x:f>
        <x:v>0</x:v>
      </x:c>
    </x:row>
    <x:row r="42">
      <x:c r="J42" t="str">
        <x:v>M16</x:v>
      </x:c>
      <x:c r="K42" t="str">
        <x:v>病药模型</x:v>
      </x:c>
      <x:c r="L42" s="36" t="n">
        <x:f>IF($B$5=0,0,COUNTIFS('02_模块分析记录'!$C$6:$C$905,J42,'02_模块分析记录'!$G$6:$G$905,"已完成")/$B$5)</x:f>
        <x:v>0</x:v>
      </x:c>
    </x:row>
    <x:row r="43">
      <x:c r="J43" t="str">
        <x:v>M17</x:v>
      </x:c>
      <x:c r="K43" t="str">
        <x:v>喜忌用神矩阵</x:v>
      </x:c>
      <x:c r="L43" s="36" t="n">
        <x:f>IF($B$5=0,0,COUNTIFS('02_模块分析记录'!$C$6:$C$905,J43,'02_模块分析记录'!$G$6:$G$905,"已完成")/$B$5)</x:f>
        <x:v>0</x:v>
      </x:c>
    </x:row>
    <x:row r="44">
      <x:c r="J44" t="str">
        <x:v>M18</x:v>
      </x:c>
      <x:c r="K44" t="str">
        <x:v>冲突裁决规则</x:v>
      </x:c>
      <x:c r="L44" s="36" t="n">
        <x:f>IF($B$5=0,0,COUNTIFS('02_模块分析记录'!$C$6:$C$905,J44,'02_模块分析记录'!$G$6:$G$905,"已完成")/$B$5)</x:f>
        <x:v>0</x:v>
      </x:c>
    </x:row>
    <x:row r="45">
      <x:c r="J45" t="str">
        <x:v>M19</x:v>
      </x:c>
      <x:c r="K45" t="str">
        <x:v>综合输出模板</x:v>
      </x:c>
      <x:c r="L45" s="36" t="n">
        <x:f>IF($B$5=0,0,COUNTIFS('02_模块分析记录'!$C$6:$C$905,J45,'02_模块分析记录'!$G$6:$G$905,"已完成")/$B$5)</x:f>
        <x:v>0</x:v>
      </x:c>
    </x:row>
  </x:sheetData>
  <x:mergeCells>
    <x:mergeCell ref="A1:N1"/>
    <x:mergeCell ref="A2:N2"/>
    <x:mergeCell ref="A4:H4"/>
    <x:mergeCell ref="A10:H10"/>
    <x:mergeCell ref="E10:H10"/>
    <x:mergeCell ref="F12:H12"/>
    <x:mergeCell ref="F13:H13"/>
    <x:mergeCell ref="F14:H14"/>
    <x:mergeCell ref="F15:H15"/>
    <x:mergeCell ref="F16:H16"/>
  </x:mergeCells>
  <x:conditionalFormatting sqref="L28:L45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{6734449A-F835-7DD2-94C7-93345BE0AFE4}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414cc808644a4e57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734449A-F835-7DD2-94C7-93345BE0AFE4}">
            <x14:dataBar gradient="1">
              <x14:cfvo type="min"/>
              <x14:cfvo type="max"/>
              <x14:fillColor rgb="FFA02B93"/>
            </x14:dataBar>
          </x14:cfRule>
          <xm:sqref>L28:L45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7" hidden="0" customWidth="1"/>
    <x:col min="3" max="3" width="22" hidden="0" customWidth="1"/>
    <x:col min="4" max="4" width="14" hidden="0" customWidth="1"/>
    <x:col min="5" max="5" width="9" hidden="0" customWidth="1"/>
    <x:col min="6" max="6" width="9" hidden="0" customWidth="1"/>
    <x:col min="7" max="7" width="12" hidden="0" customWidth="1"/>
    <x:col min="8" max="8" width="10" hidden="0" customWidth="1"/>
    <x:col min="9" max="9" width="20" hidden="0" customWidth="1"/>
    <x:col min="10" max="10" width="20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13" hidden="0" customWidth="1"/>
    <x:col min="16" max="16" width="12" hidden="0" customWidth="1"/>
    <x:col min="17" max="17" width="12" hidden="0" customWidth="1"/>
    <x:col min="18" max="18" width="12" hidden="0" customWidth="1"/>
    <x:col min="19" max="19" width="18" hidden="0" customWidth="1"/>
    <x:col min="20" max="20" width="18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1" hidden="0" customWidth="1"/>
    <x:col min="26" max="26" width="12" hidden="0" customWidth="1"/>
    <x:col min="27" max="27" width="12" hidden="0" customWidth="1"/>
    <x:col min="28" max="28" width="12" hidden="0" customWidth="1"/>
    <x:col min="29" max="29" width="11" hidden="0" customWidth="1"/>
    <x:col min="30" max="30" width="34" hidden="0" customWidth="1"/>
    <x:col min="31" max="31" width="12" hidden="0" customWidth="1"/>
  </x:cols>
  <x:sheetData>
    <x:row r="1">
      <x:c r="A1" s="5" t="str">
        <x:v>真实命例主档｜一行一个命例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</x:row>
    <x:row r="2">
      <x:c r="A2" t="str">
        <x:v>先核验出生资料与隐私授权，再进入模块分析。Case_ID由序号和命例名称自动生成；命例可匿名，但不得伪造资料确定性。</x:v>
      </x:c>
    </x:row>
    <x:row r="5">
      <x:c r="A5" s="14" t="str">
        <x:v>Case_ID</x:v>
      </x:c>
      <x:c r="B5" s="14" t="str">
        <x:v>序号</x:v>
      </x:c>
      <x:c r="C5" s="14" t="str">
        <x:v>命例名称/匿名编号</x:v>
      </x:c>
      <x:c r="D5" s="14" t="str">
        <x:v>案例来源</x:v>
      </x:c>
      <x:c r="E5" s="14" t="str">
        <x:v>性别</x:v>
      </x:c>
      <x:c r="F5" s="14" t="str">
        <x:v>历法</x:v>
      </x:c>
      <x:c r="G5" s="14" t="str">
        <x:v>出生日期</x:v>
      </x:c>
      <x:c r="H5" s="14" t="str">
        <x:v>出生时间</x:v>
      </x:c>
      <x:c r="I5" s="14" t="str">
        <x:v>时区</x:v>
      </x:c>
      <x:c r="J5" s="14" t="str">
        <x:v>出生地</x:v>
      </x:c>
      <x:c r="K5" s="14" t="str">
        <x:v>年柱</x:v>
      </x:c>
      <x:c r="L5" s="14" t="str">
        <x:v>月柱</x:v>
      </x:c>
      <x:c r="M5" s="14" t="str">
        <x:v>日柱</x:v>
      </x:c>
      <x:c r="N5" s="14" t="str">
        <x:v>时柱</x:v>
      </x:c>
      <x:c r="O5" s="14" t="str">
        <x:v>交节状态</x:v>
      </x:c>
      <x:c r="P5" s="14" t="str">
        <x:v>日期确定性</x:v>
      </x:c>
      <x:c r="Q5" s="14" t="str">
        <x:v>时刻确定性</x:v>
      </x:c>
      <x:c r="R5" s="14" t="str">
        <x:v>来源可靠性</x:v>
      </x:c>
      <x:c r="S5" s="14" t="str">
        <x:v>隐私授权</x:v>
      </x:c>
      <x:c r="T5" s="14" t="str">
        <x:v>咨询主题</x:v>
      </x:c>
      <x:c r="U5" s="14" t="str">
        <x:v>分析师</x:v>
      </x:c>
      <x:c r="V5" s="14" t="str">
        <x:v>复核人</x:v>
      </x:c>
      <x:c r="W5" s="14" t="str">
        <x:v>登记日期</x:v>
      </x:c>
      <x:c r="X5" s="14" t="str">
        <x:v>分析状态</x:v>
      </x:c>
      <x:c r="Y5" s="14" t="str">
        <x:v>总体置信度</x:v>
      </x:c>
      <x:c r="Z5" s="14" t="str">
        <x:v>使用核心版本</x:v>
      </x:c>
      <x:c r="AA5" s="14" t="str">
        <x:v>反馈状态</x:v>
      </x:c>
      <x:c r="AB5" s="14" t="str">
        <x:v>报告状态</x:v>
      </x:c>
      <x:c r="AC5" s="14" t="str">
        <x:v>纳入回归</x:v>
      </x:c>
      <x:c r="AD5" s="14" t="str">
        <x:v>备注</x:v>
      </x:c>
      <x:c r="AE5" s="14" t="str">
        <x:v>更新时间</x:v>
      </x:c>
    </x:row>
    <x:row r="6">
      <x:c r="A6" s="30" t="str">
        <x:f>IF(C6="","","RC-"&amp;TEXT(B6,"0000"))</x:f>
      </x:c>
      <x:c r="B6" s="30" t="n">
        <x:v>1</x:v>
      </x:c>
      <x:c r="C6" s="30"/>
      <x:c r="D6" s="30"/>
      <x:c r="E6" s="30"/>
      <x:c r="F6" s="30"/>
      <x:c r="G6" s="31"/>
      <x:c r="H6" s="32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1"/>
      <x:c r="X6" s="30"/>
      <x:c r="Y6" s="30"/>
      <x:c r="Z6" s="30" t="str">
        <x:v>V1.9</x:v>
      </x:c>
      <x:c r="AA6" s="30"/>
      <x:c r="AB6" s="30"/>
      <x:c r="AC6" s="30"/>
      <x:c r="AD6" s="30"/>
      <x:c r="AE6" s="31"/>
    </x:row>
    <x:row r="7">
      <x:c r="A7" s="30" t="str">
        <x:f>IF(C7="","","RC-"&amp;TEXT(B7,"0000"))</x:f>
      </x:c>
      <x:c r="B7" s="30" t="n">
        <x:v>2</x:v>
      </x:c>
      <x:c r="C7" s="30"/>
      <x:c r="D7" s="30"/>
      <x:c r="E7" s="30"/>
      <x:c r="F7" s="30"/>
      <x:c r="G7" s="31"/>
      <x:c r="H7" s="32"/>
      <x:c r="I7" s="30"/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1"/>
      <x:c r="X7" s="30"/>
      <x:c r="Y7" s="30"/>
      <x:c r="Z7" s="30" t="str">
        <x:v>V1.9</x:v>
      </x:c>
      <x:c r="AA7" s="30"/>
      <x:c r="AB7" s="30"/>
      <x:c r="AC7" s="30"/>
      <x:c r="AD7" s="30"/>
      <x:c r="AE7" s="31"/>
    </x:row>
    <x:row r="8">
      <x:c r="A8" s="30" t="str">
        <x:f>IF(C8="","","RC-"&amp;TEXT(B8,"0000"))</x:f>
      </x:c>
      <x:c r="B8" s="30" t="n">
        <x:v>3</x:v>
      </x:c>
      <x:c r="C8" s="30"/>
      <x:c r="D8" s="30"/>
      <x:c r="E8" s="30"/>
      <x:c r="F8" s="30"/>
      <x:c r="G8" s="31"/>
      <x:c r="H8" s="32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1"/>
      <x:c r="X8" s="30"/>
      <x:c r="Y8" s="30"/>
      <x:c r="Z8" s="30" t="str">
        <x:v>V1.9</x:v>
      </x:c>
      <x:c r="AA8" s="30"/>
      <x:c r="AB8" s="30"/>
      <x:c r="AC8" s="30"/>
      <x:c r="AD8" s="30"/>
      <x:c r="AE8" s="31"/>
    </x:row>
    <x:row r="9">
      <x:c r="A9" s="30" t="str">
        <x:f>IF(C9="","","RC-"&amp;TEXT(B9,"0000"))</x:f>
      </x:c>
      <x:c r="B9" s="30" t="n">
        <x:v>4</x:v>
      </x:c>
      <x:c r="C9" s="30"/>
      <x:c r="D9" s="30"/>
      <x:c r="E9" s="30"/>
      <x:c r="F9" s="30"/>
      <x:c r="G9" s="31"/>
      <x:c r="H9" s="32"/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1"/>
      <x:c r="X9" s="30"/>
      <x:c r="Y9" s="30"/>
      <x:c r="Z9" s="30" t="str">
        <x:v>V1.9</x:v>
      </x:c>
      <x:c r="AA9" s="30"/>
      <x:c r="AB9" s="30"/>
      <x:c r="AC9" s="30"/>
      <x:c r="AD9" s="30"/>
      <x:c r="AE9" s="31"/>
    </x:row>
    <x:row r="10">
      <x:c r="A10" s="30" t="str">
        <x:f>IF(C10="","","RC-"&amp;TEXT(B10,"0000"))</x:f>
      </x:c>
      <x:c r="B10" s="30" t="n">
        <x:v>5</x:v>
      </x:c>
      <x:c r="C10" s="30"/>
      <x:c r="D10" s="30"/>
      <x:c r="E10" s="30"/>
      <x:c r="F10" s="30"/>
      <x:c r="G10" s="31"/>
      <x:c r="H10" s="32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1"/>
      <x:c r="X10" s="30"/>
      <x:c r="Y10" s="30"/>
      <x:c r="Z10" s="30" t="str">
        <x:v>V1.9</x:v>
      </x:c>
      <x:c r="AA10" s="30"/>
      <x:c r="AB10" s="30"/>
      <x:c r="AC10" s="30"/>
      <x:c r="AD10" s="30"/>
      <x:c r="AE10" s="31"/>
    </x:row>
    <x:row r="11">
      <x:c r="A11" s="30" t="str">
        <x:f>IF(C11="","","RC-"&amp;TEXT(B11,"0000"))</x:f>
      </x:c>
      <x:c r="B11" s="30" t="n">
        <x:v>6</x:v>
      </x:c>
      <x:c r="C11" s="30"/>
      <x:c r="D11" s="30"/>
      <x:c r="E11" s="30"/>
      <x:c r="F11" s="30"/>
      <x:c r="G11" s="31"/>
      <x:c r="H11" s="32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1"/>
      <x:c r="X11" s="30"/>
      <x:c r="Y11" s="30"/>
      <x:c r="Z11" s="30" t="str">
        <x:v>V1.9</x:v>
      </x:c>
      <x:c r="AA11" s="30"/>
      <x:c r="AB11" s="30"/>
      <x:c r="AC11" s="30"/>
      <x:c r="AD11" s="30"/>
      <x:c r="AE11" s="31"/>
    </x:row>
    <x:row r="12">
      <x:c r="A12" s="30" t="str">
        <x:f>IF(C12="","","RC-"&amp;TEXT(B12,"0000"))</x:f>
      </x:c>
      <x:c r="B12" s="30" t="n">
        <x:v>7</x:v>
      </x:c>
      <x:c r="C12" s="30"/>
      <x:c r="D12" s="30"/>
      <x:c r="E12" s="30"/>
      <x:c r="F12" s="30"/>
      <x:c r="G12" s="31"/>
      <x:c r="H12" s="32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1"/>
      <x:c r="X12" s="30"/>
      <x:c r="Y12" s="30"/>
      <x:c r="Z12" s="30" t="str">
        <x:v>V1.9</x:v>
      </x:c>
      <x:c r="AA12" s="30"/>
      <x:c r="AB12" s="30"/>
      <x:c r="AC12" s="30"/>
      <x:c r="AD12" s="30"/>
      <x:c r="AE12" s="31"/>
    </x:row>
    <x:row r="13">
      <x:c r="A13" s="30" t="str">
        <x:f>IF(C13="","","RC-"&amp;TEXT(B13,"0000"))</x:f>
      </x:c>
      <x:c r="B13" s="30" t="n">
        <x:v>8</x:v>
      </x:c>
      <x:c r="C13" s="30"/>
      <x:c r="D13" s="30"/>
      <x:c r="E13" s="30"/>
      <x:c r="F13" s="30"/>
      <x:c r="G13" s="31"/>
      <x:c r="H13" s="32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1"/>
      <x:c r="X13" s="30"/>
      <x:c r="Y13" s="30"/>
      <x:c r="Z13" s="30" t="str">
        <x:v>V1.9</x:v>
      </x:c>
      <x:c r="AA13" s="30"/>
      <x:c r="AB13" s="30"/>
      <x:c r="AC13" s="30"/>
      <x:c r="AD13" s="30"/>
      <x:c r="AE13" s="31"/>
    </x:row>
    <x:row r="14">
      <x:c r="A14" s="30" t="str">
        <x:f>IF(C14="","","RC-"&amp;TEXT(B14,"0000"))</x:f>
      </x:c>
      <x:c r="B14" s="30" t="n">
        <x:v>9</x:v>
      </x:c>
      <x:c r="C14" s="30"/>
      <x:c r="D14" s="30"/>
      <x:c r="E14" s="30"/>
      <x:c r="F14" s="30"/>
      <x:c r="G14" s="31"/>
      <x:c r="H14" s="32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1"/>
      <x:c r="X14" s="30"/>
      <x:c r="Y14" s="30"/>
      <x:c r="Z14" s="30" t="str">
        <x:v>V1.9</x:v>
      </x:c>
      <x:c r="AA14" s="30"/>
      <x:c r="AB14" s="30"/>
      <x:c r="AC14" s="30"/>
      <x:c r="AD14" s="30"/>
      <x:c r="AE14" s="31"/>
    </x:row>
    <x:row r="15">
      <x:c r="A15" s="30" t="str">
        <x:f>IF(C15="","","RC-"&amp;TEXT(B15,"0000"))</x:f>
      </x:c>
      <x:c r="B15" s="30" t="n">
        <x:v>10</x:v>
      </x:c>
      <x:c r="C15" s="30"/>
      <x:c r="D15" s="30"/>
      <x:c r="E15" s="30"/>
      <x:c r="F15" s="30"/>
      <x:c r="G15" s="31"/>
      <x:c r="H15" s="32"/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1"/>
      <x:c r="X15" s="30"/>
      <x:c r="Y15" s="30"/>
      <x:c r="Z15" s="30" t="str">
        <x:v>V1.9</x:v>
      </x:c>
      <x:c r="AA15" s="30"/>
      <x:c r="AB15" s="30"/>
      <x:c r="AC15" s="30"/>
      <x:c r="AD15" s="30"/>
      <x:c r="AE15" s="31"/>
    </x:row>
    <x:row r="16">
      <x:c r="A16" s="30" t="str">
        <x:f>IF(C16="","","RC-"&amp;TEXT(B16,"0000"))</x:f>
      </x:c>
      <x:c r="B16" s="30" t="n">
        <x:v>11</x:v>
      </x:c>
      <x:c r="C16" s="30"/>
      <x:c r="D16" s="30"/>
      <x:c r="E16" s="30"/>
      <x:c r="F16" s="30"/>
      <x:c r="G16" s="31"/>
      <x:c r="H16" s="32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1"/>
      <x:c r="X16" s="30"/>
      <x:c r="Y16" s="30"/>
      <x:c r="Z16" s="30" t="str">
        <x:v>V1.9</x:v>
      </x:c>
      <x:c r="AA16" s="30"/>
      <x:c r="AB16" s="30"/>
      <x:c r="AC16" s="30"/>
      <x:c r="AD16" s="30"/>
      <x:c r="AE16" s="31"/>
    </x:row>
    <x:row r="17">
      <x:c r="A17" s="30" t="str">
        <x:f>IF(C17="","","RC-"&amp;TEXT(B17,"0000"))</x:f>
      </x:c>
      <x:c r="B17" s="30" t="n">
        <x:v>12</x:v>
      </x:c>
      <x:c r="C17" s="30"/>
      <x:c r="D17" s="30"/>
      <x:c r="E17" s="30"/>
      <x:c r="F17" s="30"/>
      <x:c r="G17" s="31"/>
      <x:c r="H17" s="32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1"/>
      <x:c r="X17" s="30"/>
      <x:c r="Y17" s="30"/>
      <x:c r="Z17" s="30" t="str">
        <x:v>V1.9</x:v>
      </x:c>
      <x:c r="AA17" s="30"/>
      <x:c r="AB17" s="30"/>
      <x:c r="AC17" s="30"/>
      <x:c r="AD17" s="30"/>
      <x:c r="AE17" s="31"/>
    </x:row>
    <x:row r="18">
      <x:c r="A18" s="30" t="str">
        <x:f>IF(C18="","","RC-"&amp;TEXT(B18,"0000"))</x:f>
      </x:c>
      <x:c r="B18" s="30" t="n">
        <x:v>13</x:v>
      </x:c>
      <x:c r="C18" s="30"/>
      <x:c r="D18" s="30"/>
      <x:c r="E18" s="30"/>
      <x:c r="F18" s="30"/>
      <x:c r="G18" s="31"/>
      <x:c r="H18" s="32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1"/>
      <x:c r="X18" s="30"/>
      <x:c r="Y18" s="30"/>
      <x:c r="Z18" s="30" t="str">
        <x:v>V1.9</x:v>
      </x:c>
      <x:c r="AA18" s="30"/>
      <x:c r="AB18" s="30"/>
      <x:c r="AC18" s="30"/>
      <x:c r="AD18" s="30"/>
      <x:c r="AE18" s="31"/>
    </x:row>
    <x:row r="19">
      <x:c r="A19" s="30" t="str">
        <x:f>IF(C19="","","RC-"&amp;TEXT(B19,"0000"))</x:f>
      </x:c>
      <x:c r="B19" s="30" t="n">
        <x:v>14</x:v>
      </x:c>
      <x:c r="C19" s="30"/>
      <x:c r="D19" s="30"/>
      <x:c r="E19" s="30"/>
      <x:c r="F19" s="30"/>
      <x:c r="G19" s="31"/>
      <x:c r="H19" s="32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1"/>
      <x:c r="X19" s="30"/>
      <x:c r="Y19" s="30"/>
      <x:c r="Z19" s="30" t="str">
        <x:v>V1.9</x:v>
      </x:c>
      <x:c r="AA19" s="30"/>
      <x:c r="AB19" s="30"/>
      <x:c r="AC19" s="30"/>
      <x:c r="AD19" s="30"/>
      <x:c r="AE19" s="31"/>
    </x:row>
    <x:row r="20">
      <x:c r="A20" s="30" t="str">
        <x:f>IF(C20="","","RC-"&amp;TEXT(B20,"0000"))</x:f>
      </x:c>
      <x:c r="B20" s="30" t="n">
        <x:v>15</x:v>
      </x:c>
      <x:c r="C20" s="30"/>
      <x:c r="D20" s="30"/>
      <x:c r="E20" s="30"/>
      <x:c r="F20" s="30"/>
      <x:c r="G20" s="31"/>
      <x:c r="H20" s="32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1"/>
      <x:c r="X20" s="30"/>
      <x:c r="Y20" s="30"/>
      <x:c r="Z20" s="30" t="str">
        <x:v>V1.9</x:v>
      </x:c>
      <x:c r="AA20" s="30"/>
      <x:c r="AB20" s="30"/>
      <x:c r="AC20" s="30"/>
      <x:c r="AD20" s="30"/>
      <x:c r="AE20" s="31"/>
    </x:row>
    <x:row r="21">
      <x:c r="A21" s="30" t="str">
        <x:f>IF(C21="","","RC-"&amp;TEXT(B21,"0000"))</x:f>
      </x:c>
      <x:c r="B21" s="30" t="n">
        <x:v>16</x:v>
      </x:c>
      <x:c r="C21" s="30"/>
      <x:c r="D21" s="30"/>
      <x:c r="E21" s="30"/>
      <x:c r="F21" s="30"/>
      <x:c r="G21" s="31"/>
      <x:c r="H21" s="32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1"/>
      <x:c r="X21" s="30"/>
      <x:c r="Y21" s="30"/>
      <x:c r="Z21" s="30" t="str">
        <x:v>V1.9</x:v>
      </x:c>
      <x:c r="AA21" s="30"/>
      <x:c r="AB21" s="30"/>
      <x:c r="AC21" s="30"/>
      <x:c r="AD21" s="30"/>
      <x:c r="AE21" s="31"/>
    </x:row>
    <x:row r="22">
      <x:c r="A22" s="30" t="str">
        <x:f>IF(C22="","","RC-"&amp;TEXT(B22,"0000"))</x:f>
      </x:c>
      <x:c r="B22" s="30" t="n">
        <x:v>17</x:v>
      </x:c>
      <x:c r="C22" s="30"/>
      <x:c r="D22" s="30"/>
      <x:c r="E22" s="30"/>
      <x:c r="F22" s="30"/>
      <x:c r="G22" s="31"/>
      <x:c r="H22" s="32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1"/>
      <x:c r="X22" s="30"/>
      <x:c r="Y22" s="30"/>
      <x:c r="Z22" s="30" t="str">
        <x:v>V1.9</x:v>
      </x:c>
      <x:c r="AA22" s="30"/>
      <x:c r="AB22" s="30"/>
      <x:c r="AC22" s="30"/>
      <x:c r="AD22" s="30"/>
      <x:c r="AE22" s="31"/>
    </x:row>
    <x:row r="23">
      <x:c r="A23" s="30" t="str">
        <x:f>IF(C23="","","RC-"&amp;TEXT(B23,"0000"))</x:f>
      </x:c>
      <x:c r="B23" s="30" t="n">
        <x:v>18</x:v>
      </x:c>
      <x:c r="C23" s="30"/>
      <x:c r="D23" s="30"/>
      <x:c r="E23" s="30"/>
      <x:c r="F23" s="30"/>
      <x:c r="G23" s="31"/>
      <x:c r="H23" s="32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1"/>
      <x:c r="X23" s="30"/>
      <x:c r="Y23" s="30"/>
      <x:c r="Z23" s="30" t="str">
        <x:v>V1.9</x:v>
      </x:c>
      <x:c r="AA23" s="30"/>
      <x:c r="AB23" s="30"/>
      <x:c r="AC23" s="30"/>
      <x:c r="AD23" s="30"/>
      <x:c r="AE23" s="31"/>
    </x:row>
    <x:row r="24">
      <x:c r="A24" s="30" t="str">
        <x:f>IF(C24="","","RC-"&amp;TEXT(B24,"0000"))</x:f>
      </x:c>
      <x:c r="B24" s="30" t="n">
        <x:v>19</x:v>
      </x:c>
      <x:c r="C24" s="30"/>
      <x:c r="D24" s="30"/>
      <x:c r="E24" s="30"/>
      <x:c r="F24" s="30"/>
      <x:c r="G24" s="31"/>
      <x:c r="H24" s="32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1"/>
      <x:c r="X24" s="30"/>
      <x:c r="Y24" s="30"/>
      <x:c r="Z24" s="30" t="str">
        <x:v>V1.9</x:v>
      </x:c>
      <x:c r="AA24" s="30"/>
      <x:c r="AB24" s="30"/>
      <x:c r="AC24" s="30"/>
      <x:c r="AD24" s="30"/>
      <x:c r="AE24" s="31"/>
    </x:row>
    <x:row r="25">
      <x:c r="A25" s="30" t="str">
        <x:f>IF(C25="","","RC-"&amp;TEXT(B25,"0000"))</x:f>
      </x:c>
      <x:c r="B25" s="30" t="n">
        <x:v>20</x:v>
      </x:c>
      <x:c r="C25" s="30"/>
      <x:c r="D25" s="30"/>
      <x:c r="E25" s="30"/>
      <x:c r="F25" s="30"/>
      <x:c r="G25" s="31"/>
      <x:c r="H25" s="32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1"/>
      <x:c r="X25" s="30"/>
      <x:c r="Y25" s="30"/>
      <x:c r="Z25" s="30" t="str">
        <x:v>V1.9</x:v>
      </x:c>
      <x:c r="AA25" s="30"/>
      <x:c r="AB25" s="30"/>
      <x:c r="AC25" s="30"/>
      <x:c r="AD25" s="30"/>
      <x:c r="AE25" s="31"/>
    </x:row>
    <x:row r="26">
      <x:c r="A26" s="30" t="str">
        <x:f>IF(C26="","","RC-"&amp;TEXT(B26,"0000"))</x:f>
      </x:c>
      <x:c r="B26" s="30" t="n">
        <x:v>21</x:v>
      </x:c>
      <x:c r="C26" s="30"/>
      <x:c r="D26" s="30"/>
      <x:c r="E26" s="30"/>
      <x:c r="F26" s="30"/>
      <x:c r="G26" s="31"/>
      <x:c r="H26" s="32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1"/>
      <x:c r="X26" s="30"/>
      <x:c r="Y26" s="30"/>
      <x:c r="Z26" s="30" t="str">
        <x:v>V1.9</x:v>
      </x:c>
      <x:c r="AA26" s="30"/>
      <x:c r="AB26" s="30"/>
      <x:c r="AC26" s="30"/>
      <x:c r="AD26" s="30"/>
      <x:c r="AE26" s="31"/>
    </x:row>
    <x:row r="27">
      <x:c r="A27" s="30" t="str">
        <x:f>IF(C27="","","RC-"&amp;TEXT(B27,"0000"))</x:f>
      </x:c>
      <x:c r="B27" s="30" t="n">
        <x:v>22</x:v>
      </x:c>
      <x:c r="C27" s="30"/>
      <x:c r="D27" s="30"/>
      <x:c r="E27" s="30"/>
      <x:c r="F27" s="30"/>
      <x:c r="G27" s="31"/>
      <x:c r="H27" s="32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1"/>
      <x:c r="X27" s="30"/>
      <x:c r="Y27" s="30"/>
      <x:c r="Z27" s="30" t="str">
        <x:v>V1.9</x:v>
      </x:c>
      <x:c r="AA27" s="30"/>
      <x:c r="AB27" s="30"/>
      <x:c r="AC27" s="30"/>
      <x:c r="AD27" s="30"/>
      <x:c r="AE27" s="31"/>
    </x:row>
    <x:row r="28">
      <x:c r="A28" s="30" t="str">
        <x:f>IF(C28="","","RC-"&amp;TEXT(B28,"0000"))</x:f>
      </x:c>
      <x:c r="B28" s="30" t="n">
        <x:v>23</x:v>
      </x:c>
      <x:c r="C28" s="30"/>
      <x:c r="D28" s="30"/>
      <x:c r="E28" s="30"/>
      <x:c r="F28" s="30"/>
      <x:c r="G28" s="31"/>
      <x:c r="H28" s="32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1"/>
      <x:c r="X28" s="30"/>
      <x:c r="Y28" s="30"/>
      <x:c r="Z28" s="30" t="str">
        <x:v>V1.9</x:v>
      </x:c>
      <x:c r="AA28" s="30"/>
      <x:c r="AB28" s="30"/>
      <x:c r="AC28" s="30"/>
      <x:c r="AD28" s="30"/>
      <x:c r="AE28" s="31"/>
    </x:row>
    <x:row r="29">
      <x:c r="A29" s="30" t="str">
        <x:f>IF(C29="","","RC-"&amp;TEXT(B29,"0000"))</x:f>
      </x:c>
      <x:c r="B29" s="30" t="n">
        <x:v>24</x:v>
      </x:c>
      <x:c r="C29" s="30"/>
      <x:c r="D29" s="30"/>
      <x:c r="E29" s="30"/>
      <x:c r="F29" s="30"/>
      <x:c r="G29" s="31"/>
      <x:c r="H29" s="32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1"/>
      <x:c r="X29" s="30"/>
      <x:c r="Y29" s="30"/>
      <x:c r="Z29" s="30" t="str">
        <x:v>V1.9</x:v>
      </x:c>
      <x:c r="AA29" s="30"/>
      <x:c r="AB29" s="30"/>
      <x:c r="AC29" s="30"/>
      <x:c r="AD29" s="30"/>
      <x:c r="AE29" s="31"/>
    </x:row>
    <x:row r="30">
      <x:c r="A30" s="30" t="str">
        <x:f>IF(C30="","","RC-"&amp;TEXT(B30,"0000"))</x:f>
      </x:c>
      <x:c r="B30" s="30" t="n">
        <x:v>25</x:v>
      </x:c>
      <x:c r="C30" s="30"/>
      <x:c r="D30" s="30"/>
      <x:c r="E30" s="30"/>
      <x:c r="F30" s="30"/>
      <x:c r="G30" s="31"/>
      <x:c r="H30" s="32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1"/>
      <x:c r="X30" s="30"/>
      <x:c r="Y30" s="30"/>
      <x:c r="Z30" s="30" t="str">
        <x:v>V1.9</x:v>
      </x:c>
      <x:c r="AA30" s="30"/>
      <x:c r="AB30" s="30"/>
      <x:c r="AC30" s="30"/>
      <x:c r="AD30" s="30"/>
      <x:c r="AE30" s="31"/>
    </x:row>
    <x:row r="31">
      <x:c r="A31" s="30" t="str">
        <x:f>IF(C31="","","RC-"&amp;TEXT(B31,"0000"))</x:f>
      </x:c>
      <x:c r="B31" s="30" t="n">
        <x:v>26</x:v>
      </x:c>
      <x:c r="C31" s="30"/>
      <x:c r="D31" s="30"/>
      <x:c r="E31" s="30"/>
      <x:c r="F31" s="30"/>
      <x:c r="G31" s="31"/>
      <x:c r="H31" s="32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1"/>
      <x:c r="X31" s="30"/>
      <x:c r="Y31" s="30"/>
      <x:c r="Z31" s="30" t="str">
        <x:v>V1.9</x:v>
      </x:c>
      <x:c r="AA31" s="30"/>
      <x:c r="AB31" s="30"/>
      <x:c r="AC31" s="30"/>
      <x:c r="AD31" s="30"/>
      <x:c r="AE31" s="31"/>
    </x:row>
    <x:row r="32">
      <x:c r="A32" s="30" t="str">
        <x:f>IF(C32="","","RC-"&amp;TEXT(B32,"0000"))</x:f>
      </x:c>
      <x:c r="B32" s="30" t="n">
        <x:v>27</x:v>
      </x:c>
      <x:c r="C32" s="30"/>
      <x:c r="D32" s="30"/>
      <x:c r="E32" s="30"/>
      <x:c r="F32" s="30"/>
      <x:c r="G32" s="31"/>
      <x:c r="H32" s="32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1"/>
      <x:c r="X32" s="30"/>
      <x:c r="Y32" s="30"/>
      <x:c r="Z32" s="30" t="str">
        <x:v>V1.9</x:v>
      </x:c>
      <x:c r="AA32" s="30"/>
      <x:c r="AB32" s="30"/>
      <x:c r="AC32" s="30"/>
      <x:c r="AD32" s="30"/>
      <x:c r="AE32" s="31"/>
    </x:row>
    <x:row r="33">
      <x:c r="A33" s="30" t="str">
        <x:f>IF(C33="","","RC-"&amp;TEXT(B33,"0000"))</x:f>
      </x:c>
      <x:c r="B33" s="30" t="n">
        <x:v>28</x:v>
      </x:c>
      <x:c r="C33" s="30"/>
      <x:c r="D33" s="30"/>
      <x:c r="E33" s="30"/>
      <x:c r="F33" s="30"/>
      <x:c r="G33" s="31"/>
      <x:c r="H33" s="32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1"/>
      <x:c r="X33" s="30"/>
      <x:c r="Y33" s="30"/>
      <x:c r="Z33" s="30" t="str">
        <x:v>V1.9</x:v>
      </x:c>
      <x:c r="AA33" s="30"/>
      <x:c r="AB33" s="30"/>
      <x:c r="AC33" s="30"/>
      <x:c r="AD33" s="30"/>
      <x:c r="AE33" s="31"/>
    </x:row>
    <x:row r="34">
      <x:c r="A34" s="30" t="str">
        <x:f>IF(C34="","","RC-"&amp;TEXT(B34,"0000"))</x:f>
      </x:c>
      <x:c r="B34" s="30" t="n">
        <x:v>29</x:v>
      </x:c>
      <x:c r="C34" s="30"/>
      <x:c r="D34" s="30"/>
      <x:c r="E34" s="30"/>
      <x:c r="F34" s="30"/>
      <x:c r="G34" s="31"/>
      <x:c r="H34" s="32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1"/>
      <x:c r="X34" s="30"/>
      <x:c r="Y34" s="30"/>
      <x:c r="Z34" s="30" t="str">
        <x:v>V1.9</x:v>
      </x:c>
      <x:c r="AA34" s="30"/>
      <x:c r="AB34" s="30"/>
      <x:c r="AC34" s="30"/>
      <x:c r="AD34" s="30"/>
      <x:c r="AE34" s="31"/>
    </x:row>
    <x:row r="35">
      <x:c r="A35" s="30" t="str">
        <x:f>IF(C35="","","RC-"&amp;TEXT(B35,"0000"))</x:f>
      </x:c>
      <x:c r="B35" s="30" t="n">
        <x:v>30</x:v>
      </x:c>
      <x:c r="C35" s="30"/>
      <x:c r="D35" s="30"/>
      <x:c r="E35" s="30"/>
      <x:c r="F35" s="30"/>
      <x:c r="G35" s="31"/>
      <x:c r="H35" s="32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1"/>
      <x:c r="X35" s="30"/>
      <x:c r="Y35" s="30"/>
      <x:c r="Z35" s="30" t="str">
        <x:v>V1.9</x:v>
      </x:c>
      <x:c r="AA35" s="30"/>
      <x:c r="AB35" s="30"/>
      <x:c r="AC35" s="30"/>
      <x:c r="AD35" s="30"/>
      <x:c r="AE35" s="31"/>
    </x:row>
    <x:row r="36">
      <x:c r="A36" s="30" t="str">
        <x:f>IF(C36="","","RC-"&amp;TEXT(B36,"0000"))</x:f>
      </x:c>
      <x:c r="B36" s="30" t="n">
        <x:v>31</x:v>
      </x:c>
      <x:c r="C36" s="30"/>
      <x:c r="D36" s="30"/>
      <x:c r="E36" s="30"/>
      <x:c r="F36" s="30"/>
      <x:c r="G36" s="31"/>
      <x:c r="H36" s="32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1"/>
      <x:c r="X36" s="30"/>
      <x:c r="Y36" s="30"/>
      <x:c r="Z36" s="30" t="str">
        <x:v>V1.9</x:v>
      </x:c>
      <x:c r="AA36" s="30"/>
      <x:c r="AB36" s="30"/>
      <x:c r="AC36" s="30"/>
      <x:c r="AD36" s="30"/>
      <x:c r="AE36" s="31"/>
    </x:row>
    <x:row r="37">
      <x:c r="A37" s="30" t="str">
        <x:f>IF(C37="","","RC-"&amp;TEXT(B37,"0000"))</x:f>
      </x:c>
      <x:c r="B37" s="30" t="n">
        <x:v>32</x:v>
      </x:c>
      <x:c r="C37" s="30"/>
      <x:c r="D37" s="30"/>
      <x:c r="E37" s="30"/>
      <x:c r="F37" s="30"/>
      <x:c r="G37" s="31"/>
      <x:c r="H37" s="32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1"/>
      <x:c r="X37" s="30"/>
      <x:c r="Y37" s="30"/>
      <x:c r="Z37" s="30" t="str">
        <x:v>V1.9</x:v>
      </x:c>
      <x:c r="AA37" s="30"/>
      <x:c r="AB37" s="30"/>
      <x:c r="AC37" s="30"/>
      <x:c r="AD37" s="30"/>
      <x:c r="AE37" s="31"/>
    </x:row>
    <x:row r="38">
      <x:c r="A38" s="30" t="str">
        <x:f>IF(C38="","","RC-"&amp;TEXT(B38,"0000"))</x:f>
      </x:c>
      <x:c r="B38" s="30" t="n">
        <x:v>33</x:v>
      </x:c>
      <x:c r="C38" s="30"/>
      <x:c r="D38" s="30"/>
      <x:c r="E38" s="30"/>
      <x:c r="F38" s="30"/>
      <x:c r="G38" s="31"/>
      <x:c r="H38" s="32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1"/>
      <x:c r="X38" s="30"/>
      <x:c r="Y38" s="30"/>
      <x:c r="Z38" s="30" t="str">
        <x:v>V1.9</x:v>
      </x:c>
      <x:c r="AA38" s="30"/>
      <x:c r="AB38" s="30"/>
      <x:c r="AC38" s="30"/>
      <x:c r="AD38" s="30"/>
      <x:c r="AE38" s="31"/>
    </x:row>
    <x:row r="39">
      <x:c r="A39" s="30" t="str">
        <x:f>IF(C39="","","RC-"&amp;TEXT(B39,"0000"))</x:f>
      </x:c>
      <x:c r="B39" s="30" t="n">
        <x:v>34</x:v>
      </x:c>
      <x:c r="C39" s="30"/>
      <x:c r="D39" s="30"/>
      <x:c r="E39" s="30"/>
      <x:c r="F39" s="30"/>
      <x:c r="G39" s="31"/>
      <x:c r="H39" s="32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1"/>
      <x:c r="X39" s="30"/>
      <x:c r="Y39" s="30"/>
      <x:c r="Z39" s="30" t="str">
        <x:v>V1.9</x:v>
      </x:c>
      <x:c r="AA39" s="30"/>
      <x:c r="AB39" s="30"/>
      <x:c r="AC39" s="30"/>
      <x:c r="AD39" s="30"/>
      <x:c r="AE39" s="31"/>
    </x:row>
    <x:row r="40">
      <x:c r="A40" s="30" t="str">
        <x:f>IF(C40="","","RC-"&amp;TEXT(B40,"0000"))</x:f>
      </x:c>
      <x:c r="B40" s="30" t="n">
        <x:v>35</x:v>
      </x:c>
      <x:c r="C40" s="30"/>
      <x:c r="D40" s="30"/>
      <x:c r="E40" s="30"/>
      <x:c r="F40" s="30"/>
      <x:c r="G40" s="31"/>
      <x:c r="H40" s="32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1"/>
      <x:c r="X40" s="30"/>
      <x:c r="Y40" s="30"/>
      <x:c r="Z40" s="30" t="str">
        <x:v>V1.9</x:v>
      </x:c>
      <x:c r="AA40" s="30"/>
      <x:c r="AB40" s="30"/>
      <x:c r="AC40" s="30"/>
      <x:c r="AD40" s="30"/>
      <x:c r="AE40" s="31"/>
    </x:row>
    <x:row r="41">
      <x:c r="A41" s="30" t="str">
        <x:f>IF(C41="","","RC-"&amp;TEXT(B41,"0000"))</x:f>
      </x:c>
      <x:c r="B41" s="30" t="n">
        <x:v>36</x:v>
      </x:c>
      <x:c r="C41" s="30"/>
      <x:c r="D41" s="30"/>
      <x:c r="E41" s="30"/>
      <x:c r="F41" s="30"/>
      <x:c r="G41" s="31"/>
      <x:c r="H41" s="32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1"/>
      <x:c r="X41" s="30"/>
      <x:c r="Y41" s="30"/>
      <x:c r="Z41" s="30" t="str">
        <x:v>V1.9</x:v>
      </x:c>
      <x:c r="AA41" s="30"/>
      <x:c r="AB41" s="30"/>
      <x:c r="AC41" s="30"/>
      <x:c r="AD41" s="30"/>
      <x:c r="AE41" s="31"/>
    </x:row>
    <x:row r="42">
      <x:c r="A42" s="30" t="str">
        <x:f>IF(C42="","","RC-"&amp;TEXT(B42,"0000"))</x:f>
      </x:c>
      <x:c r="B42" s="30" t="n">
        <x:v>37</x:v>
      </x:c>
      <x:c r="C42" s="30"/>
      <x:c r="D42" s="30"/>
      <x:c r="E42" s="30"/>
      <x:c r="F42" s="30"/>
      <x:c r="G42" s="31"/>
      <x:c r="H42" s="32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1"/>
      <x:c r="X42" s="30"/>
      <x:c r="Y42" s="30"/>
      <x:c r="Z42" s="30" t="str">
        <x:v>V1.9</x:v>
      </x:c>
      <x:c r="AA42" s="30"/>
      <x:c r="AB42" s="30"/>
      <x:c r="AC42" s="30"/>
      <x:c r="AD42" s="30"/>
      <x:c r="AE42" s="31"/>
    </x:row>
    <x:row r="43">
      <x:c r="A43" s="30" t="str">
        <x:f>IF(C43="","","RC-"&amp;TEXT(B43,"0000"))</x:f>
      </x:c>
      <x:c r="B43" s="30" t="n">
        <x:v>38</x:v>
      </x:c>
      <x:c r="C43" s="30"/>
      <x:c r="D43" s="30"/>
      <x:c r="E43" s="30"/>
      <x:c r="F43" s="30"/>
      <x:c r="G43" s="31"/>
      <x:c r="H43" s="32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1"/>
      <x:c r="X43" s="30"/>
      <x:c r="Y43" s="30"/>
      <x:c r="Z43" s="30" t="str">
        <x:v>V1.9</x:v>
      </x:c>
      <x:c r="AA43" s="30"/>
      <x:c r="AB43" s="30"/>
      <x:c r="AC43" s="30"/>
      <x:c r="AD43" s="30"/>
      <x:c r="AE43" s="31"/>
    </x:row>
    <x:row r="44">
      <x:c r="A44" s="30" t="str">
        <x:f>IF(C44="","","RC-"&amp;TEXT(B44,"0000"))</x:f>
      </x:c>
      <x:c r="B44" s="30" t="n">
        <x:v>39</x:v>
      </x:c>
      <x:c r="C44" s="30"/>
      <x:c r="D44" s="30"/>
      <x:c r="E44" s="30"/>
      <x:c r="F44" s="30"/>
      <x:c r="G44" s="31"/>
      <x:c r="H44" s="32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1"/>
      <x:c r="X44" s="30"/>
      <x:c r="Y44" s="30"/>
      <x:c r="Z44" s="30" t="str">
        <x:v>V1.9</x:v>
      </x:c>
      <x:c r="AA44" s="30"/>
      <x:c r="AB44" s="30"/>
      <x:c r="AC44" s="30"/>
      <x:c r="AD44" s="30"/>
      <x:c r="AE44" s="31"/>
    </x:row>
    <x:row r="45">
      <x:c r="A45" s="30" t="str">
        <x:f>IF(C45="","","RC-"&amp;TEXT(B45,"0000"))</x:f>
      </x:c>
      <x:c r="B45" s="30" t="n">
        <x:v>40</x:v>
      </x:c>
      <x:c r="C45" s="30"/>
      <x:c r="D45" s="30"/>
      <x:c r="E45" s="30"/>
      <x:c r="F45" s="30"/>
      <x:c r="G45" s="31"/>
      <x:c r="H45" s="32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1"/>
      <x:c r="X45" s="30"/>
      <x:c r="Y45" s="30"/>
      <x:c r="Z45" s="30" t="str">
        <x:v>V1.9</x:v>
      </x:c>
      <x:c r="AA45" s="30"/>
      <x:c r="AB45" s="30"/>
      <x:c r="AC45" s="30"/>
      <x:c r="AD45" s="30"/>
      <x:c r="AE45" s="31"/>
    </x:row>
    <x:row r="46">
      <x:c r="A46" s="30" t="str">
        <x:f>IF(C46="","","RC-"&amp;TEXT(B46,"0000"))</x:f>
      </x:c>
      <x:c r="B46" s="30" t="n">
        <x:v>41</x:v>
      </x:c>
      <x:c r="C46" s="30"/>
      <x:c r="D46" s="30"/>
      <x:c r="E46" s="30"/>
      <x:c r="F46" s="30"/>
      <x:c r="G46" s="31"/>
      <x:c r="H46" s="32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1"/>
      <x:c r="X46" s="30"/>
      <x:c r="Y46" s="30"/>
      <x:c r="Z46" s="30" t="str">
        <x:v>V1.9</x:v>
      </x:c>
      <x:c r="AA46" s="30"/>
      <x:c r="AB46" s="30"/>
      <x:c r="AC46" s="30"/>
      <x:c r="AD46" s="30"/>
      <x:c r="AE46" s="31"/>
    </x:row>
    <x:row r="47">
      <x:c r="A47" s="30" t="str">
        <x:f>IF(C47="","","RC-"&amp;TEXT(B47,"0000"))</x:f>
      </x:c>
      <x:c r="B47" s="30" t="n">
        <x:v>42</x:v>
      </x:c>
      <x:c r="C47" s="30"/>
      <x:c r="D47" s="30"/>
      <x:c r="E47" s="30"/>
      <x:c r="F47" s="30"/>
      <x:c r="G47" s="31"/>
      <x:c r="H47" s="32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1"/>
      <x:c r="X47" s="30"/>
      <x:c r="Y47" s="30"/>
      <x:c r="Z47" s="30" t="str">
        <x:v>V1.9</x:v>
      </x:c>
      <x:c r="AA47" s="30"/>
      <x:c r="AB47" s="30"/>
      <x:c r="AC47" s="30"/>
      <x:c r="AD47" s="30"/>
      <x:c r="AE47" s="31"/>
    </x:row>
    <x:row r="48">
      <x:c r="A48" s="30" t="str">
        <x:f>IF(C48="","","RC-"&amp;TEXT(B48,"0000"))</x:f>
      </x:c>
      <x:c r="B48" s="30" t="n">
        <x:v>43</x:v>
      </x:c>
      <x:c r="C48" s="30"/>
      <x:c r="D48" s="30"/>
      <x:c r="E48" s="30"/>
      <x:c r="F48" s="30"/>
      <x:c r="G48" s="31"/>
      <x:c r="H48" s="32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1"/>
      <x:c r="X48" s="30"/>
      <x:c r="Y48" s="30"/>
      <x:c r="Z48" s="30" t="str">
        <x:v>V1.9</x:v>
      </x:c>
      <x:c r="AA48" s="30"/>
      <x:c r="AB48" s="30"/>
      <x:c r="AC48" s="30"/>
      <x:c r="AD48" s="30"/>
      <x:c r="AE48" s="31"/>
    </x:row>
    <x:row r="49">
      <x:c r="A49" s="30" t="str">
        <x:f>IF(C49="","","RC-"&amp;TEXT(B49,"0000"))</x:f>
      </x:c>
      <x:c r="B49" s="30" t="n">
        <x:v>44</x:v>
      </x:c>
      <x:c r="C49" s="30"/>
      <x:c r="D49" s="30"/>
      <x:c r="E49" s="30"/>
      <x:c r="F49" s="30"/>
      <x:c r="G49" s="31"/>
      <x:c r="H49" s="32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1"/>
      <x:c r="X49" s="30"/>
      <x:c r="Y49" s="30"/>
      <x:c r="Z49" s="30" t="str">
        <x:v>V1.9</x:v>
      </x:c>
      <x:c r="AA49" s="30"/>
      <x:c r="AB49" s="30"/>
      <x:c r="AC49" s="30"/>
      <x:c r="AD49" s="30"/>
      <x:c r="AE49" s="31"/>
    </x:row>
    <x:row r="50">
      <x:c r="A50" s="30" t="str">
        <x:f>IF(C50="","","RC-"&amp;TEXT(B50,"0000"))</x:f>
      </x:c>
      <x:c r="B50" s="30" t="n">
        <x:v>45</x:v>
      </x:c>
      <x:c r="C50" s="30"/>
      <x:c r="D50" s="30"/>
      <x:c r="E50" s="30"/>
      <x:c r="F50" s="30"/>
      <x:c r="G50" s="31"/>
      <x:c r="H50" s="32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1"/>
      <x:c r="X50" s="30"/>
      <x:c r="Y50" s="30"/>
      <x:c r="Z50" s="30" t="str">
        <x:v>V1.9</x:v>
      </x:c>
      <x:c r="AA50" s="30"/>
      <x:c r="AB50" s="30"/>
      <x:c r="AC50" s="30"/>
      <x:c r="AD50" s="30"/>
      <x:c r="AE50" s="31"/>
    </x:row>
    <x:row r="51">
      <x:c r="A51" s="30" t="str">
        <x:f>IF(C51="","","RC-"&amp;TEXT(B51,"0000"))</x:f>
      </x:c>
      <x:c r="B51" s="30" t="n">
        <x:v>46</x:v>
      </x:c>
      <x:c r="C51" s="30"/>
      <x:c r="D51" s="30"/>
      <x:c r="E51" s="30"/>
      <x:c r="F51" s="30"/>
      <x:c r="G51" s="31"/>
      <x:c r="H51" s="32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1"/>
      <x:c r="X51" s="30"/>
      <x:c r="Y51" s="30"/>
      <x:c r="Z51" s="30" t="str">
        <x:v>V1.9</x:v>
      </x:c>
      <x:c r="AA51" s="30"/>
      <x:c r="AB51" s="30"/>
      <x:c r="AC51" s="30"/>
      <x:c r="AD51" s="30"/>
      <x:c r="AE51" s="31"/>
    </x:row>
    <x:row r="52">
      <x:c r="A52" s="30" t="str">
        <x:f>IF(C52="","","RC-"&amp;TEXT(B52,"0000"))</x:f>
      </x:c>
      <x:c r="B52" s="30" t="n">
        <x:v>47</x:v>
      </x:c>
      <x:c r="C52" s="30"/>
      <x:c r="D52" s="30"/>
      <x:c r="E52" s="30"/>
      <x:c r="F52" s="30"/>
      <x:c r="G52" s="31"/>
      <x:c r="H52" s="32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1"/>
      <x:c r="X52" s="30"/>
      <x:c r="Y52" s="30"/>
      <x:c r="Z52" s="30" t="str">
        <x:v>V1.9</x:v>
      </x:c>
      <x:c r="AA52" s="30"/>
      <x:c r="AB52" s="30"/>
      <x:c r="AC52" s="30"/>
      <x:c r="AD52" s="30"/>
      <x:c r="AE52" s="31"/>
    </x:row>
    <x:row r="53">
      <x:c r="A53" s="30" t="str">
        <x:f>IF(C53="","","RC-"&amp;TEXT(B53,"0000"))</x:f>
      </x:c>
      <x:c r="B53" s="30" t="n">
        <x:v>48</x:v>
      </x:c>
      <x:c r="C53" s="30"/>
      <x:c r="D53" s="30"/>
      <x:c r="E53" s="30"/>
      <x:c r="F53" s="30"/>
      <x:c r="G53" s="31"/>
      <x:c r="H53" s="32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1"/>
      <x:c r="X53" s="30"/>
      <x:c r="Y53" s="30"/>
      <x:c r="Z53" s="30" t="str">
        <x:v>V1.9</x:v>
      </x:c>
      <x:c r="AA53" s="30"/>
      <x:c r="AB53" s="30"/>
      <x:c r="AC53" s="30"/>
      <x:c r="AD53" s="30"/>
      <x:c r="AE53" s="31"/>
    </x:row>
    <x:row r="54">
      <x:c r="A54" s="30" t="str">
        <x:f>IF(C54="","","RC-"&amp;TEXT(B54,"0000"))</x:f>
      </x:c>
      <x:c r="B54" s="30" t="n">
        <x:v>49</x:v>
      </x:c>
      <x:c r="C54" s="30"/>
      <x:c r="D54" s="30"/>
      <x:c r="E54" s="30"/>
      <x:c r="F54" s="30"/>
      <x:c r="G54" s="31"/>
      <x:c r="H54" s="32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1"/>
      <x:c r="X54" s="30"/>
      <x:c r="Y54" s="30"/>
      <x:c r="Z54" s="30" t="str">
        <x:v>V1.9</x:v>
      </x:c>
      <x:c r="AA54" s="30"/>
      <x:c r="AB54" s="30"/>
      <x:c r="AC54" s="30"/>
      <x:c r="AD54" s="30"/>
      <x:c r="AE54" s="31"/>
    </x:row>
    <x:row r="55">
      <x:c r="A55" s="30" t="str">
        <x:f>IF(C55="","","RC-"&amp;TEXT(B55,"0000"))</x:f>
      </x:c>
      <x:c r="B55" s="30" t="n">
        <x:v>50</x:v>
      </x:c>
      <x:c r="C55" s="30"/>
      <x:c r="D55" s="30"/>
      <x:c r="E55" s="30"/>
      <x:c r="F55" s="30"/>
      <x:c r="G55" s="31"/>
      <x:c r="H55" s="32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1"/>
      <x:c r="X55" s="30"/>
      <x:c r="Y55" s="30"/>
      <x:c r="Z55" s="30" t="str">
        <x:v>V1.9</x:v>
      </x:c>
      <x:c r="AA55" s="30"/>
      <x:c r="AB55" s="30"/>
      <x:c r="AC55" s="30"/>
      <x:c r="AD55" s="30"/>
      <x:c r="AE55" s="31"/>
    </x:row>
  </x:sheetData>
  <x:mergeCells>
    <x:mergeCell ref="A1:AE1"/>
    <x:mergeCell ref="A2:AE2"/>
  </x:mergeCells>
  <x:conditionalFormatting sqref="X6:X55">
    <x:cfRule type="expression" dxfId="2" priority="1">
      <x:formula>X6="已完成"</x:formula>
    </x:cfRule>
    <x:cfRule type="expression" dxfId="3" priority="2">
      <x:formula>X6="待复核"</x:formula>
    </x:cfRule>
    <x:cfRule type="expression" dxfId="4" priority="3">
      <x:formula>X6="进行中"</x:formula>
    </x:cfRule>
  </x:conditionalFormatting>
  <x:dataValidations count="15">
    <x:dataValidation type="list" sqref="D6:D55">
      <x:formula1>'99_下拉选项'!$K$4:$K$9</x:formula1>
    </x:dataValidation>
    <x:dataValidation type="list" sqref="E6:E55">
      <x:formula1>'99_下拉选项'!$I$4:$I$7</x:formula1>
    </x:dataValidation>
    <x:dataValidation type="list" sqref="F6:F55">
      <x:formula1>'99_下拉选项'!$J$4:$J$6</x:formula1>
    </x:dataValidation>
    <x:dataValidation type="list" sqref="I6:I55">
      <x:formula1>'99_下拉选项'!$AI$4:$AI$9</x:formula1>
    </x:dataValidation>
    <x:dataValidation type="list" sqref="O6:O55">
      <x:formula1>'99_下拉选项'!$N$4:$N$7</x:formula1>
    </x:dataValidation>
    <x:dataValidation type="list" sqref="P6:Q55">
      <x:formula1>'99_下拉选项'!$M$4:$M$7</x:formula1>
    </x:dataValidation>
    <x:dataValidation type="list" sqref="R6:R55">
      <x:formula1>'99_下拉选项'!$L$4:$L$7</x:formula1>
    </x:dataValidation>
    <x:dataValidation type="list" sqref="S6:S55">
      <x:formula1>'99_下拉选项'!$AH$4:$AH$7</x:formula1>
    </x:dataValidation>
    <x:dataValidation type="list" sqref="T6:T55">
      <x:formula1>'99_下拉选项'!$W$4:$W$12</x:formula1>
    </x:dataValidation>
    <x:dataValidation type="list" sqref="X6:X55">
      <x:formula1>'99_下拉选项'!$F$4:$F$8</x:formula1>
    </x:dataValidation>
    <x:dataValidation type="list" sqref="Y6:Y55">
      <x:formula1>'99_下拉选项'!$G$4:$G$8</x:formula1>
    </x:dataValidation>
    <x:dataValidation type="list" sqref="Z6:Z55">
      <x:formula1>'99_下拉选项'!$AJ$4:$AJ$4</x:formula1>
    </x:dataValidation>
    <x:dataValidation type="list" sqref="AA6:AA55">
      <x:formula1>'99_下拉选项'!$O$4:$O$7</x:formula1>
    </x:dataValidation>
    <x:dataValidation type="list" sqref="AB6:AB55">
      <x:formula1>'99_下拉选项'!$P$4:$P$7</x:formula1>
    </x:dataValidation>
    <x:dataValidation type="list" sqref="AC6:AC55">
      <x:formula1>'99_下拉选项'!$H$4:$H$6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f5895887b4442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8" hidden="0" customWidth="1"/>
    <x:col min="4" max="4" width="20" hidden="0" customWidth="1"/>
    <x:col min="5" max="5" width="12" hidden="0" customWidth="1"/>
    <x:col min="6" max="6" width="22" hidden="0" customWidth="1"/>
    <x:col min="7" max="7" width="11" hidden="0" customWidth="1"/>
    <x:col min="8" max="8" width="36" hidden="0" customWidth="1"/>
    <x:col min="9" max="9" width="36" hidden="0" customWidth="1"/>
    <x:col min="10" max="10" width="34" hidden="0" customWidth="1"/>
    <x:col min="11" max="11" width="34" hidden="0" customWidth="1"/>
    <x:col min="12" max="12" width="10" hidden="0" customWidth="1"/>
    <x:col min="13" max="13" width="28" hidden="0" customWidth="1"/>
    <x:col min="14" max="14" width="28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1" hidden="0" customWidth="1"/>
    <x:col min="20" max="20" width="14" hidden="0" customWidth="1"/>
    <x:col min="21" max="21" width="30" hidden="0" customWidth="1"/>
    <x:col min="22" max="22" width="11" hidden="0" customWidth="1"/>
  </x:cols>
  <x:sheetData>
    <x:row r="1">
      <x:c r="A1" s="5" t="str">
        <x:v>M02—M19逐模块分析记录｜每个命例预置18行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>
      <x:c r="A2" t="str">
        <x:v>每条结论必须保留支持证据、反向证据、Rule_ID与置信度。模块状态为“已完成”前，核心结论、证据和Rule_ID不得同时空缺。</x:v>
      </x:c>
    </x:row>
    <x:row r="5">
      <x:c r="A5" s="14" t="str">
        <x:v>Analysis_ID</x:v>
      </x:c>
      <x:c r="B5" s="14" t="str">
        <x:v>Case_ID</x:v>
      </x:c>
      <x:c r="C5" s="14" t="str">
        <x:v>模块代码</x:v>
      </x:c>
      <x:c r="D5" s="14" t="str">
        <x:v>模块名称</x:v>
      </x:c>
      <x:c r="E5" s="14" t="str">
        <x:v>推理层级</x:v>
      </x:c>
      <x:c r="F5" s="14" t="str">
        <x:v>前置模块</x:v>
      </x:c>
      <x:c r="G5" s="14" t="str">
        <x:v>结论状态</x:v>
      </x:c>
      <x:c r="H5" s="14" t="str">
        <x:v>核心结论</x:v>
      </x:c>
      <x:c r="I5" s="14" t="str">
        <x:v>支持证据</x:v>
      </x:c>
      <x:c r="J5" s="14" t="str">
        <x:v>反向证据</x:v>
      </x:c>
      <x:c r="K5" s="14" t="str">
        <x:v>关联Rule_ID</x:v>
      </x:c>
      <x:c r="L5" s="14" t="str">
        <x:v>置信度</x:v>
      </x:c>
      <x:c r="M5" s="14" t="str">
        <x:v>冲突Rule_ID</x:v>
      </x:c>
      <x:c r="N5" s="14" t="str">
        <x:v>待核查项</x:v>
      </x:c>
      <x:c r="O5" s="14" t="str">
        <x:v>分析师</x:v>
      </x:c>
      <x:c r="P5" s="14" t="str">
        <x:v>复核人</x:v>
      </x:c>
      <x:c r="Q5" s="14" t="str">
        <x:v>分析日期</x:v>
      </x:c>
      <x:c r="R5" s="14" t="str">
        <x:v>复核日期</x:v>
      </x:c>
      <x:c r="S5" s="14" t="str">
        <x:v>是否需回归</x:v>
      </x:c>
      <x:c r="T5" s="14" t="str">
        <x:v>差异类型</x:v>
      </x:c>
      <x:c r="U5" s="14" t="str">
        <x:v>备注</x:v>
      </x:c>
      <x:c r="V5" s="14" t="str">
        <x:v>记录完整度</x:v>
      </x:c>
    </x:row>
    <x:row r="6">
      <x:c r="A6" s="30" t="str">
        <x:f>IF(B6="","",B6&amp;"-"&amp;C6)</x:f>
      </x:c>
      <x:c r="B6" s="30" t="str">
        <x:f>'01_命例主档'!A6</x:f>
      </x:c>
      <x:c r="C6" s="30" t="str">
        <x:v>M02</x:v>
      </x:c>
      <x:c r="D6" s="30" t="str">
        <x:v>干支藏干基础</x:v>
      </x:c>
      <x:c r="E6" s="30" t="str">
        <x:v>识别层</x:v>
      </x:c>
      <x:c r="F6" s="30" t="str">
        <x:v>无</x:v>
      </x:c>
      <x:c r="G6" s="30" t="str">
        <x:v>未开始</x:v>
      </x:c>
      <x:c r="H6" s="30" t="str"/>
      <x:c r="I6" s="30" t="str"/>
      <x:c r="J6" s="30" t="str"/>
      <x:c r="K6" s="30" t="str"/>
      <x:c r="L6" s="30" t="str"/>
      <x:c r="M6" s="30" t="str"/>
      <x:c r="N6" s="30" t="str"/>
      <x:c r="O6" s="30" t="str"/>
      <x:c r="P6" s="30" t="str"/>
      <x:c r="Q6" s="31" t="str"/>
      <x:c r="R6" s="31" t="str"/>
      <x:c r="S6" s="30" t="str"/>
      <x:c r="T6" s="30" t="str"/>
      <x:c r="U6" s="30" t="str"/>
      <x:c r="V6" s="40" t="str">
        <x:f>IF(B6="","",COUNTA(H6:L6)/5)</x:f>
      </x:c>
    </x:row>
    <x:row r="7">
      <x:c r="A7" s="30" t="str">
        <x:f>IF(B7="","",B7&amp;"-"&amp;C7)</x:f>
      </x:c>
      <x:c r="B7" s="30" t="str">
        <x:f>'01_命例主档'!A6</x:f>
      </x:c>
      <x:c r="C7" s="30" t="str">
        <x:v>M03</x:v>
      </x:c>
      <x:c r="D7" s="30" t="str">
        <x:v>月令与根气</x:v>
      </x:c>
      <x:c r="E7" s="30" t="str">
        <x:v>结构层</x:v>
      </x:c>
      <x:c r="F7" s="30" t="str">
        <x:v>M02</x:v>
      </x:c>
      <x:c r="G7" s="30" t="str">
        <x:v>未开始</x:v>
      </x:c>
      <x:c r="H7" s="30" t="str"/>
      <x:c r="I7" s="30" t="str"/>
      <x:c r="J7" s="30" t="str"/>
      <x:c r="K7" s="30" t="str"/>
      <x:c r="L7" s="30" t="str"/>
      <x:c r="M7" s="30" t="str"/>
      <x:c r="N7" s="30" t="str"/>
      <x:c r="O7" s="30" t="str"/>
      <x:c r="P7" s="30" t="str"/>
      <x:c r="Q7" s="31" t="str"/>
      <x:c r="R7" s="31" t="str"/>
      <x:c r="S7" s="30" t="str"/>
      <x:c r="T7" s="30" t="str"/>
      <x:c r="U7" s="30" t="str"/>
      <x:c r="V7" s="40" t="str">
        <x:f>IF(B7="","",COUNTA(H7:L7)/5)</x:f>
      </x:c>
    </x:row>
    <x:row r="8">
      <x:c r="A8" s="30" t="str">
        <x:f>IF(B8="","",B8&amp;"-"&amp;C8)</x:f>
      </x:c>
      <x:c r="B8" s="30" t="str">
        <x:f>'01_命例主档'!A6</x:f>
      </x:c>
      <x:c r="C8" s="30" t="str">
        <x:v>M04</x:v>
      </x:c>
      <x:c r="D8" s="30" t="str">
        <x:v>天干作用识别</x:v>
      </x:c>
      <x:c r="E8" s="30" t="str">
        <x:v>识别层</x:v>
      </x:c>
      <x:c r="F8" s="30" t="str">
        <x:v>M02</x:v>
      </x:c>
      <x:c r="G8" s="30" t="str">
        <x:v>未开始</x:v>
      </x:c>
      <x:c r="H8" s="30" t="str"/>
      <x:c r="I8" s="30" t="str"/>
      <x:c r="J8" s="30" t="str"/>
      <x:c r="K8" s="30" t="str"/>
      <x:c r="L8" s="30" t="str"/>
      <x:c r="M8" s="30" t="str"/>
      <x:c r="N8" s="30" t="str"/>
      <x:c r="O8" s="30" t="str"/>
      <x:c r="P8" s="30" t="str"/>
      <x:c r="Q8" s="31" t="str"/>
      <x:c r="R8" s="31" t="str"/>
      <x:c r="S8" s="30" t="str"/>
      <x:c r="T8" s="30" t="str"/>
      <x:c r="U8" s="30" t="str"/>
      <x:c r="V8" s="40" t="str">
        <x:f>IF(B8="","",COUNTA(H8:L8)/5)</x:f>
      </x:c>
    </x:row>
    <x:row r="9">
      <x:c r="A9" s="30" t="str">
        <x:f>IF(B9="","",B9&amp;"-"&amp;C9)</x:f>
      </x:c>
      <x:c r="B9" s="30" t="str">
        <x:f>'01_命例主档'!A6</x:f>
      </x:c>
      <x:c r="C9" s="30" t="str">
        <x:v>M05</x:v>
      </x:c>
      <x:c r="D9" s="30" t="str">
        <x:v>地支关系识别</x:v>
      </x:c>
      <x:c r="E9" s="30" t="str">
        <x:v>识别层</x:v>
      </x:c>
      <x:c r="F9" s="30" t="str">
        <x:v>M02</x:v>
      </x:c>
      <x:c r="G9" s="30" t="str">
        <x:v>未开始</x:v>
      </x:c>
      <x:c r="H9" s="30" t="str"/>
      <x:c r="I9" s="30" t="str"/>
      <x:c r="J9" s="30" t="str"/>
      <x:c r="K9" s="30" t="str"/>
      <x:c r="L9" s="30" t="str"/>
      <x:c r="M9" s="30" t="str"/>
      <x:c r="N9" s="30" t="str"/>
      <x:c r="O9" s="30" t="str"/>
      <x:c r="P9" s="30" t="str"/>
      <x:c r="Q9" s="31" t="str"/>
      <x:c r="R9" s="31" t="str"/>
      <x:c r="S9" s="30" t="str"/>
      <x:c r="T9" s="30" t="str"/>
      <x:c r="U9" s="30" t="str"/>
      <x:c r="V9" s="40" t="str">
        <x:f>IF(B9="","",COUNTA(H9:L9)/5)</x:f>
      </x:c>
    </x:row>
    <x:row r="10">
      <x:c r="A10" s="30" t="str">
        <x:f>IF(B10="","",B10&amp;"-"&amp;C10)</x:f>
      </x:c>
      <x:c r="B10" s="30" t="str">
        <x:f>'01_命例主档'!A6</x:f>
      </x:c>
      <x:c r="C10" s="30" t="str">
        <x:v>M06</x:v>
      </x:c>
      <x:c r="D10" s="30" t="str">
        <x:v>干支关系效应</x:v>
      </x:c>
      <x:c r="E10" s="30" t="str">
        <x:v>效应层</x:v>
      </x:c>
      <x:c r="F10" s="30" t="str">
        <x:v>M03/M04/M05</x:v>
      </x:c>
      <x:c r="G10" s="30" t="str">
        <x:v>未开始</x:v>
      </x:c>
      <x:c r="H10" s="30" t="str"/>
      <x:c r="I10" s="30" t="str"/>
      <x:c r="J10" s="30" t="str"/>
      <x:c r="K10" s="30" t="str"/>
      <x:c r="L10" s="30" t="str"/>
      <x:c r="M10" s="30" t="str"/>
      <x:c r="N10" s="30" t="str"/>
      <x:c r="O10" s="30" t="str"/>
      <x:c r="P10" s="30" t="str"/>
      <x:c r="Q10" s="31" t="str"/>
      <x:c r="R10" s="31" t="str"/>
      <x:c r="S10" s="30" t="str"/>
      <x:c r="T10" s="30" t="str"/>
      <x:c r="U10" s="30" t="str"/>
      <x:c r="V10" s="40" t="str">
        <x:f>IF(B10="","",COUNTA(H10:L10)/5)</x:f>
      </x:c>
    </x:row>
    <x:row r="11">
      <x:c r="A11" s="30" t="str">
        <x:f>IF(B11="","",B11&amp;"-"&amp;C11)</x:f>
      </x:c>
      <x:c r="B11" s="30" t="str">
        <x:f>'01_命例主档'!A6</x:f>
      </x:c>
      <x:c r="C11" s="30" t="str">
        <x:v>M07</x:v>
      </x:c>
      <x:c r="D11" s="30" t="str">
        <x:v>五行原始旺衰</x:v>
      </x:c>
      <x:c r="E11" s="30" t="str">
        <x:v>结构层</x:v>
      </x:c>
      <x:c r="F11" s="30" t="str">
        <x:v>M02/M03</x:v>
      </x:c>
      <x:c r="G11" s="30" t="str">
        <x:v>未开始</x:v>
      </x:c>
      <x:c r="H11" s="30" t="str"/>
      <x:c r="I11" s="30" t="str"/>
      <x:c r="J11" s="30" t="str"/>
      <x:c r="K11" s="30" t="str"/>
      <x:c r="L11" s="30" t="str"/>
      <x:c r="M11" s="30" t="str"/>
      <x:c r="N11" s="30" t="str"/>
      <x:c r="O11" s="30" t="str"/>
      <x:c r="P11" s="30" t="str"/>
      <x:c r="Q11" s="31" t="str"/>
      <x:c r="R11" s="31" t="str"/>
      <x:c r="S11" s="30" t="str"/>
      <x:c r="T11" s="30" t="str"/>
      <x:c r="U11" s="30" t="str"/>
      <x:c r="V11" s="40" t="str">
        <x:f>IF(B11="","",COUNTA(H11:L11)/5)</x:f>
      </x:c>
    </x:row>
    <x:row r="12">
      <x:c r="A12" s="30" t="str">
        <x:f>IF(B12="","",B12&amp;"-"&amp;C12)</x:f>
      </x:c>
      <x:c r="B12" s="30" t="str">
        <x:f>'01_命例主档'!A6</x:f>
      </x:c>
      <x:c r="C12" s="30" t="str">
        <x:v>M08</x:v>
      </x:c>
      <x:c r="D12" s="30" t="str">
        <x:v>五行有效旺衰</x:v>
      </x:c>
      <x:c r="E12" s="30" t="str">
        <x:v>结构层</x:v>
      </x:c>
      <x:c r="F12" s="30" t="str">
        <x:v>M06/M07</x:v>
      </x:c>
      <x:c r="G12" s="30" t="str">
        <x:v>未开始</x:v>
      </x:c>
      <x:c r="H12" s="30" t="str"/>
      <x:c r="I12" s="30" t="str"/>
      <x:c r="J12" s="30" t="str"/>
      <x:c r="K12" s="30" t="str"/>
      <x:c r="L12" s="30" t="str"/>
      <x:c r="M12" s="30" t="str"/>
      <x:c r="N12" s="30" t="str"/>
      <x:c r="O12" s="30" t="str"/>
      <x:c r="P12" s="30" t="str"/>
      <x:c r="Q12" s="31" t="str"/>
      <x:c r="R12" s="31" t="str"/>
      <x:c r="S12" s="30" t="str"/>
      <x:c r="T12" s="30" t="str"/>
      <x:c r="U12" s="30" t="str"/>
      <x:c r="V12" s="40" t="str">
        <x:f>IF(B12="","",COUNTA(H12:L12)/5)</x:f>
      </x:c>
    </x:row>
    <x:row r="13">
      <x:c r="A13" s="30" t="str">
        <x:f>IF(B13="","",B13&amp;"-"&amp;C13)</x:f>
      </x:c>
      <x:c r="B13" s="30" t="str">
        <x:f>'01_命例主档'!A6</x:f>
      </x:c>
      <x:c r="C13" s="30" t="str">
        <x:v>M09</x:v>
      </x:c>
      <x:c r="D13" s="30" t="str">
        <x:v>日主旺衰</x:v>
      </x:c>
      <x:c r="E13" s="30" t="str">
        <x:v>综合层</x:v>
      </x:c>
      <x:c r="F13" s="30" t="str">
        <x:v>M03/M07/M08</x:v>
      </x:c>
      <x:c r="G13" s="30" t="str">
        <x:v>未开始</x:v>
      </x:c>
      <x:c r="H13" s="30" t="str"/>
      <x:c r="I13" s="30" t="str"/>
      <x:c r="J13" s="30" t="str"/>
      <x:c r="K13" s="30" t="str"/>
      <x:c r="L13" s="30" t="str"/>
      <x:c r="M13" s="30" t="str"/>
      <x:c r="N13" s="30" t="str"/>
      <x:c r="O13" s="30" t="str"/>
      <x:c r="P13" s="30" t="str"/>
      <x:c r="Q13" s="31" t="str"/>
      <x:c r="R13" s="31" t="str"/>
      <x:c r="S13" s="30" t="str"/>
      <x:c r="T13" s="30" t="str"/>
      <x:c r="U13" s="30" t="str"/>
      <x:c r="V13" s="40" t="str">
        <x:f>IF(B13="","",COUNTA(H13:L13)/5)</x:f>
      </x:c>
    </x:row>
    <x:row r="14">
      <x:c r="A14" s="30" t="str">
        <x:f>IF(B14="","",B14&amp;"-"&amp;C14)</x:f>
      </x:c>
      <x:c r="B14" s="30" t="str">
        <x:f>'01_命例主档'!A6</x:f>
      </x:c>
      <x:c r="C14" s="30" t="str">
        <x:v>M10</x:v>
      </x:c>
      <x:c r="D14" s="30" t="str">
        <x:v>十神旺衰功能</x:v>
      </x:c>
      <x:c r="E14" s="30" t="str">
        <x:v>结构层</x:v>
      </x:c>
      <x:c r="F14" s="30" t="str">
        <x:v>M02/M08/M09</x:v>
      </x:c>
      <x:c r="G14" s="30" t="str">
        <x:v>未开始</x:v>
      </x:c>
      <x:c r="H14" s="30" t="str"/>
      <x:c r="I14" s="30" t="str"/>
      <x:c r="J14" s="30" t="str"/>
      <x:c r="K14" s="30" t="str"/>
      <x:c r="L14" s="30" t="str"/>
      <x:c r="M14" s="30" t="str"/>
      <x:c r="N14" s="30" t="str"/>
      <x:c r="O14" s="30" t="str"/>
      <x:c r="P14" s="30" t="str"/>
      <x:c r="Q14" s="31" t="str"/>
      <x:c r="R14" s="31" t="str"/>
      <x:c r="S14" s="30" t="str"/>
      <x:c r="T14" s="30" t="str"/>
      <x:c r="U14" s="30" t="str"/>
      <x:c r="V14" s="40" t="str">
        <x:f>IF(B14="","",COUNTA(H14:L14)/5)</x:f>
      </x:c>
    </x:row>
    <x:row r="15">
      <x:c r="A15" s="30" t="str">
        <x:f>IF(B15="","",B15&amp;"-"&amp;C15)</x:f>
      </x:c>
      <x:c r="B15" s="30" t="str">
        <x:f>'01_命例主档'!A6</x:f>
      </x:c>
      <x:c r="C15" s="30" t="str">
        <x:v>M11</x:v>
      </x:c>
      <x:c r="D15" s="30" t="str">
        <x:v>十神组合成立</x:v>
      </x:c>
      <x:c r="E15" s="30" t="str">
        <x:v>结构层</x:v>
      </x:c>
      <x:c r="F15" s="30" t="str">
        <x:v>M08/M09/M10</x:v>
      </x:c>
      <x:c r="G15" s="30" t="str">
        <x:v>未开始</x:v>
      </x:c>
      <x:c r="H15" s="30" t="str"/>
      <x:c r="I15" s="30" t="str"/>
      <x:c r="J15" s="30" t="str"/>
      <x:c r="K15" s="30" t="str"/>
      <x:c r="L15" s="30" t="str"/>
      <x:c r="M15" s="30" t="str"/>
      <x:c r="N15" s="30" t="str"/>
      <x:c r="O15" s="30" t="str"/>
      <x:c r="P15" s="30" t="str"/>
      <x:c r="Q15" s="31" t="str"/>
      <x:c r="R15" s="31" t="str"/>
      <x:c r="S15" s="30" t="str"/>
      <x:c r="T15" s="30" t="str"/>
      <x:c r="U15" s="30" t="str"/>
      <x:c r="V15" s="40" t="str">
        <x:f>IF(B15="","",COUNTA(H15:L15)/5)</x:f>
      </x:c>
    </x:row>
    <x:row r="16">
      <x:c r="A16" s="30" t="str">
        <x:f>IF(B16="","",B16&amp;"-"&amp;C16)</x:f>
      </x:c>
      <x:c r="B16" s="30" t="str">
        <x:f>'01_命例主档'!A6</x:f>
      </x:c>
      <x:c r="C16" s="30" t="str">
        <x:v>M12</x:v>
      </x:c>
      <x:c r="D16" s="30" t="str">
        <x:v>五行流通卡点</x:v>
      </x:c>
      <x:c r="E16" s="30" t="str">
        <x:v>结构层</x:v>
      </x:c>
      <x:c r="F16" s="30" t="str">
        <x:v>M06/M08/M10/M11</x:v>
      </x:c>
      <x:c r="G16" s="30" t="str">
        <x:v>未开始</x:v>
      </x:c>
      <x:c r="H16" s="30" t="str"/>
      <x:c r="I16" s="30" t="str"/>
      <x:c r="J16" s="30" t="str"/>
      <x:c r="K16" s="30" t="str"/>
      <x:c r="L16" s="30" t="str"/>
      <x:c r="M16" s="30" t="str"/>
      <x:c r="N16" s="30" t="str"/>
      <x:c r="O16" s="30" t="str"/>
      <x:c r="P16" s="30" t="str"/>
      <x:c r="Q16" s="31" t="str"/>
      <x:c r="R16" s="31" t="str"/>
      <x:c r="S16" s="30" t="str"/>
      <x:c r="T16" s="30" t="str"/>
      <x:c r="U16" s="30" t="str"/>
      <x:c r="V16" s="40" t="str">
        <x:f>IF(B16="","",COUNTA(H16:L16)/5)</x:f>
      </x:c>
    </x:row>
    <x:row r="17">
      <x:c r="A17" s="30" t="str">
        <x:f>IF(B17="","",B17&amp;"-"&amp;C17)</x:f>
      </x:c>
      <x:c r="B17" s="30" t="str">
        <x:f>'01_命例主档'!A6</x:f>
      </x:c>
      <x:c r="C17" s="30" t="str">
        <x:v>M13</x:v>
      </x:c>
      <x:c r="D17" s="30" t="str">
        <x:v>寒暖燥湿</x:v>
      </x:c>
      <x:c r="E17" s="30" t="str">
        <x:v>结构层</x:v>
      </x:c>
      <x:c r="F17" s="30" t="str">
        <x:v>M02/M08/M12</x:v>
      </x:c>
      <x:c r="G17" s="30" t="str">
        <x:v>未开始</x:v>
      </x:c>
      <x:c r="H17" s="30" t="str"/>
      <x:c r="I17" s="30" t="str"/>
      <x:c r="J17" s="30" t="str"/>
      <x:c r="K17" s="30" t="str"/>
      <x:c r="L17" s="30" t="str"/>
      <x:c r="M17" s="30" t="str"/>
      <x:c r="N17" s="30" t="str"/>
      <x:c r="O17" s="30" t="str"/>
      <x:c r="P17" s="30" t="str"/>
      <x:c r="Q17" s="31" t="str"/>
      <x:c r="R17" s="31" t="str"/>
      <x:c r="S17" s="30" t="str"/>
      <x:c r="T17" s="30" t="str"/>
      <x:c r="U17" s="30" t="str"/>
      <x:c r="V17" s="40" t="str">
        <x:f>IF(B17="","",COUNTA(H17:L17)/5)</x:f>
      </x:c>
    </x:row>
    <x:row r="18">
      <x:c r="A18" s="30" t="str">
        <x:f>IF(B18="","",B18&amp;"-"&amp;C18)</x:f>
      </x:c>
      <x:c r="B18" s="30" t="str">
        <x:f>'01_命例主档'!A6</x:f>
      </x:c>
      <x:c r="C18" s="30" t="str">
        <x:v>M14</x:v>
      </x:c>
      <x:c r="D18" s="30" t="str">
        <x:v>格局候选判断</x:v>
      </x:c>
      <x:c r="E18" s="30" t="str">
        <x:v>综合层</x:v>
      </x:c>
      <x:c r="F18" s="30" t="str">
        <x:v>M03/M06/M08/M09/M10/M11</x:v>
      </x:c>
      <x:c r="G18" s="30" t="str">
        <x:v>未开始</x:v>
      </x:c>
      <x:c r="H18" s="30" t="str"/>
      <x:c r="I18" s="30" t="str"/>
      <x:c r="J18" s="30" t="str"/>
      <x:c r="K18" s="30" t="str"/>
      <x:c r="L18" s="30" t="str"/>
      <x:c r="M18" s="30" t="str"/>
      <x:c r="N18" s="30" t="str"/>
      <x:c r="O18" s="30" t="str"/>
      <x:c r="P18" s="30" t="str"/>
      <x:c r="Q18" s="31" t="str"/>
      <x:c r="R18" s="31" t="str"/>
      <x:c r="S18" s="30" t="str"/>
      <x:c r="T18" s="30" t="str"/>
      <x:c r="U18" s="30" t="str"/>
      <x:c r="V18" s="40" t="str">
        <x:f>IF(B18="","",COUNTA(H18:L18)/5)</x:f>
      </x:c>
    </x:row>
    <x:row r="19">
      <x:c r="A19" s="30" t="str">
        <x:f>IF(B19="","",B19&amp;"-"&amp;C19)</x:f>
      </x:c>
      <x:c r="B19" s="30" t="str">
        <x:f>'01_命例主档'!A6</x:f>
      </x:c>
      <x:c r="C19" s="30" t="str">
        <x:v>M15</x:v>
      </x:c>
      <x:c r="D19" s="30" t="str">
        <x:v>格局成败救应</x:v>
      </x:c>
      <x:c r="E19" s="30" t="str">
        <x:v>综合层</x:v>
      </x:c>
      <x:c r="F19" s="30" t="str">
        <x:v>M14/M11/M08</x:v>
      </x:c>
      <x:c r="G19" s="30" t="str">
        <x:v>未开始</x:v>
      </x:c>
      <x:c r="H19" s="30" t="str"/>
      <x:c r="I19" s="30" t="str"/>
      <x:c r="J19" s="30" t="str"/>
      <x:c r="K19" s="30" t="str"/>
      <x:c r="L19" s="30" t="str"/>
      <x:c r="M19" s="30" t="str"/>
      <x:c r="N19" s="30" t="str"/>
      <x:c r="O19" s="30" t="str"/>
      <x:c r="P19" s="30" t="str"/>
      <x:c r="Q19" s="31" t="str"/>
      <x:c r="R19" s="31" t="str"/>
      <x:c r="S19" s="30" t="str"/>
      <x:c r="T19" s="30" t="str"/>
      <x:c r="U19" s="30" t="str"/>
      <x:c r="V19" s="40" t="str">
        <x:f>IF(B19="","",COUNTA(H19:L19)/5)</x:f>
      </x:c>
    </x:row>
    <x:row r="20">
      <x:c r="A20" s="30" t="str">
        <x:f>IF(B20="","",B20&amp;"-"&amp;C20)</x:f>
      </x:c>
      <x:c r="B20" s="30" t="str">
        <x:f>'01_命例主档'!A6</x:f>
      </x:c>
      <x:c r="C20" s="30" t="str">
        <x:v>M16</x:v>
      </x:c>
      <x:c r="D20" s="30" t="str">
        <x:v>病药模型</x:v>
      </x:c>
      <x:c r="E20" s="30" t="str">
        <x:v>综合层</x:v>
      </x:c>
      <x:c r="F20" s="30" t="str">
        <x:v>M08-M15</x:v>
      </x:c>
      <x:c r="G20" s="30" t="str">
        <x:v>未开始</x:v>
      </x:c>
      <x:c r="H20" s="30" t="str"/>
      <x:c r="I20" s="30" t="str"/>
      <x:c r="J20" s="30" t="str"/>
      <x:c r="K20" s="30" t="str"/>
      <x:c r="L20" s="30" t="str"/>
      <x:c r="M20" s="30" t="str"/>
      <x:c r="N20" s="30" t="str"/>
      <x:c r="O20" s="30" t="str"/>
      <x:c r="P20" s="30" t="str"/>
      <x:c r="Q20" s="31" t="str"/>
      <x:c r="R20" s="31" t="str"/>
      <x:c r="S20" s="30" t="str"/>
      <x:c r="T20" s="30" t="str"/>
      <x:c r="U20" s="30" t="str"/>
      <x:c r="V20" s="40" t="str">
        <x:f>IF(B20="","",COUNTA(H20:L20)/5)</x:f>
      </x:c>
    </x:row>
    <x:row r="21">
      <x:c r="A21" s="30" t="str">
        <x:f>IF(B21="","",B21&amp;"-"&amp;C21)</x:f>
      </x:c>
      <x:c r="B21" s="30" t="str">
        <x:f>'01_命例主档'!A6</x:f>
      </x:c>
      <x:c r="C21" s="30" t="str">
        <x:v>M17</x:v>
      </x:c>
      <x:c r="D21" s="30" t="str">
        <x:v>喜忌用神矩阵</x:v>
      </x:c>
      <x:c r="E21" s="30" t="str">
        <x:v>综合层</x:v>
      </x:c>
      <x:c r="F21" s="30" t="str">
        <x:v>M09/M12/M13/M15/M16</x:v>
      </x:c>
      <x:c r="G21" s="30" t="str">
        <x:v>未开始</x:v>
      </x:c>
      <x:c r="H21" s="30" t="str"/>
      <x:c r="I21" s="30" t="str"/>
      <x:c r="J21" s="30" t="str"/>
      <x:c r="K21" s="30" t="str"/>
      <x:c r="L21" s="30" t="str"/>
      <x:c r="M21" s="30" t="str"/>
      <x:c r="N21" s="30" t="str"/>
      <x:c r="O21" s="30" t="str"/>
      <x:c r="P21" s="30" t="str"/>
      <x:c r="Q21" s="31" t="str"/>
      <x:c r="R21" s="31" t="str"/>
      <x:c r="S21" s="30" t="str"/>
      <x:c r="T21" s="30" t="str"/>
      <x:c r="U21" s="30" t="str"/>
      <x:c r="V21" s="40" t="str">
        <x:f>IF(B21="","",COUNTA(H21:L21)/5)</x:f>
      </x:c>
    </x:row>
    <x:row r="22">
      <x:c r="A22" s="30" t="str">
        <x:f>IF(B22="","",B22&amp;"-"&amp;C22)</x:f>
      </x:c>
      <x:c r="B22" s="30" t="str">
        <x:f>'01_命例主档'!A6</x:f>
      </x:c>
      <x:c r="C22" s="30" t="str">
        <x:v>M18</x:v>
      </x:c>
      <x:c r="D22" s="30" t="str">
        <x:v>冲突裁决规则</x:v>
      </x:c>
      <x:c r="E22" s="30" t="str">
        <x:v>综合层</x:v>
      </x:c>
      <x:c r="F22" s="30" t="str">
        <x:v>M14/M15/M16/M17</x:v>
      </x:c>
      <x:c r="G22" s="30" t="str">
        <x:v>未开始</x:v>
      </x:c>
      <x:c r="H22" s="30" t="str"/>
      <x:c r="I22" s="30" t="str"/>
      <x:c r="J22" s="30" t="str"/>
      <x:c r="K22" s="30" t="str"/>
      <x:c r="L22" s="30" t="str"/>
      <x:c r="M22" s="30" t="str"/>
      <x:c r="N22" s="30" t="str"/>
      <x:c r="O22" s="30" t="str"/>
      <x:c r="P22" s="30" t="str"/>
      <x:c r="Q22" s="31" t="str"/>
      <x:c r="R22" s="31" t="str"/>
      <x:c r="S22" s="30" t="str"/>
      <x:c r="T22" s="30" t="str"/>
      <x:c r="U22" s="30" t="str"/>
      <x:c r="V22" s="40" t="str">
        <x:f>IF(B22="","",COUNTA(H22:L22)/5)</x:f>
      </x:c>
    </x:row>
    <x:row r="23">
      <x:c r="A23" s="30" t="str">
        <x:f>IF(B23="","",B23&amp;"-"&amp;C23)</x:f>
      </x:c>
      <x:c r="B23" s="30" t="str">
        <x:f>'01_命例主档'!A6</x:f>
      </x:c>
      <x:c r="C23" s="30" t="str">
        <x:v>M19</x:v>
      </x:c>
      <x:c r="D23" s="30" t="str">
        <x:v>综合输出模板</x:v>
      </x:c>
      <x:c r="E23" s="30" t="str">
        <x:v>治理与输出</x:v>
      </x:c>
      <x:c r="F23" s="30" t="str">
        <x:v>M02-M18</x:v>
      </x:c>
      <x:c r="G23" s="30" t="str">
        <x:v>未开始</x:v>
      </x:c>
      <x:c r="H23" s="30" t="str"/>
      <x:c r="I23" s="30" t="str"/>
      <x:c r="J23" s="30" t="str"/>
      <x:c r="K23" s="30" t="str"/>
      <x:c r="L23" s="30" t="str"/>
      <x:c r="M23" s="30" t="str"/>
      <x:c r="N23" s="30" t="str"/>
      <x:c r="O23" s="30" t="str"/>
      <x:c r="P23" s="30" t="str"/>
      <x:c r="Q23" s="31" t="str"/>
      <x:c r="R23" s="31" t="str"/>
      <x:c r="S23" s="30" t="str"/>
      <x:c r="T23" s="30" t="str"/>
      <x:c r="U23" s="30" t="str"/>
      <x:c r="V23" s="40" t="str">
        <x:f>IF(B23="","",COUNTA(H23:L23)/5)</x:f>
      </x:c>
    </x:row>
    <x:row r="24">
      <x:c r="A24" s="30" t="str">
        <x:f>IF(B24="","",B24&amp;"-"&amp;C24)</x:f>
      </x:c>
      <x:c r="B24" s="30" t="str">
        <x:f>'01_命例主档'!A7</x:f>
      </x:c>
      <x:c r="C24" s="30" t="str">
        <x:v>M02</x:v>
      </x:c>
      <x:c r="D24" s="30" t="str">
        <x:v>干支藏干基础</x:v>
      </x:c>
      <x:c r="E24" s="30" t="str">
        <x:v>识别层</x:v>
      </x:c>
      <x:c r="F24" s="30" t="str">
        <x:v>无</x:v>
      </x:c>
      <x:c r="G24" s="30" t="str">
        <x:v>未开始</x:v>
      </x:c>
      <x:c r="H24" s="30" t="str"/>
      <x:c r="I24" s="30" t="str"/>
      <x:c r="J24" s="30" t="str"/>
      <x:c r="K24" s="30" t="str"/>
      <x:c r="L24" s="30" t="str"/>
      <x:c r="M24" s="30" t="str"/>
      <x:c r="N24" s="30" t="str"/>
      <x:c r="O24" s="30" t="str"/>
      <x:c r="P24" s="30" t="str"/>
      <x:c r="Q24" s="31" t="str"/>
      <x:c r="R24" s="31" t="str"/>
      <x:c r="S24" s="30" t="str"/>
      <x:c r="T24" s="30" t="str"/>
      <x:c r="U24" s="30" t="str"/>
      <x:c r="V24" s="40" t="str">
        <x:f>IF(B24="","",COUNTA(H24:L24)/5)</x:f>
      </x:c>
    </x:row>
    <x:row r="25">
      <x:c r="A25" s="30" t="str">
        <x:f>IF(B25="","",B25&amp;"-"&amp;C25)</x:f>
      </x:c>
      <x:c r="B25" s="30" t="str">
        <x:f>'01_命例主档'!A7</x:f>
      </x:c>
      <x:c r="C25" s="30" t="str">
        <x:v>M03</x:v>
      </x:c>
      <x:c r="D25" s="30" t="str">
        <x:v>月令与根气</x:v>
      </x:c>
      <x:c r="E25" s="30" t="str">
        <x:v>结构层</x:v>
      </x:c>
      <x:c r="F25" s="30" t="str">
        <x:v>M02</x:v>
      </x:c>
      <x:c r="G25" s="30" t="str">
        <x:v>未开始</x:v>
      </x:c>
      <x:c r="H25" s="30" t="str"/>
      <x:c r="I25" s="30" t="str"/>
      <x:c r="J25" s="30" t="str"/>
      <x:c r="K25" s="30" t="str"/>
      <x:c r="L25" s="30" t="str"/>
      <x:c r="M25" s="30" t="str"/>
      <x:c r="N25" s="30" t="str"/>
      <x:c r="O25" s="30" t="str"/>
      <x:c r="P25" s="30" t="str"/>
      <x:c r="Q25" s="31" t="str"/>
      <x:c r="R25" s="31" t="str"/>
      <x:c r="S25" s="30" t="str"/>
      <x:c r="T25" s="30" t="str"/>
      <x:c r="U25" s="30" t="str"/>
      <x:c r="V25" s="40" t="str">
        <x:f>IF(B25="","",COUNTA(H25:L25)/5)</x:f>
      </x:c>
    </x:row>
    <x:row r="26">
      <x:c r="A26" s="30" t="str">
        <x:f>IF(B26="","",B26&amp;"-"&amp;C26)</x:f>
      </x:c>
      <x:c r="B26" s="30" t="str">
        <x:f>'01_命例主档'!A7</x:f>
      </x:c>
      <x:c r="C26" s="30" t="str">
        <x:v>M04</x:v>
      </x:c>
      <x:c r="D26" s="30" t="str">
        <x:v>天干作用识别</x:v>
      </x:c>
      <x:c r="E26" s="30" t="str">
        <x:v>识别层</x:v>
      </x:c>
      <x:c r="F26" s="30" t="str">
        <x:v>M02</x:v>
      </x:c>
      <x:c r="G26" s="30" t="str">
        <x:v>未开始</x:v>
      </x:c>
      <x:c r="H26" s="30" t="str"/>
      <x:c r="I26" s="30" t="str"/>
      <x:c r="J26" s="30" t="str"/>
      <x:c r="K26" s="30" t="str"/>
      <x:c r="L26" s="30" t="str"/>
      <x:c r="M26" s="30" t="str"/>
      <x:c r="N26" s="30" t="str"/>
      <x:c r="O26" s="30" t="str"/>
      <x:c r="P26" s="30" t="str"/>
      <x:c r="Q26" s="31" t="str"/>
      <x:c r="R26" s="31" t="str"/>
      <x:c r="S26" s="30" t="str"/>
      <x:c r="T26" s="30" t="str"/>
      <x:c r="U26" s="30" t="str"/>
      <x:c r="V26" s="40" t="str">
        <x:f>IF(B26="","",COUNTA(H26:L26)/5)</x:f>
      </x:c>
    </x:row>
    <x:row r="27">
      <x:c r="A27" s="30" t="str">
        <x:f>IF(B27="","",B27&amp;"-"&amp;C27)</x:f>
      </x:c>
      <x:c r="B27" s="30" t="str">
        <x:f>'01_命例主档'!A7</x:f>
      </x:c>
      <x:c r="C27" s="30" t="str">
        <x:v>M05</x:v>
      </x:c>
      <x:c r="D27" s="30" t="str">
        <x:v>地支关系识别</x:v>
      </x:c>
      <x:c r="E27" s="30" t="str">
        <x:v>识别层</x:v>
      </x:c>
      <x:c r="F27" s="30" t="str">
        <x:v>M02</x:v>
      </x:c>
      <x:c r="G27" s="30" t="str">
        <x:v>未开始</x:v>
      </x:c>
      <x:c r="H27" s="30" t="str"/>
      <x:c r="I27" s="30" t="str"/>
      <x:c r="J27" s="30" t="str"/>
      <x:c r="K27" s="30" t="str"/>
      <x:c r="L27" s="30" t="str"/>
      <x:c r="M27" s="30" t="str"/>
      <x:c r="N27" s="30" t="str"/>
      <x:c r="O27" s="30" t="str"/>
      <x:c r="P27" s="30" t="str"/>
      <x:c r="Q27" s="31" t="str"/>
      <x:c r="R27" s="31" t="str"/>
      <x:c r="S27" s="30" t="str"/>
      <x:c r="T27" s="30" t="str"/>
      <x:c r="U27" s="30" t="str"/>
      <x:c r="V27" s="40" t="str">
        <x:f>IF(B27="","",COUNTA(H27:L27)/5)</x:f>
      </x:c>
    </x:row>
    <x:row r="28">
      <x:c r="A28" s="30" t="str">
        <x:f>IF(B28="","",B28&amp;"-"&amp;C28)</x:f>
      </x:c>
      <x:c r="B28" s="30" t="str">
        <x:f>'01_命例主档'!A7</x:f>
      </x:c>
      <x:c r="C28" s="30" t="str">
        <x:v>M06</x:v>
      </x:c>
      <x:c r="D28" s="30" t="str">
        <x:v>干支关系效应</x:v>
      </x:c>
      <x:c r="E28" s="30" t="str">
        <x:v>效应层</x:v>
      </x:c>
      <x:c r="F28" s="30" t="str">
        <x:v>M03/M04/M05</x:v>
      </x:c>
      <x:c r="G28" s="30" t="str">
        <x:v>未开始</x:v>
      </x:c>
      <x:c r="H28" s="30" t="str"/>
      <x:c r="I28" s="30" t="str"/>
      <x:c r="J28" s="30" t="str"/>
      <x:c r="K28" s="30" t="str"/>
      <x:c r="L28" s="30" t="str"/>
      <x:c r="M28" s="30" t="str"/>
      <x:c r="N28" s="30" t="str"/>
      <x:c r="O28" s="30" t="str"/>
      <x:c r="P28" s="30" t="str"/>
      <x:c r="Q28" s="31" t="str"/>
      <x:c r="R28" s="31" t="str"/>
      <x:c r="S28" s="30" t="str"/>
      <x:c r="T28" s="30" t="str"/>
      <x:c r="U28" s="30" t="str"/>
      <x:c r="V28" s="40" t="str">
        <x:f>IF(B28="","",COUNTA(H28:L28)/5)</x:f>
      </x:c>
    </x:row>
    <x:row r="29">
      <x:c r="A29" s="30" t="str">
        <x:f>IF(B29="","",B29&amp;"-"&amp;C29)</x:f>
      </x:c>
      <x:c r="B29" s="30" t="str">
        <x:f>'01_命例主档'!A7</x:f>
      </x:c>
      <x:c r="C29" s="30" t="str">
        <x:v>M07</x:v>
      </x:c>
      <x:c r="D29" s="30" t="str">
        <x:v>五行原始旺衰</x:v>
      </x:c>
      <x:c r="E29" s="30" t="str">
        <x:v>结构层</x:v>
      </x:c>
      <x:c r="F29" s="30" t="str">
        <x:v>M02/M03</x:v>
      </x:c>
      <x:c r="G29" s="30" t="str">
        <x:v>未开始</x:v>
      </x:c>
      <x:c r="H29" s="30" t="str"/>
      <x:c r="I29" s="30" t="str"/>
      <x:c r="J29" s="30" t="str"/>
      <x:c r="K29" s="30" t="str"/>
      <x:c r="L29" s="30" t="str"/>
      <x:c r="M29" s="30" t="str"/>
      <x:c r="N29" s="30" t="str"/>
      <x:c r="O29" s="30" t="str"/>
      <x:c r="P29" s="30" t="str"/>
      <x:c r="Q29" s="31" t="str"/>
      <x:c r="R29" s="31" t="str"/>
      <x:c r="S29" s="30" t="str"/>
      <x:c r="T29" s="30" t="str"/>
      <x:c r="U29" s="30" t="str"/>
      <x:c r="V29" s="40" t="str">
        <x:f>IF(B29="","",COUNTA(H29:L29)/5)</x:f>
      </x:c>
    </x:row>
    <x:row r="30">
      <x:c r="A30" s="30" t="str">
        <x:f>IF(B30="","",B30&amp;"-"&amp;C30)</x:f>
      </x:c>
      <x:c r="B30" s="30" t="str">
        <x:f>'01_命例主档'!A7</x:f>
      </x:c>
      <x:c r="C30" s="30" t="str">
        <x:v>M08</x:v>
      </x:c>
      <x:c r="D30" s="30" t="str">
        <x:v>五行有效旺衰</x:v>
      </x:c>
      <x:c r="E30" s="30" t="str">
        <x:v>结构层</x:v>
      </x:c>
      <x:c r="F30" s="30" t="str">
        <x:v>M06/M07</x:v>
      </x:c>
      <x:c r="G30" s="30" t="str">
        <x:v>未开始</x:v>
      </x:c>
      <x:c r="H30" s="30" t="str"/>
      <x:c r="I30" s="30" t="str"/>
      <x:c r="J30" s="30" t="str"/>
      <x:c r="K30" s="30" t="str"/>
      <x:c r="L30" s="30" t="str"/>
      <x:c r="M30" s="30" t="str"/>
      <x:c r="N30" s="30" t="str"/>
      <x:c r="O30" s="30" t="str"/>
      <x:c r="P30" s="30" t="str"/>
      <x:c r="Q30" s="31" t="str"/>
      <x:c r="R30" s="31" t="str"/>
      <x:c r="S30" s="30" t="str"/>
      <x:c r="T30" s="30" t="str"/>
      <x:c r="U30" s="30" t="str"/>
      <x:c r="V30" s="40" t="str">
        <x:f>IF(B30="","",COUNTA(H30:L30)/5)</x:f>
      </x:c>
    </x:row>
    <x:row r="31">
      <x:c r="A31" s="30" t="str">
        <x:f>IF(B31="","",B31&amp;"-"&amp;C31)</x:f>
      </x:c>
      <x:c r="B31" s="30" t="str">
        <x:f>'01_命例主档'!A7</x:f>
      </x:c>
      <x:c r="C31" s="30" t="str">
        <x:v>M09</x:v>
      </x:c>
      <x:c r="D31" s="30" t="str">
        <x:v>日主旺衰</x:v>
      </x:c>
      <x:c r="E31" s="30" t="str">
        <x:v>综合层</x:v>
      </x:c>
      <x:c r="F31" s="30" t="str">
        <x:v>M03/M07/M08</x:v>
      </x:c>
      <x:c r="G31" s="30" t="str">
        <x:v>未开始</x:v>
      </x:c>
      <x:c r="H31" s="30" t="str"/>
      <x:c r="I31" s="30" t="str"/>
      <x:c r="J31" s="30" t="str"/>
      <x:c r="K31" s="30" t="str"/>
      <x:c r="L31" s="30" t="str"/>
      <x:c r="M31" s="30" t="str"/>
      <x:c r="N31" s="30" t="str"/>
      <x:c r="O31" s="30" t="str"/>
      <x:c r="P31" s="30" t="str"/>
      <x:c r="Q31" s="31" t="str"/>
      <x:c r="R31" s="31" t="str"/>
      <x:c r="S31" s="30" t="str"/>
      <x:c r="T31" s="30" t="str"/>
      <x:c r="U31" s="30" t="str"/>
      <x:c r="V31" s="40" t="str">
        <x:f>IF(B31="","",COUNTA(H31:L31)/5)</x:f>
      </x:c>
    </x:row>
    <x:row r="32">
      <x:c r="A32" s="30" t="str">
        <x:f>IF(B32="","",B32&amp;"-"&amp;C32)</x:f>
      </x:c>
      <x:c r="B32" s="30" t="str">
        <x:f>'01_命例主档'!A7</x:f>
      </x:c>
      <x:c r="C32" s="30" t="str">
        <x:v>M10</x:v>
      </x:c>
      <x:c r="D32" s="30" t="str">
        <x:v>十神旺衰功能</x:v>
      </x:c>
      <x:c r="E32" s="30" t="str">
        <x:v>结构层</x:v>
      </x:c>
      <x:c r="F32" s="30" t="str">
        <x:v>M02/M08/M09</x:v>
      </x:c>
      <x:c r="G32" s="30" t="str">
        <x:v>未开始</x:v>
      </x:c>
      <x:c r="H32" s="30" t="str"/>
      <x:c r="I32" s="30" t="str"/>
      <x:c r="J32" s="30" t="str"/>
      <x:c r="K32" s="30" t="str"/>
      <x:c r="L32" s="30" t="str"/>
      <x:c r="M32" s="30" t="str"/>
      <x:c r="N32" s="30" t="str"/>
      <x:c r="O32" s="30" t="str"/>
      <x:c r="P32" s="30" t="str"/>
      <x:c r="Q32" s="31" t="str"/>
      <x:c r="R32" s="31" t="str"/>
      <x:c r="S32" s="30" t="str"/>
      <x:c r="T32" s="30" t="str"/>
      <x:c r="U32" s="30" t="str"/>
      <x:c r="V32" s="40" t="str">
        <x:f>IF(B32="","",COUNTA(H32:L32)/5)</x:f>
      </x:c>
    </x:row>
    <x:row r="33">
      <x:c r="A33" s="30" t="str">
        <x:f>IF(B33="","",B33&amp;"-"&amp;C33)</x:f>
      </x:c>
      <x:c r="B33" s="30" t="str">
        <x:f>'01_命例主档'!A7</x:f>
      </x:c>
      <x:c r="C33" s="30" t="str">
        <x:v>M11</x:v>
      </x:c>
      <x:c r="D33" s="30" t="str">
        <x:v>十神组合成立</x:v>
      </x:c>
      <x:c r="E33" s="30" t="str">
        <x:v>结构层</x:v>
      </x:c>
      <x:c r="F33" s="30" t="str">
        <x:v>M08/M09/M10</x:v>
      </x:c>
      <x:c r="G33" s="30" t="str">
        <x:v>未开始</x:v>
      </x:c>
      <x:c r="H33" s="30" t="str"/>
      <x:c r="I33" s="30" t="str"/>
      <x:c r="J33" s="30" t="str"/>
      <x:c r="K33" s="30" t="str"/>
      <x:c r="L33" s="30" t="str"/>
      <x:c r="M33" s="30" t="str"/>
      <x:c r="N33" s="30" t="str"/>
      <x:c r="O33" s="30" t="str"/>
      <x:c r="P33" s="30" t="str"/>
      <x:c r="Q33" s="31" t="str"/>
      <x:c r="R33" s="31" t="str"/>
      <x:c r="S33" s="30" t="str"/>
      <x:c r="T33" s="30" t="str"/>
      <x:c r="U33" s="30" t="str"/>
      <x:c r="V33" s="40" t="str">
        <x:f>IF(B33="","",COUNTA(H33:L33)/5)</x:f>
      </x:c>
    </x:row>
    <x:row r="34">
      <x:c r="A34" s="30" t="str">
        <x:f>IF(B34="","",B34&amp;"-"&amp;C34)</x:f>
      </x:c>
      <x:c r="B34" s="30" t="str">
        <x:f>'01_命例主档'!A7</x:f>
      </x:c>
      <x:c r="C34" s="30" t="str">
        <x:v>M12</x:v>
      </x:c>
      <x:c r="D34" s="30" t="str">
        <x:v>五行流通卡点</x:v>
      </x:c>
      <x:c r="E34" s="30" t="str">
        <x:v>结构层</x:v>
      </x:c>
      <x:c r="F34" s="30" t="str">
        <x:v>M06/M08/M10/M11</x:v>
      </x:c>
      <x:c r="G34" s="30" t="str">
        <x:v>未开始</x:v>
      </x:c>
      <x:c r="H34" s="30" t="str"/>
      <x:c r="I34" s="30" t="str"/>
      <x:c r="J34" s="30" t="str"/>
      <x:c r="K34" s="30" t="str"/>
      <x:c r="L34" s="30" t="str"/>
      <x:c r="M34" s="30" t="str"/>
      <x:c r="N34" s="30" t="str"/>
      <x:c r="O34" s="30" t="str"/>
      <x:c r="P34" s="30" t="str"/>
      <x:c r="Q34" s="31" t="str"/>
      <x:c r="R34" s="31" t="str"/>
      <x:c r="S34" s="30" t="str"/>
      <x:c r="T34" s="30" t="str"/>
      <x:c r="U34" s="30" t="str"/>
      <x:c r="V34" s="40" t="str">
        <x:f>IF(B34="","",COUNTA(H34:L34)/5)</x:f>
      </x:c>
    </x:row>
    <x:row r="35">
      <x:c r="A35" s="30" t="str">
        <x:f>IF(B35="","",B35&amp;"-"&amp;C35)</x:f>
      </x:c>
      <x:c r="B35" s="30" t="str">
        <x:f>'01_命例主档'!A7</x:f>
      </x:c>
      <x:c r="C35" s="30" t="str">
        <x:v>M13</x:v>
      </x:c>
      <x:c r="D35" s="30" t="str">
        <x:v>寒暖燥湿</x:v>
      </x:c>
      <x:c r="E35" s="30" t="str">
        <x:v>结构层</x:v>
      </x:c>
      <x:c r="F35" s="30" t="str">
        <x:v>M02/M08/M12</x:v>
      </x:c>
      <x:c r="G35" s="30" t="str">
        <x:v>未开始</x:v>
      </x:c>
      <x:c r="H35" s="30" t="str"/>
      <x:c r="I35" s="30" t="str"/>
      <x:c r="J35" s="30" t="str"/>
      <x:c r="K35" s="30" t="str"/>
      <x:c r="L35" s="30" t="str"/>
      <x:c r="M35" s="30" t="str"/>
      <x:c r="N35" s="30" t="str"/>
      <x:c r="O35" s="30" t="str"/>
      <x:c r="P35" s="30" t="str"/>
      <x:c r="Q35" s="31" t="str"/>
      <x:c r="R35" s="31" t="str"/>
      <x:c r="S35" s="30" t="str"/>
      <x:c r="T35" s="30" t="str"/>
      <x:c r="U35" s="30" t="str"/>
      <x:c r="V35" s="40" t="str">
        <x:f>IF(B35="","",COUNTA(H35:L35)/5)</x:f>
      </x:c>
    </x:row>
    <x:row r="36">
      <x:c r="A36" s="30" t="str">
        <x:f>IF(B36="","",B36&amp;"-"&amp;C36)</x:f>
      </x:c>
      <x:c r="B36" s="30" t="str">
        <x:f>'01_命例主档'!A7</x:f>
      </x:c>
      <x:c r="C36" s="30" t="str">
        <x:v>M14</x:v>
      </x:c>
      <x:c r="D36" s="30" t="str">
        <x:v>格局候选判断</x:v>
      </x:c>
      <x:c r="E36" s="30" t="str">
        <x:v>综合层</x:v>
      </x:c>
      <x:c r="F36" s="30" t="str">
        <x:v>M03/M06/M08/M09/M10/M11</x:v>
      </x:c>
      <x:c r="G36" s="30" t="str">
        <x:v>未开始</x:v>
      </x:c>
      <x:c r="H36" s="30" t="str"/>
      <x:c r="I36" s="30" t="str"/>
      <x:c r="J36" s="30" t="str"/>
      <x:c r="K36" s="30" t="str"/>
      <x:c r="L36" s="30" t="str"/>
      <x:c r="M36" s="30" t="str"/>
      <x:c r="N36" s="30" t="str"/>
      <x:c r="O36" s="30" t="str"/>
      <x:c r="P36" s="30" t="str"/>
      <x:c r="Q36" s="31" t="str"/>
      <x:c r="R36" s="31" t="str"/>
      <x:c r="S36" s="30" t="str"/>
      <x:c r="T36" s="30" t="str"/>
      <x:c r="U36" s="30" t="str"/>
      <x:c r="V36" s="40" t="str">
        <x:f>IF(B36="","",COUNTA(H36:L36)/5)</x:f>
      </x:c>
    </x:row>
    <x:row r="37">
      <x:c r="A37" s="30" t="str">
        <x:f>IF(B37="","",B37&amp;"-"&amp;C37)</x:f>
      </x:c>
      <x:c r="B37" s="30" t="str">
        <x:f>'01_命例主档'!A7</x:f>
      </x:c>
      <x:c r="C37" s="30" t="str">
        <x:v>M15</x:v>
      </x:c>
      <x:c r="D37" s="30" t="str">
        <x:v>格局成败救应</x:v>
      </x:c>
      <x:c r="E37" s="30" t="str">
        <x:v>综合层</x:v>
      </x:c>
      <x:c r="F37" s="30" t="str">
        <x:v>M14/M11/M08</x:v>
      </x:c>
      <x:c r="G37" s="30" t="str">
        <x:v>未开始</x:v>
      </x:c>
      <x:c r="H37" s="30" t="str"/>
      <x:c r="I37" s="30" t="str"/>
      <x:c r="J37" s="30" t="str"/>
      <x:c r="K37" s="30" t="str"/>
      <x:c r="L37" s="30" t="str"/>
      <x:c r="M37" s="30" t="str"/>
      <x:c r="N37" s="30" t="str"/>
      <x:c r="O37" s="30" t="str"/>
      <x:c r="P37" s="30" t="str"/>
      <x:c r="Q37" s="31" t="str"/>
      <x:c r="R37" s="31" t="str"/>
      <x:c r="S37" s="30" t="str"/>
      <x:c r="T37" s="30" t="str"/>
      <x:c r="U37" s="30" t="str"/>
      <x:c r="V37" s="40" t="str">
        <x:f>IF(B37="","",COUNTA(H37:L37)/5)</x:f>
      </x:c>
    </x:row>
    <x:row r="38">
      <x:c r="A38" s="30" t="str">
        <x:f>IF(B38="","",B38&amp;"-"&amp;C38)</x:f>
      </x:c>
      <x:c r="B38" s="30" t="str">
        <x:f>'01_命例主档'!A7</x:f>
      </x:c>
      <x:c r="C38" s="30" t="str">
        <x:v>M16</x:v>
      </x:c>
      <x:c r="D38" s="30" t="str">
        <x:v>病药模型</x:v>
      </x:c>
      <x:c r="E38" s="30" t="str">
        <x:v>综合层</x:v>
      </x:c>
      <x:c r="F38" s="30" t="str">
        <x:v>M08-M15</x:v>
      </x:c>
      <x:c r="G38" s="30" t="str">
        <x:v>未开始</x:v>
      </x:c>
      <x:c r="H38" s="30" t="str"/>
      <x:c r="I38" s="30" t="str"/>
      <x:c r="J38" s="30" t="str"/>
      <x:c r="K38" s="30" t="str"/>
      <x:c r="L38" s="30" t="str"/>
      <x:c r="M38" s="30" t="str"/>
      <x:c r="N38" s="30" t="str"/>
      <x:c r="O38" s="30" t="str"/>
      <x:c r="P38" s="30" t="str"/>
      <x:c r="Q38" s="31" t="str"/>
      <x:c r="R38" s="31" t="str"/>
      <x:c r="S38" s="30" t="str"/>
      <x:c r="T38" s="30" t="str"/>
      <x:c r="U38" s="30" t="str"/>
      <x:c r="V38" s="40" t="str">
        <x:f>IF(B38="","",COUNTA(H38:L38)/5)</x:f>
      </x:c>
    </x:row>
    <x:row r="39">
      <x:c r="A39" s="30" t="str">
        <x:f>IF(B39="","",B39&amp;"-"&amp;C39)</x:f>
      </x:c>
      <x:c r="B39" s="30" t="str">
        <x:f>'01_命例主档'!A7</x:f>
      </x:c>
      <x:c r="C39" s="30" t="str">
        <x:v>M17</x:v>
      </x:c>
      <x:c r="D39" s="30" t="str">
        <x:v>喜忌用神矩阵</x:v>
      </x:c>
      <x:c r="E39" s="30" t="str">
        <x:v>综合层</x:v>
      </x:c>
      <x:c r="F39" s="30" t="str">
        <x:v>M09/M12/M13/M15/M16</x:v>
      </x:c>
      <x:c r="G39" s="30" t="str">
        <x:v>未开始</x:v>
      </x:c>
      <x:c r="H39" s="30" t="str"/>
      <x:c r="I39" s="30" t="str"/>
      <x:c r="J39" s="30" t="str"/>
      <x:c r="K39" s="30" t="str"/>
      <x:c r="L39" s="30" t="str"/>
      <x:c r="M39" s="30" t="str"/>
      <x:c r="N39" s="30" t="str"/>
      <x:c r="O39" s="30" t="str"/>
      <x:c r="P39" s="30" t="str"/>
      <x:c r="Q39" s="31" t="str"/>
      <x:c r="R39" s="31" t="str"/>
      <x:c r="S39" s="30" t="str"/>
      <x:c r="T39" s="30" t="str"/>
      <x:c r="U39" s="30" t="str"/>
      <x:c r="V39" s="40" t="str">
        <x:f>IF(B39="","",COUNTA(H39:L39)/5)</x:f>
      </x:c>
    </x:row>
    <x:row r="40">
      <x:c r="A40" s="30" t="str">
        <x:f>IF(B40="","",B40&amp;"-"&amp;C40)</x:f>
      </x:c>
      <x:c r="B40" s="30" t="str">
        <x:f>'01_命例主档'!A7</x:f>
      </x:c>
      <x:c r="C40" s="30" t="str">
        <x:v>M18</x:v>
      </x:c>
      <x:c r="D40" s="30" t="str">
        <x:v>冲突裁决规则</x:v>
      </x:c>
      <x:c r="E40" s="30" t="str">
        <x:v>综合层</x:v>
      </x:c>
      <x:c r="F40" s="30" t="str">
        <x:v>M14/M15/M16/M17</x:v>
      </x:c>
      <x:c r="G40" s="30" t="str">
        <x:v>未开始</x:v>
      </x:c>
      <x:c r="H40" s="30" t="str"/>
      <x:c r="I40" s="30" t="str"/>
      <x:c r="J40" s="30" t="str"/>
      <x:c r="K40" s="30" t="str"/>
      <x:c r="L40" s="30" t="str"/>
      <x:c r="M40" s="30" t="str"/>
      <x:c r="N40" s="30" t="str"/>
      <x:c r="O40" s="30" t="str"/>
      <x:c r="P40" s="30" t="str"/>
      <x:c r="Q40" s="31" t="str"/>
      <x:c r="R40" s="31" t="str"/>
      <x:c r="S40" s="30" t="str"/>
      <x:c r="T40" s="30" t="str"/>
      <x:c r="U40" s="30" t="str"/>
      <x:c r="V40" s="40" t="str">
        <x:f>IF(B40="","",COUNTA(H40:L40)/5)</x:f>
      </x:c>
    </x:row>
    <x:row r="41">
      <x:c r="A41" s="30" t="str">
        <x:f>IF(B41="","",B41&amp;"-"&amp;C41)</x:f>
      </x:c>
      <x:c r="B41" s="30" t="str">
        <x:f>'01_命例主档'!A7</x:f>
      </x:c>
      <x:c r="C41" s="30" t="str">
        <x:v>M19</x:v>
      </x:c>
      <x:c r="D41" s="30" t="str">
        <x:v>综合输出模板</x:v>
      </x:c>
      <x:c r="E41" s="30" t="str">
        <x:v>治理与输出</x:v>
      </x:c>
      <x:c r="F41" s="30" t="str">
        <x:v>M02-M18</x:v>
      </x:c>
      <x:c r="G41" s="30" t="str">
        <x:v>未开始</x:v>
      </x:c>
      <x:c r="H41" s="30" t="str"/>
      <x:c r="I41" s="30" t="str"/>
      <x:c r="J41" s="30" t="str"/>
      <x:c r="K41" s="30" t="str"/>
      <x:c r="L41" s="30" t="str"/>
      <x:c r="M41" s="30" t="str"/>
      <x:c r="N41" s="30" t="str"/>
      <x:c r="O41" s="30" t="str"/>
      <x:c r="P41" s="30" t="str"/>
      <x:c r="Q41" s="31" t="str"/>
      <x:c r="R41" s="31" t="str"/>
      <x:c r="S41" s="30" t="str"/>
      <x:c r="T41" s="30" t="str"/>
      <x:c r="U41" s="30" t="str"/>
      <x:c r="V41" s="40" t="str">
        <x:f>IF(B41="","",COUNTA(H41:L41)/5)</x:f>
      </x:c>
    </x:row>
    <x:row r="42">
      <x:c r="A42" s="30" t="str">
        <x:f>IF(B42="","",B42&amp;"-"&amp;C42)</x:f>
      </x:c>
      <x:c r="B42" s="30" t="str">
        <x:f>'01_命例主档'!A8</x:f>
      </x:c>
      <x:c r="C42" s="30" t="str">
        <x:v>M02</x:v>
      </x:c>
      <x:c r="D42" s="30" t="str">
        <x:v>干支藏干基础</x:v>
      </x:c>
      <x:c r="E42" s="30" t="str">
        <x:v>识别层</x:v>
      </x:c>
      <x:c r="F42" s="30" t="str">
        <x:v>无</x:v>
      </x:c>
      <x:c r="G42" s="30" t="str">
        <x:v>未开始</x:v>
      </x:c>
      <x:c r="H42" s="30" t="str"/>
      <x:c r="I42" s="30" t="str"/>
      <x:c r="J42" s="30" t="str"/>
      <x:c r="K42" s="30" t="str"/>
      <x:c r="L42" s="30" t="str"/>
      <x:c r="M42" s="30" t="str"/>
      <x:c r="N42" s="30" t="str"/>
      <x:c r="O42" s="30" t="str"/>
      <x:c r="P42" s="30" t="str"/>
      <x:c r="Q42" s="31" t="str"/>
      <x:c r="R42" s="31" t="str"/>
      <x:c r="S42" s="30" t="str"/>
      <x:c r="T42" s="30" t="str"/>
      <x:c r="U42" s="30" t="str"/>
      <x:c r="V42" s="40" t="str">
        <x:f>IF(B42="","",COUNTA(H42:L42)/5)</x:f>
      </x:c>
    </x:row>
    <x:row r="43">
      <x:c r="A43" s="30" t="str">
        <x:f>IF(B43="","",B43&amp;"-"&amp;C43)</x:f>
      </x:c>
      <x:c r="B43" s="30" t="str">
        <x:f>'01_命例主档'!A8</x:f>
      </x:c>
      <x:c r="C43" s="30" t="str">
        <x:v>M03</x:v>
      </x:c>
      <x:c r="D43" s="30" t="str">
        <x:v>月令与根气</x:v>
      </x:c>
      <x:c r="E43" s="30" t="str">
        <x:v>结构层</x:v>
      </x:c>
      <x:c r="F43" s="30" t="str">
        <x:v>M02</x:v>
      </x:c>
      <x:c r="G43" s="30" t="str">
        <x:v>未开始</x:v>
      </x:c>
      <x:c r="H43" s="30" t="str"/>
      <x:c r="I43" s="30" t="str"/>
      <x:c r="J43" s="30" t="str"/>
      <x:c r="K43" s="30" t="str"/>
      <x:c r="L43" s="30" t="str"/>
      <x:c r="M43" s="30" t="str"/>
      <x:c r="N43" s="30" t="str"/>
      <x:c r="O43" s="30" t="str"/>
      <x:c r="P43" s="30" t="str"/>
      <x:c r="Q43" s="31" t="str"/>
      <x:c r="R43" s="31" t="str"/>
      <x:c r="S43" s="30" t="str"/>
      <x:c r="T43" s="30" t="str"/>
      <x:c r="U43" s="30" t="str"/>
      <x:c r="V43" s="40" t="str">
        <x:f>IF(B43="","",COUNTA(H43:L43)/5)</x:f>
      </x:c>
    </x:row>
    <x:row r="44">
      <x:c r="A44" s="30" t="str">
        <x:f>IF(B44="","",B44&amp;"-"&amp;C44)</x:f>
      </x:c>
      <x:c r="B44" s="30" t="str">
        <x:f>'01_命例主档'!A8</x:f>
      </x:c>
      <x:c r="C44" s="30" t="str">
        <x:v>M04</x:v>
      </x:c>
      <x:c r="D44" s="30" t="str">
        <x:v>天干作用识别</x:v>
      </x:c>
      <x:c r="E44" s="30" t="str">
        <x:v>识别层</x:v>
      </x:c>
      <x:c r="F44" s="30" t="str">
        <x:v>M02</x:v>
      </x:c>
      <x:c r="G44" s="30" t="str">
        <x:v>未开始</x:v>
      </x:c>
      <x:c r="H44" s="30" t="str"/>
      <x:c r="I44" s="30" t="str"/>
      <x:c r="J44" s="30" t="str"/>
      <x:c r="K44" s="30" t="str"/>
      <x:c r="L44" s="30" t="str"/>
      <x:c r="M44" s="30" t="str"/>
      <x:c r="N44" s="30" t="str"/>
      <x:c r="O44" s="30" t="str"/>
      <x:c r="P44" s="30" t="str"/>
      <x:c r="Q44" s="31" t="str"/>
      <x:c r="R44" s="31" t="str"/>
      <x:c r="S44" s="30" t="str"/>
      <x:c r="T44" s="30" t="str"/>
      <x:c r="U44" s="30" t="str"/>
      <x:c r="V44" s="40" t="str">
        <x:f>IF(B44="","",COUNTA(H44:L44)/5)</x:f>
      </x:c>
    </x:row>
    <x:row r="45">
      <x:c r="A45" s="30" t="str">
        <x:f>IF(B45="","",B45&amp;"-"&amp;C45)</x:f>
      </x:c>
      <x:c r="B45" s="30" t="str">
        <x:f>'01_命例主档'!A8</x:f>
      </x:c>
      <x:c r="C45" s="30" t="str">
        <x:v>M05</x:v>
      </x:c>
      <x:c r="D45" s="30" t="str">
        <x:v>地支关系识别</x:v>
      </x:c>
      <x:c r="E45" s="30" t="str">
        <x:v>识别层</x:v>
      </x:c>
      <x:c r="F45" s="30" t="str">
        <x:v>M02</x:v>
      </x:c>
      <x:c r="G45" s="30" t="str">
        <x:v>未开始</x:v>
      </x:c>
      <x:c r="H45" s="30" t="str"/>
      <x:c r="I45" s="30" t="str"/>
      <x:c r="J45" s="30" t="str"/>
      <x:c r="K45" s="30" t="str"/>
      <x:c r="L45" s="30" t="str"/>
      <x:c r="M45" s="30" t="str"/>
      <x:c r="N45" s="30" t="str"/>
      <x:c r="O45" s="30" t="str"/>
      <x:c r="P45" s="30" t="str"/>
      <x:c r="Q45" s="31" t="str"/>
      <x:c r="R45" s="31" t="str"/>
      <x:c r="S45" s="30" t="str"/>
      <x:c r="T45" s="30" t="str"/>
      <x:c r="U45" s="30" t="str"/>
      <x:c r="V45" s="40" t="str">
        <x:f>IF(B45="","",COUNTA(H45:L45)/5)</x:f>
      </x:c>
    </x:row>
    <x:row r="46">
      <x:c r="A46" s="30" t="str">
        <x:f>IF(B46="","",B46&amp;"-"&amp;C46)</x:f>
      </x:c>
      <x:c r="B46" s="30" t="str">
        <x:f>'01_命例主档'!A8</x:f>
      </x:c>
      <x:c r="C46" s="30" t="str">
        <x:v>M06</x:v>
      </x:c>
      <x:c r="D46" s="30" t="str">
        <x:v>干支关系效应</x:v>
      </x:c>
      <x:c r="E46" s="30" t="str">
        <x:v>效应层</x:v>
      </x:c>
      <x:c r="F46" s="30" t="str">
        <x:v>M03/M04/M05</x:v>
      </x:c>
      <x:c r="G46" s="30" t="str">
        <x:v>未开始</x:v>
      </x:c>
      <x:c r="H46" s="30" t="str"/>
      <x:c r="I46" s="30" t="str"/>
      <x:c r="J46" s="30" t="str"/>
      <x:c r="K46" s="30" t="str"/>
      <x:c r="L46" s="30" t="str"/>
      <x:c r="M46" s="30" t="str"/>
      <x:c r="N46" s="30" t="str"/>
      <x:c r="O46" s="30" t="str"/>
      <x:c r="P46" s="30" t="str"/>
      <x:c r="Q46" s="31" t="str"/>
      <x:c r="R46" s="31" t="str"/>
      <x:c r="S46" s="30" t="str"/>
      <x:c r="T46" s="30" t="str"/>
      <x:c r="U46" s="30" t="str"/>
      <x:c r="V46" s="40" t="str">
        <x:f>IF(B46="","",COUNTA(H46:L46)/5)</x:f>
      </x:c>
    </x:row>
    <x:row r="47">
      <x:c r="A47" s="30" t="str">
        <x:f>IF(B47="","",B47&amp;"-"&amp;C47)</x:f>
      </x:c>
      <x:c r="B47" s="30" t="str">
        <x:f>'01_命例主档'!A8</x:f>
      </x:c>
      <x:c r="C47" s="30" t="str">
        <x:v>M07</x:v>
      </x:c>
      <x:c r="D47" s="30" t="str">
        <x:v>五行原始旺衰</x:v>
      </x:c>
      <x:c r="E47" s="30" t="str">
        <x:v>结构层</x:v>
      </x:c>
      <x:c r="F47" s="30" t="str">
        <x:v>M02/M03</x:v>
      </x:c>
      <x:c r="G47" s="30" t="str">
        <x:v>未开始</x:v>
      </x:c>
      <x:c r="H47" s="30" t="str"/>
      <x:c r="I47" s="30" t="str"/>
      <x:c r="J47" s="30" t="str"/>
      <x:c r="K47" s="30" t="str"/>
      <x:c r="L47" s="30" t="str"/>
      <x:c r="M47" s="30" t="str"/>
      <x:c r="N47" s="30" t="str"/>
      <x:c r="O47" s="30" t="str"/>
      <x:c r="P47" s="30" t="str"/>
      <x:c r="Q47" s="31" t="str"/>
      <x:c r="R47" s="31" t="str"/>
      <x:c r="S47" s="30" t="str"/>
      <x:c r="T47" s="30" t="str"/>
      <x:c r="U47" s="30" t="str"/>
      <x:c r="V47" s="40" t="str">
        <x:f>IF(B47="","",COUNTA(H47:L47)/5)</x:f>
      </x:c>
    </x:row>
    <x:row r="48">
      <x:c r="A48" s="30" t="str">
        <x:f>IF(B48="","",B48&amp;"-"&amp;C48)</x:f>
      </x:c>
      <x:c r="B48" s="30" t="str">
        <x:f>'01_命例主档'!A8</x:f>
      </x:c>
      <x:c r="C48" s="30" t="str">
        <x:v>M08</x:v>
      </x:c>
      <x:c r="D48" s="30" t="str">
        <x:v>五行有效旺衰</x:v>
      </x:c>
      <x:c r="E48" s="30" t="str">
        <x:v>结构层</x:v>
      </x:c>
      <x:c r="F48" s="30" t="str">
        <x:v>M06/M07</x:v>
      </x:c>
      <x:c r="G48" s="30" t="str">
        <x:v>未开始</x:v>
      </x:c>
      <x:c r="H48" s="30" t="str"/>
      <x:c r="I48" s="30" t="str"/>
      <x:c r="J48" s="30" t="str"/>
      <x:c r="K48" s="30" t="str"/>
      <x:c r="L48" s="30" t="str"/>
      <x:c r="M48" s="30" t="str"/>
      <x:c r="N48" s="30" t="str"/>
      <x:c r="O48" s="30" t="str"/>
      <x:c r="P48" s="30" t="str"/>
      <x:c r="Q48" s="31" t="str"/>
      <x:c r="R48" s="31" t="str"/>
      <x:c r="S48" s="30" t="str"/>
      <x:c r="T48" s="30" t="str"/>
      <x:c r="U48" s="30" t="str"/>
      <x:c r="V48" s="40" t="str">
        <x:f>IF(B48="","",COUNTA(H48:L48)/5)</x:f>
      </x:c>
    </x:row>
    <x:row r="49">
      <x:c r="A49" s="30" t="str">
        <x:f>IF(B49="","",B49&amp;"-"&amp;C49)</x:f>
      </x:c>
      <x:c r="B49" s="30" t="str">
        <x:f>'01_命例主档'!A8</x:f>
      </x:c>
      <x:c r="C49" s="30" t="str">
        <x:v>M09</x:v>
      </x:c>
      <x:c r="D49" s="30" t="str">
        <x:v>日主旺衰</x:v>
      </x:c>
      <x:c r="E49" s="30" t="str">
        <x:v>综合层</x:v>
      </x:c>
      <x:c r="F49" s="30" t="str">
        <x:v>M03/M07/M08</x:v>
      </x:c>
      <x:c r="G49" s="30" t="str">
        <x:v>未开始</x:v>
      </x:c>
      <x:c r="H49" s="30" t="str"/>
      <x:c r="I49" s="30" t="str"/>
      <x:c r="J49" s="30" t="str"/>
      <x:c r="K49" s="30" t="str"/>
      <x:c r="L49" s="30" t="str"/>
      <x:c r="M49" s="30" t="str"/>
      <x:c r="N49" s="30" t="str"/>
      <x:c r="O49" s="30" t="str"/>
      <x:c r="P49" s="30" t="str"/>
      <x:c r="Q49" s="31" t="str"/>
      <x:c r="R49" s="31" t="str"/>
      <x:c r="S49" s="30" t="str"/>
      <x:c r="T49" s="30" t="str"/>
      <x:c r="U49" s="30" t="str"/>
      <x:c r="V49" s="40" t="str">
        <x:f>IF(B49="","",COUNTA(H49:L49)/5)</x:f>
      </x:c>
    </x:row>
    <x:row r="50">
      <x:c r="A50" s="30" t="str">
        <x:f>IF(B50="","",B50&amp;"-"&amp;C50)</x:f>
      </x:c>
      <x:c r="B50" s="30" t="str">
        <x:f>'01_命例主档'!A8</x:f>
      </x:c>
      <x:c r="C50" s="30" t="str">
        <x:v>M10</x:v>
      </x:c>
      <x:c r="D50" s="30" t="str">
        <x:v>十神旺衰功能</x:v>
      </x:c>
      <x:c r="E50" s="30" t="str">
        <x:v>结构层</x:v>
      </x:c>
      <x:c r="F50" s="30" t="str">
        <x:v>M02/M08/M09</x:v>
      </x:c>
      <x:c r="G50" s="30" t="str">
        <x:v>未开始</x:v>
      </x:c>
      <x:c r="H50" s="30" t="str"/>
      <x:c r="I50" s="30" t="str"/>
      <x:c r="J50" s="30" t="str"/>
      <x:c r="K50" s="30" t="str"/>
      <x:c r="L50" s="30" t="str"/>
      <x:c r="M50" s="30" t="str"/>
      <x:c r="N50" s="30" t="str"/>
      <x:c r="O50" s="30" t="str"/>
      <x:c r="P50" s="30" t="str"/>
      <x:c r="Q50" s="31" t="str"/>
      <x:c r="R50" s="31" t="str"/>
      <x:c r="S50" s="30" t="str"/>
      <x:c r="T50" s="30" t="str"/>
      <x:c r="U50" s="30" t="str"/>
      <x:c r="V50" s="40" t="str">
        <x:f>IF(B50="","",COUNTA(H50:L50)/5)</x:f>
      </x:c>
    </x:row>
    <x:row r="51">
      <x:c r="A51" s="30" t="str">
        <x:f>IF(B51="","",B51&amp;"-"&amp;C51)</x:f>
      </x:c>
      <x:c r="B51" s="30" t="str">
        <x:f>'01_命例主档'!A8</x:f>
      </x:c>
      <x:c r="C51" s="30" t="str">
        <x:v>M11</x:v>
      </x:c>
      <x:c r="D51" s="30" t="str">
        <x:v>十神组合成立</x:v>
      </x:c>
      <x:c r="E51" s="30" t="str">
        <x:v>结构层</x:v>
      </x:c>
      <x:c r="F51" s="30" t="str">
        <x:v>M08/M09/M10</x:v>
      </x:c>
      <x:c r="G51" s="30" t="str">
        <x:v>未开始</x:v>
      </x:c>
      <x:c r="H51" s="30" t="str"/>
      <x:c r="I51" s="30" t="str"/>
      <x:c r="J51" s="30" t="str"/>
      <x:c r="K51" s="30" t="str"/>
      <x:c r="L51" s="30" t="str"/>
      <x:c r="M51" s="30" t="str"/>
      <x:c r="N51" s="30" t="str"/>
      <x:c r="O51" s="30" t="str"/>
      <x:c r="P51" s="30" t="str"/>
      <x:c r="Q51" s="31" t="str"/>
      <x:c r="R51" s="31" t="str"/>
      <x:c r="S51" s="30" t="str"/>
      <x:c r="T51" s="30" t="str"/>
      <x:c r="U51" s="30" t="str"/>
      <x:c r="V51" s="40" t="str">
        <x:f>IF(B51="","",COUNTA(H51:L51)/5)</x:f>
      </x:c>
    </x:row>
    <x:row r="52">
      <x:c r="A52" s="30" t="str">
        <x:f>IF(B52="","",B52&amp;"-"&amp;C52)</x:f>
      </x:c>
      <x:c r="B52" s="30" t="str">
        <x:f>'01_命例主档'!A8</x:f>
      </x:c>
      <x:c r="C52" s="30" t="str">
        <x:v>M12</x:v>
      </x:c>
      <x:c r="D52" s="30" t="str">
        <x:v>五行流通卡点</x:v>
      </x:c>
      <x:c r="E52" s="30" t="str">
        <x:v>结构层</x:v>
      </x:c>
      <x:c r="F52" s="30" t="str">
        <x:v>M06/M08/M10/M11</x:v>
      </x:c>
      <x:c r="G52" s="30" t="str">
        <x:v>未开始</x:v>
      </x:c>
      <x:c r="H52" s="30" t="str"/>
      <x:c r="I52" s="30" t="str"/>
      <x:c r="J52" s="30" t="str"/>
      <x:c r="K52" s="30" t="str"/>
      <x:c r="L52" s="30" t="str"/>
      <x:c r="M52" s="30" t="str"/>
      <x:c r="N52" s="30" t="str"/>
      <x:c r="O52" s="30" t="str"/>
      <x:c r="P52" s="30" t="str"/>
      <x:c r="Q52" s="31" t="str"/>
      <x:c r="R52" s="31" t="str"/>
      <x:c r="S52" s="30" t="str"/>
      <x:c r="T52" s="30" t="str"/>
      <x:c r="U52" s="30" t="str"/>
      <x:c r="V52" s="40" t="str">
        <x:f>IF(B52="","",COUNTA(H52:L52)/5)</x:f>
      </x:c>
    </x:row>
    <x:row r="53">
      <x:c r="A53" s="30" t="str">
        <x:f>IF(B53="","",B53&amp;"-"&amp;C53)</x:f>
      </x:c>
      <x:c r="B53" s="30" t="str">
        <x:f>'01_命例主档'!A8</x:f>
      </x:c>
      <x:c r="C53" s="30" t="str">
        <x:v>M13</x:v>
      </x:c>
      <x:c r="D53" s="30" t="str">
        <x:v>寒暖燥湿</x:v>
      </x:c>
      <x:c r="E53" s="30" t="str">
        <x:v>结构层</x:v>
      </x:c>
      <x:c r="F53" s="30" t="str">
        <x:v>M02/M08/M12</x:v>
      </x:c>
      <x:c r="G53" s="30" t="str">
        <x:v>未开始</x:v>
      </x:c>
      <x:c r="H53" s="30" t="str"/>
      <x:c r="I53" s="30" t="str"/>
      <x:c r="J53" s="30" t="str"/>
      <x:c r="K53" s="30" t="str"/>
      <x:c r="L53" s="30" t="str"/>
      <x:c r="M53" s="30" t="str"/>
      <x:c r="N53" s="30" t="str"/>
      <x:c r="O53" s="30" t="str"/>
      <x:c r="P53" s="30" t="str"/>
      <x:c r="Q53" s="31" t="str"/>
      <x:c r="R53" s="31" t="str"/>
      <x:c r="S53" s="30" t="str"/>
      <x:c r="T53" s="30" t="str"/>
      <x:c r="U53" s="30" t="str"/>
      <x:c r="V53" s="40" t="str">
        <x:f>IF(B53="","",COUNTA(H53:L53)/5)</x:f>
      </x:c>
    </x:row>
    <x:row r="54">
      <x:c r="A54" s="30" t="str">
        <x:f>IF(B54="","",B54&amp;"-"&amp;C54)</x:f>
      </x:c>
      <x:c r="B54" s="30" t="str">
        <x:f>'01_命例主档'!A8</x:f>
      </x:c>
      <x:c r="C54" s="30" t="str">
        <x:v>M14</x:v>
      </x:c>
      <x:c r="D54" s="30" t="str">
        <x:v>格局候选判断</x:v>
      </x:c>
      <x:c r="E54" s="30" t="str">
        <x:v>综合层</x:v>
      </x:c>
      <x:c r="F54" s="30" t="str">
        <x:v>M03/M06/M08/M09/M10/M11</x:v>
      </x:c>
      <x:c r="G54" s="30" t="str">
        <x:v>未开始</x:v>
      </x:c>
      <x:c r="H54" s="30" t="str"/>
      <x:c r="I54" s="30" t="str"/>
      <x:c r="J54" s="30" t="str"/>
      <x:c r="K54" s="30" t="str"/>
      <x:c r="L54" s="30" t="str"/>
      <x:c r="M54" s="30" t="str"/>
      <x:c r="N54" s="30" t="str"/>
      <x:c r="O54" s="30" t="str"/>
      <x:c r="P54" s="30" t="str"/>
      <x:c r="Q54" s="31" t="str"/>
      <x:c r="R54" s="31" t="str"/>
      <x:c r="S54" s="30" t="str"/>
      <x:c r="T54" s="30" t="str"/>
      <x:c r="U54" s="30" t="str"/>
      <x:c r="V54" s="40" t="str">
        <x:f>IF(B54="","",COUNTA(H54:L54)/5)</x:f>
      </x:c>
    </x:row>
    <x:row r="55">
      <x:c r="A55" s="30" t="str">
        <x:f>IF(B55="","",B55&amp;"-"&amp;C55)</x:f>
      </x:c>
      <x:c r="B55" s="30" t="str">
        <x:f>'01_命例主档'!A8</x:f>
      </x:c>
      <x:c r="C55" s="30" t="str">
        <x:v>M15</x:v>
      </x:c>
      <x:c r="D55" s="30" t="str">
        <x:v>格局成败救应</x:v>
      </x:c>
      <x:c r="E55" s="30" t="str">
        <x:v>综合层</x:v>
      </x:c>
      <x:c r="F55" s="30" t="str">
        <x:v>M14/M11/M08</x:v>
      </x:c>
      <x:c r="G55" s="30" t="str">
        <x:v>未开始</x:v>
      </x:c>
      <x:c r="H55" s="30" t="str"/>
      <x:c r="I55" s="30" t="str"/>
      <x:c r="J55" s="30" t="str"/>
      <x:c r="K55" s="30" t="str"/>
      <x:c r="L55" s="30" t="str"/>
      <x:c r="M55" s="30" t="str"/>
      <x:c r="N55" s="30" t="str"/>
      <x:c r="O55" s="30" t="str"/>
      <x:c r="P55" s="30" t="str"/>
      <x:c r="Q55" s="31" t="str"/>
      <x:c r="R55" s="31" t="str"/>
      <x:c r="S55" s="30" t="str"/>
      <x:c r="T55" s="30" t="str"/>
      <x:c r="U55" s="30" t="str"/>
      <x:c r="V55" s="40" t="str">
        <x:f>IF(B55="","",COUNTA(H55:L55)/5)</x:f>
      </x:c>
    </x:row>
    <x:row r="56">
      <x:c r="A56" s="30" t="str">
        <x:f>IF(B56="","",B56&amp;"-"&amp;C56)</x:f>
      </x:c>
      <x:c r="B56" s="30" t="str">
        <x:f>'01_命例主档'!A8</x:f>
      </x:c>
      <x:c r="C56" s="30" t="str">
        <x:v>M16</x:v>
      </x:c>
      <x:c r="D56" s="30" t="str">
        <x:v>病药模型</x:v>
      </x:c>
      <x:c r="E56" s="30" t="str">
        <x:v>综合层</x:v>
      </x:c>
      <x:c r="F56" s="30" t="str">
        <x:v>M08-M15</x:v>
      </x:c>
      <x:c r="G56" s="30" t="str">
        <x:v>未开始</x:v>
      </x:c>
      <x:c r="H56" s="30" t="str"/>
      <x:c r="I56" s="30" t="str"/>
      <x:c r="J56" s="30" t="str"/>
      <x:c r="K56" s="30" t="str"/>
      <x:c r="L56" s="30" t="str"/>
      <x:c r="M56" s="30" t="str"/>
      <x:c r="N56" s="30" t="str"/>
      <x:c r="O56" s="30" t="str"/>
      <x:c r="P56" s="30" t="str"/>
      <x:c r="Q56" s="31" t="str"/>
      <x:c r="R56" s="31" t="str"/>
      <x:c r="S56" s="30" t="str"/>
      <x:c r="T56" s="30" t="str"/>
      <x:c r="U56" s="30" t="str"/>
      <x:c r="V56" s="40" t="str">
        <x:f>IF(B56="","",COUNTA(H56:L56)/5)</x:f>
      </x:c>
    </x:row>
    <x:row r="57">
      <x:c r="A57" s="30" t="str">
        <x:f>IF(B57="","",B57&amp;"-"&amp;C57)</x:f>
      </x:c>
      <x:c r="B57" s="30" t="str">
        <x:f>'01_命例主档'!A8</x:f>
      </x:c>
      <x:c r="C57" s="30" t="str">
        <x:v>M17</x:v>
      </x:c>
      <x:c r="D57" s="30" t="str">
        <x:v>喜忌用神矩阵</x:v>
      </x:c>
      <x:c r="E57" s="30" t="str">
        <x:v>综合层</x:v>
      </x:c>
      <x:c r="F57" s="30" t="str">
        <x:v>M09/M12/M13/M15/M16</x:v>
      </x:c>
      <x:c r="G57" s="30" t="str">
        <x:v>未开始</x:v>
      </x:c>
      <x:c r="H57" s="30" t="str"/>
      <x:c r="I57" s="30" t="str"/>
      <x:c r="J57" s="30" t="str"/>
      <x:c r="K57" s="30" t="str"/>
      <x:c r="L57" s="30" t="str"/>
      <x:c r="M57" s="30" t="str"/>
      <x:c r="N57" s="30" t="str"/>
      <x:c r="O57" s="30" t="str"/>
      <x:c r="P57" s="30" t="str"/>
      <x:c r="Q57" s="31" t="str"/>
      <x:c r="R57" s="31" t="str"/>
      <x:c r="S57" s="30" t="str"/>
      <x:c r="T57" s="30" t="str"/>
      <x:c r="U57" s="30" t="str"/>
      <x:c r="V57" s="40" t="str">
        <x:f>IF(B57="","",COUNTA(H57:L57)/5)</x:f>
      </x:c>
    </x:row>
    <x:row r="58">
      <x:c r="A58" s="30" t="str">
        <x:f>IF(B58="","",B58&amp;"-"&amp;C58)</x:f>
      </x:c>
      <x:c r="B58" s="30" t="str">
        <x:f>'01_命例主档'!A8</x:f>
      </x:c>
      <x:c r="C58" s="30" t="str">
        <x:v>M18</x:v>
      </x:c>
      <x:c r="D58" s="30" t="str">
        <x:v>冲突裁决规则</x:v>
      </x:c>
      <x:c r="E58" s="30" t="str">
        <x:v>综合层</x:v>
      </x:c>
      <x:c r="F58" s="30" t="str">
        <x:v>M14/M15/M16/M17</x:v>
      </x:c>
      <x:c r="G58" s="30" t="str">
        <x:v>未开始</x:v>
      </x:c>
      <x:c r="H58" s="30" t="str"/>
      <x:c r="I58" s="30" t="str"/>
      <x:c r="J58" s="30" t="str"/>
      <x:c r="K58" s="30" t="str"/>
      <x:c r="L58" s="30" t="str"/>
      <x:c r="M58" s="30" t="str"/>
      <x:c r="N58" s="30" t="str"/>
      <x:c r="O58" s="30" t="str"/>
      <x:c r="P58" s="30" t="str"/>
      <x:c r="Q58" s="31" t="str"/>
      <x:c r="R58" s="31" t="str"/>
      <x:c r="S58" s="30" t="str"/>
      <x:c r="T58" s="30" t="str"/>
      <x:c r="U58" s="30" t="str"/>
      <x:c r="V58" s="40" t="str">
        <x:f>IF(B58="","",COUNTA(H58:L58)/5)</x:f>
      </x:c>
    </x:row>
    <x:row r="59">
      <x:c r="A59" s="30" t="str">
        <x:f>IF(B59="","",B59&amp;"-"&amp;C59)</x:f>
      </x:c>
      <x:c r="B59" s="30" t="str">
        <x:f>'01_命例主档'!A8</x:f>
      </x:c>
      <x:c r="C59" s="30" t="str">
        <x:v>M19</x:v>
      </x:c>
      <x:c r="D59" s="30" t="str">
        <x:v>综合输出模板</x:v>
      </x:c>
      <x:c r="E59" s="30" t="str">
        <x:v>治理与输出</x:v>
      </x:c>
      <x:c r="F59" s="30" t="str">
        <x:v>M02-M18</x:v>
      </x:c>
      <x:c r="G59" s="30" t="str">
        <x:v>未开始</x:v>
      </x:c>
      <x:c r="H59" s="30" t="str"/>
      <x:c r="I59" s="30" t="str"/>
      <x:c r="J59" s="30" t="str"/>
      <x:c r="K59" s="30" t="str"/>
      <x:c r="L59" s="30" t="str"/>
      <x:c r="M59" s="30" t="str"/>
      <x:c r="N59" s="30" t="str"/>
      <x:c r="O59" s="30" t="str"/>
      <x:c r="P59" s="30" t="str"/>
      <x:c r="Q59" s="31" t="str"/>
      <x:c r="R59" s="31" t="str"/>
      <x:c r="S59" s="30" t="str"/>
      <x:c r="T59" s="30" t="str"/>
      <x:c r="U59" s="30" t="str"/>
      <x:c r="V59" s="40" t="str">
        <x:f>IF(B59="","",COUNTA(H59:L59)/5)</x:f>
      </x:c>
    </x:row>
    <x:row r="60">
      <x:c r="A60" s="30" t="str">
        <x:f>IF(B60="","",B60&amp;"-"&amp;C60)</x:f>
      </x:c>
      <x:c r="B60" s="30" t="str">
        <x:f>'01_命例主档'!A9</x:f>
      </x:c>
      <x:c r="C60" s="30" t="str">
        <x:v>M02</x:v>
      </x:c>
      <x:c r="D60" s="30" t="str">
        <x:v>干支藏干基础</x:v>
      </x:c>
      <x:c r="E60" s="30" t="str">
        <x:v>识别层</x:v>
      </x:c>
      <x:c r="F60" s="30" t="str">
        <x:v>无</x:v>
      </x:c>
      <x:c r="G60" s="30" t="str">
        <x:v>未开始</x:v>
      </x:c>
      <x:c r="H60" s="30" t="str"/>
      <x:c r="I60" s="30" t="str"/>
      <x:c r="J60" s="30" t="str"/>
      <x:c r="K60" s="30" t="str"/>
      <x:c r="L60" s="30" t="str"/>
      <x:c r="M60" s="30" t="str"/>
      <x:c r="N60" s="30" t="str"/>
      <x:c r="O60" s="30" t="str"/>
      <x:c r="P60" s="30" t="str"/>
      <x:c r="Q60" s="31" t="str"/>
      <x:c r="R60" s="31" t="str"/>
      <x:c r="S60" s="30" t="str"/>
      <x:c r="T60" s="30" t="str"/>
      <x:c r="U60" s="30" t="str"/>
      <x:c r="V60" s="40" t="str">
        <x:f>IF(B60="","",COUNTA(H60:L60)/5)</x:f>
      </x:c>
    </x:row>
    <x:row r="61">
      <x:c r="A61" s="30" t="str">
        <x:f>IF(B61="","",B61&amp;"-"&amp;C61)</x:f>
      </x:c>
      <x:c r="B61" s="30" t="str">
        <x:f>'01_命例主档'!A9</x:f>
      </x:c>
      <x:c r="C61" s="30" t="str">
        <x:v>M03</x:v>
      </x:c>
      <x:c r="D61" s="30" t="str">
        <x:v>月令与根气</x:v>
      </x:c>
      <x:c r="E61" s="30" t="str">
        <x:v>结构层</x:v>
      </x:c>
      <x:c r="F61" s="30" t="str">
        <x:v>M02</x:v>
      </x:c>
      <x:c r="G61" s="30" t="str">
        <x:v>未开始</x:v>
      </x:c>
      <x:c r="H61" s="30" t="str"/>
      <x:c r="I61" s="30" t="str"/>
      <x:c r="J61" s="30" t="str"/>
      <x:c r="K61" s="30" t="str"/>
      <x:c r="L61" s="30" t="str"/>
      <x:c r="M61" s="30" t="str"/>
      <x:c r="N61" s="30" t="str"/>
      <x:c r="O61" s="30" t="str"/>
      <x:c r="P61" s="30" t="str"/>
      <x:c r="Q61" s="31" t="str"/>
      <x:c r="R61" s="31" t="str"/>
      <x:c r="S61" s="30" t="str"/>
      <x:c r="T61" s="30" t="str"/>
      <x:c r="U61" s="30" t="str"/>
      <x:c r="V61" s="40" t="str">
        <x:f>IF(B61="","",COUNTA(H61:L61)/5)</x:f>
      </x:c>
    </x:row>
    <x:row r="62">
      <x:c r="A62" s="30" t="str">
        <x:f>IF(B62="","",B62&amp;"-"&amp;C62)</x:f>
      </x:c>
      <x:c r="B62" s="30" t="str">
        <x:f>'01_命例主档'!A9</x:f>
      </x:c>
      <x:c r="C62" s="30" t="str">
        <x:v>M04</x:v>
      </x:c>
      <x:c r="D62" s="30" t="str">
        <x:v>天干作用识别</x:v>
      </x:c>
      <x:c r="E62" s="30" t="str">
        <x:v>识别层</x:v>
      </x:c>
      <x:c r="F62" s="30" t="str">
        <x:v>M02</x:v>
      </x:c>
      <x:c r="G62" s="30" t="str">
        <x:v>未开始</x:v>
      </x:c>
      <x:c r="H62" s="30" t="str"/>
      <x:c r="I62" s="30" t="str"/>
      <x:c r="J62" s="30" t="str"/>
      <x:c r="K62" s="30" t="str"/>
      <x:c r="L62" s="30" t="str"/>
      <x:c r="M62" s="30" t="str"/>
      <x:c r="N62" s="30" t="str"/>
      <x:c r="O62" s="30" t="str"/>
      <x:c r="P62" s="30" t="str"/>
      <x:c r="Q62" s="31" t="str"/>
      <x:c r="R62" s="31" t="str"/>
      <x:c r="S62" s="30" t="str"/>
      <x:c r="T62" s="30" t="str"/>
      <x:c r="U62" s="30" t="str"/>
      <x:c r="V62" s="40" t="str">
        <x:f>IF(B62="","",COUNTA(H62:L62)/5)</x:f>
      </x:c>
    </x:row>
    <x:row r="63">
      <x:c r="A63" s="30" t="str">
        <x:f>IF(B63="","",B63&amp;"-"&amp;C63)</x:f>
      </x:c>
      <x:c r="B63" s="30" t="str">
        <x:f>'01_命例主档'!A9</x:f>
      </x:c>
      <x:c r="C63" s="30" t="str">
        <x:v>M05</x:v>
      </x:c>
      <x:c r="D63" s="30" t="str">
        <x:v>地支关系识别</x:v>
      </x:c>
      <x:c r="E63" s="30" t="str">
        <x:v>识别层</x:v>
      </x:c>
      <x:c r="F63" s="30" t="str">
        <x:v>M02</x:v>
      </x:c>
      <x:c r="G63" s="30" t="str">
        <x:v>未开始</x:v>
      </x:c>
      <x:c r="H63" s="30" t="str"/>
      <x:c r="I63" s="30" t="str"/>
      <x:c r="J63" s="30" t="str"/>
      <x:c r="K63" s="30" t="str"/>
      <x:c r="L63" s="30" t="str"/>
      <x:c r="M63" s="30" t="str"/>
      <x:c r="N63" s="30" t="str"/>
      <x:c r="O63" s="30" t="str"/>
      <x:c r="P63" s="30" t="str"/>
      <x:c r="Q63" s="31" t="str"/>
      <x:c r="R63" s="31" t="str"/>
      <x:c r="S63" s="30" t="str"/>
      <x:c r="T63" s="30" t="str"/>
      <x:c r="U63" s="30" t="str"/>
      <x:c r="V63" s="40" t="str">
        <x:f>IF(B63="","",COUNTA(H63:L63)/5)</x:f>
      </x:c>
    </x:row>
    <x:row r="64">
      <x:c r="A64" s="30" t="str">
        <x:f>IF(B64="","",B64&amp;"-"&amp;C64)</x:f>
      </x:c>
      <x:c r="B64" s="30" t="str">
        <x:f>'01_命例主档'!A9</x:f>
      </x:c>
      <x:c r="C64" s="30" t="str">
        <x:v>M06</x:v>
      </x:c>
      <x:c r="D64" s="30" t="str">
        <x:v>干支关系效应</x:v>
      </x:c>
      <x:c r="E64" s="30" t="str">
        <x:v>效应层</x:v>
      </x:c>
      <x:c r="F64" s="30" t="str">
        <x:v>M03/M04/M05</x:v>
      </x:c>
      <x:c r="G64" s="30" t="str">
        <x:v>未开始</x:v>
      </x:c>
      <x:c r="H64" s="30" t="str"/>
      <x:c r="I64" s="30" t="str"/>
      <x:c r="J64" s="30" t="str"/>
      <x:c r="K64" s="30" t="str"/>
      <x:c r="L64" s="30" t="str"/>
      <x:c r="M64" s="30" t="str"/>
      <x:c r="N64" s="30" t="str"/>
      <x:c r="O64" s="30" t="str"/>
      <x:c r="P64" s="30" t="str"/>
      <x:c r="Q64" s="31" t="str"/>
      <x:c r="R64" s="31" t="str"/>
      <x:c r="S64" s="30" t="str"/>
      <x:c r="T64" s="30" t="str"/>
      <x:c r="U64" s="30" t="str"/>
      <x:c r="V64" s="40" t="str">
        <x:f>IF(B64="","",COUNTA(H64:L64)/5)</x:f>
      </x:c>
    </x:row>
    <x:row r="65">
      <x:c r="A65" s="30" t="str">
        <x:f>IF(B65="","",B65&amp;"-"&amp;C65)</x:f>
      </x:c>
      <x:c r="B65" s="30" t="str">
        <x:f>'01_命例主档'!A9</x:f>
      </x:c>
      <x:c r="C65" s="30" t="str">
        <x:v>M07</x:v>
      </x:c>
      <x:c r="D65" s="30" t="str">
        <x:v>五行原始旺衰</x:v>
      </x:c>
      <x:c r="E65" s="30" t="str">
        <x:v>结构层</x:v>
      </x:c>
      <x:c r="F65" s="30" t="str">
        <x:v>M02/M03</x:v>
      </x:c>
      <x:c r="G65" s="30" t="str">
        <x:v>未开始</x:v>
      </x:c>
      <x:c r="H65" s="30" t="str"/>
      <x:c r="I65" s="30" t="str"/>
      <x:c r="J65" s="30" t="str"/>
      <x:c r="K65" s="30" t="str"/>
      <x:c r="L65" s="30" t="str"/>
      <x:c r="M65" s="30" t="str"/>
      <x:c r="N65" s="30" t="str"/>
      <x:c r="O65" s="30" t="str"/>
      <x:c r="P65" s="30" t="str"/>
      <x:c r="Q65" s="31" t="str"/>
      <x:c r="R65" s="31" t="str"/>
      <x:c r="S65" s="30" t="str"/>
      <x:c r="T65" s="30" t="str"/>
      <x:c r="U65" s="30" t="str"/>
      <x:c r="V65" s="40" t="str">
        <x:f>IF(B65="","",COUNTA(H65:L65)/5)</x:f>
      </x:c>
    </x:row>
    <x:row r="66">
      <x:c r="A66" s="30" t="str">
        <x:f>IF(B66="","",B66&amp;"-"&amp;C66)</x:f>
      </x:c>
      <x:c r="B66" s="30" t="str">
        <x:f>'01_命例主档'!A9</x:f>
      </x:c>
      <x:c r="C66" s="30" t="str">
        <x:v>M08</x:v>
      </x:c>
      <x:c r="D66" s="30" t="str">
        <x:v>五行有效旺衰</x:v>
      </x:c>
      <x:c r="E66" s="30" t="str">
        <x:v>结构层</x:v>
      </x:c>
      <x:c r="F66" s="30" t="str">
        <x:v>M06/M07</x:v>
      </x:c>
      <x:c r="G66" s="30" t="str">
        <x:v>未开始</x:v>
      </x:c>
      <x:c r="H66" s="30" t="str"/>
      <x:c r="I66" s="30" t="str"/>
      <x:c r="J66" s="30" t="str"/>
      <x:c r="K66" s="30" t="str"/>
      <x:c r="L66" s="30" t="str"/>
      <x:c r="M66" s="30" t="str"/>
      <x:c r="N66" s="30" t="str"/>
      <x:c r="O66" s="30" t="str"/>
      <x:c r="P66" s="30" t="str"/>
      <x:c r="Q66" s="31" t="str"/>
      <x:c r="R66" s="31" t="str"/>
      <x:c r="S66" s="30" t="str"/>
      <x:c r="T66" s="30" t="str"/>
      <x:c r="U66" s="30" t="str"/>
      <x:c r="V66" s="40" t="str">
        <x:f>IF(B66="","",COUNTA(H66:L66)/5)</x:f>
      </x:c>
    </x:row>
    <x:row r="67">
      <x:c r="A67" s="30" t="str">
        <x:f>IF(B67="","",B67&amp;"-"&amp;C67)</x:f>
      </x:c>
      <x:c r="B67" s="30" t="str">
        <x:f>'01_命例主档'!A9</x:f>
      </x:c>
      <x:c r="C67" s="30" t="str">
        <x:v>M09</x:v>
      </x:c>
      <x:c r="D67" s="30" t="str">
        <x:v>日主旺衰</x:v>
      </x:c>
      <x:c r="E67" s="30" t="str">
        <x:v>综合层</x:v>
      </x:c>
      <x:c r="F67" s="30" t="str">
        <x:v>M03/M07/M08</x:v>
      </x:c>
      <x:c r="G67" s="30" t="str">
        <x:v>未开始</x:v>
      </x:c>
      <x:c r="H67" s="30" t="str"/>
      <x:c r="I67" s="30" t="str"/>
      <x:c r="J67" s="30" t="str"/>
      <x:c r="K67" s="30" t="str"/>
      <x:c r="L67" s="30" t="str"/>
      <x:c r="M67" s="30" t="str"/>
      <x:c r="N67" s="30" t="str"/>
      <x:c r="O67" s="30" t="str"/>
      <x:c r="P67" s="30" t="str"/>
      <x:c r="Q67" s="31" t="str"/>
      <x:c r="R67" s="31" t="str"/>
      <x:c r="S67" s="30" t="str"/>
      <x:c r="T67" s="30" t="str"/>
      <x:c r="U67" s="30" t="str"/>
      <x:c r="V67" s="40" t="str">
        <x:f>IF(B67="","",COUNTA(H67:L67)/5)</x:f>
      </x:c>
    </x:row>
    <x:row r="68">
      <x:c r="A68" s="30" t="str">
        <x:f>IF(B68="","",B68&amp;"-"&amp;C68)</x:f>
      </x:c>
      <x:c r="B68" s="30" t="str">
        <x:f>'01_命例主档'!A9</x:f>
      </x:c>
      <x:c r="C68" s="30" t="str">
        <x:v>M10</x:v>
      </x:c>
      <x:c r="D68" s="30" t="str">
        <x:v>十神旺衰功能</x:v>
      </x:c>
      <x:c r="E68" s="30" t="str">
        <x:v>结构层</x:v>
      </x:c>
      <x:c r="F68" s="30" t="str">
        <x:v>M02/M08/M09</x:v>
      </x:c>
      <x:c r="G68" s="30" t="str">
        <x:v>未开始</x:v>
      </x:c>
      <x:c r="H68" s="30" t="str"/>
      <x:c r="I68" s="30" t="str"/>
      <x:c r="J68" s="30" t="str"/>
      <x:c r="K68" s="30" t="str"/>
      <x:c r="L68" s="30" t="str"/>
      <x:c r="M68" s="30" t="str"/>
      <x:c r="N68" s="30" t="str"/>
      <x:c r="O68" s="30" t="str"/>
      <x:c r="P68" s="30" t="str"/>
      <x:c r="Q68" s="31" t="str"/>
      <x:c r="R68" s="31" t="str"/>
      <x:c r="S68" s="30" t="str"/>
      <x:c r="T68" s="30" t="str"/>
      <x:c r="U68" s="30" t="str"/>
      <x:c r="V68" s="40" t="str">
        <x:f>IF(B68="","",COUNTA(H68:L68)/5)</x:f>
      </x:c>
    </x:row>
    <x:row r="69">
      <x:c r="A69" s="30" t="str">
        <x:f>IF(B69="","",B69&amp;"-"&amp;C69)</x:f>
      </x:c>
      <x:c r="B69" s="30" t="str">
        <x:f>'01_命例主档'!A9</x:f>
      </x:c>
      <x:c r="C69" s="30" t="str">
        <x:v>M11</x:v>
      </x:c>
      <x:c r="D69" s="30" t="str">
        <x:v>十神组合成立</x:v>
      </x:c>
      <x:c r="E69" s="30" t="str">
        <x:v>结构层</x:v>
      </x:c>
      <x:c r="F69" s="30" t="str">
        <x:v>M08/M09/M10</x:v>
      </x:c>
      <x:c r="G69" s="30" t="str">
        <x:v>未开始</x:v>
      </x:c>
      <x:c r="H69" s="30" t="str"/>
      <x:c r="I69" s="30" t="str"/>
      <x:c r="J69" s="30" t="str"/>
      <x:c r="K69" s="30" t="str"/>
      <x:c r="L69" s="30" t="str"/>
      <x:c r="M69" s="30" t="str"/>
      <x:c r="N69" s="30" t="str"/>
      <x:c r="O69" s="30" t="str"/>
      <x:c r="P69" s="30" t="str"/>
      <x:c r="Q69" s="31" t="str"/>
      <x:c r="R69" s="31" t="str"/>
      <x:c r="S69" s="30" t="str"/>
      <x:c r="T69" s="30" t="str"/>
      <x:c r="U69" s="30" t="str"/>
      <x:c r="V69" s="40" t="str">
        <x:f>IF(B69="","",COUNTA(H69:L69)/5)</x:f>
      </x:c>
    </x:row>
    <x:row r="70">
      <x:c r="A70" s="30" t="str">
        <x:f>IF(B70="","",B70&amp;"-"&amp;C70)</x:f>
      </x:c>
      <x:c r="B70" s="30" t="str">
        <x:f>'01_命例主档'!A9</x:f>
      </x:c>
      <x:c r="C70" s="30" t="str">
        <x:v>M12</x:v>
      </x:c>
      <x:c r="D70" s="30" t="str">
        <x:v>五行流通卡点</x:v>
      </x:c>
      <x:c r="E70" s="30" t="str">
        <x:v>结构层</x:v>
      </x:c>
      <x:c r="F70" s="30" t="str">
        <x:v>M06/M08/M10/M11</x:v>
      </x:c>
      <x:c r="G70" s="30" t="str">
        <x:v>未开始</x:v>
      </x:c>
      <x:c r="H70" s="30" t="str"/>
      <x:c r="I70" s="30" t="str"/>
      <x:c r="J70" s="30" t="str"/>
      <x:c r="K70" s="30" t="str"/>
      <x:c r="L70" s="30" t="str"/>
      <x:c r="M70" s="30" t="str"/>
      <x:c r="N70" s="30" t="str"/>
      <x:c r="O70" s="30" t="str"/>
      <x:c r="P70" s="30" t="str"/>
      <x:c r="Q70" s="31" t="str"/>
      <x:c r="R70" s="31" t="str"/>
      <x:c r="S70" s="30" t="str"/>
      <x:c r="T70" s="30" t="str"/>
      <x:c r="U70" s="30" t="str"/>
      <x:c r="V70" s="40" t="str">
        <x:f>IF(B70="","",COUNTA(H70:L70)/5)</x:f>
      </x:c>
    </x:row>
    <x:row r="71">
      <x:c r="A71" s="30" t="str">
        <x:f>IF(B71="","",B71&amp;"-"&amp;C71)</x:f>
      </x:c>
      <x:c r="B71" s="30" t="str">
        <x:f>'01_命例主档'!A9</x:f>
      </x:c>
      <x:c r="C71" s="30" t="str">
        <x:v>M13</x:v>
      </x:c>
      <x:c r="D71" s="30" t="str">
        <x:v>寒暖燥湿</x:v>
      </x:c>
      <x:c r="E71" s="30" t="str">
        <x:v>结构层</x:v>
      </x:c>
      <x:c r="F71" s="30" t="str">
        <x:v>M02/M08/M12</x:v>
      </x:c>
      <x:c r="G71" s="30" t="str">
        <x:v>未开始</x:v>
      </x:c>
      <x:c r="H71" s="30" t="str"/>
      <x:c r="I71" s="30" t="str"/>
      <x:c r="J71" s="30" t="str"/>
      <x:c r="K71" s="30" t="str"/>
      <x:c r="L71" s="30" t="str"/>
      <x:c r="M71" s="30" t="str"/>
      <x:c r="N71" s="30" t="str"/>
      <x:c r="O71" s="30" t="str"/>
      <x:c r="P71" s="30" t="str"/>
      <x:c r="Q71" s="31" t="str"/>
      <x:c r="R71" s="31" t="str"/>
      <x:c r="S71" s="30" t="str"/>
      <x:c r="T71" s="30" t="str"/>
      <x:c r="U71" s="30" t="str"/>
      <x:c r="V71" s="40" t="str">
        <x:f>IF(B71="","",COUNTA(H71:L71)/5)</x:f>
      </x:c>
    </x:row>
    <x:row r="72">
      <x:c r="A72" s="30" t="str">
        <x:f>IF(B72="","",B72&amp;"-"&amp;C72)</x:f>
      </x:c>
      <x:c r="B72" s="30" t="str">
        <x:f>'01_命例主档'!A9</x:f>
      </x:c>
      <x:c r="C72" s="30" t="str">
        <x:v>M14</x:v>
      </x:c>
      <x:c r="D72" s="30" t="str">
        <x:v>格局候选判断</x:v>
      </x:c>
      <x:c r="E72" s="30" t="str">
        <x:v>综合层</x:v>
      </x:c>
      <x:c r="F72" s="30" t="str">
        <x:v>M03/M06/M08/M09/M10/M11</x:v>
      </x:c>
      <x:c r="G72" s="30" t="str">
        <x:v>未开始</x:v>
      </x:c>
      <x:c r="H72" s="30" t="str"/>
      <x:c r="I72" s="30" t="str"/>
      <x:c r="J72" s="30" t="str"/>
      <x:c r="K72" s="30" t="str"/>
      <x:c r="L72" s="30" t="str"/>
      <x:c r="M72" s="30" t="str"/>
      <x:c r="N72" s="30" t="str"/>
      <x:c r="O72" s="30" t="str"/>
      <x:c r="P72" s="30" t="str"/>
      <x:c r="Q72" s="31" t="str"/>
      <x:c r="R72" s="31" t="str"/>
      <x:c r="S72" s="30" t="str"/>
      <x:c r="T72" s="30" t="str"/>
      <x:c r="U72" s="30" t="str"/>
      <x:c r="V72" s="40" t="str">
        <x:f>IF(B72="","",COUNTA(H72:L72)/5)</x:f>
      </x:c>
    </x:row>
    <x:row r="73">
      <x:c r="A73" s="30" t="str">
        <x:f>IF(B73="","",B73&amp;"-"&amp;C73)</x:f>
      </x:c>
      <x:c r="B73" s="30" t="str">
        <x:f>'01_命例主档'!A9</x:f>
      </x:c>
      <x:c r="C73" s="30" t="str">
        <x:v>M15</x:v>
      </x:c>
      <x:c r="D73" s="30" t="str">
        <x:v>格局成败救应</x:v>
      </x:c>
      <x:c r="E73" s="30" t="str">
        <x:v>综合层</x:v>
      </x:c>
      <x:c r="F73" s="30" t="str">
        <x:v>M14/M11/M08</x:v>
      </x:c>
      <x:c r="G73" s="30" t="str">
        <x:v>未开始</x:v>
      </x:c>
      <x:c r="H73" s="30" t="str"/>
      <x:c r="I73" s="30" t="str"/>
      <x:c r="J73" s="30" t="str"/>
      <x:c r="K73" s="30" t="str"/>
      <x:c r="L73" s="30" t="str"/>
      <x:c r="M73" s="30" t="str"/>
      <x:c r="N73" s="30" t="str"/>
      <x:c r="O73" s="30" t="str"/>
      <x:c r="P73" s="30" t="str"/>
      <x:c r="Q73" s="31" t="str"/>
      <x:c r="R73" s="31" t="str"/>
      <x:c r="S73" s="30" t="str"/>
      <x:c r="T73" s="30" t="str"/>
      <x:c r="U73" s="30" t="str"/>
      <x:c r="V73" s="40" t="str">
        <x:f>IF(B73="","",COUNTA(H73:L73)/5)</x:f>
      </x:c>
    </x:row>
    <x:row r="74">
      <x:c r="A74" s="30" t="str">
        <x:f>IF(B74="","",B74&amp;"-"&amp;C74)</x:f>
      </x:c>
      <x:c r="B74" s="30" t="str">
        <x:f>'01_命例主档'!A9</x:f>
      </x:c>
      <x:c r="C74" s="30" t="str">
        <x:v>M16</x:v>
      </x:c>
      <x:c r="D74" s="30" t="str">
        <x:v>病药模型</x:v>
      </x:c>
      <x:c r="E74" s="30" t="str">
        <x:v>综合层</x:v>
      </x:c>
      <x:c r="F74" s="30" t="str">
        <x:v>M08-M15</x:v>
      </x:c>
      <x:c r="G74" s="30" t="str">
        <x:v>未开始</x:v>
      </x:c>
      <x:c r="H74" s="30" t="str"/>
      <x:c r="I74" s="30" t="str"/>
      <x:c r="J74" s="30" t="str"/>
      <x:c r="K74" s="30" t="str"/>
      <x:c r="L74" s="30" t="str"/>
      <x:c r="M74" s="30" t="str"/>
      <x:c r="N74" s="30" t="str"/>
      <x:c r="O74" s="30" t="str"/>
      <x:c r="P74" s="30" t="str"/>
      <x:c r="Q74" s="31" t="str"/>
      <x:c r="R74" s="31" t="str"/>
      <x:c r="S74" s="30" t="str"/>
      <x:c r="T74" s="30" t="str"/>
      <x:c r="U74" s="30" t="str"/>
      <x:c r="V74" s="40" t="str">
        <x:f>IF(B74="","",COUNTA(H74:L74)/5)</x:f>
      </x:c>
    </x:row>
    <x:row r="75">
      <x:c r="A75" s="30" t="str">
        <x:f>IF(B75="","",B75&amp;"-"&amp;C75)</x:f>
      </x:c>
      <x:c r="B75" s="30" t="str">
        <x:f>'01_命例主档'!A9</x:f>
      </x:c>
      <x:c r="C75" s="30" t="str">
        <x:v>M17</x:v>
      </x:c>
      <x:c r="D75" s="30" t="str">
        <x:v>喜忌用神矩阵</x:v>
      </x:c>
      <x:c r="E75" s="30" t="str">
        <x:v>综合层</x:v>
      </x:c>
      <x:c r="F75" s="30" t="str">
        <x:v>M09/M12/M13/M15/M16</x:v>
      </x:c>
      <x:c r="G75" s="30" t="str">
        <x:v>未开始</x:v>
      </x:c>
      <x:c r="H75" s="30" t="str"/>
      <x:c r="I75" s="30" t="str"/>
      <x:c r="J75" s="30" t="str"/>
      <x:c r="K75" s="30" t="str"/>
      <x:c r="L75" s="30" t="str"/>
      <x:c r="M75" s="30" t="str"/>
      <x:c r="N75" s="30" t="str"/>
      <x:c r="O75" s="30" t="str"/>
      <x:c r="P75" s="30" t="str"/>
      <x:c r="Q75" s="31" t="str"/>
      <x:c r="R75" s="31" t="str"/>
      <x:c r="S75" s="30" t="str"/>
      <x:c r="T75" s="30" t="str"/>
      <x:c r="U75" s="30" t="str"/>
      <x:c r="V75" s="40" t="str">
        <x:f>IF(B75="","",COUNTA(H75:L75)/5)</x:f>
      </x:c>
    </x:row>
    <x:row r="76">
      <x:c r="A76" s="30" t="str">
        <x:f>IF(B76="","",B76&amp;"-"&amp;C76)</x:f>
      </x:c>
      <x:c r="B76" s="30" t="str">
        <x:f>'01_命例主档'!A9</x:f>
      </x:c>
      <x:c r="C76" s="30" t="str">
        <x:v>M18</x:v>
      </x:c>
      <x:c r="D76" s="30" t="str">
        <x:v>冲突裁决规则</x:v>
      </x:c>
      <x:c r="E76" s="30" t="str">
        <x:v>综合层</x:v>
      </x:c>
      <x:c r="F76" s="30" t="str">
        <x:v>M14/M15/M16/M17</x:v>
      </x:c>
      <x:c r="G76" s="30" t="str">
        <x:v>未开始</x:v>
      </x:c>
      <x:c r="H76" s="30" t="str"/>
      <x:c r="I76" s="30" t="str"/>
      <x:c r="J76" s="30" t="str"/>
      <x:c r="K76" s="30" t="str"/>
      <x:c r="L76" s="30" t="str"/>
      <x:c r="M76" s="30" t="str"/>
      <x:c r="N76" s="30" t="str"/>
      <x:c r="O76" s="30" t="str"/>
      <x:c r="P76" s="30" t="str"/>
      <x:c r="Q76" s="31" t="str"/>
      <x:c r="R76" s="31" t="str"/>
      <x:c r="S76" s="30" t="str"/>
      <x:c r="T76" s="30" t="str"/>
      <x:c r="U76" s="30" t="str"/>
      <x:c r="V76" s="40" t="str">
        <x:f>IF(B76="","",COUNTA(H76:L76)/5)</x:f>
      </x:c>
    </x:row>
    <x:row r="77">
      <x:c r="A77" s="30" t="str">
        <x:f>IF(B77="","",B77&amp;"-"&amp;C77)</x:f>
      </x:c>
      <x:c r="B77" s="30" t="str">
        <x:f>'01_命例主档'!A9</x:f>
      </x:c>
      <x:c r="C77" s="30" t="str">
        <x:v>M19</x:v>
      </x:c>
      <x:c r="D77" s="30" t="str">
        <x:v>综合输出模板</x:v>
      </x:c>
      <x:c r="E77" s="30" t="str">
        <x:v>治理与输出</x:v>
      </x:c>
      <x:c r="F77" s="30" t="str">
        <x:v>M02-M18</x:v>
      </x:c>
      <x:c r="G77" s="30" t="str">
        <x:v>未开始</x:v>
      </x:c>
      <x:c r="H77" s="30" t="str"/>
      <x:c r="I77" s="30" t="str"/>
      <x:c r="J77" s="30" t="str"/>
      <x:c r="K77" s="30" t="str"/>
      <x:c r="L77" s="30" t="str"/>
      <x:c r="M77" s="30" t="str"/>
      <x:c r="N77" s="30" t="str"/>
      <x:c r="O77" s="30" t="str"/>
      <x:c r="P77" s="30" t="str"/>
      <x:c r="Q77" s="31" t="str"/>
      <x:c r="R77" s="31" t="str"/>
      <x:c r="S77" s="30" t="str"/>
      <x:c r="T77" s="30" t="str"/>
      <x:c r="U77" s="30" t="str"/>
      <x:c r="V77" s="40" t="str">
        <x:f>IF(B77="","",COUNTA(H77:L77)/5)</x:f>
      </x:c>
    </x:row>
    <x:row r="78">
      <x:c r="A78" s="30" t="str">
        <x:f>IF(B78="","",B78&amp;"-"&amp;C78)</x:f>
      </x:c>
      <x:c r="B78" s="30" t="str">
        <x:f>'01_命例主档'!A10</x:f>
      </x:c>
      <x:c r="C78" s="30" t="str">
        <x:v>M02</x:v>
      </x:c>
      <x:c r="D78" s="30" t="str">
        <x:v>干支藏干基础</x:v>
      </x:c>
      <x:c r="E78" s="30" t="str">
        <x:v>识别层</x:v>
      </x:c>
      <x:c r="F78" s="30" t="str">
        <x:v>无</x:v>
      </x:c>
      <x:c r="G78" s="30" t="str">
        <x:v>未开始</x:v>
      </x:c>
      <x:c r="H78" s="30" t="str"/>
      <x:c r="I78" s="30" t="str"/>
      <x:c r="J78" s="30" t="str"/>
      <x:c r="K78" s="30" t="str"/>
      <x:c r="L78" s="30" t="str"/>
      <x:c r="M78" s="30" t="str"/>
      <x:c r="N78" s="30" t="str"/>
      <x:c r="O78" s="30" t="str"/>
      <x:c r="P78" s="30" t="str"/>
      <x:c r="Q78" s="31" t="str"/>
      <x:c r="R78" s="31" t="str"/>
      <x:c r="S78" s="30" t="str"/>
      <x:c r="T78" s="30" t="str"/>
      <x:c r="U78" s="30" t="str"/>
      <x:c r="V78" s="40" t="str">
        <x:f>IF(B78="","",COUNTA(H78:L78)/5)</x:f>
      </x:c>
    </x:row>
    <x:row r="79">
      <x:c r="A79" s="30" t="str">
        <x:f>IF(B79="","",B79&amp;"-"&amp;C79)</x:f>
      </x:c>
      <x:c r="B79" s="30" t="str">
        <x:f>'01_命例主档'!A10</x:f>
      </x:c>
      <x:c r="C79" s="30" t="str">
        <x:v>M03</x:v>
      </x:c>
      <x:c r="D79" s="30" t="str">
        <x:v>月令与根气</x:v>
      </x:c>
      <x:c r="E79" s="30" t="str">
        <x:v>结构层</x:v>
      </x:c>
      <x:c r="F79" s="30" t="str">
        <x:v>M02</x:v>
      </x:c>
      <x:c r="G79" s="30" t="str">
        <x:v>未开始</x:v>
      </x:c>
      <x:c r="H79" s="30" t="str"/>
      <x:c r="I79" s="30" t="str"/>
      <x:c r="J79" s="30" t="str"/>
      <x:c r="K79" s="30" t="str"/>
      <x:c r="L79" s="30" t="str"/>
      <x:c r="M79" s="30" t="str"/>
      <x:c r="N79" s="30" t="str"/>
      <x:c r="O79" s="30" t="str"/>
      <x:c r="P79" s="30" t="str"/>
      <x:c r="Q79" s="31" t="str"/>
      <x:c r="R79" s="31" t="str"/>
      <x:c r="S79" s="30" t="str"/>
      <x:c r="T79" s="30" t="str"/>
      <x:c r="U79" s="30" t="str"/>
      <x:c r="V79" s="40" t="str">
        <x:f>IF(B79="","",COUNTA(H79:L79)/5)</x:f>
      </x:c>
    </x:row>
    <x:row r="80">
      <x:c r="A80" s="30" t="str">
        <x:f>IF(B80="","",B80&amp;"-"&amp;C80)</x:f>
      </x:c>
      <x:c r="B80" s="30" t="str">
        <x:f>'01_命例主档'!A10</x:f>
      </x:c>
      <x:c r="C80" s="30" t="str">
        <x:v>M04</x:v>
      </x:c>
      <x:c r="D80" s="30" t="str">
        <x:v>天干作用识别</x:v>
      </x:c>
      <x:c r="E80" s="30" t="str">
        <x:v>识别层</x:v>
      </x:c>
      <x:c r="F80" s="30" t="str">
        <x:v>M02</x:v>
      </x:c>
      <x:c r="G80" s="30" t="str">
        <x:v>未开始</x:v>
      </x:c>
      <x:c r="H80" s="30" t="str"/>
      <x:c r="I80" s="30" t="str"/>
      <x:c r="J80" s="30" t="str"/>
      <x:c r="K80" s="30" t="str"/>
      <x:c r="L80" s="30" t="str"/>
      <x:c r="M80" s="30" t="str"/>
      <x:c r="N80" s="30" t="str"/>
      <x:c r="O80" s="30" t="str"/>
      <x:c r="P80" s="30" t="str"/>
      <x:c r="Q80" s="31" t="str"/>
      <x:c r="R80" s="31" t="str"/>
      <x:c r="S80" s="30" t="str"/>
      <x:c r="T80" s="30" t="str"/>
      <x:c r="U80" s="30" t="str"/>
      <x:c r="V80" s="40" t="str">
        <x:f>IF(B80="","",COUNTA(H80:L80)/5)</x:f>
      </x:c>
    </x:row>
    <x:row r="81">
      <x:c r="A81" s="30" t="str">
        <x:f>IF(B81="","",B81&amp;"-"&amp;C81)</x:f>
      </x:c>
      <x:c r="B81" s="30" t="str">
        <x:f>'01_命例主档'!A10</x:f>
      </x:c>
      <x:c r="C81" s="30" t="str">
        <x:v>M05</x:v>
      </x:c>
      <x:c r="D81" s="30" t="str">
        <x:v>地支关系识别</x:v>
      </x:c>
      <x:c r="E81" s="30" t="str">
        <x:v>识别层</x:v>
      </x:c>
      <x:c r="F81" s="30" t="str">
        <x:v>M02</x:v>
      </x:c>
      <x:c r="G81" s="30" t="str">
        <x:v>未开始</x:v>
      </x:c>
      <x:c r="H81" s="30" t="str"/>
      <x:c r="I81" s="30" t="str"/>
      <x:c r="J81" s="30" t="str"/>
      <x:c r="K81" s="30" t="str"/>
      <x:c r="L81" s="30" t="str"/>
      <x:c r="M81" s="30" t="str"/>
      <x:c r="N81" s="30" t="str"/>
      <x:c r="O81" s="30" t="str"/>
      <x:c r="P81" s="30" t="str"/>
      <x:c r="Q81" s="31" t="str"/>
      <x:c r="R81" s="31" t="str"/>
      <x:c r="S81" s="30" t="str"/>
      <x:c r="T81" s="30" t="str"/>
      <x:c r="U81" s="30" t="str"/>
      <x:c r="V81" s="40" t="str">
        <x:f>IF(B81="","",COUNTA(H81:L81)/5)</x:f>
      </x:c>
    </x:row>
    <x:row r="82">
      <x:c r="A82" s="30" t="str">
        <x:f>IF(B82="","",B82&amp;"-"&amp;C82)</x:f>
      </x:c>
      <x:c r="B82" s="30" t="str">
        <x:f>'01_命例主档'!A10</x:f>
      </x:c>
      <x:c r="C82" s="30" t="str">
        <x:v>M06</x:v>
      </x:c>
      <x:c r="D82" s="30" t="str">
        <x:v>干支关系效应</x:v>
      </x:c>
      <x:c r="E82" s="30" t="str">
        <x:v>效应层</x:v>
      </x:c>
      <x:c r="F82" s="30" t="str">
        <x:v>M03/M04/M05</x:v>
      </x:c>
      <x:c r="G82" s="30" t="str">
        <x:v>未开始</x:v>
      </x:c>
      <x:c r="H82" s="30" t="str"/>
      <x:c r="I82" s="30" t="str"/>
      <x:c r="J82" s="30" t="str"/>
      <x:c r="K82" s="30" t="str"/>
      <x:c r="L82" s="30" t="str"/>
      <x:c r="M82" s="30" t="str"/>
      <x:c r="N82" s="30" t="str"/>
      <x:c r="O82" s="30" t="str"/>
      <x:c r="P82" s="30" t="str"/>
      <x:c r="Q82" s="31" t="str"/>
      <x:c r="R82" s="31" t="str"/>
      <x:c r="S82" s="30" t="str"/>
      <x:c r="T82" s="30" t="str"/>
      <x:c r="U82" s="30" t="str"/>
      <x:c r="V82" s="40" t="str">
        <x:f>IF(B82="","",COUNTA(H82:L82)/5)</x:f>
      </x:c>
    </x:row>
    <x:row r="83">
      <x:c r="A83" s="30" t="str">
        <x:f>IF(B83="","",B83&amp;"-"&amp;C83)</x:f>
      </x:c>
      <x:c r="B83" s="30" t="str">
        <x:f>'01_命例主档'!A10</x:f>
      </x:c>
      <x:c r="C83" s="30" t="str">
        <x:v>M07</x:v>
      </x:c>
      <x:c r="D83" s="30" t="str">
        <x:v>五行原始旺衰</x:v>
      </x:c>
      <x:c r="E83" s="30" t="str">
        <x:v>结构层</x:v>
      </x:c>
      <x:c r="F83" s="30" t="str">
        <x:v>M02/M03</x:v>
      </x:c>
      <x:c r="G83" s="30" t="str">
        <x:v>未开始</x:v>
      </x:c>
      <x:c r="H83" s="30" t="str"/>
      <x:c r="I83" s="30" t="str"/>
      <x:c r="J83" s="30" t="str"/>
      <x:c r="K83" s="30" t="str"/>
      <x:c r="L83" s="30" t="str"/>
      <x:c r="M83" s="30" t="str"/>
      <x:c r="N83" s="30" t="str"/>
      <x:c r="O83" s="30" t="str"/>
      <x:c r="P83" s="30" t="str"/>
      <x:c r="Q83" s="31" t="str"/>
      <x:c r="R83" s="31" t="str"/>
      <x:c r="S83" s="30" t="str"/>
      <x:c r="T83" s="30" t="str"/>
      <x:c r="U83" s="30" t="str"/>
      <x:c r="V83" s="40" t="str">
        <x:f>IF(B83="","",COUNTA(H83:L83)/5)</x:f>
      </x:c>
    </x:row>
    <x:row r="84">
      <x:c r="A84" s="30" t="str">
        <x:f>IF(B84="","",B84&amp;"-"&amp;C84)</x:f>
      </x:c>
      <x:c r="B84" s="30" t="str">
        <x:f>'01_命例主档'!A10</x:f>
      </x:c>
      <x:c r="C84" s="30" t="str">
        <x:v>M08</x:v>
      </x:c>
      <x:c r="D84" s="30" t="str">
        <x:v>五行有效旺衰</x:v>
      </x:c>
      <x:c r="E84" s="30" t="str">
        <x:v>结构层</x:v>
      </x:c>
      <x:c r="F84" s="30" t="str">
        <x:v>M06/M07</x:v>
      </x:c>
      <x:c r="G84" s="30" t="str">
        <x:v>未开始</x:v>
      </x:c>
      <x:c r="H84" s="30" t="str"/>
      <x:c r="I84" s="30" t="str"/>
      <x:c r="J84" s="30" t="str"/>
      <x:c r="K84" s="30" t="str"/>
      <x:c r="L84" s="30" t="str"/>
      <x:c r="M84" s="30" t="str"/>
      <x:c r="N84" s="30" t="str"/>
      <x:c r="O84" s="30" t="str"/>
      <x:c r="P84" s="30" t="str"/>
      <x:c r="Q84" s="31" t="str"/>
      <x:c r="R84" s="31" t="str"/>
      <x:c r="S84" s="30" t="str"/>
      <x:c r="T84" s="30" t="str"/>
      <x:c r="U84" s="30" t="str"/>
      <x:c r="V84" s="40" t="str">
        <x:f>IF(B84="","",COUNTA(H84:L84)/5)</x:f>
      </x:c>
    </x:row>
    <x:row r="85">
      <x:c r="A85" s="30" t="str">
        <x:f>IF(B85="","",B85&amp;"-"&amp;C85)</x:f>
      </x:c>
      <x:c r="B85" s="30" t="str">
        <x:f>'01_命例主档'!A10</x:f>
      </x:c>
      <x:c r="C85" s="30" t="str">
        <x:v>M09</x:v>
      </x:c>
      <x:c r="D85" s="30" t="str">
        <x:v>日主旺衰</x:v>
      </x:c>
      <x:c r="E85" s="30" t="str">
        <x:v>综合层</x:v>
      </x:c>
      <x:c r="F85" s="30" t="str">
        <x:v>M03/M07/M08</x:v>
      </x:c>
      <x:c r="G85" s="30" t="str">
        <x:v>未开始</x:v>
      </x:c>
      <x:c r="H85" s="30" t="str"/>
      <x:c r="I85" s="30" t="str"/>
      <x:c r="J85" s="30" t="str"/>
      <x:c r="K85" s="30" t="str"/>
      <x:c r="L85" s="30" t="str"/>
      <x:c r="M85" s="30" t="str"/>
      <x:c r="N85" s="30" t="str"/>
      <x:c r="O85" s="30" t="str"/>
      <x:c r="P85" s="30" t="str"/>
      <x:c r="Q85" s="31" t="str"/>
      <x:c r="R85" s="31" t="str"/>
      <x:c r="S85" s="30" t="str"/>
      <x:c r="T85" s="30" t="str"/>
      <x:c r="U85" s="30" t="str"/>
      <x:c r="V85" s="40" t="str">
        <x:f>IF(B85="","",COUNTA(H85:L85)/5)</x:f>
      </x:c>
    </x:row>
    <x:row r="86">
      <x:c r="A86" s="30" t="str">
        <x:f>IF(B86="","",B86&amp;"-"&amp;C86)</x:f>
      </x:c>
      <x:c r="B86" s="30" t="str">
        <x:f>'01_命例主档'!A10</x:f>
      </x:c>
      <x:c r="C86" s="30" t="str">
        <x:v>M10</x:v>
      </x:c>
      <x:c r="D86" s="30" t="str">
        <x:v>十神旺衰功能</x:v>
      </x:c>
      <x:c r="E86" s="30" t="str">
        <x:v>结构层</x:v>
      </x:c>
      <x:c r="F86" s="30" t="str">
        <x:v>M02/M08/M09</x:v>
      </x:c>
      <x:c r="G86" s="30" t="str">
        <x:v>未开始</x:v>
      </x:c>
      <x:c r="H86" s="30" t="str"/>
      <x:c r="I86" s="30" t="str"/>
      <x:c r="J86" s="30" t="str"/>
      <x:c r="K86" s="30" t="str"/>
      <x:c r="L86" s="30" t="str"/>
      <x:c r="M86" s="30" t="str"/>
      <x:c r="N86" s="30" t="str"/>
      <x:c r="O86" s="30" t="str"/>
      <x:c r="P86" s="30" t="str"/>
      <x:c r="Q86" s="31" t="str"/>
      <x:c r="R86" s="31" t="str"/>
      <x:c r="S86" s="30" t="str"/>
      <x:c r="T86" s="30" t="str"/>
      <x:c r="U86" s="30" t="str"/>
      <x:c r="V86" s="40" t="str">
        <x:f>IF(B86="","",COUNTA(H86:L86)/5)</x:f>
      </x:c>
    </x:row>
    <x:row r="87">
      <x:c r="A87" s="30" t="str">
        <x:f>IF(B87="","",B87&amp;"-"&amp;C87)</x:f>
      </x:c>
      <x:c r="B87" s="30" t="str">
        <x:f>'01_命例主档'!A10</x:f>
      </x:c>
      <x:c r="C87" s="30" t="str">
        <x:v>M11</x:v>
      </x:c>
      <x:c r="D87" s="30" t="str">
        <x:v>十神组合成立</x:v>
      </x:c>
      <x:c r="E87" s="30" t="str">
        <x:v>结构层</x:v>
      </x:c>
      <x:c r="F87" s="30" t="str">
        <x:v>M08/M09/M10</x:v>
      </x:c>
      <x:c r="G87" s="30" t="str">
        <x:v>未开始</x:v>
      </x:c>
      <x:c r="H87" s="30" t="str"/>
      <x:c r="I87" s="30" t="str"/>
      <x:c r="J87" s="30" t="str"/>
      <x:c r="K87" s="30" t="str"/>
      <x:c r="L87" s="30" t="str"/>
      <x:c r="M87" s="30" t="str"/>
      <x:c r="N87" s="30" t="str"/>
      <x:c r="O87" s="30" t="str"/>
      <x:c r="P87" s="30" t="str"/>
      <x:c r="Q87" s="31" t="str"/>
      <x:c r="R87" s="31" t="str"/>
      <x:c r="S87" s="30" t="str"/>
      <x:c r="T87" s="30" t="str"/>
      <x:c r="U87" s="30" t="str"/>
      <x:c r="V87" s="40" t="str">
        <x:f>IF(B87="","",COUNTA(H87:L87)/5)</x:f>
      </x:c>
    </x:row>
    <x:row r="88">
      <x:c r="A88" s="30" t="str">
        <x:f>IF(B88="","",B88&amp;"-"&amp;C88)</x:f>
      </x:c>
      <x:c r="B88" s="30" t="str">
        <x:f>'01_命例主档'!A10</x:f>
      </x:c>
      <x:c r="C88" s="30" t="str">
        <x:v>M12</x:v>
      </x:c>
      <x:c r="D88" s="30" t="str">
        <x:v>五行流通卡点</x:v>
      </x:c>
      <x:c r="E88" s="30" t="str">
        <x:v>结构层</x:v>
      </x:c>
      <x:c r="F88" s="30" t="str">
        <x:v>M06/M08/M10/M11</x:v>
      </x:c>
      <x:c r="G88" s="30" t="str">
        <x:v>未开始</x:v>
      </x:c>
      <x:c r="H88" s="30" t="str"/>
      <x:c r="I88" s="30" t="str"/>
      <x:c r="J88" s="30" t="str"/>
      <x:c r="K88" s="30" t="str"/>
      <x:c r="L88" s="30" t="str"/>
      <x:c r="M88" s="30" t="str"/>
      <x:c r="N88" s="30" t="str"/>
      <x:c r="O88" s="30" t="str"/>
      <x:c r="P88" s="30" t="str"/>
      <x:c r="Q88" s="31" t="str"/>
      <x:c r="R88" s="31" t="str"/>
      <x:c r="S88" s="30" t="str"/>
      <x:c r="T88" s="30" t="str"/>
      <x:c r="U88" s="30" t="str"/>
      <x:c r="V88" s="40" t="str">
        <x:f>IF(B88="","",COUNTA(H88:L88)/5)</x:f>
      </x:c>
    </x:row>
    <x:row r="89">
      <x:c r="A89" s="30" t="str">
        <x:f>IF(B89="","",B89&amp;"-"&amp;C89)</x:f>
      </x:c>
      <x:c r="B89" s="30" t="str">
        <x:f>'01_命例主档'!A10</x:f>
      </x:c>
      <x:c r="C89" s="30" t="str">
        <x:v>M13</x:v>
      </x:c>
      <x:c r="D89" s="30" t="str">
        <x:v>寒暖燥湿</x:v>
      </x:c>
      <x:c r="E89" s="30" t="str">
        <x:v>结构层</x:v>
      </x:c>
      <x:c r="F89" s="30" t="str">
        <x:v>M02/M08/M12</x:v>
      </x:c>
      <x:c r="G89" s="30" t="str">
        <x:v>未开始</x:v>
      </x:c>
      <x:c r="H89" s="30" t="str"/>
      <x:c r="I89" s="30" t="str"/>
      <x:c r="J89" s="30" t="str"/>
      <x:c r="K89" s="30" t="str"/>
      <x:c r="L89" s="30" t="str"/>
      <x:c r="M89" s="30" t="str"/>
      <x:c r="N89" s="30" t="str"/>
      <x:c r="O89" s="30" t="str"/>
      <x:c r="P89" s="30" t="str"/>
      <x:c r="Q89" s="31" t="str"/>
      <x:c r="R89" s="31" t="str"/>
      <x:c r="S89" s="30" t="str"/>
      <x:c r="T89" s="30" t="str"/>
      <x:c r="U89" s="30" t="str"/>
      <x:c r="V89" s="40" t="str">
        <x:f>IF(B89="","",COUNTA(H89:L89)/5)</x:f>
      </x:c>
    </x:row>
    <x:row r="90">
      <x:c r="A90" s="30" t="str">
        <x:f>IF(B90="","",B90&amp;"-"&amp;C90)</x:f>
      </x:c>
      <x:c r="B90" s="30" t="str">
        <x:f>'01_命例主档'!A10</x:f>
      </x:c>
      <x:c r="C90" s="30" t="str">
        <x:v>M14</x:v>
      </x:c>
      <x:c r="D90" s="30" t="str">
        <x:v>格局候选判断</x:v>
      </x:c>
      <x:c r="E90" s="30" t="str">
        <x:v>综合层</x:v>
      </x:c>
      <x:c r="F90" s="30" t="str">
        <x:v>M03/M06/M08/M09/M10/M11</x:v>
      </x:c>
      <x:c r="G90" s="30" t="str">
        <x:v>未开始</x:v>
      </x:c>
      <x:c r="H90" s="30" t="str"/>
      <x:c r="I90" s="30" t="str"/>
      <x:c r="J90" s="30" t="str"/>
      <x:c r="K90" s="30" t="str"/>
      <x:c r="L90" s="30" t="str"/>
      <x:c r="M90" s="30" t="str"/>
      <x:c r="N90" s="30" t="str"/>
      <x:c r="O90" s="30" t="str"/>
      <x:c r="P90" s="30" t="str"/>
      <x:c r="Q90" s="31" t="str"/>
      <x:c r="R90" s="31" t="str"/>
      <x:c r="S90" s="30" t="str"/>
      <x:c r="T90" s="30" t="str"/>
      <x:c r="U90" s="30" t="str"/>
      <x:c r="V90" s="40" t="str">
        <x:f>IF(B90="","",COUNTA(H90:L90)/5)</x:f>
      </x:c>
    </x:row>
    <x:row r="91">
      <x:c r="A91" s="30" t="str">
        <x:f>IF(B91="","",B91&amp;"-"&amp;C91)</x:f>
      </x:c>
      <x:c r="B91" s="30" t="str">
        <x:f>'01_命例主档'!A10</x:f>
      </x:c>
      <x:c r="C91" s="30" t="str">
        <x:v>M15</x:v>
      </x:c>
      <x:c r="D91" s="30" t="str">
        <x:v>格局成败救应</x:v>
      </x:c>
      <x:c r="E91" s="30" t="str">
        <x:v>综合层</x:v>
      </x:c>
      <x:c r="F91" s="30" t="str">
        <x:v>M14/M11/M08</x:v>
      </x:c>
      <x:c r="G91" s="30" t="str">
        <x:v>未开始</x:v>
      </x:c>
      <x:c r="H91" s="30" t="str"/>
      <x:c r="I91" s="30" t="str"/>
      <x:c r="J91" s="30" t="str"/>
      <x:c r="K91" s="30" t="str"/>
      <x:c r="L91" s="30" t="str"/>
      <x:c r="M91" s="30" t="str"/>
      <x:c r="N91" s="30" t="str"/>
      <x:c r="O91" s="30" t="str"/>
      <x:c r="P91" s="30" t="str"/>
      <x:c r="Q91" s="31" t="str"/>
      <x:c r="R91" s="31" t="str"/>
      <x:c r="S91" s="30" t="str"/>
      <x:c r="T91" s="30" t="str"/>
      <x:c r="U91" s="30" t="str"/>
      <x:c r="V91" s="40" t="str">
        <x:f>IF(B91="","",COUNTA(H91:L91)/5)</x:f>
      </x:c>
    </x:row>
    <x:row r="92">
      <x:c r="A92" s="30" t="str">
        <x:f>IF(B92="","",B92&amp;"-"&amp;C92)</x:f>
      </x:c>
      <x:c r="B92" s="30" t="str">
        <x:f>'01_命例主档'!A10</x:f>
      </x:c>
      <x:c r="C92" s="30" t="str">
        <x:v>M16</x:v>
      </x:c>
      <x:c r="D92" s="30" t="str">
        <x:v>病药模型</x:v>
      </x:c>
      <x:c r="E92" s="30" t="str">
        <x:v>综合层</x:v>
      </x:c>
      <x:c r="F92" s="30" t="str">
        <x:v>M08-M15</x:v>
      </x:c>
      <x:c r="G92" s="30" t="str">
        <x:v>未开始</x:v>
      </x:c>
      <x:c r="H92" s="30" t="str"/>
      <x:c r="I92" s="30" t="str"/>
      <x:c r="J92" s="30" t="str"/>
      <x:c r="K92" s="30" t="str"/>
      <x:c r="L92" s="30" t="str"/>
      <x:c r="M92" s="30" t="str"/>
      <x:c r="N92" s="30" t="str"/>
      <x:c r="O92" s="30" t="str"/>
      <x:c r="P92" s="30" t="str"/>
      <x:c r="Q92" s="31" t="str"/>
      <x:c r="R92" s="31" t="str"/>
      <x:c r="S92" s="30" t="str"/>
      <x:c r="T92" s="30" t="str"/>
      <x:c r="U92" s="30" t="str"/>
      <x:c r="V92" s="40" t="str">
        <x:f>IF(B92="","",COUNTA(H92:L92)/5)</x:f>
      </x:c>
    </x:row>
    <x:row r="93">
      <x:c r="A93" s="30" t="str">
        <x:f>IF(B93="","",B93&amp;"-"&amp;C93)</x:f>
      </x:c>
      <x:c r="B93" s="30" t="str">
        <x:f>'01_命例主档'!A10</x:f>
      </x:c>
      <x:c r="C93" s="30" t="str">
        <x:v>M17</x:v>
      </x:c>
      <x:c r="D93" s="30" t="str">
        <x:v>喜忌用神矩阵</x:v>
      </x:c>
      <x:c r="E93" s="30" t="str">
        <x:v>综合层</x:v>
      </x:c>
      <x:c r="F93" s="30" t="str">
        <x:v>M09/M12/M13/M15/M16</x:v>
      </x:c>
      <x:c r="G93" s="30" t="str">
        <x:v>未开始</x:v>
      </x:c>
      <x:c r="H93" s="30" t="str"/>
      <x:c r="I93" s="30" t="str"/>
      <x:c r="J93" s="30" t="str"/>
      <x:c r="K93" s="30" t="str"/>
      <x:c r="L93" s="30" t="str"/>
      <x:c r="M93" s="30" t="str"/>
      <x:c r="N93" s="30" t="str"/>
      <x:c r="O93" s="30" t="str"/>
      <x:c r="P93" s="30" t="str"/>
      <x:c r="Q93" s="31" t="str"/>
      <x:c r="R93" s="31" t="str"/>
      <x:c r="S93" s="30" t="str"/>
      <x:c r="T93" s="30" t="str"/>
      <x:c r="U93" s="30" t="str"/>
      <x:c r="V93" s="40" t="str">
        <x:f>IF(B93="","",COUNTA(H93:L93)/5)</x:f>
      </x:c>
    </x:row>
    <x:row r="94">
      <x:c r="A94" s="30" t="str">
        <x:f>IF(B94="","",B94&amp;"-"&amp;C94)</x:f>
      </x:c>
      <x:c r="B94" s="30" t="str">
        <x:f>'01_命例主档'!A10</x:f>
      </x:c>
      <x:c r="C94" s="30" t="str">
        <x:v>M18</x:v>
      </x:c>
      <x:c r="D94" s="30" t="str">
        <x:v>冲突裁决规则</x:v>
      </x:c>
      <x:c r="E94" s="30" t="str">
        <x:v>综合层</x:v>
      </x:c>
      <x:c r="F94" s="30" t="str">
        <x:v>M14/M15/M16/M17</x:v>
      </x:c>
      <x:c r="G94" s="30" t="str">
        <x:v>未开始</x:v>
      </x:c>
      <x:c r="H94" s="30" t="str"/>
      <x:c r="I94" s="30" t="str"/>
      <x:c r="J94" s="30" t="str"/>
      <x:c r="K94" s="30" t="str"/>
      <x:c r="L94" s="30" t="str"/>
      <x:c r="M94" s="30" t="str"/>
      <x:c r="N94" s="30" t="str"/>
      <x:c r="O94" s="30" t="str"/>
      <x:c r="P94" s="30" t="str"/>
      <x:c r="Q94" s="31" t="str"/>
      <x:c r="R94" s="31" t="str"/>
      <x:c r="S94" s="30" t="str"/>
      <x:c r="T94" s="30" t="str"/>
      <x:c r="U94" s="30" t="str"/>
      <x:c r="V94" s="40" t="str">
        <x:f>IF(B94="","",COUNTA(H94:L94)/5)</x:f>
      </x:c>
    </x:row>
    <x:row r="95">
      <x:c r="A95" s="30" t="str">
        <x:f>IF(B95="","",B95&amp;"-"&amp;C95)</x:f>
      </x:c>
      <x:c r="B95" s="30" t="str">
        <x:f>'01_命例主档'!A10</x:f>
      </x:c>
      <x:c r="C95" s="30" t="str">
        <x:v>M19</x:v>
      </x:c>
      <x:c r="D95" s="30" t="str">
        <x:v>综合输出模板</x:v>
      </x:c>
      <x:c r="E95" s="30" t="str">
        <x:v>治理与输出</x:v>
      </x:c>
      <x:c r="F95" s="30" t="str">
        <x:v>M02-M18</x:v>
      </x:c>
      <x:c r="G95" s="30" t="str">
        <x:v>未开始</x:v>
      </x:c>
      <x:c r="H95" s="30" t="str"/>
      <x:c r="I95" s="30" t="str"/>
      <x:c r="J95" s="30" t="str"/>
      <x:c r="K95" s="30" t="str"/>
      <x:c r="L95" s="30" t="str"/>
      <x:c r="M95" s="30" t="str"/>
      <x:c r="N95" s="30" t="str"/>
      <x:c r="O95" s="30" t="str"/>
      <x:c r="P95" s="30" t="str"/>
      <x:c r="Q95" s="31" t="str"/>
      <x:c r="R95" s="31" t="str"/>
      <x:c r="S95" s="30" t="str"/>
      <x:c r="T95" s="30" t="str"/>
      <x:c r="U95" s="30" t="str"/>
      <x:c r="V95" s="40" t="str">
        <x:f>IF(B95="","",COUNTA(H95:L95)/5)</x:f>
      </x:c>
    </x:row>
    <x:row r="96">
      <x:c r="A96" s="30" t="str">
        <x:f>IF(B96="","",B96&amp;"-"&amp;C96)</x:f>
      </x:c>
      <x:c r="B96" s="30" t="str">
        <x:f>'01_命例主档'!A11</x:f>
      </x:c>
      <x:c r="C96" s="30" t="str">
        <x:v>M02</x:v>
      </x:c>
      <x:c r="D96" s="30" t="str">
        <x:v>干支藏干基础</x:v>
      </x:c>
      <x:c r="E96" s="30" t="str">
        <x:v>识别层</x:v>
      </x:c>
      <x:c r="F96" s="30" t="str">
        <x:v>无</x:v>
      </x:c>
      <x:c r="G96" s="30" t="str">
        <x:v>未开始</x:v>
      </x:c>
      <x:c r="H96" s="30" t="str"/>
      <x:c r="I96" s="30" t="str"/>
      <x:c r="J96" s="30" t="str"/>
      <x:c r="K96" s="30" t="str"/>
      <x:c r="L96" s="30" t="str"/>
      <x:c r="M96" s="30" t="str"/>
      <x:c r="N96" s="30" t="str"/>
      <x:c r="O96" s="30" t="str"/>
      <x:c r="P96" s="30" t="str"/>
      <x:c r="Q96" s="31" t="str"/>
      <x:c r="R96" s="31" t="str"/>
      <x:c r="S96" s="30" t="str"/>
      <x:c r="T96" s="30" t="str"/>
      <x:c r="U96" s="30" t="str"/>
      <x:c r="V96" s="40" t="str">
        <x:f>IF(B96="","",COUNTA(H96:L96)/5)</x:f>
      </x:c>
    </x:row>
    <x:row r="97">
      <x:c r="A97" s="30" t="str">
        <x:f>IF(B97="","",B97&amp;"-"&amp;C97)</x:f>
      </x:c>
      <x:c r="B97" s="30" t="str">
        <x:f>'01_命例主档'!A11</x:f>
      </x:c>
      <x:c r="C97" s="30" t="str">
        <x:v>M03</x:v>
      </x:c>
      <x:c r="D97" s="30" t="str">
        <x:v>月令与根气</x:v>
      </x:c>
      <x:c r="E97" s="30" t="str">
        <x:v>结构层</x:v>
      </x:c>
      <x:c r="F97" s="30" t="str">
        <x:v>M02</x:v>
      </x:c>
      <x:c r="G97" s="30" t="str">
        <x:v>未开始</x:v>
      </x:c>
      <x:c r="H97" s="30" t="str"/>
      <x:c r="I97" s="30" t="str"/>
      <x:c r="J97" s="30" t="str"/>
      <x:c r="K97" s="30" t="str"/>
      <x:c r="L97" s="30" t="str"/>
      <x:c r="M97" s="30" t="str"/>
      <x:c r="N97" s="30" t="str"/>
      <x:c r="O97" s="30" t="str"/>
      <x:c r="P97" s="30" t="str"/>
      <x:c r="Q97" s="31" t="str"/>
      <x:c r="R97" s="31" t="str"/>
      <x:c r="S97" s="30" t="str"/>
      <x:c r="T97" s="30" t="str"/>
      <x:c r="U97" s="30" t="str"/>
      <x:c r="V97" s="40" t="str">
        <x:f>IF(B97="","",COUNTA(H97:L97)/5)</x:f>
      </x:c>
    </x:row>
    <x:row r="98">
      <x:c r="A98" s="30" t="str">
        <x:f>IF(B98="","",B98&amp;"-"&amp;C98)</x:f>
      </x:c>
      <x:c r="B98" s="30" t="str">
        <x:f>'01_命例主档'!A11</x:f>
      </x:c>
      <x:c r="C98" s="30" t="str">
        <x:v>M04</x:v>
      </x:c>
      <x:c r="D98" s="30" t="str">
        <x:v>天干作用识别</x:v>
      </x:c>
      <x:c r="E98" s="30" t="str">
        <x:v>识别层</x:v>
      </x:c>
      <x:c r="F98" s="30" t="str">
        <x:v>M02</x:v>
      </x:c>
      <x:c r="G98" s="30" t="str">
        <x:v>未开始</x:v>
      </x:c>
      <x:c r="H98" s="30" t="str"/>
      <x:c r="I98" s="30" t="str"/>
      <x:c r="J98" s="30" t="str"/>
      <x:c r="K98" s="30" t="str"/>
      <x:c r="L98" s="30" t="str"/>
      <x:c r="M98" s="30" t="str"/>
      <x:c r="N98" s="30" t="str"/>
      <x:c r="O98" s="30" t="str"/>
      <x:c r="P98" s="30" t="str"/>
      <x:c r="Q98" s="31" t="str"/>
      <x:c r="R98" s="31" t="str"/>
      <x:c r="S98" s="30" t="str"/>
      <x:c r="T98" s="30" t="str"/>
      <x:c r="U98" s="30" t="str"/>
      <x:c r="V98" s="40" t="str">
        <x:f>IF(B98="","",COUNTA(H98:L98)/5)</x:f>
      </x:c>
    </x:row>
    <x:row r="99">
      <x:c r="A99" s="30" t="str">
        <x:f>IF(B99="","",B99&amp;"-"&amp;C99)</x:f>
      </x:c>
      <x:c r="B99" s="30" t="str">
        <x:f>'01_命例主档'!A11</x:f>
      </x:c>
      <x:c r="C99" s="30" t="str">
        <x:v>M05</x:v>
      </x:c>
      <x:c r="D99" s="30" t="str">
        <x:v>地支关系识别</x:v>
      </x:c>
      <x:c r="E99" s="30" t="str">
        <x:v>识别层</x:v>
      </x:c>
      <x:c r="F99" s="30" t="str">
        <x:v>M02</x:v>
      </x:c>
      <x:c r="G99" s="30" t="str">
        <x:v>未开始</x:v>
      </x:c>
      <x:c r="H99" s="30" t="str"/>
      <x:c r="I99" s="30" t="str"/>
      <x:c r="J99" s="30" t="str"/>
      <x:c r="K99" s="30" t="str"/>
      <x:c r="L99" s="30" t="str"/>
      <x:c r="M99" s="30" t="str"/>
      <x:c r="N99" s="30" t="str"/>
      <x:c r="O99" s="30" t="str"/>
      <x:c r="P99" s="30" t="str"/>
      <x:c r="Q99" s="31" t="str"/>
      <x:c r="R99" s="31" t="str"/>
      <x:c r="S99" s="30" t="str"/>
      <x:c r="T99" s="30" t="str"/>
      <x:c r="U99" s="30" t="str"/>
      <x:c r="V99" s="40" t="str">
        <x:f>IF(B99="","",COUNTA(H99:L99)/5)</x:f>
      </x:c>
    </x:row>
    <x:row r="100">
      <x:c r="A100" s="30" t="str">
        <x:f>IF(B100="","",B100&amp;"-"&amp;C100)</x:f>
      </x:c>
      <x:c r="B100" s="30" t="str">
        <x:f>'01_命例主档'!A11</x:f>
      </x:c>
      <x:c r="C100" s="30" t="str">
        <x:v>M06</x:v>
      </x:c>
      <x:c r="D100" s="30" t="str">
        <x:v>干支关系效应</x:v>
      </x:c>
      <x:c r="E100" s="30" t="str">
        <x:v>效应层</x:v>
      </x:c>
      <x:c r="F100" s="30" t="str">
        <x:v>M03/M04/M05</x:v>
      </x:c>
      <x:c r="G100" s="30" t="str">
        <x:v>未开始</x:v>
      </x:c>
      <x:c r="H100" s="30" t="str"/>
      <x:c r="I100" s="30" t="str"/>
      <x:c r="J100" s="30" t="str"/>
      <x:c r="K100" s="30" t="str"/>
      <x:c r="L100" s="30" t="str"/>
      <x:c r="M100" s="30" t="str"/>
      <x:c r="N100" s="30" t="str"/>
      <x:c r="O100" s="30" t="str"/>
      <x:c r="P100" s="30" t="str"/>
      <x:c r="Q100" s="31" t="str"/>
      <x:c r="R100" s="31" t="str"/>
      <x:c r="S100" s="30" t="str"/>
      <x:c r="T100" s="30" t="str"/>
      <x:c r="U100" s="30" t="str"/>
      <x:c r="V100" s="40" t="str">
        <x:f>IF(B100="","",COUNTA(H100:L100)/5)</x:f>
      </x:c>
    </x:row>
    <x:row r="101">
      <x:c r="A101" s="30" t="str">
        <x:f>IF(B101="","",B101&amp;"-"&amp;C101)</x:f>
      </x:c>
      <x:c r="B101" s="30" t="str">
        <x:f>'01_命例主档'!A11</x:f>
      </x:c>
      <x:c r="C101" s="30" t="str">
        <x:v>M07</x:v>
      </x:c>
      <x:c r="D101" s="30" t="str">
        <x:v>五行原始旺衰</x:v>
      </x:c>
      <x:c r="E101" s="30" t="str">
        <x:v>结构层</x:v>
      </x:c>
      <x:c r="F101" s="30" t="str">
        <x:v>M02/M03</x:v>
      </x:c>
      <x:c r="G101" s="30" t="str">
        <x:v>未开始</x:v>
      </x:c>
      <x:c r="H101" s="30" t="str"/>
      <x:c r="I101" s="30" t="str"/>
      <x:c r="J101" s="30" t="str"/>
      <x:c r="K101" s="30" t="str"/>
      <x:c r="L101" s="30" t="str"/>
      <x:c r="M101" s="30" t="str"/>
      <x:c r="N101" s="30" t="str"/>
      <x:c r="O101" s="30" t="str"/>
      <x:c r="P101" s="30" t="str"/>
      <x:c r="Q101" s="31" t="str"/>
      <x:c r="R101" s="31" t="str"/>
      <x:c r="S101" s="30" t="str"/>
      <x:c r="T101" s="30" t="str"/>
      <x:c r="U101" s="30" t="str"/>
      <x:c r="V101" s="40" t="str">
        <x:f>IF(B101="","",COUNTA(H101:L101)/5)</x:f>
      </x:c>
    </x:row>
    <x:row r="102">
      <x:c r="A102" s="30" t="str">
        <x:f>IF(B102="","",B102&amp;"-"&amp;C102)</x:f>
      </x:c>
      <x:c r="B102" s="30" t="str">
        <x:f>'01_命例主档'!A11</x:f>
      </x:c>
      <x:c r="C102" s="30" t="str">
        <x:v>M08</x:v>
      </x:c>
      <x:c r="D102" s="30" t="str">
        <x:v>五行有效旺衰</x:v>
      </x:c>
      <x:c r="E102" s="30" t="str">
        <x:v>结构层</x:v>
      </x:c>
      <x:c r="F102" s="30" t="str">
        <x:v>M06/M07</x:v>
      </x:c>
      <x:c r="G102" s="30" t="str">
        <x:v>未开始</x:v>
      </x:c>
      <x:c r="H102" s="30" t="str"/>
      <x:c r="I102" s="30" t="str"/>
      <x:c r="J102" s="30" t="str"/>
      <x:c r="K102" s="30" t="str"/>
      <x:c r="L102" s="30" t="str"/>
      <x:c r="M102" s="30" t="str"/>
      <x:c r="N102" s="30" t="str"/>
      <x:c r="O102" s="30" t="str"/>
      <x:c r="P102" s="30" t="str"/>
      <x:c r="Q102" s="31" t="str"/>
      <x:c r="R102" s="31" t="str"/>
      <x:c r="S102" s="30" t="str"/>
      <x:c r="T102" s="30" t="str"/>
      <x:c r="U102" s="30" t="str"/>
      <x:c r="V102" s="40" t="str">
        <x:f>IF(B102="","",COUNTA(H102:L102)/5)</x:f>
      </x:c>
    </x:row>
    <x:row r="103">
      <x:c r="A103" s="30" t="str">
        <x:f>IF(B103="","",B103&amp;"-"&amp;C103)</x:f>
      </x:c>
      <x:c r="B103" s="30" t="str">
        <x:f>'01_命例主档'!A11</x:f>
      </x:c>
      <x:c r="C103" s="30" t="str">
        <x:v>M09</x:v>
      </x:c>
      <x:c r="D103" s="30" t="str">
        <x:v>日主旺衰</x:v>
      </x:c>
      <x:c r="E103" s="30" t="str">
        <x:v>综合层</x:v>
      </x:c>
      <x:c r="F103" s="30" t="str">
        <x:v>M03/M07/M08</x:v>
      </x:c>
      <x:c r="G103" s="30" t="str">
        <x:v>未开始</x:v>
      </x:c>
      <x:c r="H103" s="30" t="str"/>
      <x:c r="I103" s="30" t="str"/>
      <x:c r="J103" s="30" t="str"/>
      <x:c r="K103" s="30" t="str"/>
      <x:c r="L103" s="30" t="str"/>
      <x:c r="M103" s="30" t="str"/>
      <x:c r="N103" s="30" t="str"/>
      <x:c r="O103" s="30" t="str"/>
      <x:c r="P103" s="30" t="str"/>
      <x:c r="Q103" s="31" t="str"/>
      <x:c r="R103" s="31" t="str"/>
      <x:c r="S103" s="30" t="str"/>
      <x:c r="T103" s="30" t="str"/>
      <x:c r="U103" s="30" t="str"/>
      <x:c r="V103" s="40" t="str">
        <x:f>IF(B103="","",COUNTA(H103:L103)/5)</x:f>
      </x:c>
    </x:row>
    <x:row r="104">
      <x:c r="A104" s="30" t="str">
        <x:f>IF(B104="","",B104&amp;"-"&amp;C104)</x:f>
      </x:c>
      <x:c r="B104" s="30" t="str">
        <x:f>'01_命例主档'!A11</x:f>
      </x:c>
      <x:c r="C104" s="30" t="str">
        <x:v>M10</x:v>
      </x:c>
      <x:c r="D104" s="30" t="str">
        <x:v>十神旺衰功能</x:v>
      </x:c>
      <x:c r="E104" s="30" t="str">
        <x:v>结构层</x:v>
      </x:c>
      <x:c r="F104" s="30" t="str">
        <x:v>M02/M08/M09</x:v>
      </x:c>
      <x:c r="G104" s="30" t="str">
        <x:v>未开始</x:v>
      </x:c>
      <x:c r="H104" s="30" t="str"/>
      <x:c r="I104" s="30" t="str"/>
      <x:c r="J104" s="30" t="str"/>
      <x:c r="K104" s="30" t="str"/>
      <x:c r="L104" s="30" t="str"/>
      <x:c r="M104" s="30" t="str"/>
      <x:c r="N104" s="30" t="str"/>
      <x:c r="O104" s="30" t="str"/>
      <x:c r="P104" s="30" t="str"/>
      <x:c r="Q104" s="31" t="str"/>
      <x:c r="R104" s="31" t="str"/>
      <x:c r="S104" s="30" t="str"/>
      <x:c r="T104" s="30" t="str"/>
      <x:c r="U104" s="30" t="str"/>
      <x:c r="V104" s="40" t="str">
        <x:f>IF(B104="","",COUNTA(H104:L104)/5)</x:f>
      </x:c>
    </x:row>
    <x:row r="105">
      <x:c r="A105" s="30" t="str">
        <x:f>IF(B105="","",B105&amp;"-"&amp;C105)</x:f>
      </x:c>
      <x:c r="B105" s="30" t="str">
        <x:f>'01_命例主档'!A11</x:f>
      </x:c>
      <x:c r="C105" s="30" t="str">
        <x:v>M11</x:v>
      </x:c>
      <x:c r="D105" s="30" t="str">
        <x:v>十神组合成立</x:v>
      </x:c>
      <x:c r="E105" s="30" t="str">
        <x:v>结构层</x:v>
      </x:c>
      <x:c r="F105" s="30" t="str">
        <x:v>M08/M09/M10</x:v>
      </x:c>
      <x:c r="G105" s="30" t="str">
        <x:v>未开始</x:v>
      </x:c>
      <x:c r="H105" s="30" t="str"/>
      <x:c r="I105" s="30" t="str"/>
      <x:c r="J105" s="30" t="str"/>
      <x:c r="K105" s="30" t="str"/>
      <x:c r="L105" s="30" t="str"/>
      <x:c r="M105" s="30" t="str"/>
      <x:c r="N105" s="30" t="str"/>
      <x:c r="O105" s="30" t="str"/>
      <x:c r="P105" s="30" t="str"/>
      <x:c r="Q105" s="31" t="str"/>
      <x:c r="R105" s="31" t="str"/>
      <x:c r="S105" s="30" t="str"/>
      <x:c r="T105" s="30" t="str"/>
      <x:c r="U105" s="30" t="str"/>
      <x:c r="V105" s="40" t="str">
        <x:f>IF(B105="","",COUNTA(H105:L105)/5)</x:f>
      </x:c>
    </x:row>
    <x:row r="106">
      <x:c r="A106" s="30" t="str">
        <x:f>IF(B106="","",B106&amp;"-"&amp;C106)</x:f>
      </x:c>
      <x:c r="B106" s="30" t="str">
        <x:f>'01_命例主档'!A11</x:f>
      </x:c>
      <x:c r="C106" s="30" t="str">
        <x:v>M12</x:v>
      </x:c>
      <x:c r="D106" s="30" t="str">
        <x:v>五行流通卡点</x:v>
      </x:c>
      <x:c r="E106" s="30" t="str">
        <x:v>结构层</x:v>
      </x:c>
      <x:c r="F106" s="30" t="str">
        <x:v>M06/M08/M10/M11</x:v>
      </x:c>
      <x:c r="G106" s="30" t="str">
        <x:v>未开始</x:v>
      </x:c>
      <x:c r="H106" s="30" t="str"/>
      <x:c r="I106" s="30" t="str"/>
      <x:c r="J106" s="30" t="str"/>
      <x:c r="K106" s="30" t="str"/>
      <x:c r="L106" s="30" t="str"/>
      <x:c r="M106" s="30" t="str"/>
      <x:c r="N106" s="30" t="str"/>
      <x:c r="O106" s="30" t="str"/>
      <x:c r="P106" s="30" t="str"/>
      <x:c r="Q106" s="31" t="str"/>
      <x:c r="R106" s="31" t="str"/>
      <x:c r="S106" s="30" t="str"/>
      <x:c r="T106" s="30" t="str"/>
      <x:c r="U106" s="30" t="str"/>
      <x:c r="V106" s="40" t="str">
        <x:f>IF(B106="","",COUNTA(H106:L106)/5)</x:f>
      </x:c>
    </x:row>
    <x:row r="107">
      <x:c r="A107" s="30" t="str">
        <x:f>IF(B107="","",B107&amp;"-"&amp;C107)</x:f>
      </x:c>
      <x:c r="B107" s="30" t="str">
        <x:f>'01_命例主档'!A11</x:f>
      </x:c>
      <x:c r="C107" s="30" t="str">
        <x:v>M13</x:v>
      </x:c>
      <x:c r="D107" s="30" t="str">
        <x:v>寒暖燥湿</x:v>
      </x:c>
      <x:c r="E107" s="30" t="str">
        <x:v>结构层</x:v>
      </x:c>
      <x:c r="F107" s="30" t="str">
        <x:v>M02/M08/M12</x:v>
      </x:c>
      <x:c r="G107" s="30" t="str">
        <x:v>未开始</x:v>
      </x:c>
      <x:c r="H107" s="30" t="str"/>
      <x:c r="I107" s="30" t="str"/>
      <x:c r="J107" s="30" t="str"/>
      <x:c r="K107" s="30" t="str"/>
      <x:c r="L107" s="30" t="str"/>
      <x:c r="M107" s="30" t="str"/>
      <x:c r="N107" s="30" t="str"/>
      <x:c r="O107" s="30" t="str"/>
      <x:c r="P107" s="30" t="str"/>
      <x:c r="Q107" s="31" t="str"/>
      <x:c r="R107" s="31" t="str"/>
      <x:c r="S107" s="30" t="str"/>
      <x:c r="T107" s="30" t="str"/>
      <x:c r="U107" s="30" t="str"/>
      <x:c r="V107" s="40" t="str">
        <x:f>IF(B107="","",COUNTA(H107:L107)/5)</x:f>
      </x:c>
    </x:row>
    <x:row r="108">
      <x:c r="A108" s="30" t="str">
        <x:f>IF(B108="","",B108&amp;"-"&amp;C108)</x:f>
      </x:c>
      <x:c r="B108" s="30" t="str">
        <x:f>'01_命例主档'!A11</x:f>
      </x:c>
      <x:c r="C108" s="30" t="str">
        <x:v>M14</x:v>
      </x:c>
      <x:c r="D108" s="30" t="str">
        <x:v>格局候选判断</x:v>
      </x:c>
      <x:c r="E108" s="30" t="str">
        <x:v>综合层</x:v>
      </x:c>
      <x:c r="F108" s="30" t="str">
        <x:v>M03/M06/M08/M09/M10/M11</x:v>
      </x:c>
      <x:c r="G108" s="30" t="str">
        <x:v>未开始</x:v>
      </x:c>
      <x:c r="H108" s="30" t="str"/>
      <x:c r="I108" s="30" t="str"/>
      <x:c r="J108" s="30" t="str"/>
      <x:c r="K108" s="30" t="str"/>
      <x:c r="L108" s="30" t="str"/>
      <x:c r="M108" s="30" t="str"/>
      <x:c r="N108" s="30" t="str"/>
      <x:c r="O108" s="30" t="str"/>
      <x:c r="P108" s="30" t="str"/>
      <x:c r="Q108" s="31" t="str"/>
      <x:c r="R108" s="31" t="str"/>
      <x:c r="S108" s="30" t="str"/>
      <x:c r="T108" s="30" t="str"/>
      <x:c r="U108" s="30" t="str"/>
      <x:c r="V108" s="40" t="str">
        <x:f>IF(B108="","",COUNTA(H108:L108)/5)</x:f>
      </x:c>
    </x:row>
    <x:row r="109">
      <x:c r="A109" s="30" t="str">
        <x:f>IF(B109="","",B109&amp;"-"&amp;C109)</x:f>
      </x:c>
      <x:c r="B109" s="30" t="str">
        <x:f>'01_命例主档'!A11</x:f>
      </x:c>
      <x:c r="C109" s="30" t="str">
        <x:v>M15</x:v>
      </x:c>
      <x:c r="D109" s="30" t="str">
        <x:v>格局成败救应</x:v>
      </x:c>
      <x:c r="E109" s="30" t="str">
        <x:v>综合层</x:v>
      </x:c>
      <x:c r="F109" s="30" t="str">
        <x:v>M14/M11/M08</x:v>
      </x:c>
      <x:c r="G109" s="30" t="str">
        <x:v>未开始</x:v>
      </x:c>
      <x:c r="H109" s="30" t="str"/>
      <x:c r="I109" s="30" t="str"/>
      <x:c r="J109" s="30" t="str"/>
      <x:c r="K109" s="30" t="str"/>
      <x:c r="L109" s="30" t="str"/>
      <x:c r="M109" s="30" t="str"/>
      <x:c r="N109" s="30" t="str"/>
      <x:c r="O109" s="30" t="str"/>
      <x:c r="P109" s="30" t="str"/>
      <x:c r="Q109" s="31" t="str"/>
      <x:c r="R109" s="31" t="str"/>
      <x:c r="S109" s="30" t="str"/>
      <x:c r="T109" s="30" t="str"/>
      <x:c r="U109" s="30" t="str"/>
      <x:c r="V109" s="40" t="str">
        <x:f>IF(B109="","",COUNTA(H109:L109)/5)</x:f>
      </x:c>
    </x:row>
    <x:row r="110">
      <x:c r="A110" s="30" t="str">
        <x:f>IF(B110="","",B110&amp;"-"&amp;C110)</x:f>
      </x:c>
      <x:c r="B110" s="30" t="str">
        <x:f>'01_命例主档'!A11</x:f>
      </x:c>
      <x:c r="C110" s="30" t="str">
        <x:v>M16</x:v>
      </x:c>
      <x:c r="D110" s="30" t="str">
        <x:v>病药模型</x:v>
      </x:c>
      <x:c r="E110" s="30" t="str">
        <x:v>综合层</x:v>
      </x:c>
      <x:c r="F110" s="30" t="str">
        <x:v>M08-M15</x:v>
      </x:c>
      <x:c r="G110" s="30" t="str">
        <x:v>未开始</x:v>
      </x:c>
      <x:c r="H110" s="30" t="str"/>
      <x:c r="I110" s="30" t="str"/>
      <x:c r="J110" s="30" t="str"/>
      <x:c r="K110" s="30" t="str"/>
      <x:c r="L110" s="30" t="str"/>
      <x:c r="M110" s="30" t="str"/>
      <x:c r="N110" s="30" t="str"/>
      <x:c r="O110" s="30" t="str"/>
      <x:c r="P110" s="30" t="str"/>
      <x:c r="Q110" s="31" t="str"/>
      <x:c r="R110" s="31" t="str"/>
      <x:c r="S110" s="30" t="str"/>
      <x:c r="T110" s="30" t="str"/>
      <x:c r="U110" s="30" t="str"/>
      <x:c r="V110" s="40" t="str">
        <x:f>IF(B110="","",COUNTA(H110:L110)/5)</x:f>
      </x:c>
    </x:row>
    <x:row r="111">
      <x:c r="A111" s="30" t="str">
        <x:f>IF(B111="","",B111&amp;"-"&amp;C111)</x:f>
      </x:c>
      <x:c r="B111" s="30" t="str">
        <x:f>'01_命例主档'!A11</x:f>
      </x:c>
      <x:c r="C111" s="30" t="str">
        <x:v>M17</x:v>
      </x:c>
      <x:c r="D111" s="30" t="str">
        <x:v>喜忌用神矩阵</x:v>
      </x:c>
      <x:c r="E111" s="30" t="str">
        <x:v>综合层</x:v>
      </x:c>
      <x:c r="F111" s="30" t="str">
        <x:v>M09/M12/M13/M15/M16</x:v>
      </x:c>
      <x:c r="G111" s="30" t="str">
        <x:v>未开始</x:v>
      </x:c>
      <x:c r="H111" s="30" t="str"/>
      <x:c r="I111" s="30" t="str"/>
      <x:c r="J111" s="30" t="str"/>
      <x:c r="K111" s="30" t="str"/>
      <x:c r="L111" s="30" t="str"/>
      <x:c r="M111" s="30" t="str"/>
      <x:c r="N111" s="30" t="str"/>
      <x:c r="O111" s="30" t="str"/>
      <x:c r="P111" s="30" t="str"/>
      <x:c r="Q111" s="31" t="str"/>
      <x:c r="R111" s="31" t="str"/>
      <x:c r="S111" s="30" t="str"/>
      <x:c r="T111" s="30" t="str"/>
      <x:c r="U111" s="30" t="str"/>
      <x:c r="V111" s="40" t="str">
        <x:f>IF(B111="","",COUNTA(H111:L111)/5)</x:f>
      </x:c>
    </x:row>
    <x:row r="112">
      <x:c r="A112" s="30" t="str">
        <x:f>IF(B112="","",B112&amp;"-"&amp;C112)</x:f>
      </x:c>
      <x:c r="B112" s="30" t="str">
        <x:f>'01_命例主档'!A11</x:f>
      </x:c>
      <x:c r="C112" s="30" t="str">
        <x:v>M18</x:v>
      </x:c>
      <x:c r="D112" s="30" t="str">
        <x:v>冲突裁决规则</x:v>
      </x:c>
      <x:c r="E112" s="30" t="str">
        <x:v>综合层</x:v>
      </x:c>
      <x:c r="F112" s="30" t="str">
        <x:v>M14/M15/M16/M17</x:v>
      </x:c>
      <x:c r="G112" s="30" t="str">
        <x:v>未开始</x:v>
      </x:c>
      <x:c r="H112" s="30" t="str"/>
      <x:c r="I112" s="30" t="str"/>
      <x:c r="J112" s="30" t="str"/>
      <x:c r="K112" s="30" t="str"/>
      <x:c r="L112" s="30" t="str"/>
      <x:c r="M112" s="30" t="str"/>
      <x:c r="N112" s="30" t="str"/>
      <x:c r="O112" s="30" t="str"/>
      <x:c r="P112" s="30" t="str"/>
      <x:c r="Q112" s="31" t="str"/>
      <x:c r="R112" s="31" t="str"/>
      <x:c r="S112" s="30" t="str"/>
      <x:c r="T112" s="30" t="str"/>
      <x:c r="U112" s="30" t="str"/>
      <x:c r="V112" s="40" t="str">
        <x:f>IF(B112="","",COUNTA(H112:L112)/5)</x:f>
      </x:c>
    </x:row>
    <x:row r="113">
      <x:c r="A113" s="30" t="str">
        <x:f>IF(B113="","",B113&amp;"-"&amp;C113)</x:f>
      </x:c>
      <x:c r="B113" s="30" t="str">
        <x:f>'01_命例主档'!A11</x:f>
      </x:c>
      <x:c r="C113" s="30" t="str">
        <x:v>M19</x:v>
      </x:c>
      <x:c r="D113" s="30" t="str">
        <x:v>综合输出模板</x:v>
      </x:c>
      <x:c r="E113" s="30" t="str">
        <x:v>治理与输出</x:v>
      </x:c>
      <x:c r="F113" s="30" t="str">
        <x:v>M02-M18</x:v>
      </x:c>
      <x:c r="G113" s="30" t="str">
        <x:v>未开始</x:v>
      </x:c>
      <x:c r="H113" s="30" t="str"/>
      <x:c r="I113" s="30" t="str"/>
      <x:c r="J113" s="30" t="str"/>
      <x:c r="K113" s="30" t="str"/>
      <x:c r="L113" s="30" t="str"/>
      <x:c r="M113" s="30" t="str"/>
      <x:c r="N113" s="30" t="str"/>
      <x:c r="O113" s="30" t="str"/>
      <x:c r="P113" s="30" t="str"/>
      <x:c r="Q113" s="31" t="str"/>
      <x:c r="R113" s="31" t="str"/>
      <x:c r="S113" s="30" t="str"/>
      <x:c r="T113" s="30" t="str"/>
      <x:c r="U113" s="30" t="str"/>
      <x:c r="V113" s="40" t="str">
        <x:f>IF(B113="","",COUNTA(H113:L113)/5)</x:f>
      </x:c>
    </x:row>
    <x:row r="114">
      <x:c r="A114" s="30" t="str">
        <x:f>IF(B114="","",B114&amp;"-"&amp;C114)</x:f>
      </x:c>
      <x:c r="B114" s="30" t="str">
        <x:f>'01_命例主档'!A12</x:f>
      </x:c>
      <x:c r="C114" s="30" t="str">
        <x:v>M02</x:v>
      </x:c>
      <x:c r="D114" s="30" t="str">
        <x:v>干支藏干基础</x:v>
      </x:c>
      <x:c r="E114" s="30" t="str">
        <x:v>识别层</x:v>
      </x:c>
      <x:c r="F114" s="30" t="str">
        <x:v>无</x:v>
      </x:c>
      <x:c r="G114" s="30" t="str">
        <x:v>未开始</x:v>
      </x:c>
      <x:c r="H114" s="30" t="str"/>
      <x:c r="I114" s="30" t="str"/>
      <x:c r="J114" s="30" t="str"/>
      <x:c r="K114" s="30" t="str"/>
      <x:c r="L114" s="30" t="str"/>
      <x:c r="M114" s="30" t="str"/>
      <x:c r="N114" s="30" t="str"/>
      <x:c r="O114" s="30" t="str"/>
      <x:c r="P114" s="30" t="str"/>
      <x:c r="Q114" s="31" t="str"/>
      <x:c r="R114" s="31" t="str"/>
      <x:c r="S114" s="30" t="str"/>
      <x:c r="T114" s="30" t="str"/>
      <x:c r="U114" s="30" t="str"/>
      <x:c r="V114" s="40" t="str">
        <x:f>IF(B114="","",COUNTA(H114:L114)/5)</x:f>
      </x:c>
    </x:row>
    <x:row r="115">
      <x:c r="A115" s="30" t="str">
        <x:f>IF(B115="","",B115&amp;"-"&amp;C115)</x:f>
      </x:c>
      <x:c r="B115" s="30" t="str">
        <x:f>'01_命例主档'!A12</x:f>
      </x:c>
      <x:c r="C115" s="30" t="str">
        <x:v>M03</x:v>
      </x:c>
      <x:c r="D115" s="30" t="str">
        <x:v>月令与根气</x:v>
      </x:c>
      <x:c r="E115" s="30" t="str">
        <x:v>结构层</x:v>
      </x:c>
      <x:c r="F115" s="30" t="str">
        <x:v>M02</x:v>
      </x:c>
      <x:c r="G115" s="30" t="str">
        <x:v>未开始</x:v>
      </x:c>
      <x:c r="H115" s="30" t="str"/>
      <x:c r="I115" s="30" t="str"/>
      <x:c r="J115" s="30" t="str"/>
      <x:c r="K115" s="30" t="str"/>
      <x:c r="L115" s="30" t="str"/>
      <x:c r="M115" s="30" t="str"/>
      <x:c r="N115" s="30" t="str"/>
      <x:c r="O115" s="30" t="str"/>
      <x:c r="P115" s="30" t="str"/>
      <x:c r="Q115" s="31" t="str"/>
      <x:c r="R115" s="31" t="str"/>
      <x:c r="S115" s="30" t="str"/>
      <x:c r="T115" s="30" t="str"/>
      <x:c r="U115" s="30" t="str"/>
      <x:c r="V115" s="40" t="str">
        <x:f>IF(B115="","",COUNTA(H115:L115)/5)</x:f>
      </x:c>
    </x:row>
    <x:row r="116">
      <x:c r="A116" s="30" t="str">
        <x:f>IF(B116="","",B116&amp;"-"&amp;C116)</x:f>
      </x:c>
      <x:c r="B116" s="30" t="str">
        <x:f>'01_命例主档'!A12</x:f>
      </x:c>
      <x:c r="C116" s="30" t="str">
        <x:v>M04</x:v>
      </x:c>
      <x:c r="D116" s="30" t="str">
        <x:v>天干作用识别</x:v>
      </x:c>
      <x:c r="E116" s="30" t="str">
        <x:v>识别层</x:v>
      </x:c>
      <x:c r="F116" s="30" t="str">
        <x:v>M02</x:v>
      </x:c>
      <x:c r="G116" s="30" t="str">
        <x:v>未开始</x:v>
      </x:c>
      <x:c r="H116" s="30" t="str"/>
      <x:c r="I116" s="30" t="str"/>
      <x:c r="J116" s="30" t="str"/>
      <x:c r="K116" s="30" t="str"/>
      <x:c r="L116" s="30" t="str"/>
      <x:c r="M116" s="30" t="str"/>
      <x:c r="N116" s="30" t="str"/>
      <x:c r="O116" s="30" t="str"/>
      <x:c r="P116" s="30" t="str"/>
      <x:c r="Q116" s="31" t="str"/>
      <x:c r="R116" s="31" t="str"/>
      <x:c r="S116" s="30" t="str"/>
      <x:c r="T116" s="30" t="str"/>
      <x:c r="U116" s="30" t="str"/>
      <x:c r="V116" s="40" t="str">
        <x:f>IF(B116="","",COUNTA(H116:L116)/5)</x:f>
      </x:c>
    </x:row>
    <x:row r="117">
      <x:c r="A117" s="30" t="str">
        <x:f>IF(B117="","",B117&amp;"-"&amp;C117)</x:f>
      </x:c>
      <x:c r="B117" s="30" t="str">
        <x:f>'01_命例主档'!A12</x:f>
      </x:c>
      <x:c r="C117" s="30" t="str">
        <x:v>M05</x:v>
      </x:c>
      <x:c r="D117" s="30" t="str">
        <x:v>地支关系识别</x:v>
      </x:c>
      <x:c r="E117" s="30" t="str">
        <x:v>识别层</x:v>
      </x:c>
      <x:c r="F117" s="30" t="str">
        <x:v>M02</x:v>
      </x:c>
      <x:c r="G117" s="30" t="str">
        <x:v>未开始</x:v>
      </x:c>
      <x:c r="H117" s="30" t="str"/>
      <x:c r="I117" s="30" t="str"/>
      <x:c r="J117" s="30" t="str"/>
      <x:c r="K117" s="30" t="str"/>
      <x:c r="L117" s="30" t="str"/>
      <x:c r="M117" s="30" t="str"/>
      <x:c r="N117" s="30" t="str"/>
      <x:c r="O117" s="30" t="str"/>
      <x:c r="P117" s="30" t="str"/>
      <x:c r="Q117" s="31" t="str"/>
      <x:c r="R117" s="31" t="str"/>
      <x:c r="S117" s="30" t="str"/>
      <x:c r="T117" s="30" t="str"/>
      <x:c r="U117" s="30" t="str"/>
      <x:c r="V117" s="40" t="str">
        <x:f>IF(B117="","",COUNTA(H117:L117)/5)</x:f>
      </x:c>
    </x:row>
    <x:row r="118">
      <x:c r="A118" s="30" t="str">
        <x:f>IF(B118="","",B118&amp;"-"&amp;C118)</x:f>
      </x:c>
      <x:c r="B118" s="30" t="str">
        <x:f>'01_命例主档'!A12</x:f>
      </x:c>
      <x:c r="C118" s="30" t="str">
        <x:v>M06</x:v>
      </x:c>
      <x:c r="D118" s="30" t="str">
        <x:v>干支关系效应</x:v>
      </x:c>
      <x:c r="E118" s="30" t="str">
        <x:v>效应层</x:v>
      </x:c>
      <x:c r="F118" s="30" t="str">
        <x:v>M03/M04/M05</x:v>
      </x:c>
      <x:c r="G118" s="30" t="str">
        <x:v>未开始</x:v>
      </x:c>
      <x:c r="H118" s="30" t="str"/>
      <x:c r="I118" s="30" t="str"/>
      <x:c r="J118" s="30" t="str"/>
      <x:c r="K118" s="30" t="str"/>
      <x:c r="L118" s="30" t="str"/>
      <x:c r="M118" s="30" t="str"/>
      <x:c r="N118" s="30" t="str"/>
      <x:c r="O118" s="30" t="str"/>
      <x:c r="P118" s="30" t="str"/>
      <x:c r="Q118" s="31" t="str"/>
      <x:c r="R118" s="31" t="str"/>
      <x:c r="S118" s="30" t="str"/>
      <x:c r="T118" s="30" t="str"/>
      <x:c r="U118" s="30" t="str"/>
      <x:c r="V118" s="40" t="str">
        <x:f>IF(B118="","",COUNTA(H118:L118)/5)</x:f>
      </x:c>
    </x:row>
    <x:row r="119">
      <x:c r="A119" s="30" t="str">
        <x:f>IF(B119="","",B119&amp;"-"&amp;C119)</x:f>
      </x:c>
      <x:c r="B119" s="30" t="str">
        <x:f>'01_命例主档'!A12</x:f>
      </x:c>
      <x:c r="C119" s="30" t="str">
        <x:v>M07</x:v>
      </x:c>
      <x:c r="D119" s="30" t="str">
        <x:v>五行原始旺衰</x:v>
      </x:c>
      <x:c r="E119" s="30" t="str">
        <x:v>结构层</x:v>
      </x:c>
      <x:c r="F119" s="30" t="str">
        <x:v>M02/M03</x:v>
      </x:c>
      <x:c r="G119" s="30" t="str">
        <x:v>未开始</x:v>
      </x:c>
      <x:c r="H119" s="30" t="str"/>
      <x:c r="I119" s="30" t="str"/>
      <x:c r="J119" s="30" t="str"/>
      <x:c r="K119" s="30" t="str"/>
      <x:c r="L119" s="30" t="str"/>
      <x:c r="M119" s="30" t="str"/>
      <x:c r="N119" s="30" t="str"/>
      <x:c r="O119" s="30" t="str"/>
      <x:c r="P119" s="30" t="str"/>
      <x:c r="Q119" s="31" t="str"/>
      <x:c r="R119" s="31" t="str"/>
      <x:c r="S119" s="30" t="str"/>
      <x:c r="T119" s="30" t="str"/>
      <x:c r="U119" s="30" t="str"/>
      <x:c r="V119" s="40" t="str">
        <x:f>IF(B119="","",COUNTA(H119:L119)/5)</x:f>
      </x:c>
    </x:row>
    <x:row r="120">
      <x:c r="A120" s="30" t="str">
        <x:f>IF(B120="","",B120&amp;"-"&amp;C120)</x:f>
      </x:c>
      <x:c r="B120" s="30" t="str">
        <x:f>'01_命例主档'!A12</x:f>
      </x:c>
      <x:c r="C120" s="30" t="str">
        <x:v>M08</x:v>
      </x:c>
      <x:c r="D120" s="30" t="str">
        <x:v>五行有效旺衰</x:v>
      </x:c>
      <x:c r="E120" s="30" t="str">
        <x:v>结构层</x:v>
      </x:c>
      <x:c r="F120" s="30" t="str">
        <x:v>M06/M07</x:v>
      </x:c>
      <x:c r="G120" s="30" t="str">
        <x:v>未开始</x:v>
      </x:c>
      <x:c r="H120" s="30" t="str"/>
      <x:c r="I120" s="30" t="str"/>
      <x:c r="J120" s="30" t="str"/>
      <x:c r="K120" s="30" t="str"/>
      <x:c r="L120" s="30" t="str"/>
      <x:c r="M120" s="30" t="str"/>
      <x:c r="N120" s="30" t="str"/>
      <x:c r="O120" s="30" t="str"/>
      <x:c r="P120" s="30" t="str"/>
      <x:c r="Q120" s="31" t="str"/>
      <x:c r="R120" s="31" t="str"/>
      <x:c r="S120" s="30" t="str"/>
      <x:c r="T120" s="30" t="str"/>
      <x:c r="U120" s="30" t="str"/>
      <x:c r="V120" s="40" t="str">
        <x:f>IF(B120="","",COUNTA(H120:L120)/5)</x:f>
      </x:c>
    </x:row>
    <x:row r="121">
      <x:c r="A121" s="30" t="str">
        <x:f>IF(B121="","",B121&amp;"-"&amp;C121)</x:f>
      </x:c>
      <x:c r="B121" s="30" t="str">
        <x:f>'01_命例主档'!A12</x:f>
      </x:c>
      <x:c r="C121" s="30" t="str">
        <x:v>M09</x:v>
      </x:c>
      <x:c r="D121" s="30" t="str">
        <x:v>日主旺衰</x:v>
      </x:c>
      <x:c r="E121" s="30" t="str">
        <x:v>综合层</x:v>
      </x:c>
      <x:c r="F121" s="30" t="str">
        <x:v>M03/M07/M08</x:v>
      </x:c>
      <x:c r="G121" s="30" t="str">
        <x:v>未开始</x:v>
      </x:c>
      <x:c r="H121" s="30" t="str"/>
      <x:c r="I121" s="30" t="str"/>
      <x:c r="J121" s="30" t="str"/>
      <x:c r="K121" s="30" t="str"/>
      <x:c r="L121" s="30" t="str"/>
      <x:c r="M121" s="30" t="str"/>
      <x:c r="N121" s="30" t="str"/>
      <x:c r="O121" s="30" t="str"/>
      <x:c r="P121" s="30" t="str"/>
      <x:c r="Q121" s="31" t="str"/>
      <x:c r="R121" s="31" t="str"/>
      <x:c r="S121" s="30" t="str"/>
      <x:c r="T121" s="30" t="str"/>
      <x:c r="U121" s="30" t="str"/>
      <x:c r="V121" s="40" t="str">
        <x:f>IF(B121="","",COUNTA(H121:L121)/5)</x:f>
      </x:c>
    </x:row>
    <x:row r="122">
      <x:c r="A122" s="30" t="str">
        <x:f>IF(B122="","",B122&amp;"-"&amp;C122)</x:f>
      </x:c>
      <x:c r="B122" s="30" t="str">
        <x:f>'01_命例主档'!A12</x:f>
      </x:c>
      <x:c r="C122" s="30" t="str">
        <x:v>M10</x:v>
      </x:c>
      <x:c r="D122" s="30" t="str">
        <x:v>十神旺衰功能</x:v>
      </x:c>
      <x:c r="E122" s="30" t="str">
        <x:v>结构层</x:v>
      </x:c>
      <x:c r="F122" s="30" t="str">
        <x:v>M02/M08/M09</x:v>
      </x:c>
      <x:c r="G122" s="30" t="str">
        <x:v>未开始</x:v>
      </x:c>
      <x:c r="H122" s="30" t="str"/>
      <x:c r="I122" s="30" t="str"/>
      <x:c r="J122" s="30" t="str"/>
      <x:c r="K122" s="30" t="str"/>
      <x:c r="L122" s="30" t="str"/>
      <x:c r="M122" s="30" t="str"/>
      <x:c r="N122" s="30" t="str"/>
      <x:c r="O122" s="30" t="str"/>
      <x:c r="P122" s="30" t="str"/>
      <x:c r="Q122" s="31" t="str"/>
      <x:c r="R122" s="31" t="str"/>
      <x:c r="S122" s="30" t="str"/>
      <x:c r="T122" s="30" t="str"/>
      <x:c r="U122" s="30" t="str"/>
      <x:c r="V122" s="40" t="str">
        <x:f>IF(B122="","",COUNTA(H122:L122)/5)</x:f>
      </x:c>
    </x:row>
    <x:row r="123">
      <x:c r="A123" s="30" t="str">
        <x:f>IF(B123="","",B123&amp;"-"&amp;C123)</x:f>
      </x:c>
      <x:c r="B123" s="30" t="str">
        <x:f>'01_命例主档'!A12</x:f>
      </x:c>
      <x:c r="C123" s="30" t="str">
        <x:v>M11</x:v>
      </x:c>
      <x:c r="D123" s="30" t="str">
        <x:v>十神组合成立</x:v>
      </x:c>
      <x:c r="E123" s="30" t="str">
        <x:v>结构层</x:v>
      </x:c>
      <x:c r="F123" s="30" t="str">
        <x:v>M08/M09/M10</x:v>
      </x:c>
      <x:c r="G123" s="30" t="str">
        <x:v>未开始</x:v>
      </x:c>
      <x:c r="H123" s="30" t="str"/>
      <x:c r="I123" s="30" t="str"/>
      <x:c r="J123" s="30" t="str"/>
      <x:c r="K123" s="30" t="str"/>
      <x:c r="L123" s="30" t="str"/>
      <x:c r="M123" s="30" t="str"/>
      <x:c r="N123" s="30" t="str"/>
      <x:c r="O123" s="30" t="str"/>
      <x:c r="P123" s="30" t="str"/>
      <x:c r="Q123" s="31" t="str"/>
      <x:c r="R123" s="31" t="str"/>
      <x:c r="S123" s="30" t="str"/>
      <x:c r="T123" s="30" t="str"/>
      <x:c r="U123" s="30" t="str"/>
      <x:c r="V123" s="40" t="str">
        <x:f>IF(B123="","",COUNTA(H123:L123)/5)</x:f>
      </x:c>
    </x:row>
    <x:row r="124">
      <x:c r="A124" s="30" t="str">
        <x:f>IF(B124="","",B124&amp;"-"&amp;C124)</x:f>
      </x:c>
      <x:c r="B124" s="30" t="str">
        <x:f>'01_命例主档'!A12</x:f>
      </x:c>
      <x:c r="C124" s="30" t="str">
        <x:v>M12</x:v>
      </x:c>
      <x:c r="D124" s="30" t="str">
        <x:v>五行流通卡点</x:v>
      </x:c>
      <x:c r="E124" s="30" t="str">
        <x:v>结构层</x:v>
      </x:c>
      <x:c r="F124" s="30" t="str">
        <x:v>M06/M08/M10/M11</x:v>
      </x:c>
      <x:c r="G124" s="30" t="str">
        <x:v>未开始</x:v>
      </x:c>
      <x:c r="H124" s="30" t="str"/>
      <x:c r="I124" s="30" t="str"/>
      <x:c r="J124" s="30" t="str"/>
      <x:c r="K124" s="30" t="str"/>
      <x:c r="L124" s="30" t="str"/>
      <x:c r="M124" s="30" t="str"/>
      <x:c r="N124" s="30" t="str"/>
      <x:c r="O124" s="30" t="str"/>
      <x:c r="P124" s="30" t="str"/>
      <x:c r="Q124" s="31" t="str"/>
      <x:c r="R124" s="31" t="str"/>
      <x:c r="S124" s="30" t="str"/>
      <x:c r="T124" s="30" t="str"/>
      <x:c r="U124" s="30" t="str"/>
      <x:c r="V124" s="40" t="str">
        <x:f>IF(B124="","",COUNTA(H124:L124)/5)</x:f>
      </x:c>
    </x:row>
    <x:row r="125">
      <x:c r="A125" s="30" t="str">
        <x:f>IF(B125="","",B125&amp;"-"&amp;C125)</x:f>
      </x:c>
      <x:c r="B125" s="30" t="str">
        <x:f>'01_命例主档'!A12</x:f>
      </x:c>
      <x:c r="C125" s="30" t="str">
        <x:v>M13</x:v>
      </x:c>
      <x:c r="D125" s="30" t="str">
        <x:v>寒暖燥湿</x:v>
      </x:c>
      <x:c r="E125" s="30" t="str">
        <x:v>结构层</x:v>
      </x:c>
      <x:c r="F125" s="30" t="str">
        <x:v>M02/M08/M12</x:v>
      </x:c>
      <x:c r="G125" s="30" t="str">
        <x:v>未开始</x:v>
      </x:c>
      <x:c r="H125" s="30" t="str"/>
      <x:c r="I125" s="30" t="str"/>
      <x:c r="J125" s="30" t="str"/>
      <x:c r="K125" s="30" t="str"/>
      <x:c r="L125" s="30" t="str"/>
      <x:c r="M125" s="30" t="str"/>
      <x:c r="N125" s="30" t="str"/>
      <x:c r="O125" s="30" t="str"/>
      <x:c r="P125" s="30" t="str"/>
      <x:c r="Q125" s="31" t="str"/>
      <x:c r="R125" s="31" t="str"/>
      <x:c r="S125" s="30" t="str"/>
      <x:c r="T125" s="30" t="str"/>
      <x:c r="U125" s="30" t="str"/>
      <x:c r="V125" s="40" t="str">
        <x:f>IF(B125="","",COUNTA(H125:L125)/5)</x:f>
      </x:c>
    </x:row>
    <x:row r="126">
      <x:c r="A126" s="30" t="str">
        <x:f>IF(B126="","",B126&amp;"-"&amp;C126)</x:f>
      </x:c>
      <x:c r="B126" s="30" t="str">
        <x:f>'01_命例主档'!A12</x:f>
      </x:c>
      <x:c r="C126" s="30" t="str">
        <x:v>M14</x:v>
      </x:c>
      <x:c r="D126" s="30" t="str">
        <x:v>格局候选判断</x:v>
      </x:c>
      <x:c r="E126" s="30" t="str">
        <x:v>综合层</x:v>
      </x:c>
      <x:c r="F126" s="30" t="str">
        <x:v>M03/M06/M08/M09/M10/M11</x:v>
      </x:c>
      <x:c r="G126" s="30" t="str">
        <x:v>未开始</x:v>
      </x:c>
      <x:c r="H126" s="30" t="str"/>
      <x:c r="I126" s="30" t="str"/>
      <x:c r="J126" s="30" t="str"/>
      <x:c r="K126" s="30" t="str"/>
      <x:c r="L126" s="30" t="str"/>
      <x:c r="M126" s="30" t="str"/>
      <x:c r="N126" s="30" t="str"/>
      <x:c r="O126" s="30" t="str"/>
      <x:c r="P126" s="30" t="str"/>
      <x:c r="Q126" s="31" t="str"/>
      <x:c r="R126" s="31" t="str"/>
      <x:c r="S126" s="30" t="str"/>
      <x:c r="T126" s="30" t="str"/>
      <x:c r="U126" s="30" t="str"/>
      <x:c r="V126" s="40" t="str">
        <x:f>IF(B126="","",COUNTA(H126:L126)/5)</x:f>
      </x:c>
    </x:row>
    <x:row r="127">
      <x:c r="A127" s="30" t="str">
        <x:f>IF(B127="","",B127&amp;"-"&amp;C127)</x:f>
      </x:c>
      <x:c r="B127" s="30" t="str">
        <x:f>'01_命例主档'!A12</x:f>
      </x:c>
      <x:c r="C127" s="30" t="str">
        <x:v>M15</x:v>
      </x:c>
      <x:c r="D127" s="30" t="str">
        <x:v>格局成败救应</x:v>
      </x:c>
      <x:c r="E127" s="30" t="str">
        <x:v>综合层</x:v>
      </x:c>
      <x:c r="F127" s="30" t="str">
        <x:v>M14/M11/M08</x:v>
      </x:c>
      <x:c r="G127" s="30" t="str">
        <x:v>未开始</x:v>
      </x:c>
      <x:c r="H127" s="30" t="str"/>
      <x:c r="I127" s="30" t="str"/>
      <x:c r="J127" s="30" t="str"/>
      <x:c r="K127" s="30" t="str"/>
      <x:c r="L127" s="30" t="str"/>
      <x:c r="M127" s="30" t="str"/>
      <x:c r="N127" s="30" t="str"/>
      <x:c r="O127" s="30" t="str"/>
      <x:c r="P127" s="30" t="str"/>
      <x:c r="Q127" s="31" t="str"/>
      <x:c r="R127" s="31" t="str"/>
      <x:c r="S127" s="30" t="str"/>
      <x:c r="T127" s="30" t="str"/>
      <x:c r="U127" s="30" t="str"/>
      <x:c r="V127" s="40" t="str">
        <x:f>IF(B127="","",COUNTA(H127:L127)/5)</x:f>
      </x:c>
    </x:row>
    <x:row r="128">
      <x:c r="A128" s="30" t="str">
        <x:f>IF(B128="","",B128&amp;"-"&amp;C128)</x:f>
      </x:c>
      <x:c r="B128" s="30" t="str">
        <x:f>'01_命例主档'!A12</x:f>
      </x:c>
      <x:c r="C128" s="30" t="str">
        <x:v>M16</x:v>
      </x:c>
      <x:c r="D128" s="30" t="str">
        <x:v>病药模型</x:v>
      </x:c>
      <x:c r="E128" s="30" t="str">
        <x:v>综合层</x:v>
      </x:c>
      <x:c r="F128" s="30" t="str">
        <x:v>M08-M15</x:v>
      </x:c>
      <x:c r="G128" s="30" t="str">
        <x:v>未开始</x:v>
      </x:c>
      <x:c r="H128" s="30" t="str"/>
      <x:c r="I128" s="30" t="str"/>
      <x:c r="J128" s="30" t="str"/>
      <x:c r="K128" s="30" t="str"/>
      <x:c r="L128" s="30" t="str"/>
      <x:c r="M128" s="30" t="str"/>
      <x:c r="N128" s="30" t="str"/>
      <x:c r="O128" s="30" t="str"/>
      <x:c r="P128" s="30" t="str"/>
      <x:c r="Q128" s="31" t="str"/>
      <x:c r="R128" s="31" t="str"/>
      <x:c r="S128" s="30" t="str"/>
      <x:c r="T128" s="30" t="str"/>
      <x:c r="U128" s="30" t="str"/>
      <x:c r="V128" s="40" t="str">
        <x:f>IF(B128="","",COUNTA(H128:L128)/5)</x:f>
      </x:c>
    </x:row>
    <x:row r="129">
      <x:c r="A129" s="30" t="str">
        <x:f>IF(B129="","",B129&amp;"-"&amp;C129)</x:f>
      </x:c>
      <x:c r="B129" s="30" t="str">
        <x:f>'01_命例主档'!A12</x:f>
      </x:c>
      <x:c r="C129" s="30" t="str">
        <x:v>M17</x:v>
      </x:c>
      <x:c r="D129" s="30" t="str">
        <x:v>喜忌用神矩阵</x:v>
      </x:c>
      <x:c r="E129" s="30" t="str">
        <x:v>综合层</x:v>
      </x:c>
      <x:c r="F129" s="30" t="str">
        <x:v>M09/M12/M13/M15/M16</x:v>
      </x:c>
      <x:c r="G129" s="30" t="str">
        <x:v>未开始</x:v>
      </x:c>
      <x:c r="H129" s="30" t="str"/>
      <x:c r="I129" s="30" t="str"/>
      <x:c r="J129" s="30" t="str"/>
      <x:c r="K129" s="30" t="str"/>
      <x:c r="L129" s="30" t="str"/>
      <x:c r="M129" s="30" t="str"/>
      <x:c r="N129" s="30" t="str"/>
      <x:c r="O129" s="30" t="str"/>
      <x:c r="P129" s="30" t="str"/>
      <x:c r="Q129" s="31" t="str"/>
      <x:c r="R129" s="31" t="str"/>
      <x:c r="S129" s="30" t="str"/>
      <x:c r="T129" s="30" t="str"/>
      <x:c r="U129" s="30" t="str"/>
      <x:c r="V129" s="40" t="str">
        <x:f>IF(B129="","",COUNTA(H129:L129)/5)</x:f>
      </x:c>
    </x:row>
    <x:row r="130">
      <x:c r="A130" s="30" t="str">
        <x:f>IF(B130="","",B130&amp;"-"&amp;C130)</x:f>
      </x:c>
      <x:c r="B130" s="30" t="str">
        <x:f>'01_命例主档'!A12</x:f>
      </x:c>
      <x:c r="C130" s="30" t="str">
        <x:v>M18</x:v>
      </x:c>
      <x:c r="D130" s="30" t="str">
        <x:v>冲突裁决规则</x:v>
      </x:c>
      <x:c r="E130" s="30" t="str">
        <x:v>综合层</x:v>
      </x:c>
      <x:c r="F130" s="30" t="str">
        <x:v>M14/M15/M16/M17</x:v>
      </x:c>
      <x:c r="G130" s="30" t="str">
        <x:v>未开始</x:v>
      </x:c>
      <x:c r="H130" s="30" t="str"/>
      <x:c r="I130" s="30" t="str"/>
      <x:c r="J130" s="30" t="str"/>
      <x:c r="K130" s="30" t="str"/>
      <x:c r="L130" s="30" t="str"/>
      <x:c r="M130" s="30" t="str"/>
      <x:c r="N130" s="30" t="str"/>
      <x:c r="O130" s="30" t="str"/>
      <x:c r="P130" s="30" t="str"/>
      <x:c r="Q130" s="31" t="str"/>
      <x:c r="R130" s="31" t="str"/>
      <x:c r="S130" s="30" t="str"/>
      <x:c r="T130" s="30" t="str"/>
      <x:c r="U130" s="30" t="str"/>
      <x:c r="V130" s="40" t="str">
        <x:f>IF(B130="","",COUNTA(H130:L130)/5)</x:f>
      </x:c>
    </x:row>
    <x:row r="131">
      <x:c r="A131" s="30" t="str">
        <x:f>IF(B131="","",B131&amp;"-"&amp;C131)</x:f>
      </x:c>
      <x:c r="B131" s="30" t="str">
        <x:f>'01_命例主档'!A12</x:f>
      </x:c>
      <x:c r="C131" s="30" t="str">
        <x:v>M19</x:v>
      </x:c>
      <x:c r="D131" s="30" t="str">
        <x:v>综合输出模板</x:v>
      </x:c>
      <x:c r="E131" s="30" t="str">
        <x:v>治理与输出</x:v>
      </x:c>
      <x:c r="F131" s="30" t="str">
        <x:v>M02-M18</x:v>
      </x:c>
      <x:c r="G131" s="30" t="str">
        <x:v>未开始</x:v>
      </x:c>
      <x:c r="H131" s="30" t="str"/>
      <x:c r="I131" s="30" t="str"/>
      <x:c r="J131" s="30" t="str"/>
      <x:c r="K131" s="30" t="str"/>
      <x:c r="L131" s="30" t="str"/>
      <x:c r="M131" s="30" t="str"/>
      <x:c r="N131" s="30" t="str"/>
      <x:c r="O131" s="30" t="str"/>
      <x:c r="P131" s="30" t="str"/>
      <x:c r="Q131" s="31" t="str"/>
      <x:c r="R131" s="31" t="str"/>
      <x:c r="S131" s="30" t="str"/>
      <x:c r="T131" s="30" t="str"/>
      <x:c r="U131" s="30" t="str"/>
      <x:c r="V131" s="40" t="str">
        <x:f>IF(B131="","",COUNTA(H131:L131)/5)</x:f>
      </x:c>
    </x:row>
    <x:row r="132">
      <x:c r="A132" s="30" t="str">
        <x:f>IF(B132="","",B132&amp;"-"&amp;C132)</x:f>
      </x:c>
      <x:c r="B132" s="30" t="str">
        <x:f>'01_命例主档'!A13</x:f>
      </x:c>
      <x:c r="C132" s="30" t="str">
        <x:v>M02</x:v>
      </x:c>
      <x:c r="D132" s="30" t="str">
        <x:v>干支藏干基础</x:v>
      </x:c>
      <x:c r="E132" s="30" t="str">
        <x:v>识别层</x:v>
      </x:c>
      <x:c r="F132" s="30" t="str">
        <x:v>无</x:v>
      </x:c>
      <x:c r="G132" s="30" t="str">
        <x:v>未开始</x:v>
      </x:c>
      <x:c r="H132" s="30" t="str"/>
      <x:c r="I132" s="30" t="str"/>
      <x:c r="J132" s="30" t="str"/>
      <x:c r="K132" s="30" t="str"/>
      <x:c r="L132" s="30" t="str"/>
      <x:c r="M132" s="30" t="str"/>
      <x:c r="N132" s="30" t="str"/>
      <x:c r="O132" s="30" t="str"/>
      <x:c r="P132" s="30" t="str"/>
      <x:c r="Q132" s="31" t="str"/>
      <x:c r="R132" s="31" t="str"/>
      <x:c r="S132" s="30" t="str"/>
      <x:c r="T132" s="30" t="str"/>
      <x:c r="U132" s="30" t="str"/>
      <x:c r="V132" s="40" t="str">
        <x:f>IF(B132="","",COUNTA(H132:L132)/5)</x:f>
      </x:c>
    </x:row>
    <x:row r="133">
      <x:c r="A133" s="30" t="str">
        <x:f>IF(B133="","",B133&amp;"-"&amp;C133)</x:f>
      </x:c>
      <x:c r="B133" s="30" t="str">
        <x:f>'01_命例主档'!A13</x:f>
      </x:c>
      <x:c r="C133" s="30" t="str">
        <x:v>M03</x:v>
      </x:c>
      <x:c r="D133" s="30" t="str">
        <x:v>月令与根气</x:v>
      </x:c>
      <x:c r="E133" s="30" t="str">
        <x:v>结构层</x:v>
      </x:c>
      <x:c r="F133" s="30" t="str">
        <x:v>M02</x:v>
      </x:c>
      <x:c r="G133" s="30" t="str">
        <x:v>未开始</x:v>
      </x:c>
      <x:c r="H133" s="30" t="str"/>
      <x:c r="I133" s="30" t="str"/>
      <x:c r="J133" s="30" t="str"/>
      <x:c r="K133" s="30" t="str"/>
      <x:c r="L133" s="30" t="str"/>
      <x:c r="M133" s="30" t="str"/>
      <x:c r="N133" s="30" t="str"/>
      <x:c r="O133" s="30" t="str"/>
      <x:c r="P133" s="30" t="str"/>
      <x:c r="Q133" s="31" t="str"/>
      <x:c r="R133" s="31" t="str"/>
      <x:c r="S133" s="30" t="str"/>
      <x:c r="T133" s="30" t="str"/>
      <x:c r="U133" s="30" t="str"/>
      <x:c r="V133" s="40" t="str">
        <x:f>IF(B133="","",COUNTA(H133:L133)/5)</x:f>
      </x:c>
    </x:row>
    <x:row r="134">
      <x:c r="A134" s="30" t="str">
        <x:f>IF(B134="","",B134&amp;"-"&amp;C134)</x:f>
      </x:c>
      <x:c r="B134" s="30" t="str">
        <x:f>'01_命例主档'!A13</x:f>
      </x:c>
      <x:c r="C134" s="30" t="str">
        <x:v>M04</x:v>
      </x:c>
      <x:c r="D134" s="30" t="str">
        <x:v>天干作用识别</x:v>
      </x:c>
      <x:c r="E134" s="30" t="str">
        <x:v>识别层</x:v>
      </x:c>
      <x:c r="F134" s="30" t="str">
        <x:v>M02</x:v>
      </x:c>
      <x:c r="G134" s="30" t="str">
        <x:v>未开始</x:v>
      </x:c>
      <x:c r="H134" s="30" t="str"/>
      <x:c r="I134" s="30" t="str"/>
      <x:c r="J134" s="30" t="str"/>
      <x:c r="K134" s="30" t="str"/>
      <x:c r="L134" s="30" t="str"/>
      <x:c r="M134" s="30" t="str"/>
      <x:c r="N134" s="30" t="str"/>
      <x:c r="O134" s="30" t="str"/>
      <x:c r="P134" s="30" t="str"/>
      <x:c r="Q134" s="31" t="str"/>
      <x:c r="R134" s="31" t="str"/>
      <x:c r="S134" s="30" t="str"/>
      <x:c r="T134" s="30" t="str"/>
      <x:c r="U134" s="30" t="str"/>
      <x:c r="V134" s="40" t="str">
        <x:f>IF(B134="","",COUNTA(H134:L134)/5)</x:f>
      </x:c>
    </x:row>
    <x:row r="135">
      <x:c r="A135" s="30" t="str">
        <x:f>IF(B135="","",B135&amp;"-"&amp;C135)</x:f>
      </x:c>
      <x:c r="B135" s="30" t="str">
        <x:f>'01_命例主档'!A13</x:f>
      </x:c>
      <x:c r="C135" s="30" t="str">
        <x:v>M05</x:v>
      </x:c>
      <x:c r="D135" s="30" t="str">
        <x:v>地支关系识别</x:v>
      </x:c>
      <x:c r="E135" s="30" t="str">
        <x:v>识别层</x:v>
      </x:c>
      <x:c r="F135" s="30" t="str">
        <x:v>M02</x:v>
      </x:c>
      <x:c r="G135" s="30" t="str">
        <x:v>未开始</x:v>
      </x:c>
      <x:c r="H135" s="30" t="str"/>
      <x:c r="I135" s="30" t="str"/>
      <x:c r="J135" s="30" t="str"/>
      <x:c r="K135" s="30" t="str"/>
      <x:c r="L135" s="30" t="str"/>
      <x:c r="M135" s="30" t="str"/>
      <x:c r="N135" s="30" t="str"/>
      <x:c r="O135" s="30" t="str"/>
      <x:c r="P135" s="30" t="str"/>
      <x:c r="Q135" s="31" t="str"/>
      <x:c r="R135" s="31" t="str"/>
      <x:c r="S135" s="30" t="str"/>
      <x:c r="T135" s="30" t="str"/>
      <x:c r="U135" s="30" t="str"/>
      <x:c r="V135" s="40" t="str">
        <x:f>IF(B135="","",COUNTA(H135:L135)/5)</x:f>
      </x:c>
    </x:row>
    <x:row r="136">
      <x:c r="A136" s="30" t="str">
        <x:f>IF(B136="","",B136&amp;"-"&amp;C136)</x:f>
      </x:c>
      <x:c r="B136" s="30" t="str">
        <x:f>'01_命例主档'!A13</x:f>
      </x:c>
      <x:c r="C136" s="30" t="str">
        <x:v>M06</x:v>
      </x:c>
      <x:c r="D136" s="30" t="str">
        <x:v>干支关系效应</x:v>
      </x:c>
      <x:c r="E136" s="30" t="str">
        <x:v>效应层</x:v>
      </x:c>
      <x:c r="F136" s="30" t="str">
        <x:v>M03/M04/M05</x:v>
      </x:c>
      <x:c r="G136" s="30" t="str">
        <x:v>未开始</x:v>
      </x:c>
      <x:c r="H136" s="30" t="str"/>
      <x:c r="I136" s="30" t="str"/>
      <x:c r="J136" s="30" t="str"/>
      <x:c r="K136" s="30" t="str"/>
      <x:c r="L136" s="30" t="str"/>
      <x:c r="M136" s="30" t="str"/>
      <x:c r="N136" s="30" t="str"/>
      <x:c r="O136" s="30" t="str"/>
      <x:c r="P136" s="30" t="str"/>
      <x:c r="Q136" s="31" t="str"/>
      <x:c r="R136" s="31" t="str"/>
      <x:c r="S136" s="30" t="str"/>
      <x:c r="T136" s="30" t="str"/>
      <x:c r="U136" s="30" t="str"/>
      <x:c r="V136" s="40" t="str">
        <x:f>IF(B136="","",COUNTA(H136:L136)/5)</x:f>
      </x:c>
    </x:row>
    <x:row r="137">
      <x:c r="A137" s="30" t="str">
        <x:f>IF(B137="","",B137&amp;"-"&amp;C137)</x:f>
      </x:c>
      <x:c r="B137" s="30" t="str">
        <x:f>'01_命例主档'!A13</x:f>
      </x:c>
      <x:c r="C137" s="30" t="str">
        <x:v>M07</x:v>
      </x:c>
      <x:c r="D137" s="30" t="str">
        <x:v>五行原始旺衰</x:v>
      </x:c>
      <x:c r="E137" s="30" t="str">
        <x:v>结构层</x:v>
      </x:c>
      <x:c r="F137" s="30" t="str">
        <x:v>M02/M03</x:v>
      </x:c>
      <x:c r="G137" s="30" t="str">
        <x:v>未开始</x:v>
      </x:c>
      <x:c r="H137" s="30" t="str"/>
      <x:c r="I137" s="30" t="str"/>
      <x:c r="J137" s="30" t="str"/>
      <x:c r="K137" s="30" t="str"/>
      <x:c r="L137" s="30" t="str"/>
      <x:c r="M137" s="30" t="str"/>
      <x:c r="N137" s="30" t="str"/>
      <x:c r="O137" s="30" t="str"/>
      <x:c r="P137" s="30" t="str"/>
      <x:c r="Q137" s="31" t="str"/>
      <x:c r="R137" s="31" t="str"/>
      <x:c r="S137" s="30" t="str"/>
      <x:c r="T137" s="30" t="str"/>
      <x:c r="U137" s="30" t="str"/>
      <x:c r="V137" s="40" t="str">
        <x:f>IF(B137="","",COUNTA(H137:L137)/5)</x:f>
      </x:c>
    </x:row>
    <x:row r="138">
      <x:c r="A138" s="30" t="str">
        <x:f>IF(B138="","",B138&amp;"-"&amp;C138)</x:f>
      </x:c>
      <x:c r="B138" s="30" t="str">
        <x:f>'01_命例主档'!A13</x:f>
      </x:c>
      <x:c r="C138" s="30" t="str">
        <x:v>M08</x:v>
      </x:c>
      <x:c r="D138" s="30" t="str">
        <x:v>五行有效旺衰</x:v>
      </x:c>
      <x:c r="E138" s="30" t="str">
        <x:v>结构层</x:v>
      </x:c>
      <x:c r="F138" s="30" t="str">
        <x:v>M06/M07</x:v>
      </x:c>
      <x:c r="G138" s="30" t="str">
        <x:v>未开始</x:v>
      </x:c>
      <x:c r="H138" s="30" t="str"/>
      <x:c r="I138" s="30" t="str"/>
      <x:c r="J138" s="30" t="str"/>
      <x:c r="K138" s="30" t="str"/>
      <x:c r="L138" s="30" t="str"/>
      <x:c r="M138" s="30" t="str"/>
      <x:c r="N138" s="30" t="str"/>
      <x:c r="O138" s="30" t="str"/>
      <x:c r="P138" s="30" t="str"/>
      <x:c r="Q138" s="31" t="str"/>
      <x:c r="R138" s="31" t="str"/>
      <x:c r="S138" s="30" t="str"/>
      <x:c r="T138" s="30" t="str"/>
      <x:c r="U138" s="30" t="str"/>
      <x:c r="V138" s="40" t="str">
        <x:f>IF(B138="","",COUNTA(H138:L138)/5)</x:f>
      </x:c>
    </x:row>
    <x:row r="139">
      <x:c r="A139" s="30" t="str">
        <x:f>IF(B139="","",B139&amp;"-"&amp;C139)</x:f>
      </x:c>
      <x:c r="B139" s="30" t="str">
        <x:f>'01_命例主档'!A13</x:f>
      </x:c>
      <x:c r="C139" s="30" t="str">
        <x:v>M09</x:v>
      </x:c>
      <x:c r="D139" s="30" t="str">
        <x:v>日主旺衰</x:v>
      </x:c>
      <x:c r="E139" s="30" t="str">
        <x:v>综合层</x:v>
      </x:c>
      <x:c r="F139" s="30" t="str">
        <x:v>M03/M07/M08</x:v>
      </x:c>
      <x:c r="G139" s="30" t="str">
        <x:v>未开始</x:v>
      </x:c>
      <x:c r="H139" s="30" t="str"/>
      <x:c r="I139" s="30" t="str"/>
      <x:c r="J139" s="30" t="str"/>
      <x:c r="K139" s="30" t="str"/>
      <x:c r="L139" s="30" t="str"/>
      <x:c r="M139" s="30" t="str"/>
      <x:c r="N139" s="30" t="str"/>
      <x:c r="O139" s="30" t="str"/>
      <x:c r="P139" s="30" t="str"/>
      <x:c r="Q139" s="31" t="str"/>
      <x:c r="R139" s="31" t="str"/>
      <x:c r="S139" s="30" t="str"/>
      <x:c r="T139" s="30" t="str"/>
      <x:c r="U139" s="30" t="str"/>
      <x:c r="V139" s="40" t="str">
        <x:f>IF(B139="","",COUNTA(H139:L139)/5)</x:f>
      </x:c>
    </x:row>
    <x:row r="140">
      <x:c r="A140" s="30" t="str">
        <x:f>IF(B140="","",B140&amp;"-"&amp;C140)</x:f>
      </x:c>
      <x:c r="B140" s="30" t="str">
        <x:f>'01_命例主档'!A13</x:f>
      </x:c>
      <x:c r="C140" s="30" t="str">
        <x:v>M10</x:v>
      </x:c>
      <x:c r="D140" s="30" t="str">
        <x:v>十神旺衰功能</x:v>
      </x:c>
      <x:c r="E140" s="30" t="str">
        <x:v>结构层</x:v>
      </x:c>
      <x:c r="F140" s="30" t="str">
        <x:v>M02/M08/M09</x:v>
      </x:c>
      <x:c r="G140" s="30" t="str">
        <x:v>未开始</x:v>
      </x:c>
      <x:c r="H140" s="30" t="str"/>
      <x:c r="I140" s="30" t="str"/>
      <x:c r="J140" s="30" t="str"/>
      <x:c r="K140" s="30" t="str"/>
      <x:c r="L140" s="30" t="str"/>
      <x:c r="M140" s="30" t="str"/>
      <x:c r="N140" s="30" t="str"/>
      <x:c r="O140" s="30" t="str"/>
      <x:c r="P140" s="30" t="str"/>
      <x:c r="Q140" s="31" t="str"/>
      <x:c r="R140" s="31" t="str"/>
      <x:c r="S140" s="30" t="str"/>
      <x:c r="T140" s="30" t="str"/>
      <x:c r="U140" s="30" t="str"/>
      <x:c r="V140" s="40" t="str">
        <x:f>IF(B140="","",COUNTA(H140:L140)/5)</x:f>
      </x:c>
    </x:row>
    <x:row r="141">
      <x:c r="A141" s="30" t="str">
        <x:f>IF(B141="","",B141&amp;"-"&amp;C141)</x:f>
      </x:c>
      <x:c r="B141" s="30" t="str">
        <x:f>'01_命例主档'!A13</x:f>
      </x:c>
      <x:c r="C141" s="30" t="str">
        <x:v>M11</x:v>
      </x:c>
      <x:c r="D141" s="30" t="str">
        <x:v>十神组合成立</x:v>
      </x:c>
      <x:c r="E141" s="30" t="str">
        <x:v>结构层</x:v>
      </x:c>
      <x:c r="F141" s="30" t="str">
        <x:v>M08/M09/M10</x:v>
      </x:c>
      <x:c r="G141" s="30" t="str">
        <x:v>未开始</x:v>
      </x:c>
      <x:c r="H141" s="30" t="str"/>
      <x:c r="I141" s="30" t="str"/>
      <x:c r="J141" s="30" t="str"/>
      <x:c r="K141" s="30" t="str"/>
      <x:c r="L141" s="30" t="str"/>
      <x:c r="M141" s="30" t="str"/>
      <x:c r="N141" s="30" t="str"/>
      <x:c r="O141" s="30" t="str"/>
      <x:c r="P141" s="30" t="str"/>
      <x:c r="Q141" s="31" t="str"/>
      <x:c r="R141" s="31" t="str"/>
      <x:c r="S141" s="30" t="str"/>
      <x:c r="T141" s="30" t="str"/>
      <x:c r="U141" s="30" t="str"/>
      <x:c r="V141" s="40" t="str">
        <x:f>IF(B141="","",COUNTA(H141:L141)/5)</x:f>
      </x:c>
    </x:row>
    <x:row r="142">
      <x:c r="A142" s="30" t="str">
        <x:f>IF(B142="","",B142&amp;"-"&amp;C142)</x:f>
      </x:c>
      <x:c r="B142" s="30" t="str">
        <x:f>'01_命例主档'!A13</x:f>
      </x:c>
      <x:c r="C142" s="30" t="str">
        <x:v>M12</x:v>
      </x:c>
      <x:c r="D142" s="30" t="str">
        <x:v>五行流通卡点</x:v>
      </x:c>
      <x:c r="E142" s="30" t="str">
        <x:v>结构层</x:v>
      </x:c>
      <x:c r="F142" s="30" t="str">
        <x:v>M06/M08/M10/M11</x:v>
      </x:c>
      <x:c r="G142" s="30" t="str">
        <x:v>未开始</x:v>
      </x:c>
      <x:c r="H142" s="30" t="str"/>
      <x:c r="I142" s="30" t="str"/>
      <x:c r="J142" s="30" t="str"/>
      <x:c r="K142" s="30" t="str"/>
      <x:c r="L142" s="30" t="str"/>
      <x:c r="M142" s="30" t="str"/>
      <x:c r="N142" s="30" t="str"/>
      <x:c r="O142" s="30" t="str"/>
      <x:c r="P142" s="30" t="str"/>
      <x:c r="Q142" s="31" t="str"/>
      <x:c r="R142" s="31" t="str"/>
      <x:c r="S142" s="30" t="str"/>
      <x:c r="T142" s="30" t="str"/>
      <x:c r="U142" s="30" t="str"/>
      <x:c r="V142" s="40" t="str">
        <x:f>IF(B142="","",COUNTA(H142:L142)/5)</x:f>
      </x:c>
    </x:row>
    <x:row r="143">
      <x:c r="A143" s="30" t="str">
        <x:f>IF(B143="","",B143&amp;"-"&amp;C143)</x:f>
      </x:c>
      <x:c r="B143" s="30" t="str">
        <x:f>'01_命例主档'!A13</x:f>
      </x:c>
      <x:c r="C143" s="30" t="str">
        <x:v>M13</x:v>
      </x:c>
      <x:c r="D143" s="30" t="str">
        <x:v>寒暖燥湿</x:v>
      </x:c>
      <x:c r="E143" s="30" t="str">
        <x:v>结构层</x:v>
      </x:c>
      <x:c r="F143" s="30" t="str">
        <x:v>M02/M08/M12</x:v>
      </x:c>
      <x:c r="G143" s="30" t="str">
        <x:v>未开始</x:v>
      </x:c>
      <x:c r="H143" s="30" t="str"/>
      <x:c r="I143" s="30" t="str"/>
      <x:c r="J143" s="30" t="str"/>
      <x:c r="K143" s="30" t="str"/>
      <x:c r="L143" s="30" t="str"/>
      <x:c r="M143" s="30" t="str"/>
      <x:c r="N143" s="30" t="str"/>
      <x:c r="O143" s="30" t="str"/>
      <x:c r="P143" s="30" t="str"/>
      <x:c r="Q143" s="31" t="str"/>
      <x:c r="R143" s="31" t="str"/>
      <x:c r="S143" s="30" t="str"/>
      <x:c r="T143" s="30" t="str"/>
      <x:c r="U143" s="30" t="str"/>
      <x:c r="V143" s="40" t="str">
        <x:f>IF(B143="","",COUNTA(H143:L143)/5)</x:f>
      </x:c>
    </x:row>
    <x:row r="144">
      <x:c r="A144" s="30" t="str">
        <x:f>IF(B144="","",B144&amp;"-"&amp;C144)</x:f>
      </x:c>
      <x:c r="B144" s="30" t="str">
        <x:f>'01_命例主档'!A13</x:f>
      </x:c>
      <x:c r="C144" s="30" t="str">
        <x:v>M14</x:v>
      </x:c>
      <x:c r="D144" s="30" t="str">
        <x:v>格局候选判断</x:v>
      </x:c>
      <x:c r="E144" s="30" t="str">
        <x:v>综合层</x:v>
      </x:c>
      <x:c r="F144" s="30" t="str">
        <x:v>M03/M06/M08/M09/M10/M11</x:v>
      </x:c>
      <x:c r="G144" s="30" t="str">
        <x:v>未开始</x:v>
      </x:c>
      <x:c r="H144" s="30" t="str"/>
      <x:c r="I144" s="30" t="str"/>
      <x:c r="J144" s="30" t="str"/>
      <x:c r="K144" s="30" t="str"/>
      <x:c r="L144" s="30" t="str"/>
      <x:c r="M144" s="30" t="str"/>
      <x:c r="N144" s="30" t="str"/>
      <x:c r="O144" s="30" t="str"/>
      <x:c r="P144" s="30" t="str"/>
      <x:c r="Q144" s="31" t="str"/>
      <x:c r="R144" s="31" t="str"/>
      <x:c r="S144" s="30" t="str"/>
      <x:c r="T144" s="30" t="str"/>
      <x:c r="U144" s="30" t="str"/>
      <x:c r="V144" s="40" t="str">
        <x:f>IF(B144="","",COUNTA(H144:L144)/5)</x:f>
      </x:c>
    </x:row>
    <x:row r="145">
      <x:c r="A145" s="30" t="str">
        <x:f>IF(B145="","",B145&amp;"-"&amp;C145)</x:f>
      </x:c>
      <x:c r="B145" s="30" t="str">
        <x:f>'01_命例主档'!A13</x:f>
      </x:c>
      <x:c r="C145" s="30" t="str">
        <x:v>M15</x:v>
      </x:c>
      <x:c r="D145" s="30" t="str">
        <x:v>格局成败救应</x:v>
      </x:c>
      <x:c r="E145" s="30" t="str">
        <x:v>综合层</x:v>
      </x:c>
      <x:c r="F145" s="30" t="str">
        <x:v>M14/M11/M08</x:v>
      </x:c>
      <x:c r="G145" s="30" t="str">
        <x:v>未开始</x:v>
      </x:c>
      <x:c r="H145" s="30" t="str"/>
      <x:c r="I145" s="30" t="str"/>
      <x:c r="J145" s="30" t="str"/>
      <x:c r="K145" s="30" t="str"/>
      <x:c r="L145" s="30" t="str"/>
      <x:c r="M145" s="30" t="str"/>
      <x:c r="N145" s="30" t="str"/>
      <x:c r="O145" s="30" t="str"/>
      <x:c r="P145" s="30" t="str"/>
      <x:c r="Q145" s="31" t="str"/>
      <x:c r="R145" s="31" t="str"/>
      <x:c r="S145" s="30" t="str"/>
      <x:c r="T145" s="30" t="str"/>
      <x:c r="U145" s="30" t="str"/>
      <x:c r="V145" s="40" t="str">
        <x:f>IF(B145="","",COUNTA(H145:L145)/5)</x:f>
      </x:c>
    </x:row>
    <x:row r="146">
      <x:c r="A146" s="30" t="str">
        <x:f>IF(B146="","",B146&amp;"-"&amp;C146)</x:f>
      </x:c>
      <x:c r="B146" s="30" t="str">
        <x:f>'01_命例主档'!A13</x:f>
      </x:c>
      <x:c r="C146" s="30" t="str">
        <x:v>M16</x:v>
      </x:c>
      <x:c r="D146" s="30" t="str">
        <x:v>病药模型</x:v>
      </x:c>
      <x:c r="E146" s="30" t="str">
        <x:v>综合层</x:v>
      </x:c>
      <x:c r="F146" s="30" t="str">
        <x:v>M08-M15</x:v>
      </x:c>
      <x:c r="G146" s="30" t="str">
        <x:v>未开始</x:v>
      </x:c>
      <x:c r="H146" s="30" t="str"/>
      <x:c r="I146" s="30" t="str"/>
      <x:c r="J146" s="30" t="str"/>
      <x:c r="K146" s="30" t="str"/>
      <x:c r="L146" s="30" t="str"/>
      <x:c r="M146" s="30" t="str"/>
      <x:c r="N146" s="30" t="str"/>
      <x:c r="O146" s="30" t="str"/>
      <x:c r="P146" s="30" t="str"/>
      <x:c r="Q146" s="31" t="str"/>
      <x:c r="R146" s="31" t="str"/>
      <x:c r="S146" s="30" t="str"/>
      <x:c r="T146" s="30" t="str"/>
      <x:c r="U146" s="30" t="str"/>
      <x:c r="V146" s="40" t="str">
        <x:f>IF(B146="","",COUNTA(H146:L146)/5)</x:f>
      </x:c>
    </x:row>
    <x:row r="147">
      <x:c r="A147" s="30" t="str">
        <x:f>IF(B147="","",B147&amp;"-"&amp;C147)</x:f>
      </x:c>
      <x:c r="B147" s="30" t="str">
        <x:f>'01_命例主档'!A13</x:f>
      </x:c>
      <x:c r="C147" s="30" t="str">
        <x:v>M17</x:v>
      </x:c>
      <x:c r="D147" s="30" t="str">
        <x:v>喜忌用神矩阵</x:v>
      </x:c>
      <x:c r="E147" s="30" t="str">
        <x:v>综合层</x:v>
      </x:c>
      <x:c r="F147" s="30" t="str">
        <x:v>M09/M12/M13/M15/M16</x:v>
      </x:c>
      <x:c r="G147" s="30" t="str">
        <x:v>未开始</x:v>
      </x:c>
      <x:c r="H147" s="30" t="str"/>
      <x:c r="I147" s="30" t="str"/>
      <x:c r="J147" s="30" t="str"/>
      <x:c r="K147" s="30" t="str"/>
      <x:c r="L147" s="30" t="str"/>
      <x:c r="M147" s="30" t="str"/>
      <x:c r="N147" s="30" t="str"/>
      <x:c r="O147" s="30" t="str"/>
      <x:c r="P147" s="30" t="str"/>
      <x:c r="Q147" s="31" t="str"/>
      <x:c r="R147" s="31" t="str"/>
      <x:c r="S147" s="30" t="str"/>
      <x:c r="T147" s="30" t="str"/>
      <x:c r="U147" s="30" t="str"/>
      <x:c r="V147" s="40" t="str">
        <x:f>IF(B147="","",COUNTA(H147:L147)/5)</x:f>
      </x:c>
    </x:row>
    <x:row r="148">
      <x:c r="A148" s="30" t="str">
        <x:f>IF(B148="","",B148&amp;"-"&amp;C148)</x:f>
      </x:c>
      <x:c r="B148" s="30" t="str">
        <x:f>'01_命例主档'!A13</x:f>
      </x:c>
      <x:c r="C148" s="30" t="str">
        <x:v>M18</x:v>
      </x:c>
      <x:c r="D148" s="30" t="str">
        <x:v>冲突裁决规则</x:v>
      </x:c>
      <x:c r="E148" s="30" t="str">
        <x:v>综合层</x:v>
      </x:c>
      <x:c r="F148" s="30" t="str">
        <x:v>M14/M15/M16/M17</x:v>
      </x:c>
      <x:c r="G148" s="30" t="str">
        <x:v>未开始</x:v>
      </x:c>
      <x:c r="H148" s="30" t="str"/>
      <x:c r="I148" s="30" t="str"/>
      <x:c r="J148" s="30" t="str"/>
      <x:c r="K148" s="30" t="str"/>
      <x:c r="L148" s="30" t="str"/>
      <x:c r="M148" s="30" t="str"/>
      <x:c r="N148" s="30" t="str"/>
      <x:c r="O148" s="30" t="str"/>
      <x:c r="P148" s="30" t="str"/>
      <x:c r="Q148" s="31" t="str"/>
      <x:c r="R148" s="31" t="str"/>
      <x:c r="S148" s="30" t="str"/>
      <x:c r="T148" s="30" t="str"/>
      <x:c r="U148" s="30" t="str"/>
      <x:c r="V148" s="40" t="str">
        <x:f>IF(B148="","",COUNTA(H148:L148)/5)</x:f>
      </x:c>
    </x:row>
    <x:row r="149">
      <x:c r="A149" s="30" t="str">
        <x:f>IF(B149="","",B149&amp;"-"&amp;C149)</x:f>
      </x:c>
      <x:c r="B149" s="30" t="str">
        <x:f>'01_命例主档'!A13</x:f>
      </x:c>
      <x:c r="C149" s="30" t="str">
        <x:v>M19</x:v>
      </x:c>
      <x:c r="D149" s="30" t="str">
        <x:v>综合输出模板</x:v>
      </x:c>
      <x:c r="E149" s="30" t="str">
        <x:v>治理与输出</x:v>
      </x:c>
      <x:c r="F149" s="30" t="str">
        <x:v>M02-M18</x:v>
      </x:c>
      <x:c r="G149" s="30" t="str">
        <x:v>未开始</x:v>
      </x:c>
      <x:c r="H149" s="30" t="str"/>
      <x:c r="I149" s="30" t="str"/>
      <x:c r="J149" s="30" t="str"/>
      <x:c r="K149" s="30" t="str"/>
      <x:c r="L149" s="30" t="str"/>
      <x:c r="M149" s="30" t="str"/>
      <x:c r="N149" s="30" t="str"/>
      <x:c r="O149" s="30" t="str"/>
      <x:c r="P149" s="30" t="str"/>
      <x:c r="Q149" s="31" t="str"/>
      <x:c r="R149" s="31" t="str"/>
      <x:c r="S149" s="30" t="str"/>
      <x:c r="T149" s="30" t="str"/>
      <x:c r="U149" s="30" t="str"/>
      <x:c r="V149" s="40" t="str">
        <x:f>IF(B149="","",COUNTA(H149:L149)/5)</x:f>
      </x:c>
    </x:row>
    <x:row r="150">
      <x:c r="A150" s="30" t="str">
        <x:f>IF(B150="","",B150&amp;"-"&amp;C150)</x:f>
      </x:c>
      <x:c r="B150" s="30" t="str">
        <x:f>'01_命例主档'!A14</x:f>
      </x:c>
      <x:c r="C150" s="30" t="str">
        <x:v>M02</x:v>
      </x:c>
      <x:c r="D150" s="30" t="str">
        <x:v>干支藏干基础</x:v>
      </x:c>
      <x:c r="E150" s="30" t="str">
        <x:v>识别层</x:v>
      </x:c>
      <x:c r="F150" s="30" t="str">
        <x:v>无</x:v>
      </x:c>
      <x:c r="G150" s="30" t="str">
        <x:v>未开始</x:v>
      </x:c>
      <x:c r="H150" s="30" t="str"/>
      <x:c r="I150" s="30" t="str"/>
      <x:c r="J150" s="30" t="str"/>
      <x:c r="K150" s="30" t="str"/>
      <x:c r="L150" s="30" t="str"/>
      <x:c r="M150" s="30" t="str"/>
      <x:c r="N150" s="30" t="str"/>
      <x:c r="O150" s="30" t="str"/>
      <x:c r="P150" s="30" t="str"/>
      <x:c r="Q150" s="31" t="str"/>
      <x:c r="R150" s="31" t="str"/>
      <x:c r="S150" s="30" t="str"/>
      <x:c r="T150" s="30" t="str"/>
      <x:c r="U150" s="30" t="str"/>
      <x:c r="V150" s="40" t="str">
        <x:f>IF(B150="","",COUNTA(H150:L150)/5)</x:f>
      </x:c>
    </x:row>
    <x:row r="151">
      <x:c r="A151" s="30" t="str">
        <x:f>IF(B151="","",B151&amp;"-"&amp;C151)</x:f>
      </x:c>
      <x:c r="B151" s="30" t="str">
        <x:f>'01_命例主档'!A14</x:f>
      </x:c>
      <x:c r="C151" s="30" t="str">
        <x:v>M03</x:v>
      </x:c>
      <x:c r="D151" s="30" t="str">
        <x:v>月令与根气</x:v>
      </x:c>
      <x:c r="E151" s="30" t="str">
        <x:v>结构层</x:v>
      </x:c>
      <x:c r="F151" s="30" t="str">
        <x:v>M02</x:v>
      </x:c>
      <x:c r="G151" s="30" t="str">
        <x:v>未开始</x:v>
      </x:c>
      <x:c r="H151" s="30" t="str"/>
      <x:c r="I151" s="30" t="str"/>
      <x:c r="J151" s="30" t="str"/>
      <x:c r="K151" s="30" t="str"/>
      <x:c r="L151" s="30" t="str"/>
      <x:c r="M151" s="30" t="str"/>
      <x:c r="N151" s="30" t="str"/>
      <x:c r="O151" s="30" t="str"/>
      <x:c r="P151" s="30" t="str"/>
      <x:c r="Q151" s="31" t="str"/>
      <x:c r="R151" s="31" t="str"/>
      <x:c r="S151" s="30" t="str"/>
      <x:c r="T151" s="30" t="str"/>
      <x:c r="U151" s="30" t="str"/>
      <x:c r="V151" s="40" t="str">
        <x:f>IF(B151="","",COUNTA(H151:L151)/5)</x:f>
      </x:c>
    </x:row>
    <x:row r="152">
      <x:c r="A152" s="30" t="str">
        <x:f>IF(B152="","",B152&amp;"-"&amp;C152)</x:f>
      </x:c>
      <x:c r="B152" s="30" t="str">
        <x:f>'01_命例主档'!A14</x:f>
      </x:c>
      <x:c r="C152" s="30" t="str">
        <x:v>M04</x:v>
      </x:c>
      <x:c r="D152" s="30" t="str">
        <x:v>天干作用识别</x:v>
      </x:c>
      <x:c r="E152" s="30" t="str">
        <x:v>识别层</x:v>
      </x:c>
      <x:c r="F152" s="30" t="str">
        <x:v>M02</x:v>
      </x:c>
      <x:c r="G152" s="30" t="str">
        <x:v>未开始</x:v>
      </x:c>
      <x:c r="H152" s="30" t="str"/>
      <x:c r="I152" s="30" t="str"/>
      <x:c r="J152" s="30" t="str"/>
      <x:c r="K152" s="30" t="str"/>
      <x:c r="L152" s="30" t="str"/>
      <x:c r="M152" s="30" t="str"/>
      <x:c r="N152" s="30" t="str"/>
      <x:c r="O152" s="30" t="str"/>
      <x:c r="P152" s="30" t="str"/>
      <x:c r="Q152" s="31" t="str"/>
      <x:c r="R152" s="31" t="str"/>
      <x:c r="S152" s="30" t="str"/>
      <x:c r="T152" s="30" t="str"/>
      <x:c r="U152" s="30" t="str"/>
      <x:c r="V152" s="40" t="str">
        <x:f>IF(B152="","",COUNTA(H152:L152)/5)</x:f>
      </x:c>
    </x:row>
    <x:row r="153">
      <x:c r="A153" s="30" t="str">
        <x:f>IF(B153="","",B153&amp;"-"&amp;C153)</x:f>
      </x:c>
      <x:c r="B153" s="30" t="str">
        <x:f>'01_命例主档'!A14</x:f>
      </x:c>
      <x:c r="C153" s="30" t="str">
        <x:v>M05</x:v>
      </x:c>
      <x:c r="D153" s="30" t="str">
        <x:v>地支关系识别</x:v>
      </x:c>
      <x:c r="E153" s="30" t="str">
        <x:v>识别层</x:v>
      </x:c>
      <x:c r="F153" s="30" t="str">
        <x:v>M02</x:v>
      </x:c>
      <x:c r="G153" s="30" t="str">
        <x:v>未开始</x:v>
      </x:c>
      <x:c r="H153" s="30" t="str"/>
      <x:c r="I153" s="30" t="str"/>
      <x:c r="J153" s="30" t="str"/>
      <x:c r="K153" s="30" t="str"/>
      <x:c r="L153" s="30" t="str"/>
      <x:c r="M153" s="30" t="str"/>
      <x:c r="N153" s="30" t="str"/>
      <x:c r="O153" s="30" t="str"/>
      <x:c r="P153" s="30" t="str"/>
      <x:c r="Q153" s="31" t="str"/>
      <x:c r="R153" s="31" t="str"/>
      <x:c r="S153" s="30" t="str"/>
      <x:c r="T153" s="30" t="str"/>
      <x:c r="U153" s="30" t="str"/>
      <x:c r="V153" s="40" t="str">
        <x:f>IF(B153="","",COUNTA(H153:L153)/5)</x:f>
      </x:c>
    </x:row>
    <x:row r="154">
      <x:c r="A154" s="30" t="str">
        <x:f>IF(B154="","",B154&amp;"-"&amp;C154)</x:f>
      </x:c>
      <x:c r="B154" s="30" t="str">
        <x:f>'01_命例主档'!A14</x:f>
      </x:c>
      <x:c r="C154" s="30" t="str">
        <x:v>M06</x:v>
      </x:c>
      <x:c r="D154" s="30" t="str">
        <x:v>干支关系效应</x:v>
      </x:c>
      <x:c r="E154" s="30" t="str">
        <x:v>效应层</x:v>
      </x:c>
      <x:c r="F154" s="30" t="str">
        <x:v>M03/M04/M05</x:v>
      </x:c>
      <x:c r="G154" s="30" t="str">
        <x:v>未开始</x:v>
      </x:c>
      <x:c r="H154" s="30" t="str"/>
      <x:c r="I154" s="30" t="str"/>
      <x:c r="J154" s="30" t="str"/>
      <x:c r="K154" s="30" t="str"/>
      <x:c r="L154" s="30" t="str"/>
      <x:c r="M154" s="30" t="str"/>
      <x:c r="N154" s="30" t="str"/>
      <x:c r="O154" s="30" t="str"/>
      <x:c r="P154" s="30" t="str"/>
      <x:c r="Q154" s="31" t="str"/>
      <x:c r="R154" s="31" t="str"/>
      <x:c r="S154" s="30" t="str"/>
      <x:c r="T154" s="30" t="str"/>
      <x:c r="U154" s="30" t="str"/>
      <x:c r="V154" s="40" t="str">
        <x:f>IF(B154="","",COUNTA(H154:L154)/5)</x:f>
      </x:c>
    </x:row>
    <x:row r="155">
      <x:c r="A155" s="30" t="str">
        <x:f>IF(B155="","",B155&amp;"-"&amp;C155)</x:f>
      </x:c>
      <x:c r="B155" s="30" t="str">
        <x:f>'01_命例主档'!A14</x:f>
      </x:c>
      <x:c r="C155" s="30" t="str">
        <x:v>M07</x:v>
      </x:c>
      <x:c r="D155" s="30" t="str">
        <x:v>五行原始旺衰</x:v>
      </x:c>
      <x:c r="E155" s="30" t="str">
        <x:v>结构层</x:v>
      </x:c>
      <x:c r="F155" s="30" t="str">
        <x:v>M02/M03</x:v>
      </x:c>
      <x:c r="G155" s="30" t="str">
        <x:v>未开始</x:v>
      </x:c>
      <x:c r="H155" s="30" t="str"/>
      <x:c r="I155" s="30" t="str"/>
      <x:c r="J155" s="30" t="str"/>
      <x:c r="K155" s="30" t="str"/>
      <x:c r="L155" s="30" t="str"/>
      <x:c r="M155" s="30" t="str"/>
      <x:c r="N155" s="30" t="str"/>
      <x:c r="O155" s="30" t="str"/>
      <x:c r="P155" s="30" t="str"/>
      <x:c r="Q155" s="31" t="str"/>
      <x:c r="R155" s="31" t="str"/>
      <x:c r="S155" s="30" t="str"/>
      <x:c r="T155" s="30" t="str"/>
      <x:c r="U155" s="30" t="str"/>
      <x:c r="V155" s="40" t="str">
        <x:f>IF(B155="","",COUNTA(H155:L155)/5)</x:f>
      </x:c>
    </x:row>
    <x:row r="156">
      <x:c r="A156" s="30" t="str">
        <x:f>IF(B156="","",B156&amp;"-"&amp;C156)</x:f>
      </x:c>
      <x:c r="B156" s="30" t="str">
        <x:f>'01_命例主档'!A14</x:f>
      </x:c>
      <x:c r="C156" s="30" t="str">
        <x:v>M08</x:v>
      </x:c>
      <x:c r="D156" s="30" t="str">
        <x:v>五行有效旺衰</x:v>
      </x:c>
      <x:c r="E156" s="30" t="str">
        <x:v>结构层</x:v>
      </x:c>
      <x:c r="F156" s="30" t="str">
        <x:v>M06/M07</x:v>
      </x:c>
      <x:c r="G156" s="30" t="str">
        <x:v>未开始</x:v>
      </x:c>
      <x:c r="H156" s="30" t="str"/>
      <x:c r="I156" s="30" t="str"/>
      <x:c r="J156" s="30" t="str"/>
      <x:c r="K156" s="30" t="str"/>
      <x:c r="L156" s="30" t="str"/>
      <x:c r="M156" s="30" t="str"/>
      <x:c r="N156" s="30" t="str"/>
      <x:c r="O156" s="30" t="str"/>
      <x:c r="P156" s="30" t="str"/>
      <x:c r="Q156" s="31" t="str"/>
      <x:c r="R156" s="31" t="str"/>
      <x:c r="S156" s="30" t="str"/>
      <x:c r="T156" s="30" t="str"/>
      <x:c r="U156" s="30" t="str"/>
      <x:c r="V156" s="40" t="str">
        <x:f>IF(B156="","",COUNTA(H156:L156)/5)</x:f>
      </x:c>
    </x:row>
    <x:row r="157">
      <x:c r="A157" s="30" t="str">
        <x:f>IF(B157="","",B157&amp;"-"&amp;C157)</x:f>
      </x:c>
      <x:c r="B157" s="30" t="str">
        <x:f>'01_命例主档'!A14</x:f>
      </x:c>
      <x:c r="C157" s="30" t="str">
        <x:v>M09</x:v>
      </x:c>
      <x:c r="D157" s="30" t="str">
        <x:v>日主旺衰</x:v>
      </x:c>
      <x:c r="E157" s="30" t="str">
        <x:v>综合层</x:v>
      </x:c>
      <x:c r="F157" s="30" t="str">
        <x:v>M03/M07/M08</x:v>
      </x:c>
      <x:c r="G157" s="30" t="str">
        <x:v>未开始</x:v>
      </x:c>
      <x:c r="H157" s="30" t="str"/>
      <x:c r="I157" s="30" t="str"/>
      <x:c r="J157" s="30" t="str"/>
      <x:c r="K157" s="30" t="str"/>
      <x:c r="L157" s="30" t="str"/>
      <x:c r="M157" s="30" t="str"/>
      <x:c r="N157" s="30" t="str"/>
      <x:c r="O157" s="30" t="str"/>
      <x:c r="P157" s="30" t="str"/>
      <x:c r="Q157" s="31" t="str"/>
      <x:c r="R157" s="31" t="str"/>
      <x:c r="S157" s="30" t="str"/>
      <x:c r="T157" s="30" t="str"/>
      <x:c r="U157" s="30" t="str"/>
      <x:c r="V157" s="40" t="str">
        <x:f>IF(B157="","",COUNTA(H157:L157)/5)</x:f>
      </x:c>
    </x:row>
    <x:row r="158">
      <x:c r="A158" s="30" t="str">
        <x:f>IF(B158="","",B158&amp;"-"&amp;C158)</x:f>
      </x:c>
      <x:c r="B158" s="30" t="str">
        <x:f>'01_命例主档'!A14</x:f>
      </x:c>
      <x:c r="C158" s="30" t="str">
        <x:v>M10</x:v>
      </x:c>
      <x:c r="D158" s="30" t="str">
        <x:v>十神旺衰功能</x:v>
      </x:c>
      <x:c r="E158" s="30" t="str">
        <x:v>结构层</x:v>
      </x:c>
      <x:c r="F158" s="30" t="str">
        <x:v>M02/M08/M09</x:v>
      </x:c>
      <x:c r="G158" s="30" t="str">
        <x:v>未开始</x:v>
      </x:c>
      <x:c r="H158" s="30" t="str"/>
      <x:c r="I158" s="30" t="str"/>
      <x:c r="J158" s="30" t="str"/>
      <x:c r="K158" s="30" t="str"/>
      <x:c r="L158" s="30" t="str"/>
      <x:c r="M158" s="30" t="str"/>
      <x:c r="N158" s="30" t="str"/>
      <x:c r="O158" s="30" t="str"/>
      <x:c r="P158" s="30" t="str"/>
      <x:c r="Q158" s="31" t="str"/>
      <x:c r="R158" s="31" t="str"/>
      <x:c r="S158" s="30" t="str"/>
      <x:c r="T158" s="30" t="str"/>
      <x:c r="U158" s="30" t="str"/>
      <x:c r="V158" s="40" t="str">
        <x:f>IF(B158="","",COUNTA(H158:L158)/5)</x:f>
      </x:c>
    </x:row>
    <x:row r="159">
      <x:c r="A159" s="30" t="str">
        <x:f>IF(B159="","",B159&amp;"-"&amp;C159)</x:f>
      </x:c>
      <x:c r="B159" s="30" t="str">
        <x:f>'01_命例主档'!A14</x:f>
      </x:c>
      <x:c r="C159" s="30" t="str">
        <x:v>M11</x:v>
      </x:c>
      <x:c r="D159" s="30" t="str">
        <x:v>十神组合成立</x:v>
      </x:c>
      <x:c r="E159" s="30" t="str">
        <x:v>结构层</x:v>
      </x:c>
      <x:c r="F159" s="30" t="str">
        <x:v>M08/M09/M10</x:v>
      </x:c>
      <x:c r="G159" s="30" t="str">
        <x:v>未开始</x:v>
      </x:c>
      <x:c r="H159" s="30" t="str"/>
      <x:c r="I159" s="30" t="str"/>
      <x:c r="J159" s="30" t="str"/>
      <x:c r="K159" s="30" t="str"/>
      <x:c r="L159" s="30" t="str"/>
      <x:c r="M159" s="30" t="str"/>
      <x:c r="N159" s="30" t="str"/>
      <x:c r="O159" s="30" t="str"/>
      <x:c r="P159" s="30" t="str"/>
      <x:c r="Q159" s="31" t="str"/>
      <x:c r="R159" s="31" t="str"/>
      <x:c r="S159" s="30" t="str"/>
      <x:c r="T159" s="30" t="str"/>
      <x:c r="U159" s="30" t="str"/>
      <x:c r="V159" s="40" t="str">
        <x:f>IF(B159="","",COUNTA(H159:L159)/5)</x:f>
      </x:c>
    </x:row>
    <x:row r="160">
      <x:c r="A160" s="30" t="str">
        <x:f>IF(B160="","",B160&amp;"-"&amp;C160)</x:f>
      </x:c>
      <x:c r="B160" s="30" t="str">
        <x:f>'01_命例主档'!A14</x:f>
      </x:c>
      <x:c r="C160" s="30" t="str">
        <x:v>M12</x:v>
      </x:c>
      <x:c r="D160" s="30" t="str">
        <x:v>五行流通卡点</x:v>
      </x:c>
      <x:c r="E160" s="30" t="str">
        <x:v>结构层</x:v>
      </x:c>
      <x:c r="F160" s="30" t="str">
        <x:v>M06/M08/M10/M11</x:v>
      </x:c>
      <x:c r="G160" s="30" t="str">
        <x:v>未开始</x:v>
      </x:c>
      <x:c r="H160" s="30" t="str"/>
      <x:c r="I160" s="30" t="str"/>
      <x:c r="J160" s="30" t="str"/>
      <x:c r="K160" s="30" t="str"/>
      <x:c r="L160" s="30" t="str"/>
      <x:c r="M160" s="30" t="str"/>
      <x:c r="N160" s="30" t="str"/>
      <x:c r="O160" s="30" t="str"/>
      <x:c r="P160" s="30" t="str"/>
      <x:c r="Q160" s="31" t="str"/>
      <x:c r="R160" s="31" t="str"/>
      <x:c r="S160" s="30" t="str"/>
      <x:c r="T160" s="30" t="str"/>
      <x:c r="U160" s="30" t="str"/>
      <x:c r="V160" s="40" t="str">
        <x:f>IF(B160="","",COUNTA(H160:L160)/5)</x:f>
      </x:c>
    </x:row>
    <x:row r="161">
      <x:c r="A161" s="30" t="str">
        <x:f>IF(B161="","",B161&amp;"-"&amp;C161)</x:f>
      </x:c>
      <x:c r="B161" s="30" t="str">
        <x:f>'01_命例主档'!A14</x:f>
      </x:c>
      <x:c r="C161" s="30" t="str">
        <x:v>M13</x:v>
      </x:c>
      <x:c r="D161" s="30" t="str">
        <x:v>寒暖燥湿</x:v>
      </x:c>
      <x:c r="E161" s="30" t="str">
        <x:v>结构层</x:v>
      </x:c>
      <x:c r="F161" s="30" t="str">
        <x:v>M02/M08/M12</x:v>
      </x:c>
      <x:c r="G161" s="30" t="str">
        <x:v>未开始</x:v>
      </x:c>
      <x:c r="H161" s="30" t="str"/>
      <x:c r="I161" s="30" t="str"/>
      <x:c r="J161" s="30" t="str"/>
      <x:c r="K161" s="30" t="str"/>
      <x:c r="L161" s="30" t="str"/>
      <x:c r="M161" s="30" t="str"/>
      <x:c r="N161" s="30" t="str"/>
      <x:c r="O161" s="30" t="str"/>
      <x:c r="P161" s="30" t="str"/>
      <x:c r="Q161" s="31" t="str"/>
      <x:c r="R161" s="31" t="str"/>
      <x:c r="S161" s="30" t="str"/>
      <x:c r="T161" s="30" t="str"/>
      <x:c r="U161" s="30" t="str"/>
      <x:c r="V161" s="40" t="str">
        <x:f>IF(B161="","",COUNTA(H161:L161)/5)</x:f>
      </x:c>
    </x:row>
    <x:row r="162">
      <x:c r="A162" s="30" t="str">
        <x:f>IF(B162="","",B162&amp;"-"&amp;C162)</x:f>
      </x:c>
      <x:c r="B162" s="30" t="str">
        <x:f>'01_命例主档'!A14</x:f>
      </x:c>
      <x:c r="C162" s="30" t="str">
        <x:v>M14</x:v>
      </x:c>
      <x:c r="D162" s="30" t="str">
        <x:v>格局候选判断</x:v>
      </x:c>
      <x:c r="E162" s="30" t="str">
        <x:v>综合层</x:v>
      </x:c>
      <x:c r="F162" s="30" t="str">
        <x:v>M03/M06/M08/M09/M10/M11</x:v>
      </x:c>
      <x:c r="G162" s="30" t="str">
        <x:v>未开始</x:v>
      </x:c>
      <x:c r="H162" s="30" t="str"/>
      <x:c r="I162" s="30" t="str"/>
      <x:c r="J162" s="30" t="str"/>
      <x:c r="K162" s="30" t="str"/>
      <x:c r="L162" s="30" t="str"/>
      <x:c r="M162" s="30" t="str"/>
      <x:c r="N162" s="30" t="str"/>
      <x:c r="O162" s="30" t="str"/>
      <x:c r="P162" s="30" t="str"/>
      <x:c r="Q162" s="31" t="str"/>
      <x:c r="R162" s="31" t="str"/>
      <x:c r="S162" s="30" t="str"/>
      <x:c r="T162" s="30" t="str"/>
      <x:c r="U162" s="30" t="str"/>
      <x:c r="V162" s="40" t="str">
        <x:f>IF(B162="","",COUNTA(H162:L162)/5)</x:f>
      </x:c>
    </x:row>
    <x:row r="163">
      <x:c r="A163" s="30" t="str">
        <x:f>IF(B163="","",B163&amp;"-"&amp;C163)</x:f>
      </x:c>
      <x:c r="B163" s="30" t="str">
        <x:f>'01_命例主档'!A14</x:f>
      </x:c>
      <x:c r="C163" s="30" t="str">
        <x:v>M15</x:v>
      </x:c>
      <x:c r="D163" s="30" t="str">
        <x:v>格局成败救应</x:v>
      </x:c>
      <x:c r="E163" s="30" t="str">
        <x:v>综合层</x:v>
      </x:c>
      <x:c r="F163" s="30" t="str">
        <x:v>M14/M11/M08</x:v>
      </x:c>
      <x:c r="G163" s="30" t="str">
        <x:v>未开始</x:v>
      </x:c>
      <x:c r="H163" s="30" t="str"/>
      <x:c r="I163" s="30" t="str"/>
      <x:c r="J163" s="30" t="str"/>
      <x:c r="K163" s="30" t="str"/>
      <x:c r="L163" s="30" t="str"/>
      <x:c r="M163" s="30" t="str"/>
      <x:c r="N163" s="30" t="str"/>
      <x:c r="O163" s="30" t="str"/>
      <x:c r="P163" s="30" t="str"/>
      <x:c r="Q163" s="31" t="str"/>
      <x:c r="R163" s="31" t="str"/>
      <x:c r="S163" s="30" t="str"/>
      <x:c r="T163" s="30" t="str"/>
      <x:c r="U163" s="30" t="str"/>
      <x:c r="V163" s="40" t="str">
        <x:f>IF(B163="","",COUNTA(H163:L163)/5)</x:f>
      </x:c>
    </x:row>
    <x:row r="164">
      <x:c r="A164" s="30" t="str">
        <x:f>IF(B164="","",B164&amp;"-"&amp;C164)</x:f>
      </x:c>
      <x:c r="B164" s="30" t="str">
        <x:f>'01_命例主档'!A14</x:f>
      </x:c>
      <x:c r="C164" s="30" t="str">
        <x:v>M16</x:v>
      </x:c>
      <x:c r="D164" s="30" t="str">
        <x:v>病药模型</x:v>
      </x:c>
      <x:c r="E164" s="30" t="str">
        <x:v>综合层</x:v>
      </x:c>
      <x:c r="F164" s="30" t="str">
        <x:v>M08-M15</x:v>
      </x:c>
      <x:c r="G164" s="30" t="str">
        <x:v>未开始</x:v>
      </x:c>
      <x:c r="H164" s="30" t="str"/>
      <x:c r="I164" s="30" t="str"/>
      <x:c r="J164" s="30" t="str"/>
      <x:c r="K164" s="30" t="str"/>
      <x:c r="L164" s="30" t="str"/>
      <x:c r="M164" s="30" t="str"/>
      <x:c r="N164" s="30" t="str"/>
      <x:c r="O164" s="30" t="str"/>
      <x:c r="P164" s="30" t="str"/>
      <x:c r="Q164" s="31" t="str"/>
      <x:c r="R164" s="31" t="str"/>
      <x:c r="S164" s="30" t="str"/>
      <x:c r="T164" s="30" t="str"/>
      <x:c r="U164" s="30" t="str"/>
      <x:c r="V164" s="40" t="str">
        <x:f>IF(B164="","",COUNTA(H164:L164)/5)</x:f>
      </x:c>
    </x:row>
    <x:row r="165">
      <x:c r="A165" s="30" t="str">
        <x:f>IF(B165="","",B165&amp;"-"&amp;C165)</x:f>
      </x:c>
      <x:c r="B165" s="30" t="str">
        <x:f>'01_命例主档'!A14</x:f>
      </x:c>
      <x:c r="C165" s="30" t="str">
        <x:v>M17</x:v>
      </x:c>
      <x:c r="D165" s="30" t="str">
        <x:v>喜忌用神矩阵</x:v>
      </x:c>
      <x:c r="E165" s="30" t="str">
        <x:v>综合层</x:v>
      </x:c>
      <x:c r="F165" s="30" t="str">
        <x:v>M09/M12/M13/M15/M16</x:v>
      </x:c>
      <x:c r="G165" s="30" t="str">
        <x:v>未开始</x:v>
      </x:c>
      <x:c r="H165" s="30" t="str"/>
      <x:c r="I165" s="30" t="str"/>
      <x:c r="J165" s="30" t="str"/>
      <x:c r="K165" s="30" t="str"/>
      <x:c r="L165" s="30" t="str"/>
      <x:c r="M165" s="30" t="str"/>
      <x:c r="N165" s="30" t="str"/>
      <x:c r="O165" s="30" t="str"/>
      <x:c r="P165" s="30" t="str"/>
      <x:c r="Q165" s="31" t="str"/>
      <x:c r="R165" s="31" t="str"/>
      <x:c r="S165" s="30" t="str"/>
      <x:c r="T165" s="30" t="str"/>
      <x:c r="U165" s="30" t="str"/>
      <x:c r="V165" s="40" t="str">
        <x:f>IF(B165="","",COUNTA(H165:L165)/5)</x:f>
      </x:c>
    </x:row>
    <x:row r="166">
      <x:c r="A166" s="30" t="str">
        <x:f>IF(B166="","",B166&amp;"-"&amp;C166)</x:f>
      </x:c>
      <x:c r="B166" s="30" t="str">
        <x:f>'01_命例主档'!A14</x:f>
      </x:c>
      <x:c r="C166" s="30" t="str">
        <x:v>M18</x:v>
      </x:c>
      <x:c r="D166" s="30" t="str">
        <x:v>冲突裁决规则</x:v>
      </x:c>
      <x:c r="E166" s="30" t="str">
        <x:v>综合层</x:v>
      </x:c>
      <x:c r="F166" s="30" t="str">
        <x:v>M14/M15/M16/M17</x:v>
      </x:c>
      <x:c r="G166" s="30" t="str">
        <x:v>未开始</x:v>
      </x:c>
      <x:c r="H166" s="30" t="str"/>
      <x:c r="I166" s="30" t="str"/>
      <x:c r="J166" s="30" t="str"/>
      <x:c r="K166" s="30" t="str"/>
      <x:c r="L166" s="30" t="str"/>
      <x:c r="M166" s="30" t="str"/>
      <x:c r="N166" s="30" t="str"/>
      <x:c r="O166" s="30" t="str"/>
      <x:c r="P166" s="30" t="str"/>
      <x:c r="Q166" s="31" t="str"/>
      <x:c r="R166" s="31" t="str"/>
      <x:c r="S166" s="30" t="str"/>
      <x:c r="T166" s="30" t="str"/>
      <x:c r="U166" s="30" t="str"/>
      <x:c r="V166" s="40" t="str">
        <x:f>IF(B166="","",COUNTA(H166:L166)/5)</x:f>
      </x:c>
    </x:row>
    <x:row r="167">
      <x:c r="A167" s="30" t="str">
        <x:f>IF(B167="","",B167&amp;"-"&amp;C167)</x:f>
      </x:c>
      <x:c r="B167" s="30" t="str">
        <x:f>'01_命例主档'!A14</x:f>
      </x:c>
      <x:c r="C167" s="30" t="str">
        <x:v>M19</x:v>
      </x:c>
      <x:c r="D167" s="30" t="str">
        <x:v>综合输出模板</x:v>
      </x:c>
      <x:c r="E167" s="30" t="str">
        <x:v>治理与输出</x:v>
      </x:c>
      <x:c r="F167" s="30" t="str">
        <x:v>M02-M18</x:v>
      </x:c>
      <x:c r="G167" s="30" t="str">
        <x:v>未开始</x:v>
      </x:c>
      <x:c r="H167" s="30" t="str"/>
      <x:c r="I167" s="30" t="str"/>
      <x:c r="J167" s="30" t="str"/>
      <x:c r="K167" s="30" t="str"/>
      <x:c r="L167" s="30" t="str"/>
      <x:c r="M167" s="30" t="str"/>
      <x:c r="N167" s="30" t="str"/>
      <x:c r="O167" s="30" t="str"/>
      <x:c r="P167" s="30" t="str"/>
      <x:c r="Q167" s="31" t="str"/>
      <x:c r="R167" s="31" t="str"/>
      <x:c r="S167" s="30" t="str"/>
      <x:c r="T167" s="30" t="str"/>
      <x:c r="U167" s="30" t="str"/>
      <x:c r="V167" s="40" t="str">
        <x:f>IF(B167="","",COUNTA(H167:L167)/5)</x:f>
      </x:c>
    </x:row>
    <x:row r="168">
      <x:c r="A168" s="30" t="str">
        <x:f>IF(B168="","",B168&amp;"-"&amp;C168)</x:f>
      </x:c>
      <x:c r="B168" s="30" t="str">
        <x:f>'01_命例主档'!A15</x:f>
      </x:c>
      <x:c r="C168" s="30" t="str">
        <x:v>M02</x:v>
      </x:c>
      <x:c r="D168" s="30" t="str">
        <x:v>干支藏干基础</x:v>
      </x:c>
      <x:c r="E168" s="30" t="str">
        <x:v>识别层</x:v>
      </x:c>
      <x:c r="F168" s="30" t="str">
        <x:v>无</x:v>
      </x:c>
      <x:c r="G168" s="30" t="str">
        <x:v>未开始</x:v>
      </x:c>
      <x:c r="H168" s="30" t="str"/>
      <x:c r="I168" s="30" t="str"/>
      <x:c r="J168" s="30" t="str"/>
      <x:c r="K168" s="30" t="str"/>
      <x:c r="L168" s="30" t="str"/>
      <x:c r="M168" s="30" t="str"/>
      <x:c r="N168" s="30" t="str"/>
      <x:c r="O168" s="30" t="str"/>
      <x:c r="P168" s="30" t="str"/>
      <x:c r="Q168" s="31" t="str"/>
      <x:c r="R168" s="31" t="str"/>
      <x:c r="S168" s="30" t="str"/>
      <x:c r="T168" s="30" t="str"/>
      <x:c r="U168" s="30" t="str"/>
      <x:c r="V168" s="40" t="str">
        <x:f>IF(B168="","",COUNTA(H168:L168)/5)</x:f>
      </x:c>
    </x:row>
    <x:row r="169">
      <x:c r="A169" s="30" t="str">
        <x:f>IF(B169="","",B169&amp;"-"&amp;C169)</x:f>
      </x:c>
      <x:c r="B169" s="30" t="str">
        <x:f>'01_命例主档'!A15</x:f>
      </x:c>
      <x:c r="C169" s="30" t="str">
        <x:v>M03</x:v>
      </x:c>
      <x:c r="D169" s="30" t="str">
        <x:v>月令与根气</x:v>
      </x:c>
      <x:c r="E169" s="30" t="str">
        <x:v>结构层</x:v>
      </x:c>
      <x:c r="F169" s="30" t="str">
        <x:v>M02</x:v>
      </x:c>
      <x:c r="G169" s="30" t="str">
        <x:v>未开始</x:v>
      </x:c>
      <x:c r="H169" s="30" t="str"/>
      <x:c r="I169" s="30" t="str"/>
      <x:c r="J169" s="30" t="str"/>
      <x:c r="K169" s="30" t="str"/>
      <x:c r="L169" s="30" t="str"/>
      <x:c r="M169" s="30" t="str"/>
      <x:c r="N169" s="30" t="str"/>
      <x:c r="O169" s="30" t="str"/>
      <x:c r="P169" s="30" t="str"/>
      <x:c r="Q169" s="31" t="str"/>
      <x:c r="R169" s="31" t="str"/>
      <x:c r="S169" s="30" t="str"/>
      <x:c r="T169" s="30" t="str"/>
      <x:c r="U169" s="30" t="str"/>
      <x:c r="V169" s="40" t="str">
        <x:f>IF(B169="","",COUNTA(H169:L169)/5)</x:f>
      </x:c>
    </x:row>
    <x:row r="170">
      <x:c r="A170" s="30" t="str">
        <x:f>IF(B170="","",B170&amp;"-"&amp;C170)</x:f>
      </x:c>
      <x:c r="B170" s="30" t="str">
        <x:f>'01_命例主档'!A15</x:f>
      </x:c>
      <x:c r="C170" s="30" t="str">
        <x:v>M04</x:v>
      </x:c>
      <x:c r="D170" s="30" t="str">
        <x:v>天干作用识别</x:v>
      </x:c>
      <x:c r="E170" s="30" t="str">
        <x:v>识别层</x:v>
      </x:c>
      <x:c r="F170" s="30" t="str">
        <x:v>M02</x:v>
      </x:c>
      <x:c r="G170" s="30" t="str">
        <x:v>未开始</x:v>
      </x:c>
      <x:c r="H170" s="30" t="str"/>
      <x:c r="I170" s="30" t="str"/>
      <x:c r="J170" s="30" t="str"/>
      <x:c r="K170" s="30" t="str"/>
      <x:c r="L170" s="30" t="str"/>
      <x:c r="M170" s="30" t="str"/>
      <x:c r="N170" s="30" t="str"/>
      <x:c r="O170" s="30" t="str"/>
      <x:c r="P170" s="30" t="str"/>
      <x:c r="Q170" s="31" t="str"/>
      <x:c r="R170" s="31" t="str"/>
      <x:c r="S170" s="30" t="str"/>
      <x:c r="T170" s="30" t="str"/>
      <x:c r="U170" s="30" t="str"/>
      <x:c r="V170" s="40" t="str">
        <x:f>IF(B170="","",COUNTA(H170:L170)/5)</x:f>
      </x:c>
    </x:row>
    <x:row r="171">
      <x:c r="A171" s="30" t="str">
        <x:f>IF(B171="","",B171&amp;"-"&amp;C171)</x:f>
      </x:c>
      <x:c r="B171" s="30" t="str">
        <x:f>'01_命例主档'!A15</x:f>
      </x:c>
      <x:c r="C171" s="30" t="str">
        <x:v>M05</x:v>
      </x:c>
      <x:c r="D171" s="30" t="str">
        <x:v>地支关系识别</x:v>
      </x:c>
      <x:c r="E171" s="30" t="str">
        <x:v>识别层</x:v>
      </x:c>
      <x:c r="F171" s="30" t="str">
        <x:v>M02</x:v>
      </x:c>
      <x:c r="G171" s="30" t="str">
        <x:v>未开始</x:v>
      </x:c>
      <x:c r="H171" s="30" t="str"/>
      <x:c r="I171" s="30" t="str"/>
      <x:c r="J171" s="30" t="str"/>
      <x:c r="K171" s="30" t="str"/>
      <x:c r="L171" s="30" t="str"/>
      <x:c r="M171" s="30" t="str"/>
      <x:c r="N171" s="30" t="str"/>
      <x:c r="O171" s="30" t="str"/>
      <x:c r="P171" s="30" t="str"/>
      <x:c r="Q171" s="31" t="str"/>
      <x:c r="R171" s="31" t="str"/>
      <x:c r="S171" s="30" t="str"/>
      <x:c r="T171" s="30" t="str"/>
      <x:c r="U171" s="30" t="str"/>
      <x:c r="V171" s="40" t="str">
        <x:f>IF(B171="","",COUNTA(H171:L171)/5)</x:f>
      </x:c>
    </x:row>
    <x:row r="172">
      <x:c r="A172" s="30" t="str">
        <x:f>IF(B172="","",B172&amp;"-"&amp;C172)</x:f>
      </x:c>
      <x:c r="B172" s="30" t="str">
        <x:f>'01_命例主档'!A15</x:f>
      </x:c>
      <x:c r="C172" s="30" t="str">
        <x:v>M06</x:v>
      </x:c>
      <x:c r="D172" s="30" t="str">
        <x:v>干支关系效应</x:v>
      </x:c>
      <x:c r="E172" s="30" t="str">
        <x:v>效应层</x:v>
      </x:c>
      <x:c r="F172" s="30" t="str">
        <x:v>M03/M04/M05</x:v>
      </x:c>
      <x:c r="G172" s="30" t="str">
        <x:v>未开始</x:v>
      </x:c>
      <x:c r="H172" s="30" t="str"/>
      <x:c r="I172" s="30" t="str"/>
      <x:c r="J172" s="30" t="str"/>
      <x:c r="K172" s="30" t="str"/>
      <x:c r="L172" s="30" t="str"/>
      <x:c r="M172" s="30" t="str"/>
      <x:c r="N172" s="30" t="str"/>
      <x:c r="O172" s="30" t="str"/>
      <x:c r="P172" s="30" t="str"/>
      <x:c r="Q172" s="31" t="str"/>
      <x:c r="R172" s="31" t="str"/>
      <x:c r="S172" s="30" t="str"/>
      <x:c r="T172" s="30" t="str"/>
      <x:c r="U172" s="30" t="str"/>
      <x:c r="V172" s="40" t="str">
        <x:f>IF(B172="","",COUNTA(H172:L172)/5)</x:f>
      </x:c>
    </x:row>
    <x:row r="173">
      <x:c r="A173" s="30" t="str">
        <x:f>IF(B173="","",B173&amp;"-"&amp;C173)</x:f>
      </x:c>
      <x:c r="B173" s="30" t="str">
        <x:f>'01_命例主档'!A15</x:f>
      </x:c>
      <x:c r="C173" s="30" t="str">
        <x:v>M07</x:v>
      </x:c>
      <x:c r="D173" s="30" t="str">
        <x:v>五行原始旺衰</x:v>
      </x:c>
      <x:c r="E173" s="30" t="str">
        <x:v>结构层</x:v>
      </x:c>
      <x:c r="F173" s="30" t="str">
        <x:v>M02/M03</x:v>
      </x:c>
      <x:c r="G173" s="30" t="str">
        <x:v>未开始</x:v>
      </x:c>
      <x:c r="H173" s="30" t="str"/>
      <x:c r="I173" s="30" t="str"/>
      <x:c r="J173" s="30" t="str"/>
      <x:c r="K173" s="30" t="str"/>
      <x:c r="L173" s="30" t="str"/>
      <x:c r="M173" s="30" t="str"/>
      <x:c r="N173" s="30" t="str"/>
      <x:c r="O173" s="30" t="str"/>
      <x:c r="P173" s="30" t="str"/>
      <x:c r="Q173" s="31" t="str"/>
      <x:c r="R173" s="31" t="str"/>
      <x:c r="S173" s="30" t="str"/>
      <x:c r="T173" s="30" t="str"/>
      <x:c r="U173" s="30" t="str"/>
      <x:c r="V173" s="40" t="str">
        <x:f>IF(B173="","",COUNTA(H173:L173)/5)</x:f>
      </x:c>
    </x:row>
    <x:row r="174">
      <x:c r="A174" s="30" t="str">
        <x:f>IF(B174="","",B174&amp;"-"&amp;C174)</x:f>
      </x:c>
      <x:c r="B174" s="30" t="str">
        <x:f>'01_命例主档'!A15</x:f>
      </x:c>
      <x:c r="C174" s="30" t="str">
        <x:v>M08</x:v>
      </x:c>
      <x:c r="D174" s="30" t="str">
        <x:v>五行有效旺衰</x:v>
      </x:c>
      <x:c r="E174" s="30" t="str">
        <x:v>结构层</x:v>
      </x:c>
      <x:c r="F174" s="30" t="str">
        <x:v>M06/M07</x:v>
      </x:c>
      <x:c r="G174" s="30" t="str">
        <x:v>未开始</x:v>
      </x:c>
      <x:c r="H174" s="30" t="str"/>
      <x:c r="I174" s="30" t="str"/>
      <x:c r="J174" s="30" t="str"/>
      <x:c r="K174" s="30" t="str"/>
      <x:c r="L174" s="30" t="str"/>
      <x:c r="M174" s="30" t="str"/>
      <x:c r="N174" s="30" t="str"/>
      <x:c r="O174" s="30" t="str"/>
      <x:c r="P174" s="30" t="str"/>
      <x:c r="Q174" s="31" t="str"/>
      <x:c r="R174" s="31" t="str"/>
      <x:c r="S174" s="30" t="str"/>
      <x:c r="T174" s="30" t="str"/>
      <x:c r="U174" s="30" t="str"/>
      <x:c r="V174" s="40" t="str">
        <x:f>IF(B174="","",COUNTA(H174:L174)/5)</x:f>
      </x:c>
    </x:row>
    <x:row r="175">
      <x:c r="A175" s="30" t="str">
        <x:f>IF(B175="","",B175&amp;"-"&amp;C175)</x:f>
      </x:c>
      <x:c r="B175" s="30" t="str">
        <x:f>'01_命例主档'!A15</x:f>
      </x:c>
      <x:c r="C175" s="30" t="str">
        <x:v>M09</x:v>
      </x:c>
      <x:c r="D175" s="30" t="str">
        <x:v>日主旺衰</x:v>
      </x:c>
      <x:c r="E175" s="30" t="str">
        <x:v>综合层</x:v>
      </x:c>
      <x:c r="F175" s="30" t="str">
        <x:v>M03/M07/M08</x:v>
      </x:c>
      <x:c r="G175" s="30" t="str">
        <x:v>未开始</x:v>
      </x:c>
      <x:c r="H175" s="30" t="str"/>
      <x:c r="I175" s="30" t="str"/>
      <x:c r="J175" s="30" t="str"/>
      <x:c r="K175" s="30" t="str"/>
      <x:c r="L175" s="30" t="str"/>
      <x:c r="M175" s="30" t="str"/>
      <x:c r="N175" s="30" t="str"/>
      <x:c r="O175" s="30" t="str"/>
      <x:c r="P175" s="30" t="str"/>
      <x:c r="Q175" s="31" t="str"/>
      <x:c r="R175" s="31" t="str"/>
      <x:c r="S175" s="30" t="str"/>
      <x:c r="T175" s="30" t="str"/>
      <x:c r="U175" s="30" t="str"/>
      <x:c r="V175" s="40" t="str">
        <x:f>IF(B175="","",COUNTA(H175:L175)/5)</x:f>
      </x:c>
    </x:row>
    <x:row r="176">
      <x:c r="A176" s="30" t="str">
        <x:f>IF(B176="","",B176&amp;"-"&amp;C176)</x:f>
      </x:c>
      <x:c r="B176" s="30" t="str">
        <x:f>'01_命例主档'!A15</x:f>
      </x:c>
      <x:c r="C176" s="30" t="str">
        <x:v>M10</x:v>
      </x:c>
      <x:c r="D176" s="30" t="str">
        <x:v>十神旺衰功能</x:v>
      </x:c>
      <x:c r="E176" s="30" t="str">
        <x:v>结构层</x:v>
      </x:c>
      <x:c r="F176" s="30" t="str">
        <x:v>M02/M08/M09</x:v>
      </x:c>
      <x:c r="G176" s="30" t="str">
        <x:v>未开始</x:v>
      </x:c>
      <x:c r="H176" s="30" t="str"/>
      <x:c r="I176" s="30" t="str"/>
      <x:c r="J176" s="30" t="str"/>
      <x:c r="K176" s="30" t="str"/>
      <x:c r="L176" s="30" t="str"/>
      <x:c r="M176" s="30" t="str"/>
      <x:c r="N176" s="30" t="str"/>
      <x:c r="O176" s="30" t="str"/>
      <x:c r="P176" s="30" t="str"/>
      <x:c r="Q176" s="31" t="str"/>
      <x:c r="R176" s="31" t="str"/>
      <x:c r="S176" s="30" t="str"/>
      <x:c r="T176" s="30" t="str"/>
      <x:c r="U176" s="30" t="str"/>
      <x:c r="V176" s="40" t="str">
        <x:f>IF(B176="","",COUNTA(H176:L176)/5)</x:f>
      </x:c>
    </x:row>
    <x:row r="177">
      <x:c r="A177" s="30" t="str">
        <x:f>IF(B177="","",B177&amp;"-"&amp;C177)</x:f>
      </x:c>
      <x:c r="B177" s="30" t="str">
        <x:f>'01_命例主档'!A15</x:f>
      </x:c>
      <x:c r="C177" s="30" t="str">
        <x:v>M11</x:v>
      </x:c>
      <x:c r="D177" s="30" t="str">
        <x:v>十神组合成立</x:v>
      </x:c>
      <x:c r="E177" s="30" t="str">
        <x:v>结构层</x:v>
      </x:c>
      <x:c r="F177" s="30" t="str">
        <x:v>M08/M09/M10</x:v>
      </x:c>
      <x:c r="G177" s="30" t="str">
        <x:v>未开始</x:v>
      </x:c>
      <x:c r="H177" s="30" t="str"/>
      <x:c r="I177" s="30" t="str"/>
      <x:c r="J177" s="30" t="str"/>
      <x:c r="K177" s="30" t="str"/>
      <x:c r="L177" s="30" t="str"/>
      <x:c r="M177" s="30" t="str"/>
      <x:c r="N177" s="30" t="str"/>
      <x:c r="O177" s="30" t="str"/>
      <x:c r="P177" s="30" t="str"/>
      <x:c r="Q177" s="31" t="str"/>
      <x:c r="R177" s="31" t="str"/>
      <x:c r="S177" s="30" t="str"/>
      <x:c r="T177" s="30" t="str"/>
      <x:c r="U177" s="30" t="str"/>
      <x:c r="V177" s="40" t="str">
        <x:f>IF(B177="","",COUNTA(H177:L177)/5)</x:f>
      </x:c>
    </x:row>
    <x:row r="178">
      <x:c r="A178" s="30" t="str">
        <x:f>IF(B178="","",B178&amp;"-"&amp;C178)</x:f>
      </x:c>
      <x:c r="B178" s="30" t="str">
        <x:f>'01_命例主档'!A15</x:f>
      </x:c>
      <x:c r="C178" s="30" t="str">
        <x:v>M12</x:v>
      </x:c>
      <x:c r="D178" s="30" t="str">
        <x:v>五行流通卡点</x:v>
      </x:c>
      <x:c r="E178" s="30" t="str">
        <x:v>结构层</x:v>
      </x:c>
      <x:c r="F178" s="30" t="str">
        <x:v>M06/M08/M10/M11</x:v>
      </x:c>
      <x:c r="G178" s="30" t="str">
        <x:v>未开始</x:v>
      </x:c>
      <x:c r="H178" s="30" t="str"/>
      <x:c r="I178" s="30" t="str"/>
      <x:c r="J178" s="30" t="str"/>
      <x:c r="K178" s="30" t="str"/>
      <x:c r="L178" s="30" t="str"/>
      <x:c r="M178" s="30" t="str"/>
      <x:c r="N178" s="30" t="str"/>
      <x:c r="O178" s="30" t="str"/>
      <x:c r="P178" s="30" t="str"/>
      <x:c r="Q178" s="31" t="str"/>
      <x:c r="R178" s="31" t="str"/>
      <x:c r="S178" s="30" t="str"/>
      <x:c r="T178" s="30" t="str"/>
      <x:c r="U178" s="30" t="str"/>
      <x:c r="V178" s="40" t="str">
        <x:f>IF(B178="","",COUNTA(H178:L178)/5)</x:f>
      </x:c>
    </x:row>
    <x:row r="179">
      <x:c r="A179" s="30" t="str">
        <x:f>IF(B179="","",B179&amp;"-"&amp;C179)</x:f>
      </x:c>
      <x:c r="B179" s="30" t="str">
        <x:f>'01_命例主档'!A15</x:f>
      </x:c>
      <x:c r="C179" s="30" t="str">
        <x:v>M13</x:v>
      </x:c>
      <x:c r="D179" s="30" t="str">
        <x:v>寒暖燥湿</x:v>
      </x:c>
      <x:c r="E179" s="30" t="str">
        <x:v>结构层</x:v>
      </x:c>
      <x:c r="F179" s="30" t="str">
        <x:v>M02/M08/M12</x:v>
      </x:c>
      <x:c r="G179" s="30" t="str">
        <x:v>未开始</x:v>
      </x:c>
      <x:c r="H179" s="30" t="str"/>
      <x:c r="I179" s="30" t="str"/>
      <x:c r="J179" s="30" t="str"/>
      <x:c r="K179" s="30" t="str"/>
      <x:c r="L179" s="30" t="str"/>
      <x:c r="M179" s="30" t="str"/>
      <x:c r="N179" s="30" t="str"/>
      <x:c r="O179" s="30" t="str"/>
      <x:c r="P179" s="30" t="str"/>
      <x:c r="Q179" s="31" t="str"/>
      <x:c r="R179" s="31" t="str"/>
      <x:c r="S179" s="30" t="str"/>
      <x:c r="T179" s="30" t="str"/>
      <x:c r="U179" s="30" t="str"/>
      <x:c r="V179" s="40" t="str">
        <x:f>IF(B179="","",COUNTA(H179:L179)/5)</x:f>
      </x:c>
    </x:row>
    <x:row r="180">
      <x:c r="A180" s="30" t="str">
        <x:f>IF(B180="","",B180&amp;"-"&amp;C180)</x:f>
      </x:c>
      <x:c r="B180" s="30" t="str">
        <x:f>'01_命例主档'!A15</x:f>
      </x:c>
      <x:c r="C180" s="30" t="str">
        <x:v>M14</x:v>
      </x:c>
      <x:c r="D180" s="30" t="str">
        <x:v>格局候选判断</x:v>
      </x:c>
      <x:c r="E180" s="30" t="str">
        <x:v>综合层</x:v>
      </x:c>
      <x:c r="F180" s="30" t="str">
        <x:v>M03/M06/M08/M09/M10/M11</x:v>
      </x:c>
      <x:c r="G180" s="30" t="str">
        <x:v>未开始</x:v>
      </x:c>
      <x:c r="H180" s="30" t="str"/>
      <x:c r="I180" s="30" t="str"/>
      <x:c r="J180" s="30" t="str"/>
      <x:c r="K180" s="30" t="str"/>
      <x:c r="L180" s="30" t="str"/>
      <x:c r="M180" s="30" t="str"/>
      <x:c r="N180" s="30" t="str"/>
      <x:c r="O180" s="30" t="str"/>
      <x:c r="P180" s="30" t="str"/>
      <x:c r="Q180" s="31" t="str"/>
      <x:c r="R180" s="31" t="str"/>
      <x:c r="S180" s="30" t="str"/>
      <x:c r="T180" s="30" t="str"/>
      <x:c r="U180" s="30" t="str"/>
      <x:c r="V180" s="40" t="str">
        <x:f>IF(B180="","",COUNTA(H180:L180)/5)</x:f>
      </x:c>
    </x:row>
    <x:row r="181">
      <x:c r="A181" s="30" t="str">
        <x:f>IF(B181="","",B181&amp;"-"&amp;C181)</x:f>
      </x:c>
      <x:c r="B181" s="30" t="str">
        <x:f>'01_命例主档'!A15</x:f>
      </x:c>
      <x:c r="C181" s="30" t="str">
        <x:v>M15</x:v>
      </x:c>
      <x:c r="D181" s="30" t="str">
        <x:v>格局成败救应</x:v>
      </x:c>
      <x:c r="E181" s="30" t="str">
        <x:v>综合层</x:v>
      </x:c>
      <x:c r="F181" s="30" t="str">
        <x:v>M14/M11/M08</x:v>
      </x:c>
      <x:c r="G181" s="30" t="str">
        <x:v>未开始</x:v>
      </x:c>
      <x:c r="H181" s="30" t="str"/>
      <x:c r="I181" s="30" t="str"/>
      <x:c r="J181" s="30" t="str"/>
      <x:c r="K181" s="30" t="str"/>
      <x:c r="L181" s="30" t="str"/>
      <x:c r="M181" s="30" t="str"/>
      <x:c r="N181" s="30" t="str"/>
      <x:c r="O181" s="30" t="str"/>
      <x:c r="P181" s="30" t="str"/>
      <x:c r="Q181" s="31" t="str"/>
      <x:c r="R181" s="31" t="str"/>
      <x:c r="S181" s="30" t="str"/>
      <x:c r="T181" s="30" t="str"/>
      <x:c r="U181" s="30" t="str"/>
      <x:c r="V181" s="40" t="str">
        <x:f>IF(B181="","",COUNTA(H181:L181)/5)</x:f>
      </x:c>
    </x:row>
    <x:row r="182">
      <x:c r="A182" s="30" t="str">
        <x:f>IF(B182="","",B182&amp;"-"&amp;C182)</x:f>
      </x:c>
      <x:c r="B182" s="30" t="str">
        <x:f>'01_命例主档'!A15</x:f>
      </x:c>
      <x:c r="C182" s="30" t="str">
        <x:v>M16</x:v>
      </x:c>
      <x:c r="D182" s="30" t="str">
        <x:v>病药模型</x:v>
      </x:c>
      <x:c r="E182" s="30" t="str">
        <x:v>综合层</x:v>
      </x:c>
      <x:c r="F182" s="30" t="str">
        <x:v>M08-M15</x:v>
      </x:c>
      <x:c r="G182" s="30" t="str">
        <x:v>未开始</x:v>
      </x:c>
      <x:c r="H182" s="30" t="str"/>
      <x:c r="I182" s="30" t="str"/>
      <x:c r="J182" s="30" t="str"/>
      <x:c r="K182" s="30" t="str"/>
      <x:c r="L182" s="30" t="str"/>
      <x:c r="M182" s="30" t="str"/>
      <x:c r="N182" s="30" t="str"/>
      <x:c r="O182" s="30" t="str"/>
      <x:c r="P182" s="30" t="str"/>
      <x:c r="Q182" s="31" t="str"/>
      <x:c r="R182" s="31" t="str"/>
      <x:c r="S182" s="30" t="str"/>
      <x:c r="T182" s="30" t="str"/>
      <x:c r="U182" s="30" t="str"/>
      <x:c r="V182" s="40" t="str">
        <x:f>IF(B182="","",COUNTA(H182:L182)/5)</x:f>
      </x:c>
    </x:row>
    <x:row r="183">
      <x:c r="A183" s="30" t="str">
        <x:f>IF(B183="","",B183&amp;"-"&amp;C183)</x:f>
      </x:c>
      <x:c r="B183" s="30" t="str">
        <x:f>'01_命例主档'!A15</x:f>
      </x:c>
      <x:c r="C183" s="30" t="str">
        <x:v>M17</x:v>
      </x:c>
      <x:c r="D183" s="30" t="str">
        <x:v>喜忌用神矩阵</x:v>
      </x:c>
      <x:c r="E183" s="30" t="str">
        <x:v>综合层</x:v>
      </x:c>
      <x:c r="F183" s="30" t="str">
        <x:v>M09/M12/M13/M15/M16</x:v>
      </x:c>
      <x:c r="G183" s="30" t="str">
        <x:v>未开始</x:v>
      </x:c>
      <x:c r="H183" s="30" t="str"/>
      <x:c r="I183" s="30" t="str"/>
      <x:c r="J183" s="30" t="str"/>
      <x:c r="K183" s="30" t="str"/>
      <x:c r="L183" s="30" t="str"/>
      <x:c r="M183" s="30" t="str"/>
      <x:c r="N183" s="30" t="str"/>
      <x:c r="O183" s="30" t="str"/>
      <x:c r="P183" s="30" t="str"/>
      <x:c r="Q183" s="31" t="str"/>
      <x:c r="R183" s="31" t="str"/>
      <x:c r="S183" s="30" t="str"/>
      <x:c r="T183" s="30" t="str"/>
      <x:c r="U183" s="30" t="str"/>
      <x:c r="V183" s="40" t="str">
        <x:f>IF(B183="","",COUNTA(H183:L183)/5)</x:f>
      </x:c>
    </x:row>
    <x:row r="184">
      <x:c r="A184" s="30" t="str">
        <x:f>IF(B184="","",B184&amp;"-"&amp;C184)</x:f>
      </x:c>
      <x:c r="B184" s="30" t="str">
        <x:f>'01_命例主档'!A15</x:f>
      </x:c>
      <x:c r="C184" s="30" t="str">
        <x:v>M18</x:v>
      </x:c>
      <x:c r="D184" s="30" t="str">
        <x:v>冲突裁决规则</x:v>
      </x:c>
      <x:c r="E184" s="30" t="str">
        <x:v>综合层</x:v>
      </x:c>
      <x:c r="F184" s="30" t="str">
        <x:v>M14/M15/M16/M17</x:v>
      </x:c>
      <x:c r="G184" s="30" t="str">
        <x:v>未开始</x:v>
      </x:c>
      <x:c r="H184" s="30" t="str"/>
      <x:c r="I184" s="30" t="str"/>
      <x:c r="J184" s="30" t="str"/>
      <x:c r="K184" s="30" t="str"/>
      <x:c r="L184" s="30" t="str"/>
      <x:c r="M184" s="30" t="str"/>
      <x:c r="N184" s="30" t="str"/>
      <x:c r="O184" s="30" t="str"/>
      <x:c r="P184" s="30" t="str"/>
      <x:c r="Q184" s="31" t="str"/>
      <x:c r="R184" s="31" t="str"/>
      <x:c r="S184" s="30" t="str"/>
      <x:c r="T184" s="30" t="str"/>
      <x:c r="U184" s="30" t="str"/>
      <x:c r="V184" s="40" t="str">
        <x:f>IF(B184="","",COUNTA(H184:L184)/5)</x:f>
      </x:c>
    </x:row>
    <x:row r="185">
      <x:c r="A185" s="30" t="str">
        <x:f>IF(B185="","",B185&amp;"-"&amp;C185)</x:f>
      </x:c>
      <x:c r="B185" s="30" t="str">
        <x:f>'01_命例主档'!A15</x:f>
      </x:c>
      <x:c r="C185" s="30" t="str">
        <x:v>M19</x:v>
      </x:c>
      <x:c r="D185" s="30" t="str">
        <x:v>综合输出模板</x:v>
      </x:c>
      <x:c r="E185" s="30" t="str">
        <x:v>治理与输出</x:v>
      </x:c>
      <x:c r="F185" s="30" t="str">
        <x:v>M02-M18</x:v>
      </x:c>
      <x:c r="G185" s="30" t="str">
        <x:v>未开始</x:v>
      </x:c>
      <x:c r="H185" s="30" t="str"/>
      <x:c r="I185" s="30" t="str"/>
      <x:c r="J185" s="30" t="str"/>
      <x:c r="K185" s="30" t="str"/>
      <x:c r="L185" s="30" t="str"/>
      <x:c r="M185" s="30" t="str"/>
      <x:c r="N185" s="30" t="str"/>
      <x:c r="O185" s="30" t="str"/>
      <x:c r="P185" s="30" t="str"/>
      <x:c r="Q185" s="31" t="str"/>
      <x:c r="R185" s="31" t="str"/>
      <x:c r="S185" s="30" t="str"/>
      <x:c r="T185" s="30" t="str"/>
      <x:c r="U185" s="30" t="str"/>
      <x:c r="V185" s="40" t="str">
        <x:f>IF(B185="","",COUNTA(H185:L185)/5)</x:f>
      </x:c>
    </x:row>
    <x:row r="186">
      <x:c r="A186" s="30" t="str">
        <x:f>IF(B186="","",B186&amp;"-"&amp;C186)</x:f>
      </x:c>
      <x:c r="B186" s="30" t="str">
        <x:f>'01_命例主档'!A16</x:f>
      </x:c>
      <x:c r="C186" s="30" t="str">
        <x:v>M02</x:v>
      </x:c>
      <x:c r="D186" s="30" t="str">
        <x:v>干支藏干基础</x:v>
      </x:c>
      <x:c r="E186" s="30" t="str">
        <x:v>识别层</x:v>
      </x:c>
      <x:c r="F186" s="30" t="str">
        <x:v>无</x:v>
      </x:c>
      <x:c r="G186" s="30" t="str">
        <x:v>未开始</x:v>
      </x:c>
      <x:c r="H186" s="30" t="str"/>
      <x:c r="I186" s="30" t="str"/>
      <x:c r="J186" s="30" t="str"/>
      <x:c r="K186" s="30" t="str"/>
      <x:c r="L186" s="30" t="str"/>
      <x:c r="M186" s="30" t="str"/>
      <x:c r="N186" s="30" t="str"/>
      <x:c r="O186" s="30" t="str"/>
      <x:c r="P186" s="30" t="str"/>
      <x:c r="Q186" s="31" t="str"/>
      <x:c r="R186" s="31" t="str"/>
      <x:c r="S186" s="30" t="str"/>
      <x:c r="T186" s="30" t="str"/>
      <x:c r="U186" s="30" t="str"/>
      <x:c r="V186" s="40" t="str">
        <x:f>IF(B186="","",COUNTA(H186:L186)/5)</x:f>
      </x:c>
    </x:row>
    <x:row r="187">
      <x:c r="A187" s="30" t="str">
        <x:f>IF(B187="","",B187&amp;"-"&amp;C187)</x:f>
      </x:c>
      <x:c r="B187" s="30" t="str">
        <x:f>'01_命例主档'!A16</x:f>
      </x:c>
      <x:c r="C187" s="30" t="str">
        <x:v>M03</x:v>
      </x:c>
      <x:c r="D187" s="30" t="str">
        <x:v>月令与根气</x:v>
      </x:c>
      <x:c r="E187" s="30" t="str">
        <x:v>结构层</x:v>
      </x:c>
      <x:c r="F187" s="30" t="str">
        <x:v>M02</x:v>
      </x:c>
      <x:c r="G187" s="30" t="str">
        <x:v>未开始</x:v>
      </x:c>
      <x:c r="H187" s="30" t="str"/>
      <x:c r="I187" s="30" t="str"/>
      <x:c r="J187" s="30" t="str"/>
      <x:c r="K187" s="30" t="str"/>
      <x:c r="L187" s="30" t="str"/>
      <x:c r="M187" s="30" t="str"/>
      <x:c r="N187" s="30" t="str"/>
      <x:c r="O187" s="30" t="str"/>
      <x:c r="P187" s="30" t="str"/>
      <x:c r="Q187" s="31" t="str"/>
      <x:c r="R187" s="31" t="str"/>
      <x:c r="S187" s="30" t="str"/>
      <x:c r="T187" s="30" t="str"/>
      <x:c r="U187" s="30" t="str"/>
      <x:c r="V187" s="40" t="str">
        <x:f>IF(B187="","",COUNTA(H187:L187)/5)</x:f>
      </x:c>
    </x:row>
    <x:row r="188">
      <x:c r="A188" s="30" t="str">
        <x:f>IF(B188="","",B188&amp;"-"&amp;C188)</x:f>
      </x:c>
      <x:c r="B188" s="30" t="str">
        <x:f>'01_命例主档'!A16</x:f>
      </x:c>
      <x:c r="C188" s="30" t="str">
        <x:v>M04</x:v>
      </x:c>
      <x:c r="D188" s="30" t="str">
        <x:v>天干作用识别</x:v>
      </x:c>
      <x:c r="E188" s="30" t="str">
        <x:v>识别层</x:v>
      </x:c>
      <x:c r="F188" s="30" t="str">
        <x:v>M02</x:v>
      </x:c>
      <x:c r="G188" s="30" t="str">
        <x:v>未开始</x:v>
      </x:c>
      <x:c r="H188" s="30" t="str"/>
      <x:c r="I188" s="30" t="str"/>
      <x:c r="J188" s="30" t="str"/>
      <x:c r="K188" s="30" t="str"/>
      <x:c r="L188" s="30" t="str"/>
      <x:c r="M188" s="30" t="str"/>
      <x:c r="N188" s="30" t="str"/>
      <x:c r="O188" s="30" t="str"/>
      <x:c r="P188" s="30" t="str"/>
      <x:c r="Q188" s="31" t="str"/>
      <x:c r="R188" s="31" t="str"/>
      <x:c r="S188" s="30" t="str"/>
      <x:c r="T188" s="30" t="str"/>
      <x:c r="U188" s="30" t="str"/>
      <x:c r="V188" s="40" t="str">
        <x:f>IF(B188="","",COUNTA(H188:L188)/5)</x:f>
      </x:c>
    </x:row>
    <x:row r="189">
      <x:c r="A189" s="30" t="str">
        <x:f>IF(B189="","",B189&amp;"-"&amp;C189)</x:f>
      </x:c>
      <x:c r="B189" s="30" t="str">
        <x:f>'01_命例主档'!A16</x:f>
      </x:c>
      <x:c r="C189" s="30" t="str">
        <x:v>M05</x:v>
      </x:c>
      <x:c r="D189" s="30" t="str">
        <x:v>地支关系识别</x:v>
      </x:c>
      <x:c r="E189" s="30" t="str">
        <x:v>识别层</x:v>
      </x:c>
      <x:c r="F189" s="30" t="str">
        <x:v>M02</x:v>
      </x:c>
      <x:c r="G189" s="30" t="str">
        <x:v>未开始</x:v>
      </x:c>
      <x:c r="H189" s="30" t="str"/>
      <x:c r="I189" s="30" t="str"/>
      <x:c r="J189" s="30" t="str"/>
      <x:c r="K189" s="30" t="str"/>
      <x:c r="L189" s="30" t="str"/>
      <x:c r="M189" s="30" t="str"/>
      <x:c r="N189" s="30" t="str"/>
      <x:c r="O189" s="30" t="str"/>
      <x:c r="P189" s="30" t="str"/>
      <x:c r="Q189" s="31" t="str"/>
      <x:c r="R189" s="31" t="str"/>
      <x:c r="S189" s="30" t="str"/>
      <x:c r="T189" s="30" t="str"/>
      <x:c r="U189" s="30" t="str"/>
      <x:c r="V189" s="40" t="str">
        <x:f>IF(B189="","",COUNTA(H189:L189)/5)</x:f>
      </x:c>
    </x:row>
    <x:row r="190">
      <x:c r="A190" s="30" t="str">
        <x:f>IF(B190="","",B190&amp;"-"&amp;C190)</x:f>
      </x:c>
      <x:c r="B190" s="30" t="str">
        <x:f>'01_命例主档'!A16</x:f>
      </x:c>
      <x:c r="C190" s="30" t="str">
        <x:v>M06</x:v>
      </x:c>
      <x:c r="D190" s="30" t="str">
        <x:v>干支关系效应</x:v>
      </x:c>
      <x:c r="E190" s="30" t="str">
        <x:v>效应层</x:v>
      </x:c>
      <x:c r="F190" s="30" t="str">
        <x:v>M03/M04/M05</x:v>
      </x:c>
      <x:c r="G190" s="30" t="str">
        <x:v>未开始</x:v>
      </x:c>
      <x:c r="H190" s="30" t="str"/>
      <x:c r="I190" s="30" t="str"/>
      <x:c r="J190" s="30" t="str"/>
      <x:c r="K190" s="30" t="str"/>
      <x:c r="L190" s="30" t="str"/>
      <x:c r="M190" s="30" t="str"/>
      <x:c r="N190" s="30" t="str"/>
      <x:c r="O190" s="30" t="str"/>
      <x:c r="P190" s="30" t="str"/>
      <x:c r="Q190" s="31" t="str"/>
      <x:c r="R190" s="31" t="str"/>
      <x:c r="S190" s="30" t="str"/>
      <x:c r="T190" s="30" t="str"/>
      <x:c r="U190" s="30" t="str"/>
      <x:c r="V190" s="40" t="str">
        <x:f>IF(B190="","",COUNTA(H190:L190)/5)</x:f>
      </x:c>
    </x:row>
    <x:row r="191">
      <x:c r="A191" s="30" t="str">
        <x:f>IF(B191="","",B191&amp;"-"&amp;C191)</x:f>
      </x:c>
      <x:c r="B191" s="30" t="str">
        <x:f>'01_命例主档'!A16</x:f>
      </x:c>
      <x:c r="C191" s="30" t="str">
        <x:v>M07</x:v>
      </x:c>
      <x:c r="D191" s="30" t="str">
        <x:v>五行原始旺衰</x:v>
      </x:c>
      <x:c r="E191" s="30" t="str">
        <x:v>结构层</x:v>
      </x:c>
      <x:c r="F191" s="30" t="str">
        <x:v>M02/M03</x:v>
      </x:c>
      <x:c r="G191" s="30" t="str">
        <x:v>未开始</x:v>
      </x:c>
      <x:c r="H191" s="30" t="str"/>
      <x:c r="I191" s="30" t="str"/>
      <x:c r="J191" s="30" t="str"/>
      <x:c r="K191" s="30" t="str"/>
      <x:c r="L191" s="30" t="str"/>
      <x:c r="M191" s="30" t="str"/>
      <x:c r="N191" s="30" t="str"/>
      <x:c r="O191" s="30" t="str"/>
      <x:c r="P191" s="30" t="str"/>
      <x:c r="Q191" s="31" t="str"/>
      <x:c r="R191" s="31" t="str"/>
      <x:c r="S191" s="30" t="str"/>
      <x:c r="T191" s="30" t="str"/>
      <x:c r="U191" s="30" t="str"/>
      <x:c r="V191" s="40" t="str">
        <x:f>IF(B191="","",COUNTA(H191:L191)/5)</x:f>
      </x:c>
    </x:row>
    <x:row r="192">
      <x:c r="A192" s="30" t="str">
        <x:f>IF(B192="","",B192&amp;"-"&amp;C192)</x:f>
      </x:c>
      <x:c r="B192" s="30" t="str">
        <x:f>'01_命例主档'!A16</x:f>
      </x:c>
      <x:c r="C192" s="30" t="str">
        <x:v>M08</x:v>
      </x:c>
      <x:c r="D192" s="30" t="str">
        <x:v>五行有效旺衰</x:v>
      </x:c>
      <x:c r="E192" s="30" t="str">
        <x:v>结构层</x:v>
      </x:c>
      <x:c r="F192" s="30" t="str">
        <x:v>M06/M07</x:v>
      </x:c>
      <x:c r="G192" s="30" t="str">
        <x:v>未开始</x:v>
      </x:c>
      <x:c r="H192" s="30" t="str"/>
      <x:c r="I192" s="30" t="str"/>
      <x:c r="J192" s="30" t="str"/>
      <x:c r="K192" s="30" t="str"/>
      <x:c r="L192" s="30" t="str"/>
      <x:c r="M192" s="30" t="str"/>
      <x:c r="N192" s="30" t="str"/>
      <x:c r="O192" s="30" t="str"/>
      <x:c r="P192" s="30" t="str"/>
      <x:c r="Q192" s="31" t="str"/>
      <x:c r="R192" s="31" t="str"/>
      <x:c r="S192" s="30" t="str"/>
      <x:c r="T192" s="30" t="str"/>
      <x:c r="U192" s="30" t="str"/>
      <x:c r="V192" s="40" t="str">
        <x:f>IF(B192="","",COUNTA(H192:L192)/5)</x:f>
      </x:c>
    </x:row>
    <x:row r="193">
      <x:c r="A193" s="30" t="str">
        <x:f>IF(B193="","",B193&amp;"-"&amp;C193)</x:f>
      </x:c>
      <x:c r="B193" s="30" t="str">
        <x:f>'01_命例主档'!A16</x:f>
      </x:c>
      <x:c r="C193" s="30" t="str">
        <x:v>M09</x:v>
      </x:c>
      <x:c r="D193" s="30" t="str">
        <x:v>日主旺衰</x:v>
      </x:c>
      <x:c r="E193" s="30" t="str">
        <x:v>综合层</x:v>
      </x:c>
      <x:c r="F193" s="30" t="str">
        <x:v>M03/M07/M08</x:v>
      </x:c>
      <x:c r="G193" s="30" t="str">
        <x:v>未开始</x:v>
      </x:c>
      <x:c r="H193" s="30" t="str"/>
      <x:c r="I193" s="30" t="str"/>
      <x:c r="J193" s="30" t="str"/>
      <x:c r="K193" s="30" t="str"/>
      <x:c r="L193" s="30" t="str"/>
      <x:c r="M193" s="30" t="str"/>
      <x:c r="N193" s="30" t="str"/>
      <x:c r="O193" s="30" t="str"/>
      <x:c r="P193" s="30" t="str"/>
      <x:c r="Q193" s="31" t="str"/>
      <x:c r="R193" s="31" t="str"/>
      <x:c r="S193" s="30" t="str"/>
      <x:c r="T193" s="30" t="str"/>
      <x:c r="U193" s="30" t="str"/>
      <x:c r="V193" s="40" t="str">
        <x:f>IF(B193="","",COUNTA(H193:L193)/5)</x:f>
      </x:c>
    </x:row>
    <x:row r="194">
      <x:c r="A194" s="30" t="str">
        <x:f>IF(B194="","",B194&amp;"-"&amp;C194)</x:f>
      </x:c>
      <x:c r="B194" s="30" t="str">
        <x:f>'01_命例主档'!A16</x:f>
      </x:c>
      <x:c r="C194" s="30" t="str">
        <x:v>M10</x:v>
      </x:c>
      <x:c r="D194" s="30" t="str">
        <x:v>十神旺衰功能</x:v>
      </x:c>
      <x:c r="E194" s="30" t="str">
        <x:v>结构层</x:v>
      </x:c>
      <x:c r="F194" s="30" t="str">
        <x:v>M02/M08/M09</x:v>
      </x:c>
      <x:c r="G194" s="30" t="str">
        <x:v>未开始</x:v>
      </x:c>
      <x:c r="H194" s="30" t="str"/>
      <x:c r="I194" s="30" t="str"/>
      <x:c r="J194" s="30" t="str"/>
      <x:c r="K194" s="30" t="str"/>
      <x:c r="L194" s="30" t="str"/>
      <x:c r="M194" s="30" t="str"/>
      <x:c r="N194" s="30" t="str"/>
      <x:c r="O194" s="30" t="str"/>
      <x:c r="P194" s="30" t="str"/>
      <x:c r="Q194" s="31" t="str"/>
      <x:c r="R194" s="31" t="str"/>
      <x:c r="S194" s="30" t="str"/>
      <x:c r="T194" s="30" t="str"/>
      <x:c r="U194" s="30" t="str"/>
      <x:c r="V194" s="40" t="str">
        <x:f>IF(B194="","",COUNTA(H194:L194)/5)</x:f>
      </x:c>
    </x:row>
    <x:row r="195">
      <x:c r="A195" s="30" t="str">
        <x:f>IF(B195="","",B195&amp;"-"&amp;C195)</x:f>
      </x:c>
      <x:c r="B195" s="30" t="str">
        <x:f>'01_命例主档'!A16</x:f>
      </x:c>
      <x:c r="C195" s="30" t="str">
        <x:v>M11</x:v>
      </x:c>
      <x:c r="D195" s="30" t="str">
        <x:v>十神组合成立</x:v>
      </x:c>
      <x:c r="E195" s="30" t="str">
        <x:v>结构层</x:v>
      </x:c>
      <x:c r="F195" s="30" t="str">
        <x:v>M08/M09/M10</x:v>
      </x:c>
      <x:c r="G195" s="30" t="str">
        <x:v>未开始</x:v>
      </x:c>
      <x:c r="H195" s="30" t="str"/>
      <x:c r="I195" s="30" t="str"/>
      <x:c r="J195" s="30" t="str"/>
      <x:c r="K195" s="30" t="str"/>
      <x:c r="L195" s="30" t="str"/>
      <x:c r="M195" s="30" t="str"/>
      <x:c r="N195" s="30" t="str"/>
      <x:c r="O195" s="30" t="str"/>
      <x:c r="P195" s="30" t="str"/>
      <x:c r="Q195" s="31" t="str"/>
      <x:c r="R195" s="31" t="str"/>
      <x:c r="S195" s="30" t="str"/>
      <x:c r="T195" s="30" t="str"/>
      <x:c r="U195" s="30" t="str"/>
      <x:c r="V195" s="40" t="str">
        <x:f>IF(B195="","",COUNTA(H195:L195)/5)</x:f>
      </x:c>
    </x:row>
    <x:row r="196">
      <x:c r="A196" s="30" t="str">
        <x:f>IF(B196="","",B196&amp;"-"&amp;C196)</x:f>
      </x:c>
      <x:c r="B196" s="30" t="str">
        <x:f>'01_命例主档'!A16</x:f>
      </x:c>
      <x:c r="C196" s="30" t="str">
        <x:v>M12</x:v>
      </x:c>
      <x:c r="D196" s="30" t="str">
        <x:v>五行流通卡点</x:v>
      </x:c>
      <x:c r="E196" s="30" t="str">
        <x:v>结构层</x:v>
      </x:c>
      <x:c r="F196" s="30" t="str">
        <x:v>M06/M08/M10/M11</x:v>
      </x:c>
      <x:c r="G196" s="30" t="str">
        <x:v>未开始</x:v>
      </x:c>
      <x:c r="H196" s="30" t="str"/>
      <x:c r="I196" s="30" t="str"/>
      <x:c r="J196" s="30" t="str"/>
      <x:c r="K196" s="30" t="str"/>
      <x:c r="L196" s="30" t="str"/>
      <x:c r="M196" s="30" t="str"/>
      <x:c r="N196" s="30" t="str"/>
      <x:c r="O196" s="30" t="str"/>
      <x:c r="P196" s="30" t="str"/>
      <x:c r="Q196" s="31" t="str"/>
      <x:c r="R196" s="31" t="str"/>
      <x:c r="S196" s="30" t="str"/>
      <x:c r="T196" s="30" t="str"/>
      <x:c r="U196" s="30" t="str"/>
      <x:c r="V196" s="40" t="str">
        <x:f>IF(B196="","",COUNTA(H196:L196)/5)</x:f>
      </x:c>
    </x:row>
    <x:row r="197">
      <x:c r="A197" s="30" t="str">
        <x:f>IF(B197="","",B197&amp;"-"&amp;C197)</x:f>
      </x:c>
      <x:c r="B197" s="30" t="str">
        <x:f>'01_命例主档'!A16</x:f>
      </x:c>
      <x:c r="C197" s="30" t="str">
        <x:v>M13</x:v>
      </x:c>
      <x:c r="D197" s="30" t="str">
        <x:v>寒暖燥湿</x:v>
      </x:c>
      <x:c r="E197" s="30" t="str">
        <x:v>结构层</x:v>
      </x:c>
      <x:c r="F197" s="30" t="str">
        <x:v>M02/M08/M12</x:v>
      </x:c>
      <x:c r="G197" s="30" t="str">
        <x:v>未开始</x:v>
      </x:c>
      <x:c r="H197" s="30" t="str"/>
      <x:c r="I197" s="30" t="str"/>
      <x:c r="J197" s="30" t="str"/>
      <x:c r="K197" s="30" t="str"/>
      <x:c r="L197" s="30" t="str"/>
      <x:c r="M197" s="30" t="str"/>
      <x:c r="N197" s="30" t="str"/>
      <x:c r="O197" s="30" t="str"/>
      <x:c r="P197" s="30" t="str"/>
      <x:c r="Q197" s="31" t="str"/>
      <x:c r="R197" s="31" t="str"/>
      <x:c r="S197" s="30" t="str"/>
      <x:c r="T197" s="30" t="str"/>
      <x:c r="U197" s="30" t="str"/>
      <x:c r="V197" s="40" t="str">
        <x:f>IF(B197="","",COUNTA(H197:L197)/5)</x:f>
      </x:c>
    </x:row>
    <x:row r="198">
      <x:c r="A198" s="30" t="str">
        <x:f>IF(B198="","",B198&amp;"-"&amp;C198)</x:f>
      </x:c>
      <x:c r="B198" s="30" t="str">
        <x:f>'01_命例主档'!A16</x:f>
      </x:c>
      <x:c r="C198" s="30" t="str">
        <x:v>M14</x:v>
      </x:c>
      <x:c r="D198" s="30" t="str">
        <x:v>格局候选判断</x:v>
      </x:c>
      <x:c r="E198" s="30" t="str">
        <x:v>综合层</x:v>
      </x:c>
      <x:c r="F198" s="30" t="str">
        <x:v>M03/M06/M08/M09/M10/M11</x:v>
      </x:c>
      <x:c r="G198" s="30" t="str">
        <x:v>未开始</x:v>
      </x:c>
      <x:c r="H198" s="30" t="str"/>
      <x:c r="I198" s="30" t="str"/>
      <x:c r="J198" s="30" t="str"/>
      <x:c r="K198" s="30" t="str"/>
      <x:c r="L198" s="30" t="str"/>
      <x:c r="M198" s="30" t="str"/>
      <x:c r="N198" s="30" t="str"/>
      <x:c r="O198" s="30" t="str"/>
      <x:c r="P198" s="30" t="str"/>
      <x:c r="Q198" s="31" t="str"/>
      <x:c r="R198" s="31" t="str"/>
      <x:c r="S198" s="30" t="str"/>
      <x:c r="T198" s="30" t="str"/>
      <x:c r="U198" s="30" t="str"/>
      <x:c r="V198" s="40" t="str">
        <x:f>IF(B198="","",COUNTA(H198:L198)/5)</x:f>
      </x:c>
    </x:row>
    <x:row r="199">
      <x:c r="A199" s="30" t="str">
        <x:f>IF(B199="","",B199&amp;"-"&amp;C199)</x:f>
      </x:c>
      <x:c r="B199" s="30" t="str">
        <x:f>'01_命例主档'!A16</x:f>
      </x:c>
      <x:c r="C199" s="30" t="str">
        <x:v>M15</x:v>
      </x:c>
      <x:c r="D199" s="30" t="str">
        <x:v>格局成败救应</x:v>
      </x:c>
      <x:c r="E199" s="30" t="str">
        <x:v>综合层</x:v>
      </x:c>
      <x:c r="F199" s="30" t="str">
        <x:v>M14/M11/M08</x:v>
      </x:c>
      <x:c r="G199" s="30" t="str">
        <x:v>未开始</x:v>
      </x:c>
      <x:c r="H199" s="30" t="str"/>
      <x:c r="I199" s="30" t="str"/>
      <x:c r="J199" s="30" t="str"/>
      <x:c r="K199" s="30" t="str"/>
      <x:c r="L199" s="30" t="str"/>
      <x:c r="M199" s="30" t="str"/>
      <x:c r="N199" s="30" t="str"/>
      <x:c r="O199" s="30" t="str"/>
      <x:c r="P199" s="30" t="str"/>
      <x:c r="Q199" s="31" t="str"/>
      <x:c r="R199" s="31" t="str"/>
      <x:c r="S199" s="30" t="str"/>
      <x:c r="T199" s="30" t="str"/>
      <x:c r="U199" s="30" t="str"/>
      <x:c r="V199" s="40" t="str">
        <x:f>IF(B199="","",COUNTA(H199:L199)/5)</x:f>
      </x:c>
    </x:row>
    <x:row r="200">
      <x:c r="A200" s="30" t="str">
        <x:f>IF(B200="","",B200&amp;"-"&amp;C200)</x:f>
      </x:c>
      <x:c r="B200" s="30" t="str">
        <x:f>'01_命例主档'!A16</x:f>
      </x:c>
      <x:c r="C200" s="30" t="str">
        <x:v>M16</x:v>
      </x:c>
      <x:c r="D200" s="30" t="str">
        <x:v>病药模型</x:v>
      </x:c>
      <x:c r="E200" s="30" t="str">
        <x:v>综合层</x:v>
      </x:c>
      <x:c r="F200" s="30" t="str">
        <x:v>M08-M15</x:v>
      </x:c>
      <x:c r="G200" s="30" t="str">
        <x:v>未开始</x:v>
      </x:c>
      <x:c r="H200" s="30" t="str"/>
      <x:c r="I200" s="30" t="str"/>
      <x:c r="J200" s="30" t="str"/>
      <x:c r="K200" s="30" t="str"/>
      <x:c r="L200" s="30" t="str"/>
      <x:c r="M200" s="30" t="str"/>
      <x:c r="N200" s="30" t="str"/>
      <x:c r="O200" s="30" t="str"/>
      <x:c r="P200" s="30" t="str"/>
      <x:c r="Q200" s="31" t="str"/>
      <x:c r="R200" s="31" t="str"/>
      <x:c r="S200" s="30" t="str"/>
      <x:c r="T200" s="30" t="str"/>
      <x:c r="U200" s="30" t="str"/>
      <x:c r="V200" s="40" t="str">
        <x:f>IF(B200="","",COUNTA(H200:L200)/5)</x:f>
      </x:c>
    </x:row>
    <x:row r="201">
      <x:c r="A201" s="30" t="str">
        <x:f>IF(B201="","",B201&amp;"-"&amp;C201)</x:f>
      </x:c>
      <x:c r="B201" s="30" t="str">
        <x:f>'01_命例主档'!A16</x:f>
      </x:c>
      <x:c r="C201" s="30" t="str">
        <x:v>M17</x:v>
      </x:c>
      <x:c r="D201" s="30" t="str">
        <x:v>喜忌用神矩阵</x:v>
      </x:c>
      <x:c r="E201" s="30" t="str">
        <x:v>综合层</x:v>
      </x:c>
      <x:c r="F201" s="30" t="str">
        <x:v>M09/M12/M13/M15/M16</x:v>
      </x:c>
      <x:c r="G201" s="30" t="str">
        <x:v>未开始</x:v>
      </x:c>
      <x:c r="H201" s="30" t="str"/>
      <x:c r="I201" s="30" t="str"/>
      <x:c r="J201" s="30" t="str"/>
      <x:c r="K201" s="30" t="str"/>
      <x:c r="L201" s="30" t="str"/>
      <x:c r="M201" s="30" t="str"/>
      <x:c r="N201" s="30" t="str"/>
      <x:c r="O201" s="30" t="str"/>
      <x:c r="P201" s="30" t="str"/>
      <x:c r="Q201" s="31" t="str"/>
      <x:c r="R201" s="31" t="str"/>
      <x:c r="S201" s="30" t="str"/>
      <x:c r="T201" s="30" t="str"/>
      <x:c r="U201" s="30" t="str"/>
      <x:c r="V201" s="40" t="str">
        <x:f>IF(B201="","",COUNTA(H201:L201)/5)</x:f>
      </x:c>
    </x:row>
    <x:row r="202">
      <x:c r="A202" s="30" t="str">
        <x:f>IF(B202="","",B202&amp;"-"&amp;C202)</x:f>
      </x:c>
      <x:c r="B202" s="30" t="str">
        <x:f>'01_命例主档'!A16</x:f>
      </x:c>
      <x:c r="C202" s="30" t="str">
        <x:v>M18</x:v>
      </x:c>
      <x:c r="D202" s="30" t="str">
        <x:v>冲突裁决规则</x:v>
      </x:c>
      <x:c r="E202" s="30" t="str">
        <x:v>综合层</x:v>
      </x:c>
      <x:c r="F202" s="30" t="str">
        <x:v>M14/M15/M16/M17</x:v>
      </x:c>
      <x:c r="G202" s="30" t="str">
        <x:v>未开始</x:v>
      </x:c>
      <x:c r="H202" s="30" t="str"/>
      <x:c r="I202" s="30" t="str"/>
      <x:c r="J202" s="30" t="str"/>
      <x:c r="K202" s="30" t="str"/>
      <x:c r="L202" s="30" t="str"/>
      <x:c r="M202" s="30" t="str"/>
      <x:c r="N202" s="30" t="str"/>
      <x:c r="O202" s="30" t="str"/>
      <x:c r="P202" s="30" t="str"/>
      <x:c r="Q202" s="31" t="str"/>
      <x:c r="R202" s="31" t="str"/>
      <x:c r="S202" s="30" t="str"/>
      <x:c r="T202" s="30" t="str"/>
      <x:c r="U202" s="30" t="str"/>
      <x:c r="V202" s="40" t="str">
        <x:f>IF(B202="","",COUNTA(H202:L202)/5)</x:f>
      </x:c>
    </x:row>
    <x:row r="203">
      <x:c r="A203" s="30" t="str">
        <x:f>IF(B203="","",B203&amp;"-"&amp;C203)</x:f>
      </x:c>
      <x:c r="B203" s="30" t="str">
        <x:f>'01_命例主档'!A16</x:f>
      </x:c>
      <x:c r="C203" s="30" t="str">
        <x:v>M19</x:v>
      </x:c>
      <x:c r="D203" s="30" t="str">
        <x:v>综合输出模板</x:v>
      </x:c>
      <x:c r="E203" s="30" t="str">
        <x:v>治理与输出</x:v>
      </x:c>
      <x:c r="F203" s="30" t="str">
        <x:v>M02-M18</x:v>
      </x:c>
      <x:c r="G203" s="30" t="str">
        <x:v>未开始</x:v>
      </x:c>
      <x:c r="H203" s="30" t="str"/>
      <x:c r="I203" s="30" t="str"/>
      <x:c r="J203" s="30" t="str"/>
      <x:c r="K203" s="30" t="str"/>
      <x:c r="L203" s="30" t="str"/>
      <x:c r="M203" s="30" t="str"/>
      <x:c r="N203" s="30" t="str"/>
      <x:c r="O203" s="30" t="str"/>
      <x:c r="P203" s="30" t="str"/>
      <x:c r="Q203" s="31" t="str"/>
      <x:c r="R203" s="31" t="str"/>
      <x:c r="S203" s="30" t="str"/>
      <x:c r="T203" s="30" t="str"/>
      <x:c r="U203" s="30" t="str"/>
      <x:c r="V203" s="40" t="str">
        <x:f>IF(B203="","",COUNTA(H203:L203)/5)</x:f>
      </x:c>
    </x:row>
    <x:row r="204">
      <x:c r="A204" s="30" t="str">
        <x:f>IF(B204="","",B204&amp;"-"&amp;C204)</x:f>
      </x:c>
      <x:c r="B204" s="30" t="str">
        <x:f>'01_命例主档'!A17</x:f>
      </x:c>
      <x:c r="C204" s="30" t="str">
        <x:v>M02</x:v>
      </x:c>
      <x:c r="D204" s="30" t="str">
        <x:v>干支藏干基础</x:v>
      </x:c>
      <x:c r="E204" s="30" t="str">
        <x:v>识别层</x:v>
      </x:c>
      <x:c r="F204" s="30" t="str">
        <x:v>无</x:v>
      </x:c>
      <x:c r="G204" s="30" t="str">
        <x:v>未开始</x:v>
      </x:c>
      <x:c r="H204" s="30" t="str"/>
      <x:c r="I204" s="30" t="str"/>
      <x:c r="J204" s="30" t="str"/>
      <x:c r="K204" s="30" t="str"/>
      <x:c r="L204" s="30" t="str"/>
      <x:c r="M204" s="30" t="str"/>
      <x:c r="N204" s="30" t="str"/>
      <x:c r="O204" s="30" t="str"/>
      <x:c r="P204" s="30" t="str"/>
      <x:c r="Q204" s="31" t="str"/>
      <x:c r="R204" s="31" t="str"/>
      <x:c r="S204" s="30" t="str"/>
      <x:c r="T204" s="30" t="str"/>
      <x:c r="U204" s="30" t="str"/>
      <x:c r="V204" s="40" t="str">
        <x:f>IF(B204="","",COUNTA(H204:L204)/5)</x:f>
      </x:c>
    </x:row>
    <x:row r="205">
      <x:c r="A205" s="30" t="str">
        <x:f>IF(B205="","",B205&amp;"-"&amp;C205)</x:f>
      </x:c>
      <x:c r="B205" s="30" t="str">
        <x:f>'01_命例主档'!A17</x:f>
      </x:c>
      <x:c r="C205" s="30" t="str">
        <x:v>M03</x:v>
      </x:c>
      <x:c r="D205" s="30" t="str">
        <x:v>月令与根气</x:v>
      </x:c>
      <x:c r="E205" s="30" t="str">
        <x:v>结构层</x:v>
      </x:c>
      <x:c r="F205" s="30" t="str">
        <x:v>M02</x:v>
      </x:c>
      <x:c r="G205" s="30" t="str">
        <x:v>未开始</x:v>
      </x:c>
      <x:c r="H205" s="30" t="str"/>
      <x:c r="I205" s="30" t="str"/>
      <x:c r="J205" s="30" t="str"/>
      <x:c r="K205" s="30" t="str"/>
      <x:c r="L205" s="30" t="str"/>
      <x:c r="M205" s="30" t="str"/>
      <x:c r="N205" s="30" t="str"/>
      <x:c r="O205" s="30" t="str"/>
      <x:c r="P205" s="30" t="str"/>
      <x:c r="Q205" s="31" t="str"/>
      <x:c r="R205" s="31" t="str"/>
      <x:c r="S205" s="30" t="str"/>
      <x:c r="T205" s="30" t="str"/>
      <x:c r="U205" s="30" t="str"/>
      <x:c r="V205" s="40" t="str">
        <x:f>IF(B205="","",COUNTA(H205:L205)/5)</x:f>
      </x:c>
    </x:row>
    <x:row r="206">
      <x:c r="A206" s="30" t="str">
        <x:f>IF(B206="","",B206&amp;"-"&amp;C206)</x:f>
      </x:c>
      <x:c r="B206" s="30" t="str">
        <x:f>'01_命例主档'!A17</x:f>
      </x:c>
      <x:c r="C206" s="30" t="str">
        <x:v>M04</x:v>
      </x:c>
      <x:c r="D206" s="30" t="str">
        <x:v>天干作用识别</x:v>
      </x:c>
      <x:c r="E206" s="30" t="str">
        <x:v>识别层</x:v>
      </x:c>
      <x:c r="F206" s="30" t="str">
        <x:v>M02</x:v>
      </x:c>
      <x:c r="G206" s="30" t="str">
        <x:v>未开始</x:v>
      </x:c>
      <x:c r="H206" s="30" t="str"/>
      <x:c r="I206" s="30" t="str"/>
      <x:c r="J206" s="30" t="str"/>
      <x:c r="K206" s="30" t="str"/>
      <x:c r="L206" s="30" t="str"/>
      <x:c r="M206" s="30" t="str"/>
      <x:c r="N206" s="30" t="str"/>
      <x:c r="O206" s="30" t="str"/>
      <x:c r="P206" s="30" t="str"/>
      <x:c r="Q206" s="31" t="str"/>
      <x:c r="R206" s="31" t="str"/>
      <x:c r="S206" s="30" t="str"/>
      <x:c r="T206" s="30" t="str"/>
      <x:c r="U206" s="30" t="str"/>
      <x:c r="V206" s="40" t="str">
        <x:f>IF(B206="","",COUNTA(H206:L206)/5)</x:f>
      </x:c>
    </x:row>
    <x:row r="207">
      <x:c r="A207" s="30" t="str">
        <x:f>IF(B207="","",B207&amp;"-"&amp;C207)</x:f>
      </x:c>
      <x:c r="B207" s="30" t="str">
        <x:f>'01_命例主档'!A17</x:f>
      </x:c>
      <x:c r="C207" s="30" t="str">
        <x:v>M05</x:v>
      </x:c>
      <x:c r="D207" s="30" t="str">
        <x:v>地支关系识别</x:v>
      </x:c>
      <x:c r="E207" s="30" t="str">
        <x:v>识别层</x:v>
      </x:c>
      <x:c r="F207" s="30" t="str">
        <x:v>M02</x:v>
      </x:c>
      <x:c r="G207" s="30" t="str">
        <x:v>未开始</x:v>
      </x:c>
      <x:c r="H207" s="30" t="str"/>
      <x:c r="I207" s="30" t="str"/>
      <x:c r="J207" s="30" t="str"/>
      <x:c r="K207" s="30" t="str"/>
      <x:c r="L207" s="30" t="str"/>
      <x:c r="M207" s="30" t="str"/>
      <x:c r="N207" s="30" t="str"/>
      <x:c r="O207" s="30" t="str"/>
      <x:c r="P207" s="30" t="str"/>
      <x:c r="Q207" s="31" t="str"/>
      <x:c r="R207" s="31" t="str"/>
      <x:c r="S207" s="30" t="str"/>
      <x:c r="T207" s="30" t="str"/>
      <x:c r="U207" s="30" t="str"/>
      <x:c r="V207" s="40" t="str">
        <x:f>IF(B207="","",COUNTA(H207:L207)/5)</x:f>
      </x:c>
    </x:row>
    <x:row r="208">
      <x:c r="A208" s="30" t="str">
        <x:f>IF(B208="","",B208&amp;"-"&amp;C208)</x:f>
      </x:c>
      <x:c r="B208" s="30" t="str">
        <x:f>'01_命例主档'!A17</x:f>
      </x:c>
      <x:c r="C208" s="30" t="str">
        <x:v>M06</x:v>
      </x:c>
      <x:c r="D208" s="30" t="str">
        <x:v>干支关系效应</x:v>
      </x:c>
      <x:c r="E208" s="30" t="str">
        <x:v>效应层</x:v>
      </x:c>
      <x:c r="F208" s="30" t="str">
        <x:v>M03/M04/M05</x:v>
      </x:c>
      <x:c r="G208" s="30" t="str">
        <x:v>未开始</x:v>
      </x:c>
      <x:c r="H208" s="30" t="str"/>
      <x:c r="I208" s="30" t="str"/>
      <x:c r="J208" s="30" t="str"/>
      <x:c r="K208" s="30" t="str"/>
      <x:c r="L208" s="30" t="str"/>
      <x:c r="M208" s="30" t="str"/>
      <x:c r="N208" s="30" t="str"/>
      <x:c r="O208" s="30" t="str"/>
      <x:c r="P208" s="30" t="str"/>
      <x:c r="Q208" s="31" t="str"/>
      <x:c r="R208" s="31" t="str"/>
      <x:c r="S208" s="30" t="str"/>
      <x:c r="T208" s="30" t="str"/>
      <x:c r="U208" s="30" t="str"/>
      <x:c r="V208" s="40" t="str">
        <x:f>IF(B208="","",COUNTA(H208:L208)/5)</x:f>
      </x:c>
    </x:row>
    <x:row r="209">
      <x:c r="A209" s="30" t="str">
        <x:f>IF(B209="","",B209&amp;"-"&amp;C209)</x:f>
      </x:c>
      <x:c r="B209" s="30" t="str">
        <x:f>'01_命例主档'!A17</x:f>
      </x:c>
      <x:c r="C209" s="30" t="str">
        <x:v>M07</x:v>
      </x:c>
      <x:c r="D209" s="30" t="str">
        <x:v>五行原始旺衰</x:v>
      </x:c>
      <x:c r="E209" s="30" t="str">
        <x:v>结构层</x:v>
      </x:c>
      <x:c r="F209" s="30" t="str">
        <x:v>M02/M03</x:v>
      </x:c>
      <x:c r="G209" s="30" t="str">
        <x:v>未开始</x:v>
      </x:c>
      <x:c r="H209" s="30" t="str"/>
      <x:c r="I209" s="30" t="str"/>
      <x:c r="J209" s="30" t="str"/>
      <x:c r="K209" s="30" t="str"/>
      <x:c r="L209" s="30" t="str"/>
      <x:c r="M209" s="30" t="str"/>
      <x:c r="N209" s="30" t="str"/>
      <x:c r="O209" s="30" t="str"/>
      <x:c r="P209" s="30" t="str"/>
      <x:c r="Q209" s="31" t="str"/>
      <x:c r="R209" s="31" t="str"/>
      <x:c r="S209" s="30" t="str"/>
      <x:c r="T209" s="30" t="str"/>
      <x:c r="U209" s="30" t="str"/>
      <x:c r="V209" s="40" t="str">
        <x:f>IF(B209="","",COUNTA(H209:L209)/5)</x:f>
      </x:c>
    </x:row>
    <x:row r="210">
      <x:c r="A210" s="30" t="str">
        <x:f>IF(B210="","",B210&amp;"-"&amp;C210)</x:f>
      </x:c>
      <x:c r="B210" s="30" t="str">
        <x:f>'01_命例主档'!A17</x:f>
      </x:c>
      <x:c r="C210" s="30" t="str">
        <x:v>M08</x:v>
      </x:c>
      <x:c r="D210" s="30" t="str">
        <x:v>五行有效旺衰</x:v>
      </x:c>
      <x:c r="E210" s="30" t="str">
        <x:v>结构层</x:v>
      </x:c>
      <x:c r="F210" s="30" t="str">
        <x:v>M06/M07</x:v>
      </x:c>
      <x:c r="G210" s="30" t="str">
        <x:v>未开始</x:v>
      </x:c>
      <x:c r="H210" s="30" t="str"/>
      <x:c r="I210" s="30" t="str"/>
      <x:c r="J210" s="30" t="str"/>
      <x:c r="K210" s="30" t="str"/>
      <x:c r="L210" s="30" t="str"/>
      <x:c r="M210" s="30" t="str"/>
      <x:c r="N210" s="30" t="str"/>
      <x:c r="O210" s="30" t="str"/>
      <x:c r="P210" s="30" t="str"/>
      <x:c r="Q210" s="31" t="str"/>
      <x:c r="R210" s="31" t="str"/>
      <x:c r="S210" s="30" t="str"/>
      <x:c r="T210" s="30" t="str"/>
      <x:c r="U210" s="30" t="str"/>
      <x:c r="V210" s="40" t="str">
        <x:f>IF(B210="","",COUNTA(H210:L210)/5)</x:f>
      </x:c>
    </x:row>
    <x:row r="211">
      <x:c r="A211" s="30" t="str">
        <x:f>IF(B211="","",B211&amp;"-"&amp;C211)</x:f>
      </x:c>
      <x:c r="B211" s="30" t="str">
        <x:f>'01_命例主档'!A17</x:f>
      </x:c>
      <x:c r="C211" s="30" t="str">
        <x:v>M09</x:v>
      </x:c>
      <x:c r="D211" s="30" t="str">
        <x:v>日主旺衰</x:v>
      </x:c>
      <x:c r="E211" s="30" t="str">
        <x:v>综合层</x:v>
      </x:c>
      <x:c r="F211" s="30" t="str">
        <x:v>M03/M07/M08</x:v>
      </x:c>
      <x:c r="G211" s="30" t="str">
        <x:v>未开始</x:v>
      </x:c>
      <x:c r="H211" s="30" t="str"/>
      <x:c r="I211" s="30" t="str"/>
      <x:c r="J211" s="30" t="str"/>
      <x:c r="K211" s="30" t="str"/>
      <x:c r="L211" s="30" t="str"/>
      <x:c r="M211" s="30" t="str"/>
      <x:c r="N211" s="30" t="str"/>
      <x:c r="O211" s="30" t="str"/>
      <x:c r="P211" s="30" t="str"/>
      <x:c r="Q211" s="31" t="str"/>
      <x:c r="R211" s="31" t="str"/>
      <x:c r="S211" s="30" t="str"/>
      <x:c r="T211" s="30" t="str"/>
      <x:c r="U211" s="30" t="str"/>
      <x:c r="V211" s="40" t="str">
        <x:f>IF(B211="","",COUNTA(H211:L211)/5)</x:f>
      </x:c>
    </x:row>
    <x:row r="212">
      <x:c r="A212" s="30" t="str">
        <x:f>IF(B212="","",B212&amp;"-"&amp;C212)</x:f>
      </x:c>
      <x:c r="B212" s="30" t="str">
        <x:f>'01_命例主档'!A17</x:f>
      </x:c>
      <x:c r="C212" s="30" t="str">
        <x:v>M10</x:v>
      </x:c>
      <x:c r="D212" s="30" t="str">
        <x:v>十神旺衰功能</x:v>
      </x:c>
      <x:c r="E212" s="30" t="str">
        <x:v>结构层</x:v>
      </x:c>
      <x:c r="F212" s="30" t="str">
        <x:v>M02/M08/M09</x:v>
      </x:c>
      <x:c r="G212" s="30" t="str">
        <x:v>未开始</x:v>
      </x:c>
      <x:c r="H212" s="30" t="str"/>
      <x:c r="I212" s="30" t="str"/>
      <x:c r="J212" s="30" t="str"/>
      <x:c r="K212" s="30" t="str"/>
      <x:c r="L212" s="30" t="str"/>
      <x:c r="M212" s="30" t="str"/>
      <x:c r="N212" s="30" t="str"/>
      <x:c r="O212" s="30" t="str"/>
      <x:c r="P212" s="30" t="str"/>
      <x:c r="Q212" s="31" t="str"/>
      <x:c r="R212" s="31" t="str"/>
      <x:c r="S212" s="30" t="str"/>
      <x:c r="T212" s="30" t="str"/>
      <x:c r="U212" s="30" t="str"/>
      <x:c r="V212" s="40" t="str">
        <x:f>IF(B212="","",COUNTA(H212:L212)/5)</x:f>
      </x:c>
    </x:row>
    <x:row r="213">
      <x:c r="A213" s="30" t="str">
        <x:f>IF(B213="","",B213&amp;"-"&amp;C213)</x:f>
      </x:c>
      <x:c r="B213" s="30" t="str">
        <x:f>'01_命例主档'!A17</x:f>
      </x:c>
      <x:c r="C213" s="30" t="str">
        <x:v>M11</x:v>
      </x:c>
      <x:c r="D213" s="30" t="str">
        <x:v>十神组合成立</x:v>
      </x:c>
      <x:c r="E213" s="30" t="str">
        <x:v>结构层</x:v>
      </x:c>
      <x:c r="F213" s="30" t="str">
        <x:v>M08/M09/M10</x:v>
      </x:c>
      <x:c r="G213" s="30" t="str">
        <x:v>未开始</x:v>
      </x:c>
      <x:c r="H213" s="30" t="str"/>
      <x:c r="I213" s="30" t="str"/>
      <x:c r="J213" s="30" t="str"/>
      <x:c r="K213" s="30" t="str"/>
      <x:c r="L213" s="30" t="str"/>
      <x:c r="M213" s="30" t="str"/>
      <x:c r="N213" s="30" t="str"/>
      <x:c r="O213" s="30" t="str"/>
      <x:c r="P213" s="30" t="str"/>
      <x:c r="Q213" s="31" t="str"/>
      <x:c r="R213" s="31" t="str"/>
      <x:c r="S213" s="30" t="str"/>
      <x:c r="T213" s="30" t="str"/>
      <x:c r="U213" s="30" t="str"/>
      <x:c r="V213" s="40" t="str">
        <x:f>IF(B213="","",COUNTA(H213:L213)/5)</x:f>
      </x:c>
    </x:row>
    <x:row r="214">
      <x:c r="A214" s="30" t="str">
        <x:f>IF(B214="","",B214&amp;"-"&amp;C214)</x:f>
      </x:c>
      <x:c r="B214" s="30" t="str">
        <x:f>'01_命例主档'!A17</x:f>
      </x:c>
      <x:c r="C214" s="30" t="str">
        <x:v>M12</x:v>
      </x:c>
      <x:c r="D214" s="30" t="str">
        <x:v>五行流通卡点</x:v>
      </x:c>
      <x:c r="E214" s="30" t="str">
        <x:v>结构层</x:v>
      </x:c>
      <x:c r="F214" s="30" t="str">
        <x:v>M06/M08/M10/M11</x:v>
      </x:c>
      <x:c r="G214" s="30" t="str">
        <x:v>未开始</x:v>
      </x:c>
      <x:c r="H214" s="30" t="str"/>
      <x:c r="I214" s="30" t="str"/>
      <x:c r="J214" s="30" t="str"/>
      <x:c r="K214" s="30" t="str"/>
      <x:c r="L214" s="30" t="str"/>
      <x:c r="M214" s="30" t="str"/>
      <x:c r="N214" s="30" t="str"/>
      <x:c r="O214" s="30" t="str"/>
      <x:c r="P214" s="30" t="str"/>
      <x:c r="Q214" s="31" t="str"/>
      <x:c r="R214" s="31" t="str"/>
      <x:c r="S214" s="30" t="str"/>
      <x:c r="T214" s="30" t="str"/>
      <x:c r="U214" s="30" t="str"/>
      <x:c r="V214" s="40" t="str">
        <x:f>IF(B214="","",COUNTA(H214:L214)/5)</x:f>
      </x:c>
    </x:row>
    <x:row r="215">
      <x:c r="A215" s="30" t="str">
        <x:f>IF(B215="","",B215&amp;"-"&amp;C215)</x:f>
      </x:c>
      <x:c r="B215" s="30" t="str">
        <x:f>'01_命例主档'!A17</x:f>
      </x:c>
      <x:c r="C215" s="30" t="str">
        <x:v>M13</x:v>
      </x:c>
      <x:c r="D215" s="30" t="str">
        <x:v>寒暖燥湿</x:v>
      </x:c>
      <x:c r="E215" s="30" t="str">
        <x:v>结构层</x:v>
      </x:c>
      <x:c r="F215" s="30" t="str">
        <x:v>M02/M08/M12</x:v>
      </x:c>
      <x:c r="G215" s="30" t="str">
        <x:v>未开始</x:v>
      </x:c>
      <x:c r="H215" s="30" t="str"/>
      <x:c r="I215" s="30" t="str"/>
      <x:c r="J215" s="30" t="str"/>
      <x:c r="K215" s="30" t="str"/>
      <x:c r="L215" s="30" t="str"/>
      <x:c r="M215" s="30" t="str"/>
      <x:c r="N215" s="30" t="str"/>
      <x:c r="O215" s="30" t="str"/>
      <x:c r="P215" s="30" t="str"/>
      <x:c r="Q215" s="31" t="str"/>
      <x:c r="R215" s="31" t="str"/>
      <x:c r="S215" s="30" t="str"/>
      <x:c r="T215" s="30" t="str"/>
      <x:c r="U215" s="30" t="str"/>
      <x:c r="V215" s="40" t="str">
        <x:f>IF(B215="","",COUNTA(H215:L215)/5)</x:f>
      </x:c>
    </x:row>
    <x:row r="216">
      <x:c r="A216" s="30" t="str">
        <x:f>IF(B216="","",B216&amp;"-"&amp;C216)</x:f>
      </x:c>
      <x:c r="B216" s="30" t="str">
        <x:f>'01_命例主档'!A17</x:f>
      </x:c>
      <x:c r="C216" s="30" t="str">
        <x:v>M14</x:v>
      </x:c>
      <x:c r="D216" s="30" t="str">
        <x:v>格局候选判断</x:v>
      </x:c>
      <x:c r="E216" s="30" t="str">
        <x:v>综合层</x:v>
      </x:c>
      <x:c r="F216" s="30" t="str">
        <x:v>M03/M06/M08/M09/M10/M11</x:v>
      </x:c>
      <x:c r="G216" s="30" t="str">
        <x:v>未开始</x:v>
      </x:c>
      <x:c r="H216" s="30" t="str"/>
      <x:c r="I216" s="30" t="str"/>
      <x:c r="J216" s="30" t="str"/>
      <x:c r="K216" s="30" t="str"/>
      <x:c r="L216" s="30" t="str"/>
      <x:c r="M216" s="30" t="str"/>
      <x:c r="N216" s="30" t="str"/>
      <x:c r="O216" s="30" t="str"/>
      <x:c r="P216" s="30" t="str"/>
      <x:c r="Q216" s="31" t="str"/>
      <x:c r="R216" s="31" t="str"/>
      <x:c r="S216" s="30" t="str"/>
      <x:c r="T216" s="30" t="str"/>
      <x:c r="U216" s="30" t="str"/>
      <x:c r="V216" s="40" t="str">
        <x:f>IF(B216="","",COUNTA(H216:L216)/5)</x:f>
      </x:c>
    </x:row>
    <x:row r="217">
      <x:c r="A217" s="30" t="str">
        <x:f>IF(B217="","",B217&amp;"-"&amp;C217)</x:f>
      </x:c>
      <x:c r="B217" s="30" t="str">
        <x:f>'01_命例主档'!A17</x:f>
      </x:c>
      <x:c r="C217" s="30" t="str">
        <x:v>M15</x:v>
      </x:c>
      <x:c r="D217" s="30" t="str">
        <x:v>格局成败救应</x:v>
      </x:c>
      <x:c r="E217" s="30" t="str">
        <x:v>综合层</x:v>
      </x:c>
      <x:c r="F217" s="30" t="str">
        <x:v>M14/M11/M08</x:v>
      </x:c>
      <x:c r="G217" s="30" t="str">
        <x:v>未开始</x:v>
      </x:c>
      <x:c r="H217" s="30" t="str"/>
      <x:c r="I217" s="30" t="str"/>
      <x:c r="J217" s="30" t="str"/>
      <x:c r="K217" s="30" t="str"/>
      <x:c r="L217" s="30" t="str"/>
      <x:c r="M217" s="30" t="str"/>
      <x:c r="N217" s="30" t="str"/>
      <x:c r="O217" s="30" t="str"/>
      <x:c r="P217" s="30" t="str"/>
      <x:c r="Q217" s="31" t="str"/>
      <x:c r="R217" s="31" t="str"/>
      <x:c r="S217" s="30" t="str"/>
      <x:c r="T217" s="30" t="str"/>
      <x:c r="U217" s="30" t="str"/>
      <x:c r="V217" s="40" t="str">
        <x:f>IF(B217="","",COUNTA(H217:L217)/5)</x:f>
      </x:c>
    </x:row>
    <x:row r="218">
      <x:c r="A218" s="30" t="str">
        <x:f>IF(B218="","",B218&amp;"-"&amp;C218)</x:f>
      </x:c>
      <x:c r="B218" s="30" t="str">
        <x:f>'01_命例主档'!A17</x:f>
      </x:c>
      <x:c r="C218" s="30" t="str">
        <x:v>M16</x:v>
      </x:c>
      <x:c r="D218" s="30" t="str">
        <x:v>病药模型</x:v>
      </x:c>
      <x:c r="E218" s="30" t="str">
        <x:v>综合层</x:v>
      </x:c>
      <x:c r="F218" s="30" t="str">
        <x:v>M08-M15</x:v>
      </x:c>
      <x:c r="G218" s="30" t="str">
        <x:v>未开始</x:v>
      </x:c>
      <x:c r="H218" s="30" t="str"/>
      <x:c r="I218" s="30" t="str"/>
      <x:c r="J218" s="30" t="str"/>
      <x:c r="K218" s="30" t="str"/>
      <x:c r="L218" s="30" t="str"/>
      <x:c r="M218" s="30" t="str"/>
      <x:c r="N218" s="30" t="str"/>
      <x:c r="O218" s="30" t="str"/>
      <x:c r="P218" s="30" t="str"/>
      <x:c r="Q218" s="31" t="str"/>
      <x:c r="R218" s="31" t="str"/>
      <x:c r="S218" s="30" t="str"/>
      <x:c r="T218" s="30" t="str"/>
      <x:c r="U218" s="30" t="str"/>
      <x:c r="V218" s="40" t="str">
        <x:f>IF(B218="","",COUNTA(H218:L218)/5)</x:f>
      </x:c>
    </x:row>
    <x:row r="219">
      <x:c r="A219" s="30" t="str">
        <x:f>IF(B219="","",B219&amp;"-"&amp;C219)</x:f>
      </x:c>
      <x:c r="B219" s="30" t="str">
        <x:f>'01_命例主档'!A17</x:f>
      </x:c>
      <x:c r="C219" s="30" t="str">
        <x:v>M17</x:v>
      </x:c>
      <x:c r="D219" s="30" t="str">
        <x:v>喜忌用神矩阵</x:v>
      </x:c>
      <x:c r="E219" s="30" t="str">
        <x:v>综合层</x:v>
      </x:c>
      <x:c r="F219" s="30" t="str">
        <x:v>M09/M12/M13/M15/M16</x:v>
      </x:c>
      <x:c r="G219" s="30" t="str">
        <x:v>未开始</x:v>
      </x:c>
      <x:c r="H219" s="30" t="str"/>
      <x:c r="I219" s="30" t="str"/>
      <x:c r="J219" s="30" t="str"/>
      <x:c r="K219" s="30" t="str"/>
      <x:c r="L219" s="30" t="str"/>
      <x:c r="M219" s="30" t="str"/>
      <x:c r="N219" s="30" t="str"/>
      <x:c r="O219" s="30" t="str"/>
      <x:c r="P219" s="30" t="str"/>
      <x:c r="Q219" s="31" t="str"/>
      <x:c r="R219" s="31" t="str"/>
      <x:c r="S219" s="30" t="str"/>
      <x:c r="T219" s="30" t="str"/>
      <x:c r="U219" s="30" t="str"/>
      <x:c r="V219" s="40" t="str">
        <x:f>IF(B219="","",COUNTA(H219:L219)/5)</x:f>
      </x:c>
    </x:row>
    <x:row r="220">
      <x:c r="A220" s="30" t="str">
        <x:f>IF(B220="","",B220&amp;"-"&amp;C220)</x:f>
      </x:c>
      <x:c r="B220" s="30" t="str">
        <x:f>'01_命例主档'!A17</x:f>
      </x:c>
      <x:c r="C220" s="30" t="str">
        <x:v>M18</x:v>
      </x:c>
      <x:c r="D220" s="30" t="str">
        <x:v>冲突裁决规则</x:v>
      </x:c>
      <x:c r="E220" s="30" t="str">
        <x:v>综合层</x:v>
      </x:c>
      <x:c r="F220" s="30" t="str">
        <x:v>M14/M15/M16/M17</x:v>
      </x:c>
      <x:c r="G220" s="30" t="str">
        <x:v>未开始</x:v>
      </x:c>
      <x:c r="H220" s="30" t="str"/>
      <x:c r="I220" s="30" t="str"/>
      <x:c r="J220" s="30" t="str"/>
      <x:c r="K220" s="30" t="str"/>
      <x:c r="L220" s="30" t="str"/>
      <x:c r="M220" s="30" t="str"/>
      <x:c r="N220" s="30" t="str"/>
      <x:c r="O220" s="30" t="str"/>
      <x:c r="P220" s="30" t="str"/>
      <x:c r="Q220" s="31" t="str"/>
      <x:c r="R220" s="31" t="str"/>
      <x:c r="S220" s="30" t="str"/>
      <x:c r="T220" s="30" t="str"/>
      <x:c r="U220" s="30" t="str"/>
      <x:c r="V220" s="40" t="str">
        <x:f>IF(B220="","",COUNTA(H220:L220)/5)</x:f>
      </x:c>
    </x:row>
    <x:row r="221">
      <x:c r="A221" s="30" t="str">
        <x:f>IF(B221="","",B221&amp;"-"&amp;C221)</x:f>
      </x:c>
      <x:c r="B221" s="30" t="str">
        <x:f>'01_命例主档'!A17</x:f>
      </x:c>
      <x:c r="C221" s="30" t="str">
        <x:v>M19</x:v>
      </x:c>
      <x:c r="D221" s="30" t="str">
        <x:v>综合输出模板</x:v>
      </x:c>
      <x:c r="E221" s="30" t="str">
        <x:v>治理与输出</x:v>
      </x:c>
      <x:c r="F221" s="30" t="str">
        <x:v>M02-M18</x:v>
      </x:c>
      <x:c r="G221" s="30" t="str">
        <x:v>未开始</x:v>
      </x:c>
      <x:c r="H221" s="30" t="str"/>
      <x:c r="I221" s="30" t="str"/>
      <x:c r="J221" s="30" t="str"/>
      <x:c r="K221" s="30" t="str"/>
      <x:c r="L221" s="30" t="str"/>
      <x:c r="M221" s="30" t="str"/>
      <x:c r="N221" s="30" t="str"/>
      <x:c r="O221" s="30" t="str"/>
      <x:c r="P221" s="30" t="str"/>
      <x:c r="Q221" s="31" t="str"/>
      <x:c r="R221" s="31" t="str"/>
      <x:c r="S221" s="30" t="str"/>
      <x:c r="T221" s="30" t="str"/>
      <x:c r="U221" s="30" t="str"/>
      <x:c r="V221" s="40" t="str">
        <x:f>IF(B221="","",COUNTA(H221:L221)/5)</x:f>
      </x:c>
    </x:row>
    <x:row r="222">
      <x:c r="A222" s="30" t="str">
        <x:f>IF(B222="","",B222&amp;"-"&amp;C222)</x:f>
      </x:c>
      <x:c r="B222" s="30" t="str">
        <x:f>'01_命例主档'!A18</x:f>
      </x:c>
      <x:c r="C222" s="30" t="str">
        <x:v>M02</x:v>
      </x:c>
      <x:c r="D222" s="30" t="str">
        <x:v>干支藏干基础</x:v>
      </x:c>
      <x:c r="E222" s="30" t="str">
        <x:v>识别层</x:v>
      </x:c>
      <x:c r="F222" s="30" t="str">
        <x:v>无</x:v>
      </x:c>
      <x:c r="G222" s="30" t="str">
        <x:v>未开始</x:v>
      </x:c>
      <x:c r="H222" s="30" t="str"/>
      <x:c r="I222" s="30" t="str"/>
      <x:c r="J222" s="30" t="str"/>
      <x:c r="K222" s="30" t="str"/>
      <x:c r="L222" s="30" t="str"/>
      <x:c r="M222" s="30" t="str"/>
      <x:c r="N222" s="30" t="str"/>
      <x:c r="O222" s="30" t="str"/>
      <x:c r="P222" s="30" t="str"/>
      <x:c r="Q222" s="31" t="str"/>
      <x:c r="R222" s="31" t="str"/>
      <x:c r="S222" s="30" t="str"/>
      <x:c r="T222" s="30" t="str"/>
      <x:c r="U222" s="30" t="str"/>
      <x:c r="V222" s="40" t="str">
        <x:f>IF(B222="","",COUNTA(H222:L222)/5)</x:f>
      </x:c>
    </x:row>
    <x:row r="223">
      <x:c r="A223" s="30" t="str">
        <x:f>IF(B223="","",B223&amp;"-"&amp;C223)</x:f>
      </x:c>
      <x:c r="B223" s="30" t="str">
        <x:f>'01_命例主档'!A18</x:f>
      </x:c>
      <x:c r="C223" s="30" t="str">
        <x:v>M03</x:v>
      </x:c>
      <x:c r="D223" s="30" t="str">
        <x:v>月令与根气</x:v>
      </x:c>
      <x:c r="E223" s="30" t="str">
        <x:v>结构层</x:v>
      </x:c>
      <x:c r="F223" s="30" t="str">
        <x:v>M02</x:v>
      </x:c>
      <x:c r="G223" s="30" t="str">
        <x:v>未开始</x:v>
      </x:c>
      <x:c r="H223" s="30" t="str"/>
      <x:c r="I223" s="30" t="str"/>
      <x:c r="J223" s="30" t="str"/>
      <x:c r="K223" s="30" t="str"/>
      <x:c r="L223" s="30" t="str"/>
      <x:c r="M223" s="30" t="str"/>
      <x:c r="N223" s="30" t="str"/>
      <x:c r="O223" s="30" t="str"/>
      <x:c r="P223" s="30" t="str"/>
      <x:c r="Q223" s="31" t="str"/>
      <x:c r="R223" s="31" t="str"/>
      <x:c r="S223" s="30" t="str"/>
      <x:c r="T223" s="30" t="str"/>
      <x:c r="U223" s="30" t="str"/>
      <x:c r="V223" s="40" t="str">
        <x:f>IF(B223="","",COUNTA(H223:L223)/5)</x:f>
      </x:c>
    </x:row>
    <x:row r="224">
      <x:c r="A224" s="30" t="str">
        <x:f>IF(B224="","",B224&amp;"-"&amp;C224)</x:f>
      </x:c>
      <x:c r="B224" s="30" t="str">
        <x:f>'01_命例主档'!A18</x:f>
      </x:c>
      <x:c r="C224" s="30" t="str">
        <x:v>M04</x:v>
      </x:c>
      <x:c r="D224" s="30" t="str">
        <x:v>天干作用识别</x:v>
      </x:c>
      <x:c r="E224" s="30" t="str">
        <x:v>识别层</x:v>
      </x:c>
      <x:c r="F224" s="30" t="str">
        <x:v>M02</x:v>
      </x:c>
      <x:c r="G224" s="30" t="str">
        <x:v>未开始</x:v>
      </x:c>
      <x:c r="H224" s="30" t="str"/>
      <x:c r="I224" s="30" t="str"/>
      <x:c r="J224" s="30" t="str"/>
      <x:c r="K224" s="30" t="str"/>
      <x:c r="L224" s="30" t="str"/>
      <x:c r="M224" s="30" t="str"/>
      <x:c r="N224" s="30" t="str"/>
      <x:c r="O224" s="30" t="str"/>
      <x:c r="P224" s="30" t="str"/>
      <x:c r="Q224" s="31" t="str"/>
      <x:c r="R224" s="31" t="str"/>
      <x:c r="S224" s="30" t="str"/>
      <x:c r="T224" s="30" t="str"/>
      <x:c r="U224" s="30" t="str"/>
      <x:c r="V224" s="40" t="str">
        <x:f>IF(B224="","",COUNTA(H224:L224)/5)</x:f>
      </x:c>
    </x:row>
    <x:row r="225">
      <x:c r="A225" s="30" t="str">
        <x:f>IF(B225="","",B225&amp;"-"&amp;C225)</x:f>
      </x:c>
      <x:c r="B225" s="30" t="str">
        <x:f>'01_命例主档'!A18</x:f>
      </x:c>
      <x:c r="C225" s="30" t="str">
        <x:v>M05</x:v>
      </x:c>
      <x:c r="D225" s="30" t="str">
        <x:v>地支关系识别</x:v>
      </x:c>
      <x:c r="E225" s="30" t="str">
        <x:v>识别层</x:v>
      </x:c>
      <x:c r="F225" s="30" t="str">
        <x:v>M02</x:v>
      </x:c>
      <x:c r="G225" s="30" t="str">
        <x:v>未开始</x:v>
      </x:c>
      <x:c r="H225" s="30" t="str"/>
      <x:c r="I225" s="30" t="str"/>
      <x:c r="J225" s="30" t="str"/>
      <x:c r="K225" s="30" t="str"/>
      <x:c r="L225" s="30" t="str"/>
      <x:c r="M225" s="30" t="str"/>
      <x:c r="N225" s="30" t="str"/>
      <x:c r="O225" s="30" t="str"/>
      <x:c r="P225" s="30" t="str"/>
      <x:c r="Q225" s="31" t="str"/>
      <x:c r="R225" s="31" t="str"/>
      <x:c r="S225" s="30" t="str"/>
      <x:c r="T225" s="30" t="str"/>
      <x:c r="U225" s="30" t="str"/>
      <x:c r="V225" s="40" t="str">
        <x:f>IF(B225="","",COUNTA(H225:L225)/5)</x:f>
      </x:c>
    </x:row>
    <x:row r="226">
      <x:c r="A226" s="30" t="str">
        <x:f>IF(B226="","",B226&amp;"-"&amp;C226)</x:f>
      </x:c>
      <x:c r="B226" s="30" t="str">
        <x:f>'01_命例主档'!A18</x:f>
      </x:c>
      <x:c r="C226" s="30" t="str">
        <x:v>M06</x:v>
      </x:c>
      <x:c r="D226" s="30" t="str">
        <x:v>干支关系效应</x:v>
      </x:c>
      <x:c r="E226" s="30" t="str">
        <x:v>效应层</x:v>
      </x:c>
      <x:c r="F226" s="30" t="str">
        <x:v>M03/M04/M05</x:v>
      </x:c>
      <x:c r="G226" s="30" t="str">
        <x:v>未开始</x:v>
      </x:c>
      <x:c r="H226" s="30" t="str"/>
      <x:c r="I226" s="30" t="str"/>
      <x:c r="J226" s="30" t="str"/>
      <x:c r="K226" s="30" t="str"/>
      <x:c r="L226" s="30" t="str"/>
      <x:c r="M226" s="30" t="str"/>
      <x:c r="N226" s="30" t="str"/>
      <x:c r="O226" s="30" t="str"/>
      <x:c r="P226" s="30" t="str"/>
      <x:c r="Q226" s="31" t="str"/>
      <x:c r="R226" s="31" t="str"/>
      <x:c r="S226" s="30" t="str"/>
      <x:c r="T226" s="30" t="str"/>
      <x:c r="U226" s="30" t="str"/>
      <x:c r="V226" s="40" t="str">
        <x:f>IF(B226="","",COUNTA(H226:L226)/5)</x:f>
      </x:c>
    </x:row>
    <x:row r="227">
      <x:c r="A227" s="30" t="str">
        <x:f>IF(B227="","",B227&amp;"-"&amp;C227)</x:f>
      </x:c>
      <x:c r="B227" s="30" t="str">
        <x:f>'01_命例主档'!A18</x:f>
      </x:c>
      <x:c r="C227" s="30" t="str">
        <x:v>M07</x:v>
      </x:c>
      <x:c r="D227" s="30" t="str">
        <x:v>五行原始旺衰</x:v>
      </x:c>
      <x:c r="E227" s="30" t="str">
        <x:v>结构层</x:v>
      </x:c>
      <x:c r="F227" s="30" t="str">
        <x:v>M02/M03</x:v>
      </x:c>
      <x:c r="G227" s="30" t="str">
        <x:v>未开始</x:v>
      </x:c>
      <x:c r="H227" s="30" t="str"/>
      <x:c r="I227" s="30" t="str"/>
      <x:c r="J227" s="30" t="str"/>
      <x:c r="K227" s="30" t="str"/>
      <x:c r="L227" s="30" t="str"/>
      <x:c r="M227" s="30" t="str"/>
      <x:c r="N227" s="30" t="str"/>
      <x:c r="O227" s="30" t="str"/>
      <x:c r="P227" s="30" t="str"/>
      <x:c r="Q227" s="31" t="str"/>
      <x:c r="R227" s="31" t="str"/>
      <x:c r="S227" s="30" t="str"/>
      <x:c r="T227" s="30" t="str"/>
      <x:c r="U227" s="30" t="str"/>
      <x:c r="V227" s="40" t="str">
        <x:f>IF(B227="","",COUNTA(H227:L227)/5)</x:f>
      </x:c>
    </x:row>
    <x:row r="228">
      <x:c r="A228" s="30" t="str">
        <x:f>IF(B228="","",B228&amp;"-"&amp;C228)</x:f>
      </x:c>
      <x:c r="B228" s="30" t="str">
        <x:f>'01_命例主档'!A18</x:f>
      </x:c>
      <x:c r="C228" s="30" t="str">
        <x:v>M08</x:v>
      </x:c>
      <x:c r="D228" s="30" t="str">
        <x:v>五行有效旺衰</x:v>
      </x:c>
      <x:c r="E228" s="30" t="str">
        <x:v>结构层</x:v>
      </x:c>
      <x:c r="F228" s="30" t="str">
        <x:v>M06/M07</x:v>
      </x:c>
      <x:c r="G228" s="30" t="str">
        <x:v>未开始</x:v>
      </x:c>
      <x:c r="H228" s="30" t="str"/>
      <x:c r="I228" s="30" t="str"/>
      <x:c r="J228" s="30" t="str"/>
      <x:c r="K228" s="30" t="str"/>
      <x:c r="L228" s="30" t="str"/>
      <x:c r="M228" s="30" t="str"/>
      <x:c r="N228" s="30" t="str"/>
      <x:c r="O228" s="30" t="str"/>
      <x:c r="P228" s="30" t="str"/>
      <x:c r="Q228" s="31" t="str"/>
      <x:c r="R228" s="31" t="str"/>
      <x:c r="S228" s="30" t="str"/>
      <x:c r="T228" s="30" t="str"/>
      <x:c r="U228" s="30" t="str"/>
      <x:c r="V228" s="40" t="str">
        <x:f>IF(B228="","",COUNTA(H228:L228)/5)</x:f>
      </x:c>
    </x:row>
    <x:row r="229">
      <x:c r="A229" s="30" t="str">
        <x:f>IF(B229="","",B229&amp;"-"&amp;C229)</x:f>
      </x:c>
      <x:c r="B229" s="30" t="str">
        <x:f>'01_命例主档'!A18</x:f>
      </x:c>
      <x:c r="C229" s="30" t="str">
        <x:v>M09</x:v>
      </x:c>
      <x:c r="D229" s="30" t="str">
        <x:v>日主旺衰</x:v>
      </x:c>
      <x:c r="E229" s="30" t="str">
        <x:v>综合层</x:v>
      </x:c>
      <x:c r="F229" s="30" t="str">
        <x:v>M03/M07/M08</x:v>
      </x:c>
      <x:c r="G229" s="30" t="str">
        <x:v>未开始</x:v>
      </x:c>
      <x:c r="H229" s="30" t="str"/>
      <x:c r="I229" s="30" t="str"/>
      <x:c r="J229" s="30" t="str"/>
      <x:c r="K229" s="30" t="str"/>
      <x:c r="L229" s="30" t="str"/>
      <x:c r="M229" s="30" t="str"/>
      <x:c r="N229" s="30" t="str"/>
      <x:c r="O229" s="30" t="str"/>
      <x:c r="P229" s="30" t="str"/>
      <x:c r="Q229" s="31" t="str"/>
      <x:c r="R229" s="31" t="str"/>
      <x:c r="S229" s="30" t="str"/>
      <x:c r="T229" s="30" t="str"/>
      <x:c r="U229" s="30" t="str"/>
      <x:c r="V229" s="40" t="str">
        <x:f>IF(B229="","",COUNTA(H229:L229)/5)</x:f>
      </x:c>
    </x:row>
    <x:row r="230">
      <x:c r="A230" s="30" t="str">
        <x:f>IF(B230="","",B230&amp;"-"&amp;C230)</x:f>
      </x:c>
      <x:c r="B230" s="30" t="str">
        <x:f>'01_命例主档'!A18</x:f>
      </x:c>
      <x:c r="C230" s="30" t="str">
        <x:v>M10</x:v>
      </x:c>
      <x:c r="D230" s="30" t="str">
        <x:v>十神旺衰功能</x:v>
      </x:c>
      <x:c r="E230" s="30" t="str">
        <x:v>结构层</x:v>
      </x:c>
      <x:c r="F230" s="30" t="str">
        <x:v>M02/M08/M09</x:v>
      </x:c>
      <x:c r="G230" s="30" t="str">
        <x:v>未开始</x:v>
      </x:c>
      <x:c r="H230" s="30" t="str"/>
      <x:c r="I230" s="30" t="str"/>
      <x:c r="J230" s="30" t="str"/>
      <x:c r="K230" s="30" t="str"/>
      <x:c r="L230" s="30" t="str"/>
      <x:c r="M230" s="30" t="str"/>
      <x:c r="N230" s="30" t="str"/>
      <x:c r="O230" s="30" t="str"/>
      <x:c r="P230" s="30" t="str"/>
      <x:c r="Q230" s="31" t="str"/>
      <x:c r="R230" s="31" t="str"/>
      <x:c r="S230" s="30" t="str"/>
      <x:c r="T230" s="30" t="str"/>
      <x:c r="U230" s="30" t="str"/>
      <x:c r="V230" s="40" t="str">
        <x:f>IF(B230="","",COUNTA(H230:L230)/5)</x:f>
      </x:c>
    </x:row>
    <x:row r="231">
      <x:c r="A231" s="30" t="str">
        <x:f>IF(B231="","",B231&amp;"-"&amp;C231)</x:f>
      </x:c>
      <x:c r="B231" s="30" t="str">
        <x:f>'01_命例主档'!A18</x:f>
      </x:c>
      <x:c r="C231" s="30" t="str">
        <x:v>M11</x:v>
      </x:c>
      <x:c r="D231" s="30" t="str">
        <x:v>十神组合成立</x:v>
      </x:c>
      <x:c r="E231" s="30" t="str">
        <x:v>结构层</x:v>
      </x:c>
      <x:c r="F231" s="30" t="str">
        <x:v>M08/M09/M10</x:v>
      </x:c>
      <x:c r="G231" s="30" t="str">
        <x:v>未开始</x:v>
      </x:c>
      <x:c r="H231" s="30" t="str"/>
      <x:c r="I231" s="30" t="str"/>
      <x:c r="J231" s="30" t="str"/>
      <x:c r="K231" s="30" t="str"/>
      <x:c r="L231" s="30" t="str"/>
      <x:c r="M231" s="30" t="str"/>
      <x:c r="N231" s="30" t="str"/>
      <x:c r="O231" s="30" t="str"/>
      <x:c r="P231" s="30" t="str"/>
      <x:c r="Q231" s="31" t="str"/>
      <x:c r="R231" s="31" t="str"/>
      <x:c r="S231" s="30" t="str"/>
      <x:c r="T231" s="30" t="str"/>
      <x:c r="U231" s="30" t="str"/>
      <x:c r="V231" s="40" t="str">
        <x:f>IF(B231="","",COUNTA(H231:L231)/5)</x:f>
      </x:c>
    </x:row>
    <x:row r="232">
      <x:c r="A232" s="30" t="str">
        <x:f>IF(B232="","",B232&amp;"-"&amp;C232)</x:f>
      </x:c>
      <x:c r="B232" s="30" t="str">
        <x:f>'01_命例主档'!A18</x:f>
      </x:c>
      <x:c r="C232" s="30" t="str">
        <x:v>M12</x:v>
      </x:c>
      <x:c r="D232" s="30" t="str">
        <x:v>五行流通卡点</x:v>
      </x:c>
      <x:c r="E232" s="30" t="str">
        <x:v>结构层</x:v>
      </x:c>
      <x:c r="F232" s="30" t="str">
        <x:v>M06/M08/M10/M11</x:v>
      </x:c>
      <x:c r="G232" s="30" t="str">
        <x:v>未开始</x:v>
      </x:c>
      <x:c r="H232" s="30" t="str"/>
      <x:c r="I232" s="30" t="str"/>
      <x:c r="J232" s="30" t="str"/>
      <x:c r="K232" s="30" t="str"/>
      <x:c r="L232" s="30" t="str"/>
      <x:c r="M232" s="30" t="str"/>
      <x:c r="N232" s="30" t="str"/>
      <x:c r="O232" s="30" t="str"/>
      <x:c r="P232" s="30" t="str"/>
      <x:c r="Q232" s="31" t="str"/>
      <x:c r="R232" s="31" t="str"/>
      <x:c r="S232" s="30" t="str"/>
      <x:c r="T232" s="30" t="str"/>
      <x:c r="U232" s="30" t="str"/>
      <x:c r="V232" s="40" t="str">
        <x:f>IF(B232="","",COUNTA(H232:L232)/5)</x:f>
      </x:c>
    </x:row>
    <x:row r="233">
      <x:c r="A233" s="30" t="str">
        <x:f>IF(B233="","",B233&amp;"-"&amp;C233)</x:f>
      </x:c>
      <x:c r="B233" s="30" t="str">
        <x:f>'01_命例主档'!A18</x:f>
      </x:c>
      <x:c r="C233" s="30" t="str">
        <x:v>M13</x:v>
      </x:c>
      <x:c r="D233" s="30" t="str">
        <x:v>寒暖燥湿</x:v>
      </x:c>
      <x:c r="E233" s="30" t="str">
        <x:v>结构层</x:v>
      </x:c>
      <x:c r="F233" s="30" t="str">
        <x:v>M02/M08/M12</x:v>
      </x:c>
      <x:c r="G233" s="30" t="str">
        <x:v>未开始</x:v>
      </x:c>
      <x:c r="H233" s="30" t="str"/>
      <x:c r="I233" s="30" t="str"/>
      <x:c r="J233" s="30" t="str"/>
      <x:c r="K233" s="30" t="str"/>
      <x:c r="L233" s="30" t="str"/>
      <x:c r="M233" s="30" t="str"/>
      <x:c r="N233" s="30" t="str"/>
      <x:c r="O233" s="30" t="str"/>
      <x:c r="P233" s="30" t="str"/>
      <x:c r="Q233" s="31" t="str"/>
      <x:c r="R233" s="31" t="str"/>
      <x:c r="S233" s="30" t="str"/>
      <x:c r="T233" s="30" t="str"/>
      <x:c r="U233" s="30" t="str"/>
      <x:c r="V233" s="40" t="str">
        <x:f>IF(B233="","",COUNTA(H233:L233)/5)</x:f>
      </x:c>
    </x:row>
    <x:row r="234">
      <x:c r="A234" s="30" t="str">
        <x:f>IF(B234="","",B234&amp;"-"&amp;C234)</x:f>
      </x:c>
      <x:c r="B234" s="30" t="str">
        <x:f>'01_命例主档'!A18</x:f>
      </x:c>
      <x:c r="C234" s="30" t="str">
        <x:v>M14</x:v>
      </x:c>
      <x:c r="D234" s="30" t="str">
        <x:v>格局候选判断</x:v>
      </x:c>
      <x:c r="E234" s="30" t="str">
        <x:v>综合层</x:v>
      </x:c>
      <x:c r="F234" s="30" t="str">
        <x:v>M03/M06/M08/M09/M10/M11</x:v>
      </x:c>
      <x:c r="G234" s="30" t="str">
        <x:v>未开始</x:v>
      </x:c>
      <x:c r="H234" s="30" t="str"/>
      <x:c r="I234" s="30" t="str"/>
      <x:c r="J234" s="30" t="str"/>
      <x:c r="K234" s="30" t="str"/>
      <x:c r="L234" s="30" t="str"/>
      <x:c r="M234" s="30" t="str"/>
      <x:c r="N234" s="30" t="str"/>
      <x:c r="O234" s="30" t="str"/>
      <x:c r="P234" s="30" t="str"/>
      <x:c r="Q234" s="31" t="str"/>
      <x:c r="R234" s="31" t="str"/>
      <x:c r="S234" s="30" t="str"/>
      <x:c r="T234" s="30" t="str"/>
      <x:c r="U234" s="30" t="str"/>
      <x:c r="V234" s="40" t="str">
        <x:f>IF(B234="","",COUNTA(H234:L234)/5)</x:f>
      </x:c>
    </x:row>
    <x:row r="235">
      <x:c r="A235" s="30" t="str">
        <x:f>IF(B235="","",B235&amp;"-"&amp;C235)</x:f>
      </x:c>
      <x:c r="B235" s="30" t="str">
        <x:f>'01_命例主档'!A18</x:f>
      </x:c>
      <x:c r="C235" s="30" t="str">
        <x:v>M15</x:v>
      </x:c>
      <x:c r="D235" s="30" t="str">
        <x:v>格局成败救应</x:v>
      </x:c>
      <x:c r="E235" s="30" t="str">
        <x:v>综合层</x:v>
      </x:c>
      <x:c r="F235" s="30" t="str">
        <x:v>M14/M11/M08</x:v>
      </x:c>
      <x:c r="G235" s="30" t="str">
        <x:v>未开始</x:v>
      </x:c>
      <x:c r="H235" s="30" t="str"/>
      <x:c r="I235" s="30" t="str"/>
      <x:c r="J235" s="30" t="str"/>
      <x:c r="K235" s="30" t="str"/>
      <x:c r="L235" s="30" t="str"/>
      <x:c r="M235" s="30" t="str"/>
      <x:c r="N235" s="30" t="str"/>
      <x:c r="O235" s="30" t="str"/>
      <x:c r="P235" s="30" t="str"/>
      <x:c r="Q235" s="31" t="str"/>
      <x:c r="R235" s="31" t="str"/>
      <x:c r="S235" s="30" t="str"/>
      <x:c r="T235" s="30" t="str"/>
      <x:c r="U235" s="30" t="str"/>
      <x:c r="V235" s="40" t="str">
        <x:f>IF(B235="","",COUNTA(H235:L235)/5)</x:f>
      </x:c>
    </x:row>
    <x:row r="236">
      <x:c r="A236" s="30" t="str">
        <x:f>IF(B236="","",B236&amp;"-"&amp;C236)</x:f>
      </x:c>
      <x:c r="B236" s="30" t="str">
        <x:f>'01_命例主档'!A18</x:f>
      </x:c>
      <x:c r="C236" s="30" t="str">
        <x:v>M16</x:v>
      </x:c>
      <x:c r="D236" s="30" t="str">
        <x:v>病药模型</x:v>
      </x:c>
      <x:c r="E236" s="30" t="str">
        <x:v>综合层</x:v>
      </x:c>
      <x:c r="F236" s="30" t="str">
        <x:v>M08-M15</x:v>
      </x:c>
      <x:c r="G236" s="30" t="str">
        <x:v>未开始</x:v>
      </x:c>
      <x:c r="H236" s="30" t="str"/>
      <x:c r="I236" s="30" t="str"/>
      <x:c r="J236" s="30" t="str"/>
      <x:c r="K236" s="30" t="str"/>
      <x:c r="L236" s="30" t="str"/>
      <x:c r="M236" s="30" t="str"/>
      <x:c r="N236" s="30" t="str"/>
      <x:c r="O236" s="30" t="str"/>
      <x:c r="P236" s="30" t="str"/>
      <x:c r="Q236" s="31" t="str"/>
      <x:c r="R236" s="31" t="str"/>
      <x:c r="S236" s="30" t="str"/>
      <x:c r="T236" s="30" t="str"/>
      <x:c r="U236" s="30" t="str"/>
      <x:c r="V236" s="40" t="str">
        <x:f>IF(B236="","",COUNTA(H236:L236)/5)</x:f>
      </x:c>
    </x:row>
    <x:row r="237">
      <x:c r="A237" s="30" t="str">
        <x:f>IF(B237="","",B237&amp;"-"&amp;C237)</x:f>
      </x:c>
      <x:c r="B237" s="30" t="str">
        <x:f>'01_命例主档'!A18</x:f>
      </x:c>
      <x:c r="C237" s="30" t="str">
        <x:v>M17</x:v>
      </x:c>
      <x:c r="D237" s="30" t="str">
        <x:v>喜忌用神矩阵</x:v>
      </x:c>
      <x:c r="E237" s="30" t="str">
        <x:v>综合层</x:v>
      </x:c>
      <x:c r="F237" s="30" t="str">
        <x:v>M09/M12/M13/M15/M16</x:v>
      </x:c>
      <x:c r="G237" s="30" t="str">
        <x:v>未开始</x:v>
      </x:c>
      <x:c r="H237" s="30" t="str"/>
      <x:c r="I237" s="30" t="str"/>
      <x:c r="J237" s="30" t="str"/>
      <x:c r="K237" s="30" t="str"/>
      <x:c r="L237" s="30" t="str"/>
      <x:c r="M237" s="30" t="str"/>
      <x:c r="N237" s="30" t="str"/>
      <x:c r="O237" s="30" t="str"/>
      <x:c r="P237" s="30" t="str"/>
      <x:c r="Q237" s="31" t="str"/>
      <x:c r="R237" s="31" t="str"/>
      <x:c r="S237" s="30" t="str"/>
      <x:c r="T237" s="30" t="str"/>
      <x:c r="U237" s="30" t="str"/>
      <x:c r="V237" s="40" t="str">
        <x:f>IF(B237="","",COUNTA(H237:L237)/5)</x:f>
      </x:c>
    </x:row>
    <x:row r="238">
      <x:c r="A238" s="30" t="str">
        <x:f>IF(B238="","",B238&amp;"-"&amp;C238)</x:f>
      </x:c>
      <x:c r="B238" s="30" t="str">
        <x:f>'01_命例主档'!A18</x:f>
      </x:c>
      <x:c r="C238" s="30" t="str">
        <x:v>M18</x:v>
      </x:c>
      <x:c r="D238" s="30" t="str">
        <x:v>冲突裁决规则</x:v>
      </x:c>
      <x:c r="E238" s="30" t="str">
        <x:v>综合层</x:v>
      </x:c>
      <x:c r="F238" s="30" t="str">
        <x:v>M14/M15/M16/M17</x:v>
      </x:c>
      <x:c r="G238" s="30" t="str">
        <x:v>未开始</x:v>
      </x:c>
      <x:c r="H238" s="30" t="str"/>
      <x:c r="I238" s="30" t="str"/>
      <x:c r="J238" s="30" t="str"/>
      <x:c r="K238" s="30" t="str"/>
      <x:c r="L238" s="30" t="str"/>
      <x:c r="M238" s="30" t="str"/>
      <x:c r="N238" s="30" t="str"/>
      <x:c r="O238" s="30" t="str"/>
      <x:c r="P238" s="30" t="str"/>
      <x:c r="Q238" s="31" t="str"/>
      <x:c r="R238" s="31" t="str"/>
      <x:c r="S238" s="30" t="str"/>
      <x:c r="T238" s="30" t="str"/>
      <x:c r="U238" s="30" t="str"/>
      <x:c r="V238" s="40" t="str">
        <x:f>IF(B238="","",COUNTA(H238:L238)/5)</x:f>
      </x:c>
    </x:row>
    <x:row r="239">
      <x:c r="A239" s="30" t="str">
        <x:f>IF(B239="","",B239&amp;"-"&amp;C239)</x:f>
      </x:c>
      <x:c r="B239" s="30" t="str">
        <x:f>'01_命例主档'!A18</x:f>
      </x:c>
      <x:c r="C239" s="30" t="str">
        <x:v>M19</x:v>
      </x:c>
      <x:c r="D239" s="30" t="str">
        <x:v>综合输出模板</x:v>
      </x:c>
      <x:c r="E239" s="30" t="str">
        <x:v>治理与输出</x:v>
      </x:c>
      <x:c r="F239" s="30" t="str">
        <x:v>M02-M18</x:v>
      </x:c>
      <x:c r="G239" s="30" t="str">
        <x:v>未开始</x:v>
      </x:c>
      <x:c r="H239" s="30" t="str"/>
      <x:c r="I239" s="30" t="str"/>
      <x:c r="J239" s="30" t="str"/>
      <x:c r="K239" s="30" t="str"/>
      <x:c r="L239" s="30" t="str"/>
      <x:c r="M239" s="30" t="str"/>
      <x:c r="N239" s="30" t="str"/>
      <x:c r="O239" s="30" t="str"/>
      <x:c r="P239" s="30" t="str"/>
      <x:c r="Q239" s="31" t="str"/>
      <x:c r="R239" s="31" t="str"/>
      <x:c r="S239" s="30" t="str"/>
      <x:c r="T239" s="30" t="str"/>
      <x:c r="U239" s="30" t="str"/>
      <x:c r="V239" s="40" t="str">
        <x:f>IF(B239="","",COUNTA(H239:L239)/5)</x:f>
      </x:c>
    </x:row>
    <x:row r="240">
      <x:c r="A240" s="30" t="str">
        <x:f>IF(B240="","",B240&amp;"-"&amp;C240)</x:f>
      </x:c>
      <x:c r="B240" s="30" t="str">
        <x:f>'01_命例主档'!A19</x:f>
      </x:c>
      <x:c r="C240" s="30" t="str">
        <x:v>M02</x:v>
      </x:c>
      <x:c r="D240" s="30" t="str">
        <x:v>干支藏干基础</x:v>
      </x:c>
      <x:c r="E240" s="30" t="str">
        <x:v>识别层</x:v>
      </x:c>
      <x:c r="F240" s="30" t="str">
        <x:v>无</x:v>
      </x:c>
      <x:c r="G240" s="30" t="str">
        <x:v>未开始</x:v>
      </x:c>
      <x:c r="H240" s="30" t="str"/>
      <x:c r="I240" s="30" t="str"/>
      <x:c r="J240" s="30" t="str"/>
      <x:c r="K240" s="30" t="str"/>
      <x:c r="L240" s="30" t="str"/>
      <x:c r="M240" s="30" t="str"/>
      <x:c r="N240" s="30" t="str"/>
      <x:c r="O240" s="30" t="str"/>
      <x:c r="P240" s="30" t="str"/>
      <x:c r="Q240" s="31" t="str"/>
      <x:c r="R240" s="31" t="str"/>
      <x:c r="S240" s="30" t="str"/>
      <x:c r="T240" s="30" t="str"/>
      <x:c r="U240" s="30" t="str"/>
      <x:c r="V240" s="40" t="str">
        <x:f>IF(B240="","",COUNTA(H240:L240)/5)</x:f>
      </x:c>
    </x:row>
    <x:row r="241">
      <x:c r="A241" s="30" t="str">
        <x:f>IF(B241="","",B241&amp;"-"&amp;C241)</x:f>
      </x:c>
      <x:c r="B241" s="30" t="str">
        <x:f>'01_命例主档'!A19</x:f>
      </x:c>
      <x:c r="C241" s="30" t="str">
        <x:v>M03</x:v>
      </x:c>
      <x:c r="D241" s="30" t="str">
        <x:v>月令与根气</x:v>
      </x:c>
      <x:c r="E241" s="30" t="str">
        <x:v>结构层</x:v>
      </x:c>
      <x:c r="F241" s="30" t="str">
        <x:v>M02</x:v>
      </x:c>
      <x:c r="G241" s="30" t="str">
        <x:v>未开始</x:v>
      </x:c>
      <x:c r="H241" s="30" t="str"/>
      <x:c r="I241" s="30" t="str"/>
      <x:c r="J241" s="30" t="str"/>
      <x:c r="K241" s="30" t="str"/>
      <x:c r="L241" s="30" t="str"/>
      <x:c r="M241" s="30" t="str"/>
      <x:c r="N241" s="30" t="str"/>
      <x:c r="O241" s="30" t="str"/>
      <x:c r="P241" s="30" t="str"/>
      <x:c r="Q241" s="31" t="str"/>
      <x:c r="R241" s="31" t="str"/>
      <x:c r="S241" s="30" t="str"/>
      <x:c r="T241" s="30" t="str"/>
      <x:c r="U241" s="30" t="str"/>
      <x:c r="V241" s="40" t="str">
        <x:f>IF(B241="","",COUNTA(H241:L241)/5)</x:f>
      </x:c>
    </x:row>
    <x:row r="242">
      <x:c r="A242" s="30" t="str">
        <x:f>IF(B242="","",B242&amp;"-"&amp;C242)</x:f>
      </x:c>
      <x:c r="B242" s="30" t="str">
        <x:f>'01_命例主档'!A19</x:f>
      </x:c>
      <x:c r="C242" s="30" t="str">
        <x:v>M04</x:v>
      </x:c>
      <x:c r="D242" s="30" t="str">
        <x:v>天干作用识别</x:v>
      </x:c>
      <x:c r="E242" s="30" t="str">
        <x:v>识别层</x:v>
      </x:c>
      <x:c r="F242" s="30" t="str">
        <x:v>M02</x:v>
      </x:c>
      <x:c r="G242" s="30" t="str">
        <x:v>未开始</x:v>
      </x:c>
      <x:c r="H242" s="30" t="str"/>
      <x:c r="I242" s="30" t="str"/>
      <x:c r="J242" s="30" t="str"/>
      <x:c r="K242" s="30" t="str"/>
      <x:c r="L242" s="30" t="str"/>
      <x:c r="M242" s="30" t="str"/>
      <x:c r="N242" s="30" t="str"/>
      <x:c r="O242" s="30" t="str"/>
      <x:c r="P242" s="30" t="str"/>
      <x:c r="Q242" s="31" t="str"/>
      <x:c r="R242" s="31" t="str"/>
      <x:c r="S242" s="30" t="str"/>
      <x:c r="T242" s="30" t="str"/>
      <x:c r="U242" s="30" t="str"/>
      <x:c r="V242" s="40" t="str">
        <x:f>IF(B242="","",COUNTA(H242:L242)/5)</x:f>
      </x:c>
    </x:row>
    <x:row r="243">
      <x:c r="A243" s="30" t="str">
        <x:f>IF(B243="","",B243&amp;"-"&amp;C243)</x:f>
      </x:c>
      <x:c r="B243" s="30" t="str">
        <x:f>'01_命例主档'!A19</x:f>
      </x:c>
      <x:c r="C243" s="30" t="str">
        <x:v>M05</x:v>
      </x:c>
      <x:c r="D243" s="30" t="str">
        <x:v>地支关系识别</x:v>
      </x:c>
      <x:c r="E243" s="30" t="str">
        <x:v>识别层</x:v>
      </x:c>
      <x:c r="F243" s="30" t="str">
        <x:v>M02</x:v>
      </x:c>
      <x:c r="G243" s="30" t="str">
        <x:v>未开始</x:v>
      </x:c>
      <x:c r="H243" s="30" t="str"/>
      <x:c r="I243" s="30" t="str"/>
      <x:c r="J243" s="30" t="str"/>
      <x:c r="K243" s="30" t="str"/>
      <x:c r="L243" s="30" t="str"/>
      <x:c r="M243" s="30" t="str"/>
      <x:c r="N243" s="30" t="str"/>
      <x:c r="O243" s="30" t="str"/>
      <x:c r="P243" s="30" t="str"/>
      <x:c r="Q243" s="31" t="str"/>
      <x:c r="R243" s="31" t="str"/>
      <x:c r="S243" s="30" t="str"/>
      <x:c r="T243" s="30" t="str"/>
      <x:c r="U243" s="30" t="str"/>
      <x:c r="V243" s="40" t="str">
        <x:f>IF(B243="","",COUNTA(H243:L243)/5)</x:f>
      </x:c>
    </x:row>
    <x:row r="244">
      <x:c r="A244" s="30" t="str">
        <x:f>IF(B244="","",B244&amp;"-"&amp;C244)</x:f>
      </x:c>
      <x:c r="B244" s="30" t="str">
        <x:f>'01_命例主档'!A19</x:f>
      </x:c>
      <x:c r="C244" s="30" t="str">
        <x:v>M06</x:v>
      </x:c>
      <x:c r="D244" s="30" t="str">
        <x:v>干支关系效应</x:v>
      </x:c>
      <x:c r="E244" s="30" t="str">
        <x:v>效应层</x:v>
      </x:c>
      <x:c r="F244" s="30" t="str">
        <x:v>M03/M04/M05</x:v>
      </x:c>
      <x:c r="G244" s="30" t="str">
        <x:v>未开始</x:v>
      </x:c>
      <x:c r="H244" s="30" t="str"/>
      <x:c r="I244" s="30" t="str"/>
      <x:c r="J244" s="30" t="str"/>
      <x:c r="K244" s="30" t="str"/>
      <x:c r="L244" s="30" t="str"/>
      <x:c r="M244" s="30" t="str"/>
      <x:c r="N244" s="30" t="str"/>
      <x:c r="O244" s="30" t="str"/>
      <x:c r="P244" s="30" t="str"/>
      <x:c r="Q244" s="31" t="str"/>
      <x:c r="R244" s="31" t="str"/>
      <x:c r="S244" s="30" t="str"/>
      <x:c r="T244" s="30" t="str"/>
      <x:c r="U244" s="30" t="str"/>
      <x:c r="V244" s="40" t="str">
        <x:f>IF(B244="","",COUNTA(H244:L244)/5)</x:f>
      </x:c>
    </x:row>
    <x:row r="245">
      <x:c r="A245" s="30" t="str">
        <x:f>IF(B245="","",B245&amp;"-"&amp;C245)</x:f>
      </x:c>
      <x:c r="B245" s="30" t="str">
        <x:f>'01_命例主档'!A19</x:f>
      </x:c>
      <x:c r="C245" s="30" t="str">
        <x:v>M07</x:v>
      </x:c>
      <x:c r="D245" s="30" t="str">
        <x:v>五行原始旺衰</x:v>
      </x:c>
      <x:c r="E245" s="30" t="str">
        <x:v>结构层</x:v>
      </x:c>
      <x:c r="F245" s="30" t="str">
        <x:v>M02/M03</x:v>
      </x:c>
      <x:c r="G245" s="30" t="str">
        <x:v>未开始</x:v>
      </x:c>
      <x:c r="H245" s="30" t="str"/>
      <x:c r="I245" s="30" t="str"/>
      <x:c r="J245" s="30" t="str"/>
      <x:c r="K245" s="30" t="str"/>
      <x:c r="L245" s="30" t="str"/>
      <x:c r="M245" s="30" t="str"/>
      <x:c r="N245" s="30" t="str"/>
      <x:c r="O245" s="30" t="str"/>
      <x:c r="P245" s="30" t="str"/>
      <x:c r="Q245" s="31" t="str"/>
      <x:c r="R245" s="31" t="str"/>
      <x:c r="S245" s="30" t="str"/>
      <x:c r="T245" s="30" t="str"/>
      <x:c r="U245" s="30" t="str"/>
      <x:c r="V245" s="40" t="str">
        <x:f>IF(B245="","",COUNTA(H245:L245)/5)</x:f>
      </x:c>
    </x:row>
    <x:row r="246">
      <x:c r="A246" s="30" t="str">
        <x:f>IF(B246="","",B246&amp;"-"&amp;C246)</x:f>
      </x:c>
      <x:c r="B246" s="30" t="str">
        <x:f>'01_命例主档'!A19</x:f>
      </x:c>
      <x:c r="C246" s="30" t="str">
        <x:v>M08</x:v>
      </x:c>
      <x:c r="D246" s="30" t="str">
        <x:v>五行有效旺衰</x:v>
      </x:c>
      <x:c r="E246" s="30" t="str">
        <x:v>结构层</x:v>
      </x:c>
      <x:c r="F246" s="30" t="str">
        <x:v>M06/M07</x:v>
      </x:c>
      <x:c r="G246" s="30" t="str">
        <x:v>未开始</x:v>
      </x:c>
      <x:c r="H246" s="30" t="str"/>
      <x:c r="I246" s="30" t="str"/>
      <x:c r="J246" s="30" t="str"/>
      <x:c r="K246" s="30" t="str"/>
      <x:c r="L246" s="30" t="str"/>
      <x:c r="M246" s="30" t="str"/>
      <x:c r="N246" s="30" t="str"/>
      <x:c r="O246" s="30" t="str"/>
      <x:c r="P246" s="30" t="str"/>
      <x:c r="Q246" s="31" t="str"/>
      <x:c r="R246" s="31" t="str"/>
      <x:c r="S246" s="30" t="str"/>
      <x:c r="T246" s="30" t="str"/>
      <x:c r="U246" s="30" t="str"/>
      <x:c r="V246" s="40" t="str">
        <x:f>IF(B246="","",COUNTA(H246:L246)/5)</x:f>
      </x:c>
    </x:row>
    <x:row r="247">
      <x:c r="A247" s="30" t="str">
        <x:f>IF(B247="","",B247&amp;"-"&amp;C247)</x:f>
      </x:c>
      <x:c r="B247" s="30" t="str">
        <x:f>'01_命例主档'!A19</x:f>
      </x:c>
      <x:c r="C247" s="30" t="str">
        <x:v>M09</x:v>
      </x:c>
      <x:c r="D247" s="30" t="str">
        <x:v>日主旺衰</x:v>
      </x:c>
      <x:c r="E247" s="30" t="str">
        <x:v>综合层</x:v>
      </x:c>
      <x:c r="F247" s="30" t="str">
        <x:v>M03/M07/M08</x:v>
      </x:c>
      <x:c r="G247" s="30" t="str">
        <x:v>未开始</x:v>
      </x:c>
      <x:c r="H247" s="30" t="str"/>
      <x:c r="I247" s="30" t="str"/>
      <x:c r="J247" s="30" t="str"/>
      <x:c r="K247" s="30" t="str"/>
      <x:c r="L247" s="30" t="str"/>
      <x:c r="M247" s="30" t="str"/>
      <x:c r="N247" s="30" t="str"/>
      <x:c r="O247" s="30" t="str"/>
      <x:c r="P247" s="30" t="str"/>
      <x:c r="Q247" s="31" t="str"/>
      <x:c r="R247" s="31" t="str"/>
      <x:c r="S247" s="30" t="str"/>
      <x:c r="T247" s="30" t="str"/>
      <x:c r="U247" s="30" t="str"/>
      <x:c r="V247" s="40" t="str">
        <x:f>IF(B247="","",COUNTA(H247:L247)/5)</x:f>
      </x:c>
    </x:row>
    <x:row r="248">
      <x:c r="A248" s="30" t="str">
        <x:f>IF(B248="","",B248&amp;"-"&amp;C248)</x:f>
      </x:c>
      <x:c r="B248" s="30" t="str">
        <x:f>'01_命例主档'!A19</x:f>
      </x:c>
      <x:c r="C248" s="30" t="str">
        <x:v>M10</x:v>
      </x:c>
      <x:c r="D248" s="30" t="str">
        <x:v>十神旺衰功能</x:v>
      </x:c>
      <x:c r="E248" s="30" t="str">
        <x:v>结构层</x:v>
      </x:c>
      <x:c r="F248" s="30" t="str">
        <x:v>M02/M08/M09</x:v>
      </x:c>
      <x:c r="G248" s="30" t="str">
        <x:v>未开始</x:v>
      </x:c>
      <x:c r="H248" s="30" t="str"/>
      <x:c r="I248" s="30" t="str"/>
      <x:c r="J248" s="30" t="str"/>
      <x:c r="K248" s="30" t="str"/>
      <x:c r="L248" s="30" t="str"/>
      <x:c r="M248" s="30" t="str"/>
      <x:c r="N248" s="30" t="str"/>
      <x:c r="O248" s="30" t="str"/>
      <x:c r="P248" s="30" t="str"/>
      <x:c r="Q248" s="31" t="str"/>
      <x:c r="R248" s="31" t="str"/>
      <x:c r="S248" s="30" t="str"/>
      <x:c r="T248" s="30" t="str"/>
      <x:c r="U248" s="30" t="str"/>
      <x:c r="V248" s="40" t="str">
        <x:f>IF(B248="","",COUNTA(H248:L248)/5)</x:f>
      </x:c>
    </x:row>
    <x:row r="249">
      <x:c r="A249" s="30" t="str">
        <x:f>IF(B249="","",B249&amp;"-"&amp;C249)</x:f>
      </x:c>
      <x:c r="B249" s="30" t="str">
        <x:f>'01_命例主档'!A19</x:f>
      </x:c>
      <x:c r="C249" s="30" t="str">
        <x:v>M11</x:v>
      </x:c>
      <x:c r="D249" s="30" t="str">
        <x:v>十神组合成立</x:v>
      </x:c>
      <x:c r="E249" s="30" t="str">
        <x:v>结构层</x:v>
      </x:c>
      <x:c r="F249" s="30" t="str">
        <x:v>M08/M09/M10</x:v>
      </x:c>
      <x:c r="G249" s="30" t="str">
        <x:v>未开始</x:v>
      </x:c>
      <x:c r="H249" s="30" t="str"/>
      <x:c r="I249" s="30" t="str"/>
      <x:c r="J249" s="30" t="str"/>
      <x:c r="K249" s="30" t="str"/>
      <x:c r="L249" s="30" t="str"/>
      <x:c r="M249" s="30" t="str"/>
      <x:c r="N249" s="30" t="str"/>
      <x:c r="O249" s="30" t="str"/>
      <x:c r="P249" s="30" t="str"/>
      <x:c r="Q249" s="31" t="str"/>
      <x:c r="R249" s="31" t="str"/>
      <x:c r="S249" s="30" t="str"/>
      <x:c r="T249" s="30" t="str"/>
      <x:c r="U249" s="30" t="str"/>
      <x:c r="V249" s="40" t="str">
        <x:f>IF(B249="","",COUNTA(H249:L249)/5)</x:f>
      </x:c>
    </x:row>
    <x:row r="250">
      <x:c r="A250" s="30" t="str">
        <x:f>IF(B250="","",B250&amp;"-"&amp;C250)</x:f>
      </x:c>
      <x:c r="B250" s="30" t="str">
        <x:f>'01_命例主档'!A19</x:f>
      </x:c>
      <x:c r="C250" s="30" t="str">
        <x:v>M12</x:v>
      </x:c>
      <x:c r="D250" s="30" t="str">
        <x:v>五行流通卡点</x:v>
      </x:c>
      <x:c r="E250" s="30" t="str">
        <x:v>结构层</x:v>
      </x:c>
      <x:c r="F250" s="30" t="str">
        <x:v>M06/M08/M10/M11</x:v>
      </x:c>
      <x:c r="G250" s="30" t="str">
        <x:v>未开始</x:v>
      </x:c>
      <x:c r="H250" s="30" t="str"/>
      <x:c r="I250" s="30" t="str"/>
      <x:c r="J250" s="30" t="str"/>
      <x:c r="K250" s="30" t="str"/>
      <x:c r="L250" s="30" t="str"/>
      <x:c r="M250" s="30" t="str"/>
      <x:c r="N250" s="30" t="str"/>
      <x:c r="O250" s="30" t="str"/>
      <x:c r="P250" s="30" t="str"/>
      <x:c r="Q250" s="31" t="str"/>
      <x:c r="R250" s="31" t="str"/>
      <x:c r="S250" s="30" t="str"/>
      <x:c r="T250" s="30" t="str"/>
      <x:c r="U250" s="30" t="str"/>
      <x:c r="V250" s="40" t="str">
        <x:f>IF(B250="","",COUNTA(H250:L250)/5)</x:f>
      </x:c>
    </x:row>
    <x:row r="251">
      <x:c r="A251" s="30" t="str">
        <x:f>IF(B251="","",B251&amp;"-"&amp;C251)</x:f>
      </x:c>
      <x:c r="B251" s="30" t="str">
        <x:f>'01_命例主档'!A19</x:f>
      </x:c>
      <x:c r="C251" s="30" t="str">
        <x:v>M13</x:v>
      </x:c>
      <x:c r="D251" s="30" t="str">
        <x:v>寒暖燥湿</x:v>
      </x:c>
      <x:c r="E251" s="30" t="str">
        <x:v>结构层</x:v>
      </x:c>
      <x:c r="F251" s="30" t="str">
        <x:v>M02/M08/M12</x:v>
      </x:c>
      <x:c r="G251" s="30" t="str">
        <x:v>未开始</x:v>
      </x:c>
      <x:c r="H251" s="30" t="str"/>
      <x:c r="I251" s="30" t="str"/>
      <x:c r="J251" s="30" t="str"/>
      <x:c r="K251" s="30" t="str"/>
      <x:c r="L251" s="30" t="str"/>
      <x:c r="M251" s="30" t="str"/>
      <x:c r="N251" s="30" t="str"/>
      <x:c r="O251" s="30" t="str"/>
      <x:c r="P251" s="30" t="str"/>
      <x:c r="Q251" s="31" t="str"/>
      <x:c r="R251" s="31" t="str"/>
      <x:c r="S251" s="30" t="str"/>
      <x:c r="T251" s="30" t="str"/>
      <x:c r="U251" s="30" t="str"/>
      <x:c r="V251" s="40" t="str">
        <x:f>IF(B251="","",COUNTA(H251:L251)/5)</x:f>
      </x:c>
    </x:row>
    <x:row r="252">
      <x:c r="A252" s="30" t="str">
        <x:f>IF(B252="","",B252&amp;"-"&amp;C252)</x:f>
      </x:c>
      <x:c r="B252" s="30" t="str">
        <x:f>'01_命例主档'!A19</x:f>
      </x:c>
      <x:c r="C252" s="30" t="str">
        <x:v>M14</x:v>
      </x:c>
      <x:c r="D252" s="30" t="str">
        <x:v>格局候选判断</x:v>
      </x:c>
      <x:c r="E252" s="30" t="str">
        <x:v>综合层</x:v>
      </x:c>
      <x:c r="F252" s="30" t="str">
        <x:v>M03/M06/M08/M09/M10/M11</x:v>
      </x:c>
      <x:c r="G252" s="30" t="str">
        <x:v>未开始</x:v>
      </x:c>
      <x:c r="H252" s="30" t="str"/>
      <x:c r="I252" s="30" t="str"/>
      <x:c r="J252" s="30" t="str"/>
      <x:c r="K252" s="30" t="str"/>
      <x:c r="L252" s="30" t="str"/>
      <x:c r="M252" s="30" t="str"/>
      <x:c r="N252" s="30" t="str"/>
      <x:c r="O252" s="30" t="str"/>
      <x:c r="P252" s="30" t="str"/>
      <x:c r="Q252" s="31" t="str"/>
      <x:c r="R252" s="31" t="str"/>
      <x:c r="S252" s="30" t="str"/>
      <x:c r="T252" s="30" t="str"/>
      <x:c r="U252" s="30" t="str"/>
      <x:c r="V252" s="40" t="str">
        <x:f>IF(B252="","",COUNTA(H252:L252)/5)</x:f>
      </x:c>
    </x:row>
    <x:row r="253">
      <x:c r="A253" s="30" t="str">
        <x:f>IF(B253="","",B253&amp;"-"&amp;C253)</x:f>
      </x:c>
      <x:c r="B253" s="30" t="str">
        <x:f>'01_命例主档'!A19</x:f>
      </x:c>
      <x:c r="C253" s="30" t="str">
        <x:v>M15</x:v>
      </x:c>
      <x:c r="D253" s="30" t="str">
        <x:v>格局成败救应</x:v>
      </x:c>
      <x:c r="E253" s="30" t="str">
        <x:v>综合层</x:v>
      </x:c>
      <x:c r="F253" s="30" t="str">
        <x:v>M14/M11/M08</x:v>
      </x:c>
      <x:c r="G253" s="30" t="str">
        <x:v>未开始</x:v>
      </x:c>
      <x:c r="H253" s="30" t="str"/>
      <x:c r="I253" s="30" t="str"/>
      <x:c r="J253" s="30" t="str"/>
      <x:c r="K253" s="30" t="str"/>
      <x:c r="L253" s="30" t="str"/>
      <x:c r="M253" s="30" t="str"/>
      <x:c r="N253" s="30" t="str"/>
      <x:c r="O253" s="30" t="str"/>
      <x:c r="P253" s="30" t="str"/>
      <x:c r="Q253" s="31" t="str"/>
      <x:c r="R253" s="31" t="str"/>
      <x:c r="S253" s="30" t="str"/>
      <x:c r="T253" s="30" t="str"/>
      <x:c r="U253" s="30" t="str"/>
      <x:c r="V253" s="40" t="str">
        <x:f>IF(B253="","",COUNTA(H253:L253)/5)</x:f>
      </x:c>
    </x:row>
    <x:row r="254">
      <x:c r="A254" s="30" t="str">
        <x:f>IF(B254="","",B254&amp;"-"&amp;C254)</x:f>
      </x:c>
      <x:c r="B254" s="30" t="str">
        <x:f>'01_命例主档'!A19</x:f>
      </x:c>
      <x:c r="C254" s="30" t="str">
        <x:v>M16</x:v>
      </x:c>
      <x:c r="D254" s="30" t="str">
        <x:v>病药模型</x:v>
      </x:c>
      <x:c r="E254" s="30" t="str">
        <x:v>综合层</x:v>
      </x:c>
      <x:c r="F254" s="30" t="str">
        <x:v>M08-M15</x:v>
      </x:c>
      <x:c r="G254" s="30" t="str">
        <x:v>未开始</x:v>
      </x:c>
      <x:c r="H254" s="30" t="str"/>
      <x:c r="I254" s="30" t="str"/>
      <x:c r="J254" s="30" t="str"/>
      <x:c r="K254" s="30" t="str"/>
      <x:c r="L254" s="30" t="str"/>
      <x:c r="M254" s="30" t="str"/>
      <x:c r="N254" s="30" t="str"/>
      <x:c r="O254" s="30" t="str"/>
      <x:c r="P254" s="30" t="str"/>
      <x:c r="Q254" s="31" t="str"/>
      <x:c r="R254" s="31" t="str"/>
      <x:c r="S254" s="30" t="str"/>
      <x:c r="T254" s="30" t="str"/>
      <x:c r="U254" s="30" t="str"/>
      <x:c r="V254" s="40" t="str">
        <x:f>IF(B254="","",COUNTA(H254:L254)/5)</x:f>
      </x:c>
    </x:row>
    <x:row r="255">
      <x:c r="A255" s="30" t="str">
        <x:f>IF(B255="","",B255&amp;"-"&amp;C255)</x:f>
      </x:c>
      <x:c r="B255" s="30" t="str">
        <x:f>'01_命例主档'!A19</x:f>
      </x:c>
      <x:c r="C255" s="30" t="str">
        <x:v>M17</x:v>
      </x:c>
      <x:c r="D255" s="30" t="str">
        <x:v>喜忌用神矩阵</x:v>
      </x:c>
      <x:c r="E255" s="30" t="str">
        <x:v>综合层</x:v>
      </x:c>
      <x:c r="F255" s="30" t="str">
        <x:v>M09/M12/M13/M15/M16</x:v>
      </x:c>
      <x:c r="G255" s="30" t="str">
        <x:v>未开始</x:v>
      </x:c>
      <x:c r="H255" s="30" t="str"/>
      <x:c r="I255" s="30" t="str"/>
      <x:c r="J255" s="30" t="str"/>
      <x:c r="K255" s="30" t="str"/>
      <x:c r="L255" s="30" t="str"/>
      <x:c r="M255" s="30" t="str"/>
      <x:c r="N255" s="30" t="str"/>
      <x:c r="O255" s="30" t="str"/>
      <x:c r="P255" s="30" t="str"/>
      <x:c r="Q255" s="31" t="str"/>
      <x:c r="R255" s="31" t="str"/>
      <x:c r="S255" s="30" t="str"/>
      <x:c r="T255" s="30" t="str"/>
      <x:c r="U255" s="30" t="str"/>
      <x:c r="V255" s="40" t="str">
        <x:f>IF(B255="","",COUNTA(H255:L255)/5)</x:f>
      </x:c>
    </x:row>
    <x:row r="256">
      <x:c r="A256" s="30" t="str">
        <x:f>IF(B256="","",B256&amp;"-"&amp;C256)</x:f>
      </x:c>
      <x:c r="B256" s="30" t="str">
        <x:f>'01_命例主档'!A19</x:f>
      </x:c>
      <x:c r="C256" s="30" t="str">
        <x:v>M18</x:v>
      </x:c>
      <x:c r="D256" s="30" t="str">
        <x:v>冲突裁决规则</x:v>
      </x:c>
      <x:c r="E256" s="30" t="str">
        <x:v>综合层</x:v>
      </x:c>
      <x:c r="F256" s="30" t="str">
        <x:v>M14/M15/M16/M17</x:v>
      </x:c>
      <x:c r="G256" s="30" t="str">
        <x:v>未开始</x:v>
      </x:c>
      <x:c r="H256" s="30" t="str"/>
      <x:c r="I256" s="30" t="str"/>
      <x:c r="J256" s="30" t="str"/>
      <x:c r="K256" s="30" t="str"/>
      <x:c r="L256" s="30" t="str"/>
      <x:c r="M256" s="30" t="str"/>
      <x:c r="N256" s="30" t="str"/>
      <x:c r="O256" s="30" t="str"/>
      <x:c r="P256" s="30" t="str"/>
      <x:c r="Q256" s="31" t="str"/>
      <x:c r="R256" s="31" t="str"/>
      <x:c r="S256" s="30" t="str"/>
      <x:c r="T256" s="30" t="str"/>
      <x:c r="U256" s="30" t="str"/>
      <x:c r="V256" s="40" t="str">
        <x:f>IF(B256="","",COUNTA(H256:L256)/5)</x:f>
      </x:c>
    </x:row>
    <x:row r="257">
      <x:c r="A257" s="30" t="str">
        <x:f>IF(B257="","",B257&amp;"-"&amp;C257)</x:f>
      </x:c>
      <x:c r="B257" s="30" t="str">
        <x:f>'01_命例主档'!A19</x:f>
      </x:c>
      <x:c r="C257" s="30" t="str">
        <x:v>M19</x:v>
      </x:c>
      <x:c r="D257" s="30" t="str">
        <x:v>综合输出模板</x:v>
      </x:c>
      <x:c r="E257" s="30" t="str">
        <x:v>治理与输出</x:v>
      </x:c>
      <x:c r="F257" s="30" t="str">
        <x:v>M02-M18</x:v>
      </x:c>
      <x:c r="G257" s="30" t="str">
        <x:v>未开始</x:v>
      </x:c>
      <x:c r="H257" s="30" t="str"/>
      <x:c r="I257" s="30" t="str"/>
      <x:c r="J257" s="30" t="str"/>
      <x:c r="K257" s="30" t="str"/>
      <x:c r="L257" s="30" t="str"/>
      <x:c r="M257" s="30" t="str"/>
      <x:c r="N257" s="30" t="str"/>
      <x:c r="O257" s="30" t="str"/>
      <x:c r="P257" s="30" t="str"/>
      <x:c r="Q257" s="31" t="str"/>
      <x:c r="R257" s="31" t="str"/>
      <x:c r="S257" s="30" t="str"/>
      <x:c r="T257" s="30" t="str"/>
      <x:c r="U257" s="30" t="str"/>
      <x:c r="V257" s="40" t="str">
        <x:f>IF(B257="","",COUNTA(H257:L257)/5)</x:f>
      </x:c>
    </x:row>
    <x:row r="258">
      <x:c r="A258" s="30" t="str">
        <x:f>IF(B258="","",B258&amp;"-"&amp;C258)</x:f>
      </x:c>
      <x:c r="B258" s="30" t="str">
        <x:f>'01_命例主档'!A20</x:f>
      </x:c>
      <x:c r="C258" s="30" t="str">
        <x:v>M02</x:v>
      </x:c>
      <x:c r="D258" s="30" t="str">
        <x:v>干支藏干基础</x:v>
      </x:c>
      <x:c r="E258" s="30" t="str">
        <x:v>识别层</x:v>
      </x:c>
      <x:c r="F258" s="30" t="str">
        <x:v>无</x:v>
      </x:c>
      <x:c r="G258" s="30" t="str">
        <x:v>未开始</x:v>
      </x:c>
      <x:c r="H258" s="30" t="str"/>
      <x:c r="I258" s="30" t="str"/>
      <x:c r="J258" s="30" t="str"/>
      <x:c r="K258" s="30" t="str"/>
      <x:c r="L258" s="30" t="str"/>
      <x:c r="M258" s="30" t="str"/>
      <x:c r="N258" s="30" t="str"/>
      <x:c r="O258" s="30" t="str"/>
      <x:c r="P258" s="30" t="str"/>
      <x:c r="Q258" s="31" t="str"/>
      <x:c r="R258" s="31" t="str"/>
      <x:c r="S258" s="30" t="str"/>
      <x:c r="T258" s="30" t="str"/>
      <x:c r="U258" s="30" t="str"/>
      <x:c r="V258" s="40" t="str">
        <x:f>IF(B258="","",COUNTA(H258:L258)/5)</x:f>
      </x:c>
    </x:row>
    <x:row r="259">
      <x:c r="A259" s="30" t="str">
        <x:f>IF(B259="","",B259&amp;"-"&amp;C259)</x:f>
      </x:c>
      <x:c r="B259" s="30" t="str">
        <x:f>'01_命例主档'!A20</x:f>
      </x:c>
      <x:c r="C259" s="30" t="str">
        <x:v>M03</x:v>
      </x:c>
      <x:c r="D259" s="30" t="str">
        <x:v>月令与根气</x:v>
      </x:c>
      <x:c r="E259" s="30" t="str">
        <x:v>结构层</x:v>
      </x:c>
      <x:c r="F259" s="30" t="str">
        <x:v>M02</x:v>
      </x:c>
      <x:c r="G259" s="30" t="str">
        <x:v>未开始</x:v>
      </x:c>
      <x:c r="H259" s="30" t="str"/>
      <x:c r="I259" s="30" t="str"/>
      <x:c r="J259" s="30" t="str"/>
      <x:c r="K259" s="30" t="str"/>
      <x:c r="L259" s="30" t="str"/>
      <x:c r="M259" s="30" t="str"/>
      <x:c r="N259" s="30" t="str"/>
      <x:c r="O259" s="30" t="str"/>
      <x:c r="P259" s="30" t="str"/>
      <x:c r="Q259" s="31" t="str"/>
      <x:c r="R259" s="31" t="str"/>
      <x:c r="S259" s="30" t="str"/>
      <x:c r="T259" s="30" t="str"/>
      <x:c r="U259" s="30" t="str"/>
      <x:c r="V259" s="40" t="str">
        <x:f>IF(B259="","",COUNTA(H259:L259)/5)</x:f>
      </x:c>
    </x:row>
    <x:row r="260">
      <x:c r="A260" s="30" t="str">
        <x:f>IF(B260="","",B260&amp;"-"&amp;C260)</x:f>
      </x:c>
      <x:c r="B260" s="30" t="str">
        <x:f>'01_命例主档'!A20</x:f>
      </x:c>
      <x:c r="C260" s="30" t="str">
        <x:v>M04</x:v>
      </x:c>
      <x:c r="D260" s="30" t="str">
        <x:v>天干作用识别</x:v>
      </x:c>
      <x:c r="E260" s="30" t="str">
        <x:v>识别层</x:v>
      </x:c>
      <x:c r="F260" s="30" t="str">
        <x:v>M02</x:v>
      </x:c>
      <x:c r="G260" s="30" t="str">
        <x:v>未开始</x:v>
      </x:c>
      <x:c r="H260" s="30" t="str"/>
      <x:c r="I260" s="30" t="str"/>
      <x:c r="J260" s="30" t="str"/>
      <x:c r="K260" s="30" t="str"/>
      <x:c r="L260" s="30" t="str"/>
      <x:c r="M260" s="30" t="str"/>
      <x:c r="N260" s="30" t="str"/>
      <x:c r="O260" s="30" t="str"/>
      <x:c r="P260" s="30" t="str"/>
      <x:c r="Q260" s="31" t="str"/>
      <x:c r="R260" s="31" t="str"/>
      <x:c r="S260" s="30" t="str"/>
      <x:c r="T260" s="30" t="str"/>
      <x:c r="U260" s="30" t="str"/>
      <x:c r="V260" s="40" t="str">
        <x:f>IF(B260="","",COUNTA(H260:L260)/5)</x:f>
      </x:c>
    </x:row>
    <x:row r="261">
      <x:c r="A261" s="30" t="str">
        <x:f>IF(B261="","",B261&amp;"-"&amp;C261)</x:f>
      </x:c>
      <x:c r="B261" s="30" t="str">
        <x:f>'01_命例主档'!A20</x:f>
      </x:c>
      <x:c r="C261" s="30" t="str">
        <x:v>M05</x:v>
      </x:c>
      <x:c r="D261" s="30" t="str">
        <x:v>地支关系识别</x:v>
      </x:c>
      <x:c r="E261" s="30" t="str">
        <x:v>识别层</x:v>
      </x:c>
      <x:c r="F261" s="30" t="str">
        <x:v>M02</x:v>
      </x:c>
      <x:c r="G261" s="30" t="str">
        <x:v>未开始</x:v>
      </x:c>
      <x:c r="H261" s="30" t="str"/>
      <x:c r="I261" s="30" t="str"/>
      <x:c r="J261" s="30" t="str"/>
      <x:c r="K261" s="30" t="str"/>
      <x:c r="L261" s="30" t="str"/>
      <x:c r="M261" s="30" t="str"/>
      <x:c r="N261" s="30" t="str"/>
      <x:c r="O261" s="30" t="str"/>
      <x:c r="P261" s="30" t="str"/>
      <x:c r="Q261" s="31" t="str"/>
      <x:c r="R261" s="31" t="str"/>
      <x:c r="S261" s="30" t="str"/>
      <x:c r="T261" s="30" t="str"/>
      <x:c r="U261" s="30" t="str"/>
      <x:c r="V261" s="40" t="str">
        <x:f>IF(B261="","",COUNTA(H261:L261)/5)</x:f>
      </x:c>
    </x:row>
    <x:row r="262">
      <x:c r="A262" s="30" t="str">
        <x:f>IF(B262="","",B262&amp;"-"&amp;C262)</x:f>
      </x:c>
      <x:c r="B262" s="30" t="str">
        <x:f>'01_命例主档'!A20</x:f>
      </x:c>
      <x:c r="C262" s="30" t="str">
        <x:v>M06</x:v>
      </x:c>
      <x:c r="D262" s="30" t="str">
        <x:v>干支关系效应</x:v>
      </x:c>
      <x:c r="E262" s="30" t="str">
        <x:v>效应层</x:v>
      </x:c>
      <x:c r="F262" s="30" t="str">
        <x:v>M03/M04/M05</x:v>
      </x:c>
      <x:c r="G262" s="30" t="str">
        <x:v>未开始</x:v>
      </x:c>
      <x:c r="H262" s="30" t="str"/>
      <x:c r="I262" s="30" t="str"/>
      <x:c r="J262" s="30" t="str"/>
      <x:c r="K262" s="30" t="str"/>
      <x:c r="L262" s="30" t="str"/>
      <x:c r="M262" s="30" t="str"/>
      <x:c r="N262" s="30" t="str"/>
      <x:c r="O262" s="30" t="str"/>
      <x:c r="P262" s="30" t="str"/>
      <x:c r="Q262" s="31" t="str"/>
      <x:c r="R262" s="31" t="str"/>
      <x:c r="S262" s="30" t="str"/>
      <x:c r="T262" s="30" t="str"/>
      <x:c r="U262" s="30" t="str"/>
      <x:c r="V262" s="40" t="str">
        <x:f>IF(B262="","",COUNTA(H262:L262)/5)</x:f>
      </x:c>
    </x:row>
    <x:row r="263">
      <x:c r="A263" s="30" t="str">
        <x:f>IF(B263="","",B263&amp;"-"&amp;C263)</x:f>
      </x:c>
      <x:c r="B263" s="30" t="str">
        <x:f>'01_命例主档'!A20</x:f>
      </x:c>
      <x:c r="C263" s="30" t="str">
        <x:v>M07</x:v>
      </x:c>
      <x:c r="D263" s="30" t="str">
        <x:v>五行原始旺衰</x:v>
      </x:c>
      <x:c r="E263" s="30" t="str">
        <x:v>结构层</x:v>
      </x:c>
      <x:c r="F263" s="30" t="str">
        <x:v>M02/M03</x:v>
      </x:c>
      <x:c r="G263" s="30" t="str">
        <x:v>未开始</x:v>
      </x:c>
      <x:c r="H263" s="30" t="str"/>
      <x:c r="I263" s="30" t="str"/>
      <x:c r="J263" s="30" t="str"/>
      <x:c r="K263" s="30" t="str"/>
      <x:c r="L263" s="30" t="str"/>
      <x:c r="M263" s="30" t="str"/>
      <x:c r="N263" s="30" t="str"/>
      <x:c r="O263" s="30" t="str"/>
      <x:c r="P263" s="30" t="str"/>
      <x:c r="Q263" s="31" t="str"/>
      <x:c r="R263" s="31" t="str"/>
      <x:c r="S263" s="30" t="str"/>
      <x:c r="T263" s="30" t="str"/>
      <x:c r="U263" s="30" t="str"/>
      <x:c r="V263" s="40" t="str">
        <x:f>IF(B263="","",COUNTA(H263:L263)/5)</x:f>
      </x:c>
    </x:row>
    <x:row r="264">
      <x:c r="A264" s="30" t="str">
        <x:f>IF(B264="","",B264&amp;"-"&amp;C264)</x:f>
      </x:c>
      <x:c r="B264" s="30" t="str">
        <x:f>'01_命例主档'!A20</x:f>
      </x:c>
      <x:c r="C264" s="30" t="str">
        <x:v>M08</x:v>
      </x:c>
      <x:c r="D264" s="30" t="str">
        <x:v>五行有效旺衰</x:v>
      </x:c>
      <x:c r="E264" s="30" t="str">
        <x:v>结构层</x:v>
      </x:c>
      <x:c r="F264" s="30" t="str">
        <x:v>M06/M07</x:v>
      </x:c>
      <x:c r="G264" s="30" t="str">
        <x:v>未开始</x:v>
      </x:c>
      <x:c r="H264" s="30" t="str"/>
      <x:c r="I264" s="30" t="str"/>
      <x:c r="J264" s="30" t="str"/>
      <x:c r="K264" s="30" t="str"/>
      <x:c r="L264" s="30" t="str"/>
      <x:c r="M264" s="30" t="str"/>
      <x:c r="N264" s="30" t="str"/>
      <x:c r="O264" s="30" t="str"/>
      <x:c r="P264" s="30" t="str"/>
      <x:c r="Q264" s="31" t="str"/>
      <x:c r="R264" s="31" t="str"/>
      <x:c r="S264" s="30" t="str"/>
      <x:c r="T264" s="30" t="str"/>
      <x:c r="U264" s="30" t="str"/>
      <x:c r="V264" s="40" t="str">
        <x:f>IF(B264="","",COUNTA(H264:L264)/5)</x:f>
      </x:c>
    </x:row>
    <x:row r="265">
      <x:c r="A265" s="30" t="str">
        <x:f>IF(B265="","",B265&amp;"-"&amp;C265)</x:f>
      </x:c>
      <x:c r="B265" s="30" t="str">
        <x:f>'01_命例主档'!A20</x:f>
      </x:c>
      <x:c r="C265" s="30" t="str">
        <x:v>M09</x:v>
      </x:c>
      <x:c r="D265" s="30" t="str">
        <x:v>日主旺衰</x:v>
      </x:c>
      <x:c r="E265" s="30" t="str">
        <x:v>综合层</x:v>
      </x:c>
      <x:c r="F265" s="30" t="str">
        <x:v>M03/M07/M08</x:v>
      </x:c>
      <x:c r="G265" s="30" t="str">
        <x:v>未开始</x:v>
      </x:c>
      <x:c r="H265" s="30" t="str"/>
      <x:c r="I265" s="30" t="str"/>
      <x:c r="J265" s="30" t="str"/>
      <x:c r="K265" s="30" t="str"/>
      <x:c r="L265" s="30" t="str"/>
      <x:c r="M265" s="30" t="str"/>
      <x:c r="N265" s="30" t="str"/>
      <x:c r="O265" s="30" t="str"/>
      <x:c r="P265" s="30" t="str"/>
      <x:c r="Q265" s="31" t="str"/>
      <x:c r="R265" s="31" t="str"/>
      <x:c r="S265" s="30" t="str"/>
      <x:c r="T265" s="30" t="str"/>
      <x:c r="U265" s="30" t="str"/>
      <x:c r="V265" s="40" t="str">
        <x:f>IF(B265="","",COUNTA(H265:L265)/5)</x:f>
      </x:c>
    </x:row>
    <x:row r="266">
      <x:c r="A266" s="30" t="str">
        <x:f>IF(B266="","",B266&amp;"-"&amp;C266)</x:f>
      </x:c>
      <x:c r="B266" s="30" t="str">
        <x:f>'01_命例主档'!A20</x:f>
      </x:c>
      <x:c r="C266" s="30" t="str">
        <x:v>M10</x:v>
      </x:c>
      <x:c r="D266" s="30" t="str">
        <x:v>十神旺衰功能</x:v>
      </x:c>
      <x:c r="E266" s="30" t="str">
        <x:v>结构层</x:v>
      </x:c>
      <x:c r="F266" s="30" t="str">
        <x:v>M02/M08/M09</x:v>
      </x:c>
      <x:c r="G266" s="30" t="str">
        <x:v>未开始</x:v>
      </x:c>
      <x:c r="H266" s="30" t="str"/>
      <x:c r="I266" s="30" t="str"/>
      <x:c r="J266" s="30" t="str"/>
      <x:c r="K266" s="30" t="str"/>
      <x:c r="L266" s="30" t="str"/>
      <x:c r="M266" s="30" t="str"/>
      <x:c r="N266" s="30" t="str"/>
      <x:c r="O266" s="30" t="str"/>
      <x:c r="P266" s="30" t="str"/>
      <x:c r="Q266" s="31" t="str"/>
      <x:c r="R266" s="31" t="str"/>
      <x:c r="S266" s="30" t="str"/>
      <x:c r="T266" s="30" t="str"/>
      <x:c r="U266" s="30" t="str"/>
      <x:c r="V266" s="40" t="str">
        <x:f>IF(B266="","",COUNTA(H266:L266)/5)</x:f>
      </x:c>
    </x:row>
    <x:row r="267">
      <x:c r="A267" s="30" t="str">
        <x:f>IF(B267="","",B267&amp;"-"&amp;C267)</x:f>
      </x:c>
      <x:c r="B267" s="30" t="str">
        <x:f>'01_命例主档'!A20</x:f>
      </x:c>
      <x:c r="C267" s="30" t="str">
        <x:v>M11</x:v>
      </x:c>
      <x:c r="D267" s="30" t="str">
        <x:v>十神组合成立</x:v>
      </x:c>
      <x:c r="E267" s="30" t="str">
        <x:v>结构层</x:v>
      </x:c>
      <x:c r="F267" s="30" t="str">
        <x:v>M08/M09/M10</x:v>
      </x:c>
      <x:c r="G267" s="30" t="str">
        <x:v>未开始</x:v>
      </x:c>
      <x:c r="H267" s="30" t="str"/>
      <x:c r="I267" s="30" t="str"/>
      <x:c r="J267" s="30" t="str"/>
      <x:c r="K267" s="30" t="str"/>
      <x:c r="L267" s="30" t="str"/>
      <x:c r="M267" s="30" t="str"/>
      <x:c r="N267" s="30" t="str"/>
      <x:c r="O267" s="30" t="str"/>
      <x:c r="P267" s="30" t="str"/>
      <x:c r="Q267" s="31" t="str"/>
      <x:c r="R267" s="31" t="str"/>
      <x:c r="S267" s="30" t="str"/>
      <x:c r="T267" s="30" t="str"/>
      <x:c r="U267" s="30" t="str"/>
      <x:c r="V267" s="40" t="str">
        <x:f>IF(B267="","",COUNTA(H267:L267)/5)</x:f>
      </x:c>
    </x:row>
    <x:row r="268">
      <x:c r="A268" s="30" t="str">
        <x:f>IF(B268="","",B268&amp;"-"&amp;C268)</x:f>
      </x:c>
      <x:c r="B268" s="30" t="str">
        <x:f>'01_命例主档'!A20</x:f>
      </x:c>
      <x:c r="C268" s="30" t="str">
        <x:v>M12</x:v>
      </x:c>
      <x:c r="D268" s="30" t="str">
        <x:v>五行流通卡点</x:v>
      </x:c>
      <x:c r="E268" s="30" t="str">
        <x:v>结构层</x:v>
      </x:c>
      <x:c r="F268" s="30" t="str">
        <x:v>M06/M08/M10/M11</x:v>
      </x:c>
      <x:c r="G268" s="30" t="str">
        <x:v>未开始</x:v>
      </x:c>
      <x:c r="H268" s="30" t="str"/>
      <x:c r="I268" s="30" t="str"/>
      <x:c r="J268" s="30" t="str"/>
      <x:c r="K268" s="30" t="str"/>
      <x:c r="L268" s="30" t="str"/>
      <x:c r="M268" s="30" t="str"/>
      <x:c r="N268" s="30" t="str"/>
      <x:c r="O268" s="30" t="str"/>
      <x:c r="P268" s="30" t="str"/>
      <x:c r="Q268" s="31" t="str"/>
      <x:c r="R268" s="31" t="str"/>
      <x:c r="S268" s="30" t="str"/>
      <x:c r="T268" s="30" t="str"/>
      <x:c r="U268" s="30" t="str"/>
      <x:c r="V268" s="40" t="str">
        <x:f>IF(B268="","",COUNTA(H268:L268)/5)</x:f>
      </x:c>
    </x:row>
    <x:row r="269">
      <x:c r="A269" s="30" t="str">
        <x:f>IF(B269="","",B269&amp;"-"&amp;C269)</x:f>
      </x:c>
      <x:c r="B269" s="30" t="str">
        <x:f>'01_命例主档'!A20</x:f>
      </x:c>
      <x:c r="C269" s="30" t="str">
        <x:v>M13</x:v>
      </x:c>
      <x:c r="D269" s="30" t="str">
        <x:v>寒暖燥湿</x:v>
      </x:c>
      <x:c r="E269" s="30" t="str">
        <x:v>结构层</x:v>
      </x:c>
      <x:c r="F269" s="30" t="str">
        <x:v>M02/M08/M12</x:v>
      </x:c>
      <x:c r="G269" s="30" t="str">
        <x:v>未开始</x:v>
      </x:c>
      <x:c r="H269" s="30" t="str"/>
      <x:c r="I269" s="30" t="str"/>
      <x:c r="J269" s="30" t="str"/>
      <x:c r="K269" s="30" t="str"/>
      <x:c r="L269" s="30" t="str"/>
      <x:c r="M269" s="30" t="str"/>
      <x:c r="N269" s="30" t="str"/>
      <x:c r="O269" s="30" t="str"/>
      <x:c r="P269" s="30" t="str"/>
      <x:c r="Q269" s="31" t="str"/>
      <x:c r="R269" s="31" t="str"/>
      <x:c r="S269" s="30" t="str"/>
      <x:c r="T269" s="30" t="str"/>
      <x:c r="U269" s="30" t="str"/>
      <x:c r="V269" s="40" t="str">
        <x:f>IF(B269="","",COUNTA(H269:L269)/5)</x:f>
      </x:c>
    </x:row>
    <x:row r="270">
      <x:c r="A270" s="30" t="str">
        <x:f>IF(B270="","",B270&amp;"-"&amp;C270)</x:f>
      </x:c>
      <x:c r="B270" s="30" t="str">
        <x:f>'01_命例主档'!A20</x:f>
      </x:c>
      <x:c r="C270" s="30" t="str">
        <x:v>M14</x:v>
      </x:c>
      <x:c r="D270" s="30" t="str">
        <x:v>格局候选判断</x:v>
      </x:c>
      <x:c r="E270" s="30" t="str">
        <x:v>综合层</x:v>
      </x:c>
      <x:c r="F270" s="30" t="str">
        <x:v>M03/M06/M08/M09/M10/M11</x:v>
      </x:c>
      <x:c r="G270" s="30" t="str">
        <x:v>未开始</x:v>
      </x:c>
      <x:c r="H270" s="30" t="str"/>
      <x:c r="I270" s="30" t="str"/>
      <x:c r="J270" s="30" t="str"/>
      <x:c r="K270" s="30" t="str"/>
      <x:c r="L270" s="30" t="str"/>
      <x:c r="M270" s="30" t="str"/>
      <x:c r="N270" s="30" t="str"/>
      <x:c r="O270" s="30" t="str"/>
      <x:c r="P270" s="30" t="str"/>
      <x:c r="Q270" s="31" t="str"/>
      <x:c r="R270" s="31" t="str"/>
      <x:c r="S270" s="30" t="str"/>
      <x:c r="T270" s="30" t="str"/>
      <x:c r="U270" s="30" t="str"/>
      <x:c r="V270" s="40" t="str">
        <x:f>IF(B270="","",COUNTA(H270:L270)/5)</x:f>
      </x:c>
    </x:row>
    <x:row r="271">
      <x:c r="A271" s="30" t="str">
        <x:f>IF(B271="","",B271&amp;"-"&amp;C271)</x:f>
      </x:c>
      <x:c r="B271" s="30" t="str">
        <x:f>'01_命例主档'!A20</x:f>
      </x:c>
      <x:c r="C271" s="30" t="str">
        <x:v>M15</x:v>
      </x:c>
      <x:c r="D271" s="30" t="str">
        <x:v>格局成败救应</x:v>
      </x:c>
      <x:c r="E271" s="30" t="str">
        <x:v>综合层</x:v>
      </x:c>
      <x:c r="F271" s="30" t="str">
        <x:v>M14/M11/M08</x:v>
      </x:c>
      <x:c r="G271" s="30" t="str">
        <x:v>未开始</x:v>
      </x:c>
      <x:c r="H271" s="30" t="str"/>
      <x:c r="I271" s="30" t="str"/>
      <x:c r="J271" s="30" t="str"/>
      <x:c r="K271" s="30" t="str"/>
      <x:c r="L271" s="30" t="str"/>
      <x:c r="M271" s="30" t="str"/>
      <x:c r="N271" s="30" t="str"/>
      <x:c r="O271" s="30" t="str"/>
      <x:c r="P271" s="30" t="str"/>
      <x:c r="Q271" s="31" t="str"/>
      <x:c r="R271" s="31" t="str"/>
      <x:c r="S271" s="30" t="str"/>
      <x:c r="T271" s="30" t="str"/>
      <x:c r="U271" s="30" t="str"/>
      <x:c r="V271" s="40" t="str">
        <x:f>IF(B271="","",COUNTA(H271:L271)/5)</x:f>
      </x:c>
    </x:row>
    <x:row r="272">
      <x:c r="A272" s="30" t="str">
        <x:f>IF(B272="","",B272&amp;"-"&amp;C272)</x:f>
      </x:c>
      <x:c r="B272" s="30" t="str">
        <x:f>'01_命例主档'!A20</x:f>
      </x:c>
      <x:c r="C272" s="30" t="str">
        <x:v>M16</x:v>
      </x:c>
      <x:c r="D272" s="30" t="str">
        <x:v>病药模型</x:v>
      </x:c>
      <x:c r="E272" s="30" t="str">
        <x:v>综合层</x:v>
      </x:c>
      <x:c r="F272" s="30" t="str">
        <x:v>M08-M15</x:v>
      </x:c>
      <x:c r="G272" s="30" t="str">
        <x:v>未开始</x:v>
      </x:c>
      <x:c r="H272" s="30" t="str"/>
      <x:c r="I272" s="30" t="str"/>
      <x:c r="J272" s="30" t="str"/>
      <x:c r="K272" s="30" t="str"/>
      <x:c r="L272" s="30" t="str"/>
      <x:c r="M272" s="30" t="str"/>
      <x:c r="N272" s="30" t="str"/>
      <x:c r="O272" s="30" t="str"/>
      <x:c r="P272" s="30" t="str"/>
      <x:c r="Q272" s="31" t="str"/>
      <x:c r="R272" s="31" t="str"/>
      <x:c r="S272" s="30" t="str"/>
      <x:c r="T272" s="30" t="str"/>
      <x:c r="U272" s="30" t="str"/>
      <x:c r="V272" s="40" t="str">
        <x:f>IF(B272="","",COUNTA(H272:L272)/5)</x:f>
      </x:c>
    </x:row>
    <x:row r="273">
      <x:c r="A273" s="30" t="str">
        <x:f>IF(B273="","",B273&amp;"-"&amp;C273)</x:f>
      </x:c>
      <x:c r="B273" s="30" t="str">
        <x:f>'01_命例主档'!A20</x:f>
      </x:c>
      <x:c r="C273" s="30" t="str">
        <x:v>M17</x:v>
      </x:c>
      <x:c r="D273" s="30" t="str">
        <x:v>喜忌用神矩阵</x:v>
      </x:c>
      <x:c r="E273" s="30" t="str">
        <x:v>综合层</x:v>
      </x:c>
      <x:c r="F273" s="30" t="str">
        <x:v>M09/M12/M13/M15/M16</x:v>
      </x:c>
      <x:c r="G273" s="30" t="str">
        <x:v>未开始</x:v>
      </x:c>
      <x:c r="H273" s="30" t="str"/>
      <x:c r="I273" s="30" t="str"/>
      <x:c r="J273" s="30" t="str"/>
      <x:c r="K273" s="30" t="str"/>
      <x:c r="L273" s="30" t="str"/>
      <x:c r="M273" s="30" t="str"/>
      <x:c r="N273" s="30" t="str"/>
      <x:c r="O273" s="30" t="str"/>
      <x:c r="P273" s="30" t="str"/>
      <x:c r="Q273" s="31" t="str"/>
      <x:c r="R273" s="31" t="str"/>
      <x:c r="S273" s="30" t="str"/>
      <x:c r="T273" s="30" t="str"/>
      <x:c r="U273" s="30" t="str"/>
      <x:c r="V273" s="40" t="str">
        <x:f>IF(B273="","",COUNTA(H273:L273)/5)</x:f>
      </x:c>
    </x:row>
    <x:row r="274">
      <x:c r="A274" s="30" t="str">
        <x:f>IF(B274="","",B274&amp;"-"&amp;C274)</x:f>
      </x:c>
      <x:c r="B274" s="30" t="str">
        <x:f>'01_命例主档'!A20</x:f>
      </x:c>
      <x:c r="C274" s="30" t="str">
        <x:v>M18</x:v>
      </x:c>
      <x:c r="D274" s="30" t="str">
        <x:v>冲突裁决规则</x:v>
      </x:c>
      <x:c r="E274" s="30" t="str">
        <x:v>综合层</x:v>
      </x:c>
      <x:c r="F274" s="30" t="str">
        <x:v>M14/M15/M16/M17</x:v>
      </x:c>
      <x:c r="G274" s="30" t="str">
        <x:v>未开始</x:v>
      </x:c>
      <x:c r="H274" s="30" t="str"/>
      <x:c r="I274" s="30" t="str"/>
      <x:c r="J274" s="30" t="str"/>
      <x:c r="K274" s="30" t="str"/>
      <x:c r="L274" s="30" t="str"/>
      <x:c r="M274" s="30" t="str"/>
      <x:c r="N274" s="30" t="str"/>
      <x:c r="O274" s="30" t="str"/>
      <x:c r="P274" s="30" t="str"/>
      <x:c r="Q274" s="31" t="str"/>
      <x:c r="R274" s="31" t="str"/>
      <x:c r="S274" s="30" t="str"/>
      <x:c r="T274" s="30" t="str"/>
      <x:c r="U274" s="30" t="str"/>
      <x:c r="V274" s="40" t="str">
        <x:f>IF(B274="","",COUNTA(H274:L274)/5)</x:f>
      </x:c>
    </x:row>
    <x:row r="275">
      <x:c r="A275" s="30" t="str">
        <x:f>IF(B275="","",B275&amp;"-"&amp;C275)</x:f>
      </x:c>
      <x:c r="B275" s="30" t="str">
        <x:f>'01_命例主档'!A20</x:f>
      </x:c>
      <x:c r="C275" s="30" t="str">
        <x:v>M19</x:v>
      </x:c>
      <x:c r="D275" s="30" t="str">
        <x:v>综合输出模板</x:v>
      </x:c>
      <x:c r="E275" s="30" t="str">
        <x:v>治理与输出</x:v>
      </x:c>
      <x:c r="F275" s="30" t="str">
        <x:v>M02-M18</x:v>
      </x:c>
      <x:c r="G275" s="30" t="str">
        <x:v>未开始</x:v>
      </x:c>
      <x:c r="H275" s="30" t="str"/>
      <x:c r="I275" s="30" t="str"/>
      <x:c r="J275" s="30" t="str"/>
      <x:c r="K275" s="30" t="str"/>
      <x:c r="L275" s="30" t="str"/>
      <x:c r="M275" s="30" t="str"/>
      <x:c r="N275" s="30" t="str"/>
      <x:c r="O275" s="30" t="str"/>
      <x:c r="P275" s="30" t="str"/>
      <x:c r="Q275" s="31" t="str"/>
      <x:c r="R275" s="31" t="str"/>
      <x:c r="S275" s="30" t="str"/>
      <x:c r="T275" s="30" t="str"/>
      <x:c r="U275" s="30" t="str"/>
      <x:c r="V275" s="40" t="str">
        <x:f>IF(B275="","",COUNTA(H275:L275)/5)</x:f>
      </x:c>
    </x:row>
    <x:row r="276">
      <x:c r="A276" s="30" t="str">
        <x:f>IF(B276="","",B276&amp;"-"&amp;C276)</x:f>
      </x:c>
      <x:c r="B276" s="30" t="str">
        <x:f>'01_命例主档'!A21</x:f>
      </x:c>
      <x:c r="C276" s="30" t="str">
        <x:v>M02</x:v>
      </x:c>
      <x:c r="D276" s="30" t="str">
        <x:v>干支藏干基础</x:v>
      </x:c>
      <x:c r="E276" s="30" t="str">
        <x:v>识别层</x:v>
      </x:c>
      <x:c r="F276" s="30" t="str">
        <x:v>无</x:v>
      </x:c>
      <x:c r="G276" s="30" t="str">
        <x:v>未开始</x:v>
      </x:c>
      <x:c r="H276" s="30" t="str"/>
      <x:c r="I276" s="30" t="str"/>
      <x:c r="J276" s="30" t="str"/>
      <x:c r="K276" s="30" t="str"/>
      <x:c r="L276" s="30" t="str"/>
      <x:c r="M276" s="30" t="str"/>
      <x:c r="N276" s="30" t="str"/>
      <x:c r="O276" s="30" t="str"/>
      <x:c r="P276" s="30" t="str"/>
      <x:c r="Q276" s="31" t="str"/>
      <x:c r="R276" s="31" t="str"/>
      <x:c r="S276" s="30" t="str"/>
      <x:c r="T276" s="30" t="str"/>
      <x:c r="U276" s="30" t="str"/>
      <x:c r="V276" s="40" t="str">
        <x:f>IF(B276="","",COUNTA(H276:L276)/5)</x:f>
      </x:c>
    </x:row>
    <x:row r="277">
      <x:c r="A277" s="30" t="str">
        <x:f>IF(B277="","",B277&amp;"-"&amp;C277)</x:f>
      </x:c>
      <x:c r="B277" s="30" t="str">
        <x:f>'01_命例主档'!A21</x:f>
      </x:c>
      <x:c r="C277" s="30" t="str">
        <x:v>M03</x:v>
      </x:c>
      <x:c r="D277" s="30" t="str">
        <x:v>月令与根气</x:v>
      </x:c>
      <x:c r="E277" s="30" t="str">
        <x:v>结构层</x:v>
      </x:c>
      <x:c r="F277" s="30" t="str">
        <x:v>M02</x:v>
      </x:c>
      <x:c r="G277" s="30" t="str">
        <x:v>未开始</x:v>
      </x:c>
      <x:c r="H277" s="30" t="str"/>
      <x:c r="I277" s="30" t="str"/>
      <x:c r="J277" s="30" t="str"/>
      <x:c r="K277" s="30" t="str"/>
      <x:c r="L277" s="30" t="str"/>
      <x:c r="M277" s="30" t="str"/>
      <x:c r="N277" s="30" t="str"/>
      <x:c r="O277" s="30" t="str"/>
      <x:c r="P277" s="30" t="str"/>
      <x:c r="Q277" s="31" t="str"/>
      <x:c r="R277" s="31" t="str"/>
      <x:c r="S277" s="30" t="str"/>
      <x:c r="T277" s="30" t="str"/>
      <x:c r="U277" s="30" t="str"/>
      <x:c r="V277" s="40" t="str">
        <x:f>IF(B277="","",COUNTA(H277:L277)/5)</x:f>
      </x:c>
    </x:row>
    <x:row r="278">
      <x:c r="A278" s="30" t="str">
        <x:f>IF(B278="","",B278&amp;"-"&amp;C278)</x:f>
      </x:c>
      <x:c r="B278" s="30" t="str">
        <x:f>'01_命例主档'!A21</x:f>
      </x:c>
      <x:c r="C278" s="30" t="str">
        <x:v>M04</x:v>
      </x:c>
      <x:c r="D278" s="30" t="str">
        <x:v>天干作用识别</x:v>
      </x:c>
      <x:c r="E278" s="30" t="str">
        <x:v>识别层</x:v>
      </x:c>
      <x:c r="F278" s="30" t="str">
        <x:v>M02</x:v>
      </x:c>
      <x:c r="G278" s="30" t="str">
        <x:v>未开始</x:v>
      </x:c>
      <x:c r="H278" s="30" t="str"/>
      <x:c r="I278" s="30" t="str"/>
      <x:c r="J278" s="30" t="str"/>
      <x:c r="K278" s="30" t="str"/>
      <x:c r="L278" s="30" t="str"/>
      <x:c r="M278" s="30" t="str"/>
      <x:c r="N278" s="30" t="str"/>
      <x:c r="O278" s="30" t="str"/>
      <x:c r="P278" s="30" t="str"/>
      <x:c r="Q278" s="31" t="str"/>
      <x:c r="R278" s="31" t="str"/>
      <x:c r="S278" s="30" t="str"/>
      <x:c r="T278" s="30" t="str"/>
      <x:c r="U278" s="30" t="str"/>
      <x:c r="V278" s="40" t="str">
        <x:f>IF(B278="","",COUNTA(H278:L278)/5)</x:f>
      </x:c>
    </x:row>
    <x:row r="279">
      <x:c r="A279" s="30" t="str">
        <x:f>IF(B279="","",B279&amp;"-"&amp;C279)</x:f>
      </x:c>
      <x:c r="B279" s="30" t="str">
        <x:f>'01_命例主档'!A21</x:f>
      </x:c>
      <x:c r="C279" s="30" t="str">
        <x:v>M05</x:v>
      </x:c>
      <x:c r="D279" s="30" t="str">
        <x:v>地支关系识别</x:v>
      </x:c>
      <x:c r="E279" s="30" t="str">
        <x:v>识别层</x:v>
      </x:c>
      <x:c r="F279" s="30" t="str">
        <x:v>M02</x:v>
      </x:c>
      <x:c r="G279" s="30" t="str">
        <x:v>未开始</x:v>
      </x:c>
      <x:c r="H279" s="30" t="str"/>
      <x:c r="I279" s="30" t="str"/>
      <x:c r="J279" s="30" t="str"/>
      <x:c r="K279" s="30" t="str"/>
      <x:c r="L279" s="30" t="str"/>
      <x:c r="M279" s="30" t="str"/>
      <x:c r="N279" s="30" t="str"/>
      <x:c r="O279" s="30" t="str"/>
      <x:c r="P279" s="30" t="str"/>
      <x:c r="Q279" s="31" t="str"/>
      <x:c r="R279" s="31" t="str"/>
      <x:c r="S279" s="30" t="str"/>
      <x:c r="T279" s="30" t="str"/>
      <x:c r="U279" s="30" t="str"/>
      <x:c r="V279" s="40" t="str">
        <x:f>IF(B279="","",COUNTA(H279:L279)/5)</x:f>
      </x:c>
    </x:row>
    <x:row r="280">
      <x:c r="A280" s="30" t="str">
        <x:f>IF(B280="","",B280&amp;"-"&amp;C280)</x:f>
      </x:c>
      <x:c r="B280" s="30" t="str">
        <x:f>'01_命例主档'!A21</x:f>
      </x:c>
      <x:c r="C280" s="30" t="str">
        <x:v>M06</x:v>
      </x:c>
      <x:c r="D280" s="30" t="str">
        <x:v>干支关系效应</x:v>
      </x:c>
      <x:c r="E280" s="30" t="str">
        <x:v>效应层</x:v>
      </x:c>
      <x:c r="F280" s="30" t="str">
        <x:v>M03/M04/M05</x:v>
      </x:c>
      <x:c r="G280" s="30" t="str">
        <x:v>未开始</x:v>
      </x:c>
      <x:c r="H280" s="30" t="str"/>
      <x:c r="I280" s="30" t="str"/>
      <x:c r="J280" s="30" t="str"/>
      <x:c r="K280" s="30" t="str"/>
      <x:c r="L280" s="30" t="str"/>
      <x:c r="M280" s="30" t="str"/>
      <x:c r="N280" s="30" t="str"/>
      <x:c r="O280" s="30" t="str"/>
      <x:c r="P280" s="30" t="str"/>
      <x:c r="Q280" s="31" t="str"/>
      <x:c r="R280" s="31" t="str"/>
      <x:c r="S280" s="30" t="str"/>
      <x:c r="T280" s="30" t="str"/>
      <x:c r="U280" s="30" t="str"/>
      <x:c r="V280" s="40" t="str">
        <x:f>IF(B280="","",COUNTA(H280:L280)/5)</x:f>
      </x:c>
    </x:row>
    <x:row r="281">
      <x:c r="A281" s="30" t="str">
        <x:f>IF(B281="","",B281&amp;"-"&amp;C281)</x:f>
      </x:c>
      <x:c r="B281" s="30" t="str">
        <x:f>'01_命例主档'!A21</x:f>
      </x:c>
      <x:c r="C281" s="30" t="str">
        <x:v>M07</x:v>
      </x:c>
      <x:c r="D281" s="30" t="str">
        <x:v>五行原始旺衰</x:v>
      </x:c>
      <x:c r="E281" s="30" t="str">
        <x:v>结构层</x:v>
      </x:c>
      <x:c r="F281" s="30" t="str">
        <x:v>M02/M03</x:v>
      </x:c>
      <x:c r="G281" s="30" t="str">
        <x:v>未开始</x:v>
      </x:c>
      <x:c r="H281" s="30" t="str"/>
      <x:c r="I281" s="30" t="str"/>
      <x:c r="J281" s="30" t="str"/>
      <x:c r="K281" s="30" t="str"/>
      <x:c r="L281" s="30" t="str"/>
      <x:c r="M281" s="30" t="str"/>
      <x:c r="N281" s="30" t="str"/>
      <x:c r="O281" s="30" t="str"/>
      <x:c r="P281" s="30" t="str"/>
      <x:c r="Q281" s="31" t="str"/>
      <x:c r="R281" s="31" t="str"/>
      <x:c r="S281" s="30" t="str"/>
      <x:c r="T281" s="30" t="str"/>
      <x:c r="U281" s="30" t="str"/>
      <x:c r="V281" s="40" t="str">
        <x:f>IF(B281="","",COUNTA(H281:L281)/5)</x:f>
      </x:c>
    </x:row>
    <x:row r="282">
      <x:c r="A282" s="30" t="str">
        <x:f>IF(B282="","",B282&amp;"-"&amp;C282)</x:f>
      </x:c>
      <x:c r="B282" s="30" t="str">
        <x:f>'01_命例主档'!A21</x:f>
      </x:c>
      <x:c r="C282" s="30" t="str">
        <x:v>M08</x:v>
      </x:c>
      <x:c r="D282" s="30" t="str">
        <x:v>五行有效旺衰</x:v>
      </x:c>
      <x:c r="E282" s="30" t="str">
        <x:v>结构层</x:v>
      </x:c>
      <x:c r="F282" s="30" t="str">
        <x:v>M06/M07</x:v>
      </x:c>
      <x:c r="G282" s="30" t="str">
        <x:v>未开始</x:v>
      </x:c>
      <x:c r="H282" s="30" t="str"/>
      <x:c r="I282" s="30" t="str"/>
      <x:c r="J282" s="30" t="str"/>
      <x:c r="K282" s="30" t="str"/>
      <x:c r="L282" s="30" t="str"/>
      <x:c r="M282" s="30" t="str"/>
      <x:c r="N282" s="30" t="str"/>
      <x:c r="O282" s="30" t="str"/>
      <x:c r="P282" s="30" t="str"/>
      <x:c r="Q282" s="31" t="str"/>
      <x:c r="R282" s="31" t="str"/>
      <x:c r="S282" s="30" t="str"/>
      <x:c r="T282" s="30" t="str"/>
      <x:c r="U282" s="30" t="str"/>
      <x:c r="V282" s="40" t="str">
        <x:f>IF(B282="","",COUNTA(H282:L282)/5)</x:f>
      </x:c>
    </x:row>
    <x:row r="283">
      <x:c r="A283" s="30" t="str">
        <x:f>IF(B283="","",B283&amp;"-"&amp;C283)</x:f>
      </x:c>
      <x:c r="B283" s="30" t="str">
        <x:f>'01_命例主档'!A21</x:f>
      </x:c>
      <x:c r="C283" s="30" t="str">
        <x:v>M09</x:v>
      </x:c>
      <x:c r="D283" s="30" t="str">
        <x:v>日主旺衰</x:v>
      </x:c>
      <x:c r="E283" s="30" t="str">
        <x:v>综合层</x:v>
      </x:c>
      <x:c r="F283" s="30" t="str">
        <x:v>M03/M07/M08</x:v>
      </x:c>
      <x:c r="G283" s="30" t="str">
        <x:v>未开始</x:v>
      </x:c>
      <x:c r="H283" s="30" t="str"/>
      <x:c r="I283" s="30" t="str"/>
      <x:c r="J283" s="30" t="str"/>
      <x:c r="K283" s="30" t="str"/>
      <x:c r="L283" s="30" t="str"/>
      <x:c r="M283" s="30" t="str"/>
      <x:c r="N283" s="30" t="str"/>
      <x:c r="O283" s="30" t="str"/>
      <x:c r="P283" s="30" t="str"/>
      <x:c r="Q283" s="31" t="str"/>
      <x:c r="R283" s="31" t="str"/>
      <x:c r="S283" s="30" t="str"/>
      <x:c r="T283" s="30" t="str"/>
      <x:c r="U283" s="30" t="str"/>
      <x:c r="V283" s="40" t="str">
        <x:f>IF(B283="","",COUNTA(H283:L283)/5)</x:f>
      </x:c>
    </x:row>
    <x:row r="284">
      <x:c r="A284" s="30" t="str">
        <x:f>IF(B284="","",B284&amp;"-"&amp;C284)</x:f>
      </x:c>
      <x:c r="B284" s="30" t="str">
        <x:f>'01_命例主档'!A21</x:f>
      </x:c>
      <x:c r="C284" s="30" t="str">
        <x:v>M10</x:v>
      </x:c>
      <x:c r="D284" s="30" t="str">
        <x:v>十神旺衰功能</x:v>
      </x:c>
      <x:c r="E284" s="30" t="str">
        <x:v>结构层</x:v>
      </x:c>
      <x:c r="F284" s="30" t="str">
        <x:v>M02/M08/M09</x:v>
      </x:c>
      <x:c r="G284" s="30" t="str">
        <x:v>未开始</x:v>
      </x:c>
      <x:c r="H284" s="30" t="str"/>
      <x:c r="I284" s="30" t="str"/>
      <x:c r="J284" s="30" t="str"/>
      <x:c r="K284" s="30" t="str"/>
      <x:c r="L284" s="30" t="str"/>
      <x:c r="M284" s="30" t="str"/>
      <x:c r="N284" s="30" t="str"/>
      <x:c r="O284" s="30" t="str"/>
      <x:c r="P284" s="30" t="str"/>
      <x:c r="Q284" s="31" t="str"/>
      <x:c r="R284" s="31" t="str"/>
      <x:c r="S284" s="30" t="str"/>
      <x:c r="T284" s="30" t="str"/>
      <x:c r="U284" s="30" t="str"/>
      <x:c r="V284" s="40" t="str">
        <x:f>IF(B284="","",COUNTA(H284:L284)/5)</x:f>
      </x:c>
    </x:row>
    <x:row r="285">
      <x:c r="A285" s="30" t="str">
        <x:f>IF(B285="","",B285&amp;"-"&amp;C285)</x:f>
      </x:c>
      <x:c r="B285" s="30" t="str">
        <x:f>'01_命例主档'!A21</x:f>
      </x:c>
      <x:c r="C285" s="30" t="str">
        <x:v>M11</x:v>
      </x:c>
      <x:c r="D285" s="30" t="str">
        <x:v>十神组合成立</x:v>
      </x:c>
      <x:c r="E285" s="30" t="str">
        <x:v>结构层</x:v>
      </x:c>
      <x:c r="F285" s="30" t="str">
        <x:v>M08/M09/M10</x:v>
      </x:c>
      <x:c r="G285" s="30" t="str">
        <x:v>未开始</x:v>
      </x:c>
      <x:c r="H285" s="30" t="str"/>
      <x:c r="I285" s="30" t="str"/>
      <x:c r="J285" s="30" t="str"/>
      <x:c r="K285" s="30" t="str"/>
      <x:c r="L285" s="30" t="str"/>
      <x:c r="M285" s="30" t="str"/>
      <x:c r="N285" s="30" t="str"/>
      <x:c r="O285" s="30" t="str"/>
      <x:c r="P285" s="30" t="str"/>
      <x:c r="Q285" s="31" t="str"/>
      <x:c r="R285" s="31" t="str"/>
      <x:c r="S285" s="30" t="str"/>
      <x:c r="T285" s="30" t="str"/>
      <x:c r="U285" s="30" t="str"/>
      <x:c r="V285" s="40" t="str">
        <x:f>IF(B285="","",COUNTA(H285:L285)/5)</x:f>
      </x:c>
    </x:row>
    <x:row r="286">
      <x:c r="A286" s="30" t="str">
        <x:f>IF(B286="","",B286&amp;"-"&amp;C286)</x:f>
      </x:c>
      <x:c r="B286" s="30" t="str">
        <x:f>'01_命例主档'!A21</x:f>
      </x:c>
      <x:c r="C286" s="30" t="str">
        <x:v>M12</x:v>
      </x:c>
      <x:c r="D286" s="30" t="str">
        <x:v>五行流通卡点</x:v>
      </x:c>
      <x:c r="E286" s="30" t="str">
        <x:v>结构层</x:v>
      </x:c>
      <x:c r="F286" s="30" t="str">
        <x:v>M06/M08/M10/M11</x:v>
      </x:c>
      <x:c r="G286" s="30" t="str">
        <x:v>未开始</x:v>
      </x:c>
      <x:c r="H286" s="30" t="str"/>
      <x:c r="I286" s="30" t="str"/>
      <x:c r="J286" s="30" t="str"/>
      <x:c r="K286" s="30" t="str"/>
      <x:c r="L286" s="30" t="str"/>
      <x:c r="M286" s="30" t="str"/>
      <x:c r="N286" s="30" t="str"/>
      <x:c r="O286" s="30" t="str"/>
      <x:c r="P286" s="30" t="str"/>
      <x:c r="Q286" s="31" t="str"/>
      <x:c r="R286" s="31" t="str"/>
      <x:c r="S286" s="30" t="str"/>
      <x:c r="T286" s="30" t="str"/>
      <x:c r="U286" s="30" t="str"/>
      <x:c r="V286" s="40" t="str">
        <x:f>IF(B286="","",COUNTA(H286:L286)/5)</x:f>
      </x:c>
    </x:row>
    <x:row r="287">
      <x:c r="A287" s="30" t="str">
        <x:f>IF(B287="","",B287&amp;"-"&amp;C287)</x:f>
      </x:c>
      <x:c r="B287" s="30" t="str">
        <x:f>'01_命例主档'!A21</x:f>
      </x:c>
      <x:c r="C287" s="30" t="str">
        <x:v>M13</x:v>
      </x:c>
      <x:c r="D287" s="30" t="str">
        <x:v>寒暖燥湿</x:v>
      </x:c>
      <x:c r="E287" s="30" t="str">
        <x:v>结构层</x:v>
      </x:c>
      <x:c r="F287" s="30" t="str">
        <x:v>M02/M08/M12</x:v>
      </x:c>
      <x:c r="G287" s="30" t="str">
        <x:v>未开始</x:v>
      </x:c>
      <x:c r="H287" s="30" t="str"/>
      <x:c r="I287" s="30" t="str"/>
      <x:c r="J287" s="30" t="str"/>
      <x:c r="K287" s="30" t="str"/>
      <x:c r="L287" s="30" t="str"/>
      <x:c r="M287" s="30" t="str"/>
      <x:c r="N287" s="30" t="str"/>
      <x:c r="O287" s="30" t="str"/>
      <x:c r="P287" s="30" t="str"/>
      <x:c r="Q287" s="31" t="str"/>
      <x:c r="R287" s="31" t="str"/>
      <x:c r="S287" s="30" t="str"/>
      <x:c r="T287" s="30" t="str"/>
      <x:c r="U287" s="30" t="str"/>
      <x:c r="V287" s="40" t="str">
        <x:f>IF(B287="","",COUNTA(H287:L287)/5)</x:f>
      </x:c>
    </x:row>
    <x:row r="288">
      <x:c r="A288" s="30" t="str">
        <x:f>IF(B288="","",B288&amp;"-"&amp;C288)</x:f>
      </x:c>
      <x:c r="B288" s="30" t="str">
        <x:f>'01_命例主档'!A21</x:f>
      </x:c>
      <x:c r="C288" s="30" t="str">
        <x:v>M14</x:v>
      </x:c>
      <x:c r="D288" s="30" t="str">
        <x:v>格局候选判断</x:v>
      </x:c>
      <x:c r="E288" s="30" t="str">
        <x:v>综合层</x:v>
      </x:c>
      <x:c r="F288" s="30" t="str">
        <x:v>M03/M06/M08/M09/M10/M11</x:v>
      </x:c>
      <x:c r="G288" s="30" t="str">
        <x:v>未开始</x:v>
      </x:c>
      <x:c r="H288" s="30" t="str"/>
      <x:c r="I288" s="30" t="str"/>
      <x:c r="J288" s="30" t="str"/>
      <x:c r="K288" s="30" t="str"/>
      <x:c r="L288" s="30" t="str"/>
      <x:c r="M288" s="30" t="str"/>
      <x:c r="N288" s="30" t="str"/>
      <x:c r="O288" s="30" t="str"/>
      <x:c r="P288" s="30" t="str"/>
      <x:c r="Q288" s="31" t="str"/>
      <x:c r="R288" s="31" t="str"/>
      <x:c r="S288" s="30" t="str"/>
      <x:c r="T288" s="30" t="str"/>
      <x:c r="U288" s="30" t="str"/>
      <x:c r="V288" s="40" t="str">
        <x:f>IF(B288="","",COUNTA(H288:L288)/5)</x:f>
      </x:c>
    </x:row>
    <x:row r="289">
      <x:c r="A289" s="30" t="str">
        <x:f>IF(B289="","",B289&amp;"-"&amp;C289)</x:f>
      </x:c>
      <x:c r="B289" s="30" t="str">
        <x:f>'01_命例主档'!A21</x:f>
      </x:c>
      <x:c r="C289" s="30" t="str">
        <x:v>M15</x:v>
      </x:c>
      <x:c r="D289" s="30" t="str">
        <x:v>格局成败救应</x:v>
      </x:c>
      <x:c r="E289" s="30" t="str">
        <x:v>综合层</x:v>
      </x:c>
      <x:c r="F289" s="30" t="str">
        <x:v>M14/M11/M08</x:v>
      </x:c>
      <x:c r="G289" s="30" t="str">
        <x:v>未开始</x:v>
      </x:c>
      <x:c r="H289" s="30" t="str"/>
      <x:c r="I289" s="30" t="str"/>
      <x:c r="J289" s="30" t="str"/>
      <x:c r="K289" s="30" t="str"/>
      <x:c r="L289" s="30" t="str"/>
      <x:c r="M289" s="30" t="str"/>
      <x:c r="N289" s="30" t="str"/>
      <x:c r="O289" s="30" t="str"/>
      <x:c r="P289" s="30" t="str"/>
      <x:c r="Q289" s="31" t="str"/>
      <x:c r="R289" s="31" t="str"/>
      <x:c r="S289" s="30" t="str"/>
      <x:c r="T289" s="30" t="str"/>
      <x:c r="U289" s="30" t="str"/>
      <x:c r="V289" s="40" t="str">
        <x:f>IF(B289="","",COUNTA(H289:L289)/5)</x:f>
      </x:c>
    </x:row>
    <x:row r="290">
      <x:c r="A290" s="30" t="str">
        <x:f>IF(B290="","",B290&amp;"-"&amp;C290)</x:f>
      </x:c>
      <x:c r="B290" s="30" t="str">
        <x:f>'01_命例主档'!A21</x:f>
      </x:c>
      <x:c r="C290" s="30" t="str">
        <x:v>M16</x:v>
      </x:c>
      <x:c r="D290" s="30" t="str">
        <x:v>病药模型</x:v>
      </x:c>
      <x:c r="E290" s="30" t="str">
        <x:v>综合层</x:v>
      </x:c>
      <x:c r="F290" s="30" t="str">
        <x:v>M08-M15</x:v>
      </x:c>
      <x:c r="G290" s="30" t="str">
        <x:v>未开始</x:v>
      </x:c>
      <x:c r="H290" s="30" t="str"/>
      <x:c r="I290" s="30" t="str"/>
      <x:c r="J290" s="30" t="str"/>
      <x:c r="K290" s="30" t="str"/>
      <x:c r="L290" s="30" t="str"/>
      <x:c r="M290" s="30" t="str"/>
      <x:c r="N290" s="30" t="str"/>
      <x:c r="O290" s="30" t="str"/>
      <x:c r="P290" s="30" t="str"/>
      <x:c r="Q290" s="31" t="str"/>
      <x:c r="R290" s="31" t="str"/>
      <x:c r="S290" s="30" t="str"/>
      <x:c r="T290" s="30" t="str"/>
      <x:c r="U290" s="30" t="str"/>
      <x:c r="V290" s="40" t="str">
        <x:f>IF(B290="","",COUNTA(H290:L290)/5)</x:f>
      </x:c>
    </x:row>
    <x:row r="291">
      <x:c r="A291" s="30" t="str">
        <x:f>IF(B291="","",B291&amp;"-"&amp;C291)</x:f>
      </x:c>
      <x:c r="B291" s="30" t="str">
        <x:f>'01_命例主档'!A21</x:f>
      </x:c>
      <x:c r="C291" s="30" t="str">
        <x:v>M17</x:v>
      </x:c>
      <x:c r="D291" s="30" t="str">
        <x:v>喜忌用神矩阵</x:v>
      </x:c>
      <x:c r="E291" s="30" t="str">
        <x:v>综合层</x:v>
      </x:c>
      <x:c r="F291" s="30" t="str">
        <x:v>M09/M12/M13/M15/M16</x:v>
      </x:c>
      <x:c r="G291" s="30" t="str">
        <x:v>未开始</x:v>
      </x:c>
      <x:c r="H291" s="30" t="str"/>
      <x:c r="I291" s="30" t="str"/>
      <x:c r="J291" s="30" t="str"/>
      <x:c r="K291" s="30" t="str"/>
      <x:c r="L291" s="30" t="str"/>
      <x:c r="M291" s="30" t="str"/>
      <x:c r="N291" s="30" t="str"/>
      <x:c r="O291" s="30" t="str"/>
      <x:c r="P291" s="30" t="str"/>
      <x:c r="Q291" s="31" t="str"/>
      <x:c r="R291" s="31" t="str"/>
      <x:c r="S291" s="30" t="str"/>
      <x:c r="T291" s="30" t="str"/>
      <x:c r="U291" s="30" t="str"/>
      <x:c r="V291" s="40" t="str">
        <x:f>IF(B291="","",COUNTA(H291:L291)/5)</x:f>
      </x:c>
    </x:row>
    <x:row r="292">
      <x:c r="A292" s="30" t="str">
        <x:f>IF(B292="","",B292&amp;"-"&amp;C292)</x:f>
      </x:c>
      <x:c r="B292" s="30" t="str">
        <x:f>'01_命例主档'!A21</x:f>
      </x:c>
      <x:c r="C292" s="30" t="str">
        <x:v>M18</x:v>
      </x:c>
      <x:c r="D292" s="30" t="str">
        <x:v>冲突裁决规则</x:v>
      </x:c>
      <x:c r="E292" s="30" t="str">
        <x:v>综合层</x:v>
      </x:c>
      <x:c r="F292" s="30" t="str">
        <x:v>M14/M15/M16/M17</x:v>
      </x:c>
      <x:c r="G292" s="30" t="str">
        <x:v>未开始</x:v>
      </x:c>
      <x:c r="H292" s="30" t="str"/>
      <x:c r="I292" s="30" t="str"/>
      <x:c r="J292" s="30" t="str"/>
      <x:c r="K292" s="30" t="str"/>
      <x:c r="L292" s="30" t="str"/>
      <x:c r="M292" s="30" t="str"/>
      <x:c r="N292" s="30" t="str"/>
      <x:c r="O292" s="30" t="str"/>
      <x:c r="P292" s="30" t="str"/>
      <x:c r="Q292" s="31" t="str"/>
      <x:c r="R292" s="31" t="str"/>
      <x:c r="S292" s="30" t="str"/>
      <x:c r="T292" s="30" t="str"/>
      <x:c r="U292" s="30" t="str"/>
      <x:c r="V292" s="40" t="str">
        <x:f>IF(B292="","",COUNTA(H292:L292)/5)</x:f>
      </x:c>
    </x:row>
    <x:row r="293">
      <x:c r="A293" s="30" t="str">
        <x:f>IF(B293="","",B293&amp;"-"&amp;C293)</x:f>
      </x:c>
      <x:c r="B293" s="30" t="str">
        <x:f>'01_命例主档'!A21</x:f>
      </x:c>
      <x:c r="C293" s="30" t="str">
        <x:v>M19</x:v>
      </x:c>
      <x:c r="D293" s="30" t="str">
        <x:v>综合输出模板</x:v>
      </x:c>
      <x:c r="E293" s="30" t="str">
        <x:v>治理与输出</x:v>
      </x:c>
      <x:c r="F293" s="30" t="str">
        <x:v>M02-M18</x:v>
      </x:c>
      <x:c r="G293" s="30" t="str">
        <x:v>未开始</x:v>
      </x:c>
      <x:c r="H293" s="30" t="str"/>
      <x:c r="I293" s="30" t="str"/>
      <x:c r="J293" s="30" t="str"/>
      <x:c r="K293" s="30" t="str"/>
      <x:c r="L293" s="30" t="str"/>
      <x:c r="M293" s="30" t="str"/>
      <x:c r="N293" s="30" t="str"/>
      <x:c r="O293" s="30" t="str"/>
      <x:c r="P293" s="30" t="str"/>
      <x:c r="Q293" s="31" t="str"/>
      <x:c r="R293" s="31" t="str"/>
      <x:c r="S293" s="30" t="str"/>
      <x:c r="T293" s="30" t="str"/>
      <x:c r="U293" s="30" t="str"/>
      <x:c r="V293" s="40" t="str">
        <x:f>IF(B293="","",COUNTA(H293:L293)/5)</x:f>
      </x:c>
    </x:row>
    <x:row r="294">
      <x:c r="A294" s="30" t="str">
        <x:f>IF(B294="","",B294&amp;"-"&amp;C294)</x:f>
      </x:c>
      <x:c r="B294" s="30" t="str">
        <x:f>'01_命例主档'!A22</x:f>
      </x:c>
      <x:c r="C294" s="30" t="str">
        <x:v>M02</x:v>
      </x:c>
      <x:c r="D294" s="30" t="str">
        <x:v>干支藏干基础</x:v>
      </x:c>
      <x:c r="E294" s="30" t="str">
        <x:v>识别层</x:v>
      </x:c>
      <x:c r="F294" s="30" t="str">
        <x:v>无</x:v>
      </x:c>
      <x:c r="G294" s="30" t="str">
        <x:v>未开始</x:v>
      </x:c>
      <x:c r="H294" s="30" t="str"/>
      <x:c r="I294" s="30" t="str"/>
      <x:c r="J294" s="30" t="str"/>
      <x:c r="K294" s="30" t="str"/>
      <x:c r="L294" s="30" t="str"/>
      <x:c r="M294" s="30" t="str"/>
      <x:c r="N294" s="30" t="str"/>
      <x:c r="O294" s="30" t="str"/>
      <x:c r="P294" s="30" t="str"/>
      <x:c r="Q294" s="31" t="str"/>
      <x:c r="R294" s="31" t="str"/>
      <x:c r="S294" s="30" t="str"/>
      <x:c r="T294" s="30" t="str"/>
      <x:c r="U294" s="30" t="str"/>
      <x:c r="V294" s="40" t="str">
        <x:f>IF(B294="","",COUNTA(H294:L294)/5)</x:f>
      </x:c>
    </x:row>
    <x:row r="295">
      <x:c r="A295" s="30" t="str">
        <x:f>IF(B295="","",B295&amp;"-"&amp;C295)</x:f>
      </x:c>
      <x:c r="B295" s="30" t="str">
        <x:f>'01_命例主档'!A22</x:f>
      </x:c>
      <x:c r="C295" s="30" t="str">
        <x:v>M03</x:v>
      </x:c>
      <x:c r="D295" s="30" t="str">
        <x:v>月令与根气</x:v>
      </x:c>
      <x:c r="E295" s="30" t="str">
        <x:v>结构层</x:v>
      </x:c>
      <x:c r="F295" s="30" t="str">
        <x:v>M02</x:v>
      </x:c>
      <x:c r="G295" s="30" t="str">
        <x:v>未开始</x:v>
      </x:c>
      <x:c r="H295" s="30" t="str"/>
      <x:c r="I295" s="30" t="str"/>
      <x:c r="J295" s="30" t="str"/>
      <x:c r="K295" s="30" t="str"/>
      <x:c r="L295" s="30" t="str"/>
      <x:c r="M295" s="30" t="str"/>
      <x:c r="N295" s="30" t="str"/>
      <x:c r="O295" s="30" t="str"/>
      <x:c r="P295" s="30" t="str"/>
      <x:c r="Q295" s="31" t="str"/>
      <x:c r="R295" s="31" t="str"/>
      <x:c r="S295" s="30" t="str"/>
      <x:c r="T295" s="30" t="str"/>
      <x:c r="U295" s="30" t="str"/>
      <x:c r="V295" s="40" t="str">
        <x:f>IF(B295="","",COUNTA(H295:L295)/5)</x:f>
      </x:c>
    </x:row>
    <x:row r="296">
      <x:c r="A296" s="30" t="str">
        <x:f>IF(B296="","",B296&amp;"-"&amp;C296)</x:f>
      </x:c>
      <x:c r="B296" s="30" t="str">
        <x:f>'01_命例主档'!A22</x:f>
      </x:c>
      <x:c r="C296" s="30" t="str">
        <x:v>M04</x:v>
      </x:c>
      <x:c r="D296" s="30" t="str">
        <x:v>天干作用识别</x:v>
      </x:c>
      <x:c r="E296" s="30" t="str">
        <x:v>识别层</x:v>
      </x:c>
      <x:c r="F296" s="30" t="str">
        <x:v>M02</x:v>
      </x:c>
      <x:c r="G296" s="30" t="str">
        <x:v>未开始</x:v>
      </x:c>
      <x:c r="H296" s="30" t="str"/>
      <x:c r="I296" s="30" t="str"/>
      <x:c r="J296" s="30" t="str"/>
      <x:c r="K296" s="30" t="str"/>
      <x:c r="L296" s="30" t="str"/>
      <x:c r="M296" s="30" t="str"/>
      <x:c r="N296" s="30" t="str"/>
      <x:c r="O296" s="30" t="str"/>
      <x:c r="P296" s="30" t="str"/>
      <x:c r="Q296" s="31" t="str"/>
      <x:c r="R296" s="31" t="str"/>
      <x:c r="S296" s="30" t="str"/>
      <x:c r="T296" s="30" t="str"/>
      <x:c r="U296" s="30" t="str"/>
      <x:c r="V296" s="40" t="str">
        <x:f>IF(B296="","",COUNTA(H296:L296)/5)</x:f>
      </x:c>
    </x:row>
    <x:row r="297">
      <x:c r="A297" s="30" t="str">
        <x:f>IF(B297="","",B297&amp;"-"&amp;C297)</x:f>
      </x:c>
      <x:c r="B297" s="30" t="str">
        <x:f>'01_命例主档'!A22</x:f>
      </x:c>
      <x:c r="C297" s="30" t="str">
        <x:v>M05</x:v>
      </x:c>
      <x:c r="D297" s="30" t="str">
        <x:v>地支关系识别</x:v>
      </x:c>
      <x:c r="E297" s="30" t="str">
        <x:v>识别层</x:v>
      </x:c>
      <x:c r="F297" s="30" t="str">
        <x:v>M02</x:v>
      </x:c>
      <x:c r="G297" s="30" t="str">
        <x:v>未开始</x:v>
      </x:c>
      <x:c r="H297" s="30" t="str"/>
      <x:c r="I297" s="30" t="str"/>
      <x:c r="J297" s="30" t="str"/>
      <x:c r="K297" s="30" t="str"/>
      <x:c r="L297" s="30" t="str"/>
      <x:c r="M297" s="30" t="str"/>
      <x:c r="N297" s="30" t="str"/>
      <x:c r="O297" s="30" t="str"/>
      <x:c r="P297" s="30" t="str"/>
      <x:c r="Q297" s="31" t="str"/>
      <x:c r="R297" s="31" t="str"/>
      <x:c r="S297" s="30" t="str"/>
      <x:c r="T297" s="30" t="str"/>
      <x:c r="U297" s="30" t="str"/>
      <x:c r="V297" s="40" t="str">
        <x:f>IF(B297="","",COUNTA(H297:L297)/5)</x:f>
      </x:c>
    </x:row>
    <x:row r="298">
      <x:c r="A298" s="30" t="str">
        <x:f>IF(B298="","",B298&amp;"-"&amp;C298)</x:f>
      </x:c>
      <x:c r="B298" s="30" t="str">
        <x:f>'01_命例主档'!A22</x:f>
      </x:c>
      <x:c r="C298" s="30" t="str">
        <x:v>M06</x:v>
      </x:c>
      <x:c r="D298" s="30" t="str">
        <x:v>干支关系效应</x:v>
      </x:c>
      <x:c r="E298" s="30" t="str">
        <x:v>效应层</x:v>
      </x:c>
      <x:c r="F298" s="30" t="str">
        <x:v>M03/M04/M05</x:v>
      </x:c>
      <x:c r="G298" s="30" t="str">
        <x:v>未开始</x:v>
      </x:c>
      <x:c r="H298" s="30" t="str"/>
      <x:c r="I298" s="30" t="str"/>
      <x:c r="J298" s="30" t="str"/>
      <x:c r="K298" s="30" t="str"/>
      <x:c r="L298" s="30" t="str"/>
      <x:c r="M298" s="30" t="str"/>
      <x:c r="N298" s="30" t="str"/>
      <x:c r="O298" s="30" t="str"/>
      <x:c r="P298" s="30" t="str"/>
      <x:c r="Q298" s="31" t="str"/>
      <x:c r="R298" s="31" t="str"/>
      <x:c r="S298" s="30" t="str"/>
      <x:c r="T298" s="30" t="str"/>
      <x:c r="U298" s="30" t="str"/>
      <x:c r="V298" s="40" t="str">
        <x:f>IF(B298="","",COUNTA(H298:L298)/5)</x:f>
      </x:c>
    </x:row>
    <x:row r="299">
      <x:c r="A299" s="30" t="str">
        <x:f>IF(B299="","",B299&amp;"-"&amp;C299)</x:f>
      </x:c>
      <x:c r="B299" s="30" t="str">
        <x:f>'01_命例主档'!A22</x:f>
      </x:c>
      <x:c r="C299" s="30" t="str">
        <x:v>M07</x:v>
      </x:c>
      <x:c r="D299" s="30" t="str">
        <x:v>五行原始旺衰</x:v>
      </x:c>
      <x:c r="E299" s="30" t="str">
        <x:v>结构层</x:v>
      </x:c>
      <x:c r="F299" s="30" t="str">
        <x:v>M02/M03</x:v>
      </x:c>
      <x:c r="G299" s="30" t="str">
        <x:v>未开始</x:v>
      </x:c>
      <x:c r="H299" s="30" t="str"/>
      <x:c r="I299" s="30" t="str"/>
      <x:c r="J299" s="30" t="str"/>
      <x:c r="K299" s="30" t="str"/>
      <x:c r="L299" s="30" t="str"/>
      <x:c r="M299" s="30" t="str"/>
      <x:c r="N299" s="30" t="str"/>
      <x:c r="O299" s="30" t="str"/>
      <x:c r="P299" s="30" t="str"/>
      <x:c r="Q299" s="31" t="str"/>
      <x:c r="R299" s="31" t="str"/>
      <x:c r="S299" s="30" t="str"/>
      <x:c r="T299" s="30" t="str"/>
      <x:c r="U299" s="30" t="str"/>
      <x:c r="V299" s="40" t="str">
        <x:f>IF(B299="","",COUNTA(H299:L299)/5)</x:f>
      </x:c>
    </x:row>
    <x:row r="300">
      <x:c r="A300" s="30" t="str">
        <x:f>IF(B300="","",B300&amp;"-"&amp;C300)</x:f>
      </x:c>
      <x:c r="B300" s="30" t="str">
        <x:f>'01_命例主档'!A22</x:f>
      </x:c>
      <x:c r="C300" s="30" t="str">
        <x:v>M08</x:v>
      </x:c>
      <x:c r="D300" s="30" t="str">
        <x:v>五行有效旺衰</x:v>
      </x:c>
      <x:c r="E300" s="30" t="str">
        <x:v>结构层</x:v>
      </x:c>
      <x:c r="F300" s="30" t="str">
        <x:v>M06/M07</x:v>
      </x:c>
      <x:c r="G300" s="30" t="str">
        <x:v>未开始</x:v>
      </x:c>
      <x:c r="H300" s="30" t="str"/>
      <x:c r="I300" s="30" t="str"/>
      <x:c r="J300" s="30" t="str"/>
      <x:c r="K300" s="30" t="str"/>
      <x:c r="L300" s="30" t="str"/>
      <x:c r="M300" s="30" t="str"/>
      <x:c r="N300" s="30" t="str"/>
      <x:c r="O300" s="30" t="str"/>
      <x:c r="P300" s="30" t="str"/>
      <x:c r="Q300" s="31" t="str"/>
      <x:c r="R300" s="31" t="str"/>
      <x:c r="S300" s="30" t="str"/>
      <x:c r="T300" s="30" t="str"/>
      <x:c r="U300" s="30" t="str"/>
      <x:c r="V300" s="40" t="str">
        <x:f>IF(B300="","",COUNTA(H300:L300)/5)</x:f>
      </x:c>
    </x:row>
    <x:row r="301">
      <x:c r="A301" s="30" t="str">
        <x:f>IF(B301="","",B301&amp;"-"&amp;C301)</x:f>
      </x:c>
      <x:c r="B301" s="30" t="str">
        <x:f>'01_命例主档'!A22</x:f>
      </x:c>
      <x:c r="C301" s="30" t="str">
        <x:v>M09</x:v>
      </x:c>
      <x:c r="D301" s="30" t="str">
        <x:v>日主旺衰</x:v>
      </x:c>
      <x:c r="E301" s="30" t="str">
        <x:v>综合层</x:v>
      </x:c>
      <x:c r="F301" s="30" t="str">
        <x:v>M03/M07/M08</x:v>
      </x:c>
      <x:c r="G301" s="30" t="str">
        <x:v>未开始</x:v>
      </x:c>
      <x:c r="H301" s="30" t="str"/>
      <x:c r="I301" s="30" t="str"/>
      <x:c r="J301" s="30" t="str"/>
      <x:c r="K301" s="30" t="str"/>
      <x:c r="L301" s="30" t="str"/>
      <x:c r="M301" s="30" t="str"/>
      <x:c r="N301" s="30" t="str"/>
      <x:c r="O301" s="30" t="str"/>
      <x:c r="P301" s="30" t="str"/>
      <x:c r="Q301" s="31" t="str"/>
      <x:c r="R301" s="31" t="str"/>
      <x:c r="S301" s="30" t="str"/>
      <x:c r="T301" s="30" t="str"/>
      <x:c r="U301" s="30" t="str"/>
      <x:c r="V301" s="40" t="str">
        <x:f>IF(B301="","",COUNTA(H301:L301)/5)</x:f>
      </x:c>
    </x:row>
    <x:row r="302">
      <x:c r="A302" s="30" t="str">
        <x:f>IF(B302="","",B302&amp;"-"&amp;C302)</x:f>
      </x:c>
      <x:c r="B302" s="30" t="str">
        <x:f>'01_命例主档'!A22</x:f>
      </x:c>
      <x:c r="C302" s="30" t="str">
        <x:v>M10</x:v>
      </x:c>
      <x:c r="D302" s="30" t="str">
        <x:v>十神旺衰功能</x:v>
      </x:c>
      <x:c r="E302" s="30" t="str">
        <x:v>结构层</x:v>
      </x:c>
      <x:c r="F302" s="30" t="str">
        <x:v>M02/M08/M09</x:v>
      </x:c>
      <x:c r="G302" s="30" t="str">
        <x:v>未开始</x:v>
      </x:c>
      <x:c r="H302" s="30" t="str"/>
      <x:c r="I302" s="30" t="str"/>
      <x:c r="J302" s="30" t="str"/>
      <x:c r="K302" s="30" t="str"/>
      <x:c r="L302" s="30" t="str"/>
      <x:c r="M302" s="30" t="str"/>
      <x:c r="N302" s="30" t="str"/>
      <x:c r="O302" s="30" t="str"/>
      <x:c r="P302" s="30" t="str"/>
      <x:c r="Q302" s="31" t="str"/>
      <x:c r="R302" s="31" t="str"/>
      <x:c r="S302" s="30" t="str"/>
      <x:c r="T302" s="30" t="str"/>
      <x:c r="U302" s="30" t="str"/>
      <x:c r="V302" s="40" t="str">
        <x:f>IF(B302="","",COUNTA(H302:L302)/5)</x:f>
      </x:c>
    </x:row>
    <x:row r="303">
      <x:c r="A303" s="30" t="str">
        <x:f>IF(B303="","",B303&amp;"-"&amp;C303)</x:f>
      </x:c>
      <x:c r="B303" s="30" t="str">
        <x:f>'01_命例主档'!A22</x:f>
      </x:c>
      <x:c r="C303" s="30" t="str">
        <x:v>M11</x:v>
      </x:c>
      <x:c r="D303" s="30" t="str">
        <x:v>十神组合成立</x:v>
      </x:c>
      <x:c r="E303" s="30" t="str">
        <x:v>结构层</x:v>
      </x:c>
      <x:c r="F303" s="30" t="str">
        <x:v>M08/M09/M10</x:v>
      </x:c>
      <x:c r="G303" s="30" t="str">
        <x:v>未开始</x:v>
      </x:c>
      <x:c r="H303" s="30" t="str"/>
      <x:c r="I303" s="30" t="str"/>
      <x:c r="J303" s="30" t="str"/>
      <x:c r="K303" s="30" t="str"/>
      <x:c r="L303" s="30" t="str"/>
      <x:c r="M303" s="30" t="str"/>
      <x:c r="N303" s="30" t="str"/>
      <x:c r="O303" s="30" t="str"/>
      <x:c r="P303" s="30" t="str"/>
      <x:c r="Q303" s="31" t="str"/>
      <x:c r="R303" s="31" t="str"/>
      <x:c r="S303" s="30" t="str"/>
      <x:c r="T303" s="30" t="str"/>
      <x:c r="U303" s="30" t="str"/>
      <x:c r="V303" s="40" t="str">
        <x:f>IF(B303="","",COUNTA(H303:L303)/5)</x:f>
      </x:c>
    </x:row>
    <x:row r="304">
      <x:c r="A304" s="30" t="str">
        <x:f>IF(B304="","",B304&amp;"-"&amp;C304)</x:f>
      </x:c>
      <x:c r="B304" s="30" t="str">
        <x:f>'01_命例主档'!A22</x:f>
      </x:c>
      <x:c r="C304" s="30" t="str">
        <x:v>M12</x:v>
      </x:c>
      <x:c r="D304" s="30" t="str">
        <x:v>五行流通卡点</x:v>
      </x:c>
      <x:c r="E304" s="30" t="str">
        <x:v>结构层</x:v>
      </x:c>
      <x:c r="F304" s="30" t="str">
        <x:v>M06/M08/M10/M11</x:v>
      </x:c>
      <x:c r="G304" s="30" t="str">
        <x:v>未开始</x:v>
      </x:c>
      <x:c r="H304" s="30" t="str"/>
      <x:c r="I304" s="30" t="str"/>
      <x:c r="J304" s="30" t="str"/>
      <x:c r="K304" s="30" t="str"/>
      <x:c r="L304" s="30" t="str"/>
      <x:c r="M304" s="30" t="str"/>
      <x:c r="N304" s="30" t="str"/>
      <x:c r="O304" s="30" t="str"/>
      <x:c r="P304" s="30" t="str"/>
      <x:c r="Q304" s="31" t="str"/>
      <x:c r="R304" s="31" t="str"/>
      <x:c r="S304" s="30" t="str"/>
      <x:c r="T304" s="30" t="str"/>
      <x:c r="U304" s="30" t="str"/>
      <x:c r="V304" s="40" t="str">
        <x:f>IF(B304="","",COUNTA(H304:L304)/5)</x:f>
      </x:c>
    </x:row>
    <x:row r="305">
      <x:c r="A305" s="30" t="str">
        <x:f>IF(B305="","",B305&amp;"-"&amp;C305)</x:f>
      </x:c>
      <x:c r="B305" s="30" t="str">
        <x:f>'01_命例主档'!A22</x:f>
      </x:c>
      <x:c r="C305" s="30" t="str">
        <x:v>M13</x:v>
      </x:c>
      <x:c r="D305" s="30" t="str">
        <x:v>寒暖燥湿</x:v>
      </x:c>
      <x:c r="E305" s="30" t="str">
        <x:v>结构层</x:v>
      </x:c>
      <x:c r="F305" s="30" t="str">
        <x:v>M02/M08/M12</x:v>
      </x:c>
      <x:c r="G305" s="30" t="str">
        <x:v>未开始</x:v>
      </x:c>
      <x:c r="H305" s="30" t="str"/>
      <x:c r="I305" s="30" t="str"/>
      <x:c r="J305" s="30" t="str"/>
      <x:c r="K305" s="30" t="str"/>
      <x:c r="L305" s="30" t="str"/>
      <x:c r="M305" s="30" t="str"/>
      <x:c r="N305" s="30" t="str"/>
      <x:c r="O305" s="30" t="str"/>
      <x:c r="P305" s="30" t="str"/>
      <x:c r="Q305" s="31" t="str"/>
      <x:c r="R305" s="31" t="str"/>
      <x:c r="S305" s="30" t="str"/>
      <x:c r="T305" s="30" t="str"/>
      <x:c r="U305" s="30" t="str"/>
      <x:c r="V305" s="40" t="str">
        <x:f>IF(B305="","",COUNTA(H305:L305)/5)</x:f>
      </x:c>
    </x:row>
    <x:row r="306">
      <x:c r="A306" s="30" t="str">
        <x:f>IF(B306="","",B306&amp;"-"&amp;C306)</x:f>
      </x:c>
      <x:c r="B306" s="30" t="str">
        <x:f>'01_命例主档'!A22</x:f>
      </x:c>
      <x:c r="C306" s="30" t="str">
        <x:v>M14</x:v>
      </x:c>
      <x:c r="D306" s="30" t="str">
        <x:v>格局候选判断</x:v>
      </x:c>
      <x:c r="E306" s="30" t="str">
        <x:v>综合层</x:v>
      </x:c>
      <x:c r="F306" s="30" t="str">
        <x:v>M03/M06/M08/M09/M10/M11</x:v>
      </x:c>
      <x:c r="G306" s="30" t="str">
        <x:v>未开始</x:v>
      </x:c>
      <x:c r="H306" s="30" t="str"/>
      <x:c r="I306" s="30" t="str"/>
      <x:c r="J306" s="30" t="str"/>
      <x:c r="K306" s="30" t="str"/>
      <x:c r="L306" s="30" t="str"/>
      <x:c r="M306" s="30" t="str"/>
      <x:c r="N306" s="30" t="str"/>
      <x:c r="O306" s="30" t="str"/>
      <x:c r="P306" s="30" t="str"/>
      <x:c r="Q306" s="31" t="str"/>
      <x:c r="R306" s="31" t="str"/>
      <x:c r="S306" s="30" t="str"/>
      <x:c r="T306" s="30" t="str"/>
      <x:c r="U306" s="30" t="str"/>
      <x:c r="V306" s="40" t="str">
        <x:f>IF(B306="","",COUNTA(H306:L306)/5)</x:f>
      </x:c>
    </x:row>
    <x:row r="307">
      <x:c r="A307" s="30" t="str">
        <x:f>IF(B307="","",B307&amp;"-"&amp;C307)</x:f>
      </x:c>
      <x:c r="B307" s="30" t="str">
        <x:f>'01_命例主档'!A22</x:f>
      </x:c>
      <x:c r="C307" s="30" t="str">
        <x:v>M15</x:v>
      </x:c>
      <x:c r="D307" s="30" t="str">
        <x:v>格局成败救应</x:v>
      </x:c>
      <x:c r="E307" s="30" t="str">
        <x:v>综合层</x:v>
      </x:c>
      <x:c r="F307" s="30" t="str">
        <x:v>M14/M11/M08</x:v>
      </x:c>
      <x:c r="G307" s="30" t="str">
        <x:v>未开始</x:v>
      </x:c>
      <x:c r="H307" s="30" t="str"/>
      <x:c r="I307" s="30" t="str"/>
      <x:c r="J307" s="30" t="str"/>
      <x:c r="K307" s="30" t="str"/>
      <x:c r="L307" s="30" t="str"/>
      <x:c r="M307" s="30" t="str"/>
      <x:c r="N307" s="30" t="str"/>
      <x:c r="O307" s="30" t="str"/>
      <x:c r="P307" s="30" t="str"/>
      <x:c r="Q307" s="31" t="str"/>
      <x:c r="R307" s="31" t="str"/>
      <x:c r="S307" s="30" t="str"/>
      <x:c r="T307" s="30" t="str"/>
      <x:c r="U307" s="30" t="str"/>
      <x:c r="V307" s="40" t="str">
        <x:f>IF(B307="","",COUNTA(H307:L307)/5)</x:f>
      </x:c>
    </x:row>
    <x:row r="308">
      <x:c r="A308" s="30" t="str">
        <x:f>IF(B308="","",B308&amp;"-"&amp;C308)</x:f>
      </x:c>
      <x:c r="B308" s="30" t="str">
        <x:f>'01_命例主档'!A22</x:f>
      </x:c>
      <x:c r="C308" s="30" t="str">
        <x:v>M16</x:v>
      </x:c>
      <x:c r="D308" s="30" t="str">
        <x:v>病药模型</x:v>
      </x:c>
      <x:c r="E308" s="30" t="str">
        <x:v>综合层</x:v>
      </x:c>
      <x:c r="F308" s="30" t="str">
        <x:v>M08-M15</x:v>
      </x:c>
      <x:c r="G308" s="30" t="str">
        <x:v>未开始</x:v>
      </x:c>
      <x:c r="H308" s="30" t="str"/>
      <x:c r="I308" s="30" t="str"/>
      <x:c r="J308" s="30" t="str"/>
      <x:c r="K308" s="30" t="str"/>
      <x:c r="L308" s="30" t="str"/>
      <x:c r="M308" s="30" t="str"/>
      <x:c r="N308" s="30" t="str"/>
      <x:c r="O308" s="30" t="str"/>
      <x:c r="P308" s="30" t="str"/>
      <x:c r="Q308" s="31" t="str"/>
      <x:c r="R308" s="31" t="str"/>
      <x:c r="S308" s="30" t="str"/>
      <x:c r="T308" s="30" t="str"/>
      <x:c r="U308" s="30" t="str"/>
      <x:c r="V308" s="40" t="str">
        <x:f>IF(B308="","",COUNTA(H308:L308)/5)</x:f>
      </x:c>
    </x:row>
    <x:row r="309">
      <x:c r="A309" s="30" t="str">
        <x:f>IF(B309="","",B309&amp;"-"&amp;C309)</x:f>
      </x:c>
      <x:c r="B309" s="30" t="str">
        <x:f>'01_命例主档'!A22</x:f>
      </x:c>
      <x:c r="C309" s="30" t="str">
        <x:v>M17</x:v>
      </x:c>
      <x:c r="D309" s="30" t="str">
        <x:v>喜忌用神矩阵</x:v>
      </x:c>
      <x:c r="E309" s="30" t="str">
        <x:v>综合层</x:v>
      </x:c>
      <x:c r="F309" s="30" t="str">
        <x:v>M09/M12/M13/M15/M16</x:v>
      </x:c>
      <x:c r="G309" s="30" t="str">
        <x:v>未开始</x:v>
      </x:c>
      <x:c r="H309" s="30" t="str"/>
      <x:c r="I309" s="30" t="str"/>
      <x:c r="J309" s="30" t="str"/>
      <x:c r="K309" s="30" t="str"/>
      <x:c r="L309" s="30" t="str"/>
      <x:c r="M309" s="30" t="str"/>
      <x:c r="N309" s="30" t="str"/>
      <x:c r="O309" s="30" t="str"/>
      <x:c r="P309" s="30" t="str"/>
      <x:c r="Q309" s="31" t="str"/>
      <x:c r="R309" s="31" t="str"/>
      <x:c r="S309" s="30" t="str"/>
      <x:c r="T309" s="30" t="str"/>
      <x:c r="U309" s="30" t="str"/>
      <x:c r="V309" s="40" t="str">
        <x:f>IF(B309="","",COUNTA(H309:L309)/5)</x:f>
      </x:c>
    </x:row>
    <x:row r="310">
      <x:c r="A310" s="30" t="str">
        <x:f>IF(B310="","",B310&amp;"-"&amp;C310)</x:f>
      </x:c>
      <x:c r="B310" s="30" t="str">
        <x:f>'01_命例主档'!A22</x:f>
      </x:c>
      <x:c r="C310" s="30" t="str">
        <x:v>M18</x:v>
      </x:c>
      <x:c r="D310" s="30" t="str">
        <x:v>冲突裁决规则</x:v>
      </x:c>
      <x:c r="E310" s="30" t="str">
        <x:v>综合层</x:v>
      </x:c>
      <x:c r="F310" s="30" t="str">
        <x:v>M14/M15/M16/M17</x:v>
      </x:c>
      <x:c r="G310" s="30" t="str">
        <x:v>未开始</x:v>
      </x:c>
      <x:c r="H310" s="30" t="str"/>
      <x:c r="I310" s="30" t="str"/>
      <x:c r="J310" s="30" t="str"/>
      <x:c r="K310" s="30" t="str"/>
      <x:c r="L310" s="30" t="str"/>
      <x:c r="M310" s="30" t="str"/>
      <x:c r="N310" s="30" t="str"/>
      <x:c r="O310" s="30" t="str"/>
      <x:c r="P310" s="30" t="str"/>
      <x:c r="Q310" s="31" t="str"/>
      <x:c r="R310" s="31" t="str"/>
      <x:c r="S310" s="30" t="str"/>
      <x:c r="T310" s="30" t="str"/>
      <x:c r="U310" s="30" t="str"/>
      <x:c r="V310" s="40" t="str">
        <x:f>IF(B310="","",COUNTA(H310:L310)/5)</x:f>
      </x:c>
    </x:row>
    <x:row r="311">
      <x:c r="A311" s="30" t="str">
        <x:f>IF(B311="","",B311&amp;"-"&amp;C311)</x:f>
      </x:c>
      <x:c r="B311" s="30" t="str">
        <x:f>'01_命例主档'!A22</x:f>
      </x:c>
      <x:c r="C311" s="30" t="str">
        <x:v>M19</x:v>
      </x:c>
      <x:c r="D311" s="30" t="str">
        <x:v>综合输出模板</x:v>
      </x:c>
      <x:c r="E311" s="30" t="str">
        <x:v>治理与输出</x:v>
      </x:c>
      <x:c r="F311" s="30" t="str">
        <x:v>M02-M18</x:v>
      </x:c>
      <x:c r="G311" s="30" t="str">
        <x:v>未开始</x:v>
      </x:c>
      <x:c r="H311" s="30" t="str"/>
      <x:c r="I311" s="30" t="str"/>
      <x:c r="J311" s="30" t="str"/>
      <x:c r="K311" s="30" t="str"/>
      <x:c r="L311" s="30" t="str"/>
      <x:c r="M311" s="30" t="str"/>
      <x:c r="N311" s="30" t="str"/>
      <x:c r="O311" s="30" t="str"/>
      <x:c r="P311" s="30" t="str"/>
      <x:c r="Q311" s="31" t="str"/>
      <x:c r="R311" s="31" t="str"/>
      <x:c r="S311" s="30" t="str"/>
      <x:c r="T311" s="30" t="str"/>
      <x:c r="U311" s="30" t="str"/>
      <x:c r="V311" s="40" t="str">
        <x:f>IF(B311="","",COUNTA(H311:L311)/5)</x:f>
      </x:c>
    </x:row>
    <x:row r="312">
      <x:c r="A312" s="30" t="str">
        <x:f>IF(B312="","",B312&amp;"-"&amp;C312)</x:f>
      </x:c>
      <x:c r="B312" s="30" t="str">
        <x:f>'01_命例主档'!A23</x:f>
      </x:c>
      <x:c r="C312" s="30" t="str">
        <x:v>M02</x:v>
      </x:c>
      <x:c r="D312" s="30" t="str">
        <x:v>干支藏干基础</x:v>
      </x:c>
      <x:c r="E312" s="30" t="str">
        <x:v>识别层</x:v>
      </x:c>
      <x:c r="F312" s="30" t="str">
        <x:v>无</x:v>
      </x:c>
      <x:c r="G312" s="30" t="str">
        <x:v>未开始</x:v>
      </x:c>
      <x:c r="H312" s="30" t="str"/>
      <x:c r="I312" s="30" t="str"/>
      <x:c r="J312" s="30" t="str"/>
      <x:c r="K312" s="30" t="str"/>
      <x:c r="L312" s="30" t="str"/>
      <x:c r="M312" s="30" t="str"/>
      <x:c r="N312" s="30" t="str"/>
      <x:c r="O312" s="30" t="str"/>
      <x:c r="P312" s="30" t="str"/>
      <x:c r="Q312" s="31" t="str"/>
      <x:c r="R312" s="31" t="str"/>
      <x:c r="S312" s="30" t="str"/>
      <x:c r="T312" s="30" t="str"/>
      <x:c r="U312" s="30" t="str"/>
      <x:c r="V312" s="40" t="str">
        <x:f>IF(B312="","",COUNTA(H312:L312)/5)</x:f>
      </x:c>
    </x:row>
    <x:row r="313">
      <x:c r="A313" s="30" t="str">
        <x:f>IF(B313="","",B313&amp;"-"&amp;C313)</x:f>
      </x:c>
      <x:c r="B313" s="30" t="str">
        <x:f>'01_命例主档'!A23</x:f>
      </x:c>
      <x:c r="C313" s="30" t="str">
        <x:v>M03</x:v>
      </x:c>
      <x:c r="D313" s="30" t="str">
        <x:v>月令与根气</x:v>
      </x:c>
      <x:c r="E313" s="30" t="str">
        <x:v>结构层</x:v>
      </x:c>
      <x:c r="F313" s="30" t="str">
        <x:v>M02</x:v>
      </x:c>
      <x:c r="G313" s="30" t="str">
        <x:v>未开始</x:v>
      </x:c>
      <x:c r="H313" s="30" t="str"/>
      <x:c r="I313" s="30" t="str"/>
      <x:c r="J313" s="30" t="str"/>
      <x:c r="K313" s="30" t="str"/>
      <x:c r="L313" s="30" t="str"/>
      <x:c r="M313" s="30" t="str"/>
      <x:c r="N313" s="30" t="str"/>
      <x:c r="O313" s="30" t="str"/>
      <x:c r="P313" s="30" t="str"/>
      <x:c r="Q313" s="31" t="str"/>
      <x:c r="R313" s="31" t="str"/>
      <x:c r="S313" s="30" t="str"/>
      <x:c r="T313" s="30" t="str"/>
      <x:c r="U313" s="30" t="str"/>
      <x:c r="V313" s="40" t="str">
        <x:f>IF(B313="","",COUNTA(H313:L313)/5)</x:f>
      </x:c>
    </x:row>
    <x:row r="314">
      <x:c r="A314" s="30" t="str">
        <x:f>IF(B314="","",B314&amp;"-"&amp;C314)</x:f>
      </x:c>
      <x:c r="B314" s="30" t="str">
        <x:f>'01_命例主档'!A23</x:f>
      </x:c>
      <x:c r="C314" s="30" t="str">
        <x:v>M04</x:v>
      </x:c>
      <x:c r="D314" s="30" t="str">
        <x:v>天干作用识别</x:v>
      </x:c>
      <x:c r="E314" s="30" t="str">
        <x:v>识别层</x:v>
      </x:c>
      <x:c r="F314" s="30" t="str">
        <x:v>M02</x:v>
      </x:c>
      <x:c r="G314" s="30" t="str">
        <x:v>未开始</x:v>
      </x:c>
      <x:c r="H314" s="30" t="str"/>
      <x:c r="I314" s="30" t="str"/>
      <x:c r="J314" s="30" t="str"/>
      <x:c r="K314" s="30" t="str"/>
      <x:c r="L314" s="30" t="str"/>
      <x:c r="M314" s="30" t="str"/>
      <x:c r="N314" s="30" t="str"/>
      <x:c r="O314" s="30" t="str"/>
      <x:c r="P314" s="30" t="str"/>
      <x:c r="Q314" s="31" t="str"/>
      <x:c r="R314" s="31" t="str"/>
      <x:c r="S314" s="30" t="str"/>
      <x:c r="T314" s="30" t="str"/>
      <x:c r="U314" s="30" t="str"/>
      <x:c r="V314" s="40" t="str">
        <x:f>IF(B314="","",COUNTA(H314:L314)/5)</x:f>
      </x:c>
    </x:row>
    <x:row r="315">
      <x:c r="A315" s="30" t="str">
        <x:f>IF(B315="","",B315&amp;"-"&amp;C315)</x:f>
      </x:c>
      <x:c r="B315" s="30" t="str">
        <x:f>'01_命例主档'!A23</x:f>
      </x:c>
      <x:c r="C315" s="30" t="str">
        <x:v>M05</x:v>
      </x:c>
      <x:c r="D315" s="30" t="str">
        <x:v>地支关系识别</x:v>
      </x:c>
      <x:c r="E315" s="30" t="str">
        <x:v>识别层</x:v>
      </x:c>
      <x:c r="F315" s="30" t="str">
        <x:v>M02</x:v>
      </x:c>
      <x:c r="G315" s="30" t="str">
        <x:v>未开始</x:v>
      </x:c>
      <x:c r="H315" s="30" t="str"/>
      <x:c r="I315" s="30" t="str"/>
      <x:c r="J315" s="30" t="str"/>
      <x:c r="K315" s="30" t="str"/>
      <x:c r="L315" s="30" t="str"/>
      <x:c r="M315" s="30" t="str"/>
      <x:c r="N315" s="30" t="str"/>
      <x:c r="O315" s="30" t="str"/>
      <x:c r="P315" s="30" t="str"/>
      <x:c r="Q315" s="31" t="str"/>
      <x:c r="R315" s="31" t="str"/>
      <x:c r="S315" s="30" t="str"/>
      <x:c r="T315" s="30" t="str"/>
      <x:c r="U315" s="30" t="str"/>
      <x:c r="V315" s="40" t="str">
        <x:f>IF(B315="","",COUNTA(H315:L315)/5)</x:f>
      </x:c>
    </x:row>
    <x:row r="316">
      <x:c r="A316" s="30" t="str">
        <x:f>IF(B316="","",B316&amp;"-"&amp;C316)</x:f>
      </x:c>
      <x:c r="B316" s="30" t="str">
        <x:f>'01_命例主档'!A23</x:f>
      </x:c>
      <x:c r="C316" s="30" t="str">
        <x:v>M06</x:v>
      </x:c>
      <x:c r="D316" s="30" t="str">
        <x:v>干支关系效应</x:v>
      </x:c>
      <x:c r="E316" s="30" t="str">
        <x:v>效应层</x:v>
      </x:c>
      <x:c r="F316" s="30" t="str">
        <x:v>M03/M04/M05</x:v>
      </x:c>
      <x:c r="G316" s="30" t="str">
        <x:v>未开始</x:v>
      </x:c>
      <x:c r="H316" s="30" t="str"/>
      <x:c r="I316" s="30" t="str"/>
      <x:c r="J316" s="30" t="str"/>
      <x:c r="K316" s="30" t="str"/>
      <x:c r="L316" s="30" t="str"/>
      <x:c r="M316" s="30" t="str"/>
      <x:c r="N316" s="30" t="str"/>
      <x:c r="O316" s="30" t="str"/>
      <x:c r="P316" s="30" t="str"/>
      <x:c r="Q316" s="31" t="str"/>
      <x:c r="R316" s="31" t="str"/>
      <x:c r="S316" s="30" t="str"/>
      <x:c r="T316" s="30" t="str"/>
      <x:c r="U316" s="30" t="str"/>
      <x:c r="V316" s="40" t="str">
        <x:f>IF(B316="","",COUNTA(H316:L316)/5)</x:f>
      </x:c>
    </x:row>
    <x:row r="317">
      <x:c r="A317" s="30" t="str">
        <x:f>IF(B317="","",B317&amp;"-"&amp;C317)</x:f>
      </x:c>
      <x:c r="B317" s="30" t="str">
        <x:f>'01_命例主档'!A23</x:f>
      </x:c>
      <x:c r="C317" s="30" t="str">
        <x:v>M07</x:v>
      </x:c>
      <x:c r="D317" s="30" t="str">
        <x:v>五行原始旺衰</x:v>
      </x:c>
      <x:c r="E317" s="30" t="str">
        <x:v>结构层</x:v>
      </x:c>
      <x:c r="F317" s="30" t="str">
        <x:v>M02/M03</x:v>
      </x:c>
      <x:c r="G317" s="30" t="str">
        <x:v>未开始</x:v>
      </x:c>
      <x:c r="H317" s="30" t="str"/>
      <x:c r="I317" s="30" t="str"/>
      <x:c r="J317" s="30" t="str"/>
      <x:c r="K317" s="30" t="str"/>
      <x:c r="L317" s="30" t="str"/>
      <x:c r="M317" s="30" t="str"/>
      <x:c r="N317" s="30" t="str"/>
      <x:c r="O317" s="30" t="str"/>
      <x:c r="P317" s="30" t="str"/>
      <x:c r="Q317" s="31" t="str"/>
      <x:c r="R317" s="31" t="str"/>
      <x:c r="S317" s="30" t="str"/>
      <x:c r="T317" s="30" t="str"/>
      <x:c r="U317" s="30" t="str"/>
      <x:c r="V317" s="40" t="str">
        <x:f>IF(B317="","",COUNTA(H317:L317)/5)</x:f>
      </x:c>
    </x:row>
    <x:row r="318">
      <x:c r="A318" s="30" t="str">
        <x:f>IF(B318="","",B318&amp;"-"&amp;C318)</x:f>
      </x:c>
      <x:c r="B318" s="30" t="str">
        <x:f>'01_命例主档'!A23</x:f>
      </x:c>
      <x:c r="C318" s="30" t="str">
        <x:v>M08</x:v>
      </x:c>
      <x:c r="D318" s="30" t="str">
        <x:v>五行有效旺衰</x:v>
      </x:c>
      <x:c r="E318" s="30" t="str">
        <x:v>结构层</x:v>
      </x:c>
      <x:c r="F318" s="30" t="str">
        <x:v>M06/M07</x:v>
      </x:c>
      <x:c r="G318" s="30" t="str">
        <x:v>未开始</x:v>
      </x:c>
      <x:c r="H318" s="30" t="str"/>
      <x:c r="I318" s="30" t="str"/>
      <x:c r="J318" s="30" t="str"/>
      <x:c r="K318" s="30" t="str"/>
      <x:c r="L318" s="30" t="str"/>
      <x:c r="M318" s="30" t="str"/>
      <x:c r="N318" s="30" t="str"/>
      <x:c r="O318" s="30" t="str"/>
      <x:c r="P318" s="30" t="str"/>
      <x:c r="Q318" s="31" t="str"/>
      <x:c r="R318" s="31" t="str"/>
      <x:c r="S318" s="30" t="str"/>
      <x:c r="T318" s="30" t="str"/>
      <x:c r="U318" s="30" t="str"/>
      <x:c r="V318" s="40" t="str">
        <x:f>IF(B318="","",COUNTA(H318:L318)/5)</x:f>
      </x:c>
    </x:row>
    <x:row r="319">
      <x:c r="A319" s="30" t="str">
        <x:f>IF(B319="","",B319&amp;"-"&amp;C319)</x:f>
      </x:c>
      <x:c r="B319" s="30" t="str">
        <x:f>'01_命例主档'!A23</x:f>
      </x:c>
      <x:c r="C319" s="30" t="str">
        <x:v>M09</x:v>
      </x:c>
      <x:c r="D319" s="30" t="str">
        <x:v>日主旺衰</x:v>
      </x:c>
      <x:c r="E319" s="30" t="str">
        <x:v>综合层</x:v>
      </x:c>
      <x:c r="F319" s="30" t="str">
        <x:v>M03/M07/M08</x:v>
      </x:c>
      <x:c r="G319" s="30" t="str">
        <x:v>未开始</x:v>
      </x:c>
      <x:c r="H319" s="30" t="str"/>
      <x:c r="I319" s="30" t="str"/>
      <x:c r="J319" s="30" t="str"/>
      <x:c r="K319" s="30" t="str"/>
      <x:c r="L319" s="30" t="str"/>
      <x:c r="M319" s="30" t="str"/>
      <x:c r="N319" s="30" t="str"/>
      <x:c r="O319" s="30" t="str"/>
      <x:c r="P319" s="30" t="str"/>
      <x:c r="Q319" s="31" t="str"/>
      <x:c r="R319" s="31" t="str"/>
      <x:c r="S319" s="30" t="str"/>
      <x:c r="T319" s="30" t="str"/>
      <x:c r="U319" s="30" t="str"/>
      <x:c r="V319" s="40" t="str">
        <x:f>IF(B319="","",COUNTA(H319:L319)/5)</x:f>
      </x:c>
    </x:row>
    <x:row r="320">
      <x:c r="A320" s="30" t="str">
        <x:f>IF(B320="","",B320&amp;"-"&amp;C320)</x:f>
      </x:c>
      <x:c r="B320" s="30" t="str">
        <x:f>'01_命例主档'!A23</x:f>
      </x:c>
      <x:c r="C320" s="30" t="str">
        <x:v>M10</x:v>
      </x:c>
      <x:c r="D320" s="30" t="str">
        <x:v>十神旺衰功能</x:v>
      </x:c>
      <x:c r="E320" s="30" t="str">
        <x:v>结构层</x:v>
      </x:c>
      <x:c r="F320" s="30" t="str">
        <x:v>M02/M08/M09</x:v>
      </x:c>
      <x:c r="G320" s="30" t="str">
        <x:v>未开始</x:v>
      </x:c>
      <x:c r="H320" s="30" t="str"/>
      <x:c r="I320" s="30" t="str"/>
      <x:c r="J320" s="30" t="str"/>
      <x:c r="K320" s="30" t="str"/>
      <x:c r="L320" s="30" t="str"/>
      <x:c r="M320" s="30" t="str"/>
      <x:c r="N320" s="30" t="str"/>
      <x:c r="O320" s="30" t="str"/>
      <x:c r="P320" s="30" t="str"/>
      <x:c r="Q320" s="31" t="str"/>
      <x:c r="R320" s="31" t="str"/>
      <x:c r="S320" s="30" t="str"/>
      <x:c r="T320" s="30" t="str"/>
      <x:c r="U320" s="30" t="str"/>
      <x:c r="V320" s="40" t="str">
        <x:f>IF(B320="","",COUNTA(H320:L320)/5)</x:f>
      </x:c>
    </x:row>
    <x:row r="321">
      <x:c r="A321" s="30" t="str">
        <x:f>IF(B321="","",B321&amp;"-"&amp;C321)</x:f>
      </x:c>
      <x:c r="B321" s="30" t="str">
        <x:f>'01_命例主档'!A23</x:f>
      </x:c>
      <x:c r="C321" s="30" t="str">
        <x:v>M11</x:v>
      </x:c>
      <x:c r="D321" s="30" t="str">
        <x:v>十神组合成立</x:v>
      </x:c>
      <x:c r="E321" s="30" t="str">
        <x:v>结构层</x:v>
      </x:c>
      <x:c r="F321" s="30" t="str">
        <x:v>M08/M09/M10</x:v>
      </x:c>
      <x:c r="G321" s="30" t="str">
        <x:v>未开始</x:v>
      </x:c>
      <x:c r="H321" s="30" t="str"/>
      <x:c r="I321" s="30" t="str"/>
      <x:c r="J321" s="30" t="str"/>
      <x:c r="K321" s="30" t="str"/>
      <x:c r="L321" s="30" t="str"/>
      <x:c r="M321" s="30" t="str"/>
      <x:c r="N321" s="30" t="str"/>
      <x:c r="O321" s="30" t="str"/>
      <x:c r="P321" s="30" t="str"/>
      <x:c r="Q321" s="31" t="str"/>
      <x:c r="R321" s="31" t="str"/>
      <x:c r="S321" s="30" t="str"/>
      <x:c r="T321" s="30" t="str"/>
      <x:c r="U321" s="30" t="str"/>
      <x:c r="V321" s="40" t="str">
        <x:f>IF(B321="","",COUNTA(H321:L321)/5)</x:f>
      </x:c>
    </x:row>
    <x:row r="322">
      <x:c r="A322" s="30" t="str">
        <x:f>IF(B322="","",B322&amp;"-"&amp;C322)</x:f>
      </x:c>
      <x:c r="B322" s="30" t="str">
        <x:f>'01_命例主档'!A23</x:f>
      </x:c>
      <x:c r="C322" s="30" t="str">
        <x:v>M12</x:v>
      </x:c>
      <x:c r="D322" s="30" t="str">
        <x:v>五行流通卡点</x:v>
      </x:c>
      <x:c r="E322" s="30" t="str">
        <x:v>结构层</x:v>
      </x:c>
      <x:c r="F322" s="30" t="str">
        <x:v>M06/M08/M10/M11</x:v>
      </x:c>
      <x:c r="G322" s="30" t="str">
        <x:v>未开始</x:v>
      </x:c>
      <x:c r="H322" s="30" t="str"/>
      <x:c r="I322" s="30" t="str"/>
      <x:c r="J322" s="30" t="str"/>
      <x:c r="K322" s="30" t="str"/>
      <x:c r="L322" s="30" t="str"/>
      <x:c r="M322" s="30" t="str"/>
      <x:c r="N322" s="30" t="str"/>
      <x:c r="O322" s="30" t="str"/>
      <x:c r="P322" s="30" t="str"/>
      <x:c r="Q322" s="31" t="str"/>
      <x:c r="R322" s="31" t="str"/>
      <x:c r="S322" s="30" t="str"/>
      <x:c r="T322" s="30" t="str"/>
      <x:c r="U322" s="30" t="str"/>
      <x:c r="V322" s="40" t="str">
        <x:f>IF(B322="","",COUNTA(H322:L322)/5)</x:f>
      </x:c>
    </x:row>
    <x:row r="323">
      <x:c r="A323" s="30" t="str">
        <x:f>IF(B323="","",B323&amp;"-"&amp;C323)</x:f>
      </x:c>
      <x:c r="B323" s="30" t="str">
        <x:f>'01_命例主档'!A23</x:f>
      </x:c>
      <x:c r="C323" s="30" t="str">
        <x:v>M13</x:v>
      </x:c>
      <x:c r="D323" s="30" t="str">
        <x:v>寒暖燥湿</x:v>
      </x:c>
      <x:c r="E323" s="30" t="str">
        <x:v>结构层</x:v>
      </x:c>
      <x:c r="F323" s="30" t="str">
        <x:v>M02/M08/M12</x:v>
      </x:c>
      <x:c r="G323" s="30" t="str">
        <x:v>未开始</x:v>
      </x:c>
      <x:c r="H323" s="30" t="str"/>
      <x:c r="I323" s="30" t="str"/>
      <x:c r="J323" s="30" t="str"/>
      <x:c r="K323" s="30" t="str"/>
      <x:c r="L323" s="30" t="str"/>
      <x:c r="M323" s="30" t="str"/>
      <x:c r="N323" s="30" t="str"/>
      <x:c r="O323" s="30" t="str"/>
      <x:c r="P323" s="30" t="str"/>
      <x:c r="Q323" s="31" t="str"/>
      <x:c r="R323" s="31" t="str"/>
      <x:c r="S323" s="30" t="str"/>
      <x:c r="T323" s="30" t="str"/>
      <x:c r="U323" s="30" t="str"/>
      <x:c r="V323" s="40" t="str">
        <x:f>IF(B323="","",COUNTA(H323:L323)/5)</x:f>
      </x:c>
    </x:row>
    <x:row r="324">
      <x:c r="A324" s="30" t="str">
        <x:f>IF(B324="","",B324&amp;"-"&amp;C324)</x:f>
      </x:c>
      <x:c r="B324" s="30" t="str">
        <x:f>'01_命例主档'!A23</x:f>
      </x:c>
      <x:c r="C324" s="30" t="str">
        <x:v>M14</x:v>
      </x:c>
      <x:c r="D324" s="30" t="str">
        <x:v>格局候选判断</x:v>
      </x:c>
      <x:c r="E324" s="30" t="str">
        <x:v>综合层</x:v>
      </x:c>
      <x:c r="F324" s="30" t="str">
        <x:v>M03/M06/M08/M09/M10/M11</x:v>
      </x:c>
      <x:c r="G324" s="30" t="str">
        <x:v>未开始</x:v>
      </x:c>
      <x:c r="H324" s="30" t="str"/>
      <x:c r="I324" s="30" t="str"/>
      <x:c r="J324" s="30" t="str"/>
      <x:c r="K324" s="30" t="str"/>
      <x:c r="L324" s="30" t="str"/>
      <x:c r="M324" s="30" t="str"/>
      <x:c r="N324" s="30" t="str"/>
      <x:c r="O324" s="30" t="str"/>
      <x:c r="P324" s="30" t="str"/>
      <x:c r="Q324" s="31" t="str"/>
      <x:c r="R324" s="31" t="str"/>
      <x:c r="S324" s="30" t="str"/>
      <x:c r="T324" s="30" t="str"/>
      <x:c r="U324" s="30" t="str"/>
      <x:c r="V324" s="40" t="str">
        <x:f>IF(B324="","",COUNTA(H324:L324)/5)</x:f>
      </x:c>
    </x:row>
    <x:row r="325">
      <x:c r="A325" s="30" t="str">
        <x:f>IF(B325="","",B325&amp;"-"&amp;C325)</x:f>
      </x:c>
      <x:c r="B325" s="30" t="str">
        <x:f>'01_命例主档'!A23</x:f>
      </x:c>
      <x:c r="C325" s="30" t="str">
        <x:v>M15</x:v>
      </x:c>
      <x:c r="D325" s="30" t="str">
        <x:v>格局成败救应</x:v>
      </x:c>
      <x:c r="E325" s="30" t="str">
        <x:v>综合层</x:v>
      </x:c>
      <x:c r="F325" s="30" t="str">
        <x:v>M14/M11/M08</x:v>
      </x:c>
      <x:c r="G325" s="30" t="str">
        <x:v>未开始</x:v>
      </x:c>
      <x:c r="H325" s="30" t="str"/>
      <x:c r="I325" s="30" t="str"/>
      <x:c r="J325" s="30" t="str"/>
      <x:c r="K325" s="30" t="str"/>
      <x:c r="L325" s="30" t="str"/>
      <x:c r="M325" s="30" t="str"/>
      <x:c r="N325" s="30" t="str"/>
      <x:c r="O325" s="30" t="str"/>
      <x:c r="P325" s="30" t="str"/>
      <x:c r="Q325" s="31" t="str"/>
      <x:c r="R325" s="31" t="str"/>
      <x:c r="S325" s="30" t="str"/>
      <x:c r="T325" s="30" t="str"/>
      <x:c r="U325" s="30" t="str"/>
      <x:c r="V325" s="40" t="str">
        <x:f>IF(B325="","",COUNTA(H325:L325)/5)</x:f>
      </x:c>
    </x:row>
    <x:row r="326">
      <x:c r="A326" s="30" t="str">
        <x:f>IF(B326="","",B326&amp;"-"&amp;C326)</x:f>
      </x:c>
      <x:c r="B326" s="30" t="str">
        <x:f>'01_命例主档'!A23</x:f>
      </x:c>
      <x:c r="C326" s="30" t="str">
        <x:v>M16</x:v>
      </x:c>
      <x:c r="D326" s="30" t="str">
        <x:v>病药模型</x:v>
      </x:c>
      <x:c r="E326" s="30" t="str">
        <x:v>综合层</x:v>
      </x:c>
      <x:c r="F326" s="30" t="str">
        <x:v>M08-M15</x:v>
      </x:c>
      <x:c r="G326" s="30" t="str">
        <x:v>未开始</x:v>
      </x:c>
      <x:c r="H326" s="30" t="str"/>
      <x:c r="I326" s="30" t="str"/>
      <x:c r="J326" s="30" t="str"/>
      <x:c r="K326" s="30" t="str"/>
      <x:c r="L326" s="30" t="str"/>
      <x:c r="M326" s="30" t="str"/>
      <x:c r="N326" s="30" t="str"/>
      <x:c r="O326" s="30" t="str"/>
      <x:c r="P326" s="30" t="str"/>
      <x:c r="Q326" s="31" t="str"/>
      <x:c r="R326" s="31" t="str"/>
      <x:c r="S326" s="30" t="str"/>
      <x:c r="T326" s="30" t="str"/>
      <x:c r="U326" s="30" t="str"/>
      <x:c r="V326" s="40" t="str">
        <x:f>IF(B326="","",COUNTA(H326:L326)/5)</x:f>
      </x:c>
    </x:row>
    <x:row r="327">
      <x:c r="A327" s="30" t="str">
        <x:f>IF(B327="","",B327&amp;"-"&amp;C327)</x:f>
      </x:c>
      <x:c r="B327" s="30" t="str">
        <x:f>'01_命例主档'!A23</x:f>
      </x:c>
      <x:c r="C327" s="30" t="str">
        <x:v>M17</x:v>
      </x:c>
      <x:c r="D327" s="30" t="str">
        <x:v>喜忌用神矩阵</x:v>
      </x:c>
      <x:c r="E327" s="30" t="str">
        <x:v>综合层</x:v>
      </x:c>
      <x:c r="F327" s="30" t="str">
        <x:v>M09/M12/M13/M15/M16</x:v>
      </x:c>
      <x:c r="G327" s="30" t="str">
        <x:v>未开始</x:v>
      </x:c>
      <x:c r="H327" s="30" t="str"/>
      <x:c r="I327" s="30" t="str"/>
      <x:c r="J327" s="30" t="str"/>
      <x:c r="K327" s="30" t="str"/>
      <x:c r="L327" s="30" t="str"/>
      <x:c r="M327" s="30" t="str"/>
      <x:c r="N327" s="30" t="str"/>
      <x:c r="O327" s="30" t="str"/>
      <x:c r="P327" s="30" t="str"/>
      <x:c r="Q327" s="31" t="str"/>
      <x:c r="R327" s="31" t="str"/>
      <x:c r="S327" s="30" t="str"/>
      <x:c r="T327" s="30" t="str"/>
      <x:c r="U327" s="30" t="str"/>
      <x:c r="V327" s="40" t="str">
        <x:f>IF(B327="","",COUNTA(H327:L327)/5)</x:f>
      </x:c>
    </x:row>
    <x:row r="328">
      <x:c r="A328" s="30" t="str">
        <x:f>IF(B328="","",B328&amp;"-"&amp;C328)</x:f>
      </x:c>
      <x:c r="B328" s="30" t="str">
        <x:f>'01_命例主档'!A23</x:f>
      </x:c>
      <x:c r="C328" s="30" t="str">
        <x:v>M18</x:v>
      </x:c>
      <x:c r="D328" s="30" t="str">
        <x:v>冲突裁决规则</x:v>
      </x:c>
      <x:c r="E328" s="30" t="str">
        <x:v>综合层</x:v>
      </x:c>
      <x:c r="F328" s="30" t="str">
        <x:v>M14/M15/M16/M17</x:v>
      </x:c>
      <x:c r="G328" s="30" t="str">
        <x:v>未开始</x:v>
      </x:c>
      <x:c r="H328" s="30" t="str"/>
      <x:c r="I328" s="30" t="str"/>
      <x:c r="J328" s="30" t="str"/>
      <x:c r="K328" s="30" t="str"/>
      <x:c r="L328" s="30" t="str"/>
      <x:c r="M328" s="30" t="str"/>
      <x:c r="N328" s="30" t="str"/>
      <x:c r="O328" s="30" t="str"/>
      <x:c r="P328" s="30" t="str"/>
      <x:c r="Q328" s="31" t="str"/>
      <x:c r="R328" s="31" t="str"/>
      <x:c r="S328" s="30" t="str"/>
      <x:c r="T328" s="30" t="str"/>
      <x:c r="U328" s="30" t="str"/>
      <x:c r="V328" s="40" t="str">
        <x:f>IF(B328="","",COUNTA(H328:L328)/5)</x:f>
      </x:c>
    </x:row>
    <x:row r="329">
      <x:c r="A329" s="30" t="str">
        <x:f>IF(B329="","",B329&amp;"-"&amp;C329)</x:f>
      </x:c>
      <x:c r="B329" s="30" t="str">
        <x:f>'01_命例主档'!A23</x:f>
      </x:c>
      <x:c r="C329" s="30" t="str">
        <x:v>M19</x:v>
      </x:c>
      <x:c r="D329" s="30" t="str">
        <x:v>综合输出模板</x:v>
      </x:c>
      <x:c r="E329" s="30" t="str">
        <x:v>治理与输出</x:v>
      </x:c>
      <x:c r="F329" s="30" t="str">
        <x:v>M02-M18</x:v>
      </x:c>
      <x:c r="G329" s="30" t="str">
        <x:v>未开始</x:v>
      </x:c>
      <x:c r="H329" s="30" t="str"/>
      <x:c r="I329" s="30" t="str"/>
      <x:c r="J329" s="30" t="str"/>
      <x:c r="K329" s="30" t="str"/>
      <x:c r="L329" s="30" t="str"/>
      <x:c r="M329" s="30" t="str"/>
      <x:c r="N329" s="30" t="str"/>
      <x:c r="O329" s="30" t="str"/>
      <x:c r="P329" s="30" t="str"/>
      <x:c r="Q329" s="31" t="str"/>
      <x:c r="R329" s="31" t="str"/>
      <x:c r="S329" s="30" t="str"/>
      <x:c r="T329" s="30" t="str"/>
      <x:c r="U329" s="30" t="str"/>
      <x:c r="V329" s="40" t="str">
        <x:f>IF(B329="","",COUNTA(H329:L329)/5)</x:f>
      </x:c>
    </x:row>
    <x:row r="330">
      <x:c r="A330" s="30" t="str">
        <x:f>IF(B330="","",B330&amp;"-"&amp;C330)</x:f>
      </x:c>
      <x:c r="B330" s="30" t="str">
        <x:f>'01_命例主档'!A24</x:f>
      </x:c>
      <x:c r="C330" s="30" t="str">
        <x:v>M02</x:v>
      </x:c>
      <x:c r="D330" s="30" t="str">
        <x:v>干支藏干基础</x:v>
      </x:c>
      <x:c r="E330" s="30" t="str">
        <x:v>识别层</x:v>
      </x:c>
      <x:c r="F330" s="30" t="str">
        <x:v>无</x:v>
      </x:c>
      <x:c r="G330" s="30" t="str">
        <x:v>未开始</x:v>
      </x:c>
      <x:c r="H330" s="30" t="str"/>
      <x:c r="I330" s="30" t="str"/>
      <x:c r="J330" s="30" t="str"/>
      <x:c r="K330" s="30" t="str"/>
      <x:c r="L330" s="30" t="str"/>
      <x:c r="M330" s="30" t="str"/>
      <x:c r="N330" s="30" t="str"/>
      <x:c r="O330" s="30" t="str"/>
      <x:c r="P330" s="30" t="str"/>
      <x:c r="Q330" s="31" t="str"/>
      <x:c r="R330" s="31" t="str"/>
      <x:c r="S330" s="30" t="str"/>
      <x:c r="T330" s="30" t="str"/>
      <x:c r="U330" s="30" t="str"/>
      <x:c r="V330" s="40" t="str">
        <x:f>IF(B330="","",COUNTA(H330:L330)/5)</x:f>
      </x:c>
    </x:row>
    <x:row r="331">
      <x:c r="A331" s="30" t="str">
        <x:f>IF(B331="","",B331&amp;"-"&amp;C331)</x:f>
      </x:c>
      <x:c r="B331" s="30" t="str">
        <x:f>'01_命例主档'!A24</x:f>
      </x:c>
      <x:c r="C331" s="30" t="str">
        <x:v>M03</x:v>
      </x:c>
      <x:c r="D331" s="30" t="str">
        <x:v>月令与根气</x:v>
      </x:c>
      <x:c r="E331" s="30" t="str">
        <x:v>结构层</x:v>
      </x:c>
      <x:c r="F331" s="30" t="str">
        <x:v>M02</x:v>
      </x:c>
      <x:c r="G331" s="30" t="str">
        <x:v>未开始</x:v>
      </x:c>
      <x:c r="H331" s="30" t="str"/>
      <x:c r="I331" s="30" t="str"/>
      <x:c r="J331" s="30" t="str"/>
      <x:c r="K331" s="30" t="str"/>
      <x:c r="L331" s="30" t="str"/>
      <x:c r="M331" s="30" t="str"/>
      <x:c r="N331" s="30" t="str"/>
      <x:c r="O331" s="30" t="str"/>
      <x:c r="P331" s="30" t="str"/>
      <x:c r="Q331" s="31" t="str"/>
      <x:c r="R331" s="31" t="str"/>
      <x:c r="S331" s="30" t="str"/>
      <x:c r="T331" s="30" t="str"/>
      <x:c r="U331" s="30" t="str"/>
      <x:c r="V331" s="40" t="str">
        <x:f>IF(B331="","",COUNTA(H331:L331)/5)</x:f>
      </x:c>
    </x:row>
    <x:row r="332">
      <x:c r="A332" s="30" t="str">
        <x:f>IF(B332="","",B332&amp;"-"&amp;C332)</x:f>
      </x:c>
      <x:c r="B332" s="30" t="str">
        <x:f>'01_命例主档'!A24</x:f>
      </x:c>
      <x:c r="C332" s="30" t="str">
        <x:v>M04</x:v>
      </x:c>
      <x:c r="D332" s="30" t="str">
        <x:v>天干作用识别</x:v>
      </x:c>
      <x:c r="E332" s="30" t="str">
        <x:v>识别层</x:v>
      </x:c>
      <x:c r="F332" s="30" t="str">
        <x:v>M02</x:v>
      </x:c>
      <x:c r="G332" s="30" t="str">
        <x:v>未开始</x:v>
      </x:c>
      <x:c r="H332" s="30" t="str"/>
      <x:c r="I332" s="30" t="str"/>
      <x:c r="J332" s="30" t="str"/>
      <x:c r="K332" s="30" t="str"/>
      <x:c r="L332" s="30" t="str"/>
      <x:c r="M332" s="30" t="str"/>
      <x:c r="N332" s="30" t="str"/>
      <x:c r="O332" s="30" t="str"/>
      <x:c r="P332" s="30" t="str"/>
      <x:c r="Q332" s="31" t="str"/>
      <x:c r="R332" s="31" t="str"/>
      <x:c r="S332" s="30" t="str"/>
      <x:c r="T332" s="30" t="str"/>
      <x:c r="U332" s="30" t="str"/>
      <x:c r="V332" s="40" t="str">
        <x:f>IF(B332="","",COUNTA(H332:L332)/5)</x:f>
      </x:c>
    </x:row>
    <x:row r="333">
      <x:c r="A333" s="30" t="str">
        <x:f>IF(B333="","",B333&amp;"-"&amp;C333)</x:f>
      </x:c>
      <x:c r="B333" s="30" t="str">
        <x:f>'01_命例主档'!A24</x:f>
      </x:c>
      <x:c r="C333" s="30" t="str">
        <x:v>M05</x:v>
      </x:c>
      <x:c r="D333" s="30" t="str">
        <x:v>地支关系识别</x:v>
      </x:c>
      <x:c r="E333" s="30" t="str">
        <x:v>识别层</x:v>
      </x:c>
      <x:c r="F333" s="30" t="str">
        <x:v>M02</x:v>
      </x:c>
      <x:c r="G333" s="30" t="str">
        <x:v>未开始</x:v>
      </x:c>
      <x:c r="H333" s="30" t="str"/>
      <x:c r="I333" s="30" t="str"/>
      <x:c r="J333" s="30" t="str"/>
      <x:c r="K333" s="30" t="str"/>
      <x:c r="L333" s="30" t="str"/>
      <x:c r="M333" s="30" t="str"/>
      <x:c r="N333" s="30" t="str"/>
      <x:c r="O333" s="30" t="str"/>
      <x:c r="P333" s="30" t="str"/>
      <x:c r="Q333" s="31" t="str"/>
      <x:c r="R333" s="31" t="str"/>
      <x:c r="S333" s="30" t="str"/>
      <x:c r="T333" s="30" t="str"/>
      <x:c r="U333" s="30" t="str"/>
      <x:c r="V333" s="40" t="str">
        <x:f>IF(B333="","",COUNTA(H333:L333)/5)</x:f>
      </x:c>
    </x:row>
    <x:row r="334">
      <x:c r="A334" s="30" t="str">
        <x:f>IF(B334="","",B334&amp;"-"&amp;C334)</x:f>
      </x:c>
      <x:c r="B334" s="30" t="str">
        <x:f>'01_命例主档'!A24</x:f>
      </x:c>
      <x:c r="C334" s="30" t="str">
        <x:v>M06</x:v>
      </x:c>
      <x:c r="D334" s="30" t="str">
        <x:v>干支关系效应</x:v>
      </x:c>
      <x:c r="E334" s="30" t="str">
        <x:v>效应层</x:v>
      </x:c>
      <x:c r="F334" s="30" t="str">
        <x:v>M03/M04/M05</x:v>
      </x:c>
      <x:c r="G334" s="30" t="str">
        <x:v>未开始</x:v>
      </x:c>
      <x:c r="H334" s="30" t="str"/>
      <x:c r="I334" s="30" t="str"/>
      <x:c r="J334" s="30" t="str"/>
      <x:c r="K334" s="30" t="str"/>
      <x:c r="L334" s="30" t="str"/>
      <x:c r="M334" s="30" t="str"/>
      <x:c r="N334" s="30" t="str"/>
      <x:c r="O334" s="30" t="str"/>
      <x:c r="P334" s="30" t="str"/>
      <x:c r="Q334" s="31" t="str"/>
      <x:c r="R334" s="31" t="str"/>
      <x:c r="S334" s="30" t="str"/>
      <x:c r="T334" s="30" t="str"/>
      <x:c r="U334" s="30" t="str"/>
      <x:c r="V334" s="40" t="str">
        <x:f>IF(B334="","",COUNTA(H334:L334)/5)</x:f>
      </x:c>
    </x:row>
    <x:row r="335">
      <x:c r="A335" s="30" t="str">
        <x:f>IF(B335="","",B335&amp;"-"&amp;C335)</x:f>
      </x:c>
      <x:c r="B335" s="30" t="str">
        <x:f>'01_命例主档'!A24</x:f>
      </x:c>
      <x:c r="C335" s="30" t="str">
        <x:v>M07</x:v>
      </x:c>
      <x:c r="D335" s="30" t="str">
        <x:v>五行原始旺衰</x:v>
      </x:c>
      <x:c r="E335" s="30" t="str">
        <x:v>结构层</x:v>
      </x:c>
      <x:c r="F335" s="30" t="str">
        <x:v>M02/M03</x:v>
      </x:c>
      <x:c r="G335" s="30" t="str">
        <x:v>未开始</x:v>
      </x:c>
      <x:c r="H335" s="30" t="str"/>
      <x:c r="I335" s="30" t="str"/>
      <x:c r="J335" s="30" t="str"/>
      <x:c r="K335" s="30" t="str"/>
      <x:c r="L335" s="30" t="str"/>
      <x:c r="M335" s="30" t="str"/>
      <x:c r="N335" s="30" t="str"/>
      <x:c r="O335" s="30" t="str"/>
      <x:c r="P335" s="30" t="str"/>
      <x:c r="Q335" s="31" t="str"/>
      <x:c r="R335" s="31" t="str"/>
      <x:c r="S335" s="30" t="str"/>
      <x:c r="T335" s="30" t="str"/>
      <x:c r="U335" s="30" t="str"/>
      <x:c r="V335" s="40" t="str">
        <x:f>IF(B335="","",COUNTA(H335:L335)/5)</x:f>
      </x:c>
    </x:row>
    <x:row r="336">
      <x:c r="A336" s="30" t="str">
        <x:f>IF(B336="","",B336&amp;"-"&amp;C336)</x:f>
      </x:c>
      <x:c r="B336" s="30" t="str">
        <x:f>'01_命例主档'!A24</x:f>
      </x:c>
      <x:c r="C336" s="30" t="str">
        <x:v>M08</x:v>
      </x:c>
      <x:c r="D336" s="30" t="str">
        <x:v>五行有效旺衰</x:v>
      </x:c>
      <x:c r="E336" s="30" t="str">
        <x:v>结构层</x:v>
      </x:c>
      <x:c r="F336" s="30" t="str">
        <x:v>M06/M07</x:v>
      </x:c>
      <x:c r="G336" s="30" t="str">
        <x:v>未开始</x:v>
      </x:c>
      <x:c r="H336" s="30" t="str"/>
      <x:c r="I336" s="30" t="str"/>
      <x:c r="J336" s="30" t="str"/>
      <x:c r="K336" s="30" t="str"/>
      <x:c r="L336" s="30" t="str"/>
      <x:c r="M336" s="30" t="str"/>
      <x:c r="N336" s="30" t="str"/>
      <x:c r="O336" s="30" t="str"/>
      <x:c r="P336" s="30" t="str"/>
      <x:c r="Q336" s="31" t="str"/>
      <x:c r="R336" s="31" t="str"/>
      <x:c r="S336" s="30" t="str"/>
      <x:c r="T336" s="30" t="str"/>
      <x:c r="U336" s="30" t="str"/>
      <x:c r="V336" s="40" t="str">
        <x:f>IF(B336="","",COUNTA(H336:L336)/5)</x:f>
      </x:c>
    </x:row>
    <x:row r="337">
      <x:c r="A337" s="30" t="str">
        <x:f>IF(B337="","",B337&amp;"-"&amp;C337)</x:f>
      </x:c>
      <x:c r="B337" s="30" t="str">
        <x:f>'01_命例主档'!A24</x:f>
      </x:c>
      <x:c r="C337" s="30" t="str">
        <x:v>M09</x:v>
      </x:c>
      <x:c r="D337" s="30" t="str">
        <x:v>日主旺衰</x:v>
      </x:c>
      <x:c r="E337" s="30" t="str">
        <x:v>综合层</x:v>
      </x:c>
      <x:c r="F337" s="30" t="str">
        <x:v>M03/M07/M08</x:v>
      </x:c>
      <x:c r="G337" s="30" t="str">
        <x:v>未开始</x:v>
      </x:c>
      <x:c r="H337" s="30" t="str"/>
      <x:c r="I337" s="30" t="str"/>
      <x:c r="J337" s="30" t="str"/>
      <x:c r="K337" s="30" t="str"/>
      <x:c r="L337" s="30" t="str"/>
      <x:c r="M337" s="30" t="str"/>
      <x:c r="N337" s="30" t="str"/>
      <x:c r="O337" s="30" t="str"/>
      <x:c r="P337" s="30" t="str"/>
      <x:c r="Q337" s="31" t="str"/>
      <x:c r="R337" s="31" t="str"/>
      <x:c r="S337" s="30" t="str"/>
      <x:c r="T337" s="30" t="str"/>
      <x:c r="U337" s="30" t="str"/>
      <x:c r="V337" s="40" t="str">
        <x:f>IF(B337="","",COUNTA(H337:L337)/5)</x:f>
      </x:c>
    </x:row>
    <x:row r="338">
      <x:c r="A338" s="30" t="str">
        <x:f>IF(B338="","",B338&amp;"-"&amp;C338)</x:f>
      </x:c>
      <x:c r="B338" s="30" t="str">
        <x:f>'01_命例主档'!A24</x:f>
      </x:c>
      <x:c r="C338" s="30" t="str">
        <x:v>M10</x:v>
      </x:c>
      <x:c r="D338" s="30" t="str">
        <x:v>十神旺衰功能</x:v>
      </x:c>
      <x:c r="E338" s="30" t="str">
        <x:v>结构层</x:v>
      </x:c>
      <x:c r="F338" s="30" t="str">
        <x:v>M02/M08/M09</x:v>
      </x:c>
      <x:c r="G338" s="30" t="str">
        <x:v>未开始</x:v>
      </x:c>
      <x:c r="H338" s="30" t="str"/>
      <x:c r="I338" s="30" t="str"/>
      <x:c r="J338" s="30" t="str"/>
      <x:c r="K338" s="30" t="str"/>
      <x:c r="L338" s="30" t="str"/>
      <x:c r="M338" s="30" t="str"/>
      <x:c r="N338" s="30" t="str"/>
      <x:c r="O338" s="30" t="str"/>
      <x:c r="P338" s="30" t="str"/>
      <x:c r="Q338" s="31" t="str"/>
      <x:c r="R338" s="31" t="str"/>
      <x:c r="S338" s="30" t="str"/>
      <x:c r="T338" s="30" t="str"/>
      <x:c r="U338" s="30" t="str"/>
      <x:c r="V338" s="40" t="str">
        <x:f>IF(B338="","",COUNTA(H338:L338)/5)</x:f>
      </x:c>
    </x:row>
    <x:row r="339">
      <x:c r="A339" s="30" t="str">
        <x:f>IF(B339="","",B339&amp;"-"&amp;C339)</x:f>
      </x:c>
      <x:c r="B339" s="30" t="str">
        <x:f>'01_命例主档'!A24</x:f>
      </x:c>
      <x:c r="C339" s="30" t="str">
        <x:v>M11</x:v>
      </x:c>
      <x:c r="D339" s="30" t="str">
        <x:v>十神组合成立</x:v>
      </x:c>
      <x:c r="E339" s="30" t="str">
        <x:v>结构层</x:v>
      </x:c>
      <x:c r="F339" s="30" t="str">
        <x:v>M08/M09/M10</x:v>
      </x:c>
      <x:c r="G339" s="30" t="str">
        <x:v>未开始</x:v>
      </x:c>
      <x:c r="H339" s="30" t="str"/>
      <x:c r="I339" s="30" t="str"/>
      <x:c r="J339" s="30" t="str"/>
      <x:c r="K339" s="30" t="str"/>
      <x:c r="L339" s="30" t="str"/>
      <x:c r="M339" s="30" t="str"/>
      <x:c r="N339" s="30" t="str"/>
      <x:c r="O339" s="30" t="str"/>
      <x:c r="P339" s="30" t="str"/>
      <x:c r="Q339" s="31" t="str"/>
      <x:c r="R339" s="31" t="str"/>
      <x:c r="S339" s="30" t="str"/>
      <x:c r="T339" s="30" t="str"/>
      <x:c r="U339" s="30" t="str"/>
      <x:c r="V339" s="40" t="str">
        <x:f>IF(B339="","",COUNTA(H339:L339)/5)</x:f>
      </x:c>
    </x:row>
    <x:row r="340">
      <x:c r="A340" s="30" t="str">
        <x:f>IF(B340="","",B340&amp;"-"&amp;C340)</x:f>
      </x:c>
      <x:c r="B340" s="30" t="str">
        <x:f>'01_命例主档'!A24</x:f>
      </x:c>
      <x:c r="C340" s="30" t="str">
        <x:v>M12</x:v>
      </x:c>
      <x:c r="D340" s="30" t="str">
        <x:v>五行流通卡点</x:v>
      </x:c>
      <x:c r="E340" s="30" t="str">
        <x:v>结构层</x:v>
      </x:c>
      <x:c r="F340" s="30" t="str">
        <x:v>M06/M08/M10/M11</x:v>
      </x:c>
      <x:c r="G340" s="30" t="str">
        <x:v>未开始</x:v>
      </x:c>
      <x:c r="H340" s="30" t="str"/>
      <x:c r="I340" s="30" t="str"/>
      <x:c r="J340" s="30" t="str"/>
      <x:c r="K340" s="30" t="str"/>
      <x:c r="L340" s="30" t="str"/>
      <x:c r="M340" s="30" t="str"/>
      <x:c r="N340" s="30" t="str"/>
      <x:c r="O340" s="30" t="str"/>
      <x:c r="P340" s="30" t="str"/>
      <x:c r="Q340" s="31" t="str"/>
      <x:c r="R340" s="31" t="str"/>
      <x:c r="S340" s="30" t="str"/>
      <x:c r="T340" s="30" t="str"/>
      <x:c r="U340" s="30" t="str"/>
      <x:c r="V340" s="40" t="str">
        <x:f>IF(B340="","",COUNTA(H340:L340)/5)</x:f>
      </x:c>
    </x:row>
    <x:row r="341">
      <x:c r="A341" s="30" t="str">
        <x:f>IF(B341="","",B341&amp;"-"&amp;C341)</x:f>
      </x:c>
      <x:c r="B341" s="30" t="str">
        <x:f>'01_命例主档'!A24</x:f>
      </x:c>
      <x:c r="C341" s="30" t="str">
        <x:v>M13</x:v>
      </x:c>
      <x:c r="D341" s="30" t="str">
        <x:v>寒暖燥湿</x:v>
      </x:c>
      <x:c r="E341" s="30" t="str">
        <x:v>结构层</x:v>
      </x:c>
      <x:c r="F341" s="30" t="str">
        <x:v>M02/M08/M12</x:v>
      </x:c>
      <x:c r="G341" s="30" t="str">
        <x:v>未开始</x:v>
      </x:c>
      <x:c r="H341" s="30" t="str"/>
      <x:c r="I341" s="30" t="str"/>
      <x:c r="J341" s="30" t="str"/>
      <x:c r="K341" s="30" t="str"/>
      <x:c r="L341" s="30" t="str"/>
      <x:c r="M341" s="30" t="str"/>
      <x:c r="N341" s="30" t="str"/>
      <x:c r="O341" s="30" t="str"/>
      <x:c r="P341" s="30" t="str"/>
      <x:c r="Q341" s="31" t="str"/>
      <x:c r="R341" s="31" t="str"/>
      <x:c r="S341" s="30" t="str"/>
      <x:c r="T341" s="30" t="str"/>
      <x:c r="U341" s="30" t="str"/>
      <x:c r="V341" s="40" t="str">
        <x:f>IF(B341="","",COUNTA(H341:L341)/5)</x:f>
      </x:c>
    </x:row>
    <x:row r="342">
      <x:c r="A342" s="30" t="str">
        <x:f>IF(B342="","",B342&amp;"-"&amp;C342)</x:f>
      </x:c>
      <x:c r="B342" s="30" t="str">
        <x:f>'01_命例主档'!A24</x:f>
      </x:c>
      <x:c r="C342" s="30" t="str">
        <x:v>M14</x:v>
      </x:c>
      <x:c r="D342" s="30" t="str">
        <x:v>格局候选判断</x:v>
      </x:c>
      <x:c r="E342" s="30" t="str">
        <x:v>综合层</x:v>
      </x:c>
      <x:c r="F342" s="30" t="str">
        <x:v>M03/M06/M08/M09/M10/M11</x:v>
      </x:c>
      <x:c r="G342" s="30" t="str">
        <x:v>未开始</x:v>
      </x:c>
      <x:c r="H342" s="30" t="str"/>
      <x:c r="I342" s="30" t="str"/>
      <x:c r="J342" s="30" t="str"/>
      <x:c r="K342" s="30" t="str"/>
      <x:c r="L342" s="30" t="str"/>
      <x:c r="M342" s="30" t="str"/>
      <x:c r="N342" s="30" t="str"/>
      <x:c r="O342" s="30" t="str"/>
      <x:c r="P342" s="30" t="str"/>
      <x:c r="Q342" s="31" t="str"/>
      <x:c r="R342" s="31" t="str"/>
      <x:c r="S342" s="30" t="str"/>
      <x:c r="T342" s="30" t="str"/>
      <x:c r="U342" s="30" t="str"/>
      <x:c r="V342" s="40" t="str">
        <x:f>IF(B342="","",COUNTA(H342:L342)/5)</x:f>
      </x:c>
    </x:row>
    <x:row r="343">
      <x:c r="A343" s="30" t="str">
        <x:f>IF(B343="","",B343&amp;"-"&amp;C343)</x:f>
      </x:c>
      <x:c r="B343" s="30" t="str">
        <x:f>'01_命例主档'!A24</x:f>
      </x:c>
      <x:c r="C343" s="30" t="str">
        <x:v>M15</x:v>
      </x:c>
      <x:c r="D343" s="30" t="str">
        <x:v>格局成败救应</x:v>
      </x:c>
      <x:c r="E343" s="30" t="str">
        <x:v>综合层</x:v>
      </x:c>
      <x:c r="F343" s="30" t="str">
        <x:v>M14/M11/M08</x:v>
      </x:c>
      <x:c r="G343" s="30" t="str">
        <x:v>未开始</x:v>
      </x:c>
      <x:c r="H343" s="30" t="str"/>
      <x:c r="I343" s="30" t="str"/>
      <x:c r="J343" s="30" t="str"/>
      <x:c r="K343" s="30" t="str"/>
      <x:c r="L343" s="30" t="str"/>
      <x:c r="M343" s="30" t="str"/>
      <x:c r="N343" s="30" t="str"/>
      <x:c r="O343" s="30" t="str"/>
      <x:c r="P343" s="30" t="str"/>
      <x:c r="Q343" s="31" t="str"/>
      <x:c r="R343" s="31" t="str"/>
      <x:c r="S343" s="30" t="str"/>
      <x:c r="T343" s="30" t="str"/>
      <x:c r="U343" s="30" t="str"/>
      <x:c r="V343" s="40" t="str">
        <x:f>IF(B343="","",COUNTA(H343:L343)/5)</x:f>
      </x:c>
    </x:row>
    <x:row r="344">
      <x:c r="A344" s="30" t="str">
        <x:f>IF(B344="","",B344&amp;"-"&amp;C344)</x:f>
      </x:c>
      <x:c r="B344" s="30" t="str">
        <x:f>'01_命例主档'!A24</x:f>
      </x:c>
      <x:c r="C344" s="30" t="str">
        <x:v>M16</x:v>
      </x:c>
      <x:c r="D344" s="30" t="str">
        <x:v>病药模型</x:v>
      </x:c>
      <x:c r="E344" s="30" t="str">
        <x:v>综合层</x:v>
      </x:c>
      <x:c r="F344" s="30" t="str">
        <x:v>M08-M15</x:v>
      </x:c>
      <x:c r="G344" s="30" t="str">
        <x:v>未开始</x:v>
      </x:c>
      <x:c r="H344" s="30" t="str"/>
      <x:c r="I344" s="30" t="str"/>
      <x:c r="J344" s="30" t="str"/>
      <x:c r="K344" s="30" t="str"/>
      <x:c r="L344" s="30" t="str"/>
      <x:c r="M344" s="30" t="str"/>
      <x:c r="N344" s="30" t="str"/>
      <x:c r="O344" s="30" t="str"/>
      <x:c r="P344" s="30" t="str"/>
      <x:c r="Q344" s="31" t="str"/>
      <x:c r="R344" s="31" t="str"/>
      <x:c r="S344" s="30" t="str"/>
      <x:c r="T344" s="30" t="str"/>
      <x:c r="U344" s="30" t="str"/>
      <x:c r="V344" s="40" t="str">
        <x:f>IF(B344="","",COUNTA(H344:L344)/5)</x:f>
      </x:c>
    </x:row>
    <x:row r="345">
      <x:c r="A345" s="30" t="str">
        <x:f>IF(B345="","",B345&amp;"-"&amp;C345)</x:f>
      </x:c>
      <x:c r="B345" s="30" t="str">
        <x:f>'01_命例主档'!A24</x:f>
      </x:c>
      <x:c r="C345" s="30" t="str">
        <x:v>M17</x:v>
      </x:c>
      <x:c r="D345" s="30" t="str">
        <x:v>喜忌用神矩阵</x:v>
      </x:c>
      <x:c r="E345" s="30" t="str">
        <x:v>综合层</x:v>
      </x:c>
      <x:c r="F345" s="30" t="str">
        <x:v>M09/M12/M13/M15/M16</x:v>
      </x:c>
      <x:c r="G345" s="30" t="str">
        <x:v>未开始</x:v>
      </x:c>
      <x:c r="H345" s="30" t="str"/>
      <x:c r="I345" s="30" t="str"/>
      <x:c r="J345" s="30" t="str"/>
      <x:c r="K345" s="30" t="str"/>
      <x:c r="L345" s="30" t="str"/>
      <x:c r="M345" s="30" t="str"/>
      <x:c r="N345" s="30" t="str"/>
      <x:c r="O345" s="30" t="str"/>
      <x:c r="P345" s="30" t="str"/>
      <x:c r="Q345" s="31" t="str"/>
      <x:c r="R345" s="31" t="str"/>
      <x:c r="S345" s="30" t="str"/>
      <x:c r="T345" s="30" t="str"/>
      <x:c r="U345" s="30" t="str"/>
      <x:c r="V345" s="40" t="str">
        <x:f>IF(B345="","",COUNTA(H345:L345)/5)</x:f>
      </x:c>
    </x:row>
    <x:row r="346">
      <x:c r="A346" s="30" t="str">
        <x:f>IF(B346="","",B346&amp;"-"&amp;C346)</x:f>
      </x:c>
      <x:c r="B346" s="30" t="str">
        <x:f>'01_命例主档'!A24</x:f>
      </x:c>
      <x:c r="C346" s="30" t="str">
        <x:v>M18</x:v>
      </x:c>
      <x:c r="D346" s="30" t="str">
        <x:v>冲突裁决规则</x:v>
      </x:c>
      <x:c r="E346" s="30" t="str">
        <x:v>综合层</x:v>
      </x:c>
      <x:c r="F346" s="30" t="str">
        <x:v>M14/M15/M16/M17</x:v>
      </x:c>
      <x:c r="G346" s="30" t="str">
        <x:v>未开始</x:v>
      </x:c>
      <x:c r="H346" s="30" t="str"/>
      <x:c r="I346" s="30" t="str"/>
      <x:c r="J346" s="30" t="str"/>
      <x:c r="K346" s="30" t="str"/>
      <x:c r="L346" s="30" t="str"/>
      <x:c r="M346" s="30" t="str"/>
      <x:c r="N346" s="30" t="str"/>
      <x:c r="O346" s="30" t="str"/>
      <x:c r="P346" s="30" t="str"/>
      <x:c r="Q346" s="31" t="str"/>
      <x:c r="R346" s="31" t="str"/>
      <x:c r="S346" s="30" t="str"/>
      <x:c r="T346" s="30" t="str"/>
      <x:c r="U346" s="30" t="str"/>
      <x:c r="V346" s="40" t="str">
        <x:f>IF(B346="","",COUNTA(H346:L346)/5)</x:f>
      </x:c>
    </x:row>
    <x:row r="347">
      <x:c r="A347" s="30" t="str">
        <x:f>IF(B347="","",B347&amp;"-"&amp;C347)</x:f>
      </x:c>
      <x:c r="B347" s="30" t="str">
        <x:f>'01_命例主档'!A24</x:f>
      </x:c>
      <x:c r="C347" s="30" t="str">
        <x:v>M19</x:v>
      </x:c>
      <x:c r="D347" s="30" t="str">
        <x:v>综合输出模板</x:v>
      </x:c>
      <x:c r="E347" s="30" t="str">
        <x:v>治理与输出</x:v>
      </x:c>
      <x:c r="F347" s="30" t="str">
        <x:v>M02-M18</x:v>
      </x:c>
      <x:c r="G347" s="30" t="str">
        <x:v>未开始</x:v>
      </x:c>
      <x:c r="H347" s="30" t="str"/>
      <x:c r="I347" s="30" t="str"/>
      <x:c r="J347" s="30" t="str"/>
      <x:c r="K347" s="30" t="str"/>
      <x:c r="L347" s="30" t="str"/>
      <x:c r="M347" s="30" t="str"/>
      <x:c r="N347" s="30" t="str"/>
      <x:c r="O347" s="30" t="str"/>
      <x:c r="P347" s="30" t="str"/>
      <x:c r="Q347" s="31" t="str"/>
      <x:c r="R347" s="31" t="str"/>
      <x:c r="S347" s="30" t="str"/>
      <x:c r="T347" s="30" t="str"/>
      <x:c r="U347" s="30" t="str"/>
      <x:c r="V347" s="40" t="str">
        <x:f>IF(B347="","",COUNTA(H347:L347)/5)</x:f>
      </x:c>
    </x:row>
    <x:row r="348">
      <x:c r="A348" s="30" t="str">
        <x:f>IF(B348="","",B348&amp;"-"&amp;C348)</x:f>
      </x:c>
      <x:c r="B348" s="30" t="str">
        <x:f>'01_命例主档'!A25</x:f>
      </x:c>
      <x:c r="C348" s="30" t="str">
        <x:v>M02</x:v>
      </x:c>
      <x:c r="D348" s="30" t="str">
        <x:v>干支藏干基础</x:v>
      </x:c>
      <x:c r="E348" s="30" t="str">
        <x:v>识别层</x:v>
      </x:c>
      <x:c r="F348" s="30" t="str">
        <x:v>无</x:v>
      </x:c>
      <x:c r="G348" s="30" t="str">
        <x:v>未开始</x:v>
      </x:c>
      <x:c r="H348" s="30" t="str"/>
      <x:c r="I348" s="30" t="str"/>
      <x:c r="J348" s="30" t="str"/>
      <x:c r="K348" s="30" t="str"/>
      <x:c r="L348" s="30" t="str"/>
      <x:c r="M348" s="30" t="str"/>
      <x:c r="N348" s="30" t="str"/>
      <x:c r="O348" s="30" t="str"/>
      <x:c r="P348" s="30" t="str"/>
      <x:c r="Q348" s="31" t="str"/>
      <x:c r="R348" s="31" t="str"/>
      <x:c r="S348" s="30" t="str"/>
      <x:c r="T348" s="30" t="str"/>
      <x:c r="U348" s="30" t="str"/>
      <x:c r="V348" s="40" t="str">
        <x:f>IF(B348="","",COUNTA(H348:L348)/5)</x:f>
      </x:c>
    </x:row>
    <x:row r="349">
      <x:c r="A349" s="30" t="str">
        <x:f>IF(B349="","",B349&amp;"-"&amp;C349)</x:f>
      </x:c>
      <x:c r="B349" s="30" t="str">
        <x:f>'01_命例主档'!A25</x:f>
      </x:c>
      <x:c r="C349" s="30" t="str">
        <x:v>M03</x:v>
      </x:c>
      <x:c r="D349" s="30" t="str">
        <x:v>月令与根气</x:v>
      </x:c>
      <x:c r="E349" s="30" t="str">
        <x:v>结构层</x:v>
      </x:c>
      <x:c r="F349" s="30" t="str">
        <x:v>M02</x:v>
      </x:c>
      <x:c r="G349" s="30" t="str">
        <x:v>未开始</x:v>
      </x:c>
      <x:c r="H349" s="30" t="str"/>
      <x:c r="I349" s="30" t="str"/>
      <x:c r="J349" s="30" t="str"/>
      <x:c r="K349" s="30" t="str"/>
      <x:c r="L349" s="30" t="str"/>
      <x:c r="M349" s="30" t="str"/>
      <x:c r="N349" s="30" t="str"/>
      <x:c r="O349" s="30" t="str"/>
      <x:c r="P349" s="30" t="str"/>
      <x:c r="Q349" s="31" t="str"/>
      <x:c r="R349" s="31" t="str"/>
      <x:c r="S349" s="30" t="str"/>
      <x:c r="T349" s="30" t="str"/>
      <x:c r="U349" s="30" t="str"/>
      <x:c r="V349" s="40" t="str">
        <x:f>IF(B349="","",COUNTA(H349:L349)/5)</x:f>
      </x:c>
    </x:row>
    <x:row r="350">
      <x:c r="A350" s="30" t="str">
        <x:f>IF(B350="","",B350&amp;"-"&amp;C350)</x:f>
      </x:c>
      <x:c r="B350" s="30" t="str">
        <x:f>'01_命例主档'!A25</x:f>
      </x:c>
      <x:c r="C350" s="30" t="str">
        <x:v>M04</x:v>
      </x:c>
      <x:c r="D350" s="30" t="str">
        <x:v>天干作用识别</x:v>
      </x:c>
      <x:c r="E350" s="30" t="str">
        <x:v>识别层</x:v>
      </x:c>
      <x:c r="F350" s="30" t="str">
        <x:v>M02</x:v>
      </x:c>
      <x:c r="G350" s="30" t="str">
        <x:v>未开始</x:v>
      </x:c>
      <x:c r="H350" s="30" t="str"/>
      <x:c r="I350" s="30" t="str"/>
      <x:c r="J350" s="30" t="str"/>
      <x:c r="K350" s="30" t="str"/>
      <x:c r="L350" s="30" t="str"/>
      <x:c r="M350" s="30" t="str"/>
      <x:c r="N350" s="30" t="str"/>
      <x:c r="O350" s="30" t="str"/>
      <x:c r="P350" s="30" t="str"/>
      <x:c r="Q350" s="31" t="str"/>
      <x:c r="R350" s="31" t="str"/>
      <x:c r="S350" s="30" t="str"/>
      <x:c r="T350" s="30" t="str"/>
      <x:c r="U350" s="30" t="str"/>
      <x:c r="V350" s="40" t="str">
        <x:f>IF(B350="","",COUNTA(H350:L350)/5)</x:f>
      </x:c>
    </x:row>
    <x:row r="351">
      <x:c r="A351" s="30" t="str">
        <x:f>IF(B351="","",B351&amp;"-"&amp;C351)</x:f>
      </x:c>
      <x:c r="B351" s="30" t="str">
        <x:f>'01_命例主档'!A25</x:f>
      </x:c>
      <x:c r="C351" s="30" t="str">
        <x:v>M05</x:v>
      </x:c>
      <x:c r="D351" s="30" t="str">
        <x:v>地支关系识别</x:v>
      </x:c>
      <x:c r="E351" s="30" t="str">
        <x:v>识别层</x:v>
      </x:c>
      <x:c r="F351" s="30" t="str">
        <x:v>M02</x:v>
      </x:c>
      <x:c r="G351" s="30" t="str">
        <x:v>未开始</x:v>
      </x:c>
      <x:c r="H351" s="30" t="str"/>
      <x:c r="I351" s="30" t="str"/>
      <x:c r="J351" s="30" t="str"/>
      <x:c r="K351" s="30" t="str"/>
      <x:c r="L351" s="30" t="str"/>
      <x:c r="M351" s="30" t="str"/>
      <x:c r="N351" s="30" t="str"/>
      <x:c r="O351" s="30" t="str"/>
      <x:c r="P351" s="30" t="str"/>
      <x:c r="Q351" s="31" t="str"/>
      <x:c r="R351" s="31" t="str"/>
      <x:c r="S351" s="30" t="str"/>
      <x:c r="T351" s="30" t="str"/>
      <x:c r="U351" s="30" t="str"/>
      <x:c r="V351" s="40" t="str">
        <x:f>IF(B351="","",COUNTA(H351:L351)/5)</x:f>
      </x:c>
    </x:row>
    <x:row r="352">
      <x:c r="A352" s="30" t="str">
        <x:f>IF(B352="","",B352&amp;"-"&amp;C352)</x:f>
      </x:c>
      <x:c r="B352" s="30" t="str">
        <x:f>'01_命例主档'!A25</x:f>
      </x:c>
      <x:c r="C352" s="30" t="str">
        <x:v>M06</x:v>
      </x:c>
      <x:c r="D352" s="30" t="str">
        <x:v>干支关系效应</x:v>
      </x:c>
      <x:c r="E352" s="30" t="str">
        <x:v>效应层</x:v>
      </x:c>
      <x:c r="F352" s="30" t="str">
        <x:v>M03/M04/M05</x:v>
      </x:c>
      <x:c r="G352" s="30" t="str">
        <x:v>未开始</x:v>
      </x:c>
      <x:c r="H352" s="30" t="str"/>
      <x:c r="I352" s="30" t="str"/>
      <x:c r="J352" s="30" t="str"/>
      <x:c r="K352" s="30" t="str"/>
      <x:c r="L352" s="30" t="str"/>
      <x:c r="M352" s="30" t="str"/>
      <x:c r="N352" s="30" t="str"/>
      <x:c r="O352" s="30" t="str"/>
      <x:c r="P352" s="30" t="str"/>
      <x:c r="Q352" s="31" t="str"/>
      <x:c r="R352" s="31" t="str"/>
      <x:c r="S352" s="30" t="str"/>
      <x:c r="T352" s="30" t="str"/>
      <x:c r="U352" s="30" t="str"/>
      <x:c r="V352" s="40" t="str">
        <x:f>IF(B352="","",COUNTA(H352:L352)/5)</x:f>
      </x:c>
    </x:row>
    <x:row r="353">
      <x:c r="A353" s="30" t="str">
        <x:f>IF(B353="","",B353&amp;"-"&amp;C353)</x:f>
      </x:c>
      <x:c r="B353" s="30" t="str">
        <x:f>'01_命例主档'!A25</x:f>
      </x:c>
      <x:c r="C353" s="30" t="str">
        <x:v>M07</x:v>
      </x:c>
      <x:c r="D353" s="30" t="str">
        <x:v>五行原始旺衰</x:v>
      </x:c>
      <x:c r="E353" s="30" t="str">
        <x:v>结构层</x:v>
      </x:c>
      <x:c r="F353" s="30" t="str">
        <x:v>M02/M03</x:v>
      </x:c>
      <x:c r="G353" s="30" t="str">
        <x:v>未开始</x:v>
      </x:c>
      <x:c r="H353" s="30" t="str"/>
      <x:c r="I353" s="30" t="str"/>
      <x:c r="J353" s="30" t="str"/>
      <x:c r="K353" s="30" t="str"/>
      <x:c r="L353" s="30" t="str"/>
      <x:c r="M353" s="30" t="str"/>
      <x:c r="N353" s="30" t="str"/>
      <x:c r="O353" s="30" t="str"/>
      <x:c r="P353" s="30" t="str"/>
      <x:c r="Q353" s="31" t="str"/>
      <x:c r="R353" s="31" t="str"/>
      <x:c r="S353" s="30" t="str"/>
      <x:c r="T353" s="30" t="str"/>
      <x:c r="U353" s="30" t="str"/>
      <x:c r="V353" s="40" t="str">
        <x:f>IF(B353="","",COUNTA(H353:L353)/5)</x:f>
      </x:c>
    </x:row>
    <x:row r="354">
      <x:c r="A354" s="30" t="str">
        <x:f>IF(B354="","",B354&amp;"-"&amp;C354)</x:f>
      </x:c>
      <x:c r="B354" s="30" t="str">
        <x:f>'01_命例主档'!A25</x:f>
      </x:c>
      <x:c r="C354" s="30" t="str">
        <x:v>M08</x:v>
      </x:c>
      <x:c r="D354" s="30" t="str">
        <x:v>五行有效旺衰</x:v>
      </x:c>
      <x:c r="E354" s="30" t="str">
        <x:v>结构层</x:v>
      </x:c>
      <x:c r="F354" s="30" t="str">
        <x:v>M06/M07</x:v>
      </x:c>
      <x:c r="G354" s="30" t="str">
        <x:v>未开始</x:v>
      </x:c>
      <x:c r="H354" s="30" t="str"/>
      <x:c r="I354" s="30" t="str"/>
      <x:c r="J354" s="30" t="str"/>
      <x:c r="K354" s="30" t="str"/>
      <x:c r="L354" s="30" t="str"/>
      <x:c r="M354" s="30" t="str"/>
      <x:c r="N354" s="30" t="str"/>
      <x:c r="O354" s="30" t="str"/>
      <x:c r="P354" s="30" t="str"/>
      <x:c r="Q354" s="31" t="str"/>
      <x:c r="R354" s="31" t="str"/>
      <x:c r="S354" s="30" t="str"/>
      <x:c r="T354" s="30" t="str"/>
      <x:c r="U354" s="30" t="str"/>
      <x:c r="V354" s="40" t="str">
        <x:f>IF(B354="","",COUNTA(H354:L354)/5)</x:f>
      </x:c>
    </x:row>
    <x:row r="355">
      <x:c r="A355" s="30" t="str">
        <x:f>IF(B355="","",B355&amp;"-"&amp;C355)</x:f>
      </x:c>
      <x:c r="B355" s="30" t="str">
        <x:f>'01_命例主档'!A25</x:f>
      </x:c>
      <x:c r="C355" s="30" t="str">
        <x:v>M09</x:v>
      </x:c>
      <x:c r="D355" s="30" t="str">
        <x:v>日主旺衰</x:v>
      </x:c>
      <x:c r="E355" s="30" t="str">
        <x:v>综合层</x:v>
      </x:c>
      <x:c r="F355" s="30" t="str">
        <x:v>M03/M07/M08</x:v>
      </x:c>
      <x:c r="G355" s="30" t="str">
        <x:v>未开始</x:v>
      </x:c>
      <x:c r="H355" s="30" t="str"/>
      <x:c r="I355" s="30" t="str"/>
      <x:c r="J355" s="30" t="str"/>
      <x:c r="K355" s="30" t="str"/>
      <x:c r="L355" s="30" t="str"/>
      <x:c r="M355" s="30" t="str"/>
      <x:c r="N355" s="30" t="str"/>
      <x:c r="O355" s="30" t="str"/>
      <x:c r="P355" s="30" t="str"/>
      <x:c r="Q355" s="31" t="str"/>
      <x:c r="R355" s="31" t="str"/>
      <x:c r="S355" s="30" t="str"/>
      <x:c r="T355" s="30" t="str"/>
      <x:c r="U355" s="30" t="str"/>
      <x:c r="V355" s="40" t="str">
        <x:f>IF(B355="","",COUNTA(H355:L355)/5)</x:f>
      </x:c>
    </x:row>
    <x:row r="356">
      <x:c r="A356" s="30" t="str">
        <x:f>IF(B356="","",B356&amp;"-"&amp;C356)</x:f>
      </x:c>
      <x:c r="B356" s="30" t="str">
        <x:f>'01_命例主档'!A25</x:f>
      </x:c>
      <x:c r="C356" s="30" t="str">
        <x:v>M10</x:v>
      </x:c>
      <x:c r="D356" s="30" t="str">
        <x:v>十神旺衰功能</x:v>
      </x:c>
      <x:c r="E356" s="30" t="str">
        <x:v>结构层</x:v>
      </x:c>
      <x:c r="F356" s="30" t="str">
        <x:v>M02/M08/M09</x:v>
      </x:c>
      <x:c r="G356" s="30" t="str">
        <x:v>未开始</x:v>
      </x:c>
      <x:c r="H356" s="30" t="str"/>
      <x:c r="I356" s="30" t="str"/>
      <x:c r="J356" s="30" t="str"/>
      <x:c r="K356" s="30" t="str"/>
      <x:c r="L356" s="30" t="str"/>
      <x:c r="M356" s="30" t="str"/>
      <x:c r="N356" s="30" t="str"/>
      <x:c r="O356" s="30" t="str"/>
      <x:c r="P356" s="30" t="str"/>
      <x:c r="Q356" s="31" t="str"/>
      <x:c r="R356" s="31" t="str"/>
      <x:c r="S356" s="30" t="str"/>
      <x:c r="T356" s="30" t="str"/>
      <x:c r="U356" s="30" t="str"/>
      <x:c r="V356" s="40" t="str">
        <x:f>IF(B356="","",COUNTA(H356:L356)/5)</x:f>
      </x:c>
    </x:row>
    <x:row r="357">
      <x:c r="A357" s="30" t="str">
        <x:f>IF(B357="","",B357&amp;"-"&amp;C357)</x:f>
      </x:c>
      <x:c r="B357" s="30" t="str">
        <x:f>'01_命例主档'!A25</x:f>
      </x:c>
      <x:c r="C357" s="30" t="str">
        <x:v>M11</x:v>
      </x:c>
      <x:c r="D357" s="30" t="str">
        <x:v>十神组合成立</x:v>
      </x:c>
      <x:c r="E357" s="30" t="str">
        <x:v>结构层</x:v>
      </x:c>
      <x:c r="F357" s="30" t="str">
        <x:v>M08/M09/M10</x:v>
      </x:c>
      <x:c r="G357" s="30" t="str">
        <x:v>未开始</x:v>
      </x:c>
      <x:c r="H357" s="30" t="str"/>
      <x:c r="I357" s="30" t="str"/>
      <x:c r="J357" s="30" t="str"/>
      <x:c r="K357" s="30" t="str"/>
      <x:c r="L357" s="30" t="str"/>
      <x:c r="M357" s="30" t="str"/>
      <x:c r="N357" s="30" t="str"/>
      <x:c r="O357" s="30" t="str"/>
      <x:c r="P357" s="30" t="str"/>
      <x:c r="Q357" s="31" t="str"/>
      <x:c r="R357" s="31" t="str"/>
      <x:c r="S357" s="30" t="str"/>
      <x:c r="T357" s="30" t="str"/>
      <x:c r="U357" s="30" t="str"/>
      <x:c r="V357" s="40" t="str">
        <x:f>IF(B357="","",COUNTA(H357:L357)/5)</x:f>
      </x:c>
    </x:row>
    <x:row r="358">
      <x:c r="A358" s="30" t="str">
        <x:f>IF(B358="","",B358&amp;"-"&amp;C358)</x:f>
      </x:c>
      <x:c r="B358" s="30" t="str">
        <x:f>'01_命例主档'!A25</x:f>
      </x:c>
      <x:c r="C358" s="30" t="str">
        <x:v>M12</x:v>
      </x:c>
      <x:c r="D358" s="30" t="str">
        <x:v>五行流通卡点</x:v>
      </x:c>
      <x:c r="E358" s="30" t="str">
        <x:v>结构层</x:v>
      </x:c>
      <x:c r="F358" s="30" t="str">
        <x:v>M06/M08/M10/M11</x:v>
      </x:c>
      <x:c r="G358" s="30" t="str">
        <x:v>未开始</x:v>
      </x:c>
      <x:c r="H358" s="30" t="str"/>
      <x:c r="I358" s="30" t="str"/>
      <x:c r="J358" s="30" t="str"/>
      <x:c r="K358" s="30" t="str"/>
      <x:c r="L358" s="30" t="str"/>
      <x:c r="M358" s="30" t="str"/>
      <x:c r="N358" s="30" t="str"/>
      <x:c r="O358" s="30" t="str"/>
      <x:c r="P358" s="30" t="str"/>
      <x:c r="Q358" s="31" t="str"/>
      <x:c r="R358" s="31" t="str"/>
      <x:c r="S358" s="30" t="str"/>
      <x:c r="T358" s="30" t="str"/>
      <x:c r="U358" s="30" t="str"/>
      <x:c r="V358" s="40" t="str">
        <x:f>IF(B358="","",COUNTA(H358:L358)/5)</x:f>
      </x:c>
    </x:row>
    <x:row r="359">
      <x:c r="A359" s="30" t="str">
        <x:f>IF(B359="","",B359&amp;"-"&amp;C359)</x:f>
      </x:c>
      <x:c r="B359" s="30" t="str">
        <x:f>'01_命例主档'!A25</x:f>
      </x:c>
      <x:c r="C359" s="30" t="str">
        <x:v>M13</x:v>
      </x:c>
      <x:c r="D359" s="30" t="str">
        <x:v>寒暖燥湿</x:v>
      </x:c>
      <x:c r="E359" s="30" t="str">
        <x:v>结构层</x:v>
      </x:c>
      <x:c r="F359" s="30" t="str">
        <x:v>M02/M08/M12</x:v>
      </x:c>
      <x:c r="G359" s="30" t="str">
        <x:v>未开始</x:v>
      </x:c>
      <x:c r="H359" s="30" t="str"/>
      <x:c r="I359" s="30" t="str"/>
      <x:c r="J359" s="30" t="str"/>
      <x:c r="K359" s="30" t="str"/>
      <x:c r="L359" s="30" t="str"/>
      <x:c r="M359" s="30" t="str"/>
      <x:c r="N359" s="30" t="str"/>
      <x:c r="O359" s="30" t="str"/>
      <x:c r="P359" s="30" t="str"/>
      <x:c r="Q359" s="31" t="str"/>
      <x:c r="R359" s="31" t="str"/>
      <x:c r="S359" s="30" t="str"/>
      <x:c r="T359" s="30" t="str"/>
      <x:c r="U359" s="30" t="str"/>
      <x:c r="V359" s="40" t="str">
        <x:f>IF(B359="","",COUNTA(H359:L359)/5)</x:f>
      </x:c>
    </x:row>
    <x:row r="360">
      <x:c r="A360" s="30" t="str">
        <x:f>IF(B360="","",B360&amp;"-"&amp;C360)</x:f>
      </x:c>
      <x:c r="B360" s="30" t="str">
        <x:f>'01_命例主档'!A25</x:f>
      </x:c>
      <x:c r="C360" s="30" t="str">
        <x:v>M14</x:v>
      </x:c>
      <x:c r="D360" s="30" t="str">
        <x:v>格局候选判断</x:v>
      </x:c>
      <x:c r="E360" s="30" t="str">
        <x:v>综合层</x:v>
      </x:c>
      <x:c r="F360" s="30" t="str">
        <x:v>M03/M06/M08/M09/M10/M11</x:v>
      </x:c>
      <x:c r="G360" s="30" t="str">
        <x:v>未开始</x:v>
      </x:c>
      <x:c r="H360" s="30" t="str"/>
      <x:c r="I360" s="30" t="str"/>
      <x:c r="J360" s="30" t="str"/>
      <x:c r="K360" s="30" t="str"/>
      <x:c r="L360" s="30" t="str"/>
      <x:c r="M360" s="30" t="str"/>
      <x:c r="N360" s="30" t="str"/>
      <x:c r="O360" s="30" t="str"/>
      <x:c r="P360" s="30" t="str"/>
      <x:c r="Q360" s="31" t="str"/>
      <x:c r="R360" s="31" t="str"/>
      <x:c r="S360" s="30" t="str"/>
      <x:c r="T360" s="30" t="str"/>
      <x:c r="U360" s="30" t="str"/>
      <x:c r="V360" s="40" t="str">
        <x:f>IF(B360="","",COUNTA(H360:L360)/5)</x:f>
      </x:c>
    </x:row>
    <x:row r="361">
      <x:c r="A361" s="30" t="str">
        <x:f>IF(B361="","",B361&amp;"-"&amp;C361)</x:f>
      </x:c>
      <x:c r="B361" s="30" t="str">
        <x:f>'01_命例主档'!A25</x:f>
      </x:c>
      <x:c r="C361" s="30" t="str">
        <x:v>M15</x:v>
      </x:c>
      <x:c r="D361" s="30" t="str">
        <x:v>格局成败救应</x:v>
      </x:c>
      <x:c r="E361" s="30" t="str">
        <x:v>综合层</x:v>
      </x:c>
      <x:c r="F361" s="30" t="str">
        <x:v>M14/M11/M08</x:v>
      </x:c>
      <x:c r="G361" s="30" t="str">
        <x:v>未开始</x:v>
      </x:c>
      <x:c r="H361" s="30" t="str"/>
      <x:c r="I361" s="30" t="str"/>
      <x:c r="J361" s="30" t="str"/>
      <x:c r="K361" s="30" t="str"/>
      <x:c r="L361" s="30" t="str"/>
      <x:c r="M361" s="30" t="str"/>
      <x:c r="N361" s="30" t="str"/>
      <x:c r="O361" s="30" t="str"/>
      <x:c r="P361" s="30" t="str"/>
      <x:c r="Q361" s="31" t="str"/>
      <x:c r="R361" s="31" t="str"/>
      <x:c r="S361" s="30" t="str"/>
      <x:c r="T361" s="30" t="str"/>
      <x:c r="U361" s="30" t="str"/>
      <x:c r="V361" s="40" t="str">
        <x:f>IF(B361="","",COUNTA(H361:L361)/5)</x:f>
      </x:c>
    </x:row>
    <x:row r="362">
      <x:c r="A362" s="30" t="str">
        <x:f>IF(B362="","",B362&amp;"-"&amp;C362)</x:f>
      </x:c>
      <x:c r="B362" s="30" t="str">
        <x:f>'01_命例主档'!A25</x:f>
      </x:c>
      <x:c r="C362" s="30" t="str">
        <x:v>M16</x:v>
      </x:c>
      <x:c r="D362" s="30" t="str">
        <x:v>病药模型</x:v>
      </x:c>
      <x:c r="E362" s="30" t="str">
        <x:v>综合层</x:v>
      </x:c>
      <x:c r="F362" s="30" t="str">
        <x:v>M08-M15</x:v>
      </x:c>
      <x:c r="G362" s="30" t="str">
        <x:v>未开始</x:v>
      </x:c>
      <x:c r="H362" s="30" t="str"/>
      <x:c r="I362" s="30" t="str"/>
      <x:c r="J362" s="30" t="str"/>
      <x:c r="K362" s="30" t="str"/>
      <x:c r="L362" s="30" t="str"/>
      <x:c r="M362" s="30" t="str"/>
      <x:c r="N362" s="30" t="str"/>
      <x:c r="O362" s="30" t="str"/>
      <x:c r="P362" s="30" t="str"/>
      <x:c r="Q362" s="31" t="str"/>
      <x:c r="R362" s="31" t="str"/>
      <x:c r="S362" s="30" t="str"/>
      <x:c r="T362" s="30" t="str"/>
      <x:c r="U362" s="30" t="str"/>
      <x:c r="V362" s="40" t="str">
        <x:f>IF(B362="","",COUNTA(H362:L362)/5)</x:f>
      </x:c>
    </x:row>
    <x:row r="363">
      <x:c r="A363" s="30" t="str">
        <x:f>IF(B363="","",B363&amp;"-"&amp;C363)</x:f>
      </x:c>
      <x:c r="B363" s="30" t="str">
        <x:f>'01_命例主档'!A25</x:f>
      </x:c>
      <x:c r="C363" s="30" t="str">
        <x:v>M17</x:v>
      </x:c>
      <x:c r="D363" s="30" t="str">
        <x:v>喜忌用神矩阵</x:v>
      </x:c>
      <x:c r="E363" s="30" t="str">
        <x:v>综合层</x:v>
      </x:c>
      <x:c r="F363" s="30" t="str">
        <x:v>M09/M12/M13/M15/M16</x:v>
      </x:c>
      <x:c r="G363" s="30" t="str">
        <x:v>未开始</x:v>
      </x:c>
      <x:c r="H363" s="30" t="str"/>
      <x:c r="I363" s="30" t="str"/>
      <x:c r="J363" s="30" t="str"/>
      <x:c r="K363" s="30" t="str"/>
      <x:c r="L363" s="30" t="str"/>
      <x:c r="M363" s="30" t="str"/>
      <x:c r="N363" s="30" t="str"/>
      <x:c r="O363" s="30" t="str"/>
      <x:c r="P363" s="30" t="str"/>
      <x:c r="Q363" s="31" t="str"/>
      <x:c r="R363" s="31" t="str"/>
      <x:c r="S363" s="30" t="str"/>
      <x:c r="T363" s="30" t="str"/>
      <x:c r="U363" s="30" t="str"/>
      <x:c r="V363" s="40" t="str">
        <x:f>IF(B363="","",COUNTA(H363:L363)/5)</x:f>
      </x:c>
    </x:row>
    <x:row r="364">
      <x:c r="A364" s="30" t="str">
        <x:f>IF(B364="","",B364&amp;"-"&amp;C364)</x:f>
      </x:c>
      <x:c r="B364" s="30" t="str">
        <x:f>'01_命例主档'!A25</x:f>
      </x:c>
      <x:c r="C364" s="30" t="str">
        <x:v>M18</x:v>
      </x:c>
      <x:c r="D364" s="30" t="str">
        <x:v>冲突裁决规则</x:v>
      </x:c>
      <x:c r="E364" s="30" t="str">
        <x:v>综合层</x:v>
      </x:c>
      <x:c r="F364" s="30" t="str">
        <x:v>M14/M15/M16/M17</x:v>
      </x:c>
      <x:c r="G364" s="30" t="str">
        <x:v>未开始</x:v>
      </x:c>
      <x:c r="H364" s="30" t="str"/>
      <x:c r="I364" s="30" t="str"/>
      <x:c r="J364" s="30" t="str"/>
      <x:c r="K364" s="30" t="str"/>
      <x:c r="L364" s="30" t="str"/>
      <x:c r="M364" s="30" t="str"/>
      <x:c r="N364" s="30" t="str"/>
      <x:c r="O364" s="30" t="str"/>
      <x:c r="P364" s="30" t="str"/>
      <x:c r="Q364" s="31" t="str"/>
      <x:c r="R364" s="31" t="str"/>
      <x:c r="S364" s="30" t="str"/>
      <x:c r="T364" s="30" t="str"/>
      <x:c r="U364" s="30" t="str"/>
      <x:c r="V364" s="40" t="str">
        <x:f>IF(B364="","",COUNTA(H364:L364)/5)</x:f>
      </x:c>
    </x:row>
    <x:row r="365">
      <x:c r="A365" s="30" t="str">
        <x:f>IF(B365="","",B365&amp;"-"&amp;C365)</x:f>
      </x:c>
      <x:c r="B365" s="30" t="str">
        <x:f>'01_命例主档'!A25</x:f>
      </x:c>
      <x:c r="C365" s="30" t="str">
        <x:v>M19</x:v>
      </x:c>
      <x:c r="D365" s="30" t="str">
        <x:v>综合输出模板</x:v>
      </x:c>
      <x:c r="E365" s="30" t="str">
        <x:v>治理与输出</x:v>
      </x:c>
      <x:c r="F365" s="30" t="str">
        <x:v>M02-M18</x:v>
      </x:c>
      <x:c r="G365" s="30" t="str">
        <x:v>未开始</x:v>
      </x:c>
      <x:c r="H365" s="30" t="str"/>
      <x:c r="I365" s="30" t="str"/>
      <x:c r="J365" s="30" t="str"/>
      <x:c r="K365" s="30" t="str"/>
      <x:c r="L365" s="30" t="str"/>
      <x:c r="M365" s="30" t="str"/>
      <x:c r="N365" s="30" t="str"/>
      <x:c r="O365" s="30" t="str"/>
      <x:c r="P365" s="30" t="str"/>
      <x:c r="Q365" s="31" t="str"/>
      <x:c r="R365" s="31" t="str"/>
      <x:c r="S365" s="30" t="str"/>
      <x:c r="T365" s="30" t="str"/>
      <x:c r="U365" s="30" t="str"/>
      <x:c r="V365" s="40" t="str">
        <x:f>IF(B365="","",COUNTA(H365:L365)/5)</x:f>
      </x:c>
    </x:row>
    <x:row r="366">
      <x:c r="A366" s="30" t="str">
        <x:f>IF(B366="","",B366&amp;"-"&amp;C366)</x:f>
      </x:c>
      <x:c r="B366" s="30" t="str">
        <x:f>'01_命例主档'!A26</x:f>
      </x:c>
      <x:c r="C366" s="30" t="str">
        <x:v>M02</x:v>
      </x:c>
      <x:c r="D366" s="30" t="str">
        <x:v>干支藏干基础</x:v>
      </x:c>
      <x:c r="E366" s="30" t="str">
        <x:v>识别层</x:v>
      </x:c>
      <x:c r="F366" s="30" t="str">
        <x:v>无</x:v>
      </x:c>
      <x:c r="G366" s="30" t="str">
        <x:v>未开始</x:v>
      </x:c>
      <x:c r="H366" s="30" t="str"/>
      <x:c r="I366" s="30" t="str"/>
      <x:c r="J366" s="30" t="str"/>
      <x:c r="K366" s="30" t="str"/>
      <x:c r="L366" s="30" t="str"/>
      <x:c r="M366" s="30" t="str"/>
      <x:c r="N366" s="30" t="str"/>
      <x:c r="O366" s="30" t="str"/>
      <x:c r="P366" s="30" t="str"/>
      <x:c r="Q366" s="31" t="str"/>
      <x:c r="R366" s="31" t="str"/>
      <x:c r="S366" s="30" t="str"/>
      <x:c r="T366" s="30" t="str"/>
      <x:c r="U366" s="30" t="str"/>
      <x:c r="V366" s="40" t="str">
        <x:f>IF(B366="","",COUNTA(H366:L366)/5)</x:f>
      </x:c>
    </x:row>
    <x:row r="367">
      <x:c r="A367" s="30" t="str">
        <x:f>IF(B367="","",B367&amp;"-"&amp;C367)</x:f>
      </x:c>
      <x:c r="B367" s="30" t="str">
        <x:f>'01_命例主档'!A26</x:f>
      </x:c>
      <x:c r="C367" s="30" t="str">
        <x:v>M03</x:v>
      </x:c>
      <x:c r="D367" s="30" t="str">
        <x:v>月令与根气</x:v>
      </x:c>
      <x:c r="E367" s="30" t="str">
        <x:v>结构层</x:v>
      </x:c>
      <x:c r="F367" s="30" t="str">
        <x:v>M02</x:v>
      </x:c>
      <x:c r="G367" s="30" t="str">
        <x:v>未开始</x:v>
      </x:c>
      <x:c r="H367" s="30" t="str"/>
      <x:c r="I367" s="30" t="str"/>
      <x:c r="J367" s="30" t="str"/>
      <x:c r="K367" s="30" t="str"/>
      <x:c r="L367" s="30" t="str"/>
      <x:c r="M367" s="30" t="str"/>
      <x:c r="N367" s="30" t="str"/>
      <x:c r="O367" s="30" t="str"/>
      <x:c r="P367" s="30" t="str"/>
      <x:c r="Q367" s="31" t="str"/>
      <x:c r="R367" s="31" t="str"/>
      <x:c r="S367" s="30" t="str"/>
      <x:c r="T367" s="30" t="str"/>
      <x:c r="U367" s="30" t="str"/>
      <x:c r="V367" s="40" t="str">
        <x:f>IF(B367="","",COUNTA(H367:L367)/5)</x:f>
      </x:c>
    </x:row>
    <x:row r="368">
      <x:c r="A368" s="30" t="str">
        <x:f>IF(B368="","",B368&amp;"-"&amp;C368)</x:f>
      </x:c>
      <x:c r="B368" s="30" t="str">
        <x:f>'01_命例主档'!A26</x:f>
      </x:c>
      <x:c r="C368" s="30" t="str">
        <x:v>M04</x:v>
      </x:c>
      <x:c r="D368" s="30" t="str">
        <x:v>天干作用识别</x:v>
      </x:c>
      <x:c r="E368" s="30" t="str">
        <x:v>识别层</x:v>
      </x:c>
      <x:c r="F368" s="30" t="str">
        <x:v>M02</x:v>
      </x:c>
      <x:c r="G368" s="30" t="str">
        <x:v>未开始</x:v>
      </x:c>
      <x:c r="H368" s="30" t="str"/>
      <x:c r="I368" s="30" t="str"/>
      <x:c r="J368" s="30" t="str"/>
      <x:c r="K368" s="30" t="str"/>
      <x:c r="L368" s="30" t="str"/>
      <x:c r="M368" s="30" t="str"/>
      <x:c r="N368" s="30" t="str"/>
      <x:c r="O368" s="30" t="str"/>
      <x:c r="P368" s="30" t="str"/>
      <x:c r="Q368" s="31" t="str"/>
      <x:c r="R368" s="31" t="str"/>
      <x:c r="S368" s="30" t="str"/>
      <x:c r="T368" s="30" t="str"/>
      <x:c r="U368" s="30" t="str"/>
      <x:c r="V368" s="40" t="str">
        <x:f>IF(B368="","",COUNTA(H368:L368)/5)</x:f>
      </x:c>
    </x:row>
    <x:row r="369">
      <x:c r="A369" s="30" t="str">
        <x:f>IF(B369="","",B369&amp;"-"&amp;C369)</x:f>
      </x:c>
      <x:c r="B369" s="30" t="str">
        <x:f>'01_命例主档'!A26</x:f>
      </x:c>
      <x:c r="C369" s="30" t="str">
        <x:v>M05</x:v>
      </x:c>
      <x:c r="D369" s="30" t="str">
        <x:v>地支关系识别</x:v>
      </x:c>
      <x:c r="E369" s="30" t="str">
        <x:v>识别层</x:v>
      </x:c>
      <x:c r="F369" s="30" t="str">
        <x:v>M02</x:v>
      </x:c>
      <x:c r="G369" s="30" t="str">
        <x:v>未开始</x:v>
      </x:c>
      <x:c r="H369" s="30" t="str"/>
      <x:c r="I369" s="30" t="str"/>
      <x:c r="J369" s="30" t="str"/>
      <x:c r="K369" s="30" t="str"/>
      <x:c r="L369" s="30" t="str"/>
      <x:c r="M369" s="30" t="str"/>
      <x:c r="N369" s="30" t="str"/>
      <x:c r="O369" s="30" t="str"/>
      <x:c r="P369" s="30" t="str"/>
      <x:c r="Q369" s="31" t="str"/>
      <x:c r="R369" s="31" t="str"/>
      <x:c r="S369" s="30" t="str"/>
      <x:c r="T369" s="30" t="str"/>
      <x:c r="U369" s="30" t="str"/>
      <x:c r="V369" s="40" t="str">
        <x:f>IF(B369="","",COUNTA(H369:L369)/5)</x:f>
      </x:c>
    </x:row>
    <x:row r="370">
      <x:c r="A370" s="30" t="str">
        <x:f>IF(B370="","",B370&amp;"-"&amp;C370)</x:f>
      </x:c>
      <x:c r="B370" s="30" t="str">
        <x:f>'01_命例主档'!A26</x:f>
      </x:c>
      <x:c r="C370" s="30" t="str">
        <x:v>M06</x:v>
      </x:c>
      <x:c r="D370" s="30" t="str">
        <x:v>干支关系效应</x:v>
      </x:c>
      <x:c r="E370" s="30" t="str">
        <x:v>效应层</x:v>
      </x:c>
      <x:c r="F370" s="30" t="str">
        <x:v>M03/M04/M05</x:v>
      </x:c>
      <x:c r="G370" s="30" t="str">
        <x:v>未开始</x:v>
      </x:c>
      <x:c r="H370" s="30" t="str"/>
      <x:c r="I370" s="30" t="str"/>
      <x:c r="J370" s="30" t="str"/>
      <x:c r="K370" s="30" t="str"/>
      <x:c r="L370" s="30" t="str"/>
      <x:c r="M370" s="30" t="str"/>
      <x:c r="N370" s="30" t="str"/>
      <x:c r="O370" s="30" t="str"/>
      <x:c r="P370" s="30" t="str"/>
      <x:c r="Q370" s="31" t="str"/>
      <x:c r="R370" s="31" t="str"/>
      <x:c r="S370" s="30" t="str"/>
      <x:c r="T370" s="30" t="str"/>
      <x:c r="U370" s="30" t="str"/>
      <x:c r="V370" s="40" t="str">
        <x:f>IF(B370="","",COUNTA(H370:L370)/5)</x:f>
      </x:c>
    </x:row>
    <x:row r="371">
      <x:c r="A371" s="30" t="str">
        <x:f>IF(B371="","",B371&amp;"-"&amp;C371)</x:f>
      </x:c>
      <x:c r="B371" s="30" t="str">
        <x:f>'01_命例主档'!A26</x:f>
      </x:c>
      <x:c r="C371" s="30" t="str">
        <x:v>M07</x:v>
      </x:c>
      <x:c r="D371" s="30" t="str">
        <x:v>五行原始旺衰</x:v>
      </x:c>
      <x:c r="E371" s="30" t="str">
        <x:v>结构层</x:v>
      </x:c>
      <x:c r="F371" s="30" t="str">
        <x:v>M02/M03</x:v>
      </x:c>
      <x:c r="G371" s="30" t="str">
        <x:v>未开始</x:v>
      </x:c>
      <x:c r="H371" s="30" t="str"/>
      <x:c r="I371" s="30" t="str"/>
      <x:c r="J371" s="30" t="str"/>
      <x:c r="K371" s="30" t="str"/>
      <x:c r="L371" s="30" t="str"/>
      <x:c r="M371" s="30" t="str"/>
      <x:c r="N371" s="30" t="str"/>
      <x:c r="O371" s="30" t="str"/>
      <x:c r="P371" s="30" t="str"/>
      <x:c r="Q371" s="31" t="str"/>
      <x:c r="R371" s="31" t="str"/>
      <x:c r="S371" s="30" t="str"/>
      <x:c r="T371" s="30" t="str"/>
      <x:c r="U371" s="30" t="str"/>
      <x:c r="V371" s="40" t="str">
        <x:f>IF(B371="","",COUNTA(H371:L371)/5)</x:f>
      </x:c>
    </x:row>
    <x:row r="372">
      <x:c r="A372" s="30" t="str">
        <x:f>IF(B372="","",B372&amp;"-"&amp;C372)</x:f>
      </x:c>
      <x:c r="B372" s="30" t="str">
        <x:f>'01_命例主档'!A26</x:f>
      </x:c>
      <x:c r="C372" s="30" t="str">
        <x:v>M08</x:v>
      </x:c>
      <x:c r="D372" s="30" t="str">
        <x:v>五行有效旺衰</x:v>
      </x:c>
      <x:c r="E372" s="30" t="str">
        <x:v>结构层</x:v>
      </x:c>
      <x:c r="F372" s="30" t="str">
        <x:v>M06/M07</x:v>
      </x:c>
      <x:c r="G372" s="30" t="str">
        <x:v>未开始</x:v>
      </x:c>
      <x:c r="H372" s="30" t="str"/>
      <x:c r="I372" s="30" t="str"/>
      <x:c r="J372" s="30" t="str"/>
      <x:c r="K372" s="30" t="str"/>
      <x:c r="L372" s="30" t="str"/>
      <x:c r="M372" s="30" t="str"/>
      <x:c r="N372" s="30" t="str"/>
      <x:c r="O372" s="30" t="str"/>
      <x:c r="P372" s="30" t="str"/>
      <x:c r="Q372" s="31" t="str"/>
      <x:c r="R372" s="31" t="str"/>
      <x:c r="S372" s="30" t="str"/>
      <x:c r="T372" s="30" t="str"/>
      <x:c r="U372" s="30" t="str"/>
      <x:c r="V372" s="40" t="str">
        <x:f>IF(B372="","",COUNTA(H372:L372)/5)</x:f>
      </x:c>
    </x:row>
    <x:row r="373">
      <x:c r="A373" s="30" t="str">
        <x:f>IF(B373="","",B373&amp;"-"&amp;C373)</x:f>
      </x:c>
      <x:c r="B373" s="30" t="str">
        <x:f>'01_命例主档'!A26</x:f>
      </x:c>
      <x:c r="C373" s="30" t="str">
        <x:v>M09</x:v>
      </x:c>
      <x:c r="D373" s="30" t="str">
        <x:v>日主旺衰</x:v>
      </x:c>
      <x:c r="E373" s="30" t="str">
        <x:v>综合层</x:v>
      </x:c>
      <x:c r="F373" s="30" t="str">
        <x:v>M03/M07/M08</x:v>
      </x:c>
      <x:c r="G373" s="30" t="str">
        <x:v>未开始</x:v>
      </x:c>
      <x:c r="H373" s="30" t="str"/>
      <x:c r="I373" s="30" t="str"/>
      <x:c r="J373" s="30" t="str"/>
      <x:c r="K373" s="30" t="str"/>
      <x:c r="L373" s="30" t="str"/>
      <x:c r="M373" s="30" t="str"/>
      <x:c r="N373" s="30" t="str"/>
      <x:c r="O373" s="30" t="str"/>
      <x:c r="P373" s="30" t="str"/>
      <x:c r="Q373" s="31" t="str"/>
      <x:c r="R373" s="31" t="str"/>
      <x:c r="S373" s="30" t="str"/>
      <x:c r="T373" s="30" t="str"/>
      <x:c r="U373" s="30" t="str"/>
      <x:c r="V373" s="40" t="str">
        <x:f>IF(B373="","",COUNTA(H373:L373)/5)</x:f>
      </x:c>
    </x:row>
    <x:row r="374">
      <x:c r="A374" s="30" t="str">
        <x:f>IF(B374="","",B374&amp;"-"&amp;C374)</x:f>
      </x:c>
      <x:c r="B374" s="30" t="str">
        <x:f>'01_命例主档'!A26</x:f>
      </x:c>
      <x:c r="C374" s="30" t="str">
        <x:v>M10</x:v>
      </x:c>
      <x:c r="D374" s="30" t="str">
        <x:v>十神旺衰功能</x:v>
      </x:c>
      <x:c r="E374" s="30" t="str">
        <x:v>结构层</x:v>
      </x:c>
      <x:c r="F374" s="30" t="str">
        <x:v>M02/M08/M09</x:v>
      </x:c>
      <x:c r="G374" s="30" t="str">
        <x:v>未开始</x:v>
      </x:c>
      <x:c r="H374" s="30" t="str"/>
      <x:c r="I374" s="30" t="str"/>
      <x:c r="J374" s="30" t="str"/>
      <x:c r="K374" s="30" t="str"/>
      <x:c r="L374" s="30" t="str"/>
      <x:c r="M374" s="30" t="str"/>
      <x:c r="N374" s="30" t="str"/>
      <x:c r="O374" s="30" t="str"/>
      <x:c r="P374" s="30" t="str"/>
      <x:c r="Q374" s="31" t="str"/>
      <x:c r="R374" s="31" t="str"/>
      <x:c r="S374" s="30" t="str"/>
      <x:c r="T374" s="30" t="str"/>
      <x:c r="U374" s="30" t="str"/>
      <x:c r="V374" s="40" t="str">
        <x:f>IF(B374="","",COUNTA(H374:L374)/5)</x:f>
      </x:c>
    </x:row>
    <x:row r="375">
      <x:c r="A375" s="30" t="str">
        <x:f>IF(B375="","",B375&amp;"-"&amp;C375)</x:f>
      </x:c>
      <x:c r="B375" s="30" t="str">
        <x:f>'01_命例主档'!A26</x:f>
      </x:c>
      <x:c r="C375" s="30" t="str">
        <x:v>M11</x:v>
      </x:c>
      <x:c r="D375" s="30" t="str">
        <x:v>十神组合成立</x:v>
      </x:c>
      <x:c r="E375" s="30" t="str">
        <x:v>结构层</x:v>
      </x:c>
      <x:c r="F375" s="30" t="str">
        <x:v>M08/M09/M10</x:v>
      </x:c>
      <x:c r="G375" s="30" t="str">
        <x:v>未开始</x:v>
      </x:c>
      <x:c r="H375" s="30" t="str"/>
      <x:c r="I375" s="30" t="str"/>
      <x:c r="J375" s="30" t="str"/>
      <x:c r="K375" s="30" t="str"/>
      <x:c r="L375" s="30" t="str"/>
      <x:c r="M375" s="30" t="str"/>
      <x:c r="N375" s="30" t="str"/>
      <x:c r="O375" s="30" t="str"/>
      <x:c r="P375" s="30" t="str"/>
      <x:c r="Q375" s="31" t="str"/>
      <x:c r="R375" s="31" t="str"/>
      <x:c r="S375" s="30" t="str"/>
      <x:c r="T375" s="30" t="str"/>
      <x:c r="U375" s="30" t="str"/>
      <x:c r="V375" s="40" t="str">
        <x:f>IF(B375="","",COUNTA(H375:L375)/5)</x:f>
      </x:c>
    </x:row>
    <x:row r="376">
      <x:c r="A376" s="30" t="str">
        <x:f>IF(B376="","",B376&amp;"-"&amp;C376)</x:f>
      </x:c>
      <x:c r="B376" s="30" t="str">
        <x:f>'01_命例主档'!A26</x:f>
      </x:c>
      <x:c r="C376" s="30" t="str">
        <x:v>M12</x:v>
      </x:c>
      <x:c r="D376" s="30" t="str">
        <x:v>五行流通卡点</x:v>
      </x:c>
      <x:c r="E376" s="30" t="str">
        <x:v>结构层</x:v>
      </x:c>
      <x:c r="F376" s="30" t="str">
        <x:v>M06/M08/M10/M11</x:v>
      </x:c>
      <x:c r="G376" s="30" t="str">
        <x:v>未开始</x:v>
      </x:c>
      <x:c r="H376" s="30" t="str"/>
      <x:c r="I376" s="30" t="str"/>
      <x:c r="J376" s="30" t="str"/>
      <x:c r="K376" s="30" t="str"/>
      <x:c r="L376" s="30" t="str"/>
      <x:c r="M376" s="30" t="str"/>
      <x:c r="N376" s="30" t="str"/>
      <x:c r="O376" s="30" t="str"/>
      <x:c r="P376" s="30" t="str"/>
      <x:c r="Q376" s="31" t="str"/>
      <x:c r="R376" s="31" t="str"/>
      <x:c r="S376" s="30" t="str"/>
      <x:c r="T376" s="30" t="str"/>
      <x:c r="U376" s="30" t="str"/>
      <x:c r="V376" s="40" t="str">
        <x:f>IF(B376="","",COUNTA(H376:L376)/5)</x:f>
      </x:c>
    </x:row>
    <x:row r="377">
      <x:c r="A377" s="30" t="str">
        <x:f>IF(B377="","",B377&amp;"-"&amp;C377)</x:f>
      </x:c>
      <x:c r="B377" s="30" t="str">
        <x:f>'01_命例主档'!A26</x:f>
      </x:c>
      <x:c r="C377" s="30" t="str">
        <x:v>M13</x:v>
      </x:c>
      <x:c r="D377" s="30" t="str">
        <x:v>寒暖燥湿</x:v>
      </x:c>
      <x:c r="E377" s="30" t="str">
        <x:v>结构层</x:v>
      </x:c>
      <x:c r="F377" s="30" t="str">
        <x:v>M02/M08/M12</x:v>
      </x:c>
      <x:c r="G377" s="30" t="str">
        <x:v>未开始</x:v>
      </x:c>
      <x:c r="H377" s="30" t="str"/>
      <x:c r="I377" s="30" t="str"/>
      <x:c r="J377" s="30" t="str"/>
      <x:c r="K377" s="30" t="str"/>
      <x:c r="L377" s="30" t="str"/>
      <x:c r="M377" s="30" t="str"/>
      <x:c r="N377" s="30" t="str"/>
      <x:c r="O377" s="30" t="str"/>
      <x:c r="P377" s="30" t="str"/>
      <x:c r="Q377" s="31" t="str"/>
      <x:c r="R377" s="31" t="str"/>
      <x:c r="S377" s="30" t="str"/>
      <x:c r="T377" s="30" t="str"/>
      <x:c r="U377" s="30" t="str"/>
      <x:c r="V377" s="40" t="str">
        <x:f>IF(B377="","",COUNTA(H377:L377)/5)</x:f>
      </x:c>
    </x:row>
    <x:row r="378">
      <x:c r="A378" s="30" t="str">
        <x:f>IF(B378="","",B378&amp;"-"&amp;C378)</x:f>
      </x:c>
      <x:c r="B378" s="30" t="str">
        <x:f>'01_命例主档'!A26</x:f>
      </x:c>
      <x:c r="C378" s="30" t="str">
        <x:v>M14</x:v>
      </x:c>
      <x:c r="D378" s="30" t="str">
        <x:v>格局候选判断</x:v>
      </x:c>
      <x:c r="E378" s="30" t="str">
        <x:v>综合层</x:v>
      </x:c>
      <x:c r="F378" s="30" t="str">
        <x:v>M03/M06/M08/M09/M10/M11</x:v>
      </x:c>
      <x:c r="G378" s="30" t="str">
        <x:v>未开始</x:v>
      </x:c>
      <x:c r="H378" s="30" t="str"/>
      <x:c r="I378" s="30" t="str"/>
      <x:c r="J378" s="30" t="str"/>
      <x:c r="K378" s="30" t="str"/>
      <x:c r="L378" s="30" t="str"/>
      <x:c r="M378" s="30" t="str"/>
      <x:c r="N378" s="30" t="str"/>
      <x:c r="O378" s="30" t="str"/>
      <x:c r="P378" s="30" t="str"/>
      <x:c r="Q378" s="31" t="str"/>
      <x:c r="R378" s="31" t="str"/>
      <x:c r="S378" s="30" t="str"/>
      <x:c r="T378" s="30" t="str"/>
      <x:c r="U378" s="30" t="str"/>
      <x:c r="V378" s="40" t="str">
        <x:f>IF(B378="","",COUNTA(H378:L378)/5)</x:f>
      </x:c>
    </x:row>
    <x:row r="379">
      <x:c r="A379" s="30" t="str">
        <x:f>IF(B379="","",B379&amp;"-"&amp;C379)</x:f>
      </x:c>
      <x:c r="B379" s="30" t="str">
        <x:f>'01_命例主档'!A26</x:f>
      </x:c>
      <x:c r="C379" s="30" t="str">
        <x:v>M15</x:v>
      </x:c>
      <x:c r="D379" s="30" t="str">
        <x:v>格局成败救应</x:v>
      </x:c>
      <x:c r="E379" s="30" t="str">
        <x:v>综合层</x:v>
      </x:c>
      <x:c r="F379" s="30" t="str">
        <x:v>M14/M11/M08</x:v>
      </x:c>
      <x:c r="G379" s="30" t="str">
        <x:v>未开始</x:v>
      </x:c>
      <x:c r="H379" s="30" t="str"/>
      <x:c r="I379" s="30" t="str"/>
      <x:c r="J379" s="30" t="str"/>
      <x:c r="K379" s="30" t="str"/>
      <x:c r="L379" s="30" t="str"/>
      <x:c r="M379" s="30" t="str"/>
      <x:c r="N379" s="30" t="str"/>
      <x:c r="O379" s="30" t="str"/>
      <x:c r="P379" s="30" t="str"/>
      <x:c r="Q379" s="31" t="str"/>
      <x:c r="R379" s="31" t="str"/>
      <x:c r="S379" s="30" t="str"/>
      <x:c r="T379" s="30" t="str"/>
      <x:c r="U379" s="30" t="str"/>
      <x:c r="V379" s="40" t="str">
        <x:f>IF(B379="","",COUNTA(H379:L379)/5)</x:f>
      </x:c>
    </x:row>
    <x:row r="380">
      <x:c r="A380" s="30" t="str">
        <x:f>IF(B380="","",B380&amp;"-"&amp;C380)</x:f>
      </x:c>
      <x:c r="B380" s="30" t="str">
        <x:f>'01_命例主档'!A26</x:f>
      </x:c>
      <x:c r="C380" s="30" t="str">
        <x:v>M16</x:v>
      </x:c>
      <x:c r="D380" s="30" t="str">
        <x:v>病药模型</x:v>
      </x:c>
      <x:c r="E380" s="30" t="str">
        <x:v>综合层</x:v>
      </x:c>
      <x:c r="F380" s="30" t="str">
        <x:v>M08-M15</x:v>
      </x:c>
      <x:c r="G380" s="30" t="str">
        <x:v>未开始</x:v>
      </x:c>
      <x:c r="H380" s="30" t="str"/>
      <x:c r="I380" s="30" t="str"/>
      <x:c r="J380" s="30" t="str"/>
      <x:c r="K380" s="30" t="str"/>
      <x:c r="L380" s="30" t="str"/>
      <x:c r="M380" s="30" t="str"/>
      <x:c r="N380" s="30" t="str"/>
      <x:c r="O380" s="30" t="str"/>
      <x:c r="P380" s="30" t="str"/>
      <x:c r="Q380" s="31" t="str"/>
      <x:c r="R380" s="31" t="str"/>
      <x:c r="S380" s="30" t="str"/>
      <x:c r="T380" s="30" t="str"/>
      <x:c r="U380" s="30" t="str"/>
      <x:c r="V380" s="40" t="str">
        <x:f>IF(B380="","",COUNTA(H380:L380)/5)</x:f>
      </x:c>
    </x:row>
    <x:row r="381">
      <x:c r="A381" s="30" t="str">
        <x:f>IF(B381="","",B381&amp;"-"&amp;C381)</x:f>
      </x:c>
      <x:c r="B381" s="30" t="str">
        <x:f>'01_命例主档'!A26</x:f>
      </x:c>
      <x:c r="C381" s="30" t="str">
        <x:v>M17</x:v>
      </x:c>
      <x:c r="D381" s="30" t="str">
        <x:v>喜忌用神矩阵</x:v>
      </x:c>
      <x:c r="E381" s="30" t="str">
        <x:v>综合层</x:v>
      </x:c>
      <x:c r="F381" s="30" t="str">
        <x:v>M09/M12/M13/M15/M16</x:v>
      </x:c>
      <x:c r="G381" s="30" t="str">
        <x:v>未开始</x:v>
      </x:c>
      <x:c r="H381" s="30" t="str"/>
      <x:c r="I381" s="30" t="str"/>
      <x:c r="J381" s="30" t="str"/>
      <x:c r="K381" s="30" t="str"/>
      <x:c r="L381" s="30" t="str"/>
      <x:c r="M381" s="30" t="str"/>
      <x:c r="N381" s="30" t="str"/>
      <x:c r="O381" s="30" t="str"/>
      <x:c r="P381" s="30" t="str"/>
      <x:c r="Q381" s="31" t="str"/>
      <x:c r="R381" s="31" t="str"/>
      <x:c r="S381" s="30" t="str"/>
      <x:c r="T381" s="30" t="str"/>
      <x:c r="U381" s="30" t="str"/>
      <x:c r="V381" s="40" t="str">
        <x:f>IF(B381="","",COUNTA(H381:L381)/5)</x:f>
      </x:c>
    </x:row>
    <x:row r="382">
      <x:c r="A382" s="30" t="str">
        <x:f>IF(B382="","",B382&amp;"-"&amp;C382)</x:f>
      </x:c>
      <x:c r="B382" s="30" t="str">
        <x:f>'01_命例主档'!A26</x:f>
      </x:c>
      <x:c r="C382" s="30" t="str">
        <x:v>M18</x:v>
      </x:c>
      <x:c r="D382" s="30" t="str">
        <x:v>冲突裁决规则</x:v>
      </x:c>
      <x:c r="E382" s="30" t="str">
        <x:v>综合层</x:v>
      </x:c>
      <x:c r="F382" s="30" t="str">
        <x:v>M14/M15/M16/M17</x:v>
      </x:c>
      <x:c r="G382" s="30" t="str">
        <x:v>未开始</x:v>
      </x:c>
      <x:c r="H382" s="30" t="str"/>
      <x:c r="I382" s="30" t="str"/>
      <x:c r="J382" s="30" t="str"/>
      <x:c r="K382" s="30" t="str"/>
      <x:c r="L382" s="30" t="str"/>
      <x:c r="M382" s="30" t="str"/>
      <x:c r="N382" s="30" t="str"/>
      <x:c r="O382" s="30" t="str"/>
      <x:c r="P382" s="30" t="str"/>
      <x:c r="Q382" s="31" t="str"/>
      <x:c r="R382" s="31" t="str"/>
      <x:c r="S382" s="30" t="str"/>
      <x:c r="T382" s="30" t="str"/>
      <x:c r="U382" s="30" t="str"/>
      <x:c r="V382" s="40" t="str">
        <x:f>IF(B382="","",COUNTA(H382:L382)/5)</x:f>
      </x:c>
    </x:row>
    <x:row r="383">
      <x:c r="A383" s="30" t="str">
        <x:f>IF(B383="","",B383&amp;"-"&amp;C383)</x:f>
      </x:c>
      <x:c r="B383" s="30" t="str">
        <x:f>'01_命例主档'!A26</x:f>
      </x:c>
      <x:c r="C383" s="30" t="str">
        <x:v>M19</x:v>
      </x:c>
      <x:c r="D383" s="30" t="str">
        <x:v>综合输出模板</x:v>
      </x:c>
      <x:c r="E383" s="30" t="str">
        <x:v>治理与输出</x:v>
      </x:c>
      <x:c r="F383" s="30" t="str">
        <x:v>M02-M18</x:v>
      </x:c>
      <x:c r="G383" s="30" t="str">
        <x:v>未开始</x:v>
      </x:c>
      <x:c r="H383" s="30" t="str"/>
      <x:c r="I383" s="30" t="str"/>
      <x:c r="J383" s="30" t="str"/>
      <x:c r="K383" s="30" t="str"/>
      <x:c r="L383" s="30" t="str"/>
      <x:c r="M383" s="30" t="str"/>
      <x:c r="N383" s="30" t="str"/>
      <x:c r="O383" s="30" t="str"/>
      <x:c r="P383" s="30" t="str"/>
      <x:c r="Q383" s="31" t="str"/>
      <x:c r="R383" s="31" t="str"/>
      <x:c r="S383" s="30" t="str"/>
      <x:c r="T383" s="30" t="str"/>
      <x:c r="U383" s="30" t="str"/>
      <x:c r="V383" s="40" t="str">
        <x:f>IF(B383="","",COUNTA(H383:L383)/5)</x:f>
      </x:c>
    </x:row>
    <x:row r="384">
      <x:c r="A384" s="30" t="str">
        <x:f>IF(B384="","",B384&amp;"-"&amp;C384)</x:f>
      </x:c>
      <x:c r="B384" s="30" t="str">
        <x:f>'01_命例主档'!A27</x:f>
      </x:c>
      <x:c r="C384" s="30" t="str">
        <x:v>M02</x:v>
      </x:c>
      <x:c r="D384" s="30" t="str">
        <x:v>干支藏干基础</x:v>
      </x:c>
      <x:c r="E384" s="30" t="str">
        <x:v>识别层</x:v>
      </x:c>
      <x:c r="F384" s="30" t="str">
        <x:v>无</x:v>
      </x:c>
      <x:c r="G384" s="30" t="str">
        <x:v>未开始</x:v>
      </x:c>
      <x:c r="H384" s="30" t="str"/>
      <x:c r="I384" s="30" t="str"/>
      <x:c r="J384" s="30" t="str"/>
      <x:c r="K384" s="30" t="str"/>
      <x:c r="L384" s="30" t="str"/>
      <x:c r="M384" s="30" t="str"/>
      <x:c r="N384" s="30" t="str"/>
      <x:c r="O384" s="30" t="str"/>
      <x:c r="P384" s="30" t="str"/>
      <x:c r="Q384" s="31" t="str"/>
      <x:c r="R384" s="31" t="str"/>
      <x:c r="S384" s="30" t="str"/>
      <x:c r="T384" s="30" t="str"/>
      <x:c r="U384" s="30" t="str"/>
      <x:c r="V384" s="40" t="str">
        <x:f>IF(B384="","",COUNTA(H384:L384)/5)</x:f>
      </x:c>
    </x:row>
    <x:row r="385">
      <x:c r="A385" s="30" t="str">
        <x:f>IF(B385="","",B385&amp;"-"&amp;C385)</x:f>
      </x:c>
      <x:c r="B385" s="30" t="str">
        <x:f>'01_命例主档'!A27</x:f>
      </x:c>
      <x:c r="C385" s="30" t="str">
        <x:v>M03</x:v>
      </x:c>
      <x:c r="D385" s="30" t="str">
        <x:v>月令与根气</x:v>
      </x:c>
      <x:c r="E385" s="30" t="str">
        <x:v>结构层</x:v>
      </x:c>
      <x:c r="F385" s="30" t="str">
        <x:v>M02</x:v>
      </x:c>
      <x:c r="G385" s="30" t="str">
        <x:v>未开始</x:v>
      </x:c>
      <x:c r="H385" s="30" t="str"/>
      <x:c r="I385" s="30" t="str"/>
      <x:c r="J385" s="30" t="str"/>
      <x:c r="K385" s="30" t="str"/>
      <x:c r="L385" s="30" t="str"/>
      <x:c r="M385" s="30" t="str"/>
      <x:c r="N385" s="30" t="str"/>
      <x:c r="O385" s="30" t="str"/>
      <x:c r="P385" s="30" t="str"/>
      <x:c r="Q385" s="31" t="str"/>
      <x:c r="R385" s="31" t="str"/>
      <x:c r="S385" s="30" t="str"/>
      <x:c r="T385" s="30" t="str"/>
      <x:c r="U385" s="30" t="str"/>
      <x:c r="V385" s="40" t="str">
        <x:f>IF(B385="","",COUNTA(H385:L385)/5)</x:f>
      </x:c>
    </x:row>
    <x:row r="386">
      <x:c r="A386" s="30" t="str">
        <x:f>IF(B386="","",B386&amp;"-"&amp;C386)</x:f>
      </x:c>
      <x:c r="B386" s="30" t="str">
        <x:f>'01_命例主档'!A27</x:f>
      </x:c>
      <x:c r="C386" s="30" t="str">
        <x:v>M04</x:v>
      </x:c>
      <x:c r="D386" s="30" t="str">
        <x:v>天干作用识别</x:v>
      </x:c>
      <x:c r="E386" s="30" t="str">
        <x:v>识别层</x:v>
      </x:c>
      <x:c r="F386" s="30" t="str">
        <x:v>M02</x:v>
      </x:c>
      <x:c r="G386" s="30" t="str">
        <x:v>未开始</x:v>
      </x:c>
      <x:c r="H386" s="30" t="str"/>
      <x:c r="I386" s="30" t="str"/>
      <x:c r="J386" s="30" t="str"/>
      <x:c r="K386" s="30" t="str"/>
      <x:c r="L386" s="30" t="str"/>
      <x:c r="M386" s="30" t="str"/>
      <x:c r="N386" s="30" t="str"/>
      <x:c r="O386" s="30" t="str"/>
      <x:c r="P386" s="30" t="str"/>
      <x:c r="Q386" s="31" t="str"/>
      <x:c r="R386" s="31" t="str"/>
      <x:c r="S386" s="30" t="str"/>
      <x:c r="T386" s="30" t="str"/>
      <x:c r="U386" s="30" t="str"/>
      <x:c r="V386" s="40" t="str">
        <x:f>IF(B386="","",COUNTA(H386:L386)/5)</x:f>
      </x:c>
    </x:row>
    <x:row r="387">
      <x:c r="A387" s="30" t="str">
        <x:f>IF(B387="","",B387&amp;"-"&amp;C387)</x:f>
      </x:c>
      <x:c r="B387" s="30" t="str">
        <x:f>'01_命例主档'!A27</x:f>
      </x:c>
      <x:c r="C387" s="30" t="str">
        <x:v>M05</x:v>
      </x:c>
      <x:c r="D387" s="30" t="str">
        <x:v>地支关系识别</x:v>
      </x:c>
      <x:c r="E387" s="30" t="str">
        <x:v>识别层</x:v>
      </x:c>
      <x:c r="F387" s="30" t="str">
        <x:v>M02</x:v>
      </x:c>
      <x:c r="G387" s="30" t="str">
        <x:v>未开始</x:v>
      </x:c>
      <x:c r="H387" s="30" t="str"/>
      <x:c r="I387" s="30" t="str"/>
      <x:c r="J387" s="30" t="str"/>
      <x:c r="K387" s="30" t="str"/>
      <x:c r="L387" s="30" t="str"/>
      <x:c r="M387" s="30" t="str"/>
      <x:c r="N387" s="30" t="str"/>
      <x:c r="O387" s="30" t="str"/>
      <x:c r="P387" s="30" t="str"/>
      <x:c r="Q387" s="31" t="str"/>
      <x:c r="R387" s="31" t="str"/>
      <x:c r="S387" s="30" t="str"/>
      <x:c r="T387" s="30" t="str"/>
      <x:c r="U387" s="30" t="str"/>
      <x:c r="V387" s="40" t="str">
        <x:f>IF(B387="","",COUNTA(H387:L387)/5)</x:f>
      </x:c>
    </x:row>
    <x:row r="388">
      <x:c r="A388" s="30" t="str">
        <x:f>IF(B388="","",B388&amp;"-"&amp;C388)</x:f>
      </x:c>
      <x:c r="B388" s="30" t="str">
        <x:f>'01_命例主档'!A27</x:f>
      </x:c>
      <x:c r="C388" s="30" t="str">
        <x:v>M06</x:v>
      </x:c>
      <x:c r="D388" s="30" t="str">
        <x:v>干支关系效应</x:v>
      </x:c>
      <x:c r="E388" s="30" t="str">
        <x:v>效应层</x:v>
      </x:c>
      <x:c r="F388" s="30" t="str">
        <x:v>M03/M04/M05</x:v>
      </x:c>
      <x:c r="G388" s="30" t="str">
        <x:v>未开始</x:v>
      </x:c>
      <x:c r="H388" s="30" t="str"/>
      <x:c r="I388" s="30" t="str"/>
      <x:c r="J388" s="30" t="str"/>
      <x:c r="K388" s="30" t="str"/>
      <x:c r="L388" s="30" t="str"/>
      <x:c r="M388" s="30" t="str"/>
      <x:c r="N388" s="30" t="str"/>
      <x:c r="O388" s="30" t="str"/>
      <x:c r="P388" s="30" t="str"/>
      <x:c r="Q388" s="31" t="str"/>
      <x:c r="R388" s="31" t="str"/>
      <x:c r="S388" s="30" t="str"/>
      <x:c r="T388" s="30" t="str"/>
      <x:c r="U388" s="30" t="str"/>
      <x:c r="V388" s="40" t="str">
        <x:f>IF(B388="","",COUNTA(H388:L388)/5)</x:f>
      </x:c>
    </x:row>
    <x:row r="389">
      <x:c r="A389" s="30" t="str">
        <x:f>IF(B389="","",B389&amp;"-"&amp;C389)</x:f>
      </x:c>
      <x:c r="B389" s="30" t="str">
        <x:f>'01_命例主档'!A27</x:f>
      </x:c>
      <x:c r="C389" s="30" t="str">
        <x:v>M07</x:v>
      </x:c>
      <x:c r="D389" s="30" t="str">
        <x:v>五行原始旺衰</x:v>
      </x:c>
      <x:c r="E389" s="30" t="str">
        <x:v>结构层</x:v>
      </x:c>
      <x:c r="F389" s="30" t="str">
        <x:v>M02/M03</x:v>
      </x:c>
      <x:c r="G389" s="30" t="str">
        <x:v>未开始</x:v>
      </x:c>
      <x:c r="H389" s="30" t="str"/>
      <x:c r="I389" s="30" t="str"/>
      <x:c r="J389" s="30" t="str"/>
      <x:c r="K389" s="30" t="str"/>
      <x:c r="L389" s="30" t="str"/>
      <x:c r="M389" s="30" t="str"/>
      <x:c r="N389" s="30" t="str"/>
      <x:c r="O389" s="30" t="str"/>
      <x:c r="P389" s="30" t="str"/>
      <x:c r="Q389" s="31" t="str"/>
      <x:c r="R389" s="31" t="str"/>
      <x:c r="S389" s="30" t="str"/>
      <x:c r="T389" s="30" t="str"/>
      <x:c r="U389" s="30" t="str"/>
      <x:c r="V389" s="40" t="str">
        <x:f>IF(B389="","",COUNTA(H389:L389)/5)</x:f>
      </x:c>
    </x:row>
    <x:row r="390">
      <x:c r="A390" s="30" t="str">
        <x:f>IF(B390="","",B390&amp;"-"&amp;C390)</x:f>
      </x:c>
      <x:c r="B390" s="30" t="str">
        <x:f>'01_命例主档'!A27</x:f>
      </x:c>
      <x:c r="C390" s="30" t="str">
        <x:v>M08</x:v>
      </x:c>
      <x:c r="D390" s="30" t="str">
        <x:v>五行有效旺衰</x:v>
      </x:c>
      <x:c r="E390" s="30" t="str">
        <x:v>结构层</x:v>
      </x:c>
      <x:c r="F390" s="30" t="str">
        <x:v>M06/M07</x:v>
      </x:c>
      <x:c r="G390" s="30" t="str">
        <x:v>未开始</x:v>
      </x:c>
      <x:c r="H390" s="30" t="str"/>
      <x:c r="I390" s="30" t="str"/>
      <x:c r="J390" s="30" t="str"/>
      <x:c r="K390" s="30" t="str"/>
      <x:c r="L390" s="30" t="str"/>
      <x:c r="M390" s="30" t="str"/>
      <x:c r="N390" s="30" t="str"/>
      <x:c r="O390" s="30" t="str"/>
      <x:c r="P390" s="30" t="str"/>
      <x:c r="Q390" s="31" t="str"/>
      <x:c r="R390" s="31" t="str"/>
      <x:c r="S390" s="30" t="str"/>
      <x:c r="T390" s="30" t="str"/>
      <x:c r="U390" s="30" t="str"/>
      <x:c r="V390" s="40" t="str">
        <x:f>IF(B390="","",COUNTA(H390:L390)/5)</x:f>
      </x:c>
    </x:row>
    <x:row r="391">
      <x:c r="A391" s="30" t="str">
        <x:f>IF(B391="","",B391&amp;"-"&amp;C391)</x:f>
      </x:c>
      <x:c r="B391" s="30" t="str">
        <x:f>'01_命例主档'!A27</x:f>
      </x:c>
      <x:c r="C391" s="30" t="str">
        <x:v>M09</x:v>
      </x:c>
      <x:c r="D391" s="30" t="str">
        <x:v>日主旺衰</x:v>
      </x:c>
      <x:c r="E391" s="30" t="str">
        <x:v>综合层</x:v>
      </x:c>
      <x:c r="F391" s="30" t="str">
        <x:v>M03/M07/M08</x:v>
      </x:c>
      <x:c r="G391" s="30" t="str">
        <x:v>未开始</x:v>
      </x:c>
      <x:c r="H391" s="30" t="str"/>
      <x:c r="I391" s="30" t="str"/>
      <x:c r="J391" s="30" t="str"/>
      <x:c r="K391" s="30" t="str"/>
      <x:c r="L391" s="30" t="str"/>
      <x:c r="M391" s="30" t="str"/>
      <x:c r="N391" s="30" t="str"/>
      <x:c r="O391" s="30" t="str"/>
      <x:c r="P391" s="30" t="str"/>
      <x:c r="Q391" s="31" t="str"/>
      <x:c r="R391" s="31" t="str"/>
      <x:c r="S391" s="30" t="str"/>
      <x:c r="T391" s="30" t="str"/>
      <x:c r="U391" s="30" t="str"/>
      <x:c r="V391" s="40" t="str">
        <x:f>IF(B391="","",COUNTA(H391:L391)/5)</x:f>
      </x:c>
    </x:row>
    <x:row r="392">
      <x:c r="A392" s="30" t="str">
        <x:f>IF(B392="","",B392&amp;"-"&amp;C392)</x:f>
      </x:c>
      <x:c r="B392" s="30" t="str">
        <x:f>'01_命例主档'!A27</x:f>
      </x:c>
      <x:c r="C392" s="30" t="str">
        <x:v>M10</x:v>
      </x:c>
      <x:c r="D392" s="30" t="str">
        <x:v>十神旺衰功能</x:v>
      </x:c>
      <x:c r="E392" s="30" t="str">
        <x:v>结构层</x:v>
      </x:c>
      <x:c r="F392" s="30" t="str">
        <x:v>M02/M08/M09</x:v>
      </x:c>
      <x:c r="G392" s="30" t="str">
        <x:v>未开始</x:v>
      </x:c>
      <x:c r="H392" s="30" t="str"/>
      <x:c r="I392" s="30" t="str"/>
      <x:c r="J392" s="30" t="str"/>
      <x:c r="K392" s="30" t="str"/>
      <x:c r="L392" s="30" t="str"/>
      <x:c r="M392" s="30" t="str"/>
      <x:c r="N392" s="30" t="str"/>
      <x:c r="O392" s="30" t="str"/>
      <x:c r="P392" s="30" t="str"/>
      <x:c r="Q392" s="31" t="str"/>
      <x:c r="R392" s="31" t="str"/>
      <x:c r="S392" s="30" t="str"/>
      <x:c r="T392" s="30" t="str"/>
      <x:c r="U392" s="30" t="str"/>
      <x:c r="V392" s="40" t="str">
        <x:f>IF(B392="","",COUNTA(H392:L392)/5)</x:f>
      </x:c>
    </x:row>
    <x:row r="393">
      <x:c r="A393" s="30" t="str">
        <x:f>IF(B393="","",B393&amp;"-"&amp;C393)</x:f>
      </x:c>
      <x:c r="B393" s="30" t="str">
        <x:f>'01_命例主档'!A27</x:f>
      </x:c>
      <x:c r="C393" s="30" t="str">
        <x:v>M11</x:v>
      </x:c>
      <x:c r="D393" s="30" t="str">
        <x:v>十神组合成立</x:v>
      </x:c>
      <x:c r="E393" s="30" t="str">
        <x:v>结构层</x:v>
      </x:c>
      <x:c r="F393" s="30" t="str">
        <x:v>M08/M09/M10</x:v>
      </x:c>
      <x:c r="G393" s="30" t="str">
        <x:v>未开始</x:v>
      </x:c>
      <x:c r="H393" s="30" t="str"/>
      <x:c r="I393" s="30" t="str"/>
      <x:c r="J393" s="30" t="str"/>
      <x:c r="K393" s="30" t="str"/>
      <x:c r="L393" s="30" t="str"/>
      <x:c r="M393" s="30" t="str"/>
      <x:c r="N393" s="30" t="str"/>
      <x:c r="O393" s="30" t="str"/>
      <x:c r="P393" s="30" t="str"/>
      <x:c r="Q393" s="31" t="str"/>
      <x:c r="R393" s="31" t="str"/>
      <x:c r="S393" s="30" t="str"/>
      <x:c r="T393" s="30" t="str"/>
      <x:c r="U393" s="30" t="str"/>
      <x:c r="V393" s="40" t="str">
        <x:f>IF(B393="","",COUNTA(H393:L393)/5)</x:f>
      </x:c>
    </x:row>
    <x:row r="394">
      <x:c r="A394" s="30" t="str">
        <x:f>IF(B394="","",B394&amp;"-"&amp;C394)</x:f>
      </x:c>
      <x:c r="B394" s="30" t="str">
        <x:f>'01_命例主档'!A27</x:f>
      </x:c>
      <x:c r="C394" s="30" t="str">
        <x:v>M12</x:v>
      </x:c>
      <x:c r="D394" s="30" t="str">
        <x:v>五行流通卡点</x:v>
      </x:c>
      <x:c r="E394" s="30" t="str">
        <x:v>结构层</x:v>
      </x:c>
      <x:c r="F394" s="30" t="str">
        <x:v>M06/M08/M10/M11</x:v>
      </x:c>
      <x:c r="G394" s="30" t="str">
        <x:v>未开始</x:v>
      </x:c>
      <x:c r="H394" s="30" t="str"/>
      <x:c r="I394" s="30" t="str"/>
      <x:c r="J394" s="30" t="str"/>
      <x:c r="K394" s="30" t="str"/>
      <x:c r="L394" s="30" t="str"/>
      <x:c r="M394" s="30" t="str"/>
      <x:c r="N394" s="30" t="str"/>
      <x:c r="O394" s="30" t="str"/>
      <x:c r="P394" s="30" t="str"/>
      <x:c r="Q394" s="31" t="str"/>
      <x:c r="R394" s="31" t="str"/>
      <x:c r="S394" s="30" t="str"/>
      <x:c r="T394" s="30" t="str"/>
      <x:c r="U394" s="30" t="str"/>
      <x:c r="V394" s="40" t="str">
        <x:f>IF(B394="","",COUNTA(H394:L394)/5)</x:f>
      </x:c>
    </x:row>
    <x:row r="395">
      <x:c r="A395" s="30" t="str">
        <x:f>IF(B395="","",B395&amp;"-"&amp;C395)</x:f>
      </x:c>
      <x:c r="B395" s="30" t="str">
        <x:f>'01_命例主档'!A27</x:f>
      </x:c>
      <x:c r="C395" s="30" t="str">
        <x:v>M13</x:v>
      </x:c>
      <x:c r="D395" s="30" t="str">
        <x:v>寒暖燥湿</x:v>
      </x:c>
      <x:c r="E395" s="30" t="str">
        <x:v>结构层</x:v>
      </x:c>
      <x:c r="F395" s="30" t="str">
        <x:v>M02/M08/M12</x:v>
      </x:c>
      <x:c r="G395" s="30" t="str">
        <x:v>未开始</x:v>
      </x:c>
      <x:c r="H395" s="30" t="str"/>
      <x:c r="I395" s="30" t="str"/>
      <x:c r="J395" s="30" t="str"/>
      <x:c r="K395" s="30" t="str"/>
      <x:c r="L395" s="30" t="str"/>
      <x:c r="M395" s="30" t="str"/>
      <x:c r="N395" s="30" t="str"/>
      <x:c r="O395" s="30" t="str"/>
      <x:c r="P395" s="30" t="str"/>
      <x:c r="Q395" s="31" t="str"/>
      <x:c r="R395" s="31" t="str"/>
      <x:c r="S395" s="30" t="str"/>
      <x:c r="T395" s="30" t="str"/>
      <x:c r="U395" s="30" t="str"/>
      <x:c r="V395" s="40" t="str">
        <x:f>IF(B395="","",COUNTA(H395:L395)/5)</x:f>
      </x:c>
    </x:row>
    <x:row r="396">
      <x:c r="A396" s="30" t="str">
        <x:f>IF(B396="","",B396&amp;"-"&amp;C396)</x:f>
      </x:c>
      <x:c r="B396" s="30" t="str">
        <x:f>'01_命例主档'!A27</x:f>
      </x:c>
      <x:c r="C396" s="30" t="str">
        <x:v>M14</x:v>
      </x:c>
      <x:c r="D396" s="30" t="str">
        <x:v>格局候选判断</x:v>
      </x:c>
      <x:c r="E396" s="30" t="str">
        <x:v>综合层</x:v>
      </x:c>
      <x:c r="F396" s="30" t="str">
        <x:v>M03/M06/M08/M09/M10/M11</x:v>
      </x:c>
      <x:c r="G396" s="30" t="str">
        <x:v>未开始</x:v>
      </x:c>
      <x:c r="H396" s="30" t="str"/>
      <x:c r="I396" s="30" t="str"/>
      <x:c r="J396" s="30" t="str"/>
      <x:c r="K396" s="30" t="str"/>
      <x:c r="L396" s="30" t="str"/>
      <x:c r="M396" s="30" t="str"/>
      <x:c r="N396" s="30" t="str"/>
      <x:c r="O396" s="30" t="str"/>
      <x:c r="P396" s="30" t="str"/>
      <x:c r="Q396" s="31" t="str"/>
      <x:c r="R396" s="31" t="str"/>
      <x:c r="S396" s="30" t="str"/>
      <x:c r="T396" s="30" t="str"/>
      <x:c r="U396" s="30" t="str"/>
      <x:c r="V396" s="40" t="str">
        <x:f>IF(B396="","",COUNTA(H396:L396)/5)</x:f>
      </x:c>
    </x:row>
    <x:row r="397">
      <x:c r="A397" s="30" t="str">
        <x:f>IF(B397="","",B397&amp;"-"&amp;C397)</x:f>
      </x:c>
      <x:c r="B397" s="30" t="str">
        <x:f>'01_命例主档'!A27</x:f>
      </x:c>
      <x:c r="C397" s="30" t="str">
        <x:v>M15</x:v>
      </x:c>
      <x:c r="D397" s="30" t="str">
        <x:v>格局成败救应</x:v>
      </x:c>
      <x:c r="E397" s="30" t="str">
        <x:v>综合层</x:v>
      </x:c>
      <x:c r="F397" s="30" t="str">
        <x:v>M14/M11/M08</x:v>
      </x:c>
      <x:c r="G397" s="30" t="str">
        <x:v>未开始</x:v>
      </x:c>
      <x:c r="H397" s="30" t="str"/>
      <x:c r="I397" s="30" t="str"/>
      <x:c r="J397" s="30" t="str"/>
      <x:c r="K397" s="30" t="str"/>
      <x:c r="L397" s="30" t="str"/>
      <x:c r="M397" s="30" t="str"/>
      <x:c r="N397" s="30" t="str"/>
      <x:c r="O397" s="30" t="str"/>
      <x:c r="P397" s="30" t="str"/>
      <x:c r="Q397" s="31" t="str"/>
      <x:c r="R397" s="31" t="str"/>
      <x:c r="S397" s="30" t="str"/>
      <x:c r="T397" s="30" t="str"/>
      <x:c r="U397" s="30" t="str"/>
      <x:c r="V397" s="40" t="str">
        <x:f>IF(B397="","",COUNTA(H397:L397)/5)</x:f>
      </x:c>
    </x:row>
    <x:row r="398">
      <x:c r="A398" s="30" t="str">
        <x:f>IF(B398="","",B398&amp;"-"&amp;C398)</x:f>
      </x:c>
      <x:c r="B398" s="30" t="str">
        <x:f>'01_命例主档'!A27</x:f>
      </x:c>
      <x:c r="C398" s="30" t="str">
        <x:v>M16</x:v>
      </x:c>
      <x:c r="D398" s="30" t="str">
        <x:v>病药模型</x:v>
      </x:c>
      <x:c r="E398" s="30" t="str">
        <x:v>综合层</x:v>
      </x:c>
      <x:c r="F398" s="30" t="str">
        <x:v>M08-M15</x:v>
      </x:c>
      <x:c r="G398" s="30" t="str">
        <x:v>未开始</x:v>
      </x:c>
      <x:c r="H398" s="30" t="str"/>
      <x:c r="I398" s="30" t="str"/>
      <x:c r="J398" s="30" t="str"/>
      <x:c r="K398" s="30" t="str"/>
      <x:c r="L398" s="30" t="str"/>
      <x:c r="M398" s="30" t="str"/>
      <x:c r="N398" s="30" t="str"/>
      <x:c r="O398" s="30" t="str"/>
      <x:c r="P398" s="30" t="str"/>
      <x:c r="Q398" s="31" t="str"/>
      <x:c r="R398" s="31" t="str"/>
      <x:c r="S398" s="30" t="str"/>
      <x:c r="T398" s="30" t="str"/>
      <x:c r="U398" s="30" t="str"/>
      <x:c r="V398" s="40" t="str">
        <x:f>IF(B398="","",COUNTA(H398:L398)/5)</x:f>
      </x:c>
    </x:row>
    <x:row r="399">
      <x:c r="A399" s="30" t="str">
        <x:f>IF(B399="","",B399&amp;"-"&amp;C399)</x:f>
      </x:c>
      <x:c r="B399" s="30" t="str">
        <x:f>'01_命例主档'!A27</x:f>
      </x:c>
      <x:c r="C399" s="30" t="str">
        <x:v>M17</x:v>
      </x:c>
      <x:c r="D399" s="30" t="str">
        <x:v>喜忌用神矩阵</x:v>
      </x:c>
      <x:c r="E399" s="30" t="str">
        <x:v>综合层</x:v>
      </x:c>
      <x:c r="F399" s="30" t="str">
        <x:v>M09/M12/M13/M15/M16</x:v>
      </x:c>
      <x:c r="G399" s="30" t="str">
        <x:v>未开始</x:v>
      </x:c>
      <x:c r="H399" s="30" t="str"/>
      <x:c r="I399" s="30" t="str"/>
      <x:c r="J399" s="30" t="str"/>
      <x:c r="K399" s="30" t="str"/>
      <x:c r="L399" s="30" t="str"/>
      <x:c r="M399" s="30" t="str"/>
      <x:c r="N399" s="30" t="str"/>
      <x:c r="O399" s="30" t="str"/>
      <x:c r="P399" s="30" t="str"/>
      <x:c r="Q399" s="31" t="str"/>
      <x:c r="R399" s="31" t="str"/>
      <x:c r="S399" s="30" t="str"/>
      <x:c r="T399" s="30" t="str"/>
      <x:c r="U399" s="30" t="str"/>
      <x:c r="V399" s="40" t="str">
        <x:f>IF(B399="","",COUNTA(H399:L399)/5)</x:f>
      </x:c>
    </x:row>
    <x:row r="400">
      <x:c r="A400" s="30" t="str">
        <x:f>IF(B400="","",B400&amp;"-"&amp;C400)</x:f>
      </x:c>
      <x:c r="B400" s="30" t="str">
        <x:f>'01_命例主档'!A27</x:f>
      </x:c>
      <x:c r="C400" s="30" t="str">
        <x:v>M18</x:v>
      </x:c>
      <x:c r="D400" s="30" t="str">
        <x:v>冲突裁决规则</x:v>
      </x:c>
      <x:c r="E400" s="30" t="str">
        <x:v>综合层</x:v>
      </x:c>
      <x:c r="F400" s="30" t="str">
        <x:v>M14/M15/M16/M17</x:v>
      </x:c>
      <x:c r="G400" s="30" t="str">
        <x:v>未开始</x:v>
      </x:c>
      <x:c r="H400" s="30" t="str"/>
      <x:c r="I400" s="30" t="str"/>
      <x:c r="J400" s="30" t="str"/>
      <x:c r="K400" s="30" t="str"/>
      <x:c r="L400" s="30" t="str"/>
      <x:c r="M400" s="30" t="str"/>
      <x:c r="N400" s="30" t="str"/>
      <x:c r="O400" s="30" t="str"/>
      <x:c r="P400" s="30" t="str"/>
      <x:c r="Q400" s="31" t="str"/>
      <x:c r="R400" s="31" t="str"/>
      <x:c r="S400" s="30" t="str"/>
      <x:c r="T400" s="30" t="str"/>
      <x:c r="U400" s="30" t="str"/>
      <x:c r="V400" s="40" t="str">
        <x:f>IF(B400="","",COUNTA(H400:L400)/5)</x:f>
      </x:c>
    </x:row>
    <x:row r="401">
      <x:c r="A401" s="30" t="str">
        <x:f>IF(B401="","",B401&amp;"-"&amp;C401)</x:f>
      </x:c>
      <x:c r="B401" s="30" t="str">
        <x:f>'01_命例主档'!A27</x:f>
      </x:c>
      <x:c r="C401" s="30" t="str">
        <x:v>M19</x:v>
      </x:c>
      <x:c r="D401" s="30" t="str">
        <x:v>综合输出模板</x:v>
      </x:c>
      <x:c r="E401" s="30" t="str">
        <x:v>治理与输出</x:v>
      </x:c>
      <x:c r="F401" s="30" t="str">
        <x:v>M02-M18</x:v>
      </x:c>
      <x:c r="G401" s="30" t="str">
        <x:v>未开始</x:v>
      </x:c>
      <x:c r="H401" s="30" t="str"/>
      <x:c r="I401" s="30" t="str"/>
      <x:c r="J401" s="30" t="str"/>
      <x:c r="K401" s="30" t="str"/>
      <x:c r="L401" s="30" t="str"/>
      <x:c r="M401" s="30" t="str"/>
      <x:c r="N401" s="30" t="str"/>
      <x:c r="O401" s="30" t="str"/>
      <x:c r="P401" s="30" t="str"/>
      <x:c r="Q401" s="31" t="str"/>
      <x:c r="R401" s="31" t="str"/>
      <x:c r="S401" s="30" t="str"/>
      <x:c r="T401" s="30" t="str"/>
      <x:c r="U401" s="30" t="str"/>
      <x:c r="V401" s="40" t="str">
        <x:f>IF(B401="","",COUNTA(H401:L401)/5)</x:f>
      </x:c>
    </x:row>
    <x:row r="402">
      <x:c r="A402" s="30" t="str">
        <x:f>IF(B402="","",B402&amp;"-"&amp;C402)</x:f>
      </x:c>
      <x:c r="B402" s="30" t="str">
        <x:f>'01_命例主档'!A28</x:f>
      </x:c>
      <x:c r="C402" s="30" t="str">
        <x:v>M02</x:v>
      </x:c>
      <x:c r="D402" s="30" t="str">
        <x:v>干支藏干基础</x:v>
      </x:c>
      <x:c r="E402" s="30" t="str">
        <x:v>识别层</x:v>
      </x:c>
      <x:c r="F402" s="30" t="str">
        <x:v>无</x:v>
      </x:c>
      <x:c r="G402" s="30" t="str">
        <x:v>未开始</x:v>
      </x:c>
      <x:c r="H402" s="30" t="str"/>
      <x:c r="I402" s="30" t="str"/>
      <x:c r="J402" s="30" t="str"/>
      <x:c r="K402" s="30" t="str"/>
      <x:c r="L402" s="30" t="str"/>
      <x:c r="M402" s="30" t="str"/>
      <x:c r="N402" s="30" t="str"/>
      <x:c r="O402" s="30" t="str"/>
      <x:c r="P402" s="30" t="str"/>
      <x:c r="Q402" s="31" t="str"/>
      <x:c r="R402" s="31" t="str"/>
      <x:c r="S402" s="30" t="str"/>
      <x:c r="T402" s="30" t="str"/>
      <x:c r="U402" s="30" t="str"/>
      <x:c r="V402" s="40" t="str">
        <x:f>IF(B402="","",COUNTA(H402:L402)/5)</x:f>
      </x:c>
    </x:row>
    <x:row r="403">
      <x:c r="A403" s="30" t="str">
        <x:f>IF(B403="","",B403&amp;"-"&amp;C403)</x:f>
      </x:c>
      <x:c r="B403" s="30" t="str">
        <x:f>'01_命例主档'!A28</x:f>
      </x:c>
      <x:c r="C403" s="30" t="str">
        <x:v>M03</x:v>
      </x:c>
      <x:c r="D403" s="30" t="str">
        <x:v>月令与根气</x:v>
      </x:c>
      <x:c r="E403" s="30" t="str">
        <x:v>结构层</x:v>
      </x:c>
      <x:c r="F403" s="30" t="str">
        <x:v>M02</x:v>
      </x:c>
      <x:c r="G403" s="30" t="str">
        <x:v>未开始</x:v>
      </x:c>
      <x:c r="H403" s="30" t="str"/>
      <x:c r="I403" s="30" t="str"/>
      <x:c r="J403" s="30" t="str"/>
      <x:c r="K403" s="30" t="str"/>
      <x:c r="L403" s="30" t="str"/>
      <x:c r="M403" s="30" t="str"/>
      <x:c r="N403" s="30" t="str"/>
      <x:c r="O403" s="30" t="str"/>
      <x:c r="P403" s="30" t="str"/>
      <x:c r="Q403" s="31" t="str"/>
      <x:c r="R403" s="31" t="str"/>
      <x:c r="S403" s="30" t="str"/>
      <x:c r="T403" s="30" t="str"/>
      <x:c r="U403" s="30" t="str"/>
      <x:c r="V403" s="40" t="str">
        <x:f>IF(B403="","",COUNTA(H403:L403)/5)</x:f>
      </x:c>
    </x:row>
    <x:row r="404">
      <x:c r="A404" s="30" t="str">
        <x:f>IF(B404="","",B404&amp;"-"&amp;C404)</x:f>
      </x:c>
      <x:c r="B404" s="30" t="str">
        <x:f>'01_命例主档'!A28</x:f>
      </x:c>
      <x:c r="C404" s="30" t="str">
        <x:v>M04</x:v>
      </x:c>
      <x:c r="D404" s="30" t="str">
        <x:v>天干作用识别</x:v>
      </x:c>
      <x:c r="E404" s="30" t="str">
        <x:v>识别层</x:v>
      </x:c>
      <x:c r="F404" s="30" t="str">
        <x:v>M02</x:v>
      </x:c>
      <x:c r="G404" s="30" t="str">
        <x:v>未开始</x:v>
      </x:c>
      <x:c r="H404" s="30" t="str"/>
      <x:c r="I404" s="30" t="str"/>
      <x:c r="J404" s="30" t="str"/>
      <x:c r="K404" s="30" t="str"/>
      <x:c r="L404" s="30" t="str"/>
      <x:c r="M404" s="30" t="str"/>
      <x:c r="N404" s="30" t="str"/>
      <x:c r="O404" s="30" t="str"/>
      <x:c r="P404" s="30" t="str"/>
      <x:c r="Q404" s="31" t="str"/>
      <x:c r="R404" s="31" t="str"/>
      <x:c r="S404" s="30" t="str"/>
      <x:c r="T404" s="30" t="str"/>
      <x:c r="U404" s="30" t="str"/>
      <x:c r="V404" s="40" t="str">
        <x:f>IF(B404="","",COUNTA(H404:L404)/5)</x:f>
      </x:c>
    </x:row>
    <x:row r="405">
      <x:c r="A405" s="30" t="str">
        <x:f>IF(B405="","",B405&amp;"-"&amp;C405)</x:f>
      </x:c>
      <x:c r="B405" s="30" t="str">
        <x:f>'01_命例主档'!A28</x:f>
      </x:c>
      <x:c r="C405" s="30" t="str">
        <x:v>M05</x:v>
      </x:c>
      <x:c r="D405" s="30" t="str">
        <x:v>地支关系识别</x:v>
      </x:c>
      <x:c r="E405" s="30" t="str">
        <x:v>识别层</x:v>
      </x:c>
      <x:c r="F405" s="30" t="str">
        <x:v>M02</x:v>
      </x:c>
      <x:c r="G405" s="30" t="str">
        <x:v>未开始</x:v>
      </x:c>
      <x:c r="H405" s="30" t="str"/>
      <x:c r="I405" s="30" t="str"/>
      <x:c r="J405" s="30" t="str"/>
      <x:c r="K405" s="30" t="str"/>
      <x:c r="L405" s="30" t="str"/>
      <x:c r="M405" s="30" t="str"/>
      <x:c r="N405" s="30" t="str"/>
      <x:c r="O405" s="30" t="str"/>
      <x:c r="P405" s="30" t="str"/>
      <x:c r="Q405" s="31" t="str"/>
      <x:c r="R405" s="31" t="str"/>
      <x:c r="S405" s="30" t="str"/>
      <x:c r="T405" s="30" t="str"/>
      <x:c r="U405" s="30" t="str"/>
      <x:c r="V405" s="40" t="str">
        <x:f>IF(B405="","",COUNTA(H405:L405)/5)</x:f>
      </x:c>
    </x:row>
    <x:row r="406">
      <x:c r="A406" s="30" t="str">
        <x:f>IF(B406="","",B406&amp;"-"&amp;C406)</x:f>
      </x:c>
      <x:c r="B406" s="30" t="str">
        <x:f>'01_命例主档'!A28</x:f>
      </x:c>
      <x:c r="C406" s="30" t="str">
        <x:v>M06</x:v>
      </x:c>
      <x:c r="D406" s="30" t="str">
        <x:v>干支关系效应</x:v>
      </x:c>
      <x:c r="E406" s="30" t="str">
        <x:v>效应层</x:v>
      </x:c>
      <x:c r="F406" s="30" t="str">
        <x:v>M03/M04/M05</x:v>
      </x:c>
      <x:c r="G406" s="30" t="str">
        <x:v>未开始</x:v>
      </x:c>
      <x:c r="H406" s="30" t="str"/>
      <x:c r="I406" s="30" t="str"/>
      <x:c r="J406" s="30" t="str"/>
      <x:c r="K406" s="30" t="str"/>
      <x:c r="L406" s="30" t="str"/>
      <x:c r="M406" s="30" t="str"/>
      <x:c r="N406" s="30" t="str"/>
      <x:c r="O406" s="30" t="str"/>
      <x:c r="P406" s="30" t="str"/>
      <x:c r="Q406" s="31" t="str"/>
      <x:c r="R406" s="31" t="str"/>
      <x:c r="S406" s="30" t="str"/>
      <x:c r="T406" s="30" t="str"/>
      <x:c r="U406" s="30" t="str"/>
      <x:c r="V406" s="40" t="str">
        <x:f>IF(B406="","",COUNTA(H406:L406)/5)</x:f>
      </x:c>
    </x:row>
    <x:row r="407">
      <x:c r="A407" s="30" t="str">
        <x:f>IF(B407="","",B407&amp;"-"&amp;C407)</x:f>
      </x:c>
      <x:c r="B407" s="30" t="str">
        <x:f>'01_命例主档'!A28</x:f>
      </x:c>
      <x:c r="C407" s="30" t="str">
        <x:v>M07</x:v>
      </x:c>
      <x:c r="D407" s="30" t="str">
        <x:v>五行原始旺衰</x:v>
      </x:c>
      <x:c r="E407" s="30" t="str">
        <x:v>结构层</x:v>
      </x:c>
      <x:c r="F407" s="30" t="str">
        <x:v>M02/M03</x:v>
      </x:c>
      <x:c r="G407" s="30" t="str">
        <x:v>未开始</x:v>
      </x:c>
      <x:c r="H407" s="30" t="str"/>
      <x:c r="I407" s="30" t="str"/>
      <x:c r="J407" s="30" t="str"/>
      <x:c r="K407" s="30" t="str"/>
      <x:c r="L407" s="30" t="str"/>
      <x:c r="M407" s="30" t="str"/>
      <x:c r="N407" s="30" t="str"/>
      <x:c r="O407" s="30" t="str"/>
      <x:c r="P407" s="30" t="str"/>
      <x:c r="Q407" s="31" t="str"/>
      <x:c r="R407" s="31" t="str"/>
      <x:c r="S407" s="30" t="str"/>
      <x:c r="T407" s="30" t="str"/>
      <x:c r="U407" s="30" t="str"/>
      <x:c r="V407" s="40" t="str">
        <x:f>IF(B407="","",COUNTA(H407:L407)/5)</x:f>
      </x:c>
    </x:row>
    <x:row r="408">
      <x:c r="A408" s="30" t="str">
        <x:f>IF(B408="","",B408&amp;"-"&amp;C408)</x:f>
      </x:c>
      <x:c r="B408" s="30" t="str">
        <x:f>'01_命例主档'!A28</x:f>
      </x:c>
      <x:c r="C408" s="30" t="str">
        <x:v>M08</x:v>
      </x:c>
      <x:c r="D408" s="30" t="str">
        <x:v>五行有效旺衰</x:v>
      </x:c>
      <x:c r="E408" s="30" t="str">
        <x:v>结构层</x:v>
      </x:c>
      <x:c r="F408" s="30" t="str">
        <x:v>M06/M07</x:v>
      </x:c>
      <x:c r="G408" s="30" t="str">
        <x:v>未开始</x:v>
      </x:c>
      <x:c r="H408" s="30" t="str"/>
      <x:c r="I408" s="30" t="str"/>
      <x:c r="J408" s="30" t="str"/>
      <x:c r="K408" s="30" t="str"/>
      <x:c r="L408" s="30" t="str"/>
      <x:c r="M408" s="30" t="str"/>
      <x:c r="N408" s="30" t="str"/>
      <x:c r="O408" s="30" t="str"/>
      <x:c r="P408" s="30" t="str"/>
      <x:c r="Q408" s="31" t="str"/>
      <x:c r="R408" s="31" t="str"/>
      <x:c r="S408" s="30" t="str"/>
      <x:c r="T408" s="30" t="str"/>
      <x:c r="U408" s="30" t="str"/>
      <x:c r="V408" s="40" t="str">
        <x:f>IF(B408="","",COUNTA(H408:L408)/5)</x:f>
      </x:c>
    </x:row>
    <x:row r="409">
      <x:c r="A409" s="30" t="str">
        <x:f>IF(B409="","",B409&amp;"-"&amp;C409)</x:f>
      </x:c>
      <x:c r="B409" s="30" t="str">
        <x:f>'01_命例主档'!A28</x:f>
      </x:c>
      <x:c r="C409" s="30" t="str">
        <x:v>M09</x:v>
      </x:c>
      <x:c r="D409" s="30" t="str">
        <x:v>日主旺衰</x:v>
      </x:c>
      <x:c r="E409" s="30" t="str">
        <x:v>综合层</x:v>
      </x:c>
      <x:c r="F409" s="30" t="str">
        <x:v>M03/M07/M08</x:v>
      </x:c>
      <x:c r="G409" s="30" t="str">
        <x:v>未开始</x:v>
      </x:c>
      <x:c r="H409" s="30" t="str"/>
      <x:c r="I409" s="30" t="str"/>
      <x:c r="J409" s="30" t="str"/>
      <x:c r="K409" s="30" t="str"/>
      <x:c r="L409" s="30" t="str"/>
      <x:c r="M409" s="30" t="str"/>
      <x:c r="N409" s="30" t="str"/>
      <x:c r="O409" s="30" t="str"/>
      <x:c r="P409" s="30" t="str"/>
      <x:c r="Q409" s="31" t="str"/>
      <x:c r="R409" s="31" t="str"/>
      <x:c r="S409" s="30" t="str"/>
      <x:c r="T409" s="30" t="str"/>
      <x:c r="U409" s="30" t="str"/>
      <x:c r="V409" s="40" t="str">
        <x:f>IF(B409="","",COUNTA(H409:L409)/5)</x:f>
      </x:c>
    </x:row>
    <x:row r="410">
      <x:c r="A410" s="30" t="str">
        <x:f>IF(B410="","",B410&amp;"-"&amp;C410)</x:f>
      </x:c>
      <x:c r="B410" s="30" t="str">
        <x:f>'01_命例主档'!A28</x:f>
      </x:c>
      <x:c r="C410" s="30" t="str">
        <x:v>M10</x:v>
      </x:c>
      <x:c r="D410" s="30" t="str">
        <x:v>十神旺衰功能</x:v>
      </x:c>
      <x:c r="E410" s="30" t="str">
        <x:v>结构层</x:v>
      </x:c>
      <x:c r="F410" s="30" t="str">
        <x:v>M02/M08/M09</x:v>
      </x:c>
      <x:c r="G410" s="30" t="str">
        <x:v>未开始</x:v>
      </x:c>
      <x:c r="H410" s="30" t="str"/>
      <x:c r="I410" s="30" t="str"/>
      <x:c r="J410" s="30" t="str"/>
      <x:c r="K410" s="30" t="str"/>
      <x:c r="L410" s="30" t="str"/>
      <x:c r="M410" s="30" t="str"/>
      <x:c r="N410" s="30" t="str"/>
      <x:c r="O410" s="30" t="str"/>
      <x:c r="P410" s="30" t="str"/>
      <x:c r="Q410" s="31" t="str"/>
      <x:c r="R410" s="31" t="str"/>
      <x:c r="S410" s="30" t="str"/>
      <x:c r="T410" s="30" t="str"/>
      <x:c r="U410" s="30" t="str"/>
      <x:c r="V410" s="40" t="str">
        <x:f>IF(B410="","",COUNTA(H410:L410)/5)</x:f>
      </x:c>
    </x:row>
    <x:row r="411">
      <x:c r="A411" s="30" t="str">
        <x:f>IF(B411="","",B411&amp;"-"&amp;C411)</x:f>
      </x:c>
      <x:c r="B411" s="30" t="str">
        <x:f>'01_命例主档'!A28</x:f>
      </x:c>
      <x:c r="C411" s="30" t="str">
        <x:v>M11</x:v>
      </x:c>
      <x:c r="D411" s="30" t="str">
        <x:v>十神组合成立</x:v>
      </x:c>
      <x:c r="E411" s="30" t="str">
        <x:v>结构层</x:v>
      </x:c>
      <x:c r="F411" s="30" t="str">
        <x:v>M08/M09/M10</x:v>
      </x:c>
      <x:c r="G411" s="30" t="str">
        <x:v>未开始</x:v>
      </x:c>
      <x:c r="H411" s="30" t="str"/>
      <x:c r="I411" s="30" t="str"/>
      <x:c r="J411" s="30" t="str"/>
      <x:c r="K411" s="30" t="str"/>
      <x:c r="L411" s="30" t="str"/>
      <x:c r="M411" s="30" t="str"/>
      <x:c r="N411" s="30" t="str"/>
      <x:c r="O411" s="30" t="str"/>
      <x:c r="P411" s="30" t="str"/>
      <x:c r="Q411" s="31" t="str"/>
      <x:c r="R411" s="31" t="str"/>
      <x:c r="S411" s="30" t="str"/>
      <x:c r="T411" s="30" t="str"/>
      <x:c r="U411" s="30" t="str"/>
      <x:c r="V411" s="40" t="str">
        <x:f>IF(B411="","",COUNTA(H411:L411)/5)</x:f>
      </x:c>
    </x:row>
    <x:row r="412">
      <x:c r="A412" s="30" t="str">
        <x:f>IF(B412="","",B412&amp;"-"&amp;C412)</x:f>
      </x:c>
      <x:c r="B412" s="30" t="str">
        <x:f>'01_命例主档'!A28</x:f>
      </x:c>
      <x:c r="C412" s="30" t="str">
        <x:v>M12</x:v>
      </x:c>
      <x:c r="D412" s="30" t="str">
        <x:v>五行流通卡点</x:v>
      </x:c>
      <x:c r="E412" s="30" t="str">
        <x:v>结构层</x:v>
      </x:c>
      <x:c r="F412" s="30" t="str">
        <x:v>M06/M08/M10/M11</x:v>
      </x:c>
      <x:c r="G412" s="30" t="str">
        <x:v>未开始</x:v>
      </x:c>
      <x:c r="H412" s="30" t="str"/>
      <x:c r="I412" s="30" t="str"/>
      <x:c r="J412" s="30" t="str"/>
      <x:c r="K412" s="30" t="str"/>
      <x:c r="L412" s="30" t="str"/>
      <x:c r="M412" s="30" t="str"/>
      <x:c r="N412" s="30" t="str"/>
      <x:c r="O412" s="30" t="str"/>
      <x:c r="P412" s="30" t="str"/>
      <x:c r="Q412" s="31" t="str"/>
      <x:c r="R412" s="31" t="str"/>
      <x:c r="S412" s="30" t="str"/>
      <x:c r="T412" s="30" t="str"/>
      <x:c r="U412" s="30" t="str"/>
      <x:c r="V412" s="40" t="str">
        <x:f>IF(B412="","",COUNTA(H412:L412)/5)</x:f>
      </x:c>
    </x:row>
    <x:row r="413">
      <x:c r="A413" s="30" t="str">
        <x:f>IF(B413="","",B413&amp;"-"&amp;C413)</x:f>
      </x:c>
      <x:c r="B413" s="30" t="str">
        <x:f>'01_命例主档'!A28</x:f>
      </x:c>
      <x:c r="C413" s="30" t="str">
        <x:v>M13</x:v>
      </x:c>
      <x:c r="D413" s="30" t="str">
        <x:v>寒暖燥湿</x:v>
      </x:c>
      <x:c r="E413" s="30" t="str">
        <x:v>结构层</x:v>
      </x:c>
      <x:c r="F413" s="30" t="str">
        <x:v>M02/M08/M12</x:v>
      </x:c>
      <x:c r="G413" s="30" t="str">
        <x:v>未开始</x:v>
      </x:c>
      <x:c r="H413" s="30" t="str"/>
      <x:c r="I413" s="30" t="str"/>
      <x:c r="J413" s="30" t="str"/>
      <x:c r="K413" s="30" t="str"/>
      <x:c r="L413" s="30" t="str"/>
      <x:c r="M413" s="30" t="str"/>
      <x:c r="N413" s="30" t="str"/>
      <x:c r="O413" s="30" t="str"/>
      <x:c r="P413" s="30" t="str"/>
      <x:c r="Q413" s="31" t="str"/>
      <x:c r="R413" s="31" t="str"/>
      <x:c r="S413" s="30" t="str"/>
      <x:c r="T413" s="30" t="str"/>
      <x:c r="U413" s="30" t="str"/>
      <x:c r="V413" s="40" t="str">
        <x:f>IF(B413="","",COUNTA(H413:L413)/5)</x:f>
      </x:c>
    </x:row>
    <x:row r="414">
      <x:c r="A414" s="30" t="str">
        <x:f>IF(B414="","",B414&amp;"-"&amp;C414)</x:f>
      </x:c>
      <x:c r="B414" s="30" t="str">
        <x:f>'01_命例主档'!A28</x:f>
      </x:c>
      <x:c r="C414" s="30" t="str">
        <x:v>M14</x:v>
      </x:c>
      <x:c r="D414" s="30" t="str">
        <x:v>格局候选判断</x:v>
      </x:c>
      <x:c r="E414" s="30" t="str">
        <x:v>综合层</x:v>
      </x:c>
      <x:c r="F414" s="30" t="str">
        <x:v>M03/M06/M08/M09/M10/M11</x:v>
      </x:c>
      <x:c r="G414" s="30" t="str">
        <x:v>未开始</x:v>
      </x:c>
      <x:c r="H414" s="30" t="str"/>
      <x:c r="I414" s="30" t="str"/>
      <x:c r="J414" s="30" t="str"/>
      <x:c r="K414" s="30" t="str"/>
      <x:c r="L414" s="30" t="str"/>
      <x:c r="M414" s="30" t="str"/>
      <x:c r="N414" s="30" t="str"/>
      <x:c r="O414" s="30" t="str"/>
      <x:c r="P414" s="30" t="str"/>
      <x:c r="Q414" s="31" t="str"/>
      <x:c r="R414" s="31" t="str"/>
      <x:c r="S414" s="30" t="str"/>
      <x:c r="T414" s="30" t="str"/>
      <x:c r="U414" s="30" t="str"/>
      <x:c r="V414" s="40" t="str">
        <x:f>IF(B414="","",COUNTA(H414:L414)/5)</x:f>
      </x:c>
    </x:row>
    <x:row r="415">
      <x:c r="A415" s="30" t="str">
        <x:f>IF(B415="","",B415&amp;"-"&amp;C415)</x:f>
      </x:c>
      <x:c r="B415" s="30" t="str">
        <x:f>'01_命例主档'!A28</x:f>
      </x:c>
      <x:c r="C415" s="30" t="str">
        <x:v>M15</x:v>
      </x:c>
      <x:c r="D415" s="30" t="str">
        <x:v>格局成败救应</x:v>
      </x:c>
      <x:c r="E415" s="30" t="str">
        <x:v>综合层</x:v>
      </x:c>
      <x:c r="F415" s="30" t="str">
        <x:v>M14/M11/M08</x:v>
      </x:c>
      <x:c r="G415" s="30" t="str">
        <x:v>未开始</x:v>
      </x:c>
      <x:c r="H415" s="30" t="str"/>
      <x:c r="I415" s="30" t="str"/>
      <x:c r="J415" s="30" t="str"/>
      <x:c r="K415" s="30" t="str"/>
      <x:c r="L415" s="30" t="str"/>
      <x:c r="M415" s="30" t="str"/>
      <x:c r="N415" s="30" t="str"/>
      <x:c r="O415" s="30" t="str"/>
      <x:c r="P415" s="30" t="str"/>
      <x:c r="Q415" s="31" t="str"/>
      <x:c r="R415" s="31" t="str"/>
      <x:c r="S415" s="30" t="str"/>
      <x:c r="T415" s="30" t="str"/>
      <x:c r="U415" s="30" t="str"/>
      <x:c r="V415" s="40" t="str">
        <x:f>IF(B415="","",COUNTA(H415:L415)/5)</x:f>
      </x:c>
    </x:row>
    <x:row r="416">
      <x:c r="A416" s="30" t="str">
        <x:f>IF(B416="","",B416&amp;"-"&amp;C416)</x:f>
      </x:c>
      <x:c r="B416" s="30" t="str">
        <x:f>'01_命例主档'!A28</x:f>
      </x:c>
      <x:c r="C416" s="30" t="str">
        <x:v>M16</x:v>
      </x:c>
      <x:c r="D416" s="30" t="str">
        <x:v>病药模型</x:v>
      </x:c>
      <x:c r="E416" s="30" t="str">
        <x:v>综合层</x:v>
      </x:c>
      <x:c r="F416" s="30" t="str">
        <x:v>M08-M15</x:v>
      </x:c>
      <x:c r="G416" s="30" t="str">
        <x:v>未开始</x:v>
      </x:c>
      <x:c r="H416" s="30" t="str"/>
      <x:c r="I416" s="30" t="str"/>
      <x:c r="J416" s="30" t="str"/>
      <x:c r="K416" s="30" t="str"/>
      <x:c r="L416" s="30" t="str"/>
      <x:c r="M416" s="30" t="str"/>
      <x:c r="N416" s="30" t="str"/>
      <x:c r="O416" s="30" t="str"/>
      <x:c r="P416" s="30" t="str"/>
      <x:c r="Q416" s="31" t="str"/>
      <x:c r="R416" s="31" t="str"/>
      <x:c r="S416" s="30" t="str"/>
      <x:c r="T416" s="30" t="str"/>
      <x:c r="U416" s="30" t="str"/>
      <x:c r="V416" s="40" t="str">
        <x:f>IF(B416="","",COUNTA(H416:L416)/5)</x:f>
      </x:c>
    </x:row>
    <x:row r="417">
      <x:c r="A417" s="30" t="str">
        <x:f>IF(B417="","",B417&amp;"-"&amp;C417)</x:f>
      </x:c>
      <x:c r="B417" s="30" t="str">
        <x:f>'01_命例主档'!A28</x:f>
      </x:c>
      <x:c r="C417" s="30" t="str">
        <x:v>M17</x:v>
      </x:c>
      <x:c r="D417" s="30" t="str">
        <x:v>喜忌用神矩阵</x:v>
      </x:c>
      <x:c r="E417" s="30" t="str">
        <x:v>综合层</x:v>
      </x:c>
      <x:c r="F417" s="30" t="str">
        <x:v>M09/M12/M13/M15/M16</x:v>
      </x:c>
      <x:c r="G417" s="30" t="str">
        <x:v>未开始</x:v>
      </x:c>
      <x:c r="H417" s="30" t="str"/>
      <x:c r="I417" s="30" t="str"/>
      <x:c r="J417" s="30" t="str"/>
      <x:c r="K417" s="30" t="str"/>
      <x:c r="L417" s="30" t="str"/>
      <x:c r="M417" s="30" t="str"/>
      <x:c r="N417" s="30" t="str"/>
      <x:c r="O417" s="30" t="str"/>
      <x:c r="P417" s="30" t="str"/>
      <x:c r="Q417" s="31" t="str"/>
      <x:c r="R417" s="31" t="str"/>
      <x:c r="S417" s="30" t="str"/>
      <x:c r="T417" s="30" t="str"/>
      <x:c r="U417" s="30" t="str"/>
      <x:c r="V417" s="40" t="str">
        <x:f>IF(B417="","",COUNTA(H417:L417)/5)</x:f>
      </x:c>
    </x:row>
    <x:row r="418">
      <x:c r="A418" s="30" t="str">
        <x:f>IF(B418="","",B418&amp;"-"&amp;C418)</x:f>
      </x:c>
      <x:c r="B418" s="30" t="str">
        <x:f>'01_命例主档'!A28</x:f>
      </x:c>
      <x:c r="C418" s="30" t="str">
        <x:v>M18</x:v>
      </x:c>
      <x:c r="D418" s="30" t="str">
        <x:v>冲突裁决规则</x:v>
      </x:c>
      <x:c r="E418" s="30" t="str">
        <x:v>综合层</x:v>
      </x:c>
      <x:c r="F418" s="30" t="str">
        <x:v>M14/M15/M16/M17</x:v>
      </x:c>
      <x:c r="G418" s="30" t="str">
        <x:v>未开始</x:v>
      </x:c>
      <x:c r="H418" s="30" t="str"/>
      <x:c r="I418" s="30" t="str"/>
      <x:c r="J418" s="30" t="str"/>
      <x:c r="K418" s="30" t="str"/>
      <x:c r="L418" s="30" t="str"/>
      <x:c r="M418" s="30" t="str"/>
      <x:c r="N418" s="30" t="str"/>
      <x:c r="O418" s="30" t="str"/>
      <x:c r="P418" s="30" t="str"/>
      <x:c r="Q418" s="31" t="str"/>
      <x:c r="R418" s="31" t="str"/>
      <x:c r="S418" s="30" t="str"/>
      <x:c r="T418" s="30" t="str"/>
      <x:c r="U418" s="30" t="str"/>
      <x:c r="V418" s="40" t="str">
        <x:f>IF(B418="","",COUNTA(H418:L418)/5)</x:f>
      </x:c>
    </x:row>
    <x:row r="419">
      <x:c r="A419" s="30" t="str">
        <x:f>IF(B419="","",B419&amp;"-"&amp;C419)</x:f>
      </x:c>
      <x:c r="B419" s="30" t="str">
        <x:f>'01_命例主档'!A28</x:f>
      </x:c>
      <x:c r="C419" s="30" t="str">
        <x:v>M19</x:v>
      </x:c>
      <x:c r="D419" s="30" t="str">
        <x:v>综合输出模板</x:v>
      </x:c>
      <x:c r="E419" s="30" t="str">
        <x:v>治理与输出</x:v>
      </x:c>
      <x:c r="F419" s="30" t="str">
        <x:v>M02-M18</x:v>
      </x:c>
      <x:c r="G419" s="30" t="str">
        <x:v>未开始</x:v>
      </x:c>
      <x:c r="H419" s="30" t="str"/>
      <x:c r="I419" s="30" t="str"/>
      <x:c r="J419" s="30" t="str"/>
      <x:c r="K419" s="30" t="str"/>
      <x:c r="L419" s="30" t="str"/>
      <x:c r="M419" s="30" t="str"/>
      <x:c r="N419" s="30" t="str"/>
      <x:c r="O419" s="30" t="str"/>
      <x:c r="P419" s="30" t="str"/>
      <x:c r="Q419" s="31" t="str"/>
      <x:c r="R419" s="31" t="str"/>
      <x:c r="S419" s="30" t="str"/>
      <x:c r="T419" s="30" t="str"/>
      <x:c r="U419" s="30" t="str"/>
      <x:c r="V419" s="40" t="str">
        <x:f>IF(B419="","",COUNTA(H419:L419)/5)</x:f>
      </x:c>
    </x:row>
    <x:row r="420">
      <x:c r="A420" s="30" t="str">
        <x:f>IF(B420="","",B420&amp;"-"&amp;C420)</x:f>
      </x:c>
      <x:c r="B420" s="30" t="str">
        <x:f>'01_命例主档'!A29</x:f>
      </x:c>
      <x:c r="C420" s="30" t="str">
        <x:v>M02</x:v>
      </x:c>
      <x:c r="D420" s="30" t="str">
        <x:v>干支藏干基础</x:v>
      </x:c>
      <x:c r="E420" s="30" t="str">
        <x:v>识别层</x:v>
      </x:c>
      <x:c r="F420" s="30" t="str">
        <x:v>无</x:v>
      </x:c>
      <x:c r="G420" s="30" t="str">
        <x:v>未开始</x:v>
      </x:c>
      <x:c r="H420" s="30" t="str"/>
      <x:c r="I420" s="30" t="str"/>
      <x:c r="J420" s="30" t="str"/>
      <x:c r="K420" s="30" t="str"/>
      <x:c r="L420" s="30" t="str"/>
      <x:c r="M420" s="30" t="str"/>
      <x:c r="N420" s="30" t="str"/>
      <x:c r="O420" s="30" t="str"/>
      <x:c r="P420" s="30" t="str"/>
      <x:c r="Q420" s="31" t="str"/>
      <x:c r="R420" s="31" t="str"/>
      <x:c r="S420" s="30" t="str"/>
      <x:c r="T420" s="30" t="str"/>
      <x:c r="U420" s="30" t="str"/>
      <x:c r="V420" s="40" t="str">
        <x:f>IF(B420="","",COUNTA(H420:L420)/5)</x:f>
      </x:c>
    </x:row>
    <x:row r="421">
      <x:c r="A421" s="30" t="str">
        <x:f>IF(B421="","",B421&amp;"-"&amp;C421)</x:f>
      </x:c>
      <x:c r="B421" s="30" t="str">
        <x:f>'01_命例主档'!A29</x:f>
      </x:c>
      <x:c r="C421" s="30" t="str">
        <x:v>M03</x:v>
      </x:c>
      <x:c r="D421" s="30" t="str">
        <x:v>月令与根气</x:v>
      </x:c>
      <x:c r="E421" s="30" t="str">
        <x:v>结构层</x:v>
      </x:c>
      <x:c r="F421" s="30" t="str">
        <x:v>M02</x:v>
      </x:c>
      <x:c r="G421" s="30" t="str">
        <x:v>未开始</x:v>
      </x:c>
      <x:c r="H421" s="30" t="str"/>
      <x:c r="I421" s="30" t="str"/>
      <x:c r="J421" s="30" t="str"/>
      <x:c r="K421" s="30" t="str"/>
      <x:c r="L421" s="30" t="str"/>
      <x:c r="M421" s="30" t="str"/>
      <x:c r="N421" s="30" t="str"/>
      <x:c r="O421" s="30" t="str"/>
      <x:c r="P421" s="30" t="str"/>
      <x:c r="Q421" s="31" t="str"/>
      <x:c r="R421" s="31" t="str"/>
      <x:c r="S421" s="30" t="str"/>
      <x:c r="T421" s="30" t="str"/>
      <x:c r="U421" s="30" t="str"/>
      <x:c r="V421" s="40" t="str">
        <x:f>IF(B421="","",COUNTA(H421:L421)/5)</x:f>
      </x:c>
    </x:row>
    <x:row r="422">
      <x:c r="A422" s="30" t="str">
        <x:f>IF(B422="","",B422&amp;"-"&amp;C422)</x:f>
      </x:c>
      <x:c r="B422" s="30" t="str">
        <x:f>'01_命例主档'!A29</x:f>
      </x:c>
      <x:c r="C422" s="30" t="str">
        <x:v>M04</x:v>
      </x:c>
      <x:c r="D422" s="30" t="str">
        <x:v>天干作用识别</x:v>
      </x:c>
      <x:c r="E422" s="30" t="str">
        <x:v>识别层</x:v>
      </x:c>
      <x:c r="F422" s="30" t="str">
        <x:v>M02</x:v>
      </x:c>
      <x:c r="G422" s="30" t="str">
        <x:v>未开始</x:v>
      </x:c>
      <x:c r="H422" s="30" t="str"/>
      <x:c r="I422" s="30" t="str"/>
      <x:c r="J422" s="30" t="str"/>
      <x:c r="K422" s="30" t="str"/>
      <x:c r="L422" s="30" t="str"/>
      <x:c r="M422" s="30" t="str"/>
      <x:c r="N422" s="30" t="str"/>
      <x:c r="O422" s="30" t="str"/>
      <x:c r="P422" s="30" t="str"/>
      <x:c r="Q422" s="31" t="str"/>
      <x:c r="R422" s="31" t="str"/>
      <x:c r="S422" s="30" t="str"/>
      <x:c r="T422" s="30" t="str"/>
      <x:c r="U422" s="30" t="str"/>
      <x:c r="V422" s="40" t="str">
        <x:f>IF(B422="","",COUNTA(H422:L422)/5)</x:f>
      </x:c>
    </x:row>
    <x:row r="423">
      <x:c r="A423" s="30" t="str">
        <x:f>IF(B423="","",B423&amp;"-"&amp;C423)</x:f>
      </x:c>
      <x:c r="B423" s="30" t="str">
        <x:f>'01_命例主档'!A29</x:f>
      </x:c>
      <x:c r="C423" s="30" t="str">
        <x:v>M05</x:v>
      </x:c>
      <x:c r="D423" s="30" t="str">
        <x:v>地支关系识别</x:v>
      </x:c>
      <x:c r="E423" s="30" t="str">
        <x:v>识别层</x:v>
      </x:c>
      <x:c r="F423" s="30" t="str">
        <x:v>M02</x:v>
      </x:c>
      <x:c r="G423" s="30" t="str">
        <x:v>未开始</x:v>
      </x:c>
      <x:c r="H423" s="30" t="str"/>
      <x:c r="I423" s="30" t="str"/>
      <x:c r="J423" s="30" t="str"/>
      <x:c r="K423" s="30" t="str"/>
      <x:c r="L423" s="30" t="str"/>
      <x:c r="M423" s="30" t="str"/>
      <x:c r="N423" s="30" t="str"/>
      <x:c r="O423" s="30" t="str"/>
      <x:c r="P423" s="30" t="str"/>
      <x:c r="Q423" s="31" t="str"/>
      <x:c r="R423" s="31" t="str"/>
      <x:c r="S423" s="30" t="str"/>
      <x:c r="T423" s="30" t="str"/>
      <x:c r="U423" s="30" t="str"/>
      <x:c r="V423" s="40" t="str">
        <x:f>IF(B423="","",COUNTA(H423:L423)/5)</x:f>
      </x:c>
    </x:row>
    <x:row r="424">
      <x:c r="A424" s="30" t="str">
        <x:f>IF(B424="","",B424&amp;"-"&amp;C424)</x:f>
      </x:c>
      <x:c r="B424" s="30" t="str">
        <x:f>'01_命例主档'!A29</x:f>
      </x:c>
      <x:c r="C424" s="30" t="str">
        <x:v>M06</x:v>
      </x:c>
      <x:c r="D424" s="30" t="str">
        <x:v>干支关系效应</x:v>
      </x:c>
      <x:c r="E424" s="30" t="str">
        <x:v>效应层</x:v>
      </x:c>
      <x:c r="F424" s="30" t="str">
        <x:v>M03/M04/M05</x:v>
      </x:c>
      <x:c r="G424" s="30" t="str">
        <x:v>未开始</x:v>
      </x:c>
      <x:c r="H424" s="30" t="str"/>
      <x:c r="I424" s="30" t="str"/>
      <x:c r="J424" s="30" t="str"/>
      <x:c r="K424" s="30" t="str"/>
      <x:c r="L424" s="30" t="str"/>
      <x:c r="M424" s="30" t="str"/>
      <x:c r="N424" s="30" t="str"/>
      <x:c r="O424" s="30" t="str"/>
      <x:c r="P424" s="30" t="str"/>
      <x:c r="Q424" s="31" t="str"/>
      <x:c r="R424" s="31" t="str"/>
      <x:c r="S424" s="30" t="str"/>
      <x:c r="T424" s="30" t="str"/>
      <x:c r="U424" s="30" t="str"/>
      <x:c r="V424" s="40" t="str">
        <x:f>IF(B424="","",COUNTA(H424:L424)/5)</x:f>
      </x:c>
    </x:row>
    <x:row r="425">
      <x:c r="A425" s="30" t="str">
        <x:f>IF(B425="","",B425&amp;"-"&amp;C425)</x:f>
      </x:c>
      <x:c r="B425" s="30" t="str">
        <x:f>'01_命例主档'!A29</x:f>
      </x:c>
      <x:c r="C425" s="30" t="str">
        <x:v>M07</x:v>
      </x:c>
      <x:c r="D425" s="30" t="str">
        <x:v>五行原始旺衰</x:v>
      </x:c>
      <x:c r="E425" s="30" t="str">
        <x:v>结构层</x:v>
      </x:c>
      <x:c r="F425" s="30" t="str">
        <x:v>M02/M03</x:v>
      </x:c>
      <x:c r="G425" s="30" t="str">
        <x:v>未开始</x:v>
      </x:c>
      <x:c r="H425" s="30" t="str"/>
      <x:c r="I425" s="30" t="str"/>
      <x:c r="J425" s="30" t="str"/>
      <x:c r="K425" s="30" t="str"/>
      <x:c r="L425" s="30" t="str"/>
      <x:c r="M425" s="30" t="str"/>
      <x:c r="N425" s="30" t="str"/>
      <x:c r="O425" s="30" t="str"/>
      <x:c r="P425" s="30" t="str"/>
      <x:c r="Q425" s="31" t="str"/>
      <x:c r="R425" s="31" t="str"/>
      <x:c r="S425" s="30" t="str"/>
      <x:c r="T425" s="30" t="str"/>
      <x:c r="U425" s="30" t="str"/>
      <x:c r="V425" s="40" t="str">
        <x:f>IF(B425="","",COUNTA(H425:L425)/5)</x:f>
      </x:c>
    </x:row>
    <x:row r="426">
      <x:c r="A426" s="30" t="str">
        <x:f>IF(B426="","",B426&amp;"-"&amp;C426)</x:f>
      </x:c>
      <x:c r="B426" s="30" t="str">
        <x:f>'01_命例主档'!A29</x:f>
      </x:c>
      <x:c r="C426" s="30" t="str">
        <x:v>M08</x:v>
      </x:c>
      <x:c r="D426" s="30" t="str">
        <x:v>五行有效旺衰</x:v>
      </x:c>
      <x:c r="E426" s="30" t="str">
        <x:v>结构层</x:v>
      </x:c>
      <x:c r="F426" s="30" t="str">
        <x:v>M06/M07</x:v>
      </x:c>
      <x:c r="G426" s="30" t="str">
        <x:v>未开始</x:v>
      </x:c>
      <x:c r="H426" s="30" t="str"/>
      <x:c r="I426" s="30" t="str"/>
      <x:c r="J426" s="30" t="str"/>
      <x:c r="K426" s="30" t="str"/>
      <x:c r="L426" s="30" t="str"/>
      <x:c r="M426" s="30" t="str"/>
      <x:c r="N426" s="30" t="str"/>
      <x:c r="O426" s="30" t="str"/>
      <x:c r="P426" s="30" t="str"/>
      <x:c r="Q426" s="31" t="str"/>
      <x:c r="R426" s="31" t="str"/>
      <x:c r="S426" s="30" t="str"/>
      <x:c r="T426" s="30" t="str"/>
      <x:c r="U426" s="30" t="str"/>
      <x:c r="V426" s="40" t="str">
        <x:f>IF(B426="","",COUNTA(H426:L426)/5)</x:f>
      </x:c>
    </x:row>
    <x:row r="427">
      <x:c r="A427" s="30" t="str">
        <x:f>IF(B427="","",B427&amp;"-"&amp;C427)</x:f>
      </x:c>
      <x:c r="B427" s="30" t="str">
        <x:f>'01_命例主档'!A29</x:f>
      </x:c>
      <x:c r="C427" s="30" t="str">
        <x:v>M09</x:v>
      </x:c>
      <x:c r="D427" s="30" t="str">
        <x:v>日主旺衰</x:v>
      </x:c>
      <x:c r="E427" s="30" t="str">
        <x:v>综合层</x:v>
      </x:c>
      <x:c r="F427" s="30" t="str">
        <x:v>M03/M07/M08</x:v>
      </x:c>
      <x:c r="G427" s="30" t="str">
        <x:v>未开始</x:v>
      </x:c>
      <x:c r="H427" s="30" t="str"/>
      <x:c r="I427" s="30" t="str"/>
      <x:c r="J427" s="30" t="str"/>
      <x:c r="K427" s="30" t="str"/>
      <x:c r="L427" s="30" t="str"/>
      <x:c r="M427" s="30" t="str"/>
      <x:c r="N427" s="30" t="str"/>
      <x:c r="O427" s="30" t="str"/>
      <x:c r="P427" s="30" t="str"/>
      <x:c r="Q427" s="31" t="str"/>
      <x:c r="R427" s="31" t="str"/>
      <x:c r="S427" s="30" t="str"/>
      <x:c r="T427" s="30" t="str"/>
      <x:c r="U427" s="30" t="str"/>
      <x:c r="V427" s="40" t="str">
        <x:f>IF(B427="","",COUNTA(H427:L427)/5)</x:f>
      </x:c>
    </x:row>
    <x:row r="428">
      <x:c r="A428" s="30" t="str">
        <x:f>IF(B428="","",B428&amp;"-"&amp;C428)</x:f>
      </x:c>
      <x:c r="B428" s="30" t="str">
        <x:f>'01_命例主档'!A29</x:f>
      </x:c>
      <x:c r="C428" s="30" t="str">
        <x:v>M10</x:v>
      </x:c>
      <x:c r="D428" s="30" t="str">
        <x:v>十神旺衰功能</x:v>
      </x:c>
      <x:c r="E428" s="30" t="str">
        <x:v>结构层</x:v>
      </x:c>
      <x:c r="F428" s="30" t="str">
        <x:v>M02/M08/M09</x:v>
      </x:c>
      <x:c r="G428" s="30" t="str">
        <x:v>未开始</x:v>
      </x:c>
      <x:c r="H428" s="30" t="str"/>
      <x:c r="I428" s="30" t="str"/>
      <x:c r="J428" s="30" t="str"/>
      <x:c r="K428" s="30" t="str"/>
      <x:c r="L428" s="30" t="str"/>
      <x:c r="M428" s="30" t="str"/>
      <x:c r="N428" s="30" t="str"/>
      <x:c r="O428" s="30" t="str"/>
      <x:c r="P428" s="30" t="str"/>
      <x:c r="Q428" s="31" t="str"/>
      <x:c r="R428" s="31" t="str"/>
      <x:c r="S428" s="30" t="str"/>
      <x:c r="T428" s="30" t="str"/>
      <x:c r="U428" s="30" t="str"/>
      <x:c r="V428" s="40" t="str">
        <x:f>IF(B428="","",COUNTA(H428:L428)/5)</x:f>
      </x:c>
    </x:row>
    <x:row r="429">
      <x:c r="A429" s="30" t="str">
        <x:f>IF(B429="","",B429&amp;"-"&amp;C429)</x:f>
      </x:c>
      <x:c r="B429" s="30" t="str">
        <x:f>'01_命例主档'!A29</x:f>
      </x:c>
      <x:c r="C429" s="30" t="str">
        <x:v>M11</x:v>
      </x:c>
      <x:c r="D429" s="30" t="str">
        <x:v>十神组合成立</x:v>
      </x:c>
      <x:c r="E429" s="30" t="str">
        <x:v>结构层</x:v>
      </x:c>
      <x:c r="F429" s="30" t="str">
        <x:v>M08/M09/M10</x:v>
      </x:c>
      <x:c r="G429" s="30" t="str">
        <x:v>未开始</x:v>
      </x:c>
      <x:c r="H429" s="30" t="str"/>
      <x:c r="I429" s="30" t="str"/>
      <x:c r="J429" s="30" t="str"/>
      <x:c r="K429" s="30" t="str"/>
      <x:c r="L429" s="30" t="str"/>
      <x:c r="M429" s="30" t="str"/>
      <x:c r="N429" s="30" t="str"/>
      <x:c r="O429" s="30" t="str"/>
      <x:c r="P429" s="30" t="str"/>
      <x:c r="Q429" s="31" t="str"/>
      <x:c r="R429" s="31" t="str"/>
      <x:c r="S429" s="30" t="str"/>
      <x:c r="T429" s="30" t="str"/>
      <x:c r="U429" s="30" t="str"/>
      <x:c r="V429" s="40" t="str">
        <x:f>IF(B429="","",COUNTA(H429:L429)/5)</x:f>
      </x:c>
    </x:row>
    <x:row r="430">
      <x:c r="A430" s="30" t="str">
        <x:f>IF(B430="","",B430&amp;"-"&amp;C430)</x:f>
      </x:c>
      <x:c r="B430" s="30" t="str">
        <x:f>'01_命例主档'!A29</x:f>
      </x:c>
      <x:c r="C430" s="30" t="str">
        <x:v>M12</x:v>
      </x:c>
      <x:c r="D430" s="30" t="str">
        <x:v>五行流通卡点</x:v>
      </x:c>
      <x:c r="E430" s="30" t="str">
        <x:v>结构层</x:v>
      </x:c>
      <x:c r="F430" s="30" t="str">
        <x:v>M06/M08/M10/M11</x:v>
      </x:c>
      <x:c r="G430" s="30" t="str">
        <x:v>未开始</x:v>
      </x:c>
      <x:c r="H430" s="30" t="str"/>
      <x:c r="I430" s="30" t="str"/>
      <x:c r="J430" s="30" t="str"/>
      <x:c r="K430" s="30" t="str"/>
      <x:c r="L430" s="30" t="str"/>
      <x:c r="M430" s="30" t="str"/>
      <x:c r="N430" s="30" t="str"/>
      <x:c r="O430" s="30" t="str"/>
      <x:c r="P430" s="30" t="str"/>
      <x:c r="Q430" s="31" t="str"/>
      <x:c r="R430" s="31" t="str"/>
      <x:c r="S430" s="30" t="str"/>
      <x:c r="T430" s="30" t="str"/>
      <x:c r="U430" s="30" t="str"/>
      <x:c r="V430" s="40" t="str">
        <x:f>IF(B430="","",COUNTA(H430:L430)/5)</x:f>
      </x:c>
    </x:row>
    <x:row r="431">
      <x:c r="A431" s="30" t="str">
        <x:f>IF(B431="","",B431&amp;"-"&amp;C431)</x:f>
      </x:c>
      <x:c r="B431" s="30" t="str">
        <x:f>'01_命例主档'!A29</x:f>
      </x:c>
      <x:c r="C431" s="30" t="str">
        <x:v>M13</x:v>
      </x:c>
      <x:c r="D431" s="30" t="str">
        <x:v>寒暖燥湿</x:v>
      </x:c>
      <x:c r="E431" s="30" t="str">
        <x:v>结构层</x:v>
      </x:c>
      <x:c r="F431" s="30" t="str">
        <x:v>M02/M08/M12</x:v>
      </x:c>
      <x:c r="G431" s="30" t="str">
        <x:v>未开始</x:v>
      </x:c>
      <x:c r="H431" s="30" t="str"/>
      <x:c r="I431" s="30" t="str"/>
      <x:c r="J431" s="30" t="str"/>
      <x:c r="K431" s="30" t="str"/>
      <x:c r="L431" s="30" t="str"/>
      <x:c r="M431" s="30" t="str"/>
      <x:c r="N431" s="30" t="str"/>
      <x:c r="O431" s="30" t="str"/>
      <x:c r="P431" s="30" t="str"/>
      <x:c r="Q431" s="31" t="str"/>
      <x:c r="R431" s="31" t="str"/>
      <x:c r="S431" s="30" t="str"/>
      <x:c r="T431" s="30" t="str"/>
      <x:c r="U431" s="30" t="str"/>
      <x:c r="V431" s="40" t="str">
        <x:f>IF(B431="","",COUNTA(H431:L431)/5)</x:f>
      </x:c>
    </x:row>
    <x:row r="432">
      <x:c r="A432" s="30" t="str">
        <x:f>IF(B432="","",B432&amp;"-"&amp;C432)</x:f>
      </x:c>
      <x:c r="B432" s="30" t="str">
        <x:f>'01_命例主档'!A29</x:f>
      </x:c>
      <x:c r="C432" s="30" t="str">
        <x:v>M14</x:v>
      </x:c>
      <x:c r="D432" s="30" t="str">
        <x:v>格局候选判断</x:v>
      </x:c>
      <x:c r="E432" s="30" t="str">
        <x:v>综合层</x:v>
      </x:c>
      <x:c r="F432" s="30" t="str">
        <x:v>M03/M06/M08/M09/M10/M11</x:v>
      </x:c>
      <x:c r="G432" s="30" t="str">
        <x:v>未开始</x:v>
      </x:c>
      <x:c r="H432" s="30" t="str"/>
      <x:c r="I432" s="30" t="str"/>
      <x:c r="J432" s="30" t="str"/>
      <x:c r="K432" s="30" t="str"/>
      <x:c r="L432" s="30" t="str"/>
      <x:c r="M432" s="30" t="str"/>
      <x:c r="N432" s="30" t="str"/>
      <x:c r="O432" s="30" t="str"/>
      <x:c r="P432" s="30" t="str"/>
      <x:c r="Q432" s="31" t="str"/>
      <x:c r="R432" s="31" t="str"/>
      <x:c r="S432" s="30" t="str"/>
      <x:c r="T432" s="30" t="str"/>
      <x:c r="U432" s="30" t="str"/>
      <x:c r="V432" s="40" t="str">
        <x:f>IF(B432="","",COUNTA(H432:L432)/5)</x:f>
      </x:c>
    </x:row>
    <x:row r="433">
      <x:c r="A433" s="30" t="str">
        <x:f>IF(B433="","",B433&amp;"-"&amp;C433)</x:f>
      </x:c>
      <x:c r="B433" s="30" t="str">
        <x:f>'01_命例主档'!A29</x:f>
      </x:c>
      <x:c r="C433" s="30" t="str">
        <x:v>M15</x:v>
      </x:c>
      <x:c r="D433" s="30" t="str">
        <x:v>格局成败救应</x:v>
      </x:c>
      <x:c r="E433" s="30" t="str">
        <x:v>综合层</x:v>
      </x:c>
      <x:c r="F433" s="30" t="str">
        <x:v>M14/M11/M08</x:v>
      </x:c>
      <x:c r="G433" s="30" t="str">
        <x:v>未开始</x:v>
      </x:c>
      <x:c r="H433" s="30" t="str"/>
      <x:c r="I433" s="30" t="str"/>
      <x:c r="J433" s="30" t="str"/>
      <x:c r="K433" s="30" t="str"/>
      <x:c r="L433" s="30" t="str"/>
      <x:c r="M433" s="30" t="str"/>
      <x:c r="N433" s="30" t="str"/>
      <x:c r="O433" s="30" t="str"/>
      <x:c r="P433" s="30" t="str"/>
      <x:c r="Q433" s="31" t="str"/>
      <x:c r="R433" s="31" t="str"/>
      <x:c r="S433" s="30" t="str"/>
      <x:c r="T433" s="30" t="str"/>
      <x:c r="U433" s="30" t="str"/>
      <x:c r="V433" s="40" t="str">
        <x:f>IF(B433="","",COUNTA(H433:L433)/5)</x:f>
      </x:c>
    </x:row>
    <x:row r="434">
      <x:c r="A434" s="30" t="str">
        <x:f>IF(B434="","",B434&amp;"-"&amp;C434)</x:f>
      </x:c>
      <x:c r="B434" s="30" t="str">
        <x:f>'01_命例主档'!A29</x:f>
      </x:c>
      <x:c r="C434" s="30" t="str">
        <x:v>M16</x:v>
      </x:c>
      <x:c r="D434" s="30" t="str">
        <x:v>病药模型</x:v>
      </x:c>
      <x:c r="E434" s="30" t="str">
        <x:v>综合层</x:v>
      </x:c>
      <x:c r="F434" s="30" t="str">
        <x:v>M08-M15</x:v>
      </x:c>
      <x:c r="G434" s="30" t="str">
        <x:v>未开始</x:v>
      </x:c>
      <x:c r="H434" s="30" t="str"/>
      <x:c r="I434" s="30" t="str"/>
      <x:c r="J434" s="30" t="str"/>
      <x:c r="K434" s="30" t="str"/>
      <x:c r="L434" s="30" t="str"/>
      <x:c r="M434" s="30" t="str"/>
      <x:c r="N434" s="30" t="str"/>
      <x:c r="O434" s="30" t="str"/>
      <x:c r="P434" s="30" t="str"/>
      <x:c r="Q434" s="31" t="str"/>
      <x:c r="R434" s="31" t="str"/>
      <x:c r="S434" s="30" t="str"/>
      <x:c r="T434" s="30" t="str"/>
      <x:c r="U434" s="30" t="str"/>
      <x:c r="V434" s="40" t="str">
        <x:f>IF(B434="","",COUNTA(H434:L434)/5)</x:f>
      </x:c>
    </x:row>
    <x:row r="435">
      <x:c r="A435" s="30" t="str">
        <x:f>IF(B435="","",B435&amp;"-"&amp;C435)</x:f>
      </x:c>
      <x:c r="B435" s="30" t="str">
        <x:f>'01_命例主档'!A29</x:f>
      </x:c>
      <x:c r="C435" s="30" t="str">
        <x:v>M17</x:v>
      </x:c>
      <x:c r="D435" s="30" t="str">
        <x:v>喜忌用神矩阵</x:v>
      </x:c>
      <x:c r="E435" s="30" t="str">
        <x:v>综合层</x:v>
      </x:c>
      <x:c r="F435" s="30" t="str">
        <x:v>M09/M12/M13/M15/M16</x:v>
      </x:c>
      <x:c r="G435" s="30" t="str">
        <x:v>未开始</x:v>
      </x:c>
      <x:c r="H435" s="30" t="str"/>
      <x:c r="I435" s="30" t="str"/>
      <x:c r="J435" s="30" t="str"/>
      <x:c r="K435" s="30" t="str"/>
      <x:c r="L435" s="30" t="str"/>
      <x:c r="M435" s="30" t="str"/>
      <x:c r="N435" s="30" t="str"/>
      <x:c r="O435" s="30" t="str"/>
      <x:c r="P435" s="30" t="str"/>
      <x:c r="Q435" s="31" t="str"/>
      <x:c r="R435" s="31" t="str"/>
      <x:c r="S435" s="30" t="str"/>
      <x:c r="T435" s="30" t="str"/>
      <x:c r="U435" s="30" t="str"/>
      <x:c r="V435" s="40" t="str">
        <x:f>IF(B435="","",COUNTA(H435:L435)/5)</x:f>
      </x:c>
    </x:row>
    <x:row r="436">
      <x:c r="A436" s="30" t="str">
        <x:f>IF(B436="","",B436&amp;"-"&amp;C436)</x:f>
      </x:c>
      <x:c r="B436" s="30" t="str">
        <x:f>'01_命例主档'!A29</x:f>
      </x:c>
      <x:c r="C436" s="30" t="str">
        <x:v>M18</x:v>
      </x:c>
      <x:c r="D436" s="30" t="str">
        <x:v>冲突裁决规则</x:v>
      </x:c>
      <x:c r="E436" s="30" t="str">
        <x:v>综合层</x:v>
      </x:c>
      <x:c r="F436" s="30" t="str">
        <x:v>M14/M15/M16/M17</x:v>
      </x:c>
      <x:c r="G436" s="30" t="str">
        <x:v>未开始</x:v>
      </x:c>
      <x:c r="H436" s="30" t="str"/>
      <x:c r="I436" s="30" t="str"/>
      <x:c r="J436" s="30" t="str"/>
      <x:c r="K436" s="30" t="str"/>
      <x:c r="L436" s="30" t="str"/>
      <x:c r="M436" s="30" t="str"/>
      <x:c r="N436" s="30" t="str"/>
      <x:c r="O436" s="30" t="str"/>
      <x:c r="P436" s="30" t="str"/>
      <x:c r="Q436" s="31" t="str"/>
      <x:c r="R436" s="31" t="str"/>
      <x:c r="S436" s="30" t="str"/>
      <x:c r="T436" s="30" t="str"/>
      <x:c r="U436" s="30" t="str"/>
      <x:c r="V436" s="40" t="str">
        <x:f>IF(B436="","",COUNTA(H436:L436)/5)</x:f>
      </x:c>
    </x:row>
    <x:row r="437">
      <x:c r="A437" s="30" t="str">
        <x:f>IF(B437="","",B437&amp;"-"&amp;C437)</x:f>
      </x:c>
      <x:c r="B437" s="30" t="str">
        <x:f>'01_命例主档'!A29</x:f>
      </x:c>
      <x:c r="C437" s="30" t="str">
        <x:v>M19</x:v>
      </x:c>
      <x:c r="D437" s="30" t="str">
        <x:v>综合输出模板</x:v>
      </x:c>
      <x:c r="E437" s="30" t="str">
        <x:v>治理与输出</x:v>
      </x:c>
      <x:c r="F437" s="30" t="str">
        <x:v>M02-M18</x:v>
      </x:c>
      <x:c r="G437" s="30" t="str">
        <x:v>未开始</x:v>
      </x:c>
      <x:c r="H437" s="30" t="str"/>
      <x:c r="I437" s="30" t="str"/>
      <x:c r="J437" s="30" t="str"/>
      <x:c r="K437" s="30" t="str"/>
      <x:c r="L437" s="30" t="str"/>
      <x:c r="M437" s="30" t="str"/>
      <x:c r="N437" s="30" t="str"/>
      <x:c r="O437" s="30" t="str"/>
      <x:c r="P437" s="30" t="str"/>
      <x:c r="Q437" s="31" t="str"/>
      <x:c r="R437" s="31" t="str"/>
      <x:c r="S437" s="30" t="str"/>
      <x:c r="T437" s="30" t="str"/>
      <x:c r="U437" s="30" t="str"/>
      <x:c r="V437" s="40" t="str">
        <x:f>IF(B437="","",COUNTA(H437:L437)/5)</x:f>
      </x:c>
    </x:row>
    <x:row r="438">
      <x:c r="A438" s="30" t="str">
        <x:f>IF(B438="","",B438&amp;"-"&amp;C438)</x:f>
      </x:c>
      <x:c r="B438" s="30" t="str">
        <x:f>'01_命例主档'!A30</x:f>
      </x:c>
      <x:c r="C438" s="30" t="str">
        <x:v>M02</x:v>
      </x:c>
      <x:c r="D438" s="30" t="str">
        <x:v>干支藏干基础</x:v>
      </x:c>
      <x:c r="E438" s="30" t="str">
        <x:v>识别层</x:v>
      </x:c>
      <x:c r="F438" s="30" t="str">
        <x:v>无</x:v>
      </x:c>
      <x:c r="G438" s="30" t="str">
        <x:v>未开始</x:v>
      </x:c>
      <x:c r="H438" s="30" t="str"/>
      <x:c r="I438" s="30" t="str"/>
      <x:c r="J438" s="30" t="str"/>
      <x:c r="K438" s="30" t="str"/>
      <x:c r="L438" s="30" t="str"/>
      <x:c r="M438" s="30" t="str"/>
      <x:c r="N438" s="30" t="str"/>
      <x:c r="O438" s="30" t="str"/>
      <x:c r="P438" s="30" t="str"/>
      <x:c r="Q438" s="31" t="str"/>
      <x:c r="R438" s="31" t="str"/>
      <x:c r="S438" s="30" t="str"/>
      <x:c r="T438" s="30" t="str"/>
      <x:c r="U438" s="30" t="str"/>
      <x:c r="V438" s="40" t="str">
        <x:f>IF(B438="","",COUNTA(H438:L438)/5)</x:f>
      </x:c>
    </x:row>
    <x:row r="439">
      <x:c r="A439" s="30" t="str">
        <x:f>IF(B439="","",B439&amp;"-"&amp;C439)</x:f>
      </x:c>
      <x:c r="B439" s="30" t="str">
        <x:f>'01_命例主档'!A30</x:f>
      </x:c>
      <x:c r="C439" s="30" t="str">
        <x:v>M03</x:v>
      </x:c>
      <x:c r="D439" s="30" t="str">
        <x:v>月令与根气</x:v>
      </x:c>
      <x:c r="E439" s="30" t="str">
        <x:v>结构层</x:v>
      </x:c>
      <x:c r="F439" s="30" t="str">
        <x:v>M02</x:v>
      </x:c>
      <x:c r="G439" s="30" t="str">
        <x:v>未开始</x:v>
      </x:c>
      <x:c r="H439" s="30" t="str"/>
      <x:c r="I439" s="30" t="str"/>
      <x:c r="J439" s="30" t="str"/>
      <x:c r="K439" s="30" t="str"/>
      <x:c r="L439" s="30" t="str"/>
      <x:c r="M439" s="30" t="str"/>
      <x:c r="N439" s="30" t="str"/>
      <x:c r="O439" s="30" t="str"/>
      <x:c r="P439" s="30" t="str"/>
      <x:c r="Q439" s="31" t="str"/>
      <x:c r="R439" s="31" t="str"/>
      <x:c r="S439" s="30" t="str"/>
      <x:c r="T439" s="30" t="str"/>
      <x:c r="U439" s="30" t="str"/>
      <x:c r="V439" s="40" t="str">
        <x:f>IF(B439="","",COUNTA(H439:L439)/5)</x:f>
      </x:c>
    </x:row>
    <x:row r="440">
      <x:c r="A440" s="30" t="str">
        <x:f>IF(B440="","",B440&amp;"-"&amp;C440)</x:f>
      </x:c>
      <x:c r="B440" s="30" t="str">
        <x:f>'01_命例主档'!A30</x:f>
      </x:c>
      <x:c r="C440" s="30" t="str">
        <x:v>M04</x:v>
      </x:c>
      <x:c r="D440" s="30" t="str">
        <x:v>天干作用识别</x:v>
      </x:c>
      <x:c r="E440" s="30" t="str">
        <x:v>识别层</x:v>
      </x:c>
      <x:c r="F440" s="30" t="str">
        <x:v>M02</x:v>
      </x:c>
      <x:c r="G440" s="30" t="str">
        <x:v>未开始</x:v>
      </x:c>
      <x:c r="H440" s="30" t="str"/>
      <x:c r="I440" s="30" t="str"/>
      <x:c r="J440" s="30" t="str"/>
      <x:c r="K440" s="30" t="str"/>
      <x:c r="L440" s="30" t="str"/>
      <x:c r="M440" s="30" t="str"/>
      <x:c r="N440" s="30" t="str"/>
      <x:c r="O440" s="30" t="str"/>
      <x:c r="P440" s="30" t="str"/>
      <x:c r="Q440" s="31" t="str"/>
      <x:c r="R440" s="31" t="str"/>
      <x:c r="S440" s="30" t="str"/>
      <x:c r="T440" s="30" t="str"/>
      <x:c r="U440" s="30" t="str"/>
      <x:c r="V440" s="40" t="str">
        <x:f>IF(B440="","",COUNTA(H440:L440)/5)</x:f>
      </x:c>
    </x:row>
    <x:row r="441">
      <x:c r="A441" s="30" t="str">
        <x:f>IF(B441="","",B441&amp;"-"&amp;C441)</x:f>
      </x:c>
      <x:c r="B441" s="30" t="str">
        <x:f>'01_命例主档'!A30</x:f>
      </x:c>
      <x:c r="C441" s="30" t="str">
        <x:v>M05</x:v>
      </x:c>
      <x:c r="D441" s="30" t="str">
        <x:v>地支关系识别</x:v>
      </x:c>
      <x:c r="E441" s="30" t="str">
        <x:v>识别层</x:v>
      </x:c>
      <x:c r="F441" s="30" t="str">
        <x:v>M02</x:v>
      </x:c>
      <x:c r="G441" s="30" t="str">
        <x:v>未开始</x:v>
      </x:c>
      <x:c r="H441" s="30" t="str"/>
      <x:c r="I441" s="30" t="str"/>
      <x:c r="J441" s="30" t="str"/>
      <x:c r="K441" s="30" t="str"/>
      <x:c r="L441" s="30" t="str"/>
      <x:c r="M441" s="30" t="str"/>
      <x:c r="N441" s="30" t="str"/>
      <x:c r="O441" s="30" t="str"/>
      <x:c r="P441" s="30" t="str"/>
      <x:c r="Q441" s="31" t="str"/>
      <x:c r="R441" s="31" t="str"/>
      <x:c r="S441" s="30" t="str"/>
      <x:c r="T441" s="30" t="str"/>
      <x:c r="U441" s="30" t="str"/>
      <x:c r="V441" s="40" t="str">
        <x:f>IF(B441="","",COUNTA(H441:L441)/5)</x:f>
      </x:c>
    </x:row>
    <x:row r="442">
      <x:c r="A442" s="30" t="str">
        <x:f>IF(B442="","",B442&amp;"-"&amp;C442)</x:f>
      </x:c>
      <x:c r="B442" s="30" t="str">
        <x:f>'01_命例主档'!A30</x:f>
      </x:c>
      <x:c r="C442" s="30" t="str">
        <x:v>M06</x:v>
      </x:c>
      <x:c r="D442" s="30" t="str">
        <x:v>干支关系效应</x:v>
      </x:c>
      <x:c r="E442" s="30" t="str">
        <x:v>效应层</x:v>
      </x:c>
      <x:c r="F442" s="30" t="str">
        <x:v>M03/M04/M05</x:v>
      </x:c>
      <x:c r="G442" s="30" t="str">
        <x:v>未开始</x:v>
      </x:c>
      <x:c r="H442" s="30" t="str"/>
      <x:c r="I442" s="30" t="str"/>
      <x:c r="J442" s="30" t="str"/>
      <x:c r="K442" s="30" t="str"/>
      <x:c r="L442" s="30" t="str"/>
      <x:c r="M442" s="30" t="str"/>
      <x:c r="N442" s="30" t="str"/>
      <x:c r="O442" s="30" t="str"/>
      <x:c r="P442" s="30" t="str"/>
      <x:c r="Q442" s="31" t="str"/>
      <x:c r="R442" s="31" t="str"/>
      <x:c r="S442" s="30" t="str"/>
      <x:c r="T442" s="30" t="str"/>
      <x:c r="U442" s="30" t="str"/>
      <x:c r="V442" s="40" t="str">
        <x:f>IF(B442="","",COUNTA(H442:L442)/5)</x:f>
      </x:c>
    </x:row>
    <x:row r="443">
      <x:c r="A443" s="30" t="str">
        <x:f>IF(B443="","",B443&amp;"-"&amp;C443)</x:f>
      </x:c>
      <x:c r="B443" s="30" t="str">
        <x:f>'01_命例主档'!A30</x:f>
      </x:c>
      <x:c r="C443" s="30" t="str">
        <x:v>M07</x:v>
      </x:c>
      <x:c r="D443" s="30" t="str">
        <x:v>五行原始旺衰</x:v>
      </x:c>
      <x:c r="E443" s="30" t="str">
        <x:v>结构层</x:v>
      </x:c>
      <x:c r="F443" s="30" t="str">
        <x:v>M02/M03</x:v>
      </x:c>
      <x:c r="G443" s="30" t="str">
        <x:v>未开始</x:v>
      </x:c>
      <x:c r="H443" s="30" t="str"/>
      <x:c r="I443" s="30" t="str"/>
      <x:c r="J443" s="30" t="str"/>
      <x:c r="K443" s="30" t="str"/>
      <x:c r="L443" s="30" t="str"/>
      <x:c r="M443" s="30" t="str"/>
      <x:c r="N443" s="30" t="str"/>
      <x:c r="O443" s="30" t="str"/>
      <x:c r="P443" s="30" t="str"/>
      <x:c r="Q443" s="31" t="str"/>
      <x:c r="R443" s="31" t="str"/>
      <x:c r="S443" s="30" t="str"/>
      <x:c r="T443" s="30" t="str"/>
      <x:c r="U443" s="30" t="str"/>
      <x:c r="V443" s="40" t="str">
        <x:f>IF(B443="","",COUNTA(H443:L443)/5)</x:f>
      </x:c>
    </x:row>
    <x:row r="444">
      <x:c r="A444" s="30" t="str">
        <x:f>IF(B444="","",B444&amp;"-"&amp;C444)</x:f>
      </x:c>
      <x:c r="B444" s="30" t="str">
        <x:f>'01_命例主档'!A30</x:f>
      </x:c>
      <x:c r="C444" s="30" t="str">
        <x:v>M08</x:v>
      </x:c>
      <x:c r="D444" s="30" t="str">
        <x:v>五行有效旺衰</x:v>
      </x:c>
      <x:c r="E444" s="30" t="str">
        <x:v>结构层</x:v>
      </x:c>
      <x:c r="F444" s="30" t="str">
        <x:v>M06/M07</x:v>
      </x:c>
      <x:c r="G444" s="30" t="str">
        <x:v>未开始</x:v>
      </x:c>
      <x:c r="H444" s="30" t="str"/>
      <x:c r="I444" s="30" t="str"/>
      <x:c r="J444" s="30" t="str"/>
      <x:c r="K444" s="30" t="str"/>
      <x:c r="L444" s="30" t="str"/>
      <x:c r="M444" s="30" t="str"/>
      <x:c r="N444" s="30" t="str"/>
      <x:c r="O444" s="30" t="str"/>
      <x:c r="P444" s="30" t="str"/>
      <x:c r="Q444" s="31" t="str"/>
      <x:c r="R444" s="31" t="str"/>
      <x:c r="S444" s="30" t="str"/>
      <x:c r="T444" s="30" t="str"/>
      <x:c r="U444" s="30" t="str"/>
      <x:c r="V444" s="40" t="str">
        <x:f>IF(B444="","",COUNTA(H444:L444)/5)</x:f>
      </x:c>
    </x:row>
    <x:row r="445">
      <x:c r="A445" s="30" t="str">
        <x:f>IF(B445="","",B445&amp;"-"&amp;C445)</x:f>
      </x:c>
      <x:c r="B445" s="30" t="str">
        <x:f>'01_命例主档'!A30</x:f>
      </x:c>
      <x:c r="C445" s="30" t="str">
        <x:v>M09</x:v>
      </x:c>
      <x:c r="D445" s="30" t="str">
        <x:v>日主旺衰</x:v>
      </x:c>
      <x:c r="E445" s="30" t="str">
        <x:v>综合层</x:v>
      </x:c>
      <x:c r="F445" s="30" t="str">
        <x:v>M03/M07/M08</x:v>
      </x:c>
      <x:c r="G445" s="30" t="str">
        <x:v>未开始</x:v>
      </x:c>
      <x:c r="H445" s="30" t="str"/>
      <x:c r="I445" s="30" t="str"/>
      <x:c r="J445" s="30" t="str"/>
      <x:c r="K445" s="30" t="str"/>
      <x:c r="L445" s="30" t="str"/>
      <x:c r="M445" s="30" t="str"/>
      <x:c r="N445" s="30" t="str"/>
      <x:c r="O445" s="30" t="str"/>
      <x:c r="P445" s="30" t="str"/>
      <x:c r="Q445" s="31" t="str"/>
      <x:c r="R445" s="31" t="str"/>
      <x:c r="S445" s="30" t="str"/>
      <x:c r="T445" s="30" t="str"/>
      <x:c r="U445" s="30" t="str"/>
      <x:c r="V445" s="40" t="str">
        <x:f>IF(B445="","",COUNTA(H445:L445)/5)</x:f>
      </x:c>
    </x:row>
    <x:row r="446">
      <x:c r="A446" s="30" t="str">
        <x:f>IF(B446="","",B446&amp;"-"&amp;C446)</x:f>
      </x:c>
      <x:c r="B446" s="30" t="str">
        <x:f>'01_命例主档'!A30</x:f>
      </x:c>
      <x:c r="C446" s="30" t="str">
        <x:v>M10</x:v>
      </x:c>
      <x:c r="D446" s="30" t="str">
        <x:v>十神旺衰功能</x:v>
      </x:c>
      <x:c r="E446" s="30" t="str">
        <x:v>结构层</x:v>
      </x:c>
      <x:c r="F446" s="30" t="str">
        <x:v>M02/M08/M09</x:v>
      </x:c>
      <x:c r="G446" s="30" t="str">
        <x:v>未开始</x:v>
      </x:c>
      <x:c r="H446" s="30" t="str"/>
      <x:c r="I446" s="30" t="str"/>
      <x:c r="J446" s="30" t="str"/>
      <x:c r="K446" s="30" t="str"/>
      <x:c r="L446" s="30" t="str"/>
      <x:c r="M446" s="30" t="str"/>
      <x:c r="N446" s="30" t="str"/>
      <x:c r="O446" s="30" t="str"/>
      <x:c r="P446" s="30" t="str"/>
      <x:c r="Q446" s="31" t="str"/>
      <x:c r="R446" s="31" t="str"/>
      <x:c r="S446" s="30" t="str"/>
      <x:c r="T446" s="30" t="str"/>
      <x:c r="U446" s="30" t="str"/>
      <x:c r="V446" s="40" t="str">
        <x:f>IF(B446="","",COUNTA(H446:L446)/5)</x:f>
      </x:c>
    </x:row>
    <x:row r="447">
      <x:c r="A447" s="30" t="str">
        <x:f>IF(B447="","",B447&amp;"-"&amp;C447)</x:f>
      </x:c>
      <x:c r="B447" s="30" t="str">
        <x:f>'01_命例主档'!A30</x:f>
      </x:c>
      <x:c r="C447" s="30" t="str">
        <x:v>M11</x:v>
      </x:c>
      <x:c r="D447" s="30" t="str">
        <x:v>十神组合成立</x:v>
      </x:c>
      <x:c r="E447" s="30" t="str">
        <x:v>结构层</x:v>
      </x:c>
      <x:c r="F447" s="30" t="str">
        <x:v>M08/M09/M10</x:v>
      </x:c>
      <x:c r="G447" s="30" t="str">
        <x:v>未开始</x:v>
      </x:c>
      <x:c r="H447" s="30" t="str"/>
      <x:c r="I447" s="30" t="str"/>
      <x:c r="J447" s="30" t="str"/>
      <x:c r="K447" s="30" t="str"/>
      <x:c r="L447" s="30" t="str"/>
      <x:c r="M447" s="30" t="str"/>
      <x:c r="N447" s="30" t="str"/>
      <x:c r="O447" s="30" t="str"/>
      <x:c r="P447" s="30" t="str"/>
      <x:c r="Q447" s="31" t="str"/>
      <x:c r="R447" s="31" t="str"/>
      <x:c r="S447" s="30" t="str"/>
      <x:c r="T447" s="30" t="str"/>
      <x:c r="U447" s="30" t="str"/>
      <x:c r="V447" s="40" t="str">
        <x:f>IF(B447="","",COUNTA(H447:L447)/5)</x:f>
      </x:c>
    </x:row>
    <x:row r="448">
      <x:c r="A448" s="30" t="str">
        <x:f>IF(B448="","",B448&amp;"-"&amp;C448)</x:f>
      </x:c>
      <x:c r="B448" s="30" t="str">
        <x:f>'01_命例主档'!A30</x:f>
      </x:c>
      <x:c r="C448" s="30" t="str">
        <x:v>M12</x:v>
      </x:c>
      <x:c r="D448" s="30" t="str">
        <x:v>五行流通卡点</x:v>
      </x:c>
      <x:c r="E448" s="30" t="str">
        <x:v>结构层</x:v>
      </x:c>
      <x:c r="F448" s="30" t="str">
        <x:v>M06/M08/M10/M11</x:v>
      </x:c>
      <x:c r="G448" s="30" t="str">
        <x:v>未开始</x:v>
      </x:c>
      <x:c r="H448" s="30" t="str"/>
      <x:c r="I448" s="30" t="str"/>
      <x:c r="J448" s="30" t="str"/>
      <x:c r="K448" s="30" t="str"/>
      <x:c r="L448" s="30" t="str"/>
      <x:c r="M448" s="30" t="str"/>
      <x:c r="N448" s="30" t="str"/>
      <x:c r="O448" s="30" t="str"/>
      <x:c r="P448" s="30" t="str"/>
      <x:c r="Q448" s="31" t="str"/>
      <x:c r="R448" s="31" t="str"/>
      <x:c r="S448" s="30" t="str"/>
      <x:c r="T448" s="30" t="str"/>
      <x:c r="U448" s="30" t="str"/>
      <x:c r="V448" s="40" t="str">
        <x:f>IF(B448="","",COUNTA(H448:L448)/5)</x:f>
      </x:c>
    </x:row>
    <x:row r="449">
      <x:c r="A449" s="30" t="str">
        <x:f>IF(B449="","",B449&amp;"-"&amp;C449)</x:f>
      </x:c>
      <x:c r="B449" s="30" t="str">
        <x:f>'01_命例主档'!A30</x:f>
      </x:c>
      <x:c r="C449" s="30" t="str">
        <x:v>M13</x:v>
      </x:c>
      <x:c r="D449" s="30" t="str">
        <x:v>寒暖燥湿</x:v>
      </x:c>
      <x:c r="E449" s="30" t="str">
        <x:v>结构层</x:v>
      </x:c>
      <x:c r="F449" s="30" t="str">
        <x:v>M02/M08/M12</x:v>
      </x:c>
      <x:c r="G449" s="30" t="str">
        <x:v>未开始</x:v>
      </x:c>
      <x:c r="H449" s="30" t="str"/>
      <x:c r="I449" s="30" t="str"/>
      <x:c r="J449" s="30" t="str"/>
      <x:c r="K449" s="30" t="str"/>
      <x:c r="L449" s="30" t="str"/>
      <x:c r="M449" s="30" t="str"/>
      <x:c r="N449" s="30" t="str"/>
      <x:c r="O449" s="30" t="str"/>
      <x:c r="P449" s="30" t="str"/>
      <x:c r="Q449" s="31" t="str"/>
      <x:c r="R449" s="31" t="str"/>
      <x:c r="S449" s="30" t="str"/>
      <x:c r="T449" s="30" t="str"/>
      <x:c r="U449" s="30" t="str"/>
      <x:c r="V449" s="40" t="str">
        <x:f>IF(B449="","",COUNTA(H449:L449)/5)</x:f>
      </x:c>
    </x:row>
    <x:row r="450">
      <x:c r="A450" s="30" t="str">
        <x:f>IF(B450="","",B450&amp;"-"&amp;C450)</x:f>
      </x:c>
      <x:c r="B450" s="30" t="str">
        <x:f>'01_命例主档'!A30</x:f>
      </x:c>
      <x:c r="C450" s="30" t="str">
        <x:v>M14</x:v>
      </x:c>
      <x:c r="D450" s="30" t="str">
        <x:v>格局候选判断</x:v>
      </x:c>
      <x:c r="E450" s="30" t="str">
        <x:v>综合层</x:v>
      </x:c>
      <x:c r="F450" s="30" t="str">
        <x:v>M03/M06/M08/M09/M10/M11</x:v>
      </x:c>
      <x:c r="G450" s="30" t="str">
        <x:v>未开始</x:v>
      </x:c>
      <x:c r="H450" s="30" t="str"/>
      <x:c r="I450" s="30" t="str"/>
      <x:c r="J450" s="30" t="str"/>
      <x:c r="K450" s="30" t="str"/>
      <x:c r="L450" s="30" t="str"/>
      <x:c r="M450" s="30" t="str"/>
      <x:c r="N450" s="30" t="str"/>
      <x:c r="O450" s="30" t="str"/>
      <x:c r="P450" s="30" t="str"/>
      <x:c r="Q450" s="31" t="str"/>
      <x:c r="R450" s="31" t="str"/>
      <x:c r="S450" s="30" t="str"/>
      <x:c r="T450" s="30" t="str"/>
      <x:c r="U450" s="30" t="str"/>
      <x:c r="V450" s="40" t="str">
        <x:f>IF(B450="","",COUNTA(H450:L450)/5)</x:f>
      </x:c>
    </x:row>
    <x:row r="451">
      <x:c r="A451" s="30" t="str">
        <x:f>IF(B451="","",B451&amp;"-"&amp;C451)</x:f>
      </x:c>
      <x:c r="B451" s="30" t="str">
        <x:f>'01_命例主档'!A30</x:f>
      </x:c>
      <x:c r="C451" s="30" t="str">
        <x:v>M15</x:v>
      </x:c>
      <x:c r="D451" s="30" t="str">
        <x:v>格局成败救应</x:v>
      </x:c>
      <x:c r="E451" s="30" t="str">
        <x:v>综合层</x:v>
      </x:c>
      <x:c r="F451" s="30" t="str">
        <x:v>M14/M11/M08</x:v>
      </x:c>
      <x:c r="G451" s="30" t="str">
        <x:v>未开始</x:v>
      </x:c>
      <x:c r="H451" s="30" t="str"/>
      <x:c r="I451" s="30" t="str"/>
      <x:c r="J451" s="30" t="str"/>
      <x:c r="K451" s="30" t="str"/>
      <x:c r="L451" s="30" t="str"/>
      <x:c r="M451" s="30" t="str"/>
      <x:c r="N451" s="30" t="str"/>
      <x:c r="O451" s="30" t="str"/>
      <x:c r="P451" s="30" t="str"/>
      <x:c r="Q451" s="31" t="str"/>
      <x:c r="R451" s="31" t="str"/>
      <x:c r="S451" s="30" t="str"/>
      <x:c r="T451" s="30" t="str"/>
      <x:c r="U451" s="30" t="str"/>
      <x:c r="V451" s="40" t="str">
        <x:f>IF(B451="","",COUNTA(H451:L451)/5)</x:f>
      </x:c>
    </x:row>
    <x:row r="452">
      <x:c r="A452" s="30" t="str">
        <x:f>IF(B452="","",B452&amp;"-"&amp;C452)</x:f>
      </x:c>
      <x:c r="B452" s="30" t="str">
        <x:f>'01_命例主档'!A30</x:f>
      </x:c>
      <x:c r="C452" s="30" t="str">
        <x:v>M16</x:v>
      </x:c>
      <x:c r="D452" s="30" t="str">
        <x:v>病药模型</x:v>
      </x:c>
      <x:c r="E452" s="30" t="str">
        <x:v>综合层</x:v>
      </x:c>
      <x:c r="F452" s="30" t="str">
        <x:v>M08-M15</x:v>
      </x:c>
      <x:c r="G452" s="30" t="str">
        <x:v>未开始</x:v>
      </x:c>
      <x:c r="H452" s="30" t="str"/>
      <x:c r="I452" s="30" t="str"/>
      <x:c r="J452" s="30" t="str"/>
      <x:c r="K452" s="30" t="str"/>
      <x:c r="L452" s="30" t="str"/>
      <x:c r="M452" s="30" t="str"/>
      <x:c r="N452" s="30" t="str"/>
      <x:c r="O452" s="30" t="str"/>
      <x:c r="P452" s="30" t="str"/>
      <x:c r="Q452" s="31" t="str"/>
      <x:c r="R452" s="31" t="str"/>
      <x:c r="S452" s="30" t="str"/>
      <x:c r="T452" s="30" t="str"/>
      <x:c r="U452" s="30" t="str"/>
      <x:c r="V452" s="40" t="str">
        <x:f>IF(B452="","",COUNTA(H452:L452)/5)</x:f>
      </x:c>
    </x:row>
    <x:row r="453">
      <x:c r="A453" s="30" t="str">
        <x:f>IF(B453="","",B453&amp;"-"&amp;C453)</x:f>
      </x:c>
      <x:c r="B453" s="30" t="str">
        <x:f>'01_命例主档'!A30</x:f>
      </x:c>
      <x:c r="C453" s="30" t="str">
        <x:v>M17</x:v>
      </x:c>
      <x:c r="D453" s="30" t="str">
        <x:v>喜忌用神矩阵</x:v>
      </x:c>
      <x:c r="E453" s="30" t="str">
        <x:v>综合层</x:v>
      </x:c>
      <x:c r="F453" s="30" t="str">
        <x:v>M09/M12/M13/M15/M16</x:v>
      </x:c>
      <x:c r="G453" s="30" t="str">
        <x:v>未开始</x:v>
      </x:c>
      <x:c r="H453" s="30" t="str"/>
      <x:c r="I453" s="30" t="str"/>
      <x:c r="J453" s="30" t="str"/>
      <x:c r="K453" s="30" t="str"/>
      <x:c r="L453" s="30" t="str"/>
      <x:c r="M453" s="30" t="str"/>
      <x:c r="N453" s="30" t="str"/>
      <x:c r="O453" s="30" t="str"/>
      <x:c r="P453" s="30" t="str"/>
      <x:c r="Q453" s="31" t="str"/>
      <x:c r="R453" s="31" t="str"/>
      <x:c r="S453" s="30" t="str"/>
      <x:c r="T453" s="30" t="str"/>
      <x:c r="U453" s="30" t="str"/>
      <x:c r="V453" s="40" t="str">
        <x:f>IF(B453="","",COUNTA(H453:L453)/5)</x:f>
      </x:c>
    </x:row>
    <x:row r="454">
      <x:c r="A454" s="30" t="str">
        <x:f>IF(B454="","",B454&amp;"-"&amp;C454)</x:f>
      </x:c>
      <x:c r="B454" s="30" t="str">
        <x:f>'01_命例主档'!A30</x:f>
      </x:c>
      <x:c r="C454" s="30" t="str">
        <x:v>M18</x:v>
      </x:c>
      <x:c r="D454" s="30" t="str">
        <x:v>冲突裁决规则</x:v>
      </x:c>
      <x:c r="E454" s="30" t="str">
        <x:v>综合层</x:v>
      </x:c>
      <x:c r="F454" s="30" t="str">
        <x:v>M14/M15/M16/M17</x:v>
      </x:c>
      <x:c r="G454" s="30" t="str">
        <x:v>未开始</x:v>
      </x:c>
      <x:c r="H454" s="30" t="str"/>
      <x:c r="I454" s="30" t="str"/>
      <x:c r="J454" s="30" t="str"/>
      <x:c r="K454" s="30" t="str"/>
      <x:c r="L454" s="30" t="str"/>
      <x:c r="M454" s="30" t="str"/>
      <x:c r="N454" s="30" t="str"/>
      <x:c r="O454" s="30" t="str"/>
      <x:c r="P454" s="30" t="str"/>
      <x:c r="Q454" s="31" t="str"/>
      <x:c r="R454" s="31" t="str"/>
      <x:c r="S454" s="30" t="str"/>
      <x:c r="T454" s="30" t="str"/>
      <x:c r="U454" s="30" t="str"/>
      <x:c r="V454" s="40" t="str">
        <x:f>IF(B454="","",COUNTA(H454:L454)/5)</x:f>
      </x:c>
    </x:row>
    <x:row r="455">
      <x:c r="A455" s="30" t="str">
        <x:f>IF(B455="","",B455&amp;"-"&amp;C455)</x:f>
      </x:c>
      <x:c r="B455" s="30" t="str">
        <x:f>'01_命例主档'!A30</x:f>
      </x:c>
      <x:c r="C455" s="30" t="str">
        <x:v>M19</x:v>
      </x:c>
      <x:c r="D455" s="30" t="str">
        <x:v>综合输出模板</x:v>
      </x:c>
      <x:c r="E455" s="30" t="str">
        <x:v>治理与输出</x:v>
      </x:c>
      <x:c r="F455" s="30" t="str">
        <x:v>M02-M18</x:v>
      </x:c>
      <x:c r="G455" s="30" t="str">
        <x:v>未开始</x:v>
      </x:c>
      <x:c r="H455" s="30" t="str"/>
      <x:c r="I455" s="30" t="str"/>
      <x:c r="J455" s="30" t="str"/>
      <x:c r="K455" s="30" t="str"/>
      <x:c r="L455" s="30" t="str"/>
      <x:c r="M455" s="30" t="str"/>
      <x:c r="N455" s="30" t="str"/>
      <x:c r="O455" s="30" t="str"/>
      <x:c r="P455" s="30" t="str"/>
      <x:c r="Q455" s="31" t="str"/>
      <x:c r="R455" s="31" t="str"/>
      <x:c r="S455" s="30" t="str"/>
      <x:c r="T455" s="30" t="str"/>
      <x:c r="U455" s="30" t="str"/>
      <x:c r="V455" s="40" t="str">
        <x:f>IF(B455="","",COUNTA(H455:L455)/5)</x:f>
      </x:c>
    </x:row>
    <x:row r="456">
      <x:c r="A456" s="30" t="str">
        <x:f>IF(B456="","",B456&amp;"-"&amp;C456)</x:f>
      </x:c>
      <x:c r="B456" s="30" t="str">
        <x:f>'01_命例主档'!A31</x:f>
      </x:c>
      <x:c r="C456" s="30" t="str">
        <x:v>M02</x:v>
      </x:c>
      <x:c r="D456" s="30" t="str">
        <x:v>干支藏干基础</x:v>
      </x:c>
      <x:c r="E456" s="30" t="str">
        <x:v>识别层</x:v>
      </x:c>
      <x:c r="F456" s="30" t="str">
        <x:v>无</x:v>
      </x:c>
      <x:c r="G456" s="30" t="str">
        <x:v>未开始</x:v>
      </x:c>
      <x:c r="H456" s="30" t="str"/>
      <x:c r="I456" s="30" t="str"/>
      <x:c r="J456" s="30" t="str"/>
      <x:c r="K456" s="30" t="str"/>
      <x:c r="L456" s="30" t="str"/>
      <x:c r="M456" s="30" t="str"/>
      <x:c r="N456" s="30" t="str"/>
      <x:c r="O456" s="30" t="str"/>
      <x:c r="P456" s="30" t="str"/>
      <x:c r="Q456" s="31" t="str"/>
      <x:c r="R456" s="31" t="str"/>
      <x:c r="S456" s="30" t="str"/>
      <x:c r="T456" s="30" t="str"/>
      <x:c r="U456" s="30" t="str"/>
      <x:c r="V456" s="40" t="str">
        <x:f>IF(B456="","",COUNTA(H456:L456)/5)</x:f>
      </x:c>
    </x:row>
    <x:row r="457">
      <x:c r="A457" s="30" t="str">
        <x:f>IF(B457="","",B457&amp;"-"&amp;C457)</x:f>
      </x:c>
      <x:c r="B457" s="30" t="str">
        <x:f>'01_命例主档'!A31</x:f>
      </x:c>
      <x:c r="C457" s="30" t="str">
        <x:v>M03</x:v>
      </x:c>
      <x:c r="D457" s="30" t="str">
        <x:v>月令与根气</x:v>
      </x:c>
      <x:c r="E457" s="30" t="str">
        <x:v>结构层</x:v>
      </x:c>
      <x:c r="F457" s="30" t="str">
        <x:v>M02</x:v>
      </x:c>
      <x:c r="G457" s="30" t="str">
        <x:v>未开始</x:v>
      </x:c>
      <x:c r="H457" s="30" t="str"/>
      <x:c r="I457" s="30" t="str"/>
      <x:c r="J457" s="30" t="str"/>
      <x:c r="K457" s="30" t="str"/>
      <x:c r="L457" s="30" t="str"/>
      <x:c r="M457" s="30" t="str"/>
      <x:c r="N457" s="30" t="str"/>
      <x:c r="O457" s="30" t="str"/>
      <x:c r="P457" s="30" t="str"/>
      <x:c r="Q457" s="31" t="str"/>
      <x:c r="R457" s="31" t="str"/>
      <x:c r="S457" s="30" t="str"/>
      <x:c r="T457" s="30" t="str"/>
      <x:c r="U457" s="30" t="str"/>
      <x:c r="V457" s="40" t="str">
        <x:f>IF(B457="","",COUNTA(H457:L457)/5)</x:f>
      </x:c>
    </x:row>
    <x:row r="458">
      <x:c r="A458" s="30" t="str">
        <x:f>IF(B458="","",B458&amp;"-"&amp;C458)</x:f>
      </x:c>
      <x:c r="B458" s="30" t="str">
        <x:f>'01_命例主档'!A31</x:f>
      </x:c>
      <x:c r="C458" s="30" t="str">
        <x:v>M04</x:v>
      </x:c>
      <x:c r="D458" s="30" t="str">
        <x:v>天干作用识别</x:v>
      </x:c>
      <x:c r="E458" s="30" t="str">
        <x:v>识别层</x:v>
      </x:c>
      <x:c r="F458" s="30" t="str">
        <x:v>M02</x:v>
      </x:c>
      <x:c r="G458" s="30" t="str">
        <x:v>未开始</x:v>
      </x:c>
      <x:c r="H458" s="30" t="str"/>
      <x:c r="I458" s="30" t="str"/>
      <x:c r="J458" s="30" t="str"/>
      <x:c r="K458" s="30" t="str"/>
      <x:c r="L458" s="30" t="str"/>
      <x:c r="M458" s="30" t="str"/>
      <x:c r="N458" s="30" t="str"/>
      <x:c r="O458" s="30" t="str"/>
      <x:c r="P458" s="30" t="str"/>
      <x:c r="Q458" s="31" t="str"/>
      <x:c r="R458" s="31" t="str"/>
      <x:c r="S458" s="30" t="str"/>
      <x:c r="T458" s="30" t="str"/>
      <x:c r="U458" s="30" t="str"/>
      <x:c r="V458" s="40" t="str">
        <x:f>IF(B458="","",COUNTA(H458:L458)/5)</x:f>
      </x:c>
    </x:row>
    <x:row r="459">
      <x:c r="A459" s="30" t="str">
        <x:f>IF(B459="","",B459&amp;"-"&amp;C459)</x:f>
      </x:c>
      <x:c r="B459" s="30" t="str">
        <x:f>'01_命例主档'!A31</x:f>
      </x:c>
      <x:c r="C459" s="30" t="str">
        <x:v>M05</x:v>
      </x:c>
      <x:c r="D459" s="30" t="str">
        <x:v>地支关系识别</x:v>
      </x:c>
      <x:c r="E459" s="30" t="str">
        <x:v>识别层</x:v>
      </x:c>
      <x:c r="F459" s="30" t="str">
        <x:v>M02</x:v>
      </x:c>
      <x:c r="G459" s="30" t="str">
        <x:v>未开始</x:v>
      </x:c>
      <x:c r="H459" s="30" t="str"/>
      <x:c r="I459" s="30" t="str"/>
      <x:c r="J459" s="30" t="str"/>
      <x:c r="K459" s="30" t="str"/>
      <x:c r="L459" s="30" t="str"/>
      <x:c r="M459" s="30" t="str"/>
      <x:c r="N459" s="30" t="str"/>
      <x:c r="O459" s="30" t="str"/>
      <x:c r="P459" s="30" t="str"/>
      <x:c r="Q459" s="31" t="str"/>
      <x:c r="R459" s="31" t="str"/>
      <x:c r="S459" s="30" t="str"/>
      <x:c r="T459" s="30" t="str"/>
      <x:c r="U459" s="30" t="str"/>
      <x:c r="V459" s="40" t="str">
        <x:f>IF(B459="","",COUNTA(H459:L459)/5)</x:f>
      </x:c>
    </x:row>
    <x:row r="460">
      <x:c r="A460" s="30" t="str">
        <x:f>IF(B460="","",B460&amp;"-"&amp;C460)</x:f>
      </x:c>
      <x:c r="B460" s="30" t="str">
        <x:f>'01_命例主档'!A31</x:f>
      </x:c>
      <x:c r="C460" s="30" t="str">
        <x:v>M06</x:v>
      </x:c>
      <x:c r="D460" s="30" t="str">
        <x:v>干支关系效应</x:v>
      </x:c>
      <x:c r="E460" s="30" t="str">
        <x:v>效应层</x:v>
      </x:c>
      <x:c r="F460" s="30" t="str">
        <x:v>M03/M04/M05</x:v>
      </x:c>
      <x:c r="G460" s="30" t="str">
        <x:v>未开始</x:v>
      </x:c>
      <x:c r="H460" s="30" t="str"/>
      <x:c r="I460" s="30" t="str"/>
      <x:c r="J460" s="30" t="str"/>
      <x:c r="K460" s="30" t="str"/>
      <x:c r="L460" s="30" t="str"/>
      <x:c r="M460" s="30" t="str"/>
      <x:c r="N460" s="30" t="str"/>
      <x:c r="O460" s="30" t="str"/>
      <x:c r="P460" s="30" t="str"/>
      <x:c r="Q460" s="31" t="str"/>
      <x:c r="R460" s="31" t="str"/>
      <x:c r="S460" s="30" t="str"/>
      <x:c r="T460" s="30" t="str"/>
      <x:c r="U460" s="30" t="str"/>
      <x:c r="V460" s="40" t="str">
        <x:f>IF(B460="","",COUNTA(H460:L460)/5)</x:f>
      </x:c>
    </x:row>
    <x:row r="461">
      <x:c r="A461" s="30" t="str">
        <x:f>IF(B461="","",B461&amp;"-"&amp;C461)</x:f>
      </x:c>
      <x:c r="B461" s="30" t="str">
        <x:f>'01_命例主档'!A31</x:f>
      </x:c>
      <x:c r="C461" s="30" t="str">
        <x:v>M07</x:v>
      </x:c>
      <x:c r="D461" s="30" t="str">
        <x:v>五行原始旺衰</x:v>
      </x:c>
      <x:c r="E461" s="30" t="str">
        <x:v>结构层</x:v>
      </x:c>
      <x:c r="F461" s="30" t="str">
        <x:v>M02/M03</x:v>
      </x:c>
      <x:c r="G461" s="30" t="str">
        <x:v>未开始</x:v>
      </x:c>
      <x:c r="H461" s="30" t="str"/>
      <x:c r="I461" s="30" t="str"/>
      <x:c r="J461" s="30" t="str"/>
      <x:c r="K461" s="30" t="str"/>
      <x:c r="L461" s="30" t="str"/>
      <x:c r="M461" s="30" t="str"/>
      <x:c r="N461" s="30" t="str"/>
      <x:c r="O461" s="30" t="str"/>
      <x:c r="P461" s="30" t="str"/>
      <x:c r="Q461" s="31" t="str"/>
      <x:c r="R461" s="31" t="str"/>
      <x:c r="S461" s="30" t="str"/>
      <x:c r="T461" s="30" t="str"/>
      <x:c r="U461" s="30" t="str"/>
      <x:c r="V461" s="40" t="str">
        <x:f>IF(B461="","",COUNTA(H461:L461)/5)</x:f>
      </x:c>
    </x:row>
    <x:row r="462">
      <x:c r="A462" s="30" t="str">
        <x:f>IF(B462="","",B462&amp;"-"&amp;C462)</x:f>
      </x:c>
      <x:c r="B462" s="30" t="str">
        <x:f>'01_命例主档'!A31</x:f>
      </x:c>
      <x:c r="C462" s="30" t="str">
        <x:v>M08</x:v>
      </x:c>
      <x:c r="D462" s="30" t="str">
        <x:v>五行有效旺衰</x:v>
      </x:c>
      <x:c r="E462" s="30" t="str">
        <x:v>结构层</x:v>
      </x:c>
      <x:c r="F462" s="30" t="str">
        <x:v>M06/M07</x:v>
      </x:c>
      <x:c r="G462" s="30" t="str">
        <x:v>未开始</x:v>
      </x:c>
      <x:c r="H462" s="30" t="str"/>
      <x:c r="I462" s="30" t="str"/>
      <x:c r="J462" s="30" t="str"/>
      <x:c r="K462" s="30" t="str"/>
      <x:c r="L462" s="30" t="str"/>
      <x:c r="M462" s="30" t="str"/>
      <x:c r="N462" s="30" t="str"/>
      <x:c r="O462" s="30" t="str"/>
      <x:c r="P462" s="30" t="str"/>
      <x:c r="Q462" s="31" t="str"/>
      <x:c r="R462" s="31" t="str"/>
      <x:c r="S462" s="30" t="str"/>
      <x:c r="T462" s="30" t="str"/>
      <x:c r="U462" s="30" t="str"/>
      <x:c r="V462" s="40" t="str">
        <x:f>IF(B462="","",COUNTA(H462:L462)/5)</x:f>
      </x:c>
    </x:row>
    <x:row r="463">
      <x:c r="A463" s="30" t="str">
        <x:f>IF(B463="","",B463&amp;"-"&amp;C463)</x:f>
      </x:c>
      <x:c r="B463" s="30" t="str">
        <x:f>'01_命例主档'!A31</x:f>
      </x:c>
      <x:c r="C463" s="30" t="str">
        <x:v>M09</x:v>
      </x:c>
      <x:c r="D463" s="30" t="str">
        <x:v>日主旺衰</x:v>
      </x:c>
      <x:c r="E463" s="30" t="str">
        <x:v>综合层</x:v>
      </x:c>
      <x:c r="F463" s="30" t="str">
        <x:v>M03/M07/M08</x:v>
      </x:c>
      <x:c r="G463" s="30" t="str">
        <x:v>未开始</x:v>
      </x:c>
      <x:c r="H463" s="30" t="str"/>
      <x:c r="I463" s="30" t="str"/>
      <x:c r="J463" s="30" t="str"/>
      <x:c r="K463" s="30" t="str"/>
      <x:c r="L463" s="30" t="str"/>
      <x:c r="M463" s="30" t="str"/>
      <x:c r="N463" s="30" t="str"/>
      <x:c r="O463" s="30" t="str"/>
      <x:c r="P463" s="30" t="str"/>
      <x:c r="Q463" s="31" t="str"/>
      <x:c r="R463" s="31" t="str"/>
      <x:c r="S463" s="30" t="str"/>
      <x:c r="T463" s="30" t="str"/>
      <x:c r="U463" s="30" t="str"/>
      <x:c r="V463" s="40" t="str">
        <x:f>IF(B463="","",COUNTA(H463:L463)/5)</x:f>
      </x:c>
    </x:row>
    <x:row r="464">
      <x:c r="A464" s="30" t="str">
        <x:f>IF(B464="","",B464&amp;"-"&amp;C464)</x:f>
      </x:c>
      <x:c r="B464" s="30" t="str">
        <x:f>'01_命例主档'!A31</x:f>
      </x:c>
      <x:c r="C464" s="30" t="str">
        <x:v>M10</x:v>
      </x:c>
      <x:c r="D464" s="30" t="str">
        <x:v>十神旺衰功能</x:v>
      </x:c>
      <x:c r="E464" s="30" t="str">
        <x:v>结构层</x:v>
      </x:c>
      <x:c r="F464" s="30" t="str">
        <x:v>M02/M08/M09</x:v>
      </x:c>
      <x:c r="G464" s="30" t="str">
        <x:v>未开始</x:v>
      </x:c>
      <x:c r="H464" s="30" t="str"/>
      <x:c r="I464" s="30" t="str"/>
      <x:c r="J464" s="30" t="str"/>
      <x:c r="K464" s="30" t="str"/>
      <x:c r="L464" s="30" t="str"/>
      <x:c r="M464" s="30" t="str"/>
      <x:c r="N464" s="30" t="str"/>
      <x:c r="O464" s="30" t="str"/>
      <x:c r="P464" s="30" t="str"/>
      <x:c r="Q464" s="31" t="str"/>
      <x:c r="R464" s="31" t="str"/>
      <x:c r="S464" s="30" t="str"/>
      <x:c r="T464" s="30" t="str"/>
      <x:c r="U464" s="30" t="str"/>
      <x:c r="V464" s="40" t="str">
        <x:f>IF(B464="","",COUNTA(H464:L464)/5)</x:f>
      </x:c>
    </x:row>
    <x:row r="465">
      <x:c r="A465" s="30" t="str">
        <x:f>IF(B465="","",B465&amp;"-"&amp;C465)</x:f>
      </x:c>
      <x:c r="B465" s="30" t="str">
        <x:f>'01_命例主档'!A31</x:f>
      </x:c>
      <x:c r="C465" s="30" t="str">
        <x:v>M11</x:v>
      </x:c>
      <x:c r="D465" s="30" t="str">
        <x:v>十神组合成立</x:v>
      </x:c>
      <x:c r="E465" s="30" t="str">
        <x:v>结构层</x:v>
      </x:c>
      <x:c r="F465" s="30" t="str">
        <x:v>M08/M09/M10</x:v>
      </x:c>
      <x:c r="G465" s="30" t="str">
        <x:v>未开始</x:v>
      </x:c>
      <x:c r="H465" s="30" t="str"/>
      <x:c r="I465" s="30" t="str"/>
      <x:c r="J465" s="30" t="str"/>
      <x:c r="K465" s="30" t="str"/>
      <x:c r="L465" s="30" t="str"/>
      <x:c r="M465" s="30" t="str"/>
      <x:c r="N465" s="30" t="str"/>
      <x:c r="O465" s="30" t="str"/>
      <x:c r="P465" s="30" t="str"/>
      <x:c r="Q465" s="31" t="str"/>
      <x:c r="R465" s="31" t="str"/>
      <x:c r="S465" s="30" t="str"/>
      <x:c r="T465" s="30" t="str"/>
      <x:c r="U465" s="30" t="str"/>
      <x:c r="V465" s="40" t="str">
        <x:f>IF(B465="","",COUNTA(H465:L465)/5)</x:f>
      </x:c>
    </x:row>
    <x:row r="466">
      <x:c r="A466" s="30" t="str">
        <x:f>IF(B466="","",B466&amp;"-"&amp;C466)</x:f>
      </x:c>
      <x:c r="B466" s="30" t="str">
        <x:f>'01_命例主档'!A31</x:f>
      </x:c>
      <x:c r="C466" s="30" t="str">
        <x:v>M12</x:v>
      </x:c>
      <x:c r="D466" s="30" t="str">
        <x:v>五行流通卡点</x:v>
      </x:c>
      <x:c r="E466" s="30" t="str">
        <x:v>结构层</x:v>
      </x:c>
      <x:c r="F466" s="30" t="str">
        <x:v>M06/M08/M10/M11</x:v>
      </x:c>
      <x:c r="G466" s="30" t="str">
        <x:v>未开始</x:v>
      </x:c>
      <x:c r="H466" s="30" t="str"/>
      <x:c r="I466" s="30" t="str"/>
      <x:c r="J466" s="30" t="str"/>
      <x:c r="K466" s="30" t="str"/>
      <x:c r="L466" s="30" t="str"/>
      <x:c r="M466" s="30" t="str"/>
      <x:c r="N466" s="30" t="str"/>
      <x:c r="O466" s="30" t="str"/>
      <x:c r="P466" s="30" t="str"/>
      <x:c r="Q466" s="31" t="str"/>
      <x:c r="R466" s="31" t="str"/>
      <x:c r="S466" s="30" t="str"/>
      <x:c r="T466" s="30" t="str"/>
      <x:c r="U466" s="30" t="str"/>
      <x:c r="V466" s="40" t="str">
        <x:f>IF(B466="","",COUNTA(H466:L466)/5)</x:f>
      </x:c>
    </x:row>
    <x:row r="467">
      <x:c r="A467" s="30" t="str">
        <x:f>IF(B467="","",B467&amp;"-"&amp;C467)</x:f>
      </x:c>
      <x:c r="B467" s="30" t="str">
        <x:f>'01_命例主档'!A31</x:f>
      </x:c>
      <x:c r="C467" s="30" t="str">
        <x:v>M13</x:v>
      </x:c>
      <x:c r="D467" s="30" t="str">
        <x:v>寒暖燥湿</x:v>
      </x:c>
      <x:c r="E467" s="30" t="str">
        <x:v>结构层</x:v>
      </x:c>
      <x:c r="F467" s="30" t="str">
        <x:v>M02/M08/M12</x:v>
      </x:c>
      <x:c r="G467" s="30" t="str">
        <x:v>未开始</x:v>
      </x:c>
      <x:c r="H467" s="30" t="str"/>
      <x:c r="I467" s="30" t="str"/>
      <x:c r="J467" s="30" t="str"/>
      <x:c r="K467" s="30" t="str"/>
      <x:c r="L467" s="30" t="str"/>
      <x:c r="M467" s="30" t="str"/>
      <x:c r="N467" s="30" t="str"/>
      <x:c r="O467" s="30" t="str"/>
      <x:c r="P467" s="30" t="str"/>
      <x:c r="Q467" s="31" t="str"/>
      <x:c r="R467" s="31" t="str"/>
      <x:c r="S467" s="30" t="str"/>
      <x:c r="T467" s="30" t="str"/>
      <x:c r="U467" s="30" t="str"/>
      <x:c r="V467" s="40" t="str">
        <x:f>IF(B467="","",COUNTA(H467:L467)/5)</x:f>
      </x:c>
    </x:row>
    <x:row r="468">
      <x:c r="A468" s="30" t="str">
        <x:f>IF(B468="","",B468&amp;"-"&amp;C468)</x:f>
      </x:c>
      <x:c r="B468" s="30" t="str">
        <x:f>'01_命例主档'!A31</x:f>
      </x:c>
      <x:c r="C468" s="30" t="str">
        <x:v>M14</x:v>
      </x:c>
      <x:c r="D468" s="30" t="str">
        <x:v>格局候选判断</x:v>
      </x:c>
      <x:c r="E468" s="30" t="str">
        <x:v>综合层</x:v>
      </x:c>
      <x:c r="F468" s="30" t="str">
        <x:v>M03/M06/M08/M09/M10/M11</x:v>
      </x:c>
      <x:c r="G468" s="30" t="str">
        <x:v>未开始</x:v>
      </x:c>
      <x:c r="H468" s="30" t="str"/>
      <x:c r="I468" s="30" t="str"/>
      <x:c r="J468" s="30" t="str"/>
      <x:c r="K468" s="30" t="str"/>
      <x:c r="L468" s="30" t="str"/>
      <x:c r="M468" s="30" t="str"/>
      <x:c r="N468" s="30" t="str"/>
      <x:c r="O468" s="30" t="str"/>
      <x:c r="P468" s="30" t="str"/>
      <x:c r="Q468" s="31" t="str"/>
      <x:c r="R468" s="31" t="str"/>
      <x:c r="S468" s="30" t="str"/>
      <x:c r="T468" s="30" t="str"/>
      <x:c r="U468" s="30" t="str"/>
      <x:c r="V468" s="40" t="str">
        <x:f>IF(B468="","",COUNTA(H468:L468)/5)</x:f>
      </x:c>
    </x:row>
    <x:row r="469">
      <x:c r="A469" s="30" t="str">
        <x:f>IF(B469="","",B469&amp;"-"&amp;C469)</x:f>
      </x:c>
      <x:c r="B469" s="30" t="str">
        <x:f>'01_命例主档'!A31</x:f>
      </x:c>
      <x:c r="C469" s="30" t="str">
        <x:v>M15</x:v>
      </x:c>
      <x:c r="D469" s="30" t="str">
        <x:v>格局成败救应</x:v>
      </x:c>
      <x:c r="E469" s="30" t="str">
        <x:v>综合层</x:v>
      </x:c>
      <x:c r="F469" s="30" t="str">
        <x:v>M14/M11/M08</x:v>
      </x:c>
      <x:c r="G469" s="30" t="str">
        <x:v>未开始</x:v>
      </x:c>
      <x:c r="H469" s="30" t="str"/>
      <x:c r="I469" s="30" t="str"/>
      <x:c r="J469" s="30" t="str"/>
      <x:c r="K469" s="30" t="str"/>
      <x:c r="L469" s="30" t="str"/>
      <x:c r="M469" s="30" t="str"/>
      <x:c r="N469" s="30" t="str"/>
      <x:c r="O469" s="30" t="str"/>
      <x:c r="P469" s="30" t="str"/>
      <x:c r="Q469" s="31" t="str"/>
      <x:c r="R469" s="31" t="str"/>
      <x:c r="S469" s="30" t="str"/>
      <x:c r="T469" s="30" t="str"/>
      <x:c r="U469" s="30" t="str"/>
      <x:c r="V469" s="40" t="str">
        <x:f>IF(B469="","",COUNTA(H469:L469)/5)</x:f>
      </x:c>
    </x:row>
    <x:row r="470">
      <x:c r="A470" s="30" t="str">
        <x:f>IF(B470="","",B470&amp;"-"&amp;C470)</x:f>
      </x:c>
      <x:c r="B470" s="30" t="str">
        <x:f>'01_命例主档'!A31</x:f>
      </x:c>
      <x:c r="C470" s="30" t="str">
        <x:v>M16</x:v>
      </x:c>
      <x:c r="D470" s="30" t="str">
        <x:v>病药模型</x:v>
      </x:c>
      <x:c r="E470" s="30" t="str">
        <x:v>综合层</x:v>
      </x:c>
      <x:c r="F470" s="30" t="str">
        <x:v>M08-M15</x:v>
      </x:c>
      <x:c r="G470" s="30" t="str">
        <x:v>未开始</x:v>
      </x:c>
      <x:c r="H470" s="30" t="str"/>
      <x:c r="I470" s="30" t="str"/>
      <x:c r="J470" s="30" t="str"/>
      <x:c r="K470" s="30" t="str"/>
      <x:c r="L470" s="30" t="str"/>
      <x:c r="M470" s="30" t="str"/>
      <x:c r="N470" s="30" t="str"/>
      <x:c r="O470" s="30" t="str"/>
      <x:c r="P470" s="30" t="str"/>
      <x:c r="Q470" s="31" t="str"/>
      <x:c r="R470" s="31" t="str"/>
      <x:c r="S470" s="30" t="str"/>
      <x:c r="T470" s="30" t="str"/>
      <x:c r="U470" s="30" t="str"/>
      <x:c r="V470" s="40" t="str">
        <x:f>IF(B470="","",COUNTA(H470:L470)/5)</x:f>
      </x:c>
    </x:row>
    <x:row r="471">
      <x:c r="A471" s="30" t="str">
        <x:f>IF(B471="","",B471&amp;"-"&amp;C471)</x:f>
      </x:c>
      <x:c r="B471" s="30" t="str">
        <x:f>'01_命例主档'!A31</x:f>
      </x:c>
      <x:c r="C471" s="30" t="str">
        <x:v>M17</x:v>
      </x:c>
      <x:c r="D471" s="30" t="str">
        <x:v>喜忌用神矩阵</x:v>
      </x:c>
      <x:c r="E471" s="30" t="str">
        <x:v>综合层</x:v>
      </x:c>
      <x:c r="F471" s="30" t="str">
        <x:v>M09/M12/M13/M15/M16</x:v>
      </x:c>
      <x:c r="G471" s="30" t="str">
        <x:v>未开始</x:v>
      </x:c>
      <x:c r="H471" s="30" t="str"/>
      <x:c r="I471" s="30" t="str"/>
      <x:c r="J471" s="30" t="str"/>
      <x:c r="K471" s="30" t="str"/>
      <x:c r="L471" s="30" t="str"/>
      <x:c r="M471" s="30" t="str"/>
      <x:c r="N471" s="30" t="str"/>
      <x:c r="O471" s="30" t="str"/>
      <x:c r="P471" s="30" t="str"/>
      <x:c r="Q471" s="31" t="str"/>
      <x:c r="R471" s="31" t="str"/>
      <x:c r="S471" s="30" t="str"/>
      <x:c r="T471" s="30" t="str"/>
      <x:c r="U471" s="30" t="str"/>
      <x:c r="V471" s="40" t="str">
        <x:f>IF(B471="","",COUNTA(H471:L471)/5)</x:f>
      </x:c>
    </x:row>
    <x:row r="472">
      <x:c r="A472" s="30" t="str">
        <x:f>IF(B472="","",B472&amp;"-"&amp;C472)</x:f>
      </x:c>
      <x:c r="B472" s="30" t="str">
        <x:f>'01_命例主档'!A31</x:f>
      </x:c>
      <x:c r="C472" s="30" t="str">
        <x:v>M18</x:v>
      </x:c>
      <x:c r="D472" s="30" t="str">
        <x:v>冲突裁决规则</x:v>
      </x:c>
      <x:c r="E472" s="30" t="str">
        <x:v>综合层</x:v>
      </x:c>
      <x:c r="F472" s="30" t="str">
        <x:v>M14/M15/M16/M17</x:v>
      </x:c>
      <x:c r="G472" s="30" t="str">
        <x:v>未开始</x:v>
      </x:c>
      <x:c r="H472" s="30" t="str"/>
      <x:c r="I472" s="30" t="str"/>
      <x:c r="J472" s="30" t="str"/>
      <x:c r="K472" s="30" t="str"/>
      <x:c r="L472" s="30" t="str"/>
      <x:c r="M472" s="30" t="str"/>
      <x:c r="N472" s="30" t="str"/>
      <x:c r="O472" s="30" t="str"/>
      <x:c r="P472" s="30" t="str"/>
      <x:c r="Q472" s="31" t="str"/>
      <x:c r="R472" s="31" t="str"/>
      <x:c r="S472" s="30" t="str"/>
      <x:c r="T472" s="30" t="str"/>
      <x:c r="U472" s="30" t="str"/>
      <x:c r="V472" s="40" t="str">
        <x:f>IF(B472="","",COUNTA(H472:L472)/5)</x:f>
      </x:c>
    </x:row>
    <x:row r="473">
      <x:c r="A473" s="30" t="str">
        <x:f>IF(B473="","",B473&amp;"-"&amp;C473)</x:f>
      </x:c>
      <x:c r="B473" s="30" t="str">
        <x:f>'01_命例主档'!A31</x:f>
      </x:c>
      <x:c r="C473" s="30" t="str">
        <x:v>M19</x:v>
      </x:c>
      <x:c r="D473" s="30" t="str">
        <x:v>综合输出模板</x:v>
      </x:c>
      <x:c r="E473" s="30" t="str">
        <x:v>治理与输出</x:v>
      </x:c>
      <x:c r="F473" s="30" t="str">
        <x:v>M02-M18</x:v>
      </x:c>
      <x:c r="G473" s="30" t="str">
        <x:v>未开始</x:v>
      </x:c>
      <x:c r="H473" s="30" t="str"/>
      <x:c r="I473" s="30" t="str"/>
      <x:c r="J473" s="30" t="str"/>
      <x:c r="K473" s="30" t="str"/>
      <x:c r="L473" s="30" t="str"/>
      <x:c r="M473" s="30" t="str"/>
      <x:c r="N473" s="30" t="str"/>
      <x:c r="O473" s="30" t="str"/>
      <x:c r="P473" s="30" t="str"/>
      <x:c r="Q473" s="31" t="str"/>
      <x:c r="R473" s="31" t="str"/>
      <x:c r="S473" s="30" t="str"/>
      <x:c r="T473" s="30" t="str"/>
      <x:c r="U473" s="30" t="str"/>
      <x:c r="V473" s="40" t="str">
        <x:f>IF(B473="","",COUNTA(H473:L473)/5)</x:f>
      </x:c>
    </x:row>
    <x:row r="474">
      <x:c r="A474" s="30" t="str">
        <x:f>IF(B474="","",B474&amp;"-"&amp;C474)</x:f>
      </x:c>
      <x:c r="B474" s="30" t="str">
        <x:f>'01_命例主档'!A32</x:f>
      </x:c>
      <x:c r="C474" s="30" t="str">
        <x:v>M02</x:v>
      </x:c>
      <x:c r="D474" s="30" t="str">
        <x:v>干支藏干基础</x:v>
      </x:c>
      <x:c r="E474" s="30" t="str">
        <x:v>识别层</x:v>
      </x:c>
      <x:c r="F474" s="30" t="str">
        <x:v>无</x:v>
      </x:c>
      <x:c r="G474" s="30" t="str">
        <x:v>未开始</x:v>
      </x:c>
      <x:c r="H474" s="30" t="str"/>
      <x:c r="I474" s="30" t="str"/>
      <x:c r="J474" s="30" t="str"/>
      <x:c r="K474" s="30" t="str"/>
      <x:c r="L474" s="30" t="str"/>
      <x:c r="M474" s="30" t="str"/>
      <x:c r="N474" s="30" t="str"/>
      <x:c r="O474" s="30" t="str"/>
      <x:c r="P474" s="30" t="str"/>
      <x:c r="Q474" s="31" t="str"/>
      <x:c r="R474" s="31" t="str"/>
      <x:c r="S474" s="30" t="str"/>
      <x:c r="T474" s="30" t="str"/>
      <x:c r="U474" s="30" t="str"/>
      <x:c r="V474" s="40" t="str">
        <x:f>IF(B474="","",COUNTA(H474:L474)/5)</x:f>
      </x:c>
    </x:row>
    <x:row r="475">
      <x:c r="A475" s="30" t="str">
        <x:f>IF(B475="","",B475&amp;"-"&amp;C475)</x:f>
      </x:c>
      <x:c r="B475" s="30" t="str">
        <x:f>'01_命例主档'!A32</x:f>
      </x:c>
      <x:c r="C475" s="30" t="str">
        <x:v>M03</x:v>
      </x:c>
      <x:c r="D475" s="30" t="str">
        <x:v>月令与根气</x:v>
      </x:c>
      <x:c r="E475" s="30" t="str">
        <x:v>结构层</x:v>
      </x:c>
      <x:c r="F475" s="30" t="str">
        <x:v>M02</x:v>
      </x:c>
      <x:c r="G475" s="30" t="str">
        <x:v>未开始</x:v>
      </x:c>
      <x:c r="H475" s="30" t="str"/>
      <x:c r="I475" s="30" t="str"/>
      <x:c r="J475" s="30" t="str"/>
      <x:c r="K475" s="30" t="str"/>
      <x:c r="L475" s="30" t="str"/>
      <x:c r="M475" s="30" t="str"/>
      <x:c r="N475" s="30" t="str"/>
      <x:c r="O475" s="30" t="str"/>
      <x:c r="P475" s="30" t="str"/>
      <x:c r="Q475" s="31" t="str"/>
      <x:c r="R475" s="31" t="str"/>
      <x:c r="S475" s="30" t="str"/>
      <x:c r="T475" s="30" t="str"/>
      <x:c r="U475" s="30" t="str"/>
      <x:c r="V475" s="40" t="str">
        <x:f>IF(B475="","",COUNTA(H475:L475)/5)</x:f>
      </x:c>
    </x:row>
    <x:row r="476">
      <x:c r="A476" s="30" t="str">
        <x:f>IF(B476="","",B476&amp;"-"&amp;C476)</x:f>
      </x:c>
      <x:c r="B476" s="30" t="str">
        <x:f>'01_命例主档'!A32</x:f>
      </x:c>
      <x:c r="C476" s="30" t="str">
        <x:v>M04</x:v>
      </x:c>
      <x:c r="D476" s="30" t="str">
        <x:v>天干作用识别</x:v>
      </x:c>
      <x:c r="E476" s="30" t="str">
        <x:v>识别层</x:v>
      </x:c>
      <x:c r="F476" s="30" t="str">
        <x:v>M02</x:v>
      </x:c>
      <x:c r="G476" s="30" t="str">
        <x:v>未开始</x:v>
      </x:c>
      <x:c r="H476" s="30" t="str"/>
      <x:c r="I476" s="30" t="str"/>
      <x:c r="J476" s="30" t="str"/>
      <x:c r="K476" s="30" t="str"/>
      <x:c r="L476" s="30" t="str"/>
      <x:c r="M476" s="30" t="str"/>
      <x:c r="N476" s="30" t="str"/>
      <x:c r="O476" s="30" t="str"/>
      <x:c r="P476" s="30" t="str"/>
      <x:c r="Q476" s="31" t="str"/>
      <x:c r="R476" s="31" t="str"/>
      <x:c r="S476" s="30" t="str"/>
      <x:c r="T476" s="30" t="str"/>
      <x:c r="U476" s="30" t="str"/>
      <x:c r="V476" s="40" t="str">
        <x:f>IF(B476="","",COUNTA(H476:L476)/5)</x:f>
      </x:c>
    </x:row>
    <x:row r="477">
      <x:c r="A477" s="30" t="str">
        <x:f>IF(B477="","",B477&amp;"-"&amp;C477)</x:f>
      </x:c>
      <x:c r="B477" s="30" t="str">
        <x:f>'01_命例主档'!A32</x:f>
      </x:c>
      <x:c r="C477" s="30" t="str">
        <x:v>M05</x:v>
      </x:c>
      <x:c r="D477" s="30" t="str">
        <x:v>地支关系识别</x:v>
      </x:c>
      <x:c r="E477" s="30" t="str">
        <x:v>识别层</x:v>
      </x:c>
      <x:c r="F477" s="30" t="str">
        <x:v>M02</x:v>
      </x:c>
      <x:c r="G477" s="30" t="str">
        <x:v>未开始</x:v>
      </x:c>
      <x:c r="H477" s="30" t="str"/>
      <x:c r="I477" s="30" t="str"/>
      <x:c r="J477" s="30" t="str"/>
      <x:c r="K477" s="30" t="str"/>
      <x:c r="L477" s="30" t="str"/>
      <x:c r="M477" s="30" t="str"/>
      <x:c r="N477" s="30" t="str"/>
      <x:c r="O477" s="30" t="str"/>
      <x:c r="P477" s="30" t="str"/>
      <x:c r="Q477" s="31" t="str"/>
      <x:c r="R477" s="31" t="str"/>
      <x:c r="S477" s="30" t="str"/>
      <x:c r="T477" s="30" t="str"/>
      <x:c r="U477" s="30" t="str"/>
      <x:c r="V477" s="40" t="str">
        <x:f>IF(B477="","",COUNTA(H477:L477)/5)</x:f>
      </x:c>
    </x:row>
    <x:row r="478">
      <x:c r="A478" s="30" t="str">
        <x:f>IF(B478="","",B478&amp;"-"&amp;C478)</x:f>
      </x:c>
      <x:c r="B478" s="30" t="str">
        <x:f>'01_命例主档'!A32</x:f>
      </x:c>
      <x:c r="C478" s="30" t="str">
        <x:v>M06</x:v>
      </x:c>
      <x:c r="D478" s="30" t="str">
        <x:v>干支关系效应</x:v>
      </x:c>
      <x:c r="E478" s="30" t="str">
        <x:v>效应层</x:v>
      </x:c>
      <x:c r="F478" s="30" t="str">
        <x:v>M03/M04/M05</x:v>
      </x:c>
      <x:c r="G478" s="30" t="str">
        <x:v>未开始</x:v>
      </x:c>
      <x:c r="H478" s="30" t="str"/>
      <x:c r="I478" s="30" t="str"/>
      <x:c r="J478" s="30" t="str"/>
      <x:c r="K478" s="30" t="str"/>
      <x:c r="L478" s="30" t="str"/>
      <x:c r="M478" s="30" t="str"/>
      <x:c r="N478" s="30" t="str"/>
      <x:c r="O478" s="30" t="str"/>
      <x:c r="P478" s="30" t="str"/>
      <x:c r="Q478" s="31" t="str"/>
      <x:c r="R478" s="31" t="str"/>
      <x:c r="S478" s="30" t="str"/>
      <x:c r="T478" s="30" t="str"/>
      <x:c r="U478" s="30" t="str"/>
      <x:c r="V478" s="40" t="str">
        <x:f>IF(B478="","",COUNTA(H478:L478)/5)</x:f>
      </x:c>
    </x:row>
    <x:row r="479">
      <x:c r="A479" s="30" t="str">
        <x:f>IF(B479="","",B479&amp;"-"&amp;C479)</x:f>
      </x:c>
      <x:c r="B479" s="30" t="str">
        <x:f>'01_命例主档'!A32</x:f>
      </x:c>
      <x:c r="C479" s="30" t="str">
        <x:v>M07</x:v>
      </x:c>
      <x:c r="D479" s="30" t="str">
        <x:v>五行原始旺衰</x:v>
      </x:c>
      <x:c r="E479" s="30" t="str">
        <x:v>结构层</x:v>
      </x:c>
      <x:c r="F479" s="30" t="str">
        <x:v>M02/M03</x:v>
      </x:c>
      <x:c r="G479" s="30" t="str">
        <x:v>未开始</x:v>
      </x:c>
      <x:c r="H479" s="30" t="str"/>
      <x:c r="I479" s="30" t="str"/>
      <x:c r="J479" s="30" t="str"/>
      <x:c r="K479" s="30" t="str"/>
      <x:c r="L479" s="30" t="str"/>
      <x:c r="M479" s="30" t="str"/>
      <x:c r="N479" s="30" t="str"/>
      <x:c r="O479" s="30" t="str"/>
      <x:c r="P479" s="30" t="str"/>
      <x:c r="Q479" s="31" t="str"/>
      <x:c r="R479" s="31" t="str"/>
      <x:c r="S479" s="30" t="str"/>
      <x:c r="T479" s="30" t="str"/>
      <x:c r="U479" s="30" t="str"/>
      <x:c r="V479" s="40" t="str">
        <x:f>IF(B479="","",COUNTA(H479:L479)/5)</x:f>
      </x:c>
    </x:row>
    <x:row r="480">
      <x:c r="A480" s="30" t="str">
        <x:f>IF(B480="","",B480&amp;"-"&amp;C480)</x:f>
      </x:c>
      <x:c r="B480" s="30" t="str">
        <x:f>'01_命例主档'!A32</x:f>
      </x:c>
      <x:c r="C480" s="30" t="str">
        <x:v>M08</x:v>
      </x:c>
      <x:c r="D480" s="30" t="str">
        <x:v>五行有效旺衰</x:v>
      </x:c>
      <x:c r="E480" s="30" t="str">
        <x:v>结构层</x:v>
      </x:c>
      <x:c r="F480" s="30" t="str">
        <x:v>M06/M07</x:v>
      </x:c>
      <x:c r="G480" s="30" t="str">
        <x:v>未开始</x:v>
      </x:c>
      <x:c r="H480" s="30" t="str"/>
      <x:c r="I480" s="30" t="str"/>
      <x:c r="J480" s="30" t="str"/>
      <x:c r="K480" s="30" t="str"/>
      <x:c r="L480" s="30" t="str"/>
      <x:c r="M480" s="30" t="str"/>
      <x:c r="N480" s="30" t="str"/>
      <x:c r="O480" s="30" t="str"/>
      <x:c r="P480" s="30" t="str"/>
      <x:c r="Q480" s="31" t="str"/>
      <x:c r="R480" s="31" t="str"/>
      <x:c r="S480" s="30" t="str"/>
      <x:c r="T480" s="30" t="str"/>
      <x:c r="U480" s="30" t="str"/>
      <x:c r="V480" s="40" t="str">
        <x:f>IF(B480="","",COUNTA(H480:L480)/5)</x:f>
      </x:c>
    </x:row>
    <x:row r="481">
      <x:c r="A481" s="30" t="str">
        <x:f>IF(B481="","",B481&amp;"-"&amp;C481)</x:f>
      </x:c>
      <x:c r="B481" s="30" t="str">
        <x:f>'01_命例主档'!A32</x:f>
      </x:c>
      <x:c r="C481" s="30" t="str">
        <x:v>M09</x:v>
      </x:c>
      <x:c r="D481" s="30" t="str">
        <x:v>日主旺衰</x:v>
      </x:c>
      <x:c r="E481" s="30" t="str">
        <x:v>综合层</x:v>
      </x:c>
      <x:c r="F481" s="30" t="str">
        <x:v>M03/M07/M08</x:v>
      </x:c>
      <x:c r="G481" s="30" t="str">
        <x:v>未开始</x:v>
      </x:c>
      <x:c r="H481" s="30" t="str"/>
      <x:c r="I481" s="30" t="str"/>
      <x:c r="J481" s="30" t="str"/>
      <x:c r="K481" s="30" t="str"/>
      <x:c r="L481" s="30" t="str"/>
      <x:c r="M481" s="30" t="str"/>
      <x:c r="N481" s="30" t="str"/>
      <x:c r="O481" s="30" t="str"/>
      <x:c r="P481" s="30" t="str"/>
      <x:c r="Q481" s="31" t="str"/>
      <x:c r="R481" s="31" t="str"/>
      <x:c r="S481" s="30" t="str"/>
      <x:c r="T481" s="30" t="str"/>
      <x:c r="U481" s="30" t="str"/>
      <x:c r="V481" s="40" t="str">
        <x:f>IF(B481="","",COUNTA(H481:L481)/5)</x:f>
      </x:c>
    </x:row>
    <x:row r="482">
      <x:c r="A482" s="30" t="str">
        <x:f>IF(B482="","",B482&amp;"-"&amp;C482)</x:f>
      </x:c>
      <x:c r="B482" s="30" t="str">
        <x:f>'01_命例主档'!A32</x:f>
      </x:c>
      <x:c r="C482" s="30" t="str">
        <x:v>M10</x:v>
      </x:c>
      <x:c r="D482" s="30" t="str">
        <x:v>十神旺衰功能</x:v>
      </x:c>
      <x:c r="E482" s="30" t="str">
        <x:v>结构层</x:v>
      </x:c>
      <x:c r="F482" s="30" t="str">
        <x:v>M02/M08/M09</x:v>
      </x:c>
      <x:c r="G482" s="30" t="str">
        <x:v>未开始</x:v>
      </x:c>
      <x:c r="H482" s="30" t="str"/>
      <x:c r="I482" s="30" t="str"/>
      <x:c r="J482" s="30" t="str"/>
      <x:c r="K482" s="30" t="str"/>
      <x:c r="L482" s="30" t="str"/>
      <x:c r="M482" s="30" t="str"/>
      <x:c r="N482" s="30" t="str"/>
      <x:c r="O482" s="30" t="str"/>
      <x:c r="P482" s="30" t="str"/>
      <x:c r="Q482" s="31" t="str"/>
      <x:c r="R482" s="31" t="str"/>
      <x:c r="S482" s="30" t="str"/>
      <x:c r="T482" s="30" t="str"/>
      <x:c r="U482" s="30" t="str"/>
      <x:c r="V482" s="40" t="str">
        <x:f>IF(B482="","",COUNTA(H482:L482)/5)</x:f>
      </x:c>
    </x:row>
    <x:row r="483">
      <x:c r="A483" s="30" t="str">
        <x:f>IF(B483="","",B483&amp;"-"&amp;C483)</x:f>
      </x:c>
      <x:c r="B483" s="30" t="str">
        <x:f>'01_命例主档'!A32</x:f>
      </x:c>
      <x:c r="C483" s="30" t="str">
        <x:v>M11</x:v>
      </x:c>
      <x:c r="D483" s="30" t="str">
        <x:v>十神组合成立</x:v>
      </x:c>
      <x:c r="E483" s="30" t="str">
        <x:v>结构层</x:v>
      </x:c>
      <x:c r="F483" s="30" t="str">
        <x:v>M08/M09/M10</x:v>
      </x:c>
      <x:c r="G483" s="30" t="str">
        <x:v>未开始</x:v>
      </x:c>
      <x:c r="H483" s="30" t="str"/>
      <x:c r="I483" s="30" t="str"/>
      <x:c r="J483" s="30" t="str"/>
      <x:c r="K483" s="30" t="str"/>
      <x:c r="L483" s="30" t="str"/>
      <x:c r="M483" s="30" t="str"/>
      <x:c r="N483" s="30" t="str"/>
      <x:c r="O483" s="30" t="str"/>
      <x:c r="P483" s="30" t="str"/>
      <x:c r="Q483" s="31" t="str"/>
      <x:c r="R483" s="31" t="str"/>
      <x:c r="S483" s="30" t="str"/>
      <x:c r="T483" s="30" t="str"/>
      <x:c r="U483" s="30" t="str"/>
      <x:c r="V483" s="40" t="str">
        <x:f>IF(B483="","",COUNTA(H483:L483)/5)</x:f>
      </x:c>
    </x:row>
    <x:row r="484">
      <x:c r="A484" s="30" t="str">
        <x:f>IF(B484="","",B484&amp;"-"&amp;C484)</x:f>
      </x:c>
      <x:c r="B484" s="30" t="str">
        <x:f>'01_命例主档'!A32</x:f>
      </x:c>
      <x:c r="C484" s="30" t="str">
        <x:v>M12</x:v>
      </x:c>
      <x:c r="D484" s="30" t="str">
        <x:v>五行流通卡点</x:v>
      </x:c>
      <x:c r="E484" s="30" t="str">
        <x:v>结构层</x:v>
      </x:c>
      <x:c r="F484" s="30" t="str">
        <x:v>M06/M08/M10/M11</x:v>
      </x:c>
      <x:c r="G484" s="30" t="str">
        <x:v>未开始</x:v>
      </x:c>
      <x:c r="H484" s="30" t="str"/>
      <x:c r="I484" s="30" t="str"/>
      <x:c r="J484" s="30" t="str"/>
      <x:c r="K484" s="30" t="str"/>
      <x:c r="L484" s="30" t="str"/>
      <x:c r="M484" s="30" t="str"/>
      <x:c r="N484" s="30" t="str"/>
      <x:c r="O484" s="30" t="str"/>
      <x:c r="P484" s="30" t="str"/>
      <x:c r="Q484" s="31" t="str"/>
      <x:c r="R484" s="31" t="str"/>
      <x:c r="S484" s="30" t="str"/>
      <x:c r="T484" s="30" t="str"/>
      <x:c r="U484" s="30" t="str"/>
      <x:c r="V484" s="40" t="str">
        <x:f>IF(B484="","",COUNTA(H484:L484)/5)</x:f>
      </x:c>
    </x:row>
    <x:row r="485">
      <x:c r="A485" s="30" t="str">
        <x:f>IF(B485="","",B485&amp;"-"&amp;C485)</x:f>
      </x:c>
      <x:c r="B485" s="30" t="str">
        <x:f>'01_命例主档'!A32</x:f>
      </x:c>
      <x:c r="C485" s="30" t="str">
        <x:v>M13</x:v>
      </x:c>
      <x:c r="D485" s="30" t="str">
        <x:v>寒暖燥湿</x:v>
      </x:c>
      <x:c r="E485" s="30" t="str">
        <x:v>结构层</x:v>
      </x:c>
      <x:c r="F485" s="30" t="str">
        <x:v>M02/M08/M12</x:v>
      </x:c>
      <x:c r="G485" s="30" t="str">
        <x:v>未开始</x:v>
      </x:c>
      <x:c r="H485" s="30" t="str"/>
      <x:c r="I485" s="30" t="str"/>
      <x:c r="J485" s="30" t="str"/>
      <x:c r="K485" s="30" t="str"/>
      <x:c r="L485" s="30" t="str"/>
      <x:c r="M485" s="30" t="str"/>
      <x:c r="N485" s="30" t="str"/>
      <x:c r="O485" s="30" t="str"/>
      <x:c r="P485" s="30" t="str"/>
      <x:c r="Q485" s="31" t="str"/>
      <x:c r="R485" s="31" t="str"/>
      <x:c r="S485" s="30" t="str"/>
      <x:c r="T485" s="30" t="str"/>
      <x:c r="U485" s="30" t="str"/>
      <x:c r="V485" s="40" t="str">
        <x:f>IF(B485="","",COUNTA(H485:L485)/5)</x:f>
      </x:c>
    </x:row>
    <x:row r="486">
      <x:c r="A486" s="30" t="str">
        <x:f>IF(B486="","",B486&amp;"-"&amp;C486)</x:f>
      </x:c>
      <x:c r="B486" s="30" t="str">
        <x:f>'01_命例主档'!A32</x:f>
      </x:c>
      <x:c r="C486" s="30" t="str">
        <x:v>M14</x:v>
      </x:c>
      <x:c r="D486" s="30" t="str">
        <x:v>格局候选判断</x:v>
      </x:c>
      <x:c r="E486" s="30" t="str">
        <x:v>综合层</x:v>
      </x:c>
      <x:c r="F486" s="30" t="str">
        <x:v>M03/M06/M08/M09/M10/M11</x:v>
      </x:c>
      <x:c r="G486" s="30" t="str">
        <x:v>未开始</x:v>
      </x:c>
      <x:c r="H486" s="30" t="str"/>
      <x:c r="I486" s="30" t="str"/>
      <x:c r="J486" s="30" t="str"/>
      <x:c r="K486" s="30" t="str"/>
      <x:c r="L486" s="30" t="str"/>
      <x:c r="M486" s="30" t="str"/>
      <x:c r="N486" s="30" t="str"/>
      <x:c r="O486" s="30" t="str"/>
      <x:c r="P486" s="30" t="str"/>
      <x:c r="Q486" s="31" t="str"/>
      <x:c r="R486" s="31" t="str"/>
      <x:c r="S486" s="30" t="str"/>
      <x:c r="T486" s="30" t="str"/>
      <x:c r="U486" s="30" t="str"/>
      <x:c r="V486" s="40" t="str">
        <x:f>IF(B486="","",COUNTA(H486:L486)/5)</x:f>
      </x:c>
    </x:row>
    <x:row r="487">
      <x:c r="A487" s="30" t="str">
        <x:f>IF(B487="","",B487&amp;"-"&amp;C487)</x:f>
      </x:c>
      <x:c r="B487" s="30" t="str">
        <x:f>'01_命例主档'!A32</x:f>
      </x:c>
      <x:c r="C487" s="30" t="str">
        <x:v>M15</x:v>
      </x:c>
      <x:c r="D487" s="30" t="str">
        <x:v>格局成败救应</x:v>
      </x:c>
      <x:c r="E487" s="30" t="str">
        <x:v>综合层</x:v>
      </x:c>
      <x:c r="F487" s="30" t="str">
        <x:v>M14/M11/M08</x:v>
      </x:c>
      <x:c r="G487" s="30" t="str">
        <x:v>未开始</x:v>
      </x:c>
      <x:c r="H487" s="30" t="str"/>
      <x:c r="I487" s="30" t="str"/>
      <x:c r="J487" s="30" t="str"/>
      <x:c r="K487" s="30" t="str"/>
      <x:c r="L487" s="30" t="str"/>
      <x:c r="M487" s="30" t="str"/>
      <x:c r="N487" s="30" t="str"/>
      <x:c r="O487" s="30" t="str"/>
      <x:c r="P487" s="30" t="str"/>
      <x:c r="Q487" s="31" t="str"/>
      <x:c r="R487" s="31" t="str"/>
      <x:c r="S487" s="30" t="str"/>
      <x:c r="T487" s="30" t="str"/>
      <x:c r="U487" s="30" t="str"/>
      <x:c r="V487" s="40" t="str">
        <x:f>IF(B487="","",COUNTA(H487:L487)/5)</x:f>
      </x:c>
    </x:row>
    <x:row r="488">
      <x:c r="A488" s="30" t="str">
        <x:f>IF(B488="","",B488&amp;"-"&amp;C488)</x:f>
      </x:c>
      <x:c r="B488" s="30" t="str">
        <x:f>'01_命例主档'!A32</x:f>
      </x:c>
      <x:c r="C488" s="30" t="str">
        <x:v>M16</x:v>
      </x:c>
      <x:c r="D488" s="30" t="str">
        <x:v>病药模型</x:v>
      </x:c>
      <x:c r="E488" s="30" t="str">
        <x:v>综合层</x:v>
      </x:c>
      <x:c r="F488" s="30" t="str">
        <x:v>M08-M15</x:v>
      </x:c>
      <x:c r="G488" s="30" t="str">
        <x:v>未开始</x:v>
      </x:c>
      <x:c r="H488" s="30" t="str"/>
      <x:c r="I488" s="30" t="str"/>
      <x:c r="J488" s="30" t="str"/>
      <x:c r="K488" s="30" t="str"/>
      <x:c r="L488" s="30" t="str"/>
      <x:c r="M488" s="30" t="str"/>
      <x:c r="N488" s="30" t="str"/>
      <x:c r="O488" s="30" t="str"/>
      <x:c r="P488" s="30" t="str"/>
      <x:c r="Q488" s="31" t="str"/>
      <x:c r="R488" s="31" t="str"/>
      <x:c r="S488" s="30" t="str"/>
      <x:c r="T488" s="30" t="str"/>
      <x:c r="U488" s="30" t="str"/>
      <x:c r="V488" s="40" t="str">
        <x:f>IF(B488="","",COUNTA(H488:L488)/5)</x:f>
      </x:c>
    </x:row>
    <x:row r="489">
      <x:c r="A489" s="30" t="str">
        <x:f>IF(B489="","",B489&amp;"-"&amp;C489)</x:f>
      </x:c>
      <x:c r="B489" s="30" t="str">
        <x:f>'01_命例主档'!A32</x:f>
      </x:c>
      <x:c r="C489" s="30" t="str">
        <x:v>M17</x:v>
      </x:c>
      <x:c r="D489" s="30" t="str">
        <x:v>喜忌用神矩阵</x:v>
      </x:c>
      <x:c r="E489" s="30" t="str">
        <x:v>综合层</x:v>
      </x:c>
      <x:c r="F489" s="30" t="str">
        <x:v>M09/M12/M13/M15/M16</x:v>
      </x:c>
      <x:c r="G489" s="30" t="str">
        <x:v>未开始</x:v>
      </x:c>
      <x:c r="H489" s="30" t="str"/>
      <x:c r="I489" s="30" t="str"/>
      <x:c r="J489" s="30" t="str"/>
      <x:c r="K489" s="30" t="str"/>
      <x:c r="L489" s="30" t="str"/>
      <x:c r="M489" s="30" t="str"/>
      <x:c r="N489" s="30" t="str"/>
      <x:c r="O489" s="30" t="str"/>
      <x:c r="P489" s="30" t="str"/>
      <x:c r="Q489" s="31" t="str"/>
      <x:c r="R489" s="31" t="str"/>
      <x:c r="S489" s="30" t="str"/>
      <x:c r="T489" s="30" t="str"/>
      <x:c r="U489" s="30" t="str"/>
      <x:c r="V489" s="40" t="str">
        <x:f>IF(B489="","",COUNTA(H489:L489)/5)</x:f>
      </x:c>
    </x:row>
    <x:row r="490">
      <x:c r="A490" s="30" t="str">
        <x:f>IF(B490="","",B490&amp;"-"&amp;C490)</x:f>
      </x:c>
      <x:c r="B490" s="30" t="str">
        <x:f>'01_命例主档'!A32</x:f>
      </x:c>
      <x:c r="C490" s="30" t="str">
        <x:v>M18</x:v>
      </x:c>
      <x:c r="D490" s="30" t="str">
        <x:v>冲突裁决规则</x:v>
      </x:c>
      <x:c r="E490" s="30" t="str">
        <x:v>综合层</x:v>
      </x:c>
      <x:c r="F490" s="30" t="str">
        <x:v>M14/M15/M16/M17</x:v>
      </x:c>
      <x:c r="G490" s="30" t="str">
        <x:v>未开始</x:v>
      </x:c>
      <x:c r="H490" s="30" t="str"/>
      <x:c r="I490" s="30" t="str"/>
      <x:c r="J490" s="30" t="str"/>
      <x:c r="K490" s="30" t="str"/>
      <x:c r="L490" s="30" t="str"/>
      <x:c r="M490" s="30" t="str"/>
      <x:c r="N490" s="30" t="str"/>
      <x:c r="O490" s="30" t="str"/>
      <x:c r="P490" s="30" t="str"/>
      <x:c r="Q490" s="31" t="str"/>
      <x:c r="R490" s="31" t="str"/>
      <x:c r="S490" s="30" t="str"/>
      <x:c r="T490" s="30" t="str"/>
      <x:c r="U490" s="30" t="str"/>
      <x:c r="V490" s="40" t="str">
        <x:f>IF(B490="","",COUNTA(H490:L490)/5)</x:f>
      </x:c>
    </x:row>
    <x:row r="491">
      <x:c r="A491" s="30" t="str">
        <x:f>IF(B491="","",B491&amp;"-"&amp;C491)</x:f>
      </x:c>
      <x:c r="B491" s="30" t="str">
        <x:f>'01_命例主档'!A32</x:f>
      </x:c>
      <x:c r="C491" s="30" t="str">
        <x:v>M19</x:v>
      </x:c>
      <x:c r="D491" s="30" t="str">
        <x:v>综合输出模板</x:v>
      </x:c>
      <x:c r="E491" s="30" t="str">
        <x:v>治理与输出</x:v>
      </x:c>
      <x:c r="F491" s="30" t="str">
        <x:v>M02-M18</x:v>
      </x:c>
      <x:c r="G491" s="30" t="str">
        <x:v>未开始</x:v>
      </x:c>
      <x:c r="H491" s="30" t="str"/>
      <x:c r="I491" s="30" t="str"/>
      <x:c r="J491" s="30" t="str"/>
      <x:c r="K491" s="30" t="str"/>
      <x:c r="L491" s="30" t="str"/>
      <x:c r="M491" s="30" t="str"/>
      <x:c r="N491" s="30" t="str"/>
      <x:c r="O491" s="30" t="str"/>
      <x:c r="P491" s="30" t="str"/>
      <x:c r="Q491" s="31" t="str"/>
      <x:c r="R491" s="31" t="str"/>
      <x:c r="S491" s="30" t="str"/>
      <x:c r="T491" s="30" t="str"/>
      <x:c r="U491" s="30" t="str"/>
      <x:c r="V491" s="40" t="str">
        <x:f>IF(B491="","",COUNTA(H491:L491)/5)</x:f>
      </x:c>
    </x:row>
    <x:row r="492">
      <x:c r="A492" s="30" t="str">
        <x:f>IF(B492="","",B492&amp;"-"&amp;C492)</x:f>
      </x:c>
      <x:c r="B492" s="30" t="str">
        <x:f>'01_命例主档'!A33</x:f>
      </x:c>
      <x:c r="C492" s="30" t="str">
        <x:v>M02</x:v>
      </x:c>
      <x:c r="D492" s="30" t="str">
        <x:v>干支藏干基础</x:v>
      </x:c>
      <x:c r="E492" s="30" t="str">
        <x:v>识别层</x:v>
      </x:c>
      <x:c r="F492" s="30" t="str">
        <x:v>无</x:v>
      </x:c>
      <x:c r="G492" s="30" t="str">
        <x:v>未开始</x:v>
      </x:c>
      <x:c r="H492" s="30" t="str"/>
      <x:c r="I492" s="30" t="str"/>
      <x:c r="J492" s="30" t="str"/>
      <x:c r="K492" s="30" t="str"/>
      <x:c r="L492" s="30" t="str"/>
      <x:c r="M492" s="30" t="str"/>
      <x:c r="N492" s="30" t="str"/>
      <x:c r="O492" s="30" t="str"/>
      <x:c r="P492" s="30" t="str"/>
      <x:c r="Q492" s="31" t="str"/>
      <x:c r="R492" s="31" t="str"/>
      <x:c r="S492" s="30" t="str"/>
      <x:c r="T492" s="30" t="str"/>
      <x:c r="U492" s="30" t="str"/>
      <x:c r="V492" s="40" t="str">
        <x:f>IF(B492="","",COUNTA(H492:L492)/5)</x:f>
      </x:c>
    </x:row>
    <x:row r="493">
      <x:c r="A493" s="30" t="str">
        <x:f>IF(B493="","",B493&amp;"-"&amp;C493)</x:f>
      </x:c>
      <x:c r="B493" s="30" t="str">
        <x:f>'01_命例主档'!A33</x:f>
      </x:c>
      <x:c r="C493" s="30" t="str">
        <x:v>M03</x:v>
      </x:c>
      <x:c r="D493" s="30" t="str">
        <x:v>月令与根气</x:v>
      </x:c>
      <x:c r="E493" s="30" t="str">
        <x:v>结构层</x:v>
      </x:c>
      <x:c r="F493" s="30" t="str">
        <x:v>M02</x:v>
      </x:c>
      <x:c r="G493" s="30" t="str">
        <x:v>未开始</x:v>
      </x:c>
      <x:c r="H493" s="30" t="str"/>
      <x:c r="I493" s="30" t="str"/>
      <x:c r="J493" s="30" t="str"/>
      <x:c r="K493" s="30" t="str"/>
      <x:c r="L493" s="30" t="str"/>
      <x:c r="M493" s="30" t="str"/>
      <x:c r="N493" s="30" t="str"/>
      <x:c r="O493" s="30" t="str"/>
      <x:c r="P493" s="30" t="str"/>
      <x:c r="Q493" s="31" t="str"/>
      <x:c r="R493" s="31" t="str"/>
      <x:c r="S493" s="30" t="str"/>
      <x:c r="T493" s="30" t="str"/>
      <x:c r="U493" s="30" t="str"/>
      <x:c r="V493" s="40" t="str">
        <x:f>IF(B493="","",COUNTA(H493:L493)/5)</x:f>
      </x:c>
    </x:row>
    <x:row r="494">
      <x:c r="A494" s="30" t="str">
        <x:f>IF(B494="","",B494&amp;"-"&amp;C494)</x:f>
      </x:c>
      <x:c r="B494" s="30" t="str">
        <x:f>'01_命例主档'!A33</x:f>
      </x:c>
      <x:c r="C494" s="30" t="str">
        <x:v>M04</x:v>
      </x:c>
      <x:c r="D494" s="30" t="str">
        <x:v>天干作用识别</x:v>
      </x:c>
      <x:c r="E494" s="30" t="str">
        <x:v>识别层</x:v>
      </x:c>
      <x:c r="F494" s="30" t="str">
        <x:v>M02</x:v>
      </x:c>
      <x:c r="G494" s="30" t="str">
        <x:v>未开始</x:v>
      </x:c>
      <x:c r="H494" s="30" t="str"/>
      <x:c r="I494" s="30" t="str"/>
      <x:c r="J494" s="30" t="str"/>
      <x:c r="K494" s="30" t="str"/>
      <x:c r="L494" s="30" t="str"/>
      <x:c r="M494" s="30" t="str"/>
      <x:c r="N494" s="30" t="str"/>
      <x:c r="O494" s="30" t="str"/>
      <x:c r="P494" s="30" t="str"/>
      <x:c r="Q494" s="31" t="str"/>
      <x:c r="R494" s="31" t="str"/>
      <x:c r="S494" s="30" t="str"/>
      <x:c r="T494" s="30" t="str"/>
      <x:c r="U494" s="30" t="str"/>
      <x:c r="V494" s="40" t="str">
        <x:f>IF(B494="","",COUNTA(H494:L494)/5)</x:f>
      </x:c>
    </x:row>
    <x:row r="495">
      <x:c r="A495" s="30" t="str">
        <x:f>IF(B495="","",B495&amp;"-"&amp;C495)</x:f>
      </x:c>
      <x:c r="B495" s="30" t="str">
        <x:f>'01_命例主档'!A33</x:f>
      </x:c>
      <x:c r="C495" s="30" t="str">
        <x:v>M05</x:v>
      </x:c>
      <x:c r="D495" s="30" t="str">
        <x:v>地支关系识别</x:v>
      </x:c>
      <x:c r="E495" s="30" t="str">
        <x:v>识别层</x:v>
      </x:c>
      <x:c r="F495" s="30" t="str">
        <x:v>M02</x:v>
      </x:c>
      <x:c r="G495" s="30" t="str">
        <x:v>未开始</x:v>
      </x:c>
      <x:c r="H495" s="30" t="str"/>
      <x:c r="I495" s="30" t="str"/>
      <x:c r="J495" s="30" t="str"/>
      <x:c r="K495" s="30" t="str"/>
      <x:c r="L495" s="30" t="str"/>
      <x:c r="M495" s="30" t="str"/>
      <x:c r="N495" s="30" t="str"/>
      <x:c r="O495" s="30" t="str"/>
      <x:c r="P495" s="30" t="str"/>
      <x:c r="Q495" s="31" t="str"/>
      <x:c r="R495" s="31" t="str"/>
      <x:c r="S495" s="30" t="str"/>
      <x:c r="T495" s="30" t="str"/>
      <x:c r="U495" s="30" t="str"/>
      <x:c r="V495" s="40" t="str">
        <x:f>IF(B495="","",COUNTA(H495:L495)/5)</x:f>
      </x:c>
    </x:row>
    <x:row r="496">
      <x:c r="A496" s="30" t="str">
        <x:f>IF(B496="","",B496&amp;"-"&amp;C496)</x:f>
      </x:c>
      <x:c r="B496" s="30" t="str">
        <x:f>'01_命例主档'!A33</x:f>
      </x:c>
      <x:c r="C496" s="30" t="str">
        <x:v>M06</x:v>
      </x:c>
      <x:c r="D496" s="30" t="str">
        <x:v>干支关系效应</x:v>
      </x:c>
      <x:c r="E496" s="30" t="str">
        <x:v>效应层</x:v>
      </x:c>
      <x:c r="F496" s="30" t="str">
        <x:v>M03/M04/M05</x:v>
      </x:c>
      <x:c r="G496" s="30" t="str">
        <x:v>未开始</x:v>
      </x:c>
      <x:c r="H496" s="30" t="str"/>
      <x:c r="I496" s="30" t="str"/>
      <x:c r="J496" s="30" t="str"/>
      <x:c r="K496" s="30" t="str"/>
      <x:c r="L496" s="30" t="str"/>
      <x:c r="M496" s="30" t="str"/>
      <x:c r="N496" s="30" t="str"/>
      <x:c r="O496" s="30" t="str"/>
      <x:c r="P496" s="30" t="str"/>
      <x:c r="Q496" s="31" t="str"/>
      <x:c r="R496" s="31" t="str"/>
      <x:c r="S496" s="30" t="str"/>
      <x:c r="T496" s="30" t="str"/>
      <x:c r="U496" s="30" t="str"/>
      <x:c r="V496" s="40" t="str">
        <x:f>IF(B496="","",COUNTA(H496:L496)/5)</x:f>
      </x:c>
    </x:row>
    <x:row r="497">
      <x:c r="A497" s="30" t="str">
        <x:f>IF(B497="","",B497&amp;"-"&amp;C497)</x:f>
      </x:c>
      <x:c r="B497" s="30" t="str">
        <x:f>'01_命例主档'!A33</x:f>
      </x:c>
      <x:c r="C497" s="30" t="str">
        <x:v>M07</x:v>
      </x:c>
      <x:c r="D497" s="30" t="str">
        <x:v>五行原始旺衰</x:v>
      </x:c>
      <x:c r="E497" s="30" t="str">
        <x:v>结构层</x:v>
      </x:c>
      <x:c r="F497" s="30" t="str">
        <x:v>M02/M03</x:v>
      </x:c>
      <x:c r="G497" s="30" t="str">
        <x:v>未开始</x:v>
      </x:c>
      <x:c r="H497" s="30" t="str"/>
      <x:c r="I497" s="30" t="str"/>
      <x:c r="J497" s="30" t="str"/>
      <x:c r="K497" s="30" t="str"/>
      <x:c r="L497" s="30" t="str"/>
      <x:c r="M497" s="30" t="str"/>
      <x:c r="N497" s="30" t="str"/>
      <x:c r="O497" s="30" t="str"/>
      <x:c r="P497" s="30" t="str"/>
      <x:c r="Q497" s="31" t="str"/>
      <x:c r="R497" s="31" t="str"/>
      <x:c r="S497" s="30" t="str"/>
      <x:c r="T497" s="30" t="str"/>
      <x:c r="U497" s="30" t="str"/>
      <x:c r="V497" s="40" t="str">
        <x:f>IF(B497="","",COUNTA(H497:L497)/5)</x:f>
      </x:c>
    </x:row>
    <x:row r="498">
      <x:c r="A498" s="30" t="str">
        <x:f>IF(B498="","",B498&amp;"-"&amp;C498)</x:f>
      </x:c>
      <x:c r="B498" s="30" t="str">
        <x:f>'01_命例主档'!A33</x:f>
      </x:c>
      <x:c r="C498" s="30" t="str">
        <x:v>M08</x:v>
      </x:c>
      <x:c r="D498" s="30" t="str">
        <x:v>五行有效旺衰</x:v>
      </x:c>
      <x:c r="E498" s="30" t="str">
        <x:v>结构层</x:v>
      </x:c>
      <x:c r="F498" s="30" t="str">
        <x:v>M06/M07</x:v>
      </x:c>
      <x:c r="G498" s="30" t="str">
        <x:v>未开始</x:v>
      </x:c>
      <x:c r="H498" s="30" t="str"/>
      <x:c r="I498" s="30" t="str"/>
      <x:c r="J498" s="30" t="str"/>
      <x:c r="K498" s="30" t="str"/>
      <x:c r="L498" s="30" t="str"/>
      <x:c r="M498" s="30" t="str"/>
      <x:c r="N498" s="30" t="str"/>
      <x:c r="O498" s="30" t="str"/>
      <x:c r="P498" s="30" t="str"/>
      <x:c r="Q498" s="31" t="str"/>
      <x:c r="R498" s="31" t="str"/>
      <x:c r="S498" s="30" t="str"/>
      <x:c r="T498" s="30" t="str"/>
      <x:c r="U498" s="30" t="str"/>
      <x:c r="V498" s="40" t="str">
        <x:f>IF(B498="","",COUNTA(H498:L498)/5)</x:f>
      </x:c>
    </x:row>
    <x:row r="499">
      <x:c r="A499" s="30" t="str">
        <x:f>IF(B499="","",B499&amp;"-"&amp;C499)</x:f>
      </x:c>
      <x:c r="B499" s="30" t="str">
        <x:f>'01_命例主档'!A33</x:f>
      </x:c>
      <x:c r="C499" s="30" t="str">
        <x:v>M09</x:v>
      </x:c>
      <x:c r="D499" s="30" t="str">
        <x:v>日主旺衰</x:v>
      </x:c>
      <x:c r="E499" s="30" t="str">
        <x:v>综合层</x:v>
      </x:c>
      <x:c r="F499" s="30" t="str">
        <x:v>M03/M07/M08</x:v>
      </x:c>
      <x:c r="G499" s="30" t="str">
        <x:v>未开始</x:v>
      </x:c>
      <x:c r="H499" s="30" t="str"/>
      <x:c r="I499" s="30" t="str"/>
      <x:c r="J499" s="30" t="str"/>
      <x:c r="K499" s="30" t="str"/>
      <x:c r="L499" s="30" t="str"/>
      <x:c r="M499" s="30" t="str"/>
      <x:c r="N499" s="30" t="str"/>
      <x:c r="O499" s="30" t="str"/>
      <x:c r="P499" s="30" t="str"/>
      <x:c r="Q499" s="31" t="str"/>
      <x:c r="R499" s="31" t="str"/>
      <x:c r="S499" s="30" t="str"/>
      <x:c r="T499" s="30" t="str"/>
      <x:c r="U499" s="30" t="str"/>
      <x:c r="V499" s="40" t="str">
        <x:f>IF(B499="","",COUNTA(H499:L499)/5)</x:f>
      </x:c>
    </x:row>
    <x:row r="500">
      <x:c r="A500" s="30" t="str">
        <x:f>IF(B500="","",B500&amp;"-"&amp;C500)</x:f>
      </x:c>
      <x:c r="B500" s="30" t="str">
        <x:f>'01_命例主档'!A33</x:f>
      </x:c>
      <x:c r="C500" s="30" t="str">
        <x:v>M10</x:v>
      </x:c>
      <x:c r="D500" s="30" t="str">
        <x:v>十神旺衰功能</x:v>
      </x:c>
      <x:c r="E500" s="30" t="str">
        <x:v>结构层</x:v>
      </x:c>
      <x:c r="F500" s="30" t="str">
        <x:v>M02/M08/M09</x:v>
      </x:c>
      <x:c r="G500" s="30" t="str">
        <x:v>未开始</x:v>
      </x:c>
      <x:c r="H500" s="30" t="str"/>
      <x:c r="I500" s="30" t="str"/>
      <x:c r="J500" s="30" t="str"/>
      <x:c r="K500" s="30" t="str"/>
      <x:c r="L500" s="30" t="str"/>
      <x:c r="M500" s="30" t="str"/>
      <x:c r="N500" s="30" t="str"/>
      <x:c r="O500" s="30" t="str"/>
      <x:c r="P500" s="30" t="str"/>
      <x:c r="Q500" s="31" t="str"/>
      <x:c r="R500" s="31" t="str"/>
      <x:c r="S500" s="30" t="str"/>
      <x:c r="T500" s="30" t="str"/>
      <x:c r="U500" s="30" t="str"/>
      <x:c r="V500" s="40" t="str">
        <x:f>IF(B500="","",COUNTA(H500:L500)/5)</x:f>
      </x:c>
    </x:row>
    <x:row r="501">
      <x:c r="A501" s="30" t="str">
        <x:f>IF(B501="","",B501&amp;"-"&amp;C501)</x:f>
      </x:c>
      <x:c r="B501" s="30" t="str">
        <x:f>'01_命例主档'!A33</x:f>
      </x:c>
      <x:c r="C501" s="30" t="str">
        <x:v>M11</x:v>
      </x:c>
      <x:c r="D501" s="30" t="str">
        <x:v>十神组合成立</x:v>
      </x:c>
      <x:c r="E501" s="30" t="str">
        <x:v>结构层</x:v>
      </x:c>
      <x:c r="F501" s="30" t="str">
        <x:v>M08/M09/M10</x:v>
      </x:c>
      <x:c r="G501" s="30" t="str">
        <x:v>未开始</x:v>
      </x:c>
      <x:c r="H501" s="30" t="str"/>
      <x:c r="I501" s="30" t="str"/>
      <x:c r="J501" s="30" t="str"/>
      <x:c r="K501" s="30" t="str"/>
      <x:c r="L501" s="30" t="str"/>
      <x:c r="M501" s="30" t="str"/>
      <x:c r="N501" s="30" t="str"/>
      <x:c r="O501" s="30" t="str"/>
      <x:c r="P501" s="30" t="str"/>
      <x:c r="Q501" s="31" t="str"/>
      <x:c r="R501" s="31" t="str"/>
      <x:c r="S501" s="30" t="str"/>
      <x:c r="T501" s="30" t="str"/>
      <x:c r="U501" s="30" t="str"/>
      <x:c r="V501" s="40" t="str">
        <x:f>IF(B501="","",COUNTA(H501:L501)/5)</x:f>
      </x:c>
    </x:row>
    <x:row r="502">
      <x:c r="A502" s="30" t="str">
        <x:f>IF(B502="","",B502&amp;"-"&amp;C502)</x:f>
      </x:c>
      <x:c r="B502" s="30" t="str">
        <x:f>'01_命例主档'!A33</x:f>
      </x:c>
      <x:c r="C502" s="30" t="str">
        <x:v>M12</x:v>
      </x:c>
      <x:c r="D502" s="30" t="str">
        <x:v>五行流通卡点</x:v>
      </x:c>
      <x:c r="E502" s="30" t="str">
        <x:v>结构层</x:v>
      </x:c>
      <x:c r="F502" s="30" t="str">
        <x:v>M06/M08/M10/M11</x:v>
      </x:c>
      <x:c r="G502" s="30" t="str">
        <x:v>未开始</x:v>
      </x:c>
      <x:c r="H502" s="30" t="str"/>
      <x:c r="I502" s="30" t="str"/>
      <x:c r="J502" s="30" t="str"/>
      <x:c r="K502" s="30" t="str"/>
      <x:c r="L502" s="30" t="str"/>
      <x:c r="M502" s="30" t="str"/>
      <x:c r="N502" s="30" t="str"/>
      <x:c r="O502" s="30" t="str"/>
      <x:c r="P502" s="30" t="str"/>
      <x:c r="Q502" s="31" t="str"/>
      <x:c r="R502" s="31" t="str"/>
      <x:c r="S502" s="30" t="str"/>
      <x:c r="T502" s="30" t="str"/>
      <x:c r="U502" s="30" t="str"/>
      <x:c r="V502" s="40" t="str">
        <x:f>IF(B502="","",COUNTA(H502:L502)/5)</x:f>
      </x:c>
    </x:row>
    <x:row r="503">
      <x:c r="A503" s="30" t="str">
        <x:f>IF(B503="","",B503&amp;"-"&amp;C503)</x:f>
      </x:c>
      <x:c r="B503" s="30" t="str">
        <x:f>'01_命例主档'!A33</x:f>
      </x:c>
      <x:c r="C503" s="30" t="str">
        <x:v>M13</x:v>
      </x:c>
      <x:c r="D503" s="30" t="str">
        <x:v>寒暖燥湿</x:v>
      </x:c>
      <x:c r="E503" s="30" t="str">
        <x:v>结构层</x:v>
      </x:c>
      <x:c r="F503" s="30" t="str">
        <x:v>M02/M08/M12</x:v>
      </x:c>
      <x:c r="G503" s="30" t="str">
        <x:v>未开始</x:v>
      </x:c>
      <x:c r="H503" s="30" t="str"/>
      <x:c r="I503" s="30" t="str"/>
      <x:c r="J503" s="30" t="str"/>
      <x:c r="K503" s="30" t="str"/>
      <x:c r="L503" s="30" t="str"/>
      <x:c r="M503" s="30" t="str"/>
      <x:c r="N503" s="30" t="str"/>
      <x:c r="O503" s="30" t="str"/>
      <x:c r="P503" s="30" t="str"/>
      <x:c r="Q503" s="31" t="str"/>
      <x:c r="R503" s="31" t="str"/>
      <x:c r="S503" s="30" t="str"/>
      <x:c r="T503" s="30" t="str"/>
      <x:c r="U503" s="30" t="str"/>
      <x:c r="V503" s="40" t="str">
        <x:f>IF(B503="","",COUNTA(H503:L503)/5)</x:f>
      </x:c>
    </x:row>
    <x:row r="504">
      <x:c r="A504" s="30" t="str">
        <x:f>IF(B504="","",B504&amp;"-"&amp;C504)</x:f>
      </x:c>
      <x:c r="B504" s="30" t="str">
        <x:f>'01_命例主档'!A33</x:f>
      </x:c>
      <x:c r="C504" s="30" t="str">
        <x:v>M14</x:v>
      </x:c>
      <x:c r="D504" s="30" t="str">
        <x:v>格局候选判断</x:v>
      </x:c>
      <x:c r="E504" s="30" t="str">
        <x:v>综合层</x:v>
      </x:c>
      <x:c r="F504" s="30" t="str">
        <x:v>M03/M06/M08/M09/M10/M11</x:v>
      </x:c>
      <x:c r="G504" s="30" t="str">
        <x:v>未开始</x:v>
      </x:c>
      <x:c r="H504" s="30" t="str"/>
      <x:c r="I504" s="30" t="str"/>
      <x:c r="J504" s="30" t="str"/>
      <x:c r="K504" s="30" t="str"/>
      <x:c r="L504" s="30" t="str"/>
      <x:c r="M504" s="30" t="str"/>
      <x:c r="N504" s="30" t="str"/>
      <x:c r="O504" s="30" t="str"/>
      <x:c r="P504" s="30" t="str"/>
      <x:c r="Q504" s="31" t="str"/>
      <x:c r="R504" s="31" t="str"/>
      <x:c r="S504" s="30" t="str"/>
      <x:c r="T504" s="30" t="str"/>
      <x:c r="U504" s="30" t="str"/>
      <x:c r="V504" s="40" t="str">
        <x:f>IF(B504="","",COUNTA(H504:L504)/5)</x:f>
      </x:c>
    </x:row>
    <x:row r="505">
      <x:c r="A505" s="30" t="str">
        <x:f>IF(B505="","",B505&amp;"-"&amp;C505)</x:f>
      </x:c>
      <x:c r="B505" s="30" t="str">
        <x:f>'01_命例主档'!A33</x:f>
      </x:c>
      <x:c r="C505" s="30" t="str">
        <x:v>M15</x:v>
      </x:c>
      <x:c r="D505" s="30" t="str">
        <x:v>格局成败救应</x:v>
      </x:c>
      <x:c r="E505" s="30" t="str">
        <x:v>综合层</x:v>
      </x:c>
      <x:c r="F505" s="30" t="str">
        <x:v>M14/M11/M08</x:v>
      </x:c>
      <x:c r="G505" s="30" t="str">
        <x:v>未开始</x:v>
      </x:c>
      <x:c r="H505" s="30" t="str"/>
      <x:c r="I505" s="30" t="str"/>
      <x:c r="J505" s="30" t="str"/>
      <x:c r="K505" s="30" t="str"/>
      <x:c r="L505" s="30" t="str"/>
      <x:c r="M505" s="30" t="str"/>
      <x:c r="N505" s="30" t="str"/>
      <x:c r="O505" s="30" t="str"/>
      <x:c r="P505" s="30" t="str"/>
      <x:c r="Q505" s="31" t="str"/>
      <x:c r="R505" s="31" t="str"/>
      <x:c r="S505" s="30" t="str"/>
      <x:c r="T505" s="30" t="str"/>
      <x:c r="U505" s="30" t="str"/>
      <x:c r="V505" s="40" t="str">
        <x:f>IF(B505="","",COUNTA(H505:L505)/5)</x:f>
      </x:c>
    </x:row>
    <x:row r="506">
      <x:c r="A506" s="30" t="str">
        <x:f>IF(B506="","",B506&amp;"-"&amp;C506)</x:f>
      </x:c>
      <x:c r="B506" s="30" t="str">
        <x:f>'01_命例主档'!A33</x:f>
      </x:c>
      <x:c r="C506" s="30" t="str">
        <x:v>M16</x:v>
      </x:c>
      <x:c r="D506" s="30" t="str">
        <x:v>病药模型</x:v>
      </x:c>
      <x:c r="E506" s="30" t="str">
        <x:v>综合层</x:v>
      </x:c>
      <x:c r="F506" s="30" t="str">
        <x:v>M08-M15</x:v>
      </x:c>
      <x:c r="G506" s="30" t="str">
        <x:v>未开始</x:v>
      </x:c>
      <x:c r="H506" s="30" t="str"/>
      <x:c r="I506" s="30" t="str"/>
      <x:c r="J506" s="30" t="str"/>
      <x:c r="K506" s="30" t="str"/>
      <x:c r="L506" s="30" t="str"/>
      <x:c r="M506" s="30" t="str"/>
      <x:c r="N506" s="30" t="str"/>
      <x:c r="O506" s="30" t="str"/>
      <x:c r="P506" s="30" t="str"/>
      <x:c r="Q506" s="31" t="str"/>
      <x:c r="R506" s="31" t="str"/>
      <x:c r="S506" s="30" t="str"/>
      <x:c r="T506" s="30" t="str"/>
      <x:c r="U506" s="30" t="str"/>
      <x:c r="V506" s="40" t="str">
        <x:f>IF(B506="","",COUNTA(H506:L506)/5)</x:f>
      </x:c>
    </x:row>
    <x:row r="507">
      <x:c r="A507" s="30" t="str">
        <x:f>IF(B507="","",B507&amp;"-"&amp;C507)</x:f>
      </x:c>
      <x:c r="B507" s="30" t="str">
        <x:f>'01_命例主档'!A33</x:f>
      </x:c>
      <x:c r="C507" s="30" t="str">
        <x:v>M17</x:v>
      </x:c>
      <x:c r="D507" s="30" t="str">
        <x:v>喜忌用神矩阵</x:v>
      </x:c>
      <x:c r="E507" s="30" t="str">
        <x:v>综合层</x:v>
      </x:c>
      <x:c r="F507" s="30" t="str">
        <x:v>M09/M12/M13/M15/M16</x:v>
      </x:c>
      <x:c r="G507" s="30" t="str">
        <x:v>未开始</x:v>
      </x:c>
      <x:c r="H507" s="30" t="str"/>
      <x:c r="I507" s="30" t="str"/>
      <x:c r="J507" s="30" t="str"/>
      <x:c r="K507" s="30" t="str"/>
      <x:c r="L507" s="30" t="str"/>
      <x:c r="M507" s="30" t="str"/>
      <x:c r="N507" s="30" t="str"/>
      <x:c r="O507" s="30" t="str"/>
      <x:c r="P507" s="30" t="str"/>
      <x:c r="Q507" s="31" t="str"/>
      <x:c r="R507" s="31" t="str"/>
      <x:c r="S507" s="30" t="str"/>
      <x:c r="T507" s="30" t="str"/>
      <x:c r="U507" s="30" t="str"/>
      <x:c r="V507" s="40" t="str">
        <x:f>IF(B507="","",COUNTA(H507:L507)/5)</x:f>
      </x:c>
    </x:row>
    <x:row r="508">
      <x:c r="A508" s="30" t="str">
        <x:f>IF(B508="","",B508&amp;"-"&amp;C508)</x:f>
      </x:c>
      <x:c r="B508" s="30" t="str">
        <x:f>'01_命例主档'!A33</x:f>
      </x:c>
      <x:c r="C508" s="30" t="str">
        <x:v>M18</x:v>
      </x:c>
      <x:c r="D508" s="30" t="str">
        <x:v>冲突裁决规则</x:v>
      </x:c>
      <x:c r="E508" s="30" t="str">
        <x:v>综合层</x:v>
      </x:c>
      <x:c r="F508" s="30" t="str">
        <x:v>M14/M15/M16/M17</x:v>
      </x:c>
      <x:c r="G508" s="30" t="str">
        <x:v>未开始</x:v>
      </x:c>
      <x:c r="H508" s="30" t="str"/>
      <x:c r="I508" s="30" t="str"/>
      <x:c r="J508" s="30" t="str"/>
      <x:c r="K508" s="30" t="str"/>
      <x:c r="L508" s="30" t="str"/>
      <x:c r="M508" s="30" t="str"/>
      <x:c r="N508" s="30" t="str"/>
      <x:c r="O508" s="30" t="str"/>
      <x:c r="P508" s="30" t="str"/>
      <x:c r="Q508" s="31" t="str"/>
      <x:c r="R508" s="31" t="str"/>
      <x:c r="S508" s="30" t="str"/>
      <x:c r="T508" s="30" t="str"/>
      <x:c r="U508" s="30" t="str"/>
      <x:c r="V508" s="40" t="str">
        <x:f>IF(B508="","",COUNTA(H508:L508)/5)</x:f>
      </x:c>
    </x:row>
    <x:row r="509">
      <x:c r="A509" s="30" t="str">
        <x:f>IF(B509="","",B509&amp;"-"&amp;C509)</x:f>
      </x:c>
      <x:c r="B509" s="30" t="str">
        <x:f>'01_命例主档'!A33</x:f>
      </x:c>
      <x:c r="C509" s="30" t="str">
        <x:v>M19</x:v>
      </x:c>
      <x:c r="D509" s="30" t="str">
        <x:v>综合输出模板</x:v>
      </x:c>
      <x:c r="E509" s="30" t="str">
        <x:v>治理与输出</x:v>
      </x:c>
      <x:c r="F509" s="30" t="str">
        <x:v>M02-M18</x:v>
      </x:c>
      <x:c r="G509" s="30" t="str">
        <x:v>未开始</x:v>
      </x:c>
      <x:c r="H509" s="30" t="str"/>
      <x:c r="I509" s="30" t="str"/>
      <x:c r="J509" s="30" t="str"/>
      <x:c r="K509" s="30" t="str"/>
      <x:c r="L509" s="30" t="str"/>
      <x:c r="M509" s="30" t="str"/>
      <x:c r="N509" s="30" t="str"/>
      <x:c r="O509" s="30" t="str"/>
      <x:c r="P509" s="30" t="str"/>
      <x:c r="Q509" s="31" t="str"/>
      <x:c r="R509" s="31" t="str"/>
      <x:c r="S509" s="30" t="str"/>
      <x:c r="T509" s="30" t="str"/>
      <x:c r="U509" s="30" t="str"/>
      <x:c r="V509" s="40" t="str">
        <x:f>IF(B509="","",COUNTA(H509:L509)/5)</x:f>
      </x:c>
    </x:row>
    <x:row r="510">
      <x:c r="A510" s="30" t="str">
        <x:f>IF(B510="","",B510&amp;"-"&amp;C510)</x:f>
      </x:c>
      <x:c r="B510" s="30" t="str">
        <x:f>'01_命例主档'!A34</x:f>
      </x:c>
      <x:c r="C510" s="30" t="str">
        <x:v>M02</x:v>
      </x:c>
      <x:c r="D510" s="30" t="str">
        <x:v>干支藏干基础</x:v>
      </x:c>
      <x:c r="E510" s="30" t="str">
        <x:v>识别层</x:v>
      </x:c>
      <x:c r="F510" s="30" t="str">
        <x:v>无</x:v>
      </x:c>
      <x:c r="G510" s="30" t="str">
        <x:v>未开始</x:v>
      </x:c>
      <x:c r="H510" s="30" t="str"/>
      <x:c r="I510" s="30" t="str"/>
      <x:c r="J510" s="30" t="str"/>
      <x:c r="K510" s="30" t="str"/>
      <x:c r="L510" s="30" t="str"/>
      <x:c r="M510" s="30" t="str"/>
      <x:c r="N510" s="30" t="str"/>
      <x:c r="O510" s="30" t="str"/>
      <x:c r="P510" s="30" t="str"/>
      <x:c r="Q510" s="31" t="str"/>
      <x:c r="R510" s="31" t="str"/>
      <x:c r="S510" s="30" t="str"/>
      <x:c r="T510" s="30" t="str"/>
      <x:c r="U510" s="30" t="str"/>
      <x:c r="V510" s="40" t="str">
        <x:f>IF(B510="","",COUNTA(H510:L510)/5)</x:f>
      </x:c>
    </x:row>
    <x:row r="511">
      <x:c r="A511" s="30" t="str">
        <x:f>IF(B511="","",B511&amp;"-"&amp;C511)</x:f>
      </x:c>
      <x:c r="B511" s="30" t="str">
        <x:f>'01_命例主档'!A34</x:f>
      </x:c>
      <x:c r="C511" s="30" t="str">
        <x:v>M03</x:v>
      </x:c>
      <x:c r="D511" s="30" t="str">
        <x:v>月令与根气</x:v>
      </x:c>
      <x:c r="E511" s="30" t="str">
        <x:v>结构层</x:v>
      </x:c>
      <x:c r="F511" s="30" t="str">
        <x:v>M02</x:v>
      </x:c>
      <x:c r="G511" s="30" t="str">
        <x:v>未开始</x:v>
      </x:c>
      <x:c r="H511" s="30" t="str"/>
      <x:c r="I511" s="30" t="str"/>
      <x:c r="J511" s="30" t="str"/>
      <x:c r="K511" s="30" t="str"/>
      <x:c r="L511" s="30" t="str"/>
      <x:c r="M511" s="30" t="str"/>
      <x:c r="N511" s="30" t="str"/>
      <x:c r="O511" s="30" t="str"/>
      <x:c r="P511" s="30" t="str"/>
      <x:c r="Q511" s="31" t="str"/>
      <x:c r="R511" s="31" t="str"/>
      <x:c r="S511" s="30" t="str"/>
      <x:c r="T511" s="30" t="str"/>
      <x:c r="U511" s="30" t="str"/>
      <x:c r="V511" s="40" t="str">
        <x:f>IF(B511="","",COUNTA(H511:L511)/5)</x:f>
      </x:c>
    </x:row>
    <x:row r="512">
      <x:c r="A512" s="30" t="str">
        <x:f>IF(B512="","",B512&amp;"-"&amp;C512)</x:f>
      </x:c>
      <x:c r="B512" s="30" t="str">
        <x:f>'01_命例主档'!A34</x:f>
      </x:c>
      <x:c r="C512" s="30" t="str">
        <x:v>M04</x:v>
      </x:c>
      <x:c r="D512" s="30" t="str">
        <x:v>天干作用识别</x:v>
      </x:c>
      <x:c r="E512" s="30" t="str">
        <x:v>识别层</x:v>
      </x:c>
      <x:c r="F512" s="30" t="str">
        <x:v>M02</x:v>
      </x:c>
      <x:c r="G512" s="30" t="str">
        <x:v>未开始</x:v>
      </x:c>
      <x:c r="H512" s="30" t="str"/>
      <x:c r="I512" s="30" t="str"/>
      <x:c r="J512" s="30" t="str"/>
      <x:c r="K512" s="30" t="str"/>
      <x:c r="L512" s="30" t="str"/>
      <x:c r="M512" s="30" t="str"/>
      <x:c r="N512" s="30" t="str"/>
      <x:c r="O512" s="30" t="str"/>
      <x:c r="P512" s="30" t="str"/>
      <x:c r="Q512" s="31" t="str"/>
      <x:c r="R512" s="31" t="str"/>
      <x:c r="S512" s="30" t="str"/>
      <x:c r="T512" s="30" t="str"/>
      <x:c r="U512" s="30" t="str"/>
      <x:c r="V512" s="40" t="str">
        <x:f>IF(B512="","",COUNTA(H512:L512)/5)</x:f>
      </x:c>
    </x:row>
    <x:row r="513">
      <x:c r="A513" s="30" t="str">
        <x:f>IF(B513="","",B513&amp;"-"&amp;C513)</x:f>
      </x:c>
      <x:c r="B513" s="30" t="str">
        <x:f>'01_命例主档'!A34</x:f>
      </x:c>
      <x:c r="C513" s="30" t="str">
        <x:v>M05</x:v>
      </x:c>
      <x:c r="D513" s="30" t="str">
        <x:v>地支关系识别</x:v>
      </x:c>
      <x:c r="E513" s="30" t="str">
        <x:v>识别层</x:v>
      </x:c>
      <x:c r="F513" s="30" t="str">
        <x:v>M02</x:v>
      </x:c>
      <x:c r="G513" s="30" t="str">
        <x:v>未开始</x:v>
      </x:c>
      <x:c r="H513" s="30" t="str"/>
      <x:c r="I513" s="30" t="str"/>
      <x:c r="J513" s="30" t="str"/>
      <x:c r="K513" s="30" t="str"/>
      <x:c r="L513" s="30" t="str"/>
      <x:c r="M513" s="30" t="str"/>
      <x:c r="N513" s="30" t="str"/>
      <x:c r="O513" s="30" t="str"/>
      <x:c r="P513" s="30" t="str"/>
      <x:c r="Q513" s="31" t="str"/>
      <x:c r="R513" s="31" t="str"/>
      <x:c r="S513" s="30" t="str"/>
      <x:c r="T513" s="30" t="str"/>
      <x:c r="U513" s="30" t="str"/>
      <x:c r="V513" s="40" t="str">
        <x:f>IF(B513="","",COUNTA(H513:L513)/5)</x:f>
      </x:c>
    </x:row>
    <x:row r="514">
      <x:c r="A514" s="30" t="str">
        <x:f>IF(B514="","",B514&amp;"-"&amp;C514)</x:f>
      </x:c>
      <x:c r="B514" s="30" t="str">
        <x:f>'01_命例主档'!A34</x:f>
      </x:c>
      <x:c r="C514" s="30" t="str">
        <x:v>M06</x:v>
      </x:c>
      <x:c r="D514" s="30" t="str">
        <x:v>干支关系效应</x:v>
      </x:c>
      <x:c r="E514" s="30" t="str">
        <x:v>效应层</x:v>
      </x:c>
      <x:c r="F514" s="30" t="str">
        <x:v>M03/M04/M05</x:v>
      </x:c>
      <x:c r="G514" s="30" t="str">
        <x:v>未开始</x:v>
      </x:c>
      <x:c r="H514" s="30" t="str"/>
      <x:c r="I514" s="30" t="str"/>
      <x:c r="J514" s="30" t="str"/>
      <x:c r="K514" s="30" t="str"/>
      <x:c r="L514" s="30" t="str"/>
      <x:c r="M514" s="30" t="str"/>
      <x:c r="N514" s="30" t="str"/>
      <x:c r="O514" s="30" t="str"/>
      <x:c r="P514" s="30" t="str"/>
      <x:c r="Q514" s="31" t="str"/>
      <x:c r="R514" s="31" t="str"/>
      <x:c r="S514" s="30" t="str"/>
      <x:c r="T514" s="30" t="str"/>
      <x:c r="U514" s="30" t="str"/>
      <x:c r="V514" s="40" t="str">
        <x:f>IF(B514="","",COUNTA(H514:L514)/5)</x:f>
      </x:c>
    </x:row>
    <x:row r="515">
      <x:c r="A515" s="30" t="str">
        <x:f>IF(B515="","",B515&amp;"-"&amp;C515)</x:f>
      </x:c>
      <x:c r="B515" s="30" t="str">
        <x:f>'01_命例主档'!A34</x:f>
      </x:c>
      <x:c r="C515" s="30" t="str">
        <x:v>M07</x:v>
      </x:c>
      <x:c r="D515" s="30" t="str">
        <x:v>五行原始旺衰</x:v>
      </x:c>
      <x:c r="E515" s="30" t="str">
        <x:v>结构层</x:v>
      </x:c>
      <x:c r="F515" s="30" t="str">
        <x:v>M02/M03</x:v>
      </x:c>
      <x:c r="G515" s="30" t="str">
        <x:v>未开始</x:v>
      </x:c>
      <x:c r="H515" s="30" t="str"/>
      <x:c r="I515" s="30" t="str"/>
      <x:c r="J515" s="30" t="str"/>
      <x:c r="K515" s="30" t="str"/>
      <x:c r="L515" s="30" t="str"/>
      <x:c r="M515" s="30" t="str"/>
      <x:c r="N515" s="30" t="str"/>
      <x:c r="O515" s="30" t="str"/>
      <x:c r="P515" s="30" t="str"/>
      <x:c r="Q515" s="31" t="str"/>
      <x:c r="R515" s="31" t="str"/>
      <x:c r="S515" s="30" t="str"/>
      <x:c r="T515" s="30" t="str"/>
      <x:c r="U515" s="30" t="str"/>
      <x:c r="V515" s="40" t="str">
        <x:f>IF(B515="","",COUNTA(H515:L515)/5)</x:f>
      </x:c>
    </x:row>
    <x:row r="516">
      <x:c r="A516" s="30" t="str">
        <x:f>IF(B516="","",B516&amp;"-"&amp;C516)</x:f>
      </x:c>
      <x:c r="B516" s="30" t="str">
        <x:f>'01_命例主档'!A34</x:f>
      </x:c>
      <x:c r="C516" s="30" t="str">
        <x:v>M08</x:v>
      </x:c>
      <x:c r="D516" s="30" t="str">
        <x:v>五行有效旺衰</x:v>
      </x:c>
      <x:c r="E516" s="30" t="str">
        <x:v>结构层</x:v>
      </x:c>
      <x:c r="F516" s="30" t="str">
        <x:v>M06/M07</x:v>
      </x:c>
      <x:c r="G516" s="30" t="str">
        <x:v>未开始</x:v>
      </x:c>
      <x:c r="H516" s="30" t="str"/>
      <x:c r="I516" s="30" t="str"/>
      <x:c r="J516" s="30" t="str"/>
      <x:c r="K516" s="30" t="str"/>
      <x:c r="L516" s="30" t="str"/>
      <x:c r="M516" s="30" t="str"/>
      <x:c r="N516" s="30" t="str"/>
      <x:c r="O516" s="30" t="str"/>
      <x:c r="P516" s="30" t="str"/>
      <x:c r="Q516" s="31" t="str"/>
      <x:c r="R516" s="31" t="str"/>
      <x:c r="S516" s="30" t="str"/>
      <x:c r="T516" s="30" t="str"/>
      <x:c r="U516" s="30" t="str"/>
      <x:c r="V516" s="40" t="str">
        <x:f>IF(B516="","",COUNTA(H516:L516)/5)</x:f>
      </x:c>
    </x:row>
    <x:row r="517">
      <x:c r="A517" s="30" t="str">
        <x:f>IF(B517="","",B517&amp;"-"&amp;C517)</x:f>
      </x:c>
      <x:c r="B517" s="30" t="str">
        <x:f>'01_命例主档'!A34</x:f>
      </x:c>
      <x:c r="C517" s="30" t="str">
        <x:v>M09</x:v>
      </x:c>
      <x:c r="D517" s="30" t="str">
        <x:v>日主旺衰</x:v>
      </x:c>
      <x:c r="E517" s="30" t="str">
        <x:v>综合层</x:v>
      </x:c>
      <x:c r="F517" s="30" t="str">
        <x:v>M03/M07/M08</x:v>
      </x:c>
      <x:c r="G517" s="30" t="str">
        <x:v>未开始</x:v>
      </x:c>
      <x:c r="H517" s="30" t="str"/>
      <x:c r="I517" s="30" t="str"/>
      <x:c r="J517" s="30" t="str"/>
      <x:c r="K517" s="30" t="str"/>
      <x:c r="L517" s="30" t="str"/>
      <x:c r="M517" s="30" t="str"/>
      <x:c r="N517" s="30" t="str"/>
      <x:c r="O517" s="30" t="str"/>
      <x:c r="P517" s="30" t="str"/>
      <x:c r="Q517" s="31" t="str"/>
      <x:c r="R517" s="31" t="str"/>
      <x:c r="S517" s="30" t="str"/>
      <x:c r="T517" s="30" t="str"/>
      <x:c r="U517" s="30" t="str"/>
      <x:c r="V517" s="40" t="str">
        <x:f>IF(B517="","",COUNTA(H517:L517)/5)</x:f>
      </x:c>
    </x:row>
    <x:row r="518">
      <x:c r="A518" s="30" t="str">
        <x:f>IF(B518="","",B518&amp;"-"&amp;C518)</x:f>
      </x:c>
      <x:c r="B518" s="30" t="str">
        <x:f>'01_命例主档'!A34</x:f>
      </x:c>
      <x:c r="C518" s="30" t="str">
        <x:v>M10</x:v>
      </x:c>
      <x:c r="D518" s="30" t="str">
        <x:v>十神旺衰功能</x:v>
      </x:c>
      <x:c r="E518" s="30" t="str">
        <x:v>结构层</x:v>
      </x:c>
      <x:c r="F518" s="30" t="str">
        <x:v>M02/M08/M09</x:v>
      </x:c>
      <x:c r="G518" s="30" t="str">
        <x:v>未开始</x:v>
      </x:c>
      <x:c r="H518" s="30" t="str"/>
      <x:c r="I518" s="30" t="str"/>
      <x:c r="J518" s="30" t="str"/>
      <x:c r="K518" s="30" t="str"/>
      <x:c r="L518" s="30" t="str"/>
      <x:c r="M518" s="30" t="str"/>
      <x:c r="N518" s="30" t="str"/>
      <x:c r="O518" s="30" t="str"/>
      <x:c r="P518" s="30" t="str"/>
      <x:c r="Q518" s="31" t="str"/>
      <x:c r="R518" s="31" t="str"/>
      <x:c r="S518" s="30" t="str"/>
      <x:c r="T518" s="30" t="str"/>
      <x:c r="U518" s="30" t="str"/>
      <x:c r="V518" s="40" t="str">
        <x:f>IF(B518="","",COUNTA(H518:L518)/5)</x:f>
      </x:c>
    </x:row>
    <x:row r="519">
      <x:c r="A519" s="30" t="str">
        <x:f>IF(B519="","",B519&amp;"-"&amp;C519)</x:f>
      </x:c>
      <x:c r="B519" s="30" t="str">
        <x:f>'01_命例主档'!A34</x:f>
      </x:c>
      <x:c r="C519" s="30" t="str">
        <x:v>M11</x:v>
      </x:c>
      <x:c r="D519" s="30" t="str">
        <x:v>十神组合成立</x:v>
      </x:c>
      <x:c r="E519" s="30" t="str">
        <x:v>结构层</x:v>
      </x:c>
      <x:c r="F519" s="30" t="str">
        <x:v>M08/M09/M10</x:v>
      </x:c>
      <x:c r="G519" s="30" t="str">
        <x:v>未开始</x:v>
      </x:c>
      <x:c r="H519" s="30" t="str"/>
      <x:c r="I519" s="30" t="str"/>
      <x:c r="J519" s="30" t="str"/>
      <x:c r="K519" s="30" t="str"/>
      <x:c r="L519" s="30" t="str"/>
      <x:c r="M519" s="30" t="str"/>
      <x:c r="N519" s="30" t="str"/>
      <x:c r="O519" s="30" t="str"/>
      <x:c r="P519" s="30" t="str"/>
      <x:c r="Q519" s="31" t="str"/>
      <x:c r="R519" s="31" t="str"/>
      <x:c r="S519" s="30" t="str"/>
      <x:c r="T519" s="30" t="str"/>
      <x:c r="U519" s="30" t="str"/>
      <x:c r="V519" s="40" t="str">
        <x:f>IF(B519="","",COUNTA(H519:L519)/5)</x:f>
      </x:c>
    </x:row>
    <x:row r="520">
      <x:c r="A520" s="30" t="str">
        <x:f>IF(B520="","",B520&amp;"-"&amp;C520)</x:f>
      </x:c>
      <x:c r="B520" s="30" t="str">
        <x:f>'01_命例主档'!A34</x:f>
      </x:c>
      <x:c r="C520" s="30" t="str">
        <x:v>M12</x:v>
      </x:c>
      <x:c r="D520" s="30" t="str">
        <x:v>五行流通卡点</x:v>
      </x:c>
      <x:c r="E520" s="30" t="str">
        <x:v>结构层</x:v>
      </x:c>
      <x:c r="F520" s="30" t="str">
        <x:v>M06/M08/M10/M11</x:v>
      </x:c>
      <x:c r="G520" s="30" t="str">
        <x:v>未开始</x:v>
      </x:c>
      <x:c r="H520" s="30" t="str"/>
      <x:c r="I520" s="30" t="str"/>
      <x:c r="J520" s="30" t="str"/>
      <x:c r="K520" s="30" t="str"/>
      <x:c r="L520" s="30" t="str"/>
      <x:c r="M520" s="30" t="str"/>
      <x:c r="N520" s="30" t="str"/>
      <x:c r="O520" s="30" t="str"/>
      <x:c r="P520" s="30" t="str"/>
      <x:c r="Q520" s="31" t="str"/>
      <x:c r="R520" s="31" t="str"/>
      <x:c r="S520" s="30" t="str"/>
      <x:c r="T520" s="30" t="str"/>
      <x:c r="U520" s="30" t="str"/>
      <x:c r="V520" s="40" t="str">
        <x:f>IF(B520="","",COUNTA(H520:L520)/5)</x:f>
      </x:c>
    </x:row>
    <x:row r="521">
      <x:c r="A521" s="30" t="str">
        <x:f>IF(B521="","",B521&amp;"-"&amp;C521)</x:f>
      </x:c>
      <x:c r="B521" s="30" t="str">
        <x:f>'01_命例主档'!A34</x:f>
      </x:c>
      <x:c r="C521" s="30" t="str">
        <x:v>M13</x:v>
      </x:c>
      <x:c r="D521" s="30" t="str">
        <x:v>寒暖燥湿</x:v>
      </x:c>
      <x:c r="E521" s="30" t="str">
        <x:v>结构层</x:v>
      </x:c>
      <x:c r="F521" s="30" t="str">
        <x:v>M02/M08/M12</x:v>
      </x:c>
      <x:c r="G521" s="30" t="str">
        <x:v>未开始</x:v>
      </x:c>
      <x:c r="H521" s="30" t="str"/>
      <x:c r="I521" s="30" t="str"/>
      <x:c r="J521" s="30" t="str"/>
      <x:c r="K521" s="30" t="str"/>
      <x:c r="L521" s="30" t="str"/>
      <x:c r="M521" s="30" t="str"/>
      <x:c r="N521" s="30" t="str"/>
      <x:c r="O521" s="30" t="str"/>
      <x:c r="P521" s="30" t="str"/>
      <x:c r="Q521" s="31" t="str"/>
      <x:c r="R521" s="31" t="str"/>
      <x:c r="S521" s="30" t="str"/>
      <x:c r="T521" s="30" t="str"/>
      <x:c r="U521" s="30" t="str"/>
      <x:c r="V521" s="40" t="str">
        <x:f>IF(B521="","",COUNTA(H521:L521)/5)</x:f>
      </x:c>
    </x:row>
    <x:row r="522">
      <x:c r="A522" s="30" t="str">
        <x:f>IF(B522="","",B522&amp;"-"&amp;C522)</x:f>
      </x:c>
      <x:c r="B522" s="30" t="str">
        <x:f>'01_命例主档'!A34</x:f>
      </x:c>
      <x:c r="C522" s="30" t="str">
        <x:v>M14</x:v>
      </x:c>
      <x:c r="D522" s="30" t="str">
        <x:v>格局候选判断</x:v>
      </x:c>
      <x:c r="E522" s="30" t="str">
        <x:v>综合层</x:v>
      </x:c>
      <x:c r="F522" s="30" t="str">
        <x:v>M03/M06/M08/M09/M10/M11</x:v>
      </x:c>
      <x:c r="G522" s="30" t="str">
        <x:v>未开始</x:v>
      </x:c>
      <x:c r="H522" s="30" t="str"/>
      <x:c r="I522" s="30" t="str"/>
      <x:c r="J522" s="30" t="str"/>
      <x:c r="K522" s="30" t="str"/>
      <x:c r="L522" s="30" t="str"/>
      <x:c r="M522" s="30" t="str"/>
      <x:c r="N522" s="30" t="str"/>
      <x:c r="O522" s="30" t="str"/>
      <x:c r="P522" s="30" t="str"/>
      <x:c r="Q522" s="31" t="str"/>
      <x:c r="R522" s="31" t="str"/>
      <x:c r="S522" s="30" t="str"/>
      <x:c r="T522" s="30" t="str"/>
      <x:c r="U522" s="30" t="str"/>
      <x:c r="V522" s="40" t="str">
        <x:f>IF(B522="","",COUNTA(H522:L522)/5)</x:f>
      </x:c>
    </x:row>
    <x:row r="523">
      <x:c r="A523" s="30" t="str">
        <x:f>IF(B523="","",B523&amp;"-"&amp;C523)</x:f>
      </x:c>
      <x:c r="B523" s="30" t="str">
        <x:f>'01_命例主档'!A34</x:f>
      </x:c>
      <x:c r="C523" s="30" t="str">
        <x:v>M15</x:v>
      </x:c>
      <x:c r="D523" s="30" t="str">
        <x:v>格局成败救应</x:v>
      </x:c>
      <x:c r="E523" s="30" t="str">
        <x:v>综合层</x:v>
      </x:c>
      <x:c r="F523" s="30" t="str">
        <x:v>M14/M11/M08</x:v>
      </x:c>
      <x:c r="G523" s="30" t="str">
        <x:v>未开始</x:v>
      </x:c>
      <x:c r="H523" s="30" t="str"/>
      <x:c r="I523" s="30" t="str"/>
      <x:c r="J523" s="30" t="str"/>
      <x:c r="K523" s="30" t="str"/>
      <x:c r="L523" s="30" t="str"/>
      <x:c r="M523" s="30" t="str"/>
      <x:c r="N523" s="30" t="str"/>
      <x:c r="O523" s="30" t="str"/>
      <x:c r="P523" s="30" t="str"/>
      <x:c r="Q523" s="31" t="str"/>
      <x:c r="R523" s="31" t="str"/>
      <x:c r="S523" s="30" t="str"/>
      <x:c r="T523" s="30" t="str"/>
      <x:c r="U523" s="30" t="str"/>
      <x:c r="V523" s="40" t="str">
        <x:f>IF(B523="","",COUNTA(H523:L523)/5)</x:f>
      </x:c>
    </x:row>
    <x:row r="524">
      <x:c r="A524" s="30" t="str">
        <x:f>IF(B524="","",B524&amp;"-"&amp;C524)</x:f>
      </x:c>
      <x:c r="B524" s="30" t="str">
        <x:f>'01_命例主档'!A34</x:f>
      </x:c>
      <x:c r="C524" s="30" t="str">
        <x:v>M16</x:v>
      </x:c>
      <x:c r="D524" s="30" t="str">
        <x:v>病药模型</x:v>
      </x:c>
      <x:c r="E524" s="30" t="str">
        <x:v>综合层</x:v>
      </x:c>
      <x:c r="F524" s="30" t="str">
        <x:v>M08-M15</x:v>
      </x:c>
      <x:c r="G524" s="30" t="str">
        <x:v>未开始</x:v>
      </x:c>
      <x:c r="H524" s="30" t="str"/>
      <x:c r="I524" s="30" t="str"/>
      <x:c r="J524" s="30" t="str"/>
      <x:c r="K524" s="30" t="str"/>
      <x:c r="L524" s="30" t="str"/>
      <x:c r="M524" s="30" t="str"/>
      <x:c r="N524" s="30" t="str"/>
      <x:c r="O524" s="30" t="str"/>
      <x:c r="P524" s="30" t="str"/>
      <x:c r="Q524" s="31" t="str"/>
      <x:c r="R524" s="31" t="str"/>
      <x:c r="S524" s="30" t="str"/>
      <x:c r="T524" s="30" t="str"/>
      <x:c r="U524" s="30" t="str"/>
      <x:c r="V524" s="40" t="str">
        <x:f>IF(B524="","",COUNTA(H524:L524)/5)</x:f>
      </x:c>
    </x:row>
    <x:row r="525">
      <x:c r="A525" s="30" t="str">
        <x:f>IF(B525="","",B525&amp;"-"&amp;C525)</x:f>
      </x:c>
      <x:c r="B525" s="30" t="str">
        <x:f>'01_命例主档'!A34</x:f>
      </x:c>
      <x:c r="C525" s="30" t="str">
        <x:v>M17</x:v>
      </x:c>
      <x:c r="D525" s="30" t="str">
        <x:v>喜忌用神矩阵</x:v>
      </x:c>
      <x:c r="E525" s="30" t="str">
        <x:v>综合层</x:v>
      </x:c>
      <x:c r="F525" s="30" t="str">
        <x:v>M09/M12/M13/M15/M16</x:v>
      </x:c>
      <x:c r="G525" s="30" t="str">
        <x:v>未开始</x:v>
      </x:c>
      <x:c r="H525" s="30" t="str"/>
      <x:c r="I525" s="30" t="str"/>
      <x:c r="J525" s="30" t="str"/>
      <x:c r="K525" s="30" t="str"/>
      <x:c r="L525" s="30" t="str"/>
      <x:c r="M525" s="30" t="str"/>
      <x:c r="N525" s="30" t="str"/>
      <x:c r="O525" s="30" t="str"/>
      <x:c r="P525" s="30" t="str"/>
      <x:c r="Q525" s="31" t="str"/>
      <x:c r="R525" s="31" t="str"/>
      <x:c r="S525" s="30" t="str"/>
      <x:c r="T525" s="30" t="str"/>
      <x:c r="U525" s="30" t="str"/>
      <x:c r="V525" s="40" t="str">
        <x:f>IF(B525="","",COUNTA(H525:L525)/5)</x:f>
      </x:c>
    </x:row>
    <x:row r="526">
      <x:c r="A526" s="30" t="str">
        <x:f>IF(B526="","",B526&amp;"-"&amp;C526)</x:f>
      </x:c>
      <x:c r="B526" s="30" t="str">
        <x:f>'01_命例主档'!A34</x:f>
      </x:c>
      <x:c r="C526" s="30" t="str">
        <x:v>M18</x:v>
      </x:c>
      <x:c r="D526" s="30" t="str">
        <x:v>冲突裁决规则</x:v>
      </x:c>
      <x:c r="E526" s="30" t="str">
        <x:v>综合层</x:v>
      </x:c>
      <x:c r="F526" s="30" t="str">
        <x:v>M14/M15/M16/M17</x:v>
      </x:c>
      <x:c r="G526" s="30" t="str">
        <x:v>未开始</x:v>
      </x:c>
      <x:c r="H526" s="30" t="str"/>
      <x:c r="I526" s="30" t="str"/>
      <x:c r="J526" s="30" t="str"/>
      <x:c r="K526" s="30" t="str"/>
      <x:c r="L526" s="30" t="str"/>
      <x:c r="M526" s="30" t="str"/>
      <x:c r="N526" s="30" t="str"/>
      <x:c r="O526" s="30" t="str"/>
      <x:c r="P526" s="30" t="str"/>
      <x:c r="Q526" s="31" t="str"/>
      <x:c r="R526" s="31" t="str"/>
      <x:c r="S526" s="30" t="str"/>
      <x:c r="T526" s="30" t="str"/>
      <x:c r="U526" s="30" t="str"/>
      <x:c r="V526" s="40" t="str">
        <x:f>IF(B526="","",COUNTA(H526:L526)/5)</x:f>
      </x:c>
    </x:row>
    <x:row r="527">
      <x:c r="A527" s="30" t="str">
        <x:f>IF(B527="","",B527&amp;"-"&amp;C527)</x:f>
      </x:c>
      <x:c r="B527" s="30" t="str">
        <x:f>'01_命例主档'!A34</x:f>
      </x:c>
      <x:c r="C527" s="30" t="str">
        <x:v>M19</x:v>
      </x:c>
      <x:c r="D527" s="30" t="str">
        <x:v>综合输出模板</x:v>
      </x:c>
      <x:c r="E527" s="30" t="str">
        <x:v>治理与输出</x:v>
      </x:c>
      <x:c r="F527" s="30" t="str">
        <x:v>M02-M18</x:v>
      </x:c>
      <x:c r="G527" s="30" t="str">
        <x:v>未开始</x:v>
      </x:c>
      <x:c r="H527" s="30" t="str"/>
      <x:c r="I527" s="30" t="str"/>
      <x:c r="J527" s="30" t="str"/>
      <x:c r="K527" s="30" t="str"/>
      <x:c r="L527" s="30" t="str"/>
      <x:c r="M527" s="30" t="str"/>
      <x:c r="N527" s="30" t="str"/>
      <x:c r="O527" s="30" t="str"/>
      <x:c r="P527" s="30" t="str"/>
      <x:c r="Q527" s="31" t="str"/>
      <x:c r="R527" s="31" t="str"/>
      <x:c r="S527" s="30" t="str"/>
      <x:c r="T527" s="30" t="str"/>
      <x:c r="U527" s="30" t="str"/>
      <x:c r="V527" s="40" t="str">
        <x:f>IF(B527="","",COUNTA(H527:L527)/5)</x:f>
      </x:c>
    </x:row>
    <x:row r="528">
      <x:c r="A528" s="30" t="str">
        <x:f>IF(B528="","",B528&amp;"-"&amp;C528)</x:f>
      </x:c>
      <x:c r="B528" s="30" t="str">
        <x:f>'01_命例主档'!A35</x:f>
      </x:c>
      <x:c r="C528" s="30" t="str">
        <x:v>M02</x:v>
      </x:c>
      <x:c r="D528" s="30" t="str">
        <x:v>干支藏干基础</x:v>
      </x:c>
      <x:c r="E528" s="30" t="str">
        <x:v>识别层</x:v>
      </x:c>
      <x:c r="F528" s="30" t="str">
        <x:v>无</x:v>
      </x:c>
      <x:c r="G528" s="30" t="str">
        <x:v>未开始</x:v>
      </x:c>
      <x:c r="H528" s="30" t="str"/>
      <x:c r="I528" s="30" t="str"/>
      <x:c r="J528" s="30" t="str"/>
      <x:c r="K528" s="30" t="str"/>
      <x:c r="L528" s="30" t="str"/>
      <x:c r="M528" s="30" t="str"/>
      <x:c r="N528" s="30" t="str"/>
      <x:c r="O528" s="30" t="str"/>
      <x:c r="P528" s="30" t="str"/>
      <x:c r="Q528" s="31" t="str"/>
      <x:c r="R528" s="31" t="str"/>
      <x:c r="S528" s="30" t="str"/>
      <x:c r="T528" s="30" t="str"/>
      <x:c r="U528" s="30" t="str"/>
      <x:c r="V528" s="40" t="str">
        <x:f>IF(B528="","",COUNTA(H528:L528)/5)</x:f>
      </x:c>
    </x:row>
    <x:row r="529">
      <x:c r="A529" s="30" t="str">
        <x:f>IF(B529="","",B529&amp;"-"&amp;C529)</x:f>
      </x:c>
      <x:c r="B529" s="30" t="str">
        <x:f>'01_命例主档'!A35</x:f>
      </x:c>
      <x:c r="C529" s="30" t="str">
        <x:v>M03</x:v>
      </x:c>
      <x:c r="D529" s="30" t="str">
        <x:v>月令与根气</x:v>
      </x:c>
      <x:c r="E529" s="30" t="str">
        <x:v>结构层</x:v>
      </x:c>
      <x:c r="F529" s="30" t="str">
        <x:v>M02</x:v>
      </x:c>
      <x:c r="G529" s="30" t="str">
        <x:v>未开始</x:v>
      </x:c>
      <x:c r="H529" s="30" t="str"/>
      <x:c r="I529" s="30" t="str"/>
      <x:c r="J529" s="30" t="str"/>
      <x:c r="K529" s="30" t="str"/>
      <x:c r="L529" s="30" t="str"/>
      <x:c r="M529" s="30" t="str"/>
      <x:c r="N529" s="30" t="str"/>
      <x:c r="O529" s="30" t="str"/>
      <x:c r="P529" s="30" t="str"/>
      <x:c r="Q529" s="31" t="str"/>
      <x:c r="R529" s="31" t="str"/>
      <x:c r="S529" s="30" t="str"/>
      <x:c r="T529" s="30" t="str"/>
      <x:c r="U529" s="30" t="str"/>
      <x:c r="V529" s="40" t="str">
        <x:f>IF(B529="","",COUNTA(H529:L529)/5)</x:f>
      </x:c>
    </x:row>
    <x:row r="530">
      <x:c r="A530" s="30" t="str">
        <x:f>IF(B530="","",B530&amp;"-"&amp;C530)</x:f>
      </x:c>
      <x:c r="B530" s="30" t="str">
        <x:f>'01_命例主档'!A35</x:f>
      </x:c>
      <x:c r="C530" s="30" t="str">
        <x:v>M04</x:v>
      </x:c>
      <x:c r="D530" s="30" t="str">
        <x:v>天干作用识别</x:v>
      </x:c>
      <x:c r="E530" s="30" t="str">
        <x:v>识别层</x:v>
      </x:c>
      <x:c r="F530" s="30" t="str">
        <x:v>M02</x:v>
      </x:c>
      <x:c r="G530" s="30" t="str">
        <x:v>未开始</x:v>
      </x:c>
      <x:c r="H530" s="30" t="str"/>
      <x:c r="I530" s="30" t="str"/>
      <x:c r="J530" s="30" t="str"/>
      <x:c r="K530" s="30" t="str"/>
      <x:c r="L530" s="30" t="str"/>
      <x:c r="M530" s="30" t="str"/>
      <x:c r="N530" s="30" t="str"/>
      <x:c r="O530" s="30" t="str"/>
      <x:c r="P530" s="30" t="str"/>
      <x:c r="Q530" s="31" t="str"/>
      <x:c r="R530" s="31" t="str"/>
      <x:c r="S530" s="30" t="str"/>
      <x:c r="T530" s="30" t="str"/>
      <x:c r="U530" s="30" t="str"/>
      <x:c r="V530" s="40" t="str">
        <x:f>IF(B530="","",COUNTA(H530:L530)/5)</x:f>
      </x:c>
    </x:row>
    <x:row r="531">
      <x:c r="A531" s="30" t="str">
        <x:f>IF(B531="","",B531&amp;"-"&amp;C531)</x:f>
      </x:c>
      <x:c r="B531" s="30" t="str">
        <x:f>'01_命例主档'!A35</x:f>
      </x:c>
      <x:c r="C531" s="30" t="str">
        <x:v>M05</x:v>
      </x:c>
      <x:c r="D531" s="30" t="str">
        <x:v>地支关系识别</x:v>
      </x:c>
      <x:c r="E531" s="30" t="str">
        <x:v>识别层</x:v>
      </x:c>
      <x:c r="F531" s="30" t="str">
        <x:v>M02</x:v>
      </x:c>
      <x:c r="G531" s="30" t="str">
        <x:v>未开始</x:v>
      </x:c>
      <x:c r="H531" s="30" t="str"/>
      <x:c r="I531" s="30" t="str"/>
      <x:c r="J531" s="30" t="str"/>
      <x:c r="K531" s="30" t="str"/>
      <x:c r="L531" s="30" t="str"/>
      <x:c r="M531" s="30" t="str"/>
      <x:c r="N531" s="30" t="str"/>
      <x:c r="O531" s="30" t="str"/>
      <x:c r="P531" s="30" t="str"/>
      <x:c r="Q531" s="31" t="str"/>
      <x:c r="R531" s="31" t="str"/>
      <x:c r="S531" s="30" t="str"/>
      <x:c r="T531" s="30" t="str"/>
      <x:c r="U531" s="30" t="str"/>
      <x:c r="V531" s="40" t="str">
        <x:f>IF(B531="","",COUNTA(H531:L531)/5)</x:f>
      </x:c>
    </x:row>
    <x:row r="532">
      <x:c r="A532" s="30" t="str">
        <x:f>IF(B532="","",B532&amp;"-"&amp;C532)</x:f>
      </x:c>
      <x:c r="B532" s="30" t="str">
        <x:f>'01_命例主档'!A35</x:f>
      </x:c>
      <x:c r="C532" s="30" t="str">
        <x:v>M06</x:v>
      </x:c>
      <x:c r="D532" s="30" t="str">
        <x:v>干支关系效应</x:v>
      </x:c>
      <x:c r="E532" s="30" t="str">
        <x:v>效应层</x:v>
      </x:c>
      <x:c r="F532" s="30" t="str">
        <x:v>M03/M04/M05</x:v>
      </x:c>
      <x:c r="G532" s="30" t="str">
        <x:v>未开始</x:v>
      </x:c>
      <x:c r="H532" s="30" t="str"/>
      <x:c r="I532" s="30" t="str"/>
      <x:c r="J532" s="30" t="str"/>
      <x:c r="K532" s="30" t="str"/>
      <x:c r="L532" s="30" t="str"/>
      <x:c r="M532" s="30" t="str"/>
      <x:c r="N532" s="30" t="str"/>
      <x:c r="O532" s="30" t="str"/>
      <x:c r="P532" s="30" t="str"/>
      <x:c r="Q532" s="31" t="str"/>
      <x:c r="R532" s="31" t="str"/>
      <x:c r="S532" s="30" t="str"/>
      <x:c r="T532" s="30" t="str"/>
      <x:c r="U532" s="30" t="str"/>
      <x:c r="V532" s="40" t="str">
        <x:f>IF(B532="","",COUNTA(H532:L532)/5)</x:f>
      </x:c>
    </x:row>
    <x:row r="533">
      <x:c r="A533" s="30" t="str">
        <x:f>IF(B533="","",B533&amp;"-"&amp;C533)</x:f>
      </x:c>
      <x:c r="B533" s="30" t="str">
        <x:f>'01_命例主档'!A35</x:f>
      </x:c>
      <x:c r="C533" s="30" t="str">
        <x:v>M07</x:v>
      </x:c>
      <x:c r="D533" s="30" t="str">
        <x:v>五行原始旺衰</x:v>
      </x:c>
      <x:c r="E533" s="30" t="str">
        <x:v>结构层</x:v>
      </x:c>
      <x:c r="F533" s="30" t="str">
        <x:v>M02/M03</x:v>
      </x:c>
      <x:c r="G533" s="30" t="str">
        <x:v>未开始</x:v>
      </x:c>
      <x:c r="H533" s="30" t="str"/>
      <x:c r="I533" s="30" t="str"/>
      <x:c r="J533" s="30" t="str"/>
      <x:c r="K533" s="30" t="str"/>
      <x:c r="L533" s="30" t="str"/>
      <x:c r="M533" s="30" t="str"/>
      <x:c r="N533" s="30" t="str"/>
      <x:c r="O533" s="30" t="str"/>
      <x:c r="P533" s="30" t="str"/>
      <x:c r="Q533" s="31" t="str"/>
      <x:c r="R533" s="31" t="str"/>
      <x:c r="S533" s="30" t="str"/>
      <x:c r="T533" s="30" t="str"/>
      <x:c r="U533" s="30" t="str"/>
      <x:c r="V533" s="40" t="str">
        <x:f>IF(B533="","",COUNTA(H533:L533)/5)</x:f>
      </x:c>
    </x:row>
    <x:row r="534">
      <x:c r="A534" s="30" t="str">
        <x:f>IF(B534="","",B534&amp;"-"&amp;C534)</x:f>
      </x:c>
      <x:c r="B534" s="30" t="str">
        <x:f>'01_命例主档'!A35</x:f>
      </x:c>
      <x:c r="C534" s="30" t="str">
        <x:v>M08</x:v>
      </x:c>
      <x:c r="D534" s="30" t="str">
        <x:v>五行有效旺衰</x:v>
      </x:c>
      <x:c r="E534" s="30" t="str">
        <x:v>结构层</x:v>
      </x:c>
      <x:c r="F534" s="30" t="str">
        <x:v>M06/M07</x:v>
      </x:c>
      <x:c r="G534" s="30" t="str">
        <x:v>未开始</x:v>
      </x:c>
      <x:c r="H534" s="30" t="str"/>
      <x:c r="I534" s="30" t="str"/>
      <x:c r="J534" s="30" t="str"/>
      <x:c r="K534" s="30" t="str"/>
      <x:c r="L534" s="30" t="str"/>
      <x:c r="M534" s="30" t="str"/>
      <x:c r="N534" s="30" t="str"/>
      <x:c r="O534" s="30" t="str"/>
      <x:c r="P534" s="30" t="str"/>
      <x:c r="Q534" s="31" t="str"/>
      <x:c r="R534" s="31" t="str"/>
      <x:c r="S534" s="30" t="str"/>
      <x:c r="T534" s="30" t="str"/>
      <x:c r="U534" s="30" t="str"/>
      <x:c r="V534" s="40" t="str">
        <x:f>IF(B534="","",COUNTA(H534:L534)/5)</x:f>
      </x:c>
    </x:row>
    <x:row r="535">
      <x:c r="A535" s="30" t="str">
        <x:f>IF(B535="","",B535&amp;"-"&amp;C535)</x:f>
      </x:c>
      <x:c r="B535" s="30" t="str">
        <x:f>'01_命例主档'!A35</x:f>
      </x:c>
      <x:c r="C535" s="30" t="str">
        <x:v>M09</x:v>
      </x:c>
      <x:c r="D535" s="30" t="str">
        <x:v>日主旺衰</x:v>
      </x:c>
      <x:c r="E535" s="30" t="str">
        <x:v>综合层</x:v>
      </x:c>
      <x:c r="F535" s="30" t="str">
        <x:v>M03/M07/M08</x:v>
      </x:c>
      <x:c r="G535" s="30" t="str">
        <x:v>未开始</x:v>
      </x:c>
      <x:c r="H535" s="30" t="str"/>
      <x:c r="I535" s="30" t="str"/>
      <x:c r="J535" s="30" t="str"/>
      <x:c r="K535" s="30" t="str"/>
      <x:c r="L535" s="30" t="str"/>
      <x:c r="M535" s="30" t="str"/>
      <x:c r="N535" s="30" t="str"/>
      <x:c r="O535" s="30" t="str"/>
      <x:c r="P535" s="30" t="str"/>
      <x:c r="Q535" s="31" t="str"/>
      <x:c r="R535" s="31" t="str"/>
      <x:c r="S535" s="30" t="str"/>
      <x:c r="T535" s="30" t="str"/>
      <x:c r="U535" s="30" t="str"/>
      <x:c r="V535" s="40" t="str">
        <x:f>IF(B535="","",COUNTA(H535:L535)/5)</x:f>
      </x:c>
    </x:row>
    <x:row r="536">
      <x:c r="A536" s="30" t="str">
        <x:f>IF(B536="","",B536&amp;"-"&amp;C536)</x:f>
      </x:c>
      <x:c r="B536" s="30" t="str">
        <x:f>'01_命例主档'!A35</x:f>
      </x:c>
      <x:c r="C536" s="30" t="str">
        <x:v>M10</x:v>
      </x:c>
      <x:c r="D536" s="30" t="str">
        <x:v>十神旺衰功能</x:v>
      </x:c>
      <x:c r="E536" s="30" t="str">
        <x:v>结构层</x:v>
      </x:c>
      <x:c r="F536" s="30" t="str">
        <x:v>M02/M08/M09</x:v>
      </x:c>
      <x:c r="G536" s="30" t="str">
        <x:v>未开始</x:v>
      </x:c>
      <x:c r="H536" s="30" t="str"/>
      <x:c r="I536" s="30" t="str"/>
      <x:c r="J536" s="30" t="str"/>
      <x:c r="K536" s="30" t="str"/>
      <x:c r="L536" s="30" t="str"/>
      <x:c r="M536" s="30" t="str"/>
      <x:c r="N536" s="30" t="str"/>
      <x:c r="O536" s="30" t="str"/>
      <x:c r="P536" s="30" t="str"/>
      <x:c r="Q536" s="31" t="str"/>
      <x:c r="R536" s="31" t="str"/>
      <x:c r="S536" s="30" t="str"/>
      <x:c r="T536" s="30" t="str"/>
      <x:c r="U536" s="30" t="str"/>
      <x:c r="V536" s="40" t="str">
        <x:f>IF(B536="","",COUNTA(H536:L536)/5)</x:f>
      </x:c>
    </x:row>
    <x:row r="537">
      <x:c r="A537" s="30" t="str">
        <x:f>IF(B537="","",B537&amp;"-"&amp;C537)</x:f>
      </x:c>
      <x:c r="B537" s="30" t="str">
        <x:f>'01_命例主档'!A35</x:f>
      </x:c>
      <x:c r="C537" s="30" t="str">
        <x:v>M11</x:v>
      </x:c>
      <x:c r="D537" s="30" t="str">
        <x:v>十神组合成立</x:v>
      </x:c>
      <x:c r="E537" s="30" t="str">
        <x:v>结构层</x:v>
      </x:c>
      <x:c r="F537" s="30" t="str">
        <x:v>M08/M09/M10</x:v>
      </x:c>
      <x:c r="G537" s="30" t="str">
        <x:v>未开始</x:v>
      </x:c>
      <x:c r="H537" s="30" t="str"/>
      <x:c r="I537" s="30" t="str"/>
      <x:c r="J537" s="30" t="str"/>
      <x:c r="K537" s="30" t="str"/>
      <x:c r="L537" s="30" t="str"/>
      <x:c r="M537" s="30" t="str"/>
      <x:c r="N537" s="30" t="str"/>
      <x:c r="O537" s="30" t="str"/>
      <x:c r="P537" s="30" t="str"/>
      <x:c r="Q537" s="31" t="str"/>
      <x:c r="R537" s="31" t="str"/>
      <x:c r="S537" s="30" t="str"/>
      <x:c r="T537" s="30" t="str"/>
      <x:c r="U537" s="30" t="str"/>
      <x:c r="V537" s="40" t="str">
        <x:f>IF(B537="","",COUNTA(H537:L537)/5)</x:f>
      </x:c>
    </x:row>
    <x:row r="538">
      <x:c r="A538" s="30" t="str">
        <x:f>IF(B538="","",B538&amp;"-"&amp;C538)</x:f>
      </x:c>
      <x:c r="B538" s="30" t="str">
        <x:f>'01_命例主档'!A35</x:f>
      </x:c>
      <x:c r="C538" s="30" t="str">
        <x:v>M12</x:v>
      </x:c>
      <x:c r="D538" s="30" t="str">
        <x:v>五行流通卡点</x:v>
      </x:c>
      <x:c r="E538" s="30" t="str">
        <x:v>结构层</x:v>
      </x:c>
      <x:c r="F538" s="30" t="str">
        <x:v>M06/M08/M10/M11</x:v>
      </x:c>
      <x:c r="G538" s="30" t="str">
        <x:v>未开始</x:v>
      </x:c>
      <x:c r="H538" s="30" t="str"/>
      <x:c r="I538" s="30" t="str"/>
      <x:c r="J538" s="30" t="str"/>
      <x:c r="K538" s="30" t="str"/>
      <x:c r="L538" s="30" t="str"/>
      <x:c r="M538" s="30" t="str"/>
      <x:c r="N538" s="30" t="str"/>
      <x:c r="O538" s="30" t="str"/>
      <x:c r="P538" s="30" t="str"/>
      <x:c r="Q538" s="31" t="str"/>
      <x:c r="R538" s="31" t="str"/>
      <x:c r="S538" s="30" t="str"/>
      <x:c r="T538" s="30" t="str"/>
      <x:c r="U538" s="30" t="str"/>
      <x:c r="V538" s="40" t="str">
        <x:f>IF(B538="","",COUNTA(H538:L538)/5)</x:f>
      </x:c>
    </x:row>
    <x:row r="539">
      <x:c r="A539" s="30" t="str">
        <x:f>IF(B539="","",B539&amp;"-"&amp;C539)</x:f>
      </x:c>
      <x:c r="B539" s="30" t="str">
        <x:f>'01_命例主档'!A35</x:f>
      </x:c>
      <x:c r="C539" s="30" t="str">
        <x:v>M13</x:v>
      </x:c>
      <x:c r="D539" s="30" t="str">
        <x:v>寒暖燥湿</x:v>
      </x:c>
      <x:c r="E539" s="30" t="str">
        <x:v>结构层</x:v>
      </x:c>
      <x:c r="F539" s="30" t="str">
        <x:v>M02/M08/M12</x:v>
      </x:c>
      <x:c r="G539" s="30" t="str">
        <x:v>未开始</x:v>
      </x:c>
      <x:c r="H539" s="30" t="str"/>
      <x:c r="I539" s="30" t="str"/>
      <x:c r="J539" s="30" t="str"/>
      <x:c r="K539" s="30" t="str"/>
      <x:c r="L539" s="30" t="str"/>
      <x:c r="M539" s="30" t="str"/>
      <x:c r="N539" s="30" t="str"/>
      <x:c r="O539" s="30" t="str"/>
      <x:c r="P539" s="30" t="str"/>
      <x:c r="Q539" s="31" t="str"/>
      <x:c r="R539" s="31" t="str"/>
      <x:c r="S539" s="30" t="str"/>
      <x:c r="T539" s="30" t="str"/>
      <x:c r="U539" s="30" t="str"/>
      <x:c r="V539" s="40" t="str">
        <x:f>IF(B539="","",COUNTA(H539:L539)/5)</x:f>
      </x:c>
    </x:row>
    <x:row r="540">
      <x:c r="A540" s="30" t="str">
        <x:f>IF(B540="","",B540&amp;"-"&amp;C540)</x:f>
      </x:c>
      <x:c r="B540" s="30" t="str">
        <x:f>'01_命例主档'!A35</x:f>
      </x:c>
      <x:c r="C540" s="30" t="str">
        <x:v>M14</x:v>
      </x:c>
      <x:c r="D540" s="30" t="str">
        <x:v>格局候选判断</x:v>
      </x:c>
      <x:c r="E540" s="30" t="str">
        <x:v>综合层</x:v>
      </x:c>
      <x:c r="F540" s="30" t="str">
        <x:v>M03/M06/M08/M09/M10/M11</x:v>
      </x:c>
      <x:c r="G540" s="30" t="str">
        <x:v>未开始</x:v>
      </x:c>
      <x:c r="H540" s="30" t="str"/>
      <x:c r="I540" s="30" t="str"/>
      <x:c r="J540" s="30" t="str"/>
      <x:c r="K540" s="30" t="str"/>
      <x:c r="L540" s="30" t="str"/>
      <x:c r="M540" s="30" t="str"/>
      <x:c r="N540" s="30" t="str"/>
      <x:c r="O540" s="30" t="str"/>
      <x:c r="P540" s="30" t="str"/>
      <x:c r="Q540" s="31" t="str"/>
      <x:c r="R540" s="31" t="str"/>
      <x:c r="S540" s="30" t="str"/>
      <x:c r="T540" s="30" t="str"/>
      <x:c r="U540" s="30" t="str"/>
      <x:c r="V540" s="40" t="str">
        <x:f>IF(B540="","",COUNTA(H540:L540)/5)</x:f>
      </x:c>
    </x:row>
    <x:row r="541">
      <x:c r="A541" s="30" t="str">
        <x:f>IF(B541="","",B541&amp;"-"&amp;C541)</x:f>
      </x:c>
      <x:c r="B541" s="30" t="str">
        <x:f>'01_命例主档'!A35</x:f>
      </x:c>
      <x:c r="C541" s="30" t="str">
        <x:v>M15</x:v>
      </x:c>
      <x:c r="D541" s="30" t="str">
        <x:v>格局成败救应</x:v>
      </x:c>
      <x:c r="E541" s="30" t="str">
        <x:v>综合层</x:v>
      </x:c>
      <x:c r="F541" s="30" t="str">
        <x:v>M14/M11/M08</x:v>
      </x:c>
      <x:c r="G541" s="30" t="str">
        <x:v>未开始</x:v>
      </x:c>
      <x:c r="H541" s="30" t="str"/>
      <x:c r="I541" s="30" t="str"/>
      <x:c r="J541" s="30" t="str"/>
      <x:c r="K541" s="30" t="str"/>
      <x:c r="L541" s="30" t="str"/>
      <x:c r="M541" s="30" t="str"/>
      <x:c r="N541" s="30" t="str"/>
      <x:c r="O541" s="30" t="str"/>
      <x:c r="P541" s="30" t="str"/>
      <x:c r="Q541" s="31" t="str"/>
      <x:c r="R541" s="31" t="str"/>
      <x:c r="S541" s="30" t="str"/>
      <x:c r="T541" s="30" t="str"/>
      <x:c r="U541" s="30" t="str"/>
      <x:c r="V541" s="40" t="str">
        <x:f>IF(B541="","",COUNTA(H541:L541)/5)</x:f>
      </x:c>
    </x:row>
    <x:row r="542">
      <x:c r="A542" s="30" t="str">
        <x:f>IF(B542="","",B542&amp;"-"&amp;C542)</x:f>
      </x:c>
      <x:c r="B542" s="30" t="str">
        <x:f>'01_命例主档'!A35</x:f>
      </x:c>
      <x:c r="C542" s="30" t="str">
        <x:v>M16</x:v>
      </x:c>
      <x:c r="D542" s="30" t="str">
        <x:v>病药模型</x:v>
      </x:c>
      <x:c r="E542" s="30" t="str">
        <x:v>综合层</x:v>
      </x:c>
      <x:c r="F542" s="30" t="str">
        <x:v>M08-M15</x:v>
      </x:c>
      <x:c r="G542" s="30" t="str">
        <x:v>未开始</x:v>
      </x:c>
      <x:c r="H542" s="30" t="str"/>
      <x:c r="I542" s="30" t="str"/>
      <x:c r="J542" s="30" t="str"/>
      <x:c r="K542" s="30" t="str"/>
      <x:c r="L542" s="30" t="str"/>
      <x:c r="M542" s="30" t="str"/>
      <x:c r="N542" s="30" t="str"/>
      <x:c r="O542" s="30" t="str"/>
      <x:c r="P542" s="30" t="str"/>
      <x:c r="Q542" s="31" t="str"/>
      <x:c r="R542" s="31" t="str"/>
      <x:c r="S542" s="30" t="str"/>
      <x:c r="T542" s="30" t="str"/>
      <x:c r="U542" s="30" t="str"/>
      <x:c r="V542" s="40" t="str">
        <x:f>IF(B542="","",COUNTA(H542:L542)/5)</x:f>
      </x:c>
    </x:row>
    <x:row r="543">
      <x:c r="A543" s="30" t="str">
        <x:f>IF(B543="","",B543&amp;"-"&amp;C543)</x:f>
      </x:c>
      <x:c r="B543" s="30" t="str">
        <x:f>'01_命例主档'!A35</x:f>
      </x:c>
      <x:c r="C543" s="30" t="str">
        <x:v>M17</x:v>
      </x:c>
      <x:c r="D543" s="30" t="str">
        <x:v>喜忌用神矩阵</x:v>
      </x:c>
      <x:c r="E543" s="30" t="str">
        <x:v>综合层</x:v>
      </x:c>
      <x:c r="F543" s="30" t="str">
        <x:v>M09/M12/M13/M15/M16</x:v>
      </x:c>
      <x:c r="G543" s="30" t="str">
        <x:v>未开始</x:v>
      </x:c>
      <x:c r="H543" s="30" t="str"/>
      <x:c r="I543" s="30" t="str"/>
      <x:c r="J543" s="30" t="str"/>
      <x:c r="K543" s="30" t="str"/>
      <x:c r="L543" s="30" t="str"/>
      <x:c r="M543" s="30" t="str"/>
      <x:c r="N543" s="30" t="str"/>
      <x:c r="O543" s="30" t="str"/>
      <x:c r="P543" s="30" t="str"/>
      <x:c r="Q543" s="31" t="str"/>
      <x:c r="R543" s="31" t="str"/>
      <x:c r="S543" s="30" t="str"/>
      <x:c r="T543" s="30" t="str"/>
      <x:c r="U543" s="30" t="str"/>
      <x:c r="V543" s="40" t="str">
        <x:f>IF(B543="","",COUNTA(H543:L543)/5)</x:f>
      </x:c>
    </x:row>
    <x:row r="544">
      <x:c r="A544" s="30" t="str">
        <x:f>IF(B544="","",B544&amp;"-"&amp;C544)</x:f>
      </x:c>
      <x:c r="B544" s="30" t="str">
        <x:f>'01_命例主档'!A35</x:f>
      </x:c>
      <x:c r="C544" s="30" t="str">
        <x:v>M18</x:v>
      </x:c>
      <x:c r="D544" s="30" t="str">
        <x:v>冲突裁决规则</x:v>
      </x:c>
      <x:c r="E544" s="30" t="str">
        <x:v>综合层</x:v>
      </x:c>
      <x:c r="F544" s="30" t="str">
        <x:v>M14/M15/M16/M17</x:v>
      </x:c>
      <x:c r="G544" s="30" t="str">
        <x:v>未开始</x:v>
      </x:c>
      <x:c r="H544" s="30" t="str"/>
      <x:c r="I544" s="30" t="str"/>
      <x:c r="J544" s="30" t="str"/>
      <x:c r="K544" s="30" t="str"/>
      <x:c r="L544" s="30" t="str"/>
      <x:c r="M544" s="30" t="str"/>
      <x:c r="N544" s="30" t="str"/>
      <x:c r="O544" s="30" t="str"/>
      <x:c r="P544" s="30" t="str"/>
      <x:c r="Q544" s="31" t="str"/>
      <x:c r="R544" s="31" t="str"/>
      <x:c r="S544" s="30" t="str"/>
      <x:c r="T544" s="30" t="str"/>
      <x:c r="U544" s="30" t="str"/>
      <x:c r="V544" s="40" t="str">
        <x:f>IF(B544="","",COUNTA(H544:L544)/5)</x:f>
      </x:c>
    </x:row>
    <x:row r="545">
      <x:c r="A545" s="30" t="str">
        <x:f>IF(B545="","",B545&amp;"-"&amp;C545)</x:f>
      </x:c>
      <x:c r="B545" s="30" t="str">
        <x:f>'01_命例主档'!A35</x:f>
      </x:c>
      <x:c r="C545" s="30" t="str">
        <x:v>M19</x:v>
      </x:c>
      <x:c r="D545" s="30" t="str">
        <x:v>综合输出模板</x:v>
      </x:c>
      <x:c r="E545" s="30" t="str">
        <x:v>治理与输出</x:v>
      </x:c>
      <x:c r="F545" s="30" t="str">
        <x:v>M02-M18</x:v>
      </x:c>
      <x:c r="G545" s="30" t="str">
        <x:v>未开始</x:v>
      </x:c>
      <x:c r="H545" s="30" t="str"/>
      <x:c r="I545" s="30" t="str"/>
      <x:c r="J545" s="30" t="str"/>
      <x:c r="K545" s="30" t="str"/>
      <x:c r="L545" s="30" t="str"/>
      <x:c r="M545" s="30" t="str"/>
      <x:c r="N545" s="30" t="str"/>
      <x:c r="O545" s="30" t="str"/>
      <x:c r="P545" s="30" t="str"/>
      <x:c r="Q545" s="31" t="str"/>
      <x:c r="R545" s="31" t="str"/>
      <x:c r="S545" s="30" t="str"/>
      <x:c r="T545" s="30" t="str"/>
      <x:c r="U545" s="30" t="str"/>
      <x:c r="V545" s="40" t="str">
        <x:f>IF(B545="","",COUNTA(H545:L545)/5)</x:f>
      </x:c>
    </x:row>
    <x:row r="546">
      <x:c r="A546" s="30" t="str">
        <x:f>IF(B546="","",B546&amp;"-"&amp;C546)</x:f>
      </x:c>
      <x:c r="B546" s="30" t="str">
        <x:f>'01_命例主档'!A36</x:f>
      </x:c>
      <x:c r="C546" s="30" t="str">
        <x:v>M02</x:v>
      </x:c>
      <x:c r="D546" s="30" t="str">
        <x:v>干支藏干基础</x:v>
      </x:c>
      <x:c r="E546" s="30" t="str">
        <x:v>识别层</x:v>
      </x:c>
      <x:c r="F546" s="30" t="str">
        <x:v>无</x:v>
      </x:c>
      <x:c r="G546" s="30" t="str">
        <x:v>未开始</x:v>
      </x:c>
      <x:c r="H546" s="30" t="str"/>
      <x:c r="I546" s="30" t="str"/>
      <x:c r="J546" s="30" t="str"/>
      <x:c r="K546" s="30" t="str"/>
      <x:c r="L546" s="30" t="str"/>
      <x:c r="M546" s="30" t="str"/>
      <x:c r="N546" s="30" t="str"/>
      <x:c r="O546" s="30" t="str"/>
      <x:c r="P546" s="30" t="str"/>
      <x:c r="Q546" s="31" t="str"/>
      <x:c r="R546" s="31" t="str"/>
      <x:c r="S546" s="30" t="str"/>
      <x:c r="T546" s="30" t="str"/>
      <x:c r="U546" s="30" t="str"/>
      <x:c r="V546" s="40" t="str">
        <x:f>IF(B546="","",COUNTA(H546:L546)/5)</x:f>
      </x:c>
    </x:row>
    <x:row r="547">
      <x:c r="A547" s="30" t="str">
        <x:f>IF(B547="","",B547&amp;"-"&amp;C547)</x:f>
      </x:c>
      <x:c r="B547" s="30" t="str">
        <x:f>'01_命例主档'!A36</x:f>
      </x:c>
      <x:c r="C547" s="30" t="str">
        <x:v>M03</x:v>
      </x:c>
      <x:c r="D547" s="30" t="str">
        <x:v>月令与根气</x:v>
      </x:c>
      <x:c r="E547" s="30" t="str">
        <x:v>结构层</x:v>
      </x:c>
      <x:c r="F547" s="30" t="str">
        <x:v>M02</x:v>
      </x:c>
      <x:c r="G547" s="30" t="str">
        <x:v>未开始</x:v>
      </x:c>
      <x:c r="H547" s="30" t="str"/>
      <x:c r="I547" s="30" t="str"/>
      <x:c r="J547" s="30" t="str"/>
      <x:c r="K547" s="30" t="str"/>
      <x:c r="L547" s="30" t="str"/>
      <x:c r="M547" s="30" t="str"/>
      <x:c r="N547" s="30" t="str"/>
      <x:c r="O547" s="30" t="str"/>
      <x:c r="P547" s="30" t="str"/>
      <x:c r="Q547" s="31" t="str"/>
      <x:c r="R547" s="31" t="str"/>
      <x:c r="S547" s="30" t="str"/>
      <x:c r="T547" s="30" t="str"/>
      <x:c r="U547" s="30" t="str"/>
      <x:c r="V547" s="40" t="str">
        <x:f>IF(B547="","",COUNTA(H547:L547)/5)</x:f>
      </x:c>
    </x:row>
    <x:row r="548">
      <x:c r="A548" s="30" t="str">
        <x:f>IF(B548="","",B548&amp;"-"&amp;C548)</x:f>
      </x:c>
      <x:c r="B548" s="30" t="str">
        <x:f>'01_命例主档'!A36</x:f>
      </x:c>
      <x:c r="C548" s="30" t="str">
        <x:v>M04</x:v>
      </x:c>
      <x:c r="D548" s="30" t="str">
        <x:v>天干作用识别</x:v>
      </x:c>
      <x:c r="E548" s="30" t="str">
        <x:v>识别层</x:v>
      </x:c>
      <x:c r="F548" s="30" t="str">
        <x:v>M02</x:v>
      </x:c>
      <x:c r="G548" s="30" t="str">
        <x:v>未开始</x:v>
      </x:c>
      <x:c r="H548" s="30" t="str"/>
      <x:c r="I548" s="30" t="str"/>
      <x:c r="J548" s="30" t="str"/>
      <x:c r="K548" s="30" t="str"/>
      <x:c r="L548" s="30" t="str"/>
      <x:c r="M548" s="30" t="str"/>
      <x:c r="N548" s="30" t="str"/>
      <x:c r="O548" s="30" t="str"/>
      <x:c r="P548" s="30" t="str"/>
      <x:c r="Q548" s="31" t="str"/>
      <x:c r="R548" s="31" t="str"/>
      <x:c r="S548" s="30" t="str"/>
      <x:c r="T548" s="30" t="str"/>
      <x:c r="U548" s="30" t="str"/>
      <x:c r="V548" s="40" t="str">
        <x:f>IF(B548="","",COUNTA(H548:L548)/5)</x:f>
      </x:c>
    </x:row>
    <x:row r="549">
      <x:c r="A549" s="30" t="str">
        <x:f>IF(B549="","",B549&amp;"-"&amp;C549)</x:f>
      </x:c>
      <x:c r="B549" s="30" t="str">
        <x:f>'01_命例主档'!A36</x:f>
      </x:c>
      <x:c r="C549" s="30" t="str">
        <x:v>M05</x:v>
      </x:c>
      <x:c r="D549" s="30" t="str">
        <x:v>地支关系识别</x:v>
      </x:c>
      <x:c r="E549" s="30" t="str">
        <x:v>识别层</x:v>
      </x:c>
      <x:c r="F549" s="30" t="str">
        <x:v>M02</x:v>
      </x:c>
      <x:c r="G549" s="30" t="str">
        <x:v>未开始</x:v>
      </x:c>
      <x:c r="H549" s="30" t="str"/>
      <x:c r="I549" s="30" t="str"/>
      <x:c r="J549" s="30" t="str"/>
      <x:c r="K549" s="30" t="str"/>
      <x:c r="L549" s="30" t="str"/>
      <x:c r="M549" s="30" t="str"/>
      <x:c r="N549" s="30" t="str"/>
      <x:c r="O549" s="30" t="str"/>
      <x:c r="P549" s="30" t="str"/>
      <x:c r="Q549" s="31" t="str"/>
      <x:c r="R549" s="31" t="str"/>
      <x:c r="S549" s="30" t="str"/>
      <x:c r="T549" s="30" t="str"/>
      <x:c r="U549" s="30" t="str"/>
      <x:c r="V549" s="40" t="str">
        <x:f>IF(B549="","",COUNTA(H549:L549)/5)</x:f>
      </x:c>
    </x:row>
    <x:row r="550">
      <x:c r="A550" s="30" t="str">
        <x:f>IF(B550="","",B550&amp;"-"&amp;C550)</x:f>
      </x:c>
      <x:c r="B550" s="30" t="str">
        <x:f>'01_命例主档'!A36</x:f>
      </x:c>
      <x:c r="C550" s="30" t="str">
        <x:v>M06</x:v>
      </x:c>
      <x:c r="D550" s="30" t="str">
        <x:v>干支关系效应</x:v>
      </x:c>
      <x:c r="E550" s="30" t="str">
        <x:v>效应层</x:v>
      </x:c>
      <x:c r="F550" s="30" t="str">
        <x:v>M03/M04/M05</x:v>
      </x:c>
      <x:c r="G550" s="30" t="str">
        <x:v>未开始</x:v>
      </x:c>
      <x:c r="H550" s="30" t="str"/>
      <x:c r="I550" s="30" t="str"/>
      <x:c r="J550" s="30" t="str"/>
      <x:c r="K550" s="30" t="str"/>
      <x:c r="L550" s="30" t="str"/>
      <x:c r="M550" s="30" t="str"/>
      <x:c r="N550" s="30" t="str"/>
      <x:c r="O550" s="30" t="str"/>
      <x:c r="P550" s="30" t="str"/>
      <x:c r="Q550" s="31" t="str"/>
      <x:c r="R550" s="31" t="str"/>
      <x:c r="S550" s="30" t="str"/>
      <x:c r="T550" s="30" t="str"/>
      <x:c r="U550" s="30" t="str"/>
      <x:c r="V550" s="40" t="str">
        <x:f>IF(B550="","",COUNTA(H550:L550)/5)</x:f>
      </x:c>
    </x:row>
    <x:row r="551">
      <x:c r="A551" s="30" t="str">
        <x:f>IF(B551="","",B551&amp;"-"&amp;C551)</x:f>
      </x:c>
      <x:c r="B551" s="30" t="str">
        <x:f>'01_命例主档'!A36</x:f>
      </x:c>
      <x:c r="C551" s="30" t="str">
        <x:v>M07</x:v>
      </x:c>
      <x:c r="D551" s="30" t="str">
        <x:v>五行原始旺衰</x:v>
      </x:c>
      <x:c r="E551" s="30" t="str">
        <x:v>结构层</x:v>
      </x:c>
      <x:c r="F551" s="30" t="str">
        <x:v>M02/M03</x:v>
      </x:c>
      <x:c r="G551" s="30" t="str">
        <x:v>未开始</x:v>
      </x:c>
      <x:c r="H551" s="30" t="str"/>
      <x:c r="I551" s="30" t="str"/>
      <x:c r="J551" s="30" t="str"/>
      <x:c r="K551" s="30" t="str"/>
      <x:c r="L551" s="30" t="str"/>
      <x:c r="M551" s="30" t="str"/>
      <x:c r="N551" s="30" t="str"/>
      <x:c r="O551" s="30" t="str"/>
      <x:c r="P551" s="30" t="str"/>
      <x:c r="Q551" s="31" t="str"/>
      <x:c r="R551" s="31" t="str"/>
      <x:c r="S551" s="30" t="str"/>
      <x:c r="T551" s="30" t="str"/>
      <x:c r="U551" s="30" t="str"/>
      <x:c r="V551" s="40" t="str">
        <x:f>IF(B551="","",COUNTA(H551:L551)/5)</x:f>
      </x:c>
    </x:row>
    <x:row r="552">
      <x:c r="A552" s="30" t="str">
        <x:f>IF(B552="","",B552&amp;"-"&amp;C552)</x:f>
      </x:c>
      <x:c r="B552" s="30" t="str">
        <x:f>'01_命例主档'!A36</x:f>
      </x:c>
      <x:c r="C552" s="30" t="str">
        <x:v>M08</x:v>
      </x:c>
      <x:c r="D552" s="30" t="str">
        <x:v>五行有效旺衰</x:v>
      </x:c>
      <x:c r="E552" s="30" t="str">
        <x:v>结构层</x:v>
      </x:c>
      <x:c r="F552" s="30" t="str">
        <x:v>M06/M07</x:v>
      </x:c>
      <x:c r="G552" s="30" t="str">
        <x:v>未开始</x:v>
      </x:c>
      <x:c r="H552" s="30" t="str"/>
      <x:c r="I552" s="30" t="str"/>
      <x:c r="J552" s="30" t="str"/>
      <x:c r="K552" s="30" t="str"/>
      <x:c r="L552" s="30" t="str"/>
      <x:c r="M552" s="30" t="str"/>
      <x:c r="N552" s="30" t="str"/>
      <x:c r="O552" s="30" t="str"/>
      <x:c r="P552" s="30" t="str"/>
      <x:c r="Q552" s="31" t="str"/>
      <x:c r="R552" s="31" t="str"/>
      <x:c r="S552" s="30" t="str"/>
      <x:c r="T552" s="30" t="str"/>
      <x:c r="U552" s="30" t="str"/>
      <x:c r="V552" s="40" t="str">
        <x:f>IF(B552="","",COUNTA(H552:L552)/5)</x:f>
      </x:c>
    </x:row>
    <x:row r="553">
      <x:c r="A553" s="30" t="str">
        <x:f>IF(B553="","",B553&amp;"-"&amp;C553)</x:f>
      </x:c>
      <x:c r="B553" s="30" t="str">
        <x:f>'01_命例主档'!A36</x:f>
      </x:c>
      <x:c r="C553" s="30" t="str">
        <x:v>M09</x:v>
      </x:c>
      <x:c r="D553" s="30" t="str">
        <x:v>日主旺衰</x:v>
      </x:c>
      <x:c r="E553" s="30" t="str">
        <x:v>综合层</x:v>
      </x:c>
      <x:c r="F553" s="30" t="str">
        <x:v>M03/M07/M08</x:v>
      </x:c>
      <x:c r="G553" s="30" t="str">
        <x:v>未开始</x:v>
      </x:c>
      <x:c r="H553" s="30" t="str"/>
      <x:c r="I553" s="30" t="str"/>
      <x:c r="J553" s="30" t="str"/>
      <x:c r="K553" s="30" t="str"/>
      <x:c r="L553" s="30" t="str"/>
      <x:c r="M553" s="30" t="str"/>
      <x:c r="N553" s="30" t="str"/>
      <x:c r="O553" s="30" t="str"/>
      <x:c r="P553" s="30" t="str"/>
      <x:c r="Q553" s="31" t="str"/>
      <x:c r="R553" s="31" t="str"/>
      <x:c r="S553" s="30" t="str"/>
      <x:c r="T553" s="30" t="str"/>
      <x:c r="U553" s="30" t="str"/>
      <x:c r="V553" s="40" t="str">
        <x:f>IF(B553="","",COUNTA(H553:L553)/5)</x:f>
      </x:c>
    </x:row>
    <x:row r="554">
      <x:c r="A554" s="30" t="str">
        <x:f>IF(B554="","",B554&amp;"-"&amp;C554)</x:f>
      </x:c>
      <x:c r="B554" s="30" t="str">
        <x:f>'01_命例主档'!A36</x:f>
      </x:c>
      <x:c r="C554" s="30" t="str">
        <x:v>M10</x:v>
      </x:c>
      <x:c r="D554" s="30" t="str">
        <x:v>十神旺衰功能</x:v>
      </x:c>
      <x:c r="E554" s="30" t="str">
        <x:v>结构层</x:v>
      </x:c>
      <x:c r="F554" s="30" t="str">
        <x:v>M02/M08/M09</x:v>
      </x:c>
      <x:c r="G554" s="30" t="str">
        <x:v>未开始</x:v>
      </x:c>
      <x:c r="H554" s="30" t="str"/>
      <x:c r="I554" s="30" t="str"/>
      <x:c r="J554" s="30" t="str"/>
      <x:c r="K554" s="30" t="str"/>
      <x:c r="L554" s="30" t="str"/>
      <x:c r="M554" s="30" t="str"/>
      <x:c r="N554" s="30" t="str"/>
      <x:c r="O554" s="30" t="str"/>
      <x:c r="P554" s="30" t="str"/>
      <x:c r="Q554" s="31" t="str"/>
      <x:c r="R554" s="31" t="str"/>
      <x:c r="S554" s="30" t="str"/>
      <x:c r="T554" s="30" t="str"/>
      <x:c r="U554" s="30" t="str"/>
      <x:c r="V554" s="40" t="str">
        <x:f>IF(B554="","",COUNTA(H554:L554)/5)</x:f>
      </x:c>
    </x:row>
    <x:row r="555">
      <x:c r="A555" s="30" t="str">
        <x:f>IF(B555="","",B555&amp;"-"&amp;C555)</x:f>
      </x:c>
      <x:c r="B555" s="30" t="str">
        <x:f>'01_命例主档'!A36</x:f>
      </x:c>
      <x:c r="C555" s="30" t="str">
        <x:v>M11</x:v>
      </x:c>
      <x:c r="D555" s="30" t="str">
        <x:v>十神组合成立</x:v>
      </x:c>
      <x:c r="E555" s="30" t="str">
        <x:v>结构层</x:v>
      </x:c>
      <x:c r="F555" s="30" t="str">
        <x:v>M08/M09/M10</x:v>
      </x:c>
      <x:c r="G555" s="30" t="str">
        <x:v>未开始</x:v>
      </x:c>
      <x:c r="H555" s="30" t="str"/>
      <x:c r="I555" s="30" t="str"/>
      <x:c r="J555" s="30" t="str"/>
      <x:c r="K555" s="30" t="str"/>
      <x:c r="L555" s="30" t="str"/>
      <x:c r="M555" s="30" t="str"/>
      <x:c r="N555" s="30" t="str"/>
      <x:c r="O555" s="30" t="str"/>
      <x:c r="P555" s="30" t="str"/>
      <x:c r="Q555" s="31" t="str"/>
      <x:c r="R555" s="31" t="str"/>
      <x:c r="S555" s="30" t="str"/>
      <x:c r="T555" s="30" t="str"/>
      <x:c r="U555" s="30" t="str"/>
      <x:c r="V555" s="40" t="str">
        <x:f>IF(B555="","",COUNTA(H555:L555)/5)</x:f>
      </x:c>
    </x:row>
    <x:row r="556">
      <x:c r="A556" s="30" t="str">
        <x:f>IF(B556="","",B556&amp;"-"&amp;C556)</x:f>
      </x:c>
      <x:c r="B556" s="30" t="str">
        <x:f>'01_命例主档'!A36</x:f>
      </x:c>
      <x:c r="C556" s="30" t="str">
        <x:v>M12</x:v>
      </x:c>
      <x:c r="D556" s="30" t="str">
        <x:v>五行流通卡点</x:v>
      </x:c>
      <x:c r="E556" s="30" t="str">
        <x:v>结构层</x:v>
      </x:c>
      <x:c r="F556" s="30" t="str">
        <x:v>M06/M08/M10/M11</x:v>
      </x:c>
      <x:c r="G556" s="30" t="str">
        <x:v>未开始</x:v>
      </x:c>
      <x:c r="H556" s="30" t="str"/>
      <x:c r="I556" s="30" t="str"/>
      <x:c r="J556" s="30" t="str"/>
      <x:c r="K556" s="30" t="str"/>
      <x:c r="L556" s="30" t="str"/>
      <x:c r="M556" s="30" t="str"/>
      <x:c r="N556" s="30" t="str"/>
      <x:c r="O556" s="30" t="str"/>
      <x:c r="P556" s="30" t="str"/>
      <x:c r="Q556" s="31" t="str"/>
      <x:c r="R556" s="31" t="str"/>
      <x:c r="S556" s="30" t="str"/>
      <x:c r="T556" s="30" t="str"/>
      <x:c r="U556" s="30" t="str"/>
      <x:c r="V556" s="40" t="str">
        <x:f>IF(B556="","",COUNTA(H556:L556)/5)</x:f>
      </x:c>
    </x:row>
    <x:row r="557">
      <x:c r="A557" s="30" t="str">
        <x:f>IF(B557="","",B557&amp;"-"&amp;C557)</x:f>
      </x:c>
      <x:c r="B557" s="30" t="str">
        <x:f>'01_命例主档'!A36</x:f>
      </x:c>
      <x:c r="C557" s="30" t="str">
        <x:v>M13</x:v>
      </x:c>
      <x:c r="D557" s="30" t="str">
        <x:v>寒暖燥湿</x:v>
      </x:c>
      <x:c r="E557" s="30" t="str">
        <x:v>结构层</x:v>
      </x:c>
      <x:c r="F557" s="30" t="str">
        <x:v>M02/M08/M12</x:v>
      </x:c>
      <x:c r="G557" s="30" t="str">
        <x:v>未开始</x:v>
      </x:c>
      <x:c r="H557" s="30" t="str"/>
      <x:c r="I557" s="30" t="str"/>
      <x:c r="J557" s="30" t="str"/>
      <x:c r="K557" s="30" t="str"/>
      <x:c r="L557" s="30" t="str"/>
      <x:c r="M557" s="30" t="str"/>
      <x:c r="N557" s="30" t="str"/>
      <x:c r="O557" s="30" t="str"/>
      <x:c r="P557" s="30" t="str"/>
      <x:c r="Q557" s="31" t="str"/>
      <x:c r="R557" s="31" t="str"/>
      <x:c r="S557" s="30" t="str"/>
      <x:c r="T557" s="30" t="str"/>
      <x:c r="U557" s="30" t="str"/>
      <x:c r="V557" s="40" t="str">
        <x:f>IF(B557="","",COUNTA(H557:L557)/5)</x:f>
      </x:c>
    </x:row>
    <x:row r="558">
      <x:c r="A558" s="30" t="str">
        <x:f>IF(B558="","",B558&amp;"-"&amp;C558)</x:f>
      </x:c>
      <x:c r="B558" s="30" t="str">
        <x:f>'01_命例主档'!A36</x:f>
      </x:c>
      <x:c r="C558" s="30" t="str">
        <x:v>M14</x:v>
      </x:c>
      <x:c r="D558" s="30" t="str">
        <x:v>格局候选判断</x:v>
      </x:c>
      <x:c r="E558" s="30" t="str">
        <x:v>综合层</x:v>
      </x:c>
      <x:c r="F558" s="30" t="str">
        <x:v>M03/M06/M08/M09/M10/M11</x:v>
      </x:c>
      <x:c r="G558" s="30" t="str">
        <x:v>未开始</x:v>
      </x:c>
      <x:c r="H558" s="30" t="str"/>
      <x:c r="I558" s="30" t="str"/>
      <x:c r="J558" s="30" t="str"/>
      <x:c r="K558" s="30" t="str"/>
      <x:c r="L558" s="30" t="str"/>
      <x:c r="M558" s="30" t="str"/>
      <x:c r="N558" s="30" t="str"/>
      <x:c r="O558" s="30" t="str"/>
      <x:c r="P558" s="30" t="str"/>
      <x:c r="Q558" s="31" t="str"/>
      <x:c r="R558" s="31" t="str"/>
      <x:c r="S558" s="30" t="str"/>
      <x:c r="T558" s="30" t="str"/>
      <x:c r="U558" s="30" t="str"/>
      <x:c r="V558" s="40" t="str">
        <x:f>IF(B558="","",COUNTA(H558:L558)/5)</x:f>
      </x:c>
    </x:row>
    <x:row r="559">
      <x:c r="A559" s="30" t="str">
        <x:f>IF(B559="","",B559&amp;"-"&amp;C559)</x:f>
      </x:c>
      <x:c r="B559" s="30" t="str">
        <x:f>'01_命例主档'!A36</x:f>
      </x:c>
      <x:c r="C559" s="30" t="str">
        <x:v>M15</x:v>
      </x:c>
      <x:c r="D559" s="30" t="str">
        <x:v>格局成败救应</x:v>
      </x:c>
      <x:c r="E559" s="30" t="str">
        <x:v>综合层</x:v>
      </x:c>
      <x:c r="F559" s="30" t="str">
        <x:v>M14/M11/M08</x:v>
      </x:c>
      <x:c r="G559" s="30" t="str">
        <x:v>未开始</x:v>
      </x:c>
      <x:c r="H559" s="30" t="str"/>
      <x:c r="I559" s="30" t="str"/>
      <x:c r="J559" s="30" t="str"/>
      <x:c r="K559" s="30" t="str"/>
      <x:c r="L559" s="30" t="str"/>
      <x:c r="M559" s="30" t="str"/>
      <x:c r="N559" s="30" t="str"/>
      <x:c r="O559" s="30" t="str"/>
      <x:c r="P559" s="30" t="str"/>
      <x:c r="Q559" s="31" t="str"/>
      <x:c r="R559" s="31" t="str"/>
      <x:c r="S559" s="30" t="str"/>
      <x:c r="T559" s="30" t="str"/>
      <x:c r="U559" s="30" t="str"/>
      <x:c r="V559" s="40" t="str">
        <x:f>IF(B559="","",COUNTA(H559:L559)/5)</x:f>
      </x:c>
    </x:row>
    <x:row r="560">
      <x:c r="A560" s="30" t="str">
        <x:f>IF(B560="","",B560&amp;"-"&amp;C560)</x:f>
      </x:c>
      <x:c r="B560" s="30" t="str">
        <x:f>'01_命例主档'!A36</x:f>
      </x:c>
      <x:c r="C560" s="30" t="str">
        <x:v>M16</x:v>
      </x:c>
      <x:c r="D560" s="30" t="str">
        <x:v>病药模型</x:v>
      </x:c>
      <x:c r="E560" s="30" t="str">
        <x:v>综合层</x:v>
      </x:c>
      <x:c r="F560" s="30" t="str">
        <x:v>M08-M15</x:v>
      </x:c>
      <x:c r="G560" s="30" t="str">
        <x:v>未开始</x:v>
      </x:c>
      <x:c r="H560" s="30" t="str"/>
      <x:c r="I560" s="30" t="str"/>
      <x:c r="J560" s="30" t="str"/>
      <x:c r="K560" s="30" t="str"/>
      <x:c r="L560" s="30" t="str"/>
      <x:c r="M560" s="30" t="str"/>
      <x:c r="N560" s="30" t="str"/>
      <x:c r="O560" s="30" t="str"/>
      <x:c r="P560" s="30" t="str"/>
      <x:c r="Q560" s="31" t="str"/>
      <x:c r="R560" s="31" t="str"/>
      <x:c r="S560" s="30" t="str"/>
      <x:c r="T560" s="30" t="str"/>
      <x:c r="U560" s="30" t="str"/>
      <x:c r="V560" s="40" t="str">
        <x:f>IF(B560="","",COUNTA(H560:L560)/5)</x:f>
      </x:c>
    </x:row>
    <x:row r="561">
      <x:c r="A561" s="30" t="str">
        <x:f>IF(B561="","",B561&amp;"-"&amp;C561)</x:f>
      </x:c>
      <x:c r="B561" s="30" t="str">
        <x:f>'01_命例主档'!A36</x:f>
      </x:c>
      <x:c r="C561" s="30" t="str">
        <x:v>M17</x:v>
      </x:c>
      <x:c r="D561" s="30" t="str">
        <x:v>喜忌用神矩阵</x:v>
      </x:c>
      <x:c r="E561" s="30" t="str">
        <x:v>综合层</x:v>
      </x:c>
      <x:c r="F561" s="30" t="str">
        <x:v>M09/M12/M13/M15/M16</x:v>
      </x:c>
      <x:c r="G561" s="30" t="str">
        <x:v>未开始</x:v>
      </x:c>
      <x:c r="H561" s="30" t="str"/>
      <x:c r="I561" s="30" t="str"/>
      <x:c r="J561" s="30" t="str"/>
      <x:c r="K561" s="30" t="str"/>
      <x:c r="L561" s="30" t="str"/>
      <x:c r="M561" s="30" t="str"/>
      <x:c r="N561" s="30" t="str"/>
      <x:c r="O561" s="30" t="str"/>
      <x:c r="P561" s="30" t="str"/>
      <x:c r="Q561" s="31" t="str"/>
      <x:c r="R561" s="31" t="str"/>
      <x:c r="S561" s="30" t="str"/>
      <x:c r="T561" s="30" t="str"/>
      <x:c r="U561" s="30" t="str"/>
      <x:c r="V561" s="40" t="str">
        <x:f>IF(B561="","",COUNTA(H561:L561)/5)</x:f>
      </x:c>
    </x:row>
    <x:row r="562">
      <x:c r="A562" s="30" t="str">
        <x:f>IF(B562="","",B562&amp;"-"&amp;C562)</x:f>
      </x:c>
      <x:c r="B562" s="30" t="str">
        <x:f>'01_命例主档'!A36</x:f>
      </x:c>
      <x:c r="C562" s="30" t="str">
        <x:v>M18</x:v>
      </x:c>
      <x:c r="D562" s="30" t="str">
        <x:v>冲突裁决规则</x:v>
      </x:c>
      <x:c r="E562" s="30" t="str">
        <x:v>综合层</x:v>
      </x:c>
      <x:c r="F562" s="30" t="str">
        <x:v>M14/M15/M16/M17</x:v>
      </x:c>
      <x:c r="G562" s="30" t="str">
        <x:v>未开始</x:v>
      </x:c>
      <x:c r="H562" s="30" t="str"/>
      <x:c r="I562" s="30" t="str"/>
      <x:c r="J562" s="30" t="str"/>
      <x:c r="K562" s="30" t="str"/>
      <x:c r="L562" s="30" t="str"/>
      <x:c r="M562" s="30" t="str"/>
      <x:c r="N562" s="30" t="str"/>
      <x:c r="O562" s="30" t="str"/>
      <x:c r="P562" s="30" t="str"/>
      <x:c r="Q562" s="31" t="str"/>
      <x:c r="R562" s="31" t="str"/>
      <x:c r="S562" s="30" t="str"/>
      <x:c r="T562" s="30" t="str"/>
      <x:c r="U562" s="30" t="str"/>
      <x:c r="V562" s="40" t="str">
        <x:f>IF(B562="","",COUNTA(H562:L562)/5)</x:f>
      </x:c>
    </x:row>
    <x:row r="563">
      <x:c r="A563" s="30" t="str">
        <x:f>IF(B563="","",B563&amp;"-"&amp;C563)</x:f>
      </x:c>
      <x:c r="B563" s="30" t="str">
        <x:f>'01_命例主档'!A36</x:f>
      </x:c>
      <x:c r="C563" s="30" t="str">
        <x:v>M19</x:v>
      </x:c>
      <x:c r="D563" s="30" t="str">
        <x:v>综合输出模板</x:v>
      </x:c>
      <x:c r="E563" s="30" t="str">
        <x:v>治理与输出</x:v>
      </x:c>
      <x:c r="F563" s="30" t="str">
        <x:v>M02-M18</x:v>
      </x:c>
      <x:c r="G563" s="30" t="str">
        <x:v>未开始</x:v>
      </x:c>
      <x:c r="H563" s="30" t="str"/>
      <x:c r="I563" s="30" t="str"/>
      <x:c r="J563" s="30" t="str"/>
      <x:c r="K563" s="30" t="str"/>
      <x:c r="L563" s="30" t="str"/>
      <x:c r="M563" s="30" t="str"/>
      <x:c r="N563" s="30" t="str"/>
      <x:c r="O563" s="30" t="str"/>
      <x:c r="P563" s="30" t="str"/>
      <x:c r="Q563" s="31" t="str"/>
      <x:c r="R563" s="31" t="str"/>
      <x:c r="S563" s="30" t="str"/>
      <x:c r="T563" s="30" t="str"/>
      <x:c r="U563" s="30" t="str"/>
      <x:c r="V563" s="40" t="str">
        <x:f>IF(B563="","",COUNTA(H563:L563)/5)</x:f>
      </x:c>
    </x:row>
    <x:row r="564">
      <x:c r="A564" s="30" t="str">
        <x:f>IF(B564="","",B564&amp;"-"&amp;C564)</x:f>
      </x:c>
      <x:c r="B564" s="30" t="str">
        <x:f>'01_命例主档'!A37</x:f>
      </x:c>
      <x:c r="C564" s="30" t="str">
        <x:v>M02</x:v>
      </x:c>
      <x:c r="D564" s="30" t="str">
        <x:v>干支藏干基础</x:v>
      </x:c>
      <x:c r="E564" s="30" t="str">
        <x:v>识别层</x:v>
      </x:c>
      <x:c r="F564" s="30" t="str">
        <x:v>无</x:v>
      </x:c>
      <x:c r="G564" s="30" t="str">
        <x:v>未开始</x:v>
      </x:c>
      <x:c r="H564" s="30" t="str"/>
      <x:c r="I564" s="30" t="str"/>
      <x:c r="J564" s="30" t="str"/>
      <x:c r="K564" s="30" t="str"/>
      <x:c r="L564" s="30" t="str"/>
      <x:c r="M564" s="30" t="str"/>
      <x:c r="N564" s="30" t="str"/>
      <x:c r="O564" s="30" t="str"/>
      <x:c r="P564" s="30" t="str"/>
      <x:c r="Q564" s="31" t="str"/>
      <x:c r="R564" s="31" t="str"/>
      <x:c r="S564" s="30" t="str"/>
      <x:c r="T564" s="30" t="str"/>
      <x:c r="U564" s="30" t="str"/>
      <x:c r="V564" s="40" t="str">
        <x:f>IF(B564="","",COUNTA(H564:L564)/5)</x:f>
      </x:c>
    </x:row>
    <x:row r="565">
      <x:c r="A565" s="30" t="str">
        <x:f>IF(B565="","",B565&amp;"-"&amp;C565)</x:f>
      </x:c>
      <x:c r="B565" s="30" t="str">
        <x:f>'01_命例主档'!A37</x:f>
      </x:c>
      <x:c r="C565" s="30" t="str">
        <x:v>M03</x:v>
      </x:c>
      <x:c r="D565" s="30" t="str">
        <x:v>月令与根气</x:v>
      </x:c>
      <x:c r="E565" s="30" t="str">
        <x:v>结构层</x:v>
      </x:c>
      <x:c r="F565" s="30" t="str">
        <x:v>M02</x:v>
      </x:c>
      <x:c r="G565" s="30" t="str">
        <x:v>未开始</x:v>
      </x:c>
      <x:c r="H565" s="30" t="str"/>
      <x:c r="I565" s="30" t="str"/>
      <x:c r="J565" s="30" t="str"/>
      <x:c r="K565" s="30" t="str"/>
      <x:c r="L565" s="30" t="str"/>
      <x:c r="M565" s="30" t="str"/>
      <x:c r="N565" s="30" t="str"/>
      <x:c r="O565" s="30" t="str"/>
      <x:c r="P565" s="30" t="str"/>
      <x:c r="Q565" s="31" t="str"/>
      <x:c r="R565" s="31" t="str"/>
      <x:c r="S565" s="30" t="str"/>
      <x:c r="T565" s="30" t="str"/>
      <x:c r="U565" s="30" t="str"/>
      <x:c r="V565" s="40" t="str">
        <x:f>IF(B565="","",COUNTA(H565:L565)/5)</x:f>
      </x:c>
    </x:row>
    <x:row r="566">
      <x:c r="A566" s="30" t="str">
        <x:f>IF(B566="","",B566&amp;"-"&amp;C566)</x:f>
      </x:c>
      <x:c r="B566" s="30" t="str">
        <x:f>'01_命例主档'!A37</x:f>
      </x:c>
      <x:c r="C566" s="30" t="str">
        <x:v>M04</x:v>
      </x:c>
      <x:c r="D566" s="30" t="str">
        <x:v>天干作用识别</x:v>
      </x:c>
      <x:c r="E566" s="30" t="str">
        <x:v>识别层</x:v>
      </x:c>
      <x:c r="F566" s="30" t="str">
        <x:v>M02</x:v>
      </x:c>
      <x:c r="G566" s="30" t="str">
        <x:v>未开始</x:v>
      </x:c>
      <x:c r="H566" s="30" t="str"/>
      <x:c r="I566" s="30" t="str"/>
      <x:c r="J566" s="30" t="str"/>
      <x:c r="K566" s="30" t="str"/>
      <x:c r="L566" s="30" t="str"/>
      <x:c r="M566" s="30" t="str"/>
      <x:c r="N566" s="30" t="str"/>
      <x:c r="O566" s="30" t="str"/>
      <x:c r="P566" s="30" t="str"/>
      <x:c r="Q566" s="31" t="str"/>
      <x:c r="R566" s="31" t="str"/>
      <x:c r="S566" s="30" t="str"/>
      <x:c r="T566" s="30" t="str"/>
      <x:c r="U566" s="30" t="str"/>
      <x:c r="V566" s="40" t="str">
        <x:f>IF(B566="","",COUNTA(H566:L566)/5)</x:f>
      </x:c>
    </x:row>
    <x:row r="567">
      <x:c r="A567" s="30" t="str">
        <x:f>IF(B567="","",B567&amp;"-"&amp;C567)</x:f>
      </x:c>
      <x:c r="B567" s="30" t="str">
        <x:f>'01_命例主档'!A37</x:f>
      </x:c>
      <x:c r="C567" s="30" t="str">
        <x:v>M05</x:v>
      </x:c>
      <x:c r="D567" s="30" t="str">
        <x:v>地支关系识别</x:v>
      </x:c>
      <x:c r="E567" s="30" t="str">
        <x:v>识别层</x:v>
      </x:c>
      <x:c r="F567" s="30" t="str">
        <x:v>M02</x:v>
      </x:c>
      <x:c r="G567" s="30" t="str">
        <x:v>未开始</x:v>
      </x:c>
      <x:c r="H567" s="30" t="str"/>
      <x:c r="I567" s="30" t="str"/>
      <x:c r="J567" s="30" t="str"/>
      <x:c r="K567" s="30" t="str"/>
      <x:c r="L567" s="30" t="str"/>
      <x:c r="M567" s="30" t="str"/>
      <x:c r="N567" s="30" t="str"/>
      <x:c r="O567" s="30" t="str"/>
      <x:c r="P567" s="30" t="str"/>
      <x:c r="Q567" s="31" t="str"/>
      <x:c r="R567" s="31" t="str"/>
      <x:c r="S567" s="30" t="str"/>
      <x:c r="T567" s="30" t="str"/>
      <x:c r="U567" s="30" t="str"/>
      <x:c r="V567" s="40" t="str">
        <x:f>IF(B567="","",COUNTA(H567:L567)/5)</x:f>
      </x:c>
    </x:row>
    <x:row r="568">
      <x:c r="A568" s="30" t="str">
        <x:f>IF(B568="","",B568&amp;"-"&amp;C568)</x:f>
      </x:c>
      <x:c r="B568" s="30" t="str">
        <x:f>'01_命例主档'!A37</x:f>
      </x:c>
      <x:c r="C568" s="30" t="str">
        <x:v>M06</x:v>
      </x:c>
      <x:c r="D568" s="30" t="str">
        <x:v>干支关系效应</x:v>
      </x:c>
      <x:c r="E568" s="30" t="str">
        <x:v>效应层</x:v>
      </x:c>
      <x:c r="F568" s="30" t="str">
        <x:v>M03/M04/M05</x:v>
      </x:c>
      <x:c r="G568" s="30" t="str">
        <x:v>未开始</x:v>
      </x:c>
      <x:c r="H568" s="30" t="str"/>
      <x:c r="I568" s="30" t="str"/>
      <x:c r="J568" s="30" t="str"/>
      <x:c r="K568" s="30" t="str"/>
      <x:c r="L568" s="30" t="str"/>
      <x:c r="M568" s="30" t="str"/>
      <x:c r="N568" s="30" t="str"/>
      <x:c r="O568" s="30" t="str"/>
      <x:c r="P568" s="30" t="str"/>
      <x:c r="Q568" s="31" t="str"/>
      <x:c r="R568" s="31" t="str"/>
      <x:c r="S568" s="30" t="str"/>
      <x:c r="T568" s="30" t="str"/>
      <x:c r="U568" s="30" t="str"/>
      <x:c r="V568" s="40" t="str">
        <x:f>IF(B568="","",COUNTA(H568:L568)/5)</x:f>
      </x:c>
    </x:row>
    <x:row r="569">
      <x:c r="A569" s="30" t="str">
        <x:f>IF(B569="","",B569&amp;"-"&amp;C569)</x:f>
      </x:c>
      <x:c r="B569" s="30" t="str">
        <x:f>'01_命例主档'!A37</x:f>
      </x:c>
      <x:c r="C569" s="30" t="str">
        <x:v>M07</x:v>
      </x:c>
      <x:c r="D569" s="30" t="str">
        <x:v>五行原始旺衰</x:v>
      </x:c>
      <x:c r="E569" s="30" t="str">
        <x:v>结构层</x:v>
      </x:c>
      <x:c r="F569" s="30" t="str">
        <x:v>M02/M03</x:v>
      </x:c>
      <x:c r="G569" s="30" t="str">
        <x:v>未开始</x:v>
      </x:c>
      <x:c r="H569" s="30" t="str"/>
      <x:c r="I569" s="30" t="str"/>
      <x:c r="J569" s="30" t="str"/>
      <x:c r="K569" s="30" t="str"/>
      <x:c r="L569" s="30" t="str"/>
      <x:c r="M569" s="30" t="str"/>
      <x:c r="N569" s="30" t="str"/>
      <x:c r="O569" s="30" t="str"/>
      <x:c r="P569" s="30" t="str"/>
      <x:c r="Q569" s="31" t="str"/>
      <x:c r="R569" s="31" t="str"/>
      <x:c r="S569" s="30" t="str"/>
      <x:c r="T569" s="30" t="str"/>
      <x:c r="U569" s="30" t="str"/>
      <x:c r="V569" s="40" t="str">
        <x:f>IF(B569="","",COUNTA(H569:L569)/5)</x:f>
      </x:c>
    </x:row>
    <x:row r="570">
      <x:c r="A570" s="30" t="str">
        <x:f>IF(B570="","",B570&amp;"-"&amp;C570)</x:f>
      </x:c>
      <x:c r="B570" s="30" t="str">
        <x:f>'01_命例主档'!A37</x:f>
      </x:c>
      <x:c r="C570" s="30" t="str">
        <x:v>M08</x:v>
      </x:c>
      <x:c r="D570" s="30" t="str">
        <x:v>五行有效旺衰</x:v>
      </x:c>
      <x:c r="E570" s="30" t="str">
        <x:v>结构层</x:v>
      </x:c>
      <x:c r="F570" s="30" t="str">
        <x:v>M06/M07</x:v>
      </x:c>
      <x:c r="G570" s="30" t="str">
        <x:v>未开始</x:v>
      </x:c>
      <x:c r="H570" s="30" t="str"/>
      <x:c r="I570" s="30" t="str"/>
      <x:c r="J570" s="30" t="str"/>
      <x:c r="K570" s="30" t="str"/>
      <x:c r="L570" s="30" t="str"/>
      <x:c r="M570" s="30" t="str"/>
      <x:c r="N570" s="30" t="str"/>
      <x:c r="O570" s="30" t="str"/>
      <x:c r="P570" s="30" t="str"/>
      <x:c r="Q570" s="31" t="str"/>
      <x:c r="R570" s="31" t="str"/>
      <x:c r="S570" s="30" t="str"/>
      <x:c r="T570" s="30" t="str"/>
      <x:c r="U570" s="30" t="str"/>
      <x:c r="V570" s="40" t="str">
        <x:f>IF(B570="","",COUNTA(H570:L570)/5)</x:f>
      </x:c>
    </x:row>
    <x:row r="571">
      <x:c r="A571" s="30" t="str">
        <x:f>IF(B571="","",B571&amp;"-"&amp;C571)</x:f>
      </x:c>
      <x:c r="B571" s="30" t="str">
        <x:f>'01_命例主档'!A37</x:f>
      </x:c>
      <x:c r="C571" s="30" t="str">
        <x:v>M09</x:v>
      </x:c>
      <x:c r="D571" s="30" t="str">
        <x:v>日主旺衰</x:v>
      </x:c>
      <x:c r="E571" s="30" t="str">
        <x:v>综合层</x:v>
      </x:c>
      <x:c r="F571" s="30" t="str">
        <x:v>M03/M07/M08</x:v>
      </x:c>
      <x:c r="G571" s="30" t="str">
        <x:v>未开始</x:v>
      </x:c>
      <x:c r="H571" s="30" t="str"/>
      <x:c r="I571" s="30" t="str"/>
      <x:c r="J571" s="30" t="str"/>
      <x:c r="K571" s="30" t="str"/>
      <x:c r="L571" s="30" t="str"/>
      <x:c r="M571" s="30" t="str"/>
      <x:c r="N571" s="30" t="str"/>
      <x:c r="O571" s="30" t="str"/>
      <x:c r="P571" s="30" t="str"/>
      <x:c r="Q571" s="31" t="str"/>
      <x:c r="R571" s="31" t="str"/>
      <x:c r="S571" s="30" t="str"/>
      <x:c r="T571" s="30" t="str"/>
      <x:c r="U571" s="30" t="str"/>
      <x:c r="V571" s="40" t="str">
        <x:f>IF(B571="","",COUNTA(H571:L571)/5)</x:f>
      </x:c>
    </x:row>
    <x:row r="572">
      <x:c r="A572" s="30" t="str">
        <x:f>IF(B572="","",B572&amp;"-"&amp;C572)</x:f>
      </x:c>
      <x:c r="B572" s="30" t="str">
        <x:f>'01_命例主档'!A37</x:f>
      </x:c>
      <x:c r="C572" s="30" t="str">
        <x:v>M10</x:v>
      </x:c>
      <x:c r="D572" s="30" t="str">
        <x:v>十神旺衰功能</x:v>
      </x:c>
      <x:c r="E572" s="30" t="str">
        <x:v>结构层</x:v>
      </x:c>
      <x:c r="F572" s="30" t="str">
        <x:v>M02/M08/M09</x:v>
      </x:c>
      <x:c r="G572" s="30" t="str">
        <x:v>未开始</x:v>
      </x:c>
      <x:c r="H572" s="30" t="str"/>
      <x:c r="I572" s="30" t="str"/>
      <x:c r="J572" s="30" t="str"/>
      <x:c r="K572" s="30" t="str"/>
      <x:c r="L572" s="30" t="str"/>
      <x:c r="M572" s="30" t="str"/>
      <x:c r="N572" s="30" t="str"/>
      <x:c r="O572" s="30" t="str"/>
      <x:c r="P572" s="30" t="str"/>
      <x:c r="Q572" s="31" t="str"/>
      <x:c r="R572" s="31" t="str"/>
      <x:c r="S572" s="30" t="str"/>
      <x:c r="T572" s="30" t="str"/>
      <x:c r="U572" s="30" t="str"/>
      <x:c r="V572" s="40" t="str">
        <x:f>IF(B572="","",COUNTA(H572:L572)/5)</x:f>
      </x:c>
    </x:row>
    <x:row r="573">
      <x:c r="A573" s="30" t="str">
        <x:f>IF(B573="","",B573&amp;"-"&amp;C573)</x:f>
      </x:c>
      <x:c r="B573" s="30" t="str">
        <x:f>'01_命例主档'!A37</x:f>
      </x:c>
      <x:c r="C573" s="30" t="str">
        <x:v>M11</x:v>
      </x:c>
      <x:c r="D573" s="30" t="str">
        <x:v>十神组合成立</x:v>
      </x:c>
      <x:c r="E573" s="30" t="str">
        <x:v>结构层</x:v>
      </x:c>
      <x:c r="F573" s="30" t="str">
        <x:v>M08/M09/M10</x:v>
      </x:c>
      <x:c r="G573" s="30" t="str">
        <x:v>未开始</x:v>
      </x:c>
      <x:c r="H573" s="30" t="str"/>
      <x:c r="I573" s="30" t="str"/>
      <x:c r="J573" s="30" t="str"/>
      <x:c r="K573" s="30" t="str"/>
      <x:c r="L573" s="30" t="str"/>
      <x:c r="M573" s="30" t="str"/>
      <x:c r="N573" s="30" t="str"/>
      <x:c r="O573" s="30" t="str"/>
      <x:c r="P573" s="30" t="str"/>
      <x:c r="Q573" s="31" t="str"/>
      <x:c r="R573" s="31" t="str"/>
      <x:c r="S573" s="30" t="str"/>
      <x:c r="T573" s="30" t="str"/>
      <x:c r="U573" s="30" t="str"/>
      <x:c r="V573" s="40" t="str">
        <x:f>IF(B573="","",COUNTA(H573:L573)/5)</x:f>
      </x:c>
    </x:row>
    <x:row r="574">
      <x:c r="A574" s="30" t="str">
        <x:f>IF(B574="","",B574&amp;"-"&amp;C574)</x:f>
      </x:c>
      <x:c r="B574" s="30" t="str">
        <x:f>'01_命例主档'!A37</x:f>
      </x:c>
      <x:c r="C574" s="30" t="str">
        <x:v>M12</x:v>
      </x:c>
      <x:c r="D574" s="30" t="str">
        <x:v>五行流通卡点</x:v>
      </x:c>
      <x:c r="E574" s="30" t="str">
        <x:v>结构层</x:v>
      </x:c>
      <x:c r="F574" s="30" t="str">
        <x:v>M06/M08/M10/M11</x:v>
      </x:c>
      <x:c r="G574" s="30" t="str">
        <x:v>未开始</x:v>
      </x:c>
      <x:c r="H574" s="30" t="str"/>
      <x:c r="I574" s="30" t="str"/>
      <x:c r="J574" s="30" t="str"/>
      <x:c r="K574" s="30" t="str"/>
      <x:c r="L574" s="30" t="str"/>
      <x:c r="M574" s="30" t="str"/>
      <x:c r="N574" s="30" t="str"/>
      <x:c r="O574" s="30" t="str"/>
      <x:c r="P574" s="30" t="str"/>
      <x:c r="Q574" s="31" t="str"/>
      <x:c r="R574" s="31" t="str"/>
      <x:c r="S574" s="30" t="str"/>
      <x:c r="T574" s="30" t="str"/>
      <x:c r="U574" s="30" t="str"/>
      <x:c r="V574" s="40" t="str">
        <x:f>IF(B574="","",COUNTA(H574:L574)/5)</x:f>
      </x:c>
    </x:row>
    <x:row r="575">
      <x:c r="A575" s="30" t="str">
        <x:f>IF(B575="","",B575&amp;"-"&amp;C575)</x:f>
      </x:c>
      <x:c r="B575" s="30" t="str">
        <x:f>'01_命例主档'!A37</x:f>
      </x:c>
      <x:c r="C575" s="30" t="str">
        <x:v>M13</x:v>
      </x:c>
      <x:c r="D575" s="30" t="str">
        <x:v>寒暖燥湿</x:v>
      </x:c>
      <x:c r="E575" s="30" t="str">
        <x:v>结构层</x:v>
      </x:c>
      <x:c r="F575" s="30" t="str">
        <x:v>M02/M08/M12</x:v>
      </x:c>
      <x:c r="G575" s="30" t="str">
        <x:v>未开始</x:v>
      </x:c>
      <x:c r="H575" s="30" t="str"/>
      <x:c r="I575" s="30" t="str"/>
      <x:c r="J575" s="30" t="str"/>
      <x:c r="K575" s="30" t="str"/>
      <x:c r="L575" s="30" t="str"/>
      <x:c r="M575" s="30" t="str"/>
      <x:c r="N575" s="30" t="str"/>
      <x:c r="O575" s="30" t="str"/>
      <x:c r="P575" s="30" t="str"/>
      <x:c r="Q575" s="31" t="str"/>
      <x:c r="R575" s="31" t="str"/>
      <x:c r="S575" s="30" t="str"/>
      <x:c r="T575" s="30" t="str"/>
      <x:c r="U575" s="30" t="str"/>
      <x:c r="V575" s="40" t="str">
        <x:f>IF(B575="","",COUNTA(H575:L575)/5)</x:f>
      </x:c>
    </x:row>
    <x:row r="576">
      <x:c r="A576" s="30" t="str">
        <x:f>IF(B576="","",B576&amp;"-"&amp;C576)</x:f>
      </x:c>
      <x:c r="B576" s="30" t="str">
        <x:f>'01_命例主档'!A37</x:f>
      </x:c>
      <x:c r="C576" s="30" t="str">
        <x:v>M14</x:v>
      </x:c>
      <x:c r="D576" s="30" t="str">
        <x:v>格局候选判断</x:v>
      </x:c>
      <x:c r="E576" s="30" t="str">
        <x:v>综合层</x:v>
      </x:c>
      <x:c r="F576" s="30" t="str">
        <x:v>M03/M06/M08/M09/M10/M11</x:v>
      </x:c>
      <x:c r="G576" s="30" t="str">
        <x:v>未开始</x:v>
      </x:c>
      <x:c r="H576" s="30" t="str"/>
      <x:c r="I576" s="30" t="str"/>
      <x:c r="J576" s="30" t="str"/>
      <x:c r="K576" s="30" t="str"/>
      <x:c r="L576" s="30" t="str"/>
      <x:c r="M576" s="30" t="str"/>
      <x:c r="N576" s="30" t="str"/>
      <x:c r="O576" s="30" t="str"/>
      <x:c r="P576" s="30" t="str"/>
      <x:c r="Q576" s="31" t="str"/>
      <x:c r="R576" s="31" t="str"/>
      <x:c r="S576" s="30" t="str"/>
      <x:c r="T576" s="30" t="str"/>
      <x:c r="U576" s="30" t="str"/>
      <x:c r="V576" s="40" t="str">
        <x:f>IF(B576="","",COUNTA(H576:L576)/5)</x:f>
      </x:c>
    </x:row>
    <x:row r="577">
      <x:c r="A577" s="30" t="str">
        <x:f>IF(B577="","",B577&amp;"-"&amp;C577)</x:f>
      </x:c>
      <x:c r="B577" s="30" t="str">
        <x:f>'01_命例主档'!A37</x:f>
      </x:c>
      <x:c r="C577" s="30" t="str">
        <x:v>M15</x:v>
      </x:c>
      <x:c r="D577" s="30" t="str">
        <x:v>格局成败救应</x:v>
      </x:c>
      <x:c r="E577" s="30" t="str">
        <x:v>综合层</x:v>
      </x:c>
      <x:c r="F577" s="30" t="str">
        <x:v>M14/M11/M08</x:v>
      </x:c>
      <x:c r="G577" s="30" t="str">
        <x:v>未开始</x:v>
      </x:c>
      <x:c r="H577" s="30" t="str"/>
      <x:c r="I577" s="30" t="str"/>
      <x:c r="J577" s="30" t="str"/>
      <x:c r="K577" s="30" t="str"/>
      <x:c r="L577" s="30" t="str"/>
      <x:c r="M577" s="30" t="str"/>
      <x:c r="N577" s="30" t="str"/>
      <x:c r="O577" s="30" t="str"/>
      <x:c r="P577" s="30" t="str"/>
      <x:c r="Q577" s="31" t="str"/>
      <x:c r="R577" s="31" t="str"/>
      <x:c r="S577" s="30" t="str"/>
      <x:c r="T577" s="30" t="str"/>
      <x:c r="U577" s="30" t="str"/>
      <x:c r="V577" s="40" t="str">
        <x:f>IF(B577="","",COUNTA(H577:L577)/5)</x:f>
      </x:c>
    </x:row>
    <x:row r="578">
      <x:c r="A578" s="30" t="str">
        <x:f>IF(B578="","",B578&amp;"-"&amp;C578)</x:f>
      </x:c>
      <x:c r="B578" s="30" t="str">
        <x:f>'01_命例主档'!A37</x:f>
      </x:c>
      <x:c r="C578" s="30" t="str">
        <x:v>M16</x:v>
      </x:c>
      <x:c r="D578" s="30" t="str">
        <x:v>病药模型</x:v>
      </x:c>
      <x:c r="E578" s="30" t="str">
        <x:v>综合层</x:v>
      </x:c>
      <x:c r="F578" s="30" t="str">
        <x:v>M08-M15</x:v>
      </x:c>
      <x:c r="G578" s="30" t="str">
        <x:v>未开始</x:v>
      </x:c>
      <x:c r="H578" s="30" t="str"/>
      <x:c r="I578" s="30" t="str"/>
      <x:c r="J578" s="30" t="str"/>
      <x:c r="K578" s="30" t="str"/>
      <x:c r="L578" s="30" t="str"/>
      <x:c r="M578" s="30" t="str"/>
      <x:c r="N578" s="30" t="str"/>
      <x:c r="O578" s="30" t="str"/>
      <x:c r="P578" s="30" t="str"/>
      <x:c r="Q578" s="31" t="str"/>
      <x:c r="R578" s="31" t="str"/>
      <x:c r="S578" s="30" t="str"/>
      <x:c r="T578" s="30" t="str"/>
      <x:c r="U578" s="30" t="str"/>
      <x:c r="V578" s="40" t="str">
        <x:f>IF(B578="","",COUNTA(H578:L578)/5)</x:f>
      </x:c>
    </x:row>
    <x:row r="579">
      <x:c r="A579" s="30" t="str">
        <x:f>IF(B579="","",B579&amp;"-"&amp;C579)</x:f>
      </x:c>
      <x:c r="B579" s="30" t="str">
        <x:f>'01_命例主档'!A37</x:f>
      </x:c>
      <x:c r="C579" s="30" t="str">
        <x:v>M17</x:v>
      </x:c>
      <x:c r="D579" s="30" t="str">
        <x:v>喜忌用神矩阵</x:v>
      </x:c>
      <x:c r="E579" s="30" t="str">
        <x:v>综合层</x:v>
      </x:c>
      <x:c r="F579" s="30" t="str">
        <x:v>M09/M12/M13/M15/M16</x:v>
      </x:c>
      <x:c r="G579" s="30" t="str">
        <x:v>未开始</x:v>
      </x:c>
      <x:c r="H579" s="30" t="str"/>
      <x:c r="I579" s="30" t="str"/>
      <x:c r="J579" s="30" t="str"/>
      <x:c r="K579" s="30" t="str"/>
      <x:c r="L579" s="30" t="str"/>
      <x:c r="M579" s="30" t="str"/>
      <x:c r="N579" s="30" t="str"/>
      <x:c r="O579" s="30" t="str"/>
      <x:c r="P579" s="30" t="str"/>
      <x:c r="Q579" s="31" t="str"/>
      <x:c r="R579" s="31" t="str"/>
      <x:c r="S579" s="30" t="str"/>
      <x:c r="T579" s="30" t="str"/>
      <x:c r="U579" s="30" t="str"/>
      <x:c r="V579" s="40" t="str">
        <x:f>IF(B579="","",COUNTA(H579:L579)/5)</x:f>
      </x:c>
    </x:row>
    <x:row r="580">
      <x:c r="A580" s="30" t="str">
        <x:f>IF(B580="","",B580&amp;"-"&amp;C580)</x:f>
      </x:c>
      <x:c r="B580" s="30" t="str">
        <x:f>'01_命例主档'!A37</x:f>
      </x:c>
      <x:c r="C580" s="30" t="str">
        <x:v>M18</x:v>
      </x:c>
      <x:c r="D580" s="30" t="str">
        <x:v>冲突裁决规则</x:v>
      </x:c>
      <x:c r="E580" s="30" t="str">
        <x:v>综合层</x:v>
      </x:c>
      <x:c r="F580" s="30" t="str">
        <x:v>M14/M15/M16/M17</x:v>
      </x:c>
      <x:c r="G580" s="30" t="str">
        <x:v>未开始</x:v>
      </x:c>
      <x:c r="H580" s="30" t="str"/>
      <x:c r="I580" s="30" t="str"/>
      <x:c r="J580" s="30" t="str"/>
      <x:c r="K580" s="30" t="str"/>
      <x:c r="L580" s="30" t="str"/>
      <x:c r="M580" s="30" t="str"/>
      <x:c r="N580" s="30" t="str"/>
      <x:c r="O580" s="30" t="str"/>
      <x:c r="P580" s="30" t="str"/>
      <x:c r="Q580" s="31" t="str"/>
      <x:c r="R580" s="31" t="str"/>
      <x:c r="S580" s="30" t="str"/>
      <x:c r="T580" s="30" t="str"/>
      <x:c r="U580" s="30" t="str"/>
      <x:c r="V580" s="40" t="str">
        <x:f>IF(B580="","",COUNTA(H580:L580)/5)</x:f>
      </x:c>
    </x:row>
    <x:row r="581">
      <x:c r="A581" s="30" t="str">
        <x:f>IF(B581="","",B581&amp;"-"&amp;C581)</x:f>
      </x:c>
      <x:c r="B581" s="30" t="str">
        <x:f>'01_命例主档'!A37</x:f>
      </x:c>
      <x:c r="C581" s="30" t="str">
        <x:v>M19</x:v>
      </x:c>
      <x:c r="D581" s="30" t="str">
        <x:v>综合输出模板</x:v>
      </x:c>
      <x:c r="E581" s="30" t="str">
        <x:v>治理与输出</x:v>
      </x:c>
      <x:c r="F581" s="30" t="str">
        <x:v>M02-M18</x:v>
      </x:c>
      <x:c r="G581" s="30" t="str">
        <x:v>未开始</x:v>
      </x:c>
      <x:c r="H581" s="30" t="str"/>
      <x:c r="I581" s="30" t="str"/>
      <x:c r="J581" s="30" t="str"/>
      <x:c r="K581" s="30" t="str"/>
      <x:c r="L581" s="30" t="str"/>
      <x:c r="M581" s="30" t="str"/>
      <x:c r="N581" s="30" t="str"/>
      <x:c r="O581" s="30" t="str"/>
      <x:c r="P581" s="30" t="str"/>
      <x:c r="Q581" s="31" t="str"/>
      <x:c r="R581" s="31" t="str"/>
      <x:c r="S581" s="30" t="str"/>
      <x:c r="T581" s="30" t="str"/>
      <x:c r="U581" s="30" t="str"/>
      <x:c r="V581" s="40" t="str">
        <x:f>IF(B581="","",COUNTA(H581:L581)/5)</x:f>
      </x:c>
    </x:row>
    <x:row r="582">
      <x:c r="A582" s="30" t="str">
        <x:f>IF(B582="","",B582&amp;"-"&amp;C582)</x:f>
      </x:c>
      <x:c r="B582" s="30" t="str">
        <x:f>'01_命例主档'!A38</x:f>
      </x:c>
      <x:c r="C582" s="30" t="str">
        <x:v>M02</x:v>
      </x:c>
      <x:c r="D582" s="30" t="str">
        <x:v>干支藏干基础</x:v>
      </x:c>
      <x:c r="E582" s="30" t="str">
        <x:v>识别层</x:v>
      </x:c>
      <x:c r="F582" s="30" t="str">
        <x:v>无</x:v>
      </x:c>
      <x:c r="G582" s="30" t="str">
        <x:v>未开始</x:v>
      </x:c>
      <x:c r="H582" s="30" t="str"/>
      <x:c r="I582" s="30" t="str"/>
      <x:c r="J582" s="30" t="str"/>
      <x:c r="K582" s="30" t="str"/>
      <x:c r="L582" s="30" t="str"/>
      <x:c r="M582" s="30" t="str"/>
      <x:c r="N582" s="30" t="str"/>
      <x:c r="O582" s="30" t="str"/>
      <x:c r="P582" s="30" t="str"/>
      <x:c r="Q582" s="31" t="str"/>
      <x:c r="R582" s="31" t="str"/>
      <x:c r="S582" s="30" t="str"/>
      <x:c r="T582" s="30" t="str"/>
      <x:c r="U582" s="30" t="str"/>
      <x:c r="V582" s="40" t="str">
        <x:f>IF(B582="","",COUNTA(H582:L582)/5)</x:f>
      </x:c>
    </x:row>
    <x:row r="583">
      <x:c r="A583" s="30" t="str">
        <x:f>IF(B583="","",B583&amp;"-"&amp;C583)</x:f>
      </x:c>
      <x:c r="B583" s="30" t="str">
        <x:f>'01_命例主档'!A38</x:f>
      </x:c>
      <x:c r="C583" s="30" t="str">
        <x:v>M03</x:v>
      </x:c>
      <x:c r="D583" s="30" t="str">
        <x:v>月令与根气</x:v>
      </x:c>
      <x:c r="E583" s="30" t="str">
        <x:v>结构层</x:v>
      </x:c>
      <x:c r="F583" s="30" t="str">
        <x:v>M02</x:v>
      </x:c>
      <x:c r="G583" s="30" t="str">
        <x:v>未开始</x:v>
      </x:c>
      <x:c r="H583" s="30" t="str"/>
      <x:c r="I583" s="30" t="str"/>
      <x:c r="J583" s="30" t="str"/>
      <x:c r="K583" s="30" t="str"/>
      <x:c r="L583" s="30" t="str"/>
      <x:c r="M583" s="30" t="str"/>
      <x:c r="N583" s="30" t="str"/>
      <x:c r="O583" s="30" t="str"/>
      <x:c r="P583" s="30" t="str"/>
      <x:c r="Q583" s="31" t="str"/>
      <x:c r="R583" s="31" t="str"/>
      <x:c r="S583" s="30" t="str"/>
      <x:c r="T583" s="30" t="str"/>
      <x:c r="U583" s="30" t="str"/>
      <x:c r="V583" s="40" t="str">
        <x:f>IF(B583="","",COUNTA(H583:L583)/5)</x:f>
      </x:c>
    </x:row>
    <x:row r="584">
      <x:c r="A584" s="30" t="str">
        <x:f>IF(B584="","",B584&amp;"-"&amp;C584)</x:f>
      </x:c>
      <x:c r="B584" s="30" t="str">
        <x:f>'01_命例主档'!A38</x:f>
      </x:c>
      <x:c r="C584" s="30" t="str">
        <x:v>M04</x:v>
      </x:c>
      <x:c r="D584" s="30" t="str">
        <x:v>天干作用识别</x:v>
      </x:c>
      <x:c r="E584" s="30" t="str">
        <x:v>识别层</x:v>
      </x:c>
      <x:c r="F584" s="30" t="str">
        <x:v>M02</x:v>
      </x:c>
      <x:c r="G584" s="30" t="str">
        <x:v>未开始</x:v>
      </x:c>
      <x:c r="H584" s="30" t="str"/>
      <x:c r="I584" s="30" t="str"/>
      <x:c r="J584" s="30" t="str"/>
      <x:c r="K584" s="30" t="str"/>
      <x:c r="L584" s="30" t="str"/>
      <x:c r="M584" s="30" t="str"/>
      <x:c r="N584" s="30" t="str"/>
      <x:c r="O584" s="30" t="str"/>
      <x:c r="P584" s="30" t="str"/>
      <x:c r="Q584" s="31" t="str"/>
      <x:c r="R584" s="31" t="str"/>
      <x:c r="S584" s="30" t="str"/>
      <x:c r="T584" s="30" t="str"/>
      <x:c r="U584" s="30" t="str"/>
      <x:c r="V584" s="40" t="str">
        <x:f>IF(B584="","",COUNTA(H584:L584)/5)</x:f>
      </x:c>
    </x:row>
    <x:row r="585">
      <x:c r="A585" s="30" t="str">
        <x:f>IF(B585="","",B585&amp;"-"&amp;C585)</x:f>
      </x:c>
      <x:c r="B585" s="30" t="str">
        <x:f>'01_命例主档'!A38</x:f>
      </x:c>
      <x:c r="C585" s="30" t="str">
        <x:v>M05</x:v>
      </x:c>
      <x:c r="D585" s="30" t="str">
        <x:v>地支关系识别</x:v>
      </x:c>
      <x:c r="E585" s="30" t="str">
        <x:v>识别层</x:v>
      </x:c>
      <x:c r="F585" s="30" t="str">
        <x:v>M02</x:v>
      </x:c>
      <x:c r="G585" s="30" t="str">
        <x:v>未开始</x:v>
      </x:c>
      <x:c r="H585" s="30" t="str"/>
      <x:c r="I585" s="30" t="str"/>
      <x:c r="J585" s="30" t="str"/>
      <x:c r="K585" s="30" t="str"/>
      <x:c r="L585" s="30" t="str"/>
      <x:c r="M585" s="30" t="str"/>
      <x:c r="N585" s="30" t="str"/>
      <x:c r="O585" s="30" t="str"/>
      <x:c r="P585" s="30" t="str"/>
      <x:c r="Q585" s="31" t="str"/>
      <x:c r="R585" s="31" t="str"/>
      <x:c r="S585" s="30" t="str"/>
      <x:c r="T585" s="30" t="str"/>
      <x:c r="U585" s="30" t="str"/>
      <x:c r="V585" s="40" t="str">
        <x:f>IF(B585="","",COUNTA(H585:L585)/5)</x:f>
      </x:c>
    </x:row>
    <x:row r="586">
      <x:c r="A586" s="30" t="str">
        <x:f>IF(B586="","",B586&amp;"-"&amp;C586)</x:f>
      </x:c>
      <x:c r="B586" s="30" t="str">
        <x:f>'01_命例主档'!A38</x:f>
      </x:c>
      <x:c r="C586" s="30" t="str">
        <x:v>M06</x:v>
      </x:c>
      <x:c r="D586" s="30" t="str">
        <x:v>干支关系效应</x:v>
      </x:c>
      <x:c r="E586" s="30" t="str">
        <x:v>效应层</x:v>
      </x:c>
      <x:c r="F586" s="30" t="str">
        <x:v>M03/M04/M05</x:v>
      </x:c>
      <x:c r="G586" s="30" t="str">
        <x:v>未开始</x:v>
      </x:c>
      <x:c r="H586" s="30" t="str"/>
      <x:c r="I586" s="30" t="str"/>
      <x:c r="J586" s="30" t="str"/>
      <x:c r="K586" s="30" t="str"/>
      <x:c r="L586" s="30" t="str"/>
      <x:c r="M586" s="30" t="str"/>
      <x:c r="N586" s="30" t="str"/>
      <x:c r="O586" s="30" t="str"/>
      <x:c r="P586" s="30" t="str"/>
      <x:c r="Q586" s="31" t="str"/>
      <x:c r="R586" s="31" t="str"/>
      <x:c r="S586" s="30" t="str"/>
      <x:c r="T586" s="30" t="str"/>
      <x:c r="U586" s="30" t="str"/>
      <x:c r="V586" s="40" t="str">
        <x:f>IF(B586="","",COUNTA(H586:L586)/5)</x:f>
      </x:c>
    </x:row>
    <x:row r="587">
      <x:c r="A587" s="30" t="str">
        <x:f>IF(B587="","",B587&amp;"-"&amp;C587)</x:f>
      </x:c>
      <x:c r="B587" s="30" t="str">
        <x:f>'01_命例主档'!A38</x:f>
      </x:c>
      <x:c r="C587" s="30" t="str">
        <x:v>M07</x:v>
      </x:c>
      <x:c r="D587" s="30" t="str">
        <x:v>五行原始旺衰</x:v>
      </x:c>
      <x:c r="E587" s="30" t="str">
        <x:v>结构层</x:v>
      </x:c>
      <x:c r="F587" s="30" t="str">
        <x:v>M02/M03</x:v>
      </x:c>
      <x:c r="G587" s="30" t="str">
        <x:v>未开始</x:v>
      </x:c>
      <x:c r="H587" s="30" t="str"/>
      <x:c r="I587" s="30" t="str"/>
      <x:c r="J587" s="30" t="str"/>
      <x:c r="K587" s="30" t="str"/>
      <x:c r="L587" s="30" t="str"/>
      <x:c r="M587" s="30" t="str"/>
      <x:c r="N587" s="30" t="str"/>
      <x:c r="O587" s="30" t="str"/>
      <x:c r="P587" s="30" t="str"/>
      <x:c r="Q587" s="31" t="str"/>
      <x:c r="R587" s="31" t="str"/>
      <x:c r="S587" s="30" t="str"/>
      <x:c r="T587" s="30" t="str"/>
      <x:c r="U587" s="30" t="str"/>
      <x:c r="V587" s="40" t="str">
        <x:f>IF(B587="","",COUNTA(H587:L587)/5)</x:f>
      </x:c>
    </x:row>
    <x:row r="588">
      <x:c r="A588" s="30" t="str">
        <x:f>IF(B588="","",B588&amp;"-"&amp;C588)</x:f>
      </x:c>
      <x:c r="B588" s="30" t="str">
        <x:f>'01_命例主档'!A38</x:f>
      </x:c>
      <x:c r="C588" s="30" t="str">
        <x:v>M08</x:v>
      </x:c>
      <x:c r="D588" s="30" t="str">
        <x:v>五行有效旺衰</x:v>
      </x:c>
      <x:c r="E588" s="30" t="str">
        <x:v>结构层</x:v>
      </x:c>
      <x:c r="F588" s="30" t="str">
        <x:v>M06/M07</x:v>
      </x:c>
      <x:c r="G588" s="30" t="str">
        <x:v>未开始</x:v>
      </x:c>
      <x:c r="H588" s="30" t="str"/>
      <x:c r="I588" s="30" t="str"/>
      <x:c r="J588" s="30" t="str"/>
      <x:c r="K588" s="30" t="str"/>
      <x:c r="L588" s="30" t="str"/>
      <x:c r="M588" s="30" t="str"/>
      <x:c r="N588" s="30" t="str"/>
      <x:c r="O588" s="30" t="str"/>
      <x:c r="P588" s="30" t="str"/>
      <x:c r="Q588" s="31" t="str"/>
      <x:c r="R588" s="31" t="str"/>
      <x:c r="S588" s="30" t="str"/>
      <x:c r="T588" s="30" t="str"/>
      <x:c r="U588" s="30" t="str"/>
      <x:c r="V588" s="40" t="str">
        <x:f>IF(B588="","",COUNTA(H588:L588)/5)</x:f>
      </x:c>
    </x:row>
    <x:row r="589">
      <x:c r="A589" s="30" t="str">
        <x:f>IF(B589="","",B589&amp;"-"&amp;C589)</x:f>
      </x:c>
      <x:c r="B589" s="30" t="str">
        <x:f>'01_命例主档'!A38</x:f>
      </x:c>
      <x:c r="C589" s="30" t="str">
        <x:v>M09</x:v>
      </x:c>
      <x:c r="D589" s="30" t="str">
        <x:v>日主旺衰</x:v>
      </x:c>
      <x:c r="E589" s="30" t="str">
        <x:v>综合层</x:v>
      </x:c>
      <x:c r="F589" s="30" t="str">
        <x:v>M03/M07/M08</x:v>
      </x:c>
      <x:c r="G589" s="30" t="str">
        <x:v>未开始</x:v>
      </x:c>
      <x:c r="H589" s="30" t="str"/>
      <x:c r="I589" s="30" t="str"/>
      <x:c r="J589" s="30" t="str"/>
      <x:c r="K589" s="30" t="str"/>
      <x:c r="L589" s="30" t="str"/>
      <x:c r="M589" s="30" t="str"/>
      <x:c r="N589" s="30" t="str"/>
      <x:c r="O589" s="30" t="str"/>
      <x:c r="P589" s="30" t="str"/>
      <x:c r="Q589" s="31" t="str"/>
      <x:c r="R589" s="31" t="str"/>
      <x:c r="S589" s="30" t="str"/>
      <x:c r="T589" s="30" t="str"/>
      <x:c r="U589" s="30" t="str"/>
      <x:c r="V589" s="40" t="str">
        <x:f>IF(B589="","",COUNTA(H589:L589)/5)</x:f>
      </x:c>
    </x:row>
    <x:row r="590">
      <x:c r="A590" s="30" t="str">
        <x:f>IF(B590="","",B590&amp;"-"&amp;C590)</x:f>
      </x:c>
      <x:c r="B590" s="30" t="str">
        <x:f>'01_命例主档'!A38</x:f>
      </x:c>
      <x:c r="C590" s="30" t="str">
        <x:v>M10</x:v>
      </x:c>
      <x:c r="D590" s="30" t="str">
        <x:v>十神旺衰功能</x:v>
      </x:c>
      <x:c r="E590" s="30" t="str">
        <x:v>结构层</x:v>
      </x:c>
      <x:c r="F590" s="30" t="str">
        <x:v>M02/M08/M09</x:v>
      </x:c>
      <x:c r="G590" s="30" t="str">
        <x:v>未开始</x:v>
      </x:c>
      <x:c r="H590" s="30" t="str"/>
      <x:c r="I590" s="30" t="str"/>
      <x:c r="J590" s="30" t="str"/>
      <x:c r="K590" s="30" t="str"/>
      <x:c r="L590" s="30" t="str"/>
      <x:c r="M590" s="30" t="str"/>
      <x:c r="N590" s="30" t="str"/>
      <x:c r="O590" s="30" t="str"/>
      <x:c r="P590" s="30" t="str"/>
      <x:c r="Q590" s="31" t="str"/>
      <x:c r="R590" s="31" t="str"/>
      <x:c r="S590" s="30" t="str"/>
      <x:c r="T590" s="30" t="str"/>
      <x:c r="U590" s="30" t="str"/>
      <x:c r="V590" s="40" t="str">
        <x:f>IF(B590="","",COUNTA(H590:L590)/5)</x:f>
      </x:c>
    </x:row>
    <x:row r="591">
      <x:c r="A591" s="30" t="str">
        <x:f>IF(B591="","",B591&amp;"-"&amp;C591)</x:f>
      </x:c>
      <x:c r="B591" s="30" t="str">
        <x:f>'01_命例主档'!A38</x:f>
      </x:c>
      <x:c r="C591" s="30" t="str">
        <x:v>M11</x:v>
      </x:c>
      <x:c r="D591" s="30" t="str">
        <x:v>十神组合成立</x:v>
      </x:c>
      <x:c r="E591" s="30" t="str">
        <x:v>结构层</x:v>
      </x:c>
      <x:c r="F591" s="30" t="str">
        <x:v>M08/M09/M10</x:v>
      </x:c>
      <x:c r="G591" s="30" t="str">
        <x:v>未开始</x:v>
      </x:c>
      <x:c r="H591" s="30" t="str"/>
      <x:c r="I591" s="30" t="str"/>
      <x:c r="J591" s="30" t="str"/>
      <x:c r="K591" s="30" t="str"/>
      <x:c r="L591" s="30" t="str"/>
      <x:c r="M591" s="30" t="str"/>
      <x:c r="N591" s="30" t="str"/>
      <x:c r="O591" s="30" t="str"/>
      <x:c r="P591" s="30" t="str"/>
      <x:c r="Q591" s="31" t="str"/>
      <x:c r="R591" s="31" t="str"/>
      <x:c r="S591" s="30" t="str"/>
      <x:c r="T591" s="30" t="str"/>
      <x:c r="U591" s="30" t="str"/>
      <x:c r="V591" s="40" t="str">
        <x:f>IF(B591="","",COUNTA(H591:L591)/5)</x:f>
      </x:c>
    </x:row>
    <x:row r="592">
      <x:c r="A592" s="30" t="str">
        <x:f>IF(B592="","",B592&amp;"-"&amp;C592)</x:f>
      </x:c>
      <x:c r="B592" s="30" t="str">
        <x:f>'01_命例主档'!A38</x:f>
      </x:c>
      <x:c r="C592" s="30" t="str">
        <x:v>M12</x:v>
      </x:c>
      <x:c r="D592" s="30" t="str">
        <x:v>五行流通卡点</x:v>
      </x:c>
      <x:c r="E592" s="30" t="str">
        <x:v>结构层</x:v>
      </x:c>
      <x:c r="F592" s="30" t="str">
        <x:v>M06/M08/M10/M11</x:v>
      </x:c>
      <x:c r="G592" s="30" t="str">
        <x:v>未开始</x:v>
      </x:c>
      <x:c r="H592" s="30" t="str"/>
      <x:c r="I592" s="30" t="str"/>
      <x:c r="J592" s="30" t="str"/>
      <x:c r="K592" s="30" t="str"/>
      <x:c r="L592" s="30" t="str"/>
      <x:c r="M592" s="30" t="str"/>
      <x:c r="N592" s="30" t="str"/>
      <x:c r="O592" s="30" t="str"/>
      <x:c r="P592" s="30" t="str"/>
      <x:c r="Q592" s="31" t="str"/>
      <x:c r="R592" s="31" t="str"/>
      <x:c r="S592" s="30" t="str"/>
      <x:c r="T592" s="30" t="str"/>
      <x:c r="U592" s="30" t="str"/>
      <x:c r="V592" s="40" t="str">
        <x:f>IF(B592="","",COUNTA(H592:L592)/5)</x:f>
      </x:c>
    </x:row>
    <x:row r="593">
      <x:c r="A593" s="30" t="str">
        <x:f>IF(B593="","",B593&amp;"-"&amp;C593)</x:f>
      </x:c>
      <x:c r="B593" s="30" t="str">
        <x:f>'01_命例主档'!A38</x:f>
      </x:c>
      <x:c r="C593" s="30" t="str">
        <x:v>M13</x:v>
      </x:c>
      <x:c r="D593" s="30" t="str">
        <x:v>寒暖燥湿</x:v>
      </x:c>
      <x:c r="E593" s="30" t="str">
        <x:v>结构层</x:v>
      </x:c>
      <x:c r="F593" s="30" t="str">
        <x:v>M02/M08/M12</x:v>
      </x:c>
      <x:c r="G593" s="30" t="str">
        <x:v>未开始</x:v>
      </x:c>
      <x:c r="H593" s="30" t="str"/>
      <x:c r="I593" s="30" t="str"/>
      <x:c r="J593" s="30" t="str"/>
      <x:c r="K593" s="30" t="str"/>
      <x:c r="L593" s="30" t="str"/>
      <x:c r="M593" s="30" t="str"/>
      <x:c r="N593" s="30" t="str"/>
      <x:c r="O593" s="30" t="str"/>
      <x:c r="P593" s="30" t="str"/>
      <x:c r="Q593" s="31" t="str"/>
      <x:c r="R593" s="31" t="str"/>
      <x:c r="S593" s="30" t="str"/>
      <x:c r="T593" s="30" t="str"/>
      <x:c r="U593" s="30" t="str"/>
      <x:c r="V593" s="40" t="str">
        <x:f>IF(B593="","",COUNTA(H593:L593)/5)</x:f>
      </x:c>
    </x:row>
    <x:row r="594">
      <x:c r="A594" s="30" t="str">
        <x:f>IF(B594="","",B594&amp;"-"&amp;C594)</x:f>
      </x:c>
      <x:c r="B594" s="30" t="str">
        <x:f>'01_命例主档'!A38</x:f>
      </x:c>
      <x:c r="C594" s="30" t="str">
        <x:v>M14</x:v>
      </x:c>
      <x:c r="D594" s="30" t="str">
        <x:v>格局候选判断</x:v>
      </x:c>
      <x:c r="E594" s="30" t="str">
        <x:v>综合层</x:v>
      </x:c>
      <x:c r="F594" s="30" t="str">
        <x:v>M03/M06/M08/M09/M10/M11</x:v>
      </x:c>
      <x:c r="G594" s="30" t="str">
        <x:v>未开始</x:v>
      </x:c>
      <x:c r="H594" s="30" t="str"/>
      <x:c r="I594" s="30" t="str"/>
      <x:c r="J594" s="30" t="str"/>
      <x:c r="K594" s="30" t="str"/>
      <x:c r="L594" s="30" t="str"/>
      <x:c r="M594" s="30" t="str"/>
      <x:c r="N594" s="30" t="str"/>
      <x:c r="O594" s="30" t="str"/>
      <x:c r="P594" s="30" t="str"/>
      <x:c r="Q594" s="31" t="str"/>
      <x:c r="R594" s="31" t="str"/>
      <x:c r="S594" s="30" t="str"/>
      <x:c r="T594" s="30" t="str"/>
      <x:c r="U594" s="30" t="str"/>
      <x:c r="V594" s="40" t="str">
        <x:f>IF(B594="","",COUNTA(H594:L594)/5)</x:f>
      </x:c>
    </x:row>
    <x:row r="595">
      <x:c r="A595" s="30" t="str">
        <x:f>IF(B595="","",B595&amp;"-"&amp;C595)</x:f>
      </x:c>
      <x:c r="B595" s="30" t="str">
        <x:f>'01_命例主档'!A38</x:f>
      </x:c>
      <x:c r="C595" s="30" t="str">
        <x:v>M15</x:v>
      </x:c>
      <x:c r="D595" s="30" t="str">
        <x:v>格局成败救应</x:v>
      </x:c>
      <x:c r="E595" s="30" t="str">
        <x:v>综合层</x:v>
      </x:c>
      <x:c r="F595" s="30" t="str">
        <x:v>M14/M11/M08</x:v>
      </x:c>
      <x:c r="G595" s="30" t="str">
        <x:v>未开始</x:v>
      </x:c>
      <x:c r="H595" s="30" t="str"/>
      <x:c r="I595" s="30" t="str"/>
      <x:c r="J595" s="30" t="str"/>
      <x:c r="K595" s="30" t="str"/>
      <x:c r="L595" s="30" t="str"/>
      <x:c r="M595" s="30" t="str"/>
      <x:c r="N595" s="30" t="str"/>
      <x:c r="O595" s="30" t="str"/>
      <x:c r="P595" s="30" t="str"/>
      <x:c r="Q595" s="31" t="str"/>
      <x:c r="R595" s="31" t="str"/>
      <x:c r="S595" s="30" t="str"/>
      <x:c r="T595" s="30" t="str"/>
      <x:c r="U595" s="30" t="str"/>
      <x:c r="V595" s="40" t="str">
        <x:f>IF(B595="","",COUNTA(H595:L595)/5)</x:f>
      </x:c>
    </x:row>
    <x:row r="596">
      <x:c r="A596" s="30" t="str">
        <x:f>IF(B596="","",B596&amp;"-"&amp;C596)</x:f>
      </x:c>
      <x:c r="B596" s="30" t="str">
        <x:f>'01_命例主档'!A38</x:f>
      </x:c>
      <x:c r="C596" s="30" t="str">
        <x:v>M16</x:v>
      </x:c>
      <x:c r="D596" s="30" t="str">
        <x:v>病药模型</x:v>
      </x:c>
      <x:c r="E596" s="30" t="str">
        <x:v>综合层</x:v>
      </x:c>
      <x:c r="F596" s="30" t="str">
        <x:v>M08-M15</x:v>
      </x:c>
      <x:c r="G596" s="30" t="str">
        <x:v>未开始</x:v>
      </x:c>
      <x:c r="H596" s="30" t="str"/>
      <x:c r="I596" s="30" t="str"/>
      <x:c r="J596" s="30" t="str"/>
      <x:c r="K596" s="30" t="str"/>
      <x:c r="L596" s="30" t="str"/>
      <x:c r="M596" s="30" t="str"/>
      <x:c r="N596" s="30" t="str"/>
      <x:c r="O596" s="30" t="str"/>
      <x:c r="P596" s="30" t="str"/>
      <x:c r="Q596" s="31" t="str"/>
      <x:c r="R596" s="31" t="str"/>
      <x:c r="S596" s="30" t="str"/>
      <x:c r="T596" s="30" t="str"/>
      <x:c r="U596" s="30" t="str"/>
      <x:c r="V596" s="40" t="str">
        <x:f>IF(B596="","",COUNTA(H596:L596)/5)</x:f>
      </x:c>
    </x:row>
    <x:row r="597">
      <x:c r="A597" s="30" t="str">
        <x:f>IF(B597="","",B597&amp;"-"&amp;C597)</x:f>
      </x:c>
      <x:c r="B597" s="30" t="str">
        <x:f>'01_命例主档'!A38</x:f>
      </x:c>
      <x:c r="C597" s="30" t="str">
        <x:v>M17</x:v>
      </x:c>
      <x:c r="D597" s="30" t="str">
        <x:v>喜忌用神矩阵</x:v>
      </x:c>
      <x:c r="E597" s="30" t="str">
        <x:v>综合层</x:v>
      </x:c>
      <x:c r="F597" s="30" t="str">
        <x:v>M09/M12/M13/M15/M16</x:v>
      </x:c>
      <x:c r="G597" s="30" t="str">
        <x:v>未开始</x:v>
      </x:c>
      <x:c r="H597" s="30" t="str"/>
      <x:c r="I597" s="30" t="str"/>
      <x:c r="J597" s="30" t="str"/>
      <x:c r="K597" s="30" t="str"/>
      <x:c r="L597" s="30" t="str"/>
      <x:c r="M597" s="30" t="str"/>
      <x:c r="N597" s="30" t="str"/>
      <x:c r="O597" s="30" t="str"/>
      <x:c r="P597" s="30" t="str"/>
      <x:c r="Q597" s="31" t="str"/>
      <x:c r="R597" s="31" t="str"/>
      <x:c r="S597" s="30" t="str"/>
      <x:c r="T597" s="30" t="str"/>
      <x:c r="U597" s="30" t="str"/>
      <x:c r="V597" s="40" t="str">
        <x:f>IF(B597="","",COUNTA(H597:L597)/5)</x:f>
      </x:c>
    </x:row>
    <x:row r="598">
      <x:c r="A598" s="30" t="str">
        <x:f>IF(B598="","",B598&amp;"-"&amp;C598)</x:f>
      </x:c>
      <x:c r="B598" s="30" t="str">
        <x:f>'01_命例主档'!A38</x:f>
      </x:c>
      <x:c r="C598" s="30" t="str">
        <x:v>M18</x:v>
      </x:c>
      <x:c r="D598" s="30" t="str">
        <x:v>冲突裁决规则</x:v>
      </x:c>
      <x:c r="E598" s="30" t="str">
        <x:v>综合层</x:v>
      </x:c>
      <x:c r="F598" s="30" t="str">
        <x:v>M14/M15/M16/M17</x:v>
      </x:c>
      <x:c r="G598" s="30" t="str">
        <x:v>未开始</x:v>
      </x:c>
      <x:c r="H598" s="30" t="str"/>
      <x:c r="I598" s="30" t="str"/>
      <x:c r="J598" s="30" t="str"/>
      <x:c r="K598" s="30" t="str"/>
      <x:c r="L598" s="30" t="str"/>
      <x:c r="M598" s="30" t="str"/>
      <x:c r="N598" s="30" t="str"/>
      <x:c r="O598" s="30" t="str"/>
      <x:c r="P598" s="30" t="str"/>
      <x:c r="Q598" s="31" t="str"/>
      <x:c r="R598" s="31" t="str"/>
      <x:c r="S598" s="30" t="str"/>
      <x:c r="T598" s="30" t="str"/>
      <x:c r="U598" s="30" t="str"/>
      <x:c r="V598" s="40" t="str">
        <x:f>IF(B598="","",COUNTA(H598:L598)/5)</x:f>
      </x:c>
    </x:row>
    <x:row r="599">
      <x:c r="A599" s="30" t="str">
        <x:f>IF(B599="","",B599&amp;"-"&amp;C599)</x:f>
      </x:c>
      <x:c r="B599" s="30" t="str">
        <x:f>'01_命例主档'!A38</x:f>
      </x:c>
      <x:c r="C599" s="30" t="str">
        <x:v>M19</x:v>
      </x:c>
      <x:c r="D599" s="30" t="str">
        <x:v>综合输出模板</x:v>
      </x:c>
      <x:c r="E599" s="30" t="str">
        <x:v>治理与输出</x:v>
      </x:c>
      <x:c r="F599" s="30" t="str">
        <x:v>M02-M18</x:v>
      </x:c>
      <x:c r="G599" s="30" t="str">
        <x:v>未开始</x:v>
      </x:c>
      <x:c r="H599" s="30" t="str"/>
      <x:c r="I599" s="30" t="str"/>
      <x:c r="J599" s="30" t="str"/>
      <x:c r="K599" s="30" t="str"/>
      <x:c r="L599" s="30" t="str"/>
      <x:c r="M599" s="30" t="str"/>
      <x:c r="N599" s="30" t="str"/>
      <x:c r="O599" s="30" t="str"/>
      <x:c r="P599" s="30" t="str"/>
      <x:c r="Q599" s="31" t="str"/>
      <x:c r="R599" s="31" t="str"/>
      <x:c r="S599" s="30" t="str"/>
      <x:c r="T599" s="30" t="str"/>
      <x:c r="U599" s="30" t="str"/>
      <x:c r="V599" s="40" t="str">
        <x:f>IF(B599="","",COUNTA(H599:L599)/5)</x:f>
      </x:c>
    </x:row>
    <x:row r="600">
      <x:c r="A600" s="30" t="str">
        <x:f>IF(B600="","",B600&amp;"-"&amp;C600)</x:f>
      </x:c>
      <x:c r="B600" s="30" t="str">
        <x:f>'01_命例主档'!A39</x:f>
      </x:c>
      <x:c r="C600" s="30" t="str">
        <x:v>M02</x:v>
      </x:c>
      <x:c r="D600" s="30" t="str">
        <x:v>干支藏干基础</x:v>
      </x:c>
      <x:c r="E600" s="30" t="str">
        <x:v>识别层</x:v>
      </x:c>
      <x:c r="F600" s="30" t="str">
        <x:v>无</x:v>
      </x:c>
      <x:c r="G600" s="30" t="str">
        <x:v>未开始</x:v>
      </x:c>
      <x:c r="H600" s="30" t="str"/>
      <x:c r="I600" s="30" t="str"/>
      <x:c r="J600" s="30" t="str"/>
      <x:c r="K600" s="30" t="str"/>
      <x:c r="L600" s="30" t="str"/>
      <x:c r="M600" s="30" t="str"/>
      <x:c r="N600" s="30" t="str"/>
      <x:c r="O600" s="30" t="str"/>
      <x:c r="P600" s="30" t="str"/>
      <x:c r="Q600" s="31" t="str"/>
      <x:c r="R600" s="31" t="str"/>
      <x:c r="S600" s="30" t="str"/>
      <x:c r="T600" s="30" t="str"/>
      <x:c r="U600" s="30" t="str"/>
      <x:c r="V600" s="40" t="str">
        <x:f>IF(B600="","",COUNTA(H600:L600)/5)</x:f>
      </x:c>
    </x:row>
    <x:row r="601">
      <x:c r="A601" s="30" t="str">
        <x:f>IF(B601="","",B601&amp;"-"&amp;C601)</x:f>
      </x:c>
      <x:c r="B601" s="30" t="str">
        <x:f>'01_命例主档'!A39</x:f>
      </x:c>
      <x:c r="C601" s="30" t="str">
        <x:v>M03</x:v>
      </x:c>
      <x:c r="D601" s="30" t="str">
        <x:v>月令与根气</x:v>
      </x:c>
      <x:c r="E601" s="30" t="str">
        <x:v>结构层</x:v>
      </x:c>
      <x:c r="F601" s="30" t="str">
        <x:v>M02</x:v>
      </x:c>
      <x:c r="G601" s="30" t="str">
        <x:v>未开始</x:v>
      </x:c>
      <x:c r="H601" s="30" t="str"/>
      <x:c r="I601" s="30" t="str"/>
      <x:c r="J601" s="30" t="str"/>
      <x:c r="K601" s="30" t="str"/>
      <x:c r="L601" s="30" t="str"/>
      <x:c r="M601" s="30" t="str"/>
      <x:c r="N601" s="30" t="str"/>
      <x:c r="O601" s="30" t="str"/>
      <x:c r="P601" s="30" t="str"/>
      <x:c r="Q601" s="31" t="str"/>
      <x:c r="R601" s="31" t="str"/>
      <x:c r="S601" s="30" t="str"/>
      <x:c r="T601" s="30" t="str"/>
      <x:c r="U601" s="30" t="str"/>
      <x:c r="V601" s="40" t="str">
        <x:f>IF(B601="","",COUNTA(H601:L601)/5)</x:f>
      </x:c>
    </x:row>
    <x:row r="602">
      <x:c r="A602" s="30" t="str">
        <x:f>IF(B602="","",B602&amp;"-"&amp;C602)</x:f>
      </x:c>
      <x:c r="B602" s="30" t="str">
        <x:f>'01_命例主档'!A39</x:f>
      </x:c>
      <x:c r="C602" s="30" t="str">
        <x:v>M04</x:v>
      </x:c>
      <x:c r="D602" s="30" t="str">
        <x:v>天干作用识别</x:v>
      </x:c>
      <x:c r="E602" s="30" t="str">
        <x:v>识别层</x:v>
      </x:c>
      <x:c r="F602" s="30" t="str">
        <x:v>M02</x:v>
      </x:c>
      <x:c r="G602" s="30" t="str">
        <x:v>未开始</x:v>
      </x:c>
      <x:c r="H602" s="30" t="str"/>
      <x:c r="I602" s="30" t="str"/>
      <x:c r="J602" s="30" t="str"/>
      <x:c r="K602" s="30" t="str"/>
      <x:c r="L602" s="30" t="str"/>
      <x:c r="M602" s="30" t="str"/>
      <x:c r="N602" s="30" t="str"/>
      <x:c r="O602" s="30" t="str"/>
      <x:c r="P602" s="30" t="str"/>
      <x:c r="Q602" s="31" t="str"/>
      <x:c r="R602" s="31" t="str"/>
      <x:c r="S602" s="30" t="str"/>
      <x:c r="T602" s="30" t="str"/>
      <x:c r="U602" s="30" t="str"/>
      <x:c r="V602" s="40" t="str">
        <x:f>IF(B602="","",COUNTA(H602:L602)/5)</x:f>
      </x:c>
    </x:row>
    <x:row r="603">
      <x:c r="A603" s="30" t="str">
        <x:f>IF(B603="","",B603&amp;"-"&amp;C603)</x:f>
      </x:c>
      <x:c r="B603" s="30" t="str">
        <x:f>'01_命例主档'!A39</x:f>
      </x:c>
      <x:c r="C603" s="30" t="str">
        <x:v>M05</x:v>
      </x:c>
      <x:c r="D603" s="30" t="str">
        <x:v>地支关系识别</x:v>
      </x:c>
      <x:c r="E603" s="30" t="str">
        <x:v>识别层</x:v>
      </x:c>
      <x:c r="F603" s="30" t="str">
        <x:v>M02</x:v>
      </x:c>
      <x:c r="G603" s="30" t="str">
        <x:v>未开始</x:v>
      </x:c>
      <x:c r="H603" s="30" t="str"/>
      <x:c r="I603" s="30" t="str"/>
      <x:c r="J603" s="30" t="str"/>
      <x:c r="K603" s="30" t="str"/>
      <x:c r="L603" s="30" t="str"/>
      <x:c r="M603" s="30" t="str"/>
      <x:c r="N603" s="30" t="str"/>
      <x:c r="O603" s="30" t="str"/>
      <x:c r="P603" s="30" t="str"/>
      <x:c r="Q603" s="31" t="str"/>
      <x:c r="R603" s="31" t="str"/>
      <x:c r="S603" s="30" t="str"/>
      <x:c r="T603" s="30" t="str"/>
      <x:c r="U603" s="30" t="str"/>
      <x:c r="V603" s="40" t="str">
        <x:f>IF(B603="","",COUNTA(H603:L603)/5)</x:f>
      </x:c>
    </x:row>
    <x:row r="604">
      <x:c r="A604" s="30" t="str">
        <x:f>IF(B604="","",B604&amp;"-"&amp;C604)</x:f>
      </x:c>
      <x:c r="B604" s="30" t="str">
        <x:f>'01_命例主档'!A39</x:f>
      </x:c>
      <x:c r="C604" s="30" t="str">
        <x:v>M06</x:v>
      </x:c>
      <x:c r="D604" s="30" t="str">
        <x:v>干支关系效应</x:v>
      </x:c>
      <x:c r="E604" s="30" t="str">
        <x:v>效应层</x:v>
      </x:c>
      <x:c r="F604" s="30" t="str">
        <x:v>M03/M04/M05</x:v>
      </x:c>
      <x:c r="G604" s="30" t="str">
        <x:v>未开始</x:v>
      </x:c>
      <x:c r="H604" s="30" t="str"/>
      <x:c r="I604" s="30" t="str"/>
      <x:c r="J604" s="30" t="str"/>
      <x:c r="K604" s="30" t="str"/>
      <x:c r="L604" s="30" t="str"/>
      <x:c r="M604" s="30" t="str"/>
      <x:c r="N604" s="30" t="str"/>
      <x:c r="O604" s="30" t="str"/>
      <x:c r="P604" s="30" t="str"/>
      <x:c r="Q604" s="31" t="str"/>
      <x:c r="R604" s="31" t="str"/>
      <x:c r="S604" s="30" t="str"/>
      <x:c r="T604" s="30" t="str"/>
      <x:c r="U604" s="30" t="str"/>
      <x:c r="V604" s="40" t="str">
        <x:f>IF(B604="","",COUNTA(H604:L604)/5)</x:f>
      </x:c>
    </x:row>
    <x:row r="605">
      <x:c r="A605" s="30" t="str">
        <x:f>IF(B605="","",B605&amp;"-"&amp;C605)</x:f>
      </x:c>
      <x:c r="B605" s="30" t="str">
        <x:f>'01_命例主档'!A39</x:f>
      </x:c>
      <x:c r="C605" s="30" t="str">
        <x:v>M07</x:v>
      </x:c>
      <x:c r="D605" s="30" t="str">
        <x:v>五行原始旺衰</x:v>
      </x:c>
      <x:c r="E605" s="30" t="str">
        <x:v>结构层</x:v>
      </x:c>
      <x:c r="F605" s="30" t="str">
        <x:v>M02/M03</x:v>
      </x:c>
      <x:c r="G605" s="30" t="str">
        <x:v>未开始</x:v>
      </x:c>
      <x:c r="H605" s="30" t="str"/>
      <x:c r="I605" s="30" t="str"/>
      <x:c r="J605" s="30" t="str"/>
      <x:c r="K605" s="30" t="str"/>
      <x:c r="L605" s="30" t="str"/>
      <x:c r="M605" s="30" t="str"/>
      <x:c r="N605" s="30" t="str"/>
      <x:c r="O605" s="30" t="str"/>
      <x:c r="P605" s="30" t="str"/>
      <x:c r="Q605" s="31" t="str"/>
      <x:c r="R605" s="31" t="str"/>
      <x:c r="S605" s="30" t="str"/>
      <x:c r="T605" s="30" t="str"/>
      <x:c r="U605" s="30" t="str"/>
      <x:c r="V605" s="40" t="str">
        <x:f>IF(B605="","",COUNTA(H605:L605)/5)</x:f>
      </x:c>
    </x:row>
    <x:row r="606">
      <x:c r="A606" s="30" t="str">
        <x:f>IF(B606="","",B606&amp;"-"&amp;C606)</x:f>
      </x:c>
      <x:c r="B606" s="30" t="str">
        <x:f>'01_命例主档'!A39</x:f>
      </x:c>
      <x:c r="C606" s="30" t="str">
        <x:v>M08</x:v>
      </x:c>
      <x:c r="D606" s="30" t="str">
        <x:v>五行有效旺衰</x:v>
      </x:c>
      <x:c r="E606" s="30" t="str">
        <x:v>结构层</x:v>
      </x:c>
      <x:c r="F606" s="30" t="str">
        <x:v>M06/M07</x:v>
      </x:c>
      <x:c r="G606" s="30" t="str">
        <x:v>未开始</x:v>
      </x:c>
      <x:c r="H606" s="30" t="str"/>
      <x:c r="I606" s="30" t="str"/>
      <x:c r="J606" s="30" t="str"/>
      <x:c r="K606" s="30" t="str"/>
      <x:c r="L606" s="30" t="str"/>
      <x:c r="M606" s="30" t="str"/>
      <x:c r="N606" s="30" t="str"/>
      <x:c r="O606" s="30" t="str"/>
      <x:c r="P606" s="30" t="str"/>
      <x:c r="Q606" s="31" t="str"/>
      <x:c r="R606" s="31" t="str"/>
      <x:c r="S606" s="30" t="str"/>
      <x:c r="T606" s="30" t="str"/>
      <x:c r="U606" s="30" t="str"/>
      <x:c r="V606" s="40" t="str">
        <x:f>IF(B606="","",COUNTA(H606:L606)/5)</x:f>
      </x:c>
    </x:row>
    <x:row r="607">
      <x:c r="A607" s="30" t="str">
        <x:f>IF(B607="","",B607&amp;"-"&amp;C607)</x:f>
      </x:c>
      <x:c r="B607" s="30" t="str">
        <x:f>'01_命例主档'!A39</x:f>
      </x:c>
      <x:c r="C607" s="30" t="str">
        <x:v>M09</x:v>
      </x:c>
      <x:c r="D607" s="30" t="str">
        <x:v>日主旺衰</x:v>
      </x:c>
      <x:c r="E607" s="30" t="str">
        <x:v>综合层</x:v>
      </x:c>
      <x:c r="F607" s="30" t="str">
        <x:v>M03/M07/M08</x:v>
      </x:c>
      <x:c r="G607" s="30" t="str">
        <x:v>未开始</x:v>
      </x:c>
      <x:c r="H607" s="30" t="str"/>
      <x:c r="I607" s="30" t="str"/>
      <x:c r="J607" s="30" t="str"/>
      <x:c r="K607" s="30" t="str"/>
      <x:c r="L607" s="30" t="str"/>
      <x:c r="M607" s="30" t="str"/>
      <x:c r="N607" s="30" t="str"/>
      <x:c r="O607" s="30" t="str"/>
      <x:c r="P607" s="30" t="str"/>
      <x:c r="Q607" s="31" t="str"/>
      <x:c r="R607" s="31" t="str"/>
      <x:c r="S607" s="30" t="str"/>
      <x:c r="T607" s="30" t="str"/>
      <x:c r="U607" s="30" t="str"/>
      <x:c r="V607" s="40" t="str">
        <x:f>IF(B607="","",COUNTA(H607:L607)/5)</x:f>
      </x:c>
    </x:row>
    <x:row r="608">
      <x:c r="A608" s="30" t="str">
        <x:f>IF(B608="","",B608&amp;"-"&amp;C608)</x:f>
      </x:c>
      <x:c r="B608" s="30" t="str">
        <x:f>'01_命例主档'!A39</x:f>
      </x:c>
      <x:c r="C608" s="30" t="str">
        <x:v>M10</x:v>
      </x:c>
      <x:c r="D608" s="30" t="str">
        <x:v>十神旺衰功能</x:v>
      </x:c>
      <x:c r="E608" s="30" t="str">
        <x:v>结构层</x:v>
      </x:c>
      <x:c r="F608" s="30" t="str">
        <x:v>M02/M08/M09</x:v>
      </x:c>
      <x:c r="G608" s="30" t="str">
        <x:v>未开始</x:v>
      </x:c>
      <x:c r="H608" s="30" t="str"/>
      <x:c r="I608" s="30" t="str"/>
      <x:c r="J608" s="30" t="str"/>
      <x:c r="K608" s="30" t="str"/>
      <x:c r="L608" s="30" t="str"/>
      <x:c r="M608" s="30" t="str"/>
      <x:c r="N608" s="30" t="str"/>
      <x:c r="O608" s="30" t="str"/>
      <x:c r="P608" s="30" t="str"/>
      <x:c r="Q608" s="31" t="str"/>
      <x:c r="R608" s="31" t="str"/>
      <x:c r="S608" s="30" t="str"/>
      <x:c r="T608" s="30" t="str"/>
      <x:c r="U608" s="30" t="str"/>
      <x:c r="V608" s="40" t="str">
        <x:f>IF(B608="","",COUNTA(H608:L608)/5)</x:f>
      </x:c>
    </x:row>
    <x:row r="609">
      <x:c r="A609" s="30" t="str">
        <x:f>IF(B609="","",B609&amp;"-"&amp;C609)</x:f>
      </x:c>
      <x:c r="B609" s="30" t="str">
        <x:f>'01_命例主档'!A39</x:f>
      </x:c>
      <x:c r="C609" s="30" t="str">
        <x:v>M11</x:v>
      </x:c>
      <x:c r="D609" s="30" t="str">
        <x:v>十神组合成立</x:v>
      </x:c>
      <x:c r="E609" s="30" t="str">
        <x:v>结构层</x:v>
      </x:c>
      <x:c r="F609" s="30" t="str">
        <x:v>M08/M09/M10</x:v>
      </x:c>
      <x:c r="G609" s="30" t="str">
        <x:v>未开始</x:v>
      </x:c>
      <x:c r="H609" s="30" t="str"/>
      <x:c r="I609" s="30" t="str"/>
      <x:c r="J609" s="30" t="str"/>
      <x:c r="K609" s="30" t="str"/>
      <x:c r="L609" s="30" t="str"/>
      <x:c r="M609" s="30" t="str"/>
      <x:c r="N609" s="30" t="str"/>
      <x:c r="O609" s="30" t="str"/>
      <x:c r="P609" s="30" t="str"/>
      <x:c r="Q609" s="31" t="str"/>
      <x:c r="R609" s="31" t="str"/>
      <x:c r="S609" s="30" t="str"/>
      <x:c r="T609" s="30" t="str"/>
      <x:c r="U609" s="30" t="str"/>
      <x:c r="V609" s="40" t="str">
        <x:f>IF(B609="","",COUNTA(H609:L609)/5)</x:f>
      </x:c>
    </x:row>
    <x:row r="610">
      <x:c r="A610" s="30" t="str">
        <x:f>IF(B610="","",B610&amp;"-"&amp;C610)</x:f>
      </x:c>
      <x:c r="B610" s="30" t="str">
        <x:f>'01_命例主档'!A39</x:f>
      </x:c>
      <x:c r="C610" s="30" t="str">
        <x:v>M12</x:v>
      </x:c>
      <x:c r="D610" s="30" t="str">
        <x:v>五行流通卡点</x:v>
      </x:c>
      <x:c r="E610" s="30" t="str">
        <x:v>结构层</x:v>
      </x:c>
      <x:c r="F610" s="30" t="str">
        <x:v>M06/M08/M10/M11</x:v>
      </x:c>
      <x:c r="G610" s="30" t="str">
        <x:v>未开始</x:v>
      </x:c>
      <x:c r="H610" s="30" t="str"/>
      <x:c r="I610" s="30" t="str"/>
      <x:c r="J610" s="30" t="str"/>
      <x:c r="K610" s="30" t="str"/>
      <x:c r="L610" s="30" t="str"/>
      <x:c r="M610" s="30" t="str"/>
      <x:c r="N610" s="30" t="str"/>
      <x:c r="O610" s="30" t="str"/>
      <x:c r="P610" s="30" t="str"/>
      <x:c r="Q610" s="31" t="str"/>
      <x:c r="R610" s="31" t="str"/>
      <x:c r="S610" s="30" t="str"/>
      <x:c r="T610" s="30" t="str"/>
      <x:c r="U610" s="30" t="str"/>
      <x:c r="V610" s="40" t="str">
        <x:f>IF(B610="","",COUNTA(H610:L610)/5)</x:f>
      </x:c>
    </x:row>
    <x:row r="611">
      <x:c r="A611" s="30" t="str">
        <x:f>IF(B611="","",B611&amp;"-"&amp;C611)</x:f>
      </x:c>
      <x:c r="B611" s="30" t="str">
        <x:f>'01_命例主档'!A39</x:f>
      </x:c>
      <x:c r="C611" s="30" t="str">
        <x:v>M13</x:v>
      </x:c>
      <x:c r="D611" s="30" t="str">
        <x:v>寒暖燥湿</x:v>
      </x:c>
      <x:c r="E611" s="30" t="str">
        <x:v>结构层</x:v>
      </x:c>
      <x:c r="F611" s="30" t="str">
        <x:v>M02/M08/M12</x:v>
      </x:c>
      <x:c r="G611" s="30" t="str">
        <x:v>未开始</x:v>
      </x:c>
      <x:c r="H611" s="30" t="str"/>
      <x:c r="I611" s="30" t="str"/>
      <x:c r="J611" s="30" t="str"/>
      <x:c r="K611" s="30" t="str"/>
      <x:c r="L611" s="30" t="str"/>
      <x:c r="M611" s="30" t="str"/>
      <x:c r="N611" s="30" t="str"/>
      <x:c r="O611" s="30" t="str"/>
      <x:c r="P611" s="30" t="str"/>
      <x:c r="Q611" s="31" t="str"/>
      <x:c r="R611" s="31" t="str"/>
      <x:c r="S611" s="30" t="str"/>
      <x:c r="T611" s="30" t="str"/>
      <x:c r="U611" s="30" t="str"/>
      <x:c r="V611" s="40" t="str">
        <x:f>IF(B611="","",COUNTA(H611:L611)/5)</x:f>
      </x:c>
    </x:row>
    <x:row r="612">
      <x:c r="A612" s="30" t="str">
        <x:f>IF(B612="","",B612&amp;"-"&amp;C612)</x:f>
      </x:c>
      <x:c r="B612" s="30" t="str">
        <x:f>'01_命例主档'!A39</x:f>
      </x:c>
      <x:c r="C612" s="30" t="str">
        <x:v>M14</x:v>
      </x:c>
      <x:c r="D612" s="30" t="str">
        <x:v>格局候选判断</x:v>
      </x:c>
      <x:c r="E612" s="30" t="str">
        <x:v>综合层</x:v>
      </x:c>
      <x:c r="F612" s="30" t="str">
        <x:v>M03/M06/M08/M09/M10/M11</x:v>
      </x:c>
      <x:c r="G612" s="30" t="str">
        <x:v>未开始</x:v>
      </x:c>
      <x:c r="H612" s="30" t="str"/>
      <x:c r="I612" s="30" t="str"/>
      <x:c r="J612" s="30" t="str"/>
      <x:c r="K612" s="30" t="str"/>
      <x:c r="L612" s="30" t="str"/>
      <x:c r="M612" s="30" t="str"/>
      <x:c r="N612" s="30" t="str"/>
      <x:c r="O612" s="30" t="str"/>
      <x:c r="P612" s="30" t="str"/>
      <x:c r="Q612" s="31" t="str"/>
      <x:c r="R612" s="31" t="str"/>
      <x:c r="S612" s="30" t="str"/>
      <x:c r="T612" s="30" t="str"/>
      <x:c r="U612" s="30" t="str"/>
      <x:c r="V612" s="40" t="str">
        <x:f>IF(B612="","",COUNTA(H612:L612)/5)</x:f>
      </x:c>
    </x:row>
    <x:row r="613">
      <x:c r="A613" s="30" t="str">
        <x:f>IF(B613="","",B613&amp;"-"&amp;C613)</x:f>
      </x:c>
      <x:c r="B613" s="30" t="str">
        <x:f>'01_命例主档'!A39</x:f>
      </x:c>
      <x:c r="C613" s="30" t="str">
        <x:v>M15</x:v>
      </x:c>
      <x:c r="D613" s="30" t="str">
        <x:v>格局成败救应</x:v>
      </x:c>
      <x:c r="E613" s="30" t="str">
        <x:v>综合层</x:v>
      </x:c>
      <x:c r="F613" s="30" t="str">
        <x:v>M14/M11/M08</x:v>
      </x:c>
      <x:c r="G613" s="30" t="str">
        <x:v>未开始</x:v>
      </x:c>
      <x:c r="H613" s="30" t="str"/>
      <x:c r="I613" s="30" t="str"/>
      <x:c r="J613" s="30" t="str"/>
      <x:c r="K613" s="30" t="str"/>
      <x:c r="L613" s="30" t="str"/>
      <x:c r="M613" s="30" t="str"/>
      <x:c r="N613" s="30" t="str"/>
      <x:c r="O613" s="30" t="str"/>
      <x:c r="P613" s="30" t="str"/>
      <x:c r="Q613" s="31" t="str"/>
      <x:c r="R613" s="31" t="str"/>
      <x:c r="S613" s="30" t="str"/>
      <x:c r="T613" s="30" t="str"/>
      <x:c r="U613" s="30" t="str"/>
      <x:c r="V613" s="40" t="str">
        <x:f>IF(B613="","",COUNTA(H613:L613)/5)</x:f>
      </x:c>
    </x:row>
    <x:row r="614">
      <x:c r="A614" s="30" t="str">
        <x:f>IF(B614="","",B614&amp;"-"&amp;C614)</x:f>
      </x:c>
      <x:c r="B614" s="30" t="str">
        <x:f>'01_命例主档'!A39</x:f>
      </x:c>
      <x:c r="C614" s="30" t="str">
        <x:v>M16</x:v>
      </x:c>
      <x:c r="D614" s="30" t="str">
        <x:v>病药模型</x:v>
      </x:c>
      <x:c r="E614" s="30" t="str">
        <x:v>综合层</x:v>
      </x:c>
      <x:c r="F614" s="30" t="str">
        <x:v>M08-M15</x:v>
      </x:c>
      <x:c r="G614" s="30" t="str">
        <x:v>未开始</x:v>
      </x:c>
      <x:c r="H614" s="30" t="str"/>
      <x:c r="I614" s="30" t="str"/>
      <x:c r="J614" s="30" t="str"/>
      <x:c r="K614" s="30" t="str"/>
      <x:c r="L614" s="30" t="str"/>
      <x:c r="M614" s="30" t="str"/>
      <x:c r="N614" s="30" t="str"/>
      <x:c r="O614" s="30" t="str"/>
      <x:c r="P614" s="30" t="str"/>
      <x:c r="Q614" s="31" t="str"/>
      <x:c r="R614" s="31" t="str"/>
      <x:c r="S614" s="30" t="str"/>
      <x:c r="T614" s="30" t="str"/>
      <x:c r="U614" s="30" t="str"/>
      <x:c r="V614" s="40" t="str">
        <x:f>IF(B614="","",COUNTA(H614:L614)/5)</x:f>
      </x:c>
    </x:row>
    <x:row r="615">
      <x:c r="A615" s="30" t="str">
        <x:f>IF(B615="","",B615&amp;"-"&amp;C615)</x:f>
      </x:c>
      <x:c r="B615" s="30" t="str">
        <x:f>'01_命例主档'!A39</x:f>
      </x:c>
      <x:c r="C615" s="30" t="str">
        <x:v>M17</x:v>
      </x:c>
      <x:c r="D615" s="30" t="str">
        <x:v>喜忌用神矩阵</x:v>
      </x:c>
      <x:c r="E615" s="30" t="str">
        <x:v>综合层</x:v>
      </x:c>
      <x:c r="F615" s="30" t="str">
        <x:v>M09/M12/M13/M15/M16</x:v>
      </x:c>
      <x:c r="G615" s="30" t="str">
        <x:v>未开始</x:v>
      </x:c>
      <x:c r="H615" s="30" t="str"/>
      <x:c r="I615" s="30" t="str"/>
      <x:c r="J615" s="30" t="str"/>
      <x:c r="K615" s="30" t="str"/>
      <x:c r="L615" s="30" t="str"/>
      <x:c r="M615" s="30" t="str"/>
      <x:c r="N615" s="30" t="str"/>
      <x:c r="O615" s="30" t="str"/>
      <x:c r="P615" s="30" t="str"/>
      <x:c r="Q615" s="31" t="str"/>
      <x:c r="R615" s="31" t="str"/>
      <x:c r="S615" s="30" t="str"/>
      <x:c r="T615" s="30" t="str"/>
      <x:c r="U615" s="30" t="str"/>
      <x:c r="V615" s="40" t="str">
        <x:f>IF(B615="","",COUNTA(H615:L615)/5)</x:f>
      </x:c>
    </x:row>
    <x:row r="616">
      <x:c r="A616" s="30" t="str">
        <x:f>IF(B616="","",B616&amp;"-"&amp;C616)</x:f>
      </x:c>
      <x:c r="B616" s="30" t="str">
        <x:f>'01_命例主档'!A39</x:f>
      </x:c>
      <x:c r="C616" s="30" t="str">
        <x:v>M18</x:v>
      </x:c>
      <x:c r="D616" s="30" t="str">
        <x:v>冲突裁决规则</x:v>
      </x:c>
      <x:c r="E616" s="30" t="str">
        <x:v>综合层</x:v>
      </x:c>
      <x:c r="F616" s="30" t="str">
        <x:v>M14/M15/M16/M17</x:v>
      </x:c>
      <x:c r="G616" s="30" t="str">
        <x:v>未开始</x:v>
      </x:c>
      <x:c r="H616" s="30" t="str"/>
      <x:c r="I616" s="30" t="str"/>
      <x:c r="J616" s="30" t="str"/>
      <x:c r="K616" s="30" t="str"/>
      <x:c r="L616" s="30" t="str"/>
      <x:c r="M616" s="30" t="str"/>
      <x:c r="N616" s="30" t="str"/>
      <x:c r="O616" s="30" t="str"/>
      <x:c r="P616" s="30" t="str"/>
      <x:c r="Q616" s="31" t="str"/>
      <x:c r="R616" s="31" t="str"/>
      <x:c r="S616" s="30" t="str"/>
      <x:c r="T616" s="30" t="str"/>
      <x:c r="U616" s="30" t="str"/>
      <x:c r="V616" s="40" t="str">
        <x:f>IF(B616="","",COUNTA(H616:L616)/5)</x:f>
      </x:c>
    </x:row>
    <x:row r="617">
      <x:c r="A617" s="30" t="str">
        <x:f>IF(B617="","",B617&amp;"-"&amp;C617)</x:f>
      </x:c>
      <x:c r="B617" s="30" t="str">
        <x:f>'01_命例主档'!A39</x:f>
      </x:c>
      <x:c r="C617" s="30" t="str">
        <x:v>M19</x:v>
      </x:c>
      <x:c r="D617" s="30" t="str">
        <x:v>综合输出模板</x:v>
      </x:c>
      <x:c r="E617" s="30" t="str">
        <x:v>治理与输出</x:v>
      </x:c>
      <x:c r="F617" s="30" t="str">
        <x:v>M02-M18</x:v>
      </x:c>
      <x:c r="G617" s="30" t="str">
        <x:v>未开始</x:v>
      </x:c>
      <x:c r="H617" s="30" t="str"/>
      <x:c r="I617" s="30" t="str"/>
      <x:c r="J617" s="30" t="str"/>
      <x:c r="K617" s="30" t="str"/>
      <x:c r="L617" s="30" t="str"/>
      <x:c r="M617" s="30" t="str"/>
      <x:c r="N617" s="30" t="str"/>
      <x:c r="O617" s="30" t="str"/>
      <x:c r="P617" s="30" t="str"/>
      <x:c r="Q617" s="31" t="str"/>
      <x:c r="R617" s="31" t="str"/>
      <x:c r="S617" s="30" t="str"/>
      <x:c r="T617" s="30" t="str"/>
      <x:c r="U617" s="30" t="str"/>
      <x:c r="V617" s="40" t="str">
        <x:f>IF(B617="","",COUNTA(H617:L617)/5)</x:f>
      </x:c>
    </x:row>
    <x:row r="618">
      <x:c r="A618" s="30" t="str">
        <x:f>IF(B618="","",B618&amp;"-"&amp;C618)</x:f>
      </x:c>
      <x:c r="B618" s="30" t="str">
        <x:f>'01_命例主档'!A40</x:f>
      </x:c>
      <x:c r="C618" s="30" t="str">
        <x:v>M02</x:v>
      </x:c>
      <x:c r="D618" s="30" t="str">
        <x:v>干支藏干基础</x:v>
      </x:c>
      <x:c r="E618" s="30" t="str">
        <x:v>识别层</x:v>
      </x:c>
      <x:c r="F618" s="30" t="str">
        <x:v>无</x:v>
      </x:c>
      <x:c r="G618" s="30" t="str">
        <x:v>未开始</x:v>
      </x:c>
      <x:c r="H618" s="30" t="str"/>
      <x:c r="I618" s="30" t="str"/>
      <x:c r="J618" s="30" t="str"/>
      <x:c r="K618" s="30" t="str"/>
      <x:c r="L618" s="30" t="str"/>
      <x:c r="M618" s="30" t="str"/>
      <x:c r="N618" s="30" t="str"/>
      <x:c r="O618" s="30" t="str"/>
      <x:c r="P618" s="30" t="str"/>
      <x:c r="Q618" s="31" t="str"/>
      <x:c r="R618" s="31" t="str"/>
      <x:c r="S618" s="30" t="str"/>
      <x:c r="T618" s="30" t="str"/>
      <x:c r="U618" s="30" t="str"/>
      <x:c r="V618" s="40" t="str">
        <x:f>IF(B618="","",COUNTA(H618:L618)/5)</x:f>
      </x:c>
    </x:row>
    <x:row r="619">
      <x:c r="A619" s="30" t="str">
        <x:f>IF(B619="","",B619&amp;"-"&amp;C619)</x:f>
      </x:c>
      <x:c r="B619" s="30" t="str">
        <x:f>'01_命例主档'!A40</x:f>
      </x:c>
      <x:c r="C619" s="30" t="str">
        <x:v>M03</x:v>
      </x:c>
      <x:c r="D619" s="30" t="str">
        <x:v>月令与根气</x:v>
      </x:c>
      <x:c r="E619" s="30" t="str">
        <x:v>结构层</x:v>
      </x:c>
      <x:c r="F619" s="30" t="str">
        <x:v>M02</x:v>
      </x:c>
      <x:c r="G619" s="30" t="str">
        <x:v>未开始</x:v>
      </x:c>
      <x:c r="H619" s="30" t="str"/>
      <x:c r="I619" s="30" t="str"/>
      <x:c r="J619" s="30" t="str"/>
      <x:c r="K619" s="30" t="str"/>
      <x:c r="L619" s="30" t="str"/>
      <x:c r="M619" s="30" t="str"/>
      <x:c r="N619" s="30" t="str"/>
      <x:c r="O619" s="30" t="str"/>
      <x:c r="P619" s="30" t="str"/>
      <x:c r="Q619" s="31" t="str"/>
      <x:c r="R619" s="31" t="str"/>
      <x:c r="S619" s="30" t="str"/>
      <x:c r="T619" s="30" t="str"/>
      <x:c r="U619" s="30" t="str"/>
      <x:c r="V619" s="40" t="str">
        <x:f>IF(B619="","",COUNTA(H619:L619)/5)</x:f>
      </x:c>
    </x:row>
    <x:row r="620">
      <x:c r="A620" s="30" t="str">
        <x:f>IF(B620="","",B620&amp;"-"&amp;C620)</x:f>
      </x:c>
      <x:c r="B620" s="30" t="str">
        <x:f>'01_命例主档'!A40</x:f>
      </x:c>
      <x:c r="C620" s="30" t="str">
        <x:v>M04</x:v>
      </x:c>
      <x:c r="D620" s="30" t="str">
        <x:v>天干作用识别</x:v>
      </x:c>
      <x:c r="E620" s="30" t="str">
        <x:v>识别层</x:v>
      </x:c>
      <x:c r="F620" s="30" t="str">
        <x:v>M02</x:v>
      </x:c>
      <x:c r="G620" s="30" t="str">
        <x:v>未开始</x:v>
      </x:c>
      <x:c r="H620" s="30" t="str"/>
      <x:c r="I620" s="30" t="str"/>
      <x:c r="J620" s="30" t="str"/>
      <x:c r="K620" s="30" t="str"/>
      <x:c r="L620" s="30" t="str"/>
      <x:c r="M620" s="30" t="str"/>
      <x:c r="N620" s="30" t="str"/>
      <x:c r="O620" s="30" t="str"/>
      <x:c r="P620" s="30" t="str"/>
      <x:c r="Q620" s="31" t="str"/>
      <x:c r="R620" s="31" t="str"/>
      <x:c r="S620" s="30" t="str"/>
      <x:c r="T620" s="30" t="str"/>
      <x:c r="U620" s="30" t="str"/>
      <x:c r="V620" s="40" t="str">
        <x:f>IF(B620="","",COUNTA(H620:L620)/5)</x:f>
      </x:c>
    </x:row>
    <x:row r="621">
      <x:c r="A621" s="30" t="str">
        <x:f>IF(B621="","",B621&amp;"-"&amp;C621)</x:f>
      </x:c>
      <x:c r="B621" s="30" t="str">
        <x:f>'01_命例主档'!A40</x:f>
      </x:c>
      <x:c r="C621" s="30" t="str">
        <x:v>M05</x:v>
      </x:c>
      <x:c r="D621" s="30" t="str">
        <x:v>地支关系识别</x:v>
      </x:c>
      <x:c r="E621" s="30" t="str">
        <x:v>识别层</x:v>
      </x:c>
      <x:c r="F621" s="30" t="str">
        <x:v>M02</x:v>
      </x:c>
      <x:c r="G621" s="30" t="str">
        <x:v>未开始</x:v>
      </x:c>
      <x:c r="H621" s="30" t="str"/>
      <x:c r="I621" s="30" t="str"/>
      <x:c r="J621" s="30" t="str"/>
      <x:c r="K621" s="30" t="str"/>
      <x:c r="L621" s="30" t="str"/>
      <x:c r="M621" s="30" t="str"/>
      <x:c r="N621" s="30" t="str"/>
      <x:c r="O621" s="30" t="str"/>
      <x:c r="P621" s="30" t="str"/>
      <x:c r="Q621" s="31" t="str"/>
      <x:c r="R621" s="31" t="str"/>
      <x:c r="S621" s="30" t="str"/>
      <x:c r="T621" s="30" t="str"/>
      <x:c r="U621" s="30" t="str"/>
      <x:c r="V621" s="40" t="str">
        <x:f>IF(B621="","",COUNTA(H621:L621)/5)</x:f>
      </x:c>
    </x:row>
    <x:row r="622">
      <x:c r="A622" s="30" t="str">
        <x:f>IF(B622="","",B622&amp;"-"&amp;C622)</x:f>
      </x:c>
      <x:c r="B622" s="30" t="str">
        <x:f>'01_命例主档'!A40</x:f>
      </x:c>
      <x:c r="C622" s="30" t="str">
        <x:v>M06</x:v>
      </x:c>
      <x:c r="D622" s="30" t="str">
        <x:v>干支关系效应</x:v>
      </x:c>
      <x:c r="E622" s="30" t="str">
        <x:v>效应层</x:v>
      </x:c>
      <x:c r="F622" s="30" t="str">
        <x:v>M03/M04/M05</x:v>
      </x:c>
      <x:c r="G622" s="30" t="str">
        <x:v>未开始</x:v>
      </x:c>
      <x:c r="H622" s="30" t="str"/>
      <x:c r="I622" s="30" t="str"/>
      <x:c r="J622" s="30" t="str"/>
      <x:c r="K622" s="30" t="str"/>
      <x:c r="L622" s="30" t="str"/>
      <x:c r="M622" s="30" t="str"/>
      <x:c r="N622" s="30" t="str"/>
      <x:c r="O622" s="30" t="str"/>
      <x:c r="P622" s="30" t="str"/>
      <x:c r="Q622" s="31" t="str"/>
      <x:c r="R622" s="31" t="str"/>
      <x:c r="S622" s="30" t="str"/>
      <x:c r="T622" s="30" t="str"/>
      <x:c r="U622" s="30" t="str"/>
      <x:c r="V622" s="40" t="str">
        <x:f>IF(B622="","",COUNTA(H622:L622)/5)</x:f>
      </x:c>
    </x:row>
    <x:row r="623">
      <x:c r="A623" s="30" t="str">
        <x:f>IF(B623="","",B623&amp;"-"&amp;C623)</x:f>
      </x:c>
      <x:c r="B623" s="30" t="str">
        <x:f>'01_命例主档'!A40</x:f>
      </x:c>
      <x:c r="C623" s="30" t="str">
        <x:v>M07</x:v>
      </x:c>
      <x:c r="D623" s="30" t="str">
        <x:v>五行原始旺衰</x:v>
      </x:c>
      <x:c r="E623" s="30" t="str">
        <x:v>结构层</x:v>
      </x:c>
      <x:c r="F623" s="30" t="str">
        <x:v>M02/M03</x:v>
      </x:c>
      <x:c r="G623" s="30" t="str">
        <x:v>未开始</x:v>
      </x:c>
      <x:c r="H623" s="30" t="str"/>
      <x:c r="I623" s="30" t="str"/>
      <x:c r="J623" s="30" t="str"/>
      <x:c r="K623" s="30" t="str"/>
      <x:c r="L623" s="30" t="str"/>
      <x:c r="M623" s="30" t="str"/>
      <x:c r="N623" s="30" t="str"/>
      <x:c r="O623" s="30" t="str"/>
      <x:c r="P623" s="30" t="str"/>
      <x:c r="Q623" s="31" t="str"/>
      <x:c r="R623" s="31" t="str"/>
      <x:c r="S623" s="30" t="str"/>
      <x:c r="T623" s="30" t="str"/>
      <x:c r="U623" s="30" t="str"/>
      <x:c r="V623" s="40" t="str">
        <x:f>IF(B623="","",COUNTA(H623:L623)/5)</x:f>
      </x:c>
    </x:row>
    <x:row r="624">
      <x:c r="A624" s="30" t="str">
        <x:f>IF(B624="","",B624&amp;"-"&amp;C624)</x:f>
      </x:c>
      <x:c r="B624" s="30" t="str">
        <x:f>'01_命例主档'!A40</x:f>
      </x:c>
      <x:c r="C624" s="30" t="str">
        <x:v>M08</x:v>
      </x:c>
      <x:c r="D624" s="30" t="str">
        <x:v>五行有效旺衰</x:v>
      </x:c>
      <x:c r="E624" s="30" t="str">
        <x:v>结构层</x:v>
      </x:c>
      <x:c r="F624" s="30" t="str">
        <x:v>M06/M07</x:v>
      </x:c>
      <x:c r="G624" s="30" t="str">
        <x:v>未开始</x:v>
      </x:c>
      <x:c r="H624" s="30" t="str"/>
      <x:c r="I624" s="30" t="str"/>
      <x:c r="J624" s="30" t="str"/>
      <x:c r="K624" s="30" t="str"/>
      <x:c r="L624" s="30" t="str"/>
      <x:c r="M624" s="30" t="str"/>
      <x:c r="N624" s="30" t="str"/>
      <x:c r="O624" s="30" t="str"/>
      <x:c r="P624" s="30" t="str"/>
      <x:c r="Q624" s="31" t="str"/>
      <x:c r="R624" s="31" t="str"/>
      <x:c r="S624" s="30" t="str"/>
      <x:c r="T624" s="30" t="str"/>
      <x:c r="U624" s="30" t="str"/>
      <x:c r="V624" s="40" t="str">
        <x:f>IF(B624="","",COUNTA(H624:L624)/5)</x:f>
      </x:c>
    </x:row>
    <x:row r="625">
      <x:c r="A625" s="30" t="str">
        <x:f>IF(B625="","",B625&amp;"-"&amp;C625)</x:f>
      </x:c>
      <x:c r="B625" s="30" t="str">
        <x:f>'01_命例主档'!A40</x:f>
      </x:c>
      <x:c r="C625" s="30" t="str">
        <x:v>M09</x:v>
      </x:c>
      <x:c r="D625" s="30" t="str">
        <x:v>日主旺衰</x:v>
      </x:c>
      <x:c r="E625" s="30" t="str">
        <x:v>综合层</x:v>
      </x:c>
      <x:c r="F625" s="30" t="str">
        <x:v>M03/M07/M08</x:v>
      </x:c>
      <x:c r="G625" s="30" t="str">
        <x:v>未开始</x:v>
      </x:c>
      <x:c r="H625" s="30" t="str"/>
      <x:c r="I625" s="30" t="str"/>
      <x:c r="J625" s="30" t="str"/>
      <x:c r="K625" s="30" t="str"/>
      <x:c r="L625" s="30" t="str"/>
      <x:c r="M625" s="30" t="str"/>
      <x:c r="N625" s="30" t="str"/>
      <x:c r="O625" s="30" t="str"/>
      <x:c r="P625" s="30" t="str"/>
      <x:c r="Q625" s="31" t="str"/>
      <x:c r="R625" s="31" t="str"/>
      <x:c r="S625" s="30" t="str"/>
      <x:c r="T625" s="30" t="str"/>
      <x:c r="U625" s="30" t="str"/>
      <x:c r="V625" s="40" t="str">
        <x:f>IF(B625="","",COUNTA(H625:L625)/5)</x:f>
      </x:c>
    </x:row>
    <x:row r="626">
      <x:c r="A626" s="30" t="str">
        <x:f>IF(B626="","",B626&amp;"-"&amp;C626)</x:f>
      </x:c>
      <x:c r="B626" s="30" t="str">
        <x:f>'01_命例主档'!A40</x:f>
      </x:c>
      <x:c r="C626" s="30" t="str">
        <x:v>M10</x:v>
      </x:c>
      <x:c r="D626" s="30" t="str">
        <x:v>十神旺衰功能</x:v>
      </x:c>
      <x:c r="E626" s="30" t="str">
        <x:v>结构层</x:v>
      </x:c>
      <x:c r="F626" s="30" t="str">
        <x:v>M02/M08/M09</x:v>
      </x:c>
      <x:c r="G626" s="30" t="str">
        <x:v>未开始</x:v>
      </x:c>
      <x:c r="H626" s="30" t="str"/>
      <x:c r="I626" s="30" t="str"/>
      <x:c r="J626" s="30" t="str"/>
      <x:c r="K626" s="30" t="str"/>
      <x:c r="L626" s="30" t="str"/>
      <x:c r="M626" s="30" t="str"/>
      <x:c r="N626" s="30" t="str"/>
      <x:c r="O626" s="30" t="str"/>
      <x:c r="P626" s="30" t="str"/>
      <x:c r="Q626" s="31" t="str"/>
      <x:c r="R626" s="31" t="str"/>
      <x:c r="S626" s="30" t="str"/>
      <x:c r="T626" s="30" t="str"/>
      <x:c r="U626" s="30" t="str"/>
      <x:c r="V626" s="40" t="str">
        <x:f>IF(B626="","",COUNTA(H626:L626)/5)</x:f>
      </x:c>
    </x:row>
    <x:row r="627">
      <x:c r="A627" s="30" t="str">
        <x:f>IF(B627="","",B627&amp;"-"&amp;C627)</x:f>
      </x:c>
      <x:c r="B627" s="30" t="str">
        <x:f>'01_命例主档'!A40</x:f>
      </x:c>
      <x:c r="C627" s="30" t="str">
        <x:v>M11</x:v>
      </x:c>
      <x:c r="D627" s="30" t="str">
        <x:v>十神组合成立</x:v>
      </x:c>
      <x:c r="E627" s="30" t="str">
        <x:v>结构层</x:v>
      </x:c>
      <x:c r="F627" s="30" t="str">
        <x:v>M08/M09/M10</x:v>
      </x:c>
      <x:c r="G627" s="30" t="str">
        <x:v>未开始</x:v>
      </x:c>
      <x:c r="H627" s="30" t="str"/>
      <x:c r="I627" s="30" t="str"/>
      <x:c r="J627" s="30" t="str"/>
      <x:c r="K627" s="30" t="str"/>
      <x:c r="L627" s="30" t="str"/>
      <x:c r="M627" s="30" t="str"/>
      <x:c r="N627" s="30" t="str"/>
      <x:c r="O627" s="30" t="str"/>
      <x:c r="P627" s="30" t="str"/>
      <x:c r="Q627" s="31" t="str"/>
      <x:c r="R627" s="31" t="str"/>
      <x:c r="S627" s="30" t="str"/>
      <x:c r="T627" s="30" t="str"/>
      <x:c r="U627" s="30" t="str"/>
      <x:c r="V627" s="40" t="str">
        <x:f>IF(B627="","",COUNTA(H627:L627)/5)</x:f>
      </x:c>
    </x:row>
    <x:row r="628">
      <x:c r="A628" s="30" t="str">
        <x:f>IF(B628="","",B628&amp;"-"&amp;C628)</x:f>
      </x:c>
      <x:c r="B628" s="30" t="str">
        <x:f>'01_命例主档'!A40</x:f>
      </x:c>
      <x:c r="C628" s="30" t="str">
        <x:v>M12</x:v>
      </x:c>
      <x:c r="D628" s="30" t="str">
        <x:v>五行流通卡点</x:v>
      </x:c>
      <x:c r="E628" s="30" t="str">
        <x:v>结构层</x:v>
      </x:c>
      <x:c r="F628" s="30" t="str">
        <x:v>M06/M08/M10/M11</x:v>
      </x:c>
      <x:c r="G628" s="30" t="str">
        <x:v>未开始</x:v>
      </x:c>
      <x:c r="H628" s="30" t="str"/>
      <x:c r="I628" s="30" t="str"/>
      <x:c r="J628" s="30" t="str"/>
      <x:c r="K628" s="30" t="str"/>
      <x:c r="L628" s="30" t="str"/>
      <x:c r="M628" s="30" t="str"/>
      <x:c r="N628" s="30" t="str"/>
      <x:c r="O628" s="30" t="str"/>
      <x:c r="P628" s="30" t="str"/>
      <x:c r="Q628" s="31" t="str"/>
      <x:c r="R628" s="31" t="str"/>
      <x:c r="S628" s="30" t="str"/>
      <x:c r="T628" s="30" t="str"/>
      <x:c r="U628" s="30" t="str"/>
      <x:c r="V628" s="40" t="str">
        <x:f>IF(B628="","",COUNTA(H628:L628)/5)</x:f>
      </x:c>
    </x:row>
    <x:row r="629">
      <x:c r="A629" s="30" t="str">
        <x:f>IF(B629="","",B629&amp;"-"&amp;C629)</x:f>
      </x:c>
      <x:c r="B629" s="30" t="str">
        <x:f>'01_命例主档'!A40</x:f>
      </x:c>
      <x:c r="C629" s="30" t="str">
        <x:v>M13</x:v>
      </x:c>
      <x:c r="D629" s="30" t="str">
        <x:v>寒暖燥湿</x:v>
      </x:c>
      <x:c r="E629" s="30" t="str">
        <x:v>结构层</x:v>
      </x:c>
      <x:c r="F629" s="30" t="str">
        <x:v>M02/M08/M12</x:v>
      </x:c>
      <x:c r="G629" s="30" t="str">
        <x:v>未开始</x:v>
      </x:c>
      <x:c r="H629" s="30" t="str"/>
      <x:c r="I629" s="30" t="str"/>
      <x:c r="J629" s="30" t="str"/>
      <x:c r="K629" s="30" t="str"/>
      <x:c r="L629" s="30" t="str"/>
      <x:c r="M629" s="30" t="str"/>
      <x:c r="N629" s="30" t="str"/>
      <x:c r="O629" s="30" t="str"/>
      <x:c r="P629" s="30" t="str"/>
      <x:c r="Q629" s="31" t="str"/>
      <x:c r="R629" s="31" t="str"/>
      <x:c r="S629" s="30" t="str"/>
      <x:c r="T629" s="30" t="str"/>
      <x:c r="U629" s="30" t="str"/>
      <x:c r="V629" s="40" t="str">
        <x:f>IF(B629="","",COUNTA(H629:L629)/5)</x:f>
      </x:c>
    </x:row>
    <x:row r="630">
      <x:c r="A630" s="30" t="str">
        <x:f>IF(B630="","",B630&amp;"-"&amp;C630)</x:f>
      </x:c>
      <x:c r="B630" s="30" t="str">
        <x:f>'01_命例主档'!A40</x:f>
      </x:c>
      <x:c r="C630" s="30" t="str">
        <x:v>M14</x:v>
      </x:c>
      <x:c r="D630" s="30" t="str">
        <x:v>格局候选判断</x:v>
      </x:c>
      <x:c r="E630" s="30" t="str">
        <x:v>综合层</x:v>
      </x:c>
      <x:c r="F630" s="30" t="str">
        <x:v>M03/M06/M08/M09/M10/M11</x:v>
      </x:c>
      <x:c r="G630" s="30" t="str">
        <x:v>未开始</x:v>
      </x:c>
      <x:c r="H630" s="30" t="str"/>
      <x:c r="I630" s="30" t="str"/>
      <x:c r="J630" s="30" t="str"/>
      <x:c r="K630" s="30" t="str"/>
      <x:c r="L630" s="30" t="str"/>
      <x:c r="M630" s="30" t="str"/>
      <x:c r="N630" s="30" t="str"/>
      <x:c r="O630" s="30" t="str"/>
      <x:c r="P630" s="30" t="str"/>
      <x:c r="Q630" s="31" t="str"/>
      <x:c r="R630" s="31" t="str"/>
      <x:c r="S630" s="30" t="str"/>
      <x:c r="T630" s="30" t="str"/>
      <x:c r="U630" s="30" t="str"/>
      <x:c r="V630" s="40" t="str">
        <x:f>IF(B630="","",COUNTA(H630:L630)/5)</x:f>
      </x:c>
    </x:row>
    <x:row r="631">
      <x:c r="A631" s="30" t="str">
        <x:f>IF(B631="","",B631&amp;"-"&amp;C631)</x:f>
      </x:c>
      <x:c r="B631" s="30" t="str">
        <x:f>'01_命例主档'!A40</x:f>
      </x:c>
      <x:c r="C631" s="30" t="str">
        <x:v>M15</x:v>
      </x:c>
      <x:c r="D631" s="30" t="str">
        <x:v>格局成败救应</x:v>
      </x:c>
      <x:c r="E631" s="30" t="str">
        <x:v>综合层</x:v>
      </x:c>
      <x:c r="F631" s="30" t="str">
        <x:v>M14/M11/M08</x:v>
      </x:c>
      <x:c r="G631" s="30" t="str">
        <x:v>未开始</x:v>
      </x:c>
      <x:c r="H631" s="30" t="str"/>
      <x:c r="I631" s="30" t="str"/>
      <x:c r="J631" s="30" t="str"/>
      <x:c r="K631" s="30" t="str"/>
      <x:c r="L631" s="30" t="str"/>
      <x:c r="M631" s="30" t="str"/>
      <x:c r="N631" s="30" t="str"/>
      <x:c r="O631" s="30" t="str"/>
      <x:c r="P631" s="30" t="str"/>
      <x:c r="Q631" s="31" t="str"/>
      <x:c r="R631" s="31" t="str"/>
      <x:c r="S631" s="30" t="str"/>
      <x:c r="T631" s="30" t="str"/>
      <x:c r="U631" s="30" t="str"/>
      <x:c r="V631" s="40" t="str">
        <x:f>IF(B631="","",COUNTA(H631:L631)/5)</x:f>
      </x:c>
    </x:row>
    <x:row r="632">
      <x:c r="A632" s="30" t="str">
        <x:f>IF(B632="","",B632&amp;"-"&amp;C632)</x:f>
      </x:c>
      <x:c r="B632" s="30" t="str">
        <x:f>'01_命例主档'!A40</x:f>
      </x:c>
      <x:c r="C632" s="30" t="str">
        <x:v>M16</x:v>
      </x:c>
      <x:c r="D632" s="30" t="str">
        <x:v>病药模型</x:v>
      </x:c>
      <x:c r="E632" s="30" t="str">
        <x:v>综合层</x:v>
      </x:c>
      <x:c r="F632" s="30" t="str">
        <x:v>M08-M15</x:v>
      </x:c>
      <x:c r="G632" s="30" t="str">
        <x:v>未开始</x:v>
      </x:c>
      <x:c r="H632" s="30" t="str"/>
      <x:c r="I632" s="30" t="str"/>
      <x:c r="J632" s="30" t="str"/>
      <x:c r="K632" s="30" t="str"/>
      <x:c r="L632" s="30" t="str"/>
      <x:c r="M632" s="30" t="str"/>
      <x:c r="N632" s="30" t="str"/>
      <x:c r="O632" s="30" t="str"/>
      <x:c r="P632" s="30" t="str"/>
      <x:c r="Q632" s="31" t="str"/>
      <x:c r="R632" s="31" t="str"/>
      <x:c r="S632" s="30" t="str"/>
      <x:c r="T632" s="30" t="str"/>
      <x:c r="U632" s="30" t="str"/>
      <x:c r="V632" s="40" t="str">
        <x:f>IF(B632="","",COUNTA(H632:L632)/5)</x:f>
      </x:c>
    </x:row>
    <x:row r="633">
      <x:c r="A633" s="30" t="str">
        <x:f>IF(B633="","",B633&amp;"-"&amp;C633)</x:f>
      </x:c>
      <x:c r="B633" s="30" t="str">
        <x:f>'01_命例主档'!A40</x:f>
      </x:c>
      <x:c r="C633" s="30" t="str">
        <x:v>M17</x:v>
      </x:c>
      <x:c r="D633" s="30" t="str">
        <x:v>喜忌用神矩阵</x:v>
      </x:c>
      <x:c r="E633" s="30" t="str">
        <x:v>综合层</x:v>
      </x:c>
      <x:c r="F633" s="30" t="str">
        <x:v>M09/M12/M13/M15/M16</x:v>
      </x:c>
      <x:c r="G633" s="30" t="str">
        <x:v>未开始</x:v>
      </x:c>
      <x:c r="H633" s="30" t="str"/>
      <x:c r="I633" s="30" t="str"/>
      <x:c r="J633" s="30" t="str"/>
      <x:c r="K633" s="30" t="str"/>
      <x:c r="L633" s="30" t="str"/>
      <x:c r="M633" s="30" t="str"/>
      <x:c r="N633" s="30" t="str"/>
      <x:c r="O633" s="30" t="str"/>
      <x:c r="P633" s="30" t="str"/>
      <x:c r="Q633" s="31" t="str"/>
      <x:c r="R633" s="31" t="str"/>
      <x:c r="S633" s="30" t="str"/>
      <x:c r="T633" s="30" t="str"/>
      <x:c r="U633" s="30" t="str"/>
      <x:c r="V633" s="40" t="str">
        <x:f>IF(B633="","",COUNTA(H633:L633)/5)</x:f>
      </x:c>
    </x:row>
    <x:row r="634">
      <x:c r="A634" s="30" t="str">
        <x:f>IF(B634="","",B634&amp;"-"&amp;C634)</x:f>
      </x:c>
      <x:c r="B634" s="30" t="str">
        <x:f>'01_命例主档'!A40</x:f>
      </x:c>
      <x:c r="C634" s="30" t="str">
        <x:v>M18</x:v>
      </x:c>
      <x:c r="D634" s="30" t="str">
        <x:v>冲突裁决规则</x:v>
      </x:c>
      <x:c r="E634" s="30" t="str">
        <x:v>综合层</x:v>
      </x:c>
      <x:c r="F634" s="30" t="str">
        <x:v>M14/M15/M16/M17</x:v>
      </x:c>
      <x:c r="G634" s="30" t="str">
        <x:v>未开始</x:v>
      </x:c>
      <x:c r="H634" s="30" t="str"/>
      <x:c r="I634" s="30" t="str"/>
      <x:c r="J634" s="30" t="str"/>
      <x:c r="K634" s="30" t="str"/>
      <x:c r="L634" s="30" t="str"/>
      <x:c r="M634" s="30" t="str"/>
      <x:c r="N634" s="30" t="str"/>
      <x:c r="O634" s="30" t="str"/>
      <x:c r="P634" s="30" t="str"/>
      <x:c r="Q634" s="31" t="str"/>
      <x:c r="R634" s="31" t="str"/>
      <x:c r="S634" s="30" t="str"/>
      <x:c r="T634" s="30" t="str"/>
      <x:c r="U634" s="30" t="str"/>
      <x:c r="V634" s="40" t="str">
        <x:f>IF(B634="","",COUNTA(H634:L634)/5)</x:f>
      </x:c>
    </x:row>
    <x:row r="635">
      <x:c r="A635" s="30" t="str">
        <x:f>IF(B635="","",B635&amp;"-"&amp;C635)</x:f>
      </x:c>
      <x:c r="B635" s="30" t="str">
        <x:f>'01_命例主档'!A40</x:f>
      </x:c>
      <x:c r="C635" s="30" t="str">
        <x:v>M19</x:v>
      </x:c>
      <x:c r="D635" s="30" t="str">
        <x:v>综合输出模板</x:v>
      </x:c>
      <x:c r="E635" s="30" t="str">
        <x:v>治理与输出</x:v>
      </x:c>
      <x:c r="F635" s="30" t="str">
        <x:v>M02-M18</x:v>
      </x:c>
      <x:c r="G635" s="30" t="str">
        <x:v>未开始</x:v>
      </x:c>
      <x:c r="H635" s="30" t="str"/>
      <x:c r="I635" s="30" t="str"/>
      <x:c r="J635" s="30" t="str"/>
      <x:c r="K635" s="30" t="str"/>
      <x:c r="L635" s="30" t="str"/>
      <x:c r="M635" s="30" t="str"/>
      <x:c r="N635" s="30" t="str"/>
      <x:c r="O635" s="30" t="str"/>
      <x:c r="P635" s="30" t="str"/>
      <x:c r="Q635" s="31" t="str"/>
      <x:c r="R635" s="31" t="str"/>
      <x:c r="S635" s="30" t="str"/>
      <x:c r="T635" s="30" t="str"/>
      <x:c r="U635" s="30" t="str"/>
      <x:c r="V635" s="40" t="str">
        <x:f>IF(B635="","",COUNTA(H635:L635)/5)</x:f>
      </x:c>
    </x:row>
    <x:row r="636">
      <x:c r="A636" s="30" t="str">
        <x:f>IF(B636="","",B636&amp;"-"&amp;C636)</x:f>
      </x:c>
      <x:c r="B636" s="30" t="str">
        <x:f>'01_命例主档'!A41</x:f>
      </x:c>
      <x:c r="C636" s="30" t="str">
        <x:v>M02</x:v>
      </x:c>
      <x:c r="D636" s="30" t="str">
        <x:v>干支藏干基础</x:v>
      </x:c>
      <x:c r="E636" s="30" t="str">
        <x:v>识别层</x:v>
      </x:c>
      <x:c r="F636" s="30" t="str">
        <x:v>无</x:v>
      </x:c>
      <x:c r="G636" s="30" t="str">
        <x:v>未开始</x:v>
      </x:c>
      <x:c r="H636" s="30" t="str"/>
      <x:c r="I636" s="30" t="str"/>
      <x:c r="J636" s="30" t="str"/>
      <x:c r="K636" s="30" t="str"/>
      <x:c r="L636" s="30" t="str"/>
      <x:c r="M636" s="30" t="str"/>
      <x:c r="N636" s="30" t="str"/>
      <x:c r="O636" s="30" t="str"/>
      <x:c r="P636" s="30" t="str"/>
      <x:c r="Q636" s="31" t="str"/>
      <x:c r="R636" s="31" t="str"/>
      <x:c r="S636" s="30" t="str"/>
      <x:c r="T636" s="30" t="str"/>
      <x:c r="U636" s="30" t="str"/>
      <x:c r="V636" s="40" t="str">
        <x:f>IF(B636="","",COUNTA(H636:L636)/5)</x:f>
      </x:c>
    </x:row>
    <x:row r="637">
      <x:c r="A637" s="30" t="str">
        <x:f>IF(B637="","",B637&amp;"-"&amp;C637)</x:f>
      </x:c>
      <x:c r="B637" s="30" t="str">
        <x:f>'01_命例主档'!A41</x:f>
      </x:c>
      <x:c r="C637" s="30" t="str">
        <x:v>M03</x:v>
      </x:c>
      <x:c r="D637" s="30" t="str">
        <x:v>月令与根气</x:v>
      </x:c>
      <x:c r="E637" s="30" t="str">
        <x:v>结构层</x:v>
      </x:c>
      <x:c r="F637" s="30" t="str">
        <x:v>M02</x:v>
      </x:c>
      <x:c r="G637" s="30" t="str">
        <x:v>未开始</x:v>
      </x:c>
      <x:c r="H637" s="30" t="str"/>
      <x:c r="I637" s="30" t="str"/>
      <x:c r="J637" s="30" t="str"/>
      <x:c r="K637" s="30" t="str"/>
      <x:c r="L637" s="30" t="str"/>
      <x:c r="M637" s="30" t="str"/>
      <x:c r="N637" s="30" t="str"/>
      <x:c r="O637" s="30" t="str"/>
      <x:c r="P637" s="30" t="str"/>
      <x:c r="Q637" s="31" t="str"/>
      <x:c r="R637" s="31" t="str"/>
      <x:c r="S637" s="30" t="str"/>
      <x:c r="T637" s="30" t="str"/>
      <x:c r="U637" s="30" t="str"/>
      <x:c r="V637" s="40" t="str">
        <x:f>IF(B637="","",COUNTA(H637:L637)/5)</x:f>
      </x:c>
    </x:row>
    <x:row r="638">
      <x:c r="A638" s="30" t="str">
        <x:f>IF(B638="","",B638&amp;"-"&amp;C638)</x:f>
      </x:c>
      <x:c r="B638" s="30" t="str">
        <x:f>'01_命例主档'!A41</x:f>
      </x:c>
      <x:c r="C638" s="30" t="str">
        <x:v>M04</x:v>
      </x:c>
      <x:c r="D638" s="30" t="str">
        <x:v>天干作用识别</x:v>
      </x:c>
      <x:c r="E638" s="30" t="str">
        <x:v>识别层</x:v>
      </x:c>
      <x:c r="F638" s="30" t="str">
        <x:v>M02</x:v>
      </x:c>
      <x:c r="G638" s="30" t="str">
        <x:v>未开始</x:v>
      </x:c>
      <x:c r="H638" s="30" t="str"/>
      <x:c r="I638" s="30" t="str"/>
      <x:c r="J638" s="30" t="str"/>
      <x:c r="K638" s="30" t="str"/>
      <x:c r="L638" s="30" t="str"/>
      <x:c r="M638" s="30" t="str"/>
      <x:c r="N638" s="30" t="str"/>
      <x:c r="O638" s="30" t="str"/>
      <x:c r="P638" s="30" t="str"/>
      <x:c r="Q638" s="31" t="str"/>
      <x:c r="R638" s="31" t="str"/>
      <x:c r="S638" s="30" t="str"/>
      <x:c r="T638" s="30" t="str"/>
      <x:c r="U638" s="30" t="str"/>
      <x:c r="V638" s="40" t="str">
        <x:f>IF(B638="","",COUNTA(H638:L638)/5)</x:f>
      </x:c>
    </x:row>
    <x:row r="639">
      <x:c r="A639" s="30" t="str">
        <x:f>IF(B639="","",B639&amp;"-"&amp;C639)</x:f>
      </x:c>
      <x:c r="B639" s="30" t="str">
        <x:f>'01_命例主档'!A41</x:f>
      </x:c>
      <x:c r="C639" s="30" t="str">
        <x:v>M05</x:v>
      </x:c>
      <x:c r="D639" s="30" t="str">
        <x:v>地支关系识别</x:v>
      </x:c>
      <x:c r="E639" s="30" t="str">
        <x:v>识别层</x:v>
      </x:c>
      <x:c r="F639" s="30" t="str">
        <x:v>M02</x:v>
      </x:c>
      <x:c r="G639" s="30" t="str">
        <x:v>未开始</x:v>
      </x:c>
      <x:c r="H639" s="30" t="str"/>
      <x:c r="I639" s="30" t="str"/>
      <x:c r="J639" s="30" t="str"/>
      <x:c r="K639" s="30" t="str"/>
      <x:c r="L639" s="30" t="str"/>
      <x:c r="M639" s="30" t="str"/>
      <x:c r="N639" s="30" t="str"/>
      <x:c r="O639" s="30" t="str"/>
      <x:c r="P639" s="30" t="str"/>
      <x:c r="Q639" s="31" t="str"/>
      <x:c r="R639" s="31" t="str"/>
      <x:c r="S639" s="30" t="str"/>
      <x:c r="T639" s="30" t="str"/>
      <x:c r="U639" s="30" t="str"/>
      <x:c r="V639" s="40" t="str">
        <x:f>IF(B639="","",COUNTA(H639:L639)/5)</x:f>
      </x:c>
    </x:row>
    <x:row r="640">
      <x:c r="A640" s="30" t="str">
        <x:f>IF(B640="","",B640&amp;"-"&amp;C640)</x:f>
      </x:c>
      <x:c r="B640" s="30" t="str">
        <x:f>'01_命例主档'!A41</x:f>
      </x:c>
      <x:c r="C640" s="30" t="str">
        <x:v>M06</x:v>
      </x:c>
      <x:c r="D640" s="30" t="str">
        <x:v>干支关系效应</x:v>
      </x:c>
      <x:c r="E640" s="30" t="str">
        <x:v>效应层</x:v>
      </x:c>
      <x:c r="F640" s="30" t="str">
        <x:v>M03/M04/M05</x:v>
      </x:c>
      <x:c r="G640" s="30" t="str">
        <x:v>未开始</x:v>
      </x:c>
      <x:c r="H640" s="30" t="str"/>
      <x:c r="I640" s="30" t="str"/>
      <x:c r="J640" s="30" t="str"/>
      <x:c r="K640" s="30" t="str"/>
      <x:c r="L640" s="30" t="str"/>
      <x:c r="M640" s="30" t="str"/>
      <x:c r="N640" s="30" t="str"/>
      <x:c r="O640" s="30" t="str"/>
      <x:c r="P640" s="30" t="str"/>
      <x:c r="Q640" s="31" t="str"/>
      <x:c r="R640" s="31" t="str"/>
      <x:c r="S640" s="30" t="str"/>
      <x:c r="T640" s="30" t="str"/>
      <x:c r="U640" s="30" t="str"/>
      <x:c r="V640" s="40" t="str">
        <x:f>IF(B640="","",COUNTA(H640:L640)/5)</x:f>
      </x:c>
    </x:row>
    <x:row r="641">
      <x:c r="A641" s="30" t="str">
        <x:f>IF(B641="","",B641&amp;"-"&amp;C641)</x:f>
      </x:c>
      <x:c r="B641" s="30" t="str">
        <x:f>'01_命例主档'!A41</x:f>
      </x:c>
      <x:c r="C641" s="30" t="str">
        <x:v>M07</x:v>
      </x:c>
      <x:c r="D641" s="30" t="str">
        <x:v>五行原始旺衰</x:v>
      </x:c>
      <x:c r="E641" s="30" t="str">
        <x:v>结构层</x:v>
      </x:c>
      <x:c r="F641" s="30" t="str">
        <x:v>M02/M03</x:v>
      </x:c>
      <x:c r="G641" s="30" t="str">
        <x:v>未开始</x:v>
      </x:c>
      <x:c r="H641" s="30" t="str"/>
      <x:c r="I641" s="30" t="str"/>
      <x:c r="J641" s="30" t="str"/>
      <x:c r="K641" s="30" t="str"/>
      <x:c r="L641" s="30" t="str"/>
      <x:c r="M641" s="30" t="str"/>
      <x:c r="N641" s="30" t="str"/>
      <x:c r="O641" s="30" t="str"/>
      <x:c r="P641" s="30" t="str"/>
      <x:c r="Q641" s="31" t="str"/>
      <x:c r="R641" s="31" t="str"/>
      <x:c r="S641" s="30" t="str"/>
      <x:c r="T641" s="30" t="str"/>
      <x:c r="U641" s="30" t="str"/>
      <x:c r="V641" s="40" t="str">
        <x:f>IF(B641="","",COUNTA(H641:L641)/5)</x:f>
      </x:c>
    </x:row>
    <x:row r="642">
      <x:c r="A642" s="30" t="str">
        <x:f>IF(B642="","",B642&amp;"-"&amp;C642)</x:f>
      </x:c>
      <x:c r="B642" s="30" t="str">
        <x:f>'01_命例主档'!A41</x:f>
      </x:c>
      <x:c r="C642" s="30" t="str">
        <x:v>M08</x:v>
      </x:c>
      <x:c r="D642" s="30" t="str">
        <x:v>五行有效旺衰</x:v>
      </x:c>
      <x:c r="E642" s="30" t="str">
        <x:v>结构层</x:v>
      </x:c>
      <x:c r="F642" s="30" t="str">
        <x:v>M06/M07</x:v>
      </x:c>
      <x:c r="G642" s="30" t="str">
        <x:v>未开始</x:v>
      </x:c>
      <x:c r="H642" s="30" t="str"/>
      <x:c r="I642" s="30" t="str"/>
      <x:c r="J642" s="30" t="str"/>
      <x:c r="K642" s="30" t="str"/>
      <x:c r="L642" s="30" t="str"/>
      <x:c r="M642" s="30" t="str"/>
      <x:c r="N642" s="30" t="str"/>
      <x:c r="O642" s="30" t="str"/>
      <x:c r="P642" s="30" t="str"/>
      <x:c r="Q642" s="31" t="str"/>
      <x:c r="R642" s="31" t="str"/>
      <x:c r="S642" s="30" t="str"/>
      <x:c r="T642" s="30" t="str"/>
      <x:c r="U642" s="30" t="str"/>
      <x:c r="V642" s="40" t="str">
        <x:f>IF(B642="","",COUNTA(H642:L642)/5)</x:f>
      </x:c>
    </x:row>
    <x:row r="643">
      <x:c r="A643" s="30" t="str">
        <x:f>IF(B643="","",B643&amp;"-"&amp;C643)</x:f>
      </x:c>
      <x:c r="B643" s="30" t="str">
        <x:f>'01_命例主档'!A41</x:f>
      </x:c>
      <x:c r="C643" s="30" t="str">
        <x:v>M09</x:v>
      </x:c>
      <x:c r="D643" s="30" t="str">
        <x:v>日主旺衰</x:v>
      </x:c>
      <x:c r="E643" s="30" t="str">
        <x:v>综合层</x:v>
      </x:c>
      <x:c r="F643" s="30" t="str">
        <x:v>M03/M07/M08</x:v>
      </x:c>
      <x:c r="G643" s="30" t="str">
        <x:v>未开始</x:v>
      </x:c>
      <x:c r="H643" s="30" t="str"/>
      <x:c r="I643" s="30" t="str"/>
      <x:c r="J643" s="30" t="str"/>
      <x:c r="K643" s="30" t="str"/>
      <x:c r="L643" s="30" t="str"/>
      <x:c r="M643" s="30" t="str"/>
      <x:c r="N643" s="30" t="str"/>
      <x:c r="O643" s="30" t="str"/>
      <x:c r="P643" s="30" t="str"/>
      <x:c r="Q643" s="31" t="str"/>
      <x:c r="R643" s="31" t="str"/>
      <x:c r="S643" s="30" t="str"/>
      <x:c r="T643" s="30" t="str"/>
      <x:c r="U643" s="30" t="str"/>
      <x:c r="V643" s="40" t="str">
        <x:f>IF(B643="","",COUNTA(H643:L643)/5)</x:f>
      </x:c>
    </x:row>
    <x:row r="644">
      <x:c r="A644" s="30" t="str">
        <x:f>IF(B644="","",B644&amp;"-"&amp;C644)</x:f>
      </x:c>
      <x:c r="B644" s="30" t="str">
        <x:f>'01_命例主档'!A41</x:f>
      </x:c>
      <x:c r="C644" s="30" t="str">
        <x:v>M10</x:v>
      </x:c>
      <x:c r="D644" s="30" t="str">
        <x:v>十神旺衰功能</x:v>
      </x:c>
      <x:c r="E644" s="30" t="str">
        <x:v>结构层</x:v>
      </x:c>
      <x:c r="F644" s="30" t="str">
        <x:v>M02/M08/M09</x:v>
      </x:c>
      <x:c r="G644" s="30" t="str">
        <x:v>未开始</x:v>
      </x:c>
      <x:c r="H644" s="30" t="str"/>
      <x:c r="I644" s="30" t="str"/>
      <x:c r="J644" s="30" t="str"/>
      <x:c r="K644" s="30" t="str"/>
      <x:c r="L644" s="30" t="str"/>
      <x:c r="M644" s="30" t="str"/>
      <x:c r="N644" s="30" t="str"/>
      <x:c r="O644" s="30" t="str"/>
      <x:c r="P644" s="30" t="str"/>
      <x:c r="Q644" s="31" t="str"/>
      <x:c r="R644" s="31" t="str"/>
      <x:c r="S644" s="30" t="str"/>
      <x:c r="T644" s="30" t="str"/>
      <x:c r="U644" s="30" t="str"/>
      <x:c r="V644" s="40" t="str">
        <x:f>IF(B644="","",COUNTA(H644:L644)/5)</x:f>
      </x:c>
    </x:row>
    <x:row r="645">
      <x:c r="A645" s="30" t="str">
        <x:f>IF(B645="","",B645&amp;"-"&amp;C645)</x:f>
      </x:c>
      <x:c r="B645" s="30" t="str">
        <x:f>'01_命例主档'!A41</x:f>
      </x:c>
      <x:c r="C645" s="30" t="str">
        <x:v>M11</x:v>
      </x:c>
      <x:c r="D645" s="30" t="str">
        <x:v>十神组合成立</x:v>
      </x:c>
      <x:c r="E645" s="30" t="str">
        <x:v>结构层</x:v>
      </x:c>
      <x:c r="F645" s="30" t="str">
        <x:v>M08/M09/M10</x:v>
      </x:c>
      <x:c r="G645" s="30" t="str">
        <x:v>未开始</x:v>
      </x:c>
      <x:c r="H645" s="30" t="str"/>
      <x:c r="I645" s="30" t="str"/>
      <x:c r="J645" s="30" t="str"/>
      <x:c r="K645" s="30" t="str"/>
      <x:c r="L645" s="30" t="str"/>
      <x:c r="M645" s="30" t="str"/>
      <x:c r="N645" s="30" t="str"/>
      <x:c r="O645" s="30" t="str"/>
      <x:c r="P645" s="30" t="str"/>
      <x:c r="Q645" s="31" t="str"/>
      <x:c r="R645" s="31" t="str"/>
      <x:c r="S645" s="30" t="str"/>
      <x:c r="T645" s="30" t="str"/>
      <x:c r="U645" s="30" t="str"/>
      <x:c r="V645" s="40" t="str">
        <x:f>IF(B645="","",COUNTA(H645:L645)/5)</x:f>
      </x:c>
    </x:row>
    <x:row r="646">
      <x:c r="A646" s="30" t="str">
        <x:f>IF(B646="","",B646&amp;"-"&amp;C646)</x:f>
      </x:c>
      <x:c r="B646" s="30" t="str">
        <x:f>'01_命例主档'!A41</x:f>
      </x:c>
      <x:c r="C646" s="30" t="str">
        <x:v>M12</x:v>
      </x:c>
      <x:c r="D646" s="30" t="str">
        <x:v>五行流通卡点</x:v>
      </x:c>
      <x:c r="E646" s="30" t="str">
        <x:v>结构层</x:v>
      </x:c>
      <x:c r="F646" s="30" t="str">
        <x:v>M06/M08/M10/M11</x:v>
      </x:c>
      <x:c r="G646" s="30" t="str">
        <x:v>未开始</x:v>
      </x:c>
      <x:c r="H646" s="30" t="str"/>
      <x:c r="I646" s="30" t="str"/>
      <x:c r="J646" s="30" t="str"/>
      <x:c r="K646" s="30" t="str"/>
      <x:c r="L646" s="30" t="str"/>
      <x:c r="M646" s="30" t="str"/>
      <x:c r="N646" s="30" t="str"/>
      <x:c r="O646" s="30" t="str"/>
      <x:c r="P646" s="30" t="str"/>
      <x:c r="Q646" s="31" t="str"/>
      <x:c r="R646" s="31" t="str"/>
      <x:c r="S646" s="30" t="str"/>
      <x:c r="T646" s="30" t="str"/>
      <x:c r="U646" s="30" t="str"/>
      <x:c r="V646" s="40" t="str">
        <x:f>IF(B646="","",COUNTA(H646:L646)/5)</x:f>
      </x:c>
    </x:row>
    <x:row r="647">
      <x:c r="A647" s="30" t="str">
        <x:f>IF(B647="","",B647&amp;"-"&amp;C647)</x:f>
      </x:c>
      <x:c r="B647" s="30" t="str">
        <x:f>'01_命例主档'!A41</x:f>
      </x:c>
      <x:c r="C647" s="30" t="str">
        <x:v>M13</x:v>
      </x:c>
      <x:c r="D647" s="30" t="str">
        <x:v>寒暖燥湿</x:v>
      </x:c>
      <x:c r="E647" s="30" t="str">
        <x:v>结构层</x:v>
      </x:c>
      <x:c r="F647" s="30" t="str">
        <x:v>M02/M08/M12</x:v>
      </x:c>
      <x:c r="G647" s="30" t="str">
        <x:v>未开始</x:v>
      </x:c>
      <x:c r="H647" s="30" t="str"/>
      <x:c r="I647" s="30" t="str"/>
      <x:c r="J647" s="30" t="str"/>
      <x:c r="K647" s="30" t="str"/>
      <x:c r="L647" s="30" t="str"/>
      <x:c r="M647" s="30" t="str"/>
      <x:c r="N647" s="30" t="str"/>
      <x:c r="O647" s="30" t="str"/>
      <x:c r="P647" s="30" t="str"/>
      <x:c r="Q647" s="31" t="str"/>
      <x:c r="R647" s="31" t="str"/>
      <x:c r="S647" s="30" t="str"/>
      <x:c r="T647" s="30" t="str"/>
      <x:c r="U647" s="30" t="str"/>
      <x:c r="V647" s="40" t="str">
        <x:f>IF(B647="","",COUNTA(H647:L647)/5)</x:f>
      </x:c>
    </x:row>
    <x:row r="648">
      <x:c r="A648" s="30" t="str">
        <x:f>IF(B648="","",B648&amp;"-"&amp;C648)</x:f>
      </x:c>
      <x:c r="B648" s="30" t="str">
        <x:f>'01_命例主档'!A41</x:f>
      </x:c>
      <x:c r="C648" s="30" t="str">
        <x:v>M14</x:v>
      </x:c>
      <x:c r="D648" s="30" t="str">
        <x:v>格局候选判断</x:v>
      </x:c>
      <x:c r="E648" s="30" t="str">
        <x:v>综合层</x:v>
      </x:c>
      <x:c r="F648" s="30" t="str">
        <x:v>M03/M06/M08/M09/M10/M11</x:v>
      </x:c>
      <x:c r="G648" s="30" t="str">
        <x:v>未开始</x:v>
      </x:c>
      <x:c r="H648" s="30" t="str"/>
      <x:c r="I648" s="30" t="str"/>
      <x:c r="J648" s="30" t="str"/>
      <x:c r="K648" s="30" t="str"/>
      <x:c r="L648" s="30" t="str"/>
      <x:c r="M648" s="30" t="str"/>
      <x:c r="N648" s="30" t="str"/>
      <x:c r="O648" s="30" t="str"/>
      <x:c r="P648" s="30" t="str"/>
      <x:c r="Q648" s="31" t="str"/>
      <x:c r="R648" s="31" t="str"/>
      <x:c r="S648" s="30" t="str"/>
      <x:c r="T648" s="30" t="str"/>
      <x:c r="U648" s="30" t="str"/>
      <x:c r="V648" s="40" t="str">
        <x:f>IF(B648="","",COUNTA(H648:L648)/5)</x:f>
      </x:c>
    </x:row>
    <x:row r="649">
      <x:c r="A649" s="30" t="str">
        <x:f>IF(B649="","",B649&amp;"-"&amp;C649)</x:f>
      </x:c>
      <x:c r="B649" s="30" t="str">
        <x:f>'01_命例主档'!A41</x:f>
      </x:c>
      <x:c r="C649" s="30" t="str">
        <x:v>M15</x:v>
      </x:c>
      <x:c r="D649" s="30" t="str">
        <x:v>格局成败救应</x:v>
      </x:c>
      <x:c r="E649" s="30" t="str">
        <x:v>综合层</x:v>
      </x:c>
      <x:c r="F649" s="30" t="str">
        <x:v>M14/M11/M08</x:v>
      </x:c>
      <x:c r="G649" s="30" t="str">
        <x:v>未开始</x:v>
      </x:c>
      <x:c r="H649" s="30" t="str"/>
      <x:c r="I649" s="30" t="str"/>
      <x:c r="J649" s="30" t="str"/>
      <x:c r="K649" s="30" t="str"/>
      <x:c r="L649" s="30" t="str"/>
      <x:c r="M649" s="30" t="str"/>
      <x:c r="N649" s="30" t="str"/>
      <x:c r="O649" s="30" t="str"/>
      <x:c r="P649" s="30" t="str"/>
      <x:c r="Q649" s="31" t="str"/>
      <x:c r="R649" s="31" t="str"/>
      <x:c r="S649" s="30" t="str"/>
      <x:c r="T649" s="30" t="str"/>
      <x:c r="U649" s="30" t="str"/>
      <x:c r="V649" s="40" t="str">
        <x:f>IF(B649="","",COUNTA(H649:L649)/5)</x:f>
      </x:c>
    </x:row>
    <x:row r="650">
      <x:c r="A650" s="30" t="str">
        <x:f>IF(B650="","",B650&amp;"-"&amp;C650)</x:f>
      </x:c>
      <x:c r="B650" s="30" t="str">
        <x:f>'01_命例主档'!A41</x:f>
      </x:c>
      <x:c r="C650" s="30" t="str">
        <x:v>M16</x:v>
      </x:c>
      <x:c r="D650" s="30" t="str">
        <x:v>病药模型</x:v>
      </x:c>
      <x:c r="E650" s="30" t="str">
        <x:v>综合层</x:v>
      </x:c>
      <x:c r="F650" s="30" t="str">
        <x:v>M08-M15</x:v>
      </x:c>
      <x:c r="G650" s="30" t="str">
        <x:v>未开始</x:v>
      </x:c>
      <x:c r="H650" s="30" t="str"/>
      <x:c r="I650" s="30" t="str"/>
      <x:c r="J650" s="30" t="str"/>
      <x:c r="K650" s="30" t="str"/>
      <x:c r="L650" s="30" t="str"/>
      <x:c r="M650" s="30" t="str"/>
      <x:c r="N650" s="30" t="str"/>
      <x:c r="O650" s="30" t="str"/>
      <x:c r="P650" s="30" t="str"/>
      <x:c r="Q650" s="31" t="str"/>
      <x:c r="R650" s="31" t="str"/>
      <x:c r="S650" s="30" t="str"/>
      <x:c r="T650" s="30" t="str"/>
      <x:c r="U650" s="30" t="str"/>
      <x:c r="V650" s="40" t="str">
        <x:f>IF(B650="","",COUNTA(H650:L650)/5)</x:f>
      </x:c>
    </x:row>
    <x:row r="651">
      <x:c r="A651" s="30" t="str">
        <x:f>IF(B651="","",B651&amp;"-"&amp;C651)</x:f>
      </x:c>
      <x:c r="B651" s="30" t="str">
        <x:f>'01_命例主档'!A41</x:f>
      </x:c>
      <x:c r="C651" s="30" t="str">
        <x:v>M17</x:v>
      </x:c>
      <x:c r="D651" s="30" t="str">
        <x:v>喜忌用神矩阵</x:v>
      </x:c>
      <x:c r="E651" s="30" t="str">
        <x:v>综合层</x:v>
      </x:c>
      <x:c r="F651" s="30" t="str">
        <x:v>M09/M12/M13/M15/M16</x:v>
      </x:c>
      <x:c r="G651" s="30" t="str">
        <x:v>未开始</x:v>
      </x:c>
      <x:c r="H651" s="30" t="str"/>
      <x:c r="I651" s="30" t="str"/>
      <x:c r="J651" s="30" t="str"/>
      <x:c r="K651" s="30" t="str"/>
      <x:c r="L651" s="30" t="str"/>
      <x:c r="M651" s="30" t="str"/>
      <x:c r="N651" s="30" t="str"/>
      <x:c r="O651" s="30" t="str"/>
      <x:c r="P651" s="30" t="str"/>
      <x:c r="Q651" s="31" t="str"/>
      <x:c r="R651" s="31" t="str"/>
      <x:c r="S651" s="30" t="str"/>
      <x:c r="T651" s="30" t="str"/>
      <x:c r="U651" s="30" t="str"/>
      <x:c r="V651" s="40" t="str">
        <x:f>IF(B651="","",COUNTA(H651:L651)/5)</x:f>
      </x:c>
    </x:row>
    <x:row r="652">
      <x:c r="A652" s="30" t="str">
        <x:f>IF(B652="","",B652&amp;"-"&amp;C652)</x:f>
      </x:c>
      <x:c r="B652" s="30" t="str">
        <x:f>'01_命例主档'!A41</x:f>
      </x:c>
      <x:c r="C652" s="30" t="str">
        <x:v>M18</x:v>
      </x:c>
      <x:c r="D652" s="30" t="str">
        <x:v>冲突裁决规则</x:v>
      </x:c>
      <x:c r="E652" s="30" t="str">
        <x:v>综合层</x:v>
      </x:c>
      <x:c r="F652" s="30" t="str">
        <x:v>M14/M15/M16/M17</x:v>
      </x:c>
      <x:c r="G652" s="30" t="str">
        <x:v>未开始</x:v>
      </x:c>
      <x:c r="H652" s="30" t="str"/>
      <x:c r="I652" s="30" t="str"/>
      <x:c r="J652" s="30" t="str"/>
      <x:c r="K652" s="30" t="str"/>
      <x:c r="L652" s="30" t="str"/>
      <x:c r="M652" s="30" t="str"/>
      <x:c r="N652" s="30" t="str"/>
      <x:c r="O652" s="30" t="str"/>
      <x:c r="P652" s="30" t="str"/>
      <x:c r="Q652" s="31" t="str"/>
      <x:c r="R652" s="31" t="str"/>
      <x:c r="S652" s="30" t="str"/>
      <x:c r="T652" s="30" t="str"/>
      <x:c r="U652" s="30" t="str"/>
      <x:c r="V652" s="40" t="str">
        <x:f>IF(B652="","",COUNTA(H652:L652)/5)</x:f>
      </x:c>
    </x:row>
    <x:row r="653">
      <x:c r="A653" s="30" t="str">
        <x:f>IF(B653="","",B653&amp;"-"&amp;C653)</x:f>
      </x:c>
      <x:c r="B653" s="30" t="str">
        <x:f>'01_命例主档'!A41</x:f>
      </x:c>
      <x:c r="C653" s="30" t="str">
        <x:v>M19</x:v>
      </x:c>
      <x:c r="D653" s="30" t="str">
        <x:v>综合输出模板</x:v>
      </x:c>
      <x:c r="E653" s="30" t="str">
        <x:v>治理与输出</x:v>
      </x:c>
      <x:c r="F653" s="30" t="str">
        <x:v>M02-M18</x:v>
      </x:c>
      <x:c r="G653" s="30" t="str">
        <x:v>未开始</x:v>
      </x:c>
      <x:c r="H653" s="30" t="str"/>
      <x:c r="I653" s="30" t="str"/>
      <x:c r="J653" s="30" t="str"/>
      <x:c r="K653" s="30" t="str"/>
      <x:c r="L653" s="30" t="str"/>
      <x:c r="M653" s="30" t="str"/>
      <x:c r="N653" s="30" t="str"/>
      <x:c r="O653" s="30" t="str"/>
      <x:c r="P653" s="30" t="str"/>
      <x:c r="Q653" s="31" t="str"/>
      <x:c r="R653" s="31" t="str"/>
      <x:c r="S653" s="30" t="str"/>
      <x:c r="T653" s="30" t="str"/>
      <x:c r="U653" s="30" t="str"/>
      <x:c r="V653" s="40" t="str">
        <x:f>IF(B653="","",COUNTA(H653:L653)/5)</x:f>
      </x:c>
    </x:row>
    <x:row r="654">
      <x:c r="A654" s="30" t="str">
        <x:f>IF(B654="","",B654&amp;"-"&amp;C654)</x:f>
      </x:c>
      <x:c r="B654" s="30" t="str">
        <x:f>'01_命例主档'!A42</x:f>
      </x:c>
      <x:c r="C654" s="30" t="str">
        <x:v>M02</x:v>
      </x:c>
      <x:c r="D654" s="30" t="str">
        <x:v>干支藏干基础</x:v>
      </x:c>
      <x:c r="E654" s="30" t="str">
        <x:v>识别层</x:v>
      </x:c>
      <x:c r="F654" s="30" t="str">
        <x:v>无</x:v>
      </x:c>
      <x:c r="G654" s="30" t="str">
        <x:v>未开始</x:v>
      </x:c>
      <x:c r="H654" s="30" t="str"/>
      <x:c r="I654" s="30" t="str"/>
      <x:c r="J654" s="30" t="str"/>
      <x:c r="K654" s="30" t="str"/>
      <x:c r="L654" s="30" t="str"/>
      <x:c r="M654" s="30" t="str"/>
      <x:c r="N654" s="30" t="str"/>
      <x:c r="O654" s="30" t="str"/>
      <x:c r="P654" s="30" t="str"/>
      <x:c r="Q654" s="31" t="str"/>
      <x:c r="R654" s="31" t="str"/>
      <x:c r="S654" s="30" t="str"/>
      <x:c r="T654" s="30" t="str"/>
      <x:c r="U654" s="30" t="str"/>
      <x:c r="V654" s="40" t="str">
        <x:f>IF(B654="","",COUNTA(H654:L654)/5)</x:f>
      </x:c>
    </x:row>
    <x:row r="655">
      <x:c r="A655" s="30" t="str">
        <x:f>IF(B655="","",B655&amp;"-"&amp;C655)</x:f>
      </x:c>
      <x:c r="B655" s="30" t="str">
        <x:f>'01_命例主档'!A42</x:f>
      </x:c>
      <x:c r="C655" s="30" t="str">
        <x:v>M03</x:v>
      </x:c>
      <x:c r="D655" s="30" t="str">
        <x:v>月令与根气</x:v>
      </x:c>
      <x:c r="E655" s="30" t="str">
        <x:v>结构层</x:v>
      </x:c>
      <x:c r="F655" s="30" t="str">
        <x:v>M02</x:v>
      </x:c>
      <x:c r="G655" s="30" t="str">
        <x:v>未开始</x:v>
      </x:c>
      <x:c r="H655" s="30" t="str"/>
      <x:c r="I655" s="30" t="str"/>
      <x:c r="J655" s="30" t="str"/>
      <x:c r="K655" s="30" t="str"/>
      <x:c r="L655" s="30" t="str"/>
      <x:c r="M655" s="30" t="str"/>
      <x:c r="N655" s="30" t="str"/>
      <x:c r="O655" s="30" t="str"/>
      <x:c r="P655" s="30" t="str"/>
      <x:c r="Q655" s="31" t="str"/>
      <x:c r="R655" s="31" t="str"/>
      <x:c r="S655" s="30" t="str"/>
      <x:c r="T655" s="30" t="str"/>
      <x:c r="U655" s="30" t="str"/>
      <x:c r="V655" s="40" t="str">
        <x:f>IF(B655="","",COUNTA(H655:L655)/5)</x:f>
      </x:c>
    </x:row>
    <x:row r="656">
      <x:c r="A656" s="30" t="str">
        <x:f>IF(B656="","",B656&amp;"-"&amp;C656)</x:f>
      </x:c>
      <x:c r="B656" s="30" t="str">
        <x:f>'01_命例主档'!A42</x:f>
      </x:c>
      <x:c r="C656" s="30" t="str">
        <x:v>M04</x:v>
      </x:c>
      <x:c r="D656" s="30" t="str">
        <x:v>天干作用识别</x:v>
      </x:c>
      <x:c r="E656" s="30" t="str">
        <x:v>识别层</x:v>
      </x:c>
      <x:c r="F656" s="30" t="str">
        <x:v>M02</x:v>
      </x:c>
      <x:c r="G656" s="30" t="str">
        <x:v>未开始</x:v>
      </x:c>
      <x:c r="H656" s="30" t="str"/>
      <x:c r="I656" s="30" t="str"/>
      <x:c r="J656" s="30" t="str"/>
      <x:c r="K656" s="30" t="str"/>
      <x:c r="L656" s="30" t="str"/>
      <x:c r="M656" s="30" t="str"/>
      <x:c r="N656" s="30" t="str"/>
      <x:c r="O656" s="30" t="str"/>
      <x:c r="P656" s="30" t="str"/>
      <x:c r="Q656" s="31" t="str"/>
      <x:c r="R656" s="31" t="str"/>
      <x:c r="S656" s="30" t="str"/>
      <x:c r="T656" s="30" t="str"/>
      <x:c r="U656" s="30" t="str"/>
      <x:c r="V656" s="40" t="str">
        <x:f>IF(B656="","",COUNTA(H656:L656)/5)</x:f>
      </x:c>
    </x:row>
    <x:row r="657">
      <x:c r="A657" s="30" t="str">
        <x:f>IF(B657="","",B657&amp;"-"&amp;C657)</x:f>
      </x:c>
      <x:c r="B657" s="30" t="str">
        <x:f>'01_命例主档'!A42</x:f>
      </x:c>
      <x:c r="C657" s="30" t="str">
        <x:v>M05</x:v>
      </x:c>
      <x:c r="D657" s="30" t="str">
        <x:v>地支关系识别</x:v>
      </x:c>
      <x:c r="E657" s="30" t="str">
        <x:v>识别层</x:v>
      </x:c>
      <x:c r="F657" s="30" t="str">
        <x:v>M02</x:v>
      </x:c>
      <x:c r="G657" s="30" t="str">
        <x:v>未开始</x:v>
      </x:c>
      <x:c r="H657" s="30" t="str"/>
      <x:c r="I657" s="30" t="str"/>
      <x:c r="J657" s="30" t="str"/>
      <x:c r="K657" s="30" t="str"/>
      <x:c r="L657" s="30" t="str"/>
      <x:c r="M657" s="30" t="str"/>
      <x:c r="N657" s="30" t="str"/>
      <x:c r="O657" s="30" t="str"/>
      <x:c r="P657" s="30" t="str"/>
      <x:c r="Q657" s="31" t="str"/>
      <x:c r="R657" s="31" t="str"/>
      <x:c r="S657" s="30" t="str"/>
      <x:c r="T657" s="30" t="str"/>
      <x:c r="U657" s="30" t="str"/>
      <x:c r="V657" s="40" t="str">
        <x:f>IF(B657="","",COUNTA(H657:L657)/5)</x:f>
      </x:c>
    </x:row>
    <x:row r="658">
      <x:c r="A658" s="30" t="str">
        <x:f>IF(B658="","",B658&amp;"-"&amp;C658)</x:f>
      </x:c>
      <x:c r="B658" s="30" t="str">
        <x:f>'01_命例主档'!A42</x:f>
      </x:c>
      <x:c r="C658" s="30" t="str">
        <x:v>M06</x:v>
      </x:c>
      <x:c r="D658" s="30" t="str">
        <x:v>干支关系效应</x:v>
      </x:c>
      <x:c r="E658" s="30" t="str">
        <x:v>效应层</x:v>
      </x:c>
      <x:c r="F658" s="30" t="str">
        <x:v>M03/M04/M05</x:v>
      </x:c>
      <x:c r="G658" s="30" t="str">
        <x:v>未开始</x:v>
      </x:c>
      <x:c r="H658" s="30" t="str"/>
      <x:c r="I658" s="30" t="str"/>
      <x:c r="J658" s="30" t="str"/>
      <x:c r="K658" s="30" t="str"/>
      <x:c r="L658" s="30" t="str"/>
      <x:c r="M658" s="30" t="str"/>
      <x:c r="N658" s="30" t="str"/>
      <x:c r="O658" s="30" t="str"/>
      <x:c r="P658" s="30" t="str"/>
      <x:c r="Q658" s="31" t="str"/>
      <x:c r="R658" s="31" t="str"/>
      <x:c r="S658" s="30" t="str"/>
      <x:c r="T658" s="30" t="str"/>
      <x:c r="U658" s="30" t="str"/>
      <x:c r="V658" s="40" t="str">
        <x:f>IF(B658="","",COUNTA(H658:L658)/5)</x:f>
      </x:c>
    </x:row>
    <x:row r="659">
      <x:c r="A659" s="30" t="str">
        <x:f>IF(B659="","",B659&amp;"-"&amp;C659)</x:f>
      </x:c>
      <x:c r="B659" s="30" t="str">
        <x:f>'01_命例主档'!A42</x:f>
      </x:c>
      <x:c r="C659" s="30" t="str">
        <x:v>M07</x:v>
      </x:c>
      <x:c r="D659" s="30" t="str">
        <x:v>五行原始旺衰</x:v>
      </x:c>
      <x:c r="E659" s="30" t="str">
        <x:v>结构层</x:v>
      </x:c>
      <x:c r="F659" s="30" t="str">
        <x:v>M02/M03</x:v>
      </x:c>
      <x:c r="G659" s="30" t="str">
        <x:v>未开始</x:v>
      </x:c>
      <x:c r="H659" s="30" t="str"/>
      <x:c r="I659" s="30" t="str"/>
      <x:c r="J659" s="30" t="str"/>
      <x:c r="K659" s="30" t="str"/>
      <x:c r="L659" s="30" t="str"/>
      <x:c r="M659" s="30" t="str"/>
      <x:c r="N659" s="30" t="str"/>
      <x:c r="O659" s="30" t="str"/>
      <x:c r="P659" s="30" t="str"/>
      <x:c r="Q659" s="31" t="str"/>
      <x:c r="R659" s="31" t="str"/>
      <x:c r="S659" s="30" t="str"/>
      <x:c r="T659" s="30" t="str"/>
      <x:c r="U659" s="30" t="str"/>
      <x:c r="V659" s="40" t="str">
        <x:f>IF(B659="","",COUNTA(H659:L659)/5)</x:f>
      </x:c>
    </x:row>
    <x:row r="660">
      <x:c r="A660" s="30" t="str">
        <x:f>IF(B660="","",B660&amp;"-"&amp;C660)</x:f>
      </x:c>
      <x:c r="B660" s="30" t="str">
        <x:f>'01_命例主档'!A42</x:f>
      </x:c>
      <x:c r="C660" s="30" t="str">
        <x:v>M08</x:v>
      </x:c>
      <x:c r="D660" s="30" t="str">
        <x:v>五行有效旺衰</x:v>
      </x:c>
      <x:c r="E660" s="30" t="str">
        <x:v>结构层</x:v>
      </x:c>
      <x:c r="F660" s="30" t="str">
        <x:v>M06/M07</x:v>
      </x:c>
      <x:c r="G660" s="30" t="str">
        <x:v>未开始</x:v>
      </x:c>
      <x:c r="H660" s="30" t="str"/>
      <x:c r="I660" s="30" t="str"/>
      <x:c r="J660" s="30" t="str"/>
      <x:c r="K660" s="30" t="str"/>
      <x:c r="L660" s="30" t="str"/>
      <x:c r="M660" s="30" t="str"/>
      <x:c r="N660" s="30" t="str"/>
      <x:c r="O660" s="30" t="str"/>
      <x:c r="P660" s="30" t="str"/>
      <x:c r="Q660" s="31" t="str"/>
      <x:c r="R660" s="31" t="str"/>
      <x:c r="S660" s="30" t="str"/>
      <x:c r="T660" s="30" t="str"/>
      <x:c r="U660" s="30" t="str"/>
      <x:c r="V660" s="40" t="str">
        <x:f>IF(B660="","",COUNTA(H660:L660)/5)</x:f>
      </x:c>
    </x:row>
    <x:row r="661">
      <x:c r="A661" s="30" t="str">
        <x:f>IF(B661="","",B661&amp;"-"&amp;C661)</x:f>
      </x:c>
      <x:c r="B661" s="30" t="str">
        <x:f>'01_命例主档'!A42</x:f>
      </x:c>
      <x:c r="C661" s="30" t="str">
        <x:v>M09</x:v>
      </x:c>
      <x:c r="D661" s="30" t="str">
        <x:v>日主旺衰</x:v>
      </x:c>
      <x:c r="E661" s="30" t="str">
        <x:v>综合层</x:v>
      </x:c>
      <x:c r="F661" s="30" t="str">
        <x:v>M03/M07/M08</x:v>
      </x:c>
      <x:c r="G661" s="30" t="str">
        <x:v>未开始</x:v>
      </x:c>
      <x:c r="H661" s="30" t="str"/>
      <x:c r="I661" s="30" t="str"/>
      <x:c r="J661" s="30" t="str"/>
      <x:c r="K661" s="30" t="str"/>
      <x:c r="L661" s="30" t="str"/>
      <x:c r="M661" s="30" t="str"/>
      <x:c r="N661" s="30" t="str"/>
      <x:c r="O661" s="30" t="str"/>
      <x:c r="P661" s="30" t="str"/>
      <x:c r="Q661" s="31" t="str"/>
      <x:c r="R661" s="31" t="str"/>
      <x:c r="S661" s="30" t="str"/>
      <x:c r="T661" s="30" t="str"/>
      <x:c r="U661" s="30" t="str"/>
      <x:c r="V661" s="40" t="str">
        <x:f>IF(B661="","",COUNTA(H661:L661)/5)</x:f>
      </x:c>
    </x:row>
    <x:row r="662">
      <x:c r="A662" s="30" t="str">
        <x:f>IF(B662="","",B662&amp;"-"&amp;C662)</x:f>
      </x:c>
      <x:c r="B662" s="30" t="str">
        <x:f>'01_命例主档'!A42</x:f>
      </x:c>
      <x:c r="C662" s="30" t="str">
        <x:v>M10</x:v>
      </x:c>
      <x:c r="D662" s="30" t="str">
        <x:v>十神旺衰功能</x:v>
      </x:c>
      <x:c r="E662" s="30" t="str">
        <x:v>结构层</x:v>
      </x:c>
      <x:c r="F662" s="30" t="str">
        <x:v>M02/M08/M09</x:v>
      </x:c>
      <x:c r="G662" s="30" t="str">
        <x:v>未开始</x:v>
      </x:c>
      <x:c r="H662" s="30" t="str"/>
      <x:c r="I662" s="30" t="str"/>
      <x:c r="J662" s="30" t="str"/>
      <x:c r="K662" s="30" t="str"/>
      <x:c r="L662" s="30" t="str"/>
      <x:c r="M662" s="30" t="str"/>
      <x:c r="N662" s="30" t="str"/>
      <x:c r="O662" s="30" t="str"/>
      <x:c r="P662" s="30" t="str"/>
      <x:c r="Q662" s="31" t="str"/>
      <x:c r="R662" s="31" t="str"/>
      <x:c r="S662" s="30" t="str"/>
      <x:c r="T662" s="30" t="str"/>
      <x:c r="U662" s="30" t="str"/>
      <x:c r="V662" s="40" t="str">
        <x:f>IF(B662="","",COUNTA(H662:L662)/5)</x:f>
      </x:c>
    </x:row>
    <x:row r="663">
      <x:c r="A663" s="30" t="str">
        <x:f>IF(B663="","",B663&amp;"-"&amp;C663)</x:f>
      </x:c>
      <x:c r="B663" s="30" t="str">
        <x:f>'01_命例主档'!A42</x:f>
      </x:c>
      <x:c r="C663" s="30" t="str">
        <x:v>M11</x:v>
      </x:c>
      <x:c r="D663" s="30" t="str">
        <x:v>十神组合成立</x:v>
      </x:c>
      <x:c r="E663" s="30" t="str">
        <x:v>结构层</x:v>
      </x:c>
      <x:c r="F663" s="30" t="str">
        <x:v>M08/M09/M10</x:v>
      </x:c>
      <x:c r="G663" s="30" t="str">
        <x:v>未开始</x:v>
      </x:c>
      <x:c r="H663" s="30" t="str"/>
      <x:c r="I663" s="30" t="str"/>
      <x:c r="J663" s="30" t="str"/>
      <x:c r="K663" s="30" t="str"/>
      <x:c r="L663" s="30" t="str"/>
      <x:c r="M663" s="30" t="str"/>
      <x:c r="N663" s="30" t="str"/>
      <x:c r="O663" s="30" t="str"/>
      <x:c r="P663" s="30" t="str"/>
      <x:c r="Q663" s="31" t="str"/>
      <x:c r="R663" s="31" t="str"/>
      <x:c r="S663" s="30" t="str"/>
      <x:c r="T663" s="30" t="str"/>
      <x:c r="U663" s="30" t="str"/>
      <x:c r="V663" s="40" t="str">
        <x:f>IF(B663="","",COUNTA(H663:L663)/5)</x:f>
      </x:c>
    </x:row>
    <x:row r="664">
      <x:c r="A664" s="30" t="str">
        <x:f>IF(B664="","",B664&amp;"-"&amp;C664)</x:f>
      </x:c>
      <x:c r="B664" s="30" t="str">
        <x:f>'01_命例主档'!A42</x:f>
      </x:c>
      <x:c r="C664" s="30" t="str">
        <x:v>M12</x:v>
      </x:c>
      <x:c r="D664" s="30" t="str">
        <x:v>五行流通卡点</x:v>
      </x:c>
      <x:c r="E664" s="30" t="str">
        <x:v>结构层</x:v>
      </x:c>
      <x:c r="F664" s="30" t="str">
        <x:v>M06/M08/M10/M11</x:v>
      </x:c>
      <x:c r="G664" s="30" t="str">
        <x:v>未开始</x:v>
      </x:c>
      <x:c r="H664" s="30" t="str"/>
      <x:c r="I664" s="30" t="str"/>
      <x:c r="J664" s="30" t="str"/>
      <x:c r="K664" s="30" t="str"/>
      <x:c r="L664" s="30" t="str"/>
      <x:c r="M664" s="30" t="str"/>
      <x:c r="N664" s="30" t="str"/>
      <x:c r="O664" s="30" t="str"/>
      <x:c r="P664" s="30" t="str"/>
      <x:c r="Q664" s="31" t="str"/>
      <x:c r="R664" s="31" t="str"/>
      <x:c r="S664" s="30" t="str"/>
      <x:c r="T664" s="30" t="str"/>
      <x:c r="U664" s="30" t="str"/>
      <x:c r="V664" s="40" t="str">
        <x:f>IF(B664="","",COUNTA(H664:L664)/5)</x:f>
      </x:c>
    </x:row>
    <x:row r="665">
      <x:c r="A665" s="30" t="str">
        <x:f>IF(B665="","",B665&amp;"-"&amp;C665)</x:f>
      </x:c>
      <x:c r="B665" s="30" t="str">
        <x:f>'01_命例主档'!A42</x:f>
      </x:c>
      <x:c r="C665" s="30" t="str">
        <x:v>M13</x:v>
      </x:c>
      <x:c r="D665" s="30" t="str">
        <x:v>寒暖燥湿</x:v>
      </x:c>
      <x:c r="E665" s="30" t="str">
        <x:v>结构层</x:v>
      </x:c>
      <x:c r="F665" s="30" t="str">
        <x:v>M02/M08/M12</x:v>
      </x:c>
      <x:c r="G665" s="30" t="str">
        <x:v>未开始</x:v>
      </x:c>
      <x:c r="H665" s="30" t="str"/>
      <x:c r="I665" s="30" t="str"/>
      <x:c r="J665" s="30" t="str"/>
      <x:c r="K665" s="30" t="str"/>
      <x:c r="L665" s="30" t="str"/>
      <x:c r="M665" s="30" t="str"/>
      <x:c r="N665" s="30" t="str"/>
      <x:c r="O665" s="30" t="str"/>
      <x:c r="P665" s="30" t="str"/>
      <x:c r="Q665" s="31" t="str"/>
      <x:c r="R665" s="31" t="str"/>
      <x:c r="S665" s="30" t="str"/>
      <x:c r="T665" s="30" t="str"/>
      <x:c r="U665" s="30" t="str"/>
      <x:c r="V665" s="40" t="str">
        <x:f>IF(B665="","",COUNTA(H665:L665)/5)</x:f>
      </x:c>
    </x:row>
    <x:row r="666">
      <x:c r="A666" s="30" t="str">
        <x:f>IF(B666="","",B666&amp;"-"&amp;C666)</x:f>
      </x:c>
      <x:c r="B666" s="30" t="str">
        <x:f>'01_命例主档'!A42</x:f>
      </x:c>
      <x:c r="C666" s="30" t="str">
        <x:v>M14</x:v>
      </x:c>
      <x:c r="D666" s="30" t="str">
        <x:v>格局候选判断</x:v>
      </x:c>
      <x:c r="E666" s="30" t="str">
        <x:v>综合层</x:v>
      </x:c>
      <x:c r="F666" s="30" t="str">
        <x:v>M03/M06/M08/M09/M10/M11</x:v>
      </x:c>
      <x:c r="G666" s="30" t="str">
        <x:v>未开始</x:v>
      </x:c>
      <x:c r="H666" s="30" t="str"/>
      <x:c r="I666" s="30" t="str"/>
      <x:c r="J666" s="30" t="str"/>
      <x:c r="K666" s="30" t="str"/>
      <x:c r="L666" s="30" t="str"/>
      <x:c r="M666" s="30" t="str"/>
      <x:c r="N666" s="30" t="str"/>
      <x:c r="O666" s="30" t="str"/>
      <x:c r="P666" s="30" t="str"/>
      <x:c r="Q666" s="31" t="str"/>
      <x:c r="R666" s="31" t="str"/>
      <x:c r="S666" s="30" t="str"/>
      <x:c r="T666" s="30" t="str"/>
      <x:c r="U666" s="30" t="str"/>
      <x:c r="V666" s="40" t="str">
        <x:f>IF(B666="","",COUNTA(H666:L666)/5)</x:f>
      </x:c>
    </x:row>
    <x:row r="667">
      <x:c r="A667" s="30" t="str">
        <x:f>IF(B667="","",B667&amp;"-"&amp;C667)</x:f>
      </x:c>
      <x:c r="B667" s="30" t="str">
        <x:f>'01_命例主档'!A42</x:f>
      </x:c>
      <x:c r="C667" s="30" t="str">
        <x:v>M15</x:v>
      </x:c>
      <x:c r="D667" s="30" t="str">
        <x:v>格局成败救应</x:v>
      </x:c>
      <x:c r="E667" s="30" t="str">
        <x:v>综合层</x:v>
      </x:c>
      <x:c r="F667" s="30" t="str">
        <x:v>M14/M11/M08</x:v>
      </x:c>
      <x:c r="G667" s="30" t="str">
        <x:v>未开始</x:v>
      </x:c>
      <x:c r="H667" s="30" t="str"/>
      <x:c r="I667" s="30" t="str"/>
      <x:c r="J667" s="30" t="str"/>
      <x:c r="K667" s="30" t="str"/>
      <x:c r="L667" s="30" t="str"/>
      <x:c r="M667" s="30" t="str"/>
      <x:c r="N667" s="30" t="str"/>
      <x:c r="O667" s="30" t="str"/>
      <x:c r="P667" s="30" t="str"/>
      <x:c r="Q667" s="31" t="str"/>
      <x:c r="R667" s="31" t="str"/>
      <x:c r="S667" s="30" t="str"/>
      <x:c r="T667" s="30" t="str"/>
      <x:c r="U667" s="30" t="str"/>
      <x:c r="V667" s="40" t="str">
        <x:f>IF(B667="","",COUNTA(H667:L667)/5)</x:f>
      </x:c>
    </x:row>
    <x:row r="668">
      <x:c r="A668" s="30" t="str">
        <x:f>IF(B668="","",B668&amp;"-"&amp;C668)</x:f>
      </x:c>
      <x:c r="B668" s="30" t="str">
        <x:f>'01_命例主档'!A42</x:f>
      </x:c>
      <x:c r="C668" s="30" t="str">
        <x:v>M16</x:v>
      </x:c>
      <x:c r="D668" s="30" t="str">
        <x:v>病药模型</x:v>
      </x:c>
      <x:c r="E668" s="30" t="str">
        <x:v>综合层</x:v>
      </x:c>
      <x:c r="F668" s="30" t="str">
        <x:v>M08-M15</x:v>
      </x:c>
      <x:c r="G668" s="30" t="str">
        <x:v>未开始</x:v>
      </x:c>
      <x:c r="H668" s="30" t="str"/>
      <x:c r="I668" s="30" t="str"/>
      <x:c r="J668" s="30" t="str"/>
      <x:c r="K668" s="30" t="str"/>
      <x:c r="L668" s="30" t="str"/>
      <x:c r="M668" s="30" t="str"/>
      <x:c r="N668" s="30" t="str"/>
      <x:c r="O668" s="30" t="str"/>
      <x:c r="P668" s="30" t="str"/>
      <x:c r="Q668" s="31" t="str"/>
      <x:c r="R668" s="31" t="str"/>
      <x:c r="S668" s="30" t="str"/>
      <x:c r="T668" s="30" t="str"/>
      <x:c r="U668" s="30" t="str"/>
      <x:c r="V668" s="40" t="str">
        <x:f>IF(B668="","",COUNTA(H668:L668)/5)</x:f>
      </x:c>
    </x:row>
    <x:row r="669">
      <x:c r="A669" s="30" t="str">
        <x:f>IF(B669="","",B669&amp;"-"&amp;C669)</x:f>
      </x:c>
      <x:c r="B669" s="30" t="str">
        <x:f>'01_命例主档'!A42</x:f>
      </x:c>
      <x:c r="C669" s="30" t="str">
        <x:v>M17</x:v>
      </x:c>
      <x:c r="D669" s="30" t="str">
        <x:v>喜忌用神矩阵</x:v>
      </x:c>
      <x:c r="E669" s="30" t="str">
        <x:v>综合层</x:v>
      </x:c>
      <x:c r="F669" s="30" t="str">
        <x:v>M09/M12/M13/M15/M16</x:v>
      </x:c>
      <x:c r="G669" s="30" t="str">
        <x:v>未开始</x:v>
      </x:c>
      <x:c r="H669" s="30" t="str"/>
      <x:c r="I669" s="30" t="str"/>
      <x:c r="J669" s="30" t="str"/>
      <x:c r="K669" s="30" t="str"/>
      <x:c r="L669" s="30" t="str"/>
      <x:c r="M669" s="30" t="str"/>
      <x:c r="N669" s="30" t="str"/>
      <x:c r="O669" s="30" t="str"/>
      <x:c r="P669" s="30" t="str"/>
      <x:c r="Q669" s="31" t="str"/>
      <x:c r="R669" s="31" t="str"/>
      <x:c r="S669" s="30" t="str"/>
      <x:c r="T669" s="30" t="str"/>
      <x:c r="U669" s="30" t="str"/>
      <x:c r="V669" s="40" t="str">
        <x:f>IF(B669="","",COUNTA(H669:L669)/5)</x:f>
      </x:c>
    </x:row>
    <x:row r="670">
      <x:c r="A670" s="30" t="str">
        <x:f>IF(B670="","",B670&amp;"-"&amp;C670)</x:f>
      </x:c>
      <x:c r="B670" s="30" t="str">
        <x:f>'01_命例主档'!A42</x:f>
      </x:c>
      <x:c r="C670" s="30" t="str">
        <x:v>M18</x:v>
      </x:c>
      <x:c r="D670" s="30" t="str">
        <x:v>冲突裁决规则</x:v>
      </x:c>
      <x:c r="E670" s="30" t="str">
        <x:v>综合层</x:v>
      </x:c>
      <x:c r="F670" s="30" t="str">
        <x:v>M14/M15/M16/M17</x:v>
      </x:c>
      <x:c r="G670" s="30" t="str">
        <x:v>未开始</x:v>
      </x:c>
      <x:c r="H670" s="30" t="str"/>
      <x:c r="I670" s="30" t="str"/>
      <x:c r="J670" s="30" t="str"/>
      <x:c r="K670" s="30" t="str"/>
      <x:c r="L670" s="30" t="str"/>
      <x:c r="M670" s="30" t="str"/>
      <x:c r="N670" s="30" t="str"/>
      <x:c r="O670" s="30" t="str"/>
      <x:c r="P670" s="30" t="str"/>
      <x:c r="Q670" s="31" t="str"/>
      <x:c r="R670" s="31" t="str"/>
      <x:c r="S670" s="30" t="str"/>
      <x:c r="T670" s="30" t="str"/>
      <x:c r="U670" s="30" t="str"/>
      <x:c r="V670" s="40" t="str">
        <x:f>IF(B670="","",COUNTA(H670:L670)/5)</x:f>
      </x:c>
    </x:row>
    <x:row r="671">
      <x:c r="A671" s="30" t="str">
        <x:f>IF(B671="","",B671&amp;"-"&amp;C671)</x:f>
      </x:c>
      <x:c r="B671" s="30" t="str">
        <x:f>'01_命例主档'!A42</x:f>
      </x:c>
      <x:c r="C671" s="30" t="str">
        <x:v>M19</x:v>
      </x:c>
      <x:c r="D671" s="30" t="str">
        <x:v>综合输出模板</x:v>
      </x:c>
      <x:c r="E671" s="30" t="str">
        <x:v>治理与输出</x:v>
      </x:c>
      <x:c r="F671" s="30" t="str">
        <x:v>M02-M18</x:v>
      </x:c>
      <x:c r="G671" s="30" t="str">
        <x:v>未开始</x:v>
      </x:c>
      <x:c r="H671" s="30" t="str"/>
      <x:c r="I671" s="30" t="str"/>
      <x:c r="J671" s="30" t="str"/>
      <x:c r="K671" s="30" t="str"/>
      <x:c r="L671" s="30" t="str"/>
      <x:c r="M671" s="30" t="str"/>
      <x:c r="N671" s="30" t="str"/>
      <x:c r="O671" s="30" t="str"/>
      <x:c r="P671" s="30" t="str"/>
      <x:c r="Q671" s="31" t="str"/>
      <x:c r="R671" s="31" t="str"/>
      <x:c r="S671" s="30" t="str"/>
      <x:c r="T671" s="30" t="str"/>
      <x:c r="U671" s="30" t="str"/>
      <x:c r="V671" s="40" t="str">
        <x:f>IF(B671="","",COUNTA(H671:L671)/5)</x:f>
      </x:c>
    </x:row>
    <x:row r="672">
      <x:c r="A672" s="30" t="str">
        <x:f>IF(B672="","",B672&amp;"-"&amp;C672)</x:f>
      </x:c>
      <x:c r="B672" s="30" t="str">
        <x:f>'01_命例主档'!A43</x:f>
      </x:c>
      <x:c r="C672" s="30" t="str">
        <x:v>M02</x:v>
      </x:c>
      <x:c r="D672" s="30" t="str">
        <x:v>干支藏干基础</x:v>
      </x:c>
      <x:c r="E672" s="30" t="str">
        <x:v>识别层</x:v>
      </x:c>
      <x:c r="F672" s="30" t="str">
        <x:v>无</x:v>
      </x:c>
      <x:c r="G672" s="30" t="str">
        <x:v>未开始</x:v>
      </x:c>
      <x:c r="H672" s="30" t="str"/>
      <x:c r="I672" s="30" t="str"/>
      <x:c r="J672" s="30" t="str"/>
      <x:c r="K672" s="30" t="str"/>
      <x:c r="L672" s="30" t="str"/>
      <x:c r="M672" s="30" t="str"/>
      <x:c r="N672" s="30" t="str"/>
      <x:c r="O672" s="30" t="str"/>
      <x:c r="P672" s="30" t="str"/>
      <x:c r="Q672" s="31" t="str"/>
      <x:c r="R672" s="31" t="str"/>
      <x:c r="S672" s="30" t="str"/>
      <x:c r="T672" s="30" t="str"/>
      <x:c r="U672" s="30" t="str"/>
      <x:c r="V672" s="40" t="str">
        <x:f>IF(B672="","",COUNTA(H672:L672)/5)</x:f>
      </x:c>
    </x:row>
    <x:row r="673">
      <x:c r="A673" s="30" t="str">
        <x:f>IF(B673="","",B673&amp;"-"&amp;C673)</x:f>
      </x:c>
      <x:c r="B673" s="30" t="str">
        <x:f>'01_命例主档'!A43</x:f>
      </x:c>
      <x:c r="C673" s="30" t="str">
        <x:v>M03</x:v>
      </x:c>
      <x:c r="D673" s="30" t="str">
        <x:v>月令与根气</x:v>
      </x:c>
      <x:c r="E673" s="30" t="str">
        <x:v>结构层</x:v>
      </x:c>
      <x:c r="F673" s="30" t="str">
        <x:v>M02</x:v>
      </x:c>
      <x:c r="G673" s="30" t="str">
        <x:v>未开始</x:v>
      </x:c>
      <x:c r="H673" s="30" t="str"/>
      <x:c r="I673" s="30" t="str"/>
      <x:c r="J673" s="30" t="str"/>
      <x:c r="K673" s="30" t="str"/>
      <x:c r="L673" s="30" t="str"/>
      <x:c r="M673" s="30" t="str"/>
      <x:c r="N673" s="30" t="str"/>
      <x:c r="O673" s="30" t="str"/>
      <x:c r="P673" s="30" t="str"/>
      <x:c r="Q673" s="31" t="str"/>
      <x:c r="R673" s="31" t="str"/>
      <x:c r="S673" s="30" t="str"/>
      <x:c r="T673" s="30" t="str"/>
      <x:c r="U673" s="30" t="str"/>
      <x:c r="V673" s="40" t="str">
        <x:f>IF(B673="","",COUNTA(H673:L673)/5)</x:f>
      </x:c>
    </x:row>
    <x:row r="674">
      <x:c r="A674" s="30" t="str">
        <x:f>IF(B674="","",B674&amp;"-"&amp;C674)</x:f>
      </x:c>
      <x:c r="B674" s="30" t="str">
        <x:f>'01_命例主档'!A43</x:f>
      </x:c>
      <x:c r="C674" s="30" t="str">
        <x:v>M04</x:v>
      </x:c>
      <x:c r="D674" s="30" t="str">
        <x:v>天干作用识别</x:v>
      </x:c>
      <x:c r="E674" s="30" t="str">
        <x:v>识别层</x:v>
      </x:c>
      <x:c r="F674" s="30" t="str">
        <x:v>M02</x:v>
      </x:c>
      <x:c r="G674" s="30" t="str">
        <x:v>未开始</x:v>
      </x:c>
      <x:c r="H674" s="30" t="str"/>
      <x:c r="I674" s="30" t="str"/>
      <x:c r="J674" s="30" t="str"/>
      <x:c r="K674" s="30" t="str"/>
      <x:c r="L674" s="30" t="str"/>
      <x:c r="M674" s="30" t="str"/>
      <x:c r="N674" s="30" t="str"/>
      <x:c r="O674" s="30" t="str"/>
      <x:c r="P674" s="30" t="str"/>
      <x:c r="Q674" s="31" t="str"/>
      <x:c r="R674" s="31" t="str"/>
      <x:c r="S674" s="30" t="str"/>
      <x:c r="T674" s="30" t="str"/>
      <x:c r="U674" s="30" t="str"/>
      <x:c r="V674" s="40" t="str">
        <x:f>IF(B674="","",COUNTA(H674:L674)/5)</x:f>
      </x:c>
    </x:row>
    <x:row r="675">
      <x:c r="A675" s="30" t="str">
        <x:f>IF(B675="","",B675&amp;"-"&amp;C675)</x:f>
      </x:c>
      <x:c r="B675" s="30" t="str">
        <x:f>'01_命例主档'!A43</x:f>
      </x:c>
      <x:c r="C675" s="30" t="str">
        <x:v>M05</x:v>
      </x:c>
      <x:c r="D675" s="30" t="str">
        <x:v>地支关系识别</x:v>
      </x:c>
      <x:c r="E675" s="30" t="str">
        <x:v>识别层</x:v>
      </x:c>
      <x:c r="F675" s="30" t="str">
        <x:v>M02</x:v>
      </x:c>
      <x:c r="G675" s="30" t="str">
        <x:v>未开始</x:v>
      </x:c>
      <x:c r="H675" s="30" t="str"/>
      <x:c r="I675" s="30" t="str"/>
      <x:c r="J675" s="30" t="str"/>
      <x:c r="K675" s="30" t="str"/>
      <x:c r="L675" s="30" t="str"/>
      <x:c r="M675" s="30" t="str"/>
      <x:c r="N675" s="30" t="str"/>
      <x:c r="O675" s="30" t="str"/>
      <x:c r="P675" s="30" t="str"/>
      <x:c r="Q675" s="31" t="str"/>
      <x:c r="R675" s="31" t="str"/>
      <x:c r="S675" s="30" t="str"/>
      <x:c r="T675" s="30" t="str"/>
      <x:c r="U675" s="30" t="str"/>
      <x:c r="V675" s="40" t="str">
        <x:f>IF(B675="","",COUNTA(H675:L675)/5)</x:f>
      </x:c>
    </x:row>
    <x:row r="676">
      <x:c r="A676" s="30" t="str">
        <x:f>IF(B676="","",B676&amp;"-"&amp;C676)</x:f>
      </x:c>
      <x:c r="B676" s="30" t="str">
        <x:f>'01_命例主档'!A43</x:f>
      </x:c>
      <x:c r="C676" s="30" t="str">
        <x:v>M06</x:v>
      </x:c>
      <x:c r="D676" s="30" t="str">
        <x:v>干支关系效应</x:v>
      </x:c>
      <x:c r="E676" s="30" t="str">
        <x:v>效应层</x:v>
      </x:c>
      <x:c r="F676" s="30" t="str">
        <x:v>M03/M04/M05</x:v>
      </x:c>
      <x:c r="G676" s="30" t="str">
        <x:v>未开始</x:v>
      </x:c>
      <x:c r="H676" s="30" t="str"/>
      <x:c r="I676" s="30" t="str"/>
      <x:c r="J676" s="30" t="str"/>
      <x:c r="K676" s="30" t="str"/>
      <x:c r="L676" s="30" t="str"/>
      <x:c r="M676" s="30" t="str"/>
      <x:c r="N676" s="30" t="str"/>
      <x:c r="O676" s="30" t="str"/>
      <x:c r="P676" s="30" t="str"/>
      <x:c r="Q676" s="31" t="str"/>
      <x:c r="R676" s="31" t="str"/>
      <x:c r="S676" s="30" t="str"/>
      <x:c r="T676" s="30" t="str"/>
      <x:c r="U676" s="30" t="str"/>
      <x:c r="V676" s="40" t="str">
        <x:f>IF(B676="","",COUNTA(H676:L676)/5)</x:f>
      </x:c>
    </x:row>
    <x:row r="677">
      <x:c r="A677" s="30" t="str">
        <x:f>IF(B677="","",B677&amp;"-"&amp;C677)</x:f>
      </x:c>
      <x:c r="B677" s="30" t="str">
        <x:f>'01_命例主档'!A43</x:f>
      </x:c>
      <x:c r="C677" s="30" t="str">
        <x:v>M07</x:v>
      </x:c>
      <x:c r="D677" s="30" t="str">
        <x:v>五行原始旺衰</x:v>
      </x:c>
      <x:c r="E677" s="30" t="str">
        <x:v>结构层</x:v>
      </x:c>
      <x:c r="F677" s="30" t="str">
        <x:v>M02/M03</x:v>
      </x:c>
      <x:c r="G677" s="30" t="str">
        <x:v>未开始</x:v>
      </x:c>
      <x:c r="H677" s="30" t="str"/>
      <x:c r="I677" s="30" t="str"/>
      <x:c r="J677" s="30" t="str"/>
      <x:c r="K677" s="30" t="str"/>
      <x:c r="L677" s="30" t="str"/>
      <x:c r="M677" s="30" t="str"/>
      <x:c r="N677" s="30" t="str"/>
      <x:c r="O677" s="30" t="str"/>
      <x:c r="P677" s="30" t="str"/>
      <x:c r="Q677" s="31" t="str"/>
      <x:c r="R677" s="31" t="str"/>
      <x:c r="S677" s="30" t="str"/>
      <x:c r="T677" s="30" t="str"/>
      <x:c r="U677" s="30" t="str"/>
      <x:c r="V677" s="40" t="str">
        <x:f>IF(B677="","",COUNTA(H677:L677)/5)</x:f>
      </x:c>
    </x:row>
    <x:row r="678">
      <x:c r="A678" s="30" t="str">
        <x:f>IF(B678="","",B678&amp;"-"&amp;C678)</x:f>
      </x:c>
      <x:c r="B678" s="30" t="str">
        <x:f>'01_命例主档'!A43</x:f>
      </x:c>
      <x:c r="C678" s="30" t="str">
        <x:v>M08</x:v>
      </x:c>
      <x:c r="D678" s="30" t="str">
        <x:v>五行有效旺衰</x:v>
      </x:c>
      <x:c r="E678" s="30" t="str">
        <x:v>结构层</x:v>
      </x:c>
      <x:c r="F678" s="30" t="str">
        <x:v>M06/M07</x:v>
      </x:c>
      <x:c r="G678" s="30" t="str">
        <x:v>未开始</x:v>
      </x:c>
      <x:c r="H678" s="30" t="str"/>
      <x:c r="I678" s="30" t="str"/>
      <x:c r="J678" s="30" t="str"/>
      <x:c r="K678" s="30" t="str"/>
      <x:c r="L678" s="30" t="str"/>
      <x:c r="M678" s="30" t="str"/>
      <x:c r="N678" s="30" t="str"/>
      <x:c r="O678" s="30" t="str"/>
      <x:c r="P678" s="30" t="str"/>
      <x:c r="Q678" s="31" t="str"/>
      <x:c r="R678" s="31" t="str"/>
      <x:c r="S678" s="30" t="str"/>
      <x:c r="T678" s="30" t="str"/>
      <x:c r="U678" s="30" t="str"/>
      <x:c r="V678" s="40" t="str">
        <x:f>IF(B678="","",COUNTA(H678:L678)/5)</x:f>
      </x:c>
    </x:row>
    <x:row r="679">
      <x:c r="A679" s="30" t="str">
        <x:f>IF(B679="","",B679&amp;"-"&amp;C679)</x:f>
      </x:c>
      <x:c r="B679" s="30" t="str">
        <x:f>'01_命例主档'!A43</x:f>
      </x:c>
      <x:c r="C679" s="30" t="str">
        <x:v>M09</x:v>
      </x:c>
      <x:c r="D679" s="30" t="str">
        <x:v>日主旺衰</x:v>
      </x:c>
      <x:c r="E679" s="30" t="str">
        <x:v>综合层</x:v>
      </x:c>
      <x:c r="F679" s="30" t="str">
        <x:v>M03/M07/M08</x:v>
      </x:c>
      <x:c r="G679" s="30" t="str">
        <x:v>未开始</x:v>
      </x:c>
      <x:c r="H679" s="30" t="str"/>
      <x:c r="I679" s="30" t="str"/>
      <x:c r="J679" s="30" t="str"/>
      <x:c r="K679" s="30" t="str"/>
      <x:c r="L679" s="30" t="str"/>
      <x:c r="M679" s="30" t="str"/>
      <x:c r="N679" s="30" t="str"/>
      <x:c r="O679" s="30" t="str"/>
      <x:c r="P679" s="30" t="str"/>
      <x:c r="Q679" s="31" t="str"/>
      <x:c r="R679" s="31" t="str"/>
      <x:c r="S679" s="30" t="str"/>
      <x:c r="T679" s="30" t="str"/>
      <x:c r="U679" s="30" t="str"/>
      <x:c r="V679" s="40" t="str">
        <x:f>IF(B679="","",COUNTA(H679:L679)/5)</x:f>
      </x:c>
    </x:row>
    <x:row r="680">
      <x:c r="A680" s="30" t="str">
        <x:f>IF(B680="","",B680&amp;"-"&amp;C680)</x:f>
      </x:c>
      <x:c r="B680" s="30" t="str">
        <x:f>'01_命例主档'!A43</x:f>
      </x:c>
      <x:c r="C680" s="30" t="str">
        <x:v>M10</x:v>
      </x:c>
      <x:c r="D680" s="30" t="str">
        <x:v>十神旺衰功能</x:v>
      </x:c>
      <x:c r="E680" s="30" t="str">
        <x:v>结构层</x:v>
      </x:c>
      <x:c r="F680" s="30" t="str">
        <x:v>M02/M08/M09</x:v>
      </x:c>
      <x:c r="G680" s="30" t="str">
        <x:v>未开始</x:v>
      </x:c>
      <x:c r="H680" s="30" t="str"/>
      <x:c r="I680" s="30" t="str"/>
      <x:c r="J680" s="30" t="str"/>
      <x:c r="K680" s="30" t="str"/>
      <x:c r="L680" s="30" t="str"/>
      <x:c r="M680" s="30" t="str"/>
      <x:c r="N680" s="30" t="str"/>
      <x:c r="O680" s="30" t="str"/>
      <x:c r="P680" s="30" t="str"/>
      <x:c r="Q680" s="31" t="str"/>
      <x:c r="R680" s="31" t="str"/>
      <x:c r="S680" s="30" t="str"/>
      <x:c r="T680" s="30" t="str"/>
      <x:c r="U680" s="30" t="str"/>
      <x:c r="V680" s="40" t="str">
        <x:f>IF(B680="","",COUNTA(H680:L680)/5)</x:f>
      </x:c>
    </x:row>
    <x:row r="681">
      <x:c r="A681" s="30" t="str">
        <x:f>IF(B681="","",B681&amp;"-"&amp;C681)</x:f>
      </x:c>
      <x:c r="B681" s="30" t="str">
        <x:f>'01_命例主档'!A43</x:f>
      </x:c>
      <x:c r="C681" s="30" t="str">
        <x:v>M11</x:v>
      </x:c>
      <x:c r="D681" s="30" t="str">
        <x:v>十神组合成立</x:v>
      </x:c>
      <x:c r="E681" s="30" t="str">
        <x:v>结构层</x:v>
      </x:c>
      <x:c r="F681" s="30" t="str">
        <x:v>M08/M09/M10</x:v>
      </x:c>
      <x:c r="G681" s="30" t="str">
        <x:v>未开始</x:v>
      </x:c>
      <x:c r="H681" s="30" t="str"/>
      <x:c r="I681" s="30" t="str"/>
      <x:c r="J681" s="30" t="str"/>
      <x:c r="K681" s="30" t="str"/>
      <x:c r="L681" s="30" t="str"/>
      <x:c r="M681" s="30" t="str"/>
      <x:c r="N681" s="30" t="str"/>
      <x:c r="O681" s="30" t="str"/>
      <x:c r="P681" s="30" t="str"/>
      <x:c r="Q681" s="31" t="str"/>
      <x:c r="R681" s="31" t="str"/>
      <x:c r="S681" s="30" t="str"/>
      <x:c r="T681" s="30" t="str"/>
      <x:c r="U681" s="30" t="str"/>
      <x:c r="V681" s="40" t="str">
        <x:f>IF(B681="","",COUNTA(H681:L681)/5)</x:f>
      </x:c>
    </x:row>
    <x:row r="682">
      <x:c r="A682" s="30" t="str">
        <x:f>IF(B682="","",B682&amp;"-"&amp;C682)</x:f>
      </x:c>
      <x:c r="B682" s="30" t="str">
        <x:f>'01_命例主档'!A43</x:f>
      </x:c>
      <x:c r="C682" s="30" t="str">
        <x:v>M12</x:v>
      </x:c>
      <x:c r="D682" s="30" t="str">
        <x:v>五行流通卡点</x:v>
      </x:c>
      <x:c r="E682" s="30" t="str">
        <x:v>结构层</x:v>
      </x:c>
      <x:c r="F682" s="30" t="str">
        <x:v>M06/M08/M10/M11</x:v>
      </x:c>
      <x:c r="G682" s="30" t="str">
        <x:v>未开始</x:v>
      </x:c>
      <x:c r="H682" s="30" t="str"/>
      <x:c r="I682" s="30" t="str"/>
      <x:c r="J682" s="30" t="str"/>
      <x:c r="K682" s="30" t="str"/>
      <x:c r="L682" s="30" t="str"/>
      <x:c r="M682" s="30" t="str"/>
      <x:c r="N682" s="30" t="str"/>
      <x:c r="O682" s="30" t="str"/>
      <x:c r="P682" s="30" t="str"/>
      <x:c r="Q682" s="31" t="str"/>
      <x:c r="R682" s="31" t="str"/>
      <x:c r="S682" s="30" t="str"/>
      <x:c r="T682" s="30" t="str"/>
      <x:c r="U682" s="30" t="str"/>
      <x:c r="V682" s="40" t="str">
        <x:f>IF(B682="","",COUNTA(H682:L682)/5)</x:f>
      </x:c>
    </x:row>
    <x:row r="683">
      <x:c r="A683" s="30" t="str">
        <x:f>IF(B683="","",B683&amp;"-"&amp;C683)</x:f>
      </x:c>
      <x:c r="B683" s="30" t="str">
        <x:f>'01_命例主档'!A43</x:f>
      </x:c>
      <x:c r="C683" s="30" t="str">
        <x:v>M13</x:v>
      </x:c>
      <x:c r="D683" s="30" t="str">
        <x:v>寒暖燥湿</x:v>
      </x:c>
      <x:c r="E683" s="30" t="str">
        <x:v>结构层</x:v>
      </x:c>
      <x:c r="F683" s="30" t="str">
        <x:v>M02/M08/M12</x:v>
      </x:c>
      <x:c r="G683" s="30" t="str">
        <x:v>未开始</x:v>
      </x:c>
      <x:c r="H683" s="30" t="str"/>
      <x:c r="I683" s="30" t="str"/>
      <x:c r="J683" s="30" t="str"/>
      <x:c r="K683" s="30" t="str"/>
      <x:c r="L683" s="30" t="str"/>
      <x:c r="M683" s="30" t="str"/>
      <x:c r="N683" s="30" t="str"/>
      <x:c r="O683" s="30" t="str"/>
      <x:c r="P683" s="30" t="str"/>
      <x:c r="Q683" s="31" t="str"/>
      <x:c r="R683" s="31" t="str"/>
      <x:c r="S683" s="30" t="str"/>
      <x:c r="T683" s="30" t="str"/>
      <x:c r="U683" s="30" t="str"/>
      <x:c r="V683" s="40" t="str">
        <x:f>IF(B683="","",COUNTA(H683:L683)/5)</x:f>
      </x:c>
    </x:row>
    <x:row r="684">
      <x:c r="A684" s="30" t="str">
        <x:f>IF(B684="","",B684&amp;"-"&amp;C684)</x:f>
      </x:c>
      <x:c r="B684" s="30" t="str">
        <x:f>'01_命例主档'!A43</x:f>
      </x:c>
      <x:c r="C684" s="30" t="str">
        <x:v>M14</x:v>
      </x:c>
      <x:c r="D684" s="30" t="str">
        <x:v>格局候选判断</x:v>
      </x:c>
      <x:c r="E684" s="30" t="str">
        <x:v>综合层</x:v>
      </x:c>
      <x:c r="F684" s="30" t="str">
        <x:v>M03/M06/M08/M09/M10/M11</x:v>
      </x:c>
      <x:c r="G684" s="30" t="str">
        <x:v>未开始</x:v>
      </x:c>
      <x:c r="H684" s="30" t="str"/>
      <x:c r="I684" s="30" t="str"/>
      <x:c r="J684" s="30" t="str"/>
      <x:c r="K684" s="30" t="str"/>
      <x:c r="L684" s="30" t="str"/>
      <x:c r="M684" s="30" t="str"/>
      <x:c r="N684" s="30" t="str"/>
      <x:c r="O684" s="30" t="str"/>
      <x:c r="P684" s="30" t="str"/>
      <x:c r="Q684" s="31" t="str"/>
      <x:c r="R684" s="31" t="str"/>
      <x:c r="S684" s="30" t="str"/>
      <x:c r="T684" s="30" t="str"/>
      <x:c r="U684" s="30" t="str"/>
      <x:c r="V684" s="40" t="str">
        <x:f>IF(B684="","",COUNTA(H684:L684)/5)</x:f>
      </x:c>
    </x:row>
    <x:row r="685">
      <x:c r="A685" s="30" t="str">
        <x:f>IF(B685="","",B685&amp;"-"&amp;C685)</x:f>
      </x:c>
      <x:c r="B685" s="30" t="str">
        <x:f>'01_命例主档'!A43</x:f>
      </x:c>
      <x:c r="C685" s="30" t="str">
        <x:v>M15</x:v>
      </x:c>
      <x:c r="D685" s="30" t="str">
        <x:v>格局成败救应</x:v>
      </x:c>
      <x:c r="E685" s="30" t="str">
        <x:v>综合层</x:v>
      </x:c>
      <x:c r="F685" s="30" t="str">
        <x:v>M14/M11/M08</x:v>
      </x:c>
      <x:c r="G685" s="30" t="str">
        <x:v>未开始</x:v>
      </x:c>
      <x:c r="H685" s="30" t="str"/>
      <x:c r="I685" s="30" t="str"/>
      <x:c r="J685" s="30" t="str"/>
      <x:c r="K685" s="30" t="str"/>
      <x:c r="L685" s="30" t="str"/>
      <x:c r="M685" s="30" t="str"/>
      <x:c r="N685" s="30" t="str"/>
      <x:c r="O685" s="30" t="str"/>
      <x:c r="P685" s="30" t="str"/>
      <x:c r="Q685" s="31" t="str"/>
      <x:c r="R685" s="31" t="str"/>
      <x:c r="S685" s="30" t="str"/>
      <x:c r="T685" s="30" t="str"/>
      <x:c r="U685" s="30" t="str"/>
      <x:c r="V685" s="40" t="str">
        <x:f>IF(B685="","",COUNTA(H685:L685)/5)</x:f>
      </x:c>
    </x:row>
    <x:row r="686">
      <x:c r="A686" s="30" t="str">
        <x:f>IF(B686="","",B686&amp;"-"&amp;C686)</x:f>
      </x:c>
      <x:c r="B686" s="30" t="str">
        <x:f>'01_命例主档'!A43</x:f>
      </x:c>
      <x:c r="C686" s="30" t="str">
        <x:v>M16</x:v>
      </x:c>
      <x:c r="D686" s="30" t="str">
        <x:v>病药模型</x:v>
      </x:c>
      <x:c r="E686" s="30" t="str">
        <x:v>综合层</x:v>
      </x:c>
      <x:c r="F686" s="30" t="str">
        <x:v>M08-M15</x:v>
      </x:c>
      <x:c r="G686" s="30" t="str">
        <x:v>未开始</x:v>
      </x:c>
      <x:c r="H686" s="30" t="str"/>
      <x:c r="I686" s="30" t="str"/>
      <x:c r="J686" s="30" t="str"/>
      <x:c r="K686" s="30" t="str"/>
      <x:c r="L686" s="30" t="str"/>
      <x:c r="M686" s="30" t="str"/>
      <x:c r="N686" s="30" t="str"/>
      <x:c r="O686" s="30" t="str"/>
      <x:c r="P686" s="30" t="str"/>
      <x:c r="Q686" s="31" t="str"/>
      <x:c r="R686" s="31" t="str"/>
      <x:c r="S686" s="30" t="str"/>
      <x:c r="T686" s="30" t="str"/>
      <x:c r="U686" s="30" t="str"/>
      <x:c r="V686" s="40" t="str">
        <x:f>IF(B686="","",COUNTA(H686:L686)/5)</x:f>
      </x:c>
    </x:row>
    <x:row r="687">
      <x:c r="A687" s="30" t="str">
        <x:f>IF(B687="","",B687&amp;"-"&amp;C687)</x:f>
      </x:c>
      <x:c r="B687" s="30" t="str">
        <x:f>'01_命例主档'!A43</x:f>
      </x:c>
      <x:c r="C687" s="30" t="str">
        <x:v>M17</x:v>
      </x:c>
      <x:c r="D687" s="30" t="str">
        <x:v>喜忌用神矩阵</x:v>
      </x:c>
      <x:c r="E687" s="30" t="str">
        <x:v>综合层</x:v>
      </x:c>
      <x:c r="F687" s="30" t="str">
        <x:v>M09/M12/M13/M15/M16</x:v>
      </x:c>
      <x:c r="G687" s="30" t="str">
        <x:v>未开始</x:v>
      </x:c>
      <x:c r="H687" s="30" t="str"/>
      <x:c r="I687" s="30" t="str"/>
      <x:c r="J687" s="30" t="str"/>
      <x:c r="K687" s="30" t="str"/>
      <x:c r="L687" s="30" t="str"/>
      <x:c r="M687" s="30" t="str"/>
      <x:c r="N687" s="30" t="str"/>
      <x:c r="O687" s="30" t="str"/>
      <x:c r="P687" s="30" t="str"/>
      <x:c r="Q687" s="31" t="str"/>
      <x:c r="R687" s="31" t="str"/>
      <x:c r="S687" s="30" t="str"/>
      <x:c r="T687" s="30" t="str"/>
      <x:c r="U687" s="30" t="str"/>
      <x:c r="V687" s="40" t="str">
        <x:f>IF(B687="","",COUNTA(H687:L687)/5)</x:f>
      </x:c>
    </x:row>
    <x:row r="688">
      <x:c r="A688" s="30" t="str">
        <x:f>IF(B688="","",B688&amp;"-"&amp;C688)</x:f>
      </x:c>
      <x:c r="B688" s="30" t="str">
        <x:f>'01_命例主档'!A43</x:f>
      </x:c>
      <x:c r="C688" s="30" t="str">
        <x:v>M18</x:v>
      </x:c>
      <x:c r="D688" s="30" t="str">
        <x:v>冲突裁决规则</x:v>
      </x:c>
      <x:c r="E688" s="30" t="str">
        <x:v>综合层</x:v>
      </x:c>
      <x:c r="F688" s="30" t="str">
        <x:v>M14/M15/M16/M17</x:v>
      </x:c>
      <x:c r="G688" s="30" t="str">
        <x:v>未开始</x:v>
      </x:c>
      <x:c r="H688" s="30" t="str"/>
      <x:c r="I688" s="30" t="str"/>
      <x:c r="J688" s="30" t="str"/>
      <x:c r="K688" s="30" t="str"/>
      <x:c r="L688" s="30" t="str"/>
      <x:c r="M688" s="30" t="str"/>
      <x:c r="N688" s="30" t="str"/>
      <x:c r="O688" s="30" t="str"/>
      <x:c r="P688" s="30" t="str"/>
      <x:c r="Q688" s="31" t="str"/>
      <x:c r="R688" s="31" t="str"/>
      <x:c r="S688" s="30" t="str"/>
      <x:c r="T688" s="30" t="str"/>
      <x:c r="U688" s="30" t="str"/>
      <x:c r="V688" s="40" t="str">
        <x:f>IF(B688="","",COUNTA(H688:L688)/5)</x:f>
      </x:c>
    </x:row>
    <x:row r="689">
      <x:c r="A689" s="30" t="str">
        <x:f>IF(B689="","",B689&amp;"-"&amp;C689)</x:f>
      </x:c>
      <x:c r="B689" s="30" t="str">
        <x:f>'01_命例主档'!A43</x:f>
      </x:c>
      <x:c r="C689" s="30" t="str">
        <x:v>M19</x:v>
      </x:c>
      <x:c r="D689" s="30" t="str">
        <x:v>综合输出模板</x:v>
      </x:c>
      <x:c r="E689" s="30" t="str">
        <x:v>治理与输出</x:v>
      </x:c>
      <x:c r="F689" s="30" t="str">
        <x:v>M02-M18</x:v>
      </x:c>
      <x:c r="G689" s="30" t="str">
        <x:v>未开始</x:v>
      </x:c>
      <x:c r="H689" s="30" t="str"/>
      <x:c r="I689" s="30" t="str"/>
      <x:c r="J689" s="30" t="str"/>
      <x:c r="K689" s="30" t="str"/>
      <x:c r="L689" s="30" t="str"/>
      <x:c r="M689" s="30" t="str"/>
      <x:c r="N689" s="30" t="str"/>
      <x:c r="O689" s="30" t="str"/>
      <x:c r="P689" s="30" t="str"/>
      <x:c r="Q689" s="31" t="str"/>
      <x:c r="R689" s="31" t="str"/>
      <x:c r="S689" s="30" t="str"/>
      <x:c r="T689" s="30" t="str"/>
      <x:c r="U689" s="30" t="str"/>
      <x:c r="V689" s="40" t="str">
        <x:f>IF(B689="","",COUNTA(H689:L689)/5)</x:f>
      </x:c>
    </x:row>
    <x:row r="690">
      <x:c r="A690" s="30" t="str">
        <x:f>IF(B690="","",B690&amp;"-"&amp;C690)</x:f>
      </x:c>
      <x:c r="B690" s="30" t="str">
        <x:f>'01_命例主档'!A44</x:f>
      </x:c>
      <x:c r="C690" s="30" t="str">
        <x:v>M02</x:v>
      </x:c>
      <x:c r="D690" s="30" t="str">
        <x:v>干支藏干基础</x:v>
      </x:c>
      <x:c r="E690" s="30" t="str">
        <x:v>识别层</x:v>
      </x:c>
      <x:c r="F690" s="30" t="str">
        <x:v>无</x:v>
      </x:c>
      <x:c r="G690" s="30" t="str">
        <x:v>未开始</x:v>
      </x:c>
      <x:c r="H690" s="30" t="str"/>
      <x:c r="I690" s="30" t="str"/>
      <x:c r="J690" s="30" t="str"/>
      <x:c r="K690" s="30" t="str"/>
      <x:c r="L690" s="30" t="str"/>
      <x:c r="M690" s="30" t="str"/>
      <x:c r="N690" s="30" t="str"/>
      <x:c r="O690" s="30" t="str"/>
      <x:c r="P690" s="30" t="str"/>
      <x:c r="Q690" s="31" t="str"/>
      <x:c r="R690" s="31" t="str"/>
      <x:c r="S690" s="30" t="str"/>
      <x:c r="T690" s="30" t="str"/>
      <x:c r="U690" s="30" t="str"/>
      <x:c r="V690" s="40" t="str">
        <x:f>IF(B690="","",COUNTA(H690:L690)/5)</x:f>
      </x:c>
    </x:row>
    <x:row r="691">
      <x:c r="A691" s="30" t="str">
        <x:f>IF(B691="","",B691&amp;"-"&amp;C691)</x:f>
      </x:c>
      <x:c r="B691" s="30" t="str">
        <x:f>'01_命例主档'!A44</x:f>
      </x:c>
      <x:c r="C691" s="30" t="str">
        <x:v>M03</x:v>
      </x:c>
      <x:c r="D691" s="30" t="str">
        <x:v>月令与根气</x:v>
      </x:c>
      <x:c r="E691" s="30" t="str">
        <x:v>结构层</x:v>
      </x:c>
      <x:c r="F691" s="30" t="str">
        <x:v>M02</x:v>
      </x:c>
      <x:c r="G691" s="30" t="str">
        <x:v>未开始</x:v>
      </x:c>
      <x:c r="H691" s="30" t="str"/>
      <x:c r="I691" s="30" t="str"/>
      <x:c r="J691" s="30" t="str"/>
      <x:c r="K691" s="30" t="str"/>
      <x:c r="L691" s="30" t="str"/>
      <x:c r="M691" s="30" t="str"/>
      <x:c r="N691" s="30" t="str"/>
      <x:c r="O691" s="30" t="str"/>
      <x:c r="P691" s="30" t="str"/>
      <x:c r="Q691" s="31" t="str"/>
      <x:c r="R691" s="31" t="str"/>
      <x:c r="S691" s="30" t="str"/>
      <x:c r="T691" s="30" t="str"/>
      <x:c r="U691" s="30" t="str"/>
      <x:c r="V691" s="40" t="str">
        <x:f>IF(B691="","",COUNTA(H691:L691)/5)</x:f>
      </x:c>
    </x:row>
    <x:row r="692">
      <x:c r="A692" s="30" t="str">
        <x:f>IF(B692="","",B692&amp;"-"&amp;C692)</x:f>
      </x:c>
      <x:c r="B692" s="30" t="str">
        <x:f>'01_命例主档'!A44</x:f>
      </x:c>
      <x:c r="C692" s="30" t="str">
        <x:v>M04</x:v>
      </x:c>
      <x:c r="D692" s="30" t="str">
        <x:v>天干作用识别</x:v>
      </x:c>
      <x:c r="E692" s="30" t="str">
        <x:v>识别层</x:v>
      </x:c>
      <x:c r="F692" s="30" t="str">
        <x:v>M02</x:v>
      </x:c>
      <x:c r="G692" s="30" t="str">
        <x:v>未开始</x:v>
      </x:c>
      <x:c r="H692" s="30" t="str"/>
      <x:c r="I692" s="30" t="str"/>
      <x:c r="J692" s="30" t="str"/>
      <x:c r="K692" s="30" t="str"/>
      <x:c r="L692" s="30" t="str"/>
      <x:c r="M692" s="30" t="str"/>
      <x:c r="N692" s="30" t="str"/>
      <x:c r="O692" s="30" t="str"/>
      <x:c r="P692" s="30" t="str"/>
      <x:c r="Q692" s="31" t="str"/>
      <x:c r="R692" s="31" t="str"/>
      <x:c r="S692" s="30" t="str"/>
      <x:c r="T692" s="30" t="str"/>
      <x:c r="U692" s="30" t="str"/>
      <x:c r="V692" s="40" t="str">
        <x:f>IF(B692="","",COUNTA(H692:L692)/5)</x:f>
      </x:c>
    </x:row>
    <x:row r="693">
      <x:c r="A693" s="30" t="str">
        <x:f>IF(B693="","",B693&amp;"-"&amp;C693)</x:f>
      </x:c>
      <x:c r="B693" s="30" t="str">
        <x:f>'01_命例主档'!A44</x:f>
      </x:c>
      <x:c r="C693" s="30" t="str">
        <x:v>M05</x:v>
      </x:c>
      <x:c r="D693" s="30" t="str">
        <x:v>地支关系识别</x:v>
      </x:c>
      <x:c r="E693" s="30" t="str">
        <x:v>识别层</x:v>
      </x:c>
      <x:c r="F693" s="30" t="str">
        <x:v>M02</x:v>
      </x:c>
      <x:c r="G693" s="30" t="str">
        <x:v>未开始</x:v>
      </x:c>
      <x:c r="H693" s="30" t="str"/>
      <x:c r="I693" s="30" t="str"/>
      <x:c r="J693" s="30" t="str"/>
      <x:c r="K693" s="30" t="str"/>
      <x:c r="L693" s="30" t="str"/>
      <x:c r="M693" s="30" t="str"/>
      <x:c r="N693" s="30" t="str"/>
      <x:c r="O693" s="30" t="str"/>
      <x:c r="P693" s="30" t="str"/>
      <x:c r="Q693" s="31" t="str"/>
      <x:c r="R693" s="31" t="str"/>
      <x:c r="S693" s="30" t="str"/>
      <x:c r="T693" s="30" t="str"/>
      <x:c r="U693" s="30" t="str"/>
      <x:c r="V693" s="40" t="str">
        <x:f>IF(B693="","",COUNTA(H693:L693)/5)</x:f>
      </x:c>
    </x:row>
    <x:row r="694">
      <x:c r="A694" s="30" t="str">
        <x:f>IF(B694="","",B694&amp;"-"&amp;C694)</x:f>
      </x:c>
      <x:c r="B694" s="30" t="str">
        <x:f>'01_命例主档'!A44</x:f>
      </x:c>
      <x:c r="C694" s="30" t="str">
        <x:v>M06</x:v>
      </x:c>
      <x:c r="D694" s="30" t="str">
        <x:v>干支关系效应</x:v>
      </x:c>
      <x:c r="E694" s="30" t="str">
        <x:v>效应层</x:v>
      </x:c>
      <x:c r="F694" s="30" t="str">
        <x:v>M03/M04/M05</x:v>
      </x:c>
      <x:c r="G694" s="30" t="str">
        <x:v>未开始</x:v>
      </x:c>
      <x:c r="H694" s="30" t="str"/>
      <x:c r="I694" s="30" t="str"/>
      <x:c r="J694" s="30" t="str"/>
      <x:c r="K694" s="30" t="str"/>
      <x:c r="L694" s="30" t="str"/>
      <x:c r="M694" s="30" t="str"/>
      <x:c r="N694" s="30" t="str"/>
      <x:c r="O694" s="30" t="str"/>
      <x:c r="P694" s="30" t="str"/>
      <x:c r="Q694" s="31" t="str"/>
      <x:c r="R694" s="31" t="str"/>
      <x:c r="S694" s="30" t="str"/>
      <x:c r="T694" s="30" t="str"/>
      <x:c r="U694" s="30" t="str"/>
      <x:c r="V694" s="40" t="str">
        <x:f>IF(B694="","",COUNTA(H694:L694)/5)</x:f>
      </x:c>
    </x:row>
    <x:row r="695">
      <x:c r="A695" s="30" t="str">
        <x:f>IF(B695="","",B695&amp;"-"&amp;C695)</x:f>
      </x:c>
      <x:c r="B695" s="30" t="str">
        <x:f>'01_命例主档'!A44</x:f>
      </x:c>
      <x:c r="C695" s="30" t="str">
        <x:v>M07</x:v>
      </x:c>
      <x:c r="D695" s="30" t="str">
        <x:v>五行原始旺衰</x:v>
      </x:c>
      <x:c r="E695" s="30" t="str">
        <x:v>结构层</x:v>
      </x:c>
      <x:c r="F695" s="30" t="str">
        <x:v>M02/M03</x:v>
      </x:c>
      <x:c r="G695" s="30" t="str">
        <x:v>未开始</x:v>
      </x:c>
      <x:c r="H695" s="30" t="str"/>
      <x:c r="I695" s="30" t="str"/>
      <x:c r="J695" s="30" t="str"/>
      <x:c r="K695" s="30" t="str"/>
      <x:c r="L695" s="30" t="str"/>
      <x:c r="M695" s="30" t="str"/>
      <x:c r="N695" s="30" t="str"/>
      <x:c r="O695" s="30" t="str"/>
      <x:c r="P695" s="30" t="str"/>
      <x:c r="Q695" s="31" t="str"/>
      <x:c r="R695" s="31" t="str"/>
      <x:c r="S695" s="30" t="str"/>
      <x:c r="T695" s="30" t="str"/>
      <x:c r="U695" s="30" t="str"/>
      <x:c r="V695" s="40" t="str">
        <x:f>IF(B695="","",COUNTA(H695:L695)/5)</x:f>
      </x:c>
    </x:row>
    <x:row r="696">
      <x:c r="A696" s="30" t="str">
        <x:f>IF(B696="","",B696&amp;"-"&amp;C696)</x:f>
      </x:c>
      <x:c r="B696" s="30" t="str">
        <x:f>'01_命例主档'!A44</x:f>
      </x:c>
      <x:c r="C696" s="30" t="str">
        <x:v>M08</x:v>
      </x:c>
      <x:c r="D696" s="30" t="str">
        <x:v>五行有效旺衰</x:v>
      </x:c>
      <x:c r="E696" s="30" t="str">
        <x:v>结构层</x:v>
      </x:c>
      <x:c r="F696" s="30" t="str">
        <x:v>M06/M07</x:v>
      </x:c>
      <x:c r="G696" s="30" t="str">
        <x:v>未开始</x:v>
      </x:c>
      <x:c r="H696" s="30" t="str"/>
      <x:c r="I696" s="30" t="str"/>
      <x:c r="J696" s="30" t="str"/>
      <x:c r="K696" s="30" t="str"/>
      <x:c r="L696" s="30" t="str"/>
      <x:c r="M696" s="30" t="str"/>
      <x:c r="N696" s="30" t="str"/>
      <x:c r="O696" s="30" t="str"/>
      <x:c r="P696" s="30" t="str"/>
      <x:c r="Q696" s="31" t="str"/>
      <x:c r="R696" s="31" t="str"/>
      <x:c r="S696" s="30" t="str"/>
      <x:c r="T696" s="30" t="str"/>
      <x:c r="U696" s="30" t="str"/>
      <x:c r="V696" s="40" t="str">
        <x:f>IF(B696="","",COUNTA(H696:L696)/5)</x:f>
      </x:c>
    </x:row>
    <x:row r="697">
      <x:c r="A697" s="30" t="str">
        <x:f>IF(B697="","",B697&amp;"-"&amp;C697)</x:f>
      </x:c>
      <x:c r="B697" s="30" t="str">
        <x:f>'01_命例主档'!A44</x:f>
      </x:c>
      <x:c r="C697" s="30" t="str">
        <x:v>M09</x:v>
      </x:c>
      <x:c r="D697" s="30" t="str">
        <x:v>日主旺衰</x:v>
      </x:c>
      <x:c r="E697" s="30" t="str">
        <x:v>综合层</x:v>
      </x:c>
      <x:c r="F697" s="30" t="str">
        <x:v>M03/M07/M08</x:v>
      </x:c>
      <x:c r="G697" s="30" t="str">
        <x:v>未开始</x:v>
      </x:c>
      <x:c r="H697" s="30" t="str"/>
      <x:c r="I697" s="30" t="str"/>
      <x:c r="J697" s="30" t="str"/>
      <x:c r="K697" s="30" t="str"/>
      <x:c r="L697" s="30" t="str"/>
      <x:c r="M697" s="30" t="str"/>
      <x:c r="N697" s="30" t="str"/>
      <x:c r="O697" s="30" t="str"/>
      <x:c r="P697" s="30" t="str"/>
      <x:c r="Q697" s="31" t="str"/>
      <x:c r="R697" s="31" t="str"/>
      <x:c r="S697" s="30" t="str"/>
      <x:c r="T697" s="30" t="str"/>
      <x:c r="U697" s="30" t="str"/>
      <x:c r="V697" s="40" t="str">
        <x:f>IF(B697="","",COUNTA(H697:L697)/5)</x:f>
      </x:c>
    </x:row>
    <x:row r="698">
      <x:c r="A698" s="30" t="str">
        <x:f>IF(B698="","",B698&amp;"-"&amp;C698)</x:f>
      </x:c>
      <x:c r="B698" s="30" t="str">
        <x:f>'01_命例主档'!A44</x:f>
      </x:c>
      <x:c r="C698" s="30" t="str">
        <x:v>M10</x:v>
      </x:c>
      <x:c r="D698" s="30" t="str">
        <x:v>十神旺衰功能</x:v>
      </x:c>
      <x:c r="E698" s="30" t="str">
        <x:v>结构层</x:v>
      </x:c>
      <x:c r="F698" s="30" t="str">
        <x:v>M02/M08/M09</x:v>
      </x:c>
      <x:c r="G698" s="30" t="str">
        <x:v>未开始</x:v>
      </x:c>
      <x:c r="H698" s="30" t="str"/>
      <x:c r="I698" s="30" t="str"/>
      <x:c r="J698" s="30" t="str"/>
      <x:c r="K698" s="30" t="str"/>
      <x:c r="L698" s="30" t="str"/>
      <x:c r="M698" s="30" t="str"/>
      <x:c r="N698" s="30" t="str"/>
      <x:c r="O698" s="30" t="str"/>
      <x:c r="P698" s="30" t="str"/>
      <x:c r="Q698" s="31" t="str"/>
      <x:c r="R698" s="31" t="str"/>
      <x:c r="S698" s="30" t="str"/>
      <x:c r="T698" s="30" t="str"/>
      <x:c r="U698" s="30" t="str"/>
      <x:c r="V698" s="40" t="str">
        <x:f>IF(B698="","",COUNTA(H698:L698)/5)</x:f>
      </x:c>
    </x:row>
    <x:row r="699">
      <x:c r="A699" s="30" t="str">
        <x:f>IF(B699="","",B699&amp;"-"&amp;C699)</x:f>
      </x:c>
      <x:c r="B699" s="30" t="str">
        <x:f>'01_命例主档'!A44</x:f>
      </x:c>
      <x:c r="C699" s="30" t="str">
        <x:v>M11</x:v>
      </x:c>
      <x:c r="D699" s="30" t="str">
        <x:v>十神组合成立</x:v>
      </x:c>
      <x:c r="E699" s="30" t="str">
        <x:v>结构层</x:v>
      </x:c>
      <x:c r="F699" s="30" t="str">
        <x:v>M08/M09/M10</x:v>
      </x:c>
      <x:c r="G699" s="30" t="str">
        <x:v>未开始</x:v>
      </x:c>
      <x:c r="H699" s="30" t="str"/>
      <x:c r="I699" s="30" t="str"/>
      <x:c r="J699" s="30" t="str"/>
      <x:c r="K699" s="30" t="str"/>
      <x:c r="L699" s="30" t="str"/>
      <x:c r="M699" s="30" t="str"/>
      <x:c r="N699" s="30" t="str"/>
      <x:c r="O699" s="30" t="str"/>
      <x:c r="P699" s="30" t="str"/>
      <x:c r="Q699" s="31" t="str"/>
      <x:c r="R699" s="31" t="str"/>
      <x:c r="S699" s="30" t="str"/>
      <x:c r="T699" s="30" t="str"/>
      <x:c r="U699" s="30" t="str"/>
      <x:c r="V699" s="40" t="str">
        <x:f>IF(B699="","",COUNTA(H699:L699)/5)</x:f>
      </x:c>
    </x:row>
    <x:row r="700">
      <x:c r="A700" s="30" t="str">
        <x:f>IF(B700="","",B700&amp;"-"&amp;C700)</x:f>
      </x:c>
      <x:c r="B700" s="30" t="str">
        <x:f>'01_命例主档'!A44</x:f>
      </x:c>
      <x:c r="C700" s="30" t="str">
        <x:v>M12</x:v>
      </x:c>
      <x:c r="D700" s="30" t="str">
        <x:v>五行流通卡点</x:v>
      </x:c>
      <x:c r="E700" s="30" t="str">
        <x:v>结构层</x:v>
      </x:c>
      <x:c r="F700" s="30" t="str">
        <x:v>M06/M08/M10/M11</x:v>
      </x:c>
      <x:c r="G700" s="30" t="str">
        <x:v>未开始</x:v>
      </x:c>
      <x:c r="H700" s="30" t="str"/>
      <x:c r="I700" s="30" t="str"/>
      <x:c r="J700" s="30" t="str"/>
      <x:c r="K700" s="30" t="str"/>
      <x:c r="L700" s="30" t="str"/>
      <x:c r="M700" s="30" t="str"/>
      <x:c r="N700" s="30" t="str"/>
      <x:c r="O700" s="30" t="str"/>
      <x:c r="P700" s="30" t="str"/>
      <x:c r="Q700" s="31" t="str"/>
      <x:c r="R700" s="31" t="str"/>
      <x:c r="S700" s="30" t="str"/>
      <x:c r="T700" s="30" t="str"/>
      <x:c r="U700" s="30" t="str"/>
      <x:c r="V700" s="40" t="str">
        <x:f>IF(B700="","",COUNTA(H700:L700)/5)</x:f>
      </x:c>
    </x:row>
    <x:row r="701">
      <x:c r="A701" s="30" t="str">
        <x:f>IF(B701="","",B701&amp;"-"&amp;C701)</x:f>
      </x:c>
      <x:c r="B701" s="30" t="str">
        <x:f>'01_命例主档'!A44</x:f>
      </x:c>
      <x:c r="C701" s="30" t="str">
        <x:v>M13</x:v>
      </x:c>
      <x:c r="D701" s="30" t="str">
        <x:v>寒暖燥湿</x:v>
      </x:c>
      <x:c r="E701" s="30" t="str">
        <x:v>结构层</x:v>
      </x:c>
      <x:c r="F701" s="30" t="str">
        <x:v>M02/M08/M12</x:v>
      </x:c>
      <x:c r="G701" s="30" t="str">
        <x:v>未开始</x:v>
      </x:c>
      <x:c r="H701" s="30" t="str"/>
      <x:c r="I701" s="30" t="str"/>
      <x:c r="J701" s="30" t="str"/>
      <x:c r="K701" s="30" t="str"/>
      <x:c r="L701" s="30" t="str"/>
      <x:c r="M701" s="30" t="str"/>
      <x:c r="N701" s="30" t="str"/>
      <x:c r="O701" s="30" t="str"/>
      <x:c r="P701" s="30" t="str"/>
      <x:c r="Q701" s="31" t="str"/>
      <x:c r="R701" s="31" t="str"/>
      <x:c r="S701" s="30" t="str"/>
      <x:c r="T701" s="30" t="str"/>
      <x:c r="U701" s="30" t="str"/>
      <x:c r="V701" s="40" t="str">
        <x:f>IF(B701="","",COUNTA(H701:L701)/5)</x:f>
      </x:c>
    </x:row>
    <x:row r="702">
      <x:c r="A702" s="30" t="str">
        <x:f>IF(B702="","",B702&amp;"-"&amp;C702)</x:f>
      </x:c>
      <x:c r="B702" s="30" t="str">
        <x:f>'01_命例主档'!A44</x:f>
      </x:c>
      <x:c r="C702" s="30" t="str">
        <x:v>M14</x:v>
      </x:c>
      <x:c r="D702" s="30" t="str">
        <x:v>格局候选判断</x:v>
      </x:c>
      <x:c r="E702" s="30" t="str">
        <x:v>综合层</x:v>
      </x:c>
      <x:c r="F702" s="30" t="str">
        <x:v>M03/M06/M08/M09/M10/M11</x:v>
      </x:c>
      <x:c r="G702" s="30" t="str">
        <x:v>未开始</x:v>
      </x:c>
      <x:c r="H702" s="30" t="str"/>
      <x:c r="I702" s="30" t="str"/>
      <x:c r="J702" s="30" t="str"/>
      <x:c r="K702" s="30" t="str"/>
      <x:c r="L702" s="30" t="str"/>
      <x:c r="M702" s="30" t="str"/>
      <x:c r="N702" s="30" t="str"/>
      <x:c r="O702" s="30" t="str"/>
      <x:c r="P702" s="30" t="str"/>
      <x:c r="Q702" s="31" t="str"/>
      <x:c r="R702" s="31" t="str"/>
      <x:c r="S702" s="30" t="str"/>
      <x:c r="T702" s="30" t="str"/>
      <x:c r="U702" s="30" t="str"/>
      <x:c r="V702" s="40" t="str">
        <x:f>IF(B702="","",COUNTA(H702:L702)/5)</x:f>
      </x:c>
    </x:row>
    <x:row r="703">
      <x:c r="A703" s="30" t="str">
        <x:f>IF(B703="","",B703&amp;"-"&amp;C703)</x:f>
      </x:c>
      <x:c r="B703" s="30" t="str">
        <x:f>'01_命例主档'!A44</x:f>
      </x:c>
      <x:c r="C703" s="30" t="str">
        <x:v>M15</x:v>
      </x:c>
      <x:c r="D703" s="30" t="str">
        <x:v>格局成败救应</x:v>
      </x:c>
      <x:c r="E703" s="30" t="str">
        <x:v>综合层</x:v>
      </x:c>
      <x:c r="F703" s="30" t="str">
        <x:v>M14/M11/M08</x:v>
      </x:c>
      <x:c r="G703" s="30" t="str">
        <x:v>未开始</x:v>
      </x:c>
      <x:c r="H703" s="30" t="str"/>
      <x:c r="I703" s="30" t="str"/>
      <x:c r="J703" s="30" t="str"/>
      <x:c r="K703" s="30" t="str"/>
      <x:c r="L703" s="30" t="str"/>
      <x:c r="M703" s="30" t="str"/>
      <x:c r="N703" s="30" t="str"/>
      <x:c r="O703" s="30" t="str"/>
      <x:c r="P703" s="30" t="str"/>
      <x:c r="Q703" s="31" t="str"/>
      <x:c r="R703" s="31" t="str"/>
      <x:c r="S703" s="30" t="str"/>
      <x:c r="T703" s="30" t="str"/>
      <x:c r="U703" s="30" t="str"/>
      <x:c r="V703" s="40" t="str">
        <x:f>IF(B703="","",COUNTA(H703:L703)/5)</x:f>
      </x:c>
    </x:row>
    <x:row r="704">
      <x:c r="A704" s="30" t="str">
        <x:f>IF(B704="","",B704&amp;"-"&amp;C704)</x:f>
      </x:c>
      <x:c r="B704" s="30" t="str">
        <x:f>'01_命例主档'!A44</x:f>
      </x:c>
      <x:c r="C704" s="30" t="str">
        <x:v>M16</x:v>
      </x:c>
      <x:c r="D704" s="30" t="str">
        <x:v>病药模型</x:v>
      </x:c>
      <x:c r="E704" s="30" t="str">
        <x:v>综合层</x:v>
      </x:c>
      <x:c r="F704" s="30" t="str">
        <x:v>M08-M15</x:v>
      </x:c>
      <x:c r="G704" s="30" t="str">
        <x:v>未开始</x:v>
      </x:c>
      <x:c r="H704" s="30" t="str"/>
      <x:c r="I704" s="30" t="str"/>
      <x:c r="J704" s="30" t="str"/>
      <x:c r="K704" s="30" t="str"/>
      <x:c r="L704" s="30" t="str"/>
      <x:c r="M704" s="30" t="str"/>
      <x:c r="N704" s="30" t="str"/>
      <x:c r="O704" s="30" t="str"/>
      <x:c r="P704" s="30" t="str"/>
      <x:c r="Q704" s="31" t="str"/>
      <x:c r="R704" s="31" t="str"/>
      <x:c r="S704" s="30" t="str"/>
      <x:c r="T704" s="30" t="str"/>
      <x:c r="U704" s="30" t="str"/>
      <x:c r="V704" s="40" t="str">
        <x:f>IF(B704="","",COUNTA(H704:L704)/5)</x:f>
      </x:c>
    </x:row>
    <x:row r="705">
      <x:c r="A705" s="30" t="str">
        <x:f>IF(B705="","",B705&amp;"-"&amp;C705)</x:f>
      </x:c>
      <x:c r="B705" s="30" t="str">
        <x:f>'01_命例主档'!A44</x:f>
      </x:c>
      <x:c r="C705" s="30" t="str">
        <x:v>M17</x:v>
      </x:c>
      <x:c r="D705" s="30" t="str">
        <x:v>喜忌用神矩阵</x:v>
      </x:c>
      <x:c r="E705" s="30" t="str">
        <x:v>综合层</x:v>
      </x:c>
      <x:c r="F705" s="30" t="str">
        <x:v>M09/M12/M13/M15/M16</x:v>
      </x:c>
      <x:c r="G705" s="30" t="str">
        <x:v>未开始</x:v>
      </x:c>
      <x:c r="H705" s="30" t="str"/>
      <x:c r="I705" s="30" t="str"/>
      <x:c r="J705" s="30" t="str"/>
      <x:c r="K705" s="30" t="str"/>
      <x:c r="L705" s="30" t="str"/>
      <x:c r="M705" s="30" t="str"/>
      <x:c r="N705" s="30" t="str"/>
      <x:c r="O705" s="30" t="str"/>
      <x:c r="P705" s="30" t="str"/>
      <x:c r="Q705" s="31" t="str"/>
      <x:c r="R705" s="31" t="str"/>
      <x:c r="S705" s="30" t="str"/>
      <x:c r="T705" s="30" t="str"/>
      <x:c r="U705" s="30" t="str"/>
      <x:c r="V705" s="40" t="str">
        <x:f>IF(B705="","",COUNTA(H705:L705)/5)</x:f>
      </x:c>
    </x:row>
    <x:row r="706">
      <x:c r="A706" s="30" t="str">
        <x:f>IF(B706="","",B706&amp;"-"&amp;C706)</x:f>
      </x:c>
      <x:c r="B706" s="30" t="str">
        <x:f>'01_命例主档'!A44</x:f>
      </x:c>
      <x:c r="C706" s="30" t="str">
        <x:v>M18</x:v>
      </x:c>
      <x:c r="D706" s="30" t="str">
        <x:v>冲突裁决规则</x:v>
      </x:c>
      <x:c r="E706" s="30" t="str">
        <x:v>综合层</x:v>
      </x:c>
      <x:c r="F706" s="30" t="str">
        <x:v>M14/M15/M16/M17</x:v>
      </x:c>
      <x:c r="G706" s="30" t="str">
        <x:v>未开始</x:v>
      </x:c>
      <x:c r="H706" s="30" t="str"/>
      <x:c r="I706" s="30" t="str"/>
      <x:c r="J706" s="30" t="str"/>
      <x:c r="K706" s="30" t="str"/>
      <x:c r="L706" s="30" t="str"/>
      <x:c r="M706" s="30" t="str"/>
      <x:c r="N706" s="30" t="str"/>
      <x:c r="O706" s="30" t="str"/>
      <x:c r="P706" s="30" t="str"/>
      <x:c r="Q706" s="31" t="str"/>
      <x:c r="R706" s="31" t="str"/>
      <x:c r="S706" s="30" t="str"/>
      <x:c r="T706" s="30" t="str"/>
      <x:c r="U706" s="30" t="str"/>
      <x:c r="V706" s="40" t="str">
        <x:f>IF(B706="","",COUNTA(H706:L706)/5)</x:f>
      </x:c>
    </x:row>
    <x:row r="707">
      <x:c r="A707" s="30" t="str">
        <x:f>IF(B707="","",B707&amp;"-"&amp;C707)</x:f>
      </x:c>
      <x:c r="B707" s="30" t="str">
        <x:f>'01_命例主档'!A44</x:f>
      </x:c>
      <x:c r="C707" s="30" t="str">
        <x:v>M19</x:v>
      </x:c>
      <x:c r="D707" s="30" t="str">
        <x:v>综合输出模板</x:v>
      </x:c>
      <x:c r="E707" s="30" t="str">
        <x:v>治理与输出</x:v>
      </x:c>
      <x:c r="F707" s="30" t="str">
        <x:v>M02-M18</x:v>
      </x:c>
      <x:c r="G707" s="30" t="str">
        <x:v>未开始</x:v>
      </x:c>
      <x:c r="H707" s="30" t="str"/>
      <x:c r="I707" s="30" t="str"/>
      <x:c r="J707" s="30" t="str"/>
      <x:c r="K707" s="30" t="str"/>
      <x:c r="L707" s="30" t="str"/>
      <x:c r="M707" s="30" t="str"/>
      <x:c r="N707" s="30" t="str"/>
      <x:c r="O707" s="30" t="str"/>
      <x:c r="P707" s="30" t="str"/>
      <x:c r="Q707" s="31" t="str"/>
      <x:c r="R707" s="31" t="str"/>
      <x:c r="S707" s="30" t="str"/>
      <x:c r="T707" s="30" t="str"/>
      <x:c r="U707" s="30" t="str"/>
      <x:c r="V707" s="40" t="str">
        <x:f>IF(B707="","",COUNTA(H707:L707)/5)</x:f>
      </x:c>
    </x:row>
    <x:row r="708">
      <x:c r="A708" s="30" t="str">
        <x:f>IF(B708="","",B708&amp;"-"&amp;C708)</x:f>
      </x:c>
      <x:c r="B708" s="30" t="str">
        <x:f>'01_命例主档'!A45</x:f>
      </x:c>
      <x:c r="C708" s="30" t="str">
        <x:v>M02</x:v>
      </x:c>
      <x:c r="D708" s="30" t="str">
        <x:v>干支藏干基础</x:v>
      </x:c>
      <x:c r="E708" s="30" t="str">
        <x:v>识别层</x:v>
      </x:c>
      <x:c r="F708" s="30" t="str">
        <x:v>无</x:v>
      </x:c>
      <x:c r="G708" s="30" t="str">
        <x:v>未开始</x:v>
      </x:c>
      <x:c r="H708" s="30" t="str"/>
      <x:c r="I708" s="30" t="str"/>
      <x:c r="J708" s="30" t="str"/>
      <x:c r="K708" s="30" t="str"/>
      <x:c r="L708" s="30" t="str"/>
      <x:c r="M708" s="30" t="str"/>
      <x:c r="N708" s="30" t="str"/>
      <x:c r="O708" s="30" t="str"/>
      <x:c r="P708" s="30" t="str"/>
      <x:c r="Q708" s="31" t="str"/>
      <x:c r="R708" s="31" t="str"/>
      <x:c r="S708" s="30" t="str"/>
      <x:c r="T708" s="30" t="str"/>
      <x:c r="U708" s="30" t="str"/>
      <x:c r="V708" s="40" t="str">
        <x:f>IF(B708="","",COUNTA(H708:L708)/5)</x:f>
      </x:c>
    </x:row>
    <x:row r="709">
      <x:c r="A709" s="30" t="str">
        <x:f>IF(B709="","",B709&amp;"-"&amp;C709)</x:f>
      </x:c>
      <x:c r="B709" s="30" t="str">
        <x:f>'01_命例主档'!A45</x:f>
      </x:c>
      <x:c r="C709" s="30" t="str">
        <x:v>M03</x:v>
      </x:c>
      <x:c r="D709" s="30" t="str">
        <x:v>月令与根气</x:v>
      </x:c>
      <x:c r="E709" s="30" t="str">
        <x:v>结构层</x:v>
      </x:c>
      <x:c r="F709" s="30" t="str">
        <x:v>M02</x:v>
      </x:c>
      <x:c r="G709" s="30" t="str">
        <x:v>未开始</x:v>
      </x:c>
      <x:c r="H709" s="30" t="str"/>
      <x:c r="I709" s="30" t="str"/>
      <x:c r="J709" s="30" t="str"/>
      <x:c r="K709" s="30" t="str"/>
      <x:c r="L709" s="30" t="str"/>
      <x:c r="M709" s="30" t="str"/>
      <x:c r="N709" s="30" t="str"/>
      <x:c r="O709" s="30" t="str"/>
      <x:c r="P709" s="30" t="str"/>
      <x:c r="Q709" s="31" t="str"/>
      <x:c r="R709" s="31" t="str"/>
      <x:c r="S709" s="30" t="str"/>
      <x:c r="T709" s="30" t="str"/>
      <x:c r="U709" s="30" t="str"/>
      <x:c r="V709" s="40" t="str">
        <x:f>IF(B709="","",COUNTA(H709:L709)/5)</x:f>
      </x:c>
    </x:row>
    <x:row r="710">
      <x:c r="A710" s="30" t="str">
        <x:f>IF(B710="","",B710&amp;"-"&amp;C710)</x:f>
      </x:c>
      <x:c r="B710" s="30" t="str">
        <x:f>'01_命例主档'!A45</x:f>
      </x:c>
      <x:c r="C710" s="30" t="str">
        <x:v>M04</x:v>
      </x:c>
      <x:c r="D710" s="30" t="str">
        <x:v>天干作用识别</x:v>
      </x:c>
      <x:c r="E710" s="30" t="str">
        <x:v>识别层</x:v>
      </x:c>
      <x:c r="F710" s="30" t="str">
        <x:v>M02</x:v>
      </x:c>
      <x:c r="G710" s="30" t="str">
        <x:v>未开始</x:v>
      </x:c>
      <x:c r="H710" s="30" t="str"/>
      <x:c r="I710" s="30" t="str"/>
      <x:c r="J710" s="30" t="str"/>
      <x:c r="K710" s="30" t="str"/>
      <x:c r="L710" s="30" t="str"/>
      <x:c r="M710" s="30" t="str"/>
      <x:c r="N710" s="30" t="str"/>
      <x:c r="O710" s="30" t="str"/>
      <x:c r="P710" s="30" t="str"/>
      <x:c r="Q710" s="31" t="str"/>
      <x:c r="R710" s="31" t="str"/>
      <x:c r="S710" s="30" t="str"/>
      <x:c r="T710" s="30" t="str"/>
      <x:c r="U710" s="30" t="str"/>
      <x:c r="V710" s="40" t="str">
        <x:f>IF(B710="","",COUNTA(H710:L710)/5)</x:f>
      </x:c>
    </x:row>
    <x:row r="711">
      <x:c r="A711" s="30" t="str">
        <x:f>IF(B711="","",B711&amp;"-"&amp;C711)</x:f>
      </x:c>
      <x:c r="B711" s="30" t="str">
        <x:f>'01_命例主档'!A45</x:f>
      </x:c>
      <x:c r="C711" s="30" t="str">
        <x:v>M05</x:v>
      </x:c>
      <x:c r="D711" s="30" t="str">
        <x:v>地支关系识别</x:v>
      </x:c>
      <x:c r="E711" s="30" t="str">
        <x:v>识别层</x:v>
      </x:c>
      <x:c r="F711" s="30" t="str">
        <x:v>M02</x:v>
      </x:c>
      <x:c r="G711" s="30" t="str">
        <x:v>未开始</x:v>
      </x:c>
      <x:c r="H711" s="30" t="str"/>
      <x:c r="I711" s="30" t="str"/>
      <x:c r="J711" s="30" t="str"/>
      <x:c r="K711" s="30" t="str"/>
      <x:c r="L711" s="30" t="str"/>
      <x:c r="M711" s="30" t="str"/>
      <x:c r="N711" s="30" t="str"/>
      <x:c r="O711" s="30" t="str"/>
      <x:c r="P711" s="30" t="str"/>
      <x:c r="Q711" s="31" t="str"/>
      <x:c r="R711" s="31" t="str"/>
      <x:c r="S711" s="30" t="str"/>
      <x:c r="T711" s="30" t="str"/>
      <x:c r="U711" s="30" t="str"/>
      <x:c r="V711" s="40" t="str">
        <x:f>IF(B711="","",COUNTA(H711:L711)/5)</x:f>
      </x:c>
    </x:row>
    <x:row r="712">
      <x:c r="A712" s="30" t="str">
        <x:f>IF(B712="","",B712&amp;"-"&amp;C712)</x:f>
      </x:c>
      <x:c r="B712" s="30" t="str">
        <x:f>'01_命例主档'!A45</x:f>
      </x:c>
      <x:c r="C712" s="30" t="str">
        <x:v>M06</x:v>
      </x:c>
      <x:c r="D712" s="30" t="str">
        <x:v>干支关系效应</x:v>
      </x:c>
      <x:c r="E712" s="30" t="str">
        <x:v>效应层</x:v>
      </x:c>
      <x:c r="F712" s="30" t="str">
        <x:v>M03/M04/M05</x:v>
      </x:c>
      <x:c r="G712" s="30" t="str">
        <x:v>未开始</x:v>
      </x:c>
      <x:c r="H712" s="30" t="str"/>
      <x:c r="I712" s="30" t="str"/>
      <x:c r="J712" s="30" t="str"/>
      <x:c r="K712" s="30" t="str"/>
      <x:c r="L712" s="30" t="str"/>
      <x:c r="M712" s="30" t="str"/>
      <x:c r="N712" s="30" t="str"/>
      <x:c r="O712" s="30" t="str"/>
      <x:c r="P712" s="30" t="str"/>
      <x:c r="Q712" s="31" t="str"/>
      <x:c r="R712" s="31" t="str"/>
      <x:c r="S712" s="30" t="str"/>
      <x:c r="T712" s="30" t="str"/>
      <x:c r="U712" s="30" t="str"/>
      <x:c r="V712" s="40" t="str">
        <x:f>IF(B712="","",COUNTA(H712:L712)/5)</x:f>
      </x:c>
    </x:row>
    <x:row r="713">
      <x:c r="A713" s="30" t="str">
        <x:f>IF(B713="","",B713&amp;"-"&amp;C713)</x:f>
      </x:c>
      <x:c r="B713" s="30" t="str">
        <x:f>'01_命例主档'!A45</x:f>
      </x:c>
      <x:c r="C713" s="30" t="str">
        <x:v>M07</x:v>
      </x:c>
      <x:c r="D713" s="30" t="str">
        <x:v>五行原始旺衰</x:v>
      </x:c>
      <x:c r="E713" s="30" t="str">
        <x:v>结构层</x:v>
      </x:c>
      <x:c r="F713" s="30" t="str">
        <x:v>M02/M03</x:v>
      </x:c>
      <x:c r="G713" s="30" t="str">
        <x:v>未开始</x:v>
      </x:c>
      <x:c r="H713" s="30" t="str"/>
      <x:c r="I713" s="30" t="str"/>
      <x:c r="J713" s="30" t="str"/>
      <x:c r="K713" s="30" t="str"/>
      <x:c r="L713" s="30" t="str"/>
      <x:c r="M713" s="30" t="str"/>
      <x:c r="N713" s="30" t="str"/>
      <x:c r="O713" s="30" t="str"/>
      <x:c r="P713" s="30" t="str"/>
      <x:c r="Q713" s="31" t="str"/>
      <x:c r="R713" s="31" t="str"/>
      <x:c r="S713" s="30" t="str"/>
      <x:c r="T713" s="30" t="str"/>
      <x:c r="U713" s="30" t="str"/>
      <x:c r="V713" s="40" t="str">
        <x:f>IF(B713="","",COUNTA(H713:L713)/5)</x:f>
      </x:c>
    </x:row>
    <x:row r="714">
      <x:c r="A714" s="30" t="str">
        <x:f>IF(B714="","",B714&amp;"-"&amp;C714)</x:f>
      </x:c>
      <x:c r="B714" s="30" t="str">
        <x:f>'01_命例主档'!A45</x:f>
      </x:c>
      <x:c r="C714" s="30" t="str">
        <x:v>M08</x:v>
      </x:c>
      <x:c r="D714" s="30" t="str">
        <x:v>五行有效旺衰</x:v>
      </x:c>
      <x:c r="E714" s="30" t="str">
        <x:v>结构层</x:v>
      </x:c>
      <x:c r="F714" s="30" t="str">
        <x:v>M06/M07</x:v>
      </x:c>
      <x:c r="G714" s="30" t="str">
        <x:v>未开始</x:v>
      </x:c>
      <x:c r="H714" s="30" t="str"/>
      <x:c r="I714" s="30" t="str"/>
      <x:c r="J714" s="30" t="str"/>
      <x:c r="K714" s="30" t="str"/>
      <x:c r="L714" s="30" t="str"/>
      <x:c r="M714" s="30" t="str"/>
      <x:c r="N714" s="30" t="str"/>
      <x:c r="O714" s="30" t="str"/>
      <x:c r="P714" s="30" t="str"/>
      <x:c r="Q714" s="31" t="str"/>
      <x:c r="R714" s="31" t="str"/>
      <x:c r="S714" s="30" t="str"/>
      <x:c r="T714" s="30" t="str"/>
      <x:c r="U714" s="30" t="str"/>
      <x:c r="V714" s="40" t="str">
        <x:f>IF(B714="","",COUNTA(H714:L714)/5)</x:f>
      </x:c>
    </x:row>
    <x:row r="715">
      <x:c r="A715" s="30" t="str">
        <x:f>IF(B715="","",B715&amp;"-"&amp;C715)</x:f>
      </x:c>
      <x:c r="B715" s="30" t="str">
        <x:f>'01_命例主档'!A45</x:f>
      </x:c>
      <x:c r="C715" s="30" t="str">
        <x:v>M09</x:v>
      </x:c>
      <x:c r="D715" s="30" t="str">
        <x:v>日主旺衰</x:v>
      </x:c>
      <x:c r="E715" s="30" t="str">
        <x:v>综合层</x:v>
      </x:c>
      <x:c r="F715" s="30" t="str">
        <x:v>M03/M07/M08</x:v>
      </x:c>
      <x:c r="G715" s="30" t="str">
        <x:v>未开始</x:v>
      </x:c>
      <x:c r="H715" s="30" t="str"/>
      <x:c r="I715" s="30" t="str"/>
      <x:c r="J715" s="30" t="str"/>
      <x:c r="K715" s="30" t="str"/>
      <x:c r="L715" s="30" t="str"/>
      <x:c r="M715" s="30" t="str"/>
      <x:c r="N715" s="30" t="str"/>
      <x:c r="O715" s="30" t="str"/>
      <x:c r="P715" s="30" t="str"/>
      <x:c r="Q715" s="31" t="str"/>
      <x:c r="R715" s="31" t="str"/>
      <x:c r="S715" s="30" t="str"/>
      <x:c r="T715" s="30" t="str"/>
      <x:c r="U715" s="30" t="str"/>
      <x:c r="V715" s="40" t="str">
        <x:f>IF(B715="","",COUNTA(H715:L715)/5)</x:f>
      </x:c>
    </x:row>
    <x:row r="716">
      <x:c r="A716" s="30" t="str">
        <x:f>IF(B716="","",B716&amp;"-"&amp;C716)</x:f>
      </x:c>
      <x:c r="B716" s="30" t="str">
        <x:f>'01_命例主档'!A45</x:f>
      </x:c>
      <x:c r="C716" s="30" t="str">
        <x:v>M10</x:v>
      </x:c>
      <x:c r="D716" s="30" t="str">
        <x:v>十神旺衰功能</x:v>
      </x:c>
      <x:c r="E716" s="30" t="str">
        <x:v>结构层</x:v>
      </x:c>
      <x:c r="F716" s="30" t="str">
        <x:v>M02/M08/M09</x:v>
      </x:c>
      <x:c r="G716" s="30" t="str">
        <x:v>未开始</x:v>
      </x:c>
      <x:c r="H716" s="30" t="str"/>
      <x:c r="I716" s="30" t="str"/>
      <x:c r="J716" s="30" t="str"/>
      <x:c r="K716" s="30" t="str"/>
      <x:c r="L716" s="30" t="str"/>
      <x:c r="M716" s="30" t="str"/>
      <x:c r="N716" s="30" t="str"/>
      <x:c r="O716" s="30" t="str"/>
      <x:c r="P716" s="30" t="str"/>
      <x:c r="Q716" s="31" t="str"/>
      <x:c r="R716" s="31" t="str"/>
      <x:c r="S716" s="30" t="str"/>
      <x:c r="T716" s="30" t="str"/>
      <x:c r="U716" s="30" t="str"/>
      <x:c r="V716" s="40" t="str">
        <x:f>IF(B716="","",COUNTA(H716:L716)/5)</x:f>
      </x:c>
    </x:row>
    <x:row r="717">
      <x:c r="A717" s="30" t="str">
        <x:f>IF(B717="","",B717&amp;"-"&amp;C717)</x:f>
      </x:c>
      <x:c r="B717" s="30" t="str">
        <x:f>'01_命例主档'!A45</x:f>
      </x:c>
      <x:c r="C717" s="30" t="str">
        <x:v>M11</x:v>
      </x:c>
      <x:c r="D717" s="30" t="str">
        <x:v>十神组合成立</x:v>
      </x:c>
      <x:c r="E717" s="30" t="str">
        <x:v>结构层</x:v>
      </x:c>
      <x:c r="F717" s="30" t="str">
        <x:v>M08/M09/M10</x:v>
      </x:c>
      <x:c r="G717" s="30" t="str">
        <x:v>未开始</x:v>
      </x:c>
      <x:c r="H717" s="30" t="str"/>
      <x:c r="I717" s="30" t="str"/>
      <x:c r="J717" s="30" t="str"/>
      <x:c r="K717" s="30" t="str"/>
      <x:c r="L717" s="30" t="str"/>
      <x:c r="M717" s="30" t="str"/>
      <x:c r="N717" s="30" t="str"/>
      <x:c r="O717" s="30" t="str"/>
      <x:c r="P717" s="30" t="str"/>
      <x:c r="Q717" s="31" t="str"/>
      <x:c r="R717" s="31" t="str"/>
      <x:c r="S717" s="30" t="str"/>
      <x:c r="T717" s="30" t="str"/>
      <x:c r="U717" s="30" t="str"/>
      <x:c r="V717" s="40" t="str">
        <x:f>IF(B717="","",COUNTA(H717:L717)/5)</x:f>
      </x:c>
    </x:row>
    <x:row r="718">
      <x:c r="A718" s="30" t="str">
        <x:f>IF(B718="","",B718&amp;"-"&amp;C718)</x:f>
      </x:c>
      <x:c r="B718" s="30" t="str">
        <x:f>'01_命例主档'!A45</x:f>
      </x:c>
      <x:c r="C718" s="30" t="str">
        <x:v>M12</x:v>
      </x:c>
      <x:c r="D718" s="30" t="str">
        <x:v>五行流通卡点</x:v>
      </x:c>
      <x:c r="E718" s="30" t="str">
        <x:v>结构层</x:v>
      </x:c>
      <x:c r="F718" s="30" t="str">
        <x:v>M06/M08/M10/M11</x:v>
      </x:c>
      <x:c r="G718" s="30" t="str">
        <x:v>未开始</x:v>
      </x:c>
      <x:c r="H718" s="30" t="str"/>
      <x:c r="I718" s="30" t="str"/>
      <x:c r="J718" s="30" t="str"/>
      <x:c r="K718" s="30" t="str"/>
      <x:c r="L718" s="30" t="str"/>
      <x:c r="M718" s="30" t="str"/>
      <x:c r="N718" s="30" t="str"/>
      <x:c r="O718" s="30" t="str"/>
      <x:c r="P718" s="30" t="str"/>
      <x:c r="Q718" s="31" t="str"/>
      <x:c r="R718" s="31" t="str"/>
      <x:c r="S718" s="30" t="str"/>
      <x:c r="T718" s="30" t="str"/>
      <x:c r="U718" s="30" t="str"/>
      <x:c r="V718" s="40" t="str">
        <x:f>IF(B718="","",COUNTA(H718:L718)/5)</x:f>
      </x:c>
    </x:row>
    <x:row r="719">
      <x:c r="A719" s="30" t="str">
        <x:f>IF(B719="","",B719&amp;"-"&amp;C719)</x:f>
      </x:c>
      <x:c r="B719" s="30" t="str">
        <x:f>'01_命例主档'!A45</x:f>
      </x:c>
      <x:c r="C719" s="30" t="str">
        <x:v>M13</x:v>
      </x:c>
      <x:c r="D719" s="30" t="str">
        <x:v>寒暖燥湿</x:v>
      </x:c>
      <x:c r="E719" s="30" t="str">
        <x:v>结构层</x:v>
      </x:c>
      <x:c r="F719" s="30" t="str">
        <x:v>M02/M08/M12</x:v>
      </x:c>
      <x:c r="G719" s="30" t="str">
        <x:v>未开始</x:v>
      </x:c>
      <x:c r="H719" s="30" t="str"/>
      <x:c r="I719" s="30" t="str"/>
      <x:c r="J719" s="30" t="str"/>
      <x:c r="K719" s="30" t="str"/>
      <x:c r="L719" s="30" t="str"/>
      <x:c r="M719" s="30" t="str"/>
      <x:c r="N719" s="30" t="str"/>
      <x:c r="O719" s="30" t="str"/>
      <x:c r="P719" s="30" t="str"/>
      <x:c r="Q719" s="31" t="str"/>
      <x:c r="R719" s="31" t="str"/>
      <x:c r="S719" s="30" t="str"/>
      <x:c r="T719" s="30" t="str"/>
      <x:c r="U719" s="30" t="str"/>
      <x:c r="V719" s="40" t="str">
        <x:f>IF(B719="","",COUNTA(H719:L719)/5)</x:f>
      </x:c>
    </x:row>
    <x:row r="720">
      <x:c r="A720" s="30" t="str">
        <x:f>IF(B720="","",B720&amp;"-"&amp;C720)</x:f>
      </x:c>
      <x:c r="B720" s="30" t="str">
        <x:f>'01_命例主档'!A45</x:f>
      </x:c>
      <x:c r="C720" s="30" t="str">
        <x:v>M14</x:v>
      </x:c>
      <x:c r="D720" s="30" t="str">
        <x:v>格局候选判断</x:v>
      </x:c>
      <x:c r="E720" s="30" t="str">
        <x:v>综合层</x:v>
      </x:c>
      <x:c r="F720" s="30" t="str">
        <x:v>M03/M06/M08/M09/M10/M11</x:v>
      </x:c>
      <x:c r="G720" s="30" t="str">
        <x:v>未开始</x:v>
      </x:c>
      <x:c r="H720" s="30" t="str"/>
      <x:c r="I720" s="30" t="str"/>
      <x:c r="J720" s="30" t="str"/>
      <x:c r="K720" s="30" t="str"/>
      <x:c r="L720" s="30" t="str"/>
      <x:c r="M720" s="30" t="str"/>
      <x:c r="N720" s="30" t="str"/>
      <x:c r="O720" s="30" t="str"/>
      <x:c r="P720" s="30" t="str"/>
      <x:c r="Q720" s="31" t="str"/>
      <x:c r="R720" s="31" t="str"/>
      <x:c r="S720" s="30" t="str"/>
      <x:c r="T720" s="30" t="str"/>
      <x:c r="U720" s="30" t="str"/>
      <x:c r="V720" s="40" t="str">
        <x:f>IF(B720="","",COUNTA(H720:L720)/5)</x:f>
      </x:c>
    </x:row>
    <x:row r="721">
      <x:c r="A721" s="30" t="str">
        <x:f>IF(B721="","",B721&amp;"-"&amp;C721)</x:f>
      </x:c>
      <x:c r="B721" s="30" t="str">
        <x:f>'01_命例主档'!A45</x:f>
      </x:c>
      <x:c r="C721" s="30" t="str">
        <x:v>M15</x:v>
      </x:c>
      <x:c r="D721" s="30" t="str">
        <x:v>格局成败救应</x:v>
      </x:c>
      <x:c r="E721" s="30" t="str">
        <x:v>综合层</x:v>
      </x:c>
      <x:c r="F721" s="30" t="str">
        <x:v>M14/M11/M08</x:v>
      </x:c>
      <x:c r="G721" s="30" t="str">
        <x:v>未开始</x:v>
      </x:c>
      <x:c r="H721" s="30" t="str"/>
      <x:c r="I721" s="30" t="str"/>
      <x:c r="J721" s="30" t="str"/>
      <x:c r="K721" s="30" t="str"/>
      <x:c r="L721" s="30" t="str"/>
      <x:c r="M721" s="30" t="str"/>
      <x:c r="N721" s="30" t="str"/>
      <x:c r="O721" s="30" t="str"/>
      <x:c r="P721" s="30" t="str"/>
      <x:c r="Q721" s="31" t="str"/>
      <x:c r="R721" s="31" t="str"/>
      <x:c r="S721" s="30" t="str"/>
      <x:c r="T721" s="30" t="str"/>
      <x:c r="U721" s="30" t="str"/>
      <x:c r="V721" s="40" t="str">
        <x:f>IF(B721="","",COUNTA(H721:L721)/5)</x:f>
      </x:c>
    </x:row>
    <x:row r="722">
      <x:c r="A722" s="30" t="str">
        <x:f>IF(B722="","",B722&amp;"-"&amp;C722)</x:f>
      </x:c>
      <x:c r="B722" s="30" t="str">
        <x:f>'01_命例主档'!A45</x:f>
      </x:c>
      <x:c r="C722" s="30" t="str">
        <x:v>M16</x:v>
      </x:c>
      <x:c r="D722" s="30" t="str">
        <x:v>病药模型</x:v>
      </x:c>
      <x:c r="E722" s="30" t="str">
        <x:v>综合层</x:v>
      </x:c>
      <x:c r="F722" s="30" t="str">
        <x:v>M08-M15</x:v>
      </x:c>
      <x:c r="G722" s="30" t="str">
        <x:v>未开始</x:v>
      </x:c>
      <x:c r="H722" s="30" t="str"/>
      <x:c r="I722" s="30" t="str"/>
      <x:c r="J722" s="30" t="str"/>
      <x:c r="K722" s="30" t="str"/>
      <x:c r="L722" s="30" t="str"/>
      <x:c r="M722" s="30" t="str"/>
      <x:c r="N722" s="30" t="str"/>
      <x:c r="O722" s="30" t="str"/>
      <x:c r="P722" s="30" t="str"/>
      <x:c r="Q722" s="31" t="str"/>
      <x:c r="R722" s="31" t="str"/>
      <x:c r="S722" s="30" t="str"/>
      <x:c r="T722" s="30" t="str"/>
      <x:c r="U722" s="30" t="str"/>
      <x:c r="V722" s="40" t="str">
        <x:f>IF(B722="","",COUNTA(H722:L722)/5)</x:f>
      </x:c>
    </x:row>
    <x:row r="723">
      <x:c r="A723" s="30" t="str">
        <x:f>IF(B723="","",B723&amp;"-"&amp;C723)</x:f>
      </x:c>
      <x:c r="B723" s="30" t="str">
        <x:f>'01_命例主档'!A45</x:f>
      </x:c>
      <x:c r="C723" s="30" t="str">
        <x:v>M17</x:v>
      </x:c>
      <x:c r="D723" s="30" t="str">
        <x:v>喜忌用神矩阵</x:v>
      </x:c>
      <x:c r="E723" s="30" t="str">
        <x:v>综合层</x:v>
      </x:c>
      <x:c r="F723" s="30" t="str">
        <x:v>M09/M12/M13/M15/M16</x:v>
      </x:c>
      <x:c r="G723" s="30" t="str">
        <x:v>未开始</x:v>
      </x:c>
      <x:c r="H723" s="30" t="str"/>
      <x:c r="I723" s="30" t="str"/>
      <x:c r="J723" s="30" t="str"/>
      <x:c r="K723" s="30" t="str"/>
      <x:c r="L723" s="30" t="str"/>
      <x:c r="M723" s="30" t="str"/>
      <x:c r="N723" s="30" t="str"/>
      <x:c r="O723" s="30" t="str"/>
      <x:c r="P723" s="30" t="str"/>
      <x:c r="Q723" s="31" t="str"/>
      <x:c r="R723" s="31" t="str"/>
      <x:c r="S723" s="30" t="str"/>
      <x:c r="T723" s="30" t="str"/>
      <x:c r="U723" s="30" t="str"/>
      <x:c r="V723" s="40" t="str">
        <x:f>IF(B723="","",COUNTA(H723:L723)/5)</x:f>
      </x:c>
    </x:row>
    <x:row r="724">
      <x:c r="A724" s="30" t="str">
        <x:f>IF(B724="","",B724&amp;"-"&amp;C724)</x:f>
      </x:c>
      <x:c r="B724" s="30" t="str">
        <x:f>'01_命例主档'!A45</x:f>
      </x:c>
      <x:c r="C724" s="30" t="str">
        <x:v>M18</x:v>
      </x:c>
      <x:c r="D724" s="30" t="str">
        <x:v>冲突裁决规则</x:v>
      </x:c>
      <x:c r="E724" s="30" t="str">
        <x:v>综合层</x:v>
      </x:c>
      <x:c r="F724" s="30" t="str">
        <x:v>M14/M15/M16/M17</x:v>
      </x:c>
      <x:c r="G724" s="30" t="str">
        <x:v>未开始</x:v>
      </x:c>
      <x:c r="H724" s="30" t="str"/>
      <x:c r="I724" s="30" t="str"/>
      <x:c r="J724" s="30" t="str"/>
      <x:c r="K724" s="30" t="str"/>
      <x:c r="L724" s="30" t="str"/>
      <x:c r="M724" s="30" t="str"/>
      <x:c r="N724" s="30" t="str"/>
      <x:c r="O724" s="30" t="str"/>
      <x:c r="P724" s="30" t="str"/>
      <x:c r="Q724" s="31" t="str"/>
      <x:c r="R724" s="31" t="str"/>
      <x:c r="S724" s="30" t="str"/>
      <x:c r="T724" s="30" t="str"/>
      <x:c r="U724" s="30" t="str"/>
      <x:c r="V724" s="40" t="str">
        <x:f>IF(B724="","",COUNTA(H724:L724)/5)</x:f>
      </x:c>
    </x:row>
    <x:row r="725">
      <x:c r="A725" s="30" t="str">
        <x:f>IF(B725="","",B725&amp;"-"&amp;C725)</x:f>
      </x:c>
      <x:c r="B725" s="30" t="str">
        <x:f>'01_命例主档'!A45</x:f>
      </x:c>
      <x:c r="C725" s="30" t="str">
        <x:v>M19</x:v>
      </x:c>
      <x:c r="D725" s="30" t="str">
        <x:v>综合输出模板</x:v>
      </x:c>
      <x:c r="E725" s="30" t="str">
        <x:v>治理与输出</x:v>
      </x:c>
      <x:c r="F725" s="30" t="str">
        <x:v>M02-M18</x:v>
      </x:c>
      <x:c r="G725" s="30" t="str">
        <x:v>未开始</x:v>
      </x:c>
      <x:c r="H725" s="30" t="str"/>
      <x:c r="I725" s="30" t="str"/>
      <x:c r="J725" s="30" t="str"/>
      <x:c r="K725" s="30" t="str"/>
      <x:c r="L725" s="30" t="str"/>
      <x:c r="M725" s="30" t="str"/>
      <x:c r="N725" s="30" t="str"/>
      <x:c r="O725" s="30" t="str"/>
      <x:c r="P725" s="30" t="str"/>
      <x:c r="Q725" s="31" t="str"/>
      <x:c r="R725" s="31" t="str"/>
      <x:c r="S725" s="30" t="str"/>
      <x:c r="T725" s="30" t="str"/>
      <x:c r="U725" s="30" t="str"/>
      <x:c r="V725" s="40" t="str">
        <x:f>IF(B725="","",COUNTA(H725:L725)/5)</x:f>
      </x:c>
    </x:row>
    <x:row r="726">
      <x:c r="A726" s="30" t="str">
        <x:f>IF(B726="","",B726&amp;"-"&amp;C726)</x:f>
      </x:c>
      <x:c r="B726" s="30" t="str">
        <x:f>'01_命例主档'!A46</x:f>
      </x:c>
      <x:c r="C726" s="30" t="str">
        <x:v>M02</x:v>
      </x:c>
      <x:c r="D726" s="30" t="str">
        <x:v>干支藏干基础</x:v>
      </x:c>
      <x:c r="E726" s="30" t="str">
        <x:v>识别层</x:v>
      </x:c>
      <x:c r="F726" s="30" t="str">
        <x:v>无</x:v>
      </x:c>
      <x:c r="G726" s="30" t="str">
        <x:v>未开始</x:v>
      </x:c>
      <x:c r="H726" s="30" t="str"/>
      <x:c r="I726" s="30" t="str"/>
      <x:c r="J726" s="30" t="str"/>
      <x:c r="K726" s="30" t="str"/>
      <x:c r="L726" s="30" t="str"/>
      <x:c r="M726" s="30" t="str"/>
      <x:c r="N726" s="30" t="str"/>
      <x:c r="O726" s="30" t="str"/>
      <x:c r="P726" s="30" t="str"/>
      <x:c r="Q726" s="31" t="str"/>
      <x:c r="R726" s="31" t="str"/>
      <x:c r="S726" s="30" t="str"/>
      <x:c r="T726" s="30" t="str"/>
      <x:c r="U726" s="30" t="str"/>
      <x:c r="V726" s="40" t="str">
        <x:f>IF(B726="","",COUNTA(H726:L726)/5)</x:f>
      </x:c>
    </x:row>
    <x:row r="727">
      <x:c r="A727" s="30" t="str">
        <x:f>IF(B727="","",B727&amp;"-"&amp;C727)</x:f>
      </x:c>
      <x:c r="B727" s="30" t="str">
        <x:f>'01_命例主档'!A46</x:f>
      </x:c>
      <x:c r="C727" s="30" t="str">
        <x:v>M03</x:v>
      </x:c>
      <x:c r="D727" s="30" t="str">
        <x:v>月令与根气</x:v>
      </x:c>
      <x:c r="E727" s="30" t="str">
        <x:v>结构层</x:v>
      </x:c>
      <x:c r="F727" s="30" t="str">
        <x:v>M02</x:v>
      </x:c>
      <x:c r="G727" s="30" t="str">
        <x:v>未开始</x:v>
      </x:c>
      <x:c r="H727" s="30" t="str"/>
      <x:c r="I727" s="30" t="str"/>
      <x:c r="J727" s="30" t="str"/>
      <x:c r="K727" s="30" t="str"/>
      <x:c r="L727" s="30" t="str"/>
      <x:c r="M727" s="30" t="str"/>
      <x:c r="N727" s="30" t="str"/>
      <x:c r="O727" s="30" t="str"/>
      <x:c r="P727" s="30" t="str"/>
      <x:c r="Q727" s="31" t="str"/>
      <x:c r="R727" s="31" t="str"/>
      <x:c r="S727" s="30" t="str"/>
      <x:c r="T727" s="30" t="str"/>
      <x:c r="U727" s="30" t="str"/>
      <x:c r="V727" s="40" t="str">
        <x:f>IF(B727="","",COUNTA(H727:L727)/5)</x:f>
      </x:c>
    </x:row>
    <x:row r="728">
      <x:c r="A728" s="30" t="str">
        <x:f>IF(B728="","",B728&amp;"-"&amp;C728)</x:f>
      </x:c>
      <x:c r="B728" s="30" t="str">
        <x:f>'01_命例主档'!A46</x:f>
      </x:c>
      <x:c r="C728" s="30" t="str">
        <x:v>M04</x:v>
      </x:c>
      <x:c r="D728" s="30" t="str">
        <x:v>天干作用识别</x:v>
      </x:c>
      <x:c r="E728" s="30" t="str">
        <x:v>识别层</x:v>
      </x:c>
      <x:c r="F728" s="30" t="str">
        <x:v>M02</x:v>
      </x:c>
      <x:c r="G728" s="30" t="str">
        <x:v>未开始</x:v>
      </x:c>
      <x:c r="H728" s="30" t="str"/>
      <x:c r="I728" s="30" t="str"/>
      <x:c r="J728" s="30" t="str"/>
      <x:c r="K728" s="30" t="str"/>
      <x:c r="L728" s="30" t="str"/>
      <x:c r="M728" s="30" t="str"/>
      <x:c r="N728" s="30" t="str"/>
      <x:c r="O728" s="30" t="str"/>
      <x:c r="P728" s="30" t="str"/>
      <x:c r="Q728" s="31" t="str"/>
      <x:c r="R728" s="31" t="str"/>
      <x:c r="S728" s="30" t="str"/>
      <x:c r="T728" s="30" t="str"/>
      <x:c r="U728" s="30" t="str"/>
      <x:c r="V728" s="40" t="str">
        <x:f>IF(B728="","",COUNTA(H728:L728)/5)</x:f>
      </x:c>
    </x:row>
    <x:row r="729">
      <x:c r="A729" s="30" t="str">
        <x:f>IF(B729="","",B729&amp;"-"&amp;C729)</x:f>
      </x:c>
      <x:c r="B729" s="30" t="str">
        <x:f>'01_命例主档'!A46</x:f>
      </x:c>
      <x:c r="C729" s="30" t="str">
        <x:v>M05</x:v>
      </x:c>
      <x:c r="D729" s="30" t="str">
        <x:v>地支关系识别</x:v>
      </x:c>
      <x:c r="E729" s="30" t="str">
        <x:v>识别层</x:v>
      </x:c>
      <x:c r="F729" s="30" t="str">
        <x:v>M02</x:v>
      </x:c>
      <x:c r="G729" s="30" t="str">
        <x:v>未开始</x:v>
      </x:c>
      <x:c r="H729" s="30" t="str"/>
      <x:c r="I729" s="30" t="str"/>
      <x:c r="J729" s="30" t="str"/>
      <x:c r="K729" s="30" t="str"/>
      <x:c r="L729" s="30" t="str"/>
      <x:c r="M729" s="30" t="str"/>
      <x:c r="N729" s="30" t="str"/>
      <x:c r="O729" s="30" t="str"/>
      <x:c r="P729" s="30" t="str"/>
      <x:c r="Q729" s="31" t="str"/>
      <x:c r="R729" s="31" t="str"/>
      <x:c r="S729" s="30" t="str"/>
      <x:c r="T729" s="30" t="str"/>
      <x:c r="U729" s="30" t="str"/>
      <x:c r="V729" s="40" t="str">
        <x:f>IF(B729="","",COUNTA(H729:L729)/5)</x:f>
      </x:c>
    </x:row>
    <x:row r="730">
      <x:c r="A730" s="30" t="str">
        <x:f>IF(B730="","",B730&amp;"-"&amp;C730)</x:f>
      </x:c>
      <x:c r="B730" s="30" t="str">
        <x:f>'01_命例主档'!A46</x:f>
      </x:c>
      <x:c r="C730" s="30" t="str">
        <x:v>M06</x:v>
      </x:c>
      <x:c r="D730" s="30" t="str">
        <x:v>干支关系效应</x:v>
      </x:c>
      <x:c r="E730" s="30" t="str">
        <x:v>效应层</x:v>
      </x:c>
      <x:c r="F730" s="30" t="str">
        <x:v>M03/M04/M05</x:v>
      </x:c>
      <x:c r="G730" s="30" t="str">
        <x:v>未开始</x:v>
      </x:c>
      <x:c r="H730" s="30" t="str"/>
      <x:c r="I730" s="30" t="str"/>
      <x:c r="J730" s="30" t="str"/>
      <x:c r="K730" s="30" t="str"/>
      <x:c r="L730" s="30" t="str"/>
      <x:c r="M730" s="30" t="str"/>
      <x:c r="N730" s="30" t="str"/>
      <x:c r="O730" s="30" t="str"/>
      <x:c r="P730" s="30" t="str"/>
      <x:c r="Q730" s="31" t="str"/>
      <x:c r="R730" s="31" t="str"/>
      <x:c r="S730" s="30" t="str"/>
      <x:c r="T730" s="30" t="str"/>
      <x:c r="U730" s="30" t="str"/>
      <x:c r="V730" s="40" t="str">
        <x:f>IF(B730="","",COUNTA(H730:L730)/5)</x:f>
      </x:c>
    </x:row>
    <x:row r="731">
      <x:c r="A731" s="30" t="str">
        <x:f>IF(B731="","",B731&amp;"-"&amp;C731)</x:f>
      </x:c>
      <x:c r="B731" s="30" t="str">
        <x:f>'01_命例主档'!A46</x:f>
      </x:c>
      <x:c r="C731" s="30" t="str">
        <x:v>M07</x:v>
      </x:c>
      <x:c r="D731" s="30" t="str">
        <x:v>五行原始旺衰</x:v>
      </x:c>
      <x:c r="E731" s="30" t="str">
        <x:v>结构层</x:v>
      </x:c>
      <x:c r="F731" s="30" t="str">
        <x:v>M02/M03</x:v>
      </x:c>
      <x:c r="G731" s="30" t="str">
        <x:v>未开始</x:v>
      </x:c>
      <x:c r="H731" s="30" t="str"/>
      <x:c r="I731" s="30" t="str"/>
      <x:c r="J731" s="30" t="str"/>
      <x:c r="K731" s="30" t="str"/>
      <x:c r="L731" s="30" t="str"/>
      <x:c r="M731" s="30" t="str"/>
      <x:c r="N731" s="30" t="str"/>
      <x:c r="O731" s="30" t="str"/>
      <x:c r="P731" s="30" t="str"/>
      <x:c r="Q731" s="31" t="str"/>
      <x:c r="R731" s="31" t="str"/>
      <x:c r="S731" s="30" t="str"/>
      <x:c r="T731" s="30" t="str"/>
      <x:c r="U731" s="30" t="str"/>
      <x:c r="V731" s="40" t="str">
        <x:f>IF(B731="","",COUNTA(H731:L731)/5)</x:f>
      </x:c>
    </x:row>
    <x:row r="732">
      <x:c r="A732" s="30" t="str">
        <x:f>IF(B732="","",B732&amp;"-"&amp;C732)</x:f>
      </x:c>
      <x:c r="B732" s="30" t="str">
        <x:f>'01_命例主档'!A46</x:f>
      </x:c>
      <x:c r="C732" s="30" t="str">
        <x:v>M08</x:v>
      </x:c>
      <x:c r="D732" s="30" t="str">
        <x:v>五行有效旺衰</x:v>
      </x:c>
      <x:c r="E732" s="30" t="str">
        <x:v>结构层</x:v>
      </x:c>
      <x:c r="F732" s="30" t="str">
        <x:v>M06/M07</x:v>
      </x:c>
      <x:c r="G732" s="30" t="str">
        <x:v>未开始</x:v>
      </x:c>
      <x:c r="H732" s="30" t="str"/>
      <x:c r="I732" s="30" t="str"/>
      <x:c r="J732" s="30" t="str"/>
      <x:c r="K732" s="30" t="str"/>
      <x:c r="L732" s="30" t="str"/>
      <x:c r="M732" s="30" t="str"/>
      <x:c r="N732" s="30" t="str"/>
      <x:c r="O732" s="30" t="str"/>
      <x:c r="P732" s="30" t="str"/>
      <x:c r="Q732" s="31" t="str"/>
      <x:c r="R732" s="31" t="str"/>
      <x:c r="S732" s="30" t="str"/>
      <x:c r="T732" s="30" t="str"/>
      <x:c r="U732" s="30" t="str"/>
      <x:c r="V732" s="40" t="str">
        <x:f>IF(B732="","",COUNTA(H732:L732)/5)</x:f>
      </x:c>
    </x:row>
    <x:row r="733">
      <x:c r="A733" s="30" t="str">
        <x:f>IF(B733="","",B733&amp;"-"&amp;C733)</x:f>
      </x:c>
      <x:c r="B733" s="30" t="str">
        <x:f>'01_命例主档'!A46</x:f>
      </x:c>
      <x:c r="C733" s="30" t="str">
        <x:v>M09</x:v>
      </x:c>
      <x:c r="D733" s="30" t="str">
        <x:v>日主旺衰</x:v>
      </x:c>
      <x:c r="E733" s="30" t="str">
        <x:v>综合层</x:v>
      </x:c>
      <x:c r="F733" s="30" t="str">
        <x:v>M03/M07/M08</x:v>
      </x:c>
      <x:c r="G733" s="30" t="str">
        <x:v>未开始</x:v>
      </x:c>
      <x:c r="H733" s="30" t="str"/>
      <x:c r="I733" s="30" t="str"/>
      <x:c r="J733" s="30" t="str"/>
      <x:c r="K733" s="30" t="str"/>
      <x:c r="L733" s="30" t="str"/>
      <x:c r="M733" s="30" t="str"/>
      <x:c r="N733" s="30" t="str"/>
      <x:c r="O733" s="30" t="str"/>
      <x:c r="P733" s="30" t="str"/>
      <x:c r="Q733" s="31" t="str"/>
      <x:c r="R733" s="31" t="str"/>
      <x:c r="S733" s="30" t="str"/>
      <x:c r="T733" s="30" t="str"/>
      <x:c r="U733" s="30" t="str"/>
      <x:c r="V733" s="40" t="str">
        <x:f>IF(B733="","",COUNTA(H733:L733)/5)</x:f>
      </x:c>
    </x:row>
    <x:row r="734">
      <x:c r="A734" s="30" t="str">
        <x:f>IF(B734="","",B734&amp;"-"&amp;C734)</x:f>
      </x:c>
      <x:c r="B734" s="30" t="str">
        <x:f>'01_命例主档'!A46</x:f>
      </x:c>
      <x:c r="C734" s="30" t="str">
        <x:v>M10</x:v>
      </x:c>
      <x:c r="D734" s="30" t="str">
        <x:v>十神旺衰功能</x:v>
      </x:c>
      <x:c r="E734" s="30" t="str">
        <x:v>结构层</x:v>
      </x:c>
      <x:c r="F734" s="30" t="str">
        <x:v>M02/M08/M09</x:v>
      </x:c>
      <x:c r="G734" s="30" t="str">
        <x:v>未开始</x:v>
      </x:c>
      <x:c r="H734" s="30" t="str"/>
      <x:c r="I734" s="30" t="str"/>
      <x:c r="J734" s="30" t="str"/>
      <x:c r="K734" s="30" t="str"/>
      <x:c r="L734" s="30" t="str"/>
      <x:c r="M734" s="30" t="str"/>
      <x:c r="N734" s="30" t="str"/>
      <x:c r="O734" s="30" t="str"/>
      <x:c r="P734" s="30" t="str"/>
      <x:c r="Q734" s="31" t="str"/>
      <x:c r="R734" s="31" t="str"/>
      <x:c r="S734" s="30" t="str"/>
      <x:c r="T734" s="30" t="str"/>
      <x:c r="U734" s="30" t="str"/>
      <x:c r="V734" s="40" t="str">
        <x:f>IF(B734="","",COUNTA(H734:L734)/5)</x:f>
      </x:c>
    </x:row>
    <x:row r="735">
      <x:c r="A735" s="30" t="str">
        <x:f>IF(B735="","",B735&amp;"-"&amp;C735)</x:f>
      </x:c>
      <x:c r="B735" s="30" t="str">
        <x:f>'01_命例主档'!A46</x:f>
      </x:c>
      <x:c r="C735" s="30" t="str">
        <x:v>M11</x:v>
      </x:c>
      <x:c r="D735" s="30" t="str">
        <x:v>十神组合成立</x:v>
      </x:c>
      <x:c r="E735" s="30" t="str">
        <x:v>结构层</x:v>
      </x:c>
      <x:c r="F735" s="30" t="str">
        <x:v>M08/M09/M10</x:v>
      </x:c>
      <x:c r="G735" s="30" t="str">
        <x:v>未开始</x:v>
      </x:c>
      <x:c r="H735" s="30" t="str"/>
      <x:c r="I735" s="30" t="str"/>
      <x:c r="J735" s="30" t="str"/>
      <x:c r="K735" s="30" t="str"/>
      <x:c r="L735" s="30" t="str"/>
      <x:c r="M735" s="30" t="str"/>
      <x:c r="N735" s="30" t="str"/>
      <x:c r="O735" s="30" t="str"/>
      <x:c r="P735" s="30" t="str"/>
      <x:c r="Q735" s="31" t="str"/>
      <x:c r="R735" s="31" t="str"/>
      <x:c r="S735" s="30" t="str"/>
      <x:c r="T735" s="30" t="str"/>
      <x:c r="U735" s="30" t="str"/>
      <x:c r="V735" s="40" t="str">
        <x:f>IF(B735="","",COUNTA(H735:L735)/5)</x:f>
      </x:c>
    </x:row>
    <x:row r="736">
      <x:c r="A736" s="30" t="str">
        <x:f>IF(B736="","",B736&amp;"-"&amp;C736)</x:f>
      </x:c>
      <x:c r="B736" s="30" t="str">
        <x:f>'01_命例主档'!A46</x:f>
      </x:c>
      <x:c r="C736" s="30" t="str">
        <x:v>M12</x:v>
      </x:c>
      <x:c r="D736" s="30" t="str">
        <x:v>五行流通卡点</x:v>
      </x:c>
      <x:c r="E736" s="30" t="str">
        <x:v>结构层</x:v>
      </x:c>
      <x:c r="F736" s="30" t="str">
        <x:v>M06/M08/M10/M11</x:v>
      </x:c>
      <x:c r="G736" s="30" t="str">
        <x:v>未开始</x:v>
      </x:c>
      <x:c r="H736" s="30" t="str"/>
      <x:c r="I736" s="30" t="str"/>
      <x:c r="J736" s="30" t="str"/>
      <x:c r="K736" s="30" t="str"/>
      <x:c r="L736" s="30" t="str"/>
      <x:c r="M736" s="30" t="str"/>
      <x:c r="N736" s="30" t="str"/>
      <x:c r="O736" s="30" t="str"/>
      <x:c r="P736" s="30" t="str"/>
      <x:c r="Q736" s="31" t="str"/>
      <x:c r="R736" s="31" t="str"/>
      <x:c r="S736" s="30" t="str"/>
      <x:c r="T736" s="30" t="str"/>
      <x:c r="U736" s="30" t="str"/>
      <x:c r="V736" s="40" t="str">
        <x:f>IF(B736="","",COUNTA(H736:L736)/5)</x:f>
      </x:c>
    </x:row>
    <x:row r="737">
      <x:c r="A737" s="30" t="str">
        <x:f>IF(B737="","",B737&amp;"-"&amp;C737)</x:f>
      </x:c>
      <x:c r="B737" s="30" t="str">
        <x:f>'01_命例主档'!A46</x:f>
      </x:c>
      <x:c r="C737" s="30" t="str">
        <x:v>M13</x:v>
      </x:c>
      <x:c r="D737" s="30" t="str">
        <x:v>寒暖燥湿</x:v>
      </x:c>
      <x:c r="E737" s="30" t="str">
        <x:v>结构层</x:v>
      </x:c>
      <x:c r="F737" s="30" t="str">
        <x:v>M02/M08/M12</x:v>
      </x:c>
      <x:c r="G737" s="30" t="str">
        <x:v>未开始</x:v>
      </x:c>
      <x:c r="H737" s="30" t="str"/>
      <x:c r="I737" s="30" t="str"/>
      <x:c r="J737" s="30" t="str"/>
      <x:c r="K737" s="30" t="str"/>
      <x:c r="L737" s="30" t="str"/>
      <x:c r="M737" s="30" t="str"/>
      <x:c r="N737" s="30" t="str"/>
      <x:c r="O737" s="30" t="str"/>
      <x:c r="P737" s="30" t="str"/>
      <x:c r="Q737" s="31" t="str"/>
      <x:c r="R737" s="31" t="str"/>
      <x:c r="S737" s="30" t="str"/>
      <x:c r="T737" s="30" t="str"/>
      <x:c r="U737" s="30" t="str"/>
      <x:c r="V737" s="40" t="str">
        <x:f>IF(B737="","",COUNTA(H737:L737)/5)</x:f>
      </x:c>
    </x:row>
    <x:row r="738">
      <x:c r="A738" s="30" t="str">
        <x:f>IF(B738="","",B738&amp;"-"&amp;C738)</x:f>
      </x:c>
      <x:c r="B738" s="30" t="str">
        <x:f>'01_命例主档'!A46</x:f>
      </x:c>
      <x:c r="C738" s="30" t="str">
        <x:v>M14</x:v>
      </x:c>
      <x:c r="D738" s="30" t="str">
        <x:v>格局候选判断</x:v>
      </x:c>
      <x:c r="E738" s="30" t="str">
        <x:v>综合层</x:v>
      </x:c>
      <x:c r="F738" s="30" t="str">
        <x:v>M03/M06/M08/M09/M10/M11</x:v>
      </x:c>
      <x:c r="G738" s="30" t="str">
        <x:v>未开始</x:v>
      </x:c>
      <x:c r="H738" s="30" t="str"/>
      <x:c r="I738" s="30" t="str"/>
      <x:c r="J738" s="30" t="str"/>
      <x:c r="K738" s="30" t="str"/>
      <x:c r="L738" s="30" t="str"/>
      <x:c r="M738" s="30" t="str"/>
      <x:c r="N738" s="30" t="str"/>
      <x:c r="O738" s="30" t="str"/>
      <x:c r="P738" s="30" t="str"/>
      <x:c r="Q738" s="31" t="str"/>
      <x:c r="R738" s="31" t="str"/>
      <x:c r="S738" s="30" t="str"/>
      <x:c r="T738" s="30" t="str"/>
      <x:c r="U738" s="30" t="str"/>
      <x:c r="V738" s="40" t="str">
        <x:f>IF(B738="","",COUNTA(H738:L738)/5)</x:f>
      </x:c>
    </x:row>
    <x:row r="739">
      <x:c r="A739" s="30" t="str">
        <x:f>IF(B739="","",B739&amp;"-"&amp;C739)</x:f>
      </x:c>
      <x:c r="B739" s="30" t="str">
        <x:f>'01_命例主档'!A46</x:f>
      </x:c>
      <x:c r="C739" s="30" t="str">
        <x:v>M15</x:v>
      </x:c>
      <x:c r="D739" s="30" t="str">
        <x:v>格局成败救应</x:v>
      </x:c>
      <x:c r="E739" s="30" t="str">
        <x:v>综合层</x:v>
      </x:c>
      <x:c r="F739" s="30" t="str">
        <x:v>M14/M11/M08</x:v>
      </x:c>
      <x:c r="G739" s="30" t="str">
        <x:v>未开始</x:v>
      </x:c>
      <x:c r="H739" s="30" t="str"/>
      <x:c r="I739" s="30" t="str"/>
      <x:c r="J739" s="30" t="str"/>
      <x:c r="K739" s="30" t="str"/>
      <x:c r="L739" s="30" t="str"/>
      <x:c r="M739" s="30" t="str"/>
      <x:c r="N739" s="30" t="str"/>
      <x:c r="O739" s="30" t="str"/>
      <x:c r="P739" s="30" t="str"/>
      <x:c r="Q739" s="31" t="str"/>
      <x:c r="R739" s="31" t="str"/>
      <x:c r="S739" s="30" t="str"/>
      <x:c r="T739" s="30" t="str"/>
      <x:c r="U739" s="30" t="str"/>
      <x:c r="V739" s="40" t="str">
        <x:f>IF(B739="","",COUNTA(H739:L739)/5)</x:f>
      </x:c>
    </x:row>
    <x:row r="740">
      <x:c r="A740" s="30" t="str">
        <x:f>IF(B740="","",B740&amp;"-"&amp;C740)</x:f>
      </x:c>
      <x:c r="B740" s="30" t="str">
        <x:f>'01_命例主档'!A46</x:f>
      </x:c>
      <x:c r="C740" s="30" t="str">
        <x:v>M16</x:v>
      </x:c>
      <x:c r="D740" s="30" t="str">
        <x:v>病药模型</x:v>
      </x:c>
      <x:c r="E740" s="30" t="str">
        <x:v>综合层</x:v>
      </x:c>
      <x:c r="F740" s="30" t="str">
        <x:v>M08-M15</x:v>
      </x:c>
      <x:c r="G740" s="30" t="str">
        <x:v>未开始</x:v>
      </x:c>
      <x:c r="H740" s="30" t="str"/>
      <x:c r="I740" s="30" t="str"/>
      <x:c r="J740" s="30" t="str"/>
      <x:c r="K740" s="30" t="str"/>
      <x:c r="L740" s="30" t="str"/>
      <x:c r="M740" s="30" t="str"/>
      <x:c r="N740" s="30" t="str"/>
      <x:c r="O740" s="30" t="str"/>
      <x:c r="P740" s="30" t="str"/>
      <x:c r="Q740" s="31" t="str"/>
      <x:c r="R740" s="31" t="str"/>
      <x:c r="S740" s="30" t="str"/>
      <x:c r="T740" s="30" t="str"/>
      <x:c r="U740" s="30" t="str"/>
      <x:c r="V740" s="40" t="str">
        <x:f>IF(B740="","",COUNTA(H740:L740)/5)</x:f>
      </x:c>
    </x:row>
    <x:row r="741">
      <x:c r="A741" s="30" t="str">
        <x:f>IF(B741="","",B741&amp;"-"&amp;C741)</x:f>
      </x:c>
      <x:c r="B741" s="30" t="str">
        <x:f>'01_命例主档'!A46</x:f>
      </x:c>
      <x:c r="C741" s="30" t="str">
        <x:v>M17</x:v>
      </x:c>
      <x:c r="D741" s="30" t="str">
        <x:v>喜忌用神矩阵</x:v>
      </x:c>
      <x:c r="E741" s="30" t="str">
        <x:v>综合层</x:v>
      </x:c>
      <x:c r="F741" s="30" t="str">
        <x:v>M09/M12/M13/M15/M16</x:v>
      </x:c>
      <x:c r="G741" s="30" t="str">
        <x:v>未开始</x:v>
      </x:c>
      <x:c r="H741" s="30" t="str"/>
      <x:c r="I741" s="30" t="str"/>
      <x:c r="J741" s="30" t="str"/>
      <x:c r="K741" s="30" t="str"/>
      <x:c r="L741" s="30" t="str"/>
      <x:c r="M741" s="30" t="str"/>
      <x:c r="N741" s="30" t="str"/>
      <x:c r="O741" s="30" t="str"/>
      <x:c r="P741" s="30" t="str"/>
      <x:c r="Q741" s="31" t="str"/>
      <x:c r="R741" s="31" t="str"/>
      <x:c r="S741" s="30" t="str"/>
      <x:c r="T741" s="30" t="str"/>
      <x:c r="U741" s="30" t="str"/>
      <x:c r="V741" s="40" t="str">
        <x:f>IF(B741="","",COUNTA(H741:L741)/5)</x:f>
      </x:c>
    </x:row>
    <x:row r="742">
      <x:c r="A742" s="30" t="str">
        <x:f>IF(B742="","",B742&amp;"-"&amp;C742)</x:f>
      </x:c>
      <x:c r="B742" s="30" t="str">
        <x:f>'01_命例主档'!A46</x:f>
      </x:c>
      <x:c r="C742" s="30" t="str">
        <x:v>M18</x:v>
      </x:c>
      <x:c r="D742" s="30" t="str">
        <x:v>冲突裁决规则</x:v>
      </x:c>
      <x:c r="E742" s="30" t="str">
        <x:v>综合层</x:v>
      </x:c>
      <x:c r="F742" s="30" t="str">
        <x:v>M14/M15/M16/M17</x:v>
      </x:c>
      <x:c r="G742" s="30" t="str">
        <x:v>未开始</x:v>
      </x:c>
      <x:c r="H742" s="30" t="str"/>
      <x:c r="I742" s="30" t="str"/>
      <x:c r="J742" s="30" t="str"/>
      <x:c r="K742" s="30" t="str"/>
      <x:c r="L742" s="30" t="str"/>
      <x:c r="M742" s="30" t="str"/>
      <x:c r="N742" s="30" t="str"/>
      <x:c r="O742" s="30" t="str"/>
      <x:c r="P742" s="30" t="str"/>
      <x:c r="Q742" s="31" t="str"/>
      <x:c r="R742" s="31" t="str"/>
      <x:c r="S742" s="30" t="str"/>
      <x:c r="T742" s="30" t="str"/>
      <x:c r="U742" s="30" t="str"/>
      <x:c r="V742" s="40" t="str">
        <x:f>IF(B742="","",COUNTA(H742:L742)/5)</x:f>
      </x:c>
    </x:row>
    <x:row r="743">
      <x:c r="A743" s="30" t="str">
        <x:f>IF(B743="","",B743&amp;"-"&amp;C743)</x:f>
      </x:c>
      <x:c r="B743" s="30" t="str">
        <x:f>'01_命例主档'!A46</x:f>
      </x:c>
      <x:c r="C743" s="30" t="str">
        <x:v>M19</x:v>
      </x:c>
      <x:c r="D743" s="30" t="str">
        <x:v>综合输出模板</x:v>
      </x:c>
      <x:c r="E743" s="30" t="str">
        <x:v>治理与输出</x:v>
      </x:c>
      <x:c r="F743" s="30" t="str">
        <x:v>M02-M18</x:v>
      </x:c>
      <x:c r="G743" s="30" t="str">
        <x:v>未开始</x:v>
      </x:c>
      <x:c r="H743" s="30" t="str"/>
      <x:c r="I743" s="30" t="str"/>
      <x:c r="J743" s="30" t="str"/>
      <x:c r="K743" s="30" t="str"/>
      <x:c r="L743" s="30" t="str"/>
      <x:c r="M743" s="30" t="str"/>
      <x:c r="N743" s="30" t="str"/>
      <x:c r="O743" s="30" t="str"/>
      <x:c r="P743" s="30" t="str"/>
      <x:c r="Q743" s="31" t="str"/>
      <x:c r="R743" s="31" t="str"/>
      <x:c r="S743" s="30" t="str"/>
      <x:c r="T743" s="30" t="str"/>
      <x:c r="U743" s="30" t="str"/>
      <x:c r="V743" s="40" t="str">
        <x:f>IF(B743="","",COUNTA(H743:L743)/5)</x:f>
      </x:c>
    </x:row>
    <x:row r="744">
      <x:c r="A744" s="30" t="str">
        <x:f>IF(B744="","",B744&amp;"-"&amp;C744)</x:f>
      </x:c>
      <x:c r="B744" s="30" t="str">
        <x:f>'01_命例主档'!A47</x:f>
      </x:c>
      <x:c r="C744" s="30" t="str">
        <x:v>M02</x:v>
      </x:c>
      <x:c r="D744" s="30" t="str">
        <x:v>干支藏干基础</x:v>
      </x:c>
      <x:c r="E744" s="30" t="str">
        <x:v>识别层</x:v>
      </x:c>
      <x:c r="F744" s="30" t="str">
        <x:v>无</x:v>
      </x:c>
      <x:c r="G744" s="30" t="str">
        <x:v>未开始</x:v>
      </x:c>
      <x:c r="H744" s="30" t="str"/>
      <x:c r="I744" s="30" t="str"/>
      <x:c r="J744" s="30" t="str"/>
      <x:c r="K744" s="30" t="str"/>
      <x:c r="L744" s="30" t="str"/>
      <x:c r="M744" s="30" t="str"/>
      <x:c r="N744" s="30" t="str"/>
      <x:c r="O744" s="30" t="str"/>
      <x:c r="P744" s="30" t="str"/>
      <x:c r="Q744" s="31" t="str"/>
      <x:c r="R744" s="31" t="str"/>
      <x:c r="S744" s="30" t="str"/>
      <x:c r="T744" s="30" t="str"/>
      <x:c r="U744" s="30" t="str"/>
      <x:c r="V744" s="40" t="str">
        <x:f>IF(B744="","",COUNTA(H744:L744)/5)</x:f>
      </x:c>
    </x:row>
    <x:row r="745">
      <x:c r="A745" s="30" t="str">
        <x:f>IF(B745="","",B745&amp;"-"&amp;C745)</x:f>
      </x:c>
      <x:c r="B745" s="30" t="str">
        <x:f>'01_命例主档'!A47</x:f>
      </x:c>
      <x:c r="C745" s="30" t="str">
        <x:v>M03</x:v>
      </x:c>
      <x:c r="D745" s="30" t="str">
        <x:v>月令与根气</x:v>
      </x:c>
      <x:c r="E745" s="30" t="str">
        <x:v>结构层</x:v>
      </x:c>
      <x:c r="F745" s="30" t="str">
        <x:v>M02</x:v>
      </x:c>
      <x:c r="G745" s="30" t="str">
        <x:v>未开始</x:v>
      </x:c>
      <x:c r="H745" s="30" t="str"/>
      <x:c r="I745" s="30" t="str"/>
      <x:c r="J745" s="30" t="str"/>
      <x:c r="K745" s="30" t="str"/>
      <x:c r="L745" s="30" t="str"/>
      <x:c r="M745" s="30" t="str"/>
      <x:c r="N745" s="30" t="str"/>
      <x:c r="O745" s="30" t="str"/>
      <x:c r="P745" s="30" t="str"/>
      <x:c r="Q745" s="31" t="str"/>
      <x:c r="R745" s="31" t="str"/>
      <x:c r="S745" s="30" t="str"/>
      <x:c r="T745" s="30" t="str"/>
      <x:c r="U745" s="30" t="str"/>
      <x:c r="V745" s="40" t="str">
        <x:f>IF(B745="","",COUNTA(H745:L745)/5)</x:f>
      </x:c>
    </x:row>
    <x:row r="746">
      <x:c r="A746" s="30" t="str">
        <x:f>IF(B746="","",B746&amp;"-"&amp;C746)</x:f>
      </x:c>
      <x:c r="B746" s="30" t="str">
        <x:f>'01_命例主档'!A47</x:f>
      </x:c>
      <x:c r="C746" s="30" t="str">
        <x:v>M04</x:v>
      </x:c>
      <x:c r="D746" s="30" t="str">
        <x:v>天干作用识别</x:v>
      </x:c>
      <x:c r="E746" s="30" t="str">
        <x:v>识别层</x:v>
      </x:c>
      <x:c r="F746" s="30" t="str">
        <x:v>M02</x:v>
      </x:c>
      <x:c r="G746" s="30" t="str">
        <x:v>未开始</x:v>
      </x:c>
      <x:c r="H746" s="30" t="str"/>
      <x:c r="I746" s="30" t="str"/>
      <x:c r="J746" s="30" t="str"/>
      <x:c r="K746" s="30" t="str"/>
      <x:c r="L746" s="30" t="str"/>
      <x:c r="M746" s="30" t="str"/>
      <x:c r="N746" s="30" t="str"/>
      <x:c r="O746" s="30" t="str"/>
      <x:c r="P746" s="30" t="str"/>
      <x:c r="Q746" s="31" t="str"/>
      <x:c r="R746" s="31" t="str"/>
      <x:c r="S746" s="30" t="str"/>
      <x:c r="T746" s="30" t="str"/>
      <x:c r="U746" s="30" t="str"/>
      <x:c r="V746" s="40" t="str">
        <x:f>IF(B746="","",COUNTA(H746:L746)/5)</x:f>
      </x:c>
    </x:row>
    <x:row r="747">
      <x:c r="A747" s="30" t="str">
        <x:f>IF(B747="","",B747&amp;"-"&amp;C747)</x:f>
      </x:c>
      <x:c r="B747" s="30" t="str">
        <x:f>'01_命例主档'!A47</x:f>
      </x:c>
      <x:c r="C747" s="30" t="str">
        <x:v>M05</x:v>
      </x:c>
      <x:c r="D747" s="30" t="str">
        <x:v>地支关系识别</x:v>
      </x:c>
      <x:c r="E747" s="30" t="str">
        <x:v>识别层</x:v>
      </x:c>
      <x:c r="F747" s="30" t="str">
        <x:v>M02</x:v>
      </x:c>
      <x:c r="G747" s="30" t="str">
        <x:v>未开始</x:v>
      </x:c>
      <x:c r="H747" s="30" t="str"/>
      <x:c r="I747" s="30" t="str"/>
      <x:c r="J747" s="30" t="str"/>
      <x:c r="K747" s="30" t="str"/>
      <x:c r="L747" s="30" t="str"/>
      <x:c r="M747" s="30" t="str"/>
      <x:c r="N747" s="30" t="str"/>
      <x:c r="O747" s="30" t="str"/>
      <x:c r="P747" s="30" t="str"/>
      <x:c r="Q747" s="31" t="str"/>
      <x:c r="R747" s="31" t="str"/>
      <x:c r="S747" s="30" t="str"/>
      <x:c r="T747" s="30" t="str"/>
      <x:c r="U747" s="30" t="str"/>
      <x:c r="V747" s="40" t="str">
        <x:f>IF(B747="","",COUNTA(H747:L747)/5)</x:f>
      </x:c>
    </x:row>
    <x:row r="748">
      <x:c r="A748" s="30" t="str">
        <x:f>IF(B748="","",B748&amp;"-"&amp;C748)</x:f>
      </x:c>
      <x:c r="B748" s="30" t="str">
        <x:f>'01_命例主档'!A47</x:f>
      </x:c>
      <x:c r="C748" s="30" t="str">
        <x:v>M06</x:v>
      </x:c>
      <x:c r="D748" s="30" t="str">
        <x:v>干支关系效应</x:v>
      </x:c>
      <x:c r="E748" s="30" t="str">
        <x:v>效应层</x:v>
      </x:c>
      <x:c r="F748" s="30" t="str">
        <x:v>M03/M04/M05</x:v>
      </x:c>
      <x:c r="G748" s="30" t="str">
        <x:v>未开始</x:v>
      </x:c>
      <x:c r="H748" s="30" t="str"/>
      <x:c r="I748" s="30" t="str"/>
      <x:c r="J748" s="30" t="str"/>
      <x:c r="K748" s="30" t="str"/>
      <x:c r="L748" s="30" t="str"/>
      <x:c r="M748" s="30" t="str"/>
      <x:c r="N748" s="30" t="str"/>
      <x:c r="O748" s="30" t="str"/>
      <x:c r="P748" s="30" t="str"/>
      <x:c r="Q748" s="31" t="str"/>
      <x:c r="R748" s="31" t="str"/>
      <x:c r="S748" s="30" t="str"/>
      <x:c r="T748" s="30" t="str"/>
      <x:c r="U748" s="30" t="str"/>
      <x:c r="V748" s="40" t="str">
        <x:f>IF(B748="","",COUNTA(H748:L748)/5)</x:f>
      </x:c>
    </x:row>
    <x:row r="749">
      <x:c r="A749" s="30" t="str">
        <x:f>IF(B749="","",B749&amp;"-"&amp;C749)</x:f>
      </x:c>
      <x:c r="B749" s="30" t="str">
        <x:f>'01_命例主档'!A47</x:f>
      </x:c>
      <x:c r="C749" s="30" t="str">
        <x:v>M07</x:v>
      </x:c>
      <x:c r="D749" s="30" t="str">
        <x:v>五行原始旺衰</x:v>
      </x:c>
      <x:c r="E749" s="30" t="str">
        <x:v>结构层</x:v>
      </x:c>
      <x:c r="F749" s="30" t="str">
        <x:v>M02/M03</x:v>
      </x:c>
      <x:c r="G749" s="30" t="str">
        <x:v>未开始</x:v>
      </x:c>
      <x:c r="H749" s="30" t="str"/>
      <x:c r="I749" s="30" t="str"/>
      <x:c r="J749" s="30" t="str"/>
      <x:c r="K749" s="30" t="str"/>
      <x:c r="L749" s="30" t="str"/>
      <x:c r="M749" s="30" t="str"/>
      <x:c r="N749" s="30" t="str"/>
      <x:c r="O749" s="30" t="str"/>
      <x:c r="P749" s="30" t="str"/>
      <x:c r="Q749" s="31" t="str"/>
      <x:c r="R749" s="31" t="str"/>
      <x:c r="S749" s="30" t="str"/>
      <x:c r="T749" s="30" t="str"/>
      <x:c r="U749" s="30" t="str"/>
      <x:c r="V749" s="40" t="str">
        <x:f>IF(B749="","",COUNTA(H749:L749)/5)</x:f>
      </x:c>
    </x:row>
    <x:row r="750">
      <x:c r="A750" s="30" t="str">
        <x:f>IF(B750="","",B750&amp;"-"&amp;C750)</x:f>
      </x:c>
      <x:c r="B750" s="30" t="str">
        <x:f>'01_命例主档'!A47</x:f>
      </x:c>
      <x:c r="C750" s="30" t="str">
        <x:v>M08</x:v>
      </x:c>
      <x:c r="D750" s="30" t="str">
        <x:v>五行有效旺衰</x:v>
      </x:c>
      <x:c r="E750" s="30" t="str">
        <x:v>结构层</x:v>
      </x:c>
      <x:c r="F750" s="30" t="str">
        <x:v>M06/M07</x:v>
      </x:c>
      <x:c r="G750" s="30" t="str">
        <x:v>未开始</x:v>
      </x:c>
      <x:c r="H750" s="30" t="str"/>
      <x:c r="I750" s="30" t="str"/>
      <x:c r="J750" s="30" t="str"/>
      <x:c r="K750" s="30" t="str"/>
      <x:c r="L750" s="30" t="str"/>
      <x:c r="M750" s="30" t="str"/>
      <x:c r="N750" s="30" t="str"/>
      <x:c r="O750" s="30" t="str"/>
      <x:c r="P750" s="30" t="str"/>
      <x:c r="Q750" s="31" t="str"/>
      <x:c r="R750" s="31" t="str"/>
      <x:c r="S750" s="30" t="str"/>
      <x:c r="T750" s="30" t="str"/>
      <x:c r="U750" s="30" t="str"/>
      <x:c r="V750" s="40" t="str">
        <x:f>IF(B750="","",COUNTA(H750:L750)/5)</x:f>
      </x:c>
    </x:row>
    <x:row r="751">
      <x:c r="A751" s="30" t="str">
        <x:f>IF(B751="","",B751&amp;"-"&amp;C751)</x:f>
      </x:c>
      <x:c r="B751" s="30" t="str">
        <x:f>'01_命例主档'!A47</x:f>
      </x:c>
      <x:c r="C751" s="30" t="str">
        <x:v>M09</x:v>
      </x:c>
      <x:c r="D751" s="30" t="str">
        <x:v>日主旺衰</x:v>
      </x:c>
      <x:c r="E751" s="30" t="str">
        <x:v>综合层</x:v>
      </x:c>
      <x:c r="F751" s="30" t="str">
        <x:v>M03/M07/M08</x:v>
      </x:c>
      <x:c r="G751" s="30" t="str">
        <x:v>未开始</x:v>
      </x:c>
      <x:c r="H751" s="30" t="str"/>
      <x:c r="I751" s="30" t="str"/>
      <x:c r="J751" s="30" t="str"/>
      <x:c r="K751" s="30" t="str"/>
      <x:c r="L751" s="30" t="str"/>
      <x:c r="M751" s="30" t="str"/>
      <x:c r="N751" s="30" t="str"/>
      <x:c r="O751" s="30" t="str"/>
      <x:c r="P751" s="30" t="str"/>
      <x:c r="Q751" s="31" t="str"/>
      <x:c r="R751" s="31" t="str"/>
      <x:c r="S751" s="30" t="str"/>
      <x:c r="T751" s="30" t="str"/>
      <x:c r="U751" s="30" t="str"/>
      <x:c r="V751" s="40" t="str">
        <x:f>IF(B751="","",COUNTA(H751:L751)/5)</x:f>
      </x:c>
    </x:row>
    <x:row r="752">
      <x:c r="A752" s="30" t="str">
        <x:f>IF(B752="","",B752&amp;"-"&amp;C752)</x:f>
      </x:c>
      <x:c r="B752" s="30" t="str">
        <x:f>'01_命例主档'!A47</x:f>
      </x:c>
      <x:c r="C752" s="30" t="str">
        <x:v>M10</x:v>
      </x:c>
      <x:c r="D752" s="30" t="str">
        <x:v>十神旺衰功能</x:v>
      </x:c>
      <x:c r="E752" s="30" t="str">
        <x:v>结构层</x:v>
      </x:c>
      <x:c r="F752" s="30" t="str">
        <x:v>M02/M08/M09</x:v>
      </x:c>
      <x:c r="G752" s="30" t="str">
        <x:v>未开始</x:v>
      </x:c>
      <x:c r="H752" s="30" t="str"/>
      <x:c r="I752" s="30" t="str"/>
      <x:c r="J752" s="30" t="str"/>
      <x:c r="K752" s="30" t="str"/>
      <x:c r="L752" s="30" t="str"/>
      <x:c r="M752" s="30" t="str"/>
      <x:c r="N752" s="30" t="str"/>
      <x:c r="O752" s="30" t="str"/>
      <x:c r="P752" s="30" t="str"/>
      <x:c r="Q752" s="31" t="str"/>
      <x:c r="R752" s="31" t="str"/>
      <x:c r="S752" s="30" t="str"/>
      <x:c r="T752" s="30" t="str"/>
      <x:c r="U752" s="30" t="str"/>
      <x:c r="V752" s="40" t="str">
        <x:f>IF(B752="","",COUNTA(H752:L752)/5)</x:f>
      </x:c>
    </x:row>
    <x:row r="753">
      <x:c r="A753" s="30" t="str">
        <x:f>IF(B753="","",B753&amp;"-"&amp;C753)</x:f>
      </x:c>
      <x:c r="B753" s="30" t="str">
        <x:f>'01_命例主档'!A47</x:f>
      </x:c>
      <x:c r="C753" s="30" t="str">
        <x:v>M11</x:v>
      </x:c>
      <x:c r="D753" s="30" t="str">
        <x:v>十神组合成立</x:v>
      </x:c>
      <x:c r="E753" s="30" t="str">
        <x:v>结构层</x:v>
      </x:c>
      <x:c r="F753" s="30" t="str">
        <x:v>M08/M09/M10</x:v>
      </x:c>
      <x:c r="G753" s="30" t="str">
        <x:v>未开始</x:v>
      </x:c>
      <x:c r="H753" s="30" t="str"/>
      <x:c r="I753" s="30" t="str"/>
      <x:c r="J753" s="30" t="str"/>
      <x:c r="K753" s="30" t="str"/>
      <x:c r="L753" s="30" t="str"/>
      <x:c r="M753" s="30" t="str"/>
      <x:c r="N753" s="30" t="str"/>
      <x:c r="O753" s="30" t="str"/>
      <x:c r="P753" s="30" t="str"/>
      <x:c r="Q753" s="31" t="str"/>
      <x:c r="R753" s="31" t="str"/>
      <x:c r="S753" s="30" t="str"/>
      <x:c r="T753" s="30" t="str"/>
      <x:c r="U753" s="30" t="str"/>
      <x:c r="V753" s="40" t="str">
        <x:f>IF(B753="","",COUNTA(H753:L753)/5)</x:f>
      </x:c>
    </x:row>
    <x:row r="754">
      <x:c r="A754" s="30" t="str">
        <x:f>IF(B754="","",B754&amp;"-"&amp;C754)</x:f>
      </x:c>
      <x:c r="B754" s="30" t="str">
        <x:f>'01_命例主档'!A47</x:f>
      </x:c>
      <x:c r="C754" s="30" t="str">
        <x:v>M12</x:v>
      </x:c>
      <x:c r="D754" s="30" t="str">
        <x:v>五行流通卡点</x:v>
      </x:c>
      <x:c r="E754" s="30" t="str">
        <x:v>结构层</x:v>
      </x:c>
      <x:c r="F754" s="30" t="str">
        <x:v>M06/M08/M10/M11</x:v>
      </x:c>
      <x:c r="G754" s="30" t="str">
        <x:v>未开始</x:v>
      </x:c>
      <x:c r="H754" s="30" t="str"/>
      <x:c r="I754" s="30" t="str"/>
      <x:c r="J754" s="30" t="str"/>
      <x:c r="K754" s="30" t="str"/>
      <x:c r="L754" s="30" t="str"/>
      <x:c r="M754" s="30" t="str"/>
      <x:c r="N754" s="30" t="str"/>
      <x:c r="O754" s="30" t="str"/>
      <x:c r="P754" s="30" t="str"/>
      <x:c r="Q754" s="31" t="str"/>
      <x:c r="R754" s="31" t="str"/>
      <x:c r="S754" s="30" t="str"/>
      <x:c r="T754" s="30" t="str"/>
      <x:c r="U754" s="30" t="str"/>
      <x:c r="V754" s="40" t="str">
        <x:f>IF(B754="","",COUNTA(H754:L754)/5)</x:f>
      </x:c>
    </x:row>
    <x:row r="755">
      <x:c r="A755" s="30" t="str">
        <x:f>IF(B755="","",B755&amp;"-"&amp;C755)</x:f>
      </x:c>
      <x:c r="B755" s="30" t="str">
        <x:f>'01_命例主档'!A47</x:f>
      </x:c>
      <x:c r="C755" s="30" t="str">
        <x:v>M13</x:v>
      </x:c>
      <x:c r="D755" s="30" t="str">
        <x:v>寒暖燥湿</x:v>
      </x:c>
      <x:c r="E755" s="30" t="str">
        <x:v>结构层</x:v>
      </x:c>
      <x:c r="F755" s="30" t="str">
        <x:v>M02/M08/M12</x:v>
      </x:c>
      <x:c r="G755" s="30" t="str">
        <x:v>未开始</x:v>
      </x:c>
      <x:c r="H755" s="30" t="str"/>
      <x:c r="I755" s="30" t="str"/>
      <x:c r="J755" s="30" t="str"/>
      <x:c r="K755" s="30" t="str"/>
      <x:c r="L755" s="30" t="str"/>
      <x:c r="M755" s="30" t="str"/>
      <x:c r="N755" s="30" t="str"/>
      <x:c r="O755" s="30" t="str"/>
      <x:c r="P755" s="30" t="str"/>
      <x:c r="Q755" s="31" t="str"/>
      <x:c r="R755" s="31" t="str"/>
      <x:c r="S755" s="30" t="str"/>
      <x:c r="T755" s="30" t="str"/>
      <x:c r="U755" s="30" t="str"/>
      <x:c r="V755" s="40" t="str">
        <x:f>IF(B755="","",COUNTA(H755:L755)/5)</x:f>
      </x:c>
    </x:row>
    <x:row r="756">
      <x:c r="A756" s="30" t="str">
        <x:f>IF(B756="","",B756&amp;"-"&amp;C756)</x:f>
      </x:c>
      <x:c r="B756" s="30" t="str">
        <x:f>'01_命例主档'!A47</x:f>
      </x:c>
      <x:c r="C756" s="30" t="str">
        <x:v>M14</x:v>
      </x:c>
      <x:c r="D756" s="30" t="str">
        <x:v>格局候选判断</x:v>
      </x:c>
      <x:c r="E756" s="30" t="str">
        <x:v>综合层</x:v>
      </x:c>
      <x:c r="F756" s="30" t="str">
        <x:v>M03/M06/M08/M09/M10/M11</x:v>
      </x:c>
      <x:c r="G756" s="30" t="str">
        <x:v>未开始</x:v>
      </x:c>
      <x:c r="H756" s="30" t="str"/>
      <x:c r="I756" s="30" t="str"/>
      <x:c r="J756" s="30" t="str"/>
      <x:c r="K756" s="30" t="str"/>
      <x:c r="L756" s="30" t="str"/>
      <x:c r="M756" s="30" t="str"/>
      <x:c r="N756" s="30" t="str"/>
      <x:c r="O756" s="30" t="str"/>
      <x:c r="P756" s="30" t="str"/>
      <x:c r="Q756" s="31" t="str"/>
      <x:c r="R756" s="31" t="str"/>
      <x:c r="S756" s="30" t="str"/>
      <x:c r="T756" s="30" t="str"/>
      <x:c r="U756" s="30" t="str"/>
      <x:c r="V756" s="40" t="str">
        <x:f>IF(B756="","",COUNTA(H756:L756)/5)</x:f>
      </x:c>
    </x:row>
    <x:row r="757">
      <x:c r="A757" s="30" t="str">
        <x:f>IF(B757="","",B757&amp;"-"&amp;C757)</x:f>
      </x:c>
      <x:c r="B757" s="30" t="str">
        <x:f>'01_命例主档'!A47</x:f>
      </x:c>
      <x:c r="C757" s="30" t="str">
        <x:v>M15</x:v>
      </x:c>
      <x:c r="D757" s="30" t="str">
        <x:v>格局成败救应</x:v>
      </x:c>
      <x:c r="E757" s="30" t="str">
        <x:v>综合层</x:v>
      </x:c>
      <x:c r="F757" s="30" t="str">
        <x:v>M14/M11/M08</x:v>
      </x:c>
      <x:c r="G757" s="30" t="str">
        <x:v>未开始</x:v>
      </x:c>
      <x:c r="H757" s="30" t="str"/>
      <x:c r="I757" s="30" t="str"/>
      <x:c r="J757" s="30" t="str"/>
      <x:c r="K757" s="30" t="str"/>
      <x:c r="L757" s="30" t="str"/>
      <x:c r="M757" s="30" t="str"/>
      <x:c r="N757" s="30" t="str"/>
      <x:c r="O757" s="30" t="str"/>
      <x:c r="P757" s="30" t="str"/>
      <x:c r="Q757" s="31" t="str"/>
      <x:c r="R757" s="31" t="str"/>
      <x:c r="S757" s="30" t="str"/>
      <x:c r="T757" s="30" t="str"/>
      <x:c r="U757" s="30" t="str"/>
      <x:c r="V757" s="40" t="str">
        <x:f>IF(B757="","",COUNTA(H757:L757)/5)</x:f>
      </x:c>
    </x:row>
    <x:row r="758">
      <x:c r="A758" s="30" t="str">
        <x:f>IF(B758="","",B758&amp;"-"&amp;C758)</x:f>
      </x:c>
      <x:c r="B758" s="30" t="str">
        <x:f>'01_命例主档'!A47</x:f>
      </x:c>
      <x:c r="C758" s="30" t="str">
        <x:v>M16</x:v>
      </x:c>
      <x:c r="D758" s="30" t="str">
        <x:v>病药模型</x:v>
      </x:c>
      <x:c r="E758" s="30" t="str">
        <x:v>综合层</x:v>
      </x:c>
      <x:c r="F758" s="30" t="str">
        <x:v>M08-M15</x:v>
      </x:c>
      <x:c r="G758" s="30" t="str">
        <x:v>未开始</x:v>
      </x:c>
      <x:c r="H758" s="30" t="str"/>
      <x:c r="I758" s="30" t="str"/>
      <x:c r="J758" s="30" t="str"/>
      <x:c r="K758" s="30" t="str"/>
      <x:c r="L758" s="30" t="str"/>
      <x:c r="M758" s="30" t="str"/>
      <x:c r="N758" s="30" t="str"/>
      <x:c r="O758" s="30" t="str"/>
      <x:c r="P758" s="30" t="str"/>
      <x:c r="Q758" s="31" t="str"/>
      <x:c r="R758" s="31" t="str"/>
      <x:c r="S758" s="30" t="str"/>
      <x:c r="T758" s="30" t="str"/>
      <x:c r="U758" s="30" t="str"/>
      <x:c r="V758" s="40" t="str">
        <x:f>IF(B758="","",COUNTA(H758:L758)/5)</x:f>
      </x:c>
    </x:row>
    <x:row r="759">
      <x:c r="A759" s="30" t="str">
        <x:f>IF(B759="","",B759&amp;"-"&amp;C759)</x:f>
      </x:c>
      <x:c r="B759" s="30" t="str">
        <x:f>'01_命例主档'!A47</x:f>
      </x:c>
      <x:c r="C759" s="30" t="str">
        <x:v>M17</x:v>
      </x:c>
      <x:c r="D759" s="30" t="str">
        <x:v>喜忌用神矩阵</x:v>
      </x:c>
      <x:c r="E759" s="30" t="str">
        <x:v>综合层</x:v>
      </x:c>
      <x:c r="F759" s="30" t="str">
        <x:v>M09/M12/M13/M15/M16</x:v>
      </x:c>
      <x:c r="G759" s="30" t="str">
        <x:v>未开始</x:v>
      </x:c>
      <x:c r="H759" s="30" t="str"/>
      <x:c r="I759" s="30" t="str"/>
      <x:c r="J759" s="30" t="str"/>
      <x:c r="K759" s="30" t="str"/>
      <x:c r="L759" s="30" t="str"/>
      <x:c r="M759" s="30" t="str"/>
      <x:c r="N759" s="30" t="str"/>
      <x:c r="O759" s="30" t="str"/>
      <x:c r="P759" s="30" t="str"/>
      <x:c r="Q759" s="31" t="str"/>
      <x:c r="R759" s="31" t="str"/>
      <x:c r="S759" s="30" t="str"/>
      <x:c r="T759" s="30" t="str"/>
      <x:c r="U759" s="30" t="str"/>
      <x:c r="V759" s="40" t="str">
        <x:f>IF(B759="","",COUNTA(H759:L759)/5)</x:f>
      </x:c>
    </x:row>
    <x:row r="760">
      <x:c r="A760" s="30" t="str">
        <x:f>IF(B760="","",B760&amp;"-"&amp;C760)</x:f>
      </x:c>
      <x:c r="B760" s="30" t="str">
        <x:f>'01_命例主档'!A47</x:f>
      </x:c>
      <x:c r="C760" s="30" t="str">
        <x:v>M18</x:v>
      </x:c>
      <x:c r="D760" s="30" t="str">
        <x:v>冲突裁决规则</x:v>
      </x:c>
      <x:c r="E760" s="30" t="str">
        <x:v>综合层</x:v>
      </x:c>
      <x:c r="F760" s="30" t="str">
        <x:v>M14/M15/M16/M17</x:v>
      </x:c>
      <x:c r="G760" s="30" t="str">
        <x:v>未开始</x:v>
      </x:c>
      <x:c r="H760" s="30" t="str"/>
      <x:c r="I760" s="30" t="str"/>
      <x:c r="J760" s="30" t="str"/>
      <x:c r="K760" s="30" t="str"/>
      <x:c r="L760" s="30" t="str"/>
      <x:c r="M760" s="30" t="str"/>
      <x:c r="N760" s="30" t="str"/>
      <x:c r="O760" s="30" t="str"/>
      <x:c r="P760" s="30" t="str"/>
      <x:c r="Q760" s="31" t="str"/>
      <x:c r="R760" s="31" t="str"/>
      <x:c r="S760" s="30" t="str"/>
      <x:c r="T760" s="30" t="str"/>
      <x:c r="U760" s="30" t="str"/>
      <x:c r="V760" s="40" t="str">
        <x:f>IF(B760="","",COUNTA(H760:L760)/5)</x:f>
      </x:c>
    </x:row>
    <x:row r="761">
      <x:c r="A761" s="30" t="str">
        <x:f>IF(B761="","",B761&amp;"-"&amp;C761)</x:f>
      </x:c>
      <x:c r="B761" s="30" t="str">
        <x:f>'01_命例主档'!A47</x:f>
      </x:c>
      <x:c r="C761" s="30" t="str">
        <x:v>M19</x:v>
      </x:c>
      <x:c r="D761" s="30" t="str">
        <x:v>综合输出模板</x:v>
      </x:c>
      <x:c r="E761" s="30" t="str">
        <x:v>治理与输出</x:v>
      </x:c>
      <x:c r="F761" s="30" t="str">
        <x:v>M02-M18</x:v>
      </x:c>
      <x:c r="G761" s="30" t="str">
        <x:v>未开始</x:v>
      </x:c>
      <x:c r="H761" s="30" t="str"/>
      <x:c r="I761" s="30" t="str"/>
      <x:c r="J761" s="30" t="str"/>
      <x:c r="K761" s="30" t="str"/>
      <x:c r="L761" s="30" t="str"/>
      <x:c r="M761" s="30" t="str"/>
      <x:c r="N761" s="30" t="str"/>
      <x:c r="O761" s="30" t="str"/>
      <x:c r="P761" s="30" t="str"/>
      <x:c r="Q761" s="31" t="str"/>
      <x:c r="R761" s="31" t="str"/>
      <x:c r="S761" s="30" t="str"/>
      <x:c r="T761" s="30" t="str"/>
      <x:c r="U761" s="30" t="str"/>
      <x:c r="V761" s="40" t="str">
        <x:f>IF(B761="","",COUNTA(H761:L761)/5)</x:f>
      </x:c>
    </x:row>
    <x:row r="762">
      <x:c r="A762" s="30" t="str">
        <x:f>IF(B762="","",B762&amp;"-"&amp;C762)</x:f>
      </x:c>
      <x:c r="B762" s="30" t="str">
        <x:f>'01_命例主档'!A48</x:f>
      </x:c>
      <x:c r="C762" s="30" t="str">
        <x:v>M02</x:v>
      </x:c>
      <x:c r="D762" s="30" t="str">
        <x:v>干支藏干基础</x:v>
      </x:c>
      <x:c r="E762" s="30" t="str">
        <x:v>识别层</x:v>
      </x:c>
      <x:c r="F762" s="30" t="str">
        <x:v>无</x:v>
      </x:c>
      <x:c r="G762" s="30" t="str">
        <x:v>未开始</x:v>
      </x:c>
      <x:c r="H762" s="30" t="str"/>
      <x:c r="I762" s="30" t="str"/>
      <x:c r="J762" s="30" t="str"/>
      <x:c r="K762" s="30" t="str"/>
      <x:c r="L762" s="30" t="str"/>
      <x:c r="M762" s="30" t="str"/>
      <x:c r="N762" s="30" t="str"/>
      <x:c r="O762" s="30" t="str"/>
      <x:c r="P762" s="30" t="str"/>
      <x:c r="Q762" s="31" t="str"/>
      <x:c r="R762" s="31" t="str"/>
      <x:c r="S762" s="30" t="str"/>
      <x:c r="T762" s="30" t="str"/>
      <x:c r="U762" s="30" t="str"/>
      <x:c r="V762" s="40" t="str">
        <x:f>IF(B762="","",COUNTA(H762:L762)/5)</x:f>
      </x:c>
    </x:row>
    <x:row r="763">
      <x:c r="A763" s="30" t="str">
        <x:f>IF(B763="","",B763&amp;"-"&amp;C763)</x:f>
      </x:c>
      <x:c r="B763" s="30" t="str">
        <x:f>'01_命例主档'!A48</x:f>
      </x:c>
      <x:c r="C763" s="30" t="str">
        <x:v>M03</x:v>
      </x:c>
      <x:c r="D763" s="30" t="str">
        <x:v>月令与根气</x:v>
      </x:c>
      <x:c r="E763" s="30" t="str">
        <x:v>结构层</x:v>
      </x:c>
      <x:c r="F763" s="30" t="str">
        <x:v>M02</x:v>
      </x:c>
      <x:c r="G763" s="30" t="str">
        <x:v>未开始</x:v>
      </x:c>
      <x:c r="H763" s="30" t="str"/>
      <x:c r="I763" s="30" t="str"/>
      <x:c r="J763" s="30" t="str"/>
      <x:c r="K763" s="30" t="str"/>
      <x:c r="L763" s="30" t="str"/>
      <x:c r="M763" s="30" t="str"/>
      <x:c r="N763" s="30" t="str"/>
      <x:c r="O763" s="30" t="str"/>
      <x:c r="P763" s="30" t="str"/>
      <x:c r="Q763" s="31" t="str"/>
      <x:c r="R763" s="31" t="str"/>
      <x:c r="S763" s="30" t="str"/>
      <x:c r="T763" s="30" t="str"/>
      <x:c r="U763" s="30" t="str"/>
      <x:c r="V763" s="40" t="str">
        <x:f>IF(B763="","",COUNTA(H763:L763)/5)</x:f>
      </x:c>
    </x:row>
    <x:row r="764">
      <x:c r="A764" s="30" t="str">
        <x:f>IF(B764="","",B764&amp;"-"&amp;C764)</x:f>
      </x:c>
      <x:c r="B764" s="30" t="str">
        <x:f>'01_命例主档'!A48</x:f>
      </x:c>
      <x:c r="C764" s="30" t="str">
        <x:v>M04</x:v>
      </x:c>
      <x:c r="D764" s="30" t="str">
        <x:v>天干作用识别</x:v>
      </x:c>
      <x:c r="E764" s="30" t="str">
        <x:v>识别层</x:v>
      </x:c>
      <x:c r="F764" s="30" t="str">
        <x:v>M02</x:v>
      </x:c>
      <x:c r="G764" s="30" t="str">
        <x:v>未开始</x:v>
      </x:c>
      <x:c r="H764" s="30" t="str"/>
      <x:c r="I764" s="30" t="str"/>
      <x:c r="J764" s="30" t="str"/>
      <x:c r="K764" s="30" t="str"/>
      <x:c r="L764" s="30" t="str"/>
      <x:c r="M764" s="30" t="str"/>
      <x:c r="N764" s="30" t="str"/>
      <x:c r="O764" s="30" t="str"/>
      <x:c r="P764" s="30" t="str"/>
      <x:c r="Q764" s="31" t="str"/>
      <x:c r="R764" s="31" t="str"/>
      <x:c r="S764" s="30" t="str"/>
      <x:c r="T764" s="30" t="str"/>
      <x:c r="U764" s="30" t="str"/>
      <x:c r="V764" s="40" t="str">
        <x:f>IF(B764="","",COUNTA(H764:L764)/5)</x:f>
      </x:c>
    </x:row>
    <x:row r="765">
      <x:c r="A765" s="30" t="str">
        <x:f>IF(B765="","",B765&amp;"-"&amp;C765)</x:f>
      </x:c>
      <x:c r="B765" s="30" t="str">
        <x:f>'01_命例主档'!A48</x:f>
      </x:c>
      <x:c r="C765" s="30" t="str">
        <x:v>M05</x:v>
      </x:c>
      <x:c r="D765" s="30" t="str">
        <x:v>地支关系识别</x:v>
      </x:c>
      <x:c r="E765" s="30" t="str">
        <x:v>识别层</x:v>
      </x:c>
      <x:c r="F765" s="30" t="str">
        <x:v>M02</x:v>
      </x:c>
      <x:c r="G765" s="30" t="str">
        <x:v>未开始</x:v>
      </x:c>
      <x:c r="H765" s="30" t="str"/>
      <x:c r="I765" s="30" t="str"/>
      <x:c r="J765" s="30" t="str"/>
      <x:c r="K765" s="30" t="str"/>
      <x:c r="L765" s="30" t="str"/>
      <x:c r="M765" s="30" t="str"/>
      <x:c r="N765" s="30" t="str"/>
      <x:c r="O765" s="30" t="str"/>
      <x:c r="P765" s="30" t="str"/>
      <x:c r="Q765" s="31" t="str"/>
      <x:c r="R765" s="31" t="str"/>
      <x:c r="S765" s="30" t="str"/>
      <x:c r="T765" s="30" t="str"/>
      <x:c r="U765" s="30" t="str"/>
      <x:c r="V765" s="40" t="str">
        <x:f>IF(B765="","",COUNTA(H765:L765)/5)</x:f>
      </x:c>
    </x:row>
    <x:row r="766">
      <x:c r="A766" s="30" t="str">
        <x:f>IF(B766="","",B766&amp;"-"&amp;C766)</x:f>
      </x:c>
      <x:c r="B766" s="30" t="str">
        <x:f>'01_命例主档'!A48</x:f>
      </x:c>
      <x:c r="C766" s="30" t="str">
        <x:v>M06</x:v>
      </x:c>
      <x:c r="D766" s="30" t="str">
        <x:v>干支关系效应</x:v>
      </x:c>
      <x:c r="E766" s="30" t="str">
        <x:v>效应层</x:v>
      </x:c>
      <x:c r="F766" s="30" t="str">
        <x:v>M03/M04/M05</x:v>
      </x:c>
      <x:c r="G766" s="30" t="str">
        <x:v>未开始</x:v>
      </x:c>
      <x:c r="H766" s="30" t="str"/>
      <x:c r="I766" s="30" t="str"/>
      <x:c r="J766" s="30" t="str"/>
      <x:c r="K766" s="30" t="str"/>
      <x:c r="L766" s="30" t="str"/>
      <x:c r="M766" s="30" t="str"/>
      <x:c r="N766" s="30" t="str"/>
      <x:c r="O766" s="30" t="str"/>
      <x:c r="P766" s="30" t="str"/>
      <x:c r="Q766" s="31" t="str"/>
      <x:c r="R766" s="31" t="str"/>
      <x:c r="S766" s="30" t="str"/>
      <x:c r="T766" s="30" t="str"/>
      <x:c r="U766" s="30" t="str"/>
      <x:c r="V766" s="40" t="str">
        <x:f>IF(B766="","",COUNTA(H766:L766)/5)</x:f>
      </x:c>
    </x:row>
    <x:row r="767">
      <x:c r="A767" s="30" t="str">
        <x:f>IF(B767="","",B767&amp;"-"&amp;C767)</x:f>
      </x:c>
      <x:c r="B767" s="30" t="str">
        <x:f>'01_命例主档'!A48</x:f>
      </x:c>
      <x:c r="C767" s="30" t="str">
        <x:v>M07</x:v>
      </x:c>
      <x:c r="D767" s="30" t="str">
        <x:v>五行原始旺衰</x:v>
      </x:c>
      <x:c r="E767" s="30" t="str">
        <x:v>结构层</x:v>
      </x:c>
      <x:c r="F767" s="30" t="str">
        <x:v>M02/M03</x:v>
      </x:c>
      <x:c r="G767" s="30" t="str">
        <x:v>未开始</x:v>
      </x:c>
      <x:c r="H767" s="30" t="str"/>
      <x:c r="I767" s="30" t="str"/>
      <x:c r="J767" s="30" t="str"/>
      <x:c r="K767" s="30" t="str"/>
      <x:c r="L767" s="30" t="str"/>
      <x:c r="M767" s="30" t="str"/>
      <x:c r="N767" s="30" t="str"/>
      <x:c r="O767" s="30" t="str"/>
      <x:c r="P767" s="30" t="str"/>
      <x:c r="Q767" s="31" t="str"/>
      <x:c r="R767" s="31" t="str"/>
      <x:c r="S767" s="30" t="str"/>
      <x:c r="T767" s="30" t="str"/>
      <x:c r="U767" s="30" t="str"/>
      <x:c r="V767" s="40" t="str">
        <x:f>IF(B767="","",COUNTA(H767:L767)/5)</x:f>
      </x:c>
    </x:row>
    <x:row r="768">
      <x:c r="A768" s="30" t="str">
        <x:f>IF(B768="","",B768&amp;"-"&amp;C768)</x:f>
      </x:c>
      <x:c r="B768" s="30" t="str">
        <x:f>'01_命例主档'!A48</x:f>
      </x:c>
      <x:c r="C768" s="30" t="str">
        <x:v>M08</x:v>
      </x:c>
      <x:c r="D768" s="30" t="str">
        <x:v>五行有效旺衰</x:v>
      </x:c>
      <x:c r="E768" s="30" t="str">
        <x:v>结构层</x:v>
      </x:c>
      <x:c r="F768" s="30" t="str">
        <x:v>M06/M07</x:v>
      </x:c>
      <x:c r="G768" s="30" t="str">
        <x:v>未开始</x:v>
      </x:c>
      <x:c r="H768" s="30" t="str"/>
      <x:c r="I768" s="30" t="str"/>
      <x:c r="J768" s="30" t="str"/>
      <x:c r="K768" s="30" t="str"/>
      <x:c r="L768" s="30" t="str"/>
      <x:c r="M768" s="30" t="str"/>
      <x:c r="N768" s="30" t="str"/>
      <x:c r="O768" s="30" t="str"/>
      <x:c r="P768" s="30" t="str"/>
      <x:c r="Q768" s="31" t="str"/>
      <x:c r="R768" s="31" t="str"/>
      <x:c r="S768" s="30" t="str"/>
      <x:c r="T768" s="30" t="str"/>
      <x:c r="U768" s="30" t="str"/>
      <x:c r="V768" s="40" t="str">
        <x:f>IF(B768="","",COUNTA(H768:L768)/5)</x:f>
      </x:c>
    </x:row>
    <x:row r="769">
      <x:c r="A769" s="30" t="str">
        <x:f>IF(B769="","",B769&amp;"-"&amp;C769)</x:f>
      </x:c>
      <x:c r="B769" s="30" t="str">
        <x:f>'01_命例主档'!A48</x:f>
      </x:c>
      <x:c r="C769" s="30" t="str">
        <x:v>M09</x:v>
      </x:c>
      <x:c r="D769" s="30" t="str">
        <x:v>日主旺衰</x:v>
      </x:c>
      <x:c r="E769" s="30" t="str">
        <x:v>综合层</x:v>
      </x:c>
      <x:c r="F769" s="30" t="str">
        <x:v>M03/M07/M08</x:v>
      </x:c>
      <x:c r="G769" s="30" t="str">
        <x:v>未开始</x:v>
      </x:c>
      <x:c r="H769" s="30" t="str"/>
      <x:c r="I769" s="30" t="str"/>
      <x:c r="J769" s="30" t="str"/>
      <x:c r="K769" s="30" t="str"/>
      <x:c r="L769" s="30" t="str"/>
      <x:c r="M769" s="30" t="str"/>
      <x:c r="N769" s="30" t="str"/>
      <x:c r="O769" s="30" t="str"/>
      <x:c r="P769" s="30" t="str"/>
      <x:c r="Q769" s="31" t="str"/>
      <x:c r="R769" s="31" t="str"/>
      <x:c r="S769" s="30" t="str"/>
      <x:c r="T769" s="30" t="str"/>
      <x:c r="U769" s="30" t="str"/>
      <x:c r="V769" s="40" t="str">
        <x:f>IF(B769="","",COUNTA(H769:L769)/5)</x:f>
      </x:c>
    </x:row>
    <x:row r="770">
      <x:c r="A770" s="30" t="str">
        <x:f>IF(B770="","",B770&amp;"-"&amp;C770)</x:f>
      </x:c>
      <x:c r="B770" s="30" t="str">
        <x:f>'01_命例主档'!A48</x:f>
      </x:c>
      <x:c r="C770" s="30" t="str">
        <x:v>M10</x:v>
      </x:c>
      <x:c r="D770" s="30" t="str">
        <x:v>十神旺衰功能</x:v>
      </x:c>
      <x:c r="E770" s="30" t="str">
        <x:v>结构层</x:v>
      </x:c>
      <x:c r="F770" s="30" t="str">
        <x:v>M02/M08/M09</x:v>
      </x:c>
      <x:c r="G770" s="30" t="str">
        <x:v>未开始</x:v>
      </x:c>
      <x:c r="H770" s="30" t="str"/>
      <x:c r="I770" s="30" t="str"/>
      <x:c r="J770" s="30" t="str"/>
      <x:c r="K770" s="30" t="str"/>
      <x:c r="L770" s="30" t="str"/>
      <x:c r="M770" s="30" t="str"/>
      <x:c r="N770" s="30" t="str"/>
      <x:c r="O770" s="30" t="str"/>
      <x:c r="P770" s="30" t="str"/>
      <x:c r="Q770" s="31" t="str"/>
      <x:c r="R770" s="31" t="str"/>
      <x:c r="S770" s="30" t="str"/>
      <x:c r="T770" s="30" t="str"/>
      <x:c r="U770" s="30" t="str"/>
      <x:c r="V770" s="40" t="str">
        <x:f>IF(B770="","",COUNTA(H770:L770)/5)</x:f>
      </x:c>
    </x:row>
    <x:row r="771">
      <x:c r="A771" s="30" t="str">
        <x:f>IF(B771="","",B771&amp;"-"&amp;C771)</x:f>
      </x:c>
      <x:c r="B771" s="30" t="str">
        <x:f>'01_命例主档'!A48</x:f>
      </x:c>
      <x:c r="C771" s="30" t="str">
        <x:v>M11</x:v>
      </x:c>
      <x:c r="D771" s="30" t="str">
        <x:v>十神组合成立</x:v>
      </x:c>
      <x:c r="E771" s="30" t="str">
        <x:v>结构层</x:v>
      </x:c>
      <x:c r="F771" s="30" t="str">
        <x:v>M08/M09/M10</x:v>
      </x:c>
      <x:c r="G771" s="30" t="str">
        <x:v>未开始</x:v>
      </x:c>
      <x:c r="H771" s="30" t="str"/>
      <x:c r="I771" s="30" t="str"/>
      <x:c r="J771" s="30" t="str"/>
      <x:c r="K771" s="30" t="str"/>
      <x:c r="L771" s="30" t="str"/>
      <x:c r="M771" s="30" t="str"/>
      <x:c r="N771" s="30" t="str"/>
      <x:c r="O771" s="30" t="str"/>
      <x:c r="P771" s="30" t="str"/>
      <x:c r="Q771" s="31" t="str"/>
      <x:c r="R771" s="31" t="str"/>
      <x:c r="S771" s="30" t="str"/>
      <x:c r="T771" s="30" t="str"/>
      <x:c r="U771" s="30" t="str"/>
      <x:c r="V771" s="40" t="str">
        <x:f>IF(B771="","",COUNTA(H771:L771)/5)</x:f>
      </x:c>
    </x:row>
    <x:row r="772">
      <x:c r="A772" s="30" t="str">
        <x:f>IF(B772="","",B772&amp;"-"&amp;C772)</x:f>
      </x:c>
      <x:c r="B772" s="30" t="str">
        <x:f>'01_命例主档'!A48</x:f>
      </x:c>
      <x:c r="C772" s="30" t="str">
        <x:v>M12</x:v>
      </x:c>
      <x:c r="D772" s="30" t="str">
        <x:v>五行流通卡点</x:v>
      </x:c>
      <x:c r="E772" s="30" t="str">
        <x:v>结构层</x:v>
      </x:c>
      <x:c r="F772" s="30" t="str">
        <x:v>M06/M08/M10/M11</x:v>
      </x:c>
      <x:c r="G772" s="30" t="str">
        <x:v>未开始</x:v>
      </x:c>
      <x:c r="H772" s="30" t="str"/>
      <x:c r="I772" s="30" t="str"/>
      <x:c r="J772" s="30" t="str"/>
      <x:c r="K772" s="30" t="str"/>
      <x:c r="L772" s="30" t="str"/>
      <x:c r="M772" s="30" t="str"/>
      <x:c r="N772" s="30" t="str"/>
      <x:c r="O772" s="30" t="str"/>
      <x:c r="P772" s="30" t="str"/>
      <x:c r="Q772" s="31" t="str"/>
      <x:c r="R772" s="31" t="str"/>
      <x:c r="S772" s="30" t="str"/>
      <x:c r="T772" s="30" t="str"/>
      <x:c r="U772" s="30" t="str"/>
      <x:c r="V772" s="40" t="str">
        <x:f>IF(B772="","",COUNTA(H772:L772)/5)</x:f>
      </x:c>
    </x:row>
    <x:row r="773">
      <x:c r="A773" s="30" t="str">
        <x:f>IF(B773="","",B773&amp;"-"&amp;C773)</x:f>
      </x:c>
      <x:c r="B773" s="30" t="str">
        <x:f>'01_命例主档'!A48</x:f>
      </x:c>
      <x:c r="C773" s="30" t="str">
        <x:v>M13</x:v>
      </x:c>
      <x:c r="D773" s="30" t="str">
        <x:v>寒暖燥湿</x:v>
      </x:c>
      <x:c r="E773" s="30" t="str">
        <x:v>结构层</x:v>
      </x:c>
      <x:c r="F773" s="30" t="str">
        <x:v>M02/M08/M12</x:v>
      </x:c>
      <x:c r="G773" s="30" t="str">
        <x:v>未开始</x:v>
      </x:c>
      <x:c r="H773" s="30" t="str"/>
      <x:c r="I773" s="30" t="str"/>
      <x:c r="J773" s="30" t="str"/>
      <x:c r="K773" s="30" t="str"/>
      <x:c r="L773" s="30" t="str"/>
      <x:c r="M773" s="30" t="str"/>
      <x:c r="N773" s="30" t="str"/>
      <x:c r="O773" s="30" t="str"/>
      <x:c r="P773" s="30" t="str"/>
      <x:c r="Q773" s="31" t="str"/>
      <x:c r="R773" s="31" t="str"/>
      <x:c r="S773" s="30" t="str"/>
      <x:c r="T773" s="30" t="str"/>
      <x:c r="U773" s="30" t="str"/>
      <x:c r="V773" s="40" t="str">
        <x:f>IF(B773="","",COUNTA(H773:L773)/5)</x:f>
      </x:c>
    </x:row>
    <x:row r="774">
      <x:c r="A774" s="30" t="str">
        <x:f>IF(B774="","",B774&amp;"-"&amp;C774)</x:f>
      </x:c>
      <x:c r="B774" s="30" t="str">
        <x:f>'01_命例主档'!A48</x:f>
      </x:c>
      <x:c r="C774" s="30" t="str">
        <x:v>M14</x:v>
      </x:c>
      <x:c r="D774" s="30" t="str">
        <x:v>格局候选判断</x:v>
      </x:c>
      <x:c r="E774" s="30" t="str">
        <x:v>综合层</x:v>
      </x:c>
      <x:c r="F774" s="30" t="str">
        <x:v>M03/M06/M08/M09/M10/M11</x:v>
      </x:c>
      <x:c r="G774" s="30" t="str">
        <x:v>未开始</x:v>
      </x:c>
      <x:c r="H774" s="30" t="str"/>
      <x:c r="I774" s="30" t="str"/>
      <x:c r="J774" s="30" t="str"/>
      <x:c r="K774" s="30" t="str"/>
      <x:c r="L774" s="30" t="str"/>
      <x:c r="M774" s="30" t="str"/>
      <x:c r="N774" s="30" t="str"/>
      <x:c r="O774" s="30" t="str"/>
      <x:c r="P774" s="30" t="str"/>
      <x:c r="Q774" s="31" t="str"/>
      <x:c r="R774" s="31" t="str"/>
      <x:c r="S774" s="30" t="str"/>
      <x:c r="T774" s="30" t="str"/>
      <x:c r="U774" s="30" t="str"/>
      <x:c r="V774" s="40" t="str">
        <x:f>IF(B774="","",COUNTA(H774:L774)/5)</x:f>
      </x:c>
    </x:row>
    <x:row r="775">
      <x:c r="A775" s="30" t="str">
        <x:f>IF(B775="","",B775&amp;"-"&amp;C775)</x:f>
      </x:c>
      <x:c r="B775" s="30" t="str">
        <x:f>'01_命例主档'!A48</x:f>
      </x:c>
      <x:c r="C775" s="30" t="str">
        <x:v>M15</x:v>
      </x:c>
      <x:c r="D775" s="30" t="str">
        <x:v>格局成败救应</x:v>
      </x:c>
      <x:c r="E775" s="30" t="str">
        <x:v>综合层</x:v>
      </x:c>
      <x:c r="F775" s="30" t="str">
        <x:v>M14/M11/M08</x:v>
      </x:c>
      <x:c r="G775" s="30" t="str">
        <x:v>未开始</x:v>
      </x:c>
      <x:c r="H775" s="30" t="str"/>
      <x:c r="I775" s="30" t="str"/>
      <x:c r="J775" s="30" t="str"/>
      <x:c r="K775" s="30" t="str"/>
      <x:c r="L775" s="30" t="str"/>
      <x:c r="M775" s="30" t="str"/>
      <x:c r="N775" s="30" t="str"/>
      <x:c r="O775" s="30" t="str"/>
      <x:c r="P775" s="30" t="str"/>
      <x:c r="Q775" s="31" t="str"/>
      <x:c r="R775" s="31" t="str"/>
      <x:c r="S775" s="30" t="str"/>
      <x:c r="T775" s="30" t="str"/>
      <x:c r="U775" s="30" t="str"/>
      <x:c r="V775" s="40" t="str">
        <x:f>IF(B775="","",COUNTA(H775:L775)/5)</x:f>
      </x:c>
    </x:row>
    <x:row r="776">
      <x:c r="A776" s="30" t="str">
        <x:f>IF(B776="","",B776&amp;"-"&amp;C776)</x:f>
      </x:c>
      <x:c r="B776" s="30" t="str">
        <x:f>'01_命例主档'!A48</x:f>
      </x:c>
      <x:c r="C776" s="30" t="str">
        <x:v>M16</x:v>
      </x:c>
      <x:c r="D776" s="30" t="str">
        <x:v>病药模型</x:v>
      </x:c>
      <x:c r="E776" s="30" t="str">
        <x:v>综合层</x:v>
      </x:c>
      <x:c r="F776" s="30" t="str">
        <x:v>M08-M15</x:v>
      </x:c>
      <x:c r="G776" s="30" t="str">
        <x:v>未开始</x:v>
      </x:c>
      <x:c r="H776" s="30" t="str"/>
      <x:c r="I776" s="30" t="str"/>
      <x:c r="J776" s="30" t="str"/>
      <x:c r="K776" s="30" t="str"/>
      <x:c r="L776" s="30" t="str"/>
      <x:c r="M776" s="30" t="str"/>
      <x:c r="N776" s="30" t="str"/>
      <x:c r="O776" s="30" t="str"/>
      <x:c r="P776" s="30" t="str"/>
      <x:c r="Q776" s="31" t="str"/>
      <x:c r="R776" s="31" t="str"/>
      <x:c r="S776" s="30" t="str"/>
      <x:c r="T776" s="30" t="str"/>
      <x:c r="U776" s="30" t="str"/>
      <x:c r="V776" s="40" t="str">
        <x:f>IF(B776="","",COUNTA(H776:L776)/5)</x:f>
      </x:c>
    </x:row>
    <x:row r="777">
      <x:c r="A777" s="30" t="str">
        <x:f>IF(B777="","",B777&amp;"-"&amp;C777)</x:f>
      </x:c>
      <x:c r="B777" s="30" t="str">
        <x:f>'01_命例主档'!A48</x:f>
      </x:c>
      <x:c r="C777" s="30" t="str">
        <x:v>M17</x:v>
      </x:c>
      <x:c r="D777" s="30" t="str">
        <x:v>喜忌用神矩阵</x:v>
      </x:c>
      <x:c r="E777" s="30" t="str">
        <x:v>综合层</x:v>
      </x:c>
      <x:c r="F777" s="30" t="str">
        <x:v>M09/M12/M13/M15/M16</x:v>
      </x:c>
      <x:c r="G777" s="30" t="str">
        <x:v>未开始</x:v>
      </x:c>
      <x:c r="H777" s="30" t="str"/>
      <x:c r="I777" s="30" t="str"/>
      <x:c r="J777" s="30" t="str"/>
      <x:c r="K777" s="30" t="str"/>
      <x:c r="L777" s="30" t="str"/>
      <x:c r="M777" s="30" t="str"/>
      <x:c r="N777" s="30" t="str"/>
      <x:c r="O777" s="30" t="str"/>
      <x:c r="P777" s="30" t="str"/>
      <x:c r="Q777" s="31" t="str"/>
      <x:c r="R777" s="31" t="str"/>
      <x:c r="S777" s="30" t="str"/>
      <x:c r="T777" s="30" t="str"/>
      <x:c r="U777" s="30" t="str"/>
      <x:c r="V777" s="40" t="str">
        <x:f>IF(B777="","",COUNTA(H777:L777)/5)</x:f>
      </x:c>
    </x:row>
    <x:row r="778">
      <x:c r="A778" s="30" t="str">
        <x:f>IF(B778="","",B778&amp;"-"&amp;C778)</x:f>
      </x:c>
      <x:c r="B778" s="30" t="str">
        <x:f>'01_命例主档'!A48</x:f>
      </x:c>
      <x:c r="C778" s="30" t="str">
        <x:v>M18</x:v>
      </x:c>
      <x:c r="D778" s="30" t="str">
        <x:v>冲突裁决规则</x:v>
      </x:c>
      <x:c r="E778" s="30" t="str">
        <x:v>综合层</x:v>
      </x:c>
      <x:c r="F778" s="30" t="str">
        <x:v>M14/M15/M16/M17</x:v>
      </x:c>
      <x:c r="G778" s="30" t="str">
        <x:v>未开始</x:v>
      </x:c>
      <x:c r="H778" s="30" t="str"/>
      <x:c r="I778" s="30" t="str"/>
      <x:c r="J778" s="30" t="str"/>
      <x:c r="K778" s="30" t="str"/>
      <x:c r="L778" s="30" t="str"/>
      <x:c r="M778" s="30" t="str"/>
      <x:c r="N778" s="30" t="str"/>
      <x:c r="O778" s="30" t="str"/>
      <x:c r="P778" s="30" t="str"/>
      <x:c r="Q778" s="31" t="str"/>
      <x:c r="R778" s="31" t="str"/>
      <x:c r="S778" s="30" t="str"/>
      <x:c r="T778" s="30" t="str"/>
      <x:c r="U778" s="30" t="str"/>
      <x:c r="V778" s="40" t="str">
        <x:f>IF(B778="","",COUNTA(H778:L778)/5)</x:f>
      </x:c>
    </x:row>
    <x:row r="779">
      <x:c r="A779" s="30" t="str">
        <x:f>IF(B779="","",B779&amp;"-"&amp;C779)</x:f>
      </x:c>
      <x:c r="B779" s="30" t="str">
        <x:f>'01_命例主档'!A48</x:f>
      </x:c>
      <x:c r="C779" s="30" t="str">
        <x:v>M19</x:v>
      </x:c>
      <x:c r="D779" s="30" t="str">
        <x:v>综合输出模板</x:v>
      </x:c>
      <x:c r="E779" s="30" t="str">
        <x:v>治理与输出</x:v>
      </x:c>
      <x:c r="F779" s="30" t="str">
        <x:v>M02-M18</x:v>
      </x:c>
      <x:c r="G779" s="30" t="str">
        <x:v>未开始</x:v>
      </x:c>
      <x:c r="H779" s="30" t="str"/>
      <x:c r="I779" s="30" t="str"/>
      <x:c r="J779" s="30" t="str"/>
      <x:c r="K779" s="30" t="str"/>
      <x:c r="L779" s="30" t="str"/>
      <x:c r="M779" s="30" t="str"/>
      <x:c r="N779" s="30" t="str"/>
      <x:c r="O779" s="30" t="str"/>
      <x:c r="P779" s="30" t="str"/>
      <x:c r="Q779" s="31" t="str"/>
      <x:c r="R779" s="31" t="str"/>
      <x:c r="S779" s="30" t="str"/>
      <x:c r="T779" s="30" t="str"/>
      <x:c r="U779" s="30" t="str"/>
      <x:c r="V779" s="40" t="str">
        <x:f>IF(B779="","",COUNTA(H779:L779)/5)</x:f>
      </x:c>
    </x:row>
    <x:row r="780">
      <x:c r="A780" s="30" t="str">
        <x:f>IF(B780="","",B780&amp;"-"&amp;C780)</x:f>
      </x:c>
      <x:c r="B780" s="30" t="str">
        <x:f>'01_命例主档'!A49</x:f>
      </x:c>
      <x:c r="C780" s="30" t="str">
        <x:v>M02</x:v>
      </x:c>
      <x:c r="D780" s="30" t="str">
        <x:v>干支藏干基础</x:v>
      </x:c>
      <x:c r="E780" s="30" t="str">
        <x:v>识别层</x:v>
      </x:c>
      <x:c r="F780" s="30" t="str">
        <x:v>无</x:v>
      </x:c>
      <x:c r="G780" s="30" t="str">
        <x:v>未开始</x:v>
      </x:c>
      <x:c r="H780" s="30" t="str"/>
      <x:c r="I780" s="30" t="str"/>
      <x:c r="J780" s="30" t="str"/>
      <x:c r="K780" s="30" t="str"/>
      <x:c r="L780" s="30" t="str"/>
      <x:c r="M780" s="30" t="str"/>
      <x:c r="N780" s="30" t="str"/>
      <x:c r="O780" s="30" t="str"/>
      <x:c r="P780" s="30" t="str"/>
      <x:c r="Q780" s="31" t="str"/>
      <x:c r="R780" s="31" t="str"/>
      <x:c r="S780" s="30" t="str"/>
      <x:c r="T780" s="30" t="str"/>
      <x:c r="U780" s="30" t="str"/>
      <x:c r="V780" s="40" t="str">
        <x:f>IF(B780="","",COUNTA(H780:L780)/5)</x:f>
      </x:c>
    </x:row>
    <x:row r="781">
      <x:c r="A781" s="30" t="str">
        <x:f>IF(B781="","",B781&amp;"-"&amp;C781)</x:f>
      </x:c>
      <x:c r="B781" s="30" t="str">
        <x:f>'01_命例主档'!A49</x:f>
      </x:c>
      <x:c r="C781" s="30" t="str">
        <x:v>M03</x:v>
      </x:c>
      <x:c r="D781" s="30" t="str">
        <x:v>月令与根气</x:v>
      </x:c>
      <x:c r="E781" s="30" t="str">
        <x:v>结构层</x:v>
      </x:c>
      <x:c r="F781" s="30" t="str">
        <x:v>M02</x:v>
      </x:c>
      <x:c r="G781" s="30" t="str">
        <x:v>未开始</x:v>
      </x:c>
      <x:c r="H781" s="30" t="str"/>
      <x:c r="I781" s="30" t="str"/>
      <x:c r="J781" s="30" t="str"/>
      <x:c r="K781" s="30" t="str"/>
      <x:c r="L781" s="30" t="str"/>
      <x:c r="M781" s="30" t="str"/>
      <x:c r="N781" s="30" t="str"/>
      <x:c r="O781" s="30" t="str"/>
      <x:c r="P781" s="30" t="str"/>
      <x:c r="Q781" s="31" t="str"/>
      <x:c r="R781" s="31" t="str"/>
      <x:c r="S781" s="30" t="str"/>
      <x:c r="T781" s="30" t="str"/>
      <x:c r="U781" s="30" t="str"/>
      <x:c r="V781" s="40" t="str">
        <x:f>IF(B781="","",COUNTA(H781:L781)/5)</x:f>
      </x:c>
    </x:row>
    <x:row r="782">
      <x:c r="A782" s="30" t="str">
        <x:f>IF(B782="","",B782&amp;"-"&amp;C782)</x:f>
      </x:c>
      <x:c r="B782" s="30" t="str">
        <x:f>'01_命例主档'!A49</x:f>
      </x:c>
      <x:c r="C782" s="30" t="str">
        <x:v>M04</x:v>
      </x:c>
      <x:c r="D782" s="30" t="str">
        <x:v>天干作用识别</x:v>
      </x:c>
      <x:c r="E782" s="30" t="str">
        <x:v>识别层</x:v>
      </x:c>
      <x:c r="F782" s="30" t="str">
        <x:v>M02</x:v>
      </x:c>
      <x:c r="G782" s="30" t="str">
        <x:v>未开始</x:v>
      </x:c>
      <x:c r="H782" s="30" t="str"/>
      <x:c r="I782" s="30" t="str"/>
      <x:c r="J782" s="30" t="str"/>
      <x:c r="K782" s="30" t="str"/>
      <x:c r="L782" s="30" t="str"/>
      <x:c r="M782" s="30" t="str"/>
      <x:c r="N782" s="30" t="str"/>
      <x:c r="O782" s="30" t="str"/>
      <x:c r="P782" s="30" t="str"/>
      <x:c r="Q782" s="31" t="str"/>
      <x:c r="R782" s="31" t="str"/>
      <x:c r="S782" s="30" t="str"/>
      <x:c r="T782" s="30" t="str"/>
      <x:c r="U782" s="30" t="str"/>
      <x:c r="V782" s="40" t="str">
        <x:f>IF(B782="","",COUNTA(H782:L782)/5)</x:f>
      </x:c>
    </x:row>
    <x:row r="783">
      <x:c r="A783" s="30" t="str">
        <x:f>IF(B783="","",B783&amp;"-"&amp;C783)</x:f>
      </x:c>
      <x:c r="B783" s="30" t="str">
        <x:f>'01_命例主档'!A49</x:f>
      </x:c>
      <x:c r="C783" s="30" t="str">
        <x:v>M05</x:v>
      </x:c>
      <x:c r="D783" s="30" t="str">
        <x:v>地支关系识别</x:v>
      </x:c>
      <x:c r="E783" s="30" t="str">
        <x:v>识别层</x:v>
      </x:c>
      <x:c r="F783" s="30" t="str">
        <x:v>M02</x:v>
      </x:c>
      <x:c r="G783" s="30" t="str">
        <x:v>未开始</x:v>
      </x:c>
      <x:c r="H783" s="30" t="str"/>
      <x:c r="I783" s="30" t="str"/>
      <x:c r="J783" s="30" t="str"/>
      <x:c r="K783" s="30" t="str"/>
      <x:c r="L783" s="30" t="str"/>
      <x:c r="M783" s="30" t="str"/>
      <x:c r="N783" s="30" t="str"/>
      <x:c r="O783" s="30" t="str"/>
      <x:c r="P783" s="30" t="str"/>
      <x:c r="Q783" s="31" t="str"/>
      <x:c r="R783" s="31" t="str"/>
      <x:c r="S783" s="30" t="str"/>
      <x:c r="T783" s="30" t="str"/>
      <x:c r="U783" s="30" t="str"/>
      <x:c r="V783" s="40" t="str">
        <x:f>IF(B783="","",COUNTA(H783:L783)/5)</x:f>
      </x:c>
    </x:row>
    <x:row r="784">
      <x:c r="A784" s="30" t="str">
        <x:f>IF(B784="","",B784&amp;"-"&amp;C784)</x:f>
      </x:c>
      <x:c r="B784" s="30" t="str">
        <x:f>'01_命例主档'!A49</x:f>
      </x:c>
      <x:c r="C784" s="30" t="str">
        <x:v>M06</x:v>
      </x:c>
      <x:c r="D784" s="30" t="str">
        <x:v>干支关系效应</x:v>
      </x:c>
      <x:c r="E784" s="30" t="str">
        <x:v>效应层</x:v>
      </x:c>
      <x:c r="F784" s="30" t="str">
        <x:v>M03/M04/M05</x:v>
      </x:c>
      <x:c r="G784" s="30" t="str">
        <x:v>未开始</x:v>
      </x:c>
      <x:c r="H784" s="30" t="str"/>
      <x:c r="I784" s="30" t="str"/>
      <x:c r="J784" s="30" t="str"/>
      <x:c r="K784" s="30" t="str"/>
      <x:c r="L784" s="30" t="str"/>
      <x:c r="M784" s="30" t="str"/>
      <x:c r="N784" s="30" t="str"/>
      <x:c r="O784" s="30" t="str"/>
      <x:c r="P784" s="30" t="str"/>
      <x:c r="Q784" s="31" t="str"/>
      <x:c r="R784" s="31" t="str"/>
      <x:c r="S784" s="30" t="str"/>
      <x:c r="T784" s="30" t="str"/>
      <x:c r="U784" s="30" t="str"/>
      <x:c r="V784" s="40" t="str">
        <x:f>IF(B784="","",COUNTA(H784:L784)/5)</x:f>
      </x:c>
    </x:row>
    <x:row r="785">
      <x:c r="A785" s="30" t="str">
        <x:f>IF(B785="","",B785&amp;"-"&amp;C785)</x:f>
      </x:c>
      <x:c r="B785" s="30" t="str">
        <x:f>'01_命例主档'!A49</x:f>
      </x:c>
      <x:c r="C785" s="30" t="str">
        <x:v>M07</x:v>
      </x:c>
      <x:c r="D785" s="30" t="str">
        <x:v>五行原始旺衰</x:v>
      </x:c>
      <x:c r="E785" s="30" t="str">
        <x:v>结构层</x:v>
      </x:c>
      <x:c r="F785" s="30" t="str">
        <x:v>M02/M03</x:v>
      </x:c>
      <x:c r="G785" s="30" t="str">
        <x:v>未开始</x:v>
      </x:c>
      <x:c r="H785" s="30" t="str"/>
      <x:c r="I785" s="30" t="str"/>
      <x:c r="J785" s="30" t="str"/>
      <x:c r="K785" s="30" t="str"/>
      <x:c r="L785" s="30" t="str"/>
      <x:c r="M785" s="30" t="str"/>
      <x:c r="N785" s="30" t="str"/>
      <x:c r="O785" s="30" t="str"/>
      <x:c r="P785" s="30" t="str"/>
      <x:c r="Q785" s="31" t="str"/>
      <x:c r="R785" s="31" t="str"/>
      <x:c r="S785" s="30" t="str"/>
      <x:c r="T785" s="30" t="str"/>
      <x:c r="U785" s="30" t="str"/>
      <x:c r="V785" s="40" t="str">
        <x:f>IF(B785="","",COUNTA(H785:L785)/5)</x:f>
      </x:c>
    </x:row>
    <x:row r="786">
      <x:c r="A786" s="30" t="str">
        <x:f>IF(B786="","",B786&amp;"-"&amp;C786)</x:f>
      </x:c>
      <x:c r="B786" s="30" t="str">
        <x:f>'01_命例主档'!A49</x:f>
      </x:c>
      <x:c r="C786" s="30" t="str">
        <x:v>M08</x:v>
      </x:c>
      <x:c r="D786" s="30" t="str">
        <x:v>五行有效旺衰</x:v>
      </x:c>
      <x:c r="E786" s="30" t="str">
        <x:v>结构层</x:v>
      </x:c>
      <x:c r="F786" s="30" t="str">
        <x:v>M06/M07</x:v>
      </x:c>
      <x:c r="G786" s="30" t="str">
        <x:v>未开始</x:v>
      </x:c>
      <x:c r="H786" s="30" t="str"/>
      <x:c r="I786" s="30" t="str"/>
      <x:c r="J786" s="30" t="str"/>
      <x:c r="K786" s="30" t="str"/>
      <x:c r="L786" s="30" t="str"/>
      <x:c r="M786" s="30" t="str"/>
      <x:c r="N786" s="30" t="str"/>
      <x:c r="O786" s="30" t="str"/>
      <x:c r="P786" s="30" t="str"/>
      <x:c r="Q786" s="31" t="str"/>
      <x:c r="R786" s="31" t="str"/>
      <x:c r="S786" s="30" t="str"/>
      <x:c r="T786" s="30" t="str"/>
      <x:c r="U786" s="30" t="str"/>
      <x:c r="V786" s="40" t="str">
        <x:f>IF(B786="","",COUNTA(H786:L786)/5)</x:f>
      </x:c>
    </x:row>
    <x:row r="787">
      <x:c r="A787" s="30" t="str">
        <x:f>IF(B787="","",B787&amp;"-"&amp;C787)</x:f>
      </x:c>
      <x:c r="B787" s="30" t="str">
        <x:f>'01_命例主档'!A49</x:f>
      </x:c>
      <x:c r="C787" s="30" t="str">
        <x:v>M09</x:v>
      </x:c>
      <x:c r="D787" s="30" t="str">
        <x:v>日主旺衰</x:v>
      </x:c>
      <x:c r="E787" s="30" t="str">
        <x:v>综合层</x:v>
      </x:c>
      <x:c r="F787" s="30" t="str">
        <x:v>M03/M07/M08</x:v>
      </x:c>
      <x:c r="G787" s="30" t="str">
        <x:v>未开始</x:v>
      </x:c>
      <x:c r="H787" s="30" t="str"/>
      <x:c r="I787" s="30" t="str"/>
      <x:c r="J787" s="30" t="str"/>
      <x:c r="K787" s="30" t="str"/>
      <x:c r="L787" s="30" t="str"/>
      <x:c r="M787" s="30" t="str"/>
      <x:c r="N787" s="30" t="str"/>
      <x:c r="O787" s="30" t="str"/>
      <x:c r="P787" s="30" t="str"/>
      <x:c r="Q787" s="31" t="str"/>
      <x:c r="R787" s="31" t="str"/>
      <x:c r="S787" s="30" t="str"/>
      <x:c r="T787" s="30" t="str"/>
      <x:c r="U787" s="30" t="str"/>
      <x:c r="V787" s="40" t="str">
        <x:f>IF(B787="","",COUNTA(H787:L787)/5)</x:f>
      </x:c>
    </x:row>
    <x:row r="788">
      <x:c r="A788" s="30" t="str">
        <x:f>IF(B788="","",B788&amp;"-"&amp;C788)</x:f>
      </x:c>
      <x:c r="B788" s="30" t="str">
        <x:f>'01_命例主档'!A49</x:f>
      </x:c>
      <x:c r="C788" s="30" t="str">
        <x:v>M10</x:v>
      </x:c>
      <x:c r="D788" s="30" t="str">
        <x:v>十神旺衰功能</x:v>
      </x:c>
      <x:c r="E788" s="30" t="str">
        <x:v>结构层</x:v>
      </x:c>
      <x:c r="F788" s="30" t="str">
        <x:v>M02/M08/M09</x:v>
      </x:c>
      <x:c r="G788" s="30" t="str">
        <x:v>未开始</x:v>
      </x:c>
      <x:c r="H788" s="30" t="str"/>
      <x:c r="I788" s="30" t="str"/>
      <x:c r="J788" s="30" t="str"/>
      <x:c r="K788" s="30" t="str"/>
      <x:c r="L788" s="30" t="str"/>
      <x:c r="M788" s="30" t="str"/>
      <x:c r="N788" s="30" t="str"/>
      <x:c r="O788" s="30" t="str"/>
      <x:c r="P788" s="30" t="str"/>
      <x:c r="Q788" s="31" t="str"/>
      <x:c r="R788" s="31" t="str"/>
      <x:c r="S788" s="30" t="str"/>
      <x:c r="T788" s="30" t="str"/>
      <x:c r="U788" s="30" t="str"/>
      <x:c r="V788" s="40" t="str">
        <x:f>IF(B788="","",COUNTA(H788:L788)/5)</x:f>
      </x:c>
    </x:row>
    <x:row r="789">
      <x:c r="A789" s="30" t="str">
        <x:f>IF(B789="","",B789&amp;"-"&amp;C789)</x:f>
      </x:c>
      <x:c r="B789" s="30" t="str">
        <x:f>'01_命例主档'!A49</x:f>
      </x:c>
      <x:c r="C789" s="30" t="str">
        <x:v>M11</x:v>
      </x:c>
      <x:c r="D789" s="30" t="str">
        <x:v>十神组合成立</x:v>
      </x:c>
      <x:c r="E789" s="30" t="str">
        <x:v>结构层</x:v>
      </x:c>
      <x:c r="F789" s="30" t="str">
        <x:v>M08/M09/M10</x:v>
      </x:c>
      <x:c r="G789" s="30" t="str">
        <x:v>未开始</x:v>
      </x:c>
      <x:c r="H789" s="30" t="str"/>
      <x:c r="I789" s="30" t="str"/>
      <x:c r="J789" s="30" t="str"/>
      <x:c r="K789" s="30" t="str"/>
      <x:c r="L789" s="30" t="str"/>
      <x:c r="M789" s="30" t="str"/>
      <x:c r="N789" s="30" t="str"/>
      <x:c r="O789" s="30" t="str"/>
      <x:c r="P789" s="30" t="str"/>
      <x:c r="Q789" s="31" t="str"/>
      <x:c r="R789" s="31" t="str"/>
      <x:c r="S789" s="30" t="str"/>
      <x:c r="T789" s="30" t="str"/>
      <x:c r="U789" s="30" t="str"/>
      <x:c r="V789" s="40" t="str">
        <x:f>IF(B789="","",COUNTA(H789:L789)/5)</x:f>
      </x:c>
    </x:row>
    <x:row r="790">
      <x:c r="A790" s="30" t="str">
        <x:f>IF(B790="","",B790&amp;"-"&amp;C790)</x:f>
      </x:c>
      <x:c r="B790" s="30" t="str">
        <x:f>'01_命例主档'!A49</x:f>
      </x:c>
      <x:c r="C790" s="30" t="str">
        <x:v>M12</x:v>
      </x:c>
      <x:c r="D790" s="30" t="str">
        <x:v>五行流通卡点</x:v>
      </x:c>
      <x:c r="E790" s="30" t="str">
        <x:v>结构层</x:v>
      </x:c>
      <x:c r="F790" s="30" t="str">
        <x:v>M06/M08/M10/M11</x:v>
      </x:c>
      <x:c r="G790" s="30" t="str">
        <x:v>未开始</x:v>
      </x:c>
      <x:c r="H790" s="30" t="str"/>
      <x:c r="I790" s="30" t="str"/>
      <x:c r="J790" s="30" t="str"/>
      <x:c r="K790" s="30" t="str"/>
      <x:c r="L790" s="30" t="str"/>
      <x:c r="M790" s="30" t="str"/>
      <x:c r="N790" s="30" t="str"/>
      <x:c r="O790" s="30" t="str"/>
      <x:c r="P790" s="30" t="str"/>
      <x:c r="Q790" s="31" t="str"/>
      <x:c r="R790" s="31" t="str"/>
      <x:c r="S790" s="30" t="str"/>
      <x:c r="T790" s="30" t="str"/>
      <x:c r="U790" s="30" t="str"/>
      <x:c r="V790" s="40" t="str">
        <x:f>IF(B790="","",COUNTA(H790:L790)/5)</x:f>
      </x:c>
    </x:row>
    <x:row r="791">
      <x:c r="A791" s="30" t="str">
        <x:f>IF(B791="","",B791&amp;"-"&amp;C791)</x:f>
      </x:c>
      <x:c r="B791" s="30" t="str">
        <x:f>'01_命例主档'!A49</x:f>
      </x:c>
      <x:c r="C791" s="30" t="str">
        <x:v>M13</x:v>
      </x:c>
      <x:c r="D791" s="30" t="str">
        <x:v>寒暖燥湿</x:v>
      </x:c>
      <x:c r="E791" s="30" t="str">
        <x:v>结构层</x:v>
      </x:c>
      <x:c r="F791" s="30" t="str">
        <x:v>M02/M08/M12</x:v>
      </x:c>
      <x:c r="G791" s="30" t="str">
        <x:v>未开始</x:v>
      </x:c>
      <x:c r="H791" s="30" t="str"/>
      <x:c r="I791" s="30" t="str"/>
      <x:c r="J791" s="30" t="str"/>
      <x:c r="K791" s="30" t="str"/>
      <x:c r="L791" s="30" t="str"/>
      <x:c r="M791" s="30" t="str"/>
      <x:c r="N791" s="30" t="str"/>
      <x:c r="O791" s="30" t="str"/>
      <x:c r="P791" s="30" t="str"/>
      <x:c r="Q791" s="31" t="str"/>
      <x:c r="R791" s="31" t="str"/>
      <x:c r="S791" s="30" t="str"/>
      <x:c r="T791" s="30" t="str"/>
      <x:c r="U791" s="30" t="str"/>
      <x:c r="V791" s="40" t="str">
        <x:f>IF(B791="","",COUNTA(H791:L791)/5)</x:f>
      </x:c>
    </x:row>
    <x:row r="792">
      <x:c r="A792" s="30" t="str">
        <x:f>IF(B792="","",B792&amp;"-"&amp;C792)</x:f>
      </x:c>
      <x:c r="B792" s="30" t="str">
        <x:f>'01_命例主档'!A49</x:f>
      </x:c>
      <x:c r="C792" s="30" t="str">
        <x:v>M14</x:v>
      </x:c>
      <x:c r="D792" s="30" t="str">
        <x:v>格局候选判断</x:v>
      </x:c>
      <x:c r="E792" s="30" t="str">
        <x:v>综合层</x:v>
      </x:c>
      <x:c r="F792" s="30" t="str">
        <x:v>M03/M06/M08/M09/M10/M11</x:v>
      </x:c>
      <x:c r="G792" s="30" t="str">
        <x:v>未开始</x:v>
      </x:c>
      <x:c r="H792" s="30" t="str"/>
      <x:c r="I792" s="30" t="str"/>
      <x:c r="J792" s="30" t="str"/>
      <x:c r="K792" s="30" t="str"/>
      <x:c r="L792" s="30" t="str"/>
      <x:c r="M792" s="30" t="str"/>
      <x:c r="N792" s="30" t="str"/>
      <x:c r="O792" s="30" t="str"/>
      <x:c r="P792" s="30" t="str"/>
      <x:c r="Q792" s="31" t="str"/>
      <x:c r="R792" s="31" t="str"/>
      <x:c r="S792" s="30" t="str"/>
      <x:c r="T792" s="30" t="str"/>
      <x:c r="U792" s="30" t="str"/>
      <x:c r="V792" s="40" t="str">
        <x:f>IF(B792="","",COUNTA(H792:L792)/5)</x:f>
      </x:c>
    </x:row>
    <x:row r="793">
      <x:c r="A793" s="30" t="str">
        <x:f>IF(B793="","",B793&amp;"-"&amp;C793)</x:f>
      </x:c>
      <x:c r="B793" s="30" t="str">
        <x:f>'01_命例主档'!A49</x:f>
      </x:c>
      <x:c r="C793" s="30" t="str">
        <x:v>M15</x:v>
      </x:c>
      <x:c r="D793" s="30" t="str">
        <x:v>格局成败救应</x:v>
      </x:c>
      <x:c r="E793" s="30" t="str">
        <x:v>综合层</x:v>
      </x:c>
      <x:c r="F793" s="30" t="str">
        <x:v>M14/M11/M08</x:v>
      </x:c>
      <x:c r="G793" s="30" t="str">
        <x:v>未开始</x:v>
      </x:c>
      <x:c r="H793" s="30" t="str"/>
      <x:c r="I793" s="30" t="str"/>
      <x:c r="J793" s="30" t="str"/>
      <x:c r="K793" s="30" t="str"/>
      <x:c r="L793" s="30" t="str"/>
      <x:c r="M793" s="30" t="str"/>
      <x:c r="N793" s="30" t="str"/>
      <x:c r="O793" s="30" t="str"/>
      <x:c r="P793" s="30" t="str"/>
      <x:c r="Q793" s="31" t="str"/>
      <x:c r="R793" s="31" t="str"/>
      <x:c r="S793" s="30" t="str"/>
      <x:c r="T793" s="30" t="str"/>
      <x:c r="U793" s="30" t="str"/>
      <x:c r="V793" s="40" t="str">
        <x:f>IF(B793="","",COUNTA(H793:L793)/5)</x:f>
      </x:c>
    </x:row>
    <x:row r="794">
      <x:c r="A794" s="30" t="str">
        <x:f>IF(B794="","",B794&amp;"-"&amp;C794)</x:f>
      </x:c>
      <x:c r="B794" s="30" t="str">
        <x:f>'01_命例主档'!A49</x:f>
      </x:c>
      <x:c r="C794" s="30" t="str">
        <x:v>M16</x:v>
      </x:c>
      <x:c r="D794" s="30" t="str">
        <x:v>病药模型</x:v>
      </x:c>
      <x:c r="E794" s="30" t="str">
        <x:v>综合层</x:v>
      </x:c>
      <x:c r="F794" s="30" t="str">
        <x:v>M08-M15</x:v>
      </x:c>
      <x:c r="G794" s="30" t="str">
        <x:v>未开始</x:v>
      </x:c>
      <x:c r="H794" s="30" t="str"/>
      <x:c r="I794" s="30" t="str"/>
      <x:c r="J794" s="30" t="str"/>
      <x:c r="K794" s="30" t="str"/>
      <x:c r="L794" s="30" t="str"/>
      <x:c r="M794" s="30" t="str"/>
      <x:c r="N794" s="30" t="str"/>
      <x:c r="O794" s="30" t="str"/>
      <x:c r="P794" s="30" t="str"/>
      <x:c r="Q794" s="31" t="str"/>
      <x:c r="R794" s="31" t="str"/>
      <x:c r="S794" s="30" t="str"/>
      <x:c r="T794" s="30" t="str"/>
      <x:c r="U794" s="30" t="str"/>
      <x:c r="V794" s="40" t="str">
        <x:f>IF(B794="","",COUNTA(H794:L794)/5)</x:f>
      </x:c>
    </x:row>
    <x:row r="795">
      <x:c r="A795" s="30" t="str">
        <x:f>IF(B795="","",B795&amp;"-"&amp;C795)</x:f>
      </x:c>
      <x:c r="B795" s="30" t="str">
        <x:f>'01_命例主档'!A49</x:f>
      </x:c>
      <x:c r="C795" s="30" t="str">
        <x:v>M17</x:v>
      </x:c>
      <x:c r="D795" s="30" t="str">
        <x:v>喜忌用神矩阵</x:v>
      </x:c>
      <x:c r="E795" s="30" t="str">
        <x:v>综合层</x:v>
      </x:c>
      <x:c r="F795" s="30" t="str">
        <x:v>M09/M12/M13/M15/M16</x:v>
      </x:c>
      <x:c r="G795" s="30" t="str">
        <x:v>未开始</x:v>
      </x:c>
      <x:c r="H795" s="30" t="str"/>
      <x:c r="I795" s="30" t="str"/>
      <x:c r="J795" s="30" t="str"/>
      <x:c r="K795" s="30" t="str"/>
      <x:c r="L795" s="30" t="str"/>
      <x:c r="M795" s="30" t="str"/>
      <x:c r="N795" s="30" t="str"/>
      <x:c r="O795" s="30" t="str"/>
      <x:c r="P795" s="30" t="str"/>
      <x:c r="Q795" s="31" t="str"/>
      <x:c r="R795" s="31" t="str"/>
      <x:c r="S795" s="30" t="str"/>
      <x:c r="T795" s="30" t="str"/>
      <x:c r="U795" s="30" t="str"/>
      <x:c r="V795" s="40" t="str">
        <x:f>IF(B795="","",COUNTA(H795:L795)/5)</x:f>
      </x:c>
    </x:row>
    <x:row r="796">
      <x:c r="A796" s="30" t="str">
        <x:f>IF(B796="","",B796&amp;"-"&amp;C796)</x:f>
      </x:c>
      <x:c r="B796" s="30" t="str">
        <x:f>'01_命例主档'!A49</x:f>
      </x:c>
      <x:c r="C796" s="30" t="str">
        <x:v>M18</x:v>
      </x:c>
      <x:c r="D796" s="30" t="str">
        <x:v>冲突裁决规则</x:v>
      </x:c>
      <x:c r="E796" s="30" t="str">
        <x:v>综合层</x:v>
      </x:c>
      <x:c r="F796" s="30" t="str">
        <x:v>M14/M15/M16/M17</x:v>
      </x:c>
      <x:c r="G796" s="30" t="str">
        <x:v>未开始</x:v>
      </x:c>
      <x:c r="H796" s="30" t="str"/>
      <x:c r="I796" s="30" t="str"/>
      <x:c r="J796" s="30" t="str"/>
      <x:c r="K796" s="30" t="str"/>
      <x:c r="L796" s="30" t="str"/>
      <x:c r="M796" s="30" t="str"/>
      <x:c r="N796" s="30" t="str"/>
      <x:c r="O796" s="30" t="str"/>
      <x:c r="P796" s="30" t="str"/>
      <x:c r="Q796" s="31" t="str"/>
      <x:c r="R796" s="31" t="str"/>
      <x:c r="S796" s="30" t="str"/>
      <x:c r="T796" s="30" t="str"/>
      <x:c r="U796" s="30" t="str"/>
      <x:c r="V796" s="40" t="str">
        <x:f>IF(B796="","",COUNTA(H796:L796)/5)</x:f>
      </x:c>
    </x:row>
    <x:row r="797">
      <x:c r="A797" s="30" t="str">
        <x:f>IF(B797="","",B797&amp;"-"&amp;C797)</x:f>
      </x:c>
      <x:c r="B797" s="30" t="str">
        <x:f>'01_命例主档'!A49</x:f>
      </x:c>
      <x:c r="C797" s="30" t="str">
        <x:v>M19</x:v>
      </x:c>
      <x:c r="D797" s="30" t="str">
        <x:v>综合输出模板</x:v>
      </x:c>
      <x:c r="E797" s="30" t="str">
        <x:v>治理与输出</x:v>
      </x:c>
      <x:c r="F797" s="30" t="str">
        <x:v>M02-M18</x:v>
      </x:c>
      <x:c r="G797" s="30" t="str">
        <x:v>未开始</x:v>
      </x:c>
      <x:c r="H797" s="30" t="str"/>
      <x:c r="I797" s="30" t="str"/>
      <x:c r="J797" s="30" t="str"/>
      <x:c r="K797" s="30" t="str"/>
      <x:c r="L797" s="30" t="str"/>
      <x:c r="M797" s="30" t="str"/>
      <x:c r="N797" s="30" t="str"/>
      <x:c r="O797" s="30" t="str"/>
      <x:c r="P797" s="30" t="str"/>
      <x:c r="Q797" s="31" t="str"/>
      <x:c r="R797" s="31" t="str"/>
      <x:c r="S797" s="30" t="str"/>
      <x:c r="T797" s="30" t="str"/>
      <x:c r="U797" s="30" t="str"/>
      <x:c r="V797" s="40" t="str">
        <x:f>IF(B797="","",COUNTA(H797:L797)/5)</x:f>
      </x:c>
    </x:row>
    <x:row r="798">
      <x:c r="A798" s="30" t="str">
        <x:f>IF(B798="","",B798&amp;"-"&amp;C798)</x:f>
      </x:c>
      <x:c r="B798" s="30" t="str">
        <x:f>'01_命例主档'!A50</x:f>
      </x:c>
      <x:c r="C798" s="30" t="str">
        <x:v>M02</x:v>
      </x:c>
      <x:c r="D798" s="30" t="str">
        <x:v>干支藏干基础</x:v>
      </x:c>
      <x:c r="E798" s="30" t="str">
        <x:v>识别层</x:v>
      </x:c>
      <x:c r="F798" s="30" t="str">
        <x:v>无</x:v>
      </x:c>
      <x:c r="G798" s="30" t="str">
        <x:v>未开始</x:v>
      </x:c>
      <x:c r="H798" s="30" t="str"/>
      <x:c r="I798" s="30" t="str"/>
      <x:c r="J798" s="30" t="str"/>
      <x:c r="K798" s="30" t="str"/>
      <x:c r="L798" s="30" t="str"/>
      <x:c r="M798" s="30" t="str"/>
      <x:c r="N798" s="30" t="str"/>
      <x:c r="O798" s="30" t="str"/>
      <x:c r="P798" s="30" t="str"/>
      <x:c r="Q798" s="31" t="str"/>
      <x:c r="R798" s="31" t="str"/>
      <x:c r="S798" s="30" t="str"/>
      <x:c r="T798" s="30" t="str"/>
      <x:c r="U798" s="30" t="str"/>
      <x:c r="V798" s="40" t="str">
        <x:f>IF(B798="","",COUNTA(H798:L798)/5)</x:f>
      </x:c>
    </x:row>
    <x:row r="799">
      <x:c r="A799" s="30" t="str">
        <x:f>IF(B799="","",B799&amp;"-"&amp;C799)</x:f>
      </x:c>
      <x:c r="B799" s="30" t="str">
        <x:f>'01_命例主档'!A50</x:f>
      </x:c>
      <x:c r="C799" s="30" t="str">
        <x:v>M03</x:v>
      </x:c>
      <x:c r="D799" s="30" t="str">
        <x:v>月令与根气</x:v>
      </x:c>
      <x:c r="E799" s="30" t="str">
        <x:v>结构层</x:v>
      </x:c>
      <x:c r="F799" s="30" t="str">
        <x:v>M02</x:v>
      </x:c>
      <x:c r="G799" s="30" t="str">
        <x:v>未开始</x:v>
      </x:c>
      <x:c r="H799" s="30" t="str"/>
      <x:c r="I799" s="30" t="str"/>
      <x:c r="J799" s="30" t="str"/>
      <x:c r="K799" s="30" t="str"/>
      <x:c r="L799" s="30" t="str"/>
      <x:c r="M799" s="30" t="str"/>
      <x:c r="N799" s="30" t="str"/>
      <x:c r="O799" s="30" t="str"/>
      <x:c r="P799" s="30" t="str"/>
      <x:c r="Q799" s="31" t="str"/>
      <x:c r="R799" s="31" t="str"/>
      <x:c r="S799" s="30" t="str"/>
      <x:c r="T799" s="30" t="str"/>
      <x:c r="U799" s="30" t="str"/>
      <x:c r="V799" s="40" t="str">
        <x:f>IF(B799="","",COUNTA(H799:L799)/5)</x:f>
      </x:c>
    </x:row>
    <x:row r="800">
      <x:c r="A800" s="30" t="str">
        <x:f>IF(B800="","",B800&amp;"-"&amp;C800)</x:f>
      </x:c>
      <x:c r="B800" s="30" t="str">
        <x:f>'01_命例主档'!A50</x:f>
      </x:c>
      <x:c r="C800" s="30" t="str">
        <x:v>M04</x:v>
      </x:c>
      <x:c r="D800" s="30" t="str">
        <x:v>天干作用识别</x:v>
      </x:c>
      <x:c r="E800" s="30" t="str">
        <x:v>识别层</x:v>
      </x:c>
      <x:c r="F800" s="30" t="str">
        <x:v>M02</x:v>
      </x:c>
      <x:c r="G800" s="30" t="str">
        <x:v>未开始</x:v>
      </x:c>
      <x:c r="H800" s="30" t="str"/>
      <x:c r="I800" s="30" t="str"/>
      <x:c r="J800" s="30" t="str"/>
      <x:c r="K800" s="30" t="str"/>
      <x:c r="L800" s="30" t="str"/>
      <x:c r="M800" s="30" t="str"/>
      <x:c r="N800" s="30" t="str"/>
      <x:c r="O800" s="30" t="str"/>
      <x:c r="P800" s="30" t="str"/>
      <x:c r="Q800" s="31" t="str"/>
      <x:c r="R800" s="31" t="str"/>
      <x:c r="S800" s="30" t="str"/>
      <x:c r="T800" s="30" t="str"/>
      <x:c r="U800" s="30" t="str"/>
      <x:c r="V800" s="40" t="str">
        <x:f>IF(B800="","",COUNTA(H800:L800)/5)</x:f>
      </x:c>
    </x:row>
    <x:row r="801">
      <x:c r="A801" s="30" t="str">
        <x:f>IF(B801="","",B801&amp;"-"&amp;C801)</x:f>
      </x:c>
      <x:c r="B801" s="30" t="str">
        <x:f>'01_命例主档'!A50</x:f>
      </x:c>
      <x:c r="C801" s="30" t="str">
        <x:v>M05</x:v>
      </x:c>
      <x:c r="D801" s="30" t="str">
        <x:v>地支关系识别</x:v>
      </x:c>
      <x:c r="E801" s="30" t="str">
        <x:v>识别层</x:v>
      </x:c>
      <x:c r="F801" s="30" t="str">
        <x:v>M02</x:v>
      </x:c>
      <x:c r="G801" s="30" t="str">
        <x:v>未开始</x:v>
      </x:c>
      <x:c r="H801" s="30" t="str"/>
      <x:c r="I801" s="30" t="str"/>
      <x:c r="J801" s="30" t="str"/>
      <x:c r="K801" s="30" t="str"/>
      <x:c r="L801" s="30" t="str"/>
      <x:c r="M801" s="30" t="str"/>
      <x:c r="N801" s="30" t="str"/>
      <x:c r="O801" s="30" t="str"/>
      <x:c r="P801" s="30" t="str"/>
      <x:c r="Q801" s="31" t="str"/>
      <x:c r="R801" s="31" t="str"/>
      <x:c r="S801" s="30" t="str"/>
      <x:c r="T801" s="30" t="str"/>
      <x:c r="U801" s="30" t="str"/>
      <x:c r="V801" s="40" t="str">
        <x:f>IF(B801="","",COUNTA(H801:L801)/5)</x:f>
      </x:c>
    </x:row>
    <x:row r="802">
      <x:c r="A802" s="30" t="str">
        <x:f>IF(B802="","",B802&amp;"-"&amp;C802)</x:f>
      </x:c>
      <x:c r="B802" s="30" t="str">
        <x:f>'01_命例主档'!A50</x:f>
      </x:c>
      <x:c r="C802" s="30" t="str">
        <x:v>M06</x:v>
      </x:c>
      <x:c r="D802" s="30" t="str">
        <x:v>干支关系效应</x:v>
      </x:c>
      <x:c r="E802" s="30" t="str">
        <x:v>效应层</x:v>
      </x:c>
      <x:c r="F802" s="30" t="str">
        <x:v>M03/M04/M05</x:v>
      </x:c>
      <x:c r="G802" s="30" t="str">
        <x:v>未开始</x:v>
      </x:c>
      <x:c r="H802" s="30" t="str"/>
      <x:c r="I802" s="30" t="str"/>
      <x:c r="J802" s="30" t="str"/>
      <x:c r="K802" s="30" t="str"/>
      <x:c r="L802" s="30" t="str"/>
      <x:c r="M802" s="30" t="str"/>
      <x:c r="N802" s="30" t="str"/>
      <x:c r="O802" s="30" t="str"/>
      <x:c r="P802" s="30" t="str"/>
      <x:c r="Q802" s="31" t="str"/>
      <x:c r="R802" s="31" t="str"/>
      <x:c r="S802" s="30" t="str"/>
      <x:c r="T802" s="30" t="str"/>
      <x:c r="U802" s="30" t="str"/>
      <x:c r="V802" s="40" t="str">
        <x:f>IF(B802="","",COUNTA(H802:L802)/5)</x:f>
      </x:c>
    </x:row>
    <x:row r="803">
      <x:c r="A803" s="30" t="str">
        <x:f>IF(B803="","",B803&amp;"-"&amp;C803)</x:f>
      </x:c>
      <x:c r="B803" s="30" t="str">
        <x:f>'01_命例主档'!A50</x:f>
      </x:c>
      <x:c r="C803" s="30" t="str">
        <x:v>M07</x:v>
      </x:c>
      <x:c r="D803" s="30" t="str">
        <x:v>五行原始旺衰</x:v>
      </x:c>
      <x:c r="E803" s="30" t="str">
        <x:v>结构层</x:v>
      </x:c>
      <x:c r="F803" s="30" t="str">
        <x:v>M02/M03</x:v>
      </x:c>
      <x:c r="G803" s="30" t="str">
        <x:v>未开始</x:v>
      </x:c>
      <x:c r="H803" s="30" t="str"/>
      <x:c r="I803" s="30" t="str"/>
      <x:c r="J803" s="30" t="str"/>
      <x:c r="K803" s="30" t="str"/>
      <x:c r="L803" s="30" t="str"/>
      <x:c r="M803" s="30" t="str"/>
      <x:c r="N803" s="30" t="str"/>
      <x:c r="O803" s="30" t="str"/>
      <x:c r="P803" s="30" t="str"/>
      <x:c r="Q803" s="31" t="str"/>
      <x:c r="R803" s="31" t="str"/>
      <x:c r="S803" s="30" t="str"/>
      <x:c r="T803" s="30" t="str"/>
      <x:c r="U803" s="30" t="str"/>
      <x:c r="V803" s="40" t="str">
        <x:f>IF(B803="","",COUNTA(H803:L803)/5)</x:f>
      </x:c>
    </x:row>
    <x:row r="804">
      <x:c r="A804" s="30" t="str">
        <x:f>IF(B804="","",B804&amp;"-"&amp;C804)</x:f>
      </x:c>
      <x:c r="B804" s="30" t="str">
        <x:f>'01_命例主档'!A50</x:f>
      </x:c>
      <x:c r="C804" s="30" t="str">
        <x:v>M08</x:v>
      </x:c>
      <x:c r="D804" s="30" t="str">
        <x:v>五行有效旺衰</x:v>
      </x:c>
      <x:c r="E804" s="30" t="str">
        <x:v>结构层</x:v>
      </x:c>
      <x:c r="F804" s="30" t="str">
        <x:v>M06/M07</x:v>
      </x:c>
      <x:c r="G804" s="30" t="str">
        <x:v>未开始</x:v>
      </x:c>
      <x:c r="H804" s="30" t="str"/>
      <x:c r="I804" s="30" t="str"/>
      <x:c r="J804" s="30" t="str"/>
      <x:c r="K804" s="30" t="str"/>
      <x:c r="L804" s="30" t="str"/>
      <x:c r="M804" s="30" t="str"/>
      <x:c r="N804" s="30" t="str"/>
      <x:c r="O804" s="30" t="str"/>
      <x:c r="P804" s="30" t="str"/>
      <x:c r="Q804" s="31" t="str"/>
      <x:c r="R804" s="31" t="str"/>
      <x:c r="S804" s="30" t="str"/>
      <x:c r="T804" s="30" t="str"/>
      <x:c r="U804" s="30" t="str"/>
      <x:c r="V804" s="40" t="str">
        <x:f>IF(B804="","",COUNTA(H804:L804)/5)</x:f>
      </x:c>
    </x:row>
    <x:row r="805">
      <x:c r="A805" s="30" t="str">
        <x:f>IF(B805="","",B805&amp;"-"&amp;C805)</x:f>
      </x:c>
      <x:c r="B805" s="30" t="str">
        <x:f>'01_命例主档'!A50</x:f>
      </x:c>
      <x:c r="C805" s="30" t="str">
        <x:v>M09</x:v>
      </x:c>
      <x:c r="D805" s="30" t="str">
        <x:v>日主旺衰</x:v>
      </x:c>
      <x:c r="E805" s="30" t="str">
        <x:v>综合层</x:v>
      </x:c>
      <x:c r="F805" s="30" t="str">
        <x:v>M03/M07/M08</x:v>
      </x:c>
      <x:c r="G805" s="30" t="str">
        <x:v>未开始</x:v>
      </x:c>
      <x:c r="H805" s="30" t="str"/>
      <x:c r="I805" s="30" t="str"/>
      <x:c r="J805" s="30" t="str"/>
      <x:c r="K805" s="30" t="str"/>
      <x:c r="L805" s="30" t="str"/>
      <x:c r="M805" s="30" t="str"/>
      <x:c r="N805" s="30" t="str"/>
      <x:c r="O805" s="30" t="str"/>
      <x:c r="P805" s="30" t="str"/>
      <x:c r="Q805" s="31" t="str"/>
      <x:c r="R805" s="31" t="str"/>
      <x:c r="S805" s="30" t="str"/>
      <x:c r="T805" s="30" t="str"/>
      <x:c r="U805" s="30" t="str"/>
      <x:c r="V805" s="40" t="str">
        <x:f>IF(B805="","",COUNTA(H805:L805)/5)</x:f>
      </x:c>
    </x:row>
    <x:row r="806">
      <x:c r="A806" s="30" t="str">
        <x:f>IF(B806="","",B806&amp;"-"&amp;C806)</x:f>
      </x:c>
      <x:c r="B806" s="30" t="str">
        <x:f>'01_命例主档'!A50</x:f>
      </x:c>
      <x:c r="C806" s="30" t="str">
        <x:v>M10</x:v>
      </x:c>
      <x:c r="D806" s="30" t="str">
        <x:v>十神旺衰功能</x:v>
      </x:c>
      <x:c r="E806" s="30" t="str">
        <x:v>结构层</x:v>
      </x:c>
      <x:c r="F806" s="30" t="str">
        <x:v>M02/M08/M09</x:v>
      </x:c>
      <x:c r="G806" s="30" t="str">
        <x:v>未开始</x:v>
      </x:c>
      <x:c r="H806" s="30" t="str"/>
      <x:c r="I806" s="30" t="str"/>
      <x:c r="J806" s="30" t="str"/>
      <x:c r="K806" s="30" t="str"/>
      <x:c r="L806" s="30" t="str"/>
      <x:c r="M806" s="30" t="str"/>
      <x:c r="N806" s="30" t="str"/>
      <x:c r="O806" s="30" t="str"/>
      <x:c r="P806" s="30" t="str"/>
      <x:c r="Q806" s="31" t="str"/>
      <x:c r="R806" s="31" t="str"/>
      <x:c r="S806" s="30" t="str"/>
      <x:c r="T806" s="30" t="str"/>
      <x:c r="U806" s="30" t="str"/>
      <x:c r="V806" s="40" t="str">
        <x:f>IF(B806="","",COUNTA(H806:L806)/5)</x:f>
      </x:c>
    </x:row>
    <x:row r="807">
      <x:c r="A807" s="30" t="str">
        <x:f>IF(B807="","",B807&amp;"-"&amp;C807)</x:f>
      </x:c>
      <x:c r="B807" s="30" t="str">
        <x:f>'01_命例主档'!A50</x:f>
      </x:c>
      <x:c r="C807" s="30" t="str">
        <x:v>M11</x:v>
      </x:c>
      <x:c r="D807" s="30" t="str">
        <x:v>十神组合成立</x:v>
      </x:c>
      <x:c r="E807" s="30" t="str">
        <x:v>结构层</x:v>
      </x:c>
      <x:c r="F807" s="30" t="str">
        <x:v>M08/M09/M10</x:v>
      </x:c>
      <x:c r="G807" s="30" t="str">
        <x:v>未开始</x:v>
      </x:c>
      <x:c r="H807" s="30" t="str"/>
      <x:c r="I807" s="30" t="str"/>
      <x:c r="J807" s="30" t="str"/>
      <x:c r="K807" s="30" t="str"/>
      <x:c r="L807" s="30" t="str"/>
      <x:c r="M807" s="30" t="str"/>
      <x:c r="N807" s="30" t="str"/>
      <x:c r="O807" s="30" t="str"/>
      <x:c r="P807" s="30" t="str"/>
      <x:c r="Q807" s="31" t="str"/>
      <x:c r="R807" s="31" t="str"/>
      <x:c r="S807" s="30" t="str"/>
      <x:c r="T807" s="30" t="str"/>
      <x:c r="U807" s="30" t="str"/>
      <x:c r="V807" s="40" t="str">
        <x:f>IF(B807="","",COUNTA(H807:L807)/5)</x:f>
      </x:c>
    </x:row>
    <x:row r="808">
      <x:c r="A808" s="30" t="str">
        <x:f>IF(B808="","",B808&amp;"-"&amp;C808)</x:f>
      </x:c>
      <x:c r="B808" s="30" t="str">
        <x:f>'01_命例主档'!A50</x:f>
      </x:c>
      <x:c r="C808" s="30" t="str">
        <x:v>M12</x:v>
      </x:c>
      <x:c r="D808" s="30" t="str">
        <x:v>五行流通卡点</x:v>
      </x:c>
      <x:c r="E808" s="30" t="str">
        <x:v>结构层</x:v>
      </x:c>
      <x:c r="F808" s="30" t="str">
        <x:v>M06/M08/M10/M11</x:v>
      </x:c>
      <x:c r="G808" s="30" t="str">
        <x:v>未开始</x:v>
      </x:c>
      <x:c r="H808" s="30" t="str"/>
      <x:c r="I808" s="30" t="str"/>
      <x:c r="J808" s="30" t="str"/>
      <x:c r="K808" s="30" t="str"/>
      <x:c r="L808" s="30" t="str"/>
      <x:c r="M808" s="30" t="str"/>
      <x:c r="N808" s="30" t="str"/>
      <x:c r="O808" s="30" t="str"/>
      <x:c r="P808" s="30" t="str"/>
      <x:c r="Q808" s="31" t="str"/>
      <x:c r="R808" s="31" t="str"/>
      <x:c r="S808" s="30" t="str"/>
      <x:c r="T808" s="30" t="str"/>
      <x:c r="U808" s="30" t="str"/>
      <x:c r="V808" s="40" t="str">
        <x:f>IF(B808="","",COUNTA(H808:L808)/5)</x:f>
      </x:c>
    </x:row>
    <x:row r="809">
      <x:c r="A809" s="30" t="str">
        <x:f>IF(B809="","",B809&amp;"-"&amp;C809)</x:f>
      </x:c>
      <x:c r="B809" s="30" t="str">
        <x:f>'01_命例主档'!A50</x:f>
      </x:c>
      <x:c r="C809" s="30" t="str">
        <x:v>M13</x:v>
      </x:c>
      <x:c r="D809" s="30" t="str">
        <x:v>寒暖燥湿</x:v>
      </x:c>
      <x:c r="E809" s="30" t="str">
        <x:v>结构层</x:v>
      </x:c>
      <x:c r="F809" s="30" t="str">
        <x:v>M02/M08/M12</x:v>
      </x:c>
      <x:c r="G809" s="30" t="str">
        <x:v>未开始</x:v>
      </x:c>
      <x:c r="H809" s="30" t="str"/>
      <x:c r="I809" s="30" t="str"/>
      <x:c r="J809" s="30" t="str"/>
      <x:c r="K809" s="30" t="str"/>
      <x:c r="L809" s="30" t="str"/>
      <x:c r="M809" s="30" t="str"/>
      <x:c r="N809" s="30" t="str"/>
      <x:c r="O809" s="30" t="str"/>
      <x:c r="P809" s="30" t="str"/>
      <x:c r="Q809" s="31" t="str"/>
      <x:c r="R809" s="31" t="str"/>
      <x:c r="S809" s="30" t="str"/>
      <x:c r="T809" s="30" t="str"/>
      <x:c r="U809" s="30" t="str"/>
      <x:c r="V809" s="40" t="str">
        <x:f>IF(B809="","",COUNTA(H809:L809)/5)</x:f>
      </x:c>
    </x:row>
    <x:row r="810">
      <x:c r="A810" s="30" t="str">
        <x:f>IF(B810="","",B810&amp;"-"&amp;C810)</x:f>
      </x:c>
      <x:c r="B810" s="30" t="str">
        <x:f>'01_命例主档'!A50</x:f>
      </x:c>
      <x:c r="C810" s="30" t="str">
        <x:v>M14</x:v>
      </x:c>
      <x:c r="D810" s="30" t="str">
        <x:v>格局候选判断</x:v>
      </x:c>
      <x:c r="E810" s="30" t="str">
        <x:v>综合层</x:v>
      </x:c>
      <x:c r="F810" s="30" t="str">
        <x:v>M03/M06/M08/M09/M10/M11</x:v>
      </x:c>
      <x:c r="G810" s="30" t="str">
        <x:v>未开始</x:v>
      </x:c>
      <x:c r="H810" s="30" t="str"/>
      <x:c r="I810" s="30" t="str"/>
      <x:c r="J810" s="30" t="str"/>
      <x:c r="K810" s="30" t="str"/>
      <x:c r="L810" s="30" t="str"/>
      <x:c r="M810" s="30" t="str"/>
      <x:c r="N810" s="30" t="str"/>
      <x:c r="O810" s="30" t="str"/>
      <x:c r="P810" s="30" t="str"/>
      <x:c r="Q810" s="31" t="str"/>
      <x:c r="R810" s="31" t="str"/>
      <x:c r="S810" s="30" t="str"/>
      <x:c r="T810" s="30" t="str"/>
      <x:c r="U810" s="30" t="str"/>
      <x:c r="V810" s="40" t="str">
        <x:f>IF(B810="","",COUNTA(H810:L810)/5)</x:f>
      </x:c>
    </x:row>
    <x:row r="811">
      <x:c r="A811" s="30" t="str">
        <x:f>IF(B811="","",B811&amp;"-"&amp;C811)</x:f>
      </x:c>
      <x:c r="B811" s="30" t="str">
        <x:f>'01_命例主档'!A50</x:f>
      </x:c>
      <x:c r="C811" s="30" t="str">
        <x:v>M15</x:v>
      </x:c>
      <x:c r="D811" s="30" t="str">
        <x:v>格局成败救应</x:v>
      </x:c>
      <x:c r="E811" s="30" t="str">
        <x:v>综合层</x:v>
      </x:c>
      <x:c r="F811" s="30" t="str">
        <x:v>M14/M11/M08</x:v>
      </x:c>
      <x:c r="G811" s="30" t="str">
        <x:v>未开始</x:v>
      </x:c>
      <x:c r="H811" s="30" t="str"/>
      <x:c r="I811" s="30" t="str"/>
      <x:c r="J811" s="30" t="str"/>
      <x:c r="K811" s="30" t="str"/>
      <x:c r="L811" s="30" t="str"/>
      <x:c r="M811" s="30" t="str"/>
      <x:c r="N811" s="30" t="str"/>
      <x:c r="O811" s="30" t="str"/>
      <x:c r="P811" s="30" t="str"/>
      <x:c r="Q811" s="31" t="str"/>
      <x:c r="R811" s="31" t="str"/>
      <x:c r="S811" s="30" t="str"/>
      <x:c r="T811" s="30" t="str"/>
      <x:c r="U811" s="30" t="str"/>
      <x:c r="V811" s="40" t="str">
        <x:f>IF(B811="","",COUNTA(H811:L811)/5)</x:f>
      </x:c>
    </x:row>
    <x:row r="812">
      <x:c r="A812" s="30" t="str">
        <x:f>IF(B812="","",B812&amp;"-"&amp;C812)</x:f>
      </x:c>
      <x:c r="B812" s="30" t="str">
        <x:f>'01_命例主档'!A50</x:f>
      </x:c>
      <x:c r="C812" s="30" t="str">
        <x:v>M16</x:v>
      </x:c>
      <x:c r="D812" s="30" t="str">
        <x:v>病药模型</x:v>
      </x:c>
      <x:c r="E812" s="30" t="str">
        <x:v>综合层</x:v>
      </x:c>
      <x:c r="F812" s="30" t="str">
        <x:v>M08-M15</x:v>
      </x:c>
      <x:c r="G812" s="30" t="str">
        <x:v>未开始</x:v>
      </x:c>
      <x:c r="H812" s="30" t="str"/>
      <x:c r="I812" s="30" t="str"/>
      <x:c r="J812" s="30" t="str"/>
      <x:c r="K812" s="30" t="str"/>
      <x:c r="L812" s="30" t="str"/>
      <x:c r="M812" s="30" t="str"/>
      <x:c r="N812" s="30" t="str"/>
      <x:c r="O812" s="30" t="str"/>
      <x:c r="P812" s="30" t="str"/>
      <x:c r="Q812" s="31" t="str"/>
      <x:c r="R812" s="31" t="str"/>
      <x:c r="S812" s="30" t="str"/>
      <x:c r="T812" s="30" t="str"/>
      <x:c r="U812" s="30" t="str"/>
      <x:c r="V812" s="40" t="str">
        <x:f>IF(B812="","",COUNTA(H812:L812)/5)</x:f>
      </x:c>
    </x:row>
    <x:row r="813">
      <x:c r="A813" s="30" t="str">
        <x:f>IF(B813="","",B813&amp;"-"&amp;C813)</x:f>
      </x:c>
      <x:c r="B813" s="30" t="str">
        <x:f>'01_命例主档'!A50</x:f>
      </x:c>
      <x:c r="C813" s="30" t="str">
        <x:v>M17</x:v>
      </x:c>
      <x:c r="D813" s="30" t="str">
        <x:v>喜忌用神矩阵</x:v>
      </x:c>
      <x:c r="E813" s="30" t="str">
        <x:v>综合层</x:v>
      </x:c>
      <x:c r="F813" s="30" t="str">
        <x:v>M09/M12/M13/M15/M16</x:v>
      </x:c>
      <x:c r="G813" s="30" t="str">
        <x:v>未开始</x:v>
      </x:c>
      <x:c r="H813" s="30" t="str"/>
      <x:c r="I813" s="30" t="str"/>
      <x:c r="J813" s="30" t="str"/>
      <x:c r="K813" s="30" t="str"/>
      <x:c r="L813" s="30" t="str"/>
      <x:c r="M813" s="30" t="str"/>
      <x:c r="N813" s="30" t="str"/>
      <x:c r="O813" s="30" t="str"/>
      <x:c r="P813" s="30" t="str"/>
      <x:c r="Q813" s="31" t="str"/>
      <x:c r="R813" s="31" t="str"/>
      <x:c r="S813" s="30" t="str"/>
      <x:c r="T813" s="30" t="str"/>
      <x:c r="U813" s="30" t="str"/>
      <x:c r="V813" s="40" t="str">
        <x:f>IF(B813="","",COUNTA(H813:L813)/5)</x:f>
      </x:c>
    </x:row>
    <x:row r="814">
      <x:c r="A814" s="30" t="str">
        <x:f>IF(B814="","",B814&amp;"-"&amp;C814)</x:f>
      </x:c>
      <x:c r="B814" s="30" t="str">
        <x:f>'01_命例主档'!A50</x:f>
      </x:c>
      <x:c r="C814" s="30" t="str">
        <x:v>M18</x:v>
      </x:c>
      <x:c r="D814" s="30" t="str">
        <x:v>冲突裁决规则</x:v>
      </x:c>
      <x:c r="E814" s="30" t="str">
        <x:v>综合层</x:v>
      </x:c>
      <x:c r="F814" s="30" t="str">
        <x:v>M14/M15/M16/M17</x:v>
      </x:c>
      <x:c r="G814" s="30" t="str">
        <x:v>未开始</x:v>
      </x:c>
      <x:c r="H814" s="30" t="str"/>
      <x:c r="I814" s="30" t="str"/>
      <x:c r="J814" s="30" t="str"/>
      <x:c r="K814" s="30" t="str"/>
      <x:c r="L814" s="30" t="str"/>
      <x:c r="M814" s="30" t="str"/>
      <x:c r="N814" s="30" t="str"/>
      <x:c r="O814" s="30" t="str"/>
      <x:c r="P814" s="30" t="str"/>
      <x:c r="Q814" s="31" t="str"/>
      <x:c r="R814" s="31" t="str"/>
      <x:c r="S814" s="30" t="str"/>
      <x:c r="T814" s="30" t="str"/>
      <x:c r="U814" s="30" t="str"/>
      <x:c r="V814" s="40" t="str">
        <x:f>IF(B814="","",COUNTA(H814:L814)/5)</x:f>
      </x:c>
    </x:row>
    <x:row r="815">
      <x:c r="A815" s="30" t="str">
        <x:f>IF(B815="","",B815&amp;"-"&amp;C815)</x:f>
      </x:c>
      <x:c r="B815" s="30" t="str">
        <x:f>'01_命例主档'!A50</x:f>
      </x:c>
      <x:c r="C815" s="30" t="str">
        <x:v>M19</x:v>
      </x:c>
      <x:c r="D815" s="30" t="str">
        <x:v>综合输出模板</x:v>
      </x:c>
      <x:c r="E815" s="30" t="str">
        <x:v>治理与输出</x:v>
      </x:c>
      <x:c r="F815" s="30" t="str">
        <x:v>M02-M18</x:v>
      </x:c>
      <x:c r="G815" s="30" t="str">
        <x:v>未开始</x:v>
      </x:c>
      <x:c r="H815" s="30" t="str"/>
      <x:c r="I815" s="30" t="str"/>
      <x:c r="J815" s="30" t="str"/>
      <x:c r="K815" s="30" t="str"/>
      <x:c r="L815" s="30" t="str"/>
      <x:c r="M815" s="30" t="str"/>
      <x:c r="N815" s="30" t="str"/>
      <x:c r="O815" s="30" t="str"/>
      <x:c r="P815" s="30" t="str"/>
      <x:c r="Q815" s="31" t="str"/>
      <x:c r="R815" s="31" t="str"/>
      <x:c r="S815" s="30" t="str"/>
      <x:c r="T815" s="30" t="str"/>
      <x:c r="U815" s="30" t="str"/>
      <x:c r="V815" s="40" t="str">
        <x:f>IF(B815="","",COUNTA(H815:L815)/5)</x:f>
      </x:c>
    </x:row>
    <x:row r="816">
      <x:c r="A816" s="30" t="str">
        <x:f>IF(B816="","",B816&amp;"-"&amp;C816)</x:f>
      </x:c>
      <x:c r="B816" s="30" t="str">
        <x:f>'01_命例主档'!A51</x:f>
      </x:c>
      <x:c r="C816" s="30" t="str">
        <x:v>M02</x:v>
      </x:c>
      <x:c r="D816" s="30" t="str">
        <x:v>干支藏干基础</x:v>
      </x:c>
      <x:c r="E816" s="30" t="str">
        <x:v>识别层</x:v>
      </x:c>
      <x:c r="F816" s="30" t="str">
        <x:v>无</x:v>
      </x:c>
      <x:c r="G816" s="30" t="str">
        <x:v>未开始</x:v>
      </x:c>
      <x:c r="H816" s="30" t="str"/>
      <x:c r="I816" s="30" t="str"/>
      <x:c r="J816" s="30" t="str"/>
      <x:c r="K816" s="30" t="str"/>
      <x:c r="L816" s="30" t="str"/>
      <x:c r="M816" s="30" t="str"/>
      <x:c r="N816" s="30" t="str"/>
      <x:c r="O816" s="30" t="str"/>
      <x:c r="P816" s="30" t="str"/>
      <x:c r="Q816" s="31" t="str"/>
      <x:c r="R816" s="31" t="str"/>
      <x:c r="S816" s="30" t="str"/>
      <x:c r="T816" s="30" t="str"/>
      <x:c r="U816" s="30" t="str"/>
      <x:c r="V816" s="40" t="str">
        <x:f>IF(B816="","",COUNTA(H816:L816)/5)</x:f>
      </x:c>
    </x:row>
    <x:row r="817">
      <x:c r="A817" s="30" t="str">
        <x:f>IF(B817="","",B817&amp;"-"&amp;C817)</x:f>
      </x:c>
      <x:c r="B817" s="30" t="str">
        <x:f>'01_命例主档'!A51</x:f>
      </x:c>
      <x:c r="C817" s="30" t="str">
        <x:v>M03</x:v>
      </x:c>
      <x:c r="D817" s="30" t="str">
        <x:v>月令与根气</x:v>
      </x:c>
      <x:c r="E817" s="30" t="str">
        <x:v>结构层</x:v>
      </x:c>
      <x:c r="F817" s="30" t="str">
        <x:v>M02</x:v>
      </x:c>
      <x:c r="G817" s="30" t="str">
        <x:v>未开始</x:v>
      </x:c>
      <x:c r="H817" s="30" t="str"/>
      <x:c r="I817" s="30" t="str"/>
      <x:c r="J817" s="30" t="str"/>
      <x:c r="K817" s="30" t="str"/>
      <x:c r="L817" s="30" t="str"/>
      <x:c r="M817" s="30" t="str"/>
      <x:c r="N817" s="30" t="str"/>
      <x:c r="O817" s="30" t="str"/>
      <x:c r="P817" s="30" t="str"/>
      <x:c r="Q817" s="31" t="str"/>
      <x:c r="R817" s="31" t="str"/>
      <x:c r="S817" s="30" t="str"/>
      <x:c r="T817" s="30" t="str"/>
      <x:c r="U817" s="30" t="str"/>
      <x:c r="V817" s="40" t="str">
        <x:f>IF(B817="","",COUNTA(H817:L817)/5)</x:f>
      </x:c>
    </x:row>
    <x:row r="818">
      <x:c r="A818" s="30" t="str">
        <x:f>IF(B818="","",B818&amp;"-"&amp;C818)</x:f>
      </x:c>
      <x:c r="B818" s="30" t="str">
        <x:f>'01_命例主档'!A51</x:f>
      </x:c>
      <x:c r="C818" s="30" t="str">
        <x:v>M04</x:v>
      </x:c>
      <x:c r="D818" s="30" t="str">
        <x:v>天干作用识别</x:v>
      </x:c>
      <x:c r="E818" s="30" t="str">
        <x:v>识别层</x:v>
      </x:c>
      <x:c r="F818" s="30" t="str">
        <x:v>M02</x:v>
      </x:c>
      <x:c r="G818" s="30" t="str">
        <x:v>未开始</x:v>
      </x:c>
      <x:c r="H818" s="30" t="str"/>
      <x:c r="I818" s="30" t="str"/>
      <x:c r="J818" s="30" t="str"/>
      <x:c r="K818" s="30" t="str"/>
      <x:c r="L818" s="30" t="str"/>
      <x:c r="M818" s="30" t="str"/>
      <x:c r="N818" s="30" t="str"/>
      <x:c r="O818" s="30" t="str"/>
      <x:c r="P818" s="30" t="str"/>
      <x:c r="Q818" s="31" t="str"/>
      <x:c r="R818" s="31" t="str"/>
      <x:c r="S818" s="30" t="str"/>
      <x:c r="T818" s="30" t="str"/>
      <x:c r="U818" s="30" t="str"/>
      <x:c r="V818" s="40" t="str">
        <x:f>IF(B818="","",COUNTA(H818:L818)/5)</x:f>
      </x:c>
    </x:row>
    <x:row r="819">
      <x:c r="A819" s="30" t="str">
        <x:f>IF(B819="","",B819&amp;"-"&amp;C819)</x:f>
      </x:c>
      <x:c r="B819" s="30" t="str">
        <x:f>'01_命例主档'!A51</x:f>
      </x:c>
      <x:c r="C819" s="30" t="str">
        <x:v>M05</x:v>
      </x:c>
      <x:c r="D819" s="30" t="str">
        <x:v>地支关系识别</x:v>
      </x:c>
      <x:c r="E819" s="30" t="str">
        <x:v>识别层</x:v>
      </x:c>
      <x:c r="F819" s="30" t="str">
        <x:v>M02</x:v>
      </x:c>
      <x:c r="G819" s="30" t="str">
        <x:v>未开始</x:v>
      </x:c>
      <x:c r="H819" s="30" t="str"/>
      <x:c r="I819" s="30" t="str"/>
      <x:c r="J819" s="30" t="str"/>
      <x:c r="K819" s="30" t="str"/>
      <x:c r="L819" s="30" t="str"/>
      <x:c r="M819" s="30" t="str"/>
      <x:c r="N819" s="30" t="str"/>
      <x:c r="O819" s="30" t="str"/>
      <x:c r="P819" s="30" t="str"/>
      <x:c r="Q819" s="31" t="str"/>
      <x:c r="R819" s="31" t="str"/>
      <x:c r="S819" s="30" t="str"/>
      <x:c r="T819" s="30" t="str"/>
      <x:c r="U819" s="30" t="str"/>
      <x:c r="V819" s="40" t="str">
        <x:f>IF(B819="","",COUNTA(H819:L819)/5)</x:f>
      </x:c>
    </x:row>
    <x:row r="820">
      <x:c r="A820" s="30" t="str">
        <x:f>IF(B820="","",B820&amp;"-"&amp;C820)</x:f>
      </x:c>
      <x:c r="B820" s="30" t="str">
        <x:f>'01_命例主档'!A51</x:f>
      </x:c>
      <x:c r="C820" s="30" t="str">
        <x:v>M06</x:v>
      </x:c>
      <x:c r="D820" s="30" t="str">
        <x:v>干支关系效应</x:v>
      </x:c>
      <x:c r="E820" s="30" t="str">
        <x:v>效应层</x:v>
      </x:c>
      <x:c r="F820" s="30" t="str">
        <x:v>M03/M04/M05</x:v>
      </x:c>
      <x:c r="G820" s="30" t="str">
        <x:v>未开始</x:v>
      </x:c>
      <x:c r="H820" s="30" t="str"/>
      <x:c r="I820" s="30" t="str"/>
      <x:c r="J820" s="30" t="str"/>
      <x:c r="K820" s="30" t="str"/>
      <x:c r="L820" s="30" t="str"/>
      <x:c r="M820" s="30" t="str"/>
      <x:c r="N820" s="30" t="str"/>
      <x:c r="O820" s="30" t="str"/>
      <x:c r="P820" s="30" t="str"/>
      <x:c r="Q820" s="31" t="str"/>
      <x:c r="R820" s="31" t="str"/>
      <x:c r="S820" s="30" t="str"/>
      <x:c r="T820" s="30" t="str"/>
      <x:c r="U820" s="30" t="str"/>
      <x:c r="V820" s="40" t="str">
        <x:f>IF(B820="","",COUNTA(H820:L820)/5)</x:f>
      </x:c>
    </x:row>
    <x:row r="821">
      <x:c r="A821" s="30" t="str">
        <x:f>IF(B821="","",B821&amp;"-"&amp;C821)</x:f>
      </x:c>
      <x:c r="B821" s="30" t="str">
        <x:f>'01_命例主档'!A51</x:f>
      </x:c>
      <x:c r="C821" s="30" t="str">
        <x:v>M07</x:v>
      </x:c>
      <x:c r="D821" s="30" t="str">
        <x:v>五行原始旺衰</x:v>
      </x:c>
      <x:c r="E821" s="30" t="str">
        <x:v>结构层</x:v>
      </x:c>
      <x:c r="F821" s="30" t="str">
        <x:v>M02/M03</x:v>
      </x:c>
      <x:c r="G821" s="30" t="str">
        <x:v>未开始</x:v>
      </x:c>
      <x:c r="H821" s="30" t="str"/>
      <x:c r="I821" s="30" t="str"/>
      <x:c r="J821" s="30" t="str"/>
      <x:c r="K821" s="30" t="str"/>
      <x:c r="L821" s="30" t="str"/>
      <x:c r="M821" s="30" t="str"/>
      <x:c r="N821" s="30" t="str"/>
      <x:c r="O821" s="30" t="str"/>
      <x:c r="P821" s="30" t="str"/>
      <x:c r="Q821" s="31" t="str"/>
      <x:c r="R821" s="31" t="str"/>
      <x:c r="S821" s="30" t="str"/>
      <x:c r="T821" s="30" t="str"/>
      <x:c r="U821" s="30" t="str"/>
      <x:c r="V821" s="40" t="str">
        <x:f>IF(B821="","",COUNTA(H821:L821)/5)</x:f>
      </x:c>
    </x:row>
    <x:row r="822">
      <x:c r="A822" s="30" t="str">
        <x:f>IF(B822="","",B822&amp;"-"&amp;C822)</x:f>
      </x:c>
      <x:c r="B822" s="30" t="str">
        <x:f>'01_命例主档'!A51</x:f>
      </x:c>
      <x:c r="C822" s="30" t="str">
        <x:v>M08</x:v>
      </x:c>
      <x:c r="D822" s="30" t="str">
        <x:v>五行有效旺衰</x:v>
      </x:c>
      <x:c r="E822" s="30" t="str">
        <x:v>结构层</x:v>
      </x:c>
      <x:c r="F822" s="30" t="str">
        <x:v>M06/M07</x:v>
      </x:c>
      <x:c r="G822" s="30" t="str">
        <x:v>未开始</x:v>
      </x:c>
      <x:c r="H822" s="30" t="str"/>
      <x:c r="I822" s="30" t="str"/>
      <x:c r="J822" s="30" t="str"/>
      <x:c r="K822" s="30" t="str"/>
      <x:c r="L822" s="30" t="str"/>
      <x:c r="M822" s="30" t="str"/>
      <x:c r="N822" s="30" t="str"/>
      <x:c r="O822" s="30" t="str"/>
      <x:c r="P822" s="30" t="str"/>
      <x:c r="Q822" s="31" t="str"/>
      <x:c r="R822" s="31" t="str"/>
      <x:c r="S822" s="30" t="str"/>
      <x:c r="T822" s="30" t="str"/>
      <x:c r="U822" s="30" t="str"/>
      <x:c r="V822" s="40" t="str">
        <x:f>IF(B822="","",COUNTA(H822:L822)/5)</x:f>
      </x:c>
    </x:row>
    <x:row r="823">
      <x:c r="A823" s="30" t="str">
        <x:f>IF(B823="","",B823&amp;"-"&amp;C823)</x:f>
      </x:c>
      <x:c r="B823" s="30" t="str">
        <x:f>'01_命例主档'!A51</x:f>
      </x:c>
      <x:c r="C823" s="30" t="str">
        <x:v>M09</x:v>
      </x:c>
      <x:c r="D823" s="30" t="str">
        <x:v>日主旺衰</x:v>
      </x:c>
      <x:c r="E823" s="30" t="str">
        <x:v>综合层</x:v>
      </x:c>
      <x:c r="F823" s="30" t="str">
        <x:v>M03/M07/M08</x:v>
      </x:c>
      <x:c r="G823" s="30" t="str">
        <x:v>未开始</x:v>
      </x:c>
      <x:c r="H823" s="30" t="str"/>
      <x:c r="I823" s="30" t="str"/>
      <x:c r="J823" s="30" t="str"/>
      <x:c r="K823" s="30" t="str"/>
      <x:c r="L823" s="30" t="str"/>
      <x:c r="M823" s="30" t="str"/>
      <x:c r="N823" s="30" t="str"/>
      <x:c r="O823" s="30" t="str"/>
      <x:c r="P823" s="30" t="str"/>
      <x:c r="Q823" s="31" t="str"/>
      <x:c r="R823" s="31" t="str"/>
      <x:c r="S823" s="30" t="str"/>
      <x:c r="T823" s="30" t="str"/>
      <x:c r="U823" s="30" t="str"/>
      <x:c r="V823" s="40" t="str">
        <x:f>IF(B823="","",COUNTA(H823:L823)/5)</x:f>
      </x:c>
    </x:row>
    <x:row r="824">
      <x:c r="A824" s="30" t="str">
        <x:f>IF(B824="","",B824&amp;"-"&amp;C824)</x:f>
      </x:c>
      <x:c r="B824" s="30" t="str">
        <x:f>'01_命例主档'!A51</x:f>
      </x:c>
      <x:c r="C824" s="30" t="str">
        <x:v>M10</x:v>
      </x:c>
      <x:c r="D824" s="30" t="str">
        <x:v>十神旺衰功能</x:v>
      </x:c>
      <x:c r="E824" s="30" t="str">
        <x:v>结构层</x:v>
      </x:c>
      <x:c r="F824" s="30" t="str">
        <x:v>M02/M08/M09</x:v>
      </x:c>
      <x:c r="G824" s="30" t="str">
        <x:v>未开始</x:v>
      </x:c>
      <x:c r="H824" s="30" t="str"/>
      <x:c r="I824" s="30" t="str"/>
      <x:c r="J824" s="30" t="str"/>
      <x:c r="K824" s="30" t="str"/>
      <x:c r="L824" s="30" t="str"/>
      <x:c r="M824" s="30" t="str"/>
      <x:c r="N824" s="30" t="str"/>
      <x:c r="O824" s="30" t="str"/>
      <x:c r="P824" s="30" t="str"/>
      <x:c r="Q824" s="31" t="str"/>
      <x:c r="R824" s="31" t="str"/>
      <x:c r="S824" s="30" t="str"/>
      <x:c r="T824" s="30" t="str"/>
      <x:c r="U824" s="30" t="str"/>
      <x:c r="V824" s="40" t="str">
        <x:f>IF(B824="","",COUNTA(H824:L824)/5)</x:f>
      </x:c>
    </x:row>
    <x:row r="825">
      <x:c r="A825" s="30" t="str">
        <x:f>IF(B825="","",B825&amp;"-"&amp;C825)</x:f>
      </x:c>
      <x:c r="B825" s="30" t="str">
        <x:f>'01_命例主档'!A51</x:f>
      </x:c>
      <x:c r="C825" s="30" t="str">
        <x:v>M11</x:v>
      </x:c>
      <x:c r="D825" s="30" t="str">
        <x:v>十神组合成立</x:v>
      </x:c>
      <x:c r="E825" s="30" t="str">
        <x:v>结构层</x:v>
      </x:c>
      <x:c r="F825" s="30" t="str">
        <x:v>M08/M09/M10</x:v>
      </x:c>
      <x:c r="G825" s="30" t="str">
        <x:v>未开始</x:v>
      </x:c>
      <x:c r="H825" s="30" t="str"/>
      <x:c r="I825" s="30" t="str"/>
      <x:c r="J825" s="30" t="str"/>
      <x:c r="K825" s="30" t="str"/>
      <x:c r="L825" s="30" t="str"/>
      <x:c r="M825" s="30" t="str"/>
      <x:c r="N825" s="30" t="str"/>
      <x:c r="O825" s="30" t="str"/>
      <x:c r="P825" s="30" t="str"/>
      <x:c r="Q825" s="31" t="str"/>
      <x:c r="R825" s="31" t="str"/>
      <x:c r="S825" s="30" t="str"/>
      <x:c r="T825" s="30" t="str"/>
      <x:c r="U825" s="30" t="str"/>
      <x:c r="V825" s="40" t="str">
        <x:f>IF(B825="","",COUNTA(H825:L825)/5)</x:f>
      </x:c>
    </x:row>
    <x:row r="826">
      <x:c r="A826" s="30" t="str">
        <x:f>IF(B826="","",B826&amp;"-"&amp;C826)</x:f>
      </x:c>
      <x:c r="B826" s="30" t="str">
        <x:f>'01_命例主档'!A51</x:f>
      </x:c>
      <x:c r="C826" s="30" t="str">
        <x:v>M12</x:v>
      </x:c>
      <x:c r="D826" s="30" t="str">
        <x:v>五行流通卡点</x:v>
      </x:c>
      <x:c r="E826" s="30" t="str">
        <x:v>结构层</x:v>
      </x:c>
      <x:c r="F826" s="30" t="str">
        <x:v>M06/M08/M10/M11</x:v>
      </x:c>
      <x:c r="G826" s="30" t="str">
        <x:v>未开始</x:v>
      </x:c>
      <x:c r="H826" s="30" t="str"/>
      <x:c r="I826" s="30" t="str"/>
      <x:c r="J826" s="30" t="str"/>
      <x:c r="K826" s="30" t="str"/>
      <x:c r="L826" s="30" t="str"/>
      <x:c r="M826" s="30" t="str"/>
      <x:c r="N826" s="30" t="str"/>
      <x:c r="O826" s="30" t="str"/>
      <x:c r="P826" s="30" t="str"/>
      <x:c r="Q826" s="31" t="str"/>
      <x:c r="R826" s="31" t="str"/>
      <x:c r="S826" s="30" t="str"/>
      <x:c r="T826" s="30" t="str"/>
      <x:c r="U826" s="30" t="str"/>
      <x:c r="V826" s="40" t="str">
        <x:f>IF(B826="","",COUNTA(H826:L826)/5)</x:f>
      </x:c>
    </x:row>
    <x:row r="827">
      <x:c r="A827" s="30" t="str">
        <x:f>IF(B827="","",B827&amp;"-"&amp;C827)</x:f>
      </x:c>
      <x:c r="B827" s="30" t="str">
        <x:f>'01_命例主档'!A51</x:f>
      </x:c>
      <x:c r="C827" s="30" t="str">
        <x:v>M13</x:v>
      </x:c>
      <x:c r="D827" s="30" t="str">
        <x:v>寒暖燥湿</x:v>
      </x:c>
      <x:c r="E827" s="30" t="str">
        <x:v>结构层</x:v>
      </x:c>
      <x:c r="F827" s="30" t="str">
        <x:v>M02/M08/M12</x:v>
      </x:c>
      <x:c r="G827" s="30" t="str">
        <x:v>未开始</x:v>
      </x:c>
      <x:c r="H827" s="30" t="str"/>
      <x:c r="I827" s="30" t="str"/>
      <x:c r="J827" s="30" t="str"/>
      <x:c r="K827" s="30" t="str"/>
      <x:c r="L827" s="30" t="str"/>
      <x:c r="M827" s="30" t="str"/>
      <x:c r="N827" s="30" t="str"/>
      <x:c r="O827" s="30" t="str"/>
      <x:c r="P827" s="30" t="str"/>
      <x:c r="Q827" s="31" t="str"/>
      <x:c r="R827" s="31" t="str"/>
      <x:c r="S827" s="30" t="str"/>
      <x:c r="T827" s="30" t="str"/>
      <x:c r="U827" s="30" t="str"/>
      <x:c r="V827" s="40" t="str">
        <x:f>IF(B827="","",COUNTA(H827:L827)/5)</x:f>
      </x:c>
    </x:row>
    <x:row r="828">
      <x:c r="A828" s="30" t="str">
        <x:f>IF(B828="","",B828&amp;"-"&amp;C828)</x:f>
      </x:c>
      <x:c r="B828" s="30" t="str">
        <x:f>'01_命例主档'!A51</x:f>
      </x:c>
      <x:c r="C828" s="30" t="str">
        <x:v>M14</x:v>
      </x:c>
      <x:c r="D828" s="30" t="str">
        <x:v>格局候选判断</x:v>
      </x:c>
      <x:c r="E828" s="30" t="str">
        <x:v>综合层</x:v>
      </x:c>
      <x:c r="F828" s="30" t="str">
        <x:v>M03/M06/M08/M09/M10/M11</x:v>
      </x:c>
      <x:c r="G828" s="30" t="str">
        <x:v>未开始</x:v>
      </x:c>
      <x:c r="H828" s="30" t="str"/>
      <x:c r="I828" s="30" t="str"/>
      <x:c r="J828" s="30" t="str"/>
      <x:c r="K828" s="30" t="str"/>
      <x:c r="L828" s="30" t="str"/>
      <x:c r="M828" s="30" t="str"/>
      <x:c r="N828" s="30" t="str"/>
      <x:c r="O828" s="30" t="str"/>
      <x:c r="P828" s="30" t="str"/>
      <x:c r="Q828" s="31" t="str"/>
      <x:c r="R828" s="31" t="str"/>
      <x:c r="S828" s="30" t="str"/>
      <x:c r="T828" s="30" t="str"/>
      <x:c r="U828" s="30" t="str"/>
      <x:c r="V828" s="40" t="str">
        <x:f>IF(B828="","",COUNTA(H828:L828)/5)</x:f>
      </x:c>
    </x:row>
    <x:row r="829">
      <x:c r="A829" s="30" t="str">
        <x:f>IF(B829="","",B829&amp;"-"&amp;C829)</x:f>
      </x:c>
      <x:c r="B829" s="30" t="str">
        <x:f>'01_命例主档'!A51</x:f>
      </x:c>
      <x:c r="C829" s="30" t="str">
        <x:v>M15</x:v>
      </x:c>
      <x:c r="D829" s="30" t="str">
        <x:v>格局成败救应</x:v>
      </x:c>
      <x:c r="E829" s="30" t="str">
        <x:v>综合层</x:v>
      </x:c>
      <x:c r="F829" s="30" t="str">
        <x:v>M14/M11/M08</x:v>
      </x:c>
      <x:c r="G829" s="30" t="str">
        <x:v>未开始</x:v>
      </x:c>
      <x:c r="H829" s="30" t="str"/>
      <x:c r="I829" s="30" t="str"/>
      <x:c r="J829" s="30" t="str"/>
      <x:c r="K829" s="30" t="str"/>
      <x:c r="L829" s="30" t="str"/>
      <x:c r="M829" s="30" t="str"/>
      <x:c r="N829" s="30" t="str"/>
      <x:c r="O829" s="30" t="str"/>
      <x:c r="P829" s="30" t="str"/>
      <x:c r="Q829" s="31" t="str"/>
      <x:c r="R829" s="31" t="str"/>
      <x:c r="S829" s="30" t="str"/>
      <x:c r="T829" s="30" t="str"/>
      <x:c r="U829" s="30" t="str"/>
      <x:c r="V829" s="40" t="str">
        <x:f>IF(B829="","",COUNTA(H829:L829)/5)</x:f>
      </x:c>
    </x:row>
    <x:row r="830">
      <x:c r="A830" s="30" t="str">
        <x:f>IF(B830="","",B830&amp;"-"&amp;C830)</x:f>
      </x:c>
      <x:c r="B830" s="30" t="str">
        <x:f>'01_命例主档'!A51</x:f>
      </x:c>
      <x:c r="C830" s="30" t="str">
        <x:v>M16</x:v>
      </x:c>
      <x:c r="D830" s="30" t="str">
        <x:v>病药模型</x:v>
      </x:c>
      <x:c r="E830" s="30" t="str">
        <x:v>综合层</x:v>
      </x:c>
      <x:c r="F830" s="30" t="str">
        <x:v>M08-M15</x:v>
      </x:c>
      <x:c r="G830" s="30" t="str">
        <x:v>未开始</x:v>
      </x:c>
      <x:c r="H830" s="30" t="str"/>
      <x:c r="I830" s="30" t="str"/>
      <x:c r="J830" s="30" t="str"/>
      <x:c r="K830" s="30" t="str"/>
      <x:c r="L830" s="30" t="str"/>
      <x:c r="M830" s="30" t="str"/>
      <x:c r="N830" s="30" t="str"/>
      <x:c r="O830" s="30" t="str"/>
      <x:c r="P830" s="30" t="str"/>
      <x:c r="Q830" s="31" t="str"/>
      <x:c r="R830" s="31" t="str"/>
      <x:c r="S830" s="30" t="str"/>
      <x:c r="T830" s="30" t="str"/>
      <x:c r="U830" s="30" t="str"/>
      <x:c r="V830" s="40" t="str">
        <x:f>IF(B830="","",COUNTA(H830:L830)/5)</x:f>
      </x:c>
    </x:row>
    <x:row r="831">
      <x:c r="A831" s="30" t="str">
        <x:f>IF(B831="","",B831&amp;"-"&amp;C831)</x:f>
      </x:c>
      <x:c r="B831" s="30" t="str">
        <x:f>'01_命例主档'!A51</x:f>
      </x:c>
      <x:c r="C831" s="30" t="str">
        <x:v>M17</x:v>
      </x:c>
      <x:c r="D831" s="30" t="str">
        <x:v>喜忌用神矩阵</x:v>
      </x:c>
      <x:c r="E831" s="30" t="str">
        <x:v>综合层</x:v>
      </x:c>
      <x:c r="F831" s="30" t="str">
        <x:v>M09/M12/M13/M15/M16</x:v>
      </x:c>
      <x:c r="G831" s="30" t="str">
        <x:v>未开始</x:v>
      </x:c>
      <x:c r="H831" s="30" t="str"/>
      <x:c r="I831" s="30" t="str"/>
      <x:c r="J831" s="30" t="str"/>
      <x:c r="K831" s="30" t="str"/>
      <x:c r="L831" s="30" t="str"/>
      <x:c r="M831" s="30" t="str"/>
      <x:c r="N831" s="30" t="str"/>
      <x:c r="O831" s="30" t="str"/>
      <x:c r="P831" s="30" t="str"/>
      <x:c r="Q831" s="31" t="str"/>
      <x:c r="R831" s="31" t="str"/>
      <x:c r="S831" s="30" t="str"/>
      <x:c r="T831" s="30" t="str"/>
      <x:c r="U831" s="30" t="str"/>
      <x:c r="V831" s="40" t="str">
        <x:f>IF(B831="","",COUNTA(H831:L831)/5)</x:f>
      </x:c>
    </x:row>
    <x:row r="832">
      <x:c r="A832" s="30" t="str">
        <x:f>IF(B832="","",B832&amp;"-"&amp;C832)</x:f>
      </x:c>
      <x:c r="B832" s="30" t="str">
        <x:f>'01_命例主档'!A51</x:f>
      </x:c>
      <x:c r="C832" s="30" t="str">
        <x:v>M18</x:v>
      </x:c>
      <x:c r="D832" s="30" t="str">
        <x:v>冲突裁决规则</x:v>
      </x:c>
      <x:c r="E832" s="30" t="str">
        <x:v>综合层</x:v>
      </x:c>
      <x:c r="F832" s="30" t="str">
        <x:v>M14/M15/M16/M17</x:v>
      </x:c>
      <x:c r="G832" s="30" t="str">
        <x:v>未开始</x:v>
      </x:c>
      <x:c r="H832" s="30" t="str"/>
      <x:c r="I832" s="30" t="str"/>
      <x:c r="J832" s="30" t="str"/>
      <x:c r="K832" s="30" t="str"/>
      <x:c r="L832" s="30" t="str"/>
      <x:c r="M832" s="30" t="str"/>
      <x:c r="N832" s="30" t="str"/>
      <x:c r="O832" s="30" t="str"/>
      <x:c r="P832" s="30" t="str"/>
      <x:c r="Q832" s="31" t="str"/>
      <x:c r="R832" s="31" t="str"/>
      <x:c r="S832" s="30" t="str"/>
      <x:c r="T832" s="30" t="str"/>
      <x:c r="U832" s="30" t="str"/>
      <x:c r="V832" s="40" t="str">
        <x:f>IF(B832="","",COUNTA(H832:L832)/5)</x:f>
      </x:c>
    </x:row>
    <x:row r="833">
      <x:c r="A833" s="30" t="str">
        <x:f>IF(B833="","",B833&amp;"-"&amp;C833)</x:f>
      </x:c>
      <x:c r="B833" s="30" t="str">
        <x:f>'01_命例主档'!A51</x:f>
      </x:c>
      <x:c r="C833" s="30" t="str">
        <x:v>M19</x:v>
      </x:c>
      <x:c r="D833" s="30" t="str">
        <x:v>综合输出模板</x:v>
      </x:c>
      <x:c r="E833" s="30" t="str">
        <x:v>治理与输出</x:v>
      </x:c>
      <x:c r="F833" s="30" t="str">
        <x:v>M02-M18</x:v>
      </x:c>
      <x:c r="G833" s="30" t="str">
        <x:v>未开始</x:v>
      </x:c>
      <x:c r="H833" s="30" t="str"/>
      <x:c r="I833" s="30" t="str"/>
      <x:c r="J833" s="30" t="str"/>
      <x:c r="K833" s="30" t="str"/>
      <x:c r="L833" s="30" t="str"/>
      <x:c r="M833" s="30" t="str"/>
      <x:c r="N833" s="30" t="str"/>
      <x:c r="O833" s="30" t="str"/>
      <x:c r="P833" s="30" t="str"/>
      <x:c r="Q833" s="31" t="str"/>
      <x:c r="R833" s="31" t="str"/>
      <x:c r="S833" s="30" t="str"/>
      <x:c r="T833" s="30" t="str"/>
      <x:c r="U833" s="30" t="str"/>
      <x:c r="V833" s="40" t="str">
        <x:f>IF(B833="","",COUNTA(H833:L833)/5)</x:f>
      </x:c>
    </x:row>
    <x:row r="834">
      <x:c r="A834" s="30" t="str">
        <x:f>IF(B834="","",B834&amp;"-"&amp;C834)</x:f>
      </x:c>
      <x:c r="B834" s="30" t="str">
        <x:f>'01_命例主档'!A52</x:f>
      </x:c>
      <x:c r="C834" s="30" t="str">
        <x:v>M02</x:v>
      </x:c>
      <x:c r="D834" s="30" t="str">
        <x:v>干支藏干基础</x:v>
      </x:c>
      <x:c r="E834" s="30" t="str">
        <x:v>识别层</x:v>
      </x:c>
      <x:c r="F834" s="30" t="str">
        <x:v>无</x:v>
      </x:c>
      <x:c r="G834" s="30" t="str">
        <x:v>未开始</x:v>
      </x:c>
      <x:c r="H834" s="30" t="str"/>
      <x:c r="I834" s="30" t="str"/>
      <x:c r="J834" s="30" t="str"/>
      <x:c r="K834" s="30" t="str"/>
      <x:c r="L834" s="30" t="str"/>
      <x:c r="M834" s="30" t="str"/>
      <x:c r="N834" s="30" t="str"/>
      <x:c r="O834" s="30" t="str"/>
      <x:c r="P834" s="30" t="str"/>
      <x:c r="Q834" s="31" t="str"/>
      <x:c r="R834" s="31" t="str"/>
      <x:c r="S834" s="30" t="str"/>
      <x:c r="T834" s="30" t="str"/>
      <x:c r="U834" s="30" t="str"/>
      <x:c r="V834" s="40" t="str">
        <x:f>IF(B834="","",COUNTA(H834:L834)/5)</x:f>
      </x:c>
    </x:row>
    <x:row r="835">
      <x:c r="A835" s="30" t="str">
        <x:f>IF(B835="","",B835&amp;"-"&amp;C835)</x:f>
      </x:c>
      <x:c r="B835" s="30" t="str">
        <x:f>'01_命例主档'!A52</x:f>
      </x:c>
      <x:c r="C835" s="30" t="str">
        <x:v>M03</x:v>
      </x:c>
      <x:c r="D835" s="30" t="str">
        <x:v>月令与根气</x:v>
      </x:c>
      <x:c r="E835" s="30" t="str">
        <x:v>结构层</x:v>
      </x:c>
      <x:c r="F835" s="30" t="str">
        <x:v>M02</x:v>
      </x:c>
      <x:c r="G835" s="30" t="str">
        <x:v>未开始</x:v>
      </x:c>
      <x:c r="H835" s="30" t="str"/>
      <x:c r="I835" s="30" t="str"/>
      <x:c r="J835" s="30" t="str"/>
      <x:c r="K835" s="30" t="str"/>
      <x:c r="L835" s="30" t="str"/>
      <x:c r="M835" s="30" t="str"/>
      <x:c r="N835" s="30" t="str"/>
      <x:c r="O835" s="30" t="str"/>
      <x:c r="P835" s="30" t="str"/>
      <x:c r="Q835" s="31" t="str"/>
      <x:c r="R835" s="31" t="str"/>
      <x:c r="S835" s="30" t="str"/>
      <x:c r="T835" s="30" t="str"/>
      <x:c r="U835" s="30" t="str"/>
      <x:c r="V835" s="40" t="str">
        <x:f>IF(B835="","",COUNTA(H835:L835)/5)</x:f>
      </x:c>
    </x:row>
    <x:row r="836">
      <x:c r="A836" s="30" t="str">
        <x:f>IF(B836="","",B836&amp;"-"&amp;C836)</x:f>
      </x:c>
      <x:c r="B836" s="30" t="str">
        <x:f>'01_命例主档'!A52</x:f>
      </x:c>
      <x:c r="C836" s="30" t="str">
        <x:v>M04</x:v>
      </x:c>
      <x:c r="D836" s="30" t="str">
        <x:v>天干作用识别</x:v>
      </x:c>
      <x:c r="E836" s="30" t="str">
        <x:v>识别层</x:v>
      </x:c>
      <x:c r="F836" s="30" t="str">
        <x:v>M02</x:v>
      </x:c>
      <x:c r="G836" s="30" t="str">
        <x:v>未开始</x:v>
      </x:c>
      <x:c r="H836" s="30" t="str"/>
      <x:c r="I836" s="30" t="str"/>
      <x:c r="J836" s="30" t="str"/>
      <x:c r="K836" s="30" t="str"/>
      <x:c r="L836" s="30" t="str"/>
      <x:c r="M836" s="30" t="str"/>
      <x:c r="N836" s="30" t="str"/>
      <x:c r="O836" s="30" t="str"/>
      <x:c r="P836" s="30" t="str"/>
      <x:c r="Q836" s="31" t="str"/>
      <x:c r="R836" s="31" t="str"/>
      <x:c r="S836" s="30" t="str"/>
      <x:c r="T836" s="30" t="str"/>
      <x:c r="U836" s="30" t="str"/>
      <x:c r="V836" s="40" t="str">
        <x:f>IF(B836="","",COUNTA(H836:L836)/5)</x:f>
      </x:c>
    </x:row>
    <x:row r="837">
      <x:c r="A837" s="30" t="str">
        <x:f>IF(B837="","",B837&amp;"-"&amp;C837)</x:f>
      </x:c>
      <x:c r="B837" s="30" t="str">
        <x:f>'01_命例主档'!A52</x:f>
      </x:c>
      <x:c r="C837" s="30" t="str">
        <x:v>M05</x:v>
      </x:c>
      <x:c r="D837" s="30" t="str">
        <x:v>地支关系识别</x:v>
      </x:c>
      <x:c r="E837" s="30" t="str">
        <x:v>识别层</x:v>
      </x:c>
      <x:c r="F837" s="30" t="str">
        <x:v>M02</x:v>
      </x:c>
      <x:c r="G837" s="30" t="str">
        <x:v>未开始</x:v>
      </x:c>
      <x:c r="H837" s="30" t="str"/>
      <x:c r="I837" s="30" t="str"/>
      <x:c r="J837" s="30" t="str"/>
      <x:c r="K837" s="30" t="str"/>
      <x:c r="L837" s="30" t="str"/>
      <x:c r="M837" s="30" t="str"/>
      <x:c r="N837" s="30" t="str"/>
      <x:c r="O837" s="30" t="str"/>
      <x:c r="P837" s="30" t="str"/>
      <x:c r="Q837" s="31" t="str"/>
      <x:c r="R837" s="31" t="str"/>
      <x:c r="S837" s="30" t="str"/>
      <x:c r="T837" s="30" t="str"/>
      <x:c r="U837" s="30" t="str"/>
      <x:c r="V837" s="40" t="str">
        <x:f>IF(B837="","",COUNTA(H837:L837)/5)</x:f>
      </x:c>
    </x:row>
    <x:row r="838">
      <x:c r="A838" s="30" t="str">
        <x:f>IF(B838="","",B838&amp;"-"&amp;C838)</x:f>
      </x:c>
      <x:c r="B838" s="30" t="str">
        <x:f>'01_命例主档'!A52</x:f>
      </x:c>
      <x:c r="C838" s="30" t="str">
        <x:v>M06</x:v>
      </x:c>
      <x:c r="D838" s="30" t="str">
        <x:v>干支关系效应</x:v>
      </x:c>
      <x:c r="E838" s="30" t="str">
        <x:v>效应层</x:v>
      </x:c>
      <x:c r="F838" s="30" t="str">
        <x:v>M03/M04/M05</x:v>
      </x:c>
      <x:c r="G838" s="30" t="str">
        <x:v>未开始</x:v>
      </x:c>
      <x:c r="H838" s="30" t="str"/>
      <x:c r="I838" s="30" t="str"/>
      <x:c r="J838" s="30" t="str"/>
      <x:c r="K838" s="30" t="str"/>
      <x:c r="L838" s="30" t="str"/>
      <x:c r="M838" s="30" t="str"/>
      <x:c r="N838" s="30" t="str"/>
      <x:c r="O838" s="30" t="str"/>
      <x:c r="P838" s="30" t="str"/>
      <x:c r="Q838" s="31" t="str"/>
      <x:c r="R838" s="31" t="str"/>
      <x:c r="S838" s="30" t="str"/>
      <x:c r="T838" s="30" t="str"/>
      <x:c r="U838" s="30" t="str"/>
      <x:c r="V838" s="40" t="str">
        <x:f>IF(B838="","",COUNTA(H838:L838)/5)</x:f>
      </x:c>
    </x:row>
    <x:row r="839">
      <x:c r="A839" s="30" t="str">
        <x:f>IF(B839="","",B839&amp;"-"&amp;C839)</x:f>
      </x:c>
      <x:c r="B839" s="30" t="str">
        <x:f>'01_命例主档'!A52</x:f>
      </x:c>
      <x:c r="C839" s="30" t="str">
        <x:v>M07</x:v>
      </x:c>
      <x:c r="D839" s="30" t="str">
        <x:v>五行原始旺衰</x:v>
      </x:c>
      <x:c r="E839" s="30" t="str">
        <x:v>结构层</x:v>
      </x:c>
      <x:c r="F839" s="30" t="str">
        <x:v>M02/M03</x:v>
      </x:c>
      <x:c r="G839" s="30" t="str">
        <x:v>未开始</x:v>
      </x:c>
      <x:c r="H839" s="30" t="str"/>
      <x:c r="I839" s="30" t="str"/>
      <x:c r="J839" s="30" t="str"/>
      <x:c r="K839" s="30" t="str"/>
      <x:c r="L839" s="30" t="str"/>
      <x:c r="M839" s="30" t="str"/>
      <x:c r="N839" s="30" t="str"/>
      <x:c r="O839" s="30" t="str"/>
      <x:c r="P839" s="30" t="str"/>
      <x:c r="Q839" s="31" t="str"/>
      <x:c r="R839" s="31" t="str"/>
      <x:c r="S839" s="30" t="str"/>
      <x:c r="T839" s="30" t="str"/>
      <x:c r="U839" s="30" t="str"/>
      <x:c r="V839" s="40" t="str">
        <x:f>IF(B839="","",COUNTA(H839:L839)/5)</x:f>
      </x:c>
    </x:row>
    <x:row r="840">
      <x:c r="A840" s="30" t="str">
        <x:f>IF(B840="","",B840&amp;"-"&amp;C840)</x:f>
      </x:c>
      <x:c r="B840" s="30" t="str">
        <x:f>'01_命例主档'!A52</x:f>
      </x:c>
      <x:c r="C840" s="30" t="str">
        <x:v>M08</x:v>
      </x:c>
      <x:c r="D840" s="30" t="str">
        <x:v>五行有效旺衰</x:v>
      </x:c>
      <x:c r="E840" s="30" t="str">
        <x:v>结构层</x:v>
      </x:c>
      <x:c r="F840" s="30" t="str">
        <x:v>M06/M07</x:v>
      </x:c>
      <x:c r="G840" s="30" t="str">
        <x:v>未开始</x:v>
      </x:c>
      <x:c r="H840" s="30" t="str"/>
      <x:c r="I840" s="30" t="str"/>
      <x:c r="J840" s="30" t="str"/>
      <x:c r="K840" s="30" t="str"/>
      <x:c r="L840" s="30" t="str"/>
      <x:c r="M840" s="30" t="str"/>
      <x:c r="N840" s="30" t="str"/>
      <x:c r="O840" s="30" t="str"/>
      <x:c r="P840" s="30" t="str"/>
      <x:c r="Q840" s="31" t="str"/>
      <x:c r="R840" s="31" t="str"/>
      <x:c r="S840" s="30" t="str"/>
      <x:c r="T840" s="30" t="str"/>
      <x:c r="U840" s="30" t="str"/>
      <x:c r="V840" s="40" t="str">
        <x:f>IF(B840="","",COUNTA(H840:L840)/5)</x:f>
      </x:c>
    </x:row>
    <x:row r="841">
      <x:c r="A841" s="30" t="str">
        <x:f>IF(B841="","",B841&amp;"-"&amp;C841)</x:f>
      </x:c>
      <x:c r="B841" s="30" t="str">
        <x:f>'01_命例主档'!A52</x:f>
      </x:c>
      <x:c r="C841" s="30" t="str">
        <x:v>M09</x:v>
      </x:c>
      <x:c r="D841" s="30" t="str">
        <x:v>日主旺衰</x:v>
      </x:c>
      <x:c r="E841" s="30" t="str">
        <x:v>综合层</x:v>
      </x:c>
      <x:c r="F841" s="30" t="str">
        <x:v>M03/M07/M08</x:v>
      </x:c>
      <x:c r="G841" s="30" t="str">
        <x:v>未开始</x:v>
      </x:c>
      <x:c r="H841" s="30" t="str"/>
      <x:c r="I841" s="30" t="str"/>
      <x:c r="J841" s="30" t="str"/>
      <x:c r="K841" s="30" t="str"/>
      <x:c r="L841" s="30" t="str"/>
      <x:c r="M841" s="30" t="str"/>
      <x:c r="N841" s="30" t="str"/>
      <x:c r="O841" s="30" t="str"/>
      <x:c r="P841" s="30" t="str"/>
      <x:c r="Q841" s="31" t="str"/>
      <x:c r="R841" s="31" t="str"/>
      <x:c r="S841" s="30" t="str"/>
      <x:c r="T841" s="30" t="str"/>
      <x:c r="U841" s="30" t="str"/>
      <x:c r="V841" s="40" t="str">
        <x:f>IF(B841="","",COUNTA(H841:L841)/5)</x:f>
      </x:c>
    </x:row>
    <x:row r="842">
      <x:c r="A842" s="30" t="str">
        <x:f>IF(B842="","",B842&amp;"-"&amp;C842)</x:f>
      </x:c>
      <x:c r="B842" s="30" t="str">
        <x:f>'01_命例主档'!A52</x:f>
      </x:c>
      <x:c r="C842" s="30" t="str">
        <x:v>M10</x:v>
      </x:c>
      <x:c r="D842" s="30" t="str">
        <x:v>十神旺衰功能</x:v>
      </x:c>
      <x:c r="E842" s="30" t="str">
        <x:v>结构层</x:v>
      </x:c>
      <x:c r="F842" s="30" t="str">
        <x:v>M02/M08/M09</x:v>
      </x:c>
      <x:c r="G842" s="30" t="str">
        <x:v>未开始</x:v>
      </x:c>
      <x:c r="H842" s="30" t="str"/>
      <x:c r="I842" s="30" t="str"/>
      <x:c r="J842" s="30" t="str"/>
      <x:c r="K842" s="30" t="str"/>
      <x:c r="L842" s="30" t="str"/>
      <x:c r="M842" s="30" t="str"/>
      <x:c r="N842" s="30" t="str"/>
      <x:c r="O842" s="30" t="str"/>
      <x:c r="P842" s="30" t="str"/>
      <x:c r="Q842" s="31" t="str"/>
      <x:c r="R842" s="31" t="str"/>
      <x:c r="S842" s="30" t="str"/>
      <x:c r="T842" s="30" t="str"/>
      <x:c r="U842" s="30" t="str"/>
      <x:c r="V842" s="40" t="str">
        <x:f>IF(B842="","",COUNTA(H842:L842)/5)</x:f>
      </x:c>
    </x:row>
    <x:row r="843">
      <x:c r="A843" s="30" t="str">
        <x:f>IF(B843="","",B843&amp;"-"&amp;C843)</x:f>
      </x:c>
      <x:c r="B843" s="30" t="str">
        <x:f>'01_命例主档'!A52</x:f>
      </x:c>
      <x:c r="C843" s="30" t="str">
        <x:v>M11</x:v>
      </x:c>
      <x:c r="D843" s="30" t="str">
        <x:v>十神组合成立</x:v>
      </x:c>
      <x:c r="E843" s="30" t="str">
        <x:v>结构层</x:v>
      </x:c>
      <x:c r="F843" s="30" t="str">
        <x:v>M08/M09/M10</x:v>
      </x:c>
      <x:c r="G843" s="30" t="str">
        <x:v>未开始</x:v>
      </x:c>
      <x:c r="H843" s="30" t="str"/>
      <x:c r="I843" s="30" t="str"/>
      <x:c r="J843" s="30" t="str"/>
      <x:c r="K843" s="30" t="str"/>
      <x:c r="L843" s="30" t="str"/>
      <x:c r="M843" s="30" t="str"/>
      <x:c r="N843" s="30" t="str"/>
      <x:c r="O843" s="30" t="str"/>
      <x:c r="P843" s="30" t="str"/>
      <x:c r="Q843" s="31" t="str"/>
      <x:c r="R843" s="31" t="str"/>
      <x:c r="S843" s="30" t="str"/>
      <x:c r="T843" s="30" t="str"/>
      <x:c r="U843" s="30" t="str"/>
      <x:c r="V843" s="40" t="str">
        <x:f>IF(B843="","",COUNTA(H843:L843)/5)</x:f>
      </x:c>
    </x:row>
    <x:row r="844">
      <x:c r="A844" s="30" t="str">
        <x:f>IF(B844="","",B844&amp;"-"&amp;C844)</x:f>
      </x:c>
      <x:c r="B844" s="30" t="str">
        <x:f>'01_命例主档'!A52</x:f>
      </x:c>
      <x:c r="C844" s="30" t="str">
        <x:v>M12</x:v>
      </x:c>
      <x:c r="D844" s="30" t="str">
        <x:v>五行流通卡点</x:v>
      </x:c>
      <x:c r="E844" s="30" t="str">
        <x:v>结构层</x:v>
      </x:c>
      <x:c r="F844" s="30" t="str">
        <x:v>M06/M08/M10/M11</x:v>
      </x:c>
      <x:c r="G844" s="30" t="str">
        <x:v>未开始</x:v>
      </x:c>
      <x:c r="H844" s="30" t="str"/>
      <x:c r="I844" s="30" t="str"/>
      <x:c r="J844" s="30" t="str"/>
      <x:c r="K844" s="30" t="str"/>
      <x:c r="L844" s="30" t="str"/>
      <x:c r="M844" s="30" t="str"/>
      <x:c r="N844" s="30" t="str"/>
      <x:c r="O844" s="30" t="str"/>
      <x:c r="P844" s="30" t="str"/>
      <x:c r="Q844" s="31" t="str"/>
      <x:c r="R844" s="31" t="str"/>
      <x:c r="S844" s="30" t="str"/>
      <x:c r="T844" s="30" t="str"/>
      <x:c r="U844" s="30" t="str"/>
      <x:c r="V844" s="40" t="str">
        <x:f>IF(B844="","",COUNTA(H844:L844)/5)</x:f>
      </x:c>
    </x:row>
    <x:row r="845">
      <x:c r="A845" s="30" t="str">
        <x:f>IF(B845="","",B845&amp;"-"&amp;C845)</x:f>
      </x:c>
      <x:c r="B845" s="30" t="str">
        <x:f>'01_命例主档'!A52</x:f>
      </x:c>
      <x:c r="C845" s="30" t="str">
        <x:v>M13</x:v>
      </x:c>
      <x:c r="D845" s="30" t="str">
        <x:v>寒暖燥湿</x:v>
      </x:c>
      <x:c r="E845" s="30" t="str">
        <x:v>结构层</x:v>
      </x:c>
      <x:c r="F845" s="30" t="str">
        <x:v>M02/M08/M12</x:v>
      </x:c>
      <x:c r="G845" s="30" t="str">
        <x:v>未开始</x:v>
      </x:c>
      <x:c r="H845" s="30" t="str"/>
      <x:c r="I845" s="30" t="str"/>
      <x:c r="J845" s="30" t="str"/>
      <x:c r="K845" s="30" t="str"/>
      <x:c r="L845" s="30" t="str"/>
      <x:c r="M845" s="30" t="str"/>
      <x:c r="N845" s="30" t="str"/>
      <x:c r="O845" s="30" t="str"/>
      <x:c r="P845" s="30" t="str"/>
      <x:c r="Q845" s="31" t="str"/>
      <x:c r="R845" s="31" t="str"/>
      <x:c r="S845" s="30" t="str"/>
      <x:c r="T845" s="30" t="str"/>
      <x:c r="U845" s="30" t="str"/>
      <x:c r="V845" s="40" t="str">
        <x:f>IF(B845="","",COUNTA(H845:L845)/5)</x:f>
      </x:c>
    </x:row>
    <x:row r="846">
      <x:c r="A846" s="30" t="str">
        <x:f>IF(B846="","",B846&amp;"-"&amp;C846)</x:f>
      </x:c>
      <x:c r="B846" s="30" t="str">
        <x:f>'01_命例主档'!A52</x:f>
      </x:c>
      <x:c r="C846" s="30" t="str">
        <x:v>M14</x:v>
      </x:c>
      <x:c r="D846" s="30" t="str">
        <x:v>格局候选判断</x:v>
      </x:c>
      <x:c r="E846" s="30" t="str">
        <x:v>综合层</x:v>
      </x:c>
      <x:c r="F846" s="30" t="str">
        <x:v>M03/M06/M08/M09/M10/M11</x:v>
      </x:c>
      <x:c r="G846" s="30" t="str">
        <x:v>未开始</x:v>
      </x:c>
      <x:c r="H846" s="30" t="str"/>
      <x:c r="I846" s="30" t="str"/>
      <x:c r="J846" s="30" t="str"/>
      <x:c r="K846" s="30" t="str"/>
      <x:c r="L846" s="30" t="str"/>
      <x:c r="M846" s="30" t="str"/>
      <x:c r="N846" s="30" t="str"/>
      <x:c r="O846" s="30" t="str"/>
      <x:c r="P846" s="30" t="str"/>
      <x:c r="Q846" s="31" t="str"/>
      <x:c r="R846" s="31" t="str"/>
      <x:c r="S846" s="30" t="str"/>
      <x:c r="T846" s="30" t="str"/>
      <x:c r="U846" s="30" t="str"/>
      <x:c r="V846" s="40" t="str">
        <x:f>IF(B846="","",COUNTA(H846:L846)/5)</x:f>
      </x:c>
    </x:row>
    <x:row r="847">
      <x:c r="A847" s="30" t="str">
        <x:f>IF(B847="","",B847&amp;"-"&amp;C847)</x:f>
      </x:c>
      <x:c r="B847" s="30" t="str">
        <x:f>'01_命例主档'!A52</x:f>
      </x:c>
      <x:c r="C847" s="30" t="str">
        <x:v>M15</x:v>
      </x:c>
      <x:c r="D847" s="30" t="str">
        <x:v>格局成败救应</x:v>
      </x:c>
      <x:c r="E847" s="30" t="str">
        <x:v>综合层</x:v>
      </x:c>
      <x:c r="F847" s="30" t="str">
        <x:v>M14/M11/M08</x:v>
      </x:c>
      <x:c r="G847" s="30" t="str">
        <x:v>未开始</x:v>
      </x:c>
      <x:c r="H847" s="30" t="str"/>
      <x:c r="I847" s="30" t="str"/>
      <x:c r="J847" s="30" t="str"/>
      <x:c r="K847" s="30" t="str"/>
      <x:c r="L847" s="30" t="str"/>
      <x:c r="M847" s="30" t="str"/>
      <x:c r="N847" s="30" t="str"/>
      <x:c r="O847" s="30" t="str"/>
      <x:c r="P847" s="30" t="str"/>
      <x:c r="Q847" s="31" t="str"/>
      <x:c r="R847" s="31" t="str"/>
      <x:c r="S847" s="30" t="str"/>
      <x:c r="T847" s="30" t="str"/>
      <x:c r="U847" s="30" t="str"/>
      <x:c r="V847" s="40" t="str">
        <x:f>IF(B847="","",COUNTA(H847:L847)/5)</x:f>
      </x:c>
    </x:row>
    <x:row r="848">
      <x:c r="A848" s="30" t="str">
        <x:f>IF(B848="","",B848&amp;"-"&amp;C848)</x:f>
      </x:c>
      <x:c r="B848" s="30" t="str">
        <x:f>'01_命例主档'!A52</x:f>
      </x:c>
      <x:c r="C848" s="30" t="str">
        <x:v>M16</x:v>
      </x:c>
      <x:c r="D848" s="30" t="str">
        <x:v>病药模型</x:v>
      </x:c>
      <x:c r="E848" s="30" t="str">
        <x:v>综合层</x:v>
      </x:c>
      <x:c r="F848" s="30" t="str">
        <x:v>M08-M15</x:v>
      </x:c>
      <x:c r="G848" s="30" t="str">
        <x:v>未开始</x:v>
      </x:c>
      <x:c r="H848" s="30" t="str"/>
      <x:c r="I848" s="30" t="str"/>
      <x:c r="J848" s="30" t="str"/>
      <x:c r="K848" s="30" t="str"/>
      <x:c r="L848" s="30" t="str"/>
      <x:c r="M848" s="30" t="str"/>
      <x:c r="N848" s="30" t="str"/>
      <x:c r="O848" s="30" t="str"/>
      <x:c r="P848" s="30" t="str"/>
      <x:c r="Q848" s="31" t="str"/>
      <x:c r="R848" s="31" t="str"/>
      <x:c r="S848" s="30" t="str"/>
      <x:c r="T848" s="30" t="str"/>
      <x:c r="U848" s="30" t="str"/>
      <x:c r="V848" s="40" t="str">
        <x:f>IF(B848="","",COUNTA(H848:L848)/5)</x:f>
      </x:c>
    </x:row>
    <x:row r="849">
      <x:c r="A849" s="30" t="str">
        <x:f>IF(B849="","",B849&amp;"-"&amp;C849)</x:f>
      </x:c>
      <x:c r="B849" s="30" t="str">
        <x:f>'01_命例主档'!A52</x:f>
      </x:c>
      <x:c r="C849" s="30" t="str">
        <x:v>M17</x:v>
      </x:c>
      <x:c r="D849" s="30" t="str">
        <x:v>喜忌用神矩阵</x:v>
      </x:c>
      <x:c r="E849" s="30" t="str">
        <x:v>综合层</x:v>
      </x:c>
      <x:c r="F849" s="30" t="str">
        <x:v>M09/M12/M13/M15/M16</x:v>
      </x:c>
      <x:c r="G849" s="30" t="str">
        <x:v>未开始</x:v>
      </x:c>
      <x:c r="H849" s="30" t="str"/>
      <x:c r="I849" s="30" t="str"/>
      <x:c r="J849" s="30" t="str"/>
      <x:c r="K849" s="30" t="str"/>
      <x:c r="L849" s="30" t="str"/>
      <x:c r="M849" s="30" t="str"/>
      <x:c r="N849" s="30" t="str"/>
      <x:c r="O849" s="30" t="str"/>
      <x:c r="P849" s="30" t="str"/>
      <x:c r="Q849" s="31" t="str"/>
      <x:c r="R849" s="31" t="str"/>
      <x:c r="S849" s="30" t="str"/>
      <x:c r="T849" s="30" t="str"/>
      <x:c r="U849" s="30" t="str"/>
      <x:c r="V849" s="40" t="str">
        <x:f>IF(B849="","",COUNTA(H849:L849)/5)</x:f>
      </x:c>
    </x:row>
    <x:row r="850">
      <x:c r="A850" s="30" t="str">
        <x:f>IF(B850="","",B850&amp;"-"&amp;C850)</x:f>
      </x:c>
      <x:c r="B850" s="30" t="str">
        <x:f>'01_命例主档'!A52</x:f>
      </x:c>
      <x:c r="C850" s="30" t="str">
        <x:v>M18</x:v>
      </x:c>
      <x:c r="D850" s="30" t="str">
        <x:v>冲突裁决规则</x:v>
      </x:c>
      <x:c r="E850" s="30" t="str">
        <x:v>综合层</x:v>
      </x:c>
      <x:c r="F850" s="30" t="str">
        <x:v>M14/M15/M16/M17</x:v>
      </x:c>
      <x:c r="G850" s="30" t="str">
        <x:v>未开始</x:v>
      </x:c>
      <x:c r="H850" s="30" t="str"/>
      <x:c r="I850" s="30" t="str"/>
      <x:c r="J850" s="30" t="str"/>
      <x:c r="K850" s="30" t="str"/>
      <x:c r="L850" s="30" t="str"/>
      <x:c r="M850" s="30" t="str"/>
      <x:c r="N850" s="30" t="str"/>
      <x:c r="O850" s="30" t="str"/>
      <x:c r="P850" s="30" t="str"/>
      <x:c r="Q850" s="31" t="str"/>
      <x:c r="R850" s="31" t="str"/>
      <x:c r="S850" s="30" t="str"/>
      <x:c r="T850" s="30" t="str"/>
      <x:c r="U850" s="30" t="str"/>
      <x:c r="V850" s="40" t="str">
        <x:f>IF(B850="","",COUNTA(H850:L850)/5)</x:f>
      </x:c>
    </x:row>
    <x:row r="851">
      <x:c r="A851" s="30" t="str">
        <x:f>IF(B851="","",B851&amp;"-"&amp;C851)</x:f>
      </x:c>
      <x:c r="B851" s="30" t="str">
        <x:f>'01_命例主档'!A52</x:f>
      </x:c>
      <x:c r="C851" s="30" t="str">
        <x:v>M19</x:v>
      </x:c>
      <x:c r="D851" s="30" t="str">
        <x:v>综合输出模板</x:v>
      </x:c>
      <x:c r="E851" s="30" t="str">
        <x:v>治理与输出</x:v>
      </x:c>
      <x:c r="F851" s="30" t="str">
        <x:v>M02-M18</x:v>
      </x:c>
      <x:c r="G851" s="30" t="str">
        <x:v>未开始</x:v>
      </x:c>
      <x:c r="H851" s="30" t="str"/>
      <x:c r="I851" s="30" t="str"/>
      <x:c r="J851" s="30" t="str"/>
      <x:c r="K851" s="30" t="str"/>
      <x:c r="L851" s="30" t="str"/>
      <x:c r="M851" s="30" t="str"/>
      <x:c r="N851" s="30" t="str"/>
      <x:c r="O851" s="30" t="str"/>
      <x:c r="P851" s="30" t="str"/>
      <x:c r="Q851" s="31" t="str"/>
      <x:c r="R851" s="31" t="str"/>
      <x:c r="S851" s="30" t="str"/>
      <x:c r="T851" s="30" t="str"/>
      <x:c r="U851" s="30" t="str"/>
      <x:c r="V851" s="40" t="str">
        <x:f>IF(B851="","",COUNTA(H851:L851)/5)</x:f>
      </x:c>
    </x:row>
    <x:row r="852">
      <x:c r="A852" s="30" t="str">
        <x:f>IF(B852="","",B852&amp;"-"&amp;C852)</x:f>
      </x:c>
      <x:c r="B852" s="30" t="str">
        <x:f>'01_命例主档'!A53</x:f>
      </x:c>
      <x:c r="C852" s="30" t="str">
        <x:v>M02</x:v>
      </x:c>
      <x:c r="D852" s="30" t="str">
        <x:v>干支藏干基础</x:v>
      </x:c>
      <x:c r="E852" s="30" t="str">
        <x:v>识别层</x:v>
      </x:c>
      <x:c r="F852" s="30" t="str">
        <x:v>无</x:v>
      </x:c>
      <x:c r="G852" s="30" t="str">
        <x:v>未开始</x:v>
      </x:c>
      <x:c r="H852" s="30" t="str"/>
      <x:c r="I852" s="30" t="str"/>
      <x:c r="J852" s="30" t="str"/>
      <x:c r="K852" s="30" t="str"/>
      <x:c r="L852" s="30" t="str"/>
      <x:c r="M852" s="30" t="str"/>
      <x:c r="N852" s="30" t="str"/>
      <x:c r="O852" s="30" t="str"/>
      <x:c r="P852" s="30" t="str"/>
      <x:c r="Q852" s="31" t="str"/>
      <x:c r="R852" s="31" t="str"/>
      <x:c r="S852" s="30" t="str"/>
      <x:c r="T852" s="30" t="str"/>
      <x:c r="U852" s="30" t="str"/>
      <x:c r="V852" s="40" t="str">
        <x:f>IF(B852="","",COUNTA(H852:L852)/5)</x:f>
      </x:c>
    </x:row>
    <x:row r="853">
      <x:c r="A853" s="30" t="str">
        <x:f>IF(B853="","",B853&amp;"-"&amp;C853)</x:f>
      </x:c>
      <x:c r="B853" s="30" t="str">
        <x:f>'01_命例主档'!A53</x:f>
      </x:c>
      <x:c r="C853" s="30" t="str">
        <x:v>M03</x:v>
      </x:c>
      <x:c r="D853" s="30" t="str">
        <x:v>月令与根气</x:v>
      </x:c>
      <x:c r="E853" s="30" t="str">
        <x:v>结构层</x:v>
      </x:c>
      <x:c r="F853" s="30" t="str">
        <x:v>M02</x:v>
      </x:c>
      <x:c r="G853" s="30" t="str">
        <x:v>未开始</x:v>
      </x:c>
      <x:c r="H853" s="30" t="str"/>
      <x:c r="I853" s="30" t="str"/>
      <x:c r="J853" s="30" t="str"/>
      <x:c r="K853" s="30" t="str"/>
      <x:c r="L853" s="30" t="str"/>
      <x:c r="M853" s="30" t="str"/>
      <x:c r="N853" s="30" t="str"/>
      <x:c r="O853" s="30" t="str"/>
      <x:c r="P853" s="30" t="str"/>
      <x:c r="Q853" s="31" t="str"/>
      <x:c r="R853" s="31" t="str"/>
      <x:c r="S853" s="30" t="str"/>
      <x:c r="T853" s="30" t="str"/>
      <x:c r="U853" s="30" t="str"/>
      <x:c r="V853" s="40" t="str">
        <x:f>IF(B853="","",COUNTA(H853:L853)/5)</x:f>
      </x:c>
    </x:row>
    <x:row r="854">
      <x:c r="A854" s="30" t="str">
        <x:f>IF(B854="","",B854&amp;"-"&amp;C854)</x:f>
      </x:c>
      <x:c r="B854" s="30" t="str">
        <x:f>'01_命例主档'!A53</x:f>
      </x:c>
      <x:c r="C854" s="30" t="str">
        <x:v>M04</x:v>
      </x:c>
      <x:c r="D854" s="30" t="str">
        <x:v>天干作用识别</x:v>
      </x:c>
      <x:c r="E854" s="30" t="str">
        <x:v>识别层</x:v>
      </x:c>
      <x:c r="F854" s="30" t="str">
        <x:v>M02</x:v>
      </x:c>
      <x:c r="G854" s="30" t="str">
        <x:v>未开始</x:v>
      </x:c>
      <x:c r="H854" s="30" t="str"/>
      <x:c r="I854" s="30" t="str"/>
      <x:c r="J854" s="30" t="str"/>
      <x:c r="K854" s="30" t="str"/>
      <x:c r="L854" s="30" t="str"/>
      <x:c r="M854" s="30" t="str"/>
      <x:c r="N854" s="30" t="str"/>
      <x:c r="O854" s="30" t="str"/>
      <x:c r="P854" s="30" t="str"/>
      <x:c r="Q854" s="31" t="str"/>
      <x:c r="R854" s="31" t="str"/>
      <x:c r="S854" s="30" t="str"/>
      <x:c r="T854" s="30" t="str"/>
      <x:c r="U854" s="30" t="str"/>
      <x:c r="V854" s="40" t="str">
        <x:f>IF(B854="","",COUNTA(H854:L854)/5)</x:f>
      </x:c>
    </x:row>
    <x:row r="855">
      <x:c r="A855" s="30" t="str">
        <x:f>IF(B855="","",B855&amp;"-"&amp;C855)</x:f>
      </x:c>
      <x:c r="B855" s="30" t="str">
        <x:f>'01_命例主档'!A53</x:f>
      </x:c>
      <x:c r="C855" s="30" t="str">
        <x:v>M05</x:v>
      </x:c>
      <x:c r="D855" s="30" t="str">
        <x:v>地支关系识别</x:v>
      </x:c>
      <x:c r="E855" s="30" t="str">
        <x:v>识别层</x:v>
      </x:c>
      <x:c r="F855" s="30" t="str">
        <x:v>M02</x:v>
      </x:c>
      <x:c r="G855" s="30" t="str">
        <x:v>未开始</x:v>
      </x:c>
      <x:c r="H855" s="30" t="str"/>
      <x:c r="I855" s="30" t="str"/>
      <x:c r="J855" s="30" t="str"/>
      <x:c r="K855" s="30" t="str"/>
      <x:c r="L855" s="30" t="str"/>
      <x:c r="M855" s="30" t="str"/>
      <x:c r="N855" s="30" t="str"/>
      <x:c r="O855" s="30" t="str"/>
      <x:c r="P855" s="30" t="str"/>
      <x:c r="Q855" s="31" t="str"/>
      <x:c r="R855" s="31" t="str"/>
      <x:c r="S855" s="30" t="str"/>
      <x:c r="T855" s="30" t="str"/>
      <x:c r="U855" s="30" t="str"/>
      <x:c r="V855" s="40" t="str">
        <x:f>IF(B855="","",COUNTA(H855:L855)/5)</x:f>
      </x:c>
    </x:row>
    <x:row r="856">
      <x:c r="A856" s="30" t="str">
        <x:f>IF(B856="","",B856&amp;"-"&amp;C856)</x:f>
      </x:c>
      <x:c r="B856" s="30" t="str">
        <x:f>'01_命例主档'!A53</x:f>
      </x:c>
      <x:c r="C856" s="30" t="str">
        <x:v>M06</x:v>
      </x:c>
      <x:c r="D856" s="30" t="str">
        <x:v>干支关系效应</x:v>
      </x:c>
      <x:c r="E856" s="30" t="str">
        <x:v>效应层</x:v>
      </x:c>
      <x:c r="F856" s="30" t="str">
        <x:v>M03/M04/M05</x:v>
      </x:c>
      <x:c r="G856" s="30" t="str">
        <x:v>未开始</x:v>
      </x:c>
      <x:c r="H856" s="30" t="str"/>
      <x:c r="I856" s="30" t="str"/>
      <x:c r="J856" s="30" t="str"/>
      <x:c r="K856" s="30" t="str"/>
      <x:c r="L856" s="30" t="str"/>
      <x:c r="M856" s="30" t="str"/>
      <x:c r="N856" s="30" t="str"/>
      <x:c r="O856" s="30" t="str"/>
      <x:c r="P856" s="30" t="str"/>
      <x:c r="Q856" s="31" t="str"/>
      <x:c r="R856" s="31" t="str"/>
      <x:c r="S856" s="30" t="str"/>
      <x:c r="T856" s="30" t="str"/>
      <x:c r="U856" s="30" t="str"/>
      <x:c r="V856" s="40" t="str">
        <x:f>IF(B856="","",COUNTA(H856:L856)/5)</x:f>
      </x:c>
    </x:row>
    <x:row r="857">
      <x:c r="A857" s="30" t="str">
        <x:f>IF(B857="","",B857&amp;"-"&amp;C857)</x:f>
      </x:c>
      <x:c r="B857" s="30" t="str">
        <x:f>'01_命例主档'!A53</x:f>
      </x:c>
      <x:c r="C857" s="30" t="str">
        <x:v>M07</x:v>
      </x:c>
      <x:c r="D857" s="30" t="str">
        <x:v>五行原始旺衰</x:v>
      </x:c>
      <x:c r="E857" s="30" t="str">
        <x:v>结构层</x:v>
      </x:c>
      <x:c r="F857" s="30" t="str">
        <x:v>M02/M03</x:v>
      </x:c>
      <x:c r="G857" s="30" t="str">
        <x:v>未开始</x:v>
      </x:c>
      <x:c r="H857" s="30" t="str"/>
      <x:c r="I857" s="30" t="str"/>
      <x:c r="J857" s="30" t="str"/>
      <x:c r="K857" s="30" t="str"/>
      <x:c r="L857" s="30" t="str"/>
      <x:c r="M857" s="30" t="str"/>
      <x:c r="N857" s="30" t="str"/>
      <x:c r="O857" s="30" t="str"/>
      <x:c r="P857" s="30" t="str"/>
      <x:c r="Q857" s="31" t="str"/>
      <x:c r="R857" s="31" t="str"/>
      <x:c r="S857" s="30" t="str"/>
      <x:c r="T857" s="30" t="str"/>
      <x:c r="U857" s="30" t="str"/>
      <x:c r="V857" s="40" t="str">
        <x:f>IF(B857="","",COUNTA(H857:L857)/5)</x:f>
      </x:c>
    </x:row>
    <x:row r="858">
      <x:c r="A858" s="30" t="str">
        <x:f>IF(B858="","",B858&amp;"-"&amp;C858)</x:f>
      </x:c>
      <x:c r="B858" s="30" t="str">
        <x:f>'01_命例主档'!A53</x:f>
      </x:c>
      <x:c r="C858" s="30" t="str">
        <x:v>M08</x:v>
      </x:c>
      <x:c r="D858" s="30" t="str">
        <x:v>五行有效旺衰</x:v>
      </x:c>
      <x:c r="E858" s="30" t="str">
        <x:v>结构层</x:v>
      </x:c>
      <x:c r="F858" s="30" t="str">
        <x:v>M06/M07</x:v>
      </x:c>
      <x:c r="G858" s="30" t="str">
        <x:v>未开始</x:v>
      </x:c>
      <x:c r="H858" s="30" t="str"/>
      <x:c r="I858" s="30" t="str"/>
      <x:c r="J858" s="30" t="str"/>
      <x:c r="K858" s="30" t="str"/>
      <x:c r="L858" s="30" t="str"/>
      <x:c r="M858" s="30" t="str"/>
      <x:c r="N858" s="30" t="str"/>
      <x:c r="O858" s="30" t="str"/>
      <x:c r="P858" s="30" t="str"/>
      <x:c r="Q858" s="31" t="str"/>
      <x:c r="R858" s="31" t="str"/>
      <x:c r="S858" s="30" t="str"/>
      <x:c r="T858" s="30" t="str"/>
      <x:c r="U858" s="30" t="str"/>
      <x:c r="V858" s="40" t="str">
        <x:f>IF(B858="","",COUNTA(H858:L858)/5)</x:f>
      </x:c>
    </x:row>
    <x:row r="859">
      <x:c r="A859" s="30" t="str">
        <x:f>IF(B859="","",B859&amp;"-"&amp;C859)</x:f>
      </x:c>
      <x:c r="B859" s="30" t="str">
        <x:f>'01_命例主档'!A53</x:f>
      </x:c>
      <x:c r="C859" s="30" t="str">
        <x:v>M09</x:v>
      </x:c>
      <x:c r="D859" s="30" t="str">
        <x:v>日主旺衰</x:v>
      </x:c>
      <x:c r="E859" s="30" t="str">
        <x:v>综合层</x:v>
      </x:c>
      <x:c r="F859" s="30" t="str">
        <x:v>M03/M07/M08</x:v>
      </x:c>
      <x:c r="G859" s="30" t="str">
        <x:v>未开始</x:v>
      </x:c>
      <x:c r="H859" s="30" t="str"/>
      <x:c r="I859" s="30" t="str"/>
      <x:c r="J859" s="30" t="str"/>
      <x:c r="K859" s="30" t="str"/>
      <x:c r="L859" s="30" t="str"/>
      <x:c r="M859" s="30" t="str"/>
      <x:c r="N859" s="30" t="str"/>
      <x:c r="O859" s="30" t="str"/>
      <x:c r="P859" s="30" t="str"/>
      <x:c r="Q859" s="31" t="str"/>
      <x:c r="R859" s="31" t="str"/>
      <x:c r="S859" s="30" t="str"/>
      <x:c r="T859" s="30" t="str"/>
      <x:c r="U859" s="30" t="str"/>
      <x:c r="V859" s="40" t="str">
        <x:f>IF(B859="","",COUNTA(H859:L859)/5)</x:f>
      </x:c>
    </x:row>
    <x:row r="860">
      <x:c r="A860" s="30" t="str">
        <x:f>IF(B860="","",B860&amp;"-"&amp;C860)</x:f>
      </x:c>
      <x:c r="B860" s="30" t="str">
        <x:f>'01_命例主档'!A53</x:f>
      </x:c>
      <x:c r="C860" s="30" t="str">
        <x:v>M10</x:v>
      </x:c>
      <x:c r="D860" s="30" t="str">
        <x:v>十神旺衰功能</x:v>
      </x:c>
      <x:c r="E860" s="30" t="str">
        <x:v>结构层</x:v>
      </x:c>
      <x:c r="F860" s="30" t="str">
        <x:v>M02/M08/M09</x:v>
      </x:c>
      <x:c r="G860" s="30" t="str">
        <x:v>未开始</x:v>
      </x:c>
      <x:c r="H860" s="30" t="str"/>
      <x:c r="I860" s="30" t="str"/>
      <x:c r="J860" s="30" t="str"/>
      <x:c r="K860" s="30" t="str"/>
      <x:c r="L860" s="30" t="str"/>
      <x:c r="M860" s="30" t="str"/>
      <x:c r="N860" s="30" t="str"/>
      <x:c r="O860" s="30" t="str"/>
      <x:c r="P860" s="30" t="str"/>
      <x:c r="Q860" s="31" t="str"/>
      <x:c r="R860" s="31" t="str"/>
      <x:c r="S860" s="30" t="str"/>
      <x:c r="T860" s="30" t="str"/>
      <x:c r="U860" s="30" t="str"/>
      <x:c r="V860" s="40" t="str">
        <x:f>IF(B860="","",COUNTA(H860:L860)/5)</x:f>
      </x:c>
    </x:row>
    <x:row r="861">
      <x:c r="A861" s="30" t="str">
        <x:f>IF(B861="","",B861&amp;"-"&amp;C861)</x:f>
      </x:c>
      <x:c r="B861" s="30" t="str">
        <x:f>'01_命例主档'!A53</x:f>
      </x:c>
      <x:c r="C861" s="30" t="str">
        <x:v>M11</x:v>
      </x:c>
      <x:c r="D861" s="30" t="str">
        <x:v>十神组合成立</x:v>
      </x:c>
      <x:c r="E861" s="30" t="str">
        <x:v>结构层</x:v>
      </x:c>
      <x:c r="F861" s="30" t="str">
        <x:v>M08/M09/M10</x:v>
      </x:c>
      <x:c r="G861" s="30" t="str">
        <x:v>未开始</x:v>
      </x:c>
      <x:c r="H861" s="30" t="str"/>
      <x:c r="I861" s="30" t="str"/>
      <x:c r="J861" s="30" t="str"/>
      <x:c r="K861" s="30" t="str"/>
      <x:c r="L861" s="30" t="str"/>
      <x:c r="M861" s="30" t="str"/>
      <x:c r="N861" s="30" t="str"/>
      <x:c r="O861" s="30" t="str"/>
      <x:c r="P861" s="30" t="str"/>
      <x:c r="Q861" s="31" t="str"/>
      <x:c r="R861" s="31" t="str"/>
      <x:c r="S861" s="30" t="str"/>
      <x:c r="T861" s="30" t="str"/>
      <x:c r="U861" s="30" t="str"/>
      <x:c r="V861" s="40" t="str">
        <x:f>IF(B861="","",COUNTA(H861:L861)/5)</x:f>
      </x:c>
    </x:row>
    <x:row r="862">
      <x:c r="A862" s="30" t="str">
        <x:f>IF(B862="","",B862&amp;"-"&amp;C862)</x:f>
      </x:c>
      <x:c r="B862" s="30" t="str">
        <x:f>'01_命例主档'!A53</x:f>
      </x:c>
      <x:c r="C862" s="30" t="str">
        <x:v>M12</x:v>
      </x:c>
      <x:c r="D862" s="30" t="str">
        <x:v>五行流通卡点</x:v>
      </x:c>
      <x:c r="E862" s="30" t="str">
        <x:v>结构层</x:v>
      </x:c>
      <x:c r="F862" s="30" t="str">
        <x:v>M06/M08/M10/M11</x:v>
      </x:c>
      <x:c r="G862" s="30" t="str">
        <x:v>未开始</x:v>
      </x:c>
      <x:c r="H862" s="30" t="str"/>
      <x:c r="I862" s="30" t="str"/>
      <x:c r="J862" s="30" t="str"/>
      <x:c r="K862" s="30" t="str"/>
      <x:c r="L862" s="30" t="str"/>
      <x:c r="M862" s="30" t="str"/>
      <x:c r="N862" s="30" t="str"/>
      <x:c r="O862" s="30" t="str"/>
      <x:c r="P862" s="30" t="str"/>
      <x:c r="Q862" s="31" t="str"/>
      <x:c r="R862" s="31" t="str"/>
      <x:c r="S862" s="30" t="str"/>
      <x:c r="T862" s="30" t="str"/>
      <x:c r="U862" s="30" t="str"/>
      <x:c r="V862" s="40" t="str">
        <x:f>IF(B862="","",COUNTA(H862:L862)/5)</x:f>
      </x:c>
    </x:row>
    <x:row r="863">
      <x:c r="A863" s="30" t="str">
        <x:f>IF(B863="","",B863&amp;"-"&amp;C863)</x:f>
      </x:c>
      <x:c r="B863" s="30" t="str">
        <x:f>'01_命例主档'!A53</x:f>
      </x:c>
      <x:c r="C863" s="30" t="str">
        <x:v>M13</x:v>
      </x:c>
      <x:c r="D863" s="30" t="str">
        <x:v>寒暖燥湿</x:v>
      </x:c>
      <x:c r="E863" s="30" t="str">
        <x:v>结构层</x:v>
      </x:c>
      <x:c r="F863" s="30" t="str">
        <x:v>M02/M08/M12</x:v>
      </x:c>
      <x:c r="G863" s="30" t="str">
        <x:v>未开始</x:v>
      </x:c>
      <x:c r="H863" s="30" t="str"/>
      <x:c r="I863" s="30" t="str"/>
      <x:c r="J863" s="30" t="str"/>
      <x:c r="K863" s="30" t="str"/>
      <x:c r="L863" s="30" t="str"/>
      <x:c r="M863" s="30" t="str"/>
      <x:c r="N863" s="30" t="str"/>
      <x:c r="O863" s="30" t="str"/>
      <x:c r="P863" s="30" t="str"/>
      <x:c r="Q863" s="31" t="str"/>
      <x:c r="R863" s="31" t="str"/>
      <x:c r="S863" s="30" t="str"/>
      <x:c r="T863" s="30" t="str"/>
      <x:c r="U863" s="30" t="str"/>
      <x:c r="V863" s="40" t="str">
        <x:f>IF(B863="","",COUNTA(H863:L863)/5)</x:f>
      </x:c>
    </x:row>
    <x:row r="864">
      <x:c r="A864" s="30" t="str">
        <x:f>IF(B864="","",B864&amp;"-"&amp;C864)</x:f>
      </x:c>
      <x:c r="B864" s="30" t="str">
        <x:f>'01_命例主档'!A53</x:f>
      </x:c>
      <x:c r="C864" s="30" t="str">
        <x:v>M14</x:v>
      </x:c>
      <x:c r="D864" s="30" t="str">
        <x:v>格局候选判断</x:v>
      </x:c>
      <x:c r="E864" s="30" t="str">
        <x:v>综合层</x:v>
      </x:c>
      <x:c r="F864" s="30" t="str">
        <x:v>M03/M06/M08/M09/M10/M11</x:v>
      </x:c>
      <x:c r="G864" s="30" t="str">
        <x:v>未开始</x:v>
      </x:c>
      <x:c r="H864" s="30" t="str"/>
      <x:c r="I864" s="30" t="str"/>
      <x:c r="J864" s="30" t="str"/>
      <x:c r="K864" s="30" t="str"/>
      <x:c r="L864" s="30" t="str"/>
      <x:c r="M864" s="30" t="str"/>
      <x:c r="N864" s="30" t="str"/>
      <x:c r="O864" s="30" t="str"/>
      <x:c r="P864" s="30" t="str"/>
      <x:c r="Q864" s="31" t="str"/>
      <x:c r="R864" s="31" t="str"/>
      <x:c r="S864" s="30" t="str"/>
      <x:c r="T864" s="30" t="str"/>
      <x:c r="U864" s="30" t="str"/>
      <x:c r="V864" s="40" t="str">
        <x:f>IF(B864="","",COUNTA(H864:L864)/5)</x:f>
      </x:c>
    </x:row>
    <x:row r="865">
      <x:c r="A865" s="30" t="str">
        <x:f>IF(B865="","",B865&amp;"-"&amp;C865)</x:f>
      </x:c>
      <x:c r="B865" s="30" t="str">
        <x:f>'01_命例主档'!A53</x:f>
      </x:c>
      <x:c r="C865" s="30" t="str">
        <x:v>M15</x:v>
      </x:c>
      <x:c r="D865" s="30" t="str">
        <x:v>格局成败救应</x:v>
      </x:c>
      <x:c r="E865" s="30" t="str">
        <x:v>综合层</x:v>
      </x:c>
      <x:c r="F865" s="30" t="str">
        <x:v>M14/M11/M08</x:v>
      </x:c>
      <x:c r="G865" s="30" t="str">
        <x:v>未开始</x:v>
      </x:c>
      <x:c r="H865" s="30" t="str"/>
      <x:c r="I865" s="30" t="str"/>
      <x:c r="J865" s="30" t="str"/>
      <x:c r="K865" s="30" t="str"/>
      <x:c r="L865" s="30" t="str"/>
      <x:c r="M865" s="30" t="str"/>
      <x:c r="N865" s="30" t="str"/>
      <x:c r="O865" s="30" t="str"/>
      <x:c r="P865" s="30" t="str"/>
      <x:c r="Q865" s="31" t="str"/>
      <x:c r="R865" s="31" t="str"/>
      <x:c r="S865" s="30" t="str"/>
      <x:c r="T865" s="30" t="str"/>
      <x:c r="U865" s="30" t="str"/>
      <x:c r="V865" s="40" t="str">
        <x:f>IF(B865="","",COUNTA(H865:L865)/5)</x:f>
      </x:c>
    </x:row>
    <x:row r="866">
      <x:c r="A866" s="30" t="str">
        <x:f>IF(B866="","",B866&amp;"-"&amp;C866)</x:f>
      </x:c>
      <x:c r="B866" s="30" t="str">
        <x:f>'01_命例主档'!A53</x:f>
      </x:c>
      <x:c r="C866" s="30" t="str">
        <x:v>M16</x:v>
      </x:c>
      <x:c r="D866" s="30" t="str">
        <x:v>病药模型</x:v>
      </x:c>
      <x:c r="E866" s="30" t="str">
        <x:v>综合层</x:v>
      </x:c>
      <x:c r="F866" s="30" t="str">
        <x:v>M08-M15</x:v>
      </x:c>
      <x:c r="G866" s="30" t="str">
        <x:v>未开始</x:v>
      </x:c>
      <x:c r="H866" s="30" t="str"/>
      <x:c r="I866" s="30" t="str"/>
      <x:c r="J866" s="30" t="str"/>
      <x:c r="K866" s="30" t="str"/>
      <x:c r="L866" s="30" t="str"/>
      <x:c r="M866" s="30" t="str"/>
      <x:c r="N866" s="30" t="str"/>
      <x:c r="O866" s="30" t="str"/>
      <x:c r="P866" s="30" t="str"/>
      <x:c r="Q866" s="31" t="str"/>
      <x:c r="R866" s="31" t="str"/>
      <x:c r="S866" s="30" t="str"/>
      <x:c r="T866" s="30" t="str"/>
      <x:c r="U866" s="30" t="str"/>
      <x:c r="V866" s="40" t="str">
        <x:f>IF(B866="","",COUNTA(H866:L866)/5)</x:f>
      </x:c>
    </x:row>
    <x:row r="867">
      <x:c r="A867" s="30" t="str">
        <x:f>IF(B867="","",B867&amp;"-"&amp;C867)</x:f>
      </x:c>
      <x:c r="B867" s="30" t="str">
        <x:f>'01_命例主档'!A53</x:f>
      </x:c>
      <x:c r="C867" s="30" t="str">
        <x:v>M17</x:v>
      </x:c>
      <x:c r="D867" s="30" t="str">
        <x:v>喜忌用神矩阵</x:v>
      </x:c>
      <x:c r="E867" s="30" t="str">
        <x:v>综合层</x:v>
      </x:c>
      <x:c r="F867" s="30" t="str">
        <x:v>M09/M12/M13/M15/M16</x:v>
      </x:c>
      <x:c r="G867" s="30" t="str">
        <x:v>未开始</x:v>
      </x:c>
      <x:c r="H867" s="30" t="str"/>
      <x:c r="I867" s="30" t="str"/>
      <x:c r="J867" s="30" t="str"/>
      <x:c r="K867" s="30" t="str"/>
      <x:c r="L867" s="30" t="str"/>
      <x:c r="M867" s="30" t="str"/>
      <x:c r="N867" s="30" t="str"/>
      <x:c r="O867" s="30" t="str"/>
      <x:c r="P867" s="30" t="str"/>
      <x:c r="Q867" s="31" t="str"/>
      <x:c r="R867" s="31" t="str"/>
      <x:c r="S867" s="30" t="str"/>
      <x:c r="T867" s="30" t="str"/>
      <x:c r="U867" s="30" t="str"/>
      <x:c r="V867" s="40" t="str">
        <x:f>IF(B867="","",COUNTA(H867:L867)/5)</x:f>
      </x:c>
    </x:row>
    <x:row r="868">
      <x:c r="A868" s="30" t="str">
        <x:f>IF(B868="","",B868&amp;"-"&amp;C868)</x:f>
      </x:c>
      <x:c r="B868" s="30" t="str">
        <x:f>'01_命例主档'!A53</x:f>
      </x:c>
      <x:c r="C868" s="30" t="str">
        <x:v>M18</x:v>
      </x:c>
      <x:c r="D868" s="30" t="str">
        <x:v>冲突裁决规则</x:v>
      </x:c>
      <x:c r="E868" s="30" t="str">
        <x:v>综合层</x:v>
      </x:c>
      <x:c r="F868" s="30" t="str">
        <x:v>M14/M15/M16/M17</x:v>
      </x:c>
      <x:c r="G868" s="30" t="str">
        <x:v>未开始</x:v>
      </x:c>
      <x:c r="H868" s="30" t="str"/>
      <x:c r="I868" s="30" t="str"/>
      <x:c r="J868" s="30" t="str"/>
      <x:c r="K868" s="30" t="str"/>
      <x:c r="L868" s="30" t="str"/>
      <x:c r="M868" s="30" t="str"/>
      <x:c r="N868" s="30" t="str"/>
      <x:c r="O868" s="30" t="str"/>
      <x:c r="P868" s="30" t="str"/>
      <x:c r="Q868" s="31" t="str"/>
      <x:c r="R868" s="31" t="str"/>
      <x:c r="S868" s="30" t="str"/>
      <x:c r="T868" s="30" t="str"/>
      <x:c r="U868" s="30" t="str"/>
      <x:c r="V868" s="40" t="str">
        <x:f>IF(B868="","",COUNTA(H868:L868)/5)</x:f>
      </x:c>
    </x:row>
    <x:row r="869">
      <x:c r="A869" s="30" t="str">
        <x:f>IF(B869="","",B869&amp;"-"&amp;C869)</x:f>
      </x:c>
      <x:c r="B869" s="30" t="str">
        <x:f>'01_命例主档'!A53</x:f>
      </x:c>
      <x:c r="C869" s="30" t="str">
        <x:v>M19</x:v>
      </x:c>
      <x:c r="D869" s="30" t="str">
        <x:v>综合输出模板</x:v>
      </x:c>
      <x:c r="E869" s="30" t="str">
        <x:v>治理与输出</x:v>
      </x:c>
      <x:c r="F869" s="30" t="str">
        <x:v>M02-M18</x:v>
      </x:c>
      <x:c r="G869" s="30" t="str">
        <x:v>未开始</x:v>
      </x:c>
      <x:c r="H869" s="30" t="str"/>
      <x:c r="I869" s="30" t="str"/>
      <x:c r="J869" s="30" t="str"/>
      <x:c r="K869" s="30" t="str"/>
      <x:c r="L869" s="30" t="str"/>
      <x:c r="M869" s="30" t="str"/>
      <x:c r="N869" s="30" t="str"/>
      <x:c r="O869" s="30" t="str"/>
      <x:c r="P869" s="30" t="str"/>
      <x:c r="Q869" s="31" t="str"/>
      <x:c r="R869" s="31" t="str"/>
      <x:c r="S869" s="30" t="str"/>
      <x:c r="T869" s="30" t="str"/>
      <x:c r="U869" s="30" t="str"/>
      <x:c r="V869" s="40" t="str">
        <x:f>IF(B869="","",COUNTA(H869:L869)/5)</x:f>
      </x:c>
    </x:row>
    <x:row r="870">
      <x:c r="A870" s="30" t="str">
        <x:f>IF(B870="","",B870&amp;"-"&amp;C870)</x:f>
      </x:c>
      <x:c r="B870" s="30" t="str">
        <x:f>'01_命例主档'!A54</x:f>
      </x:c>
      <x:c r="C870" s="30" t="str">
        <x:v>M02</x:v>
      </x:c>
      <x:c r="D870" s="30" t="str">
        <x:v>干支藏干基础</x:v>
      </x:c>
      <x:c r="E870" s="30" t="str">
        <x:v>识别层</x:v>
      </x:c>
      <x:c r="F870" s="30" t="str">
        <x:v>无</x:v>
      </x:c>
      <x:c r="G870" s="30" t="str">
        <x:v>未开始</x:v>
      </x:c>
      <x:c r="H870" s="30" t="str"/>
      <x:c r="I870" s="30" t="str"/>
      <x:c r="J870" s="30" t="str"/>
      <x:c r="K870" s="30" t="str"/>
      <x:c r="L870" s="30" t="str"/>
      <x:c r="M870" s="30" t="str"/>
      <x:c r="N870" s="30" t="str"/>
      <x:c r="O870" s="30" t="str"/>
      <x:c r="P870" s="30" t="str"/>
      <x:c r="Q870" s="31" t="str"/>
      <x:c r="R870" s="31" t="str"/>
      <x:c r="S870" s="30" t="str"/>
      <x:c r="T870" s="30" t="str"/>
      <x:c r="U870" s="30" t="str"/>
      <x:c r="V870" s="40" t="str">
        <x:f>IF(B870="","",COUNTA(H870:L870)/5)</x:f>
      </x:c>
    </x:row>
    <x:row r="871">
      <x:c r="A871" s="30" t="str">
        <x:f>IF(B871="","",B871&amp;"-"&amp;C871)</x:f>
      </x:c>
      <x:c r="B871" s="30" t="str">
        <x:f>'01_命例主档'!A54</x:f>
      </x:c>
      <x:c r="C871" s="30" t="str">
        <x:v>M03</x:v>
      </x:c>
      <x:c r="D871" s="30" t="str">
        <x:v>月令与根气</x:v>
      </x:c>
      <x:c r="E871" s="30" t="str">
        <x:v>结构层</x:v>
      </x:c>
      <x:c r="F871" s="30" t="str">
        <x:v>M02</x:v>
      </x:c>
      <x:c r="G871" s="30" t="str">
        <x:v>未开始</x:v>
      </x:c>
      <x:c r="H871" s="30" t="str"/>
      <x:c r="I871" s="30" t="str"/>
      <x:c r="J871" s="30" t="str"/>
      <x:c r="K871" s="30" t="str"/>
      <x:c r="L871" s="30" t="str"/>
      <x:c r="M871" s="30" t="str"/>
      <x:c r="N871" s="30" t="str"/>
      <x:c r="O871" s="30" t="str"/>
      <x:c r="P871" s="30" t="str"/>
      <x:c r="Q871" s="31" t="str"/>
      <x:c r="R871" s="31" t="str"/>
      <x:c r="S871" s="30" t="str"/>
      <x:c r="T871" s="30" t="str"/>
      <x:c r="U871" s="30" t="str"/>
      <x:c r="V871" s="40" t="str">
        <x:f>IF(B871="","",COUNTA(H871:L871)/5)</x:f>
      </x:c>
    </x:row>
    <x:row r="872">
      <x:c r="A872" s="30" t="str">
        <x:f>IF(B872="","",B872&amp;"-"&amp;C872)</x:f>
      </x:c>
      <x:c r="B872" s="30" t="str">
        <x:f>'01_命例主档'!A54</x:f>
      </x:c>
      <x:c r="C872" s="30" t="str">
        <x:v>M04</x:v>
      </x:c>
      <x:c r="D872" s="30" t="str">
        <x:v>天干作用识别</x:v>
      </x:c>
      <x:c r="E872" s="30" t="str">
        <x:v>识别层</x:v>
      </x:c>
      <x:c r="F872" s="30" t="str">
        <x:v>M02</x:v>
      </x:c>
      <x:c r="G872" s="30" t="str">
        <x:v>未开始</x:v>
      </x:c>
      <x:c r="H872" s="30" t="str"/>
      <x:c r="I872" s="30" t="str"/>
      <x:c r="J872" s="30" t="str"/>
      <x:c r="K872" s="30" t="str"/>
      <x:c r="L872" s="30" t="str"/>
      <x:c r="M872" s="30" t="str"/>
      <x:c r="N872" s="30" t="str"/>
      <x:c r="O872" s="30" t="str"/>
      <x:c r="P872" s="30" t="str"/>
      <x:c r="Q872" s="31" t="str"/>
      <x:c r="R872" s="31" t="str"/>
      <x:c r="S872" s="30" t="str"/>
      <x:c r="T872" s="30" t="str"/>
      <x:c r="U872" s="30" t="str"/>
      <x:c r="V872" s="40" t="str">
        <x:f>IF(B872="","",COUNTA(H872:L872)/5)</x:f>
      </x:c>
    </x:row>
    <x:row r="873">
      <x:c r="A873" s="30" t="str">
        <x:f>IF(B873="","",B873&amp;"-"&amp;C873)</x:f>
      </x:c>
      <x:c r="B873" s="30" t="str">
        <x:f>'01_命例主档'!A54</x:f>
      </x:c>
      <x:c r="C873" s="30" t="str">
        <x:v>M05</x:v>
      </x:c>
      <x:c r="D873" s="30" t="str">
        <x:v>地支关系识别</x:v>
      </x:c>
      <x:c r="E873" s="30" t="str">
        <x:v>识别层</x:v>
      </x:c>
      <x:c r="F873" s="30" t="str">
        <x:v>M02</x:v>
      </x:c>
      <x:c r="G873" s="30" t="str">
        <x:v>未开始</x:v>
      </x:c>
      <x:c r="H873" s="30" t="str"/>
      <x:c r="I873" s="30" t="str"/>
      <x:c r="J873" s="30" t="str"/>
      <x:c r="K873" s="30" t="str"/>
      <x:c r="L873" s="30" t="str"/>
      <x:c r="M873" s="30" t="str"/>
      <x:c r="N873" s="30" t="str"/>
      <x:c r="O873" s="30" t="str"/>
      <x:c r="P873" s="30" t="str"/>
      <x:c r="Q873" s="31" t="str"/>
      <x:c r="R873" s="31" t="str"/>
      <x:c r="S873" s="30" t="str"/>
      <x:c r="T873" s="30" t="str"/>
      <x:c r="U873" s="30" t="str"/>
      <x:c r="V873" s="40" t="str">
        <x:f>IF(B873="","",COUNTA(H873:L873)/5)</x:f>
      </x:c>
    </x:row>
    <x:row r="874">
      <x:c r="A874" s="30" t="str">
        <x:f>IF(B874="","",B874&amp;"-"&amp;C874)</x:f>
      </x:c>
      <x:c r="B874" s="30" t="str">
        <x:f>'01_命例主档'!A54</x:f>
      </x:c>
      <x:c r="C874" s="30" t="str">
        <x:v>M06</x:v>
      </x:c>
      <x:c r="D874" s="30" t="str">
        <x:v>干支关系效应</x:v>
      </x:c>
      <x:c r="E874" s="30" t="str">
        <x:v>效应层</x:v>
      </x:c>
      <x:c r="F874" s="30" t="str">
        <x:v>M03/M04/M05</x:v>
      </x:c>
      <x:c r="G874" s="30" t="str">
        <x:v>未开始</x:v>
      </x:c>
      <x:c r="H874" s="30" t="str"/>
      <x:c r="I874" s="30" t="str"/>
      <x:c r="J874" s="30" t="str"/>
      <x:c r="K874" s="30" t="str"/>
      <x:c r="L874" s="30" t="str"/>
      <x:c r="M874" s="30" t="str"/>
      <x:c r="N874" s="30" t="str"/>
      <x:c r="O874" s="30" t="str"/>
      <x:c r="P874" s="30" t="str"/>
      <x:c r="Q874" s="31" t="str"/>
      <x:c r="R874" s="31" t="str"/>
      <x:c r="S874" s="30" t="str"/>
      <x:c r="T874" s="30" t="str"/>
      <x:c r="U874" s="30" t="str"/>
      <x:c r="V874" s="40" t="str">
        <x:f>IF(B874="","",COUNTA(H874:L874)/5)</x:f>
      </x:c>
    </x:row>
    <x:row r="875">
      <x:c r="A875" s="30" t="str">
        <x:f>IF(B875="","",B875&amp;"-"&amp;C875)</x:f>
      </x:c>
      <x:c r="B875" s="30" t="str">
        <x:f>'01_命例主档'!A54</x:f>
      </x:c>
      <x:c r="C875" s="30" t="str">
        <x:v>M07</x:v>
      </x:c>
      <x:c r="D875" s="30" t="str">
        <x:v>五行原始旺衰</x:v>
      </x:c>
      <x:c r="E875" s="30" t="str">
        <x:v>结构层</x:v>
      </x:c>
      <x:c r="F875" s="30" t="str">
        <x:v>M02/M03</x:v>
      </x:c>
      <x:c r="G875" s="30" t="str">
        <x:v>未开始</x:v>
      </x:c>
      <x:c r="H875" s="30" t="str"/>
      <x:c r="I875" s="30" t="str"/>
      <x:c r="J875" s="30" t="str"/>
      <x:c r="K875" s="30" t="str"/>
      <x:c r="L875" s="30" t="str"/>
      <x:c r="M875" s="30" t="str"/>
      <x:c r="N875" s="30" t="str"/>
      <x:c r="O875" s="30" t="str"/>
      <x:c r="P875" s="30" t="str"/>
      <x:c r="Q875" s="31" t="str"/>
      <x:c r="R875" s="31" t="str"/>
      <x:c r="S875" s="30" t="str"/>
      <x:c r="T875" s="30" t="str"/>
      <x:c r="U875" s="30" t="str"/>
      <x:c r="V875" s="40" t="str">
        <x:f>IF(B875="","",COUNTA(H875:L875)/5)</x:f>
      </x:c>
    </x:row>
    <x:row r="876">
      <x:c r="A876" s="30" t="str">
        <x:f>IF(B876="","",B876&amp;"-"&amp;C876)</x:f>
      </x:c>
      <x:c r="B876" s="30" t="str">
        <x:f>'01_命例主档'!A54</x:f>
      </x:c>
      <x:c r="C876" s="30" t="str">
        <x:v>M08</x:v>
      </x:c>
      <x:c r="D876" s="30" t="str">
        <x:v>五行有效旺衰</x:v>
      </x:c>
      <x:c r="E876" s="30" t="str">
        <x:v>结构层</x:v>
      </x:c>
      <x:c r="F876" s="30" t="str">
        <x:v>M06/M07</x:v>
      </x:c>
      <x:c r="G876" s="30" t="str">
        <x:v>未开始</x:v>
      </x:c>
      <x:c r="H876" s="30" t="str"/>
      <x:c r="I876" s="30" t="str"/>
      <x:c r="J876" s="30" t="str"/>
      <x:c r="K876" s="30" t="str"/>
      <x:c r="L876" s="30" t="str"/>
      <x:c r="M876" s="30" t="str"/>
      <x:c r="N876" s="30" t="str"/>
      <x:c r="O876" s="30" t="str"/>
      <x:c r="P876" s="30" t="str"/>
      <x:c r="Q876" s="31" t="str"/>
      <x:c r="R876" s="31" t="str"/>
      <x:c r="S876" s="30" t="str"/>
      <x:c r="T876" s="30" t="str"/>
      <x:c r="U876" s="30" t="str"/>
      <x:c r="V876" s="40" t="str">
        <x:f>IF(B876="","",COUNTA(H876:L876)/5)</x:f>
      </x:c>
    </x:row>
    <x:row r="877">
      <x:c r="A877" s="30" t="str">
        <x:f>IF(B877="","",B877&amp;"-"&amp;C877)</x:f>
      </x:c>
      <x:c r="B877" s="30" t="str">
        <x:f>'01_命例主档'!A54</x:f>
      </x:c>
      <x:c r="C877" s="30" t="str">
        <x:v>M09</x:v>
      </x:c>
      <x:c r="D877" s="30" t="str">
        <x:v>日主旺衰</x:v>
      </x:c>
      <x:c r="E877" s="30" t="str">
        <x:v>综合层</x:v>
      </x:c>
      <x:c r="F877" s="30" t="str">
        <x:v>M03/M07/M08</x:v>
      </x:c>
      <x:c r="G877" s="30" t="str">
        <x:v>未开始</x:v>
      </x:c>
      <x:c r="H877" s="30" t="str"/>
      <x:c r="I877" s="30" t="str"/>
      <x:c r="J877" s="30" t="str"/>
      <x:c r="K877" s="30" t="str"/>
      <x:c r="L877" s="30" t="str"/>
      <x:c r="M877" s="30" t="str"/>
      <x:c r="N877" s="30" t="str"/>
      <x:c r="O877" s="30" t="str"/>
      <x:c r="P877" s="30" t="str"/>
      <x:c r="Q877" s="31" t="str"/>
      <x:c r="R877" s="31" t="str"/>
      <x:c r="S877" s="30" t="str"/>
      <x:c r="T877" s="30" t="str"/>
      <x:c r="U877" s="30" t="str"/>
      <x:c r="V877" s="40" t="str">
        <x:f>IF(B877="","",COUNTA(H877:L877)/5)</x:f>
      </x:c>
    </x:row>
    <x:row r="878">
      <x:c r="A878" s="30" t="str">
        <x:f>IF(B878="","",B878&amp;"-"&amp;C878)</x:f>
      </x:c>
      <x:c r="B878" s="30" t="str">
        <x:f>'01_命例主档'!A54</x:f>
      </x:c>
      <x:c r="C878" s="30" t="str">
        <x:v>M10</x:v>
      </x:c>
      <x:c r="D878" s="30" t="str">
        <x:v>十神旺衰功能</x:v>
      </x:c>
      <x:c r="E878" s="30" t="str">
        <x:v>结构层</x:v>
      </x:c>
      <x:c r="F878" s="30" t="str">
        <x:v>M02/M08/M09</x:v>
      </x:c>
      <x:c r="G878" s="30" t="str">
        <x:v>未开始</x:v>
      </x:c>
      <x:c r="H878" s="30" t="str"/>
      <x:c r="I878" s="30" t="str"/>
      <x:c r="J878" s="30" t="str"/>
      <x:c r="K878" s="30" t="str"/>
      <x:c r="L878" s="30" t="str"/>
      <x:c r="M878" s="30" t="str"/>
      <x:c r="N878" s="30" t="str"/>
      <x:c r="O878" s="30" t="str"/>
      <x:c r="P878" s="30" t="str"/>
      <x:c r="Q878" s="31" t="str"/>
      <x:c r="R878" s="31" t="str"/>
      <x:c r="S878" s="30" t="str"/>
      <x:c r="T878" s="30" t="str"/>
      <x:c r="U878" s="30" t="str"/>
      <x:c r="V878" s="40" t="str">
        <x:f>IF(B878="","",COUNTA(H878:L878)/5)</x:f>
      </x:c>
    </x:row>
    <x:row r="879">
      <x:c r="A879" s="30" t="str">
        <x:f>IF(B879="","",B879&amp;"-"&amp;C879)</x:f>
      </x:c>
      <x:c r="B879" s="30" t="str">
        <x:f>'01_命例主档'!A54</x:f>
      </x:c>
      <x:c r="C879" s="30" t="str">
        <x:v>M11</x:v>
      </x:c>
      <x:c r="D879" s="30" t="str">
        <x:v>十神组合成立</x:v>
      </x:c>
      <x:c r="E879" s="30" t="str">
        <x:v>结构层</x:v>
      </x:c>
      <x:c r="F879" s="30" t="str">
        <x:v>M08/M09/M10</x:v>
      </x:c>
      <x:c r="G879" s="30" t="str">
        <x:v>未开始</x:v>
      </x:c>
      <x:c r="H879" s="30" t="str"/>
      <x:c r="I879" s="30" t="str"/>
      <x:c r="J879" s="30" t="str"/>
      <x:c r="K879" s="30" t="str"/>
      <x:c r="L879" s="30" t="str"/>
      <x:c r="M879" s="30" t="str"/>
      <x:c r="N879" s="30" t="str"/>
      <x:c r="O879" s="30" t="str"/>
      <x:c r="P879" s="30" t="str"/>
      <x:c r="Q879" s="31" t="str"/>
      <x:c r="R879" s="31" t="str"/>
      <x:c r="S879" s="30" t="str"/>
      <x:c r="T879" s="30" t="str"/>
      <x:c r="U879" s="30" t="str"/>
      <x:c r="V879" s="40" t="str">
        <x:f>IF(B879="","",COUNTA(H879:L879)/5)</x:f>
      </x:c>
    </x:row>
    <x:row r="880">
      <x:c r="A880" s="30" t="str">
        <x:f>IF(B880="","",B880&amp;"-"&amp;C880)</x:f>
      </x:c>
      <x:c r="B880" s="30" t="str">
        <x:f>'01_命例主档'!A54</x:f>
      </x:c>
      <x:c r="C880" s="30" t="str">
        <x:v>M12</x:v>
      </x:c>
      <x:c r="D880" s="30" t="str">
        <x:v>五行流通卡点</x:v>
      </x:c>
      <x:c r="E880" s="30" t="str">
        <x:v>结构层</x:v>
      </x:c>
      <x:c r="F880" s="30" t="str">
        <x:v>M06/M08/M10/M11</x:v>
      </x:c>
      <x:c r="G880" s="30" t="str">
        <x:v>未开始</x:v>
      </x:c>
      <x:c r="H880" s="30" t="str"/>
      <x:c r="I880" s="30" t="str"/>
      <x:c r="J880" s="30" t="str"/>
      <x:c r="K880" s="30" t="str"/>
      <x:c r="L880" s="30" t="str"/>
      <x:c r="M880" s="30" t="str"/>
      <x:c r="N880" s="30" t="str"/>
      <x:c r="O880" s="30" t="str"/>
      <x:c r="P880" s="30" t="str"/>
      <x:c r="Q880" s="31" t="str"/>
      <x:c r="R880" s="31" t="str"/>
      <x:c r="S880" s="30" t="str"/>
      <x:c r="T880" s="30" t="str"/>
      <x:c r="U880" s="30" t="str"/>
      <x:c r="V880" s="40" t="str">
        <x:f>IF(B880="","",COUNTA(H880:L880)/5)</x:f>
      </x:c>
    </x:row>
    <x:row r="881">
      <x:c r="A881" s="30" t="str">
        <x:f>IF(B881="","",B881&amp;"-"&amp;C881)</x:f>
      </x:c>
      <x:c r="B881" s="30" t="str">
        <x:f>'01_命例主档'!A54</x:f>
      </x:c>
      <x:c r="C881" s="30" t="str">
        <x:v>M13</x:v>
      </x:c>
      <x:c r="D881" s="30" t="str">
        <x:v>寒暖燥湿</x:v>
      </x:c>
      <x:c r="E881" s="30" t="str">
        <x:v>结构层</x:v>
      </x:c>
      <x:c r="F881" s="30" t="str">
        <x:v>M02/M08/M12</x:v>
      </x:c>
      <x:c r="G881" s="30" t="str">
        <x:v>未开始</x:v>
      </x:c>
      <x:c r="H881" s="30" t="str"/>
      <x:c r="I881" s="30" t="str"/>
      <x:c r="J881" s="30" t="str"/>
      <x:c r="K881" s="30" t="str"/>
      <x:c r="L881" s="30" t="str"/>
      <x:c r="M881" s="30" t="str"/>
      <x:c r="N881" s="30" t="str"/>
      <x:c r="O881" s="30" t="str"/>
      <x:c r="P881" s="30" t="str"/>
      <x:c r="Q881" s="31" t="str"/>
      <x:c r="R881" s="31" t="str"/>
      <x:c r="S881" s="30" t="str"/>
      <x:c r="T881" s="30" t="str"/>
      <x:c r="U881" s="30" t="str"/>
      <x:c r="V881" s="40" t="str">
        <x:f>IF(B881="","",COUNTA(H881:L881)/5)</x:f>
      </x:c>
    </x:row>
    <x:row r="882">
      <x:c r="A882" s="30" t="str">
        <x:f>IF(B882="","",B882&amp;"-"&amp;C882)</x:f>
      </x:c>
      <x:c r="B882" s="30" t="str">
        <x:f>'01_命例主档'!A54</x:f>
      </x:c>
      <x:c r="C882" s="30" t="str">
        <x:v>M14</x:v>
      </x:c>
      <x:c r="D882" s="30" t="str">
        <x:v>格局候选判断</x:v>
      </x:c>
      <x:c r="E882" s="30" t="str">
        <x:v>综合层</x:v>
      </x:c>
      <x:c r="F882" s="30" t="str">
        <x:v>M03/M06/M08/M09/M10/M11</x:v>
      </x:c>
      <x:c r="G882" s="30" t="str">
        <x:v>未开始</x:v>
      </x:c>
      <x:c r="H882" s="30" t="str"/>
      <x:c r="I882" s="30" t="str"/>
      <x:c r="J882" s="30" t="str"/>
      <x:c r="K882" s="30" t="str"/>
      <x:c r="L882" s="30" t="str"/>
      <x:c r="M882" s="30" t="str"/>
      <x:c r="N882" s="30" t="str"/>
      <x:c r="O882" s="30" t="str"/>
      <x:c r="P882" s="30" t="str"/>
      <x:c r="Q882" s="31" t="str"/>
      <x:c r="R882" s="31" t="str"/>
      <x:c r="S882" s="30" t="str"/>
      <x:c r="T882" s="30" t="str"/>
      <x:c r="U882" s="30" t="str"/>
      <x:c r="V882" s="40" t="str">
        <x:f>IF(B882="","",COUNTA(H882:L882)/5)</x:f>
      </x:c>
    </x:row>
    <x:row r="883">
      <x:c r="A883" s="30" t="str">
        <x:f>IF(B883="","",B883&amp;"-"&amp;C883)</x:f>
      </x:c>
      <x:c r="B883" s="30" t="str">
        <x:f>'01_命例主档'!A54</x:f>
      </x:c>
      <x:c r="C883" s="30" t="str">
        <x:v>M15</x:v>
      </x:c>
      <x:c r="D883" s="30" t="str">
        <x:v>格局成败救应</x:v>
      </x:c>
      <x:c r="E883" s="30" t="str">
        <x:v>综合层</x:v>
      </x:c>
      <x:c r="F883" s="30" t="str">
        <x:v>M14/M11/M08</x:v>
      </x:c>
      <x:c r="G883" s="30" t="str">
        <x:v>未开始</x:v>
      </x:c>
      <x:c r="H883" s="30" t="str"/>
      <x:c r="I883" s="30" t="str"/>
      <x:c r="J883" s="30" t="str"/>
      <x:c r="K883" s="30" t="str"/>
      <x:c r="L883" s="30" t="str"/>
      <x:c r="M883" s="30" t="str"/>
      <x:c r="N883" s="30" t="str"/>
      <x:c r="O883" s="30" t="str"/>
      <x:c r="P883" s="30" t="str"/>
      <x:c r="Q883" s="31" t="str"/>
      <x:c r="R883" s="31" t="str"/>
      <x:c r="S883" s="30" t="str"/>
      <x:c r="T883" s="30" t="str"/>
      <x:c r="U883" s="30" t="str"/>
      <x:c r="V883" s="40" t="str">
        <x:f>IF(B883="","",COUNTA(H883:L883)/5)</x:f>
      </x:c>
    </x:row>
    <x:row r="884">
      <x:c r="A884" s="30" t="str">
        <x:f>IF(B884="","",B884&amp;"-"&amp;C884)</x:f>
      </x:c>
      <x:c r="B884" s="30" t="str">
        <x:f>'01_命例主档'!A54</x:f>
      </x:c>
      <x:c r="C884" s="30" t="str">
        <x:v>M16</x:v>
      </x:c>
      <x:c r="D884" s="30" t="str">
        <x:v>病药模型</x:v>
      </x:c>
      <x:c r="E884" s="30" t="str">
        <x:v>综合层</x:v>
      </x:c>
      <x:c r="F884" s="30" t="str">
        <x:v>M08-M15</x:v>
      </x:c>
      <x:c r="G884" s="30" t="str">
        <x:v>未开始</x:v>
      </x:c>
      <x:c r="H884" s="30" t="str"/>
      <x:c r="I884" s="30" t="str"/>
      <x:c r="J884" s="30" t="str"/>
      <x:c r="K884" s="30" t="str"/>
      <x:c r="L884" s="30" t="str"/>
      <x:c r="M884" s="30" t="str"/>
      <x:c r="N884" s="30" t="str"/>
      <x:c r="O884" s="30" t="str"/>
      <x:c r="P884" s="30" t="str"/>
      <x:c r="Q884" s="31" t="str"/>
      <x:c r="R884" s="31" t="str"/>
      <x:c r="S884" s="30" t="str"/>
      <x:c r="T884" s="30" t="str"/>
      <x:c r="U884" s="30" t="str"/>
      <x:c r="V884" s="40" t="str">
        <x:f>IF(B884="","",COUNTA(H884:L884)/5)</x:f>
      </x:c>
    </x:row>
    <x:row r="885">
      <x:c r="A885" s="30" t="str">
        <x:f>IF(B885="","",B885&amp;"-"&amp;C885)</x:f>
      </x:c>
      <x:c r="B885" s="30" t="str">
        <x:f>'01_命例主档'!A54</x:f>
      </x:c>
      <x:c r="C885" s="30" t="str">
        <x:v>M17</x:v>
      </x:c>
      <x:c r="D885" s="30" t="str">
        <x:v>喜忌用神矩阵</x:v>
      </x:c>
      <x:c r="E885" s="30" t="str">
        <x:v>综合层</x:v>
      </x:c>
      <x:c r="F885" s="30" t="str">
        <x:v>M09/M12/M13/M15/M16</x:v>
      </x:c>
      <x:c r="G885" s="30" t="str">
        <x:v>未开始</x:v>
      </x:c>
      <x:c r="H885" s="30" t="str"/>
      <x:c r="I885" s="30" t="str"/>
      <x:c r="J885" s="30" t="str"/>
      <x:c r="K885" s="30" t="str"/>
      <x:c r="L885" s="30" t="str"/>
      <x:c r="M885" s="30" t="str"/>
      <x:c r="N885" s="30" t="str"/>
      <x:c r="O885" s="30" t="str"/>
      <x:c r="P885" s="30" t="str"/>
      <x:c r="Q885" s="31" t="str"/>
      <x:c r="R885" s="31" t="str"/>
      <x:c r="S885" s="30" t="str"/>
      <x:c r="T885" s="30" t="str"/>
      <x:c r="U885" s="30" t="str"/>
      <x:c r="V885" s="40" t="str">
        <x:f>IF(B885="","",COUNTA(H885:L885)/5)</x:f>
      </x:c>
    </x:row>
    <x:row r="886">
      <x:c r="A886" s="30" t="str">
        <x:f>IF(B886="","",B886&amp;"-"&amp;C886)</x:f>
      </x:c>
      <x:c r="B886" s="30" t="str">
        <x:f>'01_命例主档'!A54</x:f>
      </x:c>
      <x:c r="C886" s="30" t="str">
        <x:v>M18</x:v>
      </x:c>
      <x:c r="D886" s="30" t="str">
        <x:v>冲突裁决规则</x:v>
      </x:c>
      <x:c r="E886" s="30" t="str">
        <x:v>综合层</x:v>
      </x:c>
      <x:c r="F886" s="30" t="str">
        <x:v>M14/M15/M16/M17</x:v>
      </x:c>
      <x:c r="G886" s="30" t="str">
        <x:v>未开始</x:v>
      </x:c>
      <x:c r="H886" s="30" t="str"/>
      <x:c r="I886" s="30" t="str"/>
      <x:c r="J886" s="30" t="str"/>
      <x:c r="K886" s="30" t="str"/>
      <x:c r="L886" s="30" t="str"/>
      <x:c r="M886" s="30" t="str"/>
      <x:c r="N886" s="30" t="str"/>
      <x:c r="O886" s="30" t="str"/>
      <x:c r="P886" s="30" t="str"/>
      <x:c r="Q886" s="31" t="str"/>
      <x:c r="R886" s="31" t="str"/>
      <x:c r="S886" s="30" t="str"/>
      <x:c r="T886" s="30" t="str"/>
      <x:c r="U886" s="30" t="str"/>
      <x:c r="V886" s="40" t="str">
        <x:f>IF(B886="","",COUNTA(H886:L886)/5)</x:f>
      </x:c>
    </x:row>
    <x:row r="887">
      <x:c r="A887" s="30" t="str">
        <x:f>IF(B887="","",B887&amp;"-"&amp;C887)</x:f>
      </x:c>
      <x:c r="B887" s="30" t="str">
        <x:f>'01_命例主档'!A54</x:f>
      </x:c>
      <x:c r="C887" s="30" t="str">
        <x:v>M19</x:v>
      </x:c>
      <x:c r="D887" s="30" t="str">
        <x:v>综合输出模板</x:v>
      </x:c>
      <x:c r="E887" s="30" t="str">
        <x:v>治理与输出</x:v>
      </x:c>
      <x:c r="F887" s="30" t="str">
        <x:v>M02-M18</x:v>
      </x:c>
      <x:c r="G887" s="30" t="str">
        <x:v>未开始</x:v>
      </x:c>
      <x:c r="H887" s="30" t="str"/>
      <x:c r="I887" s="30" t="str"/>
      <x:c r="J887" s="30" t="str"/>
      <x:c r="K887" s="30" t="str"/>
      <x:c r="L887" s="30" t="str"/>
      <x:c r="M887" s="30" t="str"/>
      <x:c r="N887" s="30" t="str"/>
      <x:c r="O887" s="30" t="str"/>
      <x:c r="P887" s="30" t="str"/>
      <x:c r="Q887" s="31" t="str"/>
      <x:c r="R887" s="31" t="str"/>
      <x:c r="S887" s="30" t="str"/>
      <x:c r="T887" s="30" t="str"/>
      <x:c r="U887" s="30" t="str"/>
      <x:c r="V887" s="40" t="str">
        <x:f>IF(B887="","",COUNTA(H887:L887)/5)</x:f>
      </x:c>
    </x:row>
    <x:row r="888">
      <x:c r="A888" s="30" t="str">
        <x:f>IF(B888="","",B888&amp;"-"&amp;C888)</x:f>
      </x:c>
      <x:c r="B888" s="30" t="n">
        <x:f>'01_命例主档'!A55</x:f>
        <x:v>0</x:v>
      </x:c>
      <x:c r="C888" s="30" t="str">
        <x:v>M02</x:v>
      </x:c>
      <x:c r="D888" s="30" t="str">
        <x:v>干支藏干基础</x:v>
      </x:c>
      <x:c r="E888" s="30" t="str">
        <x:v>识别层</x:v>
      </x:c>
      <x:c r="F888" s="30" t="str">
        <x:v>无</x:v>
      </x:c>
      <x:c r="G888" s="30" t="str">
        <x:v>未开始</x:v>
      </x:c>
      <x:c r="H888" s="30" t="str"/>
      <x:c r="I888" s="30" t="str"/>
      <x:c r="J888" s="30" t="str"/>
      <x:c r="K888" s="30" t="str"/>
      <x:c r="L888" s="30" t="str"/>
      <x:c r="M888" s="30" t="str"/>
      <x:c r="N888" s="30" t="str"/>
      <x:c r="O888" s="30" t="str"/>
      <x:c r="P888" s="30" t="str"/>
      <x:c r="Q888" s="31" t="str"/>
      <x:c r="R888" s="31" t="str"/>
      <x:c r="S888" s="30" t="str"/>
      <x:c r="T888" s="30" t="str"/>
      <x:c r="U888" s="30" t="str"/>
      <x:c r="V888" s="40" t="str">
        <x:f>IF(B888="","",COUNTA(H888:L888)/5)</x:f>
      </x:c>
    </x:row>
    <x:row r="889">
      <x:c r="A889" s="30" t="str">
        <x:f>IF(B889="","",B889&amp;"-"&amp;C889)</x:f>
      </x:c>
      <x:c r="B889" s="30" t="n">
        <x:f>'01_命例主档'!A55</x:f>
        <x:v>0</x:v>
      </x:c>
      <x:c r="C889" s="30" t="str">
        <x:v>M03</x:v>
      </x:c>
      <x:c r="D889" s="30" t="str">
        <x:v>月令与根气</x:v>
      </x:c>
      <x:c r="E889" s="30" t="str">
        <x:v>结构层</x:v>
      </x:c>
      <x:c r="F889" s="30" t="str">
        <x:v>M02</x:v>
      </x:c>
      <x:c r="G889" s="30" t="str">
        <x:v>未开始</x:v>
      </x:c>
      <x:c r="H889" s="30" t="str"/>
      <x:c r="I889" s="30" t="str"/>
      <x:c r="J889" s="30" t="str"/>
      <x:c r="K889" s="30" t="str"/>
      <x:c r="L889" s="30" t="str"/>
      <x:c r="M889" s="30" t="str"/>
      <x:c r="N889" s="30" t="str"/>
      <x:c r="O889" s="30" t="str"/>
      <x:c r="P889" s="30" t="str"/>
      <x:c r="Q889" s="31" t="str"/>
      <x:c r="R889" s="31" t="str"/>
      <x:c r="S889" s="30" t="str"/>
      <x:c r="T889" s="30" t="str"/>
      <x:c r="U889" s="30" t="str"/>
      <x:c r="V889" s="40" t="str">
        <x:f>IF(B889="","",COUNTA(H889:L889)/5)</x:f>
      </x:c>
    </x:row>
    <x:row r="890">
      <x:c r="A890" s="30" t="str">
        <x:f>IF(B890="","",B890&amp;"-"&amp;C890)</x:f>
      </x:c>
      <x:c r="B890" s="30" t="n">
        <x:f>'01_命例主档'!A55</x:f>
        <x:v>0</x:v>
      </x:c>
      <x:c r="C890" s="30" t="str">
        <x:v>M04</x:v>
      </x:c>
      <x:c r="D890" s="30" t="str">
        <x:v>天干作用识别</x:v>
      </x:c>
      <x:c r="E890" s="30" t="str">
        <x:v>识别层</x:v>
      </x:c>
      <x:c r="F890" s="30" t="str">
        <x:v>M02</x:v>
      </x:c>
      <x:c r="G890" s="30" t="str">
        <x:v>未开始</x:v>
      </x:c>
      <x:c r="H890" s="30" t="str"/>
      <x:c r="I890" s="30" t="str"/>
      <x:c r="J890" s="30" t="str"/>
      <x:c r="K890" s="30" t="str"/>
      <x:c r="L890" s="30" t="str"/>
      <x:c r="M890" s="30" t="str"/>
      <x:c r="N890" s="30" t="str"/>
      <x:c r="O890" s="30" t="str"/>
      <x:c r="P890" s="30" t="str"/>
      <x:c r="Q890" s="31" t="str"/>
      <x:c r="R890" s="31" t="str"/>
      <x:c r="S890" s="30" t="str"/>
      <x:c r="T890" s="30" t="str"/>
      <x:c r="U890" s="30" t="str"/>
      <x:c r="V890" s="40" t="str">
        <x:f>IF(B890="","",COUNTA(H890:L890)/5)</x:f>
      </x:c>
    </x:row>
    <x:row r="891">
      <x:c r="A891" s="30" t="str">
        <x:f>IF(B891="","",B891&amp;"-"&amp;C891)</x:f>
      </x:c>
      <x:c r="B891" s="30" t="n">
        <x:f>'01_命例主档'!A55</x:f>
        <x:v>0</x:v>
      </x:c>
      <x:c r="C891" s="30" t="str">
        <x:v>M05</x:v>
      </x:c>
      <x:c r="D891" s="30" t="str">
        <x:v>地支关系识别</x:v>
      </x:c>
      <x:c r="E891" s="30" t="str">
        <x:v>识别层</x:v>
      </x:c>
      <x:c r="F891" s="30" t="str">
        <x:v>M02</x:v>
      </x:c>
      <x:c r="G891" s="30" t="str">
        <x:v>未开始</x:v>
      </x:c>
      <x:c r="H891" s="30" t="str"/>
      <x:c r="I891" s="30" t="str"/>
      <x:c r="J891" s="30" t="str"/>
      <x:c r="K891" s="30" t="str"/>
      <x:c r="L891" s="30" t="str"/>
      <x:c r="M891" s="30" t="str"/>
      <x:c r="N891" s="30" t="str"/>
      <x:c r="O891" s="30" t="str"/>
      <x:c r="P891" s="30" t="str"/>
      <x:c r="Q891" s="31" t="str"/>
      <x:c r="R891" s="31" t="str"/>
      <x:c r="S891" s="30" t="str"/>
      <x:c r="T891" s="30" t="str"/>
      <x:c r="U891" s="30" t="str"/>
      <x:c r="V891" s="40" t="str">
        <x:f>IF(B891="","",COUNTA(H891:L891)/5)</x:f>
      </x:c>
    </x:row>
    <x:row r="892">
      <x:c r="A892" s="30" t="str">
        <x:f>IF(B892="","",B892&amp;"-"&amp;C892)</x:f>
      </x:c>
      <x:c r="B892" s="30" t="n">
        <x:f>'01_命例主档'!A55</x:f>
        <x:v>0</x:v>
      </x:c>
      <x:c r="C892" s="30" t="str">
        <x:v>M06</x:v>
      </x:c>
      <x:c r="D892" s="30" t="str">
        <x:v>干支关系效应</x:v>
      </x:c>
      <x:c r="E892" s="30" t="str">
        <x:v>效应层</x:v>
      </x:c>
      <x:c r="F892" s="30" t="str">
        <x:v>M03/M04/M05</x:v>
      </x:c>
      <x:c r="G892" s="30" t="str">
        <x:v>未开始</x:v>
      </x:c>
      <x:c r="H892" s="30" t="str"/>
      <x:c r="I892" s="30" t="str"/>
      <x:c r="J892" s="30" t="str"/>
      <x:c r="K892" s="30" t="str"/>
      <x:c r="L892" s="30" t="str"/>
      <x:c r="M892" s="30" t="str"/>
      <x:c r="N892" s="30" t="str"/>
      <x:c r="O892" s="30" t="str"/>
      <x:c r="P892" s="30" t="str"/>
      <x:c r="Q892" s="31" t="str"/>
      <x:c r="R892" s="31" t="str"/>
      <x:c r="S892" s="30" t="str"/>
      <x:c r="T892" s="30" t="str"/>
      <x:c r="U892" s="30" t="str"/>
      <x:c r="V892" s="40" t="str">
        <x:f>IF(B892="","",COUNTA(H892:L892)/5)</x:f>
      </x:c>
    </x:row>
    <x:row r="893">
      <x:c r="A893" s="30" t="str">
        <x:f>IF(B893="","",B893&amp;"-"&amp;C893)</x:f>
      </x:c>
      <x:c r="B893" s="30" t="n">
        <x:f>'01_命例主档'!A55</x:f>
        <x:v>0</x:v>
      </x:c>
      <x:c r="C893" s="30" t="str">
        <x:v>M07</x:v>
      </x:c>
      <x:c r="D893" s="30" t="str">
        <x:v>五行原始旺衰</x:v>
      </x:c>
      <x:c r="E893" s="30" t="str">
        <x:v>结构层</x:v>
      </x:c>
      <x:c r="F893" s="30" t="str">
        <x:v>M02/M03</x:v>
      </x:c>
      <x:c r="G893" s="30" t="str">
        <x:v>未开始</x:v>
      </x:c>
      <x:c r="H893" s="30" t="str"/>
      <x:c r="I893" s="30" t="str"/>
      <x:c r="J893" s="30" t="str"/>
      <x:c r="K893" s="30" t="str"/>
      <x:c r="L893" s="30" t="str"/>
      <x:c r="M893" s="30" t="str"/>
      <x:c r="N893" s="30" t="str"/>
      <x:c r="O893" s="30" t="str"/>
      <x:c r="P893" s="30" t="str"/>
      <x:c r="Q893" s="31" t="str"/>
      <x:c r="R893" s="31" t="str"/>
      <x:c r="S893" s="30" t="str"/>
      <x:c r="T893" s="30" t="str"/>
      <x:c r="U893" s="30" t="str"/>
      <x:c r="V893" s="40" t="str">
        <x:f>IF(B893="","",COUNTA(H893:L893)/5)</x:f>
      </x:c>
    </x:row>
    <x:row r="894">
      <x:c r="A894" s="30" t="str">
        <x:f>IF(B894="","",B894&amp;"-"&amp;C894)</x:f>
      </x:c>
      <x:c r="B894" s="30" t="n">
        <x:f>'01_命例主档'!A55</x:f>
        <x:v>0</x:v>
      </x:c>
      <x:c r="C894" s="30" t="str">
        <x:v>M08</x:v>
      </x:c>
      <x:c r="D894" s="30" t="str">
        <x:v>五行有效旺衰</x:v>
      </x:c>
      <x:c r="E894" s="30" t="str">
        <x:v>结构层</x:v>
      </x:c>
      <x:c r="F894" s="30" t="str">
        <x:v>M06/M07</x:v>
      </x:c>
      <x:c r="G894" s="30" t="str">
        <x:v>未开始</x:v>
      </x:c>
      <x:c r="H894" s="30" t="str"/>
      <x:c r="I894" s="30" t="str"/>
      <x:c r="J894" s="30" t="str"/>
      <x:c r="K894" s="30" t="str"/>
      <x:c r="L894" s="30" t="str"/>
      <x:c r="M894" s="30" t="str"/>
      <x:c r="N894" s="30" t="str"/>
      <x:c r="O894" s="30" t="str"/>
      <x:c r="P894" s="30" t="str"/>
      <x:c r="Q894" s="31" t="str"/>
      <x:c r="R894" s="31" t="str"/>
      <x:c r="S894" s="30" t="str"/>
      <x:c r="T894" s="30" t="str"/>
      <x:c r="U894" s="30" t="str"/>
      <x:c r="V894" s="40" t="str">
        <x:f>IF(B894="","",COUNTA(H894:L894)/5)</x:f>
      </x:c>
    </x:row>
    <x:row r="895">
      <x:c r="A895" s="30" t="str">
        <x:f>IF(B895="","",B895&amp;"-"&amp;C895)</x:f>
      </x:c>
      <x:c r="B895" s="30" t="n">
        <x:f>'01_命例主档'!A55</x:f>
        <x:v>0</x:v>
      </x:c>
      <x:c r="C895" s="30" t="str">
        <x:v>M09</x:v>
      </x:c>
      <x:c r="D895" s="30" t="str">
        <x:v>日主旺衰</x:v>
      </x:c>
      <x:c r="E895" s="30" t="str">
        <x:v>综合层</x:v>
      </x:c>
      <x:c r="F895" s="30" t="str">
        <x:v>M03/M07/M08</x:v>
      </x:c>
      <x:c r="G895" s="30" t="str">
        <x:v>未开始</x:v>
      </x:c>
      <x:c r="H895" s="30" t="str"/>
      <x:c r="I895" s="30" t="str"/>
      <x:c r="J895" s="30" t="str"/>
      <x:c r="K895" s="30" t="str"/>
      <x:c r="L895" s="30" t="str"/>
      <x:c r="M895" s="30" t="str"/>
      <x:c r="N895" s="30" t="str"/>
      <x:c r="O895" s="30" t="str"/>
      <x:c r="P895" s="30" t="str"/>
      <x:c r="Q895" s="31" t="str"/>
      <x:c r="R895" s="31" t="str"/>
      <x:c r="S895" s="30" t="str"/>
      <x:c r="T895" s="30" t="str"/>
      <x:c r="U895" s="30" t="str"/>
      <x:c r="V895" s="40" t="str">
        <x:f>IF(B895="","",COUNTA(H895:L895)/5)</x:f>
      </x:c>
    </x:row>
    <x:row r="896">
      <x:c r="A896" s="30" t="str">
        <x:f>IF(B896="","",B896&amp;"-"&amp;C896)</x:f>
      </x:c>
      <x:c r="B896" s="30" t="n">
        <x:f>'01_命例主档'!A55</x:f>
        <x:v>0</x:v>
      </x:c>
      <x:c r="C896" s="30" t="str">
        <x:v>M10</x:v>
      </x:c>
      <x:c r="D896" s="30" t="str">
        <x:v>十神旺衰功能</x:v>
      </x:c>
      <x:c r="E896" s="30" t="str">
        <x:v>结构层</x:v>
      </x:c>
      <x:c r="F896" s="30" t="str">
        <x:v>M02/M08/M09</x:v>
      </x:c>
      <x:c r="G896" s="30" t="str">
        <x:v>未开始</x:v>
      </x:c>
      <x:c r="H896" s="30" t="str"/>
      <x:c r="I896" s="30" t="str"/>
      <x:c r="J896" s="30" t="str"/>
      <x:c r="K896" s="30" t="str"/>
      <x:c r="L896" s="30" t="str"/>
      <x:c r="M896" s="30" t="str"/>
      <x:c r="N896" s="30" t="str"/>
      <x:c r="O896" s="30" t="str"/>
      <x:c r="P896" s="30" t="str"/>
      <x:c r="Q896" s="31" t="str"/>
      <x:c r="R896" s="31" t="str"/>
      <x:c r="S896" s="30" t="str"/>
      <x:c r="T896" s="30" t="str"/>
      <x:c r="U896" s="30" t="str"/>
      <x:c r="V896" s="40" t="str">
        <x:f>IF(B896="","",COUNTA(H896:L896)/5)</x:f>
      </x:c>
    </x:row>
    <x:row r="897">
      <x:c r="A897" s="30" t="str">
        <x:f>IF(B897="","",B897&amp;"-"&amp;C897)</x:f>
      </x:c>
      <x:c r="B897" s="30" t="n">
        <x:f>'01_命例主档'!A55</x:f>
        <x:v>0</x:v>
      </x:c>
      <x:c r="C897" s="30" t="str">
        <x:v>M11</x:v>
      </x:c>
      <x:c r="D897" s="30" t="str">
        <x:v>十神组合成立</x:v>
      </x:c>
      <x:c r="E897" s="30" t="str">
        <x:v>结构层</x:v>
      </x:c>
      <x:c r="F897" s="30" t="str">
        <x:v>M08/M09/M10</x:v>
      </x:c>
      <x:c r="G897" s="30" t="str">
        <x:v>未开始</x:v>
      </x:c>
      <x:c r="H897" s="30" t="str"/>
      <x:c r="I897" s="30" t="str"/>
      <x:c r="J897" s="30" t="str"/>
      <x:c r="K897" s="30" t="str"/>
      <x:c r="L897" s="30" t="str"/>
      <x:c r="M897" s="30" t="str"/>
      <x:c r="N897" s="30" t="str"/>
      <x:c r="O897" s="30" t="str"/>
      <x:c r="P897" s="30" t="str"/>
      <x:c r="Q897" s="31" t="str"/>
      <x:c r="R897" s="31" t="str"/>
      <x:c r="S897" s="30" t="str"/>
      <x:c r="T897" s="30" t="str"/>
      <x:c r="U897" s="30" t="str"/>
      <x:c r="V897" s="40" t="str">
        <x:f>IF(B897="","",COUNTA(H897:L897)/5)</x:f>
      </x:c>
    </x:row>
    <x:row r="898">
      <x:c r="A898" s="30" t="str">
        <x:f>IF(B898="","",B898&amp;"-"&amp;C898)</x:f>
      </x:c>
      <x:c r="B898" s="30" t="n">
        <x:f>'01_命例主档'!A55</x:f>
        <x:v>0</x:v>
      </x:c>
      <x:c r="C898" s="30" t="str">
        <x:v>M12</x:v>
      </x:c>
      <x:c r="D898" s="30" t="str">
        <x:v>五行流通卡点</x:v>
      </x:c>
      <x:c r="E898" s="30" t="str">
        <x:v>结构层</x:v>
      </x:c>
      <x:c r="F898" s="30" t="str">
        <x:v>M06/M08/M10/M11</x:v>
      </x:c>
      <x:c r="G898" s="30" t="str">
        <x:v>未开始</x:v>
      </x:c>
      <x:c r="H898" s="30" t="str"/>
      <x:c r="I898" s="30" t="str"/>
      <x:c r="J898" s="30" t="str"/>
      <x:c r="K898" s="30" t="str"/>
      <x:c r="L898" s="30" t="str"/>
      <x:c r="M898" s="30" t="str"/>
      <x:c r="N898" s="30" t="str"/>
      <x:c r="O898" s="30" t="str"/>
      <x:c r="P898" s="30" t="str"/>
      <x:c r="Q898" s="31" t="str"/>
      <x:c r="R898" s="31" t="str"/>
      <x:c r="S898" s="30" t="str"/>
      <x:c r="T898" s="30" t="str"/>
      <x:c r="U898" s="30" t="str"/>
      <x:c r="V898" s="40" t="str">
        <x:f>IF(B898="","",COUNTA(H898:L898)/5)</x:f>
      </x:c>
    </x:row>
    <x:row r="899">
      <x:c r="A899" s="30" t="str">
        <x:f>IF(B899="","",B899&amp;"-"&amp;C899)</x:f>
      </x:c>
      <x:c r="B899" s="30" t="n">
        <x:f>'01_命例主档'!A55</x:f>
        <x:v>0</x:v>
      </x:c>
      <x:c r="C899" s="30" t="str">
        <x:v>M13</x:v>
      </x:c>
      <x:c r="D899" s="30" t="str">
        <x:v>寒暖燥湿</x:v>
      </x:c>
      <x:c r="E899" s="30" t="str">
        <x:v>结构层</x:v>
      </x:c>
      <x:c r="F899" s="30" t="str">
        <x:v>M02/M08/M12</x:v>
      </x:c>
      <x:c r="G899" s="30" t="str">
        <x:v>未开始</x:v>
      </x:c>
      <x:c r="H899" s="30" t="str"/>
      <x:c r="I899" s="30" t="str"/>
      <x:c r="J899" s="30" t="str"/>
      <x:c r="K899" s="30" t="str"/>
      <x:c r="L899" s="30" t="str"/>
      <x:c r="M899" s="30" t="str"/>
      <x:c r="N899" s="30" t="str"/>
      <x:c r="O899" s="30" t="str"/>
      <x:c r="P899" s="30" t="str"/>
      <x:c r="Q899" s="31" t="str"/>
      <x:c r="R899" s="31" t="str"/>
      <x:c r="S899" s="30" t="str"/>
      <x:c r="T899" s="30" t="str"/>
      <x:c r="U899" s="30" t="str"/>
      <x:c r="V899" s="40" t="str">
        <x:f>IF(B899="","",COUNTA(H899:L899)/5)</x:f>
      </x:c>
    </x:row>
    <x:row r="900">
      <x:c r="A900" s="30" t="str">
        <x:f>IF(B900="","",B900&amp;"-"&amp;C900)</x:f>
      </x:c>
      <x:c r="B900" s="30" t="n">
        <x:f>'01_命例主档'!A55</x:f>
        <x:v>0</x:v>
      </x:c>
      <x:c r="C900" s="30" t="str">
        <x:v>M14</x:v>
      </x:c>
      <x:c r="D900" s="30" t="str">
        <x:v>格局候选判断</x:v>
      </x:c>
      <x:c r="E900" s="30" t="str">
        <x:v>综合层</x:v>
      </x:c>
      <x:c r="F900" s="30" t="str">
        <x:v>M03/M06/M08/M09/M10/M11</x:v>
      </x:c>
      <x:c r="G900" s="30" t="str">
        <x:v>未开始</x:v>
      </x:c>
      <x:c r="H900" s="30" t="str"/>
      <x:c r="I900" s="30" t="str"/>
      <x:c r="J900" s="30" t="str"/>
      <x:c r="K900" s="30" t="str"/>
      <x:c r="L900" s="30" t="str"/>
      <x:c r="M900" s="30" t="str"/>
      <x:c r="N900" s="30" t="str"/>
      <x:c r="O900" s="30" t="str"/>
      <x:c r="P900" s="30" t="str"/>
      <x:c r="Q900" s="31" t="str"/>
      <x:c r="R900" s="31" t="str"/>
      <x:c r="S900" s="30" t="str"/>
      <x:c r="T900" s="30" t="str"/>
      <x:c r="U900" s="30" t="str"/>
      <x:c r="V900" s="40" t="str">
        <x:f>IF(B900="","",COUNTA(H900:L900)/5)</x:f>
      </x:c>
    </x:row>
    <x:row r="901">
      <x:c r="A901" s="30" t="str">
        <x:f>IF(B901="","",B901&amp;"-"&amp;C901)</x:f>
      </x:c>
      <x:c r="B901" s="30" t="n">
        <x:f>'01_命例主档'!A55</x:f>
        <x:v>0</x:v>
      </x:c>
      <x:c r="C901" s="30" t="str">
        <x:v>M15</x:v>
      </x:c>
      <x:c r="D901" s="30" t="str">
        <x:v>格局成败救应</x:v>
      </x:c>
      <x:c r="E901" s="30" t="str">
        <x:v>综合层</x:v>
      </x:c>
      <x:c r="F901" s="30" t="str">
        <x:v>M14/M11/M08</x:v>
      </x:c>
      <x:c r="G901" s="30" t="str">
        <x:v>未开始</x:v>
      </x:c>
      <x:c r="H901" s="30" t="str"/>
      <x:c r="I901" s="30" t="str"/>
      <x:c r="J901" s="30" t="str"/>
      <x:c r="K901" s="30" t="str"/>
      <x:c r="L901" s="30" t="str"/>
      <x:c r="M901" s="30" t="str"/>
      <x:c r="N901" s="30" t="str"/>
      <x:c r="O901" s="30" t="str"/>
      <x:c r="P901" s="30" t="str"/>
      <x:c r="Q901" s="31" t="str"/>
      <x:c r="R901" s="31" t="str"/>
      <x:c r="S901" s="30" t="str"/>
      <x:c r="T901" s="30" t="str"/>
      <x:c r="U901" s="30" t="str"/>
      <x:c r="V901" s="40" t="str">
        <x:f>IF(B901="","",COUNTA(H901:L901)/5)</x:f>
      </x:c>
    </x:row>
    <x:row r="902">
      <x:c r="A902" s="30" t="str">
        <x:f>IF(B902="","",B902&amp;"-"&amp;C902)</x:f>
      </x:c>
      <x:c r="B902" s="30" t="n">
        <x:f>'01_命例主档'!A55</x:f>
        <x:v>0</x:v>
      </x:c>
      <x:c r="C902" s="30" t="str">
        <x:v>M16</x:v>
      </x:c>
      <x:c r="D902" s="30" t="str">
        <x:v>病药模型</x:v>
      </x:c>
      <x:c r="E902" s="30" t="str">
        <x:v>综合层</x:v>
      </x:c>
      <x:c r="F902" s="30" t="str">
        <x:v>M08-M15</x:v>
      </x:c>
      <x:c r="G902" s="30" t="str">
        <x:v>未开始</x:v>
      </x:c>
      <x:c r="H902" s="30" t="str"/>
      <x:c r="I902" s="30" t="str"/>
      <x:c r="J902" s="30" t="str"/>
      <x:c r="K902" s="30" t="str"/>
      <x:c r="L902" s="30" t="str"/>
      <x:c r="M902" s="30" t="str"/>
      <x:c r="N902" s="30" t="str"/>
      <x:c r="O902" s="30" t="str"/>
      <x:c r="P902" s="30" t="str"/>
      <x:c r="Q902" s="31" t="str"/>
      <x:c r="R902" s="31" t="str"/>
      <x:c r="S902" s="30" t="str"/>
      <x:c r="T902" s="30" t="str"/>
      <x:c r="U902" s="30" t="str"/>
      <x:c r="V902" s="40" t="str">
        <x:f>IF(B902="","",COUNTA(H902:L902)/5)</x:f>
      </x:c>
    </x:row>
    <x:row r="903">
      <x:c r="A903" s="30" t="str">
        <x:f>IF(B903="","",B903&amp;"-"&amp;C903)</x:f>
      </x:c>
      <x:c r="B903" s="30" t="n">
        <x:f>'01_命例主档'!A55</x:f>
        <x:v>0</x:v>
      </x:c>
      <x:c r="C903" s="30" t="str">
        <x:v>M17</x:v>
      </x:c>
      <x:c r="D903" s="30" t="str">
        <x:v>喜忌用神矩阵</x:v>
      </x:c>
      <x:c r="E903" s="30" t="str">
        <x:v>综合层</x:v>
      </x:c>
      <x:c r="F903" s="30" t="str">
        <x:v>M09/M12/M13/M15/M16</x:v>
      </x:c>
      <x:c r="G903" s="30" t="str">
        <x:v>未开始</x:v>
      </x:c>
      <x:c r="H903" s="30" t="str"/>
      <x:c r="I903" s="30" t="str"/>
      <x:c r="J903" s="30" t="str"/>
      <x:c r="K903" s="30" t="str"/>
      <x:c r="L903" s="30" t="str"/>
      <x:c r="M903" s="30" t="str"/>
      <x:c r="N903" s="30" t="str"/>
      <x:c r="O903" s="30" t="str"/>
      <x:c r="P903" s="30" t="str"/>
      <x:c r="Q903" s="31" t="str"/>
      <x:c r="R903" s="31" t="str"/>
      <x:c r="S903" s="30" t="str"/>
      <x:c r="T903" s="30" t="str"/>
      <x:c r="U903" s="30" t="str"/>
      <x:c r="V903" s="40" t="str">
        <x:f>IF(B903="","",COUNTA(H903:L903)/5)</x:f>
      </x:c>
    </x:row>
    <x:row r="904">
      <x:c r="A904" s="30" t="str">
        <x:f>IF(B904="","",B904&amp;"-"&amp;C904)</x:f>
      </x:c>
      <x:c r="B904" s="30" t="n">
        <x:f>'01_命例主档'!A55</x:f>
        <x:v>0</x:v>
      </x:c>
      <x:c r="C904" s="30" t="str">
        <x:v>M18</x:v>
      </x:c>
      <x:c r="D904" s="30" t="str">
        <x:v>冲突裁决规则</x:v>
      </x:c>
      <x:c r="E904" s="30" t="str">
        <x:v>综合层</x:v>
      </x:c>
      <x:c r="F904" s="30" t="str">
        <x:v>M14/M15/M16/M17</x:v>
      </x:c>
      <x:c r="G904" s="30" t="str">
        <x:v>未开始</x:v>
      </x:c>
      <x:c r="H904" s="30" t="str"/>
      <x:c r="I904" s="30" t="str"/>
      <x:c r="J904" s="30" t="str"/>
      <x:c r="K904" s="30" t="str"/>
      <x:c r="L904" s="30" t="str"/>
      <x:c r="M904" s="30" t="str"/>
      <x:c r="N904" s="30" t="str"/>
      <x:c r="O904" s="30" t="str"/>
      <x:c r="P904" s="30" t="str"/>
      <x:c r="Q904" s="31" t="str"/>
      <x:c r="R904" s="31" t="str"/>
      <x:c r="S904" s="30" t="str"/>
      <x:c r="T904" s="30" t="str"/>
      <x:c r="U904" s="30" t="str"/>
      <x:c r="V904" s="40" t="str">
        <x:f>IF(B904="","",COUNTA(H904:L904)/5)</x:f>
      </x:c>
    </x:row>
    <x:row r="905">
      <x:c r="A905" s="30" t="str">
        <x:f>IF(B905="","",B905&amp;"-"&amp;C905)</x:f>
      </x:c>
      <x:c r="B905" s="30" t="n">
        <x:f>'01_命例主档'!A55</x:f>
        <x:v>0</x:v>
      </x:c>
      <x:c r="C905" s="30" t="str">
        <x:v>M19</x:v>
      </x:c>
      <x:c r="D905" s="30" t="str">
        <x:v>综合输出模板</x:v>
      </x:c>
      <x:c r="E905" s="30" t="str">
        <x:v>治理与输出</x:v>
      </x:c>
      <x:c r="F905" s="30" t="str">
        <x:v>M02-M18</x:v>
      </x:c>
      <x:c r="G905" s="30" t="str">
        <x:v>未开始</x:v>
      </x:c>
      <x:c r="H905" s="30" t="str"/>
      <x:c r="I905" s="30" t="str"/>
      <x:c r="J905" s="30" t="str"/>
      <x:c r="K905" s="30" t="str"/>
      <x:c r="L905" s="30" t="str"/>
      <x:c r="M905" s="30" t="str"/>
      <x:c r="N905" s="30" t="str"/>
      <x:c r="O905" s="30" t="str"/>
      <x:c r="P905" s="30" t="str"/>
      <x:c r="Q905" s="31" t="str"/>
      <x:c r="R905" s="31" t="str"/>
      <x:c r="S905" s="30" t="str"/>
      <x:c r="T905" s="30" t="str"/>
      <x:c r="U905" s="30" t="str"/>
      <x:c r="V905" s="40" t="str">
        <x:f>IF(B905="","",COUNTA(H905:L905)/5)</x:f>
      </x:c>
    </x:row>
  </x:sheetData>
  <x:mergeCells>
    <x:mergeCell ref="A1:V1"/>
    <x:mergeCell ref="A2:V2"/>
  </x:mergeCells>
  <x:conditionalFormatting sqref="G6:G905">
    <x:cfRule type="expression" dxfId="5" priority="1">
      <x:formula>G6="已完成"</x:formula>
    </x:cfRule>
    <x:cfRule type="expression" dxfId="6" priority="2">
      <x:formula>G6="待复核"</x:formula>
    </x:cfRule>
    <x:cfRule type="expression" dxfId="7" priority="3">
      <x:formula>G6="进行中"</x:formula>
    </x:cfRule>
  </x:conditionalFormatting>
  <x:conditionalFormatting sqref="V6:V905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4">
    <x:dataValidation type="list" sqref="G6:G905">
      <x:formula1>'99_下拉选项'!$F$4:$F$8</x:formula1>
    </x:dataValidation>
    <x:dataValidation type="list" sqref="L6:L905">
      <x:formula1>'99_下拉选项'!$G$4:$G$8</x:formula1>
    </x:dataValidation>
    <x:dataValidation type="list" sqref="S6:S905">
      <x:formula1>'99_下拉选项'!$H$4:$H$6</x:formula1>
    </x:dataValidation>
    <x:dataValidation type="list" sqref="T6:T905">
      <x:formula1>'99_下拉选项'!$R$4:$R$16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92268eda534d3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22" hidden="0" customWidth="1"/>
    <x:col min="4" max="4" width="9" hidden="0" customWidth="1"/>
    <x:col min="5" max="5" width="9" hidden="0" customWidth="1"/>
    <x:col min="6" max="6" width="30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22" hidden="0" customWidth="1"/>
    <x:col min="13" max="13" width="12" hidden="0" customWidth="1"/>
    <x:col min="14" max="14" width="11" hidden="0" customWidth="1"/>
    <x:col min="15" max="15" width="20" hidden="0" customWidth="1"/>
    <x:col min="16" max="16" width="12" hidden="0" customWidth="1"/>
    <x:col min="17" max="17" width="28" hidden="0" customWidth="1"/>
    <x:col min="18" max="18" width="28" hidden="0" customWidth="1"/>
    <x:col min="19" max="19" width="30" hidden="0" customWidth="1"/>
    <x:col min="20" max="20" width="10" hidden="0" customWidth="1"/>
    <x:col min="21" max="21" width="10" hidden="0" customWidth="1"/>
    <x:col min="22" max="22" width="11" hidden="0" customWidth="1"/>
    <x:col min="23" max="23" width="24" hidden="0" customWidth="1"/>
    <x:col min="24" max="24" width="20" hidden="0" customWidth="1"/>
    <x:col min="25" max="25" width="15" hidden="0" customWidth="1"/>
    <x:col min="26" max="26" width="26" hidden="0" customWidth="1"/>
    <x:col min="27" max="27" width="24" hidden="0" customWidth="1"/>
    <x:col min="28" max="28" width="28" hidden="0" customWidth="1"/>
    <x:col min="29" max="29" width="26" hidden="0" customWidth="1"/>
    <x:col min="30" max="30" width="16" hidden="0" customWidth="1"/>
    <x:col min="31" max="31" width="16" hidden="0" customWidth="1"/>
    <x:col min="32" max="32" width="13" hidden="0" customWidth="1"/>
    <x:col min="33" max="33" width="13" hidden="0" customWidth="1"/>
    <x:col min="34" max="34" width="16" hidden="0" customWidth="1"/>
    <x:col min="35" max="35" width="18" hidden="0" customWidth="1"/>
    <x:col min="36" max="36" width="12" hidden="0" customWidth="1"/>
    <x:col min="37" max="37" width="16" hidden="0" customWidth="1"/>
    <x:col min="38" max="38" width="12" hidden="0" customWidth="1"/>
    <x:col min="39" max="39" width="12" hidden="0" customWidth="1"/>
    <x:col min="40" max="40" width="36" hidden="0" customWidth="1"/>
    <x:col min="41" max="41" width="11" hidden="0" customWidth="1"/>
    <x:col min="42" max="42" width="36" hidden="0" customWidth="1"/>
    <x:col min="43" max="43" width="12" hidden="0" customWidth="1"/>
    <x:col min="44" max="44" width="12" hidden="0" customWidth="1"/>
    <x:col min="45" max="45" width="11" hidden="0" customWidth="1"/>
    <x:col min="46" max="46" width="12" hidden="0" customWidth="1"/>
    <x:col min="47" max="47" width="55" hidden="0" customWidth="1"/>
  </x:cols>
  <x:sheetData>
    <x:row r="1">
      <x:c r="A1" s="5" t="str">
        <x:v>原局结构结论总表｜按M19字段汇总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</x:row>
    <x:row r="2">
      <x:c r="A2" t="str">
        <x:v>一行汇总一个真实命例。这里写最终结构结论，不记录详细推理；证据链回到02表，五行五维价值回到04表。</x:v>
      </x:c>
    </x:row>
    <x:row r="5">
      <x:c r="A5" s="14" t="str">
        <x:v>Case_ID</x:v>
      </x:c>
      <x:c r="B5" s="14" t="str">
        <x:v>命例名称</x:v>
      </x:c>
      <x:c r="C5" s="14" t="str">
        <x:v>四柱</x:v>
      </x:c>
      <x:c r="D5" s="14" t="str">
        <x:v>日主</x:v>
      </x:c>
      <x:c r="E5" s="14" t="str">
        <x:v>月令</x:v>
      </x:c>
      <x:c r="F5" s="14" t="str">
        <x:v>主要关系</x:v>
      </x:c>
      <x:c r="G5" s="14" t="str">
        <x:v>木有效旺衰</x:v>
      </x:c>
      <x:c r="H5" s="14" t="str">
        <x:v>火有效旺衰</x:v>
      </x:c>
      <x:c r="I5" s="14" t="str">
        <x:v>土有效旺衰</x:v>
      </x:c>
      <x:c r="J5" s="14" t="str">
        <x:v>金有效旺衰</x:v>
      </x:c>
      <x:c r="K5" s="14" t="str">
        <x:v>水有效旺衰</x:v>
      </x:c>
      <x:c r="L5" s="14" t="str">
        <x:v>五行主势</x:v>
      </x:c>
      <x:c r="M5" s="14" t="str">
        <x:v>日主旺衰</x:v>
      </x:c>
      <x:c r="N5" s="14" t="str">
        <x:v>日主置信度</x:v>
      </x:c>
      <x:c r="O5" s="14" t="str">
        <x:v>主要十神</x:v>
      </x:c>
      <x:c r="P5" s="14" t="str">
        <x:v>十神清纯度</x:v>
      </x:c>
      <x:c r="Q5" s="14" t="str">
        <x:v>成立组合</x:v>
      </x:c>
      <x:c r="R5" s="14" t="str">
        <x:v>主流通路径</x:v>
      </x:c>
      <x:c r="S5" s="14" t="str">
        <x:v>主卡点</x:v>
      </x:c>
      <x:c r="T5" s="14" t="str">
        <x:v>温度状态</x:v>
      </x:c>
      <x:c r="U5" s="14" t="str">
        <x:v>湿度状态</x:v>
      </x:c>
      <x:c r="V5" s="14" t="str">
        <x:v>调候紧急度</x:v>
      </x:c>
      <x:c r="W5" s="14" t="str">
        <x:v>第一格局候选</x:v>
      </x:c>
      <x:c r="X5" s="14" t="str">
        <x:v>最终格局</x:v>
      </x:c>
      <x:c r="Y5" s="14" t="str">
        <x:v>格局状态</x:v>
      </x:c>
      <x:c r="Z5" s="14" t="str">
        <x:v>破格因素</x:v>
      </x:c>
      <x:c r="AA5" s="14" t="str">
        <x:v>救应</x:v>
      </x:c>
      <x:c r="AB5" s="14" t="str">
        <x:v>根本主病</x:v>
      </x:c>
      <x:c r="AC5" s="14" t="str">
        <x:v>次级病</x:v>
      </x:c>
      <x:c r="AD5" s="14" t="str">
        <x:v>主药</x:v>
      </x:c>
      <x:c r="AE5" s="14" t="str">
        <x:v>辅助药</x:v>
      </x:c>
      <x:c r="AF5" s="14" t="str">
        <x:v>主用神</x:v>
      </x:c>
      <x:c r="AG5" s="14" t="str">
        <x:v>辅助用神</x:v>
      </x:c>
      <x:c r="AH5" s="14" t="str">
        <x:v>喜神</x:v>
      </x:c>
      <x:c r="AI5" s="14" t="str">
        <x:v>条件性喜神</x:v>
      </x:c>
      <x:c r="AJ5" s="14" t="str">
        <x:v>中性</x:v>
      </x:c>
      <x:c r="AK5" s="14" t="str">
        <x:v>条件性忌神</x:v>
      </x:c>
      <x:c r="AL5" s="14" t="str">
        <x:v>忌神</x:v>
      </x:c>
      <x:c r="AM5" s="14" t="str">
        <x:v>仇神</x:v>
      </x:c>
      <x:c r="AN5" s="14" t="str">
        <x:v>M18冲突裁决摘要</x:v>
      </x:c>
      <x:c r="AO5" s="14" t="str">
        <x:v>总体置信度</x:v>
      </x:c>
      <x:c r="AP5" s="14" t="str">
        <x:v>关键反向证据</x:v>
      </x:c>
      <x:c r="AQ5" s="14" t="str">
        <x:v>分析师</x:v>
      </x:c>
      <x:c r="AR5" s="14" t="str">
        <x:v>复核人</x:v>
      </x:c>
      <x:c r="AS5" s="14" t="str">
        <x:v>结论状态</x:v>
      </x:c>
      <x:c r="AT5" s="14" t="str">
        <x:v>更新时间</x:v>
      </x:c>
      <x:c r="AU5" s="14" t="str">
        <x:v>用户摘要</x:v>
      </x:c>
    </x:row>
    <x:row r="6">
      <x:c r="A6" s="30" t="str">
        <x:f>'01_命例主档'!A6</x:f>
      </x:c>
      <x:c r="B6" s="30" t="n">
        <x:f>'01_命例主档'!C6</x:f>
        <x:v>0</x:v>
      </x:c>
      <x:c r="C6" s="30" t="str">
        <x:f>IF(A6="","",'01_命例主档'!K6&amp;" "&amp;'01_命例主档'!L6&amp;" "&amp;'01_命例主档'!M6&amp;" "&amp;'01_命例主档'!N6)</x:f>
      </x:c>
      <x:c r="D6" s="30"/>
      <x:c r="E6" s="30"/>
      <x:c r="F6" s="30"/>
      <x:c r="G6" s="30"/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  <x:c r="AA6" s="30"/>
      <x:c r="AB6" s="30"/>
      <x:c r="AC6" s="30"/>
      <x:c r="AD6" s="30"/>
      <x:c r="AE6" s="30"/>
      <x:c r="AF6" s="30"/>
      <x:c r="AG6" s="30"/>
      <x:c r="AH6" s="30"/>
      <x:c r="AI6" s="30"/>
      <x:c r="AJ6" s="30"/>
      <x:c r="AK6" s="30"/>
      <x:c r="AL6" s="30"/>
      <x:c r="AM6" s="30"/>
      <x:c r="AN6" s="30"/>
      <x:c r="AO6" s="30"/>
      <x:c r="AP6" s="30"/>
      <x:c r="AQ6" s="30"/>
      <x:c r="AR6" s="30"/>
      <x:c r="AS6" s="30"/>
      <x:c r="AT6" s="31"/>
      <x:c r="AU6" s="30"/>
    </x:row>
    <x:row r="7">
      <x:c r="A7" s="30" t="str">
        <x:f>'01_命例主档'!A7</x:f>
      </x:c>
      <x:c r="B7" s="30" t="n">
        <x:f>'01_命例主档'!C7</x:f>
        <x:v>0</x:v>
      </x:c>
      <x:c r="C7" s="30" t="str">
        <x:f>IF(A7="","",'01_命例主档'!K7&amp;" "&amp;'01_命例主档'!L7&amp;" "&amp;'01_命例主档'!M7&amp;" "&amp;'01_命例主档'!N7)</x:f>
      </x:c>
      <x:c r="D7" s="30"/>
      <x:c r="E7" s="30"/>
      <x:c r="F7" s="30"/>
      <x:c r="G7" s="30"/>
      <x:c r="H7" s="30"/>
      <x:c r="I7" s="30"/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  <x:c r="AA7" s="30"/>
      <x:c r="AB7" s="30"/>
      <x:c r="AC7" s="30"/>
      <x:c r="AD7" s="30"/>
      <x:c r="AE7" s="30"/>
      <x:c r="AF7" s="30"/>
      <x:c r="AG7" s="30"/>
      <x:c r="AH7" s="30"/>
      <x:c r="AI7" s="30"/>
      <x:c r="AJ7" s="30"/>
      <x:c r="AK7" s="30"/>
      <x:c r="AL7" s="30"/>
      <x:c r="AM7" s="30"/>
      <x:c r="AN7" s="30"/>
      <x:c r="AO7" s="30"/>
      <x:c r="AP7" s="30"/>
      <x:c r="AQ7" s="30"/>
      <x:c r="AR7" s="30"/>
      <x:c r="AS7" s="30"/>
      <x:c r="AT7" s="31"/>
      <x:c r="AU7" s="30"/>
    </x:row>
    <x:row r="8">
      <x:c r="A8" s="30" t="str">
        <x:f>'01_命例主档'!A8</x:f>
      </x:c>
      <x:c r="B8" s="30" t="n">
        <x:f>'01_命例主档'!C8</x:f>
        <x:v>0</x:v>
      </x:c>
      <x:c r="C8" s="30" t="str">
        <x:f>IF(A8="","",'01_命例主档'!K8&amp;" "&amp;'01_命例主档'!L8&amp;" "&amp;'01_命例主档'!M8&amp;" "&amp;'01_命例主档'!N8)</x:f>
      </x:c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  <x:c r="AA8" s="30"/>
      <x:c r="AB8" s="30"/>
      <x:c r="AC8" s="30"/>
      <x:c r="AD8" s="30"/>
      <x:c r="AE8" s="30"/>
      <x:c r="AF8" s="30"/>
      <x:c r="AG8" s="30"/>
      <x:c r="AH8" s="30"/>
      <x:c r="AI8" s="30"/>
      <x:c r="AJ8" s="30"/>
      <x:c r="AK8" s="30"/>
      <x:c r="AL8" s="30"/>
      <x:c r="AM8" s="30"/>
      <x:c r="AN8" s="30"/>
      <x:c r="AO8" s="30"/>
      <x:c r="AP8" s="30"/>
      <x:c r="AQ8" s="30"/>
      <x:c r="AR8" s="30"/>
      <x:c r="AS8" s="30"/>
      <x:c r="AT8" s="31"/>
      <x:c r="AU8" s="30"/>
    </x:row>
    <x:row r="9">
      <x:c r="A9" s="30" t="str">
        <x:f>'01_命例主档'!A9</x:f>
      </x:c>
      <x:c r="B9" s="30" t="n">
        <x:f>'01_命例主档'!C9</x:f>
        <x:v>0</x:v>
      </x:c>
      <x:c r="C9" s="30" t="str">
        <x:f>IF(A9="","",'01_命例主档'!K9&amp;" "&amp;'01_命例主档'!L9&amp;" "&amp;'01_命例主档'!M9&amp;" "&amp;'01_命例主档'!N9)</x:f>
      </x:c>
      <x:c r="D9" s="30"/>
      <x:c r="E9" s="30"/>
      <x:c r="F9" s="30"/>
      <x:c r="G9" s="30"/>
      <x:c r="H9" s="30"/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  <x:c r="AA9" s="30"/>
      <x:c r="AB9" s="30"/>
      <x:c r="AC9" s="30"/>
      <x:c r="AD9" s="30"/>
      <x:c r="AE9" s="30"/>
      <x:c r="AF9" s="30"/>
      <x:c r="AG9" s="30"/>
      <x:c r="AH9" s="30"/>
      <x:c r="AI9" s="30"/>
      <x:c r="AJ9" s="30"/>
      <x:c r="AK9" s="30"/>
      <x:c r="AL9" s="30"/>
      <x:c r="AM9" s="30"/>
      <x:c r="AN9" s="30"/>
      <x:c r="AO9" s="30"/>
      <x:c r="AP9" s="30"/>
      <x:c r="AQ9" s="30"/>
      <x:c r="AR9" s="30"/>
      <x:c r="AS9" s="30"/>
      <x:c r="AT9" s="31"/>
      <x:c r="AU9" s="30"/>
    </x:row>
    <x:row r="10">
      <x:c r="A10" s="30" t="str">
        <x:f>'01_命例主档'!A10</x:f>
      </x:c>
      <x:c r="B10" s="30" t="n">
        <x:f>'01_命例主档'!C10</x:f>
        <x:v>0</x:v>
      </x:c>
      <x:c r="C10" s="30" t="str">
        <x:f>IF(A10="","",'01_命例主档'!K10&amp;" "&amp;'01_命例主档'!L10&amp;" "&amp;'01_命例主档'!M10&amp;" "&amp;'01_命例主档'!N10)</x:f>
      </x:c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  <x:c r="AA10" s="30"/>
      <x:c r="AB10" s="30"/>
      <x:c r="AC10" s="30"/>
      <x:c r="AD10" s="30"/>
      <x:c r="AE10" s="30"/>
      <x:c r="AF10" s="30"/>
      <x:c r="AG10" s="30"/>
      <x:c r="AH10" s="30"/>
      <x:c r="AI10" s="30"/>
      <x:c r="AJ10" s="30"/>
      <x:c r="AK10" s="30"/>
      <x:c r="AL10" s="30"/>
      <x:c r="AM10" s="30"/>
      <x:c r="AN10" s="30"/>
      <x:c r="AO10" s="30"/>
      <x:c r="AP10" s="30"/>
      <x:c r="AQ10" s="30"/>
      <x:c r="AR10" s="30"/>
      <x:c r="AS10" s="30"/>
      <x:c r="AT10" s="31"/>
      <x:c r="AU10" s="30"/>
    </x:row>
    <x:row r="11">
      <x:c r="A11" s="30" t="str">
        <x:f>'01_命例主档'!A11</x:f>
      </x:c>
      <x:c r="B11" s="30" t="n">
        <x:f>'01_命例主档'!C11</x:f>
        <x:v>0</x:v>
      </x:c>
      <x:c r="C11" s="30" t="str">
        <x:f>IF(A11="","",'01_命例主档'!K11&amp;" "&amp;'01_命例主档'!L11&amp;" "&amp;'01_命例主档'!M11&amp;" "&amp;'01_命例主档'!N11)</x:f>
      </x:c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  <x:c r="AA11" s="30"/>
      <x:c r="AB11" s="30"/>
      <x:c r="AC11" s="30"/>
      <x:c r="AD11" s="30"/>
      <x:c r="AE11" s="30"/>
      <x:c r="AF11" s="30"/>
      <x:c r="AG11" s="30"/>
      <x:c r="AH11" s="30"/>
      <x:c r="AI11" s="30"/>
      <x:c r="AJ11" s="30"/>
      <x:c r="AK11" s="30"/>
      <x:c r="AL11" s="30"/>
      <x:c r="AM11" s="30"/>
      <x:c r="AN11" s="30"/>
      <x:c r="AO11" s="30"/>
      <x:c r="AP11" s="30"/>
      <x:c r="AQ11" s="30"/>
      <x:c r="AR11" s="30"/>
      <x:c r="AS11" s="30"/>
      <x:c r="AT11" s="31"/>
      <x:c r="AU11" s="30"/>
    </x:row>
    <x:row r="12">
      <x:c r="A12" s="30" t="str">
        <x:f>'01_命例主档'!A12</x:f>
      </x:c>
      <x:c r="B12" s="30" t="n">
        <x:f>'01_命例主档'!C12</x:f>
        <x:v>0</x:v>
      </x:c>
      <x:c r="C12" s="30" t="str">
        <x:f>IF(A12="","",'01_命例主档'!K12&amp;" "&amp;'01_命例主档'!L12&amp;" "&amp;'01_命例主档'!M12&amp;" "&amp;'01_命例主档'!N12)</x:f>
      </x:c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  <x:c r="AA12" s="30"/>
      <x:c r="AB12" s="30"/>
      <x:c r="AC12" s="30"/>
      <x:c r="AD12" s="30"/>
      <x:c r="AE12" s="30"/>
      <x:c r="AF12" s="30"/>
      <x:c r="AG12" s="30"/>
      <x:c r="AH12" s="30"/>
      <x:c r="AI12" s="30"/>
      <x:c r="AJ12" s="30"/>
      <x:c r="AK12" s="30"/>
      <x:c r="AL12" s="30"/>
      <x:c r="AM12" s="30"/>
      <x:c r="AN12" s="30"/>
      <x:c r="AO12" s="30"/>
      <x:c r="AP12" s="30"/>
      <x:c r="AQ12" s="30"/>
      <x:c r="AR12" s="30"/>
      <x:c r="AS12" s="30"/>
      <x:c r="AT12" s="31"/>
      <x:c r="AU12" s="30"/>
    </x:row>
    <x:row r="13">
      <x:c r="A13" s="30" t="str">
        <x:f>'01_命例主档'!A13</x:f>
      </x:c>
      <x:c r="B13" s="30" t="n">
        <x:f>'01_命例主档'!C13</x:f>
        <x:v>0</x:v>
      </x:c>
      <x:c r="C13" s="30" t="str">
        <x:f>IF(A13="","",'01_命例主档'!K13&amp;" "&amp;'01_命例主档'!L13&amp;" "&amp;'01_命例主档'!M13&amp;" "&amp;'01_命例主档'!N13)</x:f>
      </x:c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  <x:c r="AA13" s="30"/>
      <x:c r="AB13" s="30"/>
      <x:c r="AC13" s="30"/>
      <x:c r="AD13" s="30"/>
      <x:c r="AE13" s="30"/>
      <x:c r="AF13" s="30"/>
      <x:c r="AG13" s="30"/>
      <x:c r="AH13" s="30"/>
      <x:c r="AI13" s="30"/>
      <x:c r="AJ13" s="30"/>
      <x:c r="AK13" s="30"/>
      <x:c r="AL13" s="30"/>
      <x:c r="AM13" s="30"/>
      <x:c r="AN13" s="30"/>
      <x:c r="AO13" s="30"/>
      <x:c r="AP13" s="30"/>
      <x:c r="AQ13" s="30"/>
      <x:c r="AR13" s="30"/>
      <x:c r="AS13" s="30"/>
      <x:c r="AT13" s="31"/>
      <x:c r="AU13" s="30"/>
    </x:row>
    <x:row r="14">
      <x:c r="A14" s="30" t="str">
        <x:f>'01_命例主档'!A14</x:f>
      </x:c>
      <x:c r="B14" s="30" t="n">
        <x:f>'01_命例主档'!C14</x:f>
        <x:v>0</x:v>
      </x:c>
      <x:c r="C14" s="30" t="str">
        <x:f>IF(A14="","",'01_命例主档'!K14&amp;" "&amp;'01_命例主档'!L14&amp;" "&amp;'01_命例主档'!M14&amp;" "&amp;'01_命例主档'!N14)</x:f>
      </x:c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  <x:c r="AA14" s="30"/>
      <x:c r="AB14" s="30"/>
      <x:c r="AC14" s="30"/>
      <x:c r="AD14" s="30"/>
      <x:c r="AE14" s="30"/>
      <x:c r="AF14" s="30"/>
      <x:c r="AG14" s="30"/>
      <x:c r="AH14" s="30"/>
      <x:c r="AI14" s="30"/>
      <x:c r="AJ14" s="30"/>
      <x:c r="AK14" s="30"/>
      <x:c r="AL14" s="30"/>
      <x:c r="AM14" s="30"/>
      <x:c r="AN14" s="30"/>
      <x:c r="AO14" s="30"/>
      <x:c r="AP14" s="30"/>
      <x:c r="AQ14" s="30"/>
      <x:c r="AR14" s="30"/>
      <x:c r="AS14" s="30"/>
      <x:c r="AT14" s="31"/>
      <x:c r="AU14" s="30"/>
    </x:row>
    <x:row r="15">
      <x:c r="A15" s="30" t="str">
        <x:f>'01_命例主档'!A15</x:f>
      </x:c>
      <x:c r="B15" s="30" t="n">
        <x:f>'01_命例主档'!C15</x:f>
        <x:v>0</x:v>
      </x:c>
      <x:c r="C15" s="30" t="str">
        <x:f>IF(A15="","",'01_命例主档'!K15&amp;" "&amp;'01_命例主档'!L15&amp;" "&amp;'01_命例主档'!M15&amp;" "&amp;'01_命例主档'!N15)</x:f>
      </x:c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  <x:c r="AA15" s="30"/>
      <x:c r="AB15" s="30"/>
      <x:c r="AC15" s="30"/>
      <x:c r="AD15" s="30"/>
      <x:c r="AE15" s="30"/>
      <x:c r="AF15" s="30"/>
      <x:c r="AG15" s="30"/>
      <x:c r="AH15" s="30"/>
      <x:c r="AI15" s="30"/>
      <x:c r="AJ15" s="30"/>
      <x:c r="AK15" s="30"/>
      <x:c r="AL15" s="30"/>
      <x:c r="AM15" s="30"/>
      <x:c r="AN15" s="30"/>
      <x:c r="AO15" s="30"/>
      <x:c r="AP15" s="30"/>
      <x:c r="AQ15" s="30"/>
      <x:c r="AR15" s="30"/>
      <x:c r="AS15" s="30"/>
      <x:c r="AT15" s="31"/>
      <x:c r="AU15" s="30"/>
    </x:row>
    <x:row r="16">
      <x:c r="A16" s="30" t="str">
        <x:f>'01_命例主档'!A16</x:f>
      </x:c>
      <x:c r="B16" s="30" t="n">
        <x:f>'01_命例主档'!C16</x:f>
        <x:v>0</x:v>
      </x:c>
      <x:c r="C16" s="30" t="str">
        <x:f>IF(A16="","",'01_命例主档'!K16&amp;" "&amp;'01_命例主档'!L16&amp;" "&amp;'01_命例主档'!M16&amp;" "&amp;'01_命例主档'!N16)</x:f>
      </x:c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  <x:c r="AA16" s="30"/>
      <x:c r="AB16" s="30"/>
      <x:c r="AC16" s="30"/>
      <x:c r="AD16" s="30"/>
      <x:c r="AE16" s="30"/>
      <x:c r="AF16" s="30"/>
      <x:c r="AG16" s="30"/>
      <x:c r="AH16" s="30"/>
      <x:c r="AI16" s="30"/>
      <x:c r="AJ16" s="30"/>
      <x:c r="AK16" s="30"/>
      <x:c r="AL16" s="30"/>
      <x:c r="AM16" s="30"/>
      <x:c r="AN16" s="30"/>
      <x:c r="AO16" s="30"/>
      <x:c r="AP16" s="30"/>
      <x:c r="AQ16" s="30"/>
      <x:c r="AR16" s="30"/>
      <x:c r="AS16" s="30"/>
      <x:c r="AT16" s="31"/>
      <x:c r="AU16" s="30"/>
    </x:row>
    <x:row r="17">
      <x:c r="A17" s="30" t="str">
        <x:f>'01_命例主档'!A17</x:f>
      </x:c>
      <x:c r="B17" s="30" t="n">
        <x:f>'01_命例主档'!C17</x:f>
        <x:v>0</x:v>
      </x:c>
      <x:c r="C17" s="30" t="str">
        <x:f>IF(A17="","",'01_命例主档'!K17&amp;" "&amp;'01_命例主档'!L17&amp;" "&amp;'01_命例主档'!M17&amp;" "&amp;'01_命例主档'!N17)</x:f>
      </x:c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  <x:c r="AA17" s="30"/>
      <x:c r="AB17" s="30"/>
      <x:c r="AC17" s="30"/>
      <x:c r="AD17" s="30"/>
      <x:c r="AE17" s="30"/>
      <x:c r="AF17" s="30"/>
      <x:c r="AG17" s="30"/>
      <x:c r="AH17" s="30"/>
      <x:c r="AI17" s="30"/>
      <x:c r="AJ17" s="30"/>
      <x:c r="AK17" s="30"/>
      <x:c r="AL17" s="30"/>
      <x:c r="AM17" s="30"/>
      <x:c r="AN17" s="30"/>
      <x:c r="AO17" s="30"/>
      <x:c r="AP17" s="30"/>
      <x:c r="AQ17" s="30"/>
      <x:c r="AR17" s="30"/>
      <x:c r="AS17" s="30"/>
      <x:c r="AT17" s="31"/>
      <x:c r="AU17" s="30"/>
    </x:row>
    <x:row r="18">
      <x:c r="A18" s="30" t="str">
        <x:f>'01_命例主档'!A18</x:f>
      </x:c>
      <x:c r="B18" s="30" t="n">
        <x:f>'01_命例主档'!C18</x:f>
        <x:v>0</x:v>
      </x:c>
      <x:c r="C18" s="30" t="str">
        <x:f>IF(A18="","",'01_命例主档'!K18&amp;" "&amp;'01_命例主档'!L18&amp;" "&amp;'01_命例主档'!M18&amp;" "&amp;'01_命例主档'!N18)</x:f>
      </x:c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  <x:c r="AA18" s="30"/>
      <x:c r="AB18" s="30"/>
      <x:c r="AC18" s="30"/>
      <x:c r="AD18" s="30"/>
      <x:c r="AE18" s="30"/>
      <x:c r="AF18" s="30"/>
      <x:c r="AG18" s="30"/>
      <x:c r="AH18" s="30"/>
      <x:c r="AI18" s="30"/>
      <x:c r="AJ18" s="30"/>
      <x:c r="AK18" s="30"/>
      <x:c r="AL18" s="30"/>
      <x:c r="AM18" s="30"/>
      <x:c r="AN18" s="30"/>
      <x:c r="AO18" s="30"/>
      <x:c r="AP18" s="30"/>
      <x:c r="AQ18" s="30"/>
      <x:c r="AR18" s="30"/>
      <x:c r="AS18" s="30"/>
      <x:c r="AT18" s="31"/>
      <x:c r="AU18" s="30"/>
    </x:row>
    <x:row r="19">
      <x:c r="A19" s="30" t="str">
        <x:f>'01_命例主档'!A19</x:f>
      </x:c>
      <x:c r="B19" s="30" t="n">
        <x:f>'01_命例主档'!C19</x:f>
        <x:v>0</x:v>
      </x:c>
      <x:c r="C19" s="30" t="str">
        <x:f>IF(A19="","",'01_命例主档'!K19&amp;" "&amp;'01_命例主档'!L19&amp;" "&amp;'01_命例主档'!M19&amp;" "&amp;'01_命例主档'!N19)</x:f>
      </x:c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  <x:c r="AA19" s="30"/>
      <x:c r="AB19" s="30"/>
      <x:c r="AC19" s="30"/>
      <x:c r="AD19" s="30"/>
      <x:c r="AE19" s="30"/>
      <x:c r="AF19" s="30"/>
      <x:c r="AG19" s="30"/>
      <x:c r="AH19" s="30"/>
      <x:c r="AI19" s="30"/>
      <x:c r="AJ19" s="30"/>
      <x:c r="AK19" s="30"/>
      <x:c r="AL19" s="30"/>
      <x:c r="AM19" s="30"/>
      <x:c r="AN19" s="30"/>
      <x:c r="AO19" s="30"/>
      <x:c r="AP19" s="30"/>
      <x:c r="AQ19" s="30"/>
      <x:c r="AR19" s="30"/>
      <x:c r="AS19" s="30"/>
      <x:c r="AT19" s="31"/>
      <x:c r="AU19" s="30"/>
    </x:row>
    <x:row r="20">
      <x:c r="A20" s="30" t="str">
        <x:f>'01_命例主档'!A20</x:f>
      </x:c>
      <x:c r="B20" s="30" t="n">
        <x:f>'01_命例主档'!C20</x:f>
        <x:v>0</x:v>
      </x:c>
      <x:c r="C20" s="30" t="str">
        <x:f>IF(A20="","",'01_命例主档'!K20&amp;" "&amp;'01_命例主档'!L20&amp;" "&amp;'01_命例主档'!M20&amp;" "&amp;'01_命例主档'!N20)</x:f>
      </x:c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  <x:c r="AA20" s="30"/>
      <x:c r="AB20" s="30"/>
      <x:c r="AC20" s="30"/>
      <x:c r="AD20" s="30"/>
      <x:c r="AE20" s="30"/>
      <x:c r="AF20" s="30"/>
      <x:c r="AG20" s="30"/>
      <x:c r="AH20" s="30"/>
      <x:c r="AI20" s="30"/>
      <x:c r="AJ20" s="30"/>
      <x:c r="AK20" s="30"/>
      <x:c r="AL20" s="30"/>
      <x:c r="AM20" s="30"/>
      <x:c r="AN20" s="30"/>
      <x:c r="AO20" s="30"/>
      <x:c r="AP20" s="30"/>
      <x:c r="AQ20" s="30"/>
      <x:c r="AR20" s="30"/>
      <x:c r="AS20" s="30"/>
      <x:c r="AT20" s="31"/>
      <x:c r="AU20" s="30"/>
    </x:row>
    <x:row r="21">
      <x:c r="A21" s="30" t="str">
        <x:f>'01_命例主档'!A21</x:f>
      </x:c>
      <x:c r="B21" s="30" t="n">
        <x:f>'01_命例主档'!C21</x:f>
        <x:v>0</x:v>
      </x:c>
      <x:c r="C21" s="30" t="str">
        <x:f>IF(A21="","",'01_命例主档'!K21&amp;" "&amp;'01_命例主档'!L21&amp;" "&amp;'01_命例主档'!M21&amp;" "&amp;'01_命例主档'!N21)</x:f>
      </x:c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  <x:c r="AA21" s="30"/>
      <x:c r="AB21" s="30"/>
      <x:c r="AC21" s="30"/>
      <x:c r="AD21" s="30"/>
      <x:c r="AE21" s="30"/>
      <x:c r="AF21" s="30"/>
      <x:c r="AG21" s="30"/>
      <x:c r="AH21" s="30"/>
      <x:c r="AI21" s="30"/>
      <x:c r="AJ21" s="30"/>
      <x:c r="AK21" s="30"/>
      <x:c r="AL21" s="30"/>
      <x:c r="AM21" s="30"/>
      <x:c r="AN21" s="30"/>
      <x:c r="AO21" s="30"/>
      <x:c r="AP21" s="30"/>
      <x:c r="AQ21" s="30"/>
      <x:c r="AR21" s="30"/>
      <x:c r="AS21" s="30"/>
      <x:c r="AT21" s="31"/>
      <x:c r="AU21" s="30"/>
    </x:row>
    <x:row r="22">
      <x:c r="A22" s="30" t="str">
        <x:f>'01_命例主档'!A22</x:f>
      </x:c>
      <x:c r="B22" s="30" t="n">
        <x:f>'01_命例主档'!C22</x:f>
        <x:v>0</x:v>
      </x:c>
      <x:c r="C22" s="30" t="str">
        <x:f>IF(A22="","",'01_命例主档'!K22&amp;" "&amp;'01_命例主档'!L22&amp;" "&amp;'01_命例主档'!M22&amp;" "&amp;'01_命例主档'!N22)</x:f>
      </x:c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  <x:c r="AA22" s="30"/>
      <x:c r="AB22" s="30"/>
      <x:c r="AC22" s="30"/>
      <x:c r="AD22" s="30"/>
      <x:c r="AE22" s="30"/>
      <x:c r="AF22" s="30"/>
      <x:c r="AG22" s="30"/>
      <x:c r="AH22" s="30"/>
      <x:c r="AI22" s="30"/>
      <x:c r="AJ22" s="30"/>
      <x:c r="AK22" s="30"/>
      <x:c r="AL22" s="30"/>
      <x:c r="AM22" s="30"/>
      <x:c r="AN22" s="30"/>
      <x:c r="AO22" s="30"/>
      <x:c r="AP22" s="30"/>
      <x:c r="AQ22" s="30"/>
      <x:c r="AR22" s="30"/>
      <x:c r="AS22" s="30"/>
      <x:c r="AT22" s="31"/>
      <x:c r="AU22" s="30"/>
    </x:row>
    <x:row r="23">
      <x:c r="A23" s="30" t="str">
        <x:f>'01_命例主档'!A23</x:f>
      </x:c>
      <x:c r="B23" s="30" t="n">
        <x:f>'01_命例主档'!C23</x:f>
        <x:v>0</x:v>
      </x:c>
      <x:c r="C23" s="30" t="str">
        <x:f>IF(A23="","",'01_命例主档'!K23&amp;" "&amp;'01_命例主档'!L23&amp;" "&amp;'01_命例主档'!M23&amp;" "&amp;'01_命例主档'!N23)</x:f>
      </x:c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  <x:c r="AA23" s="30"/>
      <x:c r="AB23" s="30"/>
      <x:c r="AC23" s="30"/>
      <x:c r="AD23" s="30"/>
      <x:c r="AE23" s="30"/>
      <x:c r="AF23" s="30"/>
      <x:c r="AG23" s="30"/>
      <x:c r="AH23" s="30"/>
      <x:c r="AI23" s="30"/>
      <x:c r="AJ23" s="30"/>
      <x:c r="AK23" s="30"/>
      <x:c r="AL23" s="30"/>
      <x:c r="AM23" s="30"/>
      <x:c r="AN23" s="30"/>
      <x:c r="AO23" s="30"/>
      <x:c r="AP23" s="30"/>
      <x:c r="AQ23" s="30"/>
      <x:c r="AR23" s="30"/>
      <x:c r="AS23" s="30"/>
      <x:c r="AT23" s="31"/>
      <x:c r="AU23" s="30"/>
    </x:row>
    <x:row r="24">
      <x:c r="A24" s="30" t="str">
        <x:f>'01_命例主档'!A24</x:f>
      </x:c>
      <x:c r="B24" s="30" t="n">
        <x:f>'01_命例主档'!C24</x:f>
        <x:v>0</x:v>
      </x:c>
      <x:c r="C24" s="30" t="str">
        <x:f>IF(A24="","",'01_命例主档'!K24&amp;" "&amp;'01_命例主档'!L24&amp;" "&amp;'01_命例主档'!M24&amp;" "&amp;'01_命例主档'!N24)</x:f>
      </x:c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  <x:c r="AA24" s="30"/>
      <x:c r="AB24" s="30"/>
      <x:c r="AC24" s="30"/>
      <x:c r="AD24" s="30"/>
      <x:c r="AE24" s="30"/>
      <x:c r="AF24" s="30"/>
      <x:c r="AG24" s="30"/>
      <x:c r="AH24" s="30"/>
      <x:c r="AI24" s="30"/>
      <x:c r="AJ24" s="30"/>
      <x:c r="AK24" s="30"/>
      <x:c r="AL24" s="30"/>
      <x:c r="AM24" s="30"/>
      <x:c r="AN24" s="30"/>
      <x:c r="AO24" s="30"/>
      <x:c r="AP24" s="30"/>
      <x:c r="AQ24" s="30"/>
      <x:c r="AR24" s="30"/>
      <x:c r="AS24" s="30"/>
      <x:c r="AT24" s="31"/>
      <x:c r="AU24" s="30"/>
    </x:row>
    <x:row r="25">
      <x:c r="A25" s="30" t="str">
        <x:f>'01_命例主档'!A25</x:f>
      </x:c>
      <x:c r="B25" s="30" t="n">
        <x:f>'01_命例主档'!C25</x:f>
        <x:v>0</x:v>
      </x:c>
      <x:c r="C25" s="30" t="str">
        <x:f>IF(A25="","",'01_命例主档'!K25&amp;" "&amp;'01_命例主档'!L25&amp;" "&amp;'01_命例主档'!M25&amp;" "&amp;'01_命例主档'!N25)</x:f>
      </x:c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  <x:c r="AA25" s="30"/>
      <x:c r="AB25" s="30"/>
      <x:c r="AC25" s="30"/>
      <x:c r="AD25" s="30"/>
      <x:c r="AE25" s="30"/>
      <x:c r="AF25" s="30"/>
      <x:c r="AG25" s="30"/>
      <x:c r="AH25" s="30"/>
      <x:c r="AI25" s="30"/>
      <x:c r="AJ25" s="30"/>
      <x:c r="AK25" s="30"/>
      <x:c r="AL25" s="30"/>
      <x:c r="AM25" s="30"/>
      <x:c r="AN25" s="30"/>
      <x:c r="AO25" s="30"/>
      <x:c r="AP25" s="30"/>
      <x:c r="AQ25" s="30"/>
      <x:c r="AR25" s="30"/>
      <x:c r="AS25" s="30"/>
      <x:c r="AT25" s="31"/>
      <x:c r="AU25" s="30"/>
    </x:row>
    <x:row r="26">
      <x:c r="A26" s="30" t="str">
        <x:f>'01_命例主档'!A26</x:f>
      </x:c>
      <x:c r="B26" s="30" t="n">
        <x:f>'01_命例主档'!C26</x:f>
        <x:v>0</x:v>
      </x:c>
      <x:c r="C26" s="30" t="str">
        <x:f>IF(A26="","",'01_命例主档'!K26&amp;" "&amp;'01_命例主档'!L26&amp;" "&amp;'01_命例主档'!M26&amp;" "&amp;'01_命例主档'!N26)</x:f>
      </x:c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  <x:c r="AA26" s="30"/>
      <x:c r="AB26" s="30"/>
      <x:c r="AC26" s="30"/>
      <x:c r="AD26" s="30"/>
      <x:c r="AE26" s="30"/>
      <x:c r="AF26" s="30"/>
      <x:c r="AG26" s="30"/>
      <x:c r="AH26" s="30"/>
      <x:c r="AI26" s="30"/>
      <x:c r="AJ26" s="30"/>
      <x:c r="AK26" s="30"/>
      <x:c r="AL26" s="30"/>
      <x:c r="AM26" s="30"/>
      <x:c r="AN26" s="30"/>
      <x:c r="AO26" s="30"/>
      <x:c r="AP26" s="30"/>
      <x:c r="AQ26" s="30"/>
      <x:c r="AR26" s="30"/>
      <x:c r="AS26" s="30"/>
      <x:c r="AT26" s="31"/>
      <x:c r="AU26" s="30"/>
    </x:row>
    <x:row r="27">
      <x:c r="A27" s="30" t="str">
        <x:f>'01_命例主档'!A27</x:f>
      </x:c>
      <x:c r="B27" s="30" t="n">
        <x:f>'01_命例主档'!C27</x:f>
        <x:v>0</x:v>
      </x:c>
      <x:c r="C27" s="30" t="str">
        <x:f>IF(A27="","",'01_命例主档'!K27&amp;" "&amp;'01_命例主档'!L27&amp;" "&amp;'01_命例主档'!M27&amp;" "&amp;'01_命例主档'!N27)</x:f>
      </x:c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  <x:c r="AA27" s="30"/>
      <x:c r="AB27" s="30"/>
      <x:c r="AC27" s="30"/>
      <x:c r="AD27" s="30"/>
      <x:c r="AE27" s="30"/>
      <x:c r="AF27" s="30"/>
      <x:c r="AG27" s="30"/>
      <x:c r="AH27" s="30"/>
      <x:c r="AI27" s="30"/>
      <x:c r="AJ27" s="30"/>
      <x:c r="AK27" s="30"/>
      <x:c r="AL27" s="30"/>
      <x:c r="AM27" s="30"/>
      <x:c r="AN27" s="30"/>
      <x:c r="AO27" s="30"/>
      <x:c r="AP27" s="30"/>
      <x:c r="AQ27" s="30"/>
      <x:c r="AR27" s="30"/>
      <x:c r="AS27" s="30"/>
      <x:c r="AT27" s="31"/>
      <x:c r="AU27" s="30"/>
    </x:row>
    <x:row r="28">
      <x:c r="A28" s="30" t="str">
        <x:f>'01_命例主档'!A28</x:f>
      </x:c>
      <x:c r="B28" s="30" t="n">
        <x:f>'01_命例主档'!C28</x:f>
        <x:v>0</x:v>
      </x:c>
      <x:c r="C28" s="30" t="str">
        <x:f>IF(A28="","",'01_命例主档'!K28&amp;" "&amp;'01_命例主档'!L28&amp;" "&amp;'01_命例主档'!M28&amp;" "&amp;'01_命例主档'!N28)</x:f>
      </x:c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  <x:c r="AA28" s="30"/>
      <x:c r="AB28" s="30"/>
      <x:c r="AC28" s="30"/>
      <x:c r="AD28" s="30"/>
      <x:c r="AE28" s="30"/>
      <x:c r="AF28" s="30"/>
      <x:c r="AG28" s="30"/>
      <x:c r="AH28" s="30"/>
      <x:c r="AI28" s="30"/>
      <x:c r="AJ28" s="30"/>
      <x:c r="AK28" s="30"/>
      <x:c r="AL28" s="30"/>
      <x:c r="AM28" s="30"/>
      <x:c r="AN28" s="30"/>
      <x:c r="AO28" s="30"/>
      <x:c r="AP28" s="30"/>
      <x:c r="AQ28" s="30"/>
      <x:c r="AR28" s="30"/>
      <x:c r="AS28" s="30"/>
      <x:c r="AT28" s="31"/>
      <x:c r="AU28" s="30"/>
    </x:row>
    <x:row r="29">
      <x:c r="A29" s="30" t="str">
        <x:f>'01_命例主档'!A29</x:f>
      </x:c>
      <x:c r="B29" s="30" t="n">
        <x:f>'01_命例主档'!C29</x:f>
        <x:v>0</x:v>
      </x:c>
      <x:c r="C29" s="30" t="str">
        <x:f>IF(A29="","",'01_命例主档'!K29&amp;" "&amp;'01_命例主档'!L29&amp;" "&amp;'01_命例主档'!M29&amp;" "&amp;'01_命例主档'!N29)</x:f>
      </x:c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  <x:c r="AA29" s="30"/>
      <x:c r="AB29" s="30"/>
      <x:c r="AC29" s="30"/>
      <x:c r="AD29" s="30"/>
      <x:c r="AE29" s="30"/>
      <x:c r="AF29" s="30"/>
      <x:c r="AG29" s="30"/>
      <x:c r="AH29" s="30"/>
      <x:c r="AI29" s="30"/>
      <x:c r="AJ29" s="30"/>
      <x:c r="AK29" s="30"/>
      <x:c r="AL29" s="30"/>
      <x:c r="AM29" s="30"/>
      <x:c r="AN29" s="30"/>
      <x:c r="AO29" s="30"/>
      <x:c r="AP29" s="30"/>
      <x:c r="AQ29" s="30"/>
      <x:c r="AR29" s="30"/>
      <x:c r="AS29" s="30"/>
      <x:c r="AT29" s="31"/>
      <x:c r="AU29" s="30"/>
    </x:row>
    <x:row r="30">
      <x:c r="A30" s="30" t="str">
        <x:f>'01_命例主档'!A30</x:f>
      </x:c>
      <x:c r="B30" s="30" t="n">
        <x:f>'01_命例主档'!C30</x:f>
        <x:v>0</x:v>
      </x:c>
      <x:c r="C30" s="30" t="str">
        <x:f>IF(A30="","",'01_命例主档'!K30&amp;" "&amp;'01_命例主档'!L30&amp;" "&amp;'01_命例主档'!M30&amp;" "&amp;'01_命例主档'!N30)</x:f>
      </x:c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  <x:c r="AA30" s="30"/>
      <x:c r="AB30" s="30"/>
      <x:c r="AC30" s="30"/>
      <x:c r="AD30" s="30"/>
      <x:c r="AE30" s="30"/>
      <x:c r="AF30" s="30"/>
      <x:c r="AG30" s="30"/>
      <x:c r="AH30" s="30"/>
      <x:c r="AI30" s="30"/>
      <x:c r="AJ30" s="30"/>
      <x:c r="AK30" s="30"/>
      <x:c r="AL30" s="30"/>
      <x:c r="AM30" s="30"/>
      <x:c r="AN30" s="30"/>
      <x:c r="AO30" s="30"/>
      <x:c r="AP30" s="30"/>
      <x:c r="AQ30" s="30"/>
      <x:c r="AR30" s="30"/>
      <x:c r="AS30" s="30"/>
      <x:c r="AT30" s="31"/>
      <x:c r="AU30" s="30"/>
    </x:row>
    <x:row r="31">
      <x:c r="A31" s="30" t="str">
        <x:f>'01_命例主档'!A31</x:f>
      </x:c>
      <x:c r="B31" s="30" t="n">
        <x:f>'01_命例主档'!C31</x:f>
        <x:v>0</x:v>
      </x:c>
      <x:c r="C31" s="30" t="str">
        <x:f>IF(A31="","",'01_命例主档'!K31&amp;" "&amp;'01_命例主档'!L31&amp;" "&amp;'01_命例主档'!M31&amp;" "&amp;'01_命例主档'!N31)</x:f>
      </x:c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  <x:c r="AA31" s="30"/>
      <x:c r="AB31" s="30"/>
      <x:c r="AC31" s="30"/>
      <x:c r="AD31" s="30"/>
      <x:c r="AE31" s="30"/>
      <x:c r="AF31" s="30"/>
      <x:c r="AG31" s="30"/>
      <x:c r="AH31" s="30"/>
      <x:c r="AI31" s="30"/>
      <x:c r="AJ31" s="30"/>
      <x:c r="AK31" s="30"/>
      <x:c r="AL31" s="30"/>
      <x:c r="AM31" s="30"/>
      <x:c r="AN31" s="30"/>
      <x:c r="AO31" s="30"/>
      <x:c r="AP31" s="30"/>
      <x:c r="AQ31" s="30"/>
      <x:c r="AR31" s="30"/>
      <x:c r="AS31" s="30"/>
      <x:c r="AT31" s="31"/>
      <x:c r="AU31" s="30"/>
    </x:row>
    <x:row r="32">
      <x:c r="A32" s="30" t="str">
        <x:f>'01_命例主档'!A32</x:f>
      </x:c>
      <x:c r="B32" s="30" t="n">
        <x:f>'01_命例主档'!C32</x:f>
        <x:v>0</x:v>
      </x:c>
      <x:c r="C32" s="30" t="str">
        <x:f>IF(A32="","",'01_命例主档'!K32&amp;" "&amp;'01_命例主档'!L32&amp;" "&amp;'01_命例主档'!M32&amp;" "&amp;'01_命例主档'!N32)</x:f>
      </x:c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  <x:c r="AA32" s="30"/>
      <x:c r="AB32" s="30"/>
      <x:c r="AC32" s="30"/>
      <x:c r="AD32" s="30"/>
      <x:c r="AE32" s="30"/>
      <x:c r="AF32" s="30"/>
      <x:c r="AG32" s="30"/>
      <x:c r="AH32" s="30"/>
      <x:c r="AI32" s="30"/>
      <x:c r="AJ32" s="30"/>
      <x:c r="AK32" s="30"/>
      <x:c r="AL32" s="30"/>
      <x:c r="AM32" s="30"/>
      <x:c r="AN32" s="30"/>
      <x:c r="AO32" s="30"/>
      <x:c r="AP32" s="30"/>
      <x:c r="AQ32" s="30"/>
      <x:c r="AR32" s="30"/>
      <x:c r="AS32" s="30"/>
      <x:c r="AT32" s="31"/>
      <x:c r="AU32" s="30"/>
    </x:row>
    <x:row r="33">
      <x:c r="A33" s="30" t="str">
        <x:f>'01_命例主档'!A33</x:f>
      </x:c>
      <x:c r="B33" s="30" t="n">
        <x:f>'01_命例主档'!C33</x:f>
        <x:v>0</x:v>
      </x:c>
      <x:c r="C33" s="30" t="str">
        <x:f>IF(A33="","",'01_命例主档'!K33&amp;" "&amp;'01_命例主档'!L33&amp;" "&amp;'01_命例主档'!M33&amp;" "&amp;'01_命例主档'!N33)</x:f>
      </x:c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  <x:c r="AA33" s="30"/>
      <x:c r="AB33" s="30"/>
      <x:c r="AC33" s="30"/>
      <x:c r="AD33" s="30"/>
      <x:c r="AE33" s="30"/>
      <x:c r="AF33" s="30"/>
      <x:c r="AG33" s="30"/>
      <x:c r="AH33" s="30"/>
      <x:c r="AI33" s="30"/>
      <x:c r="AJ33" s="30"/>
      <x:c r="AK33" s="30"/>
      <x:c r="AL33" s="30"/>
      <x:c r="AM33" s="30"/>
      <x:c r="AN33" s="30"/>
      <x:c r="AO33" s="30"/>
      <x:c r="AP33" s="30"/>
      <x:c r="AQ33" s="30"/>
      <x:c r="AR33" s="30"/>
      <x:c r="AS33" s="30"/>
      <x:c r="AT33" s="31"/>
      <x:c r="AU33" s="30"/>
    </x:row>
    <x:row r="34">
      <x:c r="A34" s="30" t="str">
        <x:f>'01_命例主档'!A34</x:f>
      </x:c>
      <x:c r="B34" s="30" t="n">
        <x:f>'01_命例主档'!C34</x:f>
        <x:v>0</x:v>
      </x:c>
      <x:c r="C34" s="30" t="str">
        <x:f>IF(A34="","",'01_命例主档'!K34&amp;" "&amp;'01_命例主档'!L34&amp;" "&amp;'01_命例主档'!M34&amp;" "&amp;'01_命例主档'!N34)</x:f>
      </x:c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  <x:c r="AA34" s="30"/>
      <x:c r="AB34" s="30"/>
      <x:c r="AC34" s="30"/>
      <x:c r="AD34" s="30"/>
      <x:c r="AE34" s="30"/>
      <x:c r="AF34" s="30"/>
      <x:c r="AG34" s="30"/>
      <x:c r="AH34" s="30"/>
      <x:c r="AI34" s="30"/>
      <x:c r="AJ34" s="30"/>
      <x:c r="AK34" s="30"/>
      <x:c r="AL34" s="30"/>
      <x:c r="AM34" s="30"/>
      <x:c r="AN34" s="30"/>
      <x:c r="AO34" s="30"/>
      <x:c r="AP34" s="30"/>
      <x:c r="AQ34" s="30"/>
      <x:c r="AR34" s="30"/>
      <x:c r="AS34" s="30"/>
      <x:c r="AT34" s="31"/>
      <x:c r="AU34" s="30"/>
    </x:row>
    <x:row r="35">
      <x:c r="A35" s="30" t="str">
        <x:f>'01_命例主档'!A35</x:f>
      </x:c>
      <x:c r="B35" s="30" t="n">
        <x:f>'01_命例主档'!C35</x:f>
        <x:v>0</x:v>
      </x:c>
      <x:c r="C35" s="30" t="str">
        <x:f>IF(A35="","",'01_命例主档'!K35&amp;" "&amp;'01_命例主档'!L35&amp;" "&amp;'01_命例主档'!M35&amp;" "&amp;'01_命例主档'!N35)</x:f>
      </x:c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  <x:c r="AA35" s="30"/>
      <x:c r="AB35" s="30"/>
      <x:c r="AC35" s="30"/>
      <x:c r="AD35" s="30"/>
      <x:c r="AE35" s="30"/>
      <x:c r="AF35" s="30"/>
      <x:c r="AG35" s="30"/>
      <x:c r="AH35" s="30"/>
      <x:c r="AI35" s="30"/>
      <x:c r="AJ35" s="30"/>
      <x:c r="AK35" s="30"/>
      <x:c r="AL35" s="30"/>
      <x:c r="AM35" s="30"/>
      <x:c r="AN35" s="30"/>
      <x:c r="AO35" s="30"/>
      <x:c r="AP35" s="30"/>
      <x:c r="AQ35" s="30"/>
      <x:c r="AR35" s="30"/>
      <x:c r="AS35" s="30"/>
      <x:c r="AT35" s="31"/>
      <x:c r="AU35" s="30"/>
    </x:row>
    <x:row r="36">
      <x:c r="A36" s="30" t="str">
        <x:f>'01_命例主档'!A36</x:f>
      </x:c>
      <x:c r="B36" s="30" t="n">
        <x:f>'01_命例主档'!C36</x:f>
        <x:v>0</x:v>
      </x:c>
      <x:c r="C36" s="30" t="str">
        <x:f>IF(A36="","",'01_命例主档'!K36&amp;" "&amp;'01_命例主档'!L36&amp;" "&amp;'01_命例主档'!M36&amp;" "&amp;'01_命例主档'!N36)</x:f>
      </x:c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  <x:c r="AA36" s="30"/>
      <x:c r="AB36" s="30"/>
      <x:c r="AC36" s="30"/>
      <x:c r="AD36" s="30"/>
      <x:c r="AE36" s="30"/>
      <x:c r="AF36" s="30"/>
      <x:c r="AG36" s="30"/>
      <x:c r="AH36" s="30"/>
      <x:c r="AI36" s="30"/>
      <x:c r="AJ36" s="30"/>
      <x:c r="AK36" s="30"/>
      <x:c r="AL36" s="30"/>
      <x:c r="AM36" s="30"/>
      <x:c r="AN36" s="30"/>
      <x:c r="AO36" s="30"/>
      <x:c r="AP36" s="30"/>
      <x:c r="AQ36" s="30"/>
      <x:c r="AR36" s="30"/>
      <x:c r="AS36" s="30"/>
      <x:c r="AT36" s="31"/>
      <x:c r="AU36" s="30"/>
    </x:row>
    <x:row r="37">
      <x:c r="A37" s="30" t="str">
        <x:f>'01_命例主档'!A37</x:f>
      </x:c>
      <x:c r="B37" s="30" t="n">
        <x:f>'01_命例主档'!C37</x:f>
        <x:v>0</x:v>
      </x:c>
      <x:c r="C37" s="30" t="str">
        <x:f>IF(A37="","",'01_命例主档'!K37&amp;" "&amp;'01_命例主档'!L37&amp;" "&amp;'01_命例主档'!M37&amp;" "&amp;'01_命例主档'!N37)</x:f>
      </x:c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  <x:c r="AA37" s="30"/>
      <x:c r="AB37" s="30"/>
      <x:c r="AC37" s="30"/>
      <x:c r="AD37" s="30"/>
      <x:c r="AE37" s="30"/>
      <x:c r="AF37" s="30"/>
      <x:c r="AG37" s="30"/>
      <x:c r="AH37" s="30"/>
      <x:c r="AI37" s="30"/>
      <x:c r="AJ37" s="30"/>
      <x:c r="AK37" s="30"/>
      <x:c r="AL37" s="30"/>
      <x:c r="AM37" s="30"/>
      <x:c r="AN37" s="30"/>
      <x:c r="AO37" s="30"/>
      <x:c r="AP37" s="30"/>
      <x:c r="AQ37" s="30"/>
      <x:c r="AR37" s="30"/>
      <x:c r="AS37" s="30"/>
      <x:c r="AT37" s="31"/>
      <x:c r="AU37" s="30"/>
    </x:row>
    <x:row r="38">
      <x:c r="A38" s="30" t="str">
        <x:f>'01_命例主档'!A38</x:f>
      </x:c>
      <x:c r="B38" s="30" t="n">
        <x:f>'01_命例主档'!C38</x:f>
        <x:v>0</x:v>
      </x:c>
      <x:c r="C38" s="30" t="str">
        <x:f>IF(A38="","",'01_命例主档'!K38&amp;" "&amp;'01_命例主档'!L38&amp;" "&amp;'01_命例主档'!M38&amp;" "&amp;'01_命例主档'!N38)</x:f>
      </x:c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  <x:c r="AA38" s="30"/>
      <x:c r="AB38" s="30"/>
      <x:c r="AC38" s="30"/>
      <x:c r="AD38" s="30"/>
      <x:c r="AE38" s="30"/>
      <x:c r="AF38" s="30"/>
      <x:c r="AG38" s="30"/>
      <x:c r="AH38" s="30"/>
      <x:c r="AI38" s="30"/>
      <x:c r="AJ38" s="30"/>
      <x:c r="AK38" s="30"/>
      <x:c r="AL38" s="30"/>
      <x:c r="AM38" s="30"/>
      <x:c r="AN38" s="30"/>
      <x:c r="AO38" s="30"/>
      <x:c r="AP38" s="30"/>
      <x:c r="AQ38" s="30"/>
      <x:c r="AR38" s="30"/>
      <x:c r="AS38" s="30"/>
      <x:c r="AT38" s="31"/>
      <x:c r="AU38" s="30"/>
    </x:row>
    <x:row r="39">
      <x:c r="A39" s="30" t="str">
        <x:f>'01_命例主档'!A39</x:f>
      </x:c>
      <x:c r="B39" s="30" t="n">
        <x:f>'01_命例主档'!C39</x:f>
        <x:v>0</x:v>
      </x:c>
      <x:c r="C39" s="30" t="str">
        <x:f>IF(A39="","",'01_命例主档'!K39&amp;" "&amp;'01_命例主档'!L39&amp;" "&amp;'01_命例主档'!M39&amp;" "&amp;'01_命例主档'!N39)</x:f>
      </x:c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  <x:c r="AA39" s="30"/>
      <x:c r="AB39" s="30"/>
      <x:c r="AC39" s="30"/>
      <x:c r="AD39" s="30"/>
      <x:c r="AE39" s="30"/>
      <x:c r="AF39" s="30"/>
      <x:c r="AG39" s="30"/>
      <x:c r="AH39" s="30"/>
      <x:c r="AI39" s="30"/>
      <x:c r="AJ39" s="30"/>
      <x:c r="AK39" s="30"/>
      <x:c r="AL39" s="30"/>
      <x:c r="AM39" s="30"/>
      <x:c r="AN39" s="30"/>
      <x:c r="AO39" s="30"/>
      <x:c r="AP39" s="30"/>
      <x:c r="AQ39" s="30"/>
      <x:c r="AR39" s="30"/>
      <x:c r="AS39" s="30"/>
      <x:c r="AT39" s="31"/>
      <x:c r="AU39" s="30"/>
    </x:row>
    <x:row r="40">
      <x:c r="A40" s="30" t="str">
        <x:f>'01_命例主档'!A40</x:f>
      </x:c>
      <x:c r="B40" s="30" t="n">
        <x:f>'01_命例主档'!C40</x:f>
        <x:v>0</x:v>
      </x:c>
      <x:c r="C40" s="30" t="str">
        <x:f>IF(A40="","",'01_命例主档'!K40&amp;" "&amp;'01_命例主档'!L40&amp;" "&amp;'01_命例主档'!M40&amp;" "&amp;'01_命例主档'!N40)</x:f>
      </x:c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  <x:c r="AA40" s="30"/>
      <x:c r="AB40" s="30"/>
      <x:c r="AC40" s="30"/>
      <x:c r="AD40" s="30"/>
      <x:c r="AE40" s="30"/>
      <x:c r="AF40" s="30"/>
      <x:c r="AG40" s="30"/>
      <x:c r="AH40" s="30"/>
      <x:c r="AI40" s="30"/>
      <x:c r="AJ40" s="30"/>
      <x:c r="AK40" s="30"/>
      <x:c r="AL40" s="30"/>
      <x:c r="AM40" s="30"/>
      <x:c r="AN40" s="30"/>
      <x:c r="AO40" s="30"/>
      <x:c r="AP40" s="30"/>
      <x:c r="AQ40" s="30"/>
      <x:c r="AR40" s="30"/>
      <x:c r="AS40" s="30"/>
      <x:c r="AT40" s="31"/>
      <x:c r="AU40" s="30"/>
    </x:row>
    <x:row r="41">
      <x:c r="A41" s="30" t="str">
        <x:f>'01_命例主档'!A41</x:f>
      </x:c>
      <x:c r="B41" s="30" t="n">
        <x:f>'01_命例主档'!C41</x:f>
        <x:v>0</x:v>
      </x:c>
      <x:c r="C41" s="30" t="str">
        <x:f>IF(A41="","",'01_命例主档'!K41&amp;" "&amp;'01_命例主档'!L41&amp;" "&amp;'01_命例主档'!M41&amp;" "&amp;'01_命例主档'!N41)</x:f>
      </x:c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  <x:c r="AA41" s="30"/>
      <x:c r="AB41" s="30"/>
      <x:c r="AC41" s="30"/>
      <x:c r="AD41" s="30"/>
      <x:c r="AE41" s="30"/>
      <x:c r="AF41" s="30"/>
      <x:c r="AG41" s="30"/>
      <x:c r="AH41" s="30"/>
      <x:c r="AI41" s="30"/>
      <x:c r="AJ41" s="30"/>
      <x:c r="AK41" s="30"/>
      <x:c r="AL41" s="30"/>
      <x:c r="AM41" s="30"/>
      <x:c r="AN41" s="30"/>
      <x:c r="AO41" s="30"/>
      <x:c r="AP41" s="30"/>
      <x:c r="AQ41" s="30"/>
      <x:c r="AR41" s="30"/>
      <x:c r="AS41" s="30"/>
      <x:c r="AT41" s="31"/>
      <x:c r="AU41" s="30"/>
    </x:row>
    <x:row r="42">
      <x:c r="A42" s="30" t="str">
        <x:f>'01_命例主档'!A42</x:f>
      </x:c>
      <x:c r="B42" s="30" t="n">
        <x:f>'01_命例主档'!C42</x:f>
        <x:v>0</x:v>
      </x:c>
      <x:c r="C42" s="30" t="str">
        <x:f>IF(A42="","",'01_命例主档'!K42&amp;" "&amp;'01_命例主档'!L42&amp;" "&amp;'01_命例主档'!M42&amp;" "&amp;'01_命例主档'!N42)</x:f>
      </x:c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  <x:c r="AF42" s="30"/>
      <x:c r="AG42" s="30"/>
      <x:c r="AH42" s="30"/>
      <x:c r="AI42" s="30"/>
      <x:c r="AJ42" s="30"/>
      <x:c r="AK42" s="30"/>
      <x:c r="AL42" s="30"/>
      <x:c r="AM42" s="30"/>
      <x:c r="AN42" s="30"/>
      <x:c r="AO42" s="30"/>
      <x:c r="AP42" s="30"/>
      <x:c r="AQ42" s="30"/>
      <x:c r="AR42" s="30"/>
      <x:c r="AS42" s="30"/>
      <x:c r="AT42" s="31"/>
      <x:c r="AU42" s="30"/>
    </x:row>
    <x:row r="43">
      <x:c r="A43" s="30" t="str">
        <x:f>'01_命例主档'!A43</x:f>
      </x:c>
      <x:c r="B43" s="30" t="n">
        <x:f>'01_命例主档'!C43</x:f>
        <x:v>0</x:v>
      </x:c>
      <x:c r="C43" s="30" t="str">
        <x:f>IF(A43="","",'01_命例主档'!K43&amp;" "&amp;'01_命例主档'!L43&amp;" "&amp;'01_命例主档'!M43&amp;" "&amp;'01_命例主档'!N43)</x:f>
      </x:c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  <x:c r="AA43" s="30"/>
      <x:c r="AB43" s="30"/>
      <x:c r="AC43" s="30"/>
      <x:c r="AD43" s="30"/>
      <x:c r="AE43" s="30"/>
      <x:c r="AF43" s="30"/>
      <x:c r="AG43" s="30"/>
      <x:c r="AH43" s="30"/>
      <x:c r="AI43" s="30"/>
      <x:c r="AJ43" s="30"/>
      <x:c r="AK43" s="30"/>
      <x:c r="AL43" s="30"/>
      <x:c r="AM43" s="30"/>
      <x:c r="AN43" s="30"/>
      <x:c r="AO43" s="30"/>
      <x:c r="AP43" s="30"/>
      <x:c r="AQ43" s="30"/>
      <x:c r="AR43" s="30"/>
      <x:c r="AS43" s="30"/>
      <x:c r="AT43" s="31"/>
      <x:c r="AU43" s="30"/>
    </x:row>
    <x:row r="44">
      <x:c r="A44" s="30" t="str">
        <x:f>'01_命例主档'!A44</x:f>
      </x:c>
      <x:c r="B44" s="30" t="n">
        <x:f>'01_命例主档'!C44</x:f>
        <x:v>0</x:v>
      </x:c>
      <x:c r="C44" s="30" t="str">
        <x:f>IF(A44="","",'01_命例主档'!K44&amp;" "&amp;'01_命例主档'!L44&amp;" "&amp;'01_命例主档'!M44&amp;" "&amp;'01_命例主档'!N44)</x:f>
      </x:c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  <x:c r="AA44" s="30"/>
      <x:c r="AB44" s="30"/>
      <x:c r="AC44" s="30"/>
      <x:c r="AD44" s="30"/>
      <x:c r="AE44" s="30"/>
      <x:c r="AF44" s="30"/>
      <x:c r="AG44" s="30"/>
      <x:c r="AH44" s="30"/>
      <x:c r="AI44" s="30"/>
      <x:c r="AJ44" s="30"/>
      <x:c r="AK44" s="30"/>
      <x:c r="AL44" s="30"/>
      <x:c r="AM44" s="30"/>
      <x:c r="AN44" s="30"/>
      <x:c r="AO44" s="30"/>
      <x:c r="AP44" s="30"/>
      <x:c r="AQ44" s="30"/>
      <x:c r="AR44" s="30"/>
      <x:c r="AS44" s="30"/>
      <x:c r="AT44" s="31"/>
      <x:c r="AU44" s="30"/>
    </x:row>
    <x:row r="45">
      <x:c r="A45" s="30" t="str">
        <x:f>'01_命例主档'!A45</x:f>
      </x:c>
      <x:c r="B45" s="30" t="n">
        <x:f>'01_命例主档'!C45</x:f>
        <x:v>0</x:v>
      </x:c>
      <x:c r="C45" s="30" t="str">
        <x:f>IF(A45="","",'01_命例主档'!K45&amp;" "&amp;'01_命例主档'!L45&amp;" "&amp;'01_命例主档'!M45&amp;" "&amp;'01_命例主档'!N45)</x:f>
      </x:c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  <x:c r="AA45" s="30"/>
      <x:c r="AB45" s="30"/>
      <x:c r="AC45" s="30"/>
      <x:c r="AD45" s="30"/>
      <x:c r="AE45" s="30"/>
      <x:c r="AF45" s="30"/>
      <x:c r="AG45" s="30"/>
      <x:c r="AH45" s="30"/>
      <x:c r="AI45" s="30"/>
      <x:c r="AJ45" s="30"/>
      <x:c r="AK45" s="30"/>
      <x:c r="AL45" s="30"/>
      <x:c r="AM45" s="30"/>
      <x:c r="AN45" s="30"/>
      <x:c r="AO45" s="30"/>
      <x:c r="AP45" s="30"/>
      <x:c r="AQ45" s="30"/>
      <x:c r="AR45" s="30"/>
      <x:c r="AS45" s="30"/>
      <x:c r="AT45" s="31"/>
      <x:c r="AU45" s="30"/>
    </x:row>
    <x:row r="46">
      <x:c r="A46" s="30" t="str">
        <x:f>'01_命例主档'!A46</x:f>
      </x:c>
      <x:c r="B46" s="30" t="n">
        <x:f>'01_命例主档'!C46</x:f>
        <x:v>0</x:v>
      </x:c>
      <x:c r="C46" s="30" t="str">
        <x:f>IF(A46="","",'01_命例主档'!K46&amp;" "&amp;'01_命例主档'!L46&amp;" "&amp;'01_命例主档'!M46&amp;" "&amp;'01_命例主档'!N46)</x:f>
      </x:c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  <x:c r="AA46" s="30"/>
      <x:c r="AB46" s="30"/>
      <x:c r="AC46" s="30"/>
      <x:c r="AD46" s="30"/>
      <x:c r="AE46" s="30"/>
      <x:c r="AF46" s="30"/>
      <x:c r="AG46" s="30"/>
      <x:c r="AH46" s="30"/>
      <x:c r="AI46" s="30"/>
      <x:c r="AJ46" s="30"/>
      <x:c r="AK46" s="30"/>
      <x:c r="AL46" s="30"/>
      <x:c r="AM46" s="30"/>
      <x:c r="AN46" s="30"/>
      <x:c r="AO46" s="30"/>
      <x:c r="AP46" s="30"/>
      <x:c r="AQ46" s="30"/>
      <x:c r="AR46" s="30"/>
      <x:c r="AS46" s="30"/>
      <x:c r="AT46" s="31"/>
      <x:c r="AU46" s="30"/>
    </x:row>
    <x:row r="47">
      <x:c r="A47" s="30" t="str">
        <x:f>'01_命例主档'!A47</x:f>
      </x:c>
      <x:c r="B47" s="30" t="n">
        <x:f>'01_命例主档'!C47</x:f>
        <x:v>0</x:v>
      </x:c>
      <x:c r="C47" s="30" t="str">
        <x:f>IF(A47="","",'01_命例主档'!K47&amp;" "&amp;'01_命例主档'!L47&amp;" "&amp;'01_命例主档'!M47&amp;" "&amp;'01_命例主档'!N47)</x:f>
      </x:c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  <x:c r="AA47" s="30"/>
      <x:c r="AB47" s="30"/>
      <x:c r="AC47" s="30"/>
      <x:c r="AD47" s="30"/>
      <x:c r="AE47" s="30"/>
      <x:c r="AF47" s="30"/>
      <x:c r="AG47" s="30"/>
      <x:c r="AH47" s="30"/>
      <x:c r="AI47" s="30"/>
      <x:c r="AJ47" s="30"/>
      <x:c r="AK47" s="30"/>
      <x:c r="AL47" s="30"/>
      <x:c r="AM47" s="30"/>
      <x:c r="AN47" s="30"/>
      <x:c r="AO47" s="30"/>
      <x:c r="AP47" s="30"/>
      <x:c r="AQ47" s="30"/>
      <x:c r="AR47" s="30"/>
      <x:c r="AS47" s="30"/>
      <x:c r="AT47" s="31"/>
      <x:c r="AU47" s="30"/>
    </x:row>
    <x:row r="48">
      <x:c r="A48" s="30" t="str">
        <x:f>'01_命例主档'!A48</x:f>
      </x:c>
      <x:c r="B48" s="30" t="n">
        <x:f>'01_命例主档'!C48</x:f>
        <x:v>0</x:v>
      </x:c>
      <x:c r="C48" s="30" t="str">
        <x:f>IF(A48="","",'01_命例主档'!K48&amp;" "&amp;'01_命例主档'!L48&amp;" "&amp;'01_命例主档'!M48&amp;" "&amp;'01_命例主档'!N48)</x:f>
      </x:c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  <x:c r="AA48" s="30"/>
      <x:c r="AB48" s="30"/>
      <x:c r="AC48" s="30"/>
      <x:c r="AD48" s="30"/>
      <x:c r="AE48" s="30"/>
      <x:c r="AF48" s="30"/>
      <x:c r="AG48" s="30"/>
      <x:c r="AH48" s="30"/>
      <x:c r="AI48" s="30"/>
      <x:c r="AJ48" s="30"/>
      <x:c r="AK48" s="30"/>
      <x:c r="AL48" s="30"/>
      <x:c r="AM48" s="30"/>
      <x:c r="AN48" s="30"/>
      <x:c r="AO48" s="30"/>
      <x:c r="AP48" s="30"/>
      <x:c r="AQ48" s="30"/>
      <x:c r="AR48" s="30"/>
      <x:c r="AS48" s="30"/>
      <x:c r="AT48" s="31"/>
      <x:c r="AU48" s="30"/>
    </x:row>
    <x:row r="49">
      <x:c r="A49" s="30" t="str">
        <x:f>'01_命例主档'!A49</x:f>
      </x:c>
      <x:c r="B49" s="30" t="n">
        <x:f>'01_命例主档'!C49</x:f>
        <x:v>0</x:v>
      </x:c>
      <x:c r="C49" s="30" t="str">
        <x:f>IF(A49="","",'01_命例主档'!K49&amp;" "&amp;'01_命例主档'!L49&amp;" "&amp;'01_命例主档'!M49&amp;" "&amp;'01_命例主档'!N49)</x:f>
      </x:c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  <x:c r="AA49" s="30"/>
      <x:c r="AB49" s="30"/>
      <x:c r="AC49" s="30"/>
      <x:c r="AD49" s="30"/>
      <x:c r="AE49" s="30"/>
      <x:c r="AF49" s="30"/>
      <x:c r="AG49" s="30"/>
      <x:c r="AH49" s="30"/>
      <x:c r="AI49" s="30"/>
      <x:c r="AJ49" s="30"/>
      <x:c r="AK49" s="30"/>
      <x:c r="AL49" s="30"/>
      <x:c r="AM49" s="30"/>
      <x:c r="AN49" s="30"/>
      <x:c r="AO49" s="30"/>
      <x:c r="AP49" s="30"/>
      <x:c r="AQ49" s="30"/>
      <x:c r="AR49" s="30"/>
      <x:c r="AS49" s="30"/>
      <x:c r="AT49" s="31"/>
      <x:c r="AU49" s="30"/>
    </x:row>
    <x:row r="50">
      <x:c r="A50" s="30" t="str">
        <x:f>'01_命例主档'!A50</x:f>
      </x:c>
      <x:c r="B50" s="30" t="n">
        <x:f>'01_命例主档'!C50</x:f>
        <x:v>0</x:v>
      </x:c>
      <x:c r="C50" s="30" t="str">
        <x:f>IF(A50="","",'01_命例主档'!K50&amp;" "&amp;'01_命例主档'!L50&amp;" "&amp;'01_命例主档'!M50&amp;" "&amp;'01_命例主档'!N50)</x:f>
      </x:c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  <x:c r="AA50" s="30"/>
      <x:c r="AB50" s="30"/>
      <x:c r="AC50" s="30"/>
      <x:c r="AD50" s="30"/>
      <x:c r="AE50" s="30"/>
      <x:c r="AF50" s="30"/>
      <x:c r="AG50" s="30"/>
      <x:c r="AH50" s="30"/>
      <x:c r="AI50" s="30"/>
      <x:c r="AJ50" s="30"/>
      <x:c r="AK50" s="30"/>
      <x:c r="AL50" s="30"/>
      <x:c r="AM50" s="30"/>
      <x:c r="AN50" s="30"/>
      <x:c r="AO50" s="30"/>
      <x:c r="AP50" s="30"/>
      <x:c r="AQ50" s="30"/>
      <x:c r="AR50" s="30"/>
      <x:c r="AS50" s="30"/>
      <x:c r="AT50" s="31"/>
      <x:c r="AU50" s="30"/>
    </x:row>
    <x:row r="51">
      <x:c r="A51" s="30" t="str">
        <x:f>'01_命例主档'!A51</x:f>
      </x:c>
      <x:c r="B51" s="30" t="n">
        <x:f>'01_命例主档'!C51</x:f>
        <x:v>0</x:v>
      </x:c>
      <x:c r="C51" s="30" t="str">
        <x:f>IF(A51="","",'01_命例主档'!K51&amp;" "&amp;'01_命例主档'!L51&amp;" "&amp;'01_命例主档'!M51&amp;" "&amp;'01_命例主档'!N51)</x:f>
      </x:c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  <x:c r="AA51" s="30"/>
      <x:c r="AB51" s="30"/>
      <x:c r="AC51" s="30"/>
      <x:c r="AD51" s="30"/>
      <x:c r="AE51" s="30"/>
      <x:c r="AF51" s="30"/>
      <x:c r="AG51" s="30"/>
      <x:c r="AH51" s="30"/>
      <x:c r="AI51" s="30"/>
      <x:c r="AJ51" s="30"/>
      <x:c r="AK51" s="30"/>
      <x:c r="AL51" s="30"/>
      <x:c r="AM51" s="30"/>
      <x:c r="AN51" s="30"/>
      <x:c r="AO51" s="30"/>
      <x:c r="AP51" s="30"/>
      <x:c r="AQ51" s="30"/>
      <x:c r="AR51" s="30"/>
      <x:c r="AS51" s="30"/>
      <x:c r="AT51" s="31"/>
      <x:c r="AU51" s="30"/>
    </x:row>
    <x:row r="52">
      <x:c r="A52" s="30" t="str">
        <x:f>'01_命例主档'!A52</x:f>
      </x:c>
      <x:c r="B52" s="30" t="n">
        <x:f>'01_命例主档'!C52</x:f>
        <x:v>0</x:v>
      </x:c>
      <x:c r="C52" s="30" t="str">
        <x:f>IF(A52="","",'01_命例主档'!K52&amp;" "&amp;'01_命例主档'!L52&amp;" "&amp;'01_命例主档'!M52&amp;" "&amp;'01_命例主档'!N52)</x:f>
      </x:c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  <x:c r="AA52" s="30"/>
      <x:c r="AB52" s="30"/>
      <x:c r="AC52" s="30"/>
      <x:c r="AD52" s="30"/>
      <x:c r="AE52" s="30"/>
      <x:c r="AF52" s="30"/>
      <x:c r="AG52" s="30"/>
      <x:c r="AH52" s="30"/>
      <x:c r="AI52" s="30"/>
      <x:c r="AJ52" s="30"/>
      <x:c r="AK52" s="30"/>
      <x:c r="AL52" s="30"/>
      <x:c r="AM52" s="30"/>
      <x:c r="AN52" s="30"/>
      <x:c r="AO52" s="30"/>
      <x:c r="AP52" s="30"/>
      <x:c r="AQ52" s="30"/>
      <x:c r="AR52" s="30"/>
      <x:c r="AS52" s="30"/>
      <x:c r="AT52" s="31"/>
      <x:c r="AU52" s="30"/>
    </x:row>
    <x:row r="53">
      <x:c r="A53" s="30" t="str">
        <x:f>'01_命例主档'!A53</x:f>
      </x:c>
      <x:c r="B53" s="30" t="n">
        <x:f>'01_命例主档'!C53</x:f>
        <x:v>0</x:v>
      </x:c>
      <x:c r="C53" s="30" t="str">
        <x:f>IF(A53="","",'01_命例主档'!K53&amp;" "&amp;'01_命例主档'!L53&amp;" "&amp;'01_命例主档'!M53&amp;" "&amp;'01_命例主档'!N53)</x:f>
      </x:c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  <x:c r="AA53" s="30"/>
      <x:c r="AB53" s="30"/>
      <x:c r="AC53" s="30"/>
      <x:c r="AD53" s="30"/>
      <x:c r="AE53" s="30"/>
      <x:c r="AF53" s="30"/>
      <x:c r="AG53" s="30"/>
      <x:c r="AH53" s="30"/>
      <x:c r="AI53" s="30"/>
      <x:c r="AJ53" s="30"/>
      <x:c r="AK53" s="30"/>
      <x:c r="AL53" s="30"/>
      <x:c r="AM53" s="30"/>
      <x:c r="AN53" s="30"/>
      <x:c r="AO53" s="30"/>
      <x:c r="AP53" s="30"/>
      <x:c r="AQ53" s="30"/>
      <x:c r="AR53" s="30"/>
      <x:c r="AS53" s="30"/>
      <x:c r="AT53" s="31"/>
      <x:c r="AU53" s="30"/>
    </x:row>
    <x:row r="54">
      <x:c r="A54" s="30" t="str">
        <x:f>'01_命例主档'!A54</x:f>
      </x:c>
      <x:c r="B54" s="30" t="n">
        <x:f>'01_命例主档'!C54</x:f>
        <x:v>0</x:v>
      </x:c>
      <x:c r="C54" s="30" t="str">
        <x:f>IF(A54="","",'01_命例主档'!K54&amp;" "&amp;'01_命例主档'!L54&amp;" "&amp;'01_命例主档'!M54&amp;" "&amp;'01_命例主档'!N54)</x:f>
      </x:c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  <x:c r="AA54" s="30"/>
      <x:c r="AB54" s="30"/>
      <x:c r="AC54" s="30"/>
      <x:c r="AD54" s="30"/>
      <x:c r="AE54" s="30"/>
      <x:c r="AF54" s="30"/>
      <x:c r="AG54" s="30"/>
      <x:c r="AH54" s="30"/>
      <x:c r="AI54" s="30"/>
      <x:c r="AJ54" s="30"/>
      <x:c r="AK54" s="30"/>
      <x:c r="AL54" s="30"/>
      <x:c r="AM54" s="30"/>
      <x:c r="AN54" s="30"/>
      <x:c r="AO54" s="30"/>
      <x:c r="AP54" s="30"/>
      <x:c r="AQ54" s="30"/>
      <x:c r="AR54" s="30"/>
      <x:c r="AS54" s="30"/>
      <x:c r="AT54" s="31"/>
      <x:c r="AU54" s="30"/>
    </x:row>
    <x:row r="55">
      <x:c r="A55" s="30" t="n">
        <x:f>'01_命例主档'!A55</x:f>
        <x:v>0</x:v>
      </x:c>
      <x:c r="B55" s="30" t="n">
        <x:f>'01_命例主档'!C55</x:f>
        <x:v>0</x:v>
      </x:c>
      <x:c r="C55" s="30" t="str">
        <x:f>IF(A55="","",'01_命例主档'!K55&amp;" "&amp;'01_命例主档'!L55&amp;" "&amp;'01_命例主档'!M55&amp;" "&amp;'01_命例主档'!N55)</x:f>
      </x:c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  <x:c r="AA55" s="30"/>
      <x:c r="AB55" s="30"/>
      <x:c r="AC55" s="30"/>
      <x:c r="AD55" s="30"/>
      <x:c r="AE55" s="30"/>
      <x:c r="AF55" s="30"/>
      <x:c r="AG55" s="30"/>
      <x:c r="AH55" s="30"/>
      <x:c r="AI55" s="30"/>
      <x:c r="AJ55" s="30"/>
      <x:c r="AK55" s="30"/>
      <x:c r="AL55" s="30"/>
      <x:c r="AM55" s="30"/>
      <x:c r="AN55" s="30"/>
      <x:c r="AO55" s="30"/>
      <x:c r="AP55" s="30"/>
      <x:c r="AQ55" s="30"/>
      <x:c r="AR55" s="30"/>
      <x:c r="AS55" s="30"/>
      <x:c r="AT55" s="31"/>
      <x:c r="AU55" s="30"/>
    </x:row>
  </x:sheetData>
  <x:mergeCells>
    <x:mergeCell ref="A1:AU1"/>
    <x:mergeCell ref="A2:AU2"/>
  </x:mergeCells>
  <x:dataValidations count="9">
    <x:dataValidation type="list" sqref="G6:K55">
      <x:formula1>'99_下拉选项'!$Z$4:$Z$10</x:formula1>
    </x:dataValidation>
    <x:dataValidation type="list" sqref="M6:M55">
      <x:formula1>'99_下拉选项'!$Z$4:$Z$10</x:formula1>
    </x:dataValidation>
    <x:dataValidation type="list" sqref="N6:N55">
      <x:formula1>'99_下拉选项'!$G$4:$G$8</x:formula1>
    </x:dataValidation>
    <x:dataValidation type="list" sqref="T6:T55">
      <x:formula1>'99_下拉选项'!$AA$4:$AA$8</x:formula1>
    </x:dataValidation>
    <x:dataValidation type="list" sqref="U6:U55">
      <x:formula1>'99_下拉选项'!$AB$4:$AB$8</x:formula1>
    </x:dataValidation>
    <x:dataValidation type="list" sqref="V6:V55">
      <x:formula1>'99_下拉选项'!$AC$4:$AC$8</x:formula1>
    </x:dataValidation>
    <x:dataValidation type="list" sqref="Y6:Y55">
      <x:formula1>'99_下拉选项'!$AD$4:$AD$10</x:formula1>
    </x:dataValidation>
    <x:dataValidation type="list" sqref="AO6:AO55">
      <x:formula1>'99_下拉选项'!$G$4:$G$8</x:formula1>
    </x:dataValidation>
    <x:dataValidation type="list" sqref="AS6:AS55">
      <x:formula1>'99_下拉选项'!$F$4:$F$8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96fdd6bb9242c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8" hidden="0" customWidth="1"/>
    <x:col min="4" max="4" width="16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34" hidden="0" customWidth="1"/>
    <x:col min="12" max="12" width="30" hidden="0" customWidth="1"/>
    <x:col min="13" max="13" width="30" hidden="0" customWidth="1"/>
    <x:col min="14" max="14" width="22" hidden="0" customWidth="1"/>
    <x:col min="15" max="15" width="28" hidden="0" customWidth="1"/>
    <x:col min="16" max="16" width="14" hidden="0" customWidth="1"/>
    <x:col min="17" max="17" width="13" hidden="0" customWidth="1"/>
    <x:col min="18" max="18" width="11" hidden="0" customWidth="1"/>
    <x:col min="19" max="19" width="32" hidden="0" customWidth="1"/>
    <x:col min="20" max="20" width="10" hidden="0" customWidth="1"/>
    <x:col min="21" max="21" width="12" hidden="0" customWidth="1"/>
    <x:col min="22" max="22" width="11" hidden="0" customWidth="1"/>
    <x:col min="23" max="23" width="12" hidden="0" customWidth="1"/>
  </x:cols>
  <x:sheetData>
    <x:row r="1">
      <x:c r="A1" s="5" t="str">
        <x:v>木火土金水五维价值矩阵｜每个命例预置5行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</x:row>
    <x:row r="2">
      <x:c r="A2" t="str">
        <x:v>分别记录扶抑、格局、通关、调候、病药的收益和副作用，再经M18确定主用、喜忌与条件性定位。</x:v>
      </x:c>
    </x:row>
    <x:row r="5">
      <x:c r="A5" s="14" t="str">
        <x:v>Matrix_ID</x:v>
      </x:c>
      <x:c r="B5" s="14" t="str">
        <x:v>Case_ID</x:v>
      </x:c>
      <x:c r="C5" s="14" t="str">
        <x:v>五行</x:v>
      </x:c>
      <x:c r="D5" s="14" t="str">
        <x:v>对应十神</x:v>
      </x:c>
      <x:c r="E5" s="14" t="str">
        <x:v>扶抑作用</x:v>
      </x:c>
      <x:c r="F5" s="14" t="str">
        <x:v>格局作用</x:v>
      </x:c>
      <x:c r="G5" s="14" t="str">
        <x:v>通关作用</x:v>
      </x:c>
      <x:c r="H5" s="14" t="str">
        <x:v>调候作用</x:v>
      </x:c>
      <x:c r="I5" s="14" t="str">
        <x:v>病药作用</x:v>
      </x:c>
      <x:c r="J5" s="14" t="str">
        <x:v>主要收益</x:v>
      </x:c>
      <x:c r="K5" s="14" t="str">
        <x:v>主要副作用</x:v>
      </x:c>
      <x:c r="L5" s="14" t="str">
        <x:v>适用条件</x:v>
      </x:c>
      <x:c r="M5" s="14" t="str">
        <x:v>不适用条件</x:v>
      </x:c>
      <x:c r="N5" s="14" t="str">
        <x:v>冲突维度</x:v>
      </x:c>
      <x:c r="O5" s="14" t="str">
        <x:v>冲突Rule_ID</x:v>
      </x:c>
      <x:c r="P5" s="14" t="str">
        <x:v>综合定位</x:v>
      </x:c>
      <x:c r="Q5" s="14" t="str">
        <x:v>主次优先级</x:v>
      </x:c>
      <x:c r="R5" s="14" t="str">
        <x:v>是否条件性</x:v>
      </x:c>
      <x:c r="S5" s="14" t="str">
        <x:v>条件说明</x:v>
      </x:c>
      <x:c r="T5" s="14" t="str">
        <x:v>置信度</x:v>
      </x:c>
      <x:c r="U5" s="14" t="str">
        <x:v>分析师</x:v>
      </x:c>
      <x:c r="V5" s="14" t="str">
        <x:v>复核状态</x:v>
      </x:c>
      <x:c r="W5" s="14" t="str">
        <x:v>更新时间</x:v>
      </x:c>
    </x:row>
    <x:row r="6">
      <x:c r="A6" s="30" t="str">
        <x:f>IF(B6="","",B6&amp;"-"&amp;C6)</x:f>
      </x:c>
      <x:c r="B6" s="30" t="str">
        <x:f>'01_命例主档'!A6</x:f>
      </x:c>
      <x:c r="C6" s="30" t="str">
        <x:v>木</x:v>
      </x:c>
      <x:c r="D6" s="30" t="str"/>
      <x:c r="E6" s="30" t="str"/>
      <x:c r="F6" s="30" t="str"/>
      <x:c r="G6" s="30" t="str"/>
      <x:c r="H6" s="30" t="str"/>
      <x:c r="I6" s="30" t="str"/>
      <x:c r="J6" s="30" t="str"/>
      <x:c r="K6" s="30" t="str"/>
      <x:c r="L6" s="30" t="str"/>
      <x:c r="M6" s="30" t="str"/>
      <x:c r="N6" s="30" t="str"/>
      <x:c r="O6" s="30" t="str"/>
      <x:c r="P6" s="30" t="str"/>
      <x:c r="Q6" s="30" t="str"/>
      <x:c r="R6" s="30" t="str"/>
      <x:c r="S6" s="30" t="str"/>
      <x:c r="T6" s="30" t="str"/>
      <x:c r="U6" s="30" t="str"/>
      <x:c r="V6" s="30" t="str"/>
      <x:c r="W6" s="31" t="str"/>
    </x:row>
    <x:row r="7">
      <x:c r="A7" s="30" t="str">
        <x:f>IF(B7="","",B7&amp;"-"&amp;C7)</x:f>
      </x:c>
      <x:c r="B7" s="30" t="str">
        <x:f>'01_命例主档'!A6</x:f>
      </x:c>
      <x:c r="C7" s="30" t="str">
        <x:v>火</x:v>
      </x:c>
      <x:c r="D7" s="30" t="str"/>
      <x:c r="E7" s="30" t="str"/>
      <x:c r="F7" s="30" t="str"/>
      <x:c r="G7" s="30" t="str"/>
      <x:c r="H7" s="30" t="str"/>
      <x:c r="I7" s="30" t="str"/>
      <x:c r="J7" s="30" t="str"/>
      <x:c r="K7" s="30" t="str"/>
      <x:c r="L7" s="30" t="str"/>
      <x:c r="M7" s="30" t="str"/>
      <x:c r="N7" s="30" t="str"/>
      <x:c r="O7" s="30" t="str"/>
      <x:c r="P7" s="30" t="str"/>
      <x:c r="Q7" s="30" t="str"/>
      <x:c r="R7" s="30" t="str"/>
      <x:c r="S7" s="30" t="str"/>
      <x:c r="T7" s="30" t="str"/>
      <x:c r="U7" s="30" t="str"/>
      <x:c r="V7" s="30" t="str"/>
      <x:c r="W7" s="31" t="str"/>
    </x:row>
    <x:row r="8">
      <x:c r="A8" s="30" t="str">
        <x:f>IF(B8="","",B8&amp;"-"&amp;C8)</x:f>
      </x:c>
      <x:c r="B8" s="30" t="str">
        <x:f>'01_命例主档'!A6</x:f>
      </x:c>
      <x:c r="C8" s="30" t="str">
        <x:v>土</x:v>
      </x:c>
      <x:c r="D8" s="30" t="str"/>
      <x:c r="E8" s="30" t="str"/>
      <x:c r="F8" s="30" t="str"/>
      <x:c r="G8" s="30" t="str"/>
      <x:c r="H8" s="30" t="str"/>
      <x:c r="I8" s="30" t="str"/>
      <x:c r="J8" s="30" t="str"/>
      <x:c r="K8" s="30" t="str"/>
      <x:c r="L8" s="30" t="str"/>
      <x:c r="M8" s="30" t="str"/>
      <x:c r="N8" s="30" t="str"/>
      <x:c r="O8" s="30" t="str"/>
      <x:c r="P8" s="30" t="str"/>
      <x:c r="Q8" s="30" t="str"/>
      <x:c r="R8" s="30" t="str"/>
      <x:c r="S8" s="30" t="str"/>
      <x:c r="T8" s="30" t="str"/>
      <x:c r="U8" s="30" t="str"/>
      <x:c r="V8" s="30" t="str"/>
      <x:c r="W8" s="31" t="str"/>
    </x:row>
    <x:row r="9">
      <x:c r="A9" s="30" t="str">
        <x:f>IF(B9="","",B9&amp;"-"&amp;C9)</x:f>
      </x:c>
      <x:c r="B9" s="30" t="str">
        <x:f>'01_命例主档'!A6</x:f>
      </x:c>
      <x:c r="C9" s="30" t="str">
        <x:v>金</x:v>
      </x:c>
      <x:c r="D9" s="30" t="str"/>
      <x:c r="E9" s="30" t="str"/>
      <x:c r="F9" s="30" t="str"/>
      <x:c r="G9" s="30" t="str"/>
      <x:c r="H9" s="30" t="str"/>
      <x:c r="I9" s="30" t="str"/>
      <x:c r="J9" s="30" t="str"/>
      <x:c r="K9" s="30" t="str"/>
      <x:c r="L9" s="30" t="str"/>
      <x:c r="M9" s="30" t="str"/>
      <x:c r="N9" s="30" t="str"/>
      <x:c r="O9" s="30" t="str"/>
      <x:c r="P9" s="30" t="str"/>
      <x:c r="Q9" s="30" t="str"/>
      <x:c r="R9" s="30" t="str"/>
      <x:c r="S9" s="30" t="str"/>
      <x:c r="T9" s="30" t="str"/>
      <x:c r="U9" s="30" t="str"/>
      <x:c r="V9" s="30" t="str"/>
      <x:c r="W9" s="31" t="str"/>
    </x:row>
    <x:row r="10">
      <x:c r="A10" s="30" t="str">
        <x:f>IF(B10="","",B10&amp;"-"&amp;C10)</x:f>
      </x:c>
      <x:c r="B10" s="30" t="str">
        <x:f>'01_命例主档'!A6</x:f>
      </x:c>
      <x:c r="C10" s="30" t="str">
        <x:v>水</x:v>
      </x:c>
      <x:c r="D10" s="30" t="str"/>
      <x:c r="E10" s="30" t="str"/>
      <x:c r="F10" s="30" t="str"/>
      <x:c r="G10" s="30" t="str"/>
      <x:c r="H10" s="30" t="str"/>
      <x:c r="I10" s="30" t="str"/>
      <x:c r="J10" s="30" t="str"/>
      <x:c r="K10" s="30" t="str"/>
      <x:c r="L10" s="30" t="str"/>
      <x:c r="M10" s="30" t="str"/>
      <x:c r="N10" s="30" t="str"/>
      <x:c r="O10" s="30" t="str"/>
      <x:c r="P10" s="30" t="str"/>
      <x:c r="Q10" s="30" t="str"/>
      <x:c r="R10" s="30" t="str"/>
      <x:c r="S10" s="30" t="str"/>
      <x:c r="T10" s="30" t="str"/>
      <x:c r="U10" s="30" t="str"/>
      <x:c r="V10" s="30" t="str"/>
      <x:c r="W10" s="31" t="str"/>
    </x:row>
    <x:row r="11">
      <x:c r="A11" s="30" t="str">
        <x:f>IF(B11="","",B11&amp;"-"&amp;C11)</x:f>
      </x:c>
      <x:c r="B11" s="30" t="str">
        <x:f>'01_命例主档'!A7</x:f>
      </x:c>
      <x:c r="C11" s="30" t="str">
        <x:v>木</x:v>
      </x:c>
      <x:c r="D11" s="30" t="str"/>
      <x:c r="E11" s="30" t="str"/>
      <x:c r="F11" s="30" t="str"/>
      <x:c r="G11" s="30" t="str"/>
      <x:c r="H11" s="30" t="str"/>
      <x:c r="I11" s="30" t="str"/>
      <x:c r="J11" s="30" t="str"/>
      <x:c r="K11" s="30" t="str"/>
      <x:c r="L11" s="30" t="str"/>
      <x:c r="M11" s="30" t="str"/>
      <x:c r="N11" s="30" t="str"/>
      <x:c r="O11" s="30" t="str"/>
      <x:c r="P11" s="30" t="str"/>
      <x:c r="Q11" s="30" t="str"/>
      <x:c r="R11" s="30" t="str"/>
      <x:c r="S11" s="30" t="str"/>
      <x:c r="T11" s="30" t="str"/>
      <x:c r="U11" s="30" t="str"/>
      <x:c r="V11" s="30" t="str"/>
      <x:c r="W11" s="31" t="str"/>
    </x:row>
    <x:row r="12">
      <x:c r="A12" s="30" t="str">
        <x:f>IF(B12="","",B12&amp;"-"&amp;C12)</x:f>
      </x:c>
      <x:c r="B12" s="30" t="str">
        <x:f>'01_命例主档'!A7</x:f>
      </x:c>
      <x:c r="C12" s="30" t="str">
        <x:v>火</x:v>
      </x:c>
      <x:c r="D12" s="30" t="str"/>
      <x:c r="E12" s="30" t="str"/>
      <x:c r="F12" s="30" t="str"/>
      <x:c r="G12" s="30" t="str"/>
      <x:c r="H12" s="30" t="str"/>
      <x:c r="I12" s="30" t="str"/>
      <x:c r="J12" s="30" t="str"/>
      <x:c r="K12" s="30" t="str"/>
      <x:c r="L12" s="30" t="str"/>
      <x:c r="M12" s="30" t="str"/>
      <x:c r="N12" s="30" t="str"/>
      <x:c r="O12" s="30" t="str"/>
      <x:c r="P12" s="30" t="str"/>
      <x:c r="Q12" s="30" t="str"/>
      <x:c r="R12" s="30" t="str"/>
      <x:c r="S12" s="30" t="str"/>
      <x:c r="T12" s="30" t="str"/>
      <x:c r="U12" s="30" t="str"/>
      <x:c r="V12" s="30" t="str"/>
      <x:c r="W12" s="31" t="str"/>
    </x:row>
    <x:row r="13">
      <x:c r="A13" s="30" t="str">
        <x:f>IF(B13="","",B13&amp;"-"&amp;C13)</x:f>
      </x:c>
      <x:c r="B13" s="30" t="str">
        <x:f>'01_命例主档'!A7</x:f>
      </x:c>
      <x:c r="C13" s="30" t="str">
        <x:v>土</x:v>
      </x:c>
      <x:c r="D13" s="30" t="str"/>
      <x:c r="E13" s="30" t="str"/>
      <x:c r="F13" s="30" t="str"/>
      <x:c r="G13" s="30" t="str"/>
      <x:c r="H13" s="30" t="str"/>
      <x:c r="I13" s="30" t="str"/>
      <x:c r="J13" s="30" t="str"/>
      <x:c r="K13" s="30" t="str"/>
      <x:c r="L13" s="30" t="str"/>
      <x:c r="M13" s="30" t="str"/>
      <x:c r="N13" s="30" t="str"/>
      <x:c r="O13" s="30" t="str"/>
      <x:c r="P13" s="30" t="str"/>
      <x:c r="Q13" s="30" t="str"/>
      <x:c r="R13" s="30" t="str"/>
      <x:c r="S13" s="30" t="str"/>
      <x:c r="T13" s="30" t="str"/>
      <x:c r="U13" s="30" t="str"/>
      <x:c r="V13" s="30" t="str"/>
      <x:c r="W13" s="31" t="str"/>
    </x:row>
    <x:row r="14">
      <x:c r="A14" s="30" t="str">
        <x:f>IF(B14="","",B14&amp;"-"&amp;C14)</x:f>
      </x:c>
      <x:c r="B14" s="30" t="str">
        <x:f>'01_命例主档'!A7</x:f>
      </x:c>
      <x:c r="C14" s="30" t="str">
        <x:v>金</x:v>
      </x:c>
      <x:c r="D14" s="30" t="str"/>
      <x:c r="E14" s="30" t="str"/>
      <x:c r="F14" s="30" t="str"/>
      <x:c r="G14" s="30" t="str"/>
      <x:c r="H14" s="30" t="str"/>
      <x:c r="I14" s="30" t="str"/>
      <x:c r="J14" s="30" t="str"/>
      <x:c r="K14" s="30" t="str"/>
      <x:c r="L14" s="30" t="str"/>
      <x:c r="M14" s="30" t="str"/>
      <x:c r="N14" s="30" t="str"/>
      <x:c r="O14" s="30" t="str"/>
      <x:c r="P14" s="30" t="str"/>
      <x:c r="Q14" s="30" t="str"/>
      <x:c r="R14" s="30" t="str"/>
      <x:c r="S14" s="30" t="str"/>
      <x:c r="T14" s="30" t="str"/>
      <x:c r="U14" s="30" t="str"/>
      <x:c r="V14" s="30" t="str"/>
      <x:c r="W14" s="31" t="str"/>
    </x:row>
    <x:row r="15">
      <x:c r="A15" s="30" t="str">
        <x:f>IF(B15="","",B15&amp;"-"&amp;C15)</x:f>
      </x:c>
      <x:c r="B15" s="30" t="str">
        <x:f>'01_命例主档'!A7</x:f>
      </x:c>
      <x:c r="C15" s="30" t="str">
        <x:v>水</x:v>
      </x:c>
      <x:c r="D15" s="30" t="str"/>
      <x:c r="E15" s="30" t="str"/>
      <x:c r="F15" s="30" t="str"/>
      <x:c r="G15" s="30" t="str"/>
      <x:c r="H15" s="30" t="str"/>
      <x:c r="I15" s="30" t="str"/>
      <x:c r="J15" s="30" t="str"/>
      <x:c r="K15" s="30" t="str"/>
      <x:c r="L15" s="30" t="str"/>
      <x:c r="M15" s="30" t="str"/>
      <x:c r="N15" s="30" t="str"/>
      <x:c r="O15" s="30" t="str"/>
      <x:c r="P15" s="30" t="str"/>
      <x:c r="Q15" s="30" t="str"/>
      <x:c r="R15" s="30" t="str"/>
      <x:c r="S15" s="30" t="str"/>
      <x:c r="T15" s="30" t="str"/>
      <x:c r="U15" s="30" t="str"/>
      <x:c r="V15" s="30" t="str"/>
      <x:c r="W15" s="31" t="str"/>
    </x:row>
    <x:row r="16">
      <x:c r="A16" s="30" t="str">
        <x:f>IF(B16="","",B16&amp;"-"&amp;C16)</x:f>
      </x:c>
      <x:c r="B16" s="30" t="str">
        <x:f>'01_命例主档'!A8</x:f>
      </x:c>
      <x:c r="C16" s="30" t="str">
        <x:v>木</x:v>
      </x:c>
      <x:c r="D16" s="30" t="str"/>
      <x:c r="E16" s="30" t="str"/>
      <x:c r="F16" s="30" t="str"/>
      <x:c r="G16" s="30" t="str"/>
      <x:c r="H16" s="30" t="str"/>
      <x:c r="I16" s="30" t="str"/>
      <x:c r="J16" s="30" t="str"/>
      <x:c r="K16" s="30" t="str"/>
      <x:c r="L16" s="30" t="str"/>
      <x:c r="M16" s="30" t="str"/>
      <x:c r="N16" s="30" t="str"/>
      <x:c r="O16" s="30" t="str"/>
      <x:c r="P16" s="30" t="str"/>
      <x:c r="Q16" s="30" t="str"/>
      <x:c r="R16" s="30" t="str"/>
      <x:c r="S16" s="30" t="str"/>
      <x:c r="T16" s="30" t="str"/>
      <x:c r="U16" s="30" t="str"/>
      <x:c r="V16" s="30" t="str"/>
      <x:c r="W16" s="31" t="str"/>
    </x:row>
    <x:row r="17">
      <x:c r="A17" s="30" t="str">
        <x:f>IF(B17="","",B17&amp;"-"&amp;C17)</x:f>
      </x:c>
      <x:c r="B17" s="30" t="str">
        <x:f>'01_命例主档'!A8</x:f>
      </x:c>
      <x:c r="C17" s="30" t="str">
        <x:v>火</x:v>
      </x:c>
      <x:c r="D17" s="30" t="str"/>
      <x:c r="E17" s="30" t="str"/>
      <x:c r="F17" s="30" t="str"/>
      <x:c r="G17" s="30" t="str"/>
      <x:c r="H17" s="30" t="str"/>
      <x:c r="I17" s="30" t="str"/>
      <x:c r="J17" s="30" t="str"/>
      <x:c r="K17" s="30" t="str"/>
      <x:c r="L17" s="30" t="str"/>
      <x:c r="M17" s="30" t="str"/>
      <x:c r="N17" s="30" t="str"/>
      <x:c r="O17" s="30" t="str"/>
      <x:c r="P17" s="30" t="str"/>
      <x:c r="Q17" s="30" t="str"/>
      <x:c r="R17" s="30" t="str"/>
      <x:c r="S17" s="30" t="str"/>
      <x:c r="T17" s="30" t="str"/>
      <x:c r="U17" s="30" t="str"/>
      <x:c r="V17" s="30" t="str"/>
      <x:c r="W17" s="31" t="str"/>
    </x:row>
    <x:row r="18">
      <x:c r="A18" s="30" t="str">
        <x:f>IF(B18="","",B18&amp;"-"&amp;C18)</x:f>
      </x:c>
      <x:c r="B18" s="30" t="str">
        <x:f>'01_命例主档'!A8</x:f>
      </x:c>
      <x:c r="C18" s="30" t="str">
        <x:v>土</x:v>
      </x:c>
      <x:c r="D18" s="30" t="str"/>
      <x:c r="E18" s="30" t="str"/>
      <x:c r="F18" s="30" t="str"/>
      <x:c r="G18" s="30" t="str"/>
      <x:c r="H18" s="30" t="str"/>
      <x:c r="I18" s="30" t="str"/>
      <x:c r="J18" s="30" t="str"/>
      <x:c r="K18" s="30" t="str"/>
      <x:c r="L18" s="30" t="str"/>
      <x:c r="M18" s="30" t="str"/>
      <x:c r="N18" s="30" t="str"/>
      <x:c r="O18" s="30" t="str"/>
      <x:c r="P18" s="30" t="str"/>
      <x:c r="Q18" s="30" t="str"/>
      <x:c r="R18" s="30" t="str"/>
      <x:c r="S18" s="30" t="str"/>
      <x:c r="T18" s="30" t="str"/>
      <x:c r="U18" s="30" t="str"/>
      <x:c r="V18" s="30" t="str"/>
      <x:c r="W18" s="31" t="str"/>
    </x:row>
    <x:row r="19">
      <x:c r="A19" s="30" t="str">
        <x:f>IF(B19="","",B19&amp;"-"&amp;C19)</x:f>
      </x:c>
      <x:c r="B19" s="30" t="str">
        <x:f>'01_命例主档'!A8</x:f>
      </x:c>
      <x:c r="C19" s="30" t="str">
        <x:v>金</x:v>
      </x:c>
      <x:c r="D19" s="30" t="str"/>
      <x:c r="E19" s="30" t="str"/>
      <x:c r="F19" s="30" t="str"/>
      <x:c r="G19" s="30" t="str"/>
      <x:c r="H19" s="30" t="str"/>
      <x:c r="I19" s="30" t="str"/>
      <x:c r="J19" s="30" t="str"/>
      <x:c r="K19" s="30" t="str"/>
      <x:c r="L19" s="30" t="str"/>
      <x:c r="M19" s="30" t="str"/>
      <x:c r="N19" s="30" t="str"/>
      <x:c r="O19" s="30" t="str"/>
      <x:c r="P19" s="30" t="str"/>
      <x:c r="Q19" s="30" t="str"/>
      <x:c r="R19" s="30" t="str"/>
      <x:c r="S19" s="30" t="str"/>
      <x:c r="T19" s="30" t="str"/>
      <x:c r="U19" s="30" t="str"/>
      <x:c r="V19" s="30" t="str"/>
      <x:c r="W19" s="31" t="str"/>
    </x:row>
    <x:row r="20">
      <x:c r="A20" s="30" t="str">
        <x:f>IF(B20="","",B20&amp;"-"&amp;C20)</x:f>
      </x:c>
      <x:c r="B20" s="30" t="str">
        <x:f>'01_命例主档'!A8</x:f>
      </x:c>
      <x:c r="C20" s="30" t="str">
        <x:v>水</x:v>
      </x:c>
      <x:c r="D20" s="30" t="str"/>
      <x:c r="E20" s="30" t="str"/>
      <x:c r="F20" s="30" t="str"/>
      <x:c r="G20" s="30" t="str"/>
      <x:c r="H20" s="30" t="str"/>
      <x:c r="I20" s="30" t="str"/>
      <x:c r="J20" s="30" t="str"/>
      <x:c r="K20" s="30" t="str"/>
      <x:c r="L20" s="30" t="str"/>
      <x:c r="M20" s="30" t="str"/>
      <x:c r="N20" s="30" t="str"/>
      <x:c r="O20" s="30" t="str"/>
      <x:c r="P20" s="30" t="str"/>
      <x:c r="Q20" s="30" t="str"/>
      <x:c r="R20" s="30" t="str"/>
      <x:c r="S20" s="30" t="str"/>
      <x:c r="T20" s="30" t="str"/>
      <x:c r="U20" s="30" t="str"/>
      <x:c r="V20" s="30" t="str"/>
      <x:c r="W20" s="31" t="str"/>
    </x:row>
    <x:row r="21">
      <x:c r="A21" s="30" t="str">
        <x:f>IF(B21="","",B21&amp;"-"&amp;C21)</x:f>
      </x:c>
      <x:c r="B21" s="30" t="str">
        <x:f>'01_命例主档'!A9</x:f>
      </x:c>
      <x:c r="C21" s="30" t="str">
        <x:v>木</x:v>
      </x:c>
      <x:c r="D21" s="30" t="str"/>
      <x:c r="E21" s="30" t="str"/>
      <x:c r="F21" s="30" t="str"/>
      <x:c r="G21" s="30" t="str"/>
      <x:c r="H21" s="30" t="str"/>
      <x:c r="I21" s="30" t="str"/>
      <x:c r="J21" s="30" t="str"/>
      <x:c r="K21" s="30" t="str"/>
      <x:c r="L21" s="30" t="str"/>
      <x:c r="M21" s="30" t="str"/>
      <x:c r="N21" s="30" t="str"/>
      <x:c r="O21" s="30" t="str"/>
      <x:c r="P21" s="30" t="str"/>
      <x:c r="Q21" s="30" t="str"/>
      <x:c r="R21" s="30" t="str"/>
      <x:c r="S21" s="30" t="str"/>
      <x:c r="T21" s="30" t="str"/>
      <x:c r="U21" s="30" t="str"/>
      <x:c r="V21" s="30" t="str"/>
      <x:c r="W21" s="31" t="str"/>
    </x:row>
    <x:row r="22">
      <x:c r="A22" s="30" t="str">
        <x:f>IF(B22="","",B22&amp;"-"&amp;C22)</x:f>
      </x:c>
      <x:c r="B22" s="30" t="str">
        <x:f>'01_命例主档'!A9</x:f>
      </x:c>
      <x:c r="C22" s="30" t="str">
        <x:v>火</x:v>
      </x:c>
      <x:c r="D22" s="30" t="str"/>
      <x:c r="E22" s="30" t="str"/>
      <x:c r="F22" s="30" t="str"/>
      <x:c r="G22" s="30" t="str"/>
      <x:c r="H22" s="30" t="str"/>
      <x:c r="I22" s="30" t="str"/>
      <x:c r="J22" s="30" t="str"/>
      <x:c r="K22" s="30" t="str"/>
      <x:c r="L22" s="30" t="str"/>
      <x:c r="M22" s="30" t="str"/>
      <x:c r="N22" s="30" t="str"/>
      <x:c r="O22" s="30" t="str"/>
      <x:c r="P22" s="30" t="str"/>
      <x:c r="Q22" s="30" t="str"/>
      <x:c r="R22" s="30" t="str"/>
      <x:c r="S22" s="30" t="str"/>
      <x:c r="T22" s="30" t="str"/>
      <x:c r="U22" s="30" t="str"/>
      <x:c r="V22" s="30" t="str"/>
      <x:c r="W22" s="31" t="str"/>
    </x:row>
    <x:row r="23">
      <x:c r="A23" s="30" t="str">
        <x:f>IF(B23="","",B23&amp;"-"&amp;C23)</x:f>
      </x:c>
      <x:c r="B23" s="30" t="str">
        <x:f>'01_命例主档'!A9</x:f>
      </x:c>
      <x:c r="C23" s="30" t="str">
        <x:v>土</x:v>
      </x:c>
      <x:c r="D23" s="30" t="str"/>
      <x:c r="E23" s="30" t="str"/>
      <x:c r="F23" s="30" t="str"/>
      <x:c r="G23" s="30" t="str"/>
      <x:c r="H23" s="30" t="str"/>
      <x:c r="I23" s="30" t="str"/>
      <x:c r="J23" s="30" t="str"/>
      <x:c r="K23" s="30" t="str"/>
      <x:c r="L23" s="30" t="str"/>
      <x:c r="M23" s="30" t="str"/>
      <x:c r="N23" s="30" t="str"/>
      <x:c r="O23" s="30" t="str"/>
      <x:c r="P23" s="30" t="str"/>
      <x:c r="Q23" s="30" t="str"/>
      <x:c r="R23" s="30" t="str"/>
      <x:c r="S23" s="30" t="str"/>
      <x:c r="T23" s="30" t="str"/>
      <x:c r="U23" s="30" t="str"/>
      <x:c r="V23" s="30" t="str"/>
      <x:c r="W23" s="31" t="str"/>
    </x:row>
    <x:row r="24">
      <x:c r="A24" s="30" t="str">
        <x:f>IF(B24="","",B24&amp;"-"&amp;C24)</x:f>
      </x:c>
      <x:c r="B24" s="30" t="str">
        <x:f>'01_命例主档'!A9</x:f>
      </x:c>
      <x:c r="C24" s="30" t="str">
        <x:v>金</x:v>
      </x:c>
      <x:c r="D24" s="30" t="str"/>
      <x:c r="E24" s="30" t="str"/>
      <x:c r="F24" s="30" t="str"/>
      <x:c r="G24" s="30" t="str"/>
      <x:c r="H24" s="30" t="str"/>
      <x:c r="I24" s="30" t="str"/>
      <x:c r="J24" s="30" t="str"/>
      <x:c r="K24" s="30" t="str"/>
      <x:c r="L24" s="30" t="str"/>
      <x:c r="M24" s="30" t="str"/>
      <x:c r="N24" s="30" t="str"/>
      <x:c r="O24" s="30" t="str"/>
      <x:c r="P24" s="30" t="str"/>
      <x:c r="Q24" s="30" t="str"/>
      <x:c r="R24" s="30" t="str"/>
      <x:c r="S24" s="30" t="str"/>
      <x:c r="T24" s="30" t="str"/>
      <x:c r="U24" s="30" t="str"/>
      <x:c r="V24" s="30" t="str"/>
      <x:c r="W24" s="31" t="str"/>
    </x:row>
    <x:row r="25">
      <x:c r="A25" s="30" t="str">
        <x:f>IF(B25="","",B25&amp;"-"&amp;C25)</x:f>
      </x:c>
      <x:c r="B25" s="30" t="str">
        <x:f>'01_命例主档'!A9</x:f>
      </x:c>
      <x:c r="C25" s="30" t="str">
        <x:v>水</x:v>
      </x:c>
      <x:c r="D25" s="30" t="str"/>
      <x:c r="E25" s="30" t="str"/>
      <x:c r="F25" s="30" t="str"/>
      <x:c r="G25" s="30" t="str"/>
      <x:c r="H25" s="30" t="str"/>
      <x:c r="I25" s="30" t="str"/>
      <x:c r="J25" s="30" t="str"/>
      <x:c r="K25" s="30" t="str"/>
      <x:c r="L25" s="30" t="str"/>
      <x:c r="M25" s="30" t="str"/>
      <x:c r="N25" s="30" t="str"/>
      <x:c r="O25" s="30" t="str"/>
      <x:c r="P25" s="30" t="str"/>
      <x:c r="Q25" s="30" t="str"/>
      <x:c r="R25" s="30" t="str"/>
      <x:c r="S25" s="30" t="str"/>
      <x:c r="T25" s="30" t="str"/>
      <x:c r="U25" s="30" t="str"/>
      <x:c r="V25" s="30" t="str"/>
      <x:c r="W25" s="31" t="str"/>
    </x:row>
    <x:row r="26">
      <x:c r="A26" s="30" t="str">
        <x:f>IF(B26="","",B26&amp;"-"&amp;C26)</x:f>
      </x:c>
      <x:c r="B26" s="30" t="str">
        <x:f>'01_命例主档'!A10</x:f>
      </x:c>
      <x:c r="C26" s="30" t="str">
        <x:v>木</x:v>
      </x:c>
      <x:c r="D26" s="30" t="str"/>
      <x:c r="E26" s="30" t="str"/>
      <x:c r="F26" s="30" t="str"/>
      <x:c r="G26" s="30" t="str"/>
      <x:c r="H26" s="30" t="str"/>
      <x:c r="I26" s="30" t="str"/>
      <x:c r="J26" s="30" t="str"/>
      <x:c r="K26" s="30" t="str"/>
      <x:c r="L26" s="30" t="str"/>
      <x:c r="M26" s="30" t="str"/>
      <x:c r="N26" s="30" t="str"/>
      <x:c r="O26" s="30" t="str"/>
      <x:c r="P26" s="30" t="str"/>
      <x:c r="Q26" s="30" t="str"/>
      <x:c r="R26" s="30" t="str"/>
      <x:c r="S26" s="30" t="str"/>
      <x:c r="T26" s="30" t="str"/>
      <x:c r="U26" s="30" t="str"/>
      <x:c r="V26" s="30" t="str"/>
      <x:c r="W26" s="31" t="str"/>
    </x:row>
    <x:row r="27">
      <x:c r="A27" s="30" t="str">
        <x:f>IF(B27="","",B27&amp;"-"&amp;C27)</x:f>
      </x:c>
      <x:c r="B27" s="30" t="str">
        <x:f>'01_命例主档'!A10</x:f>
      </x:c>
      <x:c r="C27" s="30" t="str">
        <x:v>火</x:v>
      </x:c>
      <x:c r="D27" s="30" t="str"/>
      <x:c r="E27" s="30" t="str"/>
      <x:c r="F27" s="30" t="str"/>
      <x:c r="G27" s="30" t="str"/>
      <x:c r="H27" s="30" t="str"/>
      <x:c r="I27" s="30" t="str"/>
      <x:c r="J27" s="30" t="str"/>
      <x:c r="K27" s="30" t="str"/>
      <x:c r="L27" s="30" t="str"/>
      <x:c r="M27" s="30" t="str"/>
      <x:c r="N27" s="30" t="str"/>
      <x:c r="O27" s="30" t="str"/>
      <x:c r="P27" s="30" t="str"/>
      <x:c r="Q27" s="30" t="str"/>
      <x:c r="R27" s="30" t="str"/>
      <x:c r="S27" s="30" t="str"/>
      <x:c r="T27" s="30" t="str"/>
      <x:c r="U27" s="30" t="str"/>
      <x:c r="V27" s="30" t="str"/>
      <x:c r="W27" s="31" t="str"/>
    </x:row>
    <x:row r="28">
      <x:c r="A28" s="30" t="str">
        <x:f>IF(B28="","",B28&amp;"-"&amp;C28)</x:f>
      </x:c>
      <x:c r="B28" s="30" t="str">
        <x:f>'01_命例主档'!A10</x:f>
      </x:c>
      <x:c r="C28" s="30" t="str">
        <x:v>土</x:v>
      </x:c>
      <x:c r="D28" s="30" t="str"/>
      <x:c r="E28" s="30" t="str"/>
      <x:c r="F28" s="30" t="str"/>
      <x:c r="G28" s="30" t="str"/>
      <x:c r="H28" s="30" t="str"/>
      <x:c r="I28" s="30" t="str"/>
      <x:c r="J28" s="30" t="str"/>
      <x:c r="K28" s="30" t="str"/>
      <x:c r="L28" s="30" t="str"/>
      <x:c r="M28" s="30" t="str"/>
      <x:c r="N28" s="30" t="str"/>
      <x:c r="O28" s="30" t="str"/>
      <x:c r="P28" s="30" t="str"/>
      <x:c r="Q28" s="30" t="str"/>
      <x:c r="R28" s="30" t="str"/>
      <x:c r="S28" s="30" t="str"/>
      <x:c r="T28" s="30" t="str"/>
      <x:c r="U28" s="30" t="str"/>
      <x:c r="V28" s="30" t="str"/>
      <x:c r="W28" s="31" t="str"/>
    </x:row>
    <x:row r="29">
      <x:c r="A29" s="30" t="str">
        <x:f>IF(B29="","",B29&amp;"-"&amp;C29)</x:f>
      </x:c>
      <x:c r="B29" s="30" t="str">
        <x:f>'01_命例主档'!A10</x:f>
      </x:c>
      <x:c r="C29" s="30" t="str">
        <x:v>金</x:v>
      </x:c>
      <x:c r="D29" s="30" t="str"/>
      <x:c r="E29" s="30" t="str"/>
      <x:c r="F29" s="30" t="str"/>
      <x:c r="G29" s="30" t="str"/>
      <x:c r="H29" s="30" t="str"/>
      <x:c r="I29" s="30" t="str"/>
      <x:c r="J29" s="30" t="str"/>
      <x:c r="K29" s="30" t="str"/>
      <x:c r="L29" s="30" t="str"/>
      <x:c r="M29" s="30" t="str"/>
      <x:c r="N29" s="30" t="str"/>
      <x:c r="O29" s="30" t="str"/>
      <x:c r="P29" s="30" t="str"/>
      <x:c r="Q29" s="30" t="str"/>
      <x:c r="R29" s="30" t="str"/>
      <x:c r="S29" s="30" t="str"/>
      <x:c r="T29" s="30" t="str"/>
      <x:c r="U29" s="30" t="str"/>
      <x:c r="V29" s="30" t="str"/>
      <x:c r="W29" s="31" t="str"/>
    </x:row>
    <x:row r="30">
      <x:c r="A30" s="30" t="str">
        <x:f>IF(B30="","",B30&amp;"-"&amp;C30)</x:f>
      </x:c>
      <x:c r="B30" s="30" t="str">
        <x:f>'01_命例主档'!A10</x:f>
      </x:c>
      <x:c r="C30" s="30" t="str">
        <x:v>水</x:v>
      </x:c>
      <x:c r="D30" s="30" t="str"/>
      <x:c r="E30" s="30" t="str"/>
      <x:c r="F30" s="30" t="str"/>
      <x:c r="G30" s="30" t="str"/>
      <x:c r="H30" s="30" t="str"/>
      <x:c r="I30" s="30" t="str"/>
      <x:c r="J30" s="30" t="str"/>
      <x:c r="K30" s="30" t="str"/>
      <x:c r="L30" s="30" t="str"/>
      <x:c r="M30" s="30" t="str"/>
      <x:c r="N30" s="30" t="str"/>
      <x:c r="O30" s="30" t="str"/>
      <x:c r="P30" s="30" t="str"/>
      <x:c r="Q30" s="30" t="str"/>
      <x:c r="R30" s="30" t="str"/>
      <x:c r="S30" s="30" t="str"/>
      <x:c r="T30" s="30" t="str"/>
      <x:c r="U30" s="30" t="str"/>
      <x:c r="V30" s="30" t="str"/>
      <x:c r="W30" s="31" t="str"/>
    </x:row>
    <x:row r="31">
      <x:c r="A31" s="30" t="str">
        <x:f>IF(B31="","",B31&amp;"-"&amp;C31)</x:f>
      </x:c>
      <x:c r="B31" s="30" t="str">
        <x:f>'01_命例主档'!A11</x:f>
      </x:c>
      <x:c r="C31" s="30" t="str">
        <x:v>木</x:v>
      </x:c>
      <x:c r="D31" s="30" t="str"/>
      <x:c r="E31" s="30" t="str"/>
      <x:c r="F31" s="30" t="str"/>
      <x:c r="G31" s="30" t="str"/>
      <x:c r="H31" s="30" t="str"/>
      <x:c r="I31" s="30" t="str"/>
      <x:c r="J31" s="30" t="str"/>
      <x:c r="K31" s="30" t="str"/>
      <x:c r="L31" s="30" t="str"/>
      <x:c r="M31" s="30" t="str"/>
      <x:c r="N31" s="30" t="str"/>
      <x:c r="O31" s="30" t="str"/>
      <x:c r="P31" s="30" t="str"/>
      <x:c r="Q31" s="30" t="str"/>
      <x:c r="R31" s="30" t="str"/>
      <x:c r="S31" s="30" t="str"/>
      <x:c r="T31" s="30" t="str"/>
      <x:c r="U31" s="30" t="str"/>
      <x:c r="V31" s="30" t="str"/>
      <x:c r="W31" s="31" t="str"/>
    </x:row>
    <x:row r="32">
      <x:c r="A32" s="30" t="str">
        <x:f>IF(B32="","",B32&amp;"-"&amp;C32)</x:f>
      </x:c>
      <x:c r="B32" s="30" t="str">
        <x:f>'01_命例主档'!A11</x:f>
      </x:c>
      <x:c r="C32" s="30" t="str">
        <x:v>火</x:v>
      </x:c>
      <x:c r="D32" s="30" t="str"/>
      <x:c r="E32" s="30" t="str"/>
      <x:c r="F32" s="30" t="str"/>
      <x:c r="G32" s="30" t="str"/>
      <x:c r="H32" s="30" t="str"/>
      <x:c r="I32" s="30" t="str"/>
      <x:c r="J32" s="30" t="str"/>
      <x:c r="K32" s="30" t="str"/>
      <x:c r="L32" s="30" t="str"/>
      <x:c r="M32" s="30" t="str"/>
      <x:c r="N32" s="30" t="str"/>
      <x:c r="O32" s="30" t="str"/>
      <x:c r="P32" s="30" t="str"/>
      <x:c r="Q32" s="30" t="str"/>
      <x:c r="R32" s="30" t="str"/>
      <x:c r="S32" s="30" t="str"/>
      <x:c r="T32" s="30" t="str"/>
      <x:c r="U32" s="30" t="str"/>
      <x:c r="V32" s="30" t="str"/>
      <x:c r="W32" s="31" t="str"/>
    </x:row>
    <x:row r="33">
      <x:c r="A33" s="30" t="str">
        <x:f>IF(B33="","",B33&amp;"-"&amp;C33)</x:f>
      </x:c>
      <x:c r="B33" s="30" t="str">
        <x:f>'01_命例主档'!A11</x:f>
      </x:c>
      <x:c r="C33" s="30" t="str">
        <x:v>土</x:v>
      </x:c>
      <x:c r="D33" s="30" t="str"/>
      <x:c r="E33" s="30" t="str"/>
      <x:c r="F33" s="30" t="str"/>
      <x:c r="G33" s="30" t="str"/>
      <x:c r="H33" s="30" t="str"/>
      <x:c r="I33" s="30" t="str"/>
      <x:c r="J33" s="30" t="str"/>
      <x:c r="K33" s="30" t="str"/>
      <x:c r="L33" s="30" t="str"/>
      <x:c r="M33" s="30" t="str"/>
      <x:c r="N33" s="30" t="str"/>
      <x:c r="O33" s="30" t="str"/>
      <x:c r="P33" s="30" t="str"/>
      <x:c r="Q33" s="30" t="str"/>
      <x:c r="R33" s="30" t="str"/>
      <x:c r="S33" s="30" t="str"/>
      <x:c r="T33" s="30" t="str"/>
      <x:c r="U33" s="30" t="str"/>
      <x:c r="V33" s="30" t="str"/>
      <x:c r="W33" s="31" t="str"/>
    </x:row>
    <x:row r="34">
      <x:c r="A34" s="30" t="str">
        <x:f>IF(B34="","",B34&amp;"-"&amp;C34)</x:f>
      </x:c>
      <x:c r="B34" s="30" t="str">
        <x:f>'01_命例主档'!A11</x:f>
      </x:c>
      <x:c r="C34" s="30" t="str">
        <x:v>金</x:v>
      </x:c>
      <x:c r="D34" s="30" t="str"/>
      <x:c r="E34" s="30" t="str"/>
      <x:c r="F34" s="30" t="str"/>
      <x:c r="G34" s="30" t="str"/>
      <x:c r="H34" s="30" t="str"/>
      <x:c r="I34" s="30" t="str"/>
      <x:c r="J34" s="30" t="str"/>
      <x:c r="K34" s="30" t="str"/>
      <x:c r="L34" s="30" t="str"/>
      <x:c r="M34" s="30" t="str"/>
      <x:c r="N34" s="30" t="str"/>
      <x:c r="O34" s="30" t="str"/>
      <x:c r="P34" s="30" t="str"/>
      <x:c r="Q34" s="30" t="str"/>
      <x:c r="R34" s="30" t="str"/>
      <x:c r="S34" s="30" t="str"/>
      <x:c r="T34" s="30" t="str"/>
      <x:c r="U34" s="30" t="str"/>
      <x:c r="V34" s="30" t="str"/>
      <x:c r="W34" s="31" t="str"/>
    </x:row>
    <x:row r="35">
      <x:c r="A35" s="30" t="str">
        <x:f>IF(B35="","",B35&amp;"-"&amp;C35)</x:f>
      </x:c>
      <x:c r="B35" s="30" t="str">
        <x:f>'01_命例主档'!A11</x:f>
      </x:c>
      <x:c r="C35" s="30" t="str">
        <x:v>水</x:v>
      </x:c>
      <x:c r="D35" s="30" t="str"/>
      <x:c r="E35" s="30" t="str"/>
      <x:c r="F35" s="30" t="str"/>
      <x:c r="G35" s="30" t="str"/>
      <x:c r="H35" s="30" t="str"/>
      <x:c r="I35" s="30" t="str"/>
      <x:c r="J35" s="30" t="str"/>
      <x:c r="K35" s="30" t="str"/>
      <x:c r="L35" s="30" t="str"/>
      <x:c r="M35" s="30" t="str"/>
      <x:c r="N35" s="30" t="str"/>
      <x:c r="O35" s="30" t="str"/>
      <x:c r="P35" s="30" t="str"/>
      <x:c r="Q35" s="30" t="str"/>
      <x:c r="R35" s="30" t="str"/>
      <x:c r="S35" s="30" t="str"/>
      <x:c r="T35" s="30" t="str"/>
      <x:c r="U35" s="30" t="str"/>
      <x:c r="V35" s="30" t="str"/>
      <x:c r="W35" s="31" t="str"/>
    </x:row>
    <x:row r="36">
      <x:c r="A36" s="30" t="str">
        <x:f>IF(B36="","",B36&amp;"-"&amp;C36)</x:f>
      </x:c>
      <x:c r="B36" s="30" t="str">
        <x:f>'01_命例主档'!A12</x:f>
      </x:c>
      <x:c r="C36" s="30" t="str">
        <x:v>木</x:v>
      </x:c>
      <x:c r="D36" s="30" t="str"/>
      <x:c r="E36" s="30" t="str"/>
      <x:c r="F36" s="30" t="str"/>
      <x:c r="G36" s="30" t="str"/>
      <x:c r="H36" s="30" t="str"/>
      <x:c r="I36" s="30" t="str"/>
      <x:c r="J36" s="30" t="str"/>
      <x:c r="K36" s="30" t="str"/>
      <x:c r="L36" s="30" t="str"/>
      <x:c r="M36" s="30" t="str"/>
      <x:c r="N36" s="30" t="str"/>
      <x:c r="O36" s="30" t="str"/>
      <x:c r="P36" s="30" t="str"/>
      <x:c r="Q36" s="30" t="str"/>
      <x:c r="R36" s="30" t="str"/>
      <x:c r="S36" s="30" t="str"/>
      <x:c r="T36" s="30" t="str"/>
      <x:c r="U36" s="30" t="str"/>
      <x:c r="V36" s="30" t="str"/>
      <x:c r="W36" s="31" t="str"/>
    </x:row>
    <x:row r="37">
      <x:c r="A37" s="30" t="str">
        <x:f>IF(B37="","",B37&amp;"-"&amp;C37)</x:f>
      </x:c>
      <x:c r="B37" s="30" t="str">
        <x:f>'01_命例主档'!A12</x:f>
      </x:c>
      <x:c r="C37" s="30" t="str">
        <x:v>火</x:v>
      </x:c>
      <x:c r="D37" s="30" t="str"/>
      <x:c r="E37" s="30" t="str"/>
      <x:c r="F37" s="30" t="str"/>
      <x:c r="G37" s="30" t="str"/>
      <x:c r="H37" s="30" t="str"/>
      <x:c r="I37" s="30" t="str"/>
      <x:c r="J37" s="30" t="str"/>
      <x:c r="K37" s="30" t="str"/>
      <x:c r="L37" s="30" t="str"/>
      <x:c r="M37" s="30" t="str"/>
      <x:c r="N37" s="30" t="str"/>
      <x:c r="O37" s="30" t="str"/>
      <x:c r="P37" s="30" t="str"/>
      <x:c r="Q37" s="30" t="str"/>
      <x:c r="R37" s="30" t="str"/>
      <x:c r="S37" s="30" t="str"/>
      <x:c r="T37" s="30" t="str"/>
      <x:c r="U37" s="30" t="str"/>
      <x:c r="V37" s="30" t="str"/>
      <x:c r="W37" s="31" t="str"/>
    </x:row>
    <x:row r="38">
      <x:c r="A38" s="30" t="str">
        <x:f>IF(B38="","",B38&amp;"-"&amp;C38)</x:f>
      </x:c>
      <x:c r="B38" s="30" t="str">
        <x:f>'01_命例主档'!A12</x:f>
      </x:c>
      <x:c r="C38" s="30" t="str">
        <x:v>土</x:v>
      </x:c>
      <x:c r="D38" s="30" t="str"/>
      <x:c r="E38" s="30" t="str"/>
      <x:c r="F38" s="30" t="str"/>
      <x:c r="G38" s="30" t="str"/>
      <x:c r="H38" s="30" t="str"/>
      <x:c r="I38" s="30" t="str"/>
      <x:c r="J38" s="30" t="str"/>
      <x:c r="K38" s="30" t="str"/>
      <x:c r="L38" s="30" t="str"/>
      <x:c r="M38" s="30" t="str"/>
      <x:c r="N38" s="30" t="str"/>
      <x:c r="O38" s="30" t="str"/>
      <x:c r="P38" s="30" t="str"/>
      <x:c r="Q38" s="30" t="str"/>
      <x:c r="R38" s="30" t="str"/>
      <x:c r="S38" s="30" t="str"/>
      <x:c r="T38" s="30" t="str"/>
      <x:c r="U38" s="30" t="str"/>
      <x:c r="V38" s="30" t="str"/>
      <x:c r="W38" s="31" t="str"/>
    </x:row>
    <x:row r="39">
      <x:c r="A39" s="30" t="str">
        <x:f>IF(B39="","",B39&amp;"-"&amp;C39)</x:f>
      </x:c>
      <x:c r="B39" s="30" t="str">
        <x:f>'01_命例主档'!A12</x:f>
      </x:c>
      <x:c r="C39" s="30" t="str">
        <x:v>金</x:v>
      </x:c>
      <x:c r="D39" s="30" t="str"/>
      <x:c r="E39" s="30" t="str"/>
      <x:c r="F39" s="30" t="str"/>
      <x:c r="G39" s="30" t="str"/>
      <x:c r="H39" s="30" t="str"/>
      <x:c r="I39" s="30" t="str"/>
      <x:c r="J39" s="30" t="str"/>
      <x:c r="K39" s="30" t="str"/>
      <x:c r="L39" s="30" t="str"/>
      <x:c r="M39" s="30" t="str"/>
      <x:c r="N39" s="30" t="str"/>
      <x:c r="O39" s="30" t="str"/>
      <x:c r="P39" s="30" t="str"/>
      <x:c r="Q39" s="30" t="str"/>
      <x:c r="R39" s="30" t="str"/>
      <x:c r="S39" s="30" t="str"/>
      <x:c r="T39" s="30" t="str"/>
      <x:c r="U39" s="30" t="str"/>
      <x:c r="V39" s="30" t="str"/>
      <x:c r="W39" s="31" t="str"/>
    </x:row>
    <x:row r="40">
      <x:c r="A40" s="30" t="str">
        <x:f>IF(B40="","",B40&amp;"-"&amp;C40)</x:f>
      </x:c>
      <x:c r="B40" s="30" t="str">
        <x:f>'01_命例主档'!A12</x:f>
      </x:c>
      <x:c r="C40" s="30" t="str">
        <x:v>水</x:v>
      </x:c>
      <x:c r="D40" s="30" t="str"/>
      <x:c r="E40" s="30" t="str"/>
      <x:c r="F40" s="30" t="str"/>
      <x:c r="G40" s="30" t="str"/>
      <x:c r="H40" s="30" t="str"/>
      <x:c r="I40" s="30" t="str"/>
      <x:c r="J40" s="30" t="str"/>
      <x:c r="K40" s="30" t="str"/>
      <x:c r="L40" s="30" t="str"/>
      <x:c r="M40" s="30" t="str"/>
      <x:c r="N40" s="30" t="str"/>
      <x:c r="O40" s="30" t="str"/>
      <x:c r="P40" s="30" t="str"/>
      <x:c r="Q40" s="30" t="str"/>
      <x:c r="R40" s="30" t="str"/>
      <x:c r="S40" s="30" t="str"/>
      <x:c r="T40" s="30" t="str"/>
      <x:c r="U40" s="30" t="str"/>
      <x:c r="V40" s="30" t="str"/>
      <x:c r="W40" s="31" t="str"/>
    </x:row>
    <x:row r="41">
      <x:c r="A41" s="30" t="str">
        <x:f>IF(B41="","",B41&amp;"-"&amp;C41)</x:f>
      </x:c>
      <x:c r="B41" s="30" t="str">
        <x:f>'01_命例主档'!A13</x:f>
      </x:c>
      <x:c r="C41" s="30" t="str">
        <x:v>木</x:v>
      </x:c>
      <x:c r="D41" s="30" t="str"/>
      <x:c r="E41" s="30" t="str"/>
      <x:c r="F41" s="30" t="str"/>
      <x:c r="G41" s="30" t="str"/>
      <x:c r="H41" s="30" t="str"/>
      <x:c r="I41" s="30" t="str"/>
      <x:c r="J41" s="30" t="str"/>
      <x:c r="K41" s="30" t="str"/>
      <x:c r="L41" s="30" t="str"/>
      <x:c r="M41" s="30" t="str"/>
      <x:c r="N41" s="30" t="str"/>
      <x:c r="O41" s="30" t="str"/>
      <x:c r="P41" s="30" t="str"/>
      <x:c r="Q41" s="30" t="str"/>
      <x:c r="R41" s="30" t="str"/>
      <x:c r="S41" s="30" t="str"/>
      <x:c r="T41" s="30" t="str"/>
      <x:c r="U41" s="30" t="str"/>
      <x:c r="V41" s="30" t="str"/>
      <x:c r="W41" s="31" t="str"/>
    </x:row>
    <x:row r="42">
      <x:c r="A42" s="30" t="str">
        <x:f>IF(B42="","",B42&amp;"-"&amp;C42)</x:f>
      </x:c>
      <x:c r="B42" s="30" t="str">
        <x:f>'01_命例主档'!A13</x:f>
      </x:c>
      <x:c r="C42" s="30" t="str">
        <x:v>火</x:v>
      </x:c>
      <x:c r="D42" s="30" t="str"/>
      <x:c r="E42" s="30" t="str"/>
      <x:c r="F42" s="30" t="str"/>
      <x:c r="G42" s="30" t="str"/>
      <x:c r="H42" s="30" t="str"/>
      <x:c r="I42" s="30" t="str"/>
      <x:c r="J42" s="30" t="str"/>
      <x:c r="K42" s="30" t="str"/>
      <x:c r="L42" s="30" t="str"/>
      <x:c r="M42" s="30" t="str"/>
      <x:c r="N42" s="30" t="str"/>
      <x:c r="O42" s="30" t="str"/>
      <x:c r="P42" s="30" t="str"/>
      <x:c r="Q42" s="30" t="str"/>
      <x:c r="R42" s="30" t="str"/>
      <x:c r="S42" s="30" t="str"/>
      <x:c r="T42" s="30" t="str"/>
      <x:c r="U42" s="30" t="str"/>
      <x:c r="V42" s="30" t="str"/>
      <x:c r="W42" s="31" t="str"/>
    </x:row>
    <x:row r="43">
      <x:c r="A43" s="30" t="str">
        <x:f>IF(B43="","",B43&amp;"-"&amp;C43)</x:f>
      </x:c>
      <x:c r="B43" s="30" t="str">
        <x:f>'01_命例主档'!A13</x:f>
      </x:c>
      <x:c r="C43" s="30" t="str">
        <x:v>土</x:v>
      </x:c>
      <x:c r="D43" s="30" t="str"/>
      <x:c r="E43" s="30" t="str"/>
      <x:c r="F43" s="30" t="str"/>
      <x:c r="G43" s="30" t="str"/>
      <x:c r="H43" s="30" t="str"/>
      <x:c r="I43" s="30" t="str"/>
      <x:c r="J43" s="30" t="str"/>
      <x:c r="K43" s="30" t="str"/>
      <x:c r="L43" s="30" t="str"/>
      <x:c r="M43" s="30" t="str"/>
      <x:c r="N43" s="30" t="str"/>
      <x:c r="O43" s="30" t="str"/>
      <x:c r="P43" s="30" t="str"/>
      <x:c r="Q43" s="30" t="str"/>
      <x:c r="R43" s="30" t="str"/>
      <x:c r="S43" s="30" t="str"/>
      <x:c r="T43" s="30" t="str"/>
      <x:c r="U43" s="30" t="str"/>
      <x:c r="V43" s="30" t="str"/>
      <x:c r="W43" s="31" t="str"/>
    </x:row>
    <x:row r="44">
      <x:c r="A44" s="30" t="str">
        <x:f>IF(B44="","",B44&amp;"-"&amp;C44)</x:f>
      </x:c>
      <x:c r="B44" s="30" t="str">
        <x:f>'01_命例主档'!A13</x:f>
      </x:c>
      <x:c r="C44" s="30" t="str">
        <x:v>金</x:v>
      </x:c>
      <x:c r="D44" s="30" t="str"/>
      <x:c r="E44" s="30" t="str"/>
      <x:c r="F44" s="30" t="str"/>
      <x:c r="G44" s="30" t="str"/>
      <x:c r="H44" s="30" t="str"/>
      <x:c r="I44" s="30" t="str"/>
      <x:c r="J44" s="30" t="str"/>
      <x:c r="K44" s="30" t="str"/>
      <x:c r="L44" s="30" t="str"/>
      <x:c r="M44" s="30" t="str"/>
      <x:c r="N44" s="30" t="str"/>
      <x:c r="O44" s="30" t="str"/>
      <x:c r="P44" s="30" t="str"/>
      <x:c r="Q44" s="30" t="str"/>
      <x:c r="R44" s="30" t="str"/>
      <x:c r="S44" s="30" t="str"/>
      <x:c r="T44" s="30" t="str"/>
      <x:c r="U44" s="30" t="str"/>
      <x:c r="V44" s="30" t="str"/>
      <x:c r="W44" s="31" t="str"/>
    </x:row>
    <x:row r="45">
      <x:c r="A45" s="30" t="str">
        <x:f>IF(B45="","",B45&amp;"-"&amp;C45)</x:f>
      </x:c>
      <x:c r="B45" s="30" t="str">
        <x:f>'01_命例主档'!A13</x:f>
      </x:c>
      <x:c r="C45" s="30" t="str">
        <x:v>水</x:v>
      </x:c>
      <x:c r="D45" s="30" t="str"/>
      <x:c r="E45" s="30" t="str"/>
      <x:c r="F45" s="30" t="str"/>
      <x:c r="G45" s="30" t="str"/>
      <x:c r="H45" s="30" t="str"/>
      <x:c r="I45" s="30" t="str"/>
      <x:c r="J45" s="30" t="str"/>
      <x:c r="K45" s="30" t="str"/>
      <x:c r="L45" s="30" t="str"/>
      <x:c r="M45" s="30" t="str"/>
      <x:c r="N45" s="30" t="str"/>
      <x:c r="O45" s="30" t="str"/>
      <x:c r="P45" s="30" t="str"/>
      <x:c r="Q45" s="30" t="str"/>
      <x:c r="R45" s="30" t="str"/>
      <x:c r="S45" s="30" t="str"/>
      <x:c r="T45" s="30" t="str"/>
      <x:c r="U45" s="30" t="str"/>
      <x:c r="V45" s="30" t="str"/>
      <x:c r="W45" s="31" t="str"/>
    </x:row>
    <x:row r="46">
      <x:c r="A46" s="30" t="str">
        <x:f>IF(B46="","",B46&amp;"-"&amp;C46)</x:f>
      </x:c>
      <x:c r="B46" s="30" t="str">
        <x:f>'01_命例主档'!A14</x:f>
      </x:c>
      <x:c r="C46" s="30" t="str">
        <x:v>木</x:v>
      </x:c>
      <x:c r="D46" s="30" t="str"/>
      <x:c r="E46" s="30" t="str"/>
      <x:c r="F46" s="30" t="str"/>
      <x:c r="G46" s="30" t="str"/>
      <x:c r="H46" s="30" t="str"/>
      <x:c r="I46" s="30" t="str"/>
      <x:c r="J46" s="30" t="str"/>
      <x:c r="K46" s="30" t="str"/>
      <x:c r="L46" s="30" t="str"/>
      <x:c r="M46" s="30" t="str"/>
      <x:c r="N46" s="30" t="str"/>
      <x:c r="O46" s="30" t="str"/>
      <x:c r="P46" s="30" t="str"/>
      <x:c r="Q46" s="30" t="str"/>
      <x:c r="R46" s="30" t="str"/>
      <x:c r="S46" s="30" t="str"/>
      <x:c r="T46" s="30" t="str"/>
      <x:c r="U46" s="30" t="str"/>
      <x:c r="V46" s="30" t="str"/>
      <x:c r="W46" s="31" t="str"/>
    </x:row>
    <x:row r="47">
      <x:c r="A47" s="30" t="str">
        <x:f>IF(B47="","",B47&amp;"-"&amp;C47)</x:f>
      </x:c>
      <x:c r="B47" s="30" t="str">
        <x:f>'01_命例主档'!A14</x:f>
      </x:c>
      <x:c r="C47" s="30" t="str">
        <x:v>火</x:v>
      </x:c>
      <x:c r="D47" s="30" t="str"/>
      <x:c r="E47" s="30" t="str"/>
      <x:c r="F47" s="30" t="str"/>
      <x:c r="G47" s="30" t="str"/>
      <x:c r="H47" s="30" t="str"/>
      <x:c r="I47" s="30" t="str"/>
      <x:c r="J47" s="30" t="str"/>
      <x:c r="K47" s="30" t="str"/>
      <x:c r="L47" s="30" t="str"/>
      <x:c r="M47" s="30" t="str"/>
      <x:c r="N47" s="30" t="str"/>
      <x:c r="O47" s="30" t="str"/>
      <x:c r="P47" s="30" t="str"/>
      <x:c r="Q47" s="30" t="str"/>
      <x:c r="R47" s="30" t="str"/>
      <x:c r="S47" s="30" t="str"/>
      <x:c r="T47" s="30" t="str"/>
      <x:c r="U47" s="30" t="str"/>
      <x:c r="V47" s="30" t="str"/>
      <x:c r="W47" s="31" t="str"/>
    </x:row>
    <x:row r="48">
      <x:c r="A48" s="30" t="str">
        <x:f>IF(B48="","",B48&amp;"-"&amp;C48)</x:f>
      </x:c>
      <x:c r="B48" s="30" t="str">
        <x:f>'01_命例主档'!A14</x:f>
      </x:c>
      <x:c r="C48" s="30" t="str">
        <x:v>土</x:v>
      </x:c>
      <x:c r="D48" s="30" t="str"/>
      <x:c r="E48" s="30" t="str"/>
      <x:c r="F48" s="30" t="str"/>
      <x:c r="G48" s="30" t="str"/>
      <x:c r="H48" s="30" t="str"/>
      <x:c r="I48" s="30" t="str"/>
      <x:c r="J48" s="30" t="str"/>
      <x:c r="K48" s="30" t="str"/>
      <x:c r="L48" s="30" t="str"/>
      <x:c r="M48" s="30" t="str"/>
      <x:c r="N48" s="30" t="str"/>
      <x:c r="O48" s="30" t="str"/>
      <x:c r="P48" s="30" t="str"/>
      <x:c r="Q48" s="30" t="str"/>
      <x:c r="R48" s="30" t="str"/>
      <x:c r="S48" s="30" t="str"/>
      <x:c r="T48" s="30" t="str"/>
      <x:c r="U48" s="30" t="str"/>
      <x:c r="V48" s="30" t="str"/>
      <x:c r="W48" s="31" t="str"/>
    </x:row>
    <x:row r="49">
      <x:c r="A49" s="30" t="str">
        <x:f>IF(B49="","",B49&amp;"-"&amp;C49)</x:f>
      </x:c>
      <x:c r="B49" s="30" t="str">
        <x:f>'01_命例主档'!A14</x:f>
      </x:c>
      <x:c r="C49" s="30" t="str">
        <x:v>金</x:v>
      </x:c>
      <x:c r="D49" s="30" t="str"/>
      <x:c r="E49" s="30" t="str"/>
      <x:c r="F49" s="30" t="str"/>
      <x:c r="G49" s="30" t="str"/>
      <x:c r="H49" s="30" t="str"/>
      <x:c r="I49" s="30" t="str"/>
      <x:c r="J49" s="30" t="str"/>
      <x:c r="K49" s="30" t="str"/>
      <x:c r="L49" s="30" t="str"/>
      <x:c r="M49" s="30" t="str"/>
      <x:c r="N49" s="30" t="str"/>
      <x:c r="O49" s="30" t="str"/>
      <x:c r="P49" s="30" t="str"/>
      <x:c r="Q49" s="30" t="str"/>
      <x:c r="R49" s="30" t="str"/>
      <x:c r="S49" s="30" t="str"/>
      <x:c r="T49" s="30" t="str"/>
      <x:c r="U49" s="30" t="str"/>
      <x:c r="V49" s="30" t="str"/>
      <x:c r="W49" s="31" t="str"/>
    </x:row>
    <x:row r="50">
      <x:c r="A50" s="30" t="str">
        <x:f>IF(B50="","",B50&amp;"-"&amp;C50)</x:f>
      </x:c>
      <x:c r="B50" s="30" t="str">
        <x:f>'01_命例主档'!A14</x:f>
      </x:c>
      <x:c r="C50" s="30" t="str">
        <x:v>水</x:v>
      </x:c>
      <x:c r="D50" s="30" t="str"/>
      <x:c r="E50" s="30" t="str"/>
      <x:c r="F50" s="30" t="str"/>
      <x:c r="G50" s="30" t="str"/>
      <x:c r="H50" s="30" t="str"/>
      <x:c r="I50" s="30" t="str"/>
      <x:c r="J50" s="30" t="str"/>
      <x:c r="K50" s="30" t="str"/>
      <x:c r="L50" s="30" t="str"/>
      <x:c r="M50" s="30" t="str"/>
      <x:c r="N50" s="30" t="str"/>
      <x:c r="O50" s="30" t="str"/>
      <x:c r="P50" s="30" t="str"/>
      <x:c r="Q50" s="30" t="str"/>
      <x:c r="R50" s="30" t="str"/>
      <x:c r="S50" s="30" t="str"/>
      <x:c r="T50" s="30" t="str"/>
      <x:c r="U50" s="30" t="str"/>
      <x:c r="V50" s="30" t="str"/>
      <x:c r="W50" s="31" t="str"/>
    </x:row>
    <x:row r="51">
      <x:c r="A51" s="30" t="str">
        <x:f>IF(B51="","",B51&amp;"-"&amp;C51)</x:f>
      </x:c>
      <x:c r="B51" s="30" t="str">
        <x:f>'01_命例主档'!A15</x:f>
      </x:c>
      <x:c r="C51" s="30" t="str">
        <x:v>木</x:v>
      </x:c>
      <x:c r="D51" s="30" t="str"/>
      <x:c r="E51" s="30" t="str"/>
      <x:c r="F51" s="30" t="str"/>
      <x:c r="G51" s="30" t="str"/>
      <x:c r="H51" s="30" t="str"/>
      <x:c r="I51" s="30" t="str"/>
      <x:c r="J51" s="30" t="str"/>
      <x:c r="K51" s="30" t="str"/>
      <x:c r="L51" s="30" t="str"/>
      <x:c r="M51" s="30" t="str"/>
      <x:c r="N51" s="30" t="str"/>
      <x:c r="O51" s="30" t="str"/>
      <x:c r="P51" s="30" t="str"/>
      <x:c r="Q51" s="30" t="str"/>
      <x:c r="R51" s="30" t="str"/>
      <x:c r="S51" s="30" t="str"/>
      <x:c r="T51" s="30" t="str"/>
      <x:c r="U51" s="30" t="str"/>
      <x:c r="V51" s="30" t="str"/>
      <x:c r="W51" s="31" t="str"/>
    </x:row>
    <x:row r="52">
      <x:c r="A52" s="30" t="str">
        <x:f>IF(B52="","",B52&amp;"-"&amp;C52)</x:f>
      </x:c>
      <x:c r="B52" s="30" t="str">
        <x:f>'01_命例主档'!A15</x:f>
      </x:c>
      <x:c r="C52" s="30" t="str">
        <x:v>火</x:v>
      </x:c>
      <x:c r="D52" s="30" t="str"/>
      <x:c r="E52" s="30" t="str"/>
      <x:c r="F52" s="30" t="str"/>
      <x:c r="G52" s="30" t="str"/>
      <x:c r="H52" s="30" t="str"/>
      <x:c r="I52" s="30" t="str"/>
      <x:c r="J52" s="30" t="str"/>
      <x:c r="K52" s="30" t="str"/>
      <x:c r="L52" s="30" t="str"/>
      <x:c r="M52" s="30" t="str"/>
      <x:c r="N52" s="30" t="str"/>
      <x:c r="O52" s="30" t="str"/>
      <x:c r="P52" s="30" t="str"/>
      <x:c r="Q52" s="30" t="str"/>
      <x:c r="R52" s="30" t="str"/>
      <x:c r="S52" s="30" t="str"/>
      <x:c r="T52" s="30" t="str"/>
      <x:c r="U52" s="30" t="str"/>
      <x:c r="V52" s="30" t="str"/>
      <x:c r="W52" s="31" t="str"/>
    </x:row>
    <x:row r="53">
      <x:c r="A53" s="30" t="str">
        <x:f>IF(B53="","",B53&amp;"-"&amp;C53)</x:f>
      </x:c>
      <x:c r="B53" s="30" t="str">
        <x:f>'01_命例主档'!A15</x:f>
      </x:c>
      <x:c r="C53" s="30" t="str">
        <x:v>土</x:v>
      </x:c>
      <x:c r="D53" s="30" t="str"/>
      <x:c r="E53" s="30" t="str"/>
      <x:c r="F53" s="30" t="str"/>
      <x:c r="G53" s="30" t="str"/>
      <x:c r="H53" s="30" t="str"/>
      <x:c r="I53" s="30" t="str"/>
      <x:c r="J53" s="30" t="str"/>
      <x:c r="K53" s="30" t="str"/>
      <x:c r="L53" s="30" t="str"/>
      <x:c r="M53" s="30" t="str"/>
      <x:c r="N53" s="30" t="str"/>
      <x:c r="O53" s="30" t="str"/>
      <x:c r="P53" s="30" t="str"/>
      <x:c r="Q53" s="30" t="str"/>
      <x:c r="R53" s="30" t="str"/>
      <x:c r="S53" s="30" t="str"/>
      <x:c r="T53" s="30" t="str"/>
      <x:c r="U53" s="30" t="str"/>
      <x:c r="V53" s="30" t="str"/>
      <x:c r="W53" s="31" t="str"/>
    </x:row>
    <x:row r="54">
      <x:c r="A54" s="30" t="str">
        <x:f>IF(B54="","",B54&amp;"-"&amp;C54)</x:f>
      </x:c>
      <x:c r="B54" s="30" t="str">
        <x:f>'01_命例主档'!A15</x:f>
      </x:c>
      <x:c r="C54" s="30" t="str">
        <x:v>金</x:v>
      </x:c>
      <x:c r="D54" s="30" t="str"/>
      <x:c r="E54" s="30" t="str"/>
      <x:c r="F54" s="30" t="str"/>
      <x:c r="G54" s="30" t="str"/>
      <x:c r="H54" s="30" t="str"/>
      <x:c r="I54" s="30" t="str"/>
      <x:c r="J54" s="30" t="str"/>
      <x:c r="K54" s="30" t="str"/>
      <x:c r="L54" s="30" t="str"/>
      <x:c r="M54" s="30" t="str"/>
      <x:c r="N54" s="30" t="str"/>
      <x:c r="O54" s="30" t="str"/>
      <x:c r="P54" s="30" t="str"/>
      <x:c r="Q54" s="30" t="str"/>
      <x:c r="R54" s="30" t="str"/>
      <x:c r="S54" s="30" t="str"/>
      <x:c r="T54" s="30" t="str"/>
      <x:c r="U54" s="30" t="str"/>
      <x:c r="V54" s="30" t="str"/>
      <x:c r="W54" s="31" t="str"/>
    </x:row>
    <x:row r="55">
      <x:c r="A55" s="30" t="str">
        <x:f>IF(B55="","",B55&amp;"-"&amp;C55)</x:f>
      </x:c>
      <x:c r="B55" s="30" t="str">
        <x:f>'01_命例主档'!A15</x:f>
      </x:c>
      <x:c r="C55" s="30" t="str">
        <x:v>水</x:v>
      </x:c>
      <x:c r="D55" s="30" t="str"/>
      <x:c r="E55" s="30" t="str"/>
      <x:c r="F55" s="30" t="str"/>
      <x:c r="G55" s="30" t="str"/>
      <x:c r="H55" s="30" t="str"/>
      <x:c r="I55" s="30" t="str"/>
      <x:c r="J55" s="30" t="str"/>
      <x:c r="K55" s="30" t="str"/>
      <x:c r="L55" s="30" t="str"/>
      <x:c r="M55" s="30" t="str"/>
      <x:c r="N55" s="30" t="str"/>
      <x:c r="O55" s="30" t="str"/>
      <x:c r="P55" s="30" t="str"/>
      <x:c r="Q55" s="30" t="str"/>
      <x:c r="R55" s="30" t="str"/>
      <x:c r="S55" s="30" t="str"/>
      <x:c r="T55" s="30" t="str"/>
      <x:c r="U55" s="30" t="str"/>
      <x:c r="V55" s="30" t="str"/>
      <x:c r="W55" s="31" t="str"/>
    </x:row>
    <x:row r="56">
      <x:c r="A56" s="30" t="str">
        <x:f>IF(B56="","",B56&amp;"-"&amp;C56)</x:f>
      </x:c>
      <x:c r="B56" s="30" t="str">
        <x:f>'01_命例主档'!A16</x:f>
      </x:c>
      <x:c r="C56" s="30" t="str">
        <x:v>木</x:v>
      </x:c>
      <x:c r="D56" s="30" t="str"/>
      <x:c r="E56" s="30" t="str"/>
      <x:c r="F56" s="30" t="str"/>
      <x:c r="G56" s="30" t="str"/>
      <x:c r="H56" s="30" t="str"/>
      <x:c r="I56" s="30" t="str"/>
      <x:c r="J56" s="30" t="str"/>
      <x:c r="K56" s="30" t="str"/>
      <x:c r="L56" s="30" t="str"/>
      <x:c r="M56" s="30" t="str"/>
      <x:c r="N56" s="30" t="str"/>
      <x:c r="O56" s="30" t="str"/>
      <x:c r="P56" s="30" t="str"/>
      <x:c r="Q56" s="30" t="str"/>
      <x:c r="R56" s="30" t="str"/>
      <x:c r="S56" s="30" t="str"/>
      <x:c r="T56" s="30" t="str"/>
      <x:c r="U56" s="30" t="str"/>
      <x:c r="V56" s="30" t="str"/>
      <x:c r="W56" s="31" t="str"/>
    </x:row>
    <x:row r="57">
      <x:c r="A57" s="30" t="str">
        <x:f>IF(B57="","",B57&amp;"-"&amp;C57)</x:f>
      </x:c>
      <x:c r="B57" s="30" t="str">
        <x:f>'01_命例主档'!A16</x:f>
      </x:c>
      <x:c r="C57" s="30" t="str">
        <x:v>火</x:v>
      </x:c>
      <x:c r="D57" s="30" t="str"/>
      <x:c r="E57" s="30" t="str"/>
      <x:c r="F57" s="30" t="str"/>
      <x:c r="G57" s="30" t="str"/>
      <x:c r="H57" s="30" t="str"/>
      <x:c r="I57" s="30" t="str"/>
      <x:c r="J57" s="30" t="str"/>
      <x:c r="K57" s="30" t="str"/>
      <x:c r="L57" s="30" t="str"/>
      <x:c r="M57" s="30" t="str"/>
      <x:c r="N57" s="30" t="str"/>
      <x:c r="O57" s="30" t="str"/>
      <x:c r="P57" s="30" t="str"/>
      <x:c r="Q57" s="30" t="str"/>
      <x:c r="R57" s="30" t="str"/>
      <x:c r="S57" s="30" t="str"/>
      <x:c r="T57" s="30" t="str"/>
      <x:c r="U57" s="30" t="str"/>
      <x:c r="V57" s="30" t="str"/>
      <x:c r="W57" s="31" t="str"/>
    </x:row>
    <x:row r="58">
      <x:c r="A58" s="30" t="str">
        <x:f>IF(B58="","",B58&amp;"-"&amp;C58)</x:f>
      </x:c>
      <x:c r="B58" s="30" t="str">
        <x:f>'01_命例主档'!A16</x:f>
      </x:c>
      <x:c r="C58" s="30" t="str">
        <x:v>土</x:v>
      </x:c>
      <x:c r="D58" s="30" t="str"/>
      <x:c r="E58" s="30" t="str"/>
      <x:c r="F58" s="30" t="str"/>
      <x:c r="G58" s="30" t="str"/>
      <x:c r="H58" s="30" t="str"/>
      <x:c r="I58" s="30" t="str"/>
      <x:c r="J58" s="30" t="str"/>
      <x:c r="K58" s="30" t="str"/>
      <x:c r="L58" s="30" t="str"/>
      <x:c r="M58" s="30" t="str"/>
      <x:c r="N58" s="30" t="str"/>
      <x:c r="O58" s="30" t="str"/>
      <x:c r="P58" s="30" t="str"/>
      <x:c r="Q58" s="30" t="str"/>
      <x:c r="R58" s="30" t="str"/>
      <x:c r="S58" s="30" t="str"/>
      <x:c r="T58" s="30" t="str"/>
      <x:c r="U58" s="30" t="str"/>
      <x:c r="V58" s="30" t="str"/>
      <x:c r="W58" s="31" t="str"/>
    </x:row>
    <x:row r="59">
      <x:c r="A59" s="30" t="str">
        <x:f>IF(B59="","",B59&amp;"-"&amp;C59)</x:f>
      </x:c>
      <x:c r="B59" s="30" t="str">
        <x:f>'01_命例主档'!A16</x:f>
      </x:c>
      <x:c r="C59" s="30" t="str">
        <x:v>金</x:v>
      </x:c>
      <x:c r="D59" s="30" t="str"/>
      <x:c r="E59" s="30" t="str"/>
      <x:c r="F59" s="30" t="str"/>
      <x:c r="G59" s="30" t="str"/>
      <x:c r="H59" s="30" t="str"/>
      <x:c r="I59" s="30" t="str"/>
      <x:c r="J59" s="30" t="str"/>
      <x:c r="K59" s="30" t="str"/>
      <x:c r="L59" s="30" t="str"/>
      <x:c r="M59" s="30" t="str"/>
      <x:c r="N59" s="30" t="str"/>
      <x:c r="O59" s="30" t="str"/>
      <x:c r="P59" s="30" t="str"/>
      <x:c r="Q59" s="30" t="str"/>
      <x:c r="R59" s="30" t="str"/>
      <x:c r="S59" s="30" t="str"/>
      <x:c r="T59" s="30" t="str"/>
      <x:c r="U59" s="30" t="str"/>
      <x:c r="V59" s="30" t="str"/>
      <x:c r="W59" s="31" t="str"/>
    </x:row>
    <x:row r="60">
      <x:c r="A60" s="30" t="str">
        <x:f>IF(B60="","",B60&amp;"-"&amp;C60)</x:f>
      </x:c>
      <x:c r="B60" s="30" t="str">
        <x:f>'01_命例主档'!A16</x:f>
      </x:c>
      <x:c r="C60" s="30" t="str">
        <x:v>水</x:v>
      </x:c>
      <x:c r="D60" s="30" t="str"/>
      <x:c r="E60" s="30" t="str"/>
      <x:c r="F60" s="30" t="str"/>
      <x:c r="G60" s="30" t="str"/>
      <x:c r="H60" s="30" t="str"/>
      <x:c r="I60" s="30" t="str"/>
      <x:c r="J60" s="30" t="str"/>
      <x:c r="K60" s="30" t="str"/>
      <x:c r="L60" s="30" t="str"/>
      <x:c r="M60" s="30" t="str"/>
      <x:c r="N60" s="30" t="str"/>
      <x:c r="O60" s="30" t="str"/>
      <x:c r="P60" s="30" t="str"/>
      <x:c r="Q60" s="30" t="str"/>
      <x:c r="R60" s="30" t="str"/>
      <x:c r="S60" s="30" t="str"/>
      <x:c r="T60" s="30" t="str"/>
      <x:c r="U60" s="30" t="str"/>
      <x:c r="V60" s="30" t="str"/>
      <x:c r="W60" s="31" t="str"/>
    </x:row>
    <x:row r="61">
      <x:c r="A61" s="30" t="str">
        <x:f>IF(B61="","",B61&amp;"-"&amp;C61)</x:f>
      </x:c>
      <x:c r="B61" s="30" t="str">
        <x:f>'01_命例主档'!A17</x:f>
      </x:c>
      <x:c r="C61" s="30" t="str">
        <x:v>木</x:v>
      </x:c>
      <x:c r="D61" s="30" t="str"/>
      <x:c r="E61" s="30" t="str"/>
      <x:c r="F61" s="30" t="str"/>
      <x:c r="G61" s="30" t="str"/>
      <x:c r="H61" s="30" t="str"/>
      <x:c r="I61" s="30" t="str"/>
      <x:c r="J61" s="30" t="str"/>
      <x:c r="K61" s="30" t="str"/>
      <x:c r="L61" s="30" t="str"/>
      <x:c r="M61" s="30" t="str"/>
      <x:c r="N61" s="30" t="str"/>
      <x:c r="O61" s="30" t="str"/>
      <x:c r="P61" s="30" t="str"/>
      <x:c r="Q61" s="30" t="str"/>
      <x:c r="R61" s="30" t="str"/>
      <x:c r="S61" s="30" t="str"/>
      <x:c r="T61" s="30" t="str"/>
      <x:c r="U61" s="30" t="str"/>
      <x:c r="V61" s="30" t="str"/>
      <x:c r="W61" s="31" t="str"/>
    </x:row>
    <x:row r="62">
      <x:c r="A62" s="30" t="str">
        <x:f>IF(B62="","",B62&amp;"-"&amp;C62)</x:f>
      </x:c>
      <x:c r="B62" s="30" t="str">
        <x:f>'01_命例主档'!A17</x:f>
      </x:c>
      <x:c r="C62" s="30" t="str">
        <x:v>火</x:v>
      </x:c>
      <x:c r="D62" s="30" t="str"/>
      <x:c r="E62" s="30" t="str"/>
      <x:c r="F62" s="30" t="str"/>
      <x:c r="G62" s="30" t="str"/>
      <x:c r="H62" s="30" t="str"/>
      <x:c r="I62" s="30" t="str"/>
      <x:c r="J62" s="30" t="str"/>
      <x:c r="K62" s="30" t="str"/>
      <x:c r="L62" s="30" t="str"/>
      <x:c r="M62" s="30" t="str"/>
      <x:c r="N62" s="30" t="str"/>
      <x:c r="O62" s="30" t="str"/>
      <x:c r="P62" s="30" t="str"/>
      <x:c r="Q62" s="30" t="str"/>
      <x:c r="R62" s="30" t="str"/>
      <x:c r="S62" s="30" t="str"/>
      <x:c r="T62" s="30" t="str"/>
      <x:c r="U62" s="30" t="str"/>
      <x:c r="V62" s="30" t="str"/>
      <x:c r="W62" s="31" t="str"/>
    </x:row>
    <x:row r="63">
      <x:c r="A63" s="30" t="str">
        <x:f>IF(B63="","",B63&amp;"-"&amp;C63)</x:f>
      </x:c>
      <x:c r="B63" s="30" t="str">
        <x:f>'01_命例主档'!A17</x:f>
      </x:c>
      <x:c r="C63" s="30" t="str">
        <x:v>土</x:v>
      </x:c>
      <x:c r="D63" s="30" t="str"/>
      <x:c r="E63" s="30" t="str"/>
      <x:c r="F63" s="30" t="str"/>
      <x:c r="G63" s="30" t="str"/>
      <x:c r="H63" s="30" t="str"/>
      <x:c r="I63" s="30" t="str"/>
      <x:c r="J63" s="30" t="str"/>
      <x:c r="K63" s="30" t="str"/>
      <x:c r="L63" s="30" t="str"/>
      <x:c r="M63" s="30" t="str"/>
      <x:c r="N63" s="30" t="str"/>
      <x:c r="O63" s="30" t="str"/>
      <x:c r="P63" s="30" t="str"/>
      <x:c r="Q63" s="30" t="str"/>
      <x:c r="R63" s="30" t="str"/>
      <x:c r="S63" s="30" t="str"/>
      <x:c r="T63" s="30" t="str"/>
      <x:c r="U63" s="30" t="str"/>
      <x:c r="V63" s="30" t="str"/>
      <x:c r="W63" s="31" t="str"/>
    </x:row>
    <x:row r="64">
      <x:c r="A64" s="30" t="str">
        <x:f>IF(B64="","",B64&amp;"-"&amp;C64)</x:f>
      </x:c>
      <x:c r="B64" s="30" t="str">
        <x:f>'01_命例主档'!A17</x:f>
      </x:c>
      <x:c r="C64" s="30" t="str">
        <x:v>金</x:v>
      </x:c>
      <x:c r="D64" s="30" t="str"/>
      <x:c r="E64" s="30" t="str"/>
      <x:c r="F64" s="30" t="str"/>
      <x:c r="G64" s="30" t="str"/>
      <x:c r="H64" s="30" t="str"/>
      <x:c r="I64" s="30" t="str"/>
      <x:c r="J64" s="30" t="str"/>
      <x:c r="K64" s="30" t="str"/>
      <x:c r="L64" s="30" t="str"/>
      <x:c r="M64" s="30" t="str"/>
      <x:c r="N64" s="30" t="str"/>
      <x:c r="O64" s="30" t="str"/>
      <x:c r="P64" s="30" t="str"/>
      <x:c r="Q64" s="30" t="str"/>
      <x:c r="R64" s="30" t="str"/>
      <x:c r="S64" s="30" t="str"/>
      <x:c r="T64" s="30" t="str"/>
      <x:c r="U64" s="30" t="str"/>
      <x:c r="V64" s="30" t="str"/>
      <x:c r="W64" s="31" t="str"/>
    </x:row>
    <x:row r="65">
      <x:c r="A65" s="30" t="str">
        <x:f>IF(B65="","",B65&amp;"-"&amp;C65)</x:f>
      </x:c>
      <x:c r="B65" s="30" t="str">
        <x:f>'01_命例主档'!A17</x:f>
      </x:c>
      <x:c r="C65" s="30" t="str">
        <x:v>水</x:v>
      </x:c>
      <x:c r="D65" s="30" t="str"/>
      <x:c r="E65" s="30" t="str"/>
      <x:c r="F65" s="30" t="str"/>
      <x:c r="G65" s="30" t="str"/>
      <x:c r="H65" s="30" t="str"/>
      <x:c r="I65" s="30" t="str"/>
      <x:c r="J65" s="30" t="str"/>
      <x:c r="K65" s="30" t="str"/>
      <x:c r="L65" s="30" t="str"/>
      <x:c r="M65" s="30" t="str"/>
      <x:c r="N65" s="30" t="str"/>
      <x:c r="O65" s="30" t="str"/>
      <x:c r="P65" s="30" t="str"/>
      <x:c r="Q65" s="30" t="str"/>
      <x:c r="R65" s="30" t="str"/>
      <x:c r="S65" s="30" t="str"/>
      <x:c r="T65" s="30" t="str"/>
      <x:c r="U65" s="30" t="str"/>
      <x:c r="V65" s="30" t="str"/>
      <x:c r="W65" s="31" t="str"/>
    </x:row>
    <x:row r="66">
      <x:c r="A66" s="30" t="str">
        <x:f>IF(B66="","",B66&amp;"-"&amp;C66)</x:f>
      </x:c>
      <x:c r="B66" s="30" t="str">
        <x:f>'01_命例主档'!A18</x:f>
      </x:c>
      <x:c r="C66" s="30" t="str">
        <x:v>木</x:v>
      </x:c>
      <x:c r="D66" s="30" t="str"/>
      <x:c r="E66" s="30" t="str"/>
      <x:c r="F66" s="30" t="str"/>
      <x:c r="G66" s="30" t="str"/>
      <x:c r="H66" s="30" t="str"/>
      <x:c r="I66" s="30" t="str"/>
      <x:c r="J66" s="30" t="str"/>
      <x:c r="K66" s="30" t="str"/>
      <x:c r="L66" s="30" t="str"/>
      <x:c r="M66" s="30" t="str"/>
      <x:c r="N66" s="30" t="str"/>
      <x:c r="O66" s="30" t="str"/>
      <x:c r="P66" s="30" t="str"/>
      <x:c r="Q66" s="30" t="str"/>
      <x:c r="R66" s="30" t="str"/>
      <x:c r="S66" s="30" t="str"/>
      <x:c r="T66" s="30" t="str"/>
      <x:c r="U66" s="30" t="str"/>
      <x:c r="V66" s="30" t="str"/>
      <x:c r="W66" s="31" t="str"/>
    </x:row>
    <x:row r="67">
      <x:c r="A67" s="30" t="str">
        <x:f>IF(B67="","",B67&amp;"-"&amp;C67)</x:f>
      </x:c>
      <x:c r="B67" s="30" t="str">
        <x:f>'01_命例主档'!A18</x:f>
      </x:c>
      <x:c r="C67" s="30" t="str">
        <x:v>火</x:v>
      </x:c>
      <x:c r="D67" s="30" t="str"/>
      <x:c r="E67" s="30" t="str"/>
      <x:c r="F67" s="30" t="str"/>
      <x:c r="G67" s="30" t="str"/>
      <x:c r="H67" s="30" t="str"/>
      <x:c r="I67" s="30" t="str"/>
      <x:c r="J67" s="30" t="str"/>
      <x:c r="K67" s="30" t="str"/>
      <x:c r="L67" s="30" t="str"/>
      <x:c r="M67" s="30" t="str"/>
      <x:c r="N67" s="30" t="str"/>
      <x:c r="O67" s="30" t="str"/>
      <x:c r="P67" s="30" t="str"/>
      <x:c r="Q67" s="30" t="str"/>
      <x:c r="R67" s="30" t="str"/>
      <x:c r="S67" s="30" t="str"/>
      <x:c r="T67" s="30" t="str"/>
      <x:c r="U67" s="30" t="str"/>
      <x:c r="V67" s="30" t="str"/>
      <x:c r="W67" s="31" t="str"/>
    </x:row>
    <x:row r="68">
      <x:c r="A68" s="30" t="str">
        <x:f>IF(B68="","",B68&amp;"-"&amp;C68)</x:f>
      </x:c>
      <x:c r="B68" s="30" t="str">
        <x:f>'01_命例主档'!A18</x:f>
      </x:c>
      <x:c r="C68" s="30" t="str">
        <x:v>土</x:v>
      </x:c>
      <x:c r="D68" s="30" t="str"/>
      <x:c r="E68" s="30" t="str"/>
      <x:c r="F68" s="30" t="str"/>
      <x:c r="G68" s="30" t="str"/>
      <x:c r="H68" s="30" t="str"/>
      <x:c r="I68" s="30" t="str"/>
      <x:c r="J68" s="30" t="str"/>
      <x:c r="K68" s="30" t="str"/>
      <x:c r="L68" s="30" t="str"/>
      <x:c r="M68" s="30" t="str"/>
      <x:c r="N68" s="30" t="str"/>
      <x:c r="O68" s="30" t="str"/>
      <x:c r="P68" s="30" t="str"/>
      <x:c r="Q68" s="30" t="str"/>
      <x:c r="R68" s="30" t="str"/>
      <x:c r="S68" s="30" t="str"/>
      <x:c r="T68" s="30" t="str"/>
      <x:c r="U68" s="30" t="str"/>
      <x:c r="V68" s="30" t="str"/>
      <x:c r="W68" s="31" t="str"/>
    </x:row>
    <x:row r="69">
      <x:c r="A69" s="30" t="str">
        <x:f>IF(B69="","",B69&amp;"-"&amp;C69)</x:f>
      </x:c>
      <x:c r="B69" s="30" t="str">
        <x:f>'01_命例主档'!A18</x:f>
      </x:c>
      <x:c r="C69" s="30" t="str">
        <x:v>金</x:v>
      </x:c>
      <x:c r="D69" s="30" t="str"/>
      <x:c r="E69" s="30" t="str"/>
      <x:c r="F69" s="30" t="str"/>
      <x:c r="G69" s="30" t="str"/>
      <x:c r="H69" s="30" t="str"/>
      <x:c r="I69" s="30" t="str"/>
      <x:c r="J69" s="30" t="str"/>
      <x:c r="K69" s="30" t="str"/>
      <x:c r="L69" s="30" t="str"/>
      <x:c r="M69" s="30" t="str"/>
      <x:c r="N69" s="30" t="str"/>
      <x:c r="O69" s="30" t="str"/>
      <x:c r="P69" s="30" t="str"/>
      <x:c r="Q69" s="30" t="str"/>
      <x:c r="R69" s="30" t="str"/>
      <x:c r="S69" s="30" t="str"/>
      <x:c r="T69" s="30" t="str"/>
      <x:c r="U69" s="30" t="str"/>
      <x:c r="V69" s="30" t="str"/>
      <x:c r="W69" s="31" t="str"/>
    </x:row>
    <x:row r="70">
      <x:c r="A70" s="30" t="str">
        <x:f>IF(B70="","",B70&amp;"-"&amp;C70)</x:f>
      </x:c>
      <x:c r="B70" s="30" t="str">
        <x:f>'01_命例主档'!A18</x:f>
      </x:c>
      <x:c r="C70" s="30" t="str">
        <x:v>水</x:v>
      </x:c>
      <x:c r="D70" s="30" t="str"/>
      <x:c r="E70" s="30" t="str"/>
      <x:c r="F70" s="30" t="str"/>
      <x:c r="G70" s="30" t="str"/>
      <x:c r="H70" s="30" t="str"/>
      <x:c r="I70" s="30" t="str"/>
      <x:c r="J70" s="30" t="str"/>
      <x:c r="K70" s="30" t="str"/>
      <x:c r="L70" s="30" t="str"/>
      <x:c r="M70" s="30" t="str"/>
      <x:c r="N70" s="30" t="str"/>
      <x:c r="O70" s="30" t="str"/>
      <x:c r="P70" s="30" t="str"/>
      <x:c r="Q70" s="30" t="str"/>
      <x:c r="R70" s="30" t="str"/>
      <x:c r="S70" s="30" t="str"/>
      <x:c r="T70" s="30" t="str"/>
      <x:c r="U70" s="30" t="str"/>
      <x:c r="V70" s="30" t="str"/>
      <x:c r="W70" s="31" t="str"/>
    </x:row>
    <x:row r="71">
      <x:c r="A71" s="30" t="str">
        <x:f>IF(B71="","",B71&amp;"-"&amp;C71)</x:f>
      </x:c>
      <x:c r="B71" s="30" t="str">
        <x:f>'01_命例主档'!A19</x:f>
      </x:c>
      <x:c r="C71" s="30" t="str">
        <x:v>木</x:v>
      </x:c>
      <x:c r="D71" s="30" t="str"/>
      <x:c r="E71" s="30" t="str"/>
      <x:c r="F71" s="30" t="str"/>
      <x:c r="G71" s="30" t="str"/>
      <x:c r="H71" s="30" t="str"/>
      <x:c r="I71" s="30" t="str"/>
      <x:c r="J71" s="30" t="str"/>
      <x:c r="K71" s="30" t="str"/>
      <x:c r="L71" s="30" t="str"/>
      <x:c r="M71" s="30" t="str"/>
      <x:c r="N71" s="30" t="str"/>
      <x:c r="O71" s="30" t="str"/>
      <x:c r="P71" s="30" t="str"/>
      <x:c r="Q71" s="30" t="str"/>
      <x:c r="R71" s="30" t="str"/>
      <x:c r="S71" s="30" t="str"/>
      <x:c r="T71" s="30" t="str"/>
      <x:c r="U71" s="30" t="str"/>
      <x:c r="V71" s="30" t="str"/>
      <x:c r="W71" s="31" t="str"/>
    </x:row>
    <x:row r="72">
      <x:c r="A72" s="30" t="str">
        <x:f>IF(B72="","",B72&amp;"-"&amp;C72)</x:f>
      </x:c>
      <x:c r="B72" s="30" t="str">
        <x:f>'01_命例主档'!A19</x:f>
      </x:c>
      <x:c r="C72" s="30" t="str">
        <x:v>火</x:v>
      </x:c>
      <x:c r="D72" s="30" t="str"/>
      <x:c r="E72" s="30" t="str"/>
      <x:c r="F72" s="30" t="str"/>
      <x:c r="G72" s="30" t="str"/>
      <x:c r="H72" s="30" t="str"/>
      <x:c r="I72" s="30" t="str"/>
      <x:c r="J72" s="30" t="str"/>
      <x:c r="K72" s="30" t="str"/>
      <x:c r="L72" s="30" t="str"/>
      <x:c r="M72" s="30" t="str"/>
      <x:c r="N72" s="30" t="str"/>
      <x:c r="O72" s="30" t="str"/>
      <x:c r="P72" s="30" t="str"/>
      <x:c r="Q72" s="30" t="str"/>
      <x:c r="R72" s="30" t="str"/>
      <x:c r="S72" s="30" t="str"/>
      <x:c r="T72" s="30" t="str"/>
      <x:c r="U72" s="30" t="str"/>
      <x:c r="V72" s="30" t="str"/>
      <x:c r="W72" s="31" t="str"/>
    </x:row>
    <x:row r="73">
      <x:c r="A73" s="30" t="str">
        <x:f>IF(B73="","",B73&amp;"-"&amp;C73)</x:f>
      </x:c>
      <x:c r="B73" s="30" t="str">
        <x:f>'01_命例主档'!A19</x:f>
      </x:c>
      <x:c r="C73" s="30" t="str">
        <x:v>土</x:v>
      </x:c>
      <x:c r="D73" s="30" t="str"/>
      <x:c r="E73" s="30" t="str"/>
      <x:c r="F73" s="30" t="str"/>
      <x:c r="G73" s="30" t="str"/>
      <x:c r="H73" s="30" t="str"/>
      <x:c r="I73" s="30" t="str"/>
      <x:c r="J73" s="30" t="str"/>
      <x:c r="K73" s="30" t="str"/>
      <x:c r="L73" s="30" t="str"/>
      <x:c r="M73" s="30" t="str"/>
      <x:c r="N73" s="30" t="str"/>
      <x:c r="O73" s="30" t="str"/>
      <x:c r="P73" s="30" t="str"/>
      <x:c r="Q73" s="30" t="str"/>
      <x:c r="R73" s="30" t="str"/>
      <x:c r="S73" s="30" t="str"/>
      <x:c r="T73" s="30" t="str"/>
      <x:c r="U73" s="30" t="str"/>
      <x:c r="V73" s="30" t="str"/>
      <x:c r="W73" s="31" t="str"/>
    </x:row>
    <x:row r="74">
      <x:c r="A74" s="30" t="str">
        <x:f>IF(B74="","",B74&amp;"-"&amp;C74)</x:f>
      </x:c>
      <x:c r="B74" s="30" t="str">
        <x:f>'01_命例主档'!A19</x:f>
      </x:c>
      <x:c r="C74" s="30" t="str">
        <x:v>金</x:v>
      </x:c>
      <x:c r="D74" s="30" t="str"/>
      <x:c r="E74" s="30" t="str"/>
      <x:c r="F74" s="30" t="str"/>
      <x:c r="G74" s="30" t="str"/>
      <x:c r="H74" s="30" t="str"/>
      <x:c r="I74" s="30" t="str"/>
      <x:c r="J74" s="30" t="str"/>
      <x:c r="K74" s="30" t="str"/>
      <x:c r="L74" s="30" t="str"/>
      <x:c r="M74" s="30" t="str"/>
      <x:c r="N74" s="30" t="str"/>
      <x:c r="O74" s="30" t="str"/>
      <x:c r="P74" s="30" t="str"/>
      <x:c r="Q74" s="30" t="str"/>
      <x:c r="R74" s="30" t="str"/>
      <x:c r="S74" s="30" t="str"/>
      <x:c r="T74" s="30" t="str"/>
      <x:c r="U74" s="30" t="str"/>
      <x:c r="V74" s="30" t="str"/>
      <x:c r="W74" s="31" t="str"/>
    </x:row>
    <x:row r="75">
      <x:c r="A75" s="30" t="str">
        <x:f>IF(B75="","",B75&amp;"-"&amp;C75)</x:f>
      </x:c>
      <x:c r="B75" s="30" t="str">
        <x:f>'01_命例主档'!A19</x:f>
      </x:c>
      <x:c r="C75" s="30" t="str">
        <x:v>水</x:v>
      </x:c>
      <x:c r="D75" s="30" t="str"/>
      <x:c r="E75" s="30" t="str"/>
      <x:c r="F75" s="30" t="str"/>
      <x:c r="G75" s="30" t="str"/>
      <x:c r="H75" s="30" t="str"/>
      <x:c r="I75" s="30" t="str"/>
      <x:c r="J75" s="30" t="str"/>
      <x:c r="K75" s="30" t="str"/>
      <x:c r="L75" s="30" t="str"/>
      <x:c r="M75" s="30" t="str"/>
      <x:c r="N75" s="30" t="str"/>
      <x:c r="O75" s="30" t="str"/>
      <x:c r="P75" s="30" t="str"/>
      <x:c r="Q75" s="30" t="str"/>
      <x:c r="R75" s="30" t="str"/>
      <x:c r="S75" s="30" t="str"/>
      <x:c r="T75" s="30" t="str"/>
      <x:c r="U75" s="30" t="str"/>
      <x:c r="V75" s="30" t="str"/>
      <x:c r="W75" s="31" t="str"/>
    </x:row>
    <x:row r="76">
      <x:c r="A76" s="30" t="str">
        <x:f>IF(B76="","",B76&amp;"-"&amp;C76)</x:f>
      </x:c>
      <x:c r="B76" s="30" t="str">
        <x:f>'01_命例主档'!A20</x:f>
      </x:c>
      <x:c r="C76" s="30" t="str">
        <x:v>木</x:v>
      </x:c>
      <x:c r="D76" s="30" t="str"/>
      <x:c r="E76" s="30" t="str"/>
      <x:c r="F76" s="30" t="str"/>
      <x:c r="G76" s="30" t="str"/>
      <x:c r="H76" s="30" t="str"/>
      <x:c r="I76" s="30" t="str"/>
      <x:c r="J76" s="30" t="str"/>
      <x:c r="K76" s="30" t="str"/>
      <x:c r="L76" s="30" t="str"/>
      <x:c r="M76" s="30" t="str"/>
      <x:c r="N76" s="30" t="str"/>
      <x:c r="O76" s="30" t="str"/>
      <x:c r="P76" s="30" t="str"/>
      <x:c r="Q76" s="30" t="str"/>
      <x:c r="R76" s="30" t="str"/>
      <x:c r="S76" s="30" t="str"/>
      <x:c r="T76" s="30" t="str"/>
      <x:c r="U76" s="30" t="str"/>
      <x:c r="V76" s="30" t="str"/>
      <x:c r="W76" s="31" t="str"/>
    </x:row>
    <x:row r="77">
      <x:c r="A77" s="30" t="str">
        <x:f>IF(B77="","",B77&amp;"-"&amp;C77)</x:f>
      </x:c>
      <x:c r="B77" s="30" t="str">
        <x:f>'01_命例主档'!A20</x:f>
      </x:c>
      <x:c r="C77" s="30" t="str">
        <x:v>火</x:v>
      </x:c>
      <x:c r="D77" s="30" t="str"/>
      <x:c r="E77" s="30" t="str"/>
      <x:c r="F77" s="30" t="str"/>
      <x:c r="G77" s="30" t="str"/>
      <x:c r="H77" s="30" t="str"/>
      <x:c r="I77" s="30" t="str"/>
      <x:c r="J77" s="30" t="str"/>
      <x:c r="K77" s="30" t="str"/>
      <x:c r="L77" s="30" t="str"/>
      <x:c r="M77" s="30" t="str"/>
      <x:c r="N77" s="30" t="str"/>
      <x:c r="O77" s="30" t="str"/>
      <x:c r="P77" s="30" t="str"/>
      <x:c r="Q77" s="30" t="str"/>
      <x:c r="R77" s="30" t="str"/>
      <x:c r="S77" s="30" t="str"/>
      <x:c r="T77" s="30" t="str"/>
      <x:c r="U77" s="30" t="str"/>
      <x:c r="V77" s="30" t="str"/>
      <x:c r="W77" s="31" t="str"/>
    </x:row>
    <x:row r="78">
      <x:c r="A78" s="30" t="str">
        <x:f>IF(B78="","",B78&amp;"-"&amp;C78)</x:f>
      </x:c>
      <x:c r="B78" s="30" t="str">
        <x:f>'01_命例主档'!A20</x:f>
      </x:c>
      <x:c r="C78" s="30" t="str">
        <x:v>土</x:v>
      </x:c>
      <x:c r="D78" s="30" t="str"/>
      <x:c r="E78" s="30" t="str"/>
      <x:c r="F78" s="30" t="str"/>
      <x:c r="G78" s="30" t="str"/>
      <x:c r="H78" s="30" t="str"/>
      <x:c r="I78" s="30" t="str"/>
      <x:c r="J78" s="30" t="str"/>
      <x:c r="K78" s="30" t="str"/>
      <x:c r="L78" s="30" t="str"/>
      <x:c r="M78" s="30" t="str"/>
      <x:c r="N78" s="30" t="str"/>
      <x:c r="O78" s="30" t="str"/>
      <x:c r="P78" s="30" t="str"/>
      <x:c r="Q78" s="30" t="str"/>
      <x:c r="R78" s="30" t="str"/>
      <x:c r="S78" s="30" t="str"/>
      <x:c r="T78" s="30" t="str"/>
      <x:c r="U78" s="30" t="str"/>
      <x:c r="V78" s="30" t="str"/>
      <x:c r="W78" s="31" t="str"/>
    </x:row>
    <x:row r="79">
      <x:c r="A79" s="30" t="str">
        <x:f>IF(B79="","",B79&amp;"-"&amp;C79)</x:f>
      </x:c>
      <x:c r="B79" s="30" t="str">
        <x:f>'01_命例主档'!A20</x:f>
      </x:c>
      <x:c r="C79" s="30" t="str">
        <x:v>金</x:v>
      </x:c>
      <x:c r="D79" s="30" t="str"/>
      <x:c r="E79" s="30" t="str"/>
      <x:c r="F79" s="30" t="str"/>
      <x:c r="G79" s="30" t="str"/>
      <x:c r="H79" s="30" t="str"/>
      <x:c r="I79" s="30" t="str"/>
      <x:c r="J79" s="30" t="str"/>
      <x:c r="K79" s="30" t="str"/>
      <x:c r="L79" s="30" t="str"/>
      <x:c r="M79" s="30" t="str"/>
      <x:c r="N79" s="30" t="str"/>
      <x:c r="O79" s="30" t="str"/>
      <x:c r="P79" s="30" t="str"/>
      <x:c r="Q79" s="30" t="str"/>
      <x:c r="R79" s="30" t="str"/>
      <x:c r="S79" s="30" t="str"/>
      <x:c r="T79" s="30" t="str"/>
      <x:c r="U79" s="30" t="str"/>
      <x:c r="V79" s="30" t="str"/>
      <x:c r="W79" s="31" t="str"/>
    </x:row>
    <x:row r="80">
      <x:c r="A80" s="30" t="str">
        <x:f>IF(B80="","",B80&amp;"-"&amp;C80)</x:f>
      </x:c>
      <x:c r="B80" s="30" t="str">
        <x:f>'01_命例主档'!A20</x:f>
      </x:c>
      <x:c r="C80" s="30" t="str">
        <x:v>水</x:v>
      </x:c>
      <x:c r="D80" s="30" t="str"/>
      <x:c r="E80" s="30" t="str"/>
      <x:c r="F80" s="30" t="str"/>
      <x:c r="G80" s="30" t="str"/>
      <x:c r="H80" s="30" t="str"/>
      <x:c r="I80" s="30" t="str"/>
      <x:c r="J80" s="30" t="str"/>
      <x:c r="K80" s="30" t="str"/>
      <x:c r="L80" s="30" t="str"/>
      <x:c r="M80" s="30" t="str"/>
      <x:c r="N80" s="30" t="str"/>
      <x:c r="O80" s="30" t="str"/>
      <x:c r="P80" s="30" t="str"/>
      <x:c r="Q80" s="30" t="str"/>
      <x:c r="R80" s="30" t="str"/>
      <x:c r="S80" s="30" t="str"/>
      <x:c r="T80" s="30" t="str"/>
      <x:c r="U80" s="30" t="str"/>
      <x:c r="V80" s="30" t="str"/>
      <x:c r="W80" s="31" t="str"/>
    </x:row>
    <x:row r="81">
      <x:c r="A81" s="30" t="str">
        <x:f>IF(B81="","",B81&amp;"-"&amp;C81)</x:f>
      </x:c>
      <x:c r="B81" s="30" t="str">
        <x:f>'01_命例主档'!A21</x:f>
      </x:c>
      <x:c r="C81" s="30" t="str">
        <x:v>木</x:v>
      </x:c>
      <x:c r="D81" s="30" t="str"/>
      <x:c r="E81" s="30" t="str"/>
      <x:c r="F81" s="30" t="str"/>
      <x:c r="G81" s="30" t="str"/>
      <x:c r="H81" s="30" t="str"/>
      <x:c r="I81" s="30" t="str"/>
      <x:c r="J81" s="30" t="str"/>
      <x:c r="K81" s="30" t="str"/>
      <x:c r="L81" s="30" t="str"/>
      <x:c r="M81" s="30" t="str"/>
      <x:c r="N81" s="30" t="str"/>
      <x:c r="O81" s="30" t="str"/>
      <x:c r="P81" s="30" t="str"/>
      <x:c r="Q81" s="30" t="str"/>
      <x:c r="R81" s="30" t="str"/>
      <x:c r="S81" s="30" t="str"/>
      <x:c r="T81" s="30" t="str"/>
      <x:c r="U81" s="30" t="str"/>
      <x:c r="V81" s="30" t="str"/>
      <x:c r="W81" s="31" t="str"/>
    </x:row>
    <x:row r="82">
      <x:c r="A82" s="30" t="str">
        <x:f>IF(B82="","",B82&amp;"-"&amp;C82)</x:f>
      </x:c>
      <x:c r="B82" s="30" t="str">
        <x:f>'01_命例主档'!A21</x:f>
      </x:c>
      <x:c r="C82" s="30" t="str">
        <x:v>火</x:v>
      </x:c>
      <x:c r="D82" s="30" t="str"/>
      <x:c r="E82" s="30" t="str"/>
      <x:c r="F82" s="30" t="str"/>
      <x:c r="G82" s="30" t="str"/>
      <x:c r="H82" s="30" t="str"/>
      <x:c r="I82" s="30" t="str"/>
      <x:c r="J82" s="30" t="str"/>
      <x:c r="K82" s="30" t="str"/>
      <x:c r="L82" s="30" t="str"/>
      <x:c r="M82" s="30" t="str"/>
      <x:c r="N82" s="30" t="str"/>
      <x:c r="O82" s="30" t="str"/>
      <x:c r="P82" s="30" t="str"/>
      <x:c r="Q82" s="30" t="str"/>
      <x:c r="R82" s="30" t="str"/>
      <x:c r="S82" s="30" t="str"/>
      <x:c r="T82" s="30" t="str"/>
      <x:c r="U82" s="30" t="str"/>
      <x:c r="V82" s="30" t="str"/>
      <x:c r="W82" s="31" t="str"/>
    </x:row>
    <x:row r="83">
      <x:c r="A83" s="30" t="str">
        <x:f>IF(B83="","",B83&amp;"-"&amp;C83)</x:f>
      </x:c>
      <x:c r="B83" s="30" t="str">
        <x:f>'01_命例主档'!A21</x:f>
      </x:c>
      <x:c r="C83" s="30" t="str">
        <x:v>土</x:v>
      </x:c>
      <x:c r="D83" s="30" t="str"/>
      <x:c r="E83" s="30" t="str"/>
      <x:c r="F83" s="30" t="str"/>
      <x:c r="G83" s="30" t="str"/>
      <x:c r="H83" s="30" t="str"/>
      <x:c r="I83" s="30" t="str"/>
      <x:c r="J83" s="30" t="str"/>
      <x:c r="K83" s="30" t="str"/>
      <x:c r="L83" s="30" t="str"/>
      <x:c r="M83" s="30" t="str"/>
      <x:c r="N83" s="30" t="str"/>
      <x:c r="O83" s="30" t="str"/>
      <x:c r="P83" s="30" t="str"/>
      <x:c r="Q83" s="30" t="str"/>
      <x:c r="R83" s="30" t="str"/>
      <x:c r="S83" s="30" t="str"/>
      <x:c r="T83" s="30" t="str"/>
      <x:c r="U83" s="30" t="str"/>
      <x:c r="V83" s="30" t="str"/>
      <x:c r="W83" s="31" t="str"/>
    </x:row>
    <x:row r="84">
      <x:c r="A84" s="30" t="str">
        <x:f>IF(B84="","",B84&amp;"-"&amp;C84)</x:f>
      </x:c>
      <x:c r="B84" s="30" t="str">
        <x:f>'01_命例主档'!A21</x:f>
      </x:c>
      <x:c r="C84" s="30" t="str">
        <x:v>金</x:v>
      </x:c>
      <x:c r="D84" s="30" t="str"/>
      <x:c r="E84" s="30" t="str"/>
      <x:c r="F84" s="30" t="str"/>
      <x:c r="G84" s="30" t="str"/>
      <x:c r="H84" s="30" t="str"/>
      <x:c r="I84" s="30" t="str"/>
      <x:c r="J84" s="30" t="str"/>
      <x:c r="K84" s="30" t="str"/>
      <x:c r="L84" s="30" t="str"/>
      <x:c r="M84" s="30" t="str"/>
      <x:c r="N84" s="30" t="str"/>
      <x:c r="O84" s="30" t="str"/>
      <x:c r="P84" s="30" t="str"/>
      <x:c r="Q84" s="30" t="str"/>
      <x:c r="R84" s="30" t="str"/>
      <x:c r="S84" s="30" t="str"/>
      <x:c r="T84" s="30" t="str"/>
      <x:c r="U84" s="30" t="str"/>
      <x:c r="V84" s="30" t="str"/>
      <x:c r="W84" s="31" t="str"/>
    </x:row>
    <x:row r="85">
      <x:c r="A85" s="30" t="str">
        <x:f>IF(B85="","",B85&amp;"-"&amp;C85)</x:f>
      </x:c>
      <x:c r="B85" s="30" t="str">
        <x:f>'01_命例主档'!A21</x:f>
      </x:c>
      <x:c r="C85" s="30" t="str">
        <x:v>水</x:v>
      </x:c>
      <x:c r="D85" s="30" t="str"/>
      <x:c r="E85" s="30" t="str"/>
      <x:c r="F85" s="30" t="str"/>
      <x:c r="G85" s="30" t="str"/>
      <x:c r="H85" s="30" t="str"/>
      <x:c r="I85" s="30" t="str"/>
      <x:c r="J85" s="30" t="str"/>
      <x:c r="K85" s="30" t="str"/>
      <x:c r="L85" s="30" t="str"/>
      <x:c r="M85" s="30" t="str"/>
      <x:c r="N85" s="30" t="str"/>
      <x:c r="O85" s="30" t="str"/>
      <x:c r="P85" s="30" t="str"/>
      <x:c r="Q85" s="30" t="str"/>
      <x:c r="R85" s="30" t="str"/>
      <x:c r="S85" s="30" t="str"/>
      <x:c r="T85" s="30" t="str"/>
      <x:c r="U85" s="30" t="str"/>
      <x:c r="V85" s="30" t="str"/>
      <x:c r="W85" s="31" t="str"/>
    </x:row>
    <x:row r="86">
      <x:c r="A86" s="30" t="str">
        <x:f>IF(B86="","",B86&amp;"-"&amp;C86)</x:f>
      </x:c>
      <x:c r="B86" s="30" t="str">
        <x:f>'01_命例主档'!A22</x:f>
      </x:c>
      <x:c r="C86" s="30" t="str">
        <x:v>木</x:v>
      </x:c>
      <x:c r="D86" s="30" t="str"/>
      <x:c r="E86" s="30" t="str"/>
      <x:c r="F86" s="30" t="str"/>
      <x:c r="G86" s="30" t="str"/>
      <x:c r="H86" s="30" t="str"/>
      <x:c r="I86" s="30" t="str"/>
      <x:c r="J86" s="30" t="str"/>
      <x:c r="K86" s="30" t="str"/>
      <x:c r="L86" s="30" t="str"/>
      <x:c r="M86" s="30" t="str"/>
      <x:c r="N86" s="30" t="str"/>
      <x:c r="O86" s="30" t="str"/>
      <x:c r="P86" s="30" t="str"/>
      <x:c r="Q86" s="30" t="str"/>
      <x:c r="R86" s="30" t="str"/>
      <x:c r="S86" s="30" t="str"/>
      <x:c r="T86" s="30" t="str"/>
      <x:c r="U86" s="30" t="str"/>
      <x:c r="V86" s="30" t="str"/>
      <x:c r="W86" s="31" t="str"/>
    </x:row>
    <x:row r="87">
      <x:c r="A87" s="30" t="str">
        <x:f>IF(B87="","",B87&amp;"-"&amp;C87)</x:f>
      </x:c>
      <x:c r="B87" s="30" t="str">
        <x:f>'01_命例主档'!A22</x:f>
      </x:c>
      <x:c r="C87" s="30" t="str">
        <x:v>火</x:v>
      </x:c>
      <x:c r="D87" s="30" t="str"/>
      <x:c r="E87" s="30" t="str"/>
      <x:c r="F87" s="30" t="str"/>
      <x:c r="G87" s="30" t="str"/>
      <x:c r="H87" s="30" t="str"/>
      <x:c r="I87" s="30" t="str"/>
      <x:c r="J87" s="30" t="str"/>
      <x:c r="K87" s="30" t="str"/>
      <x:c r="L87" s="30" t="str"/>
      <x:c r="M87" s="30" t="str"/>
      <x:c r="N87" s="30" t="str"/>
      <x:c r="O87" s="30" t="str"/>
      <x:c r="P87" s="30" t="str"/>
      <x:c r="Q87" s="30" t="str"/>
      <x:c r="R87" s="30" t="str"/>
      <x:c r="S87" s="30" t="str"/>
      <x:c r="T87" s="30" t="str"/>
      <x:c r="U87" s="30" t="str"/>
      <x:c r="V87" s="30" t="str"/>
      <x:c r="W87" s="31" t="str"/>
    </x:row>
    <x:row r="88">
      <x:c r="A88" s="30" t="str">
        <x:f>IF(B88="","",B88&amp;"-"&amp;C88)</x:f>
      </x:c>
      <x:c r="B88" s="30" t="str">
        <x:f>'01_命例主档'!A22</x:f>
      </x:c>
      <x:c r="C88" s="30" t="str">
        <x:v>土</x:v>
      </x:c>
      <x:c r="D88" s="30" t="str"/>
      <x:c r="E88" s="30" t="str"/>
      <x:c r="F88" s="30" t="str"/>
      <x:c r="G88" s="30" t="str"/>
      <x:c r="H88" s="30" t="str"/>
      <x:c r="I88" s="30" t="str"/>
      <x:c r="J88" s="30" t="str"/>
      <x:c r="K88" s="30" t="str"/>
      <x:c r="L88" s="30" t="str"/>
      <x:c r="M88" s="30" t="str"/>
      <x:c r="N88" s="30" t="str"/>
      <x:c r="O88" s="30" t="str"/>
      <x:c r="P88" s="30" t="str"/>
      <x:c r="Q88" s="30" t="str"/>
      <x:c r="R88" s="30" t="str"/>
      <x:c r="S88" s="30" t="str"/>
      <x:c r="T88" s="30" t="str"/>
      <x:c r="U88" s="30" t="str"/>
      <x:c r="V88" s="30" t="str"/>
      <x:c r="W88" s="31" t="str"/>
    </x:row>
    <x:row r="89">
      <x:c r="A89" s="30" t="str">
        <x:f>IF(B89="","",B89&amp;"-"&amp;C89)</x:f>
      </x:c>
      <x:c r="B89" s="30" t="str">
        <x:f>'01_命例主档'!A22</x:f>
      </x:c>
      <x:c r="C89" s="30" t="str">
        <x:v>金</x:v>
      </x:c>
      <x:c r="D89" s="30" t="str"/>
      <x:c r="E89" s="30" t="str"/>
      <x:c r="F89" s="30" t="str"/>
      <x:c r="G89" s="30" t="str"/>
      <x:c r="H89" s="30" t="str"/>
      <x:c r="I89" s="30" t="str"/>
      <x:c r="J89" s="30" t="str"/>
      <x:c r="K89" s="30" t="str"/>
      <x:c r="L89" s="30" t="str"/>
      <x:c r="M89" s="30" t="str"/>
      <x:c r="N89" s="30" t="str"/>
      <x:c r="O89" s="30" t="str"/>
      <x:c r="P89" s="30" t="str"/>
      <x:c r="Q89" s="30" t="str"/>
      <x:c r="R89" s="30" t="str"/>
      <x:c r="S89" s="30" t="str"/>
      <x:c r="T89" s="30" t="str"/>
      <x:c r="U89" s="30" t="str"/>
      <x:c r="V89" s="30" t="str"/>
      <x:c r="W89" s="31" t="str"/>
    </x:row>
    <x:row r="90">
      <x:c r="A90" s="30" t="str">
        <x:f>IF(B90="","",B90&amp;"-"&amp;C90)</x:f>
      </x:c>
      <x:c r="B90" s="30" t="str">
        <x:f>'01_命例主档'!A22</x:f>
      </x:c>
      <x:c r="C90" s="30" t="str">
        <x:v>水</x:v>
      </x:c>
      <x:c r="D90" s="30" t="str"/>
      <x:c r="E90" s="30" t="str"/>
      <x:c r="F90" s="30" t="str"/>
      <x:c r="G90" s="30" t="str"/>
      <x:c r="H90" s="30" t="str"/>
      <x:c r="I90" s="30" t="str"/>
      <x:c r="J90" s="30" t="str"/>
      <x:c r="K90" s="30" t="str"/>
      <x:c r="L90" s="30" t="str"/>
      <x:c r="M90" s="30" t="str"/>
      <x:c r="N90" s="30" t="str"/>
      <x:c r="O90" s="30" t="str"/>
      <x:c r="P90" s="30" t="str"/>
      <x:c r="Q90" s="30" t="str"/>
      <x:c r="R90" s="30" t="str"/>
      <x:c r="S90" s="30" t="str"/>
      <x:c r="T90" s="30" t="str"/>
      <x:c r="U90" s="30" t="str"/>
      <x:c r="V90" s="30" t="str"/>
      <x:c r="W90" s="31" t="str"/>
    </x:row>
    <x:row r="91">
      <x:c r="A91" s="30" t="str">
        <x:f>IF(B91="","",B91&amp;"-"&amp;C91)</x:f>
      </x:c>
      <x:c r="B91" s="30" t="str">
        <x:f>'01_命例主档'!A23</x:f>
      </x:c>
      <x:c r="C91" s="30" t="str">
        <x:v>木</x:v>
      </x:c>
      <x:c r="D91" s="30" t="str"/>
      <x:c r="E91" s="30" t="str"/>
      <x:c r="F91" s="30" t="str"/>
      <x:c r="G91" s="30" t="str"/>
      <x:c r="H91" s="30" t="str"/>
      <x:c r="I91" s="30" t="str"/>
      <x:c r="J91" s="30" t="str"/>
      <x:c r="K91" s="30" t="str"/>
      <x:c r="L91" s="30" t="str"/>
      <x:c r="M91" s="30" t="str"/>
      <x:c r="N91" s="30" t="str"/>
      <x:c r="O91" s="30" t="str"/>
      <x:c r="P91" s="30" t="str"/>
      <x:c r="Q91" s="30" t="str"/>
      <x:c r="R91" s="30" t="str"/>
      <x:c r="S91" s="30" t="str"/>
      <x:c r="T91" s="30" t="str"/>
      <x:c r="U91" s="30" t="str"/>
      <x:c r="V91" s="30" t="str"/>
      <x:c r="W91" s="31" t="str"/>
    </x:row>
    <x:row r="92">
      <x:c r="A92" s="30" t="str">
        <x:f>IF(B92="","",B92&amp;"-"&amp;C92)</x:f>
      </x:c>
      <x:c r="B92" s="30" t="str">
        <x:f>'01_命例主档'!A23</x:f>
      </x:c>
      <x:c r="C92" s="30" t="str">
        <x:v>火</x:v>
      </x:c>
      <x:c r="D92" s="30" t="str"/>
      <x:c r="E92" s="30" t="str"/>
      <x:c r="F92" s="30" t="str"/>
      <x:c r="G92" s="30" t="str"/>
      <x:c r="H92" s="30" t="str"/>
      <x:c r="I92" s="30" t="str"/>
      <x:c r="J92" s="30" t="str"/>
      <x:c r="K92" s="30" t="str"/>
      <x:c r="L92" s="30" t="str"/>
      <x:c r="M92" s="30" t="str"/>
      <x:c r="N92" s="30" t="str"/>
      <x:c r="O92" s="30" t="str"/>
      <x:c r="P92" s="30" t="str"/>
      <x:c r="Q92" s="30" t="str"/>
      <x:c r="R92" s="30" t="str"/>
      <x:c r="S92" s="30" t="str"/>
      <x:c r="T92" s="30" t="str"/>
      <x:c r="U92" s="30" t="str"/>
      <x:c r="V92" s="30" t="str"/>
      <x:c r="W92" s="31" t="str"/>
    </x:row>
    <x:row r="93">
      <x:c r="A93" s="30" t="str">
        <x:f>IF(B93="","",B93&amp;"-"&amp;C93)</x:f>
      </x:c>
      <x:c r="B93" s="30" t="str">
        <x:f>'01_命例主档'!A23</x:f>
      </x:c>
      <x:c r="C93" s="30" t="str">
        <x:v>土</x:v>
      </x:c>
      <x:c r="D93" s="30" t="str"/>
      <x:c r="E93" s="30" t="str"/>
      <x:c r="F93" s="30" t="str"/>
      <x:c r="G93" s="30" t="str"/>
      <x:c r="H93" s="30" t="str"/>
      <x:c r="I93" s="30" t="str"/>
      <x:c r="J93" s="30" t="str"/>
      <x:c r="K93" s="30" t="str"/>
      <x:c r="L93" s="30" t="str"/>
      <x:c r="M93" s="30" t="str"/>
      <x:c r="N93" s="30" t="str"/>
      <x:c r="O93" s="30" t="str"/>
      <x:c r="P93" s="30" t="str"/>
      <x:c r="Q93" s="30" t="str"/>
      <x:c r="R93" s="30" t="str"/>
      <x:c r="S93" s="30" t="str"/>
      <x:c r="T93" s="30" t="str"/>
      <x:c r="U93" s="30" t="str"/>
      <x:c r="V93" s="30" t="str"/>
      <x:c r="W93" s="31" t="str"/>
    </x:row>
    <x:row r="94">
      <x:c r="A94" s="30" t="str">
        <x:f>IF(B94="","",B94&amp;"-"&amp;C94)</x:f>
      </x:c>
      <x:c r="B94" s="30" t="str">
        <x:f>'01_命例主档'!A23</x:f>
      </x:c>
      <x:c r="C94" s="30" t="str">
        <x:v>金</x:v>
      </x:c>
      <x:c r="D94" s="30" t="str"/>
      <x:c r="E94" s="30" t="str"/>
      <x:c r="F94" s="30" t="str"/>
      <x:c r="G94" s="30" t="str"/>
      <x:c r="H94" s="30" t="str"/>
      <x:c r="I94" s="30" t="str"/>
      <x:c r="J94" s="30" t="str"/>
      <x:c r="K94" s="30" t="str"/>
      <x:c r="L94" s="30" t="str"/>
      <x:c r="M94" s="30" t="str"/>
      <x:c r="N94" s="30" t="str"/>
      <x:c r="O94" s="30" t="str"/>
      <x:c r="P94" s="30" t="str"/>
      <x:c r="Q94" s="30" t="str"/>
      <x:c r="R94" s="30" t="str"/>
      <x:c r="S94" s="30" t="str"/>
      <x:c r="T94" s="30" t="str"/>
      <x:c r="U94" s="30" t="str"/>
      <x:c r="V94" s="30" t="str"/>
      <x:c r="W94" s="31" t="str"/>
    </x:row>
    <x:row r="95">
      <x:c r="A95" s="30" t="str">
        <x:f>IF(B95="","",B95&amp;"-"&amp;C95)</x:f>
      </x:c>
      <x:c r="B95" s="30" t="str">
        <x:f>'01_命例主档'!A23</x:f>
      </x:c>
      <x:c r="C95" s="30" t="str">
        <x:v>水</x:v>
      </x:c>
      <x:c r="D95" s="30" t="str"/>
      <x:c r="E95" s="30" t="str"/>
      <x:c r="F95" s="30" t="str"/>
      <x:c r="G95" s="30" t="str"/>
      <x:c r="H95" s="30" t="str"/>
      <x:c r="I95" s="30" t="str"/>
      <x:c r="J95" s="30" t="str"/>
      <x:c r="K95" s="30" t="str"/>
      <x:c r="L95" s="30" t="str"/>
      <x:c r="M95" s="30" t="str"/>
      <x:c r="N95" s="30" t="str"/>
      <x:c r="O95" s="30" t="str"/>
      <x:c r="P95" s="30" t="str"/>
      <x:c r="Q95" s="30" t="str"/>
      <x:c r="R95" s="30" t="str"/>
      <x:c r="S95" s="30" t="str"/>
      <x:c r="T95" s="30" t="str"/>
      <x:c r="U95" s="30" t="str"/>
      <x:c r="V95" s="30" t="str"/>
      <x:c r="W95" s="31" t="str"/>
    </x:row>
    <x:row r="96">
      <x:c r="A96" s="30" t="str">
        <x:f>IF(B96="","",B96&amp;"-"&amp;C96)</x:f>
      </x:c>
      <x:c r="B96" s="30" t="str">
        <x:f>'01_命例主档'!A24</x:f>
      </x:c>
      <x:c r="C96" s="30" t="str">
        <x:v>木</x:v>
      </x:c>
      <x:c r="D96" s="30" t="str"/>
      <x:c r="E96" s="30" t="str"/>
      <x:c r="F96" s="30" t="str"/>
      <x:c r="G96" s="30" t="str"/>
      <x:c r="H96" s="30" t="str"/>
      <x:c r="I96" s="30" t="str"/>
      <x:c r="J96" s="30" t="str"/>
      <x:c r="K96" s="30" t="str"/>
      <x:c r="L96" s="30" t="str"/>
      <x:c r="M96" s="30" t="str"/>
      <x:c r="N96" s="30" t="str"/>
      <x:c r="O96" s="30" t="str"/>
      <x:c r="P96" s="30" t="str"/>
      <x:c r="Q96" s="30" t="str"/>
      <x:c r="R96" s="30" t="str"/>
      <x:c r="S96" s="30" t="str"/>
      <x:c r="T96" s="30" t="str"/>
      <x:c r="U96" s="30" t="str"/>
      <x:c r="V96" s="30" t="str"/>
      <x:c r="W96" s="31" t="str"/>
    </x:row>
    <x:row r="97">
      <x:c r="A97" s="30" t="str">
        <x:f>IF(B97="","",B97&amp;"-"&amp;C97)</x:f>
      </x:c>
      <x:c r="B97" s="30" t="str">
        <x:f>'01_命例主档'!A24</x:f>
      </x:c>
      <x:c r="C97" s="30" t="str">
        <x:v>火</x:v>
      </x:c>
      <x:c r="D97" s="30" t="str"/>
      <x:c r="E97" s="30" t="str"/>
      <x:c r="F97" s="30" t="str"/>
      <x:c r="G97" s="30" t="str"/>
      <x:c r="H97" s="30" t="str"/>
      <x:c r="I97" s="30" t="str"/>
      <x:c r="J97" s="30" t="str"/>
      <x:c r="K97" s="30" t="str"/>
      <x:c r="L97" s="30" t="str"/>
      <x:c r="M97" s="30" t="str"/>
      <x:c r="N97" s="30" t="str"/>
      <x:c r="O97" s="30" t="str"/>
      <x:c r="P97" s="30" t="str"/>
      <x:c r="Q97" s="30" t="str"/>
      <x:c r="R97" s="30" t="str"/>
      <x:c r="S97" s="30" t="str"/>
      <x:c r="T97" s="30" t="str"/>
      <x:c r="U97" s="30" t="str"/>
      <x:c r="V97" s="30" t="str"/>
      <x:c r="W97" s="31" t="str"/>
    </x:row>
    <x:row r="98">
      <x:c r="A98" s="30" t="str">
        <x:f>IF(B98="","",B98&amp;"-"&amp;C98)</x:f>
      </x:c>
      <x:c r="B98" s="30" t="str">
        <x:f>'01_命例主档'!A24</x:f>
      </x:c>
      <x:c r="C98" s="30" t="str">
        <x:v>土</x:v>
      </x:c>
      <x:c r="D98" s="30" t="str"/>
      <x:c r="E98" s="30" t="str"/>
      <x:c r="F98" s="30" t="str"/>
      <x:c r="G98" s="30" t="str"/>
      <x:c r="H98" s="30" t="str"/>
      <x:c r="I98" s="30" t="str"/>
      <x:c r="J98" s="30" t="str"/>
      <x:c r="K98" s="30" t="str"/>
      <x:c r="L98" s="30" t="str"/>
      <x:c r="M98" s="30" t="str"/>
      <x:c r="N98" s="30" t="str"/>
      <x:c r="O98" s="30" t="str"/>
      <x:c r="P98" s="30" t="str"/>
      <x:c r="Q98" s="30" t="str"/>
      <x:c r="R98" s="30" t="str"/>
      <x:c r="S98" s="30" t="str"/>
      <x:c r="T98" s="30" t="str"/>
      <x:c r="U98" s="30" t="str"/>
      <x:c r="V98" s="30" t="str"/>
      <x:c r="W98" s="31" t="str"/>
    </x:row>
    <x:row r="99">
      <x:c r="A99" s="30" t="str">
        <x:f>IF(B99="","",B99&amp;"-"&amp;C99)</x:f>
      </x:c>
      <x:c r="B99" s="30" t="str">
        <x:f>'01_命例主档'!A24</x:f>
      </x:c>
      <x:c r="C99" s="30" t="str">
        <x:v>金</x:v>
      </x:c>
      <x:c r="D99" s="30" t="str"/>
      <x:c r="E99" s="30" t="str"/>
      <x:c r="F99" s="30" t="str"/>
      <x:c r="G99" s="30" t="str"/>
      <x:c r="H99" s="30" t="str"/>
      <x:c r="I99" s="30" t="str"/>
      <x:c r="J99" s="30" t="str"/>
      <x:c r="K99" s="30" t="str"/>
      <x:c r="L99" s="30" t="str"/>
      <x:c r="M99" s="30" t="str"/>
      <x:c r="N99" s="30" t="str"/>
      <x:c r="O99" s="30" t="str"/>
      <x:c r="P99" s="30" t="str"/>
      <x:c r="Q99" s="30" t="str"/>
      <x:c r="R99" s="30" t="str"/>
      <x:c r="S99" s="30" t="str"/>
      <x:c r="T99" s="30" t="str"/>
      <x:c r="U99" s="30" t="str"/>
      <x:c r="V99" s="30" t="str"/>
      <x:c r="W99" s="31" t="str"/>
    </x:row>
    <x:row r="100">
      <x:c r="A100" s="30" t="str">
        <x:f>IF(B100="","",B100&amp;"-"&amp;C100)</x:f>
      </x:c>
      <x:c r="B100" s="30" t="str">
        <x:f>'01_命例主档'!A24</x:f>
      </x:c>
      <x:c r="C100" s="30" t="str">
        <x:v>水</x:v>
      </x:c>
      <x:c r="D100" s="30" t="str"/>
      <x:c r="E100" s="30" t="str"/>
      <x:c r="F100" s="30" t="str"/>
      <x:c r="G100" s="30" t="str"/>
      <x:c r="H100" s="30" t="str"/>
      <x:c r="I100" s="30" t="str"/>
      <x:c r="J100" s="30" t="str"/>
      <x:c r="K100" s="30" t="str"/>
      <x:c r="L100" s="30" t="str"/>
      <x:c r="M100" s="30" t="str"/>
      <x:c r="N100" s="30" t="str"/>
      <x:c r="O100" s="30" t="str"/>
      <x:c r="P100" s="30" t="str"/>
      <x:c r="Q100" s="30" t="str"/>
      <x:c r="R100" s="30" t="str"/>
      <x:c r="S100" s="30" t="str"/>
      <x:c r="T100" s="30" t="str"/>
      <x:c r="U100" s="30" t="str"/>
      <x:c r="V100" s="30" t="str"/>
      <x:c r="W100" s="31" t="str"/>
    </x:row>
    <x:row r="101">
      <x:c r="A101" s="30" t="str">
        <x:f>IF(B101="","",B101&amp;"-"&amp;C101)</x:f>
      </x:c>
      <x:c r="B101" s="30" t="str">
        <x:f>'01_命例主档'!A25</x:f>
      </x:c>
      <x:c r="C101" s="30" t="str">
        <x:v>木</x:v>
      </x:c>
      <x:c r="D101" s="30" t="str"/>
      <x:c r="E101" s="30" t="str"/>
      <x:c r="F101" s="30" t="str"/>
      <x:c r="G101" s="30" t="str"/>
      <x:c r="H101" s="30" t="str"/>
      <x:c r="I101" s="30" t="str"/>
      <x:c r="J101" s="30" t="str"/>
      <x:c r="K101" s="30" t="str"/>
      <x:c r="L101" s="30" t="str"/>
      <x:c r="M101" s="30" t="str"/>
      <x:c r="N101" s="30" t="str"/>
      <x:c r="O101" s="30" t="str"/>
      <x:c r="P101" s="30" t="str"/>
      <x:c r="Q101" s="30" t="str"/>
      <x:c r="R101" s="30" t="str"/>
      <x:c r="S101" s="30" t="str"/>
      <x:c r="T101" s="30" t="str"/>
      <x:c r="U101" s="30" t="str"/>
      <x:c r="V101" s="30" t="str"/>
      <x:c r="W101" s="31" t="str"/>
    </x:row>
    <x:row r="102">
      <x:c r="A102" s="30" t="str">
        <x:f>IF(B102="","",B102&amp;"-"&amp;C102)</x:f>
      </x:c>
      <x:c r="B102" s="30" t="str">
        <x:f>'01_命例主档'!A25</x:f>
      </x:c>
      <x:c r="C102" s="30" t="str">
        <x:v>火</x:v>
      </x:c>
      <x:c r="D102" s="30" t="str"/>
      <x:c r="E102" s="30" t="str"/>
      <x:c r="F102" s="30" t="str"/>
      <x:c r="G102" s="30" t="str"/>
      <x:c r="H102" s="30" t="str"/>
      <x:c r="I102" s="30" t="str"/>
      <x:c r="J102" s="30" t="str"/>
      <x:c r="K102" s="30" t="str"/>
      <x:c r="L102" s="30" t="str"/>
      <x:c r="M102" s="30" t="str"/>
      <x:c r="N102" s="30" t="str"/>
      <x:c r="O102" s="30" t="str"/>
      <x:c r="P102" s="30" t="str"/>
      <x:c r="Q102" s="30" t="str"/>
      <x:c r="R102" s="30" t="str"/>
      <x:c r="S102" s="30" t="str"/>
      <x:c r="T102" s="30" t="str"/>
      <x:c r="U102" s="30" t="str"/>
      <x:c r="V102" s="30" t="str"/>
      <x:c r="W102" s="31" t="str"/>
    </x:row>
    <x:row r="103">
      <x:c r="A103" s="30" t="str">
        <x:f>IF(B103="","",B103&amp;"-"&amp;C103)</x:f>
      </x:c>
      <x:c r="B103" s="30" t="str">
        <x:f>'01_命例主档'!A25</x:f>
      </x:c>
      <x:c r="C103" s="30" t="str">
        <x:v>土</x:v>
      </x:c>
      <x:c r="D103" s="30" t="str"/>
      <x:c r="E103" s="30" t="str"/>
      <x:c r="F103" s="30" t="str"/>
      <x:c r="G103" s="30" t="str"/>
      <x:c r="H103" s="30" t="str"/>
      <x:c r="I103" s="30" t="str"/>
      <x:c r="J103" s="30" t="str"/>
      <x:c r="K103" s="30" t="str"/>
      <x:c r="L103" s="30" t="str"/>
      <x:c r="M103" s="30" t="str"/>
      <x:c r="N103" s="30" t="str"/>
      <x:c r="O103" s="30" t="str"/>
      <x:c r="P103" s="30" t="str"/>
      <x:c r="Q103" s="30" t="str"/>
      <x:c r="R103" s="30" t="str"/>
      <x:c r="S103" s="30" t="str"/>
      <x:c r="T103" s="30" t="str"/>
      <x:c r="U103" s="30" t="str"/>
      <x:c r="V103" s="30" t="str"/>
      <x:c r="W103" s="31" t="str"/>
    </x:row>
    <x:row r="104">
      <x:c r="A104" s="30" t="str">
        <x:f>IF(B104="","",B104&amp;"-"&amp;C104)</x:f>
      </x:c>
      <x:c r="B104" s="30" t="str">
        <x:f>'01_命例主档'!A25</x:f>
      </x:c>
      <x:c r="C104" s="30" t="str">
        <x:v>金</x:v>
      </x:c>
      <x:c r="D104" s="30" t="str"/>
      <x:c r="E104" s="30" t="str"/>
      <x:c r="F104" s="30" t="str"/>
      <x:c r="G104" s="30" t="str"/>
      <x:c r="H104" s="30" t="str"/>
      <x:c r="I104" s="30" t="str"/>
      <x:c r="J104" s="30" t="str"/>
      <x:c r="K104" s="30" t="str"/>
      <x:c r="L104" s="30" t="str"/>
      <x:c r="M104" s="30" t="str"/>
      <x:c r="N104" s="30" t="str"/>
      <x:c r="O104" s="30" t="str"/>
      <x:c r="P104" s="30" t="str"/>
      <x:c r="Q104" s="30" t="str"/>
      <x:c r="R104" s="30" t="str"/>
      <x:c r="S104" s="30" t="str"/>
      <x:c r="T104" s="30" t="str"/>
      <x:c r="U104" s="30" t="str"/>
      <x:c r="V104" s="30" t="str"/>
      <x:c r="W104" s="31" t="str"/>
    </x:row>
    <x:row r="105">
      <x:c r="A105" s="30" t="str">
        <x:f>IF(B105="","",B105&amp;"-"&amp;C105)</x:f>
      </x:c>
      <x:c r="B105" s="30" t="str">
        <x:f>'01_命例主档'!A25</x:f>
      </x:c>
      <x:c r="C105" s="30" t="str">
        <x:v>水</x:v>
      </x:c>
      <x:c r="D105" s="30" t="str"/>
      <x:c r="E105" s="30" t="str"/>
      <x:c r="F105" s="30" t="str"/>
      <x:c r="G105" s="30" t="str"/>
      <x:c r="H105" s="30" t="str"/>
      <x:c r="I105" s="30" t="str"/>
      <x:c r="J105" s="30" t="str"/>
      <x:c r="K105" s="30" t="str"/>
      <x:c r="L105" s="30" t="str"/>
      <x:c r="M105" s="30" t="str"/>
      <x:c r="N105" s="30" t="str"/>
      <x:c r="O105" s="30" t="str"/>
      <x:c r="P105" s="30" t="str"/>
      <x:c r="Q105" s="30" t="str"/>
      <x:c r="R105" s="30" t="str"/>
      <x:c r="S105" s="30" t="str"/>
      <x:c r="T105" s="30" t="str"/>
      <x:c r="U105" s="30" t="str"/>
      <x:c r="V105" s="30" t="str"/>
      <x:c r="W105" s="31" t="str"/>
    </x:row>
    <x:row r="106">
      <x:c r="A106" s="30" t="str">
        <x:f>IF(B106="","",B106&amp;"-"&amp;C106)</x:f>
      </x:c>
      <x:c r="B106" s="30" t="str">
        <x:f>'01_命例主档'!A26</x:f>
      </x:c>
      <x:c r="C106" s="30" t="str">
        <x:v>木</x:v>
      </x:c>
      <x:c r="D106" s="30" t="str"/>
      <x:c r="E106" s="30" t="str"/>
      <x:c r="F106" s="30" t="str"/>
      <x:c r="G106" s="30" t="str"/>
      <x:c r="H106" s="30" t="str"/>
      <x:c r="I106" s="30" t="str"/>
      <x:c r="J106" s="30" t="str"/>
      <x:c r="K106" s="30" t="str"/>
      <x:c r="L106" s="30" t="str"/>
      <x:c r="M106" s="30" t="str"/>
      <x:c r="N106" s="30" t="str"/>
      <x:c r="O106" s="30" t="str"/>
      <x:c r="P106" s="30" t="str"/>
      <x:c r="Q106" s="30" t="str"/>
      <x:c r="R106" s="30" t="str"/>
      <x:c r="S106" s="30" t="str"/>
      <x:c r="T106" s="30" t="str"/>
      <x:c r="U106" s="30" t="str"/>
      <x:c r="V106" s="30" t="str"/>
      <x:c r="W106" s="31" t="str"/>
    </x:row>
    <x:row r="107">
      <x:c r="A107" s="30" t="str">
        <x:f>IF(B107="","",B107&amp;"-"&amp;C107)</x:f>
      </x:c>
      <x:c r="B107" s="30" t="str">
        <x:f>'01_命例主档'!A26</x:f>
      </x:c>
      <x:c r="C107" s="30" t="str">
        <x:v>火</x:v>
      </x:c>
      <x:c r="D107" s="30" t="str"/>
      <x:c r="E107" s="30" t="str"/>
      <x:c r="F107" s="30" t="str"/>
      <x:c r="G107" s="30" t="str"/>
      <x:c r="H107" s="30" t="str"/>
      <x:c r="I107" s="30" t="str"/>
      <x:c r="J107" s="30" t="str"/>
      <x:c r="K107" s="30" t="str"/>
      <x:c r="L107" s="30" t="str"/>
      <x:c r="M107" s="30" t="str"/>
      <x:c r="N107" s="30" t="str"/>
      <x:c r="O107" s="30" t="str"/>
      <x:c r="P107" s="30" t="str"/>
      <x:c r="Q107" s="30" t="str"/>
      <x:c r="R107" s="30" t="str"/>
      <x:c r="S107" s="30" t="str"/>
      <x:c r="T107" s="30" t="str"/>
      <x:c r="U107" s="30" t="str"/>
      <x:c r="V107" s="30" t="str"/>
      <x:c r="W107" s="31" t="str"/>
    </x:row>
    <x:row r="108">
      <x:c r="A108" s="30" t="str">
        <x:f>IF(B108="","",B108&amp;"-"&amp;C108)</x:f>
      </x:c>
      <x:c r="B108" s="30" t="str">
        <x:f>'01_命例主档'!A26</x:f>
      </x:c>
      <x:c r="C108" s="30" t="str">
        <x:v>土</x:v>
      </x:c>
      <x:c r="D108" s="30" t="str"/>
      <x:c r="E108" s="30" t="str"/>
      <x:c r="F108" s="30" t="str"/>
      <x:c r="G108" s="30" t="str"/>
      <x:c r="H108" s="30" t="str"/>
      <x:c r="I108" s="30" t="str"/>
      <x:c r="J108" s="30" t="str"/>
      <x:c r="K108" s="30" t="str"/>
      <x:c r="L108" s="30" t="str"/>
      <x:c r="M108" s="30" t="str"/>
      <x:c r="N108" s="30" t="str"/>
      <x:c r="O108" s="30" t="str"/>
      <x:c r="P108" s="30" t="str"/>
      <x:c r="Q108" s="30" t="str"/>
      <x:c r="R108" s="30" t="str"/>
      <x:c r="S108" s="30" t="str"/>
      <x:c r="T108" s="30" t="str"/>
      <x:c r="U108" s="30" t="str"/>
      <x:c r="V108" s="30" t="str"/>
      <x:c r="W108" s="31" t="str"/>
    </x:row>
    <x:row r="109">
      <x:c r="A109" s="30" t="str">
        <x:f>IF(B109="","",B109&amp;"-"&amp;C109)</x:f>
      </x:c>
      <x:c r="B109" s="30" t="str">
        <x:f>'01_命例主档'!A26</x:f>
      </x:c>
      <x:c r="C109" s="30" t="str">
        <x:v>金</x:v>
      </x:c>
      <x:c r="D109" s="30" t="str"/>
      <x:c r="E109" s="30" t="str"/>
      <x:c r="F109" s="30" t="str"/>
      <x:c r="G109" s="30" t="str"/>
      <x:c r="H109" s="30" t="str"/>
      <x:c r="I109" s="30" t="str"/>
      <x:c r="J109" s="30" t="str"/>
      <x:c r="K109" s="30" t="str"/>
      <x:c r="L109" s="30" t="str"/>
      <x:c r="M109" s="30" t="str"/>
      <x:c r="N109" s="30" t="str"/>
      <x:c r="O109" s="30" t="str"/>
      <x:c r="P109" s="30" t="str"/>
      <x:c r="Q109" s="30" t="str"/>
      <x:c r="R109" s="30" t="str"/>
      <x:c r="S109" s="30" t="str"/>
      <x:c r="T109" s="30" t="str"/>
      <x:c r="U109" s="30" t="str"/>
      <x:c r="V109" s="30" t="str"/>
      <x:c r="W109" s="31" t="str"/>
    </x:row>
    <x:row r="110">
      <x:c r="A110" s="30" t="str">
        <x:f>IF(B110="","",B110&amp;"-"&amp;C110)</x:f>
      </x:c>
      <x:c r="B110" s="30" t="str">
        <x:f>'01_命例主档'!A26</x:f>
      </x:c>
      <x:c r="C110" s="30" t="str">
        <x:v>水</x:v>
      </x:c>
      <x:c r="D110" s="30" t="str"/>
      <x:c r="E110" s="30" t="str"/>
      <x:c r="F110" s="30" t="str"/>
      <x:c r="G110" s="30" t="str"/>
      <x:c r="H110" s="30" t="str"/>
      <x:c r="I110" s="30" t="str"/>
      <x:c r="J110" s="30" t="str"/>
      <x:c r="K110" s="30" t="str"/>
      <x:c r="L110" s="30" t="str"/>
      <x:c r="M110" s="30" t="str"/>
      <x:c r="N110" s="30" t="str"/>
      <x:c r="O110" s="30" t="str"/>
      <x:c r="P110" s="30" t="str"/>
      <x:c r="Q110" s="30" t="str"/>
      <x:c r="R110" s="30" t="str"/>
      <x:c r="S110" s="30" t="str"/>
      <x:c r="T110" s="30" t="str"/>
      <x:c r="U110" s="30" t="str"/>
      <x:c r="V110" s="30" t="str"/>
      <x:c r="W110" s="31" t="str"/>
    </x:row>
    <x:row r="111">
      <x:c r="A111" s="30" t="str">
        <x:f>IF(B111="","",B111&amp;"-"&amp;C111)</x:f>
      </x:c>
      <x:c r="B111" s="30" t="str">
        <x:f>'01_命例主档'!A27</x:f>
      </x:c>
      <x:c r="C111" s="30" t="str">
        <x:v>木</x:v>
      </x:c>
      <x:c r="D111" s="30" t="str"/>
      <x:c r="E111" s="30" t="str"/>
      <x:c r="F111" s="30" t="str"/>
      <x:c r="G111" s="30" t="str"/>
      <x:c r="H111" s="30" t="str"/>
      <x:c r="I111" s="30" t="str"/>
      <x:c r="J111" s="30" t="str"/>
      <x:c r="K111" s="30" t="str"/>
      <x:c r="L111" s="30" t="str"/>
      <x:c r="M111" s="30" t="str"/>
      <x:c r="N111" s="30" t="str"/>
      <x:c r="O111" s="30" t="str"/>
      <x:c r="P111" s="30" t="str"/>
      <x:c r="Q111" s="30" t="str"/>
      <x:c r="R111" s="30" t="str"/>
      <x:c r="S111" s="30" t="str"/>
      <x:c r="T111" s="30" t="str"/>
      <x:c r="U111" s="30" t="str"/>
      <x:c r="V111" s="30" t="str"/>
      <x:c r="W111" s="31" t="str"/>
    </x:row>
    <x:row r="112">
      <x:c r="A112" s="30" t="str">
        <x:f>IF(B112="","",B112&amp;"-"&amp;C112)</x:f>
      </x:c>
      <x:c r="B112" s="30" t="str">
        <x:f>'01_命例主档'!A27</x:f>
      </x:c>
      <x:c r="C112" s="30" t="str">
        <x:v>火</x:v>
      </x:c>
      <x:c r="D112" s="30" t="str"/>
      <x:c r="E112" s="30" t="str"/>
      <x:c r="F112" s="30" t="str"/>
      <x:c r="G112" s="30" t="str"/>
      <x:c r="H112" s="30" t="str"/>
      <x:c r="I112" s="30" t="str"/>
      <x:c r="J112" s="30" t="str"/>
      <x:c r="K112" s="30" t="str"/>
      <x:c r="L112" s="30" t="str"/>
      <x:c r="M112" s="30" t="str"/>
      <x:c r="N112" s="30" t="str"/>
      <x:c r="O112" s="30" t="str"/>
      <x:c r="P112" s="30" t="str"/>
      <x:c r="Q112" s="30" t="str"/>
      <x:c r="R112" s="30" t="str"/>
      <x:c r="S112" s="30" t="str"/>
      <x:c r="T112" s="30" t="str"/>
      <x:c r="U112" s="30" t="str"/>
      <x:c r="V112" s="30" t="str"/>
      <x:c r="W112" s="31" t="str"/>
    </x:row>
    <x:row r="113">
      <x:c r="A113" s="30" t="str">
        <x:f>IF(B113="","",B113&amp;"-"&amp;C113)</x:f>
      </x:c>
      <x:c r="B113" s="30" t="str">
        <x:f>'01_命例主档'!A27</x:f>
      </x:c>
      <x:c r="C113" s="30" t="str">
        <x:v>土</x:v>
      </x:c>
      <x:c r="D113" s="30" t="str"/>
      <x:c r="E113" s="30" t="str"/>
      <x:c r="F113" s="30" t="str"/>
      <x:c r="G113" s="30" t="str"/>
      <x:c r="H113" s="30" t="str"/>
      <x:c r="I113" s="30" t="str"/>
      <x:c r="J113" s="30" t="str"/>
      <x:c r="K113" s="30" t="str"/>
      <x:c r="L113" s="30" t="str"/>
      <x:c r="M113" s="30" t="str"/>
      <x:c r="N113" s="30" t="str"/>
      <x:c r="O113" s="30" t="str"/>
      <x:c r="P113" s="30" t="str"/>
      <x:c r="Q113" s="30" t="str"/>
      <x:c r="R113" s="30" t="str"/>
      <x:c r="S113" s="30" t="str"/>
      <x:c r="T113" s="30" t="str"/>
      <x:c r="U113" s="30" t="str"/>
      <x:c r="V113" s="30" t="str"/>
      <x:c r="W113" s="31" t="str"/>
    </x:row>
    <x:row r="114">
      <x:c r="A114" s="30" t="str">
        <x:f>IF(B114="","",B114&amp;"-"&amp;C114)</x:f>
      </x:c>
      <x:c r="B114" s="30" t="str">
        <x:f>'01_命例主档'!A27</x:f>
      </x:c>
      <x:c r="C114" s="30" t="str">
        <x:v>金</x:v>
      </x:c>
      <x:c r="D114" s="30" t="str"/>
      <x:c r="E114" s="30" t="str"/>
      <x:c r="F114" s="30" t="str"/>
      <x:c r="G114" s="30" t="str"/>
      <x:c r="H114" s="30" t="str"/>
      <x:c r="I114" s="30" t="str"/>
      <x:c r="J114" s="30" t="str"/>
      <x:c r="K114" s="30" t="str"/>
      <x:c r="L114" s="30" t="str"/>
      <x:c r="M114" s="30" t="str"/>
      <x:c r="N114" s="30" t="str"/>
      <x:c r="O114" s="30" t="str"/>
      <x:c r="P114" s="30" t="str"/>
      <x:c r="Q114" s="30" t="str"/>
      <x:c r="R114" s="30" t="str"/>
      <x:c r="S114" s="30" t="str"/>
      <x:c r="T114" s="30" t="str"/>
      <x:c r="U114" s="30" t="str"/>
      <x:c r="V114" s="30" t="str"/>
      <x:c r="W114" s="31" t="str"/>
    </x:row>
    <x:row r="115">
      <x:c r="A115" s="30" t="str">
        <x:f>IF(B115="","",B115&amp;"-"&amp;C115)</x:f>
      </x:c>
      <x:c r="B115" s="30" t="str">
        <x:f>'01_命例主档'!A27</x:f>
      </x:c>
      <x:c r="C115" s="30" t="str">
        <x:v>水</x:v>
      </x:c>
      <x:c r="D115" s="30" t="str"/>
      <x:c r="E115" s="30" t="str"/>
      <x:c r="F115" s="30" t="str"/>
      <x:c r="G115" s="30" t="str"/>
      <x:c r="H115" s="30" t="str"/>
      <x:c r="I115" s="30" t="str"/>
      <x:c r="J115" s="30" t="str"/>
      <x:c r="K115" s="30" t="str"/>
      <x:c r="L115" s="30" t="str"/>
      <x:c r="M115" s="30" t="str"/>
      <x:c r="N115" s="30" t="str"/>
      <x:c r="O115" s="30" t="str"/>
      <x:c r="P115" s="30" t="str"/>
      <x:c r="Q115" s="30" t="str"/>
      <x:c r="R115" s="30" t="str"/>
      <x:c r="S115" s="30" t="str"/>
      <x:c r="T115" s="30" t="str"/>
      <x:c r="U115" s="30" t="str"/>
      <x:c r="V115" s="30" t="str"/>
      <x:c r="W115" s="31" t="str"/>
    </x:row>
    <x:row r="116">
      <x:c r="A116" s="30" t="str">
        <x:f>IF(B116="","",B116&amp;"-"&amp;C116)</x:f>
      </x:c>
      <x:c r="B116" s="30" t="str">
        <x:f>'01_命例主档'!A28</x:f>
      </x:c>
      <x:c r="C116" s="30" t="str">
        <x:v>木</x:v>
      </x:c>
      <x:c r="D116" s="30" t="str"/>
      <x:c r="E116" s="30" t="str"/>
      <x:c r="F116" s="30" t="str"/>
      <x:c r="G116" s="30" t="str"/>
      <x:c r="H116" s="30" t="str"/>
      <x:c r="I116" s="30" t="str"/>
      <x:c r="J116" s="30" t="str"/>
      <x:c r="K116" s="30" t="str"/>
      <x:c r="L116" s="30" t="str"/>
      <x:c r="M116" s="30" t="str"/>
      <x:c r="N116" s="30" t="str"/>
      <x:c r="O116" s="30" t="str"/>
      <x:c r="P116" s="30" t="str"/>
      <x:c r="Q116" s="30" t="str"/>
      <x:c r="R116" s="30" t="str"/>
      <x:c r="S116" s="30" t="str"/>
      <x:c r="T116" s="30" t="str"/>
      <x:c r="U116" s="30" t="str"/>
      <x:c r="V116" s="30" t="str"/>
      <x:c r="W116" s="31" t="str"/>
    </x:row>
    <x:row r="117">
      <x:c r="A117" s="30" t="str">
        <x:f>IF(B117="","",B117&amp;"-"&amp;C117)</x:f>
      </x:c>
      <x:c r="B117" s="30" t="str">
        <x:f>'01_命例主档'!A28</x:f>
      </x:c>
      <x:c r="C117" s="30" t="str">
        <x:v>火</x:v>
      </x:c>
      <x:c r="D117" s="30" t="str"/>
      <x:c r="E117" s="30" t="str"/>
      <x:c r="F117" s="30" t="str"/>
      <x:c r="G117" s="30" t="str"/>
      <x:c r="H117" s="30" t="str"/>
      <x:c r="I117" s="30" t="str"/>
      <x:c r="J117" s="30" t="str"/>
      <x:c r="K117" s="30" t="str"/>
      <x:c r="L117" s="30" t="str"/>
      <x:c r="M117" s="30" t="str"/>
      <x:c r="N117" s="30" t="str"/>
      <x:c r="O117" s="30" t="str"/>
      <x:c r="P117" s="30" t="str"/>
      <x:c r="Q117" s="30" t="str"/>
      <x:c r="R117" s="30" t="str"/>
      <x:c r="S117" s="30" t="str"/>
      <x:c r="T117" s="30" t="str"/>
      <x:c r="U117" s="30" t="str"/>
      <x:c r="V117" s="30" t="str"/>
      <x:c r="W117" s="31" t="str"/>
    </x:row>
    <x:row r="118">
      <x:c r="A118" s="30" t="str">
        <x:f>IF(B118="","",B118&amp;"-"&amp;C118)</x:f>
      </x:c>
      <x:c r="B118" s="30" t="str">
        <x:f>'01_命例主档'!A28</x:f>
      </x:c>
      <x:c r="C118" s="30" t="str">
        <x:v>土</x:v>
      </x:c>
      <x:c r="D118" s="30" t="str"/>
      <x:c r="E118" s="30" t="str"/>
      <x:c r="F118" s="30" t="str"/>
      <x:c r="G118" s="30" t="str"/>
      <x:c r="H118" s="30" t="str"/>
      <x:c r="I118" s="30" t="str"/>
      <x:c r="J118" s="30" t="str"/>
      <x:c r="K118" s="30" t="str"/>
      <x:c r="L118" s="30" t="str"/>
      <x:c r="M118" s="30" t="str"/>
      <x:c r="N118" s="30" t="str"/>
      <x:c r="O118" s="30" t="str"/>
      <x:c r="P118" s="30" t="str"/>
      <x:c r="Q118" s="30" t="str"/>
      <x:c r="R118" s="30" t="str"/>
      <x:c r="S118" s="30" t="str"/>
      <x:c r="T118" s="30" t="str"/>
      <x:c r="U118" s="30" t="str"/>
      <x:c r="V118" s="30" t="str"/>
      <x:c r="W118" s="31" t="str"/>
    </x:row>
    <x:row r="119">
      <x:c r="A119" s="30" t="str">
        <x:f>IF(B119="","",B119&amp;"-"&amp;C119)</x:f>
      </x:c>
      <x:c r="B119" s="30" t="str">
        <x:f>'01_命例主档'!A28</x:f>
      </x:c>
      <x:c r="C119" s="30" t="str">
        <x:v>金</x:v>
      </x:c>
      <x:c r="D119" s="30" t="str"/>
      <x:c r="E119" s="30" t="str"/>
      <x:c r="F119" s="30" t="str"/>
      <x:c r="G119" s="30" t="str"/>
      <x:c r="H119" s="30" t="str"/>
      <x:c r="I119" s="30" t="str"/>
      <x:c r="J119" s="30" t="str"/>
      <x:c r="K119" s="30" t="str"/>
      <x:c r="L119" s="30" t="str"/>
      <x:c r="M119" s="30" t="str"/>
      <x:c r="N119" s="30" t="str"/>
      <x:c r="O119" s="30" t="str"/>
      <x:c r="P119" s="30" t="str"/>
      <x:c r="Q119" s="30" t="str"/>
      <x:c r="R119" s="30" t="str"/>
      <x:c r="S119" s="30" t="str"/>
      <x:c r="T119" s="30" t="str"/>
      <x:c r="U119" s="30" t="str"/>
      <x:c r="V119" s="30" t="str"/>
      <x:c r="W119" s="31" t="str"/>
    </x:row>
    <x:row r="120">
      <x:c r="A120" s="30" t="str">
        <x:f>IF(B120="","",B120&amp;"-"&amp;C120)</x:f>
      </x:c>
      <x:c r="B120" s="30" t="str">
        <x:f>'01_命例主档'!A28</x:f>
      </x:c>
      <x:c r="C120" s="30" t="str">
        <x:v>水</x:v>
      </x:c>
      <x:c r="D120" s="30" t="str"/>
      <x:c r="E120" s="30" t="str"/>
      <x:c r="F120" s="30" t="str"/>
      <x:c r="G120" s="30" t="str"/>
      <x:c r="H120" s="30" t="str"/>
      <x:c r="I120" s="30" t="str"/>
      <x:c r="J120" s="30" t="str"/>
      <x:c r="K120" s="30" t="str"/>
      <x:c r="L120" s="30" t="str"/>
      <x:c r="M120" s="30" t="str"/>
      <x:c r="N120" s="30" t="str"/>
      <x:c r="O120" s="30" t="str"/>
      <x:c r="P120" s="30" t="str"/>
      <x:c r="Q120" s="30" t="str"/>
      <x:c r="R120" s="30" t="str"/>
      <x:c r="S120" s="30" t="str"/>
      <x:c r="T120" s="30" t="str"/>
      <x:c r="U120" s="30" t="str"/>
      <x:c r="V120" s="30" t="str"/>
      <x:c r="W120" s="31" t="str"/>
    </x:row>
    <x:row r="121">
      <x:c r="A121" s="30" t="str">
        <x:f>IF(B121="","",B121&amp;"-"&amp;C121)</x:f>
      </x:c>
      <x:c r="B121" s="30" t="str">
        <x:f>'01_命例主档'!A29</x:f>
      </x:c>
      <x:c r="C121" s="30" t="str">
        <x:v>木</x:v>
      </x:c>
      <x:c r="D121" s="30" t="str"/>
      <x:c r="E121" s="30" t="str"/>
      <x:c r="F121" s="30" t="str"/>
      <x:c r="G121" s="30" t="str"/>
      <x:c r="H121" s="30" t="str"/>
      <x:c r="I121" s="30" t="str"/>
      <x:c r="J121" s="30" t="str"/>
      <x:c r="K121" s="30" t="str"/>
      <x:c r="L121" s="30" t="str"/>
      <x:c r="M121" s="30" t="str"/>
      <x:c r="N121" s="30" t="str"/>
      <x:c r="O121" s="30" t="str"/>
      <x:c r="P121" s="30" t="str"/>
      <x:c r="Q121" s="30" t="str"/>
      <x:c r="R121" s="30" t="str"/>
      <x:c r="S121" s="30" t="str"/>
      <x:c r="T121" s="30" t="str"/>
      <x:c r="U121" s="30" t="str"/>
      <x:c r="V121" s="30" t="str"/>
      <x:c r="W121" s="31" t="str"/>
    </x:row>
    <x:row r="122">
      <x:c r="A122" s="30" t="str">
        <x:f>IF(B122="","",B122&amp;"-"&amp;C122)</x:f>
      </x:c>
      <x:c r="B122" s="30" t="str">
        <x:f>'01_命例主档'!A29</x:f>
      </x:c>
      <x:c r="C122" s="30" t="str">
        <x:v>火</x:v>
      </x:c>
      <x:c r="D122" s="30" t="str"/>
      <x:c r="E122" s="30" t="str"/>
      <x:c r="F122" s="30" t="str"/>
      <x:c r="G122" s="30" t="str"/>
      <x:c r="H122" s="30" t="str"/>
      <x:c r="I122" s="30" t="str"/>
      <x:c r="J122" s="30" t="str"/>
      <x:c r="K122" s="30" t="str"/>
      <x:c r="L122" s="30" t="str"/>
      <x:c r="M122" s="30" t="str"/>
      <x:c r="N122" s="30" t="str"/>
      <x:c r="O122" s="30" t="str"/>
      <x:c r="P122" s="30" t="str"/>
      <x:c r="Q122" s="30" t="str"/>
      <x:c r="R122" s="30" t="str"/>
      <x:c r="S122" s="30" t="str"/>
      <x:c r="T122" s="30" t="str"/>
      <x:c r="U122" s="30" t="str"/>
      <x:c r="V122" s="30" t="str"/>
      <x:c r="W122" s="31" t="str"/>
    </x:row>
    <x:row r="123">
      <x:c r="A123" s="30" t="str">
        <x:f>IF(B123="","",B123&amp;"-"&amp;C123)</x:f>
      </x:c>
      <x:c r="B123" s="30" t="str">
        <x:f>'01_命例主档'!A29</x:f>
      </x:c>
      <x:c r="C123" s="30" t="str">
        <x:v>土</x:v>
      </x:c>
      <x:c r="D123" s="30" t="str"/>
      <x:c r="E123" s="30" t="str"/>
      <x:c r="F123" s="30" t="str"/>
      <x:c r="G123" s="30" t="str"/>
      <x:c r="H123" s="30" t="str"/>
      <x:c r="I123" s="30" t="str"/>
      <x:c r="J123" s="30" t="str"/>
      <x:c r="K123" s="30" t="str"/>
      <x:c r="L123" s="30" t="str"/>
      <x:c r="M123" s="30" t="str"/>
      <x:c r="N123" s="30" t="str"/>
      <x:c r="O123" s="30" t="str"/>
      <x:c r="P123" s="30" t="str"/>
      <x:c r="Q123" s="30" t="str"/>
      <x:c r="R123" s="30" t="str"/>
      <x:c r="S123" s="30" t="str"/>
      <x:c r="T123" s="30" t="str"/>
      <x:c r="U123" s="30" t="str"/>
      <x:c r="V123" s="30" t="str"/>
      <x:c r="W123" s="31" t="str"/>
    </x:row>
    <x:row r="124">
      <x:c r="A124" s="30" t="str">
        <x:f>IF(B124="","",B124&amp;"-"&amp;C124)</x:f>
      </x:c>
      <x:c r="B124" s="30" t="str">
        <x:f>'01_命例主档'!A29</x:f>
      </x:c>
      <x:c r="C124" s="30" t="str">
        <x:v>金</x:v>
      </x:c>
      <x:c r="D124" s="30" t="str"/>
      <x:c r="E124" s="30" t="str"/>
      <x:c r="F124" s="30" t="str"/>
      <x:c r="G124" s="30" t="str"/>
      <x:c r="H124" s="30" t="str"/>
      <x:c r="I124" s="30" t="str"/>
      <x:c r="J124" s="30" t="str"/>
      <x:c r="K124" s="30" t="str"/>
      <x:c r="L124" s="30" t="str"/>
      <x:c r="M124" s="30" t="str"/>
      <x:c r="N124" s="30" t="str"/>
      <x:c r="O124" s="30" t="str"/>
      <x:c r="P124" s="30" t="str"/>
      <x:c r="Q124" s="30" t="str"/>
      <x:c r="R124" s="30" t="str"/>
      <x:c r="S124" s="30" t="str"/>
      <x:c r="T124" s="30" t="str"/>
      <x:c r="U124" s="30" t="str"/>
      <x:c r="V124" s="30" t="str"/>
      <x:c r="W124" s="31" t="str"/>
    </x:row>
    <x:row r="125">
      <x:c r="A125" s="30" t="str">
        <x:f>IF(B125="","",B125&amp;"-"&amp;C125)</x:f>
      </x:c>
      <x:c r="B125" s="30" t="str">
        <x:f>'01_命例主档'!A29</x:f>
      </x:c>
      <x:c r="C125" s="30" t="str">
        <x:v>水</x:v>
      </x:c>
      <x:c r="D125" s="30" t="str"/>
      <x:c r="E125" s="30" t="str"/>
      <x:c r="F125" s="30" t="str"/>
      <x:c r="G125" s="30" t="str"/>
      <x:c r="H125" s="30" t="str"/>
      <x:c r="I125" s="30" t="str"/>
      <x:c r="J125" s="30" t="str"/>
      <x:c r="K125" s="30" t="str"/>
      <x:c r="L125" s="30" t="str"/>
      <x:c r="M125" s="30" t="str"/>
      <x:c r="N125" s="30" t="str"/>
      <x:c r="O125" s="30" t="str"/>
      <x:c r="P125" s="30" t="str"/>
      <x:c r="Q125" s="30" t="str"/>
      <x:c r="R125" s="30" t="str"/>
      <x:c r="S125" s="30" t="str"/>
      <x:c r="T125" s="30" t="str"/>
      <x:c r="U125" s="30" t="str"/>
      <x:c r="V125" s="30" t="str"/>
      <x:c r="W125" s="31" t="str"/>
    </x:row>
    <x:row r="126">
      <x:c r="A126" s="30" t="str">
        <x:f>IF(B126="","",B126&amp;"-"&amp;C126)</x:f>
      </x:c>
      <x:c r="B126" s="30" t="str">
        <x:f>'01_命例主档'!A30</x:f>
      </x:c>
      <x:c r="C126" s="30" t="str">
        <x:v>木</x:v>
      </x:c>
      <x:c r="D126" s="30" t="str"/>
      <x:c r="E126" s="30" t="str"/>
      <x:c r="F126" s="30" t="str"/>
      <x:c r="G126" s="30" t="str"/>
      <x:c r="H126" s="30" t="str"/>
      <x:c r="I126" s="30" t="str"/>
      <x:c r="J126" s="30" t="str"/>
      <x:c r="K126" s="30" t="str"/>
      <x:c r="L126" s="30" t="str"/>
      <x:c r="M126" s="30" t="str"/>
      <x:c r="N126" s="30" t="str"/>
      <x:c r="O126" s="30" t="str"/>
      <x:c r="P126" s="30" t="str"/>
      <x:c r="Q126" s="30" t="str"/>
      <x:c r="R126" s="30" t="str"/>
      <x:c r="S126" s="30" t="str"/>
      <x:c r="T126" s="30" t="str"/>
      <x:c r="U126" s="30" t="str"/>
      <x:c r="V126" s="30" t="str"/>
      <x:c r="W126" s="31" t="str"/>
    </x:row>
    <x:row r="127">
      <x:c r="A127" s="30" t="str">
        <x:f>IF(B127="","",B127&amp;"-"&amp;C127)</x:f>
      </x:c>
      <x:c r="B127" s="30" t="str">
        <x:f>'01_命例主档'!A30</x:f>
      </x:c>
      <x:c r="C127" s="30" t="str">
        <x:v>火</x:v>
      </x:c>
      <x:c r="D127" s="30" t="str"/>
      <x:c r="E127" s="30" t="str"/>
      <x:c r="F127" s="30" t="str"/>
      <x:c r="G127" s="30" t="str"/>
      <x:c r="H127" s="30" t="str"/>
      <x:c r="I127" s="30" t="str"/>
      <x:c r="J127" s="30" t="str"/>
      <x:c r="K127" s="30" t="str"/>
      <x:c r="L127" s="30" t="str"/>
      <x:c r="M127" s="30" t="str"/>
      <x:c r="N127" s="30" t="str"/>
      <x:c r="O127" s="30" t="str"/>
      <x:c r="P127" s="30" t="str"/>
      <x:c r="Q127" s="30" t="str"/>
      <x:c r="R127" s="30" t="str"/>
      <x:c r="S127" s="30" t="str"/>
      <x:c r="T127" s="30" t="str"/>
      <x:c r="U127" s="30" t="str"/>
      <x:c r="V127" s="30" t="str"/>
      <x:c r="W127" s="31" t="str"/>
    </x:row>
    <x:row r="128">
      <x:c r="A128" s="30" t="str">
        <x:f>IF(B128="","",B128&amp;"-"&amp;C128)</x:f>
      </x:c>
      <x:c r="B128" s="30" t="str">
        <x:f>'01_命例主档'!A30</x:f>
      </x:c>
      <x:c r="C128" s="30" t="str">
        <x:v>土</x:v>
      </x:c>
      <x:c r="D128" s="30" t="str"/>
      <x:c r="E128" s="30" t="str"/>
      <x:c r="F128" s="30" t="str"/>
      <x:c r="G128" s="30" t="str"/>
      <x:c r="H128" s="30" t="str"/>
      <x:c r="I128" s="30" t="str"/>
      <x:c r="J128" s="30" t="str"/>
      <x:c r="K128" s="30" t="str"/>
      <x:c r="L128" s="30" t="str"/>
      <x:c r="M128" s="30" t="str"/>
      <x:c r="N128" s="30" t="str"/>
      <x:c r="O128" s="30" t="str"/>
      <x:c r="P128" s="30" t="str"/>
      <x:c r="Q128" s="30" t="str"/>
      <x:c r="R128" s="30" t="str"/>
      <x:c r="S128" s="30" t="str"/>
      <x:c r="T128" s="30" t="str"/>
      <x:c r="U128" s="30" t="str"/>
      <x:c r="V128" s="30" t="str"/>
      <x:c r="W128" s="31" t="str"/>
    </x:row>
    <x:row r="129">
      <x:c r="A129" s="30" t="str">
        <x:f>IF(B129="","",B129&amp;"-"&amp;C129)</x:f>
      </x:c>
      <x:c r="B129" s="30" t="str">
        <x:f>'01_命例主档'!A30</x:f>
      </x:c>
      <x:c r="C129" s="30" t="str">
        <x:v>金</x:v>
      </x:c>
      <x:c r="D129" s="30" t="str"/>
      <x:c r="E129" s="30" t="str"/>
      <x:c r="F129" s="30" t="str"/>
      <x:c r="G129" s="30" t="str"/>
      <x:c r="H129" s="30" t="str"/>
      <x:c r="I129" s="30" t="str"/>
      <x:c r="J129" s="30" t="str"/>
      <x:c r="K129" s="30" t="str"/>
      <x:c r="L129" s="30" t="str"/>
      <x:c r="M129" s="30" t="str"/>
      <x:c r="N129" s="30" t="str"/>
      <x:c r="O129" s="30" t="str"/>
      <x:c r="P129" s="30" t="str"/>
      <x:c r="Q129" s="30" t="str"/>
      <x:c r="R129" s="30" t="str"/>
      <x:c r="S129" s="30" t="str"/>
      <x:c r="T129" s="30" t="str"/>
      <x:c r="U129" s="30" t="str"/>
      <x:c r="V129" s="30" t="str"/>
      <x:c r="W129" s="31" t="str"/>
    </x:row>
    <x:row r="130">
      <x:c r="A130" s="30" t="str">
        <x:f>IF(B130="","",B130&amp;"-"&amp;C130)</x:f>
      </x:c>
      <x:c r="B130" s="30" t="str">
        <x:f>'01_命例主档'!A30</x:f>
      </x:c>
      <x:c r="C130" s="30" t="str">
        <x:v>水</x:v>
      </x:c>
      <x:c r="D130" s="30" t="str"/>
      <x:c r="E130" s="30" t="str"/>
      <x:c r="F130" s="30" t="str"/>
      <x:c r="G130" s="30" t="str"/>
      <x:c r="H130" s="30" t="str"/>
      <x:c r="I130" s="30" t="str"/>
      <x:c r="J130" s="30" t="str"/>
      <x:c r="K130" s="30" t="str"/>
      <x:c r="L130" s="30" t="str"/>
      <x:c r="M130" s="30" t="str"/>
      <x:c r="N130" s="30" t="str"/>
      <x:c r="O130" s="30" t="str"/>
      <x:c r="P130" s="30" t="str"/>
      <x:c r="Q130" s="30" t="str"/>
      <x:c r="R130" s="30" t="str"/>
      <x:c r="S130" s="30" t="str"/>
      <x:c r="T130" s="30" t="str"/>
      <x:c r="U130" s="30" t="str"/>
      <x:c r="V130" s="30" t="str"/>
      <x:c r="W130" s="31" t="str"/>
    </x:row>
    <x:row r="131">
      <x:c r="A131" s="30" t="str">
        <x:f>IF(B131="","",B131&amp;"-"&amp;C131)</x:f>
      </x:c>
      <x:c r="B131" s="30" t="str">
        <x:f>'01_命例主档'!A31</x:f>
      </x:c>
      <x:c r="C131" s="30" t="str">
        <x:v>木</x:v>
      </x:c>
      <x:c r="D131" s="30" t="str"/>
      <x:c r="E131" s="30" t="str"/>
      <x:c r="F131" s="30" t="str"/>
      <x:c r="G131" s="30" t="str"/>
      <x:c r="H131" s="30" t="str"/>
      <x:c r="I131" s="30" t="str"/>
      <x:c r="J131" s="30" t="str"/>
      <x:c r="K131" s="30" t="str"/>
      <x:c r="L131" s="30" t="str"/>
      <x:c r="M131" s="30" t="str"/>
      <x:c r="N131" s="30" t="str"/>
      <x:c r="O131" s="30" t="str"/>
      <x:c r="P131" s="30" t="str"/>
      <x:c r="Q131" s="30" t="str"/>
      <x:c r="R131" s="30" t="str"/>
      <x:c r="S131" s="30" t="str"/>
      <x:c r="T131" s="30" t="str"/>
      <x:c r="U131" s="30" t="str"/>
      <x:c r="V131" s="30" t="str"/>
      <x:c r="W131" s="31" t="str"/>
    </x:row>
    <x:row r="132">
      <x:c r="A132" s="30" t="str">
        <x:f>IF(B132="","",B132&amp;"-"&amp;C132)</x:f>
      </x:c>
      <x:c r="B132" s="30" t="str">
        <x:f>'01_命例主档'!A31</x:f>
      </x:c>
      <x:c r="C132" s="30" t="str">
        <x:v>火</x:v>
      </x:c>
      <x:c r="D132" s="30" t="str"/>
      <x:c r="E132" s="30" t="str"/>
      <x:c r="F132" s="30" t="str"/>
      <x:c r="G132" s="30" t="str"/>
      <x:c r="H132" s="30" t="str"/>
      <x:c r="I132" s="30" t="str"/>
      <x:c r="J132" s="30" t="str"/>
      <x:c r="K132" s="30" t="str"/>
      <x:c r="L132" s="30" t="str"/>
      <x:c r="M132" s="30" t="str"/>
      <x:c r="N132" s="30" t="str"/>
      <x:c r="O132" s="30" t="str"/>
      <x:c r="P132" s="30" t="str"/>
      <x:c r="Q132" s="30" t="str"/>
      <x:c r="R132" s="30" t="str"/>
      <x:c r="S132" s="30" t="str"/>
      <x:c r="T132" s="30" t="str"/>
      <x:c r="U132" s="30" t="str"/>
      <x:c r="V132" s="30" t="str"/>
      <x:c r="W132" s="31" t="str"/>
    </x:row>
    <x:row r="133">
      <x:c r="A133" s="30" t="str">
        <x:f>IF(B133="","",B133&amp;"-"&amp;C133)</x:f>
      </x:c>
      <x:c r="B133" s="30" t="str">
        <x:f>'01_命例主档'!A31</x:f>
      </x:c>
      <x:c r="C133" s="30" t="str">
        <x:v>土</x:v>
      </x:c>
      <x:c r="D133" s="30" t="str"/>
      <x:c r="E133" s="30" t="str"/>
      <x:c r="F133" s="30" t="str"/>
      <x:c r="G133" s="30" t="str"/>
      <x:c r="H133" s="30" t="str"/>
      <x:c r="I133" s="30" t="str"/>
      <x:c r="J133" s="30" t="str"/>
      <x:c r="K133" s="30" t="str"/>
      <x:c r="L133" s="30" t="str"/>
      <x:c r="M133" s="30" t="str"/>
      <x:c r="N133" s="30" t="str"/>
      <x:c r="O133" s="30" t="str"/>
      <x:c r="P133" s="30" t="str"/>
      <x:c r="Q133" s="30" t="str"/>
      <x:c r="R133" s="30" t="str"/>
      <x:c r="S133" s="30" t="str"/>
      <x:c r="T133" s="30" t="str"/>
      <x:c r="U133" s="30" t="str"/>
      <x:c r="V133" s="30" t="str"/>
      <x:c r="W133" s="31" t="str"/>
    </x:row>
    <x:row r="134">
      <x:c r="A134" s="30" t="str">
        <x:f>IF(B134="","",B134&amp;"-"&amp;C134)</x:f>
      </x:c>
      <x:c r="B134" s="30" t="str">
        <x:f>'01_命例主档'!A31</x:f>
      </x:c>
      <x:c r="C134" s="30" t="str">
        <x:v>金</x:v>
      </x:c>
      <x:c r="D134" s="30" t="str"/>
      <x:c r="E134" s="30" t="str"/>
      <x:c r="F134" s="30" t="str"/>
      <x:c r="G134" s="30" t="str"/>
      <x:c r="H134" s="30" t="str"/>
      <x:c r="I134" s="30" t="str"/>
      <x:c r="J134" s="30" t="str"/>
      <x:c r="K134" s="30" t="str"/>
      <x:c r="L134" s="30" t="str"/>
      <x:c r="M134" s="30" t="str"/>
      <x:c r="N134" s="30" t="str"/>
      <x:c r="O134" s="30" t="str"/>
      <x:c r="P134" s="30" t="str"/>
      <x:c r="Q134" s="30" t="str"/>
      <x:c r="R134" s="30" t="str"/>
      <x:c r="S134" s="30" t="str"/>
      <x:c r="T134" s="30" t="str"/>
      <x:c r="U134" s="30" t="str"/>
      <x:c r="V134" s="30" t="str"/>
      <x:c r="W134" s="31" t="str"/>
    </x:row>
    <x:row r="135">
      <x:c r="A135" s="30" t="str">
        <x:f>IF(B135="","",B135&amp;"-"&amp;C135)</x:f>
      </x:c>
      <x:c r="B135" s="30" t="str">
        <x:f>'01_命例主档'!A31</x:f>
      </x:c>
      <x:c r="C135" s="30" t="str">
        <x:v>水</x:v>
      </x:c>
      <x:c r="D135" s="30" t="str"/>
      <x:c r="E135" s="30" t="str"/>
      <x:c r="F135" s="30" t="str"/>
      <x:c r="G135" s="30" t="str"/>
      <x:c r="H135" s="30" t="str"/>
      <x:c r="I135" s="30" t="str"/>
      <x:c r="J135" s="30" t="str"/>
      <x:c r="K135" s="30" t="str"/>
      <x:c r="L135" s="30" t="str"/>
      <x:c r="M135" s="30" t="str"/>
      <x:c r="N135" s="30" t="str"/>
      <x:c r="O135" s="30" t="str"/>
      <x:c r="P135" s="30" t="str"/>
      <x:c r="Q135" s="30" t="str"/>
      <x:c r="R135" s="30" t="str"/>
      <x:c r="S135" s="30" t="str"/>
      <x:c r="T135" s="30" t="str"/>
      <x:c r="U135" s="30" t="str"/>
      <x:c r="V135" s="30" t="str"/>
      <x:c r="W135" s="31" t="str"/>
    </x:row>
    <x:row r="136">
      <x:c r="A136" s="30" t="str">
        <x:f>IF(B136="","",B136&amp;"-"&amp;C136)</x:f>
      </x:c>
      <x:c r="B136" s="30" t="str">
        <x:f>'01_命例主档'!A32</x:f>
      </x:c>
      <x:c r="C136" s="30" t="str">
        <x:v>木</x:v>
      </x:c>
      <x:c r="D136" s="30" t="str"/>
      <x:c r="E136" s="30" t="str"/>
      <x:c r="F136" s="30" t="str"/>
      <x:c r="G136" s="30" t="str"/>
      <x:c r="H136" s="30" t="str"/>
      <x:c r="I136" s="30" t="str"/>
      <x:c r="J136" s="30" t="str"/>
      <x:c r="K136" s="30" t="str"/>
      <x:c r="L136" s="30" t="str"/>
      <x:c r="M136" s="30" t="str"/>
      <x:c r="N136" s="30" t="str"/>
      <x:c r="O136" s="30" t="str"/>
      <x:c r="P136" s="30" t="str"/>
      <x:c r="Q136" s="30" t="str"/>
      <x:c r="R136" s="30" t="str"/>
      <x:c r="S136" s="30" t="str"/>
      <x:c r="T136" s="30" t="str"/>
      <x:c r="U136" s="30" t="str"/>
      <x:c r="V136" s="30" t="str"/>
      <x:c r="W136" s="31" t="str"/>
    </x:row>
    <x:row r="137">
      <x:c r="A137" s="30" t="str">
        <x:f>IF(B137="","",B137&amp;"-"&amp;C137)</x:f>
      </x:c>
      <x:c r="B137" s="30" t="str">
        <x:f>'01_命例主档'!A32</x:f>
      </x:c>
      <x:c r="C137" s="30" t="str">
        <x:v>火</x:v>
      </x:c>
      <x:c r="D137" s="30" t="str"/>
      <x:c r="E137" s="30" t="str"/>
      <x:c r="F137" s="30" t="str"/>
      <x:c r="G137" s="30" t="str"/>
      <x:c r="H137" s="30" t="str"/>
      <x:c r="I137" s="30" t="str"/>
      <x:c r="J137" s="30" t="str"/>
      <x:c r="K137" s="30" t="str"/>
      <x:c r="L137" s="30" t="str"/>
      <x:c r="M137" s="30" t="str"/>
      <x:c r="N137" s="30" t="str"/>
      <x:c r="O137" s="30" t="str"/>
      <x:c r="P137" s="30" t="str"/>
      <x:c r="Q137" s="30" t="str"/>
      <x:c r="R137" s="30" t="str"/>
      <x:c r="S137" s="30" t="str"/>
      <x:c r="T137" s="30" t="str"/>
      <x:c r="U137" s="30" t="str"/>
      <x:c r="V137" s="30" t="str"/>
      <x:c r="W137" s="31" t="str"/>
    </x:row>
    <x:row r="138">
      <x:c r="A138" s="30" t="str">
        <x:f>IF(B138="","",B138&amp;"-"&amp;C138)</x:f>
      </x:c>
      <x:c r="B138" s="30" t="str">
        <x:f>'01_命例主档'!A32</x:f>
      </x:c>
      <x:c r="C138" s="30" t="str">
        <x:v>土</x:v>
      </x:c>
      <x:c r="D138" s="30" t="str"/>
      <x:c r="E138" s="30" t="str"/>
      <x:c r="F138" s="30" t="str"/>
      <x:c r="G138" s="30" t="str"/>
      <x:c r="H138" s="30" t="str"/>
      <x:c r="I138" s="30" t="str"/>
      <x:c r="J138" s="30" t="str"/>
      <x:c r="K138" s="30" t="str"/>
      <x:c r="L138" s="30" t="str"/>
      <x:c r="M138" s="30" t="str"/>
      <x:c r="N138" s="30" t="str"/>
      <x:c r="O138" s="30" t="str"/>
      <x:c r="P138" s="30" t="str"/>
      <x:c r="Q138" s="30" t="str"/>
      <x:c r="R138" s="30" t="str"/>
      <x:c r="S138" s="30" t="str"/>
      <x:c r="T138" s="30" t="str"/>
      <x:c r="U138" s="30" t="str"/>
      <x:c r="V138" s="30" t="str"/>
      <x:c r="W138" s="31" t="str"/>
    </x:row>
    <x:row r="139">
      <x:c r="A139" s="30" t="str">
        <x:f>IF(B139="","",B139&amp;"-"&amp;C139)</x:f>
      </x:c>
      <x:c r="B139" s="30" t="str">
        <x:f>'01_命例主档'!A32</x:f>
      </x:c>
      <x:c r="C139" s="30" t="str">
        <x:v>金</x:v>
      </x:c>
      <x:c r="D139" s="30" t="str"/>
      <x:c r="E139" s="30" t="str"/>
      <x:c r="F139" s="30" t="str"/>
      <x:c r="G139" s="30" t="str"/>
      <x:c r="H139" s="30" t="str"/>
      <x:c r="I139" s="30" t="str"/>
      <x:c r="J139" s="30" t="str"/>
      <x:c r="K139" s="30" t="str"/>
      <x:c r="L139" s="30" t="str"/>
      <x:c r="M139" s="30" t="str"/>
      <x:c r="N139" s="30" t="str"/>
      <x:c r="O139" s="30" t="str"/>
      <x:c r="P139" s="30" t="str"/>
      <x:c r="Q139" s="30" t="str"/>
      <x:c r="R139" s="30" t="str"/>
      <x:c r="S139" s="30" t="str"/>
      <x:c r="T139" s="30" t="str"/>
      <x:c r="U139" s="30" t="str"/>
      <x:c r="V139" s="30" t="str"/>
      <x:c r="W139" s="31" t="str"/>
    </x:row>
    <x:row r="140">
      <x:c r="A140" s="30" t="str">
        <x:f>IF(B140="","",B140&amp;"-"&amp;C140)</x:f>
      </x:c>
      <x:c r="B140" s="30" t="str">
        <x:f>'01_命例主档'!A32</x:f>
      </x:c>
      <x:c r="C140" s="30" t="str">
        <x:v>水</x:v>
      </x:c>
      <x:c r="D140" s="30" t="str"/>
      <x:c r="E140" s="30" t="str"/>
      <x:c r="F140" s="30" t="str"/>
      <x:c r="G140" s="30" t="str"/>
      <x:c r="H140" s="30" t="str"/>
      <x:c r="I140" s="30" t="str"/>
      <x:c r="J140" s="30" t="str"/>
      <x:c r="K140" s="30" t="str"/>
      <x:c r="L140" s="30" t="str"/>
      <x:c r="M140" s="30" t="str"/>
      <x:c r="N140" s="30" t="str"/>
      <x:c r="O140" s="30" t="str"/>
      <x:c r="P140" s="30" t="str"/>
      <x:c r="Q140" s="30" t="str"/>
      <x:c r="R140" s="30" t="str"/>
      <x:c r="S140" s="30" t="str"/>
      <x:c r="T140" s="30" t="str"/>
      <x:c r="U140" s="30" t="str"/>
      <x:c r="V140" s="30" t="str"/>
      <x:c r="W140" s="31" t="str"/>
    </x:row>
    <x:row r="141">
      <x:c r="A141" s="30" t="str">
        <x:f>IF(B141="","",B141&amp;"-"&amp;C141)</x:f>
      </x:c>
      <x:c r="B141" s="30" t="str">
        <x:f>'01_命例主档'!A33</x:f>
      </x:c>
      <x:c r="C141" s="30" t="str">
        <x:v>木</x:v>
      </x:c>
      <x:c r="D141" s="30" t="str"/>
      <x:c r="E141" s="30" t="str"/>
      <x:c r="F141" s="30" t="str"/>
      <x:c r="G141" s="30" t="str"/>
      <x:c r="H141" s="30" t="str"/>
      <x:c r="I141" s="30" t="str"/>
      <x:c r="J141" s="30" t="str"/>
      <x:c r="K141" s="30" t="str"/>
      <x:c r="L141" s="30" t="str"/>
      <x:c r="M141" s="30" t="str"/>
      <x:c r="N141" s="30" t="str"/>
      <x:c r="O141" s="30" t="str"/>
      <x:c r="P141" s="30" t="str"/>
      <x:c r="Q141" s="30" t="str"/>
      <x:c r="R141" s="30" t="str"/>
      <x:c r="S141" s="30" t="str"/>
      <x:c r="T141" s="30" t="str"/>
      <x:c r="U141" s="30" t="str"/>
      <x:c r="V141" s="30" t="str"/>
      <x:c r="W141" s="31" t="str"/>
    </x:row>
    <x:row r="142">
      <x:c r="A142" s="30" t="str">
        <x:f>IF(B142="","",B142&amp;"-"&amp;C142)</x:f>
      </x:c>
      <x:c r="B142" s="30" t="str">
        <x:f>'01_命例主档'!A33</x:f>
      </x:c>
      <x:c r="C142" s="30" t="str">
        <x:v>火</x:v>
      </x:c>
      <x:c r="D142" s="30" t="str"/>
      <x:c r="E142" s="30" t="str"/>
      <x:c r="F142" s="30" t="str"/>
      <x:c r="G142" s="30" t="str"/>
      <x:c r="H142" s="30" t="str"/>
      <x:c r="I142" s="30" t="str"/>
      <x:c r="J142" s="30" t="str"/>
      <x:c r="K142" s="30" t="str"/>
      <x:c r="L142" s="30" t="str"/>
      <x:c r="M142" s="30" t="str"/>
      <x:c r="N142" s="30" t="str"/>
      <x:c r="O142" s="30" t="str"/>
      <x:c r="P142" s="30" t="str"/>
      <x:c r="Q142" s="30" t="str"/>
      <x:c r="R142" s="30" t="str"/>
      <x:c r="S142" s="30" t="str"/>
      <x:c r="T142" s="30" t="str"/>
      <x:c r="U142" s="30" t="str"/>
      <x:c r="V142" s="30" t="str"/>
      <x:c r="W142" s="31" t="str"/>
    </x:row>
    <x:row r="143">
      <x:c r="A143" s="30" t="str">
        <x:f>IF(B143="","",B143&amp;"-"&amp;C143)</x:f>
      </x:c>
      <x:c r="B143" s="30" t="str">
        <x:f>'01_命例主档'!A33</x:f>
      </x:c>
      <x:c r="C143" s="30" t="str">
        <x:v>土</x:v>
      </x:c>
      <x:c r="D143" s="30" t="str"/>
      <x:c r="E143" s="30" t="str"/>
      <x:c r="F143" s="30" t="str"/>
      <x:c r="G143" s="30" t="str"/>
      <x:c r="H143" s="30" t="str"/>
      <x:c r="I143" s="30" t="str"/>
      <x:c r="J143" s="30" t="str"/>
      <x:c r="K143" s="30" t="str"/>
      <x:c r="L143" s="30" t="str"/>
      <x:c r="M143" s="30" t="str"/>
      <x:c r="N143" s="30" t="str"/>
      <x:c r="O143" s="30" t="str"/>
      <x:c r="P143" s="30" t="str"/>
      <x:c r="Q143" s="30" t="str"/>
      <x:c r="R143" s="30" t="str"/>
      <x:c r="S143" s="30" t="str"/>
      <x:c r="T143" s="30" t="str"/>
      <x:c r="U143" s="30" t="str"/>
      <x:c r="V143" s="30" t="str"/>
      <x:c r="W143" s="31" t="str"/>
    </x:row>
    <x:row r="144">
      <x:c r="A144" s="30" t="str">
        <x:f>IF(B144="","",B144&amp;"-"&amp;C144)</x:f>
      </x:c>
      <x:c r="B144" s="30" t="str">
        <x:f>'01_命例主档'!A33</x:f>
      </x:c>
      <x:c r="C144" s="30" t="str">
        <x:v>金</x:v>
      </x:c>
      <x:c r="D144" s="30" t="str"/>
      <x:c r="E144" s="30" t="str"/>
      <x:c r="F144" s="30" t="str"/>
      <x:c r="G144" s="30" t="str"/>
      <x:c r="H144" s="30" t="str"/>
      <x:c r="I144" s="30" t="str"/>
      <x:c r="J144" s="30" t="str"/>
      <x:c r="K144" s="30" t="str"/>
      <x:c r="L144" s="30" t="str"/>
      <x:c r="M144" s="30" t="str"/>
      <x:c r="N144" s="30" t="str"/>
      <x:c r="O144" s="30" t="str"/>
      <x:c r="P144" s="30" t="str"/>
      <x:c r="Q144" s="30" t="str"/>
      <x:c r="R144" s="30" t="str"/>
      <x:c r="S144" s="30" t="str"/>
      <x:c r="T144" s="30" t="str"/>
      <x:c r="U144" s="30" t="str"/>
      <x:c r="V144" s="30" t="str"/>
      <x:c r="W144" s="31" t="str"/>
    </x:row>
    <x:row r="145">
      <x:c r="A145" s="30" t="str">
        <x:f>IF(B145="","",B145&amp;"-"&amp;C145)</x:f>
      </x:c>
      <x:c r="B145" s="30" t="str">
        <x:f>'01_命例主档'!A33</x:f>
      </x:c>
      <x:c r="C145" s="30" t="str">
        <x:v>水</x:v>
      </x:c>
      <x:c r="D145" s="30" t="str"/>
      <x:c r="E145" s="30" t="str"/>
      <x:c r="F145" s="30" t="str"/>
      <x:c r="G145" s="30" t="str"/>
      <x:c r="H145" s="30" t="str"/>
      <x:c r="I145" s="30" t="str"/>
      <x:c r="J145" s="30" t="str"/>
      <x:c r="K145" s="30" t="str"/>
      <x:c r="L145" s="30" t="str"/>
      <x:c r="M145" s="30" t="str"/>
      <x:c r="N145" s="30" t="str"/>
      <x:c r="O145" s="30" t="str"/>
      <x:c r="P145" s="30" t="str"/>
      <x:c r="Q145" s="30" t="str"/>
      <x:c r="R145" s="30" t="str"/>
      <x:c r="S145" s="30" t="str"/>
      <x:c r="T145" s="30" t="str"/>
      <x:c r="U145" s="30" t="str"/>
      <x:c r="V145" s="30" t="str"/>
      <x:c r="W145" s="31" t="str"/>
    </x:row>
    <x:row r="146">
      <x:c r="A146" s="30" t="str">
        <x:f>IF(B146="","",B146&amp;"-"&amp;C146)</x:f>
      </x:c>
      <x:c r="B146" s="30" t="str">
        <x:f>'01_命例主档'!A34</x:f>
      </x:c>
      <x:c r="C146" s="30" t="str">
        <x:v>木</x:v>
      </x:c>
      <x:c r="D146" s="30" t="str"/>
      <x:c r="E146" s="30" t="str"/>
      <x:c r="F146" s="30" t="str"/>
      <x:c r="G146" s="30" t="str"/>
      <x:c r="H146" s="30" t="str"/>
      <x:c r="I146" s="30" t="str"/>
      <x:c r="J146" s="30" t="str"/>
      <x:c r="K146" s="30" t="str"/>
      <x:c r="L146" s="30" t="str"/>
      <x:c r="M146" s="30" t="str"/>
      <x:c r="N146" s="30" t="str"/>
      <x:c r="O146" s="30" t="str"/>
      <x:c r="P146" s="30" t="str"/>
      <x:c r="Q146" s="30" t="str"/>
      <x:c r="R146" s="30" t="str"/>
      <x:c r="S146" s="30" t="str"/>
      <x:c r="T146" s="30" t="str"/>
      <x:c r="U146" s="30" t="str"/>
      <x:c r="V146" s="30" t="str"/>
      <x:c r="W146" s="31" t="str"/>
    </x:row>
    <x:row r="147">
      <x:c r="A147" s="30" t="str">
        <x:f>IF(B147="","",B147&amp;"-"&amp;C147)</x:f>
      </x:c>
      <x:c r="B147" s="30" t="str">
        <x:f>'01_命例主档'!A34</x:f>
      </x:c>
      <x:c r="C147" s="30" t="str">
        <x:v>火</x:v>
      </x:c>
      <x:c r="D147" s="30" t="str"/>
      <x:c r="E147" s="30" t="str"/>
      <x:c r="F147" s="30" t="str"/>
      <x:c r="G147" s="30" t="str"/>
      <x:c r="H147" s="30" t="str"/>
      <x:c r="I147" s="30" t="str"/>
      <x:c r="J147" s="30" t="str"/>
      <x:c r="K147" s="30" t="str"/>
      <x:c r="L147" s="30" t="str"/>
      <x:c r="M147" s="30" t="str"/>
      <x:c r="N147" s="30" t="str"/>
      <x:c r="O147" s="30" t="str"/>
      <x:c r="P147" s="30" t="str"/>
      <x:c r="Q147" s="30" t="str"/>
      <x:c r="R147" s="30" t="str"/>
      <x:c r="S147" s="30" t="str"/>
      <x:c r="T147" s="30" t="str"/>
      <x:c r="U147" s="30" t="str"/>
      <x:c r="V147" s="30" t="str"/>
      <x:c r="W147" s="31" t="str"/>
    </x:row>
    <x:row r="148">
      <x:c r="A148" s="30" t="str">
        <x:f>IF(B148="","",B148&amp;"-"&amp;C148)</x:f>
      </x:c>
      <x:c r="B148" s="30" t="str">
        <x:f>'01_命例主档'!A34</x:f>
      </x:c>
      <x:c r="C148" s="30" t="str">
        <x:v>土</x:v>
      </x:c>
      <x:c r="D148" s="30" t="str"/>
      <x:c r="E148" s="30" t="str"/>
      <x:c r="F148" s="30" t="str"/>
      <x:c r="G148" s="30" t="str"/>
      <x:c r="H148" s="30" t="str"/>
      <x:c r="I148" s="30" t="str"/>
      <x:c r="J148" s="30" t="str"/>
      <x:c r="K148" s="30" t="str"/>
      <x:c r="L148" s="30" t="str"/>
      <x:c r="M148" s="30" t="str"/>
      <x:c r="N148" s="30" t="str"/>
      <x:c r="O148" s="30" t="str"/>
      <x:c r="P148" s="30" t="str"/>
      <x:c r="Q148" s="30" t="str"/>
      <x:c r="R148" s="30" t="str"/>
      <x:c r="S148" s="30" t="str"/>
      <x:c r="T148" s="30" t="str"/>
      <x:c r="U148" s="30" t="str"/>
      <x:c r="V148" s="30" t="str"/>
      <x:c r="W148" s="31" t="str"/>
    </x:row>
    <x:row r="149">
      <x:c r="A149" s="30" t="str">
        <x:f>IF(B149="","",B149&amp;"-"&amp;C149)</x:f>
      </x:c>
      <x:c r="B149" s="30" t="str">
        <x:f>'01_命例主档'!A34</x:f>
      </x:c>
      <x:c r="C149" s="30" t="str">
        <x:v>金</x:v>
      </x:c>
      <x:c r="D149" s="30" t="str"/>
      <x:c r="E149" s="30" t="str"/>
      <x:c r="F149" s="30" t="str"/>
      <x:c r="G149" s="30" t="str"/>
      <x:c r="H149" s="30" t="str"/>
      <x:c r="I149" s="30" t="str"/>
      <x:c r="J149" s="30" t="str"/>
      <x:c r="K149" s="30" t="str"/>
      <x:c r="L149" s="30" t="str"/>
      <x:c r="M149" s="30" t="str"/>
      <x:c r="N149" s="30" t="str"/>
      <x:c r="O149" s="30" t="str"/>
      <x:c r="P149" s="30" t="str"/>
      <x:c r="Q149" s="30" t="str"/>
      <x:c r="R149" s="30" t="str"/>
      <x:c r="S149" s="30" t="str"/>
      <x:c r="T149" s="30" t="str"/>
      <x:c r="U149" s="30" t="str"/>
      <x:c r="V149" s="30" t="str"/>
      <x:c r="W149" s="31" t="str"/>
    </x:row>
    <x:row r="150">
      <x:c r="A150" s="30" t="str">
        <x:f>IF(B150="","",B150&amp;"-"&amp;C150)</x:f>
      </x:c>
      <x:c r="B150" s="30" t="str">
        <x:f>'01_命例主档'!A34</x:f>
      </x:c>
      <x:c r="C150" s="30" t="str">
        <x:v>水</x:v>
      </x:c>
      <x:c r="D150" s="30" t="str"/>
      <x:c r="E150" s="30" t="str"/>
      <x:c r="F150" s="30" t="str"/>
      <x:c r="G150" s="30" t="str"/>
      <x:c r="H150" s="30" t="str"/>
      <x:c r="I150" s="30" t="str"/>
      <x:c r="J150" s="30" t="str"/>
      <x:c r="K150" s="30" t="str"/>
      <x:c r="L150" s="30" t="str"/>
      <x:c r="M150" s="30" t="str"/>
      <x:c r="N150" s="30" t="str"/>
      <x:c r="O150" s="30" t="str"/>
      <x:c r="P150" s="30" t="str"/>
      <x:c r="Q150" s="30" t="str"/>
      <x:c r="R150" s="30" t="str"/>
      <x:c r="S150" s="30" t="str"/>
      <x:c r="T150" s="30" t="str"/>
      <x:c r="U150" s="30" t="str"/>
      <x:c r="V150" s="30" t="str"/>
      <x:c r="W150" s="31" t="str"/>
    </x:row>
    <x:row r="151">
      <x:c r="A151" s="30" t="str">
        <x:f>IF(B151="","",B151&amp;"-"&amp;C151)</x:f>
      </x:c>
      <x:c r="B151" s="30" t="str">
        <x:f>'01_命例主档'!A35</x:f>
      </x:c>
      <x:c r="C151" s="30" t="str">
        <x:v>木</x:v>
      </x:c>
      <x:c r="D151" s="30" t="str"/>
      <x:c r="E151" s="30" t="str"/>
      <x:c r="F151" s="30" t="str"/>
      <x:c r="G151" s="30" t="str"/>
      <x:c r="H151" s="30" t="str"/>
      <x:c r="I151" s="30" t="str"/>
      <x:c r="J151" s="30" t="str"/>
      <x:c r="K151" s="30" t="str"/>
      <x:c r="L151" s="30" t="str"/>
      <x:c r="M151" s="30" t="str"/>
      <x:c r="N151" s="30" t="str"/>
      <x:c r="O151" s="30" t="str"/>
      <x:c r="P151" s="30" t="str"/>
      <x:c r="Q151" s="30" t="str"/>
      <x:c r="R151" s="30" t="str"/>
      <x:c r="S151" s="30" t="str"/>
      <x:c r="T151" s="30" t="str"/>
      <x:c r="U151" s="30" t="str"/>
      <x:c r="V151" s="30" t="str"/>
      <x:c r="W151" s="31" t="str"/>
    </x:row>
    <x:row r="152">
      <x:c r="A152" s="30" t="str">
        <x:f>IF(B152="","",B152&amp;"-"&amp;C152)</x:f>
      </x:c>
      <x:c r="B152" s="30" t="str">
        <x:f>'01_命例主档'!A35</x:f>
      </x:c>
      <x:c r="C152" s="30" t="str">
        <x:v>火</x:v>
      </x:c>
      <x:c r="D152" s="30" t="str"/>
      <x:c r="E152" s="30" t="str"/>
      <x:c r="F152" s="30" t="str"/>
      <x:c r="G152" s="30" t="str"/>
      <x:c r="H152" s="30" t="str"/>
      <x:c r="I152" s="30" t="str"/>
      <x:c r="J152" s="30" t="str"/>
      <x:c r="K152" s="30" t="str"/>
      <x:c r="L152" s="30" t="str"/>
      <x:c r="M152" s="30" t="str"/>
      <x:c r="N152" s="30" t="str"/>
      <x:c r="O152" s="30" t="str"/>
      <x:c r="P152" s="30" t="str"/>
      <x:c r="Q152" s="30" t="str"/>
      <x:c r="R152" s="30" t="str"/>
      <x:c r="S152" s="30" t="str"/>
      <x:c r="T152" s="30" t="str"/>
      <x:c r="U152" s="30" t="str"/>
      <x:c r="V152" s="30" t="str"/>
      <x:c r="W152" s="31" t="str"/>
    </x:row>
    <x:row r="153">
      <x:c r="A153" s="30" t="str">
        <x:f>IF(B153="","",B153&amp;"-"&amp;C153)</x:f>
      </x:c>
      <x:c r="B153" s="30" t="str">
        <x:f>'01_命例主档'!A35</x:f>
      </x:c>
      <x:c r="C153" s="30" t="str">
        <x:v>土</x:v>
      </x:c>
      <x:c r="D153" s="30" t="str"/>
      <x:c r="E153" s="30" t="str"/>
      <x:c r="F153" s="30" t="str"/>
      <x:c r="G153" s="30" t="str"/>
      <x:c r="H153" s="30" t="str"/>
      <x:c r="I153" s="30" t="str"/>
      <x:c r="J153" s="30" t="str"/>
      <x:c r="K153" s="30" t="str"/>
      <x:c r="L153" s="30" t="str"/>
      <x:c r="M153" s="30" t="str"/>
      <x:c r="N153" s="30" t="str"/>
      <x:c r="O153" s="30" t="str"/>
      <x:c r="P153" s="30" t="str"/>
      <x:c r="Q153" s="30" t="str"/>
      <x:c r="R153" s="30" t="str"/>
      <x:c r="S153" s="30" t="str"/>
      <x:c r="T153" s="30" t="str"/>
      <x:c r="U153" s="30" t="str"/>
      <x:c r="V153" s="30" t="str"/>
      <x:c r="W153" s="31" t="str"/>
    </x:row>
    <x:row r="154">
      <x:c r="A154" s="30" t="str">
        <x:f>IF(B154="","",B154&amp;"-"&amp;C154)</x:f>
      </x:c>
      <x:c r="B154" s="30" t="str">
        <x:f>'01_命例主档'!A35</x:f>
      </x:c>
      <x:c r="C154" s="30" t="str">
        <x:v>金</x:v>
      </x:c>
      <x:c r="D154" s="30" t="str"/>
      <x:c r="E154" s="30" t="str"/>
      <x:c r="F154" s="30" t="str"/>
      <x:c r="G154" s="30" t="str"/>
      <x:c r="H154" s="30" t="str"/>
      <x:c r="I154" s="30" t="str"/>
      <x:c r="J154" s="30" t="str"/>
      <x:c r="K154" s="30" t="str"/>
      <x:c r="L154" s="30" t="str"/>
      <x:c r="M154" s="30" t="str"/>
      <x:c r="N154" s="30" t="str"/>
      <x:c r="O154" s="30" t="str"/>
      <x:c r="P154" s="30" t="str"/>
      <x:c r="Q154" s="30" t="str"/>
      <x:c r="R154" s="30" t="str"/>
      <x:c r="S154" s="30" t="str"/>
      <x:c r="T154" s="30" t="str"/>
      <x:c r="U154" s="30" t="str"/>
      <x:c r="V154" s="30" t="str"/>
      <x:c r="W154" s="31" t="str"/>
    </x:row>
    <x:row r="155">
      <x:c r="A155" s="30" t="str">
        <x:f>IF(B155="","",B155&amp;"-"&amp;C155)</x:f>
      </x:c>
      <x:c r="B155" s="30" t="str">
        <x:f>'01_命例主档'!A35</x:f>
      </x:c>
      <x:c r="C155" s="30" t="str">
        <x:v>水</x:v>
      </x:c>
      <x:c r="D155" s="30" t="str"/>
      <x:c r="E155" s="30" t="str"/>
      <x:c r="F155" s="30" t="str"/>
      <x:c r="G155" s="30" t="str"/>
      <x:c r="H155" s="30" t="str"/>
      <x:c r="I155" s="30" t="str"/>
      <x:c r="J155" s="30" t="str"/>
      <x:c r="K155" s="30" t="str"/>
      <x:c r="L155" s="30" t="str"/>
      <x:c r="M155" s="30" t="str"/>
      <x:c r="N155" s="30" t="str"/>
      <x:c r="O155" s="30" t="str"/>
      <x:c r="P155" s="30" t="str"/>
      <x:c r="Q155" s="30" t="str"/>
      <x:c r="R155" s="30" t="str"/>
      <x:c r="S155" s="30" t="str"/>
      <x:c r="T155" s="30" t="str"/>
      <x:c r="U155" s="30" t="str"/>
      <x:c r="V155" s="30" t="str"/>
      <x:c r="W155" s="31" t="str"/>
    </x:row>
    <x:row r="156">
      <x:c r="A156" s="30" t="str">
        <x:f>IF(B156="","",B156&amp;"-"&amp;C156)</x:f>
      </x:c>
      <x:c r="B156" s="30" t="str">
        <x:f>'01_命例主档'!A36</x:f>
      </x:c>
      <x:c r="C156" s="30" t="str">
        <x:v>木</x:v>
      </x:c>
      <x:c r="D156" s="30" t="str"/>
      <x:c r="E156" s="30" t="str"/>
      <x:c r="F156" s="30" t="str"/>
      <x:c r="G156" s="30" t="str"/>
      <x:c r="H156" s="30" t="str"/>
      <x:c r="I156" s="30" t="str"/>
      <x:c r="J156" s="30" t="str"/>
      <x:c r="K156" s="30" t="str"/>
      <x:c r="L156" s="30" t="str"/>
      <x:c r="M156" s="30" t="str"/>
      <x:c r="N156" s="30" t="str"/>
      <x:c r="O156" s="30" t="str"/>
      <x:c r="P156" s="30" t="str"/>
      <x:c r="Q156" s="30" t="str"/>
      <x:c r="R156" s="30" t="str"/>
      <x:c r="S156" s="30" t="str"/>
      <x:c r="T156" s="30" t="str"/>
      <x:c r="U156" s="30" t="str"/>
      <x:c r="V156" s="30" t="str"/>
      <x:c r="W156" s="31" t="str"/>
    </x:row>
    <x:row r="157">
      <x:c r="A157" s="30" t="str">
        <x:f>IF(B157="","",B157&amp;"-"&amp;C157)</x:f>
      </x:c>
      <x:c r="B157" s="30" t="str">
        <x:f>'01_命例主档'!A36</x:f>
      </x:c>
      <x:c r="C157" s="30" t="str">
        <x:v>火</x:v>
      </x:c>
      <x:c r="D157" s="30" t="str"/>
      <x:c r="E157" s="30" t="str"/>
      <x:c r="F157" s="30" t="str"/>
      <x:c r="G157" s="30" t="str"/>
      <x:c r="H157" s="30" t="str"/>
      <x:c r="I157" s="30" t="str"/>
      <x:c r="J157" s="30" t="str"/>
      <x:c r="K157" s="30" t="str"/>
      <x:c r="L157" s="30" t="str"/>
      <x:c r="M157" s="30" t="str"/>
      <x:c r="N157" s="30" t="str"/>
      <x:c r="O157" s="30" t="str"/>
      <x:c r="P157" s="30" t="str"/>
      <x:c r="Q157" s="30" t="str"/>
      <x:c r="R157" s="30" t="str"/>
      <x:c r="S157" s="30" t="str"/>
      <x:c r="T157" s="30" t="str"/>
      <x:c r="U157" s="30" t="str"/>
      <x:c r="V157" s="30" t="str"/>
      <x:c r="W157" s="31" t="str"/>
    </x:row>
    <x:row r="158">
      <x:c r="A158" s="30" t="str">
        <x:f>IF(B158="","",B158&amp;"-"&amp;C158)</x:f>
      </x:c>
      <x:c r="B158" s="30" t="str">
        <x:f>'01_命例主档'!A36</x:f>
      </x:c>
      <x:c r="C158" s="30" t="str">
        <x:v>土</x:v>
      </x:c>
      <x:c r="D158" s="30" t="str"/>
      <x:c r="E158" s="30" t="str"/>
      <x:c r="F158" s="30" t="str"/>
      <x:c r="G158" s="30" t="str"/>
      <x:c r="H158" s="30" t="str"/>
      <x:c r="I158" s="30" t="str"/>
      <x:c r="J158" s="30" t="str"/>
      <x:c r="K158" s="30" t="str"/>
      <x:c r="L158" s="30" t="str"/>
      <x:c r="M158" s="30" t="str"/>
      <x:c r="N158" s="30" t="str"/>
      <x:c r="O158" s="30" t="str"/>
      <x:c r="P158" s="30" t="str"/>
      <x:c r="Q158" s="30" t="str"/>
      <x:c r="R158" s="30" t="str"/>
      <x:c r="S158" s="30" t="str"/>
      <x:c r="T158" s="30" t="str"/>
      <x:c r="U158" s="30" t="str"/>
      <x:c r="V158" s="30" t="str"/>
      <x:c r="W158" s="31" t="str"/>
    </x:row>
    <x:row r="159">
      <x:c r="A159" s="30" t="str">
        <x:f>IF(B159="","",B159&amp;"-"&amp;C159)</x:f>
      </x:c>
      <x:c r="B159" s="30" t="str">
        <x:f>'01_命例主档'!A36</x:f>
      </x:c>
      <x:c r="C159" s="30" t="str">
        <x:v>金</x:v>
      </x:c>
      <x:c r="D159" s="30" t="str"/>
      <x:c r="E159" s="30" t="str"/>
      <x:c r="F159" s="30" t="str"/>
      <x:c r="G159" s="30" t="str"/>
      <x:c r="H159" s="30" t="str"/>
      <x:c r="I159" s="30" t="str"/>
      <x:c r="J159" s="30" t="str"/>
      <x:c r="K159" s="30" t="str"/>
      <x:c r="L159" s="30" t="str"/>
      <x:c r="M159" s="30" t="str"/>
      <x:c r="N159" s="30" t="str"/>
      <x:c r="O159" s="30" t="str"/>
      <x:c r="P159" s="30" t="str"/>
      <x:c r="Q159" s="30" t="str"/>
      <x:c r="R159" s="30" t="str"/>
      <x:c r="S159" s="30" t="str"/>
      <x:c r="T159" s="30" t="str"/>
      <x:c r="U159" s="30" t="str"/>
      <x:c r="V159" s="30" t="str"/>
      <x:c r="W159" s="31" t="str"/>
    </x:row>
    <x:row r="160">
      <x:c r="A160" s="30" t="str">
        <x:f>IF(B160="","",B160&amp;"-"&amp;C160)</x:f>
      </x:c>
      <x:c r="B160" s="30" t="str">
        <x:f>'01_命例主档'!A36</x:f>
      </x:c>
      <x:c r="C160" s="30" t="str">
        <x:v>水</x:v>
      </x:c>
      <x:c r="D160" s="30" t="str"/>
      <x:c r="E160" s="30" t="str"/>
      <x:c r="F160" s="30" t="str"/>
      <x:c r="G160" s="30" t="str"/>
      <x:c r="H160" s="30" t="str"/>
      <x:c r="I160" s="30" t="str"/>
      <x:c r="J160" s="30" t="str"/>
      <x:c r="K160" s="30" t="str"/>
      <x:c r="L160" s="30" t="str"/>
      <x:c r="M160" s="30" t="str"/>
      <x:c r="N160" s="30" t="str"/>
      <x:c r="O160" s="30" t="str"/>
      <x:c r="P160" s="30" t="str"/>
      <x:c r="Q160" s="30" t="str"/>
      <x:c r="R160" s="30" t="str"/>
      <x:c r="S160" s="30" t="str"/>
      <x:c r="T160" s="30" t="str"/>
      <x:c r="U160" s="30" t="str"/>
      <x:c r="V160" s="30" t="str"/>
      <x:c r="W160" s="31" t="str"/>
    </x:row>
    <x:row r="161">
      <x:c r="A161" s="30" t="str">
        <x:f>IF(B161="","",B161&amp;"-"&amp;C161)</x:f>
      </x:c>
      <x:c r="B161" s="30" t="str">
        <x:f>'01_命例主档'!A37</x:f>
      </x:c>
      <x:c r="C161" s="30" t="str">
        <x:v>木</x:v>
      </x:c>
      <x:c r="D161" s="30" t="str"/>
      <x:c r="E161" s="30" t="str"/>
      <x:c r="F161" s="30" t="str"/>
      <x:c r="G161" s="30" t="str"/>
      <x:c r="H161" s="30" t="str"/>
      <x:c r="I161" s="30" t="str"/>
      <x:c r="J161" s="30" t="str"/>
      <x:c r="K161" s="30" t="str"/>
      <x:c r="L161" s="30" t="str"/>
      <x:c r="M161" s="30" t="str"/>
      <x:c r="N161" s="30" t="str"/>
      <x:c r="O161" s="30" t="str"/>
      <x:c r="P161" s="30" t="str"/>
      <x:c r="Q161" s="30" t="str"/>
      <x:c r="R161" s="30" t="str"/>
      <x:c r="S161" s="30" t="str"/>
      <x:c r="T161" s="30" t="str"/>
      <x:c r="U161" s="30" t="str"/>
      <x:c r="V161" s="30" t="str"/>
      <x:c r="W161" s="31" t="str"/>
    </x:row>
    <x:row r="162">
      <x:c r="A162" s="30" t="str">
        <x:f>IF(B162="","",B162&amp;"-"&amp;C162)</x:f>
      </x:c>
      <x:c r="B162" s="30" t="str">
        <x:f>'01_命例主档'!A37</x:f>
      </x:c>
      <x:c r="C162" s="30" t="str">
        <x:v>火</x:v>
      </x:c>
      <x:c r="D162" s="30" t="str"/>
      <x:c r="E162" s="30" t="str"/>
      <x:c r="F162" s="30" t="str"/>
      <x:c r="G162" s="30" t="str"/>
      <x:c r="H162" s="30" t="str"/>
      <x:c r="I162" s="30" t="str"/>
      <x:c r="J162" s="30" t="str"/>
      <x:c r="K162" s="30" t="str"/>
      <x:c r="L162" s="30" t="str"/>
      <x:c r="M162" s="30" t="str"/>
      <x:c r="N162" s="30" t="str"/>
      <x:c r="O162" s="30" t="str"/>
      <x:c r="P162" s="30" t="str"/>
      <x:c r="Q162" s="30" t="str"/>
      <x:c r="R162" s="30" t="str"/>
      <x:c r="S162" s="30" t="str"/>
      <x:c r="T162" s="30" t="str"/>
      <x:c r="U162" s="30" t="str"/>
      <x:c r="V162" s="30" t="str"/>
      <x:c r="W162" s="31" t="str"/>
    </x:row>
    <x:row r="163">
      <x:c r="A163" s="30" t="str">
        <x:f>IF(B163="","",B163&amp;"-"&amp;C163)</x:f>
      </x:c>
      <x:c r="B163" s="30" t="str">
        <x:f>'01_命例主档'!A37</x:f>
      </x:c>
      <x:c r="C163" s="30" t="str">
        <x:v>土</x:v>
      </x:c>
      <x:c r="D163" s="30" t="str"/>
      <x:c r="E163" s="30" t="str"/>
      <x:c r="F163" s="30" t="str"/>
      <x:c r="G163" s="30" t="str"/>
      <x:c r="H163" s="30" t="str"/>
      <x:c r="I163" s="30" t="str"/>
      <x:c r="J163" s="30" t="str"/>
      <x:c r="K163" s="30" t="str"/>
      <x:c r="L163" s="30" t="str"/>
      <x:c r="M163" s="30" t="str"/>
      <x:c r="N163" s="30" t="str"/>
      <x:c r="O163" s="30" t="str"/>
      <x:c r="P163" s="30" t="str"/>
      <x:c r="Q163" s="30" t="str"/>
      <x:c r="R163" s="30" t="str"/>
      <x:c r="S163" s="30" t="str"/>
      <x:c r="T163" s="30" t="str"/>
      <x:c r="U163" s="30" t="str"/>
      <x:c r="V163" s="30" t="str"/>
      <x:c r="W163" s="31" t="str"/>
    </x:row>
    <x:row r="164">
      <x:c r="A164" s="30" t="str">
        <x:f>IF(B164="","",B164&amp;"-"&amp;C164)</x:f>
      </x:c>
      <x:c r="B164" s="30" t="str">
        <x:f>'01_命例主档'!A37</x:f>
      </x:c>
      <x:c r="C164" s="30" t="str">
        <x:v>金</x:v>
      </x:c>
      <x:c r="D164" s="30" t="str"/>
      <x:c r="E164" s="30" t="str"/>
      <x:c r="F164" s="30" t="str"/>
      <x:c r="G164" s="30" t="str"/>
      <x:c r="H164" s="30" t="str"/>
      <x:c r="I164" s="30" t="str"/>
      <x:c r="J164" s="30" t="str"/>
      <x:c r="K164" s="30" t="str"/>
      <x:c r="L164" s="30" t="str"/>
      <x:c r="M164" s="30" t="str"/>
      <x:c r="N164" s="30" t="str"/>
      <x:c r="O164" s="30" t="str"/>
      <x:c r="P164" s="30" t="str"/>
      <x:c r="Q164" s="30" t="str"/>
      <x:c r="R164" s="30" t="str"/>
      <x:c r="S164" s="30" t="str"/>
      <x:c r="T164" s="30" t="str"/>
      <x:c r="U164" s="30" t="str"/>
      <x:c r="V164" s="30" t="str"/>
      <x:c r="W164" s="31" t="str"/>
    </x:row>
    <x:row r="165">
      <x:c r="A165" s="30" t="str">
        <x:f>IF(B165="","",B165&amp;"-"&amp;C165)</x:f>
      </x:c>
      <x:c r="B165" s="30" t="str">
        <x:f>'01_命例主档'!A37</x:f>
      </x:c>
      <x:c r="C165" s="30" t="str">
        <x:v>水</x:v>
      </x:c>
      <x:c r="D165" s="30" t="str"/>
      <x:c r="E165" s="30" t="str"/>
      <x:c r="F165" s="30" t="str"/>
      <x:c r="G165" s="30" t="str"/>
      <x:c r="H165" s="30" t="str"/>
      <x:c r="I165" s="30" t="str"/>
      <x:c r="J165" s="30" t="str"/>
      <x:c r="K165" s="30" t="str"/>
      <x:c r="L165" s="30" t="str"/>
      <x:c r="M165" s="30" t="str"/>
      <x:c r="N165" s="30" t="str"/>
      <x:c r="O165" s="30" t="str"/>
      <x:c r="P165" s="30" t="str"/>
      <x:c r="Q165" s="30" t="str"/>
      <x:c r="R165" s="30" t="str"/>
      <x:c r="S165" s="30" t="str"/>
      <x:c r="T165" s="30" t="str"/>
      <x:c r="U165" s="30" t="str"/>
      <x:c r="V165" s="30" t="str"/>
      <x:c r="W165" s="31" t="str"/>
    </x:row>
    <x:row r="166">
      <x:c r="A166" s="30" t="str">
        <x:f>IF(B166="","",B166&amp;"-"&amp;C166)</x:f>
      </x:c>
      <x:c r="B166" s="30" t="str">
        <x:f>'01_命例主档'!A38</x:f>
      </x:c>
      <x:c r="C166" s="30" t="str">
        <x:v>木</x:v>
      </x:c>
      <x:c r="D166" s="30" t="str"/>
      <x:c r="E166" s="30" t="str"/>
      <x:c r="F166" s="30" t="str"/>
      <x:c r="G166" s="30" t="str"/>
      <x:c r="H166" s="30" t="str"/>
      <x:c r="I166" s="30" t="str"/>
      <x:c r="J166" s="30" t="str"/>
      <x:c r="K166" s="30" t="str"/>
      <x:c r="L166" s="30" t="str"/>
      <x:c r="M166" s="30" t="str"/>
      <x:c r="N166" s="30" t="str"/>
      <x:c r="O166" s="30" t="str"/>
      <x:c r="P166" s="30" t="str"/>
      <x:c r="Q166" s="30" t="str"/>
      <x:c r="R166" s="30" t="str"/>
      <x:c r="S166" s="30" t="str"/>
      <x:c r="T166" s="30" t="str"/>
      <x:c r="U166" s="30" t="str"/>
      <x:c r="V166" s="30" t="str"/>
      <x:c r="W166" s="31" t="str"/>
    </x:row>
    <x:row r="167">
      <x:c r="A167" s="30" t="str">
        <x:f>IF(B167="","",B167&amp;"-"&amp;C167)</x:f>
      </x:c>
      <x:c r="B167" s="30" t="str">
        <x:f>'01_命例主档'!A38</x:f>
      </x:c>
      <x:c r="C167" s="30" t="str">
        <x:v>火</x:v>
      </x:c>
      <x:c r="D167" s="30" t="str"/>
      <x:c r="E167" s="30" t="str"/>
      <x:c r="F167" s="30" t="str"/>
      <x:c r="G167" s="30" t="str"/>
      <x:c r="H167" s="30" t="str"/>
      <x:c r="I167" s="30" t="str"/>
      <x:c r="J167" s="30" t="str"/>
      <x:c r="K167" s="30" t="str"/>
      <x:c r="L167" s="30" t="str"/>
      <x:c r="M167" s="30" t="str"/>
      <x:c r="N167" s="30" t="str"/>
      <x:c r="O167" s="30" t="str"/>
      <x:c r="P167" s="30" t="str"/>
      <x:c r="Q167" s="30" t="str"/>
      <x:c r="R167" s="30" t="str"/>
      <x:c r="S167" s="30" t="str"/>
      <x:c r="T167" s="30" t="str"/>
      <x:c r="U167" s="30" t="str"/>
      <x:c r="V167" s="30" t="str"/>
      <x:c r="W167" s="31" t="str"/>
    </x:row>
    <x:row r="168">
      <x:c r="A168" s="30" t="str">
        <x:f>IF(B168="","",B168&amp;"-"&amp;C168)</x:f>
      </x:c>
      <x:c r="B168" s="30" t="str">
        <x:f>'01_命例主档'!A38</x:f>
      </x:c>
      <x:c r="C168" s="30" t="str">
        <x:v>土</x:v>
      </x:c>
      <x:c r="D168" s="30" t="str"/>
      <x:c r="E168" s="30" t="str"/>
      <x:c r="F168" s="30" t="str"/>
      <x:c r="G168" s="30" t="str"/>
      <x:c r="H168" s="30" t="str"/>
      <x:c r="I168" s="30" t="str"/>
      <x:c r="J168" s="30" t="str"/>
      <x:c r="K168" s="30" t="str"/>
      <x:c r="L168" s="30" t="str"/>
      <x:c r="M168" s="30" t="str"/>
      <x:c r="N168" s="30" t="str"/>
      <x:c r="O168" s="30" t="str"/>
      <x:c r="P168" s="30" t="str"/>
      <x:c r="Q168" s="30" t="str"/>
      <x:c r="R168" s="30" t="str"/>
      <x:c r="S168" s="30" t="str"/>
      <x:c r="T168" s="30" t="str"/>
      <x:c r="U168" s="30" t="str"/>
      <x:c r="V168" s="30" t="str"/>
      <x:c r="W168" s="31" t="str"/>
    </x:row>
    <x:row r="169">
      <x:c r="A169" s="30" t="str">
        <x:f>IF(B169="","",B169&amp;"-"&amp;C169)</x:f>
      </x:c>
      <x:c r="B169" s="30" t="str">
        <x:f>'01_命例主档'!A38</x:f>
      </x:c>
      <x:c r="C169" s="30" t="str">
        <x:v>金</x:v>
      </x:c>
      <x:c r="D169" s="30" t="str"/>
      <x:c r="E169" s="30" t="str"/>
      <x:c r="F169" s="30" t="str"/>
      <x:c r="G169" s="30" t="str"/>
      <x:c r="H169" s="30" t="str"/>
      <x:c r="I169" s="30" t="str"/>
      <x:c r="J169" s="30" t="str"/>
      <x:c r="K169" s="30" t="str"/>
      <x:c r="L169" s="30" t="str"/>
      <x:c r="M169" s="30" t="str"/>
      <x:c r="N169" s="30" t="str"/>
      <x:c r="O169" s="30" t="str"/>
      <x:c r="P169" s="30" t="str"/>
      <x:c r="Q169" s="30" t="str"/>
      <x:c r="R169" s="30" t="str"/>
      <x:c r="S169" s="30" t="str"/>
      <x:c r="T169" s="30" t="str"/>
      <x:c r="U169" s="30" t="str"/>
      <x:c r="V169" s="30" t="str"/>
      <x:c r="W169" s="31" t="str"/>
    </x:row>
    <x:row r="170">
      <x:c r="A170" s="30" t="str">
        <x:f>IF(B170="","",B170&amp;"-"&amp;C170)</x:f>
      </x:c>
      <x:c r="B170" s="30" t="str">
        <x:f>'01_命例主档'!A38</x:f>
      </x:c>
      <x:c r="C170" s="30" t="str">
        <x:v>水</x:v>
      </x:c>
      <x:c r="D170" s="30" t="str"/>
      <x:c r="E170" s="30" t="str"/>
      <x:c r="F170" s="30" t="str"/>
      <x:c r="G170" s="30" t="str"/>
      <x:c r="H170" s="30" t="str"/>
      <x:c r="I170" s="30" t="str"/>
      <x:c r="J170" s="30" t="str"/>
      <x:c r="K170" s="30" t="str"/>
      <x:c r="L170" s="30" t="str"/>
      <x:c r="M170" s="30" t="str"/>
      <x:c r="N170" s="30" t="str"/>
      <x:c r="O170" s="30" t="str"/>
      <x:c r="P170" s="30" t="str"/>
      <x:c r="Q170" s="30" t="str"/>
      <x:c r="R170" s="30" t="str"/>
      <x:c r="S170" s="30" t="str"/>
      <x:c r="T170" s="30" t="str"/>
      <x:c r="U170" s="30" t="str"/>
      <x:c r="V170" s="30" t="str"/>
      <x:c r="W170" s="31" t="str"/>
    </x:row>
    <x:row r="171">
      <x:c r="A171" s="30" t="str">
        <x:f>IF(B171="","",B171&amp;"-"&amp;C171)</x:f>
      </x:c>
      <x:c r="B171" s="30" t="str">
        <x:f>'01_命例主档'!A39</x:f>
      </x:c>
      <x:c r="C171" s="30" t="str">
        <x:v>木</x:v>
      </x:c>
      <x:c r="D171" s="30" t="str"/>
      <x:c r="E171" s="30" t="str"/>
      <x:c r="F171" s="30" t="str"/>
      <x:c r="G171" s="30" t="str"/>
      <x:c r="H171" s="30" t="str"/>
      <x:c r="I171" s="30" t="str"/>
      <x:c r="J171" s="30" t="str"/>
      <x:c r="K171" s="30" t="str"/>
      <x:c r="L171" s="30" t="str"/>
      <x:c r="M171" s="30" t="str"/>
      <x:c r="N171" s="30" t="str"/>
      <x:c r="O171" s="30" t="str"/>
      <x:c r="P171" s="30" t="str"/>
      <x:c r="Q171" s="30" t="str"/>
      <x:c r="R171" s="30" t="str"/>
      <x:c r="S171" s="30" t="str"/>
      <x:c r="T171" s="30" t="str"/>
      <x:c r="U171" s="30" t="str"/>
      <x:c r="V171" s="30" t="str"/>
      <x:c r="W171" s="31" t="str"/>
    </x:row>
    <x:row r="172">
      <x:c r="A172" s="30" t="str">
        <x:f>IF(B172="","",B172&amp;"-"&amp;C172)</x:f>
      </x:c>
      <x:c r="B172" s="30" t="str">
        <x:f>'01_命例主档'!A39</x:f>
      </x:c>
      <x:c r="C172" s="30" t="str">
        <x:v>火</x:v>
      </x:c>
      <x:c r="D172" s="30" t="str"/>
      <x:c r="E172" s="30" t="str"/>
      <x:c r="F172" s="30" t="str"/>
      <x:c r="G172" s="30" t="str"/>
      <x:c r="H172" s="30" t="str"/>
      <x:c r="I172" s="30" t="str"/>
      <x:c r="J172" s="30" t="str"/>
      <x:c r="K172" s="30" t="str"/>
      <x:c r="L172" s="30" t="str"/>
      <x:c r="M172" s="30" t="str"/>
      <x:c r="N172" s="30" t="str"/>
      <x:c r="O172" s="30" t="str"/>
      <x:c r="P172" s="30" t="str"/>
      <x:c r="Q172" s="30" t="str"/>
      <x:c r="R172" s="30" t="str"/>
      <x:c r="S172" s="30" t="str"/>
      <x:c r="T172" s="30" t="str"/>
      <x:c r="U172" s="30" t="str"/>
      <x:c r="V172" s="30" t="str"/>
      <x:c r="W172" s="31" t="str"/>
    </x:row>
    <x:row r="173">
      <x:c r="A173" s="30" t="str">
        <x:f>IF(B173="","",B173&amp;"-"&amp;C173)</x:f>
      </x:c>
      <x:c r="B173" s="30" t="str">
        <x:f>'01_命例主档'!A39</x:f>
      </x:c>
      <x:c r="C173" s="30" t="str">
        <x:v>土</x:v>
      </x:c>
      <x:c r="D173" s="30" t="str"/>
      <x:c r="E173" s="30" t="str"/>
      <x:c r="F173" s="30" t="str"/>
      <x:c r="G173" s="30" t="str"/>
      <x:c r="H173" s="30" t="str"/>
      <x:c r="I173" s="30" t="str"/>
      <x:c r="J173" s="30" t="str"/>
      <x:c r="K173" s="30" t="str"/>
      <x:c r="L173" s="30" t="str"/>
      <x:c r="M173" s="30" t="str"/>
      <x:c r="N173" s="30" t="str"/>
      <x:c r="O173" s="30" t="str"/>
      <x:c r="P173" s="30" t="str"/>
      <x:c r="Q173" s="30" t="str"/>
      <x:c r="R173" s="30" t="str"/>
      <x:c r="S173" s="30" t="str"/>
      <x:c r="T173" s="30" t="str"/>
      <x:c r="U173" s="30" t="str"/>
      <x:c r="V173" s="30" t="str"/>
      <x:c r="W173" s="31" t="str"/>
    </x:row>
    <x:row r="174">
      <x:c r="A174" s="30" t="str">
        <x:f>IF(B174="","",B174&amp;"-"&amp;C174)</x:f>
      </x:c>
      <x:c r="B174" s="30" t="str">
        <x:f>'01_命例主档'!A39</x:f>
      </x:c>
      <x:c r="C174" s="30" t="str">
        <x:v>金</x:v>
      </x:c>
      <x:c r="D174" s="30" t="str"/>
      <x:c r="E174" s="30" t="str"/>
      <x:c r="F174" s="30" t="str"/>
      <x:c r="G174" s="30" t="str"/>
      <x:c r="H174" s="30" t="str"/>
      <x:c r="I174" s="30" t="str"/>
      <x:c r="J174" s="30" t="str"/>
      <x:c r="K174" s="30" t="str"/>
      <x:c r="L174" s="30" t="str"/>
      <x:c r="M174" s="30" t="str"/>
      <x:c r="N174" s="30" t="str"/>
      <x:c r="O174" s="30" t="str"/>
      <x:c r="P174" s="30" t="str"/>
      <x:c r="Q174" s="30" t="str"/>
      <x:c r="R174" s="30" t="str"/>
      <x:c r="S174" s="30" t="str"/>
      <x:c r="T174" s="30" t="str"/>
      <x:c r="U174" s="30" t="str"/>
      <x:c r="V174" s="30" t="str"/>
      <x:c r="W174" s="31" t="str"/>
    </x:row>
    <x:row r="175">
      <x:c r="A175" s="30" t="str">
        <x:f>IF(B175="","",B175&amp;"-"&amp;C175)</x:f>
      </x:c>
      <x:c r="B175" s="30" t="str">
        <x:f>'01_命例主档'!A39</x:f>
      </x:c>
      <x:c r="C175" s="30" t="str">
        <x:v>水</x:v>
      </x:c>
      <x:c r="D175" s="30" t="str"/>
      <x:c r="E175" s="30" t="str"/>
      <x:c r="F175" s="30" t="str"/>
      <x:c r="G175" s="30" t="str"/>
      <x:c r="H175" s="30" t="str"/>
      <x:c r="I175" s="30" t="str"/>
      <x:c r="J175" s="30" t="str"/>
      <x:c r="K175" s="30" t="str"/>
      <x:c r="L175" s="30" t="str"/>
      <x:c r="M175" s="30" t="str"/>
      <x:c r="N175" s="30" t="str"/>
      <x:c r="O175" s="30" t="str"/>
      <x:c r="P175" s="30" t="str"/>
      <x:c r="Q175" s="30" t="str"/>
      <x:c r="R175" s="30" t="str"/>
      <x:c r="S175" s="30" t="str"/>
      <x:c r="T175" s="30" t="str"/>
      <x:c r="U175" s="30" t="str"/>
      <x:c r="V175" s="30" t="str"/>
      <x:c r="W175" s="31" t="str"/>
    </x:row>
    <x:row r="176">
      <x:c r="A176" s="30" t="str">
        <x:f>IF(B176="","",B176&amp;"-"&amp;C176)</x:f>
      </x:c>
      <x:c r="B176" s="30" t="str">
        <x:f>'01_命例主档'!A40</x:f>
      </x:c>
      <x:c r="C176" s="30" t="str">
        <x:v>木</x:v>
      </x:c>
      <x:c r="D176" s="30" t="str"/>
      <x:c r="E176" s="30" t="str"/>
      <x:c r="F176" s="30" t="str"/>
      <x:c r="G176" s="30" t="str"/>
      <x:c r="H176" s="30" t="str"/>
      <x:c r="I176" s="30" t="str"/>
      <x:c r="J176" s="30" t="str"/>
      <x:c r="K176" s="30" t="str"/>
      <x:c r="L176" s="30" t="str"/>
      <x:c r="M176" s="30" t="str"/>
      <x:c r="N176" s="30" t="str"/>
      <x:c r="O176" s="30" t="str"/>
      <x:c r="P176" s="30" t="str"/>
      <x:c r="Q176" s="30" t="str"/>
      <x:c r="R176" s="30" t="str"/>
      <x:c r="S176" s="30" t="str"/>
      <x:c r="T176" s="30" t="str"/>
      <x:c r="U176" s="30" t="str"/>
      <x:c r="V176" s="30" t="str"/>
      <x:c r="W176" s="31" t="str"/>
    </x:row>
    <x:row r="177">
      <x:c r="A177" s="30" t="str">
        <x:f>IF(B177="","",B177&amp;"-"&amp;C177)</x:f>
      </x:c>
      <x:c r="B177" s="30" t="str">
        <x:f>'01_命例主档'!A40</x:f>
      </x:c>
      <x:c r="C177" s="30" t="str">
        <x:v>火</x:v>
      </x:c>
      <x:c r="D177" s="30" t="str"/>
      <x:c r="E177" s="30" t="str"/>
      <x:c r="F177" s="30" t="str"/>
      <x:c r="G177" s="30" t="str"/>
      <x:c r="H177" s="30" t="str"/>
      <x:c r="I177" s="30" t="str"/>
      <x:c r="J177" s="30" t="str"/>
      <x:c r="K177" s="30" t="str"/>
      <x:c r="L177" s="30" t="str"/>
      <x:c r="M177" s="30" t="str"/>
      <x:c r="N177" s="30" t="str"/>
      <x:c r="O177" s="30" t="str"/>
      <x:c r="P177" s="30" t="str"/>
      <x:c r="Q177" s="30" t="str"/>
      <x:c r="R177" s="30" t="str"/>
      <x:c r="S177" s="30" t="str"/>
      <x:c r="T177" s="30" t="str"/>
      <x:c r="U177" s="30" t="str"/>
      <x:c r="V177" s="30" t="str"/>
      <x:c r="W177" s="31" t="str"/>
    </x:row>
    <x:row r="178">
      <x:c r="A178" s="30" t="str">
        <x:f>IF(B178="","",B178&amp;"-"&amp;C178)</x:f>
      </x:c>
      <x:c r="B178" s="30" t="str">
        <x:f>'01_命例主档'!A40</x:f>
      </x:c>
      <x:c r="C178" s="30" t="str">
        <x:v>土</x:v>
      </x:c>
      <x:c r="D178" s="30" t="str"/>
      <x:c r="E178" s="30" t="str"/>
      <x:c r="F178" s="30" t="str"/>
      <x:c r="G178" s="30" t="str"/>
      <x:c r="H178" s="30" t="str"/>
      <x:c r="I178" s="30" t="str"/>
      <x:c r="J178" s="30" t="str"/>
      <x:c r="K178" s="30" t="str"/>
      <x:c r="L178" s="30" t="str"/>
      <x:c r="M178" s="30" t="str"/>
      <x:c r="N178" s="30" t="str"/>
      <x:c r="O178" s="30" t="str"/>
      <x:c r="P178" s="30" t="str"/>
      <x:c r="Q178" s="30" t="str"/>
      <x:c r="R178" s="30" t="str"/>
      <x:c r="S178" s="30" t="str"/>
      <x:c r="T178" s="30" t="str"/>
      <x:c r="U178" s="30" t="str"/>
      <x:c r="V178" s="30" t="str"/>
      <x:c r="W178" s="31" t="str"/>
    </x:row>
    <x:row r="179">
      <x:c r="A179" s="30" t="str">
        <x:f>IF(B179="","",B179&amp;"-"&amp;C179)</x:f>
      </x:c>
      <x:c r="B179" s="30" t="str">
        <x:f>'01_命例主档'!A40</x:f>
      </x:c>
      <x:c r="C179" s="30" t="str">
        <x:v>金</x:v>
      </x:c>
      <x:c r="D179" s="30" t="str"/>
      <x:c r="E179" s="30" t="str"/>
      <x:c r="F179" s="30" t="str"/>
      <x:c r="G179" s="30" t="str"/>
      <x:c r="H179" s="30" t="str"/>
      <x:c r="I179" s="30" t="str"/>
      <x:c r="J179" s="30" t="str"/>
      <x:c r="K179" s="30" t="str"/>
      <x:c r="L179" s="30" t="str"/>
      <x:c r="M179" s="30" t="str"/>
      <x:c r="N179" s="30" t="str"/>
      <x:c r="O179" s="30" t="str"/>
      <x:c r="P179" s="30" t="str"/>
      <x:c r="Q179" s="30" t="str"/>
      <x:c r="R179" s="30" t="str"/>
      <x:c r="S179" s="30" t="str"/>
      <x:c r="T179" s="30" t="str"/>
      <x:c r="U179" s="30" t="str"/>
      <x:c r="V179" s="30" t="str"/>
      <x:c r="W179" s="31" t="str"/>
    </x:row>
    <x:row r="180">
      <x:c r="A180" s="30" t="str">
        <x:f>IF(B180="","",B180&amp;"-"&amp;C180)</x:f>
      </x:c>
      <x:c r="B180" s="30" t="str">
        <x:f>'01_命例主档'!A40</x:f>
      </x:c>
      <x:c r="C180" s="30" t="str">
        <x:v>水</x:v>
      </x:c>
      <x:c r="D180" s="30" t="str"/>
      <x:c r="E180" s="30" t="str"/>
      <x:c r="F180" s="30" t="str"/>
      <x:c r="G180" s="30" t="str"/>
      <x:c r="H180" s="30" t="str"/>
      <x:c r="I180" s="30" t="str"/>
      <x:c r="J180" s="30" t="str"/>
      <x:c r="K180" s="30" t="str"/>
      <x:c r="L180" s="30" t="str"/>
      <x:c r="M180" s="30" t="str"/>
      <x:c r="N180" s="30" t="str"/>
      <x:c r="O180" s="30" t="str"/>
      <x:c r="P180" s="30" t="str"/>
      <x:c r="Q180" s="30" t="str"/>
      <x:c r="R180" s="30" t="str"/>
      <x:c r="S180" s="30" t="str"/>
      <x:c r="T180" s="30" t="str"/>
      <x:c r="U180" s="30" t="str"/>
      <x:c r="V180" s="30" t="str"/>
      <x:c r="W180" s="31" t="str"/>
    </x:row>
    <x:row r="181">
      <x:c r="A181" s="30" t="str">
        <x:f>IF(B181="","",B181&amp;"-"&amp;C181)</x:f>
      </x:c>
      <x:c r="B181" s="30" t="str">
        <x:f>'01_命例主档'!A41</x:f>
      </x:c>
      <x:c r="C181" s="30" t="str">
        <x:v>木</x:v>
      </x:c>
      <x:c r="D181" s="30" t="str"/>
      <x:c r="E181" s="30" t="str"/>
      <x:c r="F181" s="30" t="str"/>
      <x:c r="G181" s="30" t="str"/>
      <x:c r="H181" s="30" t="str"/>
      <x:c r="I181" s="30" t="str"/>
      <x:c r="J181" s="30" t="str"/>
      <x:c r="K181" s="30" t="str"/>
      <x:c r="L181" s="30" t="str"/>
      <x:c r="M181" s="30" t="str"/>
      <x:c r="N181" s="30" t="str"/>
      <x:c r="O181" s="30" t="str"/>
      <x:c r="P181" s="30" t="str"/>
      <x:c r="Q181" s="30" t="str"/>
      <x:c r="R181" s="30" t="str"/>
      <x:c r="S181" s="30" t="str"/>
      <x:c r="T181" s="30" t="str"/>
      <x:c r="U181" s="30" t="str"/>
      <x:c r="V181" s="30" t="str"/>
      <x:c r="W181" s="31" t="str"/>
    </x:row>
    <x:row r="182">
      <x:c r="A182" s="30" t="str">
        <x:f>IF(B182="","",B182&amp;"-"&amp;C182)</x:f>
      </x:c>
      <x:c r="B182" s="30" t="str">
        <x:f>'01_命例主档'!A41</x:f>
      </x:c>
      <x:c r="C182" s="30" t="str">
        <x:v>火</x:v>
      </x:c>
      <x:c r="D182" s="30" t="str"/>
      <x:c r="E182" s="30" t="str"/>
      <x:c r="F182" s="30" t="str"/>
      <x:c r="G182" s="30" t="str"/>
      <x:c r="H182" s="30" t="str"/>
      <x:c r="I182" s="30" t="str"/>
      <x:c r="J182" s="30" t="str"/>
      <x:c r="K182" s="30" t="str"/>
      <x:c r="L182" s="30" t="str"/>
      <x:c r="M182" s="30" t="str"/>
      <x:c r="N182" s="30" t="str"/>
      <x:c r="O182" s="30" t="str"/>
      <x:c r="P182" s="30" t="str"/>
      <x:c r="Q182" s="30" t="str"/>
      <x:c r="R182" s="30" t="str"/>
      <x:c r="S182" s="30" t="str"/>
      <x:c r="T182" s="30" t="str"/>
      <x:c r="U182" s="30" t="str"/>
      <x:c r="V182" s="30" t="str"/>
      <x:c r="W182" s="31" t="str"/>
    </x:row>
    <x:row r="183">
      <x:c r="A183" s="30" t="str">
        <x:f>IF(B183="","",B183&amp;"-"&amp;C183)</x:f>
      </x:c>
      <x:c r="B183" s="30" t="str">
        <x:f>'01_命例主档'!A41</x:f>
      </x:c>
      <x:c r="C183" s="30" t="str">
        <x:v>土</x:v>
      </x:c>
      <x:c r="D183" s="30" t="str"/>
      <x:c r="E183" s="30" t="str"/>
      <x:c r="F183" s="30" t="str"/>
      <x:c r="G183" s="30" t="str"/>
      <x:c r="H183" s="30" t="str"/>
      <x:c r="I183" s="30" t="str"/>
      <x:c r="J183" s="30" t="str"/>
      <x:c r="K183" s="30" t="str"/>
      <x:c r="L183" s="30" t="str"/>
      <x:c r="M183" s="30" t="str"/>
      <x:c r="N183" s="30" t="str"/>
      <x:c r="O183" s="30" t="str"/>
      <x:c r="P183" s="30" t="str"/>
      <x:c r="Q183" s="30" t="str"/>
      <x:c r="R183" s="30" t="str"/>
      <x:c r="S183" s="30" t="str"/>
      <x:c r="T183" s="30" t="str"/>
      <x:c r="U183" s="30" t="str"/>
      <x:c r="V183" s="30" t="str"/>
      <x:c r="W183" s="31" t="str"/>
    </x:row>
    <x:row r="184">
      <x:c r="A184" s="30" t="str">
        <x:f>IF(B184="","",B184&amp;"-"&amp;C184)</x:f>
      </x:c>
      <x:c r="B184" s="30" t="str">
        <x:f>'01_命例主档'!A41</x:f>
      </x:c>
      <x:c r="C184" s="30" t="str">
        <x:v>金</x:v>
      </x:c>
      <x:c r="D184" s="30" t="str"/>
      <x:c r="E184" s="30" t="str"/>
      <x:c r="F184" s="30" t="str"/>
      <x:c r="G184" s="30" t="str"/>
      <x:c r="H184" s="30" t="str"/>
      <x:c r="I184" s="30" t="str"/>
      <x:c r="J184" s="30" t="str"/>
      <x:c r="K184" s="30" t="str"/>
      <x:c r="L184" s="30" t="str"/>
      <x:c r="M184" s="30" t="str"/>
      <x:c r="N184" s="30" t="str"/>
      <x:c r="O184" s="30" t="str"/>
      <x:c r="P184" s="30" t="str"/>
      <x:c r="Q184" s="30" t="str"/>
      <x:c r="R184" s="30" t="str"/>
      <x:c r="S184" s="30" t="str"/>
      <x:c r="T184" s="30" t="str"/>
      <x:c r="U184" s="30" t="str"/>
      <x:c r="V184" s="30" t="str"/>
      <x:c r="W184" s="31" t="str"/>
    </x:row>
    <x:row r="185">
      <x:c r="A185" s="30" t="str">
        <x:f>IF(B185="","",B185&amp;"-"&amp;C185)</x:f>
      </x:c>
      <x:c r="B185" s="30" t="str">
        <x:f>'01_命例主档'!A41</x:f>
      </x:c>
      <x:c r="C185" s="30" t="str">
        <x:v>水</x:v>
      </x:c>
      <x:c r="D185" s="30" t="str"/>
      <x:c r="E185" s="30" t="str"/>
      <x:c r="F185" s="30" t="str"/>
      <x:c r="G185" s="30" t="str"/>
      <x:c r="H185" s="30" t="str"/>
      <x:c r="I185" s="30" t="str"/>
      <x:c r="J185" s="30" t="str"/>
      <x:c r="K185" s="30" t="str"/>
      <x:c r="L185" s="30" t="str"/>
      <x:c r="M185" s="30" t="str"/>
      <x:c r="N185" s="30" t="str"/>
      <x:c r="O185" s="30" t="str"/>
      <x:c r="P185" s="30" t="str"/>
      <x:c r="Q185" s="30" t="str"/>
      <x:c r="R185" s="30" t="str"/>
      <x:c r="S185" s="30" t="str"/>
      <x:c r="T185" s="30" t="str"/>
      <x:c r="U185" s="30" t="str"/>
      <x:c r="V185" s="30" t="str"/>
      <x:c r="W185" s="31" t="str"/>
    </x:row>
    <x:row r="186">
      <x:c r="A186" s="30" t="str">
        <x:f>IF(B186="","",B186&amp;"-"&amp;C186)</x:f>
      </x:c>
      <x:c r="B186" s="30" t="str">
        <x:f>'01_命例主档'!A42</x:f>
      </x:c>
      <x:c r="C186" s="30" t="str">
        <x:v>木</x:v>
      </x:c>
      <x:c r="D186" s="30" t="str"/>
      <x:c r="E186" s="30" t="str"/>
      <x:c r="F186" s="30" t="str"/>
      <x:c r="G186" s="30" t="str"/>
      <x:c r="H186" s="30" t="str"/>
      <x:c r="I186" s="30" t="str"/>
      <x:c r="J186" s="30" t="str"/>
      <x:c r="K186" s="30" t="str"/>
      <x:c r="L186" s="30" t="str"/>
      <x:c r="M186" s="30" t="str"/>
      <x:c r="N186" s="30" t="str"/>
      <x:c r="O186" s="30" t="str"/>
      <x:c r="P186" s="30" t="str"/>
      <x:c r="Q186" s="30" t="str"/>
      <x:c r="R186" s="30" t="str"/>
      <x:c r="S186" s="30" t="str"/>
      <x:c r="T186" s="30" t="str"/>
      <x:c r="U186" s="30" t="str"/>
      <x:c r="V186" s="30" t="str"/>
      <x:c r="W186" s="31" t="str"/>
    </x:row>
    <x:row r="187">
      <x:c r="A187" s="30" t="str">
        <x:f>IF(B187="","",B187&amp;"-"&amp;C187)</x:f>
      </x:c>
      <x:c r="B187" s="30" t="str">
        <x:f>'01_命例主档'!A42</x:f>
      </x:c>
      <x:c r="C187" s="30" t="str">
        <x:v>火</x:v>
      </x:c>
      <x:c r="D187" s="30" t="str"/>
      <x:c r="E187" s="30" t="str"/>
      <x:c r="F187" s="30" t="str"/>
      <x:c r="G187" s="30" t="str"/>
      <x:c r="H187" s="30" t="str"/>
      <x:c r="I187" s="30" t="str"/>
      <x:c r="J187" s="30" t="str"/>
      <x:c r="K187" s="30" t="str"/>
      <x:c r="L187" s="30" t="str"/>
      <x:c r="M187" s="30" t="str"/>
      <x:c r="N187" s="30" t="str"/>
      <x:c r="O187" s="30" t="str"/>
      <x:c r="P187" s="30" t="str"/>
      <x:c r="Q187" s="30" t="str"/>
      <x:c r="R187" s="30" t="str"/>
      <x:c r="S187" s="30" t="str"/>
      <x:c r="T187" s="30" t="str"/>
      <x:c r="U187" s="30" t="str"/>
      <x:c r="V187" s="30" t="str"/>
      <x:c r="W187" s="31" t="str"/>
    </x:row>
    <x:row r="188">
      <x:c r="A188" s="30" t="str">
        <x:f>IF(B188="","",B188&amp;"-"&amp;C188)</x:f>
      </x:c>
      <x:c r="B188" s="30" t="str">
        <x:f>'01_命例主档'!A42</x:f>
      </x:c>
      <x:c r="C188" s="30" t="str">
        <x:v>土</x:v>
      </x:c>
      <x:c r="D188" s="30" t="str"/>
      <x:c r="E188" s="30" t="str"/>
      <x:c r="F188" s="30" t="str"/>
      <x:c r="G188" s="30" t="str"/>
      <x:c r="H188" s="30" t="str"/>
      <x:c r="I188" s="30" t="str"/>
      <x:c r="J188" s="30" t="str"/>
      <x:c r="K188" s="30" t="str"/>
      <x:c r="L188" s="30" t="str"/>
      <x:c r="M188" s="30" t="str"/>
      <x:c r="N188" s="30" t="str"/>
      <x:c r="O188" s="30" t="str"/>
      <x:c r="P188" s="30" t="str"/>
      <x:c r="Q188" s="30" t="str"/>
      <x:c r="R188" s="30" t="str"/>
      <x:c r="S188" s="30" t="str"/>
      <x:c r="T188" s="30" t="str"/>
      <x:c r="U188" s="30" t="str"/>
      <x:c r="V188" s="30" t="str"/>
      <x:c r="W188" s="31" t="str"/>
    </x:row>
    <x:row r="189">
      <x:c r="A189" s="30" t="str">
        <x:f>IF(B189="","",B189&amp;"-"&amp;C189)</x:f>
      </x:c>
      <x:c r="B189" s="30" t="str">
        <x:f>'01_命例主档'!A42</x:f>
      </x:c>
      <x:c r="C189" s="30" t="str">
        <x:v>金</x:v>
      </x:c>
      <x:c r="D189" s="30" t="str"/>
      <x:c r="E189" s="30" t="str"/>
      <x:c r="F189" s="30" t="str"/>
      <x:c r="G189" s="30" t="str"/>
      <x:c r="H189" s="30" t="str"/>
      <x:c r="I189" s="30" t="str"/>
      <x:c r="J189" s="30" t="str"/>
      <x:c r="K189" s="30" t="str"/>
      <x:c r="L189" s="30" t="str"/>
      <x:c r="M189" s="30" t="str"/>
      <x:c r="N189" s="30" t="str"/>
      <x:c r="O189" s="30" t="str"/>
      <x:c r="P189" s="30" t="str"/>
      <x:c r="Q189" s="30" t="str"/>
      <x:c r="R189" s="30" t="str"/>
      <x:c r="S189" s="30" t="str"/>
      <x:c r="T189" s="30" t="str"/>
      <x:c r="U189" s="30" t="str"/>
      <x:c r="V189" s="30" t="str"/>
      <x:c r="W189" s="31" t="str"/>
    </x:row>
    <x:row r="190">
      <x:c r="A190" s="30" t="str">
        <x:f>IF(B190="","",B190&amp;"-"&amp;C190)</x:f>
      </x:c>
      <x:c r="B190" s="30" t="str">
        <x:f>'01_命例主档'!A42</x:f>
      </x:c>
      <x:c r="C190" s="30" t="str">
        <x:v>水</x:v>
      </x:c>
      <x:c r="D190" s="30" t="str"/>
      <x:c r="E190" s="30" t="str"/>
      <x:c r="F190" s="30" t="str"/>
      <x:c r="G190" s="30" t="str"/>
      <x:c r="H190" s="30" t="str"/>
      <x:c r="I190" s="30" t="str"/>
      <x:c r="J190" s="30" t="str"/>
      <x:c r="K190" s="30" t="str"/>
      <x:c r="L190" s="30" t="str"/>
      <x:c r="M190" s="30" t="str"/>
      <x:c r="N190" s="30" t="str"/>
      <x:c r="O190" s="30" t="str"/>
      <x:c r="P190" s="30" t="str"/>
      <x:c r="Q190" s="30" t="str"/>
      <x:c r="R190" s="30" t="str"/>
      <x:c r="S190" s="30" t="str"/>
      <x:c r="T190" s="30" t="str"/>
      <x:c r="U190" s="30" t="str"/>
      <x:c r="V190" s="30" t="str"/>
      <x:c r="W190" s="31" t="str"/>
    </x:row>
    <x:row r="191">
      <x:c r="A191" s="30" t="str">
        <x:f>IF(B191="","",B191&amp;"-"&amp;C191)</x:f>
      </x:c>
      <x:c r="B191" s="30" t="str">
        <x:f>'01_命例主档'!A43</x:f>
      </x:c>
      <x:c r="C191" s="30" t="str">
        <x:v>木</x:v>
      </x:c>
      <x:c r="D191" s="30" t="str"/>
      <x:c r="E191" s="30" t="str"/>
      <x:c r="F191" s="30" t="str"/>
      <x:c r="G191" s="30" t="str"/>
      <x:c r="H191" s="30" t="str"/>
      <x:c r="I191" s="30" t="str"/>
      <x:c r="J191" s="30" t="str"/>
      <x:c r="K191" s="30" t="str"/>
      <x:c r="L191" s="30" t="str"/>
      <x:c r="M191" s="30" t="str"/>
      <x:c r="N191" s="30" t="str"/>
      <x:c r="O191" s="30" t="str"/>
      <x:c r="P191" s="30" t="str"/>
      <x:c r="Q191" s="30" t="str"/>
      <x:c r="R191" s="30" t="str"/>
      <x:c r="S191" s="30" t="str"/>
      <x:c r="T191" s="30" t="str"/>
      <x:c r="U191" s="30" t="str"/>
      <x:c r="V191" s="30" t="str"/>
      <x:c r="W191" s="31" t="str"/>
    </x:row>
    <x:row r="192">
      <x:c r="A192" s="30" t="str">
        <x:f>IF(B192="","",B192&amp;"-"&amp;C192)</x:f>
      </x:c>
      <x:c r="B192" s="30" t="str">
        <x:f>'01_命例主档'!A43</x:f>
      </x:c>
      <x:c r="C192" s="30" t="str">
        <x:v>火</x:v>
      </x:c>
      <x:c r="D192" s="30" t="str"/>
      <x:c r="E192" s="30" t="str"/>
      <x:c r="F192" s="30" t="str"/>
      <x:c r="G192" s="30" t="str"/>
      <x:c r="H192" s="30" t="str"/>
      <x:c r="I192" s="30" t="str"/>
      <x:c r="J192" s="30" t="str"/>
      <x:c r="K192" s="30" t="str"/>
      <x:c r="L192" s="30" t="str"/>
      <x:c r="M192" s="30" t="str"/>
      <x:c r="N192" s="30" t="str"/>
      <x:c r="O192" s="30" t="str"/>
      <x:c r="P192" s="30" t="str"/>
      <x:c r="Q192" s="30" t="str"/>
      <x:c r="R192" s="30" t="str"/>
      <x:c r="S192" s="30" t="str"/>
      <x:c r="T192" s="30" t="str"/>
      <x:c r="U192" s="30" t="str"/>
      <x:c r="V192" s="30" t="str"/>
      <x:c r="W192" s="31" t="str"/>
    </x:row>
    <x:row r="193">
      <x:c r="A193" s="30" t="str">
        <x:f>IF(B193="","",B193&amp;"-"&amp;C193)</x:f>
      </x:c>
      <x:c r="B193" s="30" t="str">
        <x:f>'01_命例主档'!A43</x:f>
      </x:c>
      <x:c r="C193" s="30" t="str">
        <x:v>土</x:v>
      </x:c>
      <x:c r="D193" s="30" t="str"/>
      <x:c r="E193" s="30" t="str"/>
      <x:c r="F193" s="30" t="str"/>
      <x:c r="G193" s="30" t="str"/>
      <x:c r="H193" s="30" t="str"/>
      <x:c r="I193" s="30" t="str"/>
      <x:c r="J193" s="30" t="str"/>
      <x:c r="K193" s="30" t="str"/>
      <x:c r="L193" s="30" t="str"/>
      <x:c r="M193" s="30" t="str"/>
      <x:c r="N193" s="30" t="str"/>
      <x:c r="O193" s="30" t="str"/>
      <x:c r="P193" s="30" t="str"/>
      <x:c r="Q193" s="30" t="str"/>
      <x:c r="R193" s="30" t="str"/>
      <x:c r="S193" s="30" t="str"/>
      <x:c r="T193" s="30" t="str"/>
      <x:c r="U193" s="30" t="str"/>
      <x:c r="V193" s="30" t="str"/>
      <x:c r="W193" s="31" t="str"/>
    </x:row>
    <x:row r="194">
      <x:c r="A194" s="30" t="str">
        <x:f>IF(B194="","",B194&amp;"-"&amp;C194)</x:f>
      </x:c>
      <x:c r="B194" s="30" t="str">
        <x:f>'01_命例主档'!A43</x:f>
      </x:c>
      <x:c r="C194" s="30" t="str">
        <x:v>金</x:v>
      </x:c>
      <x:c r="D194" s="30" t="str"/>
      <x:c r="E194" s="30" t="str"/>
      <x:c r="F194" s="30" t="str"/>
      <x:c r="G194" s="30" t="str"/>
      <x:c r="H194" s="30" t="str"/>
      <x:c r="I194" s="30" t="str"/>
      <x:c r="J194" s="30" t="str"/>
      <x:c r="K194" s="30" t="str"/>
      <x:c r="L194" s="30" t="str"/>
      <x:c r="M194" s="30" t="str"/>
      <x:c r="N194" s="30" t="str"/>
      <x:c r="O194" s="30" t="str"/>
      <x:c r="P194" s="30" t="str"/>
      <x:c r="Q194" s="30" t="str"/>
      <x:c r="R194" s="30" t="str"/>
      <x:c r="S194" s="30" t="str"/>
      <x:c r="T194" s="30" t="str"/>
      <x:c r="U194" s="30" t="str"/>
      <x:c r="V194" s="30" t="str"/>
      <x:c r="W194" s="31" t="str"/>
    </x:row>
    <x:row r="195">
      <x:c r="A195" s="30" t="str">
        <x:f>IF(B195="","",B195&amp;"-"&amp;C195)</x:f>
      </x:c>
      <x:c r="B195" s="30" t="str">
        <x:f>'01_命例主档'!A43</x:f>
      </x:c>
      <x:c r="C195" s="30" t="str">
        <x:v>水</x:v>
      </x:c>
      <x:c r="D195" s="30" t="str"/>
      <x:c r="E195" s="30" t="str"/>
      <x:c r="F195" s="30" t="str"/>
      <x:c r="G195" s="30" t="str"/>
      <x:c r="H195" s="30" t="str"/>
      <x:c r="I195" s="30" t="str"/>
      <x:c r="J195" s="30" t="str"/>
      <x:c r="K195" s="30" t="str"/>
      <x:c r="L195" s="30" t="str"/>
      <x:c r="M195" s="30" t="str"/>
      <x:c r="N195" s="30" t="str"/>
      <x:c r="O195" s="30" t="str"/>
      <x:c r="P195" s="30" t="str"/>
      <x:c r="Q195" s="30" t="str"/>
      <x:c r="R195" s="30" t="str"/>
      <x:c r="S195" s="30" t="str"/>
      <x:c r="T195" s="30" t="str"/>
      <x:c r="U195" s="30" t="str"/>
      <x:c r="V195" s="30" t="str"/>
      <x:c r="W195" s="31" t="str"/>
    </x:row>
    <x:row r="196">
      <x:c r="A196" s="30" t="str">
        <x:f>IF(B196="","",B196&amp;"-"&amp;C196)</x:f>
      </x:c>
      <x:c r="B196" s="30" t="str">
        <x:f>'01_命例主档'!A44</x:f>
      </x:c>
      <x:c r="C196" s="30" t="str">
        <x:v>木</x:v>
      </x:c>
      <x:c r="D196" s="30" t="str"/>
      <x:c r="E196" s="30" t="str"/>
      <x:c r="F196" s="30" t="str"/>
      <x:c r="G196" s="30" t="str"/>
      <x:c r="H196" s="30" t="str"/>
      <x:c r="I196" s="30" t="str"/>
      <x:c r="J196" s="30" t="str"/>
      <x:c r="K196" s="30" t="str"/>
      <x:c r="L196" s="30" t="str"/>
      <x:c r="M196" s="30" t="str"/>
      <x:c r="N196" s="30" t="str"/>
      <x:c r="O196" s="30" t="str"/>
      <x:c r="P196" s="30" t="str"/>
      <x:c r="Q196" s="30" t="str"/>
      <x:c r="R196" s="30" t="str"/>
      <x:c r="S196" s="30" t="str"/>
      <x:c r="T196" s="30" t="str"/>
      <x:c r="U196" s="30" t="str"/>
      <x:c r="V196" s="30" t="str"/>
      <x:c r="W196" s="31" t="str"/>
    </x:row>
    <x:row r="197">
      <x:c r="A197" s="30" t="str">
        <x:f>IF(B197="","",B197&amp;"-"&amp;C197)</x:f>
      </x:c>
      <x:c r="B197" s="30" t="str">
        <x:f>'01_命例主档'!A44</x:f>
      </x:c>
      <x:c r="C197" s="30" t="str">
        <x:v>火</x:v>
      </x:c>
      <x:c r="D197" s="30" t="str"/>
      <x:c r="E197" s="30" t="str"/>
      <x:c r="F197" s="30" t="str"/>
      <x:c r="G197" s="30" t="str"/>
      <x:c r="H197" s="30" t="str"/>
      <x:c r="I197" s="30" t="str"/>
      <x:c r="J197" s="30" t="str"/>
      <x:c r="K197" s="30" t="str"/>
      <x:c r="L197" s="30" t="str"/>
      <x:c r="M197" s="30" t="str"/>
      <x:c r="N197" s="30" t="str"/>
      <x:c r="O197" s="30" t="str"/>
      <x:c r="P197" s="30" t="str"/>
      <x:c r="Q197" s="30" t="str"/>
      <x:c r="R197" s="30" t="str"/>
      <x:c r="S197" s="30" t="str"/>
      <x:c r="T197" s="30" t="str"/>
      <x:c r="U197" s="30" t="str"/>
      <x:c r="V197" s="30" t="str"/>
      <x:c r="W197" s="31" t="str"/>
    </x:row>
    <x:row r="198">
      <x:c r="A198" s="30" t="str">
        <x:f>IF(B198="","",B198&amp;"-"&amp;C198)</x:f>
      </x:c>
      <x:c r="B198" s="30" t="str">
        <x:f>'01_命例主档'!A44</x:f>
      </x:c>
      <x:c r="C198" s="30" t="str">
        <x:v>土</x:v>
      </x:c>
      <x:c r="D198" s="30" t="str"/>
      <x:c r="E198" s="30" t="str"/>
      <x:c r="F198" s="30" t="str"/>
      <x:c r="G198" s="30" t="str"/>
      <x:c r="H198" s="30" t="str"/>
      <x:c r="I198" s="30" t="str"/>
      <x:c r="J198" s="30" t="str"/>
      <x:c r="K198" s="30" t="str"/>
      <x:c r="L198" s="30" t="str"/>
      <x:c r="M198" s="30" t="str"/>
      <x:c r="N198" s="30" t="str"/>
      <x:c r="O198" s="30" t="str"/>
      <x:c r="P198" s="30" t="str"/>
      <x:c r="Q198" s="30" t="str"/>
      <x:c r="R198" s="30" t="str"/>
      <x:c r="S198" s="30" t="str"/>
      <x:c r="T198" s="30" t="str"/>
      <x:c r="U198" s="30" t="str"/>
      <x:c r="V198" s="30" t="str"/>
      <x:c r="W198" s="31" t="str"/>
    </x:row>
    <x:row r="199">
      <x:c r="A199" s="30" t="str">
        <x:f>IF(B199="","",B199&amp;"-"&amp;C199)</x:f>
      </x:c>
      <x:c r="B199" s="30" t="str">
        <x:f>'01_命例主档'!A44</x:f>
      </x:c>
      <x:c r="C199" s="30" t="str">
        <x:v>金</x:v>
      </x:c>
      <x:c r="D199" s="30" t="str"/>
      <x:c r="E199" s="30" t="str"/>
      <x:c r="F199" s="30" t="str"/>
      <x:c r="G199" s="30" t="str"/>
      <x:c r="H199" s="30" t="str"/>
      <x:c r="I199" s="30" t="str"/>
      <x:c r="J199" s="30" t="str"/>
      <x:c r="K199" s="30" t="str"/>
      <x:c r="L199" s="30" t="str"/>
      <x:c r="M199" s="30" t="str"/>
      <x:c r="N199" s="30" t="str"/>
      <x:c r="O199" s="30" t="str"/>
      <x:c r="P199" s="30" t="str"/>
      <x:c r="Q199" s="30" t="str"/>
      <x:c r="R199" s="30" t="str"/>
      <x:c r="S199" s="30" t="str"/>
      <x:c r="T199" s="30" t="str"/>
      <x:c r="U199" s="30" t="str"/>
      <x:c r="V199" s="30" t="str"/>
      <x:c r="W199" s="31" t="str"/>
    </x:row>
    <x:row r="200">
      <x:c r="A200" s="30" t="str">
        <x:f>IF(B200="","",B200&amp;"-"&amp;C200)</x:f>
      </x:c>
      <x:c r="B200" s="30" t="str">
        <x:f>'01_命例主档'!A44</x:f>
      </x:c>
      <x:c r="C200" s="30" t="str">
        <x:v>水</x:v>
      </x:c>
      <x:c r="D200" s="30" t="str"/>
      <x:c r="E200" s="30" t="str"/>
      <x:c r="F200" s="30" t="str"/>
      <x:c r="G200" s="30" t="str"/>
      <x:c r="H200" s="30" t="str"/>
      <x:c r="I200" s="30" t="str"/>
      <x:c r="J200" s="30" t="str"/>
      <x:c r="K200" s="30" t="str"/>
      <x:c r="L200" s="30" t="str"/>
      <x:c r="M200" s="30" t="str"/>
      <x:c r="N200" s="30" t="str"/>
      <x:c r="O200" s="30" t="str"/>
      <x:c r="P200" s="30" t="str"/>
      <x:c r="Q200" s="30" t="str"/>
      <x:c r="R200" s="30" t="str"/>
      <x:c r="S200" s="30" t="str"/>
      <x:c r="T200" s="30" t="str"/>
      <x:c r="U200" s="30" t="str"/>
      <x:c r="V200" s="30" t="str"/>
      <x:c r="W200" s="31" t="str"/>
    </x:row>
    <x:row r="201">
      <x:c r="A201" s="30" t="str">
        <x:f>IF(B201="","",B201&amp;"-"&amp;C201)</x:f>
      </x:c>
      <x:c r="B201" s="30" t="str">
        <x:f>'01_命例主档'!A45</x:f>
      </x:c>
      <x:c r="C201" s="30" t="str">
        <x:v>木</x:v>
      </x:c>
      <x:c r="D201" s="30" t="str"/>
      <x:c r="E201" s="30" t="str"/>
      <x:c r="F201" s="30" t="str"/>
      <x:c r="G201" s="30" t="str"/>
      <x:c r="H201" s="30" t="str"/>
      <x:c r="I201" s="30" t="str"/>
      <x:c r="J201" s="30" t="str"/>
      <x:c r="K201" s="30" t="str"/>
      <x:c r="L201" s="30" t="str"/>
      <x:c r="M201" s="30" t="str"/>
      <x:c r="N201" s="30" t="str"/>
      <x:c r="O201" s="30" t="str"/>
      <x:c r="P201" s="30" t="str"/>
      <x:c r="Q201" s="30" t="str"/>
      <x:c r="R201" s="30" t="str"/>
      <x:c r="S201" s="30" t="str"/>
      <x:c r="T201" s="30" t="str"/>
      <x:c r="U201" s="30" t="str"/>
      <x:c r="V201" s="30" t="str"/>
      <x:c r="W201" s="31" t="str"/>
    </x:row>
    <x:row r="202">
      <x:c r="A202" s="30" t="str">
        <x:f>IF(B202="","",B202&amp;"-"&amp;C202)</x:f>
      </x:c>
      <x:c r="B202" s="30" t="str">
        <x:f>'01_命例主档'!A45</x:f>
      </x:c>
      <x:c r="C202" s="30" t="str">
        <x:v>火</x:v>
      </x:c>
      <x:c r="D202" s="30" t="str"/>
      <x:c r="E202" s="30" t="str"/>
      <x:c r="F202" s="30" t="str"/>
      <x:c r="G202" s="30" t="str"/>
      <x:c r="H202" s="30" t="str"/>
      <x:c r="I202" s="30" t="str"/>
      <x:c r="J202" s="30" t="str"/>
      <x:c r="K202" s="30" t="str"/>
      <x:c r="L202" s="30" t="str"/>
      <x:c r="M202" s="30" t="str"/>
      <x:c r="N202" s="30" t="str"/>
      <x:c r="O202" s="30" t="str"/>
      <x:c r="P202" s="30" t="str"/>
      <x:c r="Q202" s="30" t="str"/>
      <x:c r="R202" s="30" t="str"/>
      <x:c r="S202" s="30" t="str"/>
      <x:c r="T202" s="30" t="str"/>
      <x:c r="U202" s="30" t="str"/>
      <x:c r="V202" s="30" t="str"/>
      <x:c r="W202" s="31" t="str"/>
    </x:row>
    <x:row r="203">
      <x:c r="A203" s="30" t="str">
        <x:f>IF(B203="","",B203&amp;"-"&amp;C203)</x:f>
      </x:c>
      <x:c r="B203" s="30" t="str">
        <x:f>'01_命例主档'!A45</x:f>
      </x:c>
      <x:c r="C203" s="30" t="str">
        <x:v>土</x:v>
      </x:c>
      <x:c r="D203" s="30" t="str"/>
      <x:c r="E203" s="30" t="str"/>
      <x:c r="F203" s="30" t="str"/>
      <x:c r="G203" s="30" t="str"/>
      <x:c r="H203" s="30" t="str"/>
      <x:c r="I203" s="30" t="str"/>
      <x:c r="J203" s="30" t="str"/>
      <x:c r="K203" s="30" t="str"/>
      <x:c r="L203" s="30" t="str"/>
      <x:c r="M203" s="30" t="str"/>
      <x:c r="N203" s="30" t="str"/>
      <x:c r="O203" s="30" t="str"/>
      <x:c r="P203" s="30" t="str"/>
      <x:c r="Q203" s="30" t="str"/>
      <x:c r="R203" s="30" t="str"/>
      <x:c r="S203" s="30" t="str"/>
      <x:c r="T203" s="30" t="str"/>
      <x:c r="U203" s="30" t="str"/>
      <x:c r="V203" s="30" t="str"/>
      <x:c r="W203" s="31" t="str"/>
    </x:row>
    <x:row r="204">
      <x:c r="A204" s="30" t="str">
        <x:f>IF(B204="","",B204&amp;"-"&amp;C204)</x:f>
      </x:c>
      <x:c r="B204" s="30" t="str">
        <x:f>'01_命例主档'!A45</x:f>
      </x:c>
      <x:c r="C204" s="30" t="str">
        <x:v>金</x:v>
      </x:c>
      <x:c r="D204" s="30" t="str"/>
      <x:c r="E204" s="30" t="str"/>
      <x:c r="F204" s="30" t="str"/>
      <x:c r="G204" s="30" t="str"/>
      <x:c r="H204" s="30" t="str"/>
      <x:c r="I204" s="30" t="str"/>
      <x:c r="J204" s="30" t="str"/>
      <x:c r="K204" s="30" t="str"/>
      <x:c r="L204" s="30" t="str"/>
      <x:c r="M204" s="30" t="str"/>
      <x:c r="N204" s="30" t="str"/>
      <x:c r="O204" s="30" t="str"/>
      <x:c r="P204" s="30" t="str"/>
      <x:c r="Q204" s="30" t="str"/>
      <x:c r="R204" s="30" t="str"/>
      <x:c r="S204" s="30" t="str"/>
      <x:c r="T204" s="30" t="str"/>
      <x:c r="U204" s="30" t="str"/>
      <x:c r="V204" s="30" t="str"/>
      <x:c r="W204" s="31" t="str"/>
    </x:row>
    <x:row r="205">
      <x:c r="A205" s="30" t="str">
        <x:f>IF(B205="","",B205&amp;"-"&amp;C205)</x:f>
      </x:c>
      <x:c r="B205" s="30" t="str">
        <x:f>'01_命例主档'!A45</x:f>
      </x:c>
      <x:c r="C205" s="30" t="str">
        <x:v>水</x:v>
      </x:c>
      <x:c r="D205" s="30" t="str"/>
      <x:c r="E205" s="30" t="str"/>
      <x:c r="F205" s="30" t="str"/>
      <x:c r="G205" s="30" t="str"/>
      <x:c r="H205" s="30" t="str"/>
      <x:c r="I205" s="30" t="str"/>
      <x:c r="J205" s="30" t="str"/>
      <x:c r="K205" s="30" t="str"/>
      <x:c r="L205" s="30" t="str"/>
      <x:c r="M205" s="30" t="str"/>
      <x:c r="N205" s="30" t="str"/>
      <x:c r="O205" s="30" t="str"/>
      <x:c r="P205" s="30" t="str"/>
      <x:c r="Q205" s="30" t="str"/>
      <x:c r="R205" s="30" t="str"/>
      <x:c r="S205" s="30" t="str"/>
      <x:c r="T205" s="30" t="str"/>
      <x:c r="U205" s="30" t="str"/>
      <x:c r="V205" s="30" t="str"/>
      <x:c r="W205" s="31" t="str"/>
    </x:row>
    <x:row r="206">
      <x:c r="A206" s="30" t="str">
        <x:f>IF(B206="","",B206&amp;"-"&amp;C206)</x:f>
      </x:c>
      <x:c r="B206" s="30" t="str">
        <x:f>'01_命例主档'!A46</x:f>
      </x:c>
      <x:c r="C206" s="30" t="str">
        <x:v>木</x:v>
      </x:c>
      <x:c r="D206" s="30" t="str"/>
      <x:c r="E206" s="30" t="str"/>
      <x:c r="F206" s="30" t="str"/>
      <x:c r="G206" s="30" t="str"/>
      <x:c r="H206" s="30" t="str"/>
      <x:c r="I206" s="30" t="str"/>
      <x:c r="J206" s="30" t="str"/>
      <x:c r="K206" s="30" t="str"/>
      <x:c r="L206" s="30" t="str"/>
      <x:c r="M206" s="30" t="str"/>
      <x:c r="N206" s="30" t="str"/>
      <x:c r="O206" s="30" t="str"/>
      <x:c r="P206" s="30" t="str"/>
      <x:c r="Q206" s="30" t="str"/>
      <x:c r="R206" s="30" t="str"/>
      <x:c r="S206" s="30" t="str"/>
      <x:c r="T206" s="30" t="str"/>
      <x:c r="U206" s="30" t="str"/>
      <x:c r="V206" s="30" t="str"/>
      <x:c r="W206" s="31" t="str"/>
    </x:row>
    <x:row r="207">
      <x:c r="A207" s="30" t="str">
        <x:f>IF(B207="","",B207&amp;"-"&amp;C207)</x:f>
      </x:c>
      <x:c r="B207" s="30" t="str">
        <x:f>'01_命例主档'!A46</x:f>
      </x:c>
      <x:c r="C207" s="30" t="str">
        <x:v>火</x:v>
      </x:c>
      <x:c r="D207" s="30" t="str"/>
      <x:c r="E207" s="30" t="str"/>
      <x:c r="F207" s="30" t="str"/>
      <x:c r="G207" s="30" t="str"/>
      <x:c r="H207" s="30" t="str"/>
      <x:c r="I207" s="30" t="str"/>
      <x:c r="J207" s="30" t="str"/>
      <x:c r="K207" s="30" t="str"/>
      <x:c r="L207" s="30" t="str"/>
      <x:c r="M207" s="30" t="str"/>
      <x:c r="N207" s="30" t="str"/>
      <x:c r="O207" s="30" t="str"/>
      <x:c r="P207" s="30" t="str"/>
      <x:c r="Q207" s="30" t="str"/>
      <x:c r="R207" s="30" t="str"/>
      <x:c r="S207" s="30" t="str"/>
      <x:c r="T207" s="30" t="str"/>
      <x:c r="U207" s="30" t="str"/>
      <x:c r="V207" s="30" t="str"/>
      <x:c r="W207" s="31" t="str"/>
    </x:row>
    <x:row r="208">
      <x:c r="A208" s="30" t="str">
        <x:f>IF(B208="","",B208&amp;"-"&amp;C208)</x:f>
      </x:c>
      <x:c r="B208" s="30" t="str">
        <x:f>'01_命例主档'!A46</x:f>
      </x:c>
      <x:c r="C208" s="30" t="str">
        <x:v>土</x:v>
      </x:c>
      <x:c r="D208" s="30" t="str"/>
      <x:c r="E208" s="30" t="str"/>
      <x:c r="F208" s="30" t="str"/>
      <x:c r="G208" s="30" t="str"/>
      <x:c r="H208" s="30" t="str"/>
      <x:c r="I208" s="30" t="str"/>
      <x:c r="J208" s="30" t="str"/>
      <x:c r="K208" s="30" t="str"/>
      <x:c r="L208" s="30" t="str"/>
      <x:c r="M208" s="30" t="str"/>
      <x:c r="N208" s="30" t="str"/>
      <x:c r="O208" s="30" t="str"/>
      <x:c r="P208" s="30" t="str"/>
      <x:c r="Q208" s="30" t="str"/>
      <x:c r="R208" s="30" t="str"/>
      <x:c r="S208" s="30" t="str"/>
      <x:c r="T208" s="30" t="str"/>
      <x:c r="U208" s="30" t="str"/>
      <x:c r="V208" s="30" t="str"/>
      <x:c r="W208" s="31" t="str"/>
    </x:row>
    <x:row r="209">
      <x:c r="A209" s="30" t="str">
        <x:f>IF(B209="","",B209&amp;"-"&amp;C209)</x:f>
      </x:c>
      <x:c r="B209" s="30" t="str">
        <x:f>'01_命例主档'!A46</x:f>
      </x:c>
      <x:c r="C209" s="30" t="str">
        <x:v>金</x:v>
      </x:c>
      <x:c r="D209" s="30" t="str"/>
      <x:c r="E209" s="30" t="str"/>
      <x:c r="F209" s="30" t="str"/>
      <x:c r="G209" s="30" t="str"/>
      <x:c r="H209" s="30" t="str"/>
      <x:c r="I209" s="30" t="str"/>
      <x:c r="J209" s="30" t="str"/>
      <x:c r="K209" s="30" t="str"/>
      <x:c r="L209" s="30" t="str"/>
      <x:c r="M209" s="30" t="str"/>
      <x:c r="N209" s="30" t="str"/>
      <x:c r="O209" s="30" t="str"/>
      <x:c r="P209" s="30" t="str"/>
      <x:c r="Q209" s="30" t="str"/>
      <x:c r="R209" s="30" t="str"/>
      <x:c r="S209" s="30" t="str"/>
      <x:c r="T209" s="30" t="str"/>
      <x:c r="U209" s="30" t="str"/>
      <x:c r="V209" s="30" t="str"/>
      <x:c r="W209" s="31" t="str"/>
    </x:row>
    <x:row r="210">
      <x:c r="A210" s="30" t="str">
        <x:f>IF(B210="","",B210&amp;"-"&amp;C210)</x:f>
      </x:c>
      <x:c r="B210" s="30" t="str">
        <x:f>'01_命例主档'!A46</x:f>
      </x:c>
      <x:c r="C210" s="30" t="str">
        <x:v>水</x:v>
      </x:c>
      <x:c r="D210" s="30" t="str"/>
      <x:c r="E210" s="30" t="str"/>
      <x:c r="F210" s="30" t="str"/>
      <x:c r="G210" s="30" t="str"/>
      <x:c r="H210" s="30" t="str"/>
      <x:c r="I210" s="30" t="str"/>
      <x:c r="J210" s="30" t="str"/>
      <x:c r="K210" s="30" t="str"/>
      <x:c r="L210" s="30" t="str"/>
      <x:c r="M210" s="30" t="str"/>
      <x:c r="N210" s="30" t="str"/>
      <x:c r="O210" s="30" t="str"/>
      <x:c r="P210" s="30" t="str"/>
      <x:c r="Q210" s="30" t="str"/>
      <x:c r="R210" s="30" t="str"/>
      <x:c r="S210" s="30" t="str"/>
      <x:c r="T210" s="30" t="str"/>
      <x:c r="U210" s="30" t="str"/>
      <x:c r="V210" s="30" t="str"/>
      <x:c r="W210" s="31" t="str"/>
    </x:row>
    <x:row r="211">
      <x:c r="A211" s="30" t="str">
        <x:f>IF(B211="","",B211&amp;"-"&amp;C211)</x:f>
      </x:c>
      <x:c r="B211" s="30" t="str">
        <x:f>'01_命例主档'!A47</x:f>
      </x:c>
      <x:c r="C211" s="30" t="str">
        <x:v>木</x:v>
      </x:c>
      <x:c r="D211" s="30" t="str"/>
      <x:c r="E211" s="30" t="str"/>
      <x:c r="F211" s="30" t="str"/>
      <x:c r="G211" s="30" t="str"/>
      <x:c r="H211" s="30" t="str"/>
      <x:c r="I211" s="30" t="str"/>
      <x:c r="J211" s="30" t="str"/>
      <x:c r="K211" s="30" t="str"/>
      <x:c r="L211" s="30" t="str"/>
      <x:c r="M211" s="30" t="str"/>
      <x:c r="N211" s="30" t="str"/>
      <x:c r="O211" s="30" t="str"/>
      <x:c r="P211" s="30" t="str"/>
      <x:c r="Q211" s="30" t="str"/>
      <x:c r="R211" s="30" t="str"/>
      <x:c r="S211" s="30" t="str"/>
      <x:c r="T211" s="30" t="str"/>
      <x:c r="U211" s="30" t="str"/>
      <x:c r="V211" s="30" t="str"/>
      <x:c r="W211" s="31" t="str"/>
    </x:row>
    <x:row r="212">
      <x:c r="A212" s="30" t="str">
        <x:f>IF(B212="","",B212&amp;"-"&amp;C212)</x:f>
      </x:c>
      <x:c r="B212" s="30" t="str">
        <x:f>'01_命例主档'!A47</x:f>
      </x:c>
      <x:c r="C212" s="30" t="str">
        <x:v>火</x:v>
      </x:c>
      <x:c r="D212" s="30" t="str"/>
      <x:c r="E212" s="30" t="str"/>
      <x:c r="F212" s="30" t="str"/>
      <x:c r="G212" s="30" t="str"/>
      <x:c r="H212" s="30" t="str"/>
      <x:c r="I212" s="30" t="str"/>
      <x:c r="J212" s="30" t="str"/>
      <x:c r="K212" s="30" t="str"/>
      <x:c r="L212" s="30" t="str"/>
      <x:c r="M212" s="30" t="str"/>
      <x:c r="N212" s="30" t="str"/>
      <x:c r="O212" s="30" t="str"/>
      <x:c r="P212" s="30" t="str"/>
      <x:c r="Q212" s="30" t="str"/>
      <x:c r="R212" s="30" t="str"/>
      <x:c r="S212" s="30" t="str"/>
      <x:c r="T212" s="30" t="str"/>
      <x:c r="U212" s="30" t="str"/>
      <x:c r="V212" s="30" t="str"/>
      <x:c r="W212" s="31" t="str"/>
    </x:row>
    <x:row r="213">
      <x:c r="A213" s="30" t="str">
        <x:f>IF(B213="","",B213&amp;"-"&amp;C213)</x:f>
      </x:c>
      <x:c r="B213" s="30" t="str">
        <x:f>'01_命例主档'!A47</x:f>
      </x:c>
      <x:c r="C213" s="30" t="str">
        <x:v>土</x:v>
      </x:c>
      <x:c r="D213" s="30" t="str"/>
      <x:c r="E213" s="30" t="str"/>
      <x:c r="F213" s="30" t="str"/>
      <x:c r="G213" s="30" t="str"/>
      <x:c r="H213" s="30" t="str"/>
      <x:c r="I213" s="30" t="str"/>
      <x:c r="J213" s="30" t="str"/>
      <x:c r="K213" s="30" t="str"/>
      <x:c r="L213" s="30" t="str"/>
      <x:c r="M213" s="30" t="str"/>
      <x:c r="N213" s="30" t="str"/>
      <x:c r="O213" s="30" t="str"/>
      <x:c r="P213" s="30" t="str"/>
      <x:c r="Q213" s="30" t="str"/>
      <x:c r="R213" s="30" t="str"/>
      <x:c r="S213" s="30" t="str"/>
      <x:c r="T213" s="30" t="str"/>
      <x:c r="U213" s="30" t="str"/>
      <x:c r="V213" s="30" t="str"/>
      <x:c r="W213" s="31" t="str"/>
    </x:row>
    <x:row r="214">
      <x:c r="A214" s="30" t="str">
        <x:f>IF(B214="","",B214&amp;"-"&amp;C214)</x:f>
      </x:c>
      <x:c r="B214" s="30" t="str">
        <x:f>'01_命例主档'!A47</x:f>
      </x:c>
      <x:c r="C214" s="30" t="str">
        <x:v>金</x:v>
      </x:c>
      <x:c r="D214" s="30" t="str"/>
      <x:c r="E214" s="30" t="str"/>
      <x:c r="F214" s="30" t="str"/>
      <x:c r="G214" s="30" t="str"/>
      <x:c r="H214" s="30" t="str"/>
      <x:c r="I214" s="30" t="str"/>
      <x:c r="J214" s="30" t="str"/>
      <x:c r="K214" s="30" t="str"/>
      <x:c r="L214" s="30" t="str"/>
      <x:c r="M214" s="30" t="str"/>
      <x:c r="N214" s="30" t="str"/>
      <x:c r="O214" s="30" t="str"/>
      <x:c r="P214" s="30" t="str"/>
      <x:c r="Q214" s="30" t="str"/>
      <x:c r="R214" s="30" t="str"/>
      <x:c r="S214" s="30" t="str"/>
      <x:c r="T214" s="30" t="str"/>
      <x:c r="U214" s="30" t="str"/>
      <x:c r="V214" s="30" t="str"/>
      <x:c r="W214" s="31" t="str"/>
    </x:row>
    <x:row r="215">
      <x:c r="A215" s="30" t="str">
        <x:f>IF(B215="","",B215&amp;"-"&amp;C215)</x:f>
      </x:c>
      <x:c r="B215" s="30" t="str">
        <x:f>'01_命例主档'!A47</x:f>
      </x:c>
      <x:c r="C215" s="30" t="str">
        <x:v>水</x:v>
      </x:c>
      <x:c r="D215" s="30" t="str"/>
      <x:c r="E215" s="30" t="str"/>
      <x:c r="F215" s="30" t="str"/>
      <x:c r="G215" s="30" t="str"/>
      <x:c r="H215" s="30" t="str"/>
      <x:c r="I215" s="30" t="str"/>
      <x:c r="J215" s="30" t="str"/>
      <x:c r="K215" s="30" t="str"/>
      <x:c r="L215" s="30" t="str"/>
      <x:c r="M215" s="30" t="str"/>
      <x:c r="N215" s="30" t="str"/>
      <x:c r="O215" s="30" t="str"/>
      <x:c r="P215" s="30" t="str"/>
      <x:c r="Q215" s="30" t="str"/>
      <x:c r="R215" s="30" t="str"/>
      <x:c r="S215" s="30" t="str"/>
      <x:c r="T215" s="30" t="str"/>
      <x:c r="U215" s="30" t="str"/>
      <x:c r="V215" s="30" t="str"/>
      <x:c r="W215" s="31" t="str"/>
    </x:row>
    <x:row r="216">
      <x:c r="A216" s="30" t="str">
        <x:f>IF(B216="","",B216&amp;"-"&amp;C216)</x:f>
      </x:c>
      <x:c r="B216" s="30" t="str">
        <x:f>'01_命例主档'!A48</x:f>
      </x:c>
      <x:c r="C216" s="30" t="str">
        <x:v>木</x:v>
      </x:c>
      <x:c r="D216" s="30" t="str"/>
      <x:c r="E216" s="30" t="str"/>
      <x:c r="F216" s="30" t="str"/>
      <x:c r="G216" s="30" t="str"/>
      <x:c r="H216" s="30" t="str"/>
      <x:c r="I216" s="30" t="str"/>
      <x:c r="J216" s="30" t="str"/>
      <x:c r="K216" s="30" t="str"/>
      <x:c r="L216" s="30" t="str"/>
      <x:c r="M216" s="30" t="str"/>
      <x:c r="N216" s="30" t="str"/>
      <x:c r="O216" s="30" t="str"/>
      <x:c r="P216" s="30" t="str"/>
      <x:c r="Q216" s="30" t="str"/>
      <x:c r="R216" s="30" t="str"/>
      <x:c r="S216" s="30" t="str"/>
      <x:c r="T216" s="30" t="str"/>
      <x:c r="U216" s="30" t="str"/>
      <x:c r="V216" s="30" t="str"/>
      <x:c r="W216" s="31" t="str"/>
    </x:row>
    <x:row r="217">
      <x:c r="A217" s="30" t="str">
        <x:f>IF(B217="","",B217&amp;"-"&amp;C217)</x:f>
      </x:c>
      <x:c r="B217" s="30" t="str">
        <x:f>'01_命例主档'!A48</x:f>
      </x:c>
      <x:c r="C217" s="30" t="str">
        <x:v>火</x:v>
      </x:c>
      <x:c r="D217" s="30" t="str"/>
      <x:c r="E217" s="30" t="str"/>
      <x:c r="F217" s="30" t="str"/>
      <x:c r="G217" s="30" t="str"/>
      <x:c r="H217" s="30" t="str"/>
      <x:c r="I217" s="30" t="str"/>
      <x:c r="J217" s="30" t="str"/>
      <x:c r="K217" s="30" t="str"/>
      <x:c r="L217" s="30" t="str"/>
      <x:c r="M217" s="30" t="str"/>
      <x:c r="N217" s="30" t="str"/>
      <x:c r="O217" s="30" t="str"/>
      <x:c r="P217" s="30" t="str"/>
      <x:c r="Q217" s="30" t="str"/>
      <x:c r="R217" s="30" t="str"/>
      <x:c r="S217" s="30" t="str"/>
      <x:c r="T217" s="30" t="str"/>
      <x:c r="U217" s="30" t="str"/>
      <x:c r="V217" s="30" t="str"/>
      <x:c r="W217" s="31" t="str"/>
    </x:row>
    <x:row r="218">
      <x:c r="A218" s="30" t="str">
        <x:f>IF(B218="","",B218&amp;"-"&amp;C218)</x:f>
      </x:c>
      <x:c r="B218" s="30" t="str">
        <x:f>'01_命例主档'!A48</x:f>
      </x:c>
      <x:c r="C218" s="30" t="str">
        <x:v>土</x:v>
      </x:c>
      <x:c r="D218" s="30" t="str"/>
      <x:c r="E218" s="30" t="str"/>
      <x:c r="F218" s="30" t="str"/>
      <x:c r="G218" s="30" t="str"/>
      <x:c r="H218" s="30" t="str"/>
      <x:c r="I218" s="30" t="str"/>
      <x:c r="J218" s="30" t="str"/>
      <x:c r="K218" s="30" t="str"/>
      <x:c r="L218" s="30" t="str"/>
      <x:c r="M218" s="30" t="str"/>
      <x:c r="N218" s="30" t="str"/>
      <x:c r="O218" s="30" t="str"/>
      <x:c r="P218" s="30" t="str"/>
      <x:c r="Q218" s="30" t="str"/>
      <x:c r="R218" s="30" t="str"/>
      <x:c r="S218" s="30" t="str"/>
      <x:c r="T218" s="30" t="str"/>
      <x:c r="U218" s="30" t="str"/>
      <x:c r="V218" s="30" t="str"/>
      <x:c r="W218" s="31" t="str"/>
    </x:row>
    <x:row r="219">
      <x:c r="A219" s="30" t="str">
        <x:f>IF(B219="","",B219&amp;"-"&amp;C219)</x:f>
      </x:c>
      <x:c r="B219" s="30" t="str">
        <x:f>'01_命例主档'!A48</x:f>
      </x:c>
      <x:c r="C219" s="30" t="str">
        <x:v>金</x:v>
      </x:c>
      <x:c r="D219" s="30" t="str"/>
      <x:c r="E219" s="30" t="str"/>
      <x:c r="F219" s="30" t="str"/>
      <x:c r="G219" s="30" t="str"/>
      <x:c r="H219" s="30" t="str"/>
      <x:c r="I219" s="30" t="str"/>
      <x:c r="J219" s="30" t="str"/>
      <x:c r="K219" s="30" t="str"/>
      <x:c r="L219" s="30" t="str"/>
      <x:c r="M219" s="30" t="str"/>
      <x:c r="N219" s="30" t="str"/>
      <x:c r="O219" s="30" t="str"/>
      <x:c r="P219" s="30" t="str"/>
      <x:c r="Q219" s="30" t="str"/>
      <x:c r="R219" s="30" t="str"/>
      <x:c r="S219" s="30" t="str"/>
      <x:c r="T219" s="30" t="str"/>
      <x:c r="U219" s="30" t="str"/>
      <x:c r="V219" s="30" t="str"/>
      <x:c r="W219" s="31" t="str"/>
    </x:row>
    <x:row r="220">
      <x:c r="A220" s="30" t="str">
        <x:f>IF(B220="","",B220&amp;"-"&amp;C220)</x:f>
      </x:c>
      <x:c r="B220" s="30" t="str">
        <x:f>'01_命例主档'!A48</x:f>
      </x:c>
      <x:c r="C220" s="30" t="str">
        <x:v>水</x:v>
      </x:c>
      <x:c r="D220" s="30" t="str"/>
      <x:c r="E220" s="30" t="str"/>
      <x:c r="F220" s="30" t="str"/>
      <x:c r="G220" s="30" t="str"/>
      <x:c r="H220" s="30" t="str"/>
      <x:c r="I220" s="30" t="str"/>
      <x:c r="J220" s="30" t="str"/>
      <x:c r="K220" s="30" t="str"/>
      <x:c r="L220" s="30" t="str"/>
      <x:c r="M220" s="30" t="str"/>
      <x:c r="N220" s="30" t="str"/>
      <x:c r="O220" s="30" t="str"/>
      <x:c r="P220" s="30" t="str"/>
      <x:c r="Q220" s="30" t="str"/>
      <x:c r="R220" s="30" t="str"/>
      <x:c r="S220" s="30" t="str"/>
      <x:c r="T220" s="30" t="str"/>
      <x:c r="U220" s="30" t="str"/>
      <x:c r="V220" s="30" t="str"/>
      <x:c r="W220" s="31" t="str"/>
    </x:row>
    <x:row r="221">
      <x:c r="A221" s="30" t="str">
        <x:f>IF(B221="","",B221&amp;"-"&amp;C221)</x:f>
      </x:c>
      <x:c r="B221" s="30" t="str">
        <x:f>'01_命例主档'!A49</x:f>
      </x:c>
      <x:c r="C221" s="30" t="str">
        <x:v>木</x:v>
      </x:c>
      <x:c r="D221" s="30" t="str"/>
      <x:c r="E221" s="30" t="str"/>
      <x:c r="F221" s="30" t="str"/>
      <x:c r="G221" s="30" t="str"/>
      <x:c r="H221" s="30" t="str"/>
      <x:c r="I221" s="30" t="str"/>
      <x:c r="J221" s="30" t="str"/>
      <x:c r="K221" s="30" t="str"/>
      <x:c r="L221" s="30" t="str"/>
      <x:c r="M221" s="30" t="str"/>
      <x:c r="N221" s="30" t="str"/>
      <x:c r="O221" s="30" t="str"/>
      <x:c r="P221" s="30" t="str"/>
      <x:c r="Q221" s="30" t="str"/>
      <x:c r="R221" s="30" t="str"/>
      <x:c r="S221" s="30" t="str"/>
      <x:c r="T221" s="30" t="str"/>
      <x:c r="U221" s="30" t="str"/>
      <x:c r="V221" s="30" t="str"/>
      <x:c r="W221" s="31" t="str"/>
    </x:row>
    <x:row r="222">
      <x:c r="A222" s="30" t="str">
        <x:f>IF(B222="","",B222&amp;"-"&amp;C222)</x:f>
      </x:c>
      <x:c r="B222" s="30" t="str">
        <x:f>'01_命例主档'!A49</x:f>
      </x:c>
      <x:c r="C222" s="30" t="str">
        <x:v>火</x:v>
      </x:c>
      <x:c r="D222" s="30" t="str"/>
      <x:c r="E222" s="30" t="str"/>
      <x:c r="F222" s="30" t="str"/>
      <x:c r="G222" s="30" t="str"/>
      <x:c r="H222" s="30" t="str"/>
      <x:c r="I222" s="30" t="str"/>
      <x:c r="J222" s="30" t="str"/>
      <x:c r="K222" s="30" t="str"/>
      <x:c r="L222" s="30" t="str"/>
      <x:c r="M222" s="30" t="str"/>
      <x:c r="N222" s="30" t="str"/>
      <x:c r="O222" s="30" t="str"/>
      <x:c r="P222" s="30" t="str"/>
      <x:c r="Q222" s="30" t="str"/>
      <x:c r="R222" s="30" t="str"/>
      <x:c r="S222" s="30" t="str"/>
      <x:c r="T222" s="30" t="str"/>
      <x:c r="U222" s="30" t="str"/>
      <x:c r="V222" s="30" t="str"/>
      <x:c r="W222" s="31" t="str"/>
    </x:row>
    <x:row r="223">
      <x:c r="A223" s="30" t="str">
        <x:f>IF(B223="","",B223&amp;"-"&amp;C223)</x:f>
      </x:c>
      <x:c r="B223" s="30" t="str">
        <x:f>'01_命例主档'!A49</x:f>
      </x:c>
      <x:c r="C223" s="30" t="str">
        <x:v>土</x:v>
      </x:c>
      <x:c r="D223" s="30" t="str"/>
      <x:c r="E223" s="30" t="str"/>
      <x:c r="F223" s="30" t="str"/>
      <x:c r="G223" s="30" t="str"/>
      <x:c r="H223" s="30" t="str"/>
      <x:c r="I223" s="30" t="str"/>
      <x:c r="J223" s="30" t="str"/>
      <x:c r="K223" s="30" t="str"/>
      <x:c r="L223" s="30" t="str"/>
      <x:c r="M223" s="30" t="str"/>
      <x:c r="N223" s="30" t="str"/>
      <x:c r="O223" s="30" t="str"/>
      <x:c r="P223" s="30" t="str"/>
      <x:c r="Q223" s="30" t="str"/>
      <x:c r="R223" s="30" t="str"/>
      <x:c r="S223" s="30" t="str"/>
      <x:c r="T223" s="30" t="str"/>
      <x:c r="U223" s="30" t="str"/>
      <x:c r="V223" s="30" t="str"/>
      <x:c r="W223" s="31" t="str"/>
    </x:row>
    <x:row r="224">
      <x:c r="A224" s="30" t="str">
        <x:f>IF(B224="","",B224&amp;"-"&amp;C224)</x:f>
      </x:c>
      <x:c r="B224" s="30" t="str">
        <x:f>'01_命例主档'!A49</x:f>
      </x:c>
      <x:c r="C224" s="30" t="str">
        <x:v>金</x:v>
      </x:c>
      <x:c r="D224" s="30" t="str"/>
      <x:c r="E224" s="30" t="str"/>
      <x:c r="F224" s="30" t="str"/>
      <x:c r="G224" s="30" t="str"/>
      <x:c r="H224" s="30" t="str"/>
      <x:c r="I224" s="30" t="str"/>
      <x:c r="J224" s="30" t="str"/>
      <x:c r="K224" s="30" t="str"/>
      <x:c r="L224" s="30" t="str"/>
      <x:c r="M224" s="30" t="str"/>
      <x:c r="N224" s="30" t="str"/>
      <x:c r="O224" s="30" t="str"/>
      <x:c r="P224" s="30" t="str"/>
      <x:c r="Q224" s="30" t="str"/>
      <x:c r="R224" s="30" t="str"/>
      <x:c r="S224" s="30" t="str"/>
      <x:c r="T224" s="30" t="str"/>
      <x:c r="U224" s="30" t="str"/>
      <x:c r="V224" s="30" t="str"/>
      <x:c r="W224" s="31" t="str"/>
    </x:row>
    <x:row r="225">
      <x:c r="A225" s="30" t="str">
        <x:f>IF(B225="","",B225&amp;"-"&amp;C225)</x:f>
      </x:c>
      <x:c r="B225" s="30" t="str">
        <x:f>'01_命例主档'!A49</x:f>
      </x:c>
      <x:c r="C225" s="30" t="str">
        <x:v>水</x:v>
      </x:c>
      <x:c r="D225" s="30" t="str"/>
      <x:c r="E225" s="30" t="str"/>
      <x:c r="F225" s="30" t="str"/>
      <x:c r="G225" s="30" t="str"/>
      <x:c r="H225" s="30" t="str"/>
      <x:c r="I225" s="30" t="str"/>
      <x:c r="J225" s="30" t="str"/>
      <x:c r="K225" s="30" t="str"/>
      <x:c r="L225" s="30" t="str"/>
      <x:c r="M225" s="30" t="str"/>
      <x:c r="N225" s="30" t="str"/>
      <x:c r="O225" s="30" t="str"/>
      <x:c r="P225" s="30" t="str"/>
      <x:c r="Q225" s="30" t="str"/>
      <x:c r="R225" s="30" t="str"/>
      <x:c r="S225" s="30" t="str"/>
      <x:c r="T225" s="30" t="str"/>
      <x:c r="U225" s="30" t="str"/>
      <x:c r="V225" s="30" t="str"/>
      <x:c r="W225" s="31" t="str"/>
    </x:row>
    <x:row r="226">
      <x:c r="A226" s="30" t="str">
        <x:f>IF(B226="","",B226&amp;"-"&amp;C226)</x:f>
      </x:c>
      <x:c r="B226" s="30" t="str">
        <x:f>'01_命例主档'!A50</x:f>
      </x:c>
      <x:c r="C226" s="30" t="str">
        <x:v>木</x:v>
      </x:c>
      <x:c r="D226" s="30" t="str"/>
      <x:c r="E226" s="30" t="str"/>
      <x:c r="F226" s="30" t="str"/>
      <x:c r="G226" s="30" t="str"/>
      <x:c r="H226" s="30" t="str"/>
      <x:c r="I226" s="30" t="str"/>
      <x:c r="J226" s="30" t="str"/>
      <x:c r="K226" s="30" t="str"/>
      <x:c r="L226" s="30" t="str"/>
      <x:c r="M226" s="30" t="str"/>
      <x:c r="N226" s="30" t="str"/>
      <x:c r="O226" s="30" t="str"/>
      <x:c r="P226" s="30" t="str"/>
      <x:c r="Q226" s="30" t="str"/>
      <x:c r="R226" s="30" t="str"/>
      <x:c r="S226" s="30" t="str"/>
      <x:c r="T226" s="30" t="str"/>
      <x:c r="U226" s="30" t="str"/>
      <x:c r="V226" s="30" t="str"/>
      <x:c r="W226" s="31" t="str"/>
    </x:row>
    <x:row r="227">
      <x:c r="A227" s="30" t="str">
        <x:f>IF(B227="","",B227&amp;"-"&amp;C227)</x:f>
      </x:c>
      <x:c r="B227" s="30" t="str">
        <x:f>'01_命例主档'!A50</x:f>
      </x:c>
      <x:c r="C227" s="30" t="str">
        <x:v>火</x:v>
      </x:c>
      <x:c r="D227" s="30" t="str"/>
      <x:c r="E227" s="30" t="str"/>
      <x:c r="F227" s="30" t="str"/>
      <x:c r="G227" s="30" t="str"/>
      <x:c r="H227" s="30" t="str"/>
      <x:c r="I227" s="30" t="str"/>
      <x:c r="J227" s="30" t="str"/>
      <x:c r="K227" s="30" t="str"/>
      <x:c r="L227" s="30" t="str"/>
      <x:c r="M227" s="30" t="str"/>
      <x:c r="N227" s="30" t="str"/>
      <x:c r="O227" s="30" t="str"/>
      <x:c r="P227" s="30" t="str"/>
      <x:c r="Q227" s="30" t="str"/>
      <x:c r="R227" s="30" t="str"/>
      <x:c r="S227" s="30" t="str"/>
      <x:c r="T227" s="30" t="str"/>
      <x:c r="U227" s="30" t="str"/>
      <x:c r="V227" s="30" t="str"/>
      <x:c r="W227" s="31" t="str"/>
    </x:row>
    <x:row r="228">
      <x:c r="A228" s="30" t="str">
        <x:f>IF(B228="","",B228&amp;"-"&amp;C228)</x:f>
      </x:c>
      <x:c r="B228" s="30" t="str">
        <x:f>'01_命例主档'!A50</x:f>
      </x:c>
      <x:c r="C228" s="30" t="str">
        <x:v>土</x:v>
      </x:c>
      <x:c r="D228" s="30" t="str"/>
      <x:c r="E228" s="30" t="str"/>
      <x:c r="F228" s="30" t="str"/>
      <x:c r="G228" s="30" t="str"/>
      <x:c r="H228" s="30" t="str"/>
      <x:c r="I228" s="30" t="str"/>
      <x:c r="J228" s="30" t="str"/>
      <x:c r="K228" s="30" t="str"/>
      <x:c r="L228" s="30" t="str"/>
      <x:c r="M228" s="30" t="str"/>
      <x:c r="N228" s="30" t="str"/>
      <x:c r="O228" s="30" t="str"/>
      <x:c r="P228" s="30" t="str"/>
      <x:c r="Q228" s="30" t="str"/>
      <x:c r="R228" s="30" t="str"/>
      <x:c r="S228" s="30" t="str"/>
      <x:c r="T228" s="30" t="str"/>
      <x:c r="U228" s="30" t="str"/>
      <x:c r="V228" s="30" t="str"/>
      <x:c r="W228" s="31" t="str"/>
    </x:row>
    <x:row r="229">
      <x:c r="A229" s="30" t="str">
        <x:f>IF(B229="","",B229&amp;"-"&amp;C229)</x:f>
      </x:c>
      <x:c r="B229" s="30" t="str">
        <x:f>'01_命例主档'!A50</x:f>
      </x:c>
      <x:c r="C229" s="30" t="str">
        <x:v>金</x:v>
      </x:c>
      <x:c r="D229" s="30" t="str"/>
      <x:c r="E229" s="30" t="str"/>
      <x:c r="F229" s="30" t="str"/>
      <x:c r="G229" s="30" t="str"/>
      <x:c r="H229" s="30" t="str"/>
      <x:c r="I229" s="30" t="str"/>
      <x:c r="J229" s="30" t="str"/>
      <x:c r="K229" s="30" t="str"/>
      <x:c r="L229" s="30" t="str"/>
      <x:c r="M229" s="30" t="str"/>
      <x:c r="N229" s="30" t="str"/>
      <x:c r="O229" s="30" t="str"/>
      <x:c r="P229" s="30" t="str"/>
      <x:c r="Q229" s="30" t="str"/>
      <x:c r="R229" s="30" t="str"/>
      <x:c r="S229" s="30" t="str"/>
      <x:c r="T229" s="30" t="str"/>
      <x:c r="U229" s="30" t="str"/>
      <x:c r="V229" s="30" t="str"/>
      <x:c r="W229" s="31" t="str"/>
    </x:row>
    <x:row r="230">
      <x:c r="A230" s="30" t="str">
        <x:f>IF(B230="","",B230&amp;"-"&amp;C230)</x:f>
      </x:c>
      <x:c r="B230" s="30" t="str">
        <x:f>'01_命例主档'!A50</x:f>
      </x:c>
      <x:c r="C230" s="30" t="str">
        <x:v>水</x:v>
      </x:c>
      <x:c r="D230" s="30" t="str"/>
      <x:c r="E230" s="30" t="str"/>
      <x:c r="F230" s="30" t="str"/>
      <x:c r="G230" s="30" t="str"/>
      <x:c r="H230" s="30" t="str"/>
      <x:c r="I230" s="30" t="str"/>
      <x:c r="J230" s="30" t="str"/>
      <x:c r="K230" s="30" t="str"/>
      <x:c r="L230" s="30" t="str"/>
      <x:c r="M230" s="30" t="str"/>
      <x:c r="N230" s="30" t="str"/>
      <x:c r="O230" s="30" t="str"/>
      <x:c r="P230" s="30" t="str"/>
      <x:c r="Q230" s="30" t="str"/>
      <x:c r="R230" s="30" t="str"/>
      <x:c r="S230" s="30" t="str"/>
      <x:c r="T230" s="30" t="str"/>
      <x:c r="U230" s="30" t="str"/>
      <x:c r="V230" s="30" t="str"/>
      <x:c r="W230" s="31" t="str"/>
    </x:row>
    <x:row r="231">
      <x:c r="A231" s="30" t="str">
        <x:f>IF(B231="","",B231&amp;"-"&amp;C231)</x:f>
      </x:c>
      <x:c r="B231" s="30" t="str">
        <x:f>'01_命例主档'!A51</x:f>
      </x:c>
      <x:c r="C231" s="30" t="str">
        <x:v>木</x:v>
      </x:c>
      <x:c r="D231" s="30" t="str"/>
      <x:c r="E231" s="30" t="str"/>
      <x:c r="F231" s="30" t="str"/>
      <x:c r="G231" s="30" t="str"/>
      <x:c r="H231" s="30" t="str"/>
      <x:c r="I231" s="30" t="str"/>
      <x:c r="J231" s="30" t="str"/>
      <x:c r="K231" s="30" t="str"/>
      <x:c r="L231" s="30" t="str"/>
      <x:c r="M231" s="30" t="str"/>
      <x:c r="N231" s="30" t="str"/>
      <x:c r="O231" s="30" t="str"/>
      <x:c r="P231" s="30" t="str"/>
      <x:c r="Q231" s="30" t="str"/>
      <x:c r="R231" s="30" t="str"/>
      <x:c r="S231" s="30" t="str"/>
      <x:c r="T231" s="30" t="str"/>
      <x:c r="U231" s="30" t="str"/>
      <x:c r="V231" s="30" t="str"/>
      <x:c r="W231" s="31" t="str"/>
    </x:row>
    <x:row r="232">
      <x:c r="A232" s="30" t="str">
        <x:f>IF(B232="","",B232&amp;"-"&amp;C232)</x:f>
      </x:c>
      <x:c r="B232" s="30" t="str">
        <x:f>'01_命例主档'!A51</x:f>
      </x:c>
      <x:c r="C232" s="30" t="str">
        <x:v>火</x:v>
      </x:c>
      <x:c r="D232" s="30" t="str"/>
      <x:c r="E232" s="30" t="str"/>
      <x:c r="F232" s="30" t="str"/>
      <x:c r="G232" s="30" t="str"/>
      <x:c r="H232" s="30" t="str"/>
      <x:c r="I232" s="30" t="str"/>
      <x:c r="J232" s="30" t="str"/>
      <x:c r="K232" s="30" t="str"/>
      <x:c r="L232" s="30" t="str"/>
      <x:c r="M232" s="30" t="str"/>
      <x:c r="N232" s="30" t="str"/>
      <x:c r="O232" s="30" t="str"/>
      <x:c r="P232" s="30" t="str"/>
      <x:c r="Q232" s="30" t="str"/>
      <x:c r="R232" s="30" t="str"/>
      <x:c r="S232" s="30" t="str"/>
      <x:c r="T232" s="30" t="str"/>
      <x:c r="U232" s="30" t="str"/>
      <x:c r="V232" s="30" t="str"/>
      <x:c r="W232" s="31" t="str"/>
    </x:row>
    <x:row r="233">
      <x:c r="A233" s="30" t="str">
        <x:f>IF(B233="","",B233&amp;"-"&amp;C233)</x:f>
      </x:c>
      <x:c r="B233" s="30" t="str">
        <x:f>'01_命例主档'!A51</x:f>
      </x:c>
      <x:c r="C233" s="30" t="str">
        <x:v>土</x:v>
      </x:c>
      <x:c r="D233" s="30" t="str"/>
      <x:c r="E233" s="30" t="str"/>
      <x:c r="F233" s="30" t="str"/>
      <x:c r="G233" s="30" t="str"/>
      <x:c r="H233" s="30" t="str"/>
      <x:c r="I233" s="30" t="str"/>
      <x:c r="J233" s="30" t="str"/>
      <x:c r="K233" s="30" t="str"/>
      <x:c r="L233" s="30" t="str"/>
      <x:c r="M233" s="30" t="str"/>
      <x:c r="N233" s="30" t="str"/>
      <x:c r="O233" s="30" t="str"/>
      <x:c r="P233" s="30" t="str"/>
      <x:c r="Q233" s="30" t="str"/>
      <x:c r="R233" s="30" t="str"/>
      <x:c r="S233" s="30" t="str"/>
      <x:c r="T233" s="30" t="str"/>
      <x:c r="U233" s="30" t="str"/>
      <x:c r="V233" s="30" t="str"/>
      <x:c r="W233" s="31" t="str"/>
    </x:row>
    <x:row r="234">
      <x:c r="A234" s="30" t="str">
        <x:f>IF(B234="","",B234&amp;"-"&amp;C234)</x:f>
      </x:c>
      <x:c r="B234" s="30" t="str">
        <x:f>'01_命例主档'!A51</x:f>
      </x:c>
      <x:c r="C234" s="30" t="str">
        <x:v>金</x:v>
      </x:c>
      <x:c r="D234" s="30" t="str"/>
      <x:c r="E234" s="30" t="str"/>
      <x:c r="F234" s="30" t="str"/>
      <x:c r="G234" s="30" t="str"/>
      <x:c r="H234" s="30" t="str"/>
      <x:c r="I234" s="30" t="str"/>
      <x:c r="J234" s="30" t="str"/>
      <x:c r="K234" s="30" t="str"/>
      <x:c r="L234" s="30" t="str"/>
      <x:c r="M234" s="30" t="str"/>
      <x:c r="N234" s="30" t="str"/>
      <x:c r="O234" s="30" t="str"/>
      <x:c r="P234" s="30" t="str"/>
      <x:c r="Q234" s="30" t="str"/>
      <x:c r="R234" s="30" t="str"/>
      <x:c r="S234" s="30" t="str"/>
      <x:c r="T234" s="30" t="str"/>
      <x:c r="U234" s="30" t="str"/>
      <x:c r="V234" s="30" t="str"/>
      <x:c r="W234" s="31" t="str"/>
    </x:row>
    <x:row r="235">
      <x:c r="A235" s="30" t="str">
        <x:f>IF(B235="","",B235&amp;"-"&amp;C235)</x:f>
      </x:c>
      <x:c r="B235" s="30" t="str">
        <x:f>'01_命例主档'!A51</x:f>
      </x:c>
      <x:c r="C235" s="30" t="str">
        <x:v>水</x:v>
      </x:c>
      <x:c r="D235" s="30" t="str"/>
      <x:c r="E235" s="30" t="str"/>
      <x:c r="F235" s="30" t="str"/>
      <x:c r="G235" s="30" t="str"/>
      <x:c r="H235" s="30" t="str"/>
      <x:c r="I235" s="30" t="str"/>
      <x:c r="J235" s="30" t="str"/>
      <x:c r="K235" s="30" t="str"/>
      <x:c r="L235" s="30" t="str"/>
      <x:c r="M235" s="30" t="str"/>
      <x:c r="N235" s="30" t="str"/>
      <x:c r="O235" s="30" t="str"/>
      <x:c r="P235" s="30" t="str"/>
      <x:c r="Q235" s="30" t="str"/>
      <x:c r="R235" s="30" t="str"/>
      <x:c r="S235" s="30" t="str"/>
      <x:c r="T235" s="30" t="str"/>
      <x:c r="U235" s="30" t="str"/>
      <x:c r="V235" s="30" t="str"/>
      <x:c r="W235" s="31" t="str"/>
    </x:row>
    <x:row r="236">
      <x:c r="A236" s="30" t="str">
        <x:f>IF(B236="","",B236&amp;"-"&amp;C236)</x:f>
      </x:c>
      <x:c r="B236" s="30" t="str">
        <x:f>'01_命例主档'!A52</x:f>
      </x:c>
      <x:c r="C236" s="30" t="str">
        <x:v>木</x:v>
      </x:c>
      <x:c r="D236" s="30" t="str"/>
      <x:c r="E236" s="30" t="str"/>
      <x:c r="F236" s="30" t="str"/>
      <x:c r="G236" s="30" t="str"/>
      <x:c r="H236" s="30" t="str"/>
      <x:c r="I236" s="30" t="str"/>
      <x:c r="J236" s="30" t="str"/>
      <x:c r="K236" s="30" t="str"/>
      <x:c r="L236" s="30" t="str"/>
      <x:c r="M236" s="30" t="str"/>
      <x:c r="N236" s="30" t="str"/>
      <x:c r="O236" s="30" t="str"/>
      <x:c r="P236" s="30" t="str"/>
      <x:c r="Q236" s="30" t="str"/>
      <x:c r="R236" s="30" t="str"/>
      <x:c r="S236" s="30" t="str"/>
      <x:c r="T236" s="30" t="str"/>
      <x:c r="U236" s="30" t="str"/>
      <x:c r="V236" s="30" t="str"/>
      <x:c r="W236" s="31" t="str"/>
    </x:row>
    <x:row r="237">
      <x:c r="A237" s="30" t="str">
        <x:f>IF(B237="","",B237&amp;"-"&amp;C237)</x:f>
      </x:c>
      <x:c r="B237" s="30" t="str">
        <x:f>'01_命例主档'!A52</x:f>
      </x:c>
      <x:c r="C237" s="30" t="str">
        <x:v>火</x:v>
      </x:c>
      <x:c r="D237" s="30" t="str"/>
      <x:c r="E237" s="30" t="str"/>
      <x:c r="F237" s="30" t="str"/>
      <x:c r="G237" s="30" t="str"/>
      <x:c r="H237" s="30" t="str"/>
      <x:c r="I237" s="30" t="str"/>
      <x:c r="J237" s="30" t="str"/>
      <x:c r="K237" s="30" t="str"/>
      <x:c r="L237" s="30" t="str"/>
      <x:c r="M237" s="30" t="str"/>
      <x:c r="N237" s="30" t="str"/>
      <x:c r="O237" s="30" t="str"/>
      <x:c r="P237" s="30" t="str"/>
      <x:c r="Q237" s="30" t="str"/>
      <x:c r="R237" s="30" t="str"/>
      <x:c r="S237" s="30" t="str"/>
      <x:c r="T237" s="30" t="str"/>
      <x:c r="U237" s="30" t="str"/>
      <x:c r="V237" s="30" t="str"/>
      <x:c r="W237" s="31" t="str"/>
    </x:row>
    <x:row r="238">
      <x:c r="A238" s="30" t="str">
        <x:f>IF(B238="","",B238&amp;"-"&amp;C238)</x:f>
      </x:c>
      <x:c r="B238" s="30" t="str">
        <x:f>'01_命例主档'!A52</x:f>
      </x:c>
      <x:c r="C238" s="30" t="str">
        <x:v>土</x:v>
      </x:c>
      <x:c r="D238" s="30" t="str"/>
      <x:c r="E238" s="30" t="str"/>
      <x:c r="F238" s="30" t="str"/>
      <x:c r="G238" s="30" t="str"/>
      <x:c r="H238" s="30" t="str"/>
      <x:c r="I238" s="30" t="str"/>
      <x:c r="J238" s="30" t="str"/>
      <x:c r="K238" s="30" t="str"/>
      <x:c r="L238" s="30" t="str"/>
      <x:c r="M238" s="30" t="str"/>
      <x:c r="N238" s="30" t="str"/>
      <x:c r="O238" s="30" t="str"/>
      <x:c r="P238" s="30" t="str"/>
      <x:c r="Q238" s="30" t="str"/>
      <x:c r="R238" s="30" t="str"/>
      <x:c r="S238" s="30" t="str"/>
      <x:c r="T238" s="30" t="str"/>
      <x:c r="U238" s="30" t="str"/>
      <x:c r="V238" s="30" t="str"/>
      <x:c r="W238" s="31" t="str"/>
    </x:row>
    <x:row r="239">
      <x:c r="A239" s="30" t="str">
        <x:f>IF(B239="","",B239&amp;"-"&amp;C239)</x:f>
      </x:c>
      <x:c r="B239" s="30" t="str">
        <x:f>'01_命例主档'!A52</x:f>
      </x:c>
      <x:c r="C239" s="30" t="str">
        <x:v>金</x:v>
      </x:c>
      <x:c r="D239" s="30" t="str"/>
      <x:c r="E239" s="30" t="str"/>
      <x:c r="F239" s="30" t="str"/>
      <x:c r="G239" s="30" t="str"/>
      <x:c r="H239" s="30" t="str"/>
      <x:c r="I239" s="30" t="str"/>
      <x:c r="J239" s="30" t="str"/>
      <x:c r="K239" s="30" t="str"/>
      <x:c r="L239" s="30" t="str"/>
      <x:c r="M239" s="30" t="str"/>
      <x:c r="N239" s="30" t="str"/>
      <x:c r="O239" s="30" t="str"/>
      <x:c r="P239" s="30" t="str"/>
      <x:c r="Q239" s="30" t="str"/>
      <x:c r="R239" s="30" t="str"/>
      <x:c r="S239" s="30" t="str"/>
      <x:c r="T239" s="30" t="str"/>
      <x:c r="U239" s="30" t="str"/>
      <x:c r="V239" s="30" t="str"/>
      <x:c r="W239" s="31" t="str"/>
    </x:row>
    <x:row r="240">
      <x:c r="A240" s="30" t="str">
        <x:f>IF(B240="","",B240&amp;"-"&amp;C240)</x:f>
      </x:c>
      <x:c r="B240" s="30" t="str">
        <x:f>'01_命例主档'!A52</x:f>
      </x:c>
      <x:c r="C240" s="30" t="str">
        <x:v>水</x:v>
      </x:c>
      <x:c r="D240" s="30" t="str"/>
      <x:c r="E240" s="30" t="str"/>
      <x:c r="F240" s="30" t="str"/>
      <x:c r="G240" s="30" t="str"/>
      <x:c r="H240" s="30" t="str"/>
      <x:c r="I240" s="30" t="str"/>
      <x:c r="J240" s="30" t="str"/>
      <x:c r="K240" s="30" t="str"/>
      <x:c r="L240" s="30" t="str"/>
      <x:c r="M240" s="30" t="str"/>
      <x:c r="N240" s="30" t="str"/>
      <x:c r="O240" s="30" t="str"/>
      <x:c r="P240" s="30" t="str"/>
      <x:c r="Q240" s="30" t="str"/>
      <x:c r="R240" s="30" t="str"/>
      <x:c r="S240" s="30" t="str"/>
      <x:c r="T240" s="30" t="str"/>
      <x:c r="U240" s="30" t="str"/>
      <x:c r="V240" s="30" t="str"/>
      <x:c r="W240" s="31" t="str"/>
    </x:row>
    <x:row r="241">
      <x:c r="A241" s="30" t="str">
        <x:f>IF(B241="","",B241&amp;"-"&amp;C241)</x:f>
      </x:c>
      <x:c r="B241" s="30" t="str">
        <x:f>'01_命例主档'!A53</x:f>
      </x:c>
      <x:c r="C241" s="30" t="str">
        <x:v>木</x:v>
      </x:c>
      <x:c r="D241" s="30" t="str"/>
      <x:c r="E241" s="30" t="str"/>
      <x:c r="F241" s="30" t="str"/>
      <x:c r="G241" s="30" t="str"/>
      <x:c r="H241" s="30" t="str"/>
      <x:c r="I241" s="30" t="str"/>
      <x:c r="J241" s="30" t="str"/>
      <x:c r="K241" s="30" t="str"/>
      <x:c r="L241" s="30" t="str"/>
      <x:c r="M241" s="30" t="str"/>
      <x:c r="N241" s="30" t="str"/>
      <x:c r="O241" s="30" t="str"/>
      <x:c r="P241" s="30" t="str"/>
      <x:c r="Q241" s="30" t="str"/>
      <x:c r="R241" s="30" t="str"/>
      <x:c r="S241" s="30" t="str"/>
      <x:c r="T241" s="30" t="str"/>
      <x:c r="U241" s="30" t="str"/>
      <x:c r="V241" s="30" t="str"/>
      <x:c r="W241" s="31" t="str"/>
    </x:row>
    <x:row r="242">
      <x:c r="A242" s="30" t="str">
        <x:f>IF(B242="","",B242&amp;"-"&amp;C242)</x:f>
      </x:c>
      <x:c r="B242" s="30" t="str">
        <x:f>'01_命例主档'!A53</x:f>
      </x:c>
      <x:c r="C242" s="30" t="str">
        <x:v>火</x:v>
      </x:c>
      <x:c r="D242" s="30" t="str"/>
      <x:c r="E242" s="30" t="str"/>
      <x:c r="F242" s="30" t="str"/>
      <x:c r="G242" s="30" t="str"/>
      <x:c r="H242" s="30" t="str"/>
      <x:c r="I242" s="30" t="str"/>
      <x:c r="J242" s="30" t="str"/>
      <x:c r="K242" s="30" t="str"/>
      <x:c r="L242" s="30" t="str"/>
      <x:c r="M242" s="30" t="str"/>
      <x:c r="N242" s="30" t="str"/>
      <x:c r="O242" s="30" t="str"/>
      <x:c r="P242" s="30" t="str"/>
      <x:c r="Q242" s="30" t="str"/>
      <x:c r="R242" s="30" t="str"/>
      <x:c r="S242" s="30" t="str"/>
      <x:c r="T242" s="30" t="str"/>
      <x:c r="U242" s="30" t="str"/>
      <x:c r="V242" s="30" t="str"/>
      <x:c r="W242" s="31" t="str"/>
    </x:row>
    <x:row r="243">
      <x:c r="A243" s="30" t="str">
        <x:f>IF(B243="","",B243&amp;"-"&amp;C243)</x:f>
      </x:c>
      <x:c r="B243" s="30" t="str">
        <x:f>'01_命例主档'!A53</x:f>
      </x:c>
      <x:c r="C243" s="30" t="str">
        <x:v>土</x:v>
      </x:c>
      <x:c r="D243" s="30" t="str"/>
      <x:c r="E243" s="30" t="str"/>
      <x:c r="F243" s="30" t="str"/>
      <x:c r="G243" s="30" t="str"/>
      <x:c r="H243" s="30" t="str"/>
      <x:c r="I243" s="30" t="str"/>
      <x:c r="J243" s="30" t="str"/>
      <x:c r="K243" s="30" t="str"/>
      <x:c r="L243" s="30" t="str"/>
      <x:c r="M243" s="30" t="str"/>
      <x:c r="N243" s="30" t="str"/>
      <x:c r="O243" s="30" t="str"/>
      <x:c r="P243" s="30" t="str"/>
      <x:c r="Q243" s="30" t="str"/>
      <x:c r="R243" s="30" t="str"/>
      <x:c r="S243" s="30" t="str"/>
      <x:c r="T243" s="30" t="str"/>
      <x:c r="U243" s="30" t="str"/>
      <x:c r="V243" s="30" t="str"/>
      <x:c r="W243" s="31" t="str"/>
    </x:row>
    <x:row r="244">
      <x:c r="A244" s="30" t="str">
        <x:f>IF(B244="","",B244&amp;"-"&amp;C244)</x:f>
      </x:c>
      <x:c r="B244" s="30" t="str">
        <x:f>'01_命例主档'!A53</x:f>
      </x:c>
      <x:c r="C244" s="30" t="str">
        <x:v>金</x:v>
      </x:c>
      <x:c r="D244" s="30" t="str"/>
      <x:c r="E244" s="30" t="str"/>
      <x:c r="F244" s="30" t="str"/>
      <x:c r="G244" s="30" t="str"/>
      <x:c r="H244" s="30" t="str"/>
      <x:c r="I244" s="30" t="str"/>
      <x:c r="J244" s="30" t="str"/>
      <x:c r="K244" s="30" t="str"/>
      <x:c r="L244" s="30" t="str"/>
      <x:c r="M244" s="30" t="str"/>
      <x:c r="N244" s="30" t="str"/>
      <x:c r="O244" s="30" t="str"/>
      <x:c r="P244" s="30" t="str"/>
      <x:c r="Q244" s="30" t="str"/>
      <x:c r="R244" s="30" t="str"/>
      <x:c r="S244" s="30" t="str"/>
      <x:c r="T244" s="30" t="str"/>
      <x:c r="U244" s="30" t="str"/>
      <x:c r="V244" s="30" t="str"/>
      <x:c r="W244" s="31" t="str"/>
    </x:row>
    <x:row r="245">
      <x:c r="A245" s="30" t="str">
        <x:f>IF(B245="","",B245&amp;"-"&amp;C245)</x:f>
      </x:c>
      <x:c r="B245" s="30" t="str">
        <x:f>'01_命例主档'!A53</x:f>
      </x:c>
      <x:c r="C245" s="30" t="str">
        <x:v>水</x:v>
      </x:c>
      <x:c r="D245" s="30" t="str"/>
      <x:c r="E245" s="30" t="str"/>
      <x:c r="F245" s="30" t="str"/>
      <x:c r="G245" s="30" t="str"/>
      <x:c r="H245" s="30" t="str"/>
      <x:c r="I245" s="30" t="str"/>
      <x:c r="J245" s="30" t="str"/>
      <x:c r="K245" s="30" t="str"/>
      <x:c r="L245" s="30" t="str"/>
      <x:c r="M245" s="30" t="str"/>
      <x:c r="N245" s="30" t="str"/>
      <x:c r="O245" s="30" t="str"/>
      <x:c r="P245" s="30" t="str"/>
      <x:c r="Q245" s="30" t="str"/>
      <x:c r="R245" s="30" t="str"/>
      <x:c r="S245" s="30" t="str"/>
      <x:c r="T245" s="30" t="str"/>
      <x:c r="U245" s="30" t="str"/>
      <x:c r="V245" s="30" t="str"/>
      <x:c r="W245" s="31" t="str"/>
    </x:row>
    <x:row r="246">
      <x:c r="A246" s="30" t="str">
        <x:f>IF(B246="","",B246&amp;"-"&amp;C246)</x:f>
      </x:c>
      <x:c r="B246" s="30" t="str">
        <x:f>'01_命例主档'!A54</x:f>
      </x:c>
      <x:c r="C246" s="30" t="str">
        <x:v>木</x:v>
      </x:c>
      <x:c r="D246" s="30" t="str"/>
      <x:c r="E246" s="30" t="str"/>
      <x:c r="F246" s="30" t="str"/>
      <x:c r="G246" s="30" t="str"/>
      <x:c r="H246" s="30" t="str"/>
      <x:c r="I246" s="30" t="str"/>
      <x:c r="J246" s="30" t="str"/>
      <x:c r="K246" s="30" t="str"/>
      <x:c r="L246" s="30" t="str"/>
      <x:c r="M246" s="30" t="str"/>
      <x:c r="N246" s="30" t="str"/>
      <x:c r="O246" s="30" t="str"/>
      <x:c r="P246" s="30" t="str"/>
      <x:c r="Q246" s="30" t="str"/>
      <x:c r="R246" s="30" t="str"/>
      <x:c r="S246" s="30" t="str"/>
      <x:c r="T246" s="30" t="str"/>
      <x:c r="U246" s="30" t="str"/>
      <x:c r="V246" s="30" t="str"/>
      <x:c r="W246" s="31" t="str"/>
    </x:row>
    <x:row r="247">
      <x:c r="A247" s="30" t="str">
        <x:f>IF(B247="","",B247&amp;"-"&amp;C247)</x:f>
      </x:c>
      <x:c r="B247" s="30" t="str">
        <x:f>'01_命例主档'!A54</x:f>
      </x:c>
      <x:c r="C247" s="30" t="str">
        <x:v>火</x:v>
      </x:c>
      <x:c r="D247" s="30" t="str"/>
      <x:c r="E247" s="30" t="str"/>
      <x:c r="F247" s="30" t="str"/>
      <x:c r="G247" s="30" t="str"/>
      <x:c r="H247" s="30" t="str"/>
      <x:c r="I247" s="30" t="str"/>
      <x:c r="J247" s="30" t="str"/>
      <x:c r="K247" s="30" t="str"/>
      <x:c r="L247" s="30" t="str"/>
      <x:c r="M247" s="30" t="str"/>
      <x:c r="N247" s="30" t="str"/>
      <x:c r="O247" s="30" t="str"/>
      <x:c r="P247" s="30" t="str"/>
      <x:c r="Q247" s="30" t="str"/>
      <x:c r="R247" s="30" t="str"/>
      <x:c r="S247" s="30" t="str"/>
      <x:c r="T247" s="30" t="str"/>
      <x:c r="U247" s="30" t="str"/>
      <x:c r="V247" s="30" t="str"/>
      <x:c r="W247" s="31" t="str"/>
    </x:row>
    <x:row r="248">
      <x:c r="A248" s="30" t="str">
        <x:f>IF(B248="","",B248&amp;"-"&amp;C248)</x:f>
      </x:c>
      <x:c r="B248" s="30" t="str">
        <x:f>'01_命例主档'!A54</x:f>
      </x:c>
      <x:c r="C248" s="30" t="str">
        <x:v>土</x:v>
      </x:c>
      <x:c r="D248" s="30" t="str"/>
      <x:c r="E248" s="30" t="str"/>
      <x:c r="F248" s="30" t="str"/>
      <x:c r="G248" s="30" t="str"/>
      <x:c r="H248" s="30" t="str"/>
      <x:c r="I248" s="30" t="str"/>
      <x:c r="J248" s="30" t="str"/>
      <x:c r="K248" s="30" t="str"/>
      <x:c r="L248" s="30" t="str"/>
      <x:c r="M248" s="30" t="str"/>
      <x:c r="N248" s="30" t="str"/>
      <x:c r="O248" s="30" t="str"/>
      <x:c r="P248" s="30" t="str"/>
      <x:c r="Q248" s="30" t="str"/>
      <x:c r="R248" s="30" t="str"/>
      <x:c r="S248" s="30" t="str"/>
      <x:c r="T248" s="30" t="str"/>
      <x:c r="U248" s="30" t="str"/>
      <x:c r="V248" s="30" t="str"/>
      <x:c r="W248" s="31" t="str"/>
    </x:row>
    <x:row r="249">
      <x:c r="A249" s="30" t="str">
        <x:f>IF(B249="","",B249&amp;"-"&amp;C249)</x:f>
      </x:c>
      <x:c r="B249" s="30" t="str">
        <x:f>'01_命例主档'!A54</x:f>
      </x:c>
      <x:c r="C249" s="30" t="str">
        <x:v>金</x:v>
      </x:c>
      <x:c r="D249" s="30" t="str"/>
      <x:c r="E249" s="30" t="str"/>
      <x:c r="F249" s="30" t="str"/>
      <x:c r="G249" s="30" t="str"/>
      <x:c r="H249" s="30" t="str"/>
      <x:c r="I249" s="30" t="str"/>
      <x:c r="J249" s="30" t="str"/>
      <x:c r="K249" s="30" t="str"/>
      <x:c r="L249" s="30" t="str"/>
      <x:c r="M249" s="30" t="str"/>
      <x:c r="N249" s="30" t="str"/>
      <x:c r="O249" s="30" t="str"/>
      <x:c r="P249" s="30" t="str"/>
      <x:c r="Q249" s="30" t="str"/>
      <x:c r="R249" s="30" t="str"/>
      <x:c r="S249" s="30" t="str"/>
      <x:c r="T249" s="30" t="str"/>
      <x:c r="U249" s="30" t="str"/>
      <x:c r="V249" s="30" t="str"/>
      <x:c r="W249" s="31" t="str"/>
    </x:row>
    <x:row r="250">
      <x:c r="A250" s="30" t="str">
        <x:f>IF(B250="","",B250&amp;"-"&amp;C250)</x:f>
      </x:c>
      <x:c r="B250" s="30" t="str">
        <x:f>'01_命例主档'!A54</x:f>
      </x:c>
      <x:c r="C250" s="30" t="str">
        <x:v>水</x:v>
      </x:c>
      <x:c r="D250" s="30" t="str"/>
      <x:c r="E250" s="30" t="str"/>
      <x:c r="F250" s="30" t="str"/>
      <x:c r="G250" s="30" t="str"/>
      <x:c r="H250" s="30" t="str"/>
      <x:c r="I250" s="30" t="str"/>
      <x:c r="J250" s="30" t="str"/>
      <x:c r="K250" s="30" t="str"/>
      <x:c r="L250" s="30" t="str"/>
      <x:c r="M250" s="30" t="str"/>
      <x:c r="N250" s="30" t="str"/>
      <x:c r="O250" s="30" t="str"/>
      <x:c r="P250" s="30" t="str"/>
      <x:c r="Q250" s="30" t="str"/>
      <x:c r="R250" s="30" t="str"/>
      <x:c r="S250" s="30" t="str"/>
      <x:c r="T250" s="30" t="str"/>
      <x:c r="U250" s="30" t="str"/>
      <x:c r="V250" s="30" t="str"/>
      <x:c r="W250" s="31" t="str"/>
    </x:row>
    <x:row r="251">
      <x:c r="A251" s="30" t="str">
        <x:f>IF(B251="","",B251&amp;"-"&amp;C251)</x:f>
      </x:c>
      <x:c r="B251" s="30" t="n">
        <x:f>'01_命例主档'!A55</x:f>
        <x:v>0</x:v>
      </x:c>
      <x:c r="C251" s="30" t="str">
        <x:v>木</x:v>
      </x:c>
      <x:c r="D251" s="30" t="str"/>
      <x:c r="E251" s="30" t="str"/>
      <x:c r="F251" s="30" t="str"/>
      <x:c r="G251" s="30" t="str"/>
      <x:c r="H251" s="30" t="str"/>
      <x:c r="I251" s="30" t="str"/>
      <x:c r="J251" s="30" t="str"/>
      <x:c r="K251" s="30" t="str"/>
      <x:c r="L251" s="30" t="str"/>
      <x:c r="M251" s="30" t="str"/>
      <x:c r="N251" s="30" t="str"/>
      <x:c r="O251" s="30" t="str"/>
      <x:c r="P251" s="30" t="str"/>
      <x:c r="Q251" s="30" t="str"/>
      <x:c r="R251" s="30" t="str"/>
      <x:c r="S251" s="30" t="str"/>
      <x:c r="T251" s="30" t="str"/>
      <x:c r="U251" s="30" t="str"/>
      <x:c r="V251" s="30" t="str"/>
      <x:c r="W251" s="31" t="str"/>
    </x:row>
    <x:row r="252">
      <x:c r="A252" s="30" t="str">
        <x:f>IF(B252="","",B252&amp;"-"&amp;C252)</x:f>
      </x:c>
      <x:c r="B252" s="30" t="n">
        <x:f>'01_命例主档'!A55</x:f>
        <x:v>0</x:v>
      </x:c>
      <x:c r="C252" s="30" t="str">
        <x:v>火</x:v>
      </x:c>
      <x:c r="D252" s="30" t="str"/>
      <x:c r="E252" s="30" t="str"/>
      <x:c r="F252" s="30" t="str"/>
      <x:c r="G252" s="30" t="str"/>
      <x:c r="H252" s="30" t="str"/>
      <x:c r="I252" s="30" t="str"/>
      <x:c r="J252" s="30" t="str"/>
      <x:c r="K252" s="30" t="str"/>
      <x:c r="L252" s="30" t="str"/>
      <x:c r="M252" s="30" t="str"/>
      <x:c r="N252" s="30" t="str"/>
      <x:c r="O252" s="30" t="str"/>
      <x:c r="P252" s="30" t="str"/>
      <x:c r="Q252" s="30" t="str"/>
      <x:c r="R252" s="30" t="str"/>
      <x:c r="S252" s="30" t="str"/>
      <x:c r="T252" s="30" t="str"/>
      <x:c r="U252" s="30" t="str"/>
      <x:c r="V252" s="30" t="str"/>
      <x:c r="W252" s="31" t="str"/>
    </x:row>
    <x:row r="253">
      <x:c r="A253" s="30" t="str">
        <x:f>IF(B253="","",B253&amp;"-"&amp;C253)</x:f>
      </x:c>
      <x:c r="B253" s="30" t="n">
        <x:f>'01_命例主档'!A55</x:f>
        <x:v>0</x:v>
      </x:c>
      <x:c r="C253" s="30" t="str">
        <x:v>土</x:v>
      </x:c>
      <x:c r="D253" s="30" t="str"/>
      <x:c r="E253" s="30" t="str"/>
      <x:c r="F253" s="30" t="str"/>
      <x:c r="G253" s="30" t="str"/>
      <x:c r="H253" s="30" t="str"/>
      <x:c r="I253" s="30" t="str"/>
      <x:c r="J253" s="30" t="str"/>
      <x:c r="K253" s="30" t="str"/>
      <x:c r="L253" s="30" t="str"/>
      <x:c r="M253" s="30" t="str"/>
      <x:c r="N253" s="30" t="str"/>
      <x:c r="O253" s="30" t="str"/>
      <x:c r="P253" s="30" t="str"/>
      <x:c r="Q253" s="30" t="str"/>
      <x:c r="R253" s="30" t="str"/>
      <x:c r="S253" s="30" t="str"/>
      <x:c r="T253" s="30" t="str"/>
      <x:c r="U253" s="30" t="str"/>
      <x:c r="V253" s="30" t="str"/>
      <x:c r="W253" s="31" t="str"/>
    </x:row>
    <x:row r="254">
      <x:c r="A254" s="30" t="str">
        <x:f>IF(B254="","",B254&amp;"-"&amp;C254)</x:f>
      </x:c>
      <x:c r="B254" s="30" t="n">
        <x:f>'01_命例主档'!A55</x:f>
        <x:v>0</x:v>
      </x:c>
      <x:c r="C254" s="30" t="str">
        <x:v>金</x:v>
      </x:c>
      <x:c r="D254" s="30" t="str"/>
      <x:c r="E254" s="30" t="str"/>
      <x:c r="F254" s="30" t="str"/>
      <x:c r="G254" s="30" t="str"/>
      <x:c r="H254" s="30" t="str"/>
      <x:c r="I254" s="30" t="str"/>
      <x:c r="J254" s="30" t="str"/>
      <x:c r="K254" s="30" t="str"/>
      <x:c r="L254" s="30" t="str"/>
      <x:c r="M254" s="30" t="str"/>
      <x:c r="N254" s="30" t="str"/>
      <x:c r="O254" s="30" t="str"/>
      <x:c r="P254" s="30" t="str"/>
      <x:c r="Q254" s="30" t="str"/>
      <x:c r="R254" s="30" t="str"/>
      <x:c r="S254" s="30" t="str"/>
      <x:c r="T254" s="30" t="str"/>
      <x:c r="U254" s="30" t="str"/>
      <x:c r="V254" s="30" t="str"/>
      <x:c r="W254" s="31" t="str"/>
    </x:row>
    <x:row r="255">
      <x:c r="A255" s="30" t="str">
        <x:f>IF(B255="","",B255&amp;"-"&amp;C255)</x:f>
      </x:c>
      <x:c r="B255" s="30" t="n">
        <x:f>'01_命例主档'!A55</x:f>
        <x:v>0</x:v>
      </x:c>
      <x:c r="C255" s="30" t="str">
        <x:v>水</x:v>
      </x:c>
      <x:c r="D255" s="30" t="str"/>
      <x:c r="E255" s="30" t="str"/>
      <x:c r="F255" s="30" t="str"/>
      <x:c r="G255" s="30" t="str"/>
      <x:c r="H255" s="30" t="str"/>
      <x:c r="I255" s="30" t="str"/>
      <x:c r="J255" s="30" t="str"/>
      <x:c r="K255" s="30" t="str"/>
      <x:c r="L255" s="30" t="str"/>
      <x:c r="M255" s="30" t="str"/>
      <x:c r="N255" s="30" t="str"/>
      <x:c r="O255" s="30" t="str"/>
      <x:c r="P255" s="30" t="str"/>
      <x:c r="Q255" s="30" t="str"/>
      <x:c r="R255" s="30" t="str"/>
      <x:c r="S255" s="30" t="str"/>
      <x:c r="T255" s="30" t="str"/>
      <x:c r="U255" s="30" t="str"/>
      <x:c r="V255" s="30" t="str"/>
      <x:c r="W255" s="31" t="str"/>
    </x:row>
  </x:sheetData>
  <x:mergeCells>
    <x:mergeCell ref="A1:W1"/>
    <x:mergeCell ref="A2:W2"/>
  </x:mergeCells>
  <x:conditionalFormatting sqref="P6:P255">
    <x:cfRule type="expression" dxfId="8" priority="1">
      <x:formula>P6="主用神"</x:formula>
    </x:cfRule>
    <x:cfRule type="expression" dxfId="9" priority="2">
      <x:formula>OR(P6="忌神",P6="仇神")</x:formula>
    </x:cfRule>
    <x:cfRule type="expression" dxfId="10" priority="3">
      <x:formula>OR(P6="条件性喜神",P6="条件性忌神")</x:formula>
    </x:cfRule>
  </x:conditionalFormatting>
  <x:dataValidations count="6">
    <x:dataValidation type="list" sqref="C6:C255">
      <x:formula1>'99_下拉选项'!$Y$4:$Y$8</x:formula1>
    </x:dataValidation>
    <x:dataValidation type="list" sqref="P6:P255">
      <x:formula1>'99_下拉选项'!$AE$4:$AE$12</x:formula1>
    </x:dataValidation>
    <x:dataValidation type="list" sqref="Q6:Q255">
      <x:formula1>'99_下拉选项'!$AF$4:$AF$9</x:formula1>
    </x:dataValidation>
    <x:dataValidation type="list" sqref="R6:R255">
      <x:formula1>'99_下拉选项'!$H$4:$H$6</x:formula1>
    </x:dataValidation>
    <x:dataValidation type="list" sqref="T6:T255">
      <x:formula1>'99_下拉选项'!$G$4:$G$8</x:formula1>
    </x:dataValidation>
    <x:dataValidation type="list" sqref="V6:V255">
      <x:formula1>'99_下拉选项'!$AG$4:$AG$8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ce75aa211949a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7" hidden="0" customWidth="1"/>
    <x:col min="3" max="3" width="13" hidden="0" customWidth="1"/>
    <x:col min="4" max="4" width="12" hidden="0" customWidth="1"/>
    <x:col min="5" max="5" width="13" hidden="0" customWidth="1"/>
    <x:col min="6" max="6" width="12" hidden="0" customWidth="1"/>
    <x:col min="7" max="7" width="34" hidden="0" customWidth="1"/>
    <x:col min="8" max="8" width="42" hidden="0" customWidth="1"/>
    <x:col min="9" max="9" width="14" hidden="0" customWidth="1"/>
    <x:col min="10" max="10" width="12" hidden="0" customWidth="1"/>
    <x:col min="11" max="11" width="11" hidden="0" customWidth="1"/>
    <x:col min="12" max="12" width="34" hidden="0" customWidth="1"/>
    <x:col min="13" max="13" width="10" hidden="0" customWidth="1"/>
    <x:col min="14" max="14" width="32" hidden="0" customWidth="1"/>
    <x:col min="15" max="15" width="38" hidden="0" customWidth="1"/>
    <x:col min="16" max="16" width="11" hidden="0" customWidth="1"/>
    <x:col min="17" max="17" width="13" hidden="0" customWidth="1"/>
    <x:col min="18" max="18" width="12" hidden="0" customWidth="1"/>
    <x:col min="19" max="19" width="12" hidden="0" customWidth="1"/>
    <x:col min="20" max="20" width="32" hidden="0" customWidth="1"/>
  </x:cols>
  <x:sheetData>
    <x:row r="1">
      <x:c r="A1" s="5" t="str">
        <x:v>真实反馈与可观察证据｜只记录事实，不把结构结论当作事件预测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>
      <x:c r="A2" t="str">
        <x:v>反馈用于验证规则边界与表达准确性。必须区分当事人陈述、第三方材料、公开记录和分析师推断，并记录可能的混杂因素。</x:v>
      </x:c>
    </x:row>
    <x:row r="5">
      <x:c r="A5" s="14" t="str">
        <x:v>Feedback_ID</x:v>
      </x:c>
      <x:c r="B5" s="14" t="str">
        <x:v>序号</x:v>
      </x:c>
      <x:c r="C5" s="14" t="str">
        <x:v>Case_ID</x:v>
      </x:c>
      <x:c r="D5" s="14" t="str">
        <x:v>反馈日期</x:v>
      </x:c>
      <x:c r="E5" s="14" t="str">
        <x:v>反馈来源</x:v>
      </x:c>
      <x:c r="F5" s="14" t="str">
        <x:v>主题领域</x:v>
      </x:c>
      <x:c r="G5" s="14" t="str">
        <x:v>关联原局结论</x:v>
      </x:c>
      <x:c r="H5" s="14" t="str">
        <x:v>可观察事实</x:v>
      </x:c>
      <x:c r="I5" s="14" t="str">
        <x:v>证据类型</x:v>
      </x:c>
      <x:c r="J5" s="14" t="str">
        <x:v>证据可靠性</x:v>
      </x:c>
      <x:c r="K5" s="14" t="str">
        <x:v>支持程度</x:v>
      </x:c>
      <x:c r="L5" s="14" t="str">
        <x:v>可能混杂因素</x:v>
      </x:c>
      <x:c r="M5" s="14" t="str">
        <x:v>关联模块</x:v>
      </x:c>
      <x:c r="N5" s="14" t="str">
        <x:v>目标Rule_ID</x:v>
      </x:c>
      <x:c r="O5" s="14" t="str">
        <x:v>分析师解释</x:v>
      </x:c>
      <x:c r="P5" s="14" t="str">
        <x:v>是否触发回归</x:v>
      </x:c>
      <x:c r="Q5" s="14" t="str">
        <x:v>是否转动态模型</x:v>
      </x:c>
      <x:c r="R5" s="14" t="str">
        <x:v>记录人</x:v>
      </x:c>
      <x:c r="S5" s="14" t="str">
        <x:v>更新时间</x:v>
      </x:c>
      <x:c r="T5" s="14" t="str">
        <x:v>备注</x:v>
      </x:c>
    </x:row>
    <x:row r="6">
      <x:c r="A6" s="30" t="str">
        <x:f>IF(C6="","","FB-"&amp;TEXT(B6,"0000"))</x:f>
      </x:c>
      <x:c r="B6" s="30" t="n">
        <x:v>1</x:v>
      </x:c>
      <x:c r="C6" s="30"/>
      <x:c r="D6" s="31"/>
      <x:c r="E6" s="30"/>
      <x:c r="F6" s="30"/>
      <x:c r="G6" s="30"/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1"/>
      <x:c r="T6" s="30"/>
    </x:row>
    <x:row r="7">
      <x:c r="A7" s="30" t="str">
        <x:f>IF(C7="","","FB-"&amp;TEXT(B7,"0000"))</x:f>
      </x:c>
      <x:c r="B7" s="30" t="n">
        <x:v>2</x:v>
      </x:c>
      <x:c r="C7" s="30"/>
      <x:c r="D7" s="31"/>
      <x:c r="E7" s="30"/>
      <x:c r="F7" s="30"/>
      <x:c r="G7" s="30"/>
      <x:c r="H7" s="30"/>
      <x:c r="I7" s="30"/>
      <x:c r="J7" s="30"/>
      <x:c r="K7" s="30"/>
      <x:c r="L7" s="30"/>
      <x:c r="M7" s="30"/>
      <x:c r="N7" s="30"/>
      <x:c r="O7" s="30"/>
      <x:c r="P7" s="30"/>
      <x:c r="Q7" s="30"/>
      <x:c r="R7" s="30"/>
      <x:c r="S7" s="31"/>
      <x:c r="T7" s="30"/>
    </x:row>
    <x:row r="8">
      <x:c r="A8" s="30" t="str">
        <x:f>IF(C8="","","FB-"&amp;TEXT(B8,"0000"))</x:f>
      </x:c>
      <x:c r="B8" s="30" t="n">
        <x:v>3</x:v>
      </x:c>
      <x:c r="C8" s="30"/>
      <x:c r="D8" s="31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1"/>
      <x:c r="T8" s="30"/>
    </x:row>
    <x:row r="9">
      <x:c r="A9" s="30" t="str">
        <x:f>IF(C9="","","FB-"&amp;TEXT(B9,"0000"))</x:f>
      </x:c>
      <x:c r="B9" s="30" t="n">
        <x:v>4</x:v>
      </x:c>
      <x:c r="C9" s="30"/>
      <x:c r="D9" s="31"/>
      <x:c r="E9" s="30"/>
      <x:c r="F9" s="30"/>
      <x:c r="G9" s="30"/>
      <x:c r="H9" s="30"/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1"/>
      <x:c r="T9" s="30"/>
    </x:row>
    <x:row r="10">
      <x:c r="A10" s="30" t="str">
        <x:f>IF(C10="","","FB-"&amp;TEXT(B10,"0000"))</x:f>
      </x:c>
      <x:c r="B10" s="30" t="n">
        <x:v>5</x:v>
      </x:c>
      <x:c r="C10" s="30"/>
      <x:c r="D10" s="31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1"/>
      <x:c r="T10" s="30"/>
    </x:row>
    <x:row r="11">
      <x:c r="A11" s="30" t="str">
        <x:f>IF(C11="","","FB-"&amp;TEXT(B11,"0000"))</x:f>
      </x:c>
      <x:c r="B11" s="30" t="n">
        <x:v>6</x:v>
      </x:c>
      <x:c r="C11" s="30"/>
      <x:c r="D11" s="31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1"/>
      <x:c r="T11" s="30"/>
    </x:row>
    <x:row r="12">
      <x:c r="A12" s="30" t="str">
        <x:f>IF(C12="","","FB-"&amp;TEXT(B12,"0000"))</x:f>
      </x:c>
      <x:c r="B12" s="30" t="n">
        <x:v>7</x:v>
      </x:c>
      <x:c r="C12" s="30"/>
      <x:c r="D12" s="31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1"/>
      <x:c r="T12" s="30"/>
    </x:row>
    <x:row r="13">
      <x:c r="A13" s="30" t="str">
        <x:f>IF(C13="","","FB-"&amp;TEXT(B13,"0000"))</x:f>
      </x:c>
      <x:c r="B13" s="30" t="n">
        <x:v>8</x:v>
      </x:c>
      <x:c r="C13" s="30"/>
      <x:c r="D13" s="31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1"/>
      <x:c r="T13" s="30"/>
    </x:row>
    <x:row r="14">
      <x:c r="A14" s="30" t="str">
        <x:f>IF(C14="","","FB-"&amp;TEXT(B14,"0000"))</x:f>
      </x:c>
      <x:c r="B14" s="30" t="n">
        <x:v>9</x:v>
      </x:c>
      <x:c r="C14" s="30"/>
      <x:c r="D14" s="31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1"/>
      <x:c r="T14" s="30"/>
    </x:row>
    <x:row r="15">
      <x:c r="A15" s="30" t="str">
        <x:f>IF(C15="","","FB-"&amp;TEXT(B15,"0000"))</x:f>
      </x:c>
      <x:c r="B15" s="30" t="n">
        <x:v>10</x:v>
      </x:c>
      <x:c r="C15" s="30"/>
      <x:c r="D15" s="31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1"/>
      <x:c r="T15" s="30"/>
    </x:row>
    <x:row r="16">
      <x:c r="A16" s="30" t="str">
        <x:f>IF(C16="","","FB-"&amp;TEXT(B16,"0000"))</x:f>
      </x:c>
      <x:c r="B16" s="30" t="n">
        <x:v>11</x:v>
      </x:c>
      <x:c r="C16" s="30"/>
      <x:c r="D16" s="31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1"/>
      <x:c r="T16" s="30"/>
    </x:row>
    <x:row r="17">
      <x:c r="A17" s="30" t="str">
        <x:f>IF(C17="","","FB-"&amp;TEXT(B17,"0000"))</x:f>
      </x:c>
      <x:c r="B17" s="30" t="n">
        <x:v>12</x:v>
      </x:c>
      <x:c r="C17" s="30"/>
      <x:c r="D17" s="31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1"/>
      <x:c r="T17" s="30"/>
    </x:row>
    <x:row r="18">
      <x:c r="A18" s="30" t="str">
        <x:f>IF(C18="","","FB-"&amp;TEXT(B18,"0000"))</x:f>
      </x:c>
      <x:c r="B18" s="30" t="n">
        <x:v>13</x:v>
      </x:c>
      <x:c r="C18" s="30"/>
      <x:c r="D18" s="31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1"/>
      <x:c r="T18" s="30"/>
    </x:row>
    <x:row r="19">
      <x:c r="A19" s="30" t="str">
        <x:f>IF(C19="","","FB-"&amp;TEXT(B19,"0000"))</x:f>
      </x:c>
      <x:c r="B19" s="30" t="n">
        <x:v>14</x:v>
      </x:c>
      <x:c r="C19" s="30"/>
      <x:c r="D19" s="31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1"/>
      <x:c r="T19" s="30"/>
    </x:row>
    <x:row r="20">
      <x:c r="A20" s="30" t="str">
        <x:f>IF(C20="","","FB-"&amp;TEXT(B20,"0000"))</x:f>
      </x:c>
      <x:c r="B20" s="30" t="n">
        <x:v>15</x:v>
      </x:c>
      <x:c r="C20" s="30"/>
      <x:c r="D20" s="31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1"/>
      <x:c r="T20" s="30"/>
    </x:row>
    <x:row r="21">
      <x:c r="A21" s="30" t="str">
        <x:f>IF(C21="","","FB-"&amp;TEXT(B21,"0000"))</x:f>
      </x:c>
      <x:c r="B21" s="30" t="n">
        <x:v>16</x:v>
      </x:c>
      <x:c r="C21" s="30"/>
      <x:c r="D21" s="31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1"/>
      <x:c r="T21" s="30"/>
    </x:row>
    <x:row r="22">
      <x:c r="A22" s="30" t="str">
        <x:f>IF(C22="","","FB-"&amp;TEXT(B22,"0000"))</x:f>
      </x:c>
      <x:c r="B22" s="30" t="n">
        <x:v>17</x:v>
      </x:c>
      <x:c r="C22" s="30"/>
      <x:c r="D22" s="31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1"/>
      <x:c r="T22" s="30"/>
    </x:row>
    <x:row r="23">
      <x:c r="A23" s="30" t="str">
        <x:f>IF(C23="","","FB-"&amp;TEXT(B23,"0000"))</x:f>
      </x:c>
      <x:c r="B23" s="30" t="n">
        <x:v>18</x:v>
      </x:c>
      <x:c r="C23" s="30"/>
      <x:c r="D23" s="31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1"/>
      <x:c r="T23" s="30"/>
    </x:row>
    <x:row r="24">
      <x:c r="A24" s="30" t="str">
        <x:f>IF(C24="","","FB-"&amp;TEXT(B24,"0000"))</x:f>
      </x:c>
      <x:c r="B24" s="30" t="n">
        <x:v>19</x:v>
      </x:c>
      <x:c r="C24" s="30"/>
      <x:c r="D24" s="31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1"/>
      <x:c r="T24" s="30"/>
    </x:row>
    <x:row r="25">
      <x:c r="A25" s="30" t="str">
        <x:f>IF(C25="","","FB-"&amp;TEXT(B25,"0000"))</x:f>
      </x:c>
      <x:c r="B25" s="30" t="n">
        <x:v>20</x:v>
      </x:c>
      <x:c r="C25" s="30"/>
      <x:c r="D25" s="31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1"/>
      <x:c r="T25" s="30"/>
    </x:row>
    <x:row r="26">
      <x:c r="A26" s="30" t="str">
        <x:f>IF(C26="","","FB-"&amp;TEXT(B26,"0000"))</x:f>
      </x:c>
      <x:c r="B26" s="30" t="n">
        <x:v>21</x:v>
      </x:c>
      <x:c r="C26" s="30"/>
      <x:c r="D26" s="31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1"/>
      <x:c r="T26" s="30"/>
    </x:row>
    <x:row r="27">
      <x:c r="A27" s="30" t="str">
        <x:f>IF(C27="","","FB-"&amp;TEXT(B27,"0000"))</x:f>
      </x:c>
      <x:c r="B27" s="30" t="n">
        <x:v>22</x:v>
      </x:c>
      <x:c r="C27" s="30"/>
      <x:c r="D27" s="31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1"/>
      <x:c r="T27" s="30"/>
    </x:row>
    <x:row r="28">
      <x:c r="A28" s="30" t="str">
        <x:f>IF(C28="","","FB-"&amp;TEXT(B28,"0000"))</x:f>
      </x:c>
      <x:c r="B28" s="30" t="n">
        <x:v>23</x:v>
      </x:c>
      <x:c r="C28" s="30"/>
      <x:c r="D28" s="31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1"/>
      <x:c r="T28" s="30"/>
    </x:row>
    <x:row r="29">
      <x:c r="A29" s="30" t="str">
        <x:f>IF(C29="","","FB-"&amp;TEXT(B29,"0000"))</x:f>
      </x:c>
      <x:c r="B29" s="30" t="n">
        <x:v>24</x:v>
      </x:c>
      <x:c r="C29" s="30"/>
      <x:c r="D29" s="31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1"/>
      <x:c r="T29" s="30"/>
    </x:row>
    <x:row r="30">
      <x:c r="A30" s="30" t="str">
        <x:f>IF(C30="","","FB-"&amp;TEXT(B30,"0000"))</x:f>
      </x:c>
      <x:c r="B30" s="30" t="n">
        <x:v>25</x:v>
      </x:c>
      <x:c r="C30" s="30"/>
      <x:c r="D30" s="31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1"/>
      <x:c r="T30" s="30"/>
    </x:row>
    <x:row r="31">
      <x:c r="A31" s="30" t="str">
        <x:f>IF(C31="","","FB-"&amp;TEXT(B31,"0000"))</x:f>
      </x:c>
      <x:c r="B31" s="30" t="n">
        <x:v>26</x:v>
      </x:c>
      <x:c r="C31" s="30"/>
      <x:c r="D31" s="31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1"/>
      <x:c r="T31" s="30"/>
    </x:row>
    <x:row r="32">
      <x:c r="A32" s="30" t="str">
        <x:f>IF(C32="","","FB-"&amp;TEXT(B32,"0000"))</x:f>
      </x:c>
      <x:c r="B32" s="30" t="n">
        <x:v>27</x:v>
      </x:c>
      <x:c r="C32" s="30"/>
      <x:c r="D32" s="31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1"/>
      <x:c r="T32" s="30"/>
    </x:row>
    <x:row r="33">
      <x:c r="A33" s="30" t="str">
        <x:f>IF(C33="","","FB-"&amp;TEXT(B33,"0000"))</x:f>
      </x:c>
      <x:c r="B33" s="30" t="n">
        <x:v>28</x:v>
      </x:c>
      <x:c r="C33" s="30"/>
      <x:c r="D33" s="31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1"/>
      <x:c r="T33" s="30"/>
    </x:row>
    <x:row r="34">
      <x:c r="A34" s="30" t="str">
        <x:f>IF(C34="","","FB-"&amp;TEXT(B34,"0000"))</x:f>
      </x:c>
      <x:c r="B34" s="30" t="n">
        <x:v>29</x:v>
      </x:c>
      <x:c r="C34" s="30"/>
      <x:c r="D34" s="31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1"/>
      <x:c r="T34" s="30"/>
    </x:row>
    <x:row r="35">
      <x:c r="A35" s="30" t="str">
        <x:f>IF(C35="","","FB-"&amp;TEXT(B35,"0000"))</x:f>
      </x:c>
      <x:c r="B35" s="30" t="n">
        <x:v>30</x:v>
      </x:c>
      <x:c r="C35" s="30"/>
      <x:c r="D35" s="31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1"/>
      <x:c r="T35" s="30"/>
    </x:row>
    <x:row r="36">
      <x:c r="A36" s="30" t="str">
        <x:f>IF(C36="","","FB-"&amp;TEXT(B36,"0000"))</x:f>
      </x:c>
      <x:c r="B36" s="30" t="n">
        <x:v>31</x:v>
      </x:c>
      <x:c r="C36" s="30"/>
      <x:c r="D36" s="31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1"/>
      <x:c r="T36" s="30"/>
    </x:row>
    <x:row r="37">
      <x:c r="A37" s="30" t="str">
        <x:f>IF(C37="","","FB-"&amp;TEXT(B37,"0000"))</x:f>
      </x:c>
      <x:c r="B37" s="30" t="n">
        <x:v>32</x:v>
      </x:c>
      <x:c r="C37" s="30"/>
      <x:c r="D37" s="31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1"/>
      <x:c r="T37" s="30"/>
    </x:row>
    <x:row r="38">
      <x:c r="A38" s="30" t="str">
        <x:f>IF(C38="","","FB-"&amp;TEXT(B38,"0000"))</x:f>
      </x:c>
      <x:c r="B38" s="30" t="n">
        <x:v>33</x:v>
      </x:c>
      <x:c r="C38" s="30"/>
      <x:c r="D38" s="31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1"/>
      <x:c r="T38" s="30"/>
    </x:row>
    <x:row r="39">
      <x:c r="A39" s="30" t="str">
        <x:f>IF(C39="","","FB-"&amp;TEXT(B39,"0000"))</x:f>
      </x:c>
      <x:c r="B39" s="30" t="n">
        <x:v>34</x:v>
      </x:c>
      <x:c r="C39" s="30"/>
      <x:c r="D39" s="31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1"/>
      <x:c r="T39" s="30"/>
    </x:row>
    <x:row r="40">
      <x:c r="A40" s="30" t="str">
        <x:f>IF(C40="","","FB-"&amp;TEXT(B40,"0000"))</x:f>
      </x:c>
      <x:c r="B40" s="30" t="n">
        <x:v>35</x:v>
      </x:c>
      <x:c r="C40" s="30"/>
      <x:c r="D40" s="31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1"/>
      <x:c r="T40" s="30"/>
    </x:row>
    <x:row r="41">
      <x:c r="A41" s="30" t="str">
        <x:f>IF(C41="","","FB-"&amp;TEXT(B41,"0000"))</x:f>
      </x:c>
      <x:c r="B41" s="30" t="n">
        <x:v>36</x:v>
      </x:c>
      <x:c r="C41" s="30"/>
      <x:c r="D41" s="31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1"/>
      <x:c r="T41" s="30"/>
    </x:row>
    <x:row r="42">
      <x:c r="A42" s="30" t="str">
        <x:f>IF(C42="","","FB-"&amp;TEXT(B42,"0000"))</x:f>
      </x:c>
      <x:c r="B42" s="30" t="n">
        <x:v>37</x:v>
      </x:c>
      <x:c r="C42" s="30"/>
      <x:c r="D42" s="31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1"/>
      <x:c r="T42" s="30"/>
    </x:row>
    <x:row r="43">
      <x:c r="A43" s="30" t="str">
        <x:f>IF(C43="","","FB-"&amp;TEXT(B43,"0000"))</x:f>
      </x:c>
      <x:c r="B43" s="30" t="n">
        <x:v>38</x:v>
      </x:c>
      <x:c r="C43" s="30"/>
      <x:c r="D43" s="31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1"/>
      <x:c r="T43" s="30"/>
    </x:row>
    <x:row r="44">
      <x:c r="A44" s="30" t="str">
        <x:f>IF(C44="","","FB-"&amp;TEXT(B44,"0000"))</x:f>
      </x:c>
      <x:c r="B44" s="30" t="n">
        <x:v>39</x:v>
      </x:c>
      <x:c r="C44" s="30"/>
      <x:c r="D44" s="31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1"/>
      <x:c r="T44" s="30"/>
    </x:row>
    <x:row r="45">
      <x:c r="A45" s="30" t="str">
        <x:f>IF(C45="","","FB-"&amp;TEXT(B45,"0000"))</x:f>
      </x:c>
      <x:c r="B45" s="30" t="n">
        <x:v>40</x:v>
      </x:c>
      <x:c r="C45" s="30"/>
      <x:c r="D45" s="31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1"/>
      <x:c r="T45" s="30"/>
    </x:row>
    <x:row r="46">
      <x:c r="A46" s="30" t="str">
        <x:f>IF(C46="","","FB-"&amp;TEXT(B46,"0000"))</x:f>
      </x:c>
      <x:c r="B46" s="30" t="n">
        <x:v>41</x:v>
      </x:c>
      <x:c r="C46" s="30"/>
      <x:c r="D46" s="31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1"/>
      <x:c r="T46" s="30"/>
    </x:row>
    <x:row r="47">
      <x:c r="A47" s="30" t="str">
        <x:f>IF(C47="","","FB-"&amp;TEXT(B47,"0000"))</x:f>
      </x:c>
      <x:c r="B47" s="30" t="n">
        <x:v>42</x:v>
      </x:c>
      <x:c r="C47" s="30"/>
      <x:c r="D47" s="31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1"/>
      <x:c r="T47" s="30"/>
    </x:row>
    <x:row r="48">
      <x:c r="A48" s="30" t="str">
        <x:f>IF(C48="","","FB-"&amp;TEXT(B48,"0000"))</x:f>
      </x:c>
      <x:c r="B48" s="30" t="n">
        <x:v>43</x:v>
      </x:c>
      <x:c r="C48" s="30"/>
      <x:c r="D48" s="31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1"/>
      <x:c r="T48" s="30"/>
    </x:row>
    <x:row r="49">
      <x:c r="A49" s="30" t="str">
        <x:f>IF(C49="","","FB-"&amp;TEXT(B49,"0000"))</x:f>
      </x:c>
      <x:c r="B49" s="30" t="n">
        <x:v>44</x:v>
      </x:c>
      <x:c r="C49" s="30"/>
      <x:c r="D49" s="31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1"/>
      <x:c r="T49" s="30"/>
    </x:row>
    <x:row r="50">
      <x:c r="A50" s="30" t="str">
        <x:f>IF(C50="","","FB-"&amp;TEXT(B50,"0000"))</x:f>
      </x:c>
      <x:c r="B50" s="30" t="n">
        <x:v>45</x:v>
      </x:c>
      <x:c r="C50" s="30"/>
      <x:c r="D50" s="31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1"/>
      <x:c r="T50" s="30"/>
    </x:row>
    <x:row r="51">
      <x:c r="A51" s="30" t="str">
        <x:f>IF(C51="","","FB-"&amp;TEXT(B51,"0000"))</x:f>
      </x:c>
      <x:c r="B51" s="30" t="n">
        <x:v>46</x:v>
      </x:c>
      <x:c r="C51" s="30"/>
      <x:c r="D51" s="31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1"/>
      <x:c r="T51" s="30"/>
    </x:row>
    <x:row r="52">
      <x:c r="A52" s="30" t="str">
        <x:f>IF(C52="","","FB-"&amp;TEXT(B52,"0000"))</x:f>
      </x:c>
      <x:c r="B52" s="30" t="n">
        <x:v>47</x:v>
      </x:c>
      <x:c r="C52" s="30"/>
      <x:c r="D52" s="31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1"/>
      <x:c r="T52" s="30"/>
    </x:row>
    <x:row r="53">
      <x:c r="A53" s="30" t="str">
        <x:f>IF(C53="","","FB-"&amp;TEXT(B53,"0000"))</x:f>
      </x:c>
      <x:c r="B53" s="30" t="n">
        <x:v>48</x:v>
      </x:c>
      <x:c r="C53" s="30"/>
      <x:c r="D53" s="31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1"/>
      <x:c r="T53" s="30"/>
    </x:row>
    <x:row r="54">
      <x:c r="A54" s="30" t="str">
        <x:f>IF(C54="","","FB-"&amp;TEXT(B54,"0000"))</x:f>
      </x:c>
      <x:c r="B54" s="30" t="n">
        <x:v>49</x:v>
      </x:c>
      <x:c r="C54" s="30"/>
      <x:c r="D54" s="31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1"/>
      <x:c r="T54" s="30"/>
    </x:row>
    <x:row r="55">
      <x:c r="A55" s="30" t="str">
        <x:f>IF(C55="","","FB-"&amp;TEXT(B55,"0000"))</x:f>
      </x:c>
      <x:c r="B55" s="30" t="n">
        <x:v>50</x:v>
      </x:c>
      <x:c r="C55" s="30"/>
      <x:c r="D55" s="31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1"/>
      <x:c r="T55" s="30"/>
    </x:row>
    <x:row r="56">
      <x:c r="A56" s="30" t="str">
        <x:f>IF(C56="","","FB-"&amp;TEXT(B56,"0000"))</x:f>
      </x:c>
      <x:c r="B56" s="30" t="n">
        <x:v>51</x:v>
      </x:c>
      <x:c r="C56" s="30"/>
      <x:c r="D56" s="31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1"/>
      <x:c r="T56" s="30"/>
    </x:row>
    <x:row r="57">
      <x:c r="A57" s="30" t="str">
        <x:f>IF(C57="","","FB-"&amp;TEXT(B57,"0000"))</x:f>
      </x:c>
      <x:c r="B57" s="30" t="n">
        <x:v>52</x:v>
      </x:c>
      <x:c r="C57" s="30"/>
      <x:c r="D57" s="31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1"/>
      <x:c r="T57" s="30"/>
    </x:row>
    <x:row r="58">
      <x:c r="A58" s="30" t="str">
        <x:f>IF(C58="","","FB-"&amp;TEXT(B58,"0000"))</x:f>
      </x:c>
      <x:c r="B58" s="30" t="n">
        <x:v>53</x:v>
      </x:c>
      <x:c r="C58" s="30"/>
      <x:c r="D58" s="31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1"/>
      <x:c r="T58" s="30"/>
    </x:row>
    <x:row r="59">
      <x:c r="A59" s="30" t="str">
        <x:f>IF(C59="","","FB-"&amp;TEXT(B59,"0000"))</x:f>
      </x:c>
      <x:c r="B59" s="30" t="n">
        <x:v>54</x:v>
      </x:c>
      <x:c r="C59" s="30"/>
      <x:c r="D59" s="31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1"/>
      <x:c r="T59" s="30"/>
    </x:row>
    <x:row r="60">
      <x:c r="A60" s="30" t="str">
        <x:f>IF(C60="","","FB-"&amp;TEXT(B60,"0000"))</x:f>
      </x:c>
      <x:c r="B60" s="30" t="n">
        <x:v>55</x:v>
      </x:c>
      <x:c r="C60" s="30"/>
      <x:c r="D60" s="31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1"/>
      <x:c r="T60" s="30"/>
    </x:row>
    <x:row r="61">
      <x:c r="A61" s="30" t="str">
        <x:f>IF(C61="","","FB-"&amp;TEXT(B61,"0000"))</x:f>
      </x:c>
      <x:c r="B61" s="30" t="n">
        <x:v>56</x:v>
      </x:c>
      <x:c r="C61" s="30"/>
      <x:c r="D61" s="31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1"/>
      <x:c r="T61" s="30"/>
    </x:row>
    <x:row r="62">
      <x:c r="A62" s="30" t="str">
        <x:f>IF(C62="","","FB-"&amp;TEXT(B62,"0000"))</x:f>
      </x:c>
      <x:c r="B62" s="30" t="n">
        <x:v>57</x:v>
      </x:c>
      <x:c r="C62" s="30"/>
      <x:c r="D62" s="31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1"/>
      <x:c r="T62" s="30"/>
    </x:row>
    <x:row r="63">
      <x:c r="A63" s="30" t="str">
        <x:f>IF(C63="","","FB-"&amp;TEXT(B63,"0000"))</x:f>
      </x:c>
      <x:c r="B63" s="30" t="n">
        <x:v>58</x:v>
      </x:c>
      <x:c r="C63" s="30"/>
      <x:c r="D63" s="31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1"/>
      <x:c r="T63" s="30"/>
    </x:row>
    <x:row r="64">
      <x:c r="A64" s="30" t="str">
        <x:f>IF(C64="","","FB-"&amp;TEXT(B64,"0000"))</x:f>
      </x:c>
      <x:c r="B64" s="30" t="n">
        <x:v>59</x:v>
      </x:c>
      <x:c r="C64" s="30"/>
      <x:c r="D64" s="31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1"/>
      <x:c r="T64" s="30"/>
    </x:row>
    <x:row r="65">
      <x:c r="A65" s="30" t="str">
        <x:f>IF(C65="","","FB-"&amp;TEXT(B65,"0000"))</x:f>
      </x:c>
      <x:c r="B65" s="30" t="n">
        <x:v>60</x:v>
      </x:c>
      <x:c r="C65" s="30"/>
      <x:c r="D65" s="31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1"/>
      <x:c r="T65" s="30"/>
    </x:row>
    <x:row r="66">
      <x:c r="A66" s="30" t="str">
        <x:f>IF(C66="","","FB-"&amp;TEXT(B66,"0000"))</x:f>
      </x:c>
      <x:c r="B66" s="30" t="n">
        <x:v>61</x:v>
      </x:c>
      <x:c r="C66" s="30"/>
      <x:c r="D66" s="31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1"/>
      <x:c r="T66" s="30"/>
    </x:row>
    <x:row r="67">
      <x:c r="A67" s="30" t="str">
        <x:f>IF(C67="","","FB-"&amp;TEXT(B67,"0000"))</x:f>
      </x:c>
      <x:c r="B67" s="30" t="n">
        <x:v>62</x:v>
      </x:c>
      <x:c r="C67" s="30"/>
      <x:c r="D67" s="31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1"/>
      <x:c r="T67" s="30"/>
    </x:row>
    <x:row r="68">
      <x:c r="A68" s="30" t="str">
        <x:f>IF(C68="","","FB-"&amp;TEXT(B68,"0000"))</x:f>
      </x:c>
      <x:c r="B68" s="30" t="n">
        <x:v>63</x:v>
      </x:c>
      <x:c r="C68" s="30"/>
      <x:c r="D68" s="31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1"/>
      <x:c r="T68" s="30"/>
    </x:row>
    <x:row r="69">
      <x:c r="A69" s="30" t="str">
        <x:f>IF(C69="","","FB-"&amp;TEXT(B69,"0000"))</x:f>
      </x:c>
      <x:c r="B69" s="30" t="n">
        <x:v>64</x:v>
      </x:c>
      <x:c r="C69" s="30"/>
      <x:c r="D69" s="31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1"/>
      <x:c r="T69" s="30"/>
    </x:row>
    <x:row r="70">
      <x:c r="A70" s="30" t="str">
        <x:f>IF(C70="","","FB-"&amp;TEXT(B70,"0000"))</x:f>
      </x:c>
      <x:c r="B70" s="30" t="n">
        <x:v>65</x:v>
      </x:c>
      <x:c r="C70" s="30"/>
      <x:c r="D70" s="31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1"/>
      <x:c r="T70" s="30"/>
    </x:row>
    <x:row r="71">
      <x:c r="A71" s="30" t="str">
        <x:f>IF(C71="","","FB-"&amp;TEXT(B71,"0000"))</x:f>
      </x:c>
      <x:c r="B71" s="30" t="n">
        <x:v>66</x:v>
      </x:c>
      <x:c r="C71" s="30"/>
      <x:c r="D71" s="31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1"/>
      <x:c r="T71" s="30"/>
    </x:row>
    <x:row r="72">
      <x:c r="A72" s="30" t="str">
        <x:f>IF(C72="","","FB-"&amp;TEXT(B72,"0000"))</x:f>
      </x:c>
      <x:c r="B72" s="30" t="n">
        <x:v>67</x:v>
      </x:c>
      <x:c r="C72" s="30"/>
      <x:c r="D72" s="31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1"/>
      <x:c r="T72" s="30"/>
    </x:row>
    <x:row r="73">
      <x:c r="A73" s="30" t="str">
        <x:f>IF(C73="","","FB-"&amp;TEXT(B73,"0000"))</x:f>
      </x:c>
      <x:c r="B73" s="30" t="n">
        <x:v>68</x:v>
      </x:c>
      <x:c r="C73" s="30"/>
      <x:c r="D73" s="31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1"/>
      <x:c r="T73" s="30"/>
    </x:row>
    <x:row r="74">
      <x:c r="A74" s="30" t="str">
        <x:f>IF(C74="","","FB-"&amp;TEXT(B74,"0000"))</x:f>
      </x:c>
      <x:c r="B74" s="30" t="n">
        <x:v>69</x:v>
      </x:c>
      <x:c r="C74" s="30"/>
      <x:c r="D74" s="31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1"/>
      <x:c r="T74" s="30"/>
    </x:row>
    <x:row r="75">
      <x:c r="A75" s="30" t="str">
        <x:f>IF(C75="","","FB-"&amp;TEXT(B75,"0000"))</x:f>
      </x:c>
      <x:c r="B75" s="30" t="n">
        <x:v>70</x:v>
      </x:c>
      <x:c r="C75" s="30"/>
      <x:c r="D75" s="31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1"/>
      <x:c r="T75" s="30"/>
    </x:row>
    <x:row r="76">
      <x:c r="A76" s="30" t="str">
        <x:f>IF(C76="","","FB-"&amp;TEXT(B76,"0000"))</x:f>
      </x:c>
      <x:c r="B76" s="30" t="n">
        <x:v>71</x:v>
      </x:c>
      <x:c r="C76" s="30"/>
      <x:c r="D76" s="31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1"/>
      <x:c r="T76" s="30"/>
    </x:row>
    <x:row r="77">
      <x:c r="A77" s="30" t="str">
        <x:f>IF(C77="","","FB-"&amp;TEXT(B77,"0000"))</x:f>
      </x:c>
      <x:c r="B77" s="30" t="n">
        <x:v>72</x:v>
      </x:c>
      <x:c r="C77" s="30"/>
      <x:c r="D77" s="31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1"/>
      <x:c r="T77" s="30"/>
    </x:row>
    <x:row r="78">
      <x:c r="A78" s="30" t="str">
        <x:f>IF(C78="","","FB-"&amp;TEXT(B78,"0000"))</x:f>
      </x:c>
      <x:c r="B78" s="30" t="n">
        <x:v>73</x:v>
      </x:c>
      <x:c r="C78" s="30"/>
      <x:c r="D78" s="31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1"/>
      <x:c r="T78" s="30"/>
    </x:row>
    <x:row r="79">
      <x:c r="A79" s="30" t="str">
        <x:f>IF(C79="","","FB-"&amp;TEXT(B79,"0000"))</x:f>
      </x:c>
      <x:c r="B79" s="30" t="n">
        <x:v>74</x:v>
      </x:c>
      <x:c r="C79" s="30"/>
      <x:c r="D79" s="31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1"/>
      <x:c r="T79" s="30"/>
    </x:row>
    <x:row r="80">
      <x:c r="A80" s="30" t="str">
        <x:f>IF(C80="","","FB-"&amp;TEXT(B80,"0000"))</x:f>
      </x:c>
      <x:c r="B80" s="30" t="n">
        <x:v>75</x:v>
      </x:c>
      <x:c r="C80" s="30"/>
      <x:c r="D80" s="31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1"/>
      <x:c r="T80" s="30"/>
    </x:row>
    <x:row r="81">
      <x:c r="A81" s="30" t="str">
        <x:f>IF(C81="","","FB-"&amp;TEXT(B81,"0000"))</x:f>
      </x:c>
      <x:c r="B81" s="30" t="n">
        <x:v>76</x:v>
      </x:c>
      <x:c r="C81" s="30"/>
      <x:c r="D81" s="31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1"/>
      <x:c r="T81" s="30"/>
    </x:row>
    <x:row r="82">
      <x:c r="A82" s="30" t="str">
        <x:f>IF(C82="","","FB-"&amp;TEXT(B82,"0000"))</x:f>
      </x:c>
      <x:c r="B82" s="30" t="n">
        <x:v>77</x:v>
      </x:c>
      <x:c r="C82" s="30"/>
      <x:c r="D82" s="31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1"/>
      <x:c r="T82" s="30"/>
    </x:row>
    <x:row r="83">
      <x:c r="A83" s="30" t="str">
        <x:f>IF(C83="","","FB-"&amp;TEXT(B83,"0000"))</x:f>
      </x:c>
      <x:c r="B83" s="30" t="n">
        <x:v>78</x:v>
      </x:c>
      <x:c r="C83" s="30"/>
      <x:c r="D83" s="31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1"/>
      <x:c r="T83" s="30"/>
    </x:row>
    <x:row r="84">
      <x:c r="A84" s="30" t="str">
        <x:f>IF(C84="","","FB-"&amp;TEXT(B84,"0000"))</x:f>
      </x:c>
      <x:c r="B84" s="30" t="n">
        <x:v>79</x:v>
      </x:c>
      <x:c r="C84" s="30"/>
      <x:c r="D84" s="31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1"/>
      <x:c r="T84" s="30"/>
    </x:row>
    <x:row r="85">
      <x:c r="A85" s="30" t="str">
        <x:f>IF(C85="","","FB-"&amp;TEXT(B85,"0000"))</x:f>
      </x:c>
      <x:c r="B85" s="30" t="n">
        <x:v>80</x:v>
      </x:c>
      <x:c r="C85" s="30"/>
      <x:c r="D85" s="31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1"/>
      <x:c r="T85" s="30"/>
    </x:row>
    <x:row r="86">
      <x:c r="A86" s="30" t="str">
        <x:f>IF(C86="","","FB-"&amp;TEXT(B86,"0000"))</x:f>
      </x:c>
      <x:c r="B86" s="30" t="n">
        <x:v>81</x:v>
      </x:c>
      <x:c r="C86" s="30"/>
      <x:c r="D86" s="31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1"/>
      <x:c r="T86" s="30"/>
    </x:row>
    <x:row r="87">
      <x:c r="A87" s="30" t="str">
        <x:f>IF(C87="","","FB-"&amp;TEXT(B87,"0000"))</x:f>
      </x:c>
      <x:c r="B87" s="30" t="n">
        <x:v>82</x:v>
      </x:c>
      <x:c r="C87" s="30"/>
      <x:c r="D87" s="31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1"/>
      <x:c r="T87" s="30"/>
    </x:row>
    <x:row r="88">
      <x:c r="A88" s="30" t="str">
        <x:f>IF(C88="","","FB-"&amp;TEXT(B88,"0000"))</x:f>
      </x:c>
      <x:c r="B88" s="30" t="n">
        <x:v>83</x:v>
      </x:c>
      <x:c r="C88" s="30"/>
      <x:c r="D88" s="31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1"/>
      <x:c r="T88" s="30"/>
    </x:row>
    <x:row r="89">
      <x:c r="A89" s="30" t="str">
        <x:f>IF(C89="","","FB-"&amp;TEXT(B89,"0000"))</x:f>
      </x:c>
      <x:c r="B89" s="30" t="n">
        <x:v>84</x:v>
      </x:c>
      <x:c r="C89" s="30"/>
      <x:c r="D89" s="31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1"/>
      <x:c r="T89" s="30"/>
    </x:row>
    <x:row r="90">
      <x:c r="A90" s="30" t="str">
        <x:f>IF(C90="","","FB-"&amp;TEXT(B90,"0000"))</x:f>
      </x:c>
      <x:c r="B90" s="30" t="n">
        <x:v>85</x:v>
      </x:c>
      <x:c r="C90" s="30"/>
      <x:c r="D90" s="31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1"/>
      <x:c r="T90" s="30"/>
    </x:row>
    <x:row r="91">
      <x:c r="A91" s="30" t="str">
        <x:f>IF(C91="","","FB-"&amp;TEXT(B91,"0000"))</x:f>
      </x:c>
      <x:c r="B91" s="30" t="n">
        <x:v>86</x:v>
      </x:c>
      <x:c r="C91" s="30"/>
      <x:c r="D91" s="31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1"/>
      <x:c r="T91" s="30"/>
    </x:row>
    <x:row r="92">
      <x:c r="A92" s="30" t="str">
        <x:f>IF(C92="","","FB-"&amp;TEXT(B92,"0000"))</x:f>
      </x:c>
      <x:c r="B92" s="30" t="n">
        <x:v>87</x:v>
      </x:c>
      <x:c r="C92" s="30"/>
      <x:c r="D92" s="31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1"/>
      <x:c r="T92" s="30"/>
    </x:row>
    <x:row r="93">
      <x:c r="A93" s="30" t="str">
        <x:f>IF(C93="","","FB-"&amp;TEXT(B93,"0000"))</x:f>
      </x:c>
      <x:c r="B93" s="30" t="n">
        <x:v>88</x:v>
      </x:c>
      <x:c r="C93" s="30"/>
      <x:c r="D93" s="31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1"/>
      <x:c r="T93" s="30"/>
    </x:row>
    <x:row r="94">
      <x:c r="A94" s="30" t="str">
        <x:f>IF(C94="","","FB-"&amp;TEXT(B94,"0000"))</x:f>
      </x:c>
      <x:c r="B94" s="30" t="n">
        <x:v>89</x:v>
      </x:c>
      <x:c r="C94" s="30"/>
      <x:c r="D94" s="31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1"/>
      <x:c r="T94" s="30"/>
    </x:row>
    <x:row r="95">
      <x:c r="A95" s="30" t="str">
        <x:f>IF(C95="","","FB-"&amp;TEXT(B95,"0000"))</x:f>
      </x:c>
      <x:c r="B95" s="30" t="n">
        <x:v>90</x:v>
      </x:c>
      <x:c r="C95" s="30"/>
      <x:c r="D95" s="31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1"/>
      <x:c r="T95" s="30"/>
    </x:row>
    <x:row r="96">
      <x:c r="A96" s="30" t="str">
        <x:f>IF(C96="","","FB-"&amp;TEXT(B96,"0000"))</x:f>
      </x:c>
      <x:c r="B96" s="30" t="n">
        <x:v>91</x:v>
      </x:c>
      <x:c r="C96" s="30"/>
      <x:c r="D96" s="31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1"/>
      <x:c r="T96" s="30"/>
    </x:row>
    <x:row r="97">
      <x:c r="A97" s="30" t="str">
        <x:f>IF(C97="","","FB-"&amp;TEXT(B97,"0000"))</x:f>
      </x:c>
      <x:c r="B97" s="30" t="n">
        <x:v>92</x:v>
      </x:c>
      <x:c r="C97" s="30"/>
      <x:c r="D97" s="31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1"/>
      <x:c r="T97" s="30"/>
    </x:row>
    <x:row r="98">
      <x:c r="A98" s="30" t="str">
        <x:f>IF(C98="","","FB-"&amp;TEXT(B98,"0000"))</x:f>
      </x:c>
      <x:c r="B98" s="30" t="n">
        <x:v>93</x:v>
      </x:c>
      <x:c r="C98" s="30"/>
      <x:c r="D98" s="31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1"/>
      <x:c r="T98" s="30"/>
    </x:row>
    <x:row r="99">
      <x:c r="A99" s="30" t="str">
        <x:f>IF(C99="","","FB-"&amp;TEXT(B99,"0000"))</x:f>
      </x:c>
      <x:c r="B99" s="30" t="n">
        <x:v>94</x:v>
      </x:c>
      <x:c r="C99" s="30"/>
      <x:c r="D99" s="31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1"/>
      <x:c r="T99" s="30"/>
    </x:row>
    <x:row r="100">
      <x:c r="A100" s="30" t="str">
        <x:f>IF(C100="","","FB-"&amp;TEXT(B100,"0000"))</x:f>
      </x:c>
      <x:c r="B100" s="30" t="n">
        <x:v>95</x:v>
      </x:c>
      <x:c r="C100" s="30"/>
      <x:c r="D100" s="31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1"/>
      <x:c r="T100" s="30"/>
    </x:row>
    <x:row r="101">
      <x:c r="A101" s="30" t="str">
        <x:f>IF(C101="","","FB-"&amp;TEXT(B101,"0000"))</x:f>
      </x:c>
      <x:c r="B101" s="30" t="n">
        <x:v>96</x:v>
      </x:c>
      <x:c r="C101" s="30"/>
      <x:c r="D101" s="31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1"/>
      <x:c r="T101" s="30"/>
    </x:row>
    <x:row r="102">
      <x:c r="A102" s="30" t="str">
        <x:f>IF(C102="","","FB-"&amp;TEXT(B102,"0000"))</x:f>
      </x:c>
      <x:c r="B102" s="30" t="n">
        <x:v>97</x:v>
      </x:c>
      <x:c r="C102" s="30"/>
      <x:c r="D102" s="31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1"/>
      <x:c r="T102" s="30"/>
    </x:row>
    <x:row r="103">
      <x:c r="A103" s="30" t="str">
        <x:f>IF(C103="","","FB-"&amp;TEXT(B103,"0000"))</x:f>
      </x:c>
      <x:c r="B103" s="30" t="n">
        <x:v>98</x:v>
      </x:c>
      <x:c r="C103" s="30"/>
      <x:c r="D103" s="31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1"/>
      <x:c r="T103" s="30"/>
    </x:row>
    <x:row r="104">
      <x:c r="A104" s="30" t="str">
        <x:f>IF(C104="","","FB-"&amp;TEXT(B104,"0000"))</x:f>
      </x:c>
      <x:c r="B104" s="30" t="n">
        <x:v>99</x:v>
      </x:c>
      <x:c r="C104" s="30"/>
      <x:c r="D104" s="31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1"/>
      <x:c r="T104" s="30"/>
    </x:row>
    <x:row r="105">
      <x:c r="A105" s="30" t="str">
        <x:f>IF(C105="","","FB-"&amp;TEXT(B105,"0000"))</x:f>
      </x:c>
      <x:c r="B105" s="30" t="n">
        <x:v>100</x:v>
      </x:c>
      <x:c r="C105" s="30"/>
      <x:c r="D105" s="31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1"/>
      <x:c r="T105" s="30"/>
    </x:row>
    <x:row r="106">
      <x:c r="A106" s="30" t="str">
        <x:f>IF(C106="","","FB-"&amp;TEXT(B106,"0000"))</x:f>
      </x:c>
      <x:c r="B106" s="30" t="n">
        <x:v>101</x:v>
      </x:c>
      <x:c r="C106" s="30"/>
      <x:c r="D106" s="31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1"/>
      <x:c r="T106" s="30"/>
    </x:row>
    <x:row r="107">
      <x:c r="A107" s="30" t="str">
        <x:f>IF(C107="","","FB-"&amp;TEXT(B107,"0000"))</x:f>
      </x:c>
      <x:c r="B107" s="30" t="n">
        <x:v>102</x:v>
      </x:c>
      <x:c r="C107" s="30"/>
      <x:c r="D107" s="31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1"/>
      <x:c r="T107" s="30"/>
    </x:row>
    <x:row r="108">
      <x:c r="A108" s="30" t="str">
        <x:f>IF(C108="","","FB-"&amp;TEXT(B108,"0000"))</x:f>
      </x:c>
      <x:c r="B108" s="30" t="n">
        <x:v>103</x:v>
      </x:c>
      <x:c r="C108" s="30"/>
      <x:c r="D108" s="31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1"/>
      <x:c r="T108" s="30"/>
    </x:row>
    <x:row r="109">
      <x:c r="A109" s="30" t="str">
        <x:f>IF(C109="","","FB-"&amp;TEXT(B109,"0000"))</x:f>
      </x:c>
      <x:c r="B109" s="30" t="n">
        <x:v>104</x:v>
      </x:c>
      <x:c r="C109" s="30"/>
      <x:c r="D109" s="31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1"/>
      <x:c r="T109" s="30"/>
    </x:row>
    <x:row r="110">
      <x:c r="A110" s="30" t="str">
        <x:f>IF(C110="","","FB-"&amp;TEXT(B110,"0000"))</x:f>
      </x:c>
      <x:c r="B110" s="30" t="n">
        <x:v>105</x:v>
      </x:c>
      <x:c r="C110" s="30"/>
      <x:c r="D110" s="31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1"/>
      <x:c r="T110" s="30"/>
    </x:row>
    <x:row r="111">
      <x:c r="A111" s="30" t="str">
        <x:f>IF(C111="","","FB-"&amp;TEXT(B111,"0000"))</x:f>
      </x:c>
      <x:c r="B111" s="30" t="n">
        <x:v>106</x:v>
      </x:c>
      <x:c r="C111" s="30"/>
      <x:c r="D111" s="31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1"/>
      <x:c r="T111" s="30"/>
    </x:row>
    <x:row r="112">
      <x:c r="A112" s="30" t="str">
        <x:f>IF(C112="","","FB-"&amp;TEXT(B112,"0000"))</x:f>
      </x:c>
      <x:c r="B112" s="30" t="n">
        <x:v>107</x:v>
      </x:c>
      <x:c r="C112" s="30"/>
      <x:c r="D112" s="31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1"/>
      <x:c r="T112" s="30"/>
    </x:row>
    <x:row r="113">
      <x:c r="A113" s="30" t="str">
        <x:f>IF(C113="","","FB-"&amp;TEXT(B113,"0000"))</x:f>
      </x:c>
      <x:c r="B113" s="30" t="n">
        <x:v>108</x:v>
      </x:c>
      <x:c r="C113" s="30"/>
      <x:c r="D113" s="31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1"/>
      <x:c r="T113" s="30"/>
    </x:row>
    <x:row r="114">
      <x:c r="A114" s="30" t="str">
        <x:f>IF(C114="","","FB-"&amp;TEXT(B114,"0000"))</x:f>
      </x:c>
      <x:c r="B114" s="30" t="n">
        <x:v>109</x:v>
      </x:c>
      <x:c r="C114" s="30"/>
      <x:c r="D114" s="31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1"/>
      <x:c r="T114" s="30"/>
    </x:row>
    <x:row r="115">
      <x:c r="A115" s="30" t="str">
        <x:f>IF(C115="","","FB-"&amp;TEXT(B115,"0000"))</x:f>
      </x:c>
      <x:c r="B115" s="30" t="n">
        <x:v>110</x:v>
      </x:c>
      <x:c r="C115" s="30"/>
      <x:c r="D115" s="31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1"/>
      <x:c r="T115" s="30"/>
    </x:row>
    <x:row r="116">
      <x:c r="A116" s="30" t="str">
        <x:f>IF(C116="","","FB-"&amp;TEXT(B116,"0000"))</x:f>
      </x:c>
      <x:c r="B116" s="30" t="n">
        <x:v>111</x:v>
      </x:c>
      <x:c r="C116" s="30"/>
      <x:c r="D116" s="31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1"/>
      <x:c r="T116" s="30"/>
    </x:row>
    <x:row r="117">
      <x:c r="A117" s="30" t="str">
        <x:f>IF(C117="","","FB-"&amp;TEXT(B117,"0000"))</x:f>
      </x:c>
      <x:c r="B117" s="30" t="n">
        <x:v>112</x:v>
      </x:c>
      <x:c r="C117" s="30"/>
      <x:c r="D117" s="31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1"/>
      <x:c r="T117" s="30"/>
    </x:row>
    <x:row r="118">
      <x:c r="A118" s="30" t="str">
        <x:f>IF(C118="","","FB-"&amp;TEXT(B118,"0000"))</x:f>
      </x:c>
      <x:c r="B118" s="30" t="n">
        <x:v>113</x:v>
      </x:c>
      <x:c r="C118" s="30"/>
      <x:c r="D118" s="31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1"/>
      <x:c r="T118" s="30"/>
    </x:row>
    <x:row r="119">
      <x:c r="A119" s="30" t="str">
        <x:f>IF(C119="","","FB-"&amp;TEXT(B119,"0000"))</x:f>
      </x:c>
      <x:c r="B119" s="30" t="n">
        <x:v>114</x:v>
      </x:c>
      <x:c r="C119" s="30"/>
      <x:c r="D119" s="31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1"/>
      <x:c r="T119" s="30"/>
    </x:row>
    <x:row r="120">
      <x:c r="A120" s="30" t="str">
        <x:f>IF(C120="","","FB-"&amp;TEXT(B120,"0000"))</x:f>
      </x:c>
      <x:c r="B120" s="30" t="n">
        <x:v>115</x:v>
      </x:c>
      <x:c r="C120" s="30"/>
      <x:c r="D120" s="31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1"/>
      <x:c r="T120" s="30"/>
    </x:row>
    <x:row r="121">
      <x:c r="A121" s="30" t="str">
        <x:f>IF(C121="","","FB-"&amp;TEXT(B121,"0000"))</x:f>
      </x:c>
      <x:c r="B121" s="30" t="n">
        <x:v>116</x:v>
      </x:c>
      <x:c r="C121" s="30"/>
      <x:c r="D121" s="31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1"/>
      <x:c r="T121" s="30"/>
    </x:row>
    <x:row r="122">
      <x:c r="A122" s="30" t="str">
        <x:f>IF(C122="","","FB-"&amp;TEXT(B122,"0000"))</x:f>
      </x:c>
      <x:c r="B122" s="30" t="n">
        <x:v>117</x:v>
      </x:c>
      <x:c r="C122" s="30"/>
      <x:c r="D122" s="31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1"/>
      <x:c r="T122" s="30"/>
    </x:row>
    <x:row r="123">
      <x:c r="A123" s="30" t="str">
        <x:f>IF(C123="","","FB-"&amp;TEXT(B123,"0000"))</x:f>
      </x:c>
      <x:c r="B123" s="30" t="n">
        <x:v>118</x:v>
      </x:c>
      <x:c r="C123" s="30"/>
      <x:c r="D123" s="31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1"/>
      <x:c r="T123" s="30"/>
    </x:row>
    <x:row r="124">
      <x:c r="A124" s="30" t="str">
        <x:f>IF(C124="","","FB-"&amp;TEXT(B124,"0000"))</x:f>
      </x:c>
      <x:c r="B124" s="30" t="n">
        <x:v>119</x:v>
      </x:c>
      <x:c r="C124" s="30"/>
      <x:c r="D124" s="31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1"/>
      <x:c r="T124" s="30"/>
    </x:row>
    <x:row r="125">
      <x:c r="A125" s="30" t="str">
        <x:f>IF(C125="","","FB-"&amp;TEXT(B125,"0000"))</x:f>
      </x:c>
      <x:c r="B125" s="30" t="n">
        <x:v>120</x:v>
      </x:c>
      <x:c r="C125" s="30"/>
      <x:c r="D125" s="31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1"/>
      <x:c r="T125" s="30"/>
    </x:row>
    <x:row r="126">
      <x:c r="A126" s="30" t="str">
        <x:f>IF(C126="","","FB-"&amp;TEXT(B126,"0000"))</x:f>
      </x:c>
      <x:c r="B126" s="30" t="n">
        <x:v>121</x:v>
      </x:c>
      <x:c r="C126" s="30"/>
      <x:c r="D126" s="31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1"/>
      <x:c r="T126" s="30"/>
    </x:row>
    <x:row r="127">
      <x:c r="A127" s="30" t="str">
        <x:f>IF(C127="","","FB-"&amp;TEXT(B127,"0000"))</x:f>
      </x:c>
      <x:c r="B127" s="30" t="n">
        <x:v>122</x:v>
      </x:c>
      <x:c r="C127" s="30"/>
      <x:c r="D127" s="31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1"/>
      <x:c r="T127" s="30"/>
    </x:row>
    <x:row r="128">
      <x:c r="A128" s="30" t="str">
        <x:f>IF(C128="","","FB-"&amp;TEXT(B128,"0000"))</x:f>
      </x:c>
      <x:c r="B128" s="30" t="n">
        <x:v>123</x:v>
      </x:c>
      <x:c r="C128" s="30"/>
      <x:c r="D128" s="31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1"/>
      <x:c r="T128" s="30"/>
    </x:row>
    <x:row r="129">
      <x:c r="A129" s="30" t="str">
        <x:f>IF(C129="","","FB-"&amp;TEXT(B129,"0000"))</x:f>
      </x:c>
      <x:c r="B129" s="30" t="n">
        <x:v>124</x:v>
      </x:c>
      <x:c r="C129" s="30"/>
      <x:c r="D129" s="31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1"/>
      <x:c r="T129" s="30"/>
    </x:row>
    <x:row r="130">
      <x:c r="A130" s="30" t="str">
        <x:f>IF(C130="","","FB-"&amp;TEXT(B130,"0000"))</x:f>
      </x:c>
      <x:c r="B130" s="30" t="n">
        <x:v>125</x:v>
      </x:c>
      <x:c r="C130" s="30"/>
      <x:c r="D130" s="31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1"/>
      <x:c r="T130" s="30"/>
    </x:row>
    <x:row r="131">
      <x:c r="A131" s="30" t="str">
        <x:f>IF(C131="","","FB-"&amp;TEXT(B131,"0000"))</x:f>
      </x:c>
      <x:c r="B131" s="30" t="n">
        <x:v>126</x:v>
      </x:c>
      <x:c r="C131" s="30"/>
      <x:c r="D131" s="31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1"/>
      <x:c r="T131" s="30"/>
    </x:row>
    <x:row r="132">
      <x:c r="A132" s="30" t="str">
        <x:f>IF(C132="","","FB-"&amp;TEXT(B132,"0000"))</x:f>
      </x:c>
      <x:c r="B132" s="30" t="n">
        <x:v>127</x:v>
      </x:c>
      <x:c r="C132" s="30"/>
      <x:c r="D132" s="31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1"/>
      <x:c r="T132" s="30"/>
    </x:row>
    <x:row r="133">
      <x:c r="A133" s="30" t="str">
        <x:f>IF(C133="","","FB-"&amp;TEXT(B133,"0000"))</x:f>
      </x:c>
      <x:c r="B133" s="30" t="n">
        <x:v>128</x:v>
      </x:c>
      <x:c r="C133" s="30"/>
      <x:c r="D133" s="31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1"/>
      <x:c r="T133" s="30"/>
    </x:row>
    <x:row r="134">
      <x:c r="A134" s="30" t="str">
        <x:f>IF(C134="","","FB-"&amp;TEXT(B134,"0000"))</x:f>
      </x:c>
      <x:c r="B134" s="30" t="n">
        <x:v>129</x:v>
      </x:c>
      <x:c r="C134" s="30"/>
      <x:c r="D134" s="31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1"/>
      <x:c r="T134" s="30"/>
    </x:row>
    <x:row r="135">
      <x:c r="A135" s="30" t="str">
        <x:f>IF(C135="","","FB-"&amp;TEXT(B135,"0000"))</x:f>
      </x:c>
      <x:c r="B135" s="30" t="n">
        <x:v>130</x:v>
      </x:c>
      <x:c r="C135" s="30"/>
      <x:c r="D135" s="31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1"/>
      <x:c r="T135" s="30"/>
    </x:row>
    <x:row r="136">
      <x:c r="A136" s="30" t="str">
        <x:f>IF(C136="","","FB-"&amp;TEXT(B136,"0000"))</x:f>
      </x:c>
      <x:c r="B136" s="30" t="n">
        <x:v>131</x:v>
      </x:c>
      <x:c r="C136" s="30"/>
      <x:c r="D136" s="31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1"/>
      <x:c r="T136" s="30"/>
    </x:row>
    <x:row r="137">
      <x:c r="A137" s="30" t="str">
        <x:f>IF(C137="","","FB-"&amp;TEXT(B137,"0000"))</x:f>
      </x:c>
      <x:c r="B137" s="30" t="n">
        <x:v>132</x:v>
      </x:c>
      <x:c r="C137" s="30"/>
      <x:c r="D137" s="31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1"/>
      <x:c r="T137" s="30"/>
    </x:row>
    <x:row r="138">
      <x:c r="A138" s="30" t="str">
        <x:f>IF(C138="","","FB-"&amp;TEXT(B138,"0000"))</x:f>
      </x:c>
      <x:c r="B138" s="30" t="n">
        <x:v>133</x:v>
      </x:c>
      <x:c r="C138" s="30"/>
      <x:c r="D138" s="31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1"/>
      <x:c r="T138" s="30"/>
    </x:row>
    <x:row r="139">
      <x:c r="A139" s="30" t="str">
        <x:f>IF(C139="","","FB-"&amp;TEXT(B139,"0000"))</x:f>
      </x:c>
      <x:c r="B139" s="30" t="n">
        <x:v>134</x:v>
      </x:c>
      <x:c r="C139" s="30"/>
      <x:c r="D139" s="31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1"/>
      <x:c r="T139" s="30"/>
    </x:row>
    <x:row r="140">
      <x:c r="A140" s="30" t="str">
        <x:f>IF(C140="","","FB-"&amp;TEXT(B140,"0000"))</x:f>
      </x:c>
      <x:c r="B140" s="30" t="n">
        <x:v>135</x:v>
      </x:c>
      <x:c r="C140" s="30"/>
      <x:c r="D140" s="31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1"/>
      <x:c r="T140" s="30"/>
    </x:row>
    <x:row r="141">
      <x:c r="A141" s="30" t="str">
        <x:f>IF(C141="","","FB-"&amp;TEXT(B141,"0000"))</x:f>
      </x:c>
      <x:c r="B141" s="30" t="n">
        <x:v>136</x:v>
      </x:c>
      <x:c r="C141" s="30"/>
      <x:c r="D141" s="31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1"/>
      <x:c r="T141" s="30"/>
    </x:row>
    <x:row r="142">
      <x:c r="A142" s="30" t="str">
        <x:f>IF(C142="","","FB-"&amp;TEXT(B142,"0000"))</x:f>
      </x:c>
      <x:c r="B142" s="30" t="n">
        <x:v>137</x:v>
      </x:c>
      <x:c r="C142" s="30"/>
      <x:c r="D142" s="31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1"/>
      <x:c r="T142" s="30"/>
    </x:row>
    <x:row r="143">
      <x:c r="A143" s="30" t="str">
        <x:f>IF(C143="","","FB-"&amp;TEXT(B143,"0000"))</x:f>
      </x:c>
      <x:c r="B143" s="30" t="n">
        <x:v>138</x:v>
      </x:c>
      <x:c r="C143" s="30"/>
      <x:c r="D143" s="31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1"/>
      <x:c r="T143" s="30"/>
    </x:row>
    <x:row r="144">
      <x:c r="A144" s="30" t="str">
        <x:f>IF(C144="","","FB-"&amp;TEXT(B144,"0000"))</x:f>
      </x:c>
      <x:c r="B144" s="30" t="n">
        <x:v>139</x:v>
      </x:c>
      <x:c r="C144" s="30"/>
      <x:c r="D144" s="31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1"/>
      <x:c r="T144" s="30"/>
    </x:row>
    <x:row r="145">
      <x:c r="A145" s="30" t="str">
        <x:f>IF(C145="","","FB-"&amp;TEXT(B145,"0000"))</x:f>
      </x:c>
      <x:c r="B145" s="30" t="n">
        <x:v>140</x:v>
      </x:c>
      <x:c r="C145" s="30"/>
      <x:c r="D145" s="31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1"/>
      <x:c r="T145" s="30"/>
    </x:row>
    <x:row r="146">
      <x:c r="A146" s="30" t="str">
        <x:f>IF(C146="","","FB-"&amp;TEXT(B146,"0000"))</x:f>
      </x:c>
      <x:c r="B146" s="30" t="n">
        <x:v>141</x:v>
      </x:c>
      <x:c r="C146" s="30"/>
      <x:c r="D146" s="31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1"/>
      <x:c r="T146" s="30"/>
    </x:row>
    <x:row r="147">
      <x:c r="A147" s="30" t="str">
        <x:f>IF(C147="","","FB-"&amp;TEXT(B147,"0000"))</x:f>
      </x:c>
      <x:c r="B147" s="30" t="n">
        <x:v>142</x:v>
      </x:c>
      <x:c r="C147" s="30"/>
      <x:c r="D147" s="31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1"/>
      <x:c r="T147" s="30"/>
    </x:row>
    <x:row r="148">
      <x:c r="A148" s="30" t="str">
        <x:f>IF(C148="","","FB-"&amp;TEXT(B148,"0000"))</x:f>
      </x:c>
      <x:c r="B148" s="30" t="n">
        <x:v>143</x:v>
      </x:c>
      <x:c r="C148" s="30"/>
      <x:c r="D148" s="31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1"/>
      <x:c r="T148" s="30"/>
    </x:row>
    <x:row r="149">
      <x:c r="A149" s="30" t="str">
        <x:f>IF(C149="","","FB-"&amp;TEXT(B149,"0000"))</x:f>
      </x:c>
      <x:c r="B149" s="30" t="n">
        <x:v>144</x:v>
      </x:c>
      <x:c r="C149" s="30"/>
      <x:c r="D149" s="31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1"/>
      <x:c r="T149" s="30"/>
    </x:row>
    <x:row r="150">
      <x:c r="A150" s="30" t="str">
        <x:f>IF(C150="","","FB-"&amp;TEXT(B150,"0000"))</x:f>
      </x:c>
      <x:c r="B150" s="30" t="n">
        <x:v>145</x:v>
      </x:c>
      <x:c r="C150" s="30"/>
      <x:c r="D150" s="31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1"/>
      <x:c r="T150" s="30"/>
    </x:row>
    <x:row r="151">
      <x:c r="A151" s="30" t="str">
        <x:f>IF(C151="","","FB-"&amp;TEXT(B151,"0000"))</x:f>
      </x:c>
      <x:c r="B151" s="30" t="n">
        <x:v>146</x:v>
      </x:c>
      <x:c r="C151" s="30"/>
      <x:c r="D151" s="31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1"/>
      <x:c r="T151" s="30"/>
    </x:row>
    <x:row r="152">
      <x:c r="A152" s="30" t="str">
        <x:f>IF(C152="","","FB-"&amp;TEXT(B152,"0000"))</x:f>
      </x:c>
      <x:c r="B152" s="30" t="n">
        <x:v>147</x:v>
      </x:c>
      <x:c r="C152" s="30"/>
      <x:c r="D152" s="31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1"/>
      <x:c r="T152" s="30"/>
    </x:row>
    <x:row r="153">
      <x:c r="A153" s="30" t="str">
        <x:f>IF(C153="","","FB-"&amp;TEXT(B153,"0000"))</x:f>
      </x:c>
      <x:c r="B153" s="30" t="n">
        <x:v>148</x:v>
      </x:c>
      <x:c r="C153" s="30"/>
      <x:c r="D153" s="31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1"/>
      <x:c r="T153" s="30"/>
    </x:row>
    <x:row r="154">
      <x:c r="A154" s="30" t="str">
        <x:f>IF(C154="","","FB-"&amp;TEXT(B154,"0000"))</x:f>
      </x:c>
      <x:c r="B154" s="30" t="n">
        <x:v>149</x:v>
      </x:c>
      <x:c r="C154" s="30"/>
      <x:c r="D154" s="31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1"/>
      <x:c r="T154" s="30"/>
    </x:row>
    <x:row r="155">
      <x:c r="A155" s="30" t="str">
        <x:f>IF(C155="","","FB-"&amp;TEXT(B155,"0000"))</x:f>
      </x:c>
      <x:c r="B155" s="30" t="n">
        <x:v>150</x:v>
      </x:c>
      <x:c r="C155" s="30"/>
      <x:c r="D155" s="31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1"/>
      <x:c r="T155" s="30"/>
    </x:row>
    <x:row r="156">
      <x:c r="A156" s="30" t="str">
        <x:f>IF(C156="","","FB-"&amp;TEXT(B156,"0000"))</x:f>
      </x:c>
      <x:c r="B156" s="30" t="n">
        <x:v>151</x:v>
      </x:c>
      <x:c r="C156" s="30"/>
      <x:c r="D156" s="31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1"/>
      <x:c r="T156" s="30"/>
    </x:row>
    <x:row r="157">
      <x:c r="A157" s="30" t="str">
        <x:f>IF(C157="","","FB-"&amp;TEXT(B157,"0000"))</x:f>
      </x:c>
      <x:c r="B157" s="30" t="n">
        <x:v>152</x:v>
      </x:c>
      <x:c r="C157" s="30"/>
      <x:c r="D157" s="31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1"/>
      <x:c r="T157" s="30"/>
    </x:row>
    <x:row r="158">
      <x:c r="A158" s="30" t="str">
        <x:f>IF(C158="","","FB-"&amp;TEXT(B158,"0000"))</x:f>
      </x:c>
      <x:c r="B158" s="30" t="n">
        <x:v>153</x:v>
      </x:c>
      <x:c r="C158" s="30"/>
      <x:c r="D158" s="31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1"/>
      <x:c r="T158" s="30"/>
    </x:row>
    <x:row r="159">
      <x:c r="A159" s="30" t="str">
        <x:f>IF(C159="","","FB-"&amp;TEXT(B159,"0000"))</x:f>
      </x:c>
      <x:c r="B159" s="30" t="n">
        <x:v>154</x:v>
      </x:c>
      <x:c r="C159" s="30"/>
      <x:c r="D159" s="31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1"/>
      <x:c r="T159" s="30"/>
    </x:row>
    <x:row r="160">
      <x:c r="A160" s="30" t="str">
        <x:f>IF(C160="","","FB-"&amp;TEXT(B160,"0000"))</x:f>
      </x:c>
      <x:c r="B160" s="30" t="n">
        <x:v>155</x:v>
      </x:c>
      <x:c r="C160" s="30"/>
      <x:c r="D160" s="31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1"/>
      <x:c r="T160" s="30"/>
    </x:row>
    <x:row r="161">
      <x:c r="A161" s="30" t="str">
        <x:f>IF(C161="","","FB-"&amp;TEXT(B161,"0000"))</x:f>
      </x:c>
      <x:c r="B161" s="30" t="n">
        <x:v>156</x:v>
      </x:c>
      <x:c r="C161" s="30"/>
      <x:c r="D161" s="31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1"/>
      <x:c r="T161" s="30"/>
    </x:row>
    <x:row r="162">
      <x:c r="A162" s="30" t="str">
        <x:f>IF(C162="","","FB-"&amp;TEXT(B162,"0000"))</x:f>
      </x:c>
      <x:c r="B162" s="30" t="n">
        <x:v>157</x:v>
      </x:c>
      <x:c r="C162" s="30"/>
      <x:c r="D162" s="31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1"/>
      <x:c r="T162" s="30"/>
    </x:row>
    <x:row r="163">
      <x:c r="A163" s="30" t="str">
        <x:f>IF(C163="","","FB-"&amp;TEXT(B163,"0000"))</x:f>
      </x:c>
      <x:c r="B163" s="30" t="n">
        <x:v>158</x:v>
      </x:c>
      <x:c r="C163" s="30"/>
      <x:c r="D163" s="31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1"/>
      <x:c r="T163" s="30"/>
    </x:row>
    <x:row r="164">
      <x:c r="A164" s="30" t="str">
        <x:f>IF(C164="","","FB-"&amp;TEXT(B164,"0000"))</x:f>
      </x:c>
      <x:c r="B164" s="30" t="n">
        <x:v>159</x:v>
      </x:c>
      <x:c r="C164" s="30"/>
      <x:c r="D164" s="31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1"/>
      <x:c r="T164" s="30"/>
    </x:row>
    <x:row r="165">
      <x:c r="A165" s="30" t="str">
        <x:f>IF(C165="","","FB-"&amp;TEXT(B165,"0000"))</x:f>
      </x:c>
      <x:c r="B165" s="30" t="n">
        <x:v>160</x:v>
      </x:c>
      <x:c r="C165" s="30"/>
      <x:c r="D165" s="31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1"/>
      <x:c r="T165" s="30"/>
    </x:row>
    <x:row r="166">
      <x:c r="A166" s="30" t="str">
        <x:f>IF(C166="","","FB-"&amp;TEXT(B166,"0000"))</x:f>
      </x:c>
      <x:c r="B166" s="30" t="n">
        <x:v>161</x:v>
      </x:c>
      <x:c r="C166" s="30"/>
      <x:c r="D166" s="31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1"/>
      <x:c r="T166" s="30"/>
    </x:row>
    <x:row r="167">
      <x:c r="A167" s="30" t="str">
        <x:f>IF(C167="","","FB-"&amp;TEXT(B167,"0000"))</x:f>
      </x:c>
      <x:c r="B167" s="30" t="n">
        <x:v>162</x:v>
      </x:c>
      <x:c r="C167" s="30"/>
      <x:c r="D167" s="31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1"/>
      <x:c r="T167" s="30"/>
    </x:row>
    <x:row r="168">
      <x:c r="A168" s="30" t="str">
        <x:f>IF(C168="","","FB-"&amp;TEXT(B168,"0000"))</x:f>
      </x:c>
      <x:c r="B168" s="30" t="n">
        <x:v>163</x:v>
      </x:c>
      <x:c r="C168" s="30"/>
      <x:c r="D168" s="31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1"/>
      <x:c r="T168" s="30"/>
    </x:row>
    <x:row r="169">
      <x:c r="A169" s="30" t="str">
        <x:f>IF(C169="","","FB-"&amp;TEXT(B169,"0000"))</x:f>
      </x:c>
      <x:c r="B169" s="30" t="n">
        <x:v>164</x:v>
      </x:c>
      <x:c r="C169" s="30"/>
      <x:c r="D169" s="31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1"/>
      <x:c r="T169" s="30"/>
    </x:row>
    <x:row r="170">
      <x:c r="A170" s="30" t="str">
        <x:f>IF(C170="","","FB-"&amp;TEXT(B170,"0000"))</x:f>
      </x:c>
      <x:c r="B170" s="30" t="n">
        <x:v>165</x:v>
      </x:c>
      <x:c r="C170" s="30"/>
      <x:c r="D170" s="31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1"/>
      <x:c r="T170" s="30"/>
    </x:row>
    <x:row r="171">
      <x:c r="A171" s="30" t="str">
        <x:f>IF(C171="","","FB-"&amp;TEXT(B171,"0000"))</x:f>
      </x:c>
      <x:c r="B171" s="30" t="n">
        <x:v>166</x:v>
      </x:c>
      <x:c r="C171" s="30"/>
      <x:c r="D171" s="31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1"/>
      <x:c r="T171" s="30"/>
    </x:row>
    <x:row r="172">
      <x:c r="A172" s="30" t="str">
        <x:f>IF(C172="","","FB-"&amp;TEXT(B172,"0000"))</x:f>
      </x:c>
      <x:c r="B172" s="30" t="n">
        <x:v>167</x:v>
      </x:c>
      <x:c r="C172" s="30"/>
      <x:c r="D172" s="31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1"/>
      <x:c r="T172" s="30"/>
    </x:row>
    <x:row r="173">
      <x:c r="A173" s="30" t="str">
        <x:f>IF(C173="","","FB-"&amp;TEXT(B173,"0000"))</x:f>
      </x:c>
      <x:c r="B173" s="30" t="n">
        <x:v>168</x:v>
      </x:c>
      <x:c r="C173" s="30"/>
      <x:c r="D173" s="31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1"/>
      <x:c r="T173" s="30"/>
    </x:row>
    <x:row r="174">
      <x:c r="A174" s="30" t="str">
        <x:f>IF(C174="","","FB-"&amp;TEXT(B174,"0000"))</x:f>
      </x:c>
      <x:c r="B174" s="30" t="n">
        <x:v>169</x:v>
      </x:c>
      <x:c r="C174" s="30"/>
      <x:c r="D174" s="31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1"/>
      <x:c r="T174" s="30"/>
    </x:row>
    <x:row r="175">
      <x:c r="A175" s="30" t="str">
        <x:f>IF(C175="","","FB-"&amp;TEXT(B175,"0000"))</x:f>
      </x:c>
      <x:c r="B175" s="30" t="n">
        <x:v>170</x:v>
      </x:c>
      <x:c r="C175" s="30"/>
      <x:c r="D175" s="31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1"/>
      <x:c r="T175" s="30"/>
    </x:row>
    <x:row r="176">
      <x:c r="A176" s="30" t="str">
        <x:f>IF(C176="","","FB-"&amp;TEXT(B176,"0000"))</x:f>
      </x:c>
      <x:c r="B176" s="30" t="n">
        <x:v>171</x:v>
      </x:c>
      <x:c r="C176" s="30"/>
      <x:c r="D176" s="31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1"/>
      <x:c r="T176" s="30"/>
    </x:row>
    <x:row r="177">
      <x:c r="A177" s="30" t="str">
        <x:f>IF(C177="","","FB-"&amp;TEXT(B177,"0000"))</x:f>
      </x:c>
      <x:c r="B177" s="30" t="n">
        <x:v>172</x:v>
      </x:c>
      <x:c r="C177" s="30"/>
      <x:c r="D177" s="31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1"/>
      <x:c r="T177" s="30"/>
    </x:row>
    <x:row r="178">
      <x:c r="A178" s="30" t="str">
        <x:f>IF(C178="","","FB-"&amp;TEXT(B178,"0000"))</x:f>
      </x:c>
      <x:c r="B178" s="30" t="n">
        <x:v>173</x:v>
      </x:c>
      <x:c r="C178" s="30"/>
      <x:c r="D178" s="31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1"/>
      <x:c r="T178" s="30"/>
    </x:row>
    <x:row r="179">
      <x:c r="A179" s="30" t="str">
        <x:f>IF(C179="","","FB-"&amp;TEXT(B179,"0000"))</x:f>
      </x:c>
      <x:c r="B179" s="30" t="n">
        <x:v>174</x:v>
      </x:c>
      <x:c r="C179" s="30"/>
      <x:c r="D179" s="31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1"/>
      <x:c r="T179" s="30"/>
    </x:row>
    <x:row r="180">
      <x:c r="A180" s="30" t="str">
        <x:f>IF(C180="","","FB-"&amp;TEXT(B180,"0000"))</x:f>
      </x:c>
      <x:c r="B180" s="30" t="n">
        <x:v>175</x:v>
      </x:c>
      <x:c r="C180" s="30"/>
      <x:c r="D180" s="31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1"/>
      <x:c r="T180" s="30"/>
    </x:row>
    <x:row r="181">
      <x:c r="A181" s="30" t="str">
        <x:f>IF(C181="","","FB-"&amp;TEXT(B181,"0000"))</x:f>
      </x:c>
      <x:c r="B181" s="30" t="n">
        <x:v>176</x:v>
      </x:c>
      <x:c r="C181" s="30"/>
      <x:c r="D181" s="31"/>
      <x:c r="E181" s="30"/>
      <x:c r="F181" s="30"/>
      <x:c r="G181" s="30"/>
      <x:c r="H181" s="30"/>
      <x:c r="I181" s="30"/>
      <x:c r="J181" s="30"/>
      <x:c r="K181" s="30"/>
      <x:c r="L181" s="30"/>
      <x:c r="M181" s="30"/>
      <x:c r="N181" s="30"/>
      <x:c r="O181" s="30"/>
      <x:c r="P181" s="30"/>
      <x:c r="Q181" s="30"/>
      <x:c r="R181" s="30"/>
      <x:c r="S181" s="31"/>
      <x:c r="T181" s="30"/>
    </x:row>
    <x:row r="182">
      <x:c r="A182" s="30" t="str">
        <x:f>IF(C182="","","FB-"&amp;TEXT(B182,"0000"))</x:f>
      </x:c>
      <x:c r="B182" s="30" t="n">
        <x:v>177</x:v>
      </x:c>
      <x:c r="C182" s="30"/>
      <x:c r="D182" s="31"/>
      <x:c r="E182" s="30"/>
      <x:c r="F182" s="30"/>
      <x:c r="G182" s="30"/>
      <x:c r="H182" s="30"/>
      <x:c r="I182" s="30"/>
      <x:c r="J182" s="30"/>
      <x:c r="K182" s="30"/>
      <x:c r="L182" s="30"/>
      <x:c r="M182" s="30"/>
      <x:c r="N182" s="30"/>
      <x:c r="O182" s="30"/>
      <x:c r="P182" s="30"/>
      <x:c r="Q182" s="30"/>
      <x:c r="R182" s="30"/>
      <x:c r="S182" s="31"/>
      <x:c r="T182" s="30"/>
    </x:row>
    <x:row r="183">
      <x:c r="A183" s="30" t="str">
        <x:f>IF(C183="","","FB-"&amp;TEXT(B183,"0000"))</x:f>
      </x:c>
      <x:c r="B183" s="30" t="n">
        <x:v>178</x:v>
      </x:c>
      <x:c r="C183" s="30"/>
      <x:c r="D183" s="31"/>
      <x:c r="E183" s="30"/>
      <x:c r="F183" s="30"/>
      <x:c r="G183" s="30"/>
      <x:c r="H183" s="30"/>
      <x:c r="I183" s="30"/>
      <x:c r="J183" s="30"/>
      <x:c r="K183" s="30"/>
      <x:c r="L183" s="30"/>
      <x:c r="M183" s="30"/>
      <x:c r="N183" s="30"/>
      <x:c r="O183" s="30"/>
      <x:c r="P183" s="30"/>
      <x:c r="Q183" s="30"/>
      <x:c r="R183" s="30"/>
      <x:c r="S183" s="31"/>
      <x:c r="T183" s="30"/>
    </x:row>
    <x:row r="184">
      <x:c r="A184" s="30" t="str">
        <x:f>IF(C184="","","FB-"&amp;TEXT(B184,"0000"))</x:f>
      </x:c>
      <x:c r="B184" s="30" t="n">
        <x:v>179</x:v>
      </x:c>
      <x:c r="C184" s="30"/>
      <x:c r="D184" s="31"/>
      <x:c r="E184" s="30"/>
      <x:c r="F184" s="30"/>
      <x:c r="G184" s="30"/>
      <x:c r="H184" s="30"/>
      <x:c r="I184" s="30"/>
      <x:c r="J184" s="30"/>
      <x:c r="K184" s="30"/>
      <x:c r="L184" s="30"/>
      <x:c r="M184" s="30"/>
      <x:c r="N184" s="30"/>
      <x:c r="O184" s="30"/>
      <x:c r="P184" s="30"/>
      <x:c r="Q184" s="30"/>
      <x:c r="R184" s="30"/>
      <x:c r="S184" s="31"/>
      <x:c r="T184" s="30"/>
    </x:row>
    <x:row r="185">
      <x:c r="A185" s="30" t="str">
        <x:f>IF(C185="","","FB-"&amp;TEXT(B185,"0000"))</x:f>
      </x:c>
      <x:c r="B185" s="30" t="n">
        <x:v>180</x:v>
      </x:c>
      <x:c r="C185" s="30"/>
      <x:c r="D185" s="31"/>
      <x:c r="E185" s="30"/>
      <x:c r="F185" s="30"/>
      <x:c r="G185" s="30"/>
      <x:c r="H185" s="30"/>
      <x:c r="I185" s="30"/>
      <x:c r="J185" s="30"/>
      <x:c r="K185" s="30"/>
      <x:c r="L185" s="30"/>
      <x:c r="M185" s="30"/>
      <x:c r="N185" s="30"/>
      <x:c r="O185" s="30"/>
      <x:c r="P185" s="30"/>
      <x:c r="Q185" s="30"/>
      <x:c r="R185" s="30"/>
      <x:c r="S185" s="31"/>
      <x:c r="T185" s="30"/>
    </x:row>
    <x:row r="186">
      <x:c r="A186" s="30" t="str">
        <x:f>IF(C186="","","FB-"&amp;TEXT(B186,"0000"))</x:f>
      </x:c>
      <x:c r="B186" s="30" t="n">
        <x:v>181</x:v>
      </x:c>
      <x:c r="C186" s="30"/>
      <x:c r="D186" s="31"/>
      <x:c r="E186" s="30"/>
      <x:c r="F186" s="30"/>
      <x:c r="G186" s="30"/>
      <x:c r="H186" s="30"/>
      <x:c r="I186" s="30"/>
      <x:c r="J186" s="30"/>
      <x:c r="K186" s="30"/>
      <x:c r="L186" s="30"/>
      <x:c r="M186" s="30"/>
      <x:c r="N186" s="30"/>
      <x:c r="O186" s="30"/>
      <x:c r="P186" s="30"/>
      <x:c r="Q186" s="30"/>
      <x:c r="R186" s="30"/>
      <x:c r="S186" s="31"/>
      <x:c r="T186" s="30"/>
    </x:row>
    <x:row r="187">
      <x:c r="A187" s="30" t="str">
        <x:f>IF(C187="","","FB-"&amp;TEXT(B187,"0000"))</x:f>
      </x:c>
      <x:c r="B187" s="30" t="n">
        <x:v>182</x:v>
      </x:c>
      <x:c r="C187" s="30"/>
      <x:c r="D187" s="31"/>
      <x:c r="E187" s="30"/>
      <x:c r="F187" s="30"/>
      <x:c r="G187" s="30"/>
      <x:c r="H187" s="30"/>
      <x:c r="I187" s="30"/>
      <x:c r="J187" s="30"/>
      <x:c r="K187" s="30"/>
      <x:c r="L187" s="30"/>
      <x:c r="M187" s="30"/>
      <x:c r="N187" s="30"/>
      <x:c r="O187" s="30"/>
      <x:c r="P187" s="30"/>
      <x:c r="Q187" s="30"/>
      <x:c r="R187" s="30"/>
      <x:c r="S187" s="31"/>
      <x:c r="T187" s="30"/>
    </x:row>
    <x:row r="188">
      <x:c r="A188" s="30" t="str">
        <x:f>IF(C188="","","FB-"&amp;TEXT(B188,"0000"))</x:f>
      </x:c>
      <x:c r="B188" s="30" t="n">
        <x:v>183</x:v>
      </x:c>
      <x:c r="C188" s="30"/>
      <x:c r="D188" s="31"/>
      <x:c r="E188" s="30"/>
      <x:c r="F188" s="30"/>
      <x:c r="G188" s="30"/>
      <x:c r="H188" s="30"/>
      <x:c r="I188" s="30"/>
      <x:c r="J188" s="30"/>
      <x:c r="K188" s="30"/>
      <x:c r="L188" s="30"/>
      <x:c r="M188" s="30"/>
      <x:c r="N188" s="30"/>
      <x:c r="O188" s="30"/>
      <x:c r="P188" s="30"/>
      <x:c r="Q188" s="30"/>
      <x:c r="R188" s="30"/>
      <x:c r="S188" s="31"/>
      <x:c r="T188" s="30"/>
    </x:row>
    <x:row r="189">
      <x:c r="A189" s="30" t="str">
        <x:f>IF(C189="","","FB-"&amp;TEXT(B189,"0000"))</x:f>
      </x:c>
      <x:c r="B189" s="30" t="n">
        <x:v>184</x:v>
      </x:c>
      <x:c r="C189" s="30"/>
      <x:c r="D189" s="31"/>
      <x:c r="E189" s="30"/>
      <x:c r="F189" s="30"/>
      <x:c r="G189" s="30"/>
      <x:c r="H189" s="30"/>
      <x:c r="I189" s="30"/>
      <x:c r="J189" s="30"/>
      <x:c r="K189" s="30"/>
      <x:c r="L189" s="30"/>
      <x:c r="M189" s="30"/>
      <x:c r="N189" s="30"/>
      <x:c r="O189" s="30"/>
      <x:c r="P189" s="30"/>
      <x:c r="Q189" s="30"/>
      <x:c r="R189" s="30"/>
      <x:c r="S189" s="31"/>
      <x:c r="T189" s="30"/>
    </x:row>
    <x:row r="190">
      <x:c r="A190" s="30" t="str">
        <x:f>IF(C190="","","FB-"&amp;TEXT(B190,"0000"))</x:f>
      </x:c>
      <x:c r="B190" s="30" t="n">
        <x:v>185</x:v>
      </x:c>
      <x:c r="C190" s="30"/>
      <x:c r="D190" s="31"/>
      <x:c r="E190" s="30"/>
      <x:c r="F190" s="30"/>
      <x:c r="G190" s="30"/>
      <x:c r="H190" s="30"/>
      <x:c r="I190" s="30"/>
      <x:c r="J190" s="30"/>
      <x:c r="K190" s="30"/>
      <x:c r="L190" s="30"/>
      <x:c r="M190" s="30"/>
      <x:c r="N190" s="30"/>
      <x:c r="O190" s="30"/>
      <x:c r="P190" s="30"/>
      <x:c r="Q190" s="30"/>
      <x:c r="R190" s="30"/>
      <x:c r="S190" s="31"/>
      <x:c r="T190" s="30"/>
    </x:row>
    <x:row r="191">
      <x:c r="A191" s="30" t="str">
        <x:f>IF(C191="","","FB-"&amp;TEXT(B191,"0000"))</x:f>
      </x:c>
      <x:c r="B191" s="30" t="n">
        <x:v>186</x:v>
      </x:c>
      <x:c r="C191" s="30"/>
      <x:c r="D191" s="31"/>
      <x:c r="E191" s="30"/>
      <x:c r="F191" s="30"/>
      <x:c r="G191" s="30"/>
      <x:c r="H191" s="30"/>
      <x:c r="I191" s="30"/>
      <x:c r="J191" s="30"/>
      <x:c r="K191" s="30"/>
      <x:c r="L191" s="30"/>
      <x:c r="M191" s="30"/>
      <x:c r="N191" s="30"/>
      <x:c r="O191" s="30"/>
      <x:c r="P191" s="30"/>
      <x:c r="Q191" s="30"/>
      <x:c r="R191" s="30"/>
      <x:c r="S191" s="31"/>
      <x:c r="T191" s="30"/>
    </x:row>
    <x:row r="192">
      <x:c r="A192" s="30" t="str">
        <x:f>IF(C192="","","FB-"&amp;TEXT(B192,"0000"))</x:f>
      </x:c>
      <x:c r="B192" s="30" t="n">
        <x:v>187</x:v>
      </x:c>
      <x:c r="C192" s="30"/>
      <x:c r="D192" s="31"/>
      <x:c r="E192" s="30"/>
      <x:c r="F192" s="30"/>
      <x:c r="G192" s="30"/>
      <x:c r="H192" s="30"/>
      <x:c r="I192" s="30"/>
      <x:c r="J192" s="30"/>
      <x:c r="K192" s="30"/>
      <x:c r="L192" s="30"/>
      <x:c r="M192" s="30"/>
      <x:c r="N192" s="30"/>
      <x:c r="O192" s="30"/>
      <x:c r="P192" s="30"/>
      <x:c r="Q192" s="30"/>
      <x:c r="R192" s="30"/>
      <x:c r="S192" s="31"/>
      <x:c r="T192" s="30"/>
    </x:row>
    <x:row r="193">
      <x:c r="A193" s="30" t="str">
        <x:f>IF(C193="","","FB-"&amp;TEXT(B193,"0000"))</x:f>
      </x:c>
      <x:c r="B193" s="30" t="n">
        <x:v>188</x:v>
      </x:c>
      <x:c r="C193" s="30"/>
      <x:c r="D193" s="31"/>
      <x:c r="E193" s="30"/>
      <x:c r="F193" s="30"/>
      <x:c r="G193" s="30"/>
      <x:c r="H193" s="30"/>
      <x:c r="I193" s="30"/>
      <x:c r="J193" s="30"/>
      <x:c r="K193" s="30"/>
      <x:c r="L193" s="30"/>
      <x:c r="M193" s="30"/>
      <x:c r="N193" s="30"/>
      <x:c r="O193" s="30"/>
      <x:c r="P193" s="30"/>
      <x:c r="Q193" s="30"/>
      <x:c r="R193" s="30"/>
      <x:c r="S193" s="31"/>
      <x:c r="T193" s="30"/>
    </x:row>
    <x:row r="194">
      <x:c r="A194" s="30" t="str">
        <x:f>IF(C194="","","FB-"&amp;TEXT(B194,"0000"))</x:f>
      </x:c>
      <x:c r="B194" s="30" t="n">
        <x:v>189</x:v>
      </x:c>
      <x:c r="C194" s="30"/>
      <x:c r="D194" s="31"/>
      <x:c r="E194" s="30"/>
      <x:c r="F194" s="30"/>
      <x:c r="G194" s="30"/>
      <x:c r="H194" s="30"/>
      <x:c r="I194" s="30"/>
      <x:c r="J194" s="30"/>
      <x:c r="K194" s="30"/>
      <x:c r="L194" s="30"/>
      <x:c r="M194" s="30"/>
      <x:c r="N194" s="30"/>
      <x:c r="O194" s="30"/>
      <x:c r="P194" s="30"/>
      <x:c r="Q194" s="30"/>
      <x:c r="R194" s="30"/>
      <x:c r="S194" s="31"/>
      <x:c r="T194" s="30"/>
    </x:row>
    <x:row r="195">
      <x:c r="A195" s="30" t="str">
        <x:f>IF(C195="","","FB-"&amp;TEXT(B195,"0000"))</x:f>
      </x:c>
      <x:c r="B195" s="30" t="n">
        <x:v>190</x:v>
      </x:c>
      <x:c r="C195" s="30"/>
      <x:c r="D195" s="31"/>
      <x:c r="E195" s="30"/>
      <x:c r="F195" s="30"/>
      <x:c r="G195" s="30"/>
      <x:c r="H195" s="30"/>
      <x:c r="I195" s="30"/>
      <x:c r="J195" s="30"/>
      <x:c r="K195" s="30"/>
      <x:c r="L195" s="30"/>
      <x:c r="M195" s="30"/>
      <x:c r="N195" s="30"/>
      <x:c r="O195" s="30"/>
      <x:c r="P195" s="30"/>
      <x:c r="Q195" s="30"/>
      <x:c r="R195" s="30"/>
      <x:c r="S195" s="31"/>
      <x:c r="T195" s="30"/>
    </x:row>
    <x:row r="196">
      <x:c r="A196" s="30" t="str">
        <x:f>IF(C196="","","FB-"&amp;TEXT(B196,"0000"))</x:f>
      </x:c>
      <x:c r="B196" s="30" t="n">
        <x:v>191</x:v>
      </x:c>
      <x:c r="C196" s="30"/>
      <x:c r="D196" s="31"/>
      <x:c r="E196" s="30"/>
      <x:c r="F196" s="30"/>
      <x:c r="G196" s="30"/>
      <x:c r="H196" s="30"/>
      <x:c r="I196" s="30"/>
      <x:c r="J196" s="30"/>
      <x:c r="K196" s="30"/>
      <x:c r="L196" s="30"/>
      <x:c r="M196" s="30"/>
      <x:c r="N196" s="30"/>
      <x:c r="O196" s="30"/>
      <x:c r="P196" s="30"/>
      <x:c r="Q196" s="30"/>
      <x:c r="R196" s="30"/>
      <x:c r="S196" s="31"/>
      <x:c r="T196" s="30"/>
    </x:row>
    <x:row r="197">
      <x:c r="A197" s="30" t="str">
        <x:f>IF(C197="","","FB-"&amp;TEXT(B197,"0000"))</x:f>
      </x:c>
      <x:c r="B197" s="30" t="n">
        <x:v>192</x:v>
      </x:c>
      <x:c r="C197" s="30"/>
      <x:c r="D197" s="31"/>
      <x:c r="E197" s="30"/>
      <x:c r="F197" s="30"/>
      <x:c r="G197" s="30"/>
      <x:c r="H197" s="30"/>
      <x:c r="I197" s="30"/>
      <x:c r="J197" s="30"/>
      <x:c r="K197" s="30"/>
      <x:c r="L197" s="30"/>
      <x:c r="M197" s="30"/>
      <x:c r="N197" s="30"/>
      <x:c r="O197" s="30"/>
      <x:c r="P197" s="30"/>
      <x:c r="Q197" s="30"/>
      <x:c r="R197" s="30"/>
      <x:c r="S197" s="31"/>
      <x:c r="T197" s="30"/>
    </x:row>
    <x:row r="198">
      <x:c r="A198" s="30" t="str">
        <x:f>IF(C198="","","FB-"&amp;TEXT(B198,"0000"))</x:f>
      </x:c>
      <x:c r="B198" s="30" t="n">
        <x:v>193</x:v>
      </x:c>
      <x:c r="C198" s="30"/>
      <x:c r="D198" s="31"/>
      <x:c r="E198" s="30"/>
      <x:c r="F198" s="30"/>
      <x:c r="G198" s="30"/>
      <x:c r="H198" s="30"/>
      <x:c r="I198" s="30"/>
      <x:c r="J198" s="30"/>
      <x:c r="K198" s="30"/>
      <x:c r="L198" s="30"/>
      <x:c r="M198" s="30"/>
      <x:c r="N198" s="30"/>
      <x:c r="O198" s="30"/>
      <x:c r="P198" s="30"/>
      <x:c r="Q198" s="30"/>
      <x:c r="R198" s="30"/>
      <x:c r="S198" s="31"/>
      <x:c r="T198" s="30"/>
    </x:row>
    <x:row r="199">
      <x:c r="A199" s="30" t="str">
        <x:f>IF(C199="","","FB-"&amp;TEXT(B199,"0000"))</x:f>
      </x:c>
      <x:c r="B199" s="30" t="n">
        <x:v>194</x:v>
      </x:c>
      <x:c r="C199" s="30"/>
      <x:c r="D199" s="31"/>
      <x:c r="E199" s="30"/>
      <x:c r="F199" s="30"/>
      <x:c r="G199" s="30"/>
      <x:c r="H199" s="30"/>
      <x:c r="I199" s="30"/>
      <x:c r="J199" s="30"/>
      <x:c r="K199" s="30"/>
      <x:c r="L199" s="30"/>
      <x:c r="M199" s="30"/>
      <x:c r="N199" s="30"/>
      <x:c r="O199" s="30"/>
      <x:c r="P199" s="30"/>
      <x:c r="Q199" s="30"/>
      <x:c r="R199" s="30"/>
      <x:c r="S199" s="31"/>
      <x:c r="T199" s="30"/>
    </x:row>
    <x:row r="200">
      <x:c r="A200" s="30" t="str">
        <x:f>IF(C200="","","FB-"&amp;TEXT(B200,"0000"))</x:f>
      </x:c>
      <x:c r="B200" s="30" t="n">
        <x:v>195</x:v>
      </x:c>
      <x:c r="C200" s="30"/>
      <x:c r="D200" s="31"/>
      <x:c r="E200" s="30"/>
      <x:c r="F200" s="30"/>
      <x:c r="G200" s="30"/>
      <x:c r="H200" s="30"/>
      <x:c r="I200" s="30"/>
      <x:c r="J200" s="30"/>
      <x:c r="K200" s="30"/>
      <x:c r="L200" s="30"/>
      <x:c r="M200" s="30"/>
      <x:c r="N200" s="30"/>
      <x:c r="O200" s="30"/>
      <x:c r="P200" s="30"/>
      <x:c r="Q200" s="30"/>
      <x:c r="R200" s="30"/>
      <x:c r="S200" s="31"/>
      <x:c r="T200" s="30"/>
    </x:row>
    <x:row r="201">
      <x:c r="A201" s="30" t="str">
        <x:f>IF(C201="","","FB-"&amp;TEXT(B201,"0000"))</x:f>
      </x:c>
      <x:c r="B201" s="30" t="n">
        <x:v>196</x:v>
      </x:c>
      <x:c r="C201" s="30"/>
      <x:c r="D201" s="31"/>
      <x:c r="E201" s="30"/>
      <x:c r="F201" s="30"/>
      <x:c r="G201" s="30"/>
      <x:c r="H201" s="30"/>
      <x:c r="I201" s="30"/>
      <x:c r="J201" s="30"/>
      <x:c r="K201" s="30"/>
      <x:c r="L201" s="30"/>
      <x:c r="M201" s="30"/>
      <x:c r="N201" s="30"/>
      <x:c r="O201" s="30"/>
      <x:c r="P201" s="30"/>
      <x:c r="Q201" s="30"/>
      <x:c r="R201" s="30"/>
      <x:c r="S201" s="31"/>
      <x:c r="T201" s="30"/>
    </x:row>
    <x:row r="202">
      <x:c r="A202" s="30" t="str">
        <x:f>IF(C202="","","FB-"&amp;TEXT(B202,"0000"))</x:f>
      </x:c>
      <x:c r="B202" s="30" t="n">
        <x:v>197</x:v>
      </x:c>
      <x:c r="C202" s="30"/>
      <x:c r="D202" s="31"/>
      <x:c r="E202" s="30"/>
      <x:c r="F202" s="30"/>
      <x:c r="G202" s="30"/>
      <x:c r="H202" s="30"/>
      <x:c r="I202" s="30"/>
      <x:c r="J202" s="30"/>
      <x:c r="K202" s="30"/>
      <x:c r="L202" s="30"/>
      <x:c r="M202" s="30"/>
      <x:c r="N202" s="30"/>
      <x:c r="O202" s="30"/>
      <x:c r="P202" s="30"/>
      <x:c r="Q202" s="30"/>
      <x:c r="R202" s="30"/>
      <x:c r="S202" s="31"/>
      <x:c r="T202" s="30"/>
    </x:row>
    <x:row r="203">
      <x:c r="A203" s="30" t="str">
        <x:f>IF(C203="","","FB-"&amp;TEXT(B203,"0000"))</x:f>
      </x:c>
      <x:c r="B203" s="30" t="n">
        <x:v>198</x:v>
      </x:c>
      <x:c r="C203" s="30"/>
      <x:c r="D203" s="31"/>
      <x:c r="E203" s="30"/>
      <x:c r="F203" s="30"/>
      <x:c r="G203" s="30"/>
      <x:c r="H203" s="30"/>
      <x:c r="I203" s="30"/>
      <x:c r="J203" s="30"/>
      <x:c r="K203" s="30"/>
      <x:c r="L203" s="30"/>
      <x:c r="M203" s="30"/>
      <x:c r="N203" s="30"/>
      <x:c r="O203" s="30"/>
      <x:c r="P203" s="30"/>
      <x:c r="Q203" s="30"/>
      <x:c r="R203" s="30"/>
      <x:c r="S203" s="31"/>
      <x:c r="T203" s="30"/>
    </x:row>
    <x:row r="204">
      <x:c r="A204" s="30" t="str">
        <x:f>IF(C204="","","FB-"&amp;TEXT(B204,"0000"))</x:f>
      </x:c>
      <x:c r="B204" s="30" t="n">
        <x:v>199</x:v>
      </x:c>
      <x:c r="C204" s="30"/>
      <x:c r="D204" s="31"/>
      <x:c r="E204" s="30"/>
      <x:c r="F204" s="30"/>
      <x:c r="G204" s="30"/>
      <x:c r="H204" s="30"/>
      <x:c r="I204" s="30"/>
      <x:c r="J204" s="30"/>
      <x:c r="K204" s="30"/>
      <x:c r="L204" s="30"/>
      <x:c r="M204" s="30"/>
      <x:c r="N204" s="30"/>
      <x:c r="O204" s="30"/>
      <x:c r="P204" s="30"/>
      <x:c r="Q204" s="30"/>
      <x:c r="R204" s="30"/>
      <x:c r="S204" s="31"/>
      <x:c r="T204" s="30"/>
    </x:row>
    <x:row r="205">
      <x:c r="A205" s="30" t="str">
        <x:f>IF(C205="","","FB-"&amp;TEXT(B205,"0000"))</x:f>
      </x:c>
      <x:c r="B205" s="30" t="n">
        <x:v>200</x:v>
      </x:c>
      <x:c r="C205" s="30"/>
      <x:c r="D205" s="31"/>
      <x:c r="E205" s="30"/>
      <x:c r="F205" s="30"/>
      <x:c r="G205" s="30"/>
      <x:c r="H205" s="30"/>
      <x:c r="I205" s="30"/>
      <x:c r="J205" s="30"/>
      <x:c r="K205" s="30"/>
      <x:c r="L205" s="30"/>
      <x:c r="M205" s="30"/>
      <x:c r="N205" s="30"/>
      <x:c r="O205" s="30"/>
      <x:c r="P205" s="30"/>
      <x:c r="Q205" s="30"/>
      <x:c r="R205" s="30"/>
      <x:c r="S205" s="31"/>
      <x:c r="T205" s="30"/>
    </x:row>
    <x:row r="206">
      <x:c r="A206" s="30" t="str">
        <x:f>IF(C206="","","FB-"&amp;TEXT(B206,"0000"))</x:f>
      </x:c>
      <x:c r="B206" s="30" t="n">
        <x:v>201</x:v>
      </x:c>
      <x:c r="C206" s="30"/>
      <x:c r="D206" s="31"/>
      <x:c r="E206" s="30"/>
      <x:c r="F206" s="30"/>
      <x:c r="G206" s="30"/>
      <x:c r="H206" s="30"/>
      <x:c r="I206" s="30"/>
      <x:c r="J206" s="30"/>
      <x:c r="K206" s="30"/>
      <x:c r="L206" s="30"/>
      <x:c r="M206" s="30"/>
      <x:c r="N206" s="30"/>
      <x:c r="O206" s="30"/>
      <x:c r="P206" s="30"/>
      <x:c r="Q206" s="30"/>
      <x:c r="R206" s="30"/>
      <x:c r="S206" s="31"/>
      <x:c r="T206" s="30"/>
    </x:row>
    <x:row r="207">
      <x:c r="A207" s="30" t="str">
        <x:f>IF(C207="","","FB-"&amp;TEXT(B207,"0000"))</x:f>
      </x:c>
      <x:c r="B207" s="30" t="n">
        <x:v>202</x:v>
      </x:c>
      <x:c r="C207" s="30"/>
      <x:c r="D207" s="31"/>
      <x:c r="E207" s="30"/>
      <x:c r="F207" s="30"/>
      <x:c r="G207" s="30"/>
      <x:c r="H207" s="30"/>
      <x:c r="I207" s="30"/>
      <x:c r="J207" s="30"/>
      <x:c r="K207" s="30"/>
      <x:c r="L207" s="30"/>
      <x:c r="M207" s="30"/>
      <x:c r="N207" s="30"/>
      <x:c r="O207" s="30"/>
      <x:c r="P207" s="30"/>
      <x:c r="Q207" s="30"/>
      <x:c r="R207" s="30"/>
      <x:c r="S207" s="31"/>
      <x:c r="T207" s="30"/>
    </x:row>
    <x:row r="208">
      <x:c r="A208" s="30" t="str">
        <x:f>IF(C208="","","FB-"&amp;TEXT(B208,"0000"))</x:f>
      </x:c>
      <x:c r="B208" s="30" t="n">
        <x:v>203</x:v>
      </x:c>
      <x:c r="C208" s="30"/>
      <x:c r="D208" s="31"/>
      <x:c r="E208" s="30"/>
      <x:c r="F208" s="30"/>
      <x:c r="G208" s="30"/>
      <x:c r="H208" s="30"/>
      <x:c r="I208" s="30"/>
      <x:c r="J208" s="30"/>
      <x:c r="K208" s="30"/>
      <x:c r="L208" s="30"/>
      <x:c r="M208" s="30"/>
      <x:c r="N208" s="30"/>
      <x:c r="O208" s="30"/>
      <x:c r="P208" s="30"/>
      <x:c r="Q208" s="30"/>
      <x:c r="R208" s="30"/>
      <x:c r="S208" s="31"/>
      <x:c r="T208" s="30"/>
    </x:row>
    <x:row r="209">
      <x:c r="A209" s="30" t="str">
        <x:f>IF(C209="","","FB-"&amp;TEXT(B209,"0000"))</x:f>
      </x:c>
      <x:c r="B209" s="30" t="n">
        <x:v>204</x:v>
      </x:c>
      <x:c r="C209" s="30"/>
      <x:c r="D209" s="31"/>
      <x:c r="E209" s="30"/>
      <x:c r="F209" s="30"/>
      <x:c r="G209" s="30"/>
      <x:c r="H209" s="30"/>
      <x:c r="I209" s="30"/>
      <x:c r="J209" s="30"/>
      <x:c r="K209" s="30"/>
      <x:c r="L209" s="30"/>
      <x:c r="M209" s="30"/>
      <x:c r="N209" s="30"/>
      <x:c r="O209" s="30"/>
      <x:c r="P209" s="30"/>
      <x:c r="Q209" s="30"/>
      <x:c r="R209" s="30"/>
      <x:c r="S209" s="31"/>
      <x:c r="T209" s="30"/>
    </x:row>
    <x:row r="210">
      <x:c r="A210" s="30" t="str">
        <x:f>IF(C210="","","FB-"&amp;TEXT(B210,"0000"))</x:f>
      </x:c>
      <x:c r="B210" s="30" t="n">
        <x:v>205</x:v>
      </x:c>
      <x:c r="C210" s="30"/>
      <x:c r="D210" s="31"/>
      <x:c r="E210" s="30"/>
      <x:c r="F210" s="30"/>
      <x:c r="G210" s="30"/>
      <x:c r="H210" s="30"/>
      <x:c r="I210" s="30"/>
      <x:c r="J210" s="30"/>
      <x:c r="K210" s="30"/>
      <x:c r="L210" s="30"/>
      <x:c r="M210" s="30"/>
      <x:c r="N210" s="30"/>
      <x:c r="O210" s="30"/>
      <x:c r="P210" s="30"/>
      <x:c r="Q210" s="30"/>
      <x:c r="R210" s="30"/>
      <x:c r="S210" s="31"/>
      <x:c r="T210" s="30"/>
    </x:row>
    <x:row r="211">
      <x:c r="A211" s="30" t="str">
        <x:f>IF(C211="","","FB-"&amp;TEXT(B211,"0000"))</x:f>
      </x:c>
      <x:c r="B211" s="30" t="n">
        <x:v>206</x:v>
      </x:c>
      <x:c r="C211" s="30"/>
      <x:c r="D211" s="31"/>
      <x:c r="E211" s="30"/>
      <x:c r="F211" s="30"/>
      <x:c r="G211" s="30"/>
      <x:c r="H211" s="30"/>
      <x:c r="I211" s="30"/>
      <x:c r="J211" s="30"/>
      <x:c r="K211" s="30"/>
      <x:c r="L211" s="30"/>
      <x:c r="M211" s="30"/>
      <x:c r="N211" s="30"/>
      <x:c r="O211" s="30"/>
      <x:c r="P211" s="30"/>
      <x:c r="Q211" s="30"/>
      <x:c r="R211" s="30"/>
      <x:c r="S211" s="31"/>
      <x:c r="T211" s="30"/>
    </x:row>
    <x:row r="212">
      <x:c r="A212" s="30" t="str">
        <x:f>IF(C212="","","FB-"&amp;TEXT(B212,"0000"))</x:f>
      </x:c>
      <x:c r="B212" s="30" t="n">
        <x:v>207</x:v>
      </x:c>
      <x:c r="C212" s="30"/>
      <x:c r="D212" s="31"/>
      <x:c r="E212" s="30"/>
      <x:c r="F212" s="30"/>
      <x:c r="G212" s="30"/>
      <x:c r="H212" s="30"/>
      <x:c r="I212" s="30"/>
      <x:c r="J212" s="30"/>
      <x:c r="K212" s="30"/>
      <x:c r="L212" s="30"/>
      <x:c r="M212" s="30"/>
      <x:c r="N212" s="30"/>
      <x:c r="O212" s="30"/>
      <x:c r="P212" s="30"/>
      <x:c r="Q212" s="30"/>
      <x:c r="R212" s="30"/>
      <x:c r="S212" s="31"/>
      <x:c r="T212" s="30"/>
    </x:row>
    <x:row r="213">
      <x:c r="A213" s="30" t="str">
        <x:f>IF(C213="","","FB-"&amp;TEXT(B213,"0000"))</x:f>
      </x:c>
      <x:c r="B213" s="30" t="n">
        <x:v>208</x:v>
      </x:c>
      <x:c r="C213" s="30"/>
      <x:c r="D213" s="31"/>
      <x:c r="E213" s="30"/>
      <x:c r="F213" s="30"/>
      <x:c r="G213" s="30"/>
      <x:c r="H213" s="30"/>
      <x:c r="I213" s="30"/>
      <x:c r="J213" s="30"/>
      <x:c r="K213" s="30"/>
      <x:c r="L213" s="30"/>
      <x:c r="M213" s="30"/>
      <x:c r="N213" s="30"/>
      <x:c r="O213" s="30"/>
      <x:c r="P213" s="30"/>
      <x:c r="Q213" s="30"/>
      <x:c r="R213" s="30"/>
      <x:c r="S213" s="31"/>
      <x:c r="T213" s="30"/>
    </x:row>
    <x:row r="214">
      <x:c r="A214" s="30" t="str">
        <x:f>IF(C214="","","FB-"&amp;TEXT(B214,"0000"))</x:f>
      </x:c>
      <x:c r="B214" s="30" t="n">
        <x:v>209</x:v>
      </x:c>
      <x:c r="C214" s="30"/>
      <x:c r="D214" s="31"/>
      <x:c r="E214" s="30"/>
      <x:c r="F214" s="30"/>
      <x:c r="G214" s="30"/>
      <x:c r="H214" s="30"/>
      <x:c r="I214" s="30"/>
      <x:c r="J214" s="30"/>
      <x:c r="K214" s="30"/>
      <x:c r="L214" s="30"/>
      <x:c r="M214" s="30"/>
      <x:c r="N214" s="30"/>
      <x:c r="O214" s="30"/>
      <x:c r="P214" s="30"/>
      <x:c r="Q214" s="30"/>
      <x:c r="R214" s="30"/>
      <x:c r="S214" s="31"/>
      <x:c r="T214" s="30"/>
    </x:row>
    <x:row r="215">
      <x:c r="A215" s="30" t="str">
        <x:f>IF(C215="","","FB-"&amp;TEXT(B215,"0000"))</x:f>
      </x:c>
      <x:c r="B215" s="30" t="n">
        <x:v>210</x:v>
      </x:c>
      <x:c r="C215" s="30"/>
      <x:c r="D215" s="31"/>
      <x:c r="E215" s="30"/>
      <x:c r="F215" s="30"/>
      <x:c r="G215" s="30"/>
      <x:c r="H215" s="30"/>
      <x:c r="I215" s="30"/>
      <x:c r="J215" s="30"/>
      <x:c r="K215" s="30"/>
      <x:c r="L215" s="30"/>
      <x:c r="M215" s="30"/>
      <x:c r="N215" s="30"/>
      <x:c r="O215" s="30"/>
      <x:c r="P215" s="30"/>
      <x:c r="Q215" s="30"/>
      <x:c r="R215" s="30"/>
      <x:c r="S215" s="31"/>
      <x:c r="T215" s="30"/>
    </x:row>
    <x:row r="216">
      <x:c r="A216" s="30" t="str">
        <x:f>IF(C216="","","FB-"&amp;TEXT(B216,"0000"))</x:f>
      </x:c>
      <x:c r="B216" s="30" t="n">
        <x:v>211</x:v>
      </x:c>
      <x:c r="C216" s="30"/>
      <x:c r="D216" s="31"/>
      <x:c r="E216" s="30"/>
      <x:c r="F216" s="30"/>
      <x:c r="G216" s="30"/>
      <x:c r="H216" s="30"/>
      <x:c r="I216" s="30"/>
      <x:c r="J216" s="30"/>
      <x:c r="K216" s="30"/>
      <x:c r="L216" s="30"/>
      <x:c r="M216" s="30"/>
      <x:c r="N216" s="30"/>
      <x:c r="O216" s="30"/>
      <x:c r="P216" s="30"/>
      <x:c r="Q216" s="30"/>
      <x:c r="R216" s="30"/>
      <x:c r="S216" s="31"/>
      <x:c r="T216" s="30"/>
    </x:row>
    <x:row r="217">
      <x:c r="A217" s="30" t="str">
        <x:f>IF(C217="","","FB-"&amp;TEXT(B217,"0000"))</x:f>
      </x:c>
      <x:c r="B217" s="30" t="n">
        <x:v>212</x:v>
      </x:c>
      <x:c r="C217" s="30"/>
      <x:c r="D217" s="31"/>
      <x:c r="E217" s="30"/>
      <x:c r="F217" s="30"/>
      <x:c r="G217" s="30"/>
      <x:c r="H217" s="30"/>
      <x:c r="I217" s="30"/>
      <x:c r="J217" s="30"/>
      <x:c r="K217" s="30"/>
      <x:c r="L217" s="30"/>
      <x:c r="M217" s="30"/>
      <x:c r="N217" s="30"/>
      <x:c r="O217" s="30"/>
      <x:c r="P217" s="30"/>
      <x:c r="Q217" s="30"/>
      <x:c r="R217" s="30"/>
      <x:c r="S217" s="31"/>
      <x:c r="T217" s="30"/>
    </x:row>
    <x:row r="218">
      <x:c r="A218" s="30" t="str">
        <x:f>IF(C218="","","FB-"&amp;TEXT(B218,"0000"))</x:f>
      </x:c>
      <x:c r="B218" s="30" t="n">
        <x:v>213</x:v>
      </x:c>
      <x:c r="C218" s="30"/>
      <x:c r="D218" s="31"/>
      <x:c r="E218" s="30"/>
      <x:c r="F218" s="30"/>
      <x:c r="G218" s="30"/>
      <x:c r="H218" s="30"/>
      <x:c r="I218" s="30"/>
      <x:c r="J218" s="30"/>
      <x:c r="K218" s="30"/>
      <x:c r="L218" s="30"/>
      <x:c r="M218" s="30"/>
      <x:c r="N218" s="30"/>
      <x:c r="O218" s="30"/>
      <x:c r="P218" s="30"/>
      <x:c r="Q218" s="30"/>
      <x:c r="R218" s="30"/>
      <x:c r="S218" s="31"/>
      <x:c r="T218" s="30"/>
    </x:row>
    <x:row r="219">
      <x:c r="A219" s="30" t="str">
        <x:f>IF(C219="","","FB-"&amp;TEXT(B219,"0000"))</x:f>
      </x:c>
      <x:c r="B219" s="30" t="n">
        <x:v>214</x:v>
      </x:c>
      <x:c r="C219" s="30"/>
      <x:c r="D219" s="31"/>
      <x:c r="E219" s="30"/>
      <x:c r="F219" s="30"/>
      <x:c r="G219" s="30"/>
      <x:c r="H219" s="30"/>
      <x:c r="I219" s="30"/>
      <x:c r="J219" s="30"/>
      <x:c r="K219" s="30"/>
      <x:c r="L219" s="30"/>
      <x:c r="M219" s="30"/>
      <x:c r="N219" s="30"/>
      <x:c r="O219" s="30"/>
      <x:c r="P219" s="30"/>
      <x:c r="Q219" s="30"/>
      <x:c r="R219" s="30"/>
      <x:c r="S219" s="31"/>
      <x:c r="T219" s="30"/>
    </x:row>
    <x:row r="220">
      <x:c r="A220" s="30" t="str">
        <x:f>IF(C220="","","FB-"&amp;TEXT(B220,"0000"))</x:f>
      </x:c>
      <x:c r="B220" s="30" t="n">
        <x:v>215</x:v>
      </x:c>
      <x:c r="C220" s="30"/>
      <x:c r="D220" s="31"/>
      <x:c r="E220" s="30"/>
      <x:c r="F220" s="30"/>
      <x:c r="G220" s="30"/>
      <x:c r="H220" s="30"/>
      <x:c r="I220" s="30"/>
      <x:c r="J220" s="30"/>
      <x:c r="K220" s="30"/>
      <x:c r="L220" s="30"/>
      <x:c r="M220" s="30"/>
      <x:c r="N220" s="30"/>
      <x:c r="O220" s="30"/>
      <x:c r="P220" s="30"/>
      <x:c r="Q220" s="30"/>
      <x:c r="R220" s="30"/>
      <x:c r="S220" s="31"/>
      <x:c r="T220" s="30"/>
    </x:row>
    <x:row r="221">
      <x:c r="A221" s="30" t="str">
        <x:f>IF(C221="","","FB-"&amp;TEXT(B221,"0000"))</x:f>
      </x:c>
      <x:c r="B221" s="30" t="n">
        <x:v>216</x:v>
      </x:c>
      <x:c r="C221" s="30"/>
      <x:c r="D221" s="31"/>
      <x:c r="E221" s="30"/>
      <x:c r="F221" s="30"/>
      <x:c r="G221" s="30"/>
      <x:c r="H221" s="30"/>
      <x:c r="I221" s="30"/>
      <x:c r="J221" s="30"/>
      <x:c r="K221" s="30"/>
      <x:c r="L221" s="30"/>
      <x:c r="M221" s="30"/>
      <x:c r="N221" s="30"/>
      <x:c r="O221" s="30"/>
      <x:c r="P221" s="30"/>
      <x:c r="Q221" s="30"/>
      <x:c r="R221" s="30"/>
      <x:c r="S221" s="31"/>
      <x:c r="T221" s="30"/>
    </x:row>
    <x:row r="222">
      <x:c r="A222" s="30" t="str">
        <x:f>IF(C222="","","FB-"&amp;TEXT(B222,"0000"))</x:f>
      </x:c>
      <x:c r="B222" s="30" t="n">
        <x:v>217</x:v>
      </x:c>
      <x:c r="C222" s="30"/>
      <x:c r="D222" s="31"/>
      <x:c r="E222" s="30"/>
      <x:c r="F222" s="30"/>
      <x:c r="G222" s="30"/>
      <x:c r="H222" s="30"/>
      <x:c r="I222" s="30"/>
      <x:c r="J222" s="30"/>
      <x:c r="K222" s="30"/>
      <x:c r="L222" s="30"/>
      <x:c r="M222" s="30"/>
      <x:c r="N222" s="30"/>
      <x:c r="O222" s="30"/>
      <x:c r="P222" s="30"/>
      <x:c r="Q222" s="30"/>
      <x:c r="R222" s="30"/>
      <x:c r="S222" s="31"/>
      <x:c r="T222" s="30"/>
    </x:row>
    <x:row r="223">
      <x:c r="A223" s="30" t="str">
        <x:f>IF(C223="","","FB-"&amp;TEXT(B223,"0000"))</x:f>
      </x:c>
      <x:c r="B223" s="30" t="n">
        <x:v>218</x:v>
      </x:c>
      <x:c r="C223" s="30"/>
      <x:c r="D223" s="31"/>
      <x:c r="E223" s="30"/>
      <x:c r="F223" s="30"/>
      <x:c r="G223" s="30"/>
      <x:c r="H223" s="30"/>
      <x:c r="I223" s="30"/>
      <x:c r="J223" s="30"/>
      <x:c r="K223" s="30"/>
      <x:c r="L223" s="30"/>
      <x:c r="M223" s="30"/>
      <x:c r="N223" s="30"/>
      <x:c r="O223" s="30"/>
      <x:c r="P223" s="30"/>
      <x:c r="Q223" s="30"/>
      <x:c r="R223" s="30"/>
      <x:c r="S223" s="31"/>
      <x:c r="T223" s="30"/>
    </x:row>
    <x:row r="224">
      <x:c r="A224" s="30" t="str">
        <x:f>IF(C224="","","FB-"&amp;TEXT(B224,"0000"))</x:f>
      </x:c>
      <x:c r="B224" s="30" t="n">
        <x:v>219</x:v>
      </x:c>
      <x:c r="C224" s="30"/>
      <x:c r="D224" s="31"/>
      <x:c r="E224" s="30"/>
      <x:c r="F224" s="30"/>
      <x:c r="G224" s="30"/>
      <x:c r="H224" s="30"/>
      <x:c r="I224" s="30"/>
      <x:c r="J224" s="30"/>
      <x:c r="K224" s="30"/>
      <x:c r="L224" s="30"/>
      <x:c r="M224" s="30"/>
      <x:c r="N224" s="30"/>
      <x:c r="O224" s="30"/>
      <x:c r="P224" s="30"/>
      <x:c r="Q224" s="30"/>
      <x:c r="R224" s="30"/>
      <x:c r="S224" s="31"/>
      <x:c r="T224" s="30"/>
    </x:row>
    <x:row r="225">
      <x:c r="A225" s="30" t="str">
        <x:f>IF(C225="","","FB-"&amp;TEXT(B225,"0000"))</x:f>
      </x:c>
      <x:c r="B225" s="30" t="n">
        <x:v>220</x:v>
      </x:c>
      <x:c r="C225" s="30"/>
      <x:c r="D225" s="31"/>
      <x:c r="E225" s="30"/>
      <x:c r="F225" s="30"/>
      <x:c r="G225" s="30"/>
      <x:c r="H225" s="30"/>
      <x:c r="I225" s="30"/>
      <x:c r="J225" s="30"/>
      <x:c r="K225" s="30"/>
      <x:c r="L225" s="30"/>
      <x:c r="M225" s="30"/>
      <x:c r="N225" s="30"/>
      <x:c r="O225" s="30"/>
      <x:c r="P225" s="30"/>
      <x:c r="Q225" s="30"/>
      <x:c r="R225" s="30"/>
      <x:c r="S225" s="31"/>
      <x:c r="T225" s="30"/>
    </x:row>
    <x:row r="226">
      <x:c r="A226" s="30" t="str">
        <x:f>IF(C226="","","FB-"&amp;TEXT(B226,"0000"))</x:f>
      </x:c>
      <x:c r="B226" s="30" t="n">
        <x:v>221</x:v>
      </x:c>
      <x:c r="C226" s="30"/>
      <x:c r="D226" s="31"/>
      <x:c r="E226" s="30"/>
      <x:c r="F226" s="30"/>
      <x:c r="G226" s="30"/>
      <x:c r="H226" s="30"/>
      <x:c r="I226" s="30"/>
      <x:c r="J226" s="30"/>
      <x:c r="K226" s="30"/>
      <x:c r="L226" s="30"/>
      <x:c r="M226" s="30"/>
      <x:c r="N226" s="30"/>
      <x:c r="O226" s="30"/>
      <x:c r="P226" s="30"/>
      <x:c r="Q226" s="30"/>
      <x:c r="R226" s="30"/>
      <x:c r="S226" s="31"/>
      <x:c r="T226" s="30"/>
    </x:row>
    <x:row r="227">
      <x:c r="A227" s="30" t="str">
        <x:f>IF(C227="","","FB-"&amp;TEXT(B227,"0000"))</x:f>
      </x:c>
      <x:c r="B227" s="30" t="n">
        <x:v>222</x:v>
      </x:c>
      <x:c r="C227" s="30"/>
      <x:c r="D227" s="31"/>
      <x:c r="E227" s="30"/>
      <x:c r="F227" s="30"/>
      <x:c r="G227" s="30"/>
      <x:c r="H227" s="30"/>
      <x:c r="I227" s="30"/>
      <x:c r="J227" s="30"/>
      <x:c r="K227" s="30"/>
      <x:c r="L227" s="30"/>
      <x:c r="M227" s="30"/>
      <x:c r="N227" s="30"/>
      <x:c r="O227" s="30"/>
      <x:c r="P227" s="30"/>
      <x:c r="Q227" s="30"/>
      <x:c r="R227" s="30"/>
      <x:c r="S227" s="31"/>
      <x:c r="T227" s="30"/>
    </x:row>
    <x:row r="228">
      <x:c r="A228" s="30" t="str">
        <x:f>IF(C228="","","FB-"&amp;TEXT(B228,"0000"))</x:f>
      </x:c>
      <x:c r="B228" s="30" t="n">
        <x:v>223</x:v>
      </x:c>
      <x:c r="C228" s="30"/>
      <x:c r="D228" s="31"/>
      <x:c r="E228" s="30"/>
      <x:c r="F228" s="30"/>
      <x:c r="G228" s="30"/>
      <x:c r="H228" s="30"/>
      <x:c r="I228" s="30"/>
      <x:c r="J228" s="30"/>
      <x:c r="K228" s="30"/>
      <x:c r="L228" s="30"/>
      <x:c r="M228" s="30"/>
      <x:c r="N228" s="30"/>
      <x:c r="O228" s="30"/>
      <x:c r="P228" s="30"/>
      <x:c r="Q228" s="30"/>
      <x:c r="R228" s="30"/>
      <x:c r="S228" s="31"/>
      <x:c r="T228" s="30"/>
    </x:row>
    <x:row r="229">
      <x:c r="A229" s="30" t="str">
        <x:f>IF(C229="","","FB-"&amp;TEXT(B229,"0000"))</x:f>
      </x:c>
      <x:c r="B229" s="30" t="n">
        <x:v>224</x:v>
      </x:c>
      <x:c r="C229" s="30"/>
      <x:c r="D229" s="31"/>
      <x:c r="E229" s="30"/>
      <x:c r="F229" s="30"/>
      <x:c r="G229" s="30"/>
      <x:c r="H229" s="30"/>
      <x:c r="I229" s="30"/>
      <x:c r="J229" s="30"/>
      <x:c r="K229" s="30"/>
      <x:c r="L229" s="30"/>
      <x:c r="M229" s="30"/>
      <x:c r="N229" s="30"/>
      <x:c r="O229" s="30"/>
      <x:c r="P229" s="30"/>
      <x:c r="Q229" s="30"/>
      <x:c r="R229" s="30"/>
      <x:c r="S229" s="31"/>
      <x:c r="T229" s="30"/>
    </x:row>
    <x:row r="230">
      <x:c r="A230" s="30" t="str">
        <x:f>IF(C230="","","FB-"&amp;TEXT(B230,"0000"))</x:f>
      </x:c>
      <x:c r="B230" s="30" t="n">
        <x:v>225</x:v>
      </x:c>
      <x:c r="C230" s="30"/>
      <x:c r="D230" s="31"/>
      <x:c r="E230" s="30"/>
      <x:c r="F230" s="30"/>
      <x:c r="G230" s="30"/>
      <x:c r="H230" s="30"/>
      <x:c r="I230" s="30"/>
      <x:c r="J230" s="30"/>
      <x:c r="K230" s="30"/>
      <x:c r="L230" s="30"/>
      <x:c r="M230" s="30"/>
      <x:c r="N230" s="30"/>
      <x:c r="O230" s="30"/>
      <x:c r="P230" s="30"/>
      <x:c r="Q230" s="30"/>
      <x:c r="R230" s="30"/>
      <x:c r="S230" s="31"/>
      <x:c r="T230" s="30"/>
    </x:row>
    <x:row r="231">
      <x:c r="A231" s="30" t="str">
        <x:f>IF(C231="","","FB-"&amp;TEXT(B231,"0000"))</x:f>
      </x:c>
      <x:c r="B231" s="30" t="n">
        <x:v>226</x:v>
      </x:c>
      <x:c r="C231" s="30"/>
      <x:c r="D231" s="31"/>
      <x:c r="E231" s="30"/>
      <x:c r="F231" s="30"/>
      <x:c r="G231" s="30"/>
      <x:c r="H231" s="30"/>
      <x:c r="I231" s="30"/>
      <x:c r="J231" s="30"/>
      <x:c r="K231" s="30"/>
      <x:c r="L231" s="30"/>
      <x:c r="M231" s="30"/>
      <x:c r="N231" s="30"/>
      <x:c r="O231" s="30"/>
      <x:c r="P231" s="30"/>
      <x:c r="Q231" s="30"/>
      <x:c r="R231" s="30"/>
      <x:c r="S231" s="31"/>
      <x:c r="T231" s="30"/>
    </x:row>
    <x:row r="232">
      <x:c r="A232" s="30" t="str">
        <x:f>IF(C232="","","FB-"&amp;TEXT(B232,"0000"))</x:f>
      </x:c>
      <x:c r="B232" s="30" t="n">
        <x:v>227</x:v>
      </x:c>
      <x:c r="C232" s="30"/>
      <x:c r="D232" s="31"/>
      <x:c r="E232" s="30"/>
      <x:c r="F232" s="30"/>
      <x:c r="G232" s="30"/>
      <x:c r="H232" s="30"/>
      <x:c r="I232" s="30"/>
      <x:c r="J232" s="30"/>
      <x:c r="K232" s="30"/>
      <x:c r="L232" s="30"/>
      <x:c r="M232" s="30"/>
      <x:c r="N232" s="30"/>
      <x:c r="O232" s="30"/>
      <x:c r="P232" s="30"/>
      <x:c r="Q232" s="30"/>
      <x:c r="R232" s="30"/>
      <x:c r="S232" s="31"/>
      <x:c r="T232" s="30"/>
    </x:row>
    <x:row r="233">
      <x:c r="A233" s="30" t="str">
        <x:f>IF(C233="","","FB-"&amp;TEXT(B233,"0000"))</x:f>
      </x:c>
      <x:c r="B233" s="30" t="n">
        <x:v>228</x:v>
      </x:c>
      <x:c r="C233" s="30"/>
      <x:c r="D233" s="31"/>
      <x:c r="E233" s="30"/>
      <x:c r="F233" s="30"/>
      <x:c r="G233" s="30"/>
      <x:c r="H233" s="30"/>
      <x:c r="I233" s="30"/>
      <x:c r="J233" s="30"/>
      <x:c r="K233" s="30"/>
      <x:c r="L233" s="30"/>
      <x:c r="M233" s="30"/>
      <x:c r="N233" s="30"/>
      <x:c r="O233" s="30"/>
      <x:c r="P233" s="30"/>
      <x:c r="Q233" s="30"/>
      <x:c r="R233" s="30"/>
      <x:c r="S233" s="31"/>
      <x:c r="T233" s="30"/>
    </x:row>
    <x:row r="234">
      <x:c r="A234" s="30" t="str">
        <x:f>IF(C234="","","FB-"&amp;TEXT(B234,"0000"))</x:f>
      </x:c>
      <x:c r="B234" s="30" t="n">
        <x:v>229</x:v>
      </x:c>
      <x:c r="C234" s="30"/>
      <x:c r="D234" s="31"/>
      <x:c r="E234" s="30"/>
      <x:c r="F234" s="30"/>
      <x:c r="G234" s="30"/>
      <x:c r="H234" s="30"/>
      <x:c r="I234" s="30"/>
      <x:c r="J234" s="30"/>
      <x:c r="K234" s="30"/>
      <x:c r="L234" s="30"/>
      <x:c r="M234" s="30"/>
      <x:c r="N234" s="30"/>
      <x:c r="O234" s="30"/>
      <x:c r="P234" s="30"/>
      <x:c r="Q234" s="30"/>
      <x:c r="R234" s="30"/>
      <x:c r="S234" s="31"/>
      <x:c r="T234" s="30"/>
    </x:row>
    <x:row r="235">
      <x:c r="A235" s="30" t="str">
        <x:f>IF(C235="","","FB-"&amp;TEXT(B235,"0000"))</x:f>
      </x:c>
      <x:c r="B235" s="30" t="n">
        <x:v>230</x:v>
      </x:c>
      <x:c r="C235" s="30"/>
      <x:c r="D235" s="31"/>
      <x:c r="E235" s="30"/>
      <x:c r="F235" s="30"/>
      <x:c r="G235" s="30"/>
      <x:c r="H235" s="30"/>
      <x:c r="I235" s="30"/>
      <x:c r="J235" s="30"/>
      <x:c r="K235" s="30"/>
      <x:c r="L235" s="30"/>
      <x:c r="M235" s="30"/>
      <x:c r="N235" s="30"/>
      <x:c r="O235" s="30"/>
      <x:c r="P235" s="30"/>
      <x:c r="Q235" s="30"/>
      <x:c r="R235" s="30"/>
      <x:c r="S235" s="31"/>
      <x:c r="T235" s="30"/>
    </x:row>
    <x:row r="236">
      <x:c r="A236" s="30" t="str">
        <x:f>IF(C236="","","FB-"&amp;TEXT(B236,"0000"))</x:f>
      </x:c>
      <x:c r="B236" s="30" t="n">
        <x:v>231</x:v>
      </x:c>
      <x:c r="C236" s="30"/>
      <x:c r="D236" s="31"/>
      <x:c r="E236" s="30"/>
      <x:c r="F236" s="30"/>
      <x:c r="G236" s="30"/>
      <x:c r="H236" s="30"/>
      <x:c r="I236" s="30"/>
      <x:c r="J236" s="30"/>
      <x:c r="K236" s="30"/>
      <x:c r="L236" s="30"/>
      <x:c r="M236" s="30"/>
      <x:c r="N236" s="30"/>
      <x:c r="O236" s="30"/>
      <x:c r="P236" s="30"/>
      <x:c r="Q236" s="30"/>
      <x:c r="R236" s="30"/>
      <x:c r="S236" s="31"/>
      <x:c r="T236" s="30"/>
    </x:row>
    <x:row r="237">
      <x:c r="A237" s="30" t="str">
        <x:f>IF(C237="","","FB-"&amp;TEXT(B237,"0000"))</x:f>
      </x:c>
      <x:c r="B237" s="30" t="n">
        <x:v>232</x:v>
      </x:c>
      <x:c r="C237" s="30"/>
      <x:c r="D237" s="31"/>
      <x:c r="E237" s="30"/>
      <x:c r="F237" s="30"/>
      <x:c r="G237" s="30"/>
      <x:c r="H237" s="30"/>
      <x:c r="I237" s="30"/>
      <x:c r="J237" s="30"/>
      <x:c r="K237" s="30"/>
      <x:c r="L237" s="30"/>
      <x:c r="M237" s="30"/>
      <x:c r="N237" s="30"/>
      <x:c r="O237" s="30"/>
      <x:c r="P237" s="30"/>
      <x:c r="Q237" s="30"/>
      <x:c r="R237" s="30"/>
      <x:c r="S237" s="31"/>
      <x:c r="T237" s="30"/>
    </x:row>
    <x:row r="238">
      <x:c r="A238" s="30" t="str">
        <x:f>IF(C238="","","FB-"&amp;TEXT(B238,"0000"))</x:f>
      </x:c>
      <x:c r="B238" s="30" t="n">
        <x:v>233</x:v>
      </x:c>
      <x:c r="C238" s="30"/>
      <x:c r="D238" s="31"/>
      <x:c r="E238" s="30"/>
      <x:c r="F238" s="30"/>
      <x:c r="G238" s="30"/>
      <x:c r="H238" s="30"/>
      <x:c r="I238" s="30"/>
      <x:c r="J238" s="30"/>
      <x:c r="K238" s="30"/>
      <x:c r="L238" s="30"/>
      <x:c r="M238" s="30"/>
      <x:c r="N238" s="30"/>
      <x:c r="O238" s="30"/>
      <x:c r="P238" s="30"/>
      <x:c r="Q238" s="30"/>
      <x:c r="R238" s="30"/>
      <x:c r="S238" s="31"/>
      <x:c r="T238" s="30"/>
    </x:row>
    <x:row r="239">
      <x:c r="A239" s="30" t="str">
        <x:f>IF(C239="","","FB-"&amp;TEXT(B239,"0000"))</x:f>
      </x:c>
      <x:c r="B239" s="30" t="n">
        <x:v>234</x:v>
      </x:c>
      <x:c r="C239" s="30"/>
      <x:c r="D239" s="31"/>
      <x:c r="E239" s="30"/>
      <x:c r="F239" s="30"/>
      <x:c r="G239" s="30"/>
      <x:c r="H239" s="30"/>
      <x:c r="I239" s="30"/>
      <x:c r="J239" s="30"/>
      <x:c r="K239" s="30"/>
      <x:c r="L239" s="30"/>
      <x:c r="M239" s="30"/>
      <x:c r="N239" s="30"/>
      <x:c r="O239" s="30"/>
      <x:c r="P239" s="30"/>
      <x:c r="Q239" s="30"/>
      <x:c r="R239" s="30"/>
      <x:c r="S239" s="31"/>
      <x:c r="T239" s="30"/>
    </x:row>
    <x:row r="240">
      <x:c r="A240" s="30" t="str">
        <x:f>IF(C240="","","FB-"&amp;TEXT(B240,"0000"))</x:f>
      </x:c>
      <x:c r="B240" s="30" t="n">
        <x:v>235</x:v>
      </x:c>
      <x:c r="C240" s="30"/>
      <x:c r="D240" s="31"/>
      <x:c r="E240" s="30"/>
      <x:c r="F240" s="30"/>
      <x:c r="G240" s="30"/>
      <x:c r="H240" s="30"/>
      <x:c r="I240" s="30"/>
      <x:c r="J240" s="30"/>
      <x:c r="K240" s="30"/>
      <x:c r="L240" s="30"/>
      <x:c r="M240" s="30"/>
      <x:c r="N240" s="30"/>
      <x:c r="O240" s="30"/>
      <x:c r="P240" s="30"/>
      <x:c r="Q240" s="30"/>
      <x:c r="R240" s="30"/>
      <x:c r="S240" s="31"/>
      <x:c r="T240" s="30"/>
    </x:row>
    <x:row r="241">
      <x:c r="A241" s="30" t="str">
        <x:f>IF(C241="","","FB-"&amp;TEXT(B241,"0000"))</x:f>
      </x:c>
      <x:c r="B241" s="30" t="n">
        <x:v>236</x:v>
      </x:c>
      <x:c r="C241" s="30"/>
      <x:c r="D241" s="31"/>
      <x:c r="E241" s="30"/>
      <x:c r="F241" s="30"/>
      <x:c r="G241" s="30"/>
      <x:c r="H241" s="30"/>
      <x:c r="I241" s="30"/>
      <x:c r="J241" s="30"/>
      <x:c r="K241" s="30"/>
      <x:c r="L241" s="30"/>
      <x:c r="M241" s="30"/>
      <x:c r="N241" s="30"/>
      <x:c r="O241" s="30"/>
      <x:c r="P241" s="30"/>
      <x:c r="Q241" s="30"/>
      <x:c r="R241" s="30"/>
      <x:c r="S241" s="31"/>
      <x:c r="T241" s="30"/>
    </x:row>
    <x:row r="242">
      <x:c r="A242" s="30" t="str">
        <x:f>IF(C242="","","FB-"&amp;TEXT(B242,"0000"))</x:f>
      </x:c>
      <x:c r="B242" s="30" t="n">
        <x:v>237</x:v>
      </x:c>
      <x:c r="C242" s="30"/>
      <x:c r="D242" s="31"/>
      <x:c r="E242" s="30"/>
      <x:c r="F242" s="30"/>
      <x:c r="G242" s="30"/>
      <x:c r="H242" s="30"/>
      <x:c r="I242" s="30"/>
      <x:c r="J242" s="30"/>
      <x:c r="K242" s="30"/>
      <x:c r="L242" s="30"/>
      <x:c r="M242" s="30"/>
      <x:c r="N242" s="30"/>
      <x:c r="O242" s="30"/>
      <x:c r="P242" s="30"/>
      <x:c r="Q242" s="30"/>
      <x:c r="R242" s="30"/>
      <x:c r="S242" s="31"/>
      <x:c r="T242" s="30"/>
    </x:row>
    <x:row r="243">
      <x:c r="A243" s="30" t="str">
        <x:f>IF(C243="","","FB-"&amp;TEXT(B243,"0000"))</x:f>
      </x:c>
      <x:c r="B243" s="30" t="n">
        <x:v>238</x:v>
      </x:c>
      <x:c r="C243" s="30"/>
      <x:c r="D243" s="31"/>
      <x:c r="E243" s="30"/>
      <x:c r="F243" s="30"/>
      <x:c r="G243" s="30"/>
      <x:c r="H243" s="30"/>
      <x:c r="I243" s="30"/>
      <x:c r="J243" s="30"/>
      <x:c r="K243" s="30"/>
      <x:c r="L243" s="30"/>
      <x:c r="M243" s="30"/>
      <x:c r="N243" s="30"/>
      <x:c r="O243" s="30"/>
      <x:c r="P243" s="30"/>
      <x:c r="Q243" s="30"/>
      <x:c r="R243" s="30"/>
      <x:c r="S243" s="31"/>
      <x:c r="T243" s="30"/>
    </x:row>
    <x:row r="244">
      <x:c r="A244" s="30" t="str">
        <x:f>IF(C244="","","FB-"&amp;TEXT(B244,"0000"))</x:f>
      </x:c>
      <x:c r="B244" s="30" t="n">
        <x:v>239</x:v>
      </x:c>
      <x:c r="C244" s="30"/>
      <x:c r="D244" s="31"/>
      <x:c r="E244" s="30"/>
      <x:c r="F244" s="30"/>
      <x:c r="G244" s="30"/>
      <x:c r="H244" s="30"/>
      <x:c r="I244" s="30"/>
      <x:c r="J244" s="30"/>
      <x:c r="K244" s="30"/>
      <x:c r="L244" s="30"/>
      <x:c r="M244" s="30"/>
      <x:c r="N244" s="30"/>
      <x:c r="O244" s="30"/>
      <x:c r="P244" s="30"/>
      <x:c r="Q244" s="30"/>
      <x:c r="R244" s="30"/>
      <x:c r="S244" s="31"/>
      <x:c r="T244" s="30"/>
    </x:row>
    <x:row r="245">
      <x:c r="A245" s="30" t="str">
        <x:f>IF(C245="","","FB-"&amp;TEXT(B245,"0000"))</x:f>
      </x:c>
      <x:c r="B245" s="30" t="n">
        <x:v>240</x:v>
      </x:c>
      <x:c r="C245" s="30"/>
      <x:c r="D245" s="31"/>
      <x:c r="E245" s="30"/>
      <x:c r="F245" s="30"/>
      <x:c r="G245" s="30"/>
      <x:c r="H245" s="30"/>
      <x:c r="I245" s="30"/>
      <x:c r="J245" s="30"/>
      <x:c r="K245" s="30"/>
      <x:c r="L245" s="30"/>
      <x:c r="M245" s="30"/>
      <x:c r="N245" s="30"/>
      <x:c r="O245" s="30"/>
      <x:c r="P245" s="30"/>
      <x:c r="Q245" s="30"/>
      <x:c r="R245" s="30"/>
      <x:c r="S245" s="31"/>
      <x:c r="T245" s="30"/>
    </x:row>
    <x:row r="246">
      <x:c r="A246" s="30" t="str">
        <x:f>IF(C246="","","FB-"&amp;TEXT(B246,"0000"))</x:f>
      </x:c>
      <x:c r="B246" s="30" t="n">
        <x:v>241</x:v>
      </x:c>
      <x:c r="C246" s="30"/>
      <x:c r="D246" s="31"/>
      <x:c r="E246" s="30"/>
      <x:c r="F246" s="30"/>
      <x:c r="G246" s="30"/>
      <x:c r="H246" s="30"/>
      <x:c r="I246" s="30"/>
      <x:c r="J246" s="30"/>
      <x:c r="K246" s="30"/>
      <x:c r="L246" s="30"/>
      <x:c r="M246" s="30"/>
      <x:c r="N246" s="30"/>
      <x:c r="O246" s="30"/>
      <x:c r="P246" s="30"/>
      <x:c r="Q246" s="30"/>
      <x:c r="R246" s="30"/>
      <x:c r="S246" s="31"/>
      <x:c r="T246" s="30"/>
    </x:row>
    <x:row r="247">
      <x:c r="A247" s="30" t="str">
        <x:f>IF(C247="","","FB-"&amp;TEXT(B247,"0000"))</x:f>
      </x:c>
      <x:c r="B247" s="30" t="n">
        <x:v>242</x:v>
      </x:c>
      <x:c r="C247" s="30"/>
      <x:c r="D247" s="31"/>
      <x:c r="E247" s="30"/>
      <x:c r="F247" s="30"/>
      <x:c r="G247" s="30"/>
      <x:c r="H247" s="30"/>
      <x:c r="I247" s="30"/>
      <x:c r="J247" s="30"/>
      <x:c r="K247" s="30"/>
      <x:c r="L247" s="30"/>
      <x:c r="M247" s="30"/>
      <x:c r="N247" s="30"/>
      <x:c r="O247" s="30"/>
      <x:c r="P247" s="30"/>
      <x:c r="Q247" s="30"/>
      <x:c r="R247" s="30"/>
      <x:c r="S247" s="31"/>
      <x:c r="T247" s="30"/>
    </x:row>
    <x:row r="248">
      <x:c r="A248" s="30" t="str">
        <x:f>IF(C248="","","FB-"&amp;TEXT(B248,"0000"))</x:f>
      </x:c>
      <x:c r="B248" s="30" t="n">
        <x:v>243</x:v>
      </x:c>
      <x:c r="C248" s="30"/>
      <x:c r="D248" s="31"/>
      <x:c r="E248" s="30"/>
      <x:c r="F248" s="30"/>
      <x:c r="G248" s="30"/>
      <x:c r="H248" s="30"/>
      <x:c r="I248" s="30"/>
      <x:c r="J248" s="30"/>
      <x:c r="K248" s="30"/>
      <x:c r="L248" s="30"/>
      <x:c r="M248" s="30"/>
      <x:c r="N248" s="30"/>
      <x:c r="O248" s="30"/>
      <x:c r="P248" s="30"/>
      <x:c r="Q248" s="30"/>
      <x:c r="R248" s="30"/>
      <x:c r="S248" s="31"/>
      <x:c r="T248" s="30"/>
    </x:row>
    <x:row r="249">
      <x:c r="A249" s="30" t="str">
        <x:f>IF(C249="","","FB-"&amp;TEXT(B249,"0000"))</x:f>
      </x:c>
      <x:c r="B249" s="30" t="n">
        <x:v>244</x:v>
      </x:c>
      <x:c r="C249" s="30"/>
      <x:c r="D249" s="31"/>
      <x:c r="E249" s="30"/>
      <x:c r="F249" s="30"/>
      <x:c r="G249" s="30"/>
      <x:c r="H249" s="30"/>
      <x:c r="I249" s="30"/>
      <x:c r="J249" s="30"/>
      <x:c r="K249" s="30"/>
      <x:c r="L249" s="30"/>
      <x:c r="M249" s="30"/>
      <x:c r="N249" s="30"/>
      <x:c r="O249" s="30"/>
      <x:c r="P249" s="30"/>
      <x:c r="Q249" s="30"/>
      <x:c r="R249" s="30"/>
      <x:c r="S249" s="31"/>
      <x:c r="T249" s="30"/>
    </x:row>
    <x:row r="250">
      <x:c r="A250" s="30" t="str">
        <x:f>IF(C250="","","FB-"&amp;TEXT(B250,"0000"))</x:f>
      </x:c>
      <x:c r="B250" s="30" t="n">
        <x:v>245</x:v>
      </x:c>
      <x:c r="C250" s="30"/>
      <x:c r="D250" s="31"/>
      <x:c r="E250" s="30"/>
      <x:c r="F250" s="30"/>
      <x:c r="G250" s="30"/>
      <x:c r="H250" s="30"/>
      <x:c r="I250" s="30"/>
      <x:c r="J250" s="30"/>
      <x:c r="K250" s="30"/>
      <x:c r="L250" s="30"/>
      <x:c r="M250" s="30"/>
      <x:c r="N250" s="30"/>
      <x:c r="O250" s="30"/>
      <x:c r="P250" s="30"/>
      <x:c r="Q250" s="30"/>
      <x:c r="R250" s="30"/>
      <x:c r="S250" s="31"/>
      <x:c r="T250" s="30"/>
    </x:row>
    <x:row r="251">
      <x:c r="A251" s="30" t="str">
        <x:f>IF(C251="","","FB-"&amp;TEXT(B251,"0000"))</x:f>
      </x:c>
      <x:c r="B251" s="30" t="n">
        <x:v>246</x:v>
      </x:c>
      <x:c r="C251" s="30"/>
      <x:c r="D251" s="31"/>
      <x:c r="E251" s="30"/>
      <x:c r="F251" s="30"/>
      <x:c r="G251" s="30"/>
      <x:c r="H251" s="30"/>
      <x:c r="I251" s="30"/>
      <x:c r="J251" s="30"/>
      <x:c r="K251" s="30"/>
      <x:c r="L251" s="30"/>
      <x:c r="M251" s="30"/>
      <x:c r="N251" s="30"/>
      <x:c r="O251" s="30"/>
      <x:c r="P251" s="30"/>
      <x:c r="Q251" s="30"/>
      <x:c r="R251" s="30"/>
      <x:c r="S251" s="31"/>
      <x:c r="T251" s="30"/>
    </x:row>
    <x:row r="252">
      <x:c r="A252" s="30" t="str">
        <x:f>IF(C252="","","FB-"&amp;TEXT(B252,"0000"))</x:f>
      </x:c>
      <x:c r="B252" s="30" t="n">
        <x:v>247</x:v>
      </x:c>
      <x:c r="C252" s="30"/>
      <x:c r="D252" s="31"/>
      <x:c r="E252" s="30"/>
      <x:c r="F252" s="30"/>
      <x:c r="G252" s="30"/>
      <x:c r="H252" s="30"/>
      <x:c r="I252" s="30"/>
      <x:c r="J252" s="30"/>
      <x:c r="K252" s="30"/>
      <x:c r="L252" s="30"/>
      <x:c r="M252" s="30"/>
      <x:c r="N252" s="30"/>
      <x:c r="O252" s="30"/>
      <x:c r="P252" s="30"/>
      <x:c r="Q252" s="30"/>
      <x:c r="R252" s="30"/>
      <x:c r="S252" s="31"/>
      <x:c r="T252" s="30"/>
    </x:row>
    <x:row r="253">
      <x:c r="A253" s="30" t="str">
        <x:f>IF(C253="","","FB-"&amp;TEXT(B253,"0000"))</x:f>
      </x:c>
      <x:c r="B253" s="30" t="n">
        <x:v>248</x:v>
      </x:c>
      <x:c r="C253" s="30"/>
      <x:c r="D253" s="31"/>
      <x:c r="E253" s="30"/>
      <x:c r="F253" s="30"/>
      <x:c r="G253" s="30"/>
      <x:c r="H253" s="30"/>
      <x:c r="I253" s="30"/>
      <x:c r="J253" s="30"/>
      <x:c r="K253" s="30"/>
      <x:c r="L253" s="30"/>
      <x:c r="M253" s="30"/>
      <x:c r="N253" s="30"/>
      <x:c r="O253" s="30"/>
      <x:c r="P253" s="30"/>
      <x:c r="Q253" s="30"/>
      <x:c r="R253" s="30"/>
      <x:c r="S253" s="31"/>
      <x:c r="T253" s="30"/>
    </x:row>
    <x:row r="254">
      <x:c r="A254" s="30" t="str">
        <x:f>IF(C254="","","FB-"&amp;TEXT(B254,"0000"))</x:f>
      </x:c>
      <x:c r="B254" s="30" t="n">
        <x:v>249</x:v>
      </x:c>
      <x:c r="C254" s="30"/>
      <x:c r="D254" s="31"/>
      <x:c r="E254" s="30"/>
      <x:c r="F254" s="30"/>
      <x:c r="G254" s="30"/>
      <x:c r="H254" s="30"/>
      <x:c r="I254" s="30"/>
      <x:c r="J254" s="30"/>
      <x:c r="K254" s="30"/>
      <x:c r="L254" s="30"/>
      <x:c r="M254" s="30"/>
      <x:c r="N254" s="30"/>
      <x:c r="O254" s="30"/>
      <x:c r="P254" s="30"/>
      <x:c r="Q254" s="30"/>
      <x:c r="R254" s="30"/>
      <x:c r="S254" s="31"/>
      <x:c r="T254" s="30"/>
    </x:row>
    <x:row r="255">
      <x:c r="A255" s="30" t="str">
        <x:f>IF(C255="","","FB-"&amp;TEXT(B255,"0000"))</x:f>
      </x:c>
      <x:c r="B255" s="30" t="n">
        <x:v>250</x:v>
      </x:c>
      <x:c r="C255" s="30"/>
      <x:c r="D255" s="31"/>
      <x:c r="E255" s="30"/>
      <x:c r="F255" s="30"/>
      <x:c r="G255" s="30"/>
      <x:c r="H255" s="30"/>
      <x:c r="I255" s="30"/>
      <x:c r="J255" s="30"/>
      <x:c r="K255" s="30"/>
      <x:c r="L255" s="30"/>
      <x:c r="M255" s="30"/>
      <x:c r="N255" s="30"/>
      <x:c r="O255" s="30"/>
      <x:c r="P255" s="30"/>
      <x:c r="Q255" s="30"/>
      <x:c r="R255" s="30"/>
      <x:c r="S255" s="31"/>
      <x:c r="T255" s="30"/>
    </x:row>
  </x:sheetData>
  <x:mergeCells>
    <x:mergeCell ref="A1:T1"/>
    <x:mergeCell ref="A2:T2"/>
  </x:mergeCells>
  <x:conditionalFormatting sqref="K6:K255">
    <x:cfRule type="expression" dxfId="11" priority="1">
      <x:formula>K6="支持"</x:formula>
    </x:cfRule>
    <x:cfRule type="expression" dxfId="12" priority="2">
      <x:formula>K6="反证"</x:formula>
    </x:cfRule>
    <x:cfRule type="expression" dxfId="13" priority="3">
      <x:formula>K6="部分支持"</x:formula>
    </x:cfRule>
  </x:conditionalFormatting>
  <x:dataValidations count="9">
    <x:dataValidation type="list" sqref="C6:C255">
      <x:formula1>'01_命例主档'!$A$6:$A$55</x:formula1>
    </x:dataValidation>
    <x:dataValidation type="list" sqref="E6:E255">
      <x:formula1>'99_下拉选项'!$X$4:$X$9</x:formula1>
    </x:dataValidation>
    <x:dataValidation type="list" sqref="F6:F255">
      <x:formula1>'99_下拉选项'!$W$4:$W$12</x:formula1>
    </x:dataValidation>
    <x:dataValidation type="list" sqref="I6:I255">
      <x:formula1>'99_下拉选项'!$V$4:$V$11</x:formula1>
    </x:dataValidation>
    <x:dataValidation type="list" sqref="J6:J255">
      <x:formula1>'99_下拉选项'!$L$4:$L$7</x:formula1>
    </x:dataValidation>
    <x:dataValidation type="list" sqref="K6:K255">
      <x:formula1>'99_下拉选项'!$U$4:$U$8</x:formula1>
    </x:dataValidation>
    <x:dataValidation type="list" sqref="M6:M255">
      <x:formula1>'99_下拉选项'!$A$4:$A$21</x:formula1>
    </x:dataValidation>
    <x:dataValidation type="list" sqref="P6:P255">
      <x:formula1>'99_下拉选项'!$H$4:$H$6</x:formula1>
    </x:dataValidation>
    <x:dataValidation type="list" sqref="Q6:Q255">
      <x:formula1>'99_下拉选项'!$AK$4:$AK$6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c20370fb644dd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7" hidden="0" customWidth="1"/>
    <x:col min="3" max="3" width="13" hidden="0" customWidth="1"/>
    <x:col min="4" max="4" width="13" hidden="0" customWidth="1"/>
    <x:col min="5" max="5" width="14" hidden="0" customWidth="1"/>
    <x:col min="6" max="6" width="34" hidden="0" customWidth="1"/>
    <x:col min="7" max="7" width="34" hidden="0" customWidth="1"/>
    <x:col min="8" max="8" width="38" hidden="0" customWidth="1"/>
    <x:col min="9" max="9" width="12" hidden="0" customWidth="1"/>
    <x:col min="10" max="10" width="34" hidden="0" customWidth="1"/>
    <x:col min="11" max="11" width="10" hidden="0" customWidth="1"/>
    <x:col min="12" max="12" width="34" hidden="0" customWidth="1"/>
    <x:col min="13" max="13" width="10" hidden="0" customWidth="1"/>
    <x:col min="14" max="14" width="28" hidden="0" customWidth="1"/>
    <x:col min="15" max="15" width="38" hidden="0" customWidth="1"/>
    <x:col min="16" max="16" width="14" hidden="0" customWidth="1"/>
    <x:col min="17" max="17" width="30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1" hidden="0" customWidth="1"/>
    <x:col min="25" max="25" width="26" hidden="0" customWidth="1"/>
    <x:col min="26" max="26" width="34" hidden="0" customWidth="1"/>
    <x:col min="28" max="28" width="16" hidden="0" customWidth="1"/>
    <x:col min="29" max="29" width="10" hidden="0" customWidth="1"/>
    <x:col min="30" max="30" width="10" hidden="0" customWidth="1"/>
    <x:col min="31" max="31" width="10" hidden="0" customWidth="1"/>
    <x:col min="32" max="32" width="3" hidden="0" customWidth="1"/>
    <x:col min="33" max="33" width="16" hidden="0" customWidth="1"/>
    <x:col min="34" max="34" width="10" hidden="0" customWidth="1"/>
    <x:col min="35" max="35" width="3" hidden="0" customWidth="1"/>
    <x:col min="36" max="36" width="3" hidden="0" customWidth="1"/>
  </x:cols>
  <x:sheetData>
    <x:row r="1">
      <x:c r="A1" s="5" t="str">
        <x:v>真实命例差异与M20/M21回流候选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B1" s="5" t="str">
        <x:v>回归候选摘要</x:v>
      </x:c>
      <x:c r="AC1" s="5"/>
      <x:c r="AD1" s="5"/>
      <x:c r="AE1" s="5"/>
      <x:c r="AF1" s="5"/>
      <x:c r="AG1" s="5"/>
      <x:c r="AH1" s="5"/>
      <x:c r="AI1" s="5"/>
      <x:c r="AJ1" s="5"/>
    </x:row>
    <x:row r="2">
      <x:c r="A2" t="str">
        <x:v>只有能够明确定位到输入、识别、效应、旺衰、组合、格局、病药、用神或输出层的差异，才进入规则回归；现实反馈不等于自动证明命理因果。</x:v>
      </x:c>
    </x:row>
    <x:row r="3">
      <x:c r="AB3" s="45" t="str">
        <x:v>候选总数</x:v>
      </x:c>
      <x:c r="AC3" s="52" t="n">
        <x:f>COUNTIF($C$6:$C$255,"&lt;&gt;")</x:f>
        <x:v>0</x:v>
      </x:c>
      <x:c r="AD3" s="45" t="str">
        <x:v>待建立</x:v>
      </x:c>
      <x:c r="AE3" s="52" t="n">
        <x:f>COUNTIF($R$6:$R$255,"待建立")</x:f>
        <x:v>0</x:v>
      </x:c>
      <x:c r="AG3" s="45" t="str">
        <x:v>进行中</x:v>
      </x:c>
      <x:c r="AH3" s="52" t="n">
        <x:f>COUNTIF($R$6:$R$255,"进行中")</x:f>
        <x:v>0</x:v>
      </x:c>
    </x:row>
    <x:row r="4">
      <x:c r="AB4" s="45" t="str">
        <x:v>已复测</x:v>
      </x:c>
      <x:c r="AC4" s="52" t="n">
        <x:f>COUNTIF($R$6:$R$255,"已复测")</x:f>
        <x:v>0</x:v>
      </x:c>
      <x:c r="AD4" s="45" t="str">
        <x:v>已关闭</x:v>
      </x:c>
      <x:c r="AE4" s="52" t="n">
        <x:f>COUNTIF($R$6:$R$255,"已关闭")</x:f>
        <x:v>0</x:v>
      </x:c>
      <x:c r="AG4" s="45" t="str">
        <x:v>需转M21</x:v>
      </x:c>
      <x:c r="AH4" s="52" t="n">
        <x:f>COUNTIF($X$6:$X$255,"是")</x:f>
        <x:v>0</x:v>
      </x:c>
    </x:row>
    <x:row r="5">
      <x:c r="A5" s="14" t="str">
        <x:v>Regression_ID</x:v>
      </x:c>
      <x:c r="B5" s="14" t="str">
        <x:v>序号</x:v>
      </x:c>
      <x:c r="C5" s="14" t="str">
        <x:v>Case_ID</x:v>
      </x:c>
      <x:c r="D5" s="14" t="str">
        <x:v>Feedback_ID</x:v>
      </x:c>
      <x:c r="E5" s="14" t="str">
        <x:v>差异类型</x:v>
      </x:c>
      <x:c r="F5" s="14" t="str">
        <x:v>预期结构结论</x:v>
      </x:c>
      <x:c r="G5" s="14" t="str">
        <x:v>实际/反馈结果</x:v>
      </x:c>
      <x:c r="H5" s="14" t="str">
        <x:v>差异说明</x:v>
      </x:c>
      <x:c r="I5" s="14" t="str">
        <x:v>根因类型</x:v>
      </x:c>
      <x:c r="J5" s="14" t="str">
        <x:v>根因定位</x:v>
      </x:c>
      <x:c r="K5" s="14" t="str">
        <x:v>目标模块</x:v>
      </x:c>
      <x:c r="L5" s="14" t="str">
        <x:v>目标Rule_ID</x:v>
      </x:c>
      <x:c r="M5" s="14" t="str">
        <x:v>严重度</x:v>
      </x:c>
      <x:c r="N5" s="14" t="str">
        <x:v>影响下游</x:v>
      </x:c>
      <x:c r="O5" s="14" t="str">
        <x:v>修订建议</x:v>
      </x:c>
      <x:c r="P5" s="14" t="str">
        <x:v>回归测试类型</x:v>
      </x:c>
      <x:c r="Q5" s="14" t="str">
        <x:v>拟写M20案例名称</x:v>
      </x:c>
      <x:c r="R5" s="14" t="str">
        <x:v>回归状态</x:v>
      </x:c>
      <x:c r="S5" s="14" t="str">
        <x:v>负责人</x:v>
      </x:c>
      <x:c r="T5" s="14" t="str">
        <x:v>复核人</x:v>
      </x:c>
      <x:c r="U5" s="14" t="str">
        <x:v>创建日期</x:v>
      </x:c>
      <x:c r="V5" s="14" t="str">
        <x:v>截止日期</x:v>
      </x:c>
      <x:c r="W5" s="14" t="str">
        <x:v>复测结果</x:v>
      </x:c>
      <x:c r="X5" s="14" t="str">
        <x:v>是否转M21</x:v>
      </x:c>
      <x:c r="Y5" s="14" t="str">
        <x:v>M21 Change_ID</x:v>
      </x:c>
      <x:c r="Z5" s="14" t="str">
        <x:v>备注</x:v>
      </x:c>
      <x:c r="AB5" s="45" t="str">
        <x:v>高/严重</x:v>
      </x:c>
      <x:c r="AC5" s="52" t="n">
        <x:f>COUNTIF($M$6:$M$255,"高")+COUNTIF($M$6:$M$255,"严重")</x:f>
        <x:v>0</x:v>
      </x:c>
      <x:c r="AD5" s="45" t="str">
        <x:v>有反证</x:v>
      </x:c>
      <x:c r="AE5" s="52" t="n">
        <x:f>COUNTIF($E$6:$E$255,"规则边界")+COUNTIF($E$6:$E$255,"权重问题")</x:f>
        <x:v>0</x:v>
      </x:c>
      <x:c r="AG5" s="45" t="str">
        <x:v>完成率</x:v>
      </x:c>
      <x:c r="AH5" s="56" t="n">
        <x:f>IF($AC$3=0,0,($AC$4+$AE$4)/$AC$3)</x:f>
        <x:v>0</x:v>
      </x:c>
    </x:row>
    <x:row r="6">
      <x:c r="A6" s="30" t="str">
        <x:f>IF(C6="","","RG-"&amp;TEXT(B6,"0000"))</x:f>
      </x:c>
      <x:c r="B6" s="30" t="n">
        <x:v>1</x:v>
      </x:c>
      <x:c r="C6" s="30"/>
      <x:c r="D6" s="30"/>
      <x:c r="E6" s="30"/>
      <x:c r="F6" s="30"/>
      <x:c r="G6" s="30"/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1"/>
      <x:c r="V6" s="31"/>
      <x:c r="W6" s="30"/>
      <x:c r="X6" s="30"/>
      <x:c r="Y6" s="30"/>
      <x:c r="Z6" s="30"/>
    </x:row>
    <x:row r="7">
      <x:c r="A7" s="30" t="str">
        <x:f>IF(C7="","","RG-"&amp;TEXT(B7,"0000"))</x:f>
      </x:c>
      <x:c r="B7" s="30" t="n">
        <x:v>2</x:v>
      </x:c>
      <x:c r="C7" s="30"/>
      <x:c r="D7" s="30"/>
      <x:c r="E7" s="30"/>
      <x:c r="F7" s="30"/>
      <x:c r="G7" s="30"/>
      <x:c r="H7" s="30"/>
      <x:c r="I7" s="30"/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1"/>
      <x:c r="V7" s="31"/>
      <x:c r="W7" s="30"/>
      <x:c r="X7" s="30"/>
      <x:c r="Y7" s="30"/>
      <x:c r="Z7" s="30"/>
    </x:row>
    <x:row r="8">
      <x:c r="A8" s="30" t="str">
        <x:f>IF(C8="","","RG-"&amp;TEXT(B8,"0000"))</x:f>
      </x:c>
      <x:c r="B8" s="30" t="n">
        <x:v>3</x:v>
      </x:c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1"/>
      <x:c r="V8" s="31"/>
      <x:c r="W8" s="30"/>
      <x:c r="X8" s="30"/>
      <x:c r="Y8" s="30"/>
      <x:c r="Z8" s="30"/>
      <x:c r="AB8" s="14" t="str">
        <x:v>差异类型</x:v>
      </x:c>
      <x:c r="AC8" s="14" t="str">
        <x:v>数量</x:v>
      </x:c>
      <x:c r="AD8" s="14" t="str">
        <x:v>占比</x:v>
      </x:c>
    </x:row>
    <x:row r="9">
      <x:c r="A9" s="30" t="str">
        <x:f>IF(C9="","","RG-"&amp;TEXT(B9,"0000"))</x:f>
      </x:c>
      <x:c r="B9" s="30" t="n">
        <x:v>4</x:v>
      </x:c>
      <x:c r="C9" s="30"/>
      <x:c r="D9" s="30"/>
      <x:c r="E9" s="30"/>
      <x:c r="F9" s="30"/>
      <x:c r="G9" s="30"/>
      <x:c r="H9" s="30"/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1"/>
      <x:c r="V9" s="31"/>
      <x:c r="W9" s="30"/>
      <x:c r="X9" s="30"/>
      <x:c r="Y9" s="30"/>
      <x:c r="Z9" s="30"/>
      <x:c r="AB9" t="str">
        <x:v>输入错误</x:v>
      </x:c>
      <x:c r="AC9" t="n">
        <x:f>COUNTIF($E$6:$E$255,AB9)</x:f>
        <x:v>0</x:v>
      </x:c>
      <x:c r="AD9" s="58" t="n">
        <x:f>IF($AC$3=0,0,AC9/$AC$3)</x:f>
        <x:v>0</x:v>
      </x:c>
    </x:row>
    <x:row r="10">
      <x:c r="A10" s="30" t="str">
        <x:f>IF(C10="","","RG-"&amp;TEXT(B10,"0000"))</x:f>
      </x:c>
      <x:c r="B10" s="30" t="n">
        <x:v>5</x:v>
      </x:c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1"/>
      <x:c r="V10" s="31"/>
      <x:c r="W10" s="30"/>
      <x:c r="X10" s="30"/>
      <x:c r="Y10" s="30"/>
      <x:c r="Z10" s="30"/>
      <x:c r="AB10" t="str">
        <x:v>规则边界</x:v>
      </x:c>
      <x:c r="AC10" t="n">
        <x:f>COUNTIF($E$6:$E$255,AB10)</x:f>
        <x:v>0</x:v>
      </x:c>
      <x:c r="AD10" s="58" t="n">
        <x:f>IF($AC$3=0,0,AC10/$AC$3)</x:f>
        <x:v>0</x:v>
      </x:c>
    </x:row>
    <x:row r="11">
      <x:c r="A11" s="30" t="str">
        <x:f>IF(C11="","","RG-"&amp;TEXT(B11,"0000"))</x:f>
      </x:c>
      <x:c r="B11" s="30" t="n">
        <x:v>6</x:v>
      </x:c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1"/>
      <x:c r="V11" s="31"/>
      <x:c r="W11" s="30"/>
      <x:c r="X11" s="30"/>
      <x:c r="Y11" s="30"/>
      <x:c r="Z11" s="30"/>
      <x:c r="AB11" t="str">
        <x:v>权重问题</x:v>
      </x:c>
      <x:c r="AC11" t="n">
        <x:f>COUNTIF($E$6:$E$255,AB11)</x:f>
        <x:v>0</x:v>
      </x:c>
      <x:c r="AD11" s="58" t="n">
        <x:f>IF($AC$3=0,0,AC11/$AC$3)</x:f>
        <x:v>0</x:v>
      </x:c>
    </x:row>
    <x:row r="12">
      <x:c r="A12" s="30" t="str">
        <x:f>IF(C12="","","RG-"&amp;TEXT(B12,"0000"))</x:f>
      </x:c>
      <x:c r="B12" s="30" t="n">
        <x:v>7</x:v>
      </x:c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1"/>
      <x:c r="V12" s="31"/>
      <x:c r="W12" s="30"/>
      <x:c r="X12" s="30"/>
      <x:c r="Y12" s="30"/>
      <x:c r="Z12" s="30"/>
      <x:c r="AB12" t="str">
        <x:v>关系效应</x:v>
      </x:c>
      <x:c r="AC12" t="n">
        <x:f>COUNTIF($E$6:$E$255,AB12)</x:f>
        <x:v>0</x:v>
      </x:c>
      <x:c r="AD12" s="58" t="n">
        <x:f>IF($AC$3=0,0,AC12/$AC$3)</x:f>
        <x:v>0</x:v>
      </x:c>
    </x:row>
    <x:row r="13">
      <x:c r="A13" s="30" t="str">
        <x:f>IF(C13="","","RG-"&amp;TEXT(B13,"0000"))</x:f>
      </x:c>
      <x:c r="B13" s="30" t="n">
        <x:v>8</x:v>
      </x:c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1"/>
      <x:c r="V13" s="31"/>
      <x:c r="W13" s="30"/>
      <x:c r="X13" s="30"/>
      <x:c r="Y13" s="30"/>
      <x:c r="Z13" s="30"/>
      <x:c r="AB13" t="str">
        <x:v>组合成立</x:v>
      </x:c>
      <x:c r="AC13" t="n">
        <x:f>COUNTIF($E$6:$E$255,AB13)</x:f>
        <x:v>0</x:v>
      </x:c>
      <x:c r="AD13" s="58" t="n">
        <x:f>IF($AC$3=0,0,AC13/$AC$3)</x:f>
        <x:v>0</x:v>
      </x:c>
    </x:row>
    <x:row r="14">
      <x:c r="A14" s="30" t="str">
        <x:f>IF(C14="","","RG-"&amp;TEXT(B14,"0000"))</x:f>
      </x:c>
      <x:c r="B14" s="30" t="n">
        <x:v>9</x:v>
      </x:c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1"/>
      <x:c r="V14" s="31"/>
      <x:c r="W14" s="30"/>
      <x:c r="X14" s="30"/>
      <x:c r="Y14" s="30"/>
      <x:c r="Z14" s="30"/>
      <x:c r="AB14" t="str">
        <x:v>格局判断</x:v>
      </x:c>
      <x:c r="AC14" t="n">
        <x:f>COUNTIF($E$6:$E$255,AB14)</x:f>
        <x:v>0</x:v>
      </x:c>
      <x:c r="AD14" s="58" t="n">
        <x:f>IF($AC$3=0,0,AC14/$AC$3)</x:f>
        <x:v>0</x:v>
      </x:c>
    </x:row>
    <x:row r="15">
      <x:c r="A15" s="30" t="str">
        <x:f>IF(C15="","","RG-"&amp;TEXT(B15,"0000"))</x:f>
      </x:c>
      <x:c r="B15" s="30" t="n">
        <x:v>10</x:v>
      </x:c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1"/>
      <x:c r="V15" s="31"/>
      <x:c r="W15" s="30"/>
      <x:c r="X15" s="30"/>
      <x:c r="Y15" s="30"/>
      <x:c r="Z15" s="30"/>
      <x:c r="AB15" t="str">
        <x:v>病药判断</x:v>
      </x:c>
      <x:c r="AC15" t="n">
        <x:f>COUNTIF($E$6:$E$255,AB15)</x:f>
        <x:v>0</x:v>
      </x:c>
      <x:c r="AD15" s="58" t="n">
        <x:f>IF($AC$3=0,0,AC15/$AC$3)</x:f>
        <x:v>0</x:v>
      </x:c>
    </x:row>
    <x:row r="16">
      <x:c r="A16" s="30" t="str">
        <x:f>IF(C16="","","RG-"&amp;TEXT(B16,"0000"))</x:f>
      </x:c>
      <x:c r="B16" s="30" t="n">
        <x:v>11</x:v>
      </x:c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1"/>
      <x:c r="V16" s="31"/>
      <x:c r="W16" s="30"/>
      <x:c r="X16" s="30"/>
      <x:c r="Y16" s="30"/>
      <x:c r="Z16" s="30"/>
      <x:c r="AB16" t="str">
        <x:v>用神冲突</x:v>
      </x:c>
      <x:c r="AC16" t="n">
        <x:f>COUNTIF($E$6:$E$255,AB16)</x:f>
        <x:v>0</x:v>
      </x:c>
      <x:c r="AD16" s="58" t="n">
        <x:f>IF($AC$3=0,0,AC16/$AC$3)</x:f>
        <x:v>0</x:v>
      </x:c>
    </x:row>
    <x:row r="17">
      <x:c r="A17" s="30" t="str">
        <x:f>IF(C17="","","RG-"&amp;TEXT(B17,"0000"))</x:f>
      </x:c>
      <x:c r="B17" s="30" t="n">
        <x:v>12</x:v>
      </x:c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1"/>
      <x:c r="V17" s="31"/>
      <x:c r="W17" s="30"/>
      <x:c r="X17" s="30"/>
      <x:c r="Y17" s="30"/>
      <x:c r="Z17" s="30"/>
      <x:c r="AB17" t="str">
        <x:v>输出表达</x:v>
      </x:c>
      <x:c r="AC17" t="n">
        <x:f>COUNTIF($E$6:$E$255,AB17)</x:f>
        <x:v>0</x:v>
      </x:c>
      <x:c r="AD17" s="58" t="n">
        <x:f>IF($AC$3=0,0,AC17/$AC$3)</x:f>
        <x:v>0</x:v>
      </x:c>
    </x:row>
    <x:row r="18">
      <x:c r="A18" s="30" t="str">
        <x:f>IF(C18="","","RG-"&amp;TEXT(B18,"0000"))</x:f>
      </x:c>
      <x:c r="B18" s="30" t="n">
        <x:v>13</x:v>
      </x:c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1"/>
      <x:c r="V18" s="31"/>
      <x:c r="W18" s="30"/>
      <x:c r="X18" s="30"/>
      <x:c r="Y18" s="30"/>
      <x:c r="Z18" s="30"/>
      <x:c r="AB18" t="str">
        <x:v>动态影响</x:v>
      </x:c>
      <x:c r="AC18" t="n">
        <x:f>COUNTIF($E$6:$E$255,AB18)</x:f>
        <x:v>0</x:v>
      </x:c>
      <x:c r="AD18" s="58" t="n">
        <x:f>IF($AC$3=0,0,AC18/$AC$3)</x:f>
        <x:v>0</x:v>
      </x:c>
    </x:row>
    <x:row r="19">
      <x:c r="A19" s="30" t="str">
        <x:f>IF(C19="","","RG-"&amp;TEXT(B19,"0000"))</x:f>
      </x:c>
      <x:c r="B19" s="30" t="n">
        <x:v>14</x:v>
      </x:c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1"/>
      <x:c r="V19" s="31"/>
      <x:c r="W19" s="30"/>
      <x:c r="X19" s="30"/>
      <x:c r="Y19" s="30"/>
      <x:c r="Z19" s="30"/>
      <x:c r="AB19" t="str">
        <x:v>资料不足</x:v>
      </x:c>
      <x:c r="AC19" t="n">
        <x:f>COUNTIF($E$6:$E$255,AB19)</x:f>
        <x:v>0</x:v>
      </x:c>
      <x:c r="AD19" s="58" t="n">
        <x:f>IF($AC$3=0,0,AC19/$AC$3)</x:f>
        <x:v>0</x:v>
      </x:c>
    </x:row>
    <x:row r="20">
      <x:c r="A20" s="30" t="str">
        <x:f>IF(C20="","","RG-"&amp;TEXT(B20,"0000"))</x:f>
      </x:c>
      <x:c r="B20" s="30" t="n">
        <x:v>15</x:v>
      </x:c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1"/>
      <x:c r="V20" s="31"/>
      <x:c r="W20" s="30"/>
      <x:c r="X20" s="30"/>
      <x:c r="Y20" s="30"/>
      <x:c r="Z20" s="30"/>
      <x:c r="AB20" t="str">
        <x:v>无差异</x:v>
      </x:c>
      <x:c r="AC20" t="n">
        <x:f>COUNTIF($E$6:$E$255,AB20)</x:f>
        <x:v>0</x:v>
      </x:c>
      <x:c r="AD20" s="58" t="n">
        <x:f>IF($AC$3=0,0,AC20/$AC$3)</x:f>
        <x:v>0</x:v>
      </x:c>
    </x:row>
    <x:row r="21">
      <x:c r="A21" s="30" t="str">
        <x:f>IF(C21="","","RG-"&amp;TEXT(B21,"0000"))</x:f>
      </x:c>
      <x:c r="B21" s="30" t="n">
        <x:v>16</x:v>
      </x:c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1"/>
      <x:c r="V21" s="31"/>
      <x:c r="W21" s="30"/>
      <x:c r="X21" s="30"/>
      <x:c r="Y21" s="30"/>
      <x:c r="Z21" s="30"/>
      <x:c r="AB21" t="str">
        <x:v>其他</x:v>
      </x:c>
      <x:c r="AC21" t="n">
        <x:f>COUNTIF($E$6:$E$255,AB21)</x:f>
        <x:v>0</x:v>
      </x:c>
      <x:c r="AD21" s="58" t="n">
        <x:f>IF($AC$3=0,0,AC21/$AC$3)</x:f>
        <x:v>0</x:v>
      </x:c>
    </x:row>
    <x:row r="22">
      <x:c r="A22" s="30" t="str">
        <x:f>IF(C22="","","RG-"&amp;TEXT(B22,"0000"))</x:f>
      </x:c>
      <x:c r="B22" s="30" t="n">
        <x:v>17</x:v>
      </x:c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1"/>
      <x:c r="V22" s="31"/>
      <x:c r="W22" s="30"/>
      <x:c r="X22" s="30"/>
      <x:c r="Y22" s="30"/>
      <x:c r="Z22" s="30"/>
    </x:row>
    <x:row r="23">
      <x:c r="A23" s="30" t="str">
        <x:f>IF(C23="","","RG-"&amp;TEXT(B23,"0000"))</x:f>
      </x:c>
      <x:c r="B23" s="30" t="n">
        <x:v>18</x:v>
      </x:c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1"/>
      <x:c r="V23" s="31"/>
      <x:c r="W23" s="30"/>
      <x:c r="X23" s="30"/>
      <x:c r="Y23" s="30"/>
      <x:c r="Z23" s="30"/>
    </x:row>
    <x:row r="24">
      <x:c r="A24" s="30" t="str">
        <x:f>IF(C24="","","RG-"&amp;TEXT(B24,"0000"))</x:f>
      </x:c>
      <x:c r="B24" s="30" t="n">
        <x:v>19</x:v>
      </x:c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1"/>
      <x:c r="V24" s="31"/>
      <x:c r="W24" s="30"/>
      <x:c r="X24" s="30"/>
      <x:c r="Y24" s="30"/>
      <x:c r="Z24" s="30"/>
    </x:row>
    <x:row r="25">
      <x:c r="A25" s="30" t="str">
        <x:f>IF(C25="","","RG-"&amp;TEXT(B25,"0000"))</x:f>
      </x:c>
      <x:c r="B25" s="30" t="n">
        <x:v>20</x:v>
      </x:c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1"/>
      <x:c r="V25" s="31"/>
      <x:c r="W25" s="30"/>
      <x:c r="X25" s="30"/>
      <x:c r="Y25" s="30"/>
      <x:c r="Z25" s="30"/>
    </x:row>
    <x:row r="26">
      <x:c r="A26" s="30" t="str">
        <x:f>IF(C26="","","RG-"&amp;TEXT(B26,"0000"))</x:f>
      </x:c>
      <x:c r="B26" s="30" t="n">
        <x:v>21</x:v>
      </x:c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1"/>
      <x:c r="V26" s="31"/>
      <x:c r="W26" s="30"/>
      <x:c r="X26" s="30"/>
      <x:c r="Y26" s="30"/>
      <x:c r="Z26" s="30"/>
    </x:row>
    <x:row r="27">
      <x:c r="A27" s="30" t="str">
        <x:f>IF(C27="","","RG-"&amp;TEXT(B27,"0000"))</x:f>
      </x:c>
      <x:c r="B27" s="30" t="n">
        <x:v>22</x:v>
      </x:c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1"/>
      <x:c r="V27" s="31"/>
      <x:c r="W27" s="30"/>
      <x:c r="X27" s="30"/>
      <x:c r="Y27" s="30"/>
      <x:c r="Z27" s="30"/>
    </x:row>
    <x:row r="28">
      <x:c r="A28" s="30" t="str">
        <x:f>IF(C28="","","RG-"&amp;TEXT(B28,"0000"))</x:f>
      </x:c>
      <x:c r="B28" s="30" t="n">
        <x:v>23</x:v>
      </x:c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1"/>
      <x:c r="V28" s="31"/>
      <x:c r="W28" s="30"/>
      <x:c r="X28" s="30"/>
      <x:c r="Y28" s="30"/>
      <x:c r="Z28" s="30"/>
    </x:row>
    <x:row r="29">
      <x:c r="A29" s="30" t="str">
        <x:f>IF(C29="","","RG-"&amp;TEXT(B29,"0000"))</x:f>
      </x:c>
      <x:c r="B29" s="30" t="n">
        <x:v>24</x:v>
      </x:c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1"/>
      <x:c r="V29" s="31"/>
      <x:c r="W29" s="30"/>
      <x:c r="X29" s="30"/>
      <x:c r="Y29" s="30"/>
      <x:c r="Z29" s="30"/>
    </x:row>
    <x:row r="30">
      <x:c r="A30" s="30" t="str">
        <x:f>IF(C30="","","RG-"&amp;TEXT(B30,"0000"))</x:f>
      </x:c>
      <x:c r="B30" s="30" t="n">
        <x:v>25</x:v>
      </x:c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1"/>
      <x:c r="V30" s="31"/>
      <x:c r="W30" s="30"/>
      <x:c r="X30" s="30"/>
      <x:c r="Y30" s="30"/>
      <x:c r="Z30" s="30"/>
    </x:row>
    <x:row r="31">
      <x:c r="A31" s="30" t="str">
        <x:f>IF(C31="","","RG-"&amp;TEXT(B31,"0000"))</x:f>
      </x:c>
      <x:c r="B31" s="30" t="n">
        <x:v>26</x:v>
      </x:c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1"/>
      <x:c r="V31" s="31"/>
      <x:c r="W31" s="30"/>
      <x:c r="X31" s="30"/>
      <x:c r="Y31" s="30"/>
      <x:c r="Z31" s="30"/>
    </x:row>
    <x:row r="32">
      <x:c r="A32" s="30" t="str">
        <x:f>IF(C32="","","RG-"&amp;TEXT(B32,"0000"))</x:f>
      </x:c>
      <x:c r="B32" s="30" t="n">
        <x:v>27</x:v>
      </x:c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1"/>
      <x:c r="V32" s="31"/>
      <x:c r="W32" s="30"/>
      <x:c r="X32" s="30"/>
      <x:c r="Y32" s="30"/>
      <x:c r="Z32" s="30"/>
    </x:row>
    <x:row r="33">
      <x:c r="A33" s="30" t="str">
        <x:f>IF(C33="","","RG-"&amp;TEXT(B33,"0000"))</x:f>
      </x:c>
      <x:c r="B33" s="30" t="n">
        <x:v>28</x:v>
      </x:c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1"/>
      <x:c r="V33" s="31"/>
      <x:c r="W33" s="30"/>
      <x:c r="X33" s="30"/>
      <x:c r="Y33" s="30"/>
      <x:c r="Z33" s="30"/>
    </x:row>
    <x:row r="34">
      <x:c r="A34" s="30" t="str">
        <x:f>IF(C34="","","RG-"&amp;TEXT(B34,"0000"))</x:f>
      </x:c>
      <x:c r="B34" s="30" t="n">
        <x:v>29</x:v>
      </x:c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1"/>
      <x:c r="V34" s="31"/>
      <x:c r="W34" s="30"/>
      <x:c r="X34" s="30"/>
      <x:c r="Y34" s="30"/>
      <x:c r="Z34" s="30"/>
    </x:row>
    <x:row r="35">
      <x:c r="A35" s="30" t="str">
        <x:f>IF(C35="","","RG-"&amp;TEXT(B35,"0000"))</x:f>
      </x:c>
      <x:c r="B35" s="30" t="n">
        <x:v>30</x:v>
      </x:c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1"/>
      <x:c r="V35" s="31"/>
      <x:c r="W35" s="30"/>
      <x:c r="X35" s="30"/>
      <x:c r="Y35" s="30"/>
      <x:c r="Z35" s="30"/>
    </x:row>
    <x:row r="36">
      <x:c r="A36" s="30" t="str">
        <x:f>IF(C36="","","RG-"&amp;TEXT(B36,"0000"))</x:f>
      </x:c>
      <x:c r="B36" s="30" t="n">
        <x:v>31</x:v>
      </x:c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1"/>
      <x:c r="V36" s="31"/>
      <x:c r="W36" s="30"/>
      <x:c r="X36" s="30"/>
      <x:c r="Y36" s="30"/>
      <x:c r="Z36" s="30"/>
    </x:row>
    <x:row r="37">
      <x:c r="A37" s="30" t="str">
        <x:f>IF(C37="","","RG-"&amp;TEXT(B37,"0000"))</x:f>
      </x:c>
      <x:c r="B37" s="30" t="n">
        <x:v>32</x:v>
      </x:c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1"/>
      <x:c r="V37" s="31"/>
      <x:c r="W37" s="30"/>
      <x:c r="X37" s="30"/>
      <x:c r="Y37" s="30"/>
      <x:c r="Z37" s="30"/>
    </x:row>
    <x:row r="38">
      <x:c r="A38" s="30" t="str">
        <x:f>IF(C38="","","RG-"&amp;TEXT(B38,"0000"))</x:f>
      </x:c>
      <x:c r="B38" s="30" t="n">
        <x:v>33</x:v>
      </x:c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1"/>
      <x:c r="V38" s="31"/>
      <x:c r="W38" s="30"/>
      <x:c r="X38" s="30"/>
      <x:c r="Y38" s="30"/>
      <x:c r="Z38" s="30"/>
    </x:row>
    <x:row r="39">
      <x:c r="A39" s="30" t="str">
        <x:f>IF(C39="","","RG-"&amp;TEXT(B39,"0000"))</x:f>
      </x:c>
      <x:c r="B39" s="30" t="n">
        <x:v>34</x:v>
      </x:c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1"/>
      <x:c r="V39" s="31"/>
      <x:c r="W39" s="30"/>
      <x:c r="X39" s="30"/>
      <x:c r="Y39" s="30"/>
      <x:c r="Z39" s="30"/>
    </x:row>
    <x:row r="40">
      <x:c r="A40" s="30" t="str">
        <x:f>IF(C40="","","RG-"&amp;TEXT(B40,"0000"))</x:f>
      </x:c>
      <x:c r="B40" s="30" t="n">
        <x:v>35</x:v>
      </x:c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1"/>
      <x:c r="V40" s="31"/>
      <x:c r="W40" s="30"/>
      <x:c r="X40" s="30"/>
      <x:c r="Y40" s="30"/>
      <x:c r="Z40" s="30"/>
    </x:row>
    <x:row r="41">
      <x:c r="A41" s="30" t="str">
        <x:f>IF(C41="","","RG-"&amp;TEXT(B41,"0000"))</x:f>
      </x:c>
      <x:c r="B41" s="30" t="n">
        <x:v>36</x:v>
      </x:c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1"/>
      <x:c r="V41" s="31"/>
      <x:c r="W41" s="30"/>
      <x:c r="X41" s="30"/>
      <x:c r="Y41" s="30"/>
      <x:c r="Z41" s="30"/>
    </x:row>
    <x:row r="42">
      <x:c r="A42" s="30" t="str">
        <x:f>IF(C42="","","RG-"&amp;TEXT(B42,"0000"))</x:f>
      </x:c>
      <x:c r="B42" s="30" t="n">
        <x:v>37</x:v>
      </x:c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1"/>
      <x:c r="V42" s="31"/>
      <x:c r="W42" s="30"/>
      <x:c r="X42" s="30"/>
      <x:c r="Y42" s="30"/>
      <x:c r="Z42" s="30"/>
    </x:row>
    <x:row r="43">
      <x:c r="A43" s="30" t="str">
        <x:f>IF(C43="","","RG-"&amp;TEXT(B43,"0000"))</x:f>
      </x:c>
      <x:c r="B43" s="30" t="n">
        <x:v>38</x:v>
      </x:c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1"/>
      <x:c r="V43" s="31"/>
      <x:c r="W43" s="30"/>
      <x:c r="X43" s="30"/>
      <x:c r="Y43" s="30"/>
      <x:c r="Z43" s="30"/>
    </x:row>
    <x:row r="44">
      <x:c r="A44" s="30" t="str">
        <x:f>IF(C44="","","RG-"&amp;TEXT(B44,"0000"))</x:f>
      </x:c>
      <x:c r="B44" s="30" t="n">
        <x:v>39</x:v>
      </x:c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1"/>
      <x:c r="V44" s="31"/>
      <x:c r="W44" s="30"/>
      <x:c r="X44" s="30"/>
      <x:c r="Y44" s="30"/>
      <x:c r="Z44" s="30"/>
    </x:row>
    <x:row r="45">
      <x:c r="A45" s="30" t="str">
        <x:f>IF(C45="","","RG-"&amp;TEXT(B45,"0000"))</x:f>
      </x:c>
      <x:c r="B45" s="30" t="n">
        <x:v>40</x:v>
      </x:c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1"/>
      <x:c r="V45" s="31"/>
      <x:c r="W45" s="30"/>
      <x:c r="X45" s="30"/>
      <x:c r="Y45" s="30"/>
      <x:c r="Z45" s="30"/>
    </x:row>
    <x:row r="46">
      <x:c r="A46" s="30" t="str">
        <x:f>IF(C46="","","RG-"&amp;TEXT(B46,"0000"))</x:f>
      </x:c>
      <x:c r="B46" s="30" t="n">
        <x:v>41</x:v>
      </x:c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1"/>
      <x:c r="V46" s="31"/>
      <x:c r="W46" s="30"/>
      <x:c r="X46" s="30"/>
      <x:c r="Y46" s="30"/>
      <x:c r="Z46" s="30"/>
    </x:row>
    <x:row r="47">
      <x:c r="A47" s="30" t="str">
        <x:f>IF(C47="","","RG-"&amp;TEXT(B47,"0000"))</x:f>
      </x:c>
      <x:c r="B47" s="30" t="n">
        <x:v>42</x:v>
      </x:c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1"/>
      <x:c r="V47" s="31"/>
      <x:c r="W47" s="30"/>
      <x:c r="X47" s="30"/>
      <x:c r="Y47" s="30"/>
      <x:c r="Z47" s="30"/>
    </x:row>
    <x:row r="48">
      <x:c r="A48" s="30" t="str">
        <x:f>IF(C48="","","RG-"&amp;TEXT(B48,"0000"))</x:f>
      </x:c>
      <x:c r="B48" s="30" t="n">
        <x:v>43</x:v>
      </x:c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1"/>
      <x:c r="V48" s="31"/>
      <x:c r="W48" s="30"/>
      <x:c r="X48" s="30"/>
      <x:c r="Y48" s="30"/>
      <x:c r="Z48" s="30"/>
    </x:row>
    <x:row r="49">
      <x:c r="A49" s="30" t="str">
        <x:f>IF(C49="","","RG-"&amp;TEXT(B49,"0000"))</x:f>
      </x:c>
      <x:c r="B49" s="30" t="n">
        <x:v>44</x:v>
      </x:c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1"/>
      <x:c r="V49" s="31"/>
      <x:c r="W49" s="30"/>
      <x:c r="X49" s="30"/>
      <x:c r="Y49" s="30"/>
      <x:c r="Z49" s="30"/>
    </x:row>
    <x:row r="50">
      <x:c r="A50" s="30" t="str">
        <x:f>IF(C50="","","RG-"&amp;TEXT(B50,"0000"))</x:f>
      </x:c>
      <x:c r="B50" s="30" t="n">
        <x:v>45</x:v>
      </x:c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1"/>
      <x:c r="V50" s="31"/>
      <x:c r="W50" s="30"/>
      <x:c r="X50" s="30"/>
      <x:c r="Y50" s="30"/>
      <x:c r="Z50" s="30"/>
    </x:row>
    <x:row r="51">
      <x:c r="A51" s="30" t="str">
        <x:f>IF(C51="","","RG-"&amp;TEXT(B51,"0000"))</x:f>
      </x:c>
      <x:c r="B51" s="30" t="n">
        <x:v>46</x:v>
      </x:c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1"/>
      <x:c r="V51" s="31"/>
      <x:c r="W51" s="30"/>
      <x:c r="X51" s="30"/>
      <x:c r="Y51" s="30"/>
      <x:c r="Z51" s="30"/>
    </x:row>
    <x:row r="52">
      <x:c r="A52" s="30" t="str">
        <x:f>IF(C52="","","RG-"&amp;TEXT(B52,"0000"))</x:f>
      </x:c>
      <x:c r="B52" s="30" t="n">
        <x:v>47</x:v>
      </x:c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1"/>
      <x:c r="V52" s="31"/>
      <x:c r="W52" s="30"/>
      <x:c r="X52" s="30"/>
      <x:c r="Y52" s="30"/>
      <x:c r="Z52" s="30"/>
    </x:row>
    <x:row r="53">
      <x:c r="A53" s="30" t="str">
        <x:f>IF(C53="","","RG-"&amp;TEXT(B53,"0000"))</x:f>
      </x:c>
      <x:c r="B53" s="30" t="n">
        <x:v>48</x:v>
      </x:c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1"/>
      <x:c r="V53" s="31"/>
      <x:c r="W53" s="30"/>
      <x:c r="X53" s="30"/>
      <x:c r="Y53" s="30"/>
      <x:c r="Z53" s="30"/>
    </x:row>
    <x:row r="54">
      <x:c r="A54" s="30" t="str">
        <x:f>IF(C54="","","RG-"&amp;TEXT(B54,"0000"))</x:f>
      </x:c>
      <x:c r="B54" s="30" t="n">
        <x:v>49</x:v>
      </x:c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1"/>
      <x:c r="V54" s="31"/>
      <x:c r="W54" s="30"/>
      <x:c r="X54" s="30"/>
      <x:c r="Y54" s="30"/>
      <x:c r="Z54" s="30"/>
    </x:row>
    <x:row r="55">
      <x:c r="A55" s="30" t="str">
        <x:f>IF(C55="","","RG-"&amp;TEXT(B55,"0000"))</x:f>
      </x:c>
      <x:c r="B55" s="30" t="n">
        <x:v>50</x:v>
      </x:c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1"/>
      <x:c r="V55" s="31"/>
      <x:c r="W55" s="30"/>
      <x:c r="X55" s="30"/>
      <x:c r="Y55" s="30"/>
      <x:c r="Z55" s="30"/>
    </x:row>
    <x:row r="56">
      <x:c r="A56" s="30" t="str">
        <x:f>IF(C56="","","RG-"&amp;TEXT(B56,"0000"))</x:f>
      </x:c>
      <x:c r="B56" s="30" t="n">
        <x:v>51</x:v>
      </x:c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1"/>
      <x:c r="V56" s="31"/>
      <x:c r="W56" s="30"/>
      <x:c r="X56" s="30"/>
      <x:c r="Y56" s="30"/>
      <x:c r="Z56" s="30"/>
    </x:row>
    <x:row r="57">
      <x:c r="A57" s="30" t="str">
        <x:f>IF(C57="","","RG-"&amp;TEXT(B57,"0000"))</x:f>
      </x:c>
      <x:c r="B57" s="30" t="n">
        <x:v>52</x:v>
      </x:c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1"/>
      <x:c r="V57" s="31"/>
      <x:c r="W57" s="30"/>
      <x:c r="X57" s="30"/>
      <x:c r="Y57" s="30"/>
      <x:c r="Z57" s="30"/>
    </x:row>
    <x:row r="58">
      <x:c r="A58" s="30" t="str">
        <x:f>IF(C58="","","RG-"&amp;TEXT(B58,"0000"))</x:f>
      </x:c>
      <x:c r="B58" s="30" t="n">
        <x:v>53</x:v>
      </x:c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1"/>
      <x:c r="V58" s="31"/>
      <x:c r="W58" s="30"/>
      <x:c r="X58" s="30"/>
      <x:c r="Y58" s="30"/>
      <x:c r="Z58" s="30"/>
    </x:row>
    <x:row r="59">
      <x:c r="A59" s="30" t="str">
        <x:f>IF(C59="","","RG-"&amp;TEXT(B59,"0000"))</x:f>
      </x:c>
      <x:c r="B59" s="30" t="n">
        <x:v>54</x:v>
      </x:c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1"/>
      <x:c r="V59" s="31"/>
      <x:c r="W59" s="30"/>
      <x:c r="X59" s="30"/>
      <x:c r="Y59" s="30"/>
      <x:c r="Z59" s="30"/>
    </x:row>
    <x:row r="60">
      <x:c r="A60" s="30" t="str">
        <x:f>IF(C60="","","RG-"&amp;TEXT(B60,"0000"))</x:f>
      </x:c>
      <x:c r="B60" s="30" t="n">
        <x:v>55</x:v>
      </x:c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1"/>
      <x:c r="V60" s="31"/>
      <x:c r="W60" s="30"/>
      <x:c r="X60" s="30"/>
      <x:c r="Y60" s="30"/>
      <x:c r="Z60" s="30"/>
    </x:row>
    <x:row r="61">
      <x:c r="A61" s="30" t="str">
        <x:f>IF(C61="","","RG-"&amp;TEXT(B61,"0000"))</x:f>
      </x:c>
      <x:c r="B61" s="30" t="n">
        <x:v>56</x:v>
      </x:c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1"/>
      <x:c r="V61" s="31"/>
      <x:c r="W61" s="30"/>
      <x:c r="X61" s="30"/>
      <x:c r="Y61" s="30"/>
      <x:c r="Z61" s="30"/>
    </x:row>
    <x:row r="62">
      <x:c r="A62" s="30" t="str">
        <x:f>IF(C62="","","RG-"&amp;TEXT(B62,"0000"))</x:f>
      </x:c>
      <x:c r="B62" s="30" t="n">
        <x:v>57</x:v>
      </x:c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1"/>
      <x:c r="V62" s="31"/>
      <x:c r="W62" s="30"/>
      <x:c r="X62" s="30"/>
      <x:c r="Y62" s="30"/>
      <x:c r="Z62" s="30"/>
    </x:row>
    <x:row r="63">
      <x:c r="A63" s="30" t="str">
        <x:f>IF(C63="","","RG-"&amp;TEXT(B63,"0000"))</x:f>
      </x:c>
      <x:c r="B63" s="30" t="n">
        <x:v>58</x:v>
      </x:c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1"/>
      <x:c r="V63" s="31"/>
      <x:c r="W63" s="30"/>
      <x:c r="X63" s="30"/>
      <x:c r="Y63" s="30"/>
      <x:c r="Z63" s="30"/>
    </x:row>
    <x:row r="64">
      <x:c r="A64" s="30" t="str">
        <x:f>IF(C64="","","RG-"&amp;TEXT(B64,"0000"))</x:f>
      </x:c>
      <x:c r="B64" s="30" t="n">
        <x:v>59</x:v>
      </x:c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1"/>
      <x:c r="V64" s="31"/>
      <x:c r="W64" s="30"/>
      <x:c r="X64" s="30"/>
      <x:c r="Y64" s="30"/>
      <x:c r="Z64" s="30"/>
    </x:row>
    <x:row r="65">
      <x:c r="A65" s="30" t="str">
        <x:f>IF(C65="","","RG-"&amp;TEXT(B65,"0000"))</x:f>
      </x:c>
      <x:c r="B65" s="30" t="n">
        <x:v>60</x:v>
      </x:c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1"/>
      <x:c r="V65" s="31"/>
      <x:c r="W65" s="30"/>
      <x:c r="X65" s="30"/>
      <x:c r="Y65" s="30"/>
      <x:c r="Z65" s="30"/>
    </x:row>
    <x:row r="66">
      <x:c r="A66" s="30" t="str">
        <x:f>IF(C66="","","RG-"&amp;TEXT(B66,"0000"))</x:f>
      </x:c>
      <x:c r="B66" s="30" t="n">
        <x:v>61</x:v>
      </x:c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1"/>
      <x:c r="V66" s="31"/>
      <x:c r="W66" s="30"/>
      <x:c r="X66" s="30"/>
      <x:c r="Y66" s="30"/>
      <x:c r="Z66" s="30"/>
    </x:row>
    <x:row r="67">
      <x:c r="A67" s="30" t="str">
        <x:f>IF(C67="","","RG-"&amp;TEXT(B67,"0000"))</x:f>
      </x:c>
      <x:c r="B67" s="30" t="n">
        <x:v>62</x:v>
      </x:c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1"/>
      <x:c r="V67" s="31"/>
      <x:c r="W67" s="30"/>
      <x:c r="X67" s="30"/>
      <x:c r="Y67" s="30"/>
      <x:c r="Z67" s="30"/>
    </x:row>
    <x:row r="68">
      <x:c r="A68" s="30" t="str">
        <x:f>IF(C68="","","RG-"&amp;TEXT(B68,"0000"))</x:f>
      </x:c>
      <x:c r="B68" s="30" t="n">
        <x:v>63</x:v>
      </x:c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1"/>
      <x:c r="V68" s="31"/>
      <x:c r="W68" s="30"/>
      <x:c r="X68" s="30"/>
      <x:c r="Y68" s="30"/>
      <x:c r="Z68" s="30"/>
    </x:row>
    <x:row r="69">
      <x:c r="A69" s="30" t="str">
        <x:f>IF(C69="","","RG-"&amp;TEXT(B69,"0000"))</x:f>
      </x:c>
      <x:c r="B69" s="30" t="n">
        <x:v>64</x:v>
      </x:c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1"/>
      <x:c r="V69" s="31"/>
      <x:c r="W69" s="30"/>
      <x:c r="X69" s="30"/>
      <x:c r="Y69" s="30"/>
      <x:c r="Z69" s="30"/>
    </x:row>
    <x:row r="70">
      <x:c r="A70" s="30" t="str">
        <x:f>IF(C70="","","RG-"&amp;TEXT(B70,"0000"))</x:f>
      </x:c>
      <x:c r="B70" s="30" t="n">
        <x:v>65</x:v>
      </x:c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1"/>
      <x:c r="V70" s="31"/>
      <x:c r="W70" s="30"/>
      <x:c r="X70" s="30"/>
      <x:c r="Y70" s="30"/>
      <x:c r="Z70" s="30"/>
    </x:row>
    <x:row r="71">
      <x:c r="A71" s="30" t="str">
        <x:f>IF(C71="","","RG-"&amp;TEXT(B71,"0000"))</x:f>
      </x:c>
      <x:c r="B71" s="30" t="n">
        <x:v>66</x:v>
      </x:c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1"/>
      <x:c r="V71" s="31"/>
      <x:c r="W71" s="30"/>
      <x:c r="X71" s="30"/>
      <x:c r="Y71" s="30"/>
      <x:c r="Z71" s="30"/>
    </x:row>
    <x:row r="72">
      <x:c r="A72" s="30" t="str">
        <x:f>IF(C72="","","RG-"&amp;TEXT(B72,"0000"))</x:f>
      </x:c>
      <x:c r="B72" s="30" t="n">
        <x:v>67</x:v>
      </x:c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1"/>
      <x:c r="V72" s="31"/>
      <x:c r="W72" s="30"/>
      <x:c r="X72" s="30"/>
      <x:c r="Y72" s="30"/>
      <x:c r="Z72" s="30"/>
    </x:row>
    <x:row r="73">
      <x:c r="A73" s="30" t="str">
        <x:f>IF(C73="","","RG-"&amp;TEXT(B73,"0000"))</x:f>
      </x:c>
      <x:c r="B73" s="30" t="n">
        <x:v>68</x:v>
      </x:c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1"/>
      <x:c r="V73" s="31"/>
      <x:c r="W73" s="30"/>
      <x:c r="X73" s="30"/>
      <x:c r="Y73" s="30"/>
      <x:c r="Z73" s="30"/>
    </x:row>
    <x:row r="74">
      <x:c r="A74" s="30" t="str">
        <x:f>IF(C74="","","RG-"&amp;TEXT(B74,"0000"))</x:f>
      </x:c>
      <x:c r="B74" s="30" t="n">
        <x:v>69</x:v>
      </x:c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1"/>
      <x:c r="V74" s="31"/>
      <x:c r="W74" s="30"/>
      <x:c r="X74" s="30"/>
      <x:c r="Y74" s="30"/>
      <x:c r="Z74" s="30"/>
    </x:row>
    <x:row r="75">
      <x:c r="A75" s="30" t="str">
        <x:f>IF(C75="","","RG-"&amp;TEXT(B75,"0000"))</x:f>
      </x:c>
      <x:c r="B75" s="30" t="n">
        <x:v>70</x:v>
      </x:c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1"/>
      <x:c r="V75" s="31"/>
      <x:c r="W75" s="30"/>
      <x:c r="X75" s="30"/>
      <x:c r="Y75" s="30"/>
      <x:c r="Z75" s="30"/>
    </x:row>
    <x:row r="76">
      <x:c r="A76" s="30" t="str">
        <x:f>IF(C76="","","RG-"&amp;TEXT(B76,"0000"))</x:f>
      </x:c>
      <x:c r="B76" s="30" t="n">
        <x:v>71</x:v>
      </x:c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1"/>
      <x:c r="V76" s="31"/>
      <x:c r="W76" s="30"/>
      <x:c r="X76" s="30"/>
      <x:c r="Y76" s="30"/>
      <x:c r="Z76" s="30"/>
    </x:row>
    <x:row r="77">
      <x:c r="A77" s="30" t="str">
        <x:f>IF(C77="","","RG-"&amp;TEXT(B77,"0000"))</x:f>
      </x:c>
      <x:c r="B77" s="30" t="n">
        <x:v>72</x:v>
      </x:c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1"/>
      <x:c r="V77" s="31"/>
      <x:c r="W77" s="30"/>
      <x:c r="X77" s="30"/>
      <x:c r="Y77" s="30"/>
      <x:c r="Z77" s="30"/>
    </x:row>
    <x:row r="78">
      <x:c r="A78" s="30" t="str">
        <x:f>IF(C78="","","RG-"&amp;TEXT(B78,"0000"))</x:f>
      </x:c>
      <x:c r="B78" s="30" t="n">
        <x:v>73</x:v>
      </x:c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1"/>
      <x:c r="V78" s="31"/>
      <x:c r="W78" s="30"/>
      <x:c r="X78" s="30"/>
      <x:c r="Y78" s="30"/>
      <x:c r="Z78" s="30"/>
    </x:row>
    <x:row r="79">
      <x:c r="A79" s="30" t="str">
        <x:f>IF(C79="","","RG-"&amp;TEXT(B79,"0000"))</x:f>
      </x:c>
      <x:c r="B79" s="30" t="n">
        <x:v>74</x:v>
      </x:c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1"/>
      <x:c r="V79" s="31"/>
      <x:c r="W79" s="30"/>
      <x:c r="X79" s="30"/>
      <x:c r="Y79" s="30"/>
      <x:c r="Z79" s="30"/>
    </x:row>
    <x:row r="80">
      <x:c r="A80" s="30" t="str">
        <x:f>IF(C80="","","RG-"&amp;TEXT(B80,"0000"))</x:f>
      </x:c>
      <x:c r="B80" s="30" t="n">
        <x:v>75</x:v>
      </x:c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1"/>
      <x:c r="V80" s="31"/>
      <x:c r="W80" s="30"/>
      <x:c r="X80" s="30"/>
      <x:c r="Y80" s="30"/>
      <x:c r="Z80" s="30"/>
    </x:row>
    <x:row r="81">
      <x:c r="A81" s="30" t="str">
        <x:f>IF(C81="","","RG-"&amp;TEXT(B81,"0000"))</x:f>
      </x:c>
      <x:c r="B81" s="30" t="n">
        <x:v>76</x:v>
      </x:c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1"/>
      <x:c r="V81" s="31"/>
      <x:c r="W81" s="30"/>
      <x:c r="X81" s="30"/>
      <x:c r="Y81" s="30"/>
      <x:c r="Z81" s="30"/>
    </x:row>
    <x:row r="82">
      <x:c r="A82" s="30" t="str">
        <x:f>IF(C82="","","RG-"&amp;TEXT(B82,"0000"))</x:f>
      </x:c>
      <x:c r="B82" s="30" t="n">
        <x:v>77</x:v>
      </x:c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1"/>
      <x:c r="V82" s="31"/>
      <x:c r="W82" s="30"/>
      <x:c r="X82" s="30"/>
      <x:c r="Y82" s="30"/>
      <x:c r="Z82" s="30"/>
    </x:row>
    <x:row r="83">
      <x:c r="A83" s="30" t="str">
        <x:f>IF(C83="","","RG-"&amp;TEXT(B83,"0000"))</x:f>
      </x:c>
      <x:c r="B83" s="30" t="n">
        <x:v>78</x:v>
      </x:c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1"/>
      <x:c r="V83" s="31"/>
      <x:c r="W83" s="30"/>
      <x:c r="X83" s="30"/>
      <x:c r="Y83" s="30"/>
      <x:c r="Z83" s="30"/>
    </x:row>
    <x:row r="84">
      <x:c r="A84" s="30" t="str">
        <x:f>IF(C84="","","RG-"&amp;TEXT(B84,"0000"))</x:f>
      </x:c>
      <x:c r="B84" s="30" t="n">
        <x:v>79</x:v>
      </x:c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1"/>
      <x:c r="V84" s="31"/>
      <x:c r="W84" s="30"/>
      <x:c r="X84" s="30"/>
      <x:c r="Y84" s="30"/>
      <x:c r="Z84" s="30"/>
    </x:row>
    <x:row r="85">
      <x:c r="A85" s="30" t="str">
        <x:f>IF(C85="","","RG-"&amp;TEXT(B85,"0000"))</x:f>
      </x:c>
      <x:c r="B85" s="30" t="n">
        <x:v>80</x:v>
      </x:c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1"/>
      <x:c r="V85" s="31"/>
      <x:c r="W85" s="30"/>
      <x:c r="X85" s="30"/>
      <x:c r="Y85" s="30"/>
      <x:c r="Z85" s="30"/>
    </x:row>
    <x:row r="86">
      <x:c r="A86" s="30" t="str">
        <x:f>IF(C86="","","RG-"&amp;TEXT(B86,"0000"))</x:f>
      </x:c>
      <x:c r="B86" s="30" t="n">
        <x:v>81</x:v>
      </x:c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1"/>
      <x:c r="V86" s="31"/>
      <x:c r="W86" s="30"/>
      <x:c r="X86" s="30"/>
      <x:c r="Y86" s="30"/>
      <x:c r="Z86" s="30"/>
    </x:row>
    <x:row r="87">
      <x:c r="A87" s="30" t="str">
        <x:f>IF(C87="","","RG-"&amp;TEXT(B87,"0000"))</x:f>
      </x:c>
      <x:c r="B87" s="30" t="n">
        <x:v>82</x:v>
      </x:c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1"/>
      <x:c r="V87" s="31"/>
      <x:c r="W87" s="30"/>
      <x:c r="X87" s="30"/>
      <x:c r="Y87" s="30"/>
      <x:c r="Z87" s="30"/>
    </x:row>
    <x:row r="88">
      <x:c r="A88" s="30" t="str">
        <x:f>IF(C88="","","RG-"&amp;TEXT(B88,"0000"))</x:f>
      </x:c>
      <x:c r="B88" s="30" t="n">
        <x:v>83</x:v>
      </x:c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1"/>
      <x:c r="V88" s="31"/>
      <x:c r="W88" s="30"/>
      <x:c r="X88" s="30"/>
      <x:c r="Y88" s="30"/>
      <x:c r="Z88" s="30"/>
    </x:row>
    <x:row r="89">
      <x:c r="A89" s="30" t="str">
        <x:f>IF(C89="","","RG-"&amp;TEXT(B89,"0000"))</x:f>
      </x:c>
      <x:c r="B89" s="30" t="n">
        <x:v>84</x:v>
      </x:c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1"/>
      <x:c r="V89" s="31"/>
      <x:c r="W89" s="30"/>
      <x:c r="X89" s="30"/>
      <x:c r="Y89" s="30"/>
      <x:c r="Z89" s="30"/>
    </x:row>
    <x:row r="90">
      <x:c r="A90" s="30" t="str">
        <x:f>IF(C90="","","RG-"&amp;TEXT(B90,"0000"))</x:f>
      </x:c>
      <x:c r="B90" s="30" t="n">
        <x:v>85</x:v>
      </x:c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1"/>
      <x:c r="V90" s="31"/>
      <x:c r="W90" s="30"/>
      <x:c r="X90" s="30"/>
      <x:c r="Y90" s="30"/>
      <x:c r="Z90" s="30"/>
    </x:row>
    <x:row r="91">
      <x:c r="A91" s="30" t="str">
        <x:f>IF(C91="","","RG-"&amp;TEXT(B91,"0000"))</x:f>
      </x:c>
      <x:c r="B91" s="30" t="n">
        <x:v>86</x:v>
      </x:c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1"/>
      <x:c r="V91" s="31"/>
      <x:c r="W91" s="30"/>
      <x:c r="X91" s="30"/>
      <x:c r="Y91" s="30"/>
      <x:c r="Z91" s="30"/>
    </x:row>
    <x:row r="92">
      <x:c r="A92" s="30" t="str">
        <x:f>IF(C92="","","RG-"&amp;TEXT(B92,"0000"))</x:f>
      </x:c>
      <x:c r="B92" s="30" t="n">
        <x:v>87</x:v>
      </x:c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1"/>
      <x:c r="V92" s="31"/>
      <x:c r="W92" s="30"/>
      <x:c r="X92" s="30"/>
      <x:c r="Y92" s="30"/>
      <x:c r="Z92" s="30"/>
    </x:row>
    <x:row r="93">
      <x:c r="A93" s="30" t="str">
        <x:f>IF(C93="","","RG-"&amp;TEXT(B93,"0000"))</x:f>
      </x:c>
      <x:c r="B93" s="30" t="n">
        <x:v>88</x:v>
      </x:c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1"/>
      <x:c r="V93" s="31"/>
      <x:c r="W93" s="30"/>
      <x:c r="X93" s="30"/>
      <x:c r="Y93" s="30"/>
      <x:c r="Z93" s="30"/>
    </x:row>
    <x:row r="94">
      <x:c r="A94" s="30" t="str">
        <x:f>IF(C94="","","RG-"&amp;TEXT(B94,"0000"))</x:f>
      </x:c>
      <x:c r="B94" s="30" t="n">
        <x:v>89</x:v>
      </x:c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1"/>
      <x:c r="V94" s="31"/>
      <x:c r="W94" s="30"/>
      <x:c r="X94" s="30"/>
      <x:c r="Y94" s="30"/>
      <x:c r="Z94" s="30"/>
    </x:row>
    <x:row r="95">
      <x:c r="A95" s="30" t="str">
        <x:f>IF(C95="","","RG-"&amp;TEXT(B95,"0000"))</x:f>
      </x:c>
      <x:c r="B95" s="30" t="n">
        <x:v>90</x:v>
      </x:c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1"/>
      <x:c r="V95" s="31"/>
      <x:c r="W95" s="30"/>
      <x:c r="X95" s="30"/>
      <x:c r="Y95" s="30"/>
      <x:c r="Z95" s="30"/>
    </x:row>
    <x:row r="96">
      <x:c r="A96" s="30" t="str">
        <x:f>IF(C96="","","RG-"&amp;TEXT(B96,"0000"))</x:f>
      </x:c>
      <x:c r="B96" s="30" t="n">
        <x:v>91</x:v>
      </x:c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1"/>
      <x:c r="V96" s="31"/>
      <x:c r="W96" s="30"/>
      <x:c r="X96" s="30"/>
      <x:c r="Y96" s="30"/>
      <x:c r="Z96" s="30"/>
    </x:row>
    <x:row r="97">
      <x:c r="A97" s="30" t="str">
        <x:f>IF(C97="","","RG-"&amp;TEXT(B97,"0000"))</x:f>
      </x:c>
      <x:c r="B97" s="30" t="n">
        <x:v>92</x:v>
      </x:c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1"/>
      <x:c r="V97" s="31"/>
      <x:c r="W97" s="30"/>
      <x:c r="X97" s="30"/>
      <x:c r="Y97" s="30"/>
      <x:c r="Z97" s="30"/>
    </x:row>
    <x:row r="98">
      <x:c r="A98" s="30" t="str">
        <x:f>IF(C98="","","RG-"&amp;TEXT(B98,"0000"))</x:f>
      </x:c>
      <x:c r="B98" s="30" t="n">
        <x:v>93</x:v>
      </x:c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1"/>
      <x:c r="V98" s="31"/>
      <x:c r="W98" s="30"/>
      <x:c r="X98" s="30"/>
      <x:c r="Y98" s="30"/>
      <x:c r="Z98" s="30"/>
    </x:row>
    <x:row r="99">
      <x:c r="A99" s="30" t="str">
        <x:f>IF(C99="","","RG-"&amp;TEXT(B99,"0000"))</x:f>
      </x:c>
      <x:c r="B99" s="30" t="n">
        <x:v>94</x:v>
      </x:c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1"/>
      <x:c r="V99" s="31"/>
      <x:c r="W99" s="30"/>
      <x:c r="X99" s="30"/>
      <x:c r="Y99" s="30"/>
      <x:c r="Z99" s="30"/>
    </x:row>
    <x:row r="100">
      <x:c r="A100" s="30" t="str">
        <x:f>IF(C100="","","RG-"&amp;TEXT(B100,"0000"))</x:f>
      </x:c>
      <x:c r="B100" s="30" t="n">
        <x:v>95</x:v>
      </x:c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1"/>
      <x:c r="V100" s="31"/>
      <x:c r="W100" s="30"/>
      <x:c r="X100" s="30"/>
      <x:c r="Y100" s="30"/>
      <x:c r="Z100" s="30"/>
    </x:row>
    <x:row r="101">
      <x:c r="A101" s="30" t="str">
        <x:f>IF(C101="","","RG-"&amp;TEXT(B101,"0000"))</x:f>
      </x:c>
      <x:c r="B101" s="30" t="n">
        <x:v>96</x:v>
      </x:c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1"/>
      <x:c r="V101" s="31"/>
      <x:c r="W101" s="30"/>
      <x:c r="X101" s="30"/>
      <x:c r="Y101" s="30"/>
      <x:c r="Z101" s="30"/>
    </x:row>
    <x:row r="102">
      <x:c r="A102" s="30" t="str">
        <x:f>IF(C102="","","RG-"&amp;TEXT(B102,"0000"))</x:f>
      </x:c>
      <x:c r="B102" s="30" t="n">
        <x:v>97</x:v>
      </x:c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1"/>
      <x:c r="V102" s="31"/>
      <x:c r="W102" s="30"/>
      <x:c r="X102" s="30"/>
      <x:c r="Y102" s="30"/>
      <x:c r="Z102" s="30"/>
    </x:row>
    <x:row r="103">
      <x:c r="A103" s="30" t="str">
        <x:f>IF(C103="","","RG-"&amp;TEXT(B103,"0000"))</x:f>
      </x:c>
      <x:c r="B103" s="30" t="n">
        <x:v>98</x:v>
      </x:c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1"/>
      <x:c r="V103" s="31"/>
      <x:c r="W103" s="30"/>
      <x:c r="X103" s="30"/>
      <x:c r="Y103" s="30"/>
      <x:c r="Z103" s="30"/>
    </x:row>
    <x:row r="104">
      <x:c r="A104" s="30" t="str">
        <x:f>IF(C104="","","RG-"&amp;TEXT(B104,"0000"))</x:f>
      </x:c>
      <x:c r="B104" s="30" t="n">
        <x:v>99</x:v>
      </x:c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1"/>
      <x:c r="V104" s="31"/>
      <x:c r="W104" s="30"/>
      <x:c r="X104" s="30"/>
      <x:c r="Y104" s="30"/>
      <x:c r="Z104" s="30"/>
    </x:row>
    <x:row r="105">
      <x:c r="A105" s="30" t="str">
        <x:f>IF(C105="","","RG-"&amp;TEXT(B105,"0000"))</x:f>
      </x:c>
      <x:c r="B105" s="30" t="n">
        <x:v>100</x:v>
      </x:c>
      <x:c r="C105" s="30"/>
      <x:c r="D105" s="30"/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1"/>
      <x:c r="V105" s="31"/>
      <x:c r="W105" s="30"/>
      <x:c r="X105" s="30"/>
      <x:c r="Y105" s="30"/>
      <x:c r="Z105" s="30"/>
    </x:row>
    <x:row r="106">
      <x:c r="A106" s="30" t="str">
        <x:f>IF(C106="","","RG-"&amp;TEXT(B106,"0000"))</x:f>
      </x:c>
      <x:c r="B106" s="30" t="n">
        <x:v>101</x:v>
      </x:c>
      <x:c r="C106" s="30"/>
      <x:c r="D106" s="30"/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1"/>
      <x:c r="V106" s="31"/>
      <x:c r="W106" s="30"/>
      <x:c r="X106" s="30"/>
      <x:c r="Y106" s="30"/>
      <x:c r="Z106" s="30"/>
    </x:row>
    <x:row r="107">
      <x:c r="A107" s="30" t="str">
        <x:f>IF(C107="","","RG-"&amp;TEXT(B107,"0000"))</x:f>
      </x:c>
      <x:c r="B107" s="30" t="n">
        <x:v>102</x:v>
      </x:c>
      <x:c r="C107" s="30"/>
      <x:c r="D107" s="30"/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1"/>
      <x:c r="V107" s="31"/>
      <x:c r="W107" s="30"/>
      <x:c r="X107" s="30"/>
      <x:c r="Y107" s="30"/>
      <x:c r="Z107" s="30"/>
    </x:row>
    <x:row r="108">
      <x:c r="A108" s="30" t="str">
        <x:f>IF(C108="","","RG-"&amp;TEXT(B108,"0000"))</x:f>
      </x:c>
      <x:c r="B108" s="30" t="n">
        <x:v>103</x:v>
      </x:c>
      <x:c r="C108" s="30"/>
      <x:c r="D108" s="30"/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1"/>
      <x:c r="V108" s="31"/>
      <x:c r="W108" s="30"/>
      <x:c r="X108" s="30"/>
      <x:c r="Y108" s="30"/>
      <x:c r="Z108" s="30"/>
    </x:row>
    <x:row r="109">
      <x:c r="A109" s="30" t="str">
        <x:f>IF(C109="","","RG-"&amp;TEXT(B109,"0000"))</x:f>
      </x:c>
      <x:c r="B109" s="30" t="n">
        <x:v>104</x:v>
      </x:c>
      <x:c r="C109" s="30"/>
      <x:c r="D109" s="30"/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1"/>
      <x:c r="V109" s="31"/>
      <x:c r="W109" s="30"/>
      <x:c r="X109" s="30"/>
      <x:c r="Y109" s="30"/>
      <x:c r="Z109" s="30"/>
    </x:row>
    <x:row r="110">
      <x:c r="A110" s="30" t="str">
        <x:f>IF(C110="","","RG-"&amp;TEXT(B110,"0000"))</x:f>
      </x:c>
      <x:c r="B110" s="30" t="n">
        <x:v>105</x:v>
      </x:c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1"/>
      <x:c r="V110" s="31"/>
      <x:c r="W110" s="30"/>
      <x:c r="X110" s="30"/>
      <x:c r="Y110" s="30"/>
      <x:c r="Z110" s="30"/>
    </x:row>
    <x:row r="111">
      <x:c r="A111" s="30" t="str">
        <x:f>IF(C111="","","RG-"&amp;TEXT(B111,"0000"))</x:f>
      </x:c>
      <x:c r="B111" s="30" t="n">
        <x:v>106</x:v>
      </x:c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1"/>
      <x:c r="V111" s="31"/>
      <x:c r="W111" s="30"/>
      <x:c r="X111" s="30"/>
      <x:c r="Y111" s="30"/>
      <x:c r="Z111" s="30"/>
    </x:row>
    <x:row r="112">
      <x:c r="A112" s="30" t="str">
        <x:f>IF(C112="","","RG-"&amp;TEXT(B112,"0000"))</x:f>
      </x:c>
      <x:c r="B112" s="30" t="n">
        <x:v>107</x:v>
      </x:c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1"/>
      <x:c r="V112" s="31"/>
      <x:c r="W112" s="30"/>
      <x:c r="X112" s="30"/>
      <x:c r="Y112" s="30"/>
      <x:c r="Z112" s="30"/>
    </x:row>
    <x:row r="113">
      <x:c r="A113" s="30" t="str">
        <x:f>IF(C113="","","RG-"&amp;TEXT(B113,"0000"))</x:f>
      </x:c>
      <x:c r="B113" s="30" t="n">
        <x:v>108</x:v>
      </x:c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1"/>
      <x:c r="V113" s="31"/>
      <x:c r="W113" s="30"/>
      <x:c r="X113" s="30"/>
      <x:c r="Y113" s="30"/>
      <x:c r="Z113" s="30"/>
    </x:row>
    <x:row r="114">
      <x:c r="A114" s="30" t="str">
        <x:f>IF(C114="","","RG-"&amp;TEXT(B114,"0000"))</x:f>
      </x:c>
      <x:c r="B114" s="30" t="n">
        <x:v>109</x:v>
      </x:c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1"/>
      <x:c r="V114" s="31"/>
      <x:c r="W114" s="30"/>
      <x:c r="X114" s="30"/>
      <x:c r="Y114" s="30"/>
      <x:c r="Z114" s="30"/>
    </x:row>
    <x:row r="115">
      <x:c r="A115" s="30" t="str">
        <x:f>IF(C115="","","RG-"&amp;TEXT(B115,"0000"))</x:f>
      </x:c>
      <x:c r="B115" s="30" t="n">
        <x:v>110</x:v>
      </x:c>
      <x:c r="C115" s="30"/>
      <x:c r="D115" s="30"/>
      <x:c r="E115" s="30"/>
      <x:c r="F115" s="30"/>
      <x:c r="G115" s="30"/>
      <x:c r="H115" s="30"/>
      <x:c r="I115" s="30"/>
      <x:c r="J115" s="30"/>
      <x:c r="K115" s="30"/>
      <x:c r="L115" s="30"/>
      <x:c r="M115" s="30"/>
      <x:c r="N115" s="30"/>
      <x:c r="O115" s="30"/>
      <x:c r="P115" s="30"/>
      <x:c r="Q115" s="30"/>
      <x:c r="R115" s="30"/>
      <x:c r="S115" s="30"/>
      <x:c r="T115" s="30"/>
      <x:c r="U115" s="31"/>
      <x:c r="V115" s="31"/>
      <x:c r="W115" s="30"/>
      <x:c r="X115" s="30"/>
      <x:c r="Y115" s="30"/>
      <x:c r="Z115" s="30"/>
    </x:row>
    <x:row r="116">
      <x:c r="A116" s="30" t="str">
        <x:f>IF(C116="","","RG-"&amp;TEXT(B116,"0000"))</x:f>
      </x:c>
      <x:c r="B116" s="30" t="n">
        <x:v>111</x:v>
      </x:c>
      <x:c r="C116" s="30"/>
      <x:c r="D116" s="30"/>
      <x:c r="E116" s="30"/>
      <x:c r="F116" s="30"/>
      <x:c r="G116" s="30"/>
      <x:c r="H116" s="30"/>
      <x:c r="I116" s="30"/>
      <x:c r="J116" s="30"/>
      <x:c r="K116" s="30"/>
      <x:c r="L116" s="30"/>
      <x:c r="M116" s="30"/>
      <x:c r="N116" s="30"/>
      <x:c r="O116" s="30"/>
      <x:c r="P116" s="30"/>
      <x:c r="Q116" s="30"/>
      <x:c r="R116" s="30"/>
      <x:c r="S116" s="30"/>
      <x:c r="T116" s="30"/>
      <x:c r="U116" s="31"/>
      <x:c r="V116" s="31"/>
      <x:c r="W116" s="30"/>
      <x:c r="X116" s="30"/>
      <x:c r="Y116" s="30"/>
      <x:c r="Z116" s="30"/>
    </x:row>
    <x:row r="117">
      <x:c r="A117" s="30" t="str">
        <x:f>IF(C117="","","RG-"&amp;TEXT(B117,"0000"))</x:f>
      </x:c>
      <x:c r="B117" s="30" t="n">
        <x:v>112</x:v>
      </x:c>
      <x:c r="C117" s="30"/>
      <x:c r="D117" s="30"/>
      <x:c r="E117" s="30"/>
      <x:c r="F117" s="30"/>
      <x:c r="G117" s="30"/>
      <x:c r="H117" s="30"/>
      <x:c r="I117" s="30"/>
      <x:c r="J117" s="30"/>
      <x:c r="K117" s="30"/>
      <x:c r="L117" s="30"/>
      <x:c r="M117" s="30"/>
      <x:c r="N117" s="30"/>
      <x:c r="O117" s="30"/>
      <x:c r="P117" s="30"/>
      <x:c r="Q117" s="30"/>
      <x:c r="R117" s="30"/>
      <x:c r="S117" s="30"/>
      <x:c r="T117" s="30"/>
      <x:c r="U117" s="31"/>
      <x:c r="V117" s="31"/>
      <x:c r="W117" s="30"/>
      <x:c r="X117" s="30"/>
      <x:c r="Y117" s="30"/>
      <x:c r="Z117" s="30"/>
    </x:row>
    <x:row r="118">
      <x:c r="A118" s="30" t="str">
        <x:f>IF(C118="","","RG-"&amp;TEXT(B118,"0000"))</x:f>
      </x:c>
      <x:c r="B118" s="30" t="n">
        <x:v>113</x:v>
      </x:c>
      <x:c r="C118" s="30"/>
      <x:c r="D118" s="30"/>
      <x:c r="E118" s="30"/>
      <x:c r="F118" s="30"/>
      <x:c r="G118" s="30"/>
      <x:c r="H118" s="30"/>
      <x:c r="I118" s="30"/>
      <x:c r="J118" s="30"/>
      <x:c r="K118" s="30"/>
      <x:c r="L118" s="30"/>
      <x:c r="M118" s="30"/>
      <x:c r="N118" s="30"/>
      <x:c r="O118" s="30"/>
      <x:c r="P118" s="30"/>
      <x:c r="Q118" s="30"/>
      <x:c r="R118" s="30"/>
      <x:c r="S118" s="30"/>
      <x:c r="T118" s="30"/>
      <x:c r="U118" s="31"/>
      <x:c r="V118" s="31"/>
      <x:c r="W118" s="30"/>
      <x:c r="X118" s="30"/>
      <x:c r="Y118" s="30"/>
      <x:c r="Z118" s="30"/>
    </x:row>
    <x:row r="119">
      <x:c r="A119" s="30" t="str">
        <x:f>IF(C119="","","RG-"&amp;TEXT(B119,"0000"))</x:f>
      </x:c>
      <x:c r="B119" s="30" t="n">
        <x:v>114</x:v>
      </x:c>
      <x:c r="C119" s="30"/>
      <x:c r="D119" s="30"/>
      <x:c r="E119" s="30"/>
      <x:c r="F119" s="30"/>
      <x:c r="G119" s="30"/>
      <x:c r="H119" s="30"/>
      <x:c r="I119" s="30"/>
      <x:c r="J119" s="30"/>
      <x:c r="K119" s="30"/>
      <x:c r="L119" s="30"/>
      <x:c r="M119" s="30"/>
      <x:c r="N119" s="30"/>
      <x:c r="O119" s="30"/>
      <x:c r="P119" s="30"/>
      <x:c r="Q119" s="30"/>
      <x:c r="R119" s="30"/>
      <x:c r="S119" s="30"/>
      <x:c r="T119" s="30"/>
      <x:c r="U119" s="31"/>
      <x:c r="V119" s="31"/>
      <x:c r="W119" s="30"/>
      <x:c r="X119" s="30"/>
      <x:c r="Y119" s="30"/>
      <x:c r="Z119" s="30"/>
    </x:row>
    <x:row r="120">
      <x:c r="A120" s="30" t="str">
        <x:f>IF(C120="","","RG-"&amp;TEXT(B120,"0000"))</x:f>
      </x:c>
      <x:c r="B120" s="30" t="n">
        <x:v>115</x:v>
      </x:c>
      <x:c r="C120" s="30"/>
      <x:c r="D120" s="30"/>
      <x:c r="E120" s="30"/>
      <x:c r="F120" s="30"/>
      <x:c r="G120" s="30"/>
      <x:c r="H120" s="30"/>
      <x:c r="I120" s="30"/>
      <x:c r="J120" s="30"/>
      <x:c r="K120" s="30"/>
      <x:c r="L120" s="30"/>
      <x:c r="M120" s="30"/>
      <x:c r="N120" s="30"/>
      <x:c r="O120" s="30"/>
      <x:c r="P120" s="30"/>
      <x:c r="Q120" s="30"/>
      <x:c r="R120" s="30"/>
      <x:c r="S120" s="30"/>
      <x:c r="T120" s="30"/>
      <x:c r="U120" s="31"/>
      <x:c r="V120" s="31"/>
      <x:c r="W120" s="30"/>
      <x:c r="X120" s="30"/>
      <x:c r="Y120" s="30"/>
      <x:c r="Z120" s="30"/>
    </x:row>
    <x:row r="121">
      <x:c r="A121" s="30" t="str">
        <x:f>IF(C121="","","RG-"&amp;TEXT(B121,"0000"))</x:f>
      </x:c>
      <x:c r="B121" s="30" t="n">
        <x:v>116</x:v>
      </x:c>
      <x:c r="C121" s="30"/>
      <x:c r="D121" s="30"/>
      <x:c r="E121" s="30"/>
      <x:c r="F121" s="30"/>
      <x:c r="G121" s="30"/>
      <x:c r="H121" s="30"/>
      <x:c r="I121" s="30"/>
      <x:c r="J121" s="30"/>
      <x:c r="K121" s="30"/>
      <x:c r="L121" s="30"/>
      <x:c r="M121" s="30"/>
      <x:c r="N121" s="30"/>
      <x:c r="O121" s="30"/>
      <x:c r="P121" s="30"/>
      <x:c r="Q121" s="30"/>
      <x:c r="R121" s="30"/>
      <x:c r="S121" s="30"/>
      <x:c r="T121" s="30"/>
      <x:c r="U121" s="31"/>
      <x:c r="V121" s="31"/>
      <x:c r="W121" s="30"/>
      <x:c r="X121" s="30"/>
      <x:c r="Y121" s="30"/>
      <x:c r="Z121" s="30"/>
    </x:row>
    <x:row r="122">
      <x:c r="A122" s="30" t="str">
        <x:f>IF(C122="","","RG-"&amp;TEXT(B122,"0000"))</x:f>
      </x:c>
      <x:c r="B122" s="30" t="n">
        <x:v>117</x:v>
      </x:c>
      <x:c r="C122" s="30"/>
      <x:c r="D122" s="30"/>
      <x:c r="E122" s="30"/>
      <x:c r="F122" s="30"/>
      <x:c r="G122" s="30"/>
      <x:c r="H122" s="30"/>
      <x:c r="I122" s="30"/>
      <x:c r="J122" s="30"/>
      <x:c r="K122" s="30"/>
      <x:c r="L122" s="30"/>
      <x:c r="M122" s="30"/>
      <x:c r="N122" s="30"/>
      <x:c r="O122" s="30"/>
      <x:c r="P122" s="30"/>
      <x:c r="Q122" s="30"/>
      <x:c r="R122" s="30"/>
      <x:c r="S122" s="30"/>
      <x:c r="T122" s="30"/>
      <x:c r="U122" s="31"/>
      <x:c r="V122" s="31"/>
      <x:c r="W122" s="30"/>
      <x:c r="X122" s="30"/>
      <x:c r="Y122" s="30"/>
      <x:c r="Z122" s="30"/>
    </x:row>
    <x:row r="123">
      <x:c r="A123" s="30" t="str">
        <x:f>IF(C123="","","RG-"&amp;TEXT(B123,"0000"))</x:f>
      </x:c>
      <x:c r="B123" s="30" t="n">
        <x:v>118</x:v>
      </x:c>
      <x:c r="C123" s="30"/>
      <x:c r="D123" s="30"/>
      <x:c r="E123" s="30"/>
      <x:c r="F123" s="30"/>
      <x:c r="G123" s="30"/>
      <x:c r="H123" s="30"/>
      <x:c r="I123" s="30"/>
      <x:c r="J123" s="30"/>
      <x:c r="K123" s="30"/>
      <x:c r="L123" s="30"/>
      <x:c r="M123" s="30"/>
      <x:c r="N123" s="30"/>
      <x:c r="O123" s="30"/>
      <x:c r="P123" s="30"/>
      <x:c r="Q123" s="30"/>
      <x:c r="R123" s="30"/>
      <x:c r="S123" s="30"/>
      <x:c r="T123" s="30"/>
      <x:c r="U123" s="31"/>
      <x:c r="V123" s="31"/>
      <x:c r="W123" s="30"/>
      <x:c r="X123" s="30"/>
      <x:c r="Y123" s="30"/>
      <x:c r="Z123" s="30"/>
    </x:row>
    <x:row r="124">
      <x:c r="A124" s="30" t="str">
        <x:f>IF(C124="","","RG-"&amp;TEXT(B124,"0000"))</x:f>
      </x:c>
      <x:c r="B124" s="30" t="n">
        <x:v>119</x:v>
      </x:c>
      <x:c r="C124" s="30"/>
      <x:c r="D124" s="30"/>
      <x:c r="E124" s="30"/>
      <x:c r="F124" s="30"/>
      <x:c r="G124" s="30"/>
      <x:c r="H124" s="30"/>
      <x:c r="I124" s="30"/>
      <x:c r="J124" s="30"/>
      <x:c r="K124" s="30"/>
      <x:c r="L124" s="30"/>
      <x:c r="M124" s="30"/>
      <x:c r="N124" s="30"/>
      <x:c r="O124" s="30"/>
      <x:c r="P124" s="30"/>
      <x:c r="Q124" s="30"/>
      <x:c r="R124" s="30"/>
      <x:c r="S124" s="30"/>
      <x:c r="T124" s="30"/>
      <x:c r="U124" s="31"/>
      <x:c r="V124" s="31"/>
      <x:c r="W124" s="30"/>
      <x:c r="X124" s="30"/>
      <x:c r="Y124" s="30"/>
      <x:c r="Z124" s="30"/>
    </x:row>
    <x:row r="125">
      <x:c r="A125" s="30" t="str">
        <x:f>IF(C125="","","RG-"&amp;TEXT(B125,"0000"))</x:f>
      </x:c>
      <x:c r="B125" s="30" t="n">
        <x:v>120</x:v>
      </x:c>
      <x:c r="C125" s="30"/>
      <x:c r="D125" s="30"/>
      <x:c r="E125" s="30"/>
      <x:c r="F125" s="30"/>
      <x:c r="G125" s="30"/>
      <x:c r="H125" s="30"/>
      <x:c r="I125" s="30"/>
      <x:c r="J125" s="30"/>
      <x:c r="K125" s="30"/>
      <x:c r="L125" s="30"/>
      <x:c r="M125" s="30"/>
      <x:c r="N125" s="30"/>
      <x:c r="O125" s="30"/>
      <x:c r="P125" s="30"/>
      <x:c r="Q125" s="30"/>
      <x:c r="R125" s="30"/>
      <x:c r="S125" s="30"/>
      <x:c r="T125" s="30"/>
      <x:c r="U125" s="31"/>
      <x:c r="V125" s="31"/>
      <x:c r="W125" s="30"/>
      <x:c r="X125" s="30"/>
      <x:c r="Y125" s="30"/>
      <x:c r="Z125" s="30"/>
    </x:row>
    <x:row r="126">
      <x:c r="A126" s="30" t="str">
        <x:f>IF(C126="","","RG-"&amp;TEXT(B126,"0000"))</x:f>
      </x:c>
      <x:c r="B126" s="30" t="n">
        <x:v>121</x:v>
      </x:c>
      <x:c r="C126" s="30"/>
      <x:c r="D126" s="30"/>
      <x:c r="E126" s="30"/>
      <x:c r="F126" s="30"/>
      <x:c r="G126" s="30"/>
      <x:c r="H126" s="30"/>
      <x:c r="I126" s="30"/>
      <x:c r="J126" s="30"/>
      <x:c r="K126" s="30"/>
      <x:c r="L126" s="30"/>
      <x:c r="M126" s="30"/>
      <x:c r="N126" s="30"/>
      <x:c r="O126" s="30"/>
      <x:c r="P126" s="30"/>
      <x:c r="Q126" s="30"/>
      <x:c r="R126" s="30"/>
      <x:c r="S126" s="30"/>
      <x:c r="T126" s="30"/>
      <x:c r="U126" s="31"/>
      <x:c r="V126" s="31"/>
      <x:c r="W126" s="30"/>
      <x:c r="X126" s="30"/>
      <x:c r="Y126" s="30"/>
      <x:c r="Z126" s="30"/>
    </x:row>
    <x:row r="127">
      <x:c r="A127" s="30" t="str">
        <x:f>IF(C127="","","RG-"&amp;TEXT(B127,"0000"))</x:f>
      </x:c>
      <x:c r="B127" s="30" t="n">
        <x:v>122</x:v>
      </x:c>
      <x:c r="C127" s="30"/>
      <x:c r="D127" s="30"/>
      <x:c r="E127" s="30"/>
      <x:c r="F127" s="30"/>
      <x:c r="G127" s="30"/>
      <x:c r="H127" s="30"/>
      <x:c r="I127" s="30"/>
      <x:c r="J127" s="30"/>
      <x:c r="K127" s="30"/>
      <x:c r="L127" s="30"/>
      <x:c r="M127" s="30"/>
      <x:c r="N127" s="30"/>
      <x:c r="O127" s="30"/>
      <x:c r="P127" s="30"/>
      <x:c r="Q127" s="30"/>
      <x:c r="R127" s="30"/>
      <x:c r="S127" s="30"/>
      <x:c r="T127" s="30"/>
      <x:c r="U127" s="31"/>
      <x:c r="V127" s="31"/>
      <x:c r="W127" s="30"/>
      <x:c r="X127" s="30"/>
      <x:c r="Y127" s="30"/>
      <x:c r="Z127" s="30"/>
    </x:row>
    <x:row r="128">
      <x:c r="A128" s="30" t="str">
        <x:f>IF(C128="","","RG-"&amp;TEXT(B128,"0000"))</x:f>
      </x:c>
      <x:c r="B128" s="30" t="n">
        <x:v>123</x:v>
      </x:c>
      <x:c r="C128" s="30"/>
      <x:c r="D128" s="30"/>
      <x:c r="E128" s="30"/>
      <x:c r="F128" s="30"/>
      <x:c r="G128" s="30"/>
      <x:c r="H128" s="30"/>
      <x:c r="I128" s="30"/>
      <x:c r="J128" s="30"/>
      <x:c r="K128" s="30"/>
      <x:c r="L128" s="30"/>
      <x:c r="M128" s="30"/>
      <x:c r="N128" s="30"/>
      <x:c r="O128" s="30"/>
      <x:c r="P128" s="30"/>
      <x:c r="Q128" s="30"/>
      <x:c r="R128" s="30"/>
      <x:c r="S128" s="30"/>
      <x:c r="T128" s="30"/>
      <x:c r="U128" s="31"/>
      <x:c r="V128" s="31"/>
      <x:c r="W128" s="30"/>
      <x:c r="X128" s="30"/>
      <x:c r="Y128" s="30"/>
      <x:c r="Z128" s="30"/>
    </x:row>
    <x:row r="129">
      <x:c r="A129" s="30" t="str">
        <x:f>IF(C129="","","RG-"&amp;TEXT(B129,"0000"))</x:f>
      </x:c>
      <x:c r="B129" s="30" t="n">
        <x:v>124</x:v>
      </x:c>
      <x:c r="C129" s="30"/>
      <x:c r="D129" s="30"/>
      <x:c r="E129" s="30"/>
      <x:c r="F129" s="30"/>
      <x:c r="G129" s="30"/>
      <x:c r="H129" s="30"/>
      <x:c r="I129" s="30"/>
      <x:c r="J129" s="30"/>
      <x:c r="K129" s="30"/>
      <x:c r="L129" s="30"/>
      <x:c r="M129" s="30"/>
      <x:c r="N129" s="30"/>
      <x:c r="O129" s="30"/>
      <x:c r="P129" s="30"/>
      <x:c r="Q129" s="30"/>
      <x:c r="R129" s="30"/>
      <x:c r="S129" s="30"/>
      <x:c r="T129" s="30"/>
      <x:c r="U129" s="31"/>
      <x:c r="V129" s="31"/>
      <x:c r="W129" s="30"/>
      <x:c r="X129" s="30"/>
      <x:c r="Y129" s="30"/>
      <x:c r="Z129" s="30"/>
    </x:row>
    <x:row r="130">
      <x:c r="A130" s="30" t="str">
        <x:f>IF(C130="","","RG-"&amp;TEXT(B130,"0000"))</x:f>
      </x:c>
      <x:c r="B130" s="30" t="n">
        <x:v>125</x:v>
      </x:c>
      <x:c r="C130" s="30"/>
      <x:c r="D130" s="30"/>
      <x:c r="E130" s="30"/>
      <x:c r="F130" s="30"/>
      <x:c r="G130" s="30"/>
      <x:c r="H130" s="30"/>
      <x:c r="I130" s="30"/>
      <x:c r="J130" s="30"/>
      <x:c r="K130" s="30"/>
      <x:c r="L130" s="30"/>
      <x:c r="M130" s="30"/>
      <x:c r="N130" s="30"/>
      <x:c r="O130" s="30"/>
      <x:c r="P130" s="30"/>
      <x:c r="Q130" s="30"/>
      <x:c r="R130" s="30"/>
      <x:c r="S130" s="30"/>
      <x:c r="T130" s="30"/>
      <x:c r="U130" s="31"/>
      <x:c r="V130" s="31"/>
      <x:c r="W130" s="30"/>
      <x:c r="X130" s="30"/>
      <x:c r="Y130" s="30"/>
      <x:c r="Z130" s="30"/>
    </x:row>
    <x:row r="131">
      <x:c r="A131" s="30" t="str">
        <x:f>IF(C131="","","RG-"&amp;TEXT(B131,"0000"))</x:f>
      </x:c>
      <x:c r="B131" s="30" t="n">
        <x:v>126</x:v>
      </x:c>
      <x:c r="C131" s="30"/>
      <x:c r="D131" s="30"/>
      <x:c r="E131" s="30"/>
      <x:c r="F131" s="30"/>
      <x:c r="G131" s="30"/>
      <x:c r="H131" s="30"/>
      <x:c r="I131" s="30"/>
      <x:c r="J131" s="30"/>
      <x:c r="K131" s="30"/>
      <x:c r="L131" s="30"/>
      <x:c r="M131" s="30"/>
      <x:c r="N131" s="30"/>
      <x:c r="O131" s="30"/>
      <x:c r="P131" s="30"/>
      <x:c r="Q131" s="30"/>
      <x:c r="R131" s="30"/>
      <x:c r="S131" s="30"/>
      <x:c r="T131" s="30"/>
      <x:c r="U131" s="31"/>
      <x:c r="V131" s="31"/>
      <x:c r="W131" s="30"/>
      <x:c r="X131" s="30"/>
      <x:c r="Y131" s="30"/>
      <x:c r="Z131" s="30"/>
    </x:row>
    <x:row r="132">
      <x:c r="A132" s="30" t="str">
        <x:f>IF(C132="","","RG-"&amp;TEXT(B132,"0000"))</x:f>
      </x:c>
      <x:c r="B132" s="30" t="n">
        <x:v>127</x:v>
      </x:c>
      <x:c r="C132" s="30"/>
      <x:c r="D132" s="30"/>
      <x:c r="E132" s="30"/>
      <x:c r="F132" s="30"/>
      <x:c r="G132" s="30"/>
      <x:c r="H132" s="30"/>
      <x:c r="I132" s="30"/>
      <x:c r="J132" s="30"/>
      <x:c r="K132" s="30"/>
      <x:c r="L132" s="30"/>
      <x:c r="M132" s="30"/>
      <x:c r="N132" s="30"/>
      <x:c r="O132" s="30"/>
      <x:c r="P132" s="30"/>
      <x:c r="Q132" s="30"/>
      <x:c r="R132" s="30"/>
      <x:c r="S132" s="30"/>
      <x:c r="T132" s="30"/>
      <x:c r="U132" s="31"/>
      <x:c r="V132" s="31"/>
      <x:c r="W132" s="30"/>
      <x:c r="X132" s="30"/>
      <x:c r="Y132" s="30"/>
      <x:c r="Z132" s="30"/>
    </x:row>
    <x:row r="133">
      <x:c r="A133" s="30" t="str">
        <x:f>IF(C133="","","RG-"&amp;TEXT(B133,"0000"))</x:f>
      </x:c>
      <x:c r="B133" s="30" t="n">
        <x:v>128</x:v>
      </x:c>
      <x:c r="C133" s="30"/>
      <x:c r="D133" s="30"/>
      <x:c r="E133" s="30"/>
      <x:c r="F133" s="30"/>
      <x:c r="G133" s="30"/>
      <x:c r="H133" s="30"/>
      <x:c r="I133" s="30"/>
      <x:c r="J133" s="30"/>
      <x:c r="K133" s="30"/>
      <x:c r="L133" s="30"/>
      <x:c r="M133" s="30"/>
      <x:c r="N133" s="30"/>
      <x:c r="O133" s="30"/>
      <x:c r="P133" s="30"/>
      <x:c r="Q133" s="30"/>
      <x:c r="R133" s="30"/>
      <x:c r="S133" s="30"/>
      <x:c r="T133" s="30"/>
      <x:c r="U133" s="31"/>
      <x:c r="V133" s="31"/>
      <x:c r="W133" s="30"/>
      <x:c r="X133" s="30"/>
      <x:c r="Y133" s="30"/>
      <x:c r="Z133" s="30"/>
    </x:row>
    <x:row r="134">
      <x:c r="A134" s="30" t="str">
        <x:f>IF(C134="","","RG-"&amp;TEXT(B134,"0000"))</x:f>
      </x:c>
      <x:c r="B134" s="30" t="n">
        <x:v>129</x:v>
      </x:c>
      <x:c r="C134" s="30"/>
      <x:c r="D134" s="30"/>
      <x:c r="E134" s="30"/>
      <x:c r="F134" s="30"/>
      <x:c r="G134" s="30"/>
      <x:c r="H134" s="30"/>
      <x:c r="I134" s="30"/>
      <x:c r="J134" s="30"/>
      <x:c r="K134" s="30"/>
      <x:c r="L134" s="30"/>
      <x:c r="M134" s="30"/>
      <x:c r="N134" s="30"/>
      <x:c r="O134" s="30"/>
      <x:c r="P134" s="30"/>
      <x:c r="Q134" s="30"/>
      <x:c r="R134" s="30"/>
      <x:c r="S134" s="30"/>
      <x:c r="T134" s="30"/>
      <x:c r="U134" s="31"/>
      <x:c r="V134" s="31"/>
      <x:c r="W134" s="30"/>
      <x:c r="X134" s="30"/>
      <x:c r="Y134" s="30"/>
      <x:c r="Z134" s="30"/>
    </x:row>
    <x:row r="135">
      <x:c r="A135" s="30" t="str">
        <x:f>IF(C135="","","RG-"&amp;TEXT(B135,"0000"))</x:f>
      </x:c>
      <x:c r="B135" s="30" t="n">
        <x:v>130</x:v>
      </x:c>
      <x:c r="C135" s="30"/>
      <x:c r="D135" s="30"/>
      <x:c r="E135" s="30"/>
      <x:c r="F135" s="30"/>
      <x:c r="G135" s="30"/>
      <x:c r="H135" s="30"/>
      <x:c r="I135" s="30"/>
      <x:c r="J135" s="30"/>
      <x:c r="K135" s="30"/>
      <x:c r="L135" s="30"/>
      <x:c r="M135" s="30"/>
      <x:c r="N135" s="30"/>
      <x:c r="O135" s="30"/>
      <x:c r="P135" s="30"/>
      <x:c r="Q135" s="30"/>
      <x:c r="R135" s="30"/>
      <x:c r="S135" s="30"/>
      <x:c r="T135" s="30"/>
      <x:c r="U135" s="31"/>
      <x:c r="V135" s="31"/>
      <x:c r="W135" s="30"/>
      <x:c r="X135" s="30"/>
      <x:c r="Y135" s="30"/>
      <x:c r="Z135" s="30"/>
    </x:row>
    <x:row r="136">
      <x:c r="A136" s="30" t="str">
        <x:f>IF(C136="","","RG-"&amp;TEXT(B136,"0000"))</x:f>
      </x:c>
      <x:c r="B136" s="30" t="n">
        <x:v>131</x:v>
      </x:c>
      <x:c r="C136" s="30"/>
      <x:c r="D136" s="30"/>
      <x:c r="E136" s="30"/>
      <x:c r="F136" s="30"/>
      <x:c r="G136" s="30"/>
      <x:c r="H136" s="30"/>
      <x:c r="I136" s="30"/>
      <x:c r="J136" s="30"/>
      <x:c r="K136" s="30"/>
      <x:c r="L136" s="30"/>
      <x:c r="M136" s="30"/>
      <x:c r="N136" s="30"/>
      <x:c r="O136" s="30"/>
      <x:c r="P136" s="30"/>
      <x:c r="Q136" s="30"/>
      <x:c r="R136" s="30"/>
      <x:c r="S136" s="30"/>
      <x:c r="T136" s="30"/>
      <x:c r="U136" s="31"/>
      <x:c r="V136" s="31"/>
      <x:c r="W136" s="30"/>
      <x:c r="X136" s="30"/>
      <x:c r="Y136" s="30"/>
      <x:c r="Z136" s="30"/>
    </x:row>
    <x:row r="137">
      <x:c r="A137" s="30" t="str">
        <x:f>IF(C137="","","RG-"&amp;TEXT(B137,"0000"))</x:f>
      </x:c>
      <x:c r="B137" s="30" t="n">
        <x:v>132</x:v>
      </x:c>
      <x:c r="C137" s="30"/>
      <x:c r="D137" s="30"/>
      <x:c r="E137" s="30"/>
      <x:c r="F137" s="30"/>
      <x:c r="G137" s="30"/>
      <x:c r="H137" s="30"/>
      <x:c r="I137" s="30"/>
      <x:c r="J137" s="30"/>
      <x:c r="K137" s="30"/>
      <x:c r="L137" s="30"/>
      <x:c r="M137" s="30"/>
      <x:c r="N137" s="30"/>
      <x:c r="O137" s="30"/>
      <x:c r="P137" s="30"/>
      <x:c r="Q137" s="30"/>
      <x:c r="R137" s="30"/>
      <x:c r="S137" s="30"/>
      <x:c r="T137" s="30"/>
      <x:c r="U137" s="31"/>
      <x:c r="V137" s="31"/>
      <x:c r="W137" s="30"/>
      <x:c r="X137" s="30"/>
      <x:c r="Y137" s="30"/>
      <x:c r="Z137" s="30"/>
    </x:row>
    <x:row r="138">
      <x:c r="A138" s="30" t="str">
        <x:f>IF(C138="","","RG-"&amp;TEXT(B138,"0000"))</x:f>
      </x:c>
      <x:c r="B138" s="30" t="n">
        <x:v>133</x:v>
      </x:c>
      <x:c r="C138" s="30"/>
      <x:c r="D138" s="30"/>
      <x:c r="E138" s="30"/>
      <x:c r="F138" s="30"/>
      <x:c r="G138" s="30"/>
      <x:c r="H138" s="30"/>
      <x:c r="I138" s="30"/>
      <x:c r="J138" s="30"/>
      <x:c r="K138" s="30"/>
      <x:c r="L138" s="30"/>
      <x:c r="M138" s="30"/>
      <x:c r="N138" s="30"/>
      <x:c r="O138" s="30"/>
      <x:c r="P138" s="30"/>
      <x:c r="Q138" s="30"/>
      <x:c r="R138" s="30"/>
      <x:c r="S138" s="30"/>
      <x:c r="T138" s="30"/>
      <x:c r="U138" s="31"/>
      <x:c r="V138" s="31"/>
      <x:c r="W138" s="30"/>
      <x:c r="X138" s="30"/>
      <x:c r="Y138" s="30"/>
      <x:c r="Z138" s="30"/>
    </x:row>
    <x:row r="139">
      <x:c r="A139" s="30" t="str">
        <x:f>IF(C139="","","RG-"&amp;TEXT(B139,"0000"))</x:f>
      </x:c>
      <x:c r="B139" s="30" t="n">
        <x:v>134</x:v>
      </x:c>
      <x:c r="C139" s="30"/>
      <x:c r="D139" s="30"/>
      <x:c r="E139" s="30"/>
      <x:c r="F139" s="30"/>
      <x:c r="G139" s="30"/>
      <x:c r="H139" s="30"/>
      <x:c r="I139" s="30"/>
      <x:c r="J139" s="30"/>
      <x:c r="K139" s="30"/>
      <x:c r="L139" s="30"/>
      <x:c r="M139" s="30"/>
      <x:c r="N139" s="30"/>
      <x:c r="O139" s="30"/>
      <x:c r="P139" s="30"/>
      <x:c r="Q139" s="30"/>
      <x:c r="R139" s="30"/>
      <x:c r="S139" s="30"/>
      <x:c r="T139" s="30"/>
      <x:c r="U139" s="31"/>
      <x:c r="V139" s="31"/>
      <x:c r="W139" s="30"/>
      <x:c r="X139" s="30"/>
      <x:c r="Y139" s="30"/>
      <x:c r="Z139" s="30"/>
    </x:row>
    <x:row r="140">
      <x:c r="A140" s="30" t="str">
        <x:f>IF(C140="","","RG-"&amp;TEXT(B140,"0000"))</x:f>
      </x:c>
      <x:c r="B140" s="30" t="n">
        <x:v>135</x:v>
      </x:c>
      <x:c r="C140" s="30"/>
      <x:c r="D140" s="30"/>
      <x:c r="E140" s="30"/>
      <x:c r="F140" s="30"/>
      <x:c r="G140" s="30"/>
      <x:c r="H140" s="30"/>
      <x:c r="I140" s="30"/>
      <x:c r="J140" s="30"/>
      <x:c r="K140" s="30"/>
      <x:c r="L140" s="30"/>
      <x:c r="M140" s="30"/>
      <x:c r="N140" s="30"/>
      <x:c r="O140" s="30"/>
      <x:c r="P140" s="30"/>
      <x:c r="Q140" s="30"/>
      <x:c r="R140" s="30"/>
      <x:c r="S140" s="30"/>
      <x:c r="T140" s="30"/>
      <x:c r="U140" s="31"/>
      <x:c r="V140" s="31"/>
      <x:c r="W140" s="30"/>
      <x:c r="X140" s="30"/>
      <x:c r="Y140" s="30"/>
      <x:c r="Z140" s="30"/>
    </x:row>
    <x:row r="141">
      <x:c r="A141" s="30" t="str">
        <x:f>IF(C141="","","RG-"&amp;TEXT(B141,"0000"))</x:f>
      </x:c>
      <x:c r="B141" s="30" t="n">
        <x:v>136</x:v>
      </x:c>
      <x:c r="C141" s="30"/>
      <x:c r="D141" s="30"/>
      <x:c r="E141" s="30"/>
      <x:c r="F141" s="30"/>
      <x:c r="G141" s="30"/>
      <x:c r="H141" s="30"/>
      <x:c r="I141" s="30"/>
      <x:c r="J141" s="30"/>
      <x:c r="K141" s="30"/>
      <x:c r="L141" s="30"/>
      <x:c r="M141" s="30"/>
      <x:c r="N141" s="30"/>
      <x:c r="O141" s="30"/>
      <x:c r="P141" s="30"/>
      <x:c r="Q141" s="30"/>
      <x:c r="R141" s="30"/>
      <x:c r="S141" s="30"/>
      <x:c r="T141" s="30"/>
      <x:c r="U141" s="31"/>
      <x:c r="V141" s="31"/>
      <x:c r="W141" s="30"/>
      <x:c r="X141" s="30"/>
      <x:c r="Y141" s="30"/>
      <x:c r="Z141" s="30"/>
    </x:row>
    <x:row r="142">
      <x:c r="A142" s="30" t="str">
        <x:f>IF(C142="","","RG-"&amp;TEXT(B142,"0000"))</x:f>
      </x:c>
      <x:c r="B142" s="30" t="n">
        <x:v>137</x:v>
      </x:c>
      <x:c r="C142" s="30"/>
      <x:c r="D142" s="30"/>
      <x:c r="E142" s="30"/>
      <x:c r="F142" s="30"/>
      <x:c r="G142" s="30"/>
      <x:c r="H142" s="30"/>
      <x:c r="I142" s="30"/>
      <x:c r="J142" s="30"/>
      <x:c r="K142" s="30"/>
      <x:c r="L142" s="30"/>
      <x:c r="M142" s="30"/>
      <x:c r="N142" s="30"/>
      <x:c r="O142" s="30"/>
      <x:c r="P142" s="30"/>
      <x:c r="Q142" s="30"/>
      <x:c r="R142" s="30"/>
      <x:c r="S142" s="30"/>
      <x:c r="T142" s="30"/>
      <x:c r="U142" s="31"/>
      <x:c r="V142" s="31"/>
      <x:c r="W142" s="30"/>
      <x:c r="X142" s="30"/>
      <x:c r="Y142" s="30"/>
      <x:c r="Z142" s="30"/>
    </x:row>
    <x:row r="143">
      <x:c r="A143" s="30" t="str">
        <x:f>IF(C143="","","RG-"&amp;TEXT(B143,"0000"))</x:f>
      </x:c>
      <x:c r="B143" s="30" t="n">
        <x:v>138</x:v>
      </x:c>
      <x:c r="C143" s="30"/>
      <x:c r="D143" s="30"/>
      <x:c r="E143" s="30"/>
      <x:c r="F143" s="30"/>
      <x:c r="G143" s="30"/>
      <x:c r="H143" s="30"/>
      <x:c r="I143" s="30"/>
      <x:c r="J143" s="30"/>
      <x:c r="K143" s="30"/>
      <x:c r="L143" s="30"/>
      <x:c r="M143" s="30"/>
      <x:c r="N143" s="30"/>
      <x:c r="O143" s="30"/>
      <x:c r="P143" s="30"/>
      <x:c r="Q143" s="30"/>
      <x:c r="R143" s="30"/>
      <x:c r="S143" s="30"/>
      <x:c r="T143" s="30"/>
      <x:c r="U143" s="31"/>
      <x:c r="V143" s="31"/>
      <x:c r="W143" s="30"/>
      <x:c r="X143" s="30"/>
      <x:c r="Y143" s="30"/>
      <x:c r="Z143" s="30"/>
    </x:row>
    <x:row r="144">
      <x:c r="A144" s="30" t="str">
        <x:f>IF(C144="","","RG-"&amp;TEXT(B144,"0000"))</x:f>
      </x:c>
      <x:c r="B144" s="30" t="n">
        <x:v>139</x:v>
      </x:c>
      <x:c r="C144" s="30"/>
      <x:c r="D144" s="30"/>
      <x:c r="E144" s="30"/>
      <x:c r="F144" s="30"/>
      <x:c r="G144" s="30"/>
      <x:c r="H144" s="30"/>
      <x:c r="I144" s="30"/>
      <x:c r="J144" s="30"/>
      <x:c r="K144" s="30"/>
      <x:c r="L144" s="30"/>
      <x:c r="M144" s="30"/>
      <x:c r="N144" s="30"/>
      <x:c r="O144" s="30"/>
      <x:c r="P144" s="30"/>
      <x:c r="Q144" s="30"/>
      <x:c r="R144" s="30"/>
      <x:c r="S144" s="30"/>
      <x:c r="T144" s="30"/>
      <x:c r="U144" s="31"/>
      <x:c r="V144" s="31"/>
      <x:c r="W144" s="30"/>
      <x:c r="X144" s="30"/>
      <x:c r="Y144" s="30"/>
      <x:c r="Z144" s="30"/>
    </x:row>
    <x:row r="145">
      <x:c r="A145" s="30" t="str">
        <x:f>IF(C145="","","RG-"&amp;TEXT(B145,"0000"))</x:f>
      </x:c>
      <x:c r="B145" s="30" t="n">
        <x:v>140</x:v>
      </x:c>
      <x:c r="C145" s="30"/>
      <x:c r="D145" s="30"/>
      <x:c r="E145" s="30"/>
      <x:c r="F145" s="30"/>
      <x:c r="G145" s="30"/>
      <x:c r="H145" s="30"/>
      <x:c r="I145" s="30"/>
      <x:c r="J145" s="30"/>
      <x:c r="K145" s="30"/>
      <x:c r="L145" s="30"/>
      <x:c r="M145" s="30"/>
      <x:c r="N145" s="30"/>
      <x:c r="O145" s="30"/>
      <x:c r="P145" s="30"/>
      <x:c r="Q145" s="30"/>
      <x:c r="R145" s="30"/>
      <x:c r="S145" s="30"/>
      <x:c r="T145" s="30"/>
      <x:c r="U145" s="31"/>
      <x:c r="V145" s="31"/>
      <x:c r="W145" s="30"/>
      <x:c r="X145" s="30"/>
      <x:c r="Y145" s="30"/>
      <x:c r="Z145" s="30"/>
    </x:row>
    <x:row r="146">
      <x:c r="A146" s="30" t="str">
        <x:f>IF(C146="","","RG-"&amp;TEXT(B146,"0000"))</x:f>
      </x:c>
      <x:c r="B146" s="30" t="n">
        <x:v>141</x:v>
      </x:c>
      <x:c r="C146" s="30"/>
      <x:c r="D146" s="30"/>
      <x:c r="E146" s="30"/>
      <x:c r="F146" s="30"/>
      <x:c r="G146" s="30"/>
      <x:c r="H146" s="30"/>
      <x:c r="I146" s="30"/>
      <x:c r="J146" s="30"/>
      <x:c r="K146" s="30"/>
      <x:c r="L146" s="30"/>
      <x:c r="M146" s="30"/>
      <x:c r="N146" s="30"/>
      <x:c r="O146" s="30"/>
      <x:c r="P146" s="30"/>
      <x:c r="Q146" s="30"/>
      <x:c r="R146" s="30"/>
      <x:c r="S146" s="30"/>
      <x:c r="T146" s="30"/>
      <x:c r="U146" s="31"/>
      <x:c r="V146" s="31"/>
      <x:c r="W146" s="30"/>
      <x:c r="X146" s="30"/>
      <x:c r="Y146" s="30"/>
      <x:c r="Z146" s="30"/>
    </x:row>
    <x:row r="147">
      <x:c r="A147" s="30" t="str">
        <x:f>IF(C147="","","RG-"&amp;TEXT(B147,"0000"))</x:f>
      </x:c>
      <x:c r="B147" s="30" t="n">
        <x:v>142</x:v>
      </x:c>
      <x:c r="C147" s="30"/>
      <x:c r="D147" s="30"/>
      <x:c r="E147" s="30"/>
      <x:c r="F147" s="30"/>
      <x:c r="G147" s="30"/>
      <x:c r="H147" s="30"/>
      <x:c r="I147" s="30"/>
      <x:c r="J147" s="30"/>
      <x:c r="K147" s="30"/>
      <x:c r="L147" s="30"/>
      <x:c r="M147" s="30"/>
      <x:c r="N147" s="30"/>
      <x:c r="O147" s="30"/>
      <x:c r="P147" s="30"/>
      <x:c r="Q147" s="30"/>
      <x:c r="R147" s="30"/>
      <x:c r="S147" s="30"/>
      <x:c r="T147" s="30"/>
      <x:c r="U147" s="31"/>
      <x:c r="V147" s="31"/>
      <x:c r="W147" s="30"/>
      <x:c r="X147" s="30"/>
      <x:c r="Y147" s="30"/>
      <x:c r="Z147" s="30"/>
    </x:row>
    <x:row r="148">
      <x:c r="A148" s="30" t="str">
        <x:f>IF(C148="","","RG-"&amp;TEXT(B148,"0000"))</x:f>
      </x:c>
      <x:c r="B148" s="30" t="n">
        <x:v>143</x:v>
      </x:c>
      <x:c r="C148" s="30"/>
      <x:c r="D148" s="30"/>
      <x:c r="E148" s="30"/>
      <x:c r="F148" s="30"/>
      <x:c r="G148" s="30"/>
      <x:c r="H148" s="30"/>
      <x:c r="I148" s="30"/>
      <x:c r="J148" s="30"/>
      <x:c r="K148" s="30"/>
      <x:c r="L148" s="30"/>
      <x:c r="M148" s="30"/>
      <x:c r="N148" s="30"/>
      <x:c r="O148" s="30"/>
      <x:c r="P148" s="30"/>
      <x:c r="Q148" s="30"/>
      <x:c r="R148" s="30"/>
      <x:c r="S148" s="30"/>
      <x:c r="T148" s="30"/>
      <x:c r="U148" s="31"/>
      <x:c r="V148" s="31"/>
      <x:c r="W148" s="30"/>
      <x:c r="X148" s="30"/>
      <x:c r="Y148" s="30"/>
      <x:c r="Z148" s="30"/>
    </x:row>
    <x:row r="149">
      <x:c r="A149" s="30" t="str">
        <x:f>IF(C149="","","RG-"&amp;TEXT(B149,"0000"))</x:f>
      </x:c>
      <x:c r="B149" s="30" t="n">
        <x:v>144</x:v>
      </x:c>
      <x:c r="C149" s="30"/>
      <x:c r="D149" s="30"/>
      <x:c r="E149" s="30"/>
      <x:c r="F149" s="30"/>
      <x:c r="G149" s="30"/>
      <x:c r="H149" s="30"/>
      <x:c r="I149" s="30"/>
      <x:c r="J149" s="30"/>
      <x:c r="K149" s="30"/>
      <x:c r="L149" s="30"/>
      <x:c r="M149" s="30"/>
      <x:c r="N149" s="30"/>
      <x:c r="O149" s="30"/>
      <x:c r="P149" s="30"/>
      <x:c r="Q149" s="30"/>
      <x:c r="R149" s="30"/>
      <x:c r="S149" s="30"/>
      <x:c r="T149" s="30"/>
      <x:c r="U149" s="31"/>
      <x:c r="V149" s="31"/>
      <x:c r="W149" s="30"/>
      <x:c r="X149" s="30"/>
      <x:c r="Y149" s="30"/>
      <x:c r="Z149" s="30"/>
    </x:row>
    <x:row r="150">
      <x:c r="A150" s="30" t="str">
        <x:f>IF(C150="","","RG-"&amp;TEXT(B150,"0000"))</x:f>
      </x:c>
      <x:c r="B150" s="30" t="n">
        <x:v>145</x:v>
      </x:c>
      <x:c r="C150" s="30"/>
      <x:c r="D150" s="30"/>
      <x:c r="E150" s="30"/>
      <x:c r="F150" s="30"/>
      <x:c r="G150" s="30"/>
      <x:c r="H150" s="30"/>
      <x:c r="I150" s="30"/>
      <x:c r="J150" s="30"/>
      <x:c r="K150" s="30"/>
      <x:c r="L150" s="30"/>
      <x:c r="M150" s="30"/>
      <x:c r="N150" s="30"/>
      <x:c r="O150" s="30"/>
      <x:c r="P150" s="30"/>
      <x:c r="Q150" s="30"/>
      <x:c r="R150" s="30"/>
      <x:c r="S150" s="30"/>
      <x:c r="T150" s="30"/>
      <x:c r="U150" s="31"/>
      <x:c r="V150" s="31"/>
      <x:c r="W150" s="30"/>
      <x:c r="X150" s="30"/>
      <x:c r="Y150" s="30"/>
      <x:c r="Z150" s="30"/>
    </x:row>
    <x:row r="151">
      <x:c r="A151" s="30" t="str">
        <x:f>IF(C151="","","RG-"&amp;TEXT(B151,"0000"))</x:f>
      </x:c>
      <x:c r="B151" s="30" t="n">
        <x:v>146</x:v>
      </x:c>
      <x:c r="C151" s="30"/>
      <x:c r="D151" s="30"/>
      <x:c r="E151" s="30"/>
      <x:c r="F151" s="30"/>
      <x:c r="G151" s="30"/>
      <x:c r="H151" s="30"/>
      <x:c r="I151" s="30"/>
      <x:c r="J151" s="30"/>
      <x:c r="K151" s="30"/>
      <x:c r="L151" s="30"/>
      <x:c r="M151" s="30"/>
      <x:c r="N151" s="30"/>
      <x:c r="O151" s="30"/>
      <x:c r="P151" s="30"/>
      <x:c r="Q151" s="30"/>
      <x:c r="R151" s="30"/>
      <x:c r="S151" s="30"/>
      <x:c r="T151" s="30"/>
      <x:c r="U151" s="31"/>
      <x:c r="V151" s="31"/>
      <x:c r="W151" s="30"/>
      <x:c r="X151" s="30"/>
      <x:c r="Y151" s="30"/>
      <x:c r="Z151" s="30"/>
    </x:row>
    <x:row r="152">
      <x:c r="A152" s="30" t="str">
        <x:f>IF(C152="","","RG-"&amp;TEXT(B152,"0000"))</x:f>
      </x:c>
      <x:c r="B152" s="30" t="n">
        <x:v>147</x:v>
      </x:c>
      <x:c r="C152" s="30"/>
      <x:c r="D152" s="30"/>
      <x:c r="E152" s="30"/>
      <x:c r="F152" s="30"/>
      <x:c r="G152" s="30"/>
      <x:c r="H152" s="30"/>
      <x:c r="I152" s="30"/>
      <x:c r="J152" s="30"/>
      <x:c r="K152" s="30"/>
      <x:c r="L152" s="30"/>
      <x:c r="M152" s="30"/>
      <x:c r="N152" s="30"/>
      <x:c r="O152" s="30"/>
      <x:c r="P152" s="30"/>
      <x:c r="Q152" s="30"/>
      <x:c r="R152" s="30"/>
      <x:c r="S152" s="30"/>
      <x:c r="T152" s="30"/>
      <x:c r="U152" s="31"/>
      <x:c r="V152" s="31"/>
      <x:c r="W152" s="30"/>
      <x:c r="X152" s="30"/>
      <x:c r="Y152" s="30"/>
      <x:c r="Z152" s="30"/>
    </x:row>
    <x:row r="153">
      <x:c r="A153" s="30" t="str">
        <x:f>IF(C153="","","RG-"&amp;TEXT(B153,"0000"))</x:f>
      </x:c>
      <x:c r="B153" s="30" t="n">
        <x:v>148</x:v>
      </x:c>
      <x:c r="C153" s="30"/>
      <x:c r="D153" s="30"/>
      <x:c r="E153" s="30"/>
      <x:c r="F153" s="30"/>
      <x:c r="G153" s="30"/>
      <x:c r="H153" s="30"/>
      <x:c r="I153" s="30"/>
      <x:c r="J153" s="30"/>
      <x:c r="K153" s="30"/>
      <x:c r="L153" s="30"/>
      <x:c r="M153" s="30"/>
      <x:c r="N153" s="30"/>
      <x:c r="O153" s="30"/>
      <x:c r="P153" s="30"/>
      <x:c r="Q153" s="30"/>
      <x:c r="R153" s="30"/>
      <x:c r="S153" s="30"/>
      <x:c r="T153" s="30"/>
      <x:c r="U153" s="31"/>
      <x:c r="V153" s="31"/>
      <x:c r="W153" s="30"/>
      <x:c r="X153" s="30"/>
      <x:c r="Y153" s="30"/>
      <x:c r="Z153" s="30"/>
    </x:row>
    <x:row r="154">
      <x:c r="A154" s="30" t="str">
        <x:f>IF(C154="","","RG-"&amp;TEXT(B154,"0000"))</x:f>
      </x:c>
      <x:c r="B154" s="30" t="n">
        <x:v>149</x:v>
      </x:c>
      <x:c r="C154" s="30"/>
      <x:c r="D154" s="30"/>
      <x:c r="E154" s="30"/>
      <x:c r="F154" s="30"/>
      <x:c r="G154" s="30"/>
      <x:c r="H154" s="30"/>
      <x:c r="I154" s="30"/>
      <x:c r="J154" s="30"/>
      <x:c r="K154" s="30"/>
      <x:c r="L154" s="30"/>
      <x:c r="M154" s="30"/>
      <x:c r="N154" s="30"/>
      <x:c r="O154" s="30"/>
      <x:c r="P154" s="30"/>
      <x:c r="Q154" s="30"/>
      <x:c r="R154" s="30"/>
      <x:c r="S154" s="30"/>
      <x:c r="T154" s="30"/>
      <x:c r="U154" s="31"/>
      <x:c r="V154" s="31"/>
      <x:c r="W154" s="30"/>
      <x:c r="X154" s="30"/>
      <x:c r="Y154" s="30"/>
      <x:c r="Z154" s="30"/>
    </x:row>
    <x:row r="155">
      <x:c r="A155" s="30" t="str">
        <x:f>IF(C155="","","RG-"&amp;TEXT(B155,"0000"))</x:f>
      </x:c>
      <x:c r="B155" s="30" t="n">
        <x:v>150</x:v>
      </x:c>
      <x:c r="C155" s="30"/>
      <x:c r="D155" s="30"/>
      <x:c r="E155" s="30"/>
      <x:c r="F155" s="30"/>
      <x:c r="G155" s="30"/>
      <x:c r="H155" s="30"/>
      <x:c r="I155" s="30"/>
      <x:c r="J155" s="30"/>
      <x:c r="K155" s="30"/>
      <x:c r="L155" s="30"/>
      <x:c r="M155" s="30"/>
      <x:c r="N155" s="30"/>
      <x:c r="O155" s="30"/>
      <x:c r="P155" s="30"/>
      <x:c r="Q155" s="30"/>
      <x:c r="R155" s="30"/>
      <x:c r="S155" s="30"/>
      <x:c r="T155" s="30"/>
      <x:c r="U155" s="31"/>
      <x:c r="V155" s="31"/>
      <x:c r="W155" s="30"/>
      <x:c r="X155" s="30"/>
      <x:c r="Y155" s="30"/>
      <x:c r="Z155" s="30"/>
    </x:row>
    <x:row r="156">
      <x:c r="A156" s="30" t="str">
        <x:f>IF(C156="","","RG-"&amp;TEXT(B156,"0000"))</x:f>
      </x:c>
      <x:c r="B156" s="30" t="n">
        <x:v>151</x:v>
      </x:c>
      <x:c r="C156" s="30"/>
      <x:c r="D156" s="30"/>
      <x:c r="E156" s="30"/>
      <x:c r="F156" s="30"/>
      <x:c r="G156" s="30"/>
      <x:c r="H156" s="30"/>
      <x:c r="I156" s="30"/>
      <x:c r="J156" s="30"/>
      <x:c r="K156" s="30"/>
      <x:c r="L156" s="30"/>
      <x:c r="M156" s="30"/>
      <x:c r="N156" s="30"/>
      <x:c r="O156" s="30"/>
      <x:c r="P156" s="30"/>
      <x:c r="Q156" s="30"/>
      <x:c r="R156" s="30"/>
      <x:c r="S156" s="30"/>
      <x:c r="T156" s="30"/>
      <x:c r="U156" s="31"/>
      <x:c r="V156" s="31"/>
      <x:c r="W156" s="30"/>
      <x:c r="X156" s="30"/>
      <x:c r="Y156" s="30"/>
      <x:c r="Z156" s="30"/>
    </x:row>
    <x:row r="157">
      <x:c r="A157" s="30" t="str">
        <x:f>IF(C157="","","RG-"&amp;TEXT(B157,"0000"))</x:f>
      </x:c>
      <x:c r="B157" s="30" t="n">
        <x:v>152</x:v>
      </x:c>
      <x:c r="C157" s="30"/>
      <x:c r="D157" s="30"/>
      <x:c r="E157" s="30"/>
      <x:c r="F157" s="30"/>
      <x:c r="G157" s="30"/>
      <x:c r="H157" s="30"/>
      <x:c r="I157" s="30"/>
      <x:c r="J157" s="30"/>
      <x:c r="K157" s="30"/>
      <x:c r="L157" s="30"/>
      <x:c r="M157" s="30"/>
      <x:c r="N157" s="30"/>
      <x:c r="O157" s="30"/>
      <x:c r="P157" s="30"/>
      <x:c r="Q157" s="30"/>
      <x:c r="R157" s="30"/>
      <x:c r="S157" s="30"/>
      <x:c r="T157" s="30"/>
      <x:c r="U157" s="31"/>
      <x:c r="V157" s="31"/>
      <x:c r="W157" s="30"/>
      <x:c r="X157" s="30"/>
      <x:c r="Y157" s="30"/>
      <x:c r="Z157" s="30"/>
    </x:row>
    <x:row r="158">
      <x:c r="A158" s="30" t="str">
        <x:f>IF(C158="","","RG-"&amp;TEXT(B158,"0000"))</x:f>
      </x:c>
      <x:c r="B158" s="30" t="n">
        <x:v>153</x:v>
      </x:c>
      <x:c r="C158" s="30"/>
      <x:c r="D158" s="30"/>
      <x:c r="E158" s="30"/>
      <x:c r="F158" s="30"/>
      <x:c r="G158" s="30"/>
      <x:c r="H158" s="30"/>
      <x:c r="I158" s="30"/>
      <x:c r="J158" s="30"/>
      <x:c r="K158" s="30"/>
      <x:c r="L158" s="30"/>
      <x:c r="M158" s="30"/>
      <x:c r="N158" s="30"/>
      <x:c r="O158" s="30"/>
      <x:c r="P158" s="30"/>
      <x:c r="Q158" s="30"/>
      <x:c r="R158" s="30"/>
      <x:c r="S158" s="30"/>
      <x:c r="T158" s="30"/>
      <x:c r="U158" s="31"/>
      <x:c r="V158" s="31"/>
      <x:c r="W158" s="30"/>
      <x:c r="X158" s="30"/>
      <x:c r="Y158" s="30"/>
      <x:c r="Z158" s="30"/>
    </x:row>
    <x:row r="159">
      <x:c r="A159" s="30" t="str">
        <x:f>IF(C159="","","RG-"&amp;TEXT(B159,"0000"))</x:f>
      </x:c>
      <x:c r="B159" s="30" t="n">
        <x:v>154</x:v>
      </x:c>
      <x:c r="C159" s="30"/>
      <x:c r="D159" s="30"/>
      <x:c r="E159" s="30"/>
      <x:c r="F159" s="30"/>
      <x:c r="G159" s="30"/>
      <x:c r="H159" s="30"/>
      <x:c r="I159" s="30"/>
      <x:c r="J159" s="30"/>
      <x:c r="K159" s="30"/>
      <x:c r="L159" s="30"/>
      <x:c r="M159" s="30"/>
      <x:c r="N159" s="30"/>
      <x:c r="O159" s="30"/>
      <x:c r="P159" s="30"/>
      <x:c r="Q159" s="30"/>
      <x:c r="R159" s="30"/>
      <x:c r="S159" s="30"/>
      <x:c r="T159" s="30"/>
      <x:c r="U159" s="31"/>
      <x:c r="V159" s="31"/>
      <x:c r="W159" s="30"/>
      <x:c r="X159" s="30"/>
      <x:c r="Y159" s="30"/>
      <x:c r="Z159" s="30"/>
    </x:row>
    <x:row r="160">
      <x:c r="A160" s="30" t="str">
        <x:f>IF(C160="","","RG-"&amp;TEXT(B160,"0000"))</x:f>
      </x:c>
      <x:c r="B160" s="30" t="n">
        <x:v>155</x:v>
      </x:c>
      <x:c r="C160" s="30"/>
      <x:c r="D160" s="30"/>
      <x:c r="E160" s="30"/>
      <x:c r="F160" s="30"/>
      <x:c r="G160" s="30"/>
      <x:c r="H160" s="30"/>
      <x:c r="I160" s="30"/>
      <x:c r="J160" s="30"/>
      <x:c r="K160" s="30"/>
      <x:c r="L160" s="30"/>
      <x:c r="M160" s="30"/>
      <x:c r="N160" s="30"/>
      <x:c r="O160" s="30"/>
      <x:c r="P160" s="30"/>
      <x:c r="Q160" s="30"/>
      <x:c r="R160" s="30"/>
      <x:c r="S160" s="30"/>
      <x:c r="T160" s="30"/>
      <x:c r="U160" s="31"/>
      <x:c r="V160" s="31"/>
      <x:c r="W160" s="30"/>
      <x:c r="X160" s="30"/>
      <x:c r="Y160" s="30"/>
      <x:c r="Z160" s="30"/>
    </x:row>
    <x:row r="161">
      <x:c r="A161" s="30" t="str">
        <x:f>IF(C161="","","RG-"&amp;TEXT(B161,"0000"))</x:f>
      </x:c>
      <x:c r="B161" s="30" t="n">
        <x:v>156</x:v>
      </x:c>
      <x:c r="C161" s="30"/>
      <x:c r="D161" s="30"/>
      <x:c r="E161" s="30"/>
      <x:c r="F161" s="30"/>
      <x:c r="G161" s="30"/>
      <x:c r="H161" s="30"/>
      <x:c r="I161" s="30"/>
      <x:c r="J161" s="30"/>
      <x:c r="K161" s="30"/>
      <x:c r="L161" s="30"/>
      <x:c r="M161" s="30"/>
      <x:c r="N161" s="30"/>
      <x:c r="O161" s="30"/>
      <x:c r="P161" s="30"/>
      <x:c r="Q161" s="30"/>
      <x:c r="R161" s="30"/>
      <x:c r="S161" s="30"/>
      <x:c r="T161" s="30"/>
      <x:c r="U161" s="31"/>
      <x:c r="V161" s="31"/>
      <x:c r="W161" s="30"/>
      <x:c r="X161" s="30"/>
      <x:c r="Y161" s="30"/>
      <x:c r="Z161" s="30"/>
    </x:row>
    <x:row r="162">
      <x:c r="A162" s="30" t="str">
        <x:f>IF(C162="","","RG-"&amp;TEXT(B162,"0000"))</x:f>
      </x:c>
      <x:c r="B162" s="30" t="n">
        <x:v>157</x:v>
      </x:c>
      <x:c r="C162" s="30"/>
      <x:c r="D162" s="30"/>
      <x:c r="E162" s="30"/>
      <x:c r="F162" s="30"/>
      <x:c r="G162" s="30"/>
      <x:c r="H162" s="30"/>
      <x:c r="I162" s="30"/>
      <x:c r="J162" s="30"/>
      <x:c r="K162" s="30"/>
      <x:c r="L162" s="30"/>
      <x:c r="M162" s="30"/>
      <x:c r="N162" s="30"/>
      <x:c r="O162" s="30"/>
      <x:c r="P162" s="30"/>
      <x:c r="Q162" s="30"/>
      <x:c r="R162" s="30"/>
      <x:c r="S162" s="30"/>
      <x:c r="T162" s="30"/>
      <x:c r="U162" s="31"/>
      <x:c r="V162" s="31"/>
      <x:c r="W162" s="30"/>
      <x:c r="X162" s="30"/>
      <x:c r="Y162" s="30"/>
      <x:c r="Z162" s="30"/>
    </x:row>
    <x:row r="163">
      <x:c r="A163" s="30" t="str">
        <x:f>IF(C163="","","RG-"&amp;TEXT(B163,"0000"))</x:f>
      </x:c>
      <x:c r="B163" s="30" t="n">
        <x:v>158</x:v>
      </x:c>
      <x:c r="C163" s="30"/>
      <x:c r="D163" s="30"/>
      <x:c r="E163" s="30"/>
      <x:c r="F163" s="30"/>
      <x:c r="G163" s="30"/>
      <x:c r="H163" s="30"/>
      <x:c r="I163" s="30"/>
      <x:c r="J163" s="30"/>
      <x:c r="K163" s="30"/>
      <x:c r="L163" s="30"/>
      <x:c r="M163" s="30"/>
      <x:c r="N163" s="30"/>
      <x:c r="O163" s="30"/>
      <x:c r="P163" s="30"/>
      <x:c r="Q163" s="30"/>
      <x:c r="R163" s="30"/>
      <x:c r="S163" s="30"/>
      <x:c r="T163" s="30"/>
      <x:c r="U163" s="31"/>
      <x:c r="V163" s="31"/>
      <x:c r="W163" s="30"/>
      <x:c r="X163" s="30"/>
      <x:c r="Y163" s="30"/>
      <x:c r="Z163" s="30"/>
    </x:row>
    <x:row r="164">
      <x:c r="A164" s="30" t="str">
        <x:f>IF(C164="","","RG-"&amp;TEXT(B164,"0000"))</x:f>
      </x:c>
      <x:c r="B164" s="30" t="n">
        <x:v>159</x:v>
      </x:c>
      <x:c r="C164" s="30"/>
      <x:c r="D164" s="30"/>
      <x:c r="E164" s="30"/>
      <x:c r="F164" s="30"/>
      <x:c r="G164" s="30"/>
      <x:c r="H164" s="30"/>
      <x:c r="I164" s="30"/>
      <x:c r="J164" s="30"/>
      <x:c r="K164" s="30"/>
      <x:c r="L164" s="30"/>
      <x:c r="M164" s="30"/>
      <x:c r="N164" s="30"/>
      <x:c r="O164" s="30"/>
      <x:c r="P164" s="30"/>
      <x:c r="Q164" s="30"/>
      <x:c r="R164" s="30"/>
      <x:c r="S164" s="30"/>
      <x:c r="T164" s="30"/>
      <x:c r="U164" s="31"/>
      <x:c r="V164" s="31"/>
      <x:c r="W164" s="30"/>
      <x:c r="X164" s="30"/>
      <x:c r="Y164" s="30"/>
      <x:c r="Z164" s="30"/>
    </x:row>
    <x:row r="165">
      <x:c r="A165" s="30" t="str">
        <x:f>IF(C165="","","RG-"&amp;TEXT(B165,"0000"))</x:f>
      </x:c>
      <x:c r="B165" s="30" t="n">
        <x:v>160</x:v>
      </x:c>
      <x:c r="C165" s="30"/>
      <x:c r="D165" s="30"/>
      <x:c r="E165" s="30"/>
      <x:c r="F165" s="30"/>
      <x:c r="G165" s="30"/>
      <x:c r="H165" s="30"/>
      <x:c r="I165" s="30"/>
      <x:c r="J165" s="30"/>
      <x:c r="K165" s="30"/>
      <x:c r="L165" s="30"/>
      <x:c r="M165" s="30"/>
      <x:c r="N165" s="30"/>
      <x:c r="O165" s="30"/>
      <x:c r="P165" s="30"/>
      <x:c r="Q165" s="30"/>
      <x:c r="R165" s="30"/>
      <x:c r="S165" s="30"/>
      <x:c r="T165" s="30"/>
      <x:c r="U165" s="31"/>
      <x:c r="V165" s="31"/>
      <x:c r="W165" s="30"/>
      <x:c r="X165" s="30"/>
      <x:c r="Y165" s="30"/>
      <x:c r="Z165" s="30"/>
    </x:row>
    <x:row r="166">
      <x:c r="A166" s="30" t="str">
        <x:f>IF(C166="","","RG-"&amp;TEXT(B166,"0000"))</x:f>
      </x:c>
      <x:c r="B166" s="30" t="n">
        <x:v>161</x:v>
      </x:c>
      <x:c r="C166" s="30"/>
      <x:c r="D166" s="30"/>
      <x:c r="E166" s="30"/>
      <x:c r="F166" s="30"/>
      <x:c r="G166" s="30"/>
      <x:c r="H166" s="30"/>
      <x:c r="I166" s="30"/>
      <x:c r="J166" s="30"/>
      <x:c r="K166" s="30"/>
      <x:c r="L166" s="30"/>
      <x:c r="M166" s="30"/>
      <x:c r="N166" s="30"/>
      <x:c r="O166" s="30"/>
      <x:c r="P166" s="30"/>
      <x:c r="Q166" s="30"/>
      <x:c r="R166" s="30"/>
      <x:c r="S166" s="30"/>
      <x:c r="T166" s="30"/>
      <x:c r="U166" s="31"/>
      <x:c r="V166" s="31"/>
      <x:c r="W166" s="30"/>
      <x:c r="X166" s="30"/>
      <x:c r="Y166" s="30"/>
      <x:c r="Z166" s="30"/>
    </x:row>
    <x:row r="167">
      <x:c r="A167" s="30" t="str">
        <x:f>IF(C167="","","RG-"&amp;TEXT(B167,"0000"))</x:f>
      </x:c>
      <x:c r="B167" s="30" t="n">
        <x:v>162</x:v>
      </x:c>
      <x:c r="C167" s="30"/>
      <x:c r="D167" s="30"/>
      <x:c r="E167" s="30"/>
      <x:c r="F167" s="30"/>
      <x:c r="G167" s="30"/>
      <x:c r="H167" s="30"/>
      <x:c r="I167" s="30"/>
      <x:c r="J167" s="30"/>
      <x:c r="K167" s="30"/>
      <x:c r="L167" s="30"/>
      <x:c r="M167" s="30"/>
      <x:c r="N167" s="30"/>
      <x:c r="O167" s="30"/>
      <x:c r="P167" s="30"/>
      <x:c r="Q167" s="30"/>
      <x:c r="R167" s="30"/>
      <x:c r="S167" s="30"/>
      <x:c r="T167" s="30"/>
      <x:c r="U167" s="31"/>
      <x:c r="V167" s="31"/>
      <x:c r="W167" s="30"/>
      <x:c r="X167" s="30"/>
      <x:c r="Y167" s="30"/>
      <x:c r="Z167" s="30"/>
    </x:row>
    <x:row r="168">
      <x:c r="A168" s="30" t="str">
        <x:f>IF(C168="","","RG-"&amp;TEXT(B168,"0000"))</x:f>
      </x:c>
      <x:c r="B168" s="30" t="n">
        <x:v>163</x:v>
      </x:c>
      <x:c r="C168" s="30"/>
      <x:c r="D168" s="30"/>
      <x:c r="E168" s="30"/>
      <x:c r="F168" s="30"/>
      <x:c r="G168" s="30"/>
      <x:c r="H168" s="30"/>
      <x:c r="I168" s="30"/>
      <x:c r="J168" s="30"/>
      <x:c r="K168" s="30"/>
      <x:c r="L168" s="30"/>
      <x:c r="M168" s="30"/>
      <x:c r="N168" s="30"/>
      <x:c r="O168" s="30"/>
      <x:c r="P168" s="30"/>
      <x:c r="Q168" s="30"/>
      <x:c r="R168" s="30"/>
      <x:c r="S168" s="30"/>
      <x:c r="T168" s="30"/>
      <x:c r="U168" s="31"/>
      <x:c r="V168" s="31"/>
      <x:c r="W168" s="30"/>
      <x:c r="X168" s="30"/>
      <x:c r="Y168" s="30"/>
      <x:c r="Z168" s="30"/>
    </x:row>
    <x:row r="169">
      <x:c r="A169" s="30" t="str">
        <x:f>IF(C169="","","RG-"&amp;TEXT(B169,"0000"))</x:f>
      </x:c>
      <x:c r="B169" s="30" t="n">
        <x:v>164</x:v>
      </x:c>
      <x:c r="C169" s="30"/>
      <x:c r="D169" s="30"/>
      <x:c r="E169" s="30"/>
      <x:c r="F169" s="30"/>
      <x:c r="G169" s="30"/>
      <x:c r="H169" s="30"/>
      <x:c r="I169" s="30"/>
      <x:c r="J169" s="30"/>
      <x:c r="K169" s="30"/>
      <x:c r="L169" s="30"/>
      <x:c r="M169" s="30"/>
      <x:c r="N169" s="30"/>
      <x:c r="O169" s="30"/>
      <x:c r="P169" s="30"/>
      <x:c r="Q169" s="30"/>
      <x:c r="R169" s="30"/>
      <x:c r="S169" s="30"/>
      <x:c r="T169" s="30"/>
      <x:c r="U169" s="31"/>
      <x:c r="V169" s="31"/>
      <x:c r="W169" s="30"/>
      <x:c r="X169" s="30"/>
      <x:c r="Y169" s="30"/>
      <x:c r="Z169" s="30"/>
    </x:row>
    <x:row r="170">
      <x:c r="A170" s="30" t="str">
        <x:f>IF(C170="","","RG-"&amp;TEXT(B170,"0000"))</x:f>
      </x:c>
      <x:c r="B170" s="30" t="n">
        <x:v>165</x:v>
      </x:c>
      <x:c r="C170" s="30"/>
      <x:c r="D170" s="30"/>
      <x:c r="E170" s="30"/>
      <x:c r="F170" s="30"/>
      <x:c r="G170" s="30"/>
      <x:c r="H170" s="30"/>
      <x:c r="I170" s="30"/>
      <x:c r="J170" s="30"/>
      <x:c r="K170" s="30"/>
      <x:c r="L170" s="30"/>
      <x:c r="M170" s="30"/>
      <x:c r="N170" s="30"/>
      <x:c r="O170" s="30"/>
      <x:c r="P170" s="30"/>
      <x:c r="Q170" s="30"/>
      <x:c r="R170" s="30"/>
      <x:c r="S170" s="30"/>
      <x:c r="T170" s="30"/>
      <x:c r="U170" s="31"/>
      <x:c r="V170" s="31"/>
      <x:c r="W170" s="30"/>
      <x:c r="X170" s="30"/>
      <x:c r="Y170" s="30"/>
      <x:c r="Z170" s="30"/>
    </x:row>
    <x:row r="171">
      <x:c r="A171" s="30" t="str">
        <x:f>IF(C171="","","RG-"&amp;TEXT(B171,"0000"))</x:f>
      </x:c>
      <x:c r="B171" s="30" t="n">
        <x:v>166</x:v>
      </x:c>
      <x:c r="C171" s="30"/>
      <x:c r="D171" s="30"/>
      <x:c r="E171" s="30"/>
      <x:c r="F171" s="30"/>
      <x:c r="G171" s="30"/>
      <x:c r="H171" s="30"/>
      <x:c r="I171" s="30"/>
      <x:c r="J171" s="30"/>
      <x:c r="K171" s="30"/>
      <x:c r="L171" s="30"/>
      <x:c r="M171" s="30"/>
      <x:c r="N171" s="30"/>
      <x:c r="O171" s="30"/>
      <x:c r="P171" s="30"/>
      <x:c r="Q171" s="30"/>
      <x:c r="R171" s="30"/>
      <x:c r="S171" s="30"/>
      <x:c r="T171" s="30"/>
      <x:c r="U171" s="31"/>
      <x:c r="V171" s="31"/>
      <x:c r="W171" s="30"/>
      <x:c r="X171" s="30"/>
      <x:c r="Y171" s="30"/>
      <x:c r="Z171" s="30"/>
    </x:row>
    <x:row r="172">
      <x:c r="A172" s="30" t="str">
        <x:f>IF(C172="","","RG-"&amp;TEXT(B172,"0000"))</x:f>
      </x:c>
      <x:c r="B172" s="30" t="n">
        <x:v>167</x:v>
      </x:c>
      <x:c r="C172" s="30"/>
      <x:c r="D172" s="30"/>
      <x:c r="E172" s="30"/>
      <x:c r="F172" s="30"/>
      <x:c r="G172" s="30"/>
      <x:c r="H172" s="30"/>
      <x:c r="I172" s="30"/>
      <x:c r="J172" s="30"/>
      <x:c r="K172" s="30"/>
      <x:c r="L172" s="30"/>
      <x:c r="M172" s="30"/>
      <x:c r="N172" s="30"/>
      <x:c r="O172" s="30"/>
      <x:c r="P172" s="30"/>
      <x:c r="Q172" s="30"/>
      <x:c r="R172" s="30"/>
      <x:c r="S172" s="30"/>
      <x:c r="T172" s="30"/>
      <x:c r="U172" s="31"/>
      <x:c r="V172" s="31"/>
      <x:c r="W172" s="30"/>
      <x:c r="X172" s="30"/>
      <x:c r="Y172" s="30"/>
      <x:c r="Z172" s="30"/>
    </x:row>
    <x:row r="173">
      <x:c r="A173" s="30" t="str">
        <x:f>IF(C173="","","RG-"&amp;TEXT(B173,"0000"))</x:f>
      </x:c>
      <x:c r="B173" s="30" t="n">
        <x:v>168</x:v>
      </x:c>
      <x:c r="C173" s="30"/>
      <x:c r="D173" s="30"/>
      <x:c r="E173" s="30"/>
      <x:c r="F173" s="30"/>
      <x:c r="G173" s="30"/>
      <x:c r="H173" s="30"/>
      <x:c r="I173" s="30"/>
      <x:c r="J173" s="30"/>
      <x:c r="K173" s="30"/>
      <x:c r="L173" s="30"/>
      <x:c r="M173" s="30"/>
      <x:c r="N173" s="30"/>
      <x:c r="O173" s="30"/>
      <x:c r="P173" s="30"/>
      <x:c r="Q173" s="30"/>
      <x:c r="R173" s="30"/>
      <x:c r="S173" s="30"/>
      <x:c r="T173" s="30"/>
      <x:c r="U173" s="31"/>
      <x:c r="V173" s="31"/>
      <x:c r="W173" s="30"/>
      <x:c r="X173" s="30"/>
      <x:c r="Y173" s="30"/>
      <x:c r="Z173" s="30"/>
    </x:row>
    <x:row r="174">
      <x:c r="A174" s="30" t="str">
        <x:f>IF(C174="","","RG-"&amp;TEXT(B174,"0000"))</x:f>
      </x:c>
      <x:c r="B174" s="30" t="n">
        <x:v>169</x:v>
      </x:c>
      <x:c r="C174" s="30"/>
      <x:c r="D174" s="30"/>
      <x:c r="E174" s="30"/>
      <x:c r="F174" s="30"/>
      <x:c r="G174" s="30"/>
      <x:c r="H174" s="30"/>
      <x:c r="I174" s="30"/>
      <x:c r="J174" s="30"/>
      <x:c r="K174" s="30"/>
      <x:c r="L174" s="30"/>
      <x:c r="M174" s="30"/>
      <x:c r="N174" s="30"/>
      <x:c r="O174" s="30"/>
      <x:c r="P174" s="30"/>
      <x:c r="Q174" s="30"/>
      <x:c r="R174" s="30"/>
      <x:c r="S174" s="30"/>
      <x:c r="T174" s="30"/>
      <x:c r="U174" s="31"/>
      <x:c r="V174" s="31"/>
      <x:c r="W174" s="30"/>
      <x:c r="X174" s="30"/>
      <x:c r="Y174" s="30"/>
      <x:c r="Z174" s="30"/>
    </x:row>
    <x:row r="175">
      <x:c r="A175" s="30" t="str">
        <x:f>IF(C175="","","RG-"&amp;TEXT(B175,"0000"))</x:f>
      </x:c>
      <x:c r="B175" s="30" t="n">
        <x:v>170</x:v>
      </x:c>
      <x:c r="C175" s="30"/>
      <x:c r="D175" s="30"/>
      <x:c r="E175" s="30"/>
      <x:c r="F175" s="30"/>
      <x:c r="G175" s="30"/>
      <x:c r="H175" s="30"/>
      <x:c r="I175" s="30"/>
      <x:c r="J175" s="30"/>
      <x:c r="K175" s="30"/>
      <x:c r="L175" s="30"/>
      <x:c r="M175" s="30"/>
      <x:c r="N175" s="30"/>
      <x:c r="O175" s="30"/>
      <x:c r="P175" s="30"/>
      <x:c r="Q175" s="30"/>
      <x:c r="R175" s="30"/>
      <x:c r="S175" s="30"/>
      <x:c r="T175" s="30"/>
      <x:c r="U175" s="31"/>
      <x:c r="V175" s="31"/>
      <x:c r="W175" s="30"/>
      <x:c r="X175" s="30"/>
      <x:c r="Y175" s="30"/>
      <x:c r="Z175" s="30"/>
    </x:row>
    <x:row r="176">
      <x:c r="A176" s="30" t="str">
        <x:f>IF(C176="","","RG-"&amp;TEXT(B176,"0000"))</x:f>
      </x:c>
      <x:c r="B176" s="30" t="n">
        <x:v>171</x:v>
      </x:c>
      <x:c r="C176" s="30"/>
      <x:c r="D176" s="30"/>
      <x:c r="E176" s="30"/>
      <x:c r="F176" s="30"/>
      <x:c r="G176" s="30"/>
      <x:c r="H176" s="30"/>
      <x:c r="I176" s="30"/>
      <x:c r="J176" s="30"/>
      <x:c r="K176" s="30"/>
      <x:c r="L176" s="30"/>
      <x:c r="M176" s="30"/>
      <x:c r="N176" s="30"/>
      <x:c r="O176" s="30"/>
      <x:c r="P176" s="30"/>
      <x:c r="Q176" s="30"/>
      <x:c r="R176" s="30"/>
      <x:c r="S176" s="30"/>
      <x:c r="T176" s="30"/>
      <x:c r="U176" s="31"/>
      <x:c r="V176" s="31"/>
      <x:c r="W176" s="30"/>
      <x:c r="X176" s="30"/>
      <x:c r="Y176" s="30"/>
      <x:c r="Z176" s="30"/>
    </x:row>
    <x:row r="177">
      <x:c r="A177" s="30" t="str">
        <x:f>IF(C177="","","RG-"&amp;TEXT(B177,"0000"))</x:f>
      </x:c>
      <x:c r="B177" s="30" t="n">
        <x:v>172</x:v>
      </x:c>
      <x:c r="C177" s="30"/>
      <x:c r="D177" s="30"/>
      <x:c r="E177" s="30"/>
      <x:c r="F177" s="30"/>
      <x:c r="G177" s="30"/>
      <x:c r="H177" s="30"/>
      <x:c r="I177" s="30"/>
      <x:c r="J177" s="30"/>
      <x:c r="K177" s="30"/>
      <x:c r="L177" s="30"/>
      <x:c r="M177" s="30"/>
      <x:c r="N177" s="30"/>
      <x:c r="O177" s="30"/>
      <x:c r="P177" s="30"/>
      <x:c r="Q177" s="30"/>
      <x:c r="R177" s="30"/>
      <x:c r="S177" s="30"/>
      <x:c r="T177" s="30"/>
      <x:c r="U177" s="31"/>
      <x:c r="V177" s="31"/>
      <x:c r="W177" s="30"/>
      <x:c r="X177" s="30"/>
      <x:c r="Y177" s="30"/>
      <x:c r="Z177" s="30"/>
    </x:row>
    <x:row r="178">
      <x:c r="A178" s="30" t="str">
        <x:f>IF(C178="","","RG-"&amp;TEXT(B178,"0000"))</x:f>
      </x:c>
      <x:c r="B178" s="30" t="n">
        <x:v>173</x:v>
      </x:c>
      <x:c r="C178" s="30"/>
      <x:c r="D178" s="30"/>
      <x:c r="E178" s="30"/>
      <x:c r="F178" s="30"/>
      <x:c r="G178" s="30"/>
      <x:c r="H178" s="30"/>
      <x:c r="I178" s="30"/>
      <x:c r="J178" s="30"/>
      <x:c r="K178" s="30"/>
      <x:c r="L178" s="30"/>
      <x:c r="M178" s="30"/>
      <x:c r="N178" s="30"/>
      <x:c r="O178" s="30"/>
      <x:c r="P178" s="30"/>
      <x:c r="Q178" s="30"/>
      <x:c r="R178" s="30"/>
      <x:c r="S178" s="30"/>
      <x:c r="T178" s="30"/>
      <x:c r="U178" s="31"/>
      <x:c r="V178" s="31"/>
      <x:c r="W178" s="30"/>
      <x:c r="X178" s="30"/>
      <x:c r="Y178" s="30"/>
      <x:c r="Z178" s="30"/>
    </x:row>
    <x:row r="179">
      <x:c r="A179" s="30" t="str">
        <x:f>IF(C179="","","RG-"&amp;TEXT(B179,"0000"))</x:f>
      </x:c>
      <x:c r="B179" s="30" t="n">
        <x:v>174</x:v>
      </x:c>
      <x:c r="C179" s="30"/>
      <x:c r="D179" s="30"/>
      <x:c r="E179" s="30"/>
      <x:c r="F179" s="30"/>
      <x:c r="G179" s="30"/>
      <x:c r="H179" s="30"/>
      <x:c r="I179" s="30"/>
      <x:c r="J179" s="30"/>
      <x:c r="K179" s="30"/>
      <x:c r="L179" s="30"/>
      <x:c r="M179" s="30"/>
      <x:c r="N179" s="30"/>
      <x:c r="O179" s="30"/>
      <x:c r="P179" s="30"/>
      <x:c r="Q179" s="30"/>
      <x:c r="R179" s="30"/>
      <x:c r="S179" s="30"/>
      <x:c r="T179" s="30"/>
      <x:c r="U179" s="31"/>
      <x:c r="V179" s="31"/>
      <x:c r="W179" s="30"/>
      <x:c r="X179" s="30"/>
      <x:c r="Y179" s="30"/>
      <x:c r="Z179" s="30"/>
    </x:row>
    <x:row r="180">
      <x:c r="A180" s="30" t="str">
        <x:f>IF(C180="","","RG-"&amp;TEXT(B180,"0000"))</x:f>
      </x:c>
      <x:c r="B180" s="30" t="n">
        <x:v>175</x:v>
      </x:c>
      <x:c r="C180" s="30"/>
      <x:c r="D180" s="30"/>
      <x:c r="E180" s="30"/>
      <x:c r="F180" s="30"/>
      <x:c r="G180" s="30"/>
      <x:c r="H180" s="30"/>
      <x:c r="I180" s="30"/>
      <x:c r="J180" s="30"/>
      <x:c r="K180" s="30"/>
      <x:c r="L180" s="30"/>
      <x:c r="M180" s="30"/>
      <x:c r="N180" s="30"/>
      <x:c r="O180" s="30"/>
      <x:c r="P180" s="30"/>
      <x:c r="Q180" s="30"/>
      <x:c r="R180" s="30"/>
      <x:c r="S180" s="30"/>
      <x:c r="T180" s="30"/>
      <x:c r="U180" s="31"/>
      <x:c r="V180" s="31"/>
      <x:c r="W180" s="30"/>
      <x:c r="X180" s="30"/>
      <x:c r="Y180" s="30"/>
      <x:c r="Z180" s="30"/>
    </x:row>
    <x:row r="181">
      <x:c r="A181" s="30" t="str">
        <x:f>IF(C181="","","RG-"&amp;TEXT(B181,"0000"))</x:f>
      </x:c>
      <x:c r="B181" s="30" t="n">
        <x:v>176</x:v>
      </x:c>
      <x:c r="C181" s="30"/>
      <x:c r="D181" s="30"/>
      <x:c r="E181" s="30"/>
      <x:c r="F181" s="30"/>
      <x:c r="G181" s="30"/>
      <x:c r="H181" s="30"/>
      <x:c r="I181" s="30"/>
      <x:c r="J181" s="30"/>
      <x:c r="K181" s="30"/>
      <x:c r="L181" s="30"/>
      <x:c r="M181" s="30"/>
      <x:c r="N181" s="30"/>
      <x:c r="O181" s="30"/>
      <x:c r="P181" s="30"/>
      <x:c r="Q181" s="30"/>
      <x:c r="R181" s="30"/>
      <x:c r="S181" s="30"/>
      <x:c r="T181" s="30"/>
      <x:c r="U181" s="31"/>
      <x:c r="V181" s="31"/>
      <x:c r="W181" s="30"/>
      <x:c r="X181" s="30"/>
      <x:c r="Y181" s="30"/>
      <x:c r="Z181" s="30"/>
    </x:row>
    <x:row r="182">
      <x:c r="A182" s="30" t="str">
        <x:f>IF(C182="","","RG-"&amp;TEXT(B182,"0000"))</x:f>
      </x:c>
      <x:c r="B182" s="30" t="n">
        <x:v>177</x:v>
      </x:c>
      <x:c r="C182" s="30"/>
      <x:c r="D182" s="30"/>
      <x:c r="E182" s="30"/>
      <x:c r="F182" s="30"/>
      <x:c r="G182" s="30"/>
      <x:c r="H182" s="30"/>
      <x:c r="I182" s="30"/>
      <x:c r="J182" s="30"/>
      <x:c r="K182" s="30"/>
      <x:c r="L182" s="30"/>
      <x:c r="M182" s="30"/>
      <x:c r="N182" s="30"/>
      <x:c r="O182" s="30"/>
      <x:c r="P182" s="30"/>
      <x:c r="Q182" s="30"/>
      <x:c r="R182" s="30"/>
      <x:c r="S182" s="30"/>
      <x:c r="T182" s="30"/>
      <x:c r="U182" s="31"/>
      <x:c r="V182" s="31"/>
      <x:c r="W182" s="30"/>
      <x:c r="X182" s="30"/>
      <x:c r="Y182" s="30"/>
      <x:c r="Z182" s="30"/>
    </x:row>
    <x:row r="183">
      <x:c r="A183" s="30" t="str">
        <x:f>IF(C183="","","RG-"&amp;TEXT(B183,"0000"))</x:f>
      </x:c>
      <x:c r="B183" s="30" t="n">
        <x:v>178</x:v>
      </x:c>
      <x:c r="C183" s="30"/>
      <x:c r="D183" s="30"/>
      <x:c r="E183" s="30"/>
      <x:c r="F183" s="30"/>
      <x:c r="G183" s="30"/>
      <x:c r="H183" s="30"/>
      <x:c r="I183" s="30"/>
      <x:c r="J183" s="30"/>
      <x:c r="K183" s="30"/>
      <x:c r="L183" s="30"/>
      <x:c r="M183" s="30"/>
      <x:c r="N183" s="30"/>
      <x:c r="O183" s="30"/>
      <x:c r="P183" s="30"/>
      <x:c r="Q183" s="30"/>
      <x:c r="R183" s="30"/>
      <x:c r="S183" s="30"/>
      <x:c r="T183" s="30"/>
      <x:c r="U183" s="31"/>
      <x:c r="V183" s="31"/>
      <x:c r="W183" s="30"/>
      <x:c r="X183" s="30"/>
      <x:c r="Y183" s="30"/>
      <x:c r="Z183" s="30"/>
    </x:row>
    <x:row r="184">
      <x:c r="A184" s="30" t="str">
        <x:f>IF(C184="","","RG-"&amp;TEXT(B184,"0000"))</x:f>
      </x:c>
      <x:c r="B184" s="30" t="n">
        <x:v>179</x:v>
      </x:c>
      <x:c r="C184" s="30"/>
      <x:c r="D184" s="30"/>
      <x:c r="E184" s="30"/>
      <x:c r="F184" s="30"/>
      <x:c r="G184" s="30"/>
      <x:c r="H184" s="30"/>
      <x:c r="I184" s="30"/>
      <x:c r="J184" s="30"/>
      <x:c r="K184" s="30"/>
      <x:c r="L184" s="30"/>
      <x:c r="M184" s="30"/>
      <x:c r="N184" s="30"/>
      <x:c r="O184" s="30"/>
      <x:c r="P184" s="30"/>
      <x:c r="Q184" s="30"/>
      <x:c r="R184" s="30"/>
      <x:c r="S184" s="30"/>
      <x:c r="T184" s="30"/>
      <x:c r="U184" s="31"/>
      <x:c r="V184" s="31"/>
      <x:c r="W184" s="30"/>
      <x:c r="X184" s="30"/>
      <x:c r="Y184" s="30"/>
      <x:c r="Z184" s="30"/>
    </x:row>
    <x:row r="185">
      <x:c r="A185" s="30" t="str">
        <x:f>IF(C185="","","RG-"&amp;TEXT(B185,"0000"))</x:f>
      </x:c>
      <x:c r="B185" s="30" t="n">
        <x:v>180</x:v>
      </x:c>
      <x:c r="C185" s="30"/>
      <x:c r="D185" s="30"/>
      <x:c r="E185" s="30"/>
      <x:c r="F185" s="30"/>
      <x:c r="G185" s="30"/>
      <x:c r="H185" s="30"/>
      <x:c r="I185" s="30"/>
      <x:c r="J185" s="30"/>
      <x:c r="K185" s="30"/>
      <x:c r="L185" s="30"/>
      <x:c r="M185" s="30"/>
      <x:c r="N185" s="30"/>
      <x:c r="O185" s="30"/>
      <x:c r="P185" s="30"/>
      <x:c r="Q185" s="30"/>
      <x:c r="R185" s="30"/>
      <x:c r="S185" s="30"/>
      <x:c r="T185" s="30"/>
      <x:c r="U185" s="31"/>
      <x:c r="V185" s="31"/>
      <x:c r="W185" s="30"/>
      <x:c r="X185" s="30"/>
      <x:c r="Y185" s="30"/>
      <x:c r="Z185" s="30"/>
    </x:row>
    <x:row r="186">
      <x:c r="A186" s="30" t="str">
        <x:f>IF(C186="","","RG-"&amp;TEXT(B186,"0000"))</x:f>
      </x:c>
      <x:c r="B186" s="30" t="n">
        <x:v>181</x:v>
      </x:c>
      <x:c r="C186" s="30"/>
      <x:c r="D186" s="30"/>
      <x:c r="E186" s="30"/>
      <x:c r="F186" s="30"/>
      <x:c r="G186" s="30"/>
      <x:c r="H186" s="30"/>
      <x:c r="I186" s="30"/>
      <x:c r="J186" s="30"/>
      <x:c r="K186" s="30"/>
      <x:c r="L186" s="30"/>
      <x:c r="M186" s="30"/>
      <x:c r="N186" s="30"/>
      <x:c r="O186" s="30"/>
      <x:c r="P186" s="30"/>
      <x:c r="Q186" s="30"/>
      <x:c r="R186" s="30"/>
      <x:c r="S186" s="30"/>
      <x:c r="T186" s="30"/>
      <x:c r="U186" s="31"/>
      <x:c r="V186" s="31"/>
      <x:c r="W186" s="30"/>
      <x:c r="X186" s="30"/>
      <x:c r="Y186" s="30"/>
      <x:c r="Z186" s="30"/>
    </x:row>
    <x:row r="187">
      <x:c r="A187" s="30" t="str">
        <x:f>IF(C187="","","RG-"&amp;TEXT(B187,"0000"))</x:f>
      </x:c>
      <x:c r="B187" s="30" t="n">
        <x:v>182</x:v>
      </x:c>
      <x:c r="C187" s="30"/>
      <x:c r="D187" s="30"/>
      <x:c r="E187" s="30"/>
      <x:c r="F187" s="30"/>
      <x:c r="G187" s="30"/>
      <x:c r="H187" s="30"/>
      <x:c r="I187" s="30"/>
      <x:c r="J187" s="30"/>
      <x:c r="K187" s="30"/>
      <x:c r="L187" s="30"/>
      <x:c r="M187" s="30"/>
      <x:c r="N187" s="30"/>
      <x:c r="O187" s="30"/>
      <x:c r="P187" s="30"/>
      <x:c r="Q187" s="30"/>
      <x:c r="R187" s="30"/>
      <x:c r="S187" s="30"/>
      <x:c r="T187" s="30"/>
      <x:c r="U187" s="31"/>
      <x:c r="V187" s="31"/>
      <x:c r="W187" s="30"/>
      <x:c r="X187" s="30"/>
      <x:c r="Y187" s="30"/>
      <x:c r="Z187" s="30"/>
    </x:row>
    <x:row r="188">
      <x:c r="A188" s="30" t="str">
        <x:f>IF(C188="","","RG-"&amp;TEXT(B188,"0000"))</x:f>
      </x:c>
      <x:c r="B188" s="30" t="n">
        <x:v>183</x:v>
      </x:c>
      <x:c r="C188" s="30"/>
      <x:c r="D188" s="30"/>
      <x:c r="E188" s="30"/>
      <x:c r="F188" s="30"/>
      <x:c r="G188" s="30"/>
      <x:c r="H188" s="30"/>
      <x:c r="I188" s="30"/>
      <x:c r="J188" s="30"/>
      <x:c r="K188" s="30"/>
      <x:c r="L188" s="30"/>
      <x:c r="M188" s="30"/>
      <x:c r="N188" s="30"/>
      <x:c r="O188" s="30"/>
      <x:c r="P188" s="30"/>
      <x:c r="Q188" s="30"/>
      <x:c r="R188" s="30"/>
      <x:c r="S188" s="30"/>
      <x:c r="T188" s="30"/>
      <x:c r="U188" s="31"/>
      <x:c r="V188" s="31"/>
      <x:c r="W188" s="30"/>
      <x:c r="X188" s="30"/>
      <x:c r="Y188" s="30"/>
      <x:c r="Z188" s="30"/>
    </x:row>
    <x:row r="189">
      <x:c r="A189" s="30" t="str">
        <x:f>IF(C189="","","RG-"&amp;TEXT(B189,"0000"))</x:f>
      </x:c>
      <x:c r="B189" s="30" t="n">
        <x:v>184</x:v>
      </x:c>
      <x:c r="C189" s="30"/>
      <x:c r="D189" s="30"/>
      <x:c r="E189" s="30"/>
      <x:c r="F189" s="30"/>
      <x:c r="G189" s="30"/>
      <x:c r="H189" s="30"/>
      <x:c r="I189" s="30"/>
      <x:c r="J189" s="30"/>
      <x:c r="K189" s="30"/>
      <x:c r="L189" s="30"/>
      <x:c r="M189" s="30"/>
      <x:c r="N189" s="30"/>
      <x:c r="O189" s="30"/>
      <x:c r="P189" s="30"/>
      <x:c r="Q189" s="30"/>
      <x:c r="R189" s="30"/>
      <x:c r="S189" s="30"/>
      <x:c r="T189" s="30"/>
      <x:c r="U189" s="31"/>
      <x:c r="V189" s="31"/>
      <x:c r="W189" s="30"/>
      <x:c r="X189" s="30"/>
      <x:c r="Y189" s="30"/>
      <x:c r="Z189" s="30"/>
    </x:row>
    <x:row r="190">
      <x:c r="A190" s="30" t="str">
        <x:f>IF(C190="","","RG-"&amp;TEXT(B190,"0000"))</x:f>
      </x:c>
      <x:c r="B190" s="30" t="n">
        <x:v>185</x:v>
      </x:c>
      <x:c r="C190" s="30"/>
      <x:c r="D190" s="30"/>
      <x:c r="E190" s="30"/>
      <x:c r="F190" s="30"/>
      <x:c r="G190" s="30"/>
      <x:c r="H190" s="30"/>
      <x:c r="I190" s="30"/>
      <x:c r="J190" s="30"/>
      <x:c r="K190" s="30"/>
      <x:c r="L190" s="30"/>
      <x:c r="M190" s="30"/>
      <x:c r="N190" s="30"/>
      <x:c r="O190" s="30"/>
      <x:c r="P190" s="30"/>
      <x:c r="Q190" s="30"/>
      <x:c r="R190" s="30"/>
      <x:c r="S190" s="30"/>
      <x:c r="T190" s="30"/>
      <x:c r="U190" s="31"/>
      <x:c r="V190" s="31"/>
      <x:c r="W190" s="30"/>
      <x:c r="X190" s="30"/>
      <x:c r="Y190" s="30"/>
      <x:c r="Z190" s="30"/>
    </x:row>
    <x:row r="191">
      <x:c r="A191" s="30" t="str">
        <x:f>IF(C191="","","RG-"&amp;TEXT(B191,"0000"))</x:f>
      </x:c>
      <x:c r="B191" s="30" t="n">
        <x:v>186</x:v>
      </x:c>
      <x:c r="C191" s="30"/>
      <x:c r="D191" s="30"/>
      <x:c r="E191" s="30"/>
      <x:c r="F191" s="30"/>
      <x:c r="G191" s="30"/>
      <x:c r="H191" s="30"/>
      <x:c r="I191" s="30"/>
      <x:c r="J191" s="30"/>
      <x:c r="K191" s="30"/>
      <x:c r="L191" s="30"/>
      <x:c r="M191" s="30"/>
      <x:c r="N191" s="30"/>
      <x:c r="O191" s="30"/>
      <x:c r="P191" s="30"/>
      <x:c r="Q191" s="30"/>
      <x:c r="R191" s="30"/>
      <x:c r="S191" s="30"/>
      <x:c r="T191" s="30"/>
      <x:c r="U191" s="31"/>
      <x:c r="V191" s="31"/>
      <x:c r="W191" s="30"/>
      <x:c r="X191" s="30"/>
      <x:c r="Y191" s="30"/>
      <x:c r="Z191" s="30"/>
    </x:row>
    <x:row r="192">
      <x:c r="A192" s="30" t="str">
        <x:f>IF(C192="","","RG-"&amp;TEXT(B192,"0000"))</x:f>
      </x:c>
      <x:c r="B192" s="30" t="n">
        <x:v>187</x:v>
      </x:c>
      <x:c r="C192" s="30"/>
      <x:c r="D192" s="30"/>
      <x:c r="E192" s="30"/>
      <x:c r="F192" s="30"/>
      <x:c r="G192" s="30"/>
      <x:c r="H192" s="30"/>
      <x:c r="I192" s="30"/>
      <x:c r="J192" s="30"/>
      <x:c r="K192" s="30"/>
      <x:c r="L192" s="30"/>
      <x:c r="M192" s="30"/>
      <x:c r="N192" s="30"/>
      <x:c r="O192" s="30"/>
      <x:c r="P192" s="30"/>
      <x:c r="Q192" s="30"/>
      <x:c r="R192" s="30"/>
      <x:c r="S192" s="30"/>
      <x:c r="T192" s="30"/>
      <x:c r="U192" s="31"/>
      <x:c r="V192" s="31"/>
      <x:c r="W192" s="30"/>
      <x:c r="X192" s="30"/>
      <x:c r="Y192" s="30"/>
      <x:c r="Z192" s="30"/>
    </x:row>
    <x:row r="193">
      <x:c r="A193" s="30" t="str">
        <x:f>IF(C193="","","RG-"&amp;TEXT(B193,"0000"))</x:f>
      </x:c>
      <x:c r="B193" s="30" t="n">
        <x:v>188</x:v>
      </x:c>
      <x:c r="C193" s="30"/>
      <x:c r="D193" s="30"/>
      <x:c r="E193" s="30"/>
      <x:c r="F193" s="30"/>
      <x:c r="G193" s="30"/>
      <x:c r="H193" s="30"/>
      <x:c r="I193" s="30"/>
      <x:c r="J193" s="30"/>
      <x:c r="K193" s="30"/>
      <x:c r="L193" s="30"/>
      <x:c r="M193" s="30"/>
      <x:c r="N193" s="30"/>
      <x:c r="O193" s="30"/>
      <x:c r="P193" s="30"/>
      <x:c r="Q193" s="30"/>
      <x:c r="R193" s="30"/>
      <x:c r="S193" s="30"/>
      <x:c r="T193" s="30"/>
      <x:c r="U193" s="31"/>
      <x:c r="V193" s="31"/>
      <x:c r="W193" s="30"/>
      <x:c r="X193" s="30"/>
      <x:c r="Y193" s="30"/>
      <x:c r="Z193" s="30"/>
    </x:row>
    <x:row r="194">
      <x:c r="A194" s="30" t="str">
        <x:f>IF(C194="","","RG-"&amp;TEXT(B194,"0000"))</x:f>
      </x:c>
      <x:c r="B194" s="30" t="n">
        <x:v>189</x:v>
      </x:c>
      <x:c r="C194" s="30"/>
      <x:c r="D194" s="30"/>
      <x:c r="E194" s="30"/>
      <x:c r="F194" s="30"/>
      <x:c r="G194" s="30"/>
      <x:c r="H194" s="30"/>
      <x:c r="I194" s="30"/>
      <x:c r="J194" s="30"/>
      <x:c r="K194" s="30"/>
      <x:c r="L194" s="30"/>
      <x:c r="M194" s="30"/>
      <x:c r="N194" s="30"/>
      <x:c r="O194" s="30"/>
      <x:c r="P194" s="30"/>
      <x:c r="Q194" s="30"/>
      <x:c r="R194" s="30"/>
      <x:c r="S194" s="30"/>
      <x:c r="T194" s="30"/>
      <x:c r="U194" s="31"/>
      <x:c r="V194" s="31"/>
      <x:c r="W194" s="30"/>
      <x:c r="X194" s="30"/>
      <x:c r="Y194" s="30"/>
      <x:c r="Z194" s="30"/>
    </x:row>
    <x:row r="195">
      <x:c r="A195" s="30" t="str">
        <x:f>IF(C195="","","RG-"&amp;TEXT(B195,"0000"))</x:f>
      </x:c>
      <x:c r="B195" s="30" t="n">
        <x:v>190</x:v>
      </x:c>
      <x:c r="C195" s="30"/>
      <x:c r="D195" s="30"/>
      <x:c r="E195" s="30"/>
      <x:c r="F195" s="30"/>
      <x:c r="G195" s="30"/>
      <x:c r="H195" s="30"/>
      <x:c r="I195" s="30"/>
      <x:c r="J195" s="30"/>
      <x:c r="K195" s="30"/>
      <x:c r="L195" s="30"/>
      <x:c r="M195" s="30"/>
      <x:c r="N195" s="30"/>
      <x:c r="O195" s="30"/>
      <x:c r="P195" s="30"/>
      <x:c r="Q195" s="30"/>
      <x:c r="R195" s="30"/>
      <x:c r="S195" s="30"/>
      <x:c r="T195" s="30"/>
      <x:c r="U195" s="31"/>
      <x:c r="V195" s="31"/>
      <x:c r="W195" s="30"/>
      <x:c r="X195" s="30"/>
      <x:c r="Y195" s="30"/>
      <x:c r="Z195" s="30"/>
    </x:row>
    <x:row r="196">
      <x:c r="A196" s="30" t="str">
        <x:f>IF(C196="","","RG-"&amp;TEXT(B196,"0000"))</x:f>
      </x:c>
      <x:c r="B196" s="30" t="n">
        <x:v>191</x:v>
      </x:c>
      <x:c r="C196" s="30"/>
      <x:c r="D196" s="30"/>
      <x:c r="E196" s="30"/>
      <x:c r="F196" s="30"/>
      <x:c r="G196" s="30"/>
      <x:c r="H196" s="30"/>
      <x:c r="I196" s="30"/>
      <x:c r="J196" s="30"/>
      <x:c r="K196" s="30"/>
      <x:c r="L196" s="30"/>
      <x:c r="M196" s="30"/>
      <x:c r="N196" s="30"/>
      <x:c r="O196" s="30"/>
      <x:c r="P196" s="30"/>
      <x:c r="Q196" s="30"/>
      <x:c r="R196" s="30"/>
      <x:c r="S196" s="30"/>
      <x:c r="T196" s="30"/>
      <x:c r="U196" s="31"/>
      <x:c r="V196" s="31"/>
      <x:c r="W196" s="30"/>
      <x:c r="X196" s="30"/>
      <x:c r="Y196" s="30"/>
      <x:c r="Z196" s="30"/>
    </x:row>
    <x:row r="197">
      <x:c r="A197" s="30" t="str">
        <x:f>IF(C197="","","RG-"&amp;TEXT(B197,"0000"))</x:f>
      </x:c>
      <x:c r="B197" s="30" t="n">
        <x:v>192</x:v>
      </x:c>
      <x:c r="C197" s="30"/>
      <x:c r="D197" s="30"/>
      <x:c r="E197" s="30"/>
      <x:c r="F197" s="30"/>
      <x:c r="G197" s="30"/>
      <x:c r="H197" s="30"/>
      <x:c r="I197" s="30"/>
      <x:c r="J197" s="30"/>
      <x:c r="K197" s="30"/>
      <x:c r="L197" s="30"/>
      <x:c r="M197" s="30"/>
      <x:c r="N197" s="30"/>
      <x:c r="O197" s="30"/>
      <x:c r="P197" s="30"/>
      <x:c r="Q197" s="30"/>
      <x:c r="R197" s="30"/>
      <x:c r="S197" s="30"/>
      <x:c r="T197" s="30"/>
      <x:c r="U197" s="31"/>
      <x:c r="V197" s="31"/>
      <x:c r="W197" s="30"/>
      <x:c r="X197" s="30"/>
      <x:c r="Y197" s="30"/>
      <x:c r="Z197" s="30"/>
    </x:row>
    <x:row r="198">
      <x:c r="A198" s="30" t="str">
        <x:f>IF(C198="","","RG-"&amp;TEXT(B198,"0000"))</x:f>
      </x:c>
      <x:c r="B198" s="30" t="n">
        <x:v>193</x:v>
      </x:c>
      <x:c r="C198" s="30"/>
      <x:c r="D198" s="30"/>
      <x:c r="E198" s="30"/>
      <x:c r="F198" s="30"/>
      <x:c r="G198" s="30"/>
      <x:c r="H198" s="30"/>
      <x:c r="I198" s="30"/>
      <x:c r="J198" s="30"/>
      <x:c r="K198" s="30"/>
      <x:c r="L198" s="30"/>
      <x:c r="M198" s="30"/>
      <x:c r="N198" s="30"/>
      <x:c r="O198" s="30"/>
      <x:c r="P198" s="30"/>
      <x:c r="Q198" s="30"/>
      <x:c r="R198" s="30"/>
      <x:c r="S198" s="30"/>
      <x:c r="T198" s="30"/>
      <x:c r="U198" s="31"/>
      <x:c r="V198" s="31"/>
      <x:c r="W198" s="30"/>
      <x:c r="X198" s="30"/>
      <x:c r="Y198" s="30"/>
      <x:c r="Z198" s="30"/>
    </x:row>
    <x:row r="199">
      <x:c r="A199" s="30" t="str">
        <x:f>IF(C199="","","RG-"&amp;TEXT(B199,"0000"))</x:f>
      </x:c>
      <x:c r="B199" s="30" t="n">
        <x:v>194</x:v>
      </x:c>
      <x:c r="C199" s="30"/>
      <x:c r="D199" s="30"/>
      <x:c r="E199" s="30"/>
      <x:c r="F199" s="30"/>
      <x:c r="G199" s="30"/>
      <x:c r="H199" s="30"/>
      <x:c r="I199" s="30"/>
      <x:c r="J199" s="30"/>
      <x:c r="K199" s="30"/>
      <x:c r="L199" s="30"/>
      <x:c r="M199" s="30"/>
      <x:c r="N199" s="30"/>
      <x:c r="O199" s="30"/>
      <x:c r="P199" s="30"/>
      <x:c r="Q199" s="30"/>
      <x:c r="R199" s="30"/>
      <x:c r="S199" s="30"/>
      <x:c r="T199" s="30"/>
      <x:c r="U199" s="31"/>
      <x:c r="V199" s="31"/>
      <x:c r="W199" s="30"/>
      <x:c r="X199" s="30"/>
      <x:c r="Y199" s="30"/>
      <x:c r="Z199" s="30"/>
    </x:row>
    <x:row r="200">
      <x:c r="A200" s="30" t="str">
        <x:f>IF(C200="","","RG-"&amp;TEXT(B200,"0000"))</x:f>
      </x:c>
      <x:c r="B200" s="30" t="n">
        <x:v>195</x:v>
      </x:c>
      <x:c r="C200" s="30"/>
      <x:c r="D200" s="30"/>
      <x:c r="E200" s="30"/>
      <x:c r="F200" s="30"/>
      <x:c r="G200" s="30"/>
      <x:c r="H200" s="30"/>
      <x:c r="I200" s="30"/>
      <x:c r="J200" s="30"/>
      <x:c r="K200" s="30"/>
      <x:c r="L200" s="30"/>
      <x:c r="M200" s="30"/>
      <x:c r="N200" s="30"/>
      <x:c r="O200" s="30"/>
      <x:c r="P200" s="30"/>
      <x:c r="Q200" s="30"/>
      <x:c r="R200" s="30"/>
      <x:c r="S200" s="30"/>
      <x:c r="T200" s="30"/>
      <x:c r="U200" s="31"/>
      <x:c r="V200" s="31"/>
      <x:c r="W200" s="30"/>
      <x:c r="X200" s="30"/>
      <x:c r="Y200" s="30"/>
      <x:c r="Z200" s="30"/>
    </x:row>
    <x:row r="201">
      <x:c r="A201" s="30" t="str">
        <x:f>IF(C201="","","RG-"&amp;TEXT(B201,"0000"))</x:f>
      </x:c>
      <x:c r="B201" s="30" t="n">
        <x:v>196</x:v>
      </x:c>
      <x:c r="C201" s="30"/>
      <x:c r="D201" s="30"/>
      <x:c r="E201" s="30"/>
      <x:c r="F201" s="30"/>
      <x:c r="G201" s="30"/>
      <x:c r="H201" s="30"/>
      <x:c r="I201" s="30"/>
      <x:c r="J201" s="30"/>
      <x:c r="K201" s="30"/>
      <x:c r="L201" s="30"/>
      <x:c r="M201" s="30"/>
      <x:c r="N201" s="30"/>
      <x:c r="O201" s="30"/>
      <x:c r="P201" s="30"/>
      <x:c r="Q201" s="30"/>
      <x:c r="R201" s="30"/>
      <x:c r="S201" s="30"/>
      <x:c r="T201" s="30"/>
      <x:c r="U201" s="31"/>
      <x:c r="V201" s="31"/>
      <x:c r="W201" s="30"/>
      <x:c r="X201" s="30"/>
      <x:c r="Y201" s="30"/>
      <x:c r="Z201" s="30"/>
    </x:row>
    <x:row r="202">
      <x:c r="A202" s="30" t="str">
        <x:f>IF(C202="","","RG-"&amp;TEXT(B202,"0000"))</x:f>
      </x:c>
      <x:c r="B202" s="30" t="n">
        <x:v>197</x:v>
      </x:c>
      <x:c r="C202" s="30"/>
      <x:c r="D202" s="30"/>
      <x:c r="E202" s="30"/>
      <x:c r="F202" s="30"/>
      <x:c r="G202" s="30"/>
      <x:c r="H202" s="30"/>
      <x:c r="I202" s="30"/>
      <x:c r="J202" s="30"/>
      <x:c r="K202" s="30"/>
      <x:c r="L202" s="30"/>
      <x:c r="M202" s="30"/>
      <x:c r="N202" s="30"/>
      <x:c r="O202" s="30"/>
      <x:c r="P202" s="30"/>
      <x:c r="Q202" s="30"/>
      <x:c r="R202" s="30"/>
      <x:c r="S202" s="30"/>
      <x:c r="T202" s="30"/>
      <x:c r="U202" s="31"/>
      <x:c r="V202" s="31"/>
      <x:c r="W202" s="30"/>
      <x:c r="X202" s="30"/>
      <x:c r="Y202" s="30"/>
      <x:c r="Z202" s="30"/>
    </x:row>
    <x:row r="203">
      <x:c r="A203" s="30" t="str">
        <x:f>IF(C203="","","RG-"&amp;TEXT(B203,"0000"))</x:f>
      </x:c>
      <x:c r="B203" s="30" t="n">
        <x:v>198</x:v>
      </x:c>
      <x:c r="C203" s="30"/>
      <x:c r="D203" s="30"/>
      <x:c r="E203" s="30"/>
      <x:c r="F203" s="30"/>
      <x:c r="G203" s="30"/>
      <x:c r="H203" s="30"/>
      <x:c r="I203" s="30"/>
      <x:c r="J203" s="30"/>
      <x:c r="K203" s="30"/>
      <x:c r="L203" s="30"/>
      <x:c r="M203" s="30"/>
      <x:c r="N203" s="30"/>
      <x:c r="O203" s="30"/>
      <x:c r="P203" s="30"/>
      <x:c r="Q203" s="30"/>
      <x:c r="R203" s="30"/>
      <x:c r="S203" s="30"/>
      <x:c r="T203" s="30"/>
      <x:c r="U203" s="31"/>
      <x:c r="V203" s="31"/>
      <x:c r="W203" s="30"/>
      <x:c r="X203" s="30"/>
      <x:c r="Y203" s="30"/>
      <x:c r="Z203" s="30"/>
    </x:row>
    <x:row r="204">
      <x:c r="A204" s="30" t="str">
        <x:f>IF(C204="","","RG-"&amp;TEXT(B204,"0000"))</x:f>
      </x:c>
      <x:c r="B204" s="30" t="n">
        <x:v>199</x:v>
      </x:c>
      <x:c r="C204" s="30"/>
      <x:c r="D204" s="30"/>
      <x:c r="E204" s="30"/>
      <x:c r="F204" s="30"/>
      <x:c r="G204" s="30"/>
      <x:c r="H204" s="30"/>
      <x:c r="I204" s="30"/>
      <x:c r="J204" s="30"/>
      <x:c r="K204" s="30"/>
      <x:c r="L204" s="30"/>
      <x:c r="M204" s="30"/>
      <x:c r="N204" s="30"/>
      <x:c r="O204" s="30"/>
      <x:c r="P204" s="30"/>
      <x:c r="Q204" s="30"/>
      <x:c r="R204" s="30"/>
      <x:c r="S204" s="30"/>
      <x:c r="T204" s="30"/>
      <x:c r="U204" s="31"/>
      <x:c r="V204" s="31"/>
      <x:c r="W204" s="30"/>
      <x:c r="X204" s="30"/>
      <x:c r="Y204" s="30"/>
      <x:c r="Z204" s="30"/>
    </x:row>
    <x:row r="205">
      <x:c r="A205" s="30" t="str">
        <x:f>IF(C205="","","RG-"&amp;TEXT(B205,"0000"))</x:f>
      </x:c>
      <x:c r="B205" s="30" t="n">
        <x:v>200</x:v>
      </x:c>
      <x:c r="C205" s="30"/>
      <x:c r="D205" s="30"/>
      <x:c r="E205" s="30"/>
      <x:c r="F205" s="30"/>
      <x:c r="G205" s="30"/>
      <x:c r="H205" s="30"/>
      <x:c r="I205" s="30"/>
      <x:c r="J205" s="30"/>
      <x:c r="K205" s="30"/>
      <x:c r="L205" s="30"/>
      <x:c r="M205" s="30"/>
      <x:c r="N205" s="30"/>
      <x:c r="O205" s="30"/>
      <x:c r="P205" s="30"/>
      <x:c r="Q205" s="30"/>
      <x:c r="R205" s="30"/>
      <x:c r="S205" s="30"/>
      <x:c r="T205" s="30"/>
      <x:c r="U205" s="31"/>
      <x:c r="V205" s="31"/>
      <x:c r="W205" s="30"/>
      <x:c r="X205" s="30"/>
      <x:c r="Y205" s="30"/>
      <x:c r="Z205" s="30"/>
    </x:row>
    <x:row r="206">
      <x:c r="A206" s="30" t="str">
        <x:f>IF(C206="","","RG-"&amp;TEXT(B206,"0000"))</x:f>
      </x:c>
      <x:c r="B206" s="30" t="n">
        <x:v>201</x:v>
      </x:c>
      <x:c r="C206" s="30"/>
      <x:c r="D206" s="30"/>
      <x:c r="E206" s="30"/>
      <x:c r="F206" s="30"/>
      <x:c r="G206" s="30"/>
      <x:c r="H206" s="30"/>
      <x:c r="I206" s="30"/>
      <x:c r="J206" s="30"/>
      <x:c r="K206" s="30"/>
      <x:c r="L206" s="30"/>
      <x:c r="M206" s="30"/>
      <x:c r="N206" s="30"/>
      <x:c r="O206" s="30"/>
      <x:c r="P206" s="30"/>
      <x:c r="Q206" s="30"/>
      <x:c r="R206" s="30"/>
      <x:c r="S206" s="30"/>
      <x:c r="T206" s="30"/>
      <x:c r="U206" s="31"/>
      <x:c r="V206" s="31"/>
      <x:c r="W206" s="30"/>
      <x:c r="X206" s="30"/>
      <x:c r="Y206" s="30"/>
      <x:c r="Z206" s="30"/>
    </x:row>
    <x:row r="207">
      <x:c r="A207" s="30" t="str">
        <x:f>IF(C207="","","RG-"&amp;TEXT(B207,"0000"))</x:f>
      </x:c>
      <x:c r="B207" s="30" t="n">
        <x:v>202</x:v>
      </x:c>
      <x:c r="C207" s="30"/>
      <x:c r="D207" s="30"/>
      <x:c r="E207" s="30"/>
      <x:c r="F207" s="30"/>
      <x:c r="G207" s="30"/>
      <x:c r="H207" s="30"/>
      <x:c r="I207" s="30"/>
      <x:c r="J207" s="30"/>
      <x:c r="K207" s="30"/>
      <x:c r="L207" s="30"/>
      <x:c r="M207" s="30"/>
      <x:c r="N207" s="30"/>
      <x:c r="O207" s="30"/>
      <x:c r="P207" s="30"/>
      <x:c r="Q207" s="30"/>
      <x:c r="R207" s="30"/>
      <x:c r="S207" s="30"/>
      <x:c r="T207" s="30"/>
      <x:c r="U207" s="31"/>
      <x:c r="V207" s="31"/>
      <x:c r="W207" s="30"/>
      <x:c r="X207" s="30"/>
      <x:c r="Y207" s="30"/>
      <x:c r="Z207" s="30"/>
    </x:row>
    <x:row r="208">
      <x:c r="A208" s="30" t="str">
        <x:f>IF(C208="","","RG-"&amp;TEXT(B208,"0000"))</x:f>
      </x:c>
      <x:c r="B208" s="30" t="n">
        <x:v>203</x:v>
      </x:c>
      <x:c r="C208" s="30"/>
      <x:c r="D208" s="30"/>
      <x:c r="E208" s="30"/>
      <x:c r="F208" s="30"/>
      <x:c r="G208" s="30"/>
      <x:c r="H208" s="30"/>
      <x:c r="I208" s="30"/>
      <x:c r="J208" s="30"/>
      <x:c r="K208" s="30"/>
      <x:c r="L208" s="30"/>
      <x:c r="M208" s="30"/>
      <x:c r="N208" s="30"/>
      <x:c r="O208" s="30"/>
      <x:c r="P208" s="30"/>
      <x:c r="Q208" s="30"/>
      <x:c r="R208" s="30"/>
      <x:c r="S208" s="30"/>
      <x:c r="T208" s="30"/>
      <x:c r="U208" s="31"/>
      <x:c r="V208" s="31"/>
      <x:c r="W208" s="30"/>
      <x:c r="X208" s="30"/>
      <x:c r="Y208" s="30"/>
      <x:c r="Z208" s="30"/>
    </x:row>
    <x:row r="209">
      <x:c r="A209" s="30" t="str">
        <x:f>IF(C209="","","RG-"&amp;TEXT(B209,"0000"))</x:f>
      </x:c>
      <x:c r="B209" s="30" t="n">
        <x:v>204</x:v>
      </x:c>
      <x:c r="C209" s="30"/>
      <x:c r="D209" s="30"/>
      <x:c r="E209" s="30"/>
      <x:c r="F209" s="30"/>
      <x:c r="G209" s="30"/>
      <x:c r="H209" s="30"/>
      <x:c r="I209" s="30"/>
      <x:c r="J209" s="30"/>
      <x:c r="K209" s="30"/>
      <x:c r="L209" s="30"/>
      <x:c r="M209" s="30"/>
      <x:c r="N209" s="30"/>
      <x:c r="O209" s="30"/>
      <x:c r="P209" s="30"/>
      <x:c r="Q209" s="30"/>
      <x:c r="R209" s="30"/>
      <x:c r="S209" s="30"/>
      <x:c r="T209" s="30"/>
      <x:c r="U209" s="31"/>
      <x:c r="V209" s="31"/>
      <x:c r="W209" s="30"/>
      <x:c r="X209" s="30"/>
      <x:c r="Y209" s="30"/>
      <x:c r="Z209" s="30"/>
    </x:row>
    <x:row r="210">
      <x:c r="A210" s="30" t="str">
        <x:f>IF(C210="","","RG-"&amp;TEXT(B210,"0000"))</x:f>
      </x:c>
      <x:c r="B210" s="30" t="n">
        <x:v>205</x:v>
      </x:c>
      <x:c r="C210" s="30"/>
      <x:c r="D210" s="30"/>
      <x:c r="E210" s="30"/>
      <x:c r="F210" s="30"/>
      <x:c r="G210" s="30"/>
      <x:c r="H210" s="30"/>
      <x:c r="I210" s="30"/>
      <x:c r="J210" s="30"/>
      <x:c r="K210" s="30"/>
      <x:c r="L210" s="30"/>
      <x:c r="M210" s="30"/>
      <x:c r="N210" s="30"/>
      <x:c r="O210" s="30"/>
      <x:c r="P210" s="30"/>
      <x:c r="Q210" s="30"/>
      <x:c r="R210" s="30"/>
      <x:c r="S210" s="30"/>
      <x:c r="T210" s="30"/>
      <x:c r="U210" s="31"/>
      <x:c r="V210" s="31"/>
      <x:c r="W210" s="30"/>
      <x:c r="X210" s="30"/>
      <x:c r="Y210" s="30"/>
      <x:c r="Z210" s="30"/>
    </x:row>
    <x:row r="211">
      <x:c r="A211" s="30" t="str">
        <x:f>IF(C211="","","RG-"&amp;TEXT(B211,"0000"))</x:f>
      </x:c>
      <x:c r="B211" s="30" t="n">
        <x:v>206</x:v>
      </x:c>
      <x:c r="C211" s="30"/>
      <x:c r="D211" s="30"/>
      <x:c r="E211" s="30"/>
      <x:c r="F211" s="30"/>
      <x:c r="G211" s="30"/>
      <x:c r="H211" s="30"/>
      <x:c r="I211" s="30"/>
      <x:c r="J211" s="30"/>
      <x:c r="K211" s="30"/>
      <x:c r="L211" s="30"/>
      <x:c r="M211" s="30"/>
      <x:c r="N211" s="30"/>
      <x:c r="O211" s="30"/>
      <x:c r="P211" s="30"/>
      <x:c r="Q211" s="30"/>
      <x:c r="R211" s="30"/>
      <x:c r="S211" s="30"/>
      <x:c r="T211" s="30"/>
      <x:c r="U211" s="31"/>
      <x:c r="V211" s="31"/>
      <x:c r="W211" s="30"/>
      <x:c r="X211" s="30"/>
      <x:c r="Y211" s="30"/>
      <x:c r="Z211" s="30"/>
    </x:row>
    <x:row r="212">
      <x:c r="A212" s="30" t="str">
        <x:f>IF(C212="","","RG-"&amp;TEXT(B212,"0000"))</x:f>
      </x:c>
      <x:c r="B212" s="30" t="n">
        <x:v>207</x:v>
      </x:c>
      <x:c r="C212" s="30"/>
      <x:c r="D212" s="30"/>
      <x:c r="E212" s="30"/>
      <x:c r="F212" s="30"/>
      <x:c r="G212" s="30"/>
      <x:c r="H212" s="30"/>
      <x:c r="I212" s="30"/>
      <x:c r="J212" s="30"/>
      <x:c r="K212" s="30"/>
      <x:c r="L212" s="30"/>
      <x:c r="M212" s="30"/>
      <x:c r="N212" s="30"/>
      <x:c r="O212" s="30"/>
      <x:c r="P212" s="30"/>
      <x:c r="Q212" s="30"/>
      <x:c r="R212" s="30"/>
      <x:c r="S212" s="30"/>
      <x:c r="T212" s="30"/>
      <x:c r="U212" s="31"/>
      <x:c r="V212" s="31"/>
      <x:c r="W212" s="30"/>
      <x:c r="X212" s="30"/>
      <x:c r="Y212" s="30"/>
      <x:c r="Z212" s="30"/>
    </x:row>
    <x:row r="213">
      <x:c r="A213" s="30" t="str">
        <x:f>IF(C213="","","RG-"&amp;TEXT(B213,"0000"))</x:f>
      </x:c>
      <x:c r="B213" s="30" t="n">
        <x:v>208</x:v>
      </x:c>
      <x:c r="C213" s="30"/>
      <x:c r="D213" s="30"/>
      <x:c r="E213" s="30"/>
      <x:c r="F213" s="30"/>
      <x:c r="G213" s="30"/>
      <x:c r="H213" s="30"/>
      <x:c r="I213" s="30"/>
      <x:c r="J213" s="30"/>
      <x:c r="K213" s="30"/>
      <x:c r="L213" s="30"/>
      <x:c r="M213" s="30"/>
      <x:c r="N213" s="30"/>
      <x:c r="O213" s="30"/>
      <x:c r="P213" s="30"/>
      <x:c r="Q213" s="30"/>
      <x:c r="R213" s="30"/>
      <x:c r="S213" s="30"/>
      <x:c r="T213" s="30"/>
      <x:c r="U213" s="31"/>
      <x:c r="V213" s="31"/>
      <x:c r="W213" s="30"/>
      <x:c r="X213" s="30"/>
      <x:c r="Y213" s="30"/>
      <x:c r="Z213" s="30"/>
    </x:row>
    <x:row r="214">
      <x:c r="A214" s="30" t="str">
        <x:f>IF(C214="","","RG-"&amp;TEXT(B214,"0000"))</x:f>
      </x:c>
      <x:c r="B214" s="30" t="n">
        <x:v>209</x:v>
      </x:c>
      <x:c r="C214" s="30"/>
      <x:c r="D214" s="30"/>
      <x:c r="E214" s="30"/>
      <x:c r="F214" s="30"/>
      <x:c r="G214" s="30"/>
      <x:c r="H214" s="30"/>
      <x:c r="I214" s="30"/>
      <x:c r="J214" s="30"/>
      <x:c r="K214" s="30"/>
      <x:c r="L214" s="30"/>
      <x:c r="M214" s="30"/>
      <x:c r="N214" s="30"/>
      <x:c r="O214" s="30"/>
      <x:c r="P214" s="30"/>
      <x:c r="Q214" s="30"/>
      <x:c r="R214" s="30"/>
      <x:c r="S214" s="30"/>
      <x:c r="T214" s="30"/>
      <x:c r="U214" s="31"/>
      <x:c r="V214" s="31"/>
      <x:c r="W214" s="30"/>
      <x:c r="X214" s="30"/>
      <x:c r="Y214" s="30"/>
      <x:c r="Z214" s="30"/>
    </x:row>
    <x:row r="215">
      <x:c r="A215" s="30" t="str">
        <x:f>IF(C215="","","RG-"&amp;TEXT(B215,"0000"))</x:f>
      </x:c>
      <x:c r="B215" s="30" t="n">
        <x:v>210</x:v>
      </x:c>
      <x:c r="C215" s="30"/>
      <x:c r="D215" s="30"/>
      <x:c r="E215" s="30"/>
      <x:c r="F215" s="30"/>
      <x:c r="G215" s="30"/>
      <x:c r="H215" s="30"/>
      <x:c r="I215" s="30"/>
      <x:c r="J215" s="30"/>
      <x:c r="K215" s="30"/>
      <x:c r="L215" s="30"/>
      <x:c r="M215" s="30"/>
      <x:c r="N215" s="30"/>
      <x:c r="O215" s="30"/>
      <x:c r="P215" s="30"/>
      <x:c r="Q215" s="30"/>
      <x:c r="R215" s="30"/>
      <x:c r="S215" s="30"/>
      <x:c r="T215" s="30"/>
      <x:c r="U215" s="31"/>
      <x:c r="V215" s="31"/>
      <x:c r="W215" s="30"/>
      <x:c r="X215" s="30"/>
      <x:c r="Y215" s="30"/>
      <x:c r="Z215" s="30"/>
    </x:row>
    <x:row r="216">
      <x:c r="A216" s="30" t="str">
        <x:f>IF(C216="","","RG-"&amp;TEXT(B216,"0000"))</x:f>
      </x:c>
      <x:c r="B216" s="30" t="n">
        <x:v>211</x:v>
      </x:c>
      <x:c r="C216" s="30"/>
      <x:c r="D216" s="30"/>
      <x:c r="E216" s="30"/>
      <x:c r="F216" s="30"/>
      <x:c r="G216" s="30"/>
      <x:c r="H216" s="30"/>
      <x:c r="I216" s="30"/>
      <x:c r="J216" s="30"/>
      <x:c r="K216" s="30"/>
      <x:c r="L216" s="30"/>
      <x:c r="M216" s="30"/>
      <x:c r="N216" s="30"/>
      <x:c r="O216" s="30"/>
      <x:c r="P216" s="30"/>
      <x:c r="Q216" s="30"/>
      <x:c r="R216" s="30"/>
      <x:c r="S216" s="30"/>
      <x:c r="T216" s="30"/>
      <x:c r="U216" s="31"/>
      <x:c r="V216" s="31"/>
      <x:c r="W216" s="30"/>
      <x:c r="X216" s="30"/>
      <x:c r="Y216" s="30"/>
      <x:c r="Z216" s="30"/>
    </x:row>
    <x:row r="217">
      <x:c r="A217" s="30" t="str">
        <x:f>IF(C217="","","RG-"&amp;TEXT(B217,"0000"))</x:f>
      </x:c>
      <x:c r="B217" s="30" t="n">
        <x:v>212</x:v>
      </x:c>
      <x:c r="C217" s="30"/>
      <x:c r="D217" s="30"/>
      <x:c r="E217" s="30"/>
      <x:c r="F217" s="30"/>
      <x:c r="G217" s="30"/>
      <x:c r="H217" s="30"/>
      <x:c r="I217" s="30"/>
      <x:c r="J217" s="30"/>
      <x:c r="K217" s="30"/>
      <x:c r="L217" s="30"/>
      <x:c r="M217" s="30"/>
      <x:c r="N217" s="30"/>
      <x:c r="O217" s="30"/>
      <x:c r="P217" s="30"/>
      <x:c r="Q217" s="30"/>
      <x:c r="R217" s="30"/>
      <x:c r="S217" s="30"/>
      <x:c r="T217" s="30"/>
      <x:c r="U217" s="31"/>
      <x:c r="V217" s="31"/>
      <x:c r="W217" s="30"/>
      <x:c r="X217" s="30"/>
      <x:c r="Y217" s="30"/>
      <x:c r="Z217" s="30"/>
    </x:row>
    <x:row r="218">
      <x:c r="A218" s="30" t="str">
        <x:f>IF(C218="","","RG-"&amp;TEXT(B218,"0000"))</x:f>
      </x:c>
      <x:c r="B218" s="30" t="n">
        <x:v>213</x:v>
      </x:c>
      <x:c r="C218" s="30"/>
      <x:c r="D218" s="30"/>
      <x:c r="E218" s="30"/>
      <x:c r="F218" s="30"/>
      <x:c r="G218" s="30"/>
      <x:c r="H218" s="30"/>
      <x:c r="I218" s="30"/>
      <x:c r="J218" s="30"/>
      <x:c r="K218" s="30"/>
      <x:c r="L218" s="30"/>
      <x:c r="M218" s="30"/>
      <x:c r="N218" s="30"/>
      <x:c r="O218" s="30"/>
      <x:c r="P218" s="30"/>
      <x:c r="Q218" s="30"/>
      <x:c r="R218" s="30"/>
      <x:c r="S218" s="30"/>
      <x:c r="T218" s="30"/>
      <x:c r="U218" s="31"/>
      <x:c r="V218" s="31"/>
      <x:c r="W218" s="30"/>
      <x:c r="X218" s="30"/>
      <x:c r="Y218" s="30"/>
      <x:c r="Z218" s="30"/>
    </x:row>
    <x:row r="219">
      <x:c r="A219" s="30" t="str">
        <x:f>IF(C219="","","RG-"&amp;TEXT(B219,"0000"))</x:f>
      </x:c>
      <x:c r="B219" s="30" t="n">
        <x:v>214</x:v>
      </x:c>
      <x:c r="C219" s="30"/>
      <x:c r="D219" s="30"/>
      <x:c r="E219" s="30"/>
      <x:c r="F219" s="30"/>
      <x:c r="G219" s="30"/>
      <x:c r="H219" s="30"/>
      <x:c r="I219" s="30"/>
      <x:c r="J219" s="30"/>
      <x:c r="K219" s="30"/>
      <x:c r="L219" s="30"/>
      <x:c r="M219" s="30"/>
      <x:c r="N219" s="30"/>
      <x:c r="O219" s="30"/>
      <x:c r="P219" s="30"/>
      <x:c r="Q219" s="30"/>
      <x:c r="R219" s="30"/>
      <x:c r="S219" s="30"/>
      <x:c r="T219" s="30"/>
      <x:c r="U219" s="31"/>
      <x:c r="V219" s="31"/>
      <x:c r="W219" s="30"/>
      <x:c r="X219" s="30"/>
      <x:c r="Y219" s="30"/>
      <x:c r="Z219" s="30"/>
    </x:row>
    <x:row r="220">
      <x:c r="A220" s="30" t="str">
        <x:f>IF(C220="","","RG-"&amp;TEXT(B220,"0000"))</x:f>
      </x:c>
      <x:c r="B220" s="30" t="n">
        <x:v>215</x:v>
      </x:c>
      <x:c r="C220" s="30"/>
      <x:c r="D220" s="30"/>
      <x:c r="E220" s="30"/>
      <x:c r="F220" s="30"/>
      <x:c r="G220" s="30"/>
      <x:c r="H220" s="30"/>
      <x:c r="I220" s="30"/>
      <x:c r="J220" s="30"/>
      <x:c r="K220" s="30"/>
      <x:c r="L220" s="30"/>
      <x:c r="M220" s="30"/>
      <x:c r="N220" s="30"/>
      <x:c r="O220" s="30"/>
      <x:c r="P220" s="30"/>
      <x:c r="Q220" s="30"/>
      <x:c r="R220" s="30"/>
      <x:c r="S220" s="30"/>
      <x:c r="T220" s="30"/>
      <x:c r="U220" s="31"/>
      <x:c r="V220" s="31"/>
      <x:c r="W220" s="30"/>
      <x:c r="X220" s="30"/>
      <x:c r="Y220" s="30"/>
      <x:c r="Z220" s="30"/>
    </x:row>
    <x:row r="221">
      <x:c r="A221" s="30" t="str">
        <x:f>IF(C221="","","RG-"&amp;TEXT(B221,"0000"))</x:f>
      </x:c>
      <x:c r="B221" s="30" t="n">
        <x:v>216</x:v>
      </x:c>
      <x:c r="C221" s="30"/>
      <x:c r="D221" s="30"/>
      <x:c r="E221" s="30"/>
      <x:c r="F221" s="30"/>
      <x:c r="G221" s="30"/>
      <x:c r="H221" s="30"/>
      <x:c r="I221" s="30"/>
      <x:c r="J221" s="30"/>
      <x:c r="K221" s="30"/>
      <x:c r="L221" s="30"/>
      <x:c r="M221" s="30"/>
      <x:c r="N221" s="30"/>
      <x:c r="O221" s="30"/>
      <x:c r="P221" s="30"/>
      <x:c r="Q221" s="30"/>
      <x:c r="R221" s="30"/>
      <x:c r="S221" s="30"/>
      <x:c r="T221" s="30"/>
      <x:c r="U221" s="31"/>
      <x:c r="V221" s="31"/>
      <x:c r="W221" s="30"/>
      <x:c r="X221" s="30"/>
      <x:c r="Y221" s="30"/>
      <x:c r="Z221" s="30"/>
    </x:row>
    <x:row r="222">
      <x:c r="A222" s="30" t="str">
        <x:f>IF(C222="","","RG-"&amp;TEXT(B222,"0000"))</x:f>
      </x:c>
      <x:c r="B222" s="30" t="n">
        <x:v>217</x:v>
      </x:c>
      <x:c r="C222" s="30"/>
      <x:c r="D222" s="30"/>
      <x:c r="E222" s="30"/>
      <x:c r="F222" s="30"/>
      <x:c r="G222" s="30"/>
      <x:c r="H222" s="30"/>
      <x:c r="I222" s="30"/>
      <x:c r="J222" s="30"/>
      <x:c r="K222" s="30"/>
      <x:c r="L222" s="30"/>
      <x:c r="M222" s="30"/>
      <x:c r="N222" s="30"/>
      <x:c r="O222" s="30"/>
      <x:c r="P222" s="30"/>
      <x:c r="Q222" s="30"/>
      <x:c r="R222" s="30"/>
      <x:c r="S222" s="30"/>
      <x:c r="T222" s="30"/>
      <x:c r="U222" s="31"/>
      <x:c r="V222" s="31"/>
      <x:c r="W222" s="30"/>
      <x:c r="X222" s="30"/>
      <x:c r="Y222" s="30"/>
      <x:c r="Z222" s="30"/>
    </x:row>
    <x:row r="223">
      <x:c r="A223" s="30" t="str">
        <x:f>IF(C223="","","RG-"&amp;TEXT(B223,"0000"))</x:f>
      </x:c>
      <x:c r="B223" s="30" t="n">
        <x:v>218</x:v>
      </x:c>
      <x:c r="C223" s="30"/>
      <x:c r="D223" s="30"/>
      <x:c r="E223" s="30"/>
      <x:c r="F223" s="30"/>
      <x:c r="G223" s="30"/>
      <x:c r="H223" s="30"/>
      <x:c r="I223" s="30"/>
      <x:c r="J223" s="30"/>
      <x:c r="K223" s="30"/>
      <x:c r="L223" s="30"/>
      <x:c r="M223" s="30"/>
      <x:c r="N223" s="30"/>
      <x:c r="O223" s="30"/>
      <x:c r="P223" s="30"/>
      <x:c r="Q223" s="30"/>
      <x:c r="R223" s="30"/>
      <x:c r="S223" s="30"/>
      <x:c r="T223" s="30"/>
      <x:c r="U223" s="31"/>
      <x:c r="V223" s="31"/>
      <x:c r="W223" s="30"/>
      <x:c r="X223" s="30"/>
      <x:c r="Y223" s="30"/>
      <x:c r="Z223" s="30"/>
    </x:row>
    <x:row r="224">
      <x:c r="A224" s="30" t="str">
        <x:f>IF(C224="","","RG-"&amp;TEXT(B224,"0000"))</x:f>
      </x:c>
      <x:c r="B224" s="30" t="n">
        <x:v>219</x:v>
      </x:c>
      <x:c r="C224" s="30"/>
      <x:c r="D224" s="30"/>
      <x:c r="E224" s="30"/>
      <x:c r="F224" s="30"/>
      <x:c r="G224" s="30"/>
      <x:c r="H224" s="30"/>
      <x:c r="I224" s="30"/>
      <x:c r="J224" s="30"/>
      <x:c r="K224" s="30"/>
      <x:c r="L224" s="30"/>
      <x:c r="M224" s="30"/>
      <x:c r="N224" s="30"/>
      <x:c r="O224" s="30"/>
      <x:c r="P224" s="30"/>
      <x:c r="Q224" s="30"/>
      <x:c r="R224" s="30"/>
      <x:c r="S224" s="30"/>
      <x:c r="T224" s="30"/>
      <x:c r="U224" s="31"/>
      <x:c r="V224" s="31"/>
      <x:c r="W224" s="30"/>
      <x:c r="X224" s="30"/>
      <x:c r="Y224" s="30"/>
      <x:c r="Z224" s="30"/>
    </x:row>
    <x:row r="225">
      <x:c r="A225" s="30" t="str">
        <x:f>IF(C225="","","RG-"&amp;TEXT(B225,"0000"))</x:f>
      </x:c>
      <x:c r="B225" s="30" t="n">
        <x:v>220</x:v>
      </x:c>
      <x:c r="C225" s="30"/>
      <x:c r="D225" s="30"/>
      <x:c r="E225" s="30"/>
      <x:c r="F225" s="30"/>
      <x:c r="G225" s="30"/>
      <x:c r="H225" s="30"/>
      <x:c r="I225" s="30"/>
      <x:c r="J225" s="30"/>
      <x:c r="K225" s="30"/>
      <x:c r="L225" s="30"/>
      <x:c r="M225" s="30"/>
      <x:c r="N225" s="30"/>
      <x:c r="O225" s="30"/>
      <x:c r="P225" s="30"/>
      <x:c r="Q225" s="30"/>
      <x:c r="R225" s="30"/>
      <x:c r="S225" s="30"/>
      <x:c r="T225" s="30"/>
      <x:c r="U225" s="31"/>
      <x:c r="V225" s="31"/>
      <x:c r="W225" s="30"/>
      <x:c r="X225" s="30"/>
      <x:c r="Y225" s="30"/>
      <x:c r="Z225" s="30"/>
    </x:row>
    <x:row r="226">
      <x:c r="A226" s="30" t="str">
        <x:f>IF(C226="","","RG-"&amp;TEXT(B226,"0000"))</x:f>
      </x:c>
      <x:c r="B226" s="30" t="n">
        <x:v>221</x:v>
      </x:c>
      <x:c r="C226" s="30"/>
      <x:c r="D226" s="30"/>
      <x:c r="E226" s="30"/>
      <x:c r="F226" s="30"/>
      <x:c r="G226" s="30"/>
      <x:c r="H226" s="30"/>
      <x:c r="I226" s="30"/>
      <x:c r="J226" s="30"/>
      <x:c r="K226" s="30"/>
      <x:c r="L226" s="30"/>
      <x:c r="M226" s="30"/>
      <x:c r="N226" s="30"/>
      <x:c r="O226" s="30"/>
      <x:c r="P226" s="30"/>
      <x:c r="Q226" s="30"/>
      <x:c r="R226" s="30"/>
      <x:c r="S226" s="30"/>
      <x:c r="T226" s="30"/>
      <x:c r="U226" s="31"/>
      <x:c r="V226" s="31"/>
      <x:c r="W226" s="30"/>
      <x:c r="X226" s="30"/>
      <x:c r="Y226" s="30"/>
      <x:c r="Z226" s="30"/>
    </x:row>
    <x:row r="227">
      <x:c r="A227" s="30" t="str">
        <x:f>IF(C227="","","RG-"&amp;TEXT(B227,"0000"))</x:f>
      </x:c>
      <x:c r="B227" s="30" t="n">
        <x:v>222</x:v>
      </x:c>
      <x:c r="C227" s="30"/>
      <x:c r="D227" s="30"/>
      <x:c r="E227" s="30"/>
      <x:c r="F227" s="30"/>
      <x:c r="G227" s="30"/>
      <x:c r="H227" s="30"/>
      <x:c r="I227" s="30"/>
      <x:c r="J227" s="30"/>
      <x:c r="K227" s="30"/>
      <x:c r="L227" s="30"/>
      <x:c r="M227" s="30"/>
      <x:c r="N227" s="30"/>
      <x:c r="O227" s="30"/>
      <x:c r="P227" s="30"/>
      <x:c r="Q227" s="30"/>
      <x:c r="R227" s="30"/>
      <x:c r="S227" s="30"/>
      <x:c r="T227" s="30"/>
      <x:c r="U227" s="31"/>
      <x:c r="V227" s="31"/>
      <x:c r="W227" s="30"/>
      <x:c r="X227" s="30"/>
      <x:c r="Y227" s="30"/>
      <x:c r="Z227" s="30"/>
    </x:row>
    <x:row r="228">
      <x:c r="A228" s="30" t="str">
        <x:f>IF(C228="","","RG-"&amp;TEXT(B228,"0000"))</x:f>
      </x:c>
      <x:c r="B228" s="30" t="n">
        <x:v>223</x:v>
      </x:c>
      <x:c r="C228" s="30"/>
      <x:c r="D228" s="30"/>
      <x:c r="E228" s="30"/>
      <x:c r="F228" s="30"/>
      <x:c r="G228" s="30"/>
      <x:c r="H228" s="30"/>
      <x:c r="I228" s="30"/>
      <x:c r="J228" s="30"/>
      <x:c r="K228" s="30"/>
      <x:c r="L228" s="30"/>
      <x:c r="M228" s="30"/>
      <x:c r="N228" s="30"/>
      <x:c r="O228" s="30"/>
      <x:c r="P228" s="30"/>
      <x:c r="Q228" s="30"/>
      <x:c r="R228" s="30"/>
      <x:c r="S228" s="30"/>
      <x:c r="T228" s="30"/>
      <x:c r="U228" s="31"/>
      <x:c r="V228" s="31"/>
      <x:c r="W228" s="30"/>
      <x:c r="X228" s="30"/>
      <x:c r="Y228" s="30"/>
      <x:c r="Z228" s="30"/>
    </x:row>
    <x:row r="229">
      <x:c r="A229" s="30" t="str">
        <x:f>IF(C229="","","RG-"&amp;TEXT(B229,"0000"))</x:f>
      </x:c>
      <x:c r="B229" s="30" t="n">
        <x:v>224</x:v>
      </x:c>
      <x:c r="C229" s="30"/>
      <x:c r="D229" s="30"/>
      <x:c r="E229" s="30"/>
      <x:c r="F229" s="30"/>
      <x:c r="G229" s="30"/>
      <x:c r="H229" s="30"/>
      <x:c r="I229" s="30"/>
      <x:c r="J229" s="30"/>
      <x:c r="K229" s="30"/>
      <x:c r="L229" s="30"/>
      <x:c r="M229" s="30"/>
      <x:c r="N229" s="30"/>
      <x:c r="O229" s="30"/>
      <x:c r="P229" s="30"/>
      <x:c r="Q229" s="30"/>
      <x:c r="R229" s="30"/>
      <x:c r="S229" s="30"/>
      <x:c r="T229" s="30"/>
      <x:c r="U229" s="31"/>
      <x:c r="V229" s="31"/>
      <x:c r="W229" s="30"/>
      <x:c r="X229" s="30"/>
      <x:c r="Y229" s="30"/>
      <x:c r="Z229" s="30"/>
    </x:row>
    <x:row r="230">
      <x:c r="A230" s="30" t="str">
        <x:f>IF(C230="","","RG-"&amp;TEXT(B230,"0000"))</x:f>
      </x:c>
      <x:c r="B230" s="30" t="n">
        <x:v>225</x:v>
      </x:c>
      <x:c r="C230" s="30"/>
      <x:c r="D230" s="30"/>
      <x:c r="E230" s="30"/>
      <x:c r="F230" s="30"/>
      <x:c r="G230" s="30"/>
      <x:c r="H230" s="30"/>
      <x:c r="I230" s="30"/>
      <x:c r="J230" s="30"/>
      <x:c r="K230" s="30"/>
      <x:c r="L230" s="30"/>
      <x:c r="M230" s="30"/>
      <x:c r="N230" s="30"/>
      <x:c r="O230" s="30"/>
      <x:c r="P230" s="30"/>
      <x:c r="Q230" s="30"/>
      <x:c r="R230" s="30"/>
      <x:c r="S230" s="30"/>
      <x:c r="T230" s="30"/>
      <x:c r="U230" s="31"/>
      <x:c r="V230" s="31"/>
      <x:c r="W230" s="30"/>
      <x:c r="X230" s="30"/>
      <x:c r="Y230" s="30"/>
      <x:c r="Z230" s="30"/>
    </x:row>
    <x:row r="231">
      <x:c r="A231" s="30" t="str">
        <x:f>IF(C231="","","RG-"&amp;TEXT(B231,"0000"))</x:f>
      </x:c>
      <x:c r="B231" s="30" t="n">
        <x:v>226</x:v>
      </x:c>
      <x:c r="C231" s="30"/>
      <x:c r="D231" s="30"/>
      <x:c r="E231" s="30"/>
      <x:c r="F231" s="30"/>
      <x:c r="G231" s="30"/>
      <x:c r="H231" s="30"/>
      <x:c r="I231" s="30"/>
      <x:c r="J231" s="30"/>
      <x:c r="K231" s="30"/>
      <x:c r="L231" s="30"/>
      <x:c r="M231" s="30"/>
      <x:c r="N231" s="30"/>
      <x:c r="O231" s="30"/>
      <x:c r="P231" s="30"/>
      <x:c r="Q231" s="30"/>
      <x:c r="R231" s="30"/>
      <x:c r="S231" s="30"/>
      <x:c r="T231" s="30"/>
      <x:c r="U231" s="31"/>
      <x:c r="V231" s="31"/>
      <x:c r="W231" s="30"/>
      <x:c r="X231" s="30"/>
      <x:c r="Y231" s="30"/>
      <x:c r="Z231" s="30"/>
    </x:row>
    <x:row r="232">
      <x:c r="A232" s="30" t="str">
        <x:f>IF(C232="","","RG-"&amp;TEXT(B232,"0000"))</x:f>
      </x:c>
      <x:c r="B232" s="30" t="n">
        <x:v>227</x:v>
      </x:c>
      <x:c r="C232" s="30"/>
      <x:c r="D232" s="30"/>
      <x:c r="E232" s="30"/>
      <x:c r="F232" s="30"/>
      <x:c r="G232" s="30"/>
      <x:c r="H232" s="30"/>
      <x:c r="I232" s="30"/>
      <x:c r="J232" s="30"/>
      <x:c r="K232" s="30"/>
      <x:c r="L232" s="30"/>
      <x:c r="M232" s="30"/>
      <x:c r="N232" s="30"/>
      <x:c r="O232" s="30"/>
      <x:c r="P232" s="30"/>
      <x:c r="Q232" s="30"/>
      <x:c r="R232" s="30"/>
      <x:c r="S232" s="30"/>
      <x:c r="T232" s="30"/>
      <x:c r="U232" s="31"/>
      <x:c r="V232" s="31"/>
      <x:c r="W232" s="30"/>
      <x:c r="X232" s="30"/>
      <x:c r="Y232" s="30"/>
      <x:c r="Z232" s="30"/>
    </x:row>
    <x:row r="233">
      <x:c r="A233" s="30" t="str">
        <x:f>IF(C233="","","RG-"&amp;TEXT(B233,"0000"))</x:f>
      </x:c>
      <x:c r="B233" s="30" t="n">
        <x:v>228</x:v>
      </x:c>
      <x:c r="C233" s="30"/>
      <x:c r="D233" s="30"/>
      <x:c r="E233" s="30"/>
      <x:c r="F233" s="30"/>
      <x:c r="G233" s="30"/>
      <x:c r="H233" s="30"/>
      <x:c r="I233" s="30"/>
      <x:c r="J233" s="30"/>
      <x:c r="K233" s="30"/>
      <x:c r="L233" s="30"/>
      <x:c r="M233" s="30"/>
      <x:c r="N233" s="30"/>
      <x:c r="O233" s="30"/>
      <x:c r="P233" s="30"/>
      <x:c r="Q233" s="30"/>
      <x:c r="R233" s="30"/>
      <x:c r="S233" s="30"/>
      <x:c r="T233" s="30"/>
      <x:c r="U233" s="31"/>
      <x:c r="V233" s="31"/>
      <x:c r="W233" s="30"/>
      <x:c r="X233" s="30"/>
      <x:c r="Y233" s="30"/>
      <x:c r="Z233" s="30"/>
    </x:row>
    <x:row r="234">
      <x:c r="A234" s="30" t="str">
        <x:f>IF(C234="","","RG-"&amp;TEXT(B234,"0000"))</x:f>
      </x:c>
      <x:c r="B234" s="30" t="n">
        <x:v>229</x:v>
      </x:c>
      <x:c r="C234" s="30"/>
      <x:c r="D234" s="30"/>
      <x:c r="E234" s="30"/>
      <x:c r="F234" s="30"/>
      <x:c r="G234" s="30"/>
      <x:c r="H234" s="30"/>
      <x:c r="I234" s="30"/>
      <x:c r="J234" s="30"/>
      <x:c r="K234" s="30"/>
      <x:c r="L234" s="30"/>
      <x:c r="M234" s="30"/>
      <x:c r="N234" s="30"/>
      <x:c r="O234" s="30"/>
      <x:c r="P234" s="30"/>
      <x:c r="Q234" s="30"/>
      <x:c r="R234" s="30"/>
      <x:c r="S234" s="30"/>
      <x:c r="T234" s="30"/>
      <x:c r="U234" s="31"/>
      <x:c r="V234" s="31"/>
      <x:c r="W234" s="30"/>
      <x:c r="X234" s="30"/>
      <x:c r="Y234" s="30"/>
      <x:c r="Z234" s="30"/>
    </x:row>
    <x:row r="235">
      <x:c r="A235" s="30" t="str">
        <x:f>IF(C235="","","RG-"&amp;TEXT(B235,"0000"))</x:f>
      </x:c>
      <x:c r="B235" s="30" t="n">
        <x:v>230</x:v>
      </x:c>
      <x:c r="C235" s="30"/>
      <x:c r="D235" s="30"/>
      <x:c r="E235" s="30"/>
      <x:c r="F235" s="30"/>
      <x:c r="G235" s="30"/>
      <x:c r="H235" s="30"/>
      <x:c r="I235" s="30"/>
      <x:c r="J235" s="30"/>
      <x:c r="K235" s="30"/>
      <x:c r="L235" s="30"/>
      <x:c r="M235" s="30"/>
      <x:c r="N235" s="30"/>
      <x:c r="O235" s="30"/>
      <x:c r="P235" s="30"/>
      <x:c r="Q235" s="30"/>
      <x:c r="R235" s="30"/>
      <x:c r="S235" s="30"/>
      <x:c r="T235" s="30"/>
      <x:c r="U235" s="31"/>
      <x:c r="V235" s="31"/>
      <x:c r="W235" s="30"/>
      <x:c r="X235" s="30"/>
      <x:c r="Y235" s="30"/>
      <x:c r="Z235" s="30"/>
    </x:row>
    <x:row r="236">
      <x:c r="A236" s="30" t="str">
        <x:f>IF(C236="","","RG-"&amp;TEXT(B236,"0000"))</x:f>
      </x:c>
      <x:c r="B236" s="30" t="n">
        <x:v>231</x:v>
      </x:c>
      <x:c r="C236" s="30"/>
      <x:c r="D236" s="30"/>
      <x:c r="E236" s="30"/>
      <x:c r="F236" s="30"/>
      <x:c r="G236" s="30"/>
      <x:c r="H236" s="30"/>
      <x:c r="I236" s="30"/>
      <x:c r="J236" s="30"/>
      <x:c r="K236" s="30"/>
      <x:c r="L236" s="30"/>
      <x:c r="M236" s="30"/>
      <x:c r="N236" s="30"/>
      <x:c r="O236" s="30"/>
      <x:c r="P236" s="30"/>
      <x:c r="Q236" s="30"/>
      <x:c r="R236" s="30"/>
      <x:c r="S236" s="30"/>
      <x:c r="T236" s="30"/>
      <x:c r="U236" s="31"/>
      <x:c r="V236" s="31"/>
      <x:c r="W236" s="30"/>
      <x:c r="X236" s="30"/>
      <x:c r="Y236" s="30"/>
      <x:c r="Z236" s="30"/>
    </x:row>
    <x:row r="237">
      <x:c r="A237" s="30" t="str">
        <x:f>IF(C237="","","RG-"&amp;TEXT(B237,"0000"))</x:f>
      </x:c>
      <x:c r="B237" s="30" t="n">
        <x:v>232</x:v>
      </x:c>
      <x:c r="C237" s="30"/>
      <x:c r="D237" s="30"/>
      <x:c r="E237" s="30"/>
      <x:c r="F237" s="30"/>
      <x:c r="G237" s="30"/>
      <x:c r="H237" s="30"/>
      <x:c r="I237" s="30"/>
      <x:c r="J237" s="30"/>
      <x:c r="K237" s="30"/>
      <x:c r="L237" s="30"/>
      <x:c r="M237" s="30"/>
      <x:c r="N237" s="30"/>
      <x:c r="O237" s="30"/>
      <x:c r="P237" s="30"/>
      <x:c r="Q237" s="30"/>
      <x:c r="R237" s="30"/>
      <x:c r="S237" s="30"/>
      <x:c r="T237" s="30"/>
      <x:c r="U237" s="31"/>
      <x:c r="V237" s="31"/>
      <x:c r="W237" s="30"/>
      <x:c r="X237" s="30"/>
      <x:c r="Y237" s="30"/>
      <x:c r="Z237" s="30"/>
    </x:row>
    <x:row r="238">
      <x:c r="A238" s="30" t="str">
        <x:f>IF(C238="","","RG-"&amp;TEXT(B238,"0000"))</x:f>
      </x:c>
      <x:c r="B238" s="30" t="n">
        <x:v>233</x:v>
      </x:c>
      <x:c r="C238" s="30"/>
      <x:c r="D238" s="30"/>
      <x:c r="E238" s="30"/>
      <x:c r="F238" s="30"/>
      <x:c r="G238" s="30"/>
      <x:c r="H238" s="30"/>
      <x:c r="I238" s="30"/>
      <x:c r="J238" s="30"/>
      <x:c r="K238" s="30"/>
      <x:c r="L238" s="30"/>
      <x:c r="M238" s="30"/>
      <x:c r="N238" s="30"/>
      <x:c r="O238" s="30"/>
      <x:c r="P238" s="30"/>
      <x:c r="Q238" s="30"/>
      <x:c r="R238" s="30"/>
      <x:c r="S238" s="30"/>
      <x:c r="T238" s="30"/>
      <x:c r="U238" s="31"/>
      <x:c r="V238" s="31"/>
      <x:c r="W238" s="30"/>
      <x:c r="X238" s="30"/>
      <x:c r="Y238" s="30"/>
      <x:c r="Z238" s="30"/>
    </x:row>
    <x:row r="239">
      <x:c r="A239" s="30" t="str">
        <x:f>IF(C239="","","RG-"&amp;TEXT(B239,"0000"))</x:f>
      </x:c>
      <x:c r="B239" s="30" t="n">
        <x:v>234</x:v>
      </x:c>
      <x:c r="C239" s="30"/>
      <x:c r="D239" s="30"/>
      <x:c r="E239" s="30"/>
      <x:c r="F239" s="30"/>
      <x:c r="G239" s="30"/>
      <x:c r="H239" s="30"/>
      <x:c r="I239" s="30"/>
      <x:c r="J239" s="30"/>
      <x:c r="K239" s="30"/>
      <x:c r="L239" s="30"/>
      <x:c r="M239" s="30"/>
      <x:c r="N239" s="30"/>
      <x:c r="O239" s="30"/>
      <x:c r="P239" s="30"/>
      <x:c r="Q239" s="30"/>
      <x:c r="R239" s="30"/>
      <x:c r="S239" s="30"/>
      <x:c r="T239" s="30"/>
      <x:c r="U239" s="31"/>
      <x:c r="V239" s="31"/>
      <x:c r="W239" s="30"/>
      <x:c r="X239" s="30"/>
      <x:c r="Y239" s="30"/>
      <x:c r="Z239" s="30"/>
    </x:row>
    <x:row r="240">
      <x:c r="A240" s="30" t="str">
        <x:f>IF(C240="","","RG-"&amp;TEXT(B240,"0000"))</x:f>
      </x:c>
      <x:c r="B240" s="30" t="n">
        <x:v>235</x:v>
      </x:c>
      <x:c r="C240" s="30"/>
      <x:c r="D240" s="30"/>
      <x:c r="E240" s="30"/>
      <x:c r="F240" s="30"/>
      <x:c r="G240" s="30"/>
      <x:c r="H240" s="30"/>
      <x:c r="I240" s="30"/>
      <x:c r="J240" s="30"/>
      <x:c r="K240" s="30"/>
      <x:c r="L240" s="30"/>
      <x:c r="M240" s="30"/>
      <x:c r="N240" s="30"/>
      <x:c r="O240" s="30"/>
      <x:c r="P240" s="30"/>
      <x:c r="Q240" s="30"/>
      <x:c r="R240" s="30"/>
      <x:c r="S240" s="30"/>
      <x:c r="T240" s="30"/>
      <x:c r="U240" s="31"/>
      <x:c r="V240" s="31"/>
      <x:c r="W240" s="30"/>
      <x:c r="X240" s="30"/>
      <x:c r="Y240" s="30"/>
      <x:c r="Z240" s="30"/>
    </x:row>
    <x:row r="241">
      <x:c r="A241" s="30" t="str">
        <x:f>IF(C241="","","RG-"&amp;TEXT(B241,"0000"))</x:f>
      </x:c>
      <x:c r="B241" s="30" t="n">
        <x:v>236</x:v>
      </x:c>
      <x:c r="C241" s="30"/>
      <x:c r="D241" s="30"/>
      <x:c r="E241" s="30"/>
      <x:c r="F241" s="30"/>
      <x:c r="G241" s="30"/>
      <x:c r="H241" s="30"/>
      <x:c r="I241" s="30"/>
      <x:c r="J241" s="30"/>
      <x:c r="K241" s="30"/>
      <x:c r="L241" s="30"/>
      <x:c r="M241" s="30"/>
      <x:c r="N241" s="30"/>
      <x:c r="O241" s="30"/>
      <x:c r="P241" s="30"/>
      <x:c r="Q241" s="30"/>
      <x:c r="R241" s="30"/>
      <x:c r="S241" s="30"/>
      <x:c r="T241" s="30"/>
      <x:c r="U241" s="31"/>
      <x:c r="V241" s="31"/>
      <x:c r="W241" s="30"/>
      <x:c r="X241" s="30"/>
      <x:c r="Y241" s="30"/>
      <x:c r="Z241" s="30"/>
    </x:row>
    <x:row r="242">
      <x:c r="A242" s="30" t="str">
        <x:f>IF(C242="","","RG-"&amp;TEXT(B242,"0000"))</x:f>
      </x:c>
      <x:c r="B242" s="30" t="n">
        <x:v>237</x:v>
      </x:c>
      <x:c r="C242" s="30"/>
      <x:c r="D242" s="30"/>
      <x:c r="E242" s="30"/>
      <x:c r="F242" s="30"/>
      <x:c r="G242" s="30"/>
      <x:c r="H242" s="30"/>
      <x:c r="I242" s="30"/>
      <x:c r="J242" s="30"/>
      <x:c r="K242" s="30"/>
      <x:c r="L242" s="30"/>
      <x:c r="M242" s="30"/>
      <x:c r="N242" s="30"/>
      <x:c r="O242" s="30"/>
      <x:c r="P242" s="30"/>
      <x:c r="Q242" s="30"/>
      <x:c r="R242" s="30"/>
      <x:c r="S242" s="30"/>
      <x:c r="T242" s="30"/>
      <x:c r="U242" s="31"/>
      <x:c r="V242" s="31"/>
      <x:c r="W242" s="30"/>
      <x:c r="X242" s="30"/>
      <x:c r="Y242" s="30"/>
      <x:c r="Z242" s="30"/>
    </x:row>
    <x:row r="243">
      <x:c r="A243" s="30" t="str">
        <x:f>IF(C243="","","RG-"&amp;TEXT(B243,"0000"))</x:f>
      </x:c>
      <x:c r="B243" s="30" t="n">
        <x:v>238</x:v>
      </x:c>
      <x:c r="C243" s="30"/>
      <x:c r="D243" s="30"/>
      <x:c r="E243" s="30"/>
      <x:c r="F243" s="30"/>
      <x:c r="G243" s="30"/>
      <x:c r="H243" s="30"/>
      <x:c r="I243" s="30"/>
      <x:c r="J243" s="30"/>
      <x:c r="K243" s="30"/>
      <x:c r="L243" s="30"/>
      <x:c r="M243" s="30"/>
      <x:c r="N243" s="30"/>
      <x:c r="O243" s="30"/>
      <x:c r="P243" s="30"/>
      <x:c r="Q243" s="30"/>
      <x:c r="R243" s="30"/>
      <x:c r="S243" s="30"/>
      <x:c r="T243" s="30"/>
      <x:c r="U243" s="31"/>
      <x:c r="V243" s="31"/>
      <x:c r="W243" s="30"/>
      <x:c r="X243" s="30"/>
      <x:c r="Y243" s="30"/>
      <x:c r="Z243" s="30"/>
    </x:row>
    <x:row r="244">
      <x:c r="A244" s="30" t="str">
        <x:f>IF(C244="","","RG-"&amp;TEXT(B244,"0000"))</x:f>
      </x:c>
      <x:c r="B244" s="30" t="n">
        <x:v>239</x:v>
      </x:c>
      <x:c r="C244" s="30"/>
      <x:c r="D244" s="30"/>
      <x:c r="E244" s="30"/>
      <x:c r="F244" s="30"/>
      <x:c r="G244" s="30"/>
      <x:c r="H244" s="30"/>
      <x:c r="I244" s="30"/>
      <x:c r="J244" s="30"/>
      <x:c r="K244" s="30"/>
      <x:c r="L244" s="30"/>
      <x:c r="M244" s="30"/>
      <x:c r="N244" s="30"/>
      <x:c r="O244" s="30"/>
      <x:c r="P244" s="30"/>
      <x:c r="Q244" s="30"/>
      <x:c r="R244" s="30"/>
      <x:c r="S244" s="30"/>
      <x:c r="T244" s="30"/>
      <x:c r="U244" s="31"/>
      <x:c r="V244" s="31"/>
      <x:c r="W244" s="30"/>
      <x:c r="X244" s="30"/>
      <x:c r="Y244" s="30"/>
      <x:c r="Z244" s="30"/>
    </x:row>
    <x:row r="245">
      <x:c r="A245" s="30" t="str">
        <x:f>IF(C245="","","RG-"&amp;TEXT(B245,"0000"))</x:f>
      </x:c>
      <x:c r="B245" s="30" t="n">
        <x:v>240</x:v>
      </x:c>
      <x:c r="C245" s="30"/>
      <x:c r="D245" s="30"/>
      <x:c r="E245" s="30"/>
      <x:c r="F245" s="30"/>
      <x:c r="G245" s="30"/>
      <x:c r="H245" s="30"/>
      <x:c r="I245" s="30"/>
      <x:c r="J245" s="30"/>
      <x:c r="K245" s="30"/>
      <x:c r="L245" s="30"/>
      <x:c r="M245" s="30"/>
      <x:c r="N245" s="30"/>
      <x:c r="O245" s="30"/>
      <x:c r="P245" s="30"/>
      <x:c r="Q245" s="30"/>
      <x:c r="R245" s="30"/>
      <x:c r="S245" s="30"/>
      <x:c r="T245" s="30"/>
      <x:c r="U245" s="31"/>
      <x:c r="V245" s="31"/>
      <x:c r="W245" s="30"/>
      <x:c r="X245" s="30"/>
      <x:c r="Y245" s="30"/>
      <x:c r="Z245" s="30"/>
    </x:row>
    <x:row r="246">
      <x:c r="A246" s="30" t="str">
        <x:f>IF(C246="","","RG-"&amp;TEXT(B246,"0000"))</x:f>
      </x:c>
      <x:c r="B246" s="30" t="n">
        <x:v>241</x:v>
      </x:c>
      <x:c r="C246" s="30"/>
      <x:c r="D246" s="30"/>
      <x:c r="E246" s="30"/>
      <x:c r="F246" s="30"/>
      <x:c r="G246" s="30"/>
      <x:c r="H246" s="30"/>
      <x:c r="I246" s="30"/>
      <x:c r="J246" s="30"/>
      <x:c r="K246" s="30"/>
      <x:c r="L246" s="30"/>
      <x:c r="M246" s="30"/>
      <x:c r="N246" s="30"/>
      <x:c r="O246" s="30"/>
      <x:c r="P246" s="30"/>
      <x:c r="Q246" s="30"/>
      <x:c r="R246" s="30"/>
      <x:c r="S246" s="30"/>
      <x:c r="T246" s="30"/>
      <x:c r="U246" s="31"/>
      <x:c r="V246" s="31"/>
      <x:c r="W246" s="30"/>
      <x:c r="X246" s="30"/>
      <x:c r="Y246" s="30"/>
      <x:c r="Z246" s="30"/>
    </x:row>
    <x:row r="247">
      <x:c r="A247" s="30" t="str">
        <x:f>IF(C247="","","RG-"&amp;TEXT(B247,"0000"))</x:f>
      </x:c>
      <x:c r="B247" s="30" t="n">
        <x:v>242</x:v>
      </x:c>
      <x:c r="C247" s="30"/>
      <x:c r="D247" s="30"/>
      <x:c r="E247" s="30"/>
      <x:c r="F247" s="30"/>
      <x:c r="G247" s="30"/>
      <x:c r="H247" s="30"/>
      <x:c r="I247" s="30"/>
      <x:c r="J247" s="30"/>
      <x:c r="K247" s="30"/>
      <x:c r="L247" s="30"/>
      <x:c r="M247" s="30"/>
      <x:c r="N247" s="30"/>
      <x:c r="O247" s="30"/>
      <x:c r="P247" s="30"/>
      <x:c r="Q247" s="30"/>
      <x:c r="R247" s="30"/>
      <x:c r="S247" s="30"/>
      <x:c r="T247" s="30"/>
      <x:c r="U247" s="31"/>
      <x:c r="V247" s="31"/>
      <x:c r="W247" s="30"/>
      <x:c r="X247" s="30"/>
      <x:c r="Y247" s="30"/>
      <x:c r="Z247" s="30"/>
    </x:row>
    <x:row r="248">
      <x:c r="A248" s="30" t="str">
        <x:f>IF(C248="","","RG-"&amp;TEXT(B248,"0000"))</x:f>
      </x:c>
      <x:c r="B248" s="30" t="n">
        <x:v>243</x:v>
      </x:c>
      <x:c r="C248" s="30"/>
      <x:c r="D248" s="30"/>
      <x:c r="E248" s="30"/>
      <x:c r="F248" s="30"/>
      <x:c r="G248" s="30"/>
      <x:c r="H248" s="30"/>
      <x:c r="I248" s="30"/>
      <x:c r="J248" s="30"/>
      <x:c r="K248" s="30"/>
      <x:c r="L248" s="30"/>
      <x:c r="M248" s="30"/>
      <x:c r="N248" s="30"/>
      <x:c r="O248" s="30"/>
      <x:c r="P248" s="30"/>
      <x:c r="Q248" s="30"/>
      <x:c r="R248" s="30"/>
      <x:c r="S248" s="30"/>
      <x:c r="T248" s="30"/>
      <x:c r="U248" s="31"/>
      <x:c r="V248" s="31"/>
      <x:c r="W248" s="30"/>
      <x:c r="X248" s="30"/>
      <x:c r="Y248" s="30"/>
      <x:c r="Z248" s="30"/>
    </x:row>
    <x:row r="249">
      <x:c r="A249" s="30" t="str">
        <x:f>IF(C249="","","RG-"&amp;TEXT(B249,"0000"))</x:f>
      </x:c>
      <x:c r="B249" s="30" t="n">
        <x:v>244</x:v>
      </x:c>
      <x:c r="C249" s="30"/>
      <x:c r="D249" s="30"/>
      <x:c r="E249" s="30"/>
      <x:c r="F249" s="30"/>
      <x:c r="G249" s="30"/>
      <x:c r="H249" s="30"/>
      <x:c r="I249" s="30"/>
      <x:c r="J249" s="30"/>
      <x:c r="K249" s="30"/>
      <x:c r="L249" s="30"/>
      <x:c r="M249" s="30"/>
      <x:c r="N249" s="30"/>
      <x:c r="O249" s="30"/>
      <x:c r="P249" s="30"/>
      <x:c r="Q249" s="30"/>
      <x:c r="R249" s="30"/>
      <x:c r="S249" s="30"/>
      <x:c r="T249" s="30"/>
      <x:c r="U249" s="31"/>
      <x:c r="V249" s="31"/>
      <x:c r="W249" s="30"/>
      <x:c r="X249" s="30"/>
      <x:c r="Y249" s="30"/>
      <x:c r="Z249" s="30"/>
    </x:row>
    <x:row r="250">
      <x:c r="A250" s="30" t="str">
        <x:f>IF(C250="","","RG-"&amp;TEXT(B250,"0000"))</x:f>
      </x:c>
      <x:c r="B250" s="30" t="n">
        <x:v>245</x:v>
      </x:c>
      <x:c r="C250" s="30"/>
      <x:c r="D250" s="30"/>
      <x:c r="E250" s="30"/>
      <x:c r="F250" s="30"/>
      <x:c r="G250" s="30"/>
      <x:c r="H250" s="30"/>
      <x:c r="I250" s="30"/>
      <x:c r="J250" s="30"/>
      <x:c r="K250" s="30"/>
      <x:c r="L250" s="30"/>
      <x:c r="M250" s="30"/>
      <x:c r="N250" s="30"/>
      <x:c r="O250" s="30"/>
      <x:c r="P250" s="30"/>
      <x:c r="Q250" s="30"/>
      <x:c r="R250" s="30"/>
      <x:c r="S250" s="30"/>
      <x:c r="T250" s="30"/>
      <x:c r="U250" s="31"/>
      <x:c r="V250" s="31"/>
      <x:c r="W250" s="30"/>
      <x:c r="X250" s="30"/>
      <x:c r="Y250" s="30"/>
      <x:c r="Z250" s="30"/>
    </x:row>
    <x:row r="251">
      <x:c r="A251" s="30" t="str">
        <x:f>IF(C251="","","RG-"&amp;TEXT(B251,"0000"))</x:f>
      </x:c>
      <x:c r="B251" s="30" t="n">
        <x:v>246</x:v>
      </x:c>
      <x:c r="C251" s="30"/>
      <x:c r="D251" s="30"/>
      <x:c r="E251" s="30"/>
      <x:c r="F251" s="30"/>
      <x:c r="G251" s="30"/>
      <x:c r="H251" s="30"/>
      <x:c r="I251" s="30"/>
      <x:c r="J251" s="30"/>
      <x:c r="K251" s="30"/>
      <x:c r="L251" s="30"/>
      <x:c r="M251" s="30"/>
      <x:c r="N251" s="30"/>
      <x:c r="O251" s="30"/>
      <x:c r="P251" s="30"/>
      <x:c r="Q251" s="30"/>
      <x:c r="R251" s="30"/>
      <x:c r="S251" s="30"/>
      <x:c r="T251" s="30"/>
      <x:c r="U251" s="31"/>
      <x:c r="V251" s="31"/>
      <x:c r="W251" s="30"/>
      <x:c r="X251" s="30"/>
      <x:c r="Y251" s="30"/>
      <x:c r="Z251" s="30"/>
    </x:row>
    <x:row r="252">
      <x:c r="A252" s="30" t="str">
        <x:f>IF(C252="","","RG-"&amp;TEXT(B252,"0000"))</x:f>
      </x:c>
      <x:c r="B252" s="30" t="n">
        <x:v>247</x:v>
      </x:c>
      <x:c r="C252" s="30"/>
      <x:c r="D252" s="30"/>
      <x:c r="E252" s="30"/>
      <x:c r="F252" s="30"/>
      <x:c r="G252" s="30"/>
      <x:c r="H252" s="30"/>
      <x:c r="I252" s="30"/>
      <x:c r="J252" s="30"/>
      <x:c r="K252" s="30"/>
      <x:c r="L252" s="30"/>
      <x:c r="M252" s="30"/>
      <x:c r="N252" s="30"/>
      <x:c r="O252" s="30"/>
      <x:c r="P252" s="30"/>
      <x:c r="Q252" s="30"/>
      <x:c r="R252" s="30"/>
      <x:c r="S252" s="30"/>
      <x:c r="T252" s="30"/>
      <x:c r="U252" s="31"/>
      <x:c r="V252" s="31"/>
      <x:c r="W252" s="30"/>
      <x:c r="X252" s="30"/>
      <x:c r="Y252" s="30"/>
      <x:c r="Z252" s="30"/>
    </x:row>
    <x:row r="253">
      <x:c r="A253" s="30" t="str">
        <x:f>IF(C253="","","RG-"&amp;TEXT(B253,"0000"))</x:f>
      </x:c>
      <x:c r="B253" s="30" t="n">
        <x:v>248</x:v>
      </x:c>
      <x:c r="C253" s="30"/>
      <x:c r="D253" s="30"/>
      <x:c r="E253" s="30"/>
      <x:c r="F253" s="30"/>
      <x:c r="G253" s="30"/>
      <x:c r="H253" s="30"/>
      <x:c r="I253" s="30"/>
      <x:c r="J253" s="30"/>
      <x:c r="K253" s="30"/>
      <x:c r="L253" s="30"/>
      <x:c r="M253" s="30"/>
      <x:c r="N253" s="30"/>
      <x:c r="O253" s="30"/>
      <x:c r="P253" s="30"/>
      <x:c r="Q253" s="30"/>
      <x:c r="R253" s="30"/>
      <x:c r="S253" s="30"/>
      <x:c r="T253" s="30"/>
      <x:c r="U253" s="31"/>
      <x:c r="V253" s="31"/>
      <x:c r="W253" s="30"/>
      <x:c r="X253" s="30"/>
      <x:c r="Y253" s="30"/>
      <x:c r="Z253" s="30"/>
    </x:row>
    <x:row r="254">
      <x:c r="A254" s="30" t="str">
        <x:f>IF(C254="","","RG-"&amp;TEXT(B254,"0000"))</x:f>
      </x:c>
      <x:c r="B254" s="30" t="n">
        <x:v>249</x:v>
      </x:c>
      <x:c r="C254" s="30"/>
      <x:c r="D254" s="30"/>
      <x:c r="E254" s="30"/>
      <x:c r="F254" s="30"/>
      <x:c r="G254" s="30"/>
      <x:c r="H254" s="30"/>
      <x:c r="I254" s="30"/>
      <x:c r="J254" s="30"/>
      <x:c r="K254" s="30"/>
      <x:c r="L254" s="30"/>
      <x:c r="M254" s="30"/>
      <x:c r="N254" s="30"/>
      <x:c r="O254" s="30"/>
      <x:c r="P254" s="30"/>
      <x:c r="Q254" s="30"/>
      <x:c r="R254" s="30"/>
      <x:c r="S254" s="30"/>
      <x:c r="T254" s="30"/>
      <x:c r="U254" s="31"/>
      <x:c r="V254" s="31"/>
      <x:c r="W254" s="30"/>
      <x:c r="X254" s="30"/>
      <x:c r="Y254" s="30"/>
      <x:c r="Z254" s="30"/>
    </x:row>
    <x:row r="255">
      <x:c r="A255" s="30" t="str">
        <x:f>IF(C255="","","RG-"&amp;TEXT(B255,"0000"))</x:f>
      </x:c>
      <x:c r="B255" s="30" t="n">
        <x:v>250</x:v>
      </x:c>
      <x:c r="C255" s="30"/>
      <x:c r="D255" s="30"/>
      <x:c r="E255" s="30"/>
      <x:c r="F255" s="30"/>
      <x:c r="G255" s="30"/>
      <x:c r="H255" s="30"/>
      <x:c r="I255" s="30"/>
      <x:c r="J255" s="30"/>
      <x:c r="K255" s="30"/>
      <x:c r="L255" s="30"/>
      <x:c r="M255" s="30"/>
      <x:c r="N255" s="30"/>
      <x:c r="O255" s="30"/>
      <x:c r="P255" s="30"/>
      <x:c r="Q255" s="30"/>
      <x:c r="R255" s="30"/>
      <x:c r="S255" s="30"/>
      <x:c r="T255" s="30"/>
      <x:c r="U255" s="31"/>
      <x:c r="V255" s="31"/>
      <x:c r="W255" s="30"/>
      <x:c r="X255" s="30"/>
      <x:c r="Y255" s="30"/>
      <x:c r="Z255" s="30"/>
    </x:row>
  </x:sheetData>
  <x:mergeCells>
    <x:mergeCell ref="A1:Z1"/>
    <x:mergeCell ref="A2:Z2"/>
    <x:mergeCell ref="AB1:AJ1"/>
  </x:mergeCells>
  <x:conditionalFormatting sqref="M6:M255">
    <x:cfRule type="expression" dxfId="14" priority="1">
      <x:formula>OR(M6="高",M6="严重")</x:formula>
    </x:cfRule>
  </x:conditionalFormatting>
  <x:conditionalFormatting sqref="R6:R255">
    <x:cfRule type="expression" dxfId="15" priority="2">
      <x:formula>R6="已关闭"</x:formula>
    </x:cfRule>
    <x:cfRule type="expression" dxfId="16" priority="3">
      <x:formula>OR(R6="待建立",R6="进行中")</x:formula>
    </x:cfRule>
  </x:conditionalFormatting>
  <x:dataValidations count="9">
    <x:dataValidation type="list" sqref="C6:C255">
      <x:formula1>'01_命例主档'!$A$6:$A$55</x:formula1>
    </x:dataValidation>
    <x:dataValidation type="list" sqref="E6:E255">
      <x:formula1>'99_下拉选项'!$R$4:$R$16</x:formula1>
    </x:dataValidation>
    <x:dataValidation type="list" sqref="I6:I255">
      <x:formula1>'99_下拉选项'!$S$4:$S$16</x:formula1>
    </x:dataValidation>
    <x:dataValidation type="list" sqref="K6:K255">
      <x:formula1>'99_下拉选项'!$A$4:$A$21</x:formula1>
    </x:dataValidation>
    <x:dataValidation type="list" sqref="M6:M255">
      <x:formula1>'99_下拉选项'!$T$4:$T$7</x:formula1>
    </x:dataValidation>
    <x:dataValidation type="list" sqref="P6:P255">
      <x:formula1>"正例,反例,边界案例,回归测试,争议测试,综合案例"</x:formula1>
    </x:dataValidation>
    <x:dataValidation type="list" sqref="R6:R255">
      <x:formula1>'99_下拉选项'!$Q$4:$Q$8</x:formula1>
    </x:dataValidation>
    <x:dataValidation type="list" sqref="W6:W255">
      <x:formula1>'99_下拉选项'!$AG$4:$AG$8</x:formula1>
    </x:dataValidation>
    <x:dataValidation type="list" sqref="X6:X255">
      <x:formula1>'99_下拉选项'!$H$4:$H$6</x:formula1>
    </x:dataValidation>
  </x:dataValidations>
  <x:pageMargins left="0.7" right="0.7" top="0.75" bottom="0.75" header="0.3" footer="0.3"/>
  <x:drawing xmlns:r="http://schemas.openxmlformats.org/officeDocument/2006/relationships" r:id="R0d6bf4a4b8754e28"/>
  <x:tableParts count="1">
    <x:tablePart xmlns:r="http://schemas.openxmlformats.org/officeDocument/2006/relationships" r:id="R784f9e1fb77d494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8" hidden="0" customWidth="1"/>
    <x:col min="5" max="5" width="16" hidden="0" customWidth="1"/>
    <x:col min="6" max="6" width="18" hidden="0" customWidth="1"/>
    <x:col min="7" max="7" width="16" hidden="0" customWidth="1"/>
    <x:col min="8" max="8" width="22" hidden="0" customWidth="1"/>
  </x:cols>
  <x:sheetData>
    <x:row r="1">
      <x:c r="A1" s="5" t="str">
        <x:v>M0原局结构分析报告模板｜真实命例版</x:v>
      </x:c>
      <x:c r="B1" s="5"/>
      <x:c r="C1" s="5"/>
      <x:c r="D1" s="5"/>
      <x:c r="E1" s="5"/>
      <x:c r="F1" s="5"/>
      <x:c r="G1" s="5"/>
      <x:c r="H1" s="5"/>
    </x:row>
    <x:row r="2">
      <x:c r="A2" s="45" t="str">
        <x:v>选择Case_ID</x:v>
      </x:c>
      <x:c r="C2" s="60" t="str">
        <x:v>报告只读取03_结构结论总表；详细证据链请回到02和04。</x:v>
      </x:c>
      <x:c r="D2" s="60"/>
      <x:c r="E2" s="60"/>
      <x:c r="F2" s="60"/>
      <x:c r="G2" s="60"/>
      <x:c r="H2" s="60"/>
    </x:row>
    <x:row r="3">
      <x:c r="A3" s="64" t="str">
        <x:v>边界：仅讨论原局静态结构；不直接推出大运流年、婚恋、职业、财富或医学事件。资料接近交节或时刻不确定时必须保留条件。</x:v>
      </x:c>
      <x:c r="B3" s="64"/>
      <x:c r="C3" s="64"/>
      <x:c r="D3" s="64"/>
      <x:c r="E3" s="64"/>
      <x:c r="F3" s="64"/>
      <x:c r="G3" s="64"/>
      <x:c r="H3" s="64"/>
    </x:row>
    <x:row r="5">
      <x:c r="A5" s="121" t="str">
        <x:v>一、命例信息</x:v>
      </x:c>
      <x:c r="B5" s="122"/>
      <x:c r="C5" s="122"/>
      <x:c r="D5" s="122"/>
      <x:c r="E5" s="122"/>
      <x:c r="F5" s="122"/>
      <x:c r="G5" s="122"/>
      <x:c r="H5" s="123"/>
    </x:row>
    <x:row r="6">
      <x:c r="A6" s="124" t="str">
        <x:v>命例名称</x:v>
      </x:c>
      <x:c r="B6" s="141" t="str">
        <x:f>IF($B$2="","",IFERROR(VLOOKUP($B$2,'03_结构结论总表'!$A$6:$AU$55,2,FALSE),""))</x:f>
      </x:c>
      <x:c r="C6" s="141"/>
      <x:c r="D6" s="125" t="str">
        <x:v>四柱</x:v>
      </x:c>
      <x:c r="E6" s="141" t="str">
        <x:f>IF($B$2="","",IFERROR(VLOOKUP($B$2,'03_结构结论总表'!$A$6:$AU$55,3,FALSE),""))</x:f>
      </x:c>
      <x:c r="F6" s="141"/>
      <x:c r="G6" s="125" t="str">
        <x:v>总体置信度</x:v>
      </x:c>
      <x:c r="H6" s="142" t="str">
        <x:f>IF($B$2="","",IFERROR(VLOOKUP($B$2,'03_结构结论总表'!$A$6:$AU$55,41,FALSE),""))</x:f>
      </x:c>
    </x:row>
    <x:row r="7">
      <x:c r="A7" s="124" t="str">
        <x:v>结论状态</x:v>
      </x:c>
      <x:c r="B7" s="141" t="str">
        <x:f>IF($B$2="","",IFERROR(VLOOKUP($B$2,'03_结构结论总表'!$A$6:$AU$55,45,FALSE),""))</x:f>
      </x:c>
      <x:c r="C7" s="141"/>
      <x:c r="D7" s="125" t="str">
        <x:v>分析师</x:v>
      </x:c>
      <x:c r="E7" s="141" t="str">
        <x:f>IF($B$2="","",IFERROR(VLOOKUP($B$2,'03_结构结论总表'!$A$6:$AU$55,43,FALSE),""))</x:f>
      </x:c>
      <x:c r="F7" s="141"/>
      <x:c r="G7" s="125" t="str">
        <x:v>复核人</x:v>
      </x:c>
      <x:c r="H7" s="142" t="str">
        <x:f>IF($B$2="","",IFERROR(VLOOKUP($B$2,'03_结构结论总表'!$A$6:$AU$55,44,FALSE),""))</x:f>
      </x:c>
    </x:row>
    <x:row r="8">
      <x:c r="A8" s="143"/>
      <x:c r="B8" s="141"/>
      <x:c r="C8" s="141"/>
      <x:c r="D8" s="141"/>
      <x:c r="E8" s="141"/>
      <x:c r="F8" s="141"/>
      <x:c r="G8" s="141"/>
      <x:c r="H8" s="142"/>
    </x:row>
    <x:row r="9">
      <x:c r="A9" s="128" t="str">
        <x:v>二、整体结构</x:v>
      </x:c>
      <x:c r="B9" s="129"/>
      <x:c r="C9" s="129"/>
      <x:c r="D9" s="129"/>
      <x:c r="E9" s="129"/>
      <x:c r="F9" s="129"/>
      <x:c r="G9" s="129"/>
      <x:c r="H9" s="130"/>
    </x:row>
    <x:row r="10">
      <x:c r="A10" s="124" t="str">
        <x:v>五行主势</x:v>
      </x:c>
      <x:c r="B10" s="141" t="str">
        <x:f>IF($B$2="","",IFERROR(VLOOKUP($B$2,'03_结构结论总表'!$A$6:$AU$55,12,FALSE),""))</x:f>
      </x:c>
      <x:c r="C10" s="141"/>
      <x:c r="D10" s="125" t="str">
        <x:v>日主旺衰</x:v>
      </x:c>
      <x:c r="E10" s="141" t="str">
        <x:f>IF($B$2="","",IFERROR(VLOOKUP($B$2,'03_结构结论总表'!$A$6:$AU$55,13,FALSE),""))</x:f>
      </x:c>
      <x:c r="F10" s="141"/>
      <x:c r="G10" s="125" t="str">
        <x:v>月令</x:v>
      </x:c>
      <x:c r="H10" s="142" t="str">
        <x:f>IF($B$2="","",IFERROR(VLOOKUP($B$2,'03_结构结论总表'!$A$6:$AU$55,5,FALSE),""))</x:f>
      </x:c>
    </x:row>
    <x:row r="11" ht="34" customHeight="1">
      <x:c r="A11" s="124" t="str">
        <x:v>主要关系</x:v>
      </x:c>
      <x:c r="B11" s="141" t="str">
        <x:f>IF($B$2="","",IFERROR(VLOOKUP($B$2,'03_结构结论总表'!$A$6:$AU$55,6,FALSE),""))</x:f>
      </x:c>
      <x:c r="C11" s="141"/>
      <x:c r="D11" s="141"/>
      <x:c r="E11" s="141"/>
      <x:c r="F11" s="141"/>
      <x:c r="G11" s="141"/>
      <x:c r="H11" s="142"/>
    </x:row>
    <x:row r="12">
      <x:c r="A12" s="124" t="str">
        <x:v>主要十神</x:v>
      </x:c>
      <x:c r="B12" s="141" t="str">
        <x:f>IF($B$2="","",IFERROR(VLOOKUP($B$2,'03_结构结论总表'!$A$6:$AU$55,15,FALSE),""))</x:f>
      </x:c>
      <x:c r="C12" s="141"/>
      <x:c r="D12" s="141"/>
      <x:c r="E12" s="125" t="str">
        <x:v>清纯度</x:v>
      </x:c>
      <x:c r="F12" s="141" t="str">
        <x:f>IF($B$2="","",IFERROR(VLOOKUP($B$2,'03_结构结论总表'!$A$6:$AU$55,16,FALSE),""))</x:f>
      </x:c>
      <x:c r="G12" s="141"/>
      <x:c r="H12" s="142"/>
    </x:row>
    <x:row r="13">
      <x:c r="A13" s="143"/>
      <x:c r="B13" s="141"/>
      <x:c r="C13" s="141"/>
      <x:c r="D13" s="141"/>
      <x:c r="E13" s="141"/>
      <x:c r="F13" s="141"/>
      <x:c r="G13" s="141"/>
      <x:c r="H13" s="142"/>
    </x:row>
    <x:row r="14">
      <x:c r="A14" s="128" t="str">
        <x:v>三、五行有效旺衰</x:v>
      </x:c>
      <x:c r="B14" s="129"/>
      <x:c r="C14" s="129"/>
      <x:c r="D14" s="129"/>
      <x:c r="E14" s="129"/>
      <x:c r="F14" s="129"/>
      <x:c r="G14" s="129"/>
      <x:c r="H14" s="130"/>
    </x:row>
    <x:row r="15">
      <x:c r="A15" s="124" t="str">
        <x:v>木</x:v>
      </x:c>
      <x:c r="B15" s="141" t="str">
        <x:f>IF($B$2="","",IFERROR(VLOOKUP($B$2,'03_结构结论总表'!$A$6:$AU$55,7,FALSE),""))</x:f>
      </x:c>
      <x:c r="C15" s="125" t="str">
        <x:v>火</x:v>
      </x:c>
      <x:c r="D15" s="141" t="str">
        <x:f>IF($B$2="","",IFERROR(VLOOKUP($B$2,'03_结构结论总表'!$A$6:$AU$55,8,FALSE),""))</x:f>
      </x:c>
      <x:c r="E15" s="125" t="str">
        <x:v>土</x:v>
      </x:c>
      <x:c r="F15" s="141" t="str">
        <x:f>IF($B$2="","",IFERROR(VLOOKUP($B$2,'03_结构结论总表'!$A$6:$AU$55,9,FALSE),""))</x:f>
      </x:c>
      <x:c r="G15" s="125" t="str">
        <x:v>金</x:v>
      </x:c>
      <x:c r="H15" s="142" t="str">
        <x:f>IF($B$2="","",IFERROR(VLOOKUP($B$2,'03_结构结论总表'!$A$6:$AU$55,10,FALSE),""))</x:f>
      </x:c>
    </x:row>
    <x:row r="16">
      <x:c r="A16" s="124" t="str">
        <x:v>水</x:v>
      </x:c>
      <x:c r="B16" s="141" t="str">
        <x:f>IF($B$2="","",IFERROR(VLOOKUP($B$2,'03_结构结论总表'!$A$6:$AU$55,11,FALSE),""))</x:f>
      </x:c>
      <x:c r="C16" s="125" t="str">
        <x:v>日主</x:v>
      </x:c>
      <x:c r="D16" s="141" t="str">
        <x:f>IF($B$2="","",IFERROR(VLOOKUP($B$2,'03_结构结论总表'!$A$6:$AU$55,4,FALSE),""))</x:f>
      </x:c>
      <x:c r="E16" s="125" t="str">
        <x:v>旺衰置信度</x:v>
      </x:c>
      <x:c r="F16" s="141" t="str">
        <x:f>IF($B$2="","",IFERROR(VLOOKUP($B$2,'03_结构结论总表'!$A$6:$AU$55,14,FALSE),""))</x:f>
      </x:c>
      <x:c r="G16" s="141"/>
      <x:c r="H16" s="142"/>
    </x:row>
    <x:row r="17">
      <x:c r="A17" s="143"/>
      <x:c r="B17" s="141"/>
      <x:c r="C17" s="141"/>
      <x:c r="D17" s="141"/>
      <x:c r="E17" s="141"/>
      <x:c r="F17" s="141"/>
      <x:c r="G17" s="141"/>
      <x:c r="H17" s="142"/>
    </x:row>
    <x:row r="18">
      <x:c r="A18" s="128" t="str">
        <x:v>四、组合、流通与调候</x:v>
      </x:c>
      <x:c r="B18" s="129"/>
      <x:c r="C18" s="129"/>
      <x:c r="D18" s="129"/>
      <x:c r="E18" s="129"/>
      <x:c r="F18" s="129"/>
      <x:c r="G18" s="129"/>
      <x:c r="H18" s="130"/>
    </x:row>
    <x:row r="19" ht="34" customHeight="1">
      <x:c r="A19" s="124" t="str">
        <x:v>成立组合</x:v>
      </x:c>
      <x:c r="B19" s="141" t="str">
        <x:f>IF($B$2="","",IFERROR(VLOOKUP($B$2,'03_结构结论总表'!$A$6:$AU$55,17,FALSE),""))</x:f>
      </x:c>
      <x:c r="C19" s="141"/>
      <x:c r="D19" s="141"/>
      <x:c r="E19" s="141"/>
      <x:c r="F19" s="141"/>
      <x:c r="G19" s="141"/>
      <x:c r="H19" s="142"/>
    </x:row>
    <x:row r="20" ht="34" customHeight="1">
      <x:c r="A20" s="124" t="str">
        <x:v>主流通路径</x:v>
      </x:c>
      <x:c r="B20" s="141" t="str">
        <x:f>IF($B$2="","",IFERROR(VLOOKUP($B$2,'03_结构结论总表'!$A$6:$AU$55,18,FALSE),""))</x:f>
      </x:c>
      <x:c r="C20" s="141"/>
      <x:c r="D20" s="141"/>
      <x:c r="E20" s="125" t="str">
        <x:v>主卡点</x:v>
      </x:c>
      <x:c r="F20" s="141" t="str">
        <x:f>IF($B$2="","",IFERROR(VLOOKUP($B$2,'03_结构结论总表'!$A$6:$AU$55,19,FALSE),""))</x:f>
      </x:c>
      <x:c r="G20" s="141"/>
      <x:c r="H20" s="142"/>
    </x:row>
    <x:row r="21">
      <x:c r="A21" s="124" t="str">
        <x:v>温度</x:v>
      </x:c>
      <x:c r="B21" s="141" t="str">
        <x:f>IF($B$2="","",IFERROR(VLOOKUP($B$2,'03_结构结论总表'!$A$6:$AU$55,20,FALSE),""))</x:f>
      </x:c>
      <x:c r="C21" s="125" t="str">
        <x:v>湿度</x:v>
      </x:c>
      <x:c r="D21" s="141" t="str">
        <x:f>IF($B$2="","",IFERROR(VLOOKUP($B$2,'03_结构结论总表'!$A$6:$AU$55,21,FALSE),""))</x:f>
      </x:c>
      <x:c r="E21" s="125" t="str">
        <x:v>紧急度</x:v>
      </x:c>
      <x:c r="F21" s="141" t="str">
        <x:f>IF($B$2="","",IFERROR(VLOOKUP($B$2,'03_结构结论总表'!$A$6:$AU$55,22,FALSE),""))</x:f>
      </x:c>
      <x:c r="G21" s="141"/>
      <x:c r="H21" s="142"/>
    </x:row>
    <x:row r="22">
      <x:c r="A22" s="143"/>
      <x:c r="B22" s="141"/>
      <x:c r="C22" s="141"/>
      <x:c r="D22" s="141"/>
      <x:c r="E22" s="141"/>
      <x:c r="F22" s="141"/>
      <x:c r="G22" s="141"/>
      <x:c r="H22" s="142"/>
    </x:row>
    <x:row r="23">
      <x:c r="A23" s="128" t="str">
        <x:v>五、格局成败</x:v>
      </x:c>
      <x:c r="B23" s="129"/>
      <x:c r="C23" s="129"/>
      <x:c r="D23" s="129"/>
      <x:c r="E23" s="129"/>
      <x:c r="F23" s="129"/>
      <x:c r="G23" s="129"/>
      <x:c r="H23" s="130"/>
    </x:row>
    <x:row r="24">
      <x:c r="A24" s="124" t="str">
        <x:v>第一候选</x:v>
      </x:c>
      <x:c r="B24" s="141" t="str">
        <x:f>IF($B$2="","",IFERROR(VLOOKUP($B$2,'03_结构结论总表'!$A$6:$AU$55,23,FALSE),""))</x:f>
      </x:c>
      <x:c r="C24" s="141"/>
      <x:c r="D24" s="141"/>
      <x:c r="E24" s="125" t="str">
        <x:v>最终格局</x:v>
      </x:c>
      <x:c r="F24" s="141" t="str">
        <x:f>IF($B$2="","",IFERROR(VLOOKUP($B$2,'03_结构结论总表'!$A$6:$AU$55,24,FALSE),""))</x:f>
      </x:c>
      <x:c r="G24" s="141"/>
      <x:c r="H24" s="142"/>
    </x:row>
    <x:row r="25" ht="34" customHeight="1">
      <x:c r="A25" s="124" t="str">
        <x:v>格局状态</x:v>
      </x:c>
      <x:c r="B25" s="141" t="str">
        <x:f>IF($B$2="","",IFERROR(VLOOKUP($B$2,'03_结构结论总表'!$A$6:$AU$55,25,FALSE),""))</x:f>
      </x:c>
      <x:c r="C25" s="125" t="str">
        <x:v>破格因素</x:v>
      </x:c>
      <x:c r="D25" s="141" t="str">
        <x:f>IF($B$2="","",IFERROR(VLOOKUP($B$2,'03_结构结论总表'!$A$6:$AU$55,26,FALSE),""))</x:f>
      </x:c>
      <x:c r="E25" s="141"/>
      <x:c r="F25" s="141"/>
      <x:c r="G25" s="125" t="str">
        <x:v>救应</x:v>
      </x:c>
      <x:c r="H25" s="142" t="str">
        <x:f>IF($B$2="","",IFERROR(VLOOKUP($B$2,'03_结构结论总表'!$A$6:$AU$55,27,FALSE),""))</x:f>
      </x:c>
    </x:row>
    <x:row r="26">
      <x:c r="A26" s="143"/>
      <x:c r="B26" s="141"/>
      <x:c r="C26" s="141"/>
      <x:c r="D26" s="141"/>
      <x:c r="E26" s="141"/>
      <x:c r="F26" s="141"/>
      <x:c r="G26" s="141"/>
      <x:c r="H26" s="142"/>
    </x:row>
    <x:row r="27">
      <x:c r="A27" s="128" t="str">
        <x:v>六、病药模型</x:v>
      </x:c>
      <x:c r="B27" s="129"/>
      <x:c r="C27" s="129"/>
      <x:c r="D27" s="129"/>
      <x:c r="E27" s="129"/>
      <x:c r="F27" s="129"/>
      <x:c r="G27" s="129"/>
      <x:c r="H27" s="130"/>
    </x:row>
    <x:row r="28" ht="34" customHeight="1">
      <x:c r="A28" s="124" t="str">
        <x:v>根本主病</x:v>
      </x:c>
      <x:c r="B28" s="141" t="str">
        <x:f>IF($B$2="","",IFERROR(VLOOKUP($B$2,'03_结构结论总表'!$A$6:$AU$55,28,FALSE),""))</x:f>
      </x:c>
      <x:c r="C28" s="141"/>
      <x:c r="D28" s="141"/>
      <x:c r="E28" s="141"/>
      <x:c r="F28" s="141"/>
      <x:c r="G28" s="141"/>
      <x:c r="H28" s="142"/>
    </x:row>
    <x:row r="29">
      <x:c r="A29" s="124" t="str">
        <x:v>次级病</x:v>
      </x:c>
      <x:c r="B29" s="141" t="str">
        <x:f>IF($B$2="","",IFERROR(VLOOKUP($B$2,'03_结构结论总表'!$A$6:$AU$55,29,FALSE),""))</x:f>
      </x:c>
      <x:c r="C29" s="141"/>
      <x:c r="D29" s="141"/>
      <x:c r="E29" s="125" t="str">
        <x:v>主药</x:v>
      </x:c>
      <x:c r="F29" s="141" t="str">
        <x:f>IF($B$2="","",IFERROR(VLOOKUP($B$2,'03_结构结论总表'!$A$6:$AU$55,30,FALSE),""))</x:f>
      </x:c>
      <x:c r="G29" s="125" t="str">
        <x:v>辅助药</x:v>
      </x:c>
      <x:c r="H29" s="142" t="str">
        <x:f>IF($B$2="","",IFERROR(VLOOKUP($B$2,'03_结构结论总表'!$A$6:$AU$55,31,FALSE),""))</x:f>
      </x:c>
    </x:row>
    <x:row r="30">
      <x:c r="A30" s="143"/>
      <x:c r="B30" s="141"/>
      <x:c r="C30" s="141"/>
      <x:c r="D30" s="141"/>
      <x:c r="E30" s="141"/>
      <x:c r="F30" s="141"/>
      <x:c r="G30" s="141"/>
      <x:c r="H30" s="142"/>
    </x:row>
    <x:row r="31">
      <x:c r="A31" s="128" t="str">
        <x:v>七、喜忌用神</x:v>
      </x:c>
      <x:c r="B31" s="129"/>
      <x:c r="C31" s="129"/>
      <x:c r="D31" s="129"/>
      <x:c r="E31" s="129"/>
      <x:c r="F31" s="129"/>
      <x:c r="G31" s="129"/>
      <x:c r="H31" s="130"/>
    </x:row>
    <x:row r="32">
      <x:c r="A32" s="124" t="str">
        <x:v>主用神</x:v>
      </x:c>
      <x:c r="B32" s="141" t="str">
        <x:f>IF($B$2="","",IFERROR(VLOOKUP($B$2,'03_结构结论总表'!$A$6:$AU$55,32,FALSE),""))</x:f>
      </x:c>
      <x:c r="C32" s="125" t="str">
        <x:v>辅助用神</x:v>
      </x:c>
      <x:c r="D32" s="141" t="str">
        <x:f>IF($B$2="","",IFERROR(VLOOKUP($B$2,'03_结构结论总表'!$A$6:$AU$55,33,FALSE),""))</x:f>
      </x:c>
      <x:c r="E32" s="125" t="str">
        <x:v>喜神</x:v>
      </x:c>
      <x:c r="F32" s="141" t="str">
        <x:f>IF($B$2="","",IFERROR(VLOOKUP($B$2,'03_结构结论总表'!$A$6:$AU$55,34,FALSE),""))</x:f>
      </x:c>
      <x:c r="G32" s="125" t="str">
        <x:v>条件性喜神</x:v>
      </x:c>
      <x:c r="H32" s="142" t="str">
        <x:f>IF($B$2="","",IFERROR(VLOOKUP($B$2,'03_结构结论总表'!$A$6:$AU$55,35,FALSE),""))</x:f>
      </x:c>
    </x:row>
    <x:row r="33">
      <x:c r="A33" s="124" t="str">
        <x:v>中性</x:v>
      </x:c>
      <x:c r="B33" s="141" t="str">
        <x:f>IF($B$2="","",IFERROR(VLOOKUP($B$2,'03_结构结论总表'!$A$6:$AU$55,36,FALSE),""))</x:f>
      </x:c>
      <x:c r="C33" s="125" t="str">
        <x:v>条件性忌神</x:v>
      </x:c>
      <x:c r="D33" s="141" t="str">
        <x:f>IF($B$2="","",IFERROR(VLOOKUP($B$2,'03_结构结论总表'!$A$6:$AU$55,37,FALSE),""))</x:f>
      </x:c>
      <x:c r="E33" s="125" t="str">
        <x:v>忌神</x:v>
      </x:c>
      <x:c r="F33" s="141" t="str">
        <x:f>IF($B$2="","",IFERROR(VLOOKUP($B$2,'03_结构结论总表'!$A$6:$AU$55,38,FALSE),""))</x:f>
      </x:c>
      <x:c r="G33" s="125" t="str">
        <x:v>仇神</x:v>
      </x:c>
      <x:c r="H33" s="142" t="str">
        <x:f>IF($B$2="","",IFERROR(VLOOKUP($B$2,'03_结构结论总表'!$A$6:$AU$55,39,FALSE),""))</x:f>
      </x:c>
    </x:row>
    <x:row r="34">
      <x:c r="A34" s="143"/>
      <x:c r="B34" s="141"/>
      <x:c r="C34" s="141"/>
      <x:c r="D34" s="141"/>
      <x:c r="E34" s="141"/>
      <x:c r="F34" s="141"/>
      <x:c r="G34" s="141"/>
      <x:c r="H34" s="142"/>
    </x:row>
    <x:row r="35">
      <x:c r="A35" s="128" t="str">
        <x:v>八、冲突、反证与条件边界</x:v>
      </x:c>
      <x:c r="B35" s="129"/>
      <x:c r="C35" s="129"/>
      <x:c r="D35" s="129"/>
      <x:c r="E35" s="129"/>
      <x:c r="F35" s="129"/>
      <x:c r="G35" s="129"/>
      <x:c r="H35" s="130"/>
    </x:row>
    <x:row r="36" ht="34" customHeight="1">
      <x:c r="A36" s="124" t="str">
        <x:v>M18裁决</x:v>
      </x:c>
      <x:c r="B36" s="141" t="str">
        <x:f>IF($B$2="","",IFERROR(VLOOKUP($B$2,'03_结构结论总表'!$A$6:$AU$55,40,FALSE),""))</x:f>
      </x:c>
      <x:c r="C36" s="141"/>
      <x:c r="D36" s="141"/>
      <x:c r="E36" s="141"/>
      <x:c r="F36" s="141"/>
      <x:c r="G36" s="141"/>
      <x:c r="H36" s="142"/>
    </x:row>
    <x:row r="37" ht="34" customHeight="1">
      <x:c r="A37" s="124" t="str">
        <x:v>关键反向证据</x:v>
      </x:c>
      <x:c r="B37" s="141" t="str">
        <x:f>IF($B$2="","",IFERROR(VLOOKUP($B$2,'03_结构结论总表'!$A$6:$AU$55,42,FALSE),""))</x:f>
      </x:c>
      <x:c r="C37" s="141"/>
      <x:c r="D37" s="141"/>
      <x:c r="E37" s="141"/>
      <x:c r="F37" s="141"/>
      <x:c r="G37" s="141"/>
      <x:c r="H37" s="142"/>
    </x:row>
    <x:row r="38">
      <x:c r="A38" s="143"/>
      <x:c r="B38" s="141"/>
      <x:c r="C38" s="141"/>
      <x:c r="D38" s="141"/>
      <x:c r="E38" s="141"/>
      <x:c r="F38" s="141"/>
      <x:c r="G38" s="141"/>
      <x:c r="H38" s="142"/>
    </x:row>
    <x:row r="39">
      <x:c r="A39" s="128" t="str">
        <x:v>九、用户可读摘要</x:v>
      </x:c>
      <x:c r="B39" s="129"/>
      <x:c r="C39" s="129"/>
      <x:c r="D39" s="129"/>
      <x:c r="E39" s="129"/>
      <x:c r="F39" s="129"/>
      <x:c r="G39" s="129"/>
      <x:c r="H39" s="130"/>
    </x:row>
    <x:row r="40" ht="28" customHeight="1">
      <x:c r="A40" s="144" t="str">
        <x:f>IF($B$2="","",IFERROR(VLOOKUP($B$2,'03_结构结论总表'!$A$6:$AU$55,47,FALSE),""))</x:f>
      </x:c>
      <x:c r="B40" s="145"/>
      <x:c r="C40" s="145"/>
      <x:c r="D40" s="145"/>
      <x:c r="E40" s="145"/>
      <x:c r="F40" s="145"/>
      <x:c r="G40" s="145"/>
      <x:c r="H40" s="146"/>
    </x:row>
    <x:row r="41" ht="28" customHeight="1">
      <x:c r="A41" s="144"/>
      <x:c r="B41" s="145"/>
      <x:c r="C41" s="145"/>
      <x:c r="D41" s="145"/>
      <x:c r="E41" s="145"/>
      <x:c r="F41" s="145"/>
      <x:c r="G41" s="145"/>
      <x:c r="H41" s="146"/>
    </x:row>
    <x:row r="42" ht="28" customHeight="1">
      <x:c r="A42" s="144"/>
      <x:c r="B42" s="145"/>
      <x:c r="C42" s="145"/>
      <x:c r="D42" s="145"/>
      <x:c r="E42" s="145"/>
      <x:c r="F42" s="145"/>
      <x:c r="G42" s="145"/>
      <x:c r="H42" s="146"/>
    </x:row>
    <x:row r="43" ht="28" customHeight="1">
      <x:c r="A43" s="144"/>
      <x:c r="B43" s="145"/>
      <x:c r="C43" s="145"/>
      <x:c r="D43" s="145"/>
      <x:c r="E43" s="145"/>
      <x:c r="F43" s="145"/>
      <x:c r="G43" s="145"/>
      <x:c r="H43" s="146"/>
    </x:row>
    <x:row r="44" ht="28" customHeight="1">
      <x:c r="A44" s="144"/>
      <x:c r="B44" s="145"/>
      <x:c r="C44" s="145"/>
      <x:c r="D44" s="145"/>
      <x:c r="E44" s="145"/>
      <x:c r="F44" s="145"/>
      <x:c r="G44" s="145"/>
      <x:c r="H44" s="146"/>
    </x:row>
    <x:row r="45" ht="28" customHeight="1">
      <x:c r="A45" s="144"/>
      <x:c r="B45" s="145"/>
      <x:c r="C45" s="145"/>
      <x:c r="D45" s="145"/>
      <x:c r="E45" s="145"/>
      <x:c r="F45" s="145"/>
      <x:c r="G45" s="145"/>
      <x:c r="H45" s="146"/>
    </x:row>
    <x:row r="46" ht="28" customHeight="1">
      <x:c r="A46" s="144"/>
      <x:c r="B46" s="145"/>
      <x:c r="C46" s="145"/>
      <x:c r="D46" s="145"/>
      <x:c r="E46" s="145"/>
      <x:c r="F46" s="145"/>
      <x:c r="G46" s="145"/>
      <x:c r="H46" s="146"/>
    </x:row>
    <x:row r="47">
      <x:c r="A47" s="143"/>
      <x:c r="B47" s="141"/>
      <x:c r="C47" s="141"/>
      <x:c r="D47" s="141"/>
      <x:c r="E47" s="141"/>
      <x:c r="F47" s="141"/>
      <x:c r="G47" s="141"/>
      <x:c r="H47" s="142"/>
    </x:row>
    <x:row r="48">
      <x:c r="A48" s="147" t="str">
        <x:v>说明：喜用神是命局结构中的作用方向，不自动等同颜色、方位、物品或行业建议；具体岁运和主题问题需另行进入动态或上层模型。</x:v>
      </x:c>
      <x:c r="B48" s="148"/>
      <x:c r="C48" s="148"/>
      <x:c r="D48" s="148"/>
      <x:c r="E48" s="148"/>
      <x:c r="F48" s="148"/>
      <x:c r="G48" s="148"/>
      <x:c r="H48" s="149"/>
    </x:row>
    <x:row r="49">
      <x:c r="A49" s="150"/>
      <x:c r="B49" s="151"/>
      <x:c r="C49" s="151"/>
      <x:c r="D49" s="151"/>
      <x:c r="E49" s="151"/>
      <x:c r="F49" s="151"/>
      <x:c r="G49" s="151"/>
      <x:c r="H49" s="152"/>
    </x:row>
  </x:sheetData>
  <x:mergeCells>
    <x:mergeCell ref="A1:H1"/>
    <x:mergeCell ref="C2:H2"/>
    <x:mergeCell ref="A3:H3"/>
    <x:mergeCell ref="A5:H5"/>
    <x:mergeCell ref="B6:C6"/>
    <x:mergeCell ref="E6:F6"/>
    <x:mergeCell ref="B7:C7"/>
    <x:mergeCell ref="E7:F7"/>
    <x:mergeCell ref="A9:H9"/>
    <x:mergeCell ref="B10:C10"/>
    <x:mergeCell ref="E10:F10"/>
    <x:mergeCell ref="B11:H11"/>
    <x:mergeCell ref="B12:D12"/>
    <x:mergeCell ref="F12:H12"/>
    <x:mergeCell ref="A14:H14"/>
    <x:mergeCell ref="F16:H16"/>
    <x:mergeCell ref="A18:H18"/>
    <x:mergeCell ref="B19:H19"/>
    <x:mergeCell ref="B20:D20"/>
    <x:mergeCell ref="F20:H20"/>
    <x:mergeCell ref="F21:H21"/>
    <x:mergeCell ref="A23:H23"/>
    <x:mergeCell ref="B24:D24"/>
    <x:mergeCell ref="F24:H24"/>
    <x:mergeCell ref="D25:F25"/>
    <x:mergeCell ref="A27:H27"/>
    <x:mergeCell ref="B28:H28"/>
    <x:mergeCell ref="B29:D29"/>
    <x:mergeCell ref="A31:H31"/>
    <x:mergeCell ref="A35:H35"/>
    <x:mergeCell ref="B36:H36"/>
    <x:mergeCell ref="B37:H37"/>
    <x:mergeCell ref="A39:H39"/>
    <x:mergeCell ref="A40:H46"/>
    <x:mergeCell ref="A48:H49"/>
  </x:mergeCells>
  <x:dataValidations count="1">
    <x:dataValidation type="list" sqref="B2">
      <x:formula1>'01_命例主档'!$A$6:$A$55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" hidden="0" customWidth="1"/>
    <x:col min="3" max="3" width="8" hidden="0" customWidth="1"/>
    <x:col min="4" max="4" width="20" hidden="0" customWidth="1"/>
    <x:col min="5" max="5" width="12" hidden="0" customWidth="1"/>
    <x:col min="6" max="6" width="8" hidden="0" customWidth="1"/>
    <x:col min="7" max="7" width="9" hidden="0" customWidth="1"/>
    <x:col min="8" max="8" width="32" hidden="0" customWidth="1"/>
    <x:col min="9" max="9" width="14" hidden="0" customWidth="1"/>
    <x:col min="10" max="10" width="24" hidden="0" customWidth="1"/>
    <x:col min="11" max="11" width="42" hidden="0" customWidth="1"/>
    <x:col min="12" max="12" width="10" hidden="0" customWidth="1"/>
    <x:col min="13" max="13" width="10" hidden="0" customWidth="1"/>
    <x:col min="14" max="14" width="10" hidden="0" customWidth="1"/>
    <x:col min="15" max="15" width="12" hidden="0" customWidth="1"/>
    <x:col min="16" max="16" width="40" hidden="0" customWidth="1"/>
  </x:cols>
  <x:sheetData>
    <x:row r="1">
      <x:c r="A1" s="5" t="str">
        <x:v>M0核心规则与输出字段索引｜适配核心V1.9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>
      <x:c r="A2" t="str">
        <x:v>用于快速检索Rule_ID/Field_ID。正式规则内容仍以核心工作簿为准；本表只保留分析所需的名称、输出、置信度和治理字段。</x:v>
      </x:c>
    </x:row>
    <x:row r="5">
      <x:c r="A5" s="14" t="str">
        <x:v>ID</x:v>
      </x:c>
      <x:c r="B5" s="14" t="str">
        <x:v>记录类别</x:v>
      </x:c>
      <x:c r="C5" s="14" t="str">
        <x:v>模块</x:v>
      </x:c>
      <x:c r="D5" s="14" t="str">
        <x:v>工作表</x:v>
      </x:c>
      <x:c r="E5" s="14" t="str">
        <x:v>子类</x:v>
      </x:c>
      <x:c r="F5" s="14" t="str">
        <x:v>序号</x:v>
      </x:c>
      <x:c r="G5" s="14" t="str">
        <x:v>版本</x:v>
      </x:c>
      <x:c r="H5" s="14" t="str">
        <x:v>记录名称</x:v>
      </x:c>
      <x:c r="I5" s="14" t="str">
        <x:v>层级</x:v>
      </x:c>
      <x:c r="J5" s="14" t="str">
        <x:v>结论标签/章节</x:v>
      </x:c>
      <x:c r="K5" s="14" t="str">
        <x:v>标准输出/用户模板</x:v>
      </x:c>
      <x:c r="L5" s="14" t="str">
        <x:v>置信度</x:v>
      </x:c>
      <x:c r="M5" s="14" t="str">
        <x:v>规则状态</x:v>
      </x:c>
      <x:c r="N5" s="14" t="str">
        <x:v>审核状态</x:v>
      </x:c>
      <x:c r="O5" s="14" t="str">
        <x:v>更新日期</x:v>
      </x:c>
      <x:c r="P5" s="14" t="str">
        <x:v>来源/备注</x:v>
      </x:c>
    </x:row>
    <x:row r="6">
      <x:c r="A6" s="20" t="str">
        <x:v>M02-TG-0001-V1.0</x:v>
      </x:c>
      <x:c r="B6" s="20" t="str">
        <x:v>基础记录</x:v>
      </x:c>
      <x:c r="C6" s="20" t="str">
        <x:v>M02</x:v>
      </x:c>
      <x:c r="D6" s="20" t="str">
        <x:v>02_干支藏干基础</x:v>
      </x:c>
      <x:c r="E6" s="20" t="str">
        <x:v>TG</x:v>
      </x:c>
      <x:c r="F6" s="20" t="n">
        <x:v>1</x:v>
      </x:c>
      <x:c r="G6" s="20" t="str">
        <x:v>V1.0</x:v>
      </x:c>
      <x:c r="H6" s="20" t="str">
        <x:v>天干｜甲</x:v>
      </x:c>
      <x:c r="I6" s="20" t="str">
        <x:v>识别层</x:v>
      </x:c>
      <x:c r="J6" s="20" t="str">
        <x:v>天干基础映射</x:v>
      </x:c>
      <x:c r="K6" s="20" t="str">
        <x:v>天干甲：阳木。</x:v>
      </x:c>
      <x:c r="L6" s="20" t="str">
        <x:v>确定</x:v>
      </x:c>
      <x:c r="M6" s="20" t="str">
        <x:v>采用</x:v>
      </x:c>
      <x:c r="N6" s="20" t="str">
        <x:v>初审</x:v>
      </x:c>
      <x:c r="O6" s="22" t="n">
        <x:v>46255</x:v>
      </x:c>
      <x:c r="P6" s="20" t="str">
        <x:v>传统十天干阴阳五行通行表；《三命通会》《渊海子平》相关基础论述</x:v>
      </x:c>
    </x:row>
    <x:row r="7">
      <x:c r="A7" s="20" t="str">
        <x:v>M02-TG-0002-V1.0</x:v>
      </x:c>
      <x:c r="B7" s="20" t="str">
        <x:v>基础记录</x:v>
      </x:c>
      <x:c r="C7" s="20" t="str">
        <x:v>M02</x:v>
      </x:c>
      <x:c r="D7" s="20" t="str">
        <x:v>02_干支藏干基础</x:v>
      </x:c>
      <x:c r="E7" s="20" t="str">
        <x:v>TG</x:v>
      </x:c>
      <x:c r="F7" s="20" t="n">
        <x:v>2</x:v>
      </x:c>
      <x:c r="G7" s="20" t="str">
        <x:v>V1.0</x:v>
      </x:c>
      <x:c r="H7" s="20" t="str">
        <x:v>天干｜乙</x:v>
      </x:c>
      <x:c r="I7" s="20" t="str">
        <x:v>识别层</x:v>
      </x:c>
      <x:c r="J7" s="20" t="str">
        <x:v>天干基础映射</x:v>
      </x:c>
      <x:c r="K7" s="20" t="str">
        <x:v>天干乙：阴木。</x:v>
      </x:c>
      <x:c r="L7" s="20" t="str">
        <x:v>确定</x:v>
      </x:c>
      <x:c r="M7" s="20" t="str">
        <x:v>采用</x:v>
      </x:c>
      <x:c r="N7" s="20" t="str">
        <x:v>初审</x:v>
      </x:c>
      <x:c r="O7" s="22" t="n">
        <x:v>46255</x:v>
      </x:c>
      <x:c r="P7" s="20" t="str">
        <x:v>传统十天干阴阳五行通行表；《三命通会》《渊海子平》相关基础论述</x:v>
      </x:c>
    </x:row>
    <x:row r="8">
      <x:c r="A8" s="20" t="str">
        <x:v>M02-TG-0003-V1.0</x:v>
      </x:c>
      <x:c r="B8" s="20" t="str">
        <x:v>基础记录</x:v>
      </x:c>
      <x:c r="C8" s="20" t="str">
        <x:v>M02</x:v>
      </x:c>
      <x:c r="D8" s="20" t="str">
        <x:v>02_干支藏干基础</x:v>
      </x:c>
      <x:c r="E8" s="20" t="str">
        <x:v>TG</x:v>
      </x:c>
      <x:c r="F8" s="20" t="n">
        <x:v>3</x:v>
      </x:c>
      <x:c r="G8" s="20" t="str">
        <x:v>V1.0</x:v>
      </x:c>
      <x:c r="H8" s="20" t="str">
        <x:v>天干｜丙</x:v>
      </x:c>
      <x:c r="I8" s="20" t="str">
        <x:v>识别层</x:v>
      </x:c>
      <x:c r="J8" s="20" t="str">
        <x:v>天干基础映射</x:v>
      </x:c>
      <x:c r="K8" s="20" t="str">
        <x:v>天干丙：阳火。</x:v>
      </x:c>
      <x:c r="L8" s="20" t="str">
        <x:v>确定</x:v>
      </x:c>
      <x:c r="M8" s="20" t="str">
        <x:v>采用</x:v>
      </x:c>
      <x:c r="N8" s="20" t="str">
        <x:v>初审</x:v>
      </x:c>
      <x:c r="O8" s="22" t="n">
        <x:v>46255</x:v>
      </x:c>
      <x:c r="P8" s="20" t="str">
        <x:v>传统十天干阴阳五行通行表；《三命通会》《渊海子平》相关基础论述</x:v>
      </x:c>
    </x:row>
    <x:row r="9">
      <x:c r="A9" s="20" t="str">
        <x:v>M02-TG-0004-V1.0</x:v>
      </x:c>
      <x:c r="B9" s="20" t="str">
        <x:v>基础记录</x:v>
      </x:c>
      <x:c r="C9" s="20" t="str">
        <x:v>M02</x:v>
      </x:c>
      <x:c r="D9" s="20" t="str">
        <x:v>02_干支藏干基础</x:v>
      </x:c>
      <x:c r="E9" s="20" t="str">
        <x:v>TG</x:v>
      </x:c>
      <x:c r="F9" s="20" t="n">
        <x:v>4</x:v>
      </x:c>
      <x:c r="G9" s="20" t="str">
        <x:v>V1.0</x:v>
      </x:c>
      <x:c r="H9" s="20" t="str">
        <x:v>天干｜丁</x:v>
      </x:c>
      <x:c r="I9" s="20" t="str">
        <x:v>识别层</x:v>
      </x:c>
      <x:c r="J9" s="20" t="str">
        <x:v>天干基础映射</x:v>
      </x:c>
      <x:c r="K9" s="20" t="str">
        <x:v>天干丁：阴火。</x:v>
      </x:c>
      <x:c r="L9" s="20" t="str">
        <x:v>确定</x:v>
      </x:c>
      <x:c r="M9" s="20" t="str">
        <x:v>采用</x:v>
      </x:c>
      <x:c r="N9" s="20" t="str">
        <x:v>初审</x:v>
      </x:c>
      <x:c r="O9" s="22" t="n">
        <x:v>46255</x:v>
      </x:c>
      <x:c r="P9" s="20" t="str">
        <x:v>传统十天干阴阳五行通行表；《三命通会》《渊海子平》相关基础论述</x:v>
      </x:c>
    </x:row>
    <x:row r="10">
      <x:c r="A10" s="20" t="str">
        <x:v>M02-TG-0005-V1.0</x:v>
      </x:c>
      <x:c r="B10" s="20" t="str">
        <x:v>基础记录</x:v>
      </x:c>
      <x:c r="C10" s="20" t="str">
        <x:v>M02</x:v>
      </x:c>
      <x:c r="D10" s="20" t="str">
        <x:v>02_干支藏干基础</x:v>
      </x:c>
      <x:c r="E10" s="20" t="str">
        <x:v>TG</x:v>
      </x:c>
      <x:c r="F10" s="20" t="n">
        <x:v>5</x:v>
      </x:c>
      <x:c r="G10" s="20" t="str">
        <x:v>V1.0</x:v>
      </x:c>
      <x:c r="H10" s="20" t="str">
        <x:v>天干｜戊</x:v>
      </x:c>
      <x:c r="I10" s="20" t="str">
        <x:v>识别层</x:v>
      </x:c>
      <x:c r="J10" s="20" t="str">
        <x:v>天干基础映射</x:v>
      </x:c>
      <x:c r="K10" s="20" t="str">
        <x:v>天干戊：阳土。</x:v>
      </x:c>
      <x:c r="L10" s="20" t="str">
        <x:v>确定</x:v>
      </x:c>
      <x:c r="M10" s="20" t="str">
        <x:v>采用</x:v>
      </x:c>
      <x:c r="N10" s="20" t="str">
        <x:v>初审</x:v>
      </x:c>
      <x:c r="O10" s="22" t="n">
        <x:v>46255</x:v>
      </x:c>
      <x:c r="P10" s="20" t="str">
        <x:v>传统十天干阴阳五行通行表；《三命通会》《渊海子平》相关基础论述</x:v>
      </x:c>
    </x:row>
    <x:row r="11">
      <x:c r="A11" s="20" t="str">
        <x:v>M02-TG-0006-V1.0</x:v>
      </x:c>
      <x:c r="B11" s="20" t="str">
        <x:v>基础记录</x:v>
      </x:c>
      <x:c r="C11" s="20" t="str">
        <x:v>M02</x:v>
      </x:c>
      <x:c r="D11" s="20" t="str">
        <x:v>02_干支藏干基础</x:v>
      </x:c>
      <x:c r="E11" s="20" t="str">
        <x:v>TG</x:v>
      </x:c>
      <x:c r="F11" s="20" t="n">
        <x:v>6</x:v>
      </x:c>
      <x:c r="G11" s="20" t="str">
        <x:v>V1.0</x:v>
      </x:c>
      <x:c r="H11" s="20" t="str">
        <x:v>天干｜己</x:v>
      </x:c>
      <x:c r="I11" s="20" t="str">
        <x:v>识别层</x:v>
      </x:c>
      <x:c r="J11" s="20" t="str">
        <x:v>天干基础映射</x:v>
      </x:c>
      <x:c r="K11" s="20" t="str">
        <x:v>天干己：阴土。</x:v>
      </x:c>
      <x:c r="L11" s="20" t="str">
        <x:v>确定</x:v>
      </x:c>
      <x:c r="M11" s="20" t="str">
        <x:v>采用</x:v>
      </x:c>
      <x:c r="N11" s="20" t="str">
        <x:v>初审</x:v>
      </x:c>
      <x:c r="O11" s="22" t="n">
        <x:v>46255</x:v>
      </x:c>
      <x:c r="P11" s="20" t="str">
        <x:v>传统十天干阴阳五行通行表；《三命通会》《渊海子平》相关基础论述</x:v>
      </x:c>
    </x:row>
    <x:row r="12">
      <x:c r="A12" s="20" t="str">
        <x:v>M02-TG-0007-V1.0</x:v>
      </x:c>
      <x:c r="B12" s="20" t="str">
        <x:v>基础记录</x:v>
      </x:c>
      <x:c r="C12" s="20" t="str">
        <x:v>M02</x:v>
      </x:c>
      <x:c r="D12" s="20" t="str">
        <x:v>02_干支藏干基础</x:v>
      </x:c>
      <x:c r="E12" s="20" t="str">
        <x:v>TG</x:v>
      </x:c>
      <x:c r="F12" s="20" t="n">
        <x:v>7</x:v>
      </x:c>
      <x:c r="G12" s="20" t="str">
        <x:v>V1.0</x:v>
      </x:c>
      <x:c r="H12" s="20" t="str">
        <x:v>天干｜庚</x:v>
      </x:c>
      <x:c r="I12" s="20" t="str">
        <x:v>识别层</x:v>
      </x:c>
      <x:c r="J12" s="20" t="str">
        <x:v>天干基础映射</x:v>
      </x:c>
      <x:c r="K12" s="20" t="str">
        <x:v>天干庚：阳金。</x:v>
      </x:c>
      <x:c r="L12" s="20" t="str">
        <x:v>确定</x:v>
      </x:c>
      <x:c r="M12" s="20" t="str">
        <x:v>采用</x:v>
      </x:c>
      <x:c r="N12" s="20" t="str">
        <x:v>初审</x:v>
      </x:c>
      <x:c r="O12" s="22" t="n">
        <x:v>46255</x:v>
      </x:c>
      <x:c r="P12" s="20" t="str">
        <x:v>传统十天干阴阳五行通行表；《三命通会》《渊海子平》相关基础论述</x:v>
      </x:c>
    </x:row>
    <x:row r="13">
      <x:c r="A13" s="20" t="str">
        <x:v>M02-TG-0008-V1.0</x:v>
      </x:c>
      <x:c r="B13" s="20" t="str">
        <x:v>基础记录</x:v>
      </x:c>
      <x:c r="C13" s="20" t="str">
        <x:v>M02</x:v>
      </x:c>
      <x:c r="D13" s="20" t="str">
        <x:v>02_干支藏干基础</x:v>
      </x:c>
      <x:c r="E13" s="20" t="str">
        <x:v>TG</x:v>
      </x:c>
      <x:c r="F13" s="20" t="n">
        <x:v>8</x:v>
      </x:c>
      <x:c r="G13" s="20" t="str">
        <x:v>V1.0</x:v>
      </x:c>
      <x:c r="H13" s="20" t="str">
        <x:v>天干｜辛</x:v>
      </x:c>
      <x:c r="I13" s="20" t="str">
        <x:v>识别层</x:v>
      </x:c>
      <x:c r="J13" s="20" t="str">
        <x:v>天干基础映射</x:v>
      </x:c>
      <x:c r="K13" s="20" t="str">
        <x:v>天干辛：阴金。</x:v>
      </x:c>
      <x:c r="L13" s="20" t="str">
        <x:v>确定</x:v>
      </x:c>
      <x:c r="M13" s="20" t="str">
        <x:v>采用</x:v>
      </x:c>
      <x:c r="N13" s="20" t="str">
        <x:v>初审</x:v>
      </x:c>
      <x:c r="O13" s="22" t="n">
        <x:v>46255</x:v>
      </x:c>
      <x:c r="P13" s="20" t="str">
        <x:v>传统十天干阴阳五行通行表；《三命通会》《渊海子平》相关基础论述</x:v>
      </x:c>
    </x:row>
    <x:row r="14">
      <x:c r="A14" s="20" t="str">
        <x:v>M02-TG-0009-V1.0</x:v>
      </x:c>
      <x:c r="B14" s="20" t="str">
        <x:v>基础记录</x:v>
      </x:c>
      <x:c r="C14" s="20" t="str">
        <x:v>M02</x:v>
      </x:c>
      <x:c r="D14" s="20" t="str">
        <x:v>02_干支藏干基础</x:v>
      </x:c>
      <x:c r="E14" s="20" t="str">
        <x:v>TG</x:v>
      </x:c>
      <x:c r="F14" s="20" t="n">
        <x:v>9</x:v>
      </x:c>
      <x:c r="G14" s="20" t="str">
        <x:v>V1.0</x:v>
      </x:c>
      <x:c r="H14" s="20" t="str">
        <x:v>天干｜壬</x:v>
      </x:c>
      <x:c r="I14" s="20" t="str">
        <x:v>识别层</x:v>
      </x:c>
      <x:c r="J14" s="20" t="str">
        <x:v>天干基础映射</x:v>
      </x:c>
      <x:c r="K14" s="20" t="str">
        <x:v>天干壬：阳水。</x:v>
      </x:c>
      <x:c r="L14" s="20" t="str">
        <x:v>确定</x:v>
      </x:c>
      <x:c r="M14" s="20" t="str">
        <x:v>采用</x:v>
      </x:c>
      <x:c r="N14" s="20" t="str">
        <x:v>初审</x:v>
      </x:c>
      <x:c r="O14" s="22" t="n">
        <x:v>46255</x:v>
      </x:c>
      <x:c r="P14" s="20" t="str">
        <x:v>传统十天干阴阳五行通行表；《三命通会》《渊海子平》相关基础论述</x:v>
      </x:c>
    </x:row>
    <x:row r="15">
      <x:c r="A15" s="20" t="str">
        <x:v>M02-TG-0010-V1.0</x:v>
      </x:c>
      <x:c r="B15" s="20" t="str">
        <x:v>基础记录</x:v>
      </x:c>
      <x:c r="C15" s="20" t="str">
        <x:v>M02</x:v>
      </x:c>
      <x:c r="D15" s="20" t="str">
        <x:v>02_干支藏干基础</x:v>
      </x:c>
      <x:c r="E15" s="20" t="str">
        <x:v>TG</x:v>
      </x:c>
      <x:c r="F15" s="20" t="n">
        <x:v>10</x:v>
      </x:c>
      <x:c r="G15" s="20" t="str">
        <x:v>V1.0</x:v>
      </x:c>
      <x:c r="H15" s="20" t="str">
        <x:v>天干｜癸</x:v>
      </x:c>
      <x:c r="I15" s="20" t="str">
        <x:v>识别层</x:v>
      </x:c>
      <x:c r="J15" s="20" t="str">
        <x:v>天干基础映射</x:v>
      </x:c>
      <x:c r="K15" s="20" t="str">
        <x:v>天干癸：阴水。</x:v>
      </x:c>
      <x:c r="L15" s="20" t="str">
        <x:v>确定</x:v>
      </x:c>
      <x:c r="M15" s="20" t="str">
        <x:v>采用</x:v>
      </x:c>
      <x:c r="N15" s="20" t="str">
        <x:v>初审</x:v>
      </x:c>
      <x:c r="O15" s="22" t="n">
        <x:v>46255</x:v>
      </x:c>
      <x:c r="P15" s="20" t="str">
        <x:v>传统十天干阴阳五行通行表；《三命通会》《渊海子平》相关基础论述</x:v>
      </x:c>
    </x:row>
    <x:row r="16">
      <x:c r="A16" s="20" t="str">
        <x:v>M02-DZ-0011-V1.0</x:v>
      </x:c>
      <x:c r="B16" s="20" t="str">
        <x:v>基础记录</x:v>
      </x:c>
      <x:c r="C16" s="20" t="str">
        <x:v>M02</x:v>
      </x:c>
      <x:c r="D16" s="20" t="str">
        <x:v>02_干支藏干基础</x:v>
      </x:c>
      <x:c r="E16" s="20" t="str">
        <x:v>DZ</x:v>
      </x:c>
      <x:c r="F16" s="20" t="n">
        <x:v>11</x:v>
      </x:c>
      <x:c r="G16" s="20" t="str">
        <x:v>V1.0</x:v>
      </x:c>
      <x:c r="H16" s="20" t="str">
        <x:v>地支｜子</x:v>
      </x:c>
      <x:c r="I16" s="20" t="str">
        <x:v>识别层</x:v>
      </x:c>
      <x:c r="J16" s="20" t="str">
        <x:v>地支藏干映射</x:v>
      </x:c>
      <x:c r="K16" s="20" t="str">
        <x:v>地支子：阳水，藏癸本气。</x:v>
      </x:c>
      <x:c r="L16" s="20" t="str">
        <x:v>确定</x:v>
      </x:c>
      <x:c r="M16" s="20" t="str">
        <x:v>采用</x:v>
      </x:c>
      <x:c r="N16" s="20" t="str">
        <x:v>初审</x:v>
      </x:c>
      <x:c r="O16" s="22" t="n">
        <x:v>46255</x:v>
      </x:c>
      <x:c r="P16" s="20" t="str">
        <x:v>传统十二地支、人元藏干通行表；《三命通会》《渊海子平》相关论述</x:v>
      </x:c>
    </x:row>
    <x:row r="17">
      <x:c r="A17" s="20" t="str">
        <x:v>M02-DZ-0012-V1.0</x:v>
      </x:c>
      <x:c r="B17" s="20" t="str">
        <x:v>基础记录</x:v>
      </x:c>
      <x:c r="C17" s="20" t="str">
        <x:v>M02</x:v>
      </x:c>
      <x:c r="D17" s="20" t="str">
        <x:v>02_干支藏干基础</x:v>
      </x:c>
      <x:c r="E17" s="20" t="str">
        <x:v>DZ</x:v>
      </x:c>
      <x:c r="F17" s="20" t="n">
        <x:v>12</x:v>
      </x:c>
      <x:c r="G17" s="20" t="str">
        <x:v>V1.0</x:v>
      </x:c>
      <x:c r="H17" s="20" t="str">
        <x:v>地支｜丑</x:v>
      </x:c>
      <x:c r="I17" s="20" t="str">
        <x:v>识别层</x:v>
      </x:c>
      <x:c r="J17" s="20" t="str">
        <x:v>地支藏干映射</x:v>
      </x:c>
      <x:c r="K17" s="20" t="str">
        <x:v>地支丑：阴土，藏己本气、癸中气、辛余气。</x:v>
      </x:c>
      <x:c r="L17" s="20" t="str">
        <x:v>确定</x:v>
      </x:c>
      <x:c r="M17" s="20" t="str">
        <x:v>采用</x:v>
      </x:c>
      <x:c r="N17" s="20" t="str">
        <x:v>初审</x:v>
      </x:c>
      <x:c r="O17" s="22" t="n">
        <x:v>46255</x:v>
      </x:c>
      <x:c r="P17" s="20" t="str">
        <x:v>传统十二地支、人元藏干通行表；《三命通会》《渊海子平》相关论述</x:v>
      </x:c>
    </x:row>
    <x:row r="18">
      <x:c r="A18" s="20" t="str">
        <x:v>M02-DZ-0013-V1.0</x:v>
      </x:c>
      <x:c r="B18" s="20" t="str">
        <x:v>基础记录</x:v>
      </x:c>
      <x:c r="C18" s="20" t="str">
        <x:v>M02</x:v>
      </x:c>
      <x:c r="D18" s="20" t="str">
        <x:v>02_干支藏干基础</x:v>
      </x:c>
      <x:c r="E18" s="20" t="str">
        <x:v>DZ</x:v>
      </x:c>
      <x:c r="F18" s="20" t="n">
        <x:v>13</x:v>
      </x:c>
      <x:c r="G18" s="20" t="str">
        <x:v>V1.0</x:v>
      </x:c>
      <x:c r="H18" s="20" t="str">
        <x:v>地支｜寅</x:v>
      </x:c>
      <x:c r="I18" s="20" t="str">
        <x:v>识别层</x:v>
      </x:c>
      <x:c r="J18" s="20" t="str">
        <x:v>地支藏干映射</x:v>
      </x:c>
      <x:c r="K18" s="20" t="str">
        <x:v>地支寅：阳木，藏甲本气、丙中气、戊余气。</x:v>
      </x:c>
      <x:c r="L18" s="20" t="str">
        <x:v>确定</x:v>
      </x:c>
      <x:c r="M18" s="20" t="str">
        <x:v>采用</x:v>
      </x:c>
      <x:c r="N18" s="20" t="str">
        <x:v>初审</x:v>
      </x:c>
      <x:c r="O18" s="22" t="n">
        <x:v>46255</x:v>
      </x:c>
      <x:c r="P18" s="20" t="str">
        <x:v>传统十二地支、人元藏干通行表；《三命通会》《渊海子平》相关论述</x:v>
      </x:c>
    </x:row>
    <x:row r="19">
      <x:c r="A19" s="20" t="str">
        <x:v>M02-DZ-0014-V1.0</x:v>
      </x:c>
      <x:c r="B19" s="20" t="str">
        <x:v>基础记录</x:v>
      </x:c>
      <x:c r="C19" s="20" t="str">
        <x:v>M02</x:v>
      </x:c>
      <x:c r="D19" s="20" t="str">
        <x:v>02_干支藏干基础</x:v>
      </x:c>
      <x:c r="E19" s="20" t="str">
        <x:v>DZ</x:v>
      </x:c>
      <x:c r="F19" s="20" t="n">
        <x:v>14</x:v>
      </x:c>
      <x:c r="G19" s="20" t="str">
        <x:v>V1.0</x:v>
      </x:c>
      <x:c r="H19" s="20" t="str">
        <x:v>地支｜卯</x:v>
      </x:c>
      <x:c r="I19" s="20" t="str">
        <x:v>识别层</x:v>
      </x:c>
      <x:c r="J19" s="20" t="str">
        <x:v>地支藏干映射</x:v>
      </x:c>
      <x:c r="K19" s="20" t="str">
        <x:v>地支卯：阴木，藏乙本气。</x:v>
      </x:c>
      <x:c r="L19" s="20" t="str">
        <x:v>确定</x:v>
      </x:c>
      <x:c r="M19" s="20" t="str">
        <x:v>采用</x:v>
      </x:c>
      <x:c r="N19" s="20" t="str">
        <x:v>初审</x:v>
      </x:c>
      <x:c r="O19" s="22" t="n">
        <x:v>46255</x:v>
      </x:c>
      <x:c r="P19" s="20" t="str">
        <x:v>传统十二地支、人元藏干通行表；《三命通会》《渊海子平》相关论述</x:v>
      </x:c>
    </x:row>
    <x:row r="20">
      <x:c r="A20" s="20" t="str">
        <x:v>M02-DZ-0015-V1.0</x:v>
      </x:c>
      <x:c r="B20" s="20" t="str">
        <x:v>基础记录</x:v>
      </x:c>
      <x:c r="C20" s="20" t="str">
        <x:v>M02</x:v>
      </x:c>
      <x:c r="D20" s="20" t="str">
        <x:v>02_干支藏干基础</x:v>
      </x:c>
      <x:c r="E20" s="20" t="str">
        <x:v>DZ</x:v>
      </x:c>
      <x:c r="F20" s="20" t="n">
        <x:v>15</x:v>
      </x:c>
      <x:c r="G20" s="20" t="str">
        <x:v>V1.0</x:v>
      </x:c>
      <x:c r="H20" s="20" t="str">
        <x:v>地支｜辰</x:v>
      </x:c>
      <x:c r="I20" s="20" t="str">
        <x:v>识别层</x:v>
      </x:c>
      <x:c r="J20" s="20" t="str">
        <x:v>地支藏干映射</x:v>
      </x:c>
      <x:c r="K20" s="20" t="str">
        <x:v>地支辰：阳土，藏戊本气、乙中气、癸余气。</x:v>
      </x:c>
      <x:c r="L20" s="20" t="str">
        <x:v>确定</x:v>
      </x:c>
      <x:c r="M20" s="20" t="str">
        <x:v>采用</x:v>
      </x:c>
      <x:c r="N20" s="20" t="str">
        <x:v>初审</x:v>
      </x:c>
      <x:c r="O20" s="22" t="n">
        <x:v>46255</x:v>
      </x:c>
      <x:c r="P20" s="20" t="str">
        <x:v>传统十二地支、人元藏干通行表；《三命通会》《渊海子平》相关论述</x:v>
      </x:c>
    </x:row>
    <x:row r="21">
      <x:c r="A21" s="20" t="str">
        <x:v>M02-DZ-0016-V1.0</x:v>
      </x:c>
      <x:c r="B21" s="20" t="str">
        <x:v>基础记录</x:v>
      </x:c>
      <x:c r="C21" s="20" t="str">
        <x:v>M02</x:v>
      </x:c>
      <x:c r="D21" s="20" t="str">
        <x:v>02_干支藏干基础</x:v>
      </x:c>
      <x:c r="E21" s="20" t="str">
        <x:v>DZ</x:v>
      </x:c>
      <x:c r="F21" s="20" t="n">
        <x:v>16</x:v>
      </x:c>
      <x:c r="G21" s="20" t="str">
        <x:v>V1.0</x:v>
      </x:c>
      <x:c r="H21" s="20" t="str">
        <x:v>地支｜巳</x:v>
      </x:c>
      <x:c r="I21" s="20" t="str">
        <x:v>识别层</x:v>
      </x:c>
      <x:c r="J21" s="20" t="str">
        <x:v>地支藏干映射</x:v>
      </x:c>
      <x:c r="K21" s="20" t="str">
        <x:v>地支巳：阴火，藏丙本气、戊中气、庚余气。</x:v>
      </x:c>
      <x:c r="L21" s="20" t="str">
        <x:v>确定</x:v>
      </x:c>
      <x:c r="M21" s="20" t="str">
        <x:v>采用</x:v>
      </x:c>
      <x:c r="N21" s="20" t="str">
        <x:v>初审</x:v>
      </x:c>
      <x:c r="O21" s="22" t="n">
        <x:v>46255</x:v>
      </x:c>
      <x:c r="P21" s="20" t="str">
        <x:v>传统十二地支、人元藏干通行表；《三命通会》《渊海子平》相关论述</x:v>
      </x:c>
    </x:row>
    <x:row r="22">
      <x:c r="A22" s="20" t="str">
        <x:v>M02-DZ-0017-V1.0</x:v>
      </x:c>
      <x:c r="B22" s="20" t="str">
        <x:v>基础记录</x:v>
      </x:c>
      <x:c r="C22" s="20" t="str">
        <x:v>M02</x:v>
      </x:c>
      <x:c r="D22" s="20" t="str">
        <x:v>02_干支藏干基础</x:v>
      </x:c>
      <x:c r="E22" s="20" t="str">
        <x:v>DZ</x:v>
      </x:c>
      <x:c r="F22" s="20" t="n">
        <x:v>17</x:v>
      </x:c>
      <x:c r="G22" s="20" t="str">
        <x:v>V1.0</x:v>
      </x:c>
      <x:c r="H22" s="20" t="str">
        <x:v>地支｜午</x:v>
      </x:c>
      <x:c r="I22" s="20" t="str">
        <x:v>识别层</x:v>
      </x:c>
      <x:c r="J22" s="20" t="str">
        <x:v>地支藏干映射</x:v>
      </x:c>
      <x:c r="K22" s="20" t="str">
        <x:v>地支午：阳火，藏丁本气、己中气。</x:v>
      </x:c>
      <x:c r="L22" s="20" t="str">
        <x:v>确定</x:v>
      </x:c>
      <x:c r="M22" s="20" t="str">
        <x:v>采用</x:v>
      </x:c>
      <x:c r="N22" s="20" t="str">
        <x:v>初审</x:v>
      </x:c>
      <x:c r="O22" s="22" t="n">
        <x:v>46255</x:v>
      </x:c>
      <x:c r="P22" s="20" t="str">
        <x:v>传统十二地支、人元藏干通行表；《三命通会》《渊海子平》相关论述</x:v>
      </x:c>
    </x:row>
    <x:row r="23">
      <x:c r="A23" s="20" t="str">
        <x:v>M02-DZ-0018-V1.0</x:v>
      </x:c>
      <x:c r="B23" s="20" t="str">
        <x:v>基础记录</x:v>
      </x:c>
      <x:c r="C23" s="20" t="str">
        <x:v>M02</x:v>
      </x:c>
      <x:c r="D23" s="20" t="str">
        <x:v>02_干支藏干基础</x:v>
      </x:c>
      <x:c r="E23" s="20" t="str">
        <x:v>DZ</x:v>
      </x:c>
      <x:c r="F23" s="20" t="n">
        <x:v>18</x:v>
      </x:c>
      <x:c r="G23" s="20" t="str">
        <x:v>V1.0</x:v>
      </x:c>
      <x:c r="H23" s="20" t="str">
        <x:v>地支｜未</x:v>
      </x:c>
      <x:c r="I23" s="20" t="str">
        <x:v>识别层</x:v>
      </x:c>
      <x:c r="J23" s="20" t="str">
        <x:v>地支藏干映射</x:v>
      </x:c>
      <x:c r="K23" s="20" t="str">
        <x:v>地支未：阴土，藏己本气、丁中气、乙余气。</x:v>
      </x:c>
      <x:c r="L23" s="20" t="str">
        <x:v>确定</x:v>
      </x:c>
      <x:c r="M23" s="20" t="str">
        <x:v>采用</x:v>
      </x:c>
      <x:c r="N23" s="20" t="str">
        <x:v>初审</x:v>
      </x:c>
      <x:c r="O23" s="22" t="n">
        <x:v>46255</x:v>
      </x:c>
      <x:c r="P23" s="20" t="str">
        <x:v>传统十二地支、人元藏干通行表；《三命通会》《渊海子平》相关论述</x:v>
      </x:c>
    </x:row>
    <x:row r="24">
      <x:c r="A24" s="20" t="str">
        <x:v>M02-DZ-0019-V1.0</x:v>
      </x:c>
      <x:c r="B24" s="20" t="str">
        <x:v>基础记录</x:v>
      </x:c>
      <x:c r="C24" s="20" t="str">
        <x:v>M02</x:v>
      </x:c>
      <x:c r="D24" s="20" t="str">
        <x:v>02_干支藏干基础</x:v>
      </x:c>
      <x:c r="E24" s="20" t="str">
        <x:v>DZ</x:v>
      </x:c>
      <x:c r="F24" s="20" t="n">
        <x:v>19</x:v>
      </x:c>
      <x:c r="G24" s="20" t="str">
        <x:v>V1.0</x:v>
      </x:c>
      <x:c r="H24" s="20" t="str">
        <x:v>地支｜申</x:v>
      </x:c>
      <x:c r="I24" s="20" t="str">
        <x:v>识别层</x:v>
      </x:c>
      <x:c r="J24" s="20" t="str">
        <x:v>地支藏干映射</x:v>
      </x:c>
      <x:c r="K24" s="20" t="str">
        <x:v>地支申：阳金，藏庚本气、壬中气、戊余气。</x:v>
      </x:c>
      <x:c r="L24" s="20" t="str">
        <x:v>确定</x:v>
      </x:c>
      <x:c r="M24" s="20" t="str">
        <x:v>采用</x:v>
      </x:c>
      <x:c r="N24" s="20" t="str">
        <x:v>初审</x:v>
      </x:c>
      <x:c r="O24" s="22" t="n">
        <x:v>46255</x:v>
      </x:c>
      <x:c r="P24" s="20" t="str">
        <x:v>传统十二地支、人元藏干通行表；《三命通会》《渊海子平》相关论述</x:v>
      </x:c>
    </x:row>
    <x:row r="25">
      <x:c r="A25" s="20" t="str">
        <x:v>M02-DZ-0020-V1.0</x:v>
      </x:c>
      <x:c r="B25" s="20" t="str">
        <x:v>基础记录</x:v>
      </x:c>
      <x:c r="C25" s="20" t="str">
        <x:v>M02</x:v>
      </x:c>
      <x:c r="D25" s="20" t="str">
        <x:v>02_干支藏干基础</x:v>
      </x:c>
      <x:c r="E25" s="20" t="str">
        <x:v>DZ</x:v>
      </x:c>
      <x:c r="F25" s="20" t="n">
        <x:v>20</x:v>
      </x:c>
      <x:c r="G25" s="20" t="str">
        <x:v>V1.0</x:v>
      </x:c>
      <x:c r="H25" s="20" t="str">
        <x:v>地支｜酉</x:v>
      </x:c>
      <x:c r="I25" s="20" t="str">
        <x:v>识别层</x:v>
      </x:c>
      <x:c r="J25" s="20" t="str">
        <x:v>地支藏干映射</x:v>
      </x:c>
      <x:c r="K25" s="20" t="str">
        <x:v>地支酉：阴金，藏辛本气。</x:v>
      </x:c>
      <x:c r="L25" s="20" t="str">
        <x:v>确定</x:v>
      </x:c>
      <x:c r="M25" s="20" t="str">
        <x:v>采用</x:v>
      </x:c>
      <x:c r="N25" s="20" t="str">
        <x:v>初审</x:v>
      </x:c>
      <x:c r="O25" s="22" t="n">
        <x:v>46255</x:v>
      </x:c>
      <x:c r="P25" s="20" t="str">
        <x:v>传统十二地支、人元藏干通行表；《三命通会》《渊海子平》相关论述</x:v>
      </x:c>
    </x:row>
    <x:row r="26">
      <x:c r="A26" s="20" t="str">
        <x:v>M02-DZ-0021-V1.0</x:v>
      </x:c>
      <x:c r="B26" s="20" t="str">
        <x:v>基础记录</x:v>
      </x:c>
      <x:c r="C26" s="20" t="str">
        <x:v>M02</x:v>
      </x:c>
      <x:c r="D26" s="20" t="str">
        <x:v>02_干支藏干基础</x:v>
      </x:c>
      <x:c r="E26" s="20" t="str">
        <x:v>DZ</x:v>
      </x:c>
      <x:c r="F26" s="20" t="n">
        <x:v>21</x:v>
      </x:c>
      <x:c r="G26" s="20" t="str">
        <x:v>V1.0</x:v>
      </x:c>
      <x:c r="H26" s="20" t="str">
        <x:v>地支｜戌</x:v>
      </x:c>
      <x:c r="I26" s="20" t="str">
        <x:v>识别层</x:v>
      </x:c>
      <x:c r="J26" s="20" t="str">
        <x:v>地支藏干映射</x:v>
      </x:c>
      <x:c r="K26" s="20" t="str">
        <x:v>地支戌：阳土，藏戊本气、辛中气、丁余气。</x:v>
      </x:c>
      <x:c r="L26" s="20" t="str">
        <x:v>确定</x:v>
      </x:c>
      <x:c r="M26" s="20" t="str">
        <x:v>采用</x:v>
      </x:c>
      <x:c r="N26" s="20" t="str">
        <x:v>初审</x:v>
      </x:c>
      <x:c r="O26" s="22" t="n">
        <x:v>46255</x:v>
      </x:c>
      <x:c r="P26" s="20" t="str">
        <x:v>传统十二地支、人元藏干通行表；《三命通会》《渊海子平》相关论述</x:v>
      </x:c>
    </x:row>
    <x:row r="27">
      <x:c r="A27" s="20" t="str">
        <x:v>M02-DZ-0022-V1.0</x:v>
      </x:c>
      <x:c r="B27" s="20" t="str">
        <x:v>基础记录</x:v>
      </x:c>
      <x:c r="C27" s="20" t="str">
        <x:v>M02</x:v>
      </x:c>
      <x:c r="D27" s="20" t="str">
        <x:v>02_干支藏干基础</x:v>
      </x:c>
      <x:c r="E27" s="20" t="str">
        <x:v>DZ</x:v>
      </x:c>
      <x:c r="F27" s="20" t="n">
        <x:v>22</x:v>
      </x:c>
      <x:c r="G27" s="20" t="str">
        <x:v>V1.0</x:v>
      </x:c>
      <x:c r="H27" s="20" t="str">
        <x:v>地支｜亥</x:v>
      </x:c>
      <x:c r="I27" s="20" t="str">
        <x:v>识别层</x:v>
      </x:c>
      <x:c r="J27" s="20" t="str">
        <x:v>地支藏干映射</x:v>
      </x:c>
      <x:c r="K27" s="20" t="str">
        <x:v>地支亥：阴水，藏壬本气、甲中气。</x:v>
      </x:c>
      <x:c r="L27" s="20" t="str">
        <x:v>确定</x:v>
      </x:c>
      <x:c r="M27" s="20" t="str">
        <x:v>采用</x:v>
      </x:c>
      <x:c r="N27" s="20" t="str">
        <x:v>初审</x:v>
      </x:c>
      <x:c r="O27" s="22" t="n">
        <x:v>46255</x:v>
      </x:c>
      <x:c r="P27" s="20" t="str">
        <x:v>传统十二地支、人元藏干通行表；《三命通会》《渊海子平》相关论述</x:v>
      </x:c>
    </x:row>
    <x:row r="28">
      <x:c r="A28" s="20" t="str">
        <x:v>M02-WX-0023-V1.0</x:v>
      </x:c>
      <x:c r="B28" s="20" t="str">
        <x:v>基础记录</x:v>
      </x:c>
      <x:c r="C28" s="20" t="str">
        <x:v>M02</x:v>
      </x:c>
      <x:c r="D28" s="20" t="str">
        <x:v>02_干支藏干基础</x:v>
      </x:c>
      <x:c r="E28" s="20" t="str">
        <x:v>WX</x:v>
      </x:c>
      <x:c r="F28" s="20" t="n">
        <x:v>23</x:v>
      </x:c>
      <x:c r="G28" s="20" t="str">
        <x:v>V1.0</x:v>
      </x:c>
      <x:c r="H28" s="20" t="str">
        <x:v>五行｜木</x:v>
      </x:c>
      <x:c r="I28" s="20" t="str">
        <x:v>识别层</x:v>
      </x:c>
      <x:c r="J28" s="20" t="str">
        <x:v>五行基础生克</x:v>
      </x:c>
      <x:c r="K28" s="20" t="str">
        <x:v>木的基础生克关系已固定；实际力量与喜忌另行判断。</x:v>
      </x:c>
      <x:c r="L28" s="20" t="str">
        <x:v>确定</x:v>
      </x:c>
      <x:c r="M28" s="20" t="str">
        <x:v>采用</x:v>
      </x:c>
      <x:c r="N28" s="20" t="str">
        <x:v>初审</x:v>
      </x:c>
      <x:c r="O28" s="22" t="n">
        <x:v>46255</x:v>
      </x:c>
      <x:c r="P28" s="20" t="str">
        <x:v>五行生克通行定义；《渊海子平》相关基础论述</x:v>
      </x:c>
    </x:row>
    <x:row r="29">
      <x:c r="A29" s="20" t="str">
        <x:v>M02-WX-0024-V1.0</x:v>
      </x:c>
      <x:c r="B29" s="20" t="str">
        <x:v>基础记录</x:v>
      </x:c>
      <x:c r="C29" s="20" t="str">
        <x:v>M02</x:v>
      </x:c>
      <x:c r="D29" s="20" t="str">
        <x:v>02_干支藏干基础</x:v>
      </x:c>
      <x:c r="E29" s="20" t="str">
        <x:v>WX</x:v>
      </x:c>
      <x:c r="F29" s="20" t="n">
        <x:v>24</x:v>
      </x:c>
      <x:c r="G29" s="20" t="str">
        <x:v>V1.0</x:v>
      </x:c>
      <x:c r="H29" s="20" t="str">
        <x:v>五行｜火</x:v>
      </x:c>
      <x:c r="I29" s="20" t="str">
        <x:v>识别层</x:v>
      </x:c>
      <x:c r="J29" s="20" t="str">
        <x:v>五行基础生克</x:v>
      </x:c>
      <x:c r="K29" s="20" t="str">
        <x:v>火的基础生克关系已固定；实际力量与喜忌另行判断。</x:v>
      </x:c>
      <x:c r="L29" s="20" t="str">
        <x:v>确定</x:v>
      </x:c>
      <x:c r="M29" s="20" t="str">
        <x:v>采用</x:v>
      </x:c>
      <x:c r="N29" s="20" t="str">
        <x:v>初审</x:v>
      </x:c>
      <x:c r="O29" s="22" t="n">
        <x:v>46255</x:v>
      </x:c>
      <x:c r="P29" s="20" t="str">
        <x:v>五行生克通行定义；《渊海子平》相关基础论述</x:v>
      </x:c>
    </x:row>
    <x:row r="30">
      <x:c r="A30" s="20" t="str">
        <x:v>M02-WX-0025-V1.0</x:v>
      </x:c>
      <x:c r="B30" s="20" t="str">
        <x:v>基础记录</x:v>
      </x:c>
      <x:c r="C30" s="20" t="str">
        <x:v>M02</x:v>
      </x:c>
      <x:c r="D30" s="20" t="str">
        <x:v>02_干支藏干基础</x:v>
      </x:c>
      <x:c r="E30" s="20" t="str">
        <x:v>WX</x:v>
      </x:c>
      <x:c r="F30" s="20" t="n">
        <x:v>25</x:v>
      </x:c>
      <x:c r="G30" s="20" t="str">
        <x:v>V1.0</x:v>
      </x:c>
      <x:c r="H30" s="20" t="str">
        <x:v>五行｜土</x:v>
      </x:c>
      <x:c r="I30" s="20" t="str">
        <x:v>识别层</x:v>
      </x:c>
      <x:c r="J30" s="20" t="str">
        <x:v>五行基础生克</x:v>
      </x:c>
      <x:c r="K30" s="20" t="str">
        <x:v>土的基础生克关系已固定；实际力量与喜忌另行判断。</x:v>
      </x:c>
      <x:c r="L30" s="20" t="str">
        <x:v>确定</x:v>
      </x:c>
      <x:c r="M30" s="20" t="str">
        <x:v>采用</x:v>
      </x:c>
      <x:c r="N30" s="20" t="str">
        <x:v>初审</x:v>
      </x:c>
      <x:c r="O30" s="22" t="n">
        <x:v>46255</x:v>
      </x:c>
      <x:c r="P30" s="20" t="str">
        <x:v>五行生克通行定义；《渊海子平》相关基础论述</x:v>
      </x:c>
    </x:row>
    <x:row r="31">
      <x:c r="A31" s="20" t="str">
        <x:v>M02-WX-0026-V1.0</x:v>
      </x:c>
      <x:c r="B31" s="20" t="str">
        <x:v>基础记录</x:v>
      </x:c>
      <x:c r="C31" s="20" t="str">
        <x:v>M02</x:v>
      </x:c>
      <x:c r="D31" s="20" t="str">
        <x:v>02_干支藏干基础</x:v>
      </x:c>
      <x:c r="E31" s="20" t="str">
        <x:v>WX</x:v>
      </x:c>
      <x:c r="F31" s="20" t="n">
        <x:v>26</x:v>
      </x:c>
      <x:c r="G31" s="20" t="str">
        <x:v>V1.0</x:v>
      </x:c>
      <x:c r="H31" s="20" t="str">
        <x:v>五行｜金</x:v>
      </x:c>
      <x:c r="I31" s="20" t="str">
        <x:v>识别层</x:v>
      </x:c>
      <x:c r="J31" s="20" t="str">
        <x:v>五行基础生克</x:v>
      </x:c>
      <x:c r="K31" s="20" t="str">
        <x:v>金的基础生克关系已固定；实际力量与喜忌另行判断。</x:v>
      </x:c>
      <x:c r="L31" s="20" t="str">
        <x:v>确定</x:v>
      </x:c>
      <x:c r="M31" s="20" t="str">
        <x:v>采用</x:v>
      </x:c>
      <x:c r="N31" s="20" t="str">
        <x:v>初审</x:v>
      </x:c>
      <x:c r="O31" s="22" t="n">
        <x:v>46255</x:v>
      </x:c>
      <x:c r="P31" s="20" t="str">
        <x:v>五行生克通行定义；《渊海子平》相关基础论述</x:v>
      </x:c>
    </x:row>
    <x:row r="32">
      <x:c r="A32" s="20" t="str">
        <x:v>M02-WX-0027-V1.0</x:v>
      </x:c>
      <x:c r="B32" s="20" t="str">
        <x:v>基础记录</x:v>
      </x:c>
      <x:c r="C32" s="20" t="str">
        <x:v>M02</x:v>
      </x:c>
      <x:c r="D32" s="20" t="str">
        <x:v>02_干支藏干基础</x:v>
      </x:c>
      <x:c r="E32" s="20" t="str">
        <x:v>WX</x:v>
      </x:c>
      <x:c r="F32" s="20" t="n">
        <x:v>27</x:v>
      </x:c>
      <x:c r="G32" s="20" t="str">
        <x:v>V1.0</x:v>
      </x:c>
      <x:c r="H32" s="20" t="str">
        <x:v>五行｜水</x:v>
      </x:c>
      <x:c r="I32" s="20" t="str">
        <x:v>识别层</x:v>
      </x:c>
      <x:c r="J32" s="20" t="str">
        <x:v>五行基础生克</x:v>
      </x:c>
      <x:c r="K32" s="20" t="str">
        <x:v>水的基础生克关系已固定；实际力量与喜忌另行判断。</x:v>
      </x:c>
      <x:c r="L32" s="20" t="str">
        <x:v>确定</x:v>
      </x:c>
      <x:c r="M32" s="20" t="str">
        <x:v>采用</x:v>
      </x:c>
      <x:c r="N32" s="20" t="str">
        <x:v>初审</x:v>
      </x:c>
      <x:c r="O32" s="22" t="n">
        <x:v>46255</x:v>
      </x:c>
      <x:c r="P32" s="20" t="str">
        <x:v>五行生克通行定义；《渊海子平》相关基础论述</x:v>
      </x:c>
    </x:row>
    <x:row r="33">
      <x:c r="A33" s="20" t="str">
        <x:v>M02-SS-0028-V1.0</x:v>
      </x:c>
      <x:c r="B33" s="20" t="str">
        <x:v>基础记录</x:v>
      </x:c>
      <x:c r="C33" s="20" t="str">
        <x:v>M02</x:v>
      </x:c>
      <x:c r="D33" s="20" t="str">
        <x:v>02_干支藏干基础</x:v>
      </x:c>
      <x:c r="E33" s="20" t="str">
        <x:v>SS</x:v>
      </x:c>
      <x:c r="F33" s="20" t="n">
        <x:v>28</x:v>
      </x:c>
      <x:c r="G33" s="20" t="str">
        <x:v>V1.0</x:v>
      </x:c>
      <x:c r="H33" s="20" t="str">
        <x:v>十神｜比肩</x:v>
      </x:c>
      <x:c r="I33" s="20" t="str">
        <x:v>识别层</x:v>
      </x:c>
      <x:c r="J33" s="20" t="str">
        <x:v>十神基础映射</x:v>
      </x:c>
      <x:c r="K33" s="20" t="str">
        <x:v>日主与对象五行相同且阴阳相同，故该对象相对日主为比肩。</x:v>
      </x:c>
      <x:c r="L33" s="20" t="str">
        <x:v>确定</x:v>
      </x:c>
      <x:c r="M33" s="20" t="str">
        <x:v>采用</x:v>
      </x:c>
      <x:c r="N33" s="20" t="str">
        <x:v>初审</x:v>
      </x:c>
      <x:c r="O33" s="22" t="n">
        <x:v>46255</x:v>
      </x:c>
      <x:c r="P33" s="20" t="str">
        <x:v>十神按日主生克与阴阳同异映射；《渊海子平》《三命通会》相关论述</x:v>
      </x:c>
    </x:row>
    <x:row r="34">
      <x:c r="A34" s="20" t="str">
        <x:v>M02-SS-0029-V1.0</x:v>
      </x:c>
      <x:c r="B34" s="20" t="str">
        <x:v>基础记录</x:v>
      </x:c>
      <x:c r="C34" s="20" t="str">
        <x:v>M02</x:v>
      </x:c>
      <x:c r="D34" s="20" t="str">
        <x:v>02_干支藏干基础</x:v>
      </x:c>
      <x:c r="E34" s="20" t="str">
        <x:v>SS</x:v>
      </x:c>
      <x:c r="F34" s="20" t="n">
        <x:v>29</x:v>
      </x:c>
      <x:c r="G34" s="20" t="str">
        <x:v>V1.0</x:v>
      </x:c>
      <x:c r="H34" s="20" t="str">
        <x:v>十神｜劫财</x:v>
      </x:c>
      <x:c r="I34" s="20" t="str">
        <x:v>识别层</x:v>
      </x:c>
      <x:c r="J34" s="20" t="str">
        <x:v>十神基础映射</x:v>
      </x:c>
      <x:c r="K34" s="20" t="str">
        <x:v>日主与对象五行相同且阴阳相异，故该对象相对日主为劫财。</x:v>
      </x:c>
      <x:c r="L34" s="20" t="str">
        <x:v>确定</x:v>
      </x:c>
      <x:c r="M34" s="20" t="str">
        <x:v>采用</x:v>
      </x:c>
      <x:c r="N34" s="20" t="str">
        <x:v>初审</x:v>
      </x:c>
      <x:c r="O34" s="22" t="n">
        <x:v>46255</x:v>
      </x:c>
      <x:c r="P34" s="20" t="str">
        <x:v>十神按日主生克与阴阳同异映射；《渊海子平》《三命通会》相关论述</x:v>
      </x:c>
    </x:row>
    <x:row r="35">
      <x:c r="A35" s="20" t="str">
        <x:v>M02-SS-0030-V1.0</x:v>
      </x:c>
      <x:c r="B35" s="20" t="str">
        <x:v>基础记录</x:v>
      </x:c>
      <x:c r="C35" s="20" t="str">
        <x:v>M02</x:v>
      </x:c>
      <x:c r="D35" s="20" t="str">
        <x:v>02_干支藏干基础</x:v>
      </x:c>
      <x:c r="E35" s="20" t="str">
        <x:v>SS</x:v>
      </x:c>
      <x:c r="F35" s="20" t="n">
        <x:v>30</x:v>
      </x:c>
      <x:c r="G35" s="20" t="str">
        <x:v>V1.0</x:v>
      </x:c>
      <x:c r="H35" s="20" t="str">
        <x:v>十神｜食神</x:v>
      </x:c>
      <x:c r="I35" s="20" t="str">
        <x:v>识别层</x:v>
      </x:c>
      <x:c r="J35" s="20" t="str">
        <x:v>十神基础映射</x:v>
      </x:c>
      <x:c r="K35" s="20" t="str">
        <x:v>对象五行为日主所生，且与日主阴阳相同，故该对象相对日主为食神。</x:v>
      </x:c>
      <x:c r="L35" s="20" t="str">
        <x:v>确定</x:v>
      </x:c>
      <x:c r="M35" s="20" t="str">
        <x:v>采用</x:v>
      </x:c>
      <x:c r="N35" s="20" t="str">
        <x:v>初审</x:v>
      </x:c>
      <x:c r="O35" s="22" t="n">
        <x:v>46255</x:v>
      </x:c>
      <x:c r="P35" s="20" t="str">
        <x:v>十神按日主生克与阴阳同异映射；《渊海子平》《三命通会》相关论述</x:v>
      </x:c>
    </x:row>
    <x:row r="36">
      <x:c r="A36" s="20" t="str">
        <x:v>M02-SS-0031-V1.0</x:v>
      </x:c>
      <x:c r="B36" s="20" t="str">
        <x:v>基础记录</x:v>
      </x:c>
      <x:c r="C36" s="20" t="str">
        <x:v>M02</x:v>
      </x:c>
      <x:c r="D36" s="20" t="str">
        <x:v>02_干支藏干基础</x:v>
      </x:c>
      <x:c r="E36" s="20" t="str">
        <x:v>SS</x:v>
      </x:c>
      <x:c r="F36" s="20" t="n">
        <x:v>31</x:v>
      </x:c>
      <x:c r="G36" s="20" t="str">
        <x:v>V1.0</x:v>
      </x:c>
      <x:c r="H36" s="20" t="str">
        <x:v>十神｜伤官</x:v>
      </x:c>
      <x:c r="I36" s="20" t="str">
        <x:v>识别层</x:v>
      </x:c>
      <x:c r="J36" s="20" t="str">
        <x:v>十神基础映射</x:v>
      </x:c>
      <x:c r="K36" s="20" t="str">
        <x:v>对象五行为日主所生，且与日主阴阳相异，故该对象相对日主为伤官。</x:v>
      </x:c>
      <x:c r="L36" s="20" t="str">
        <x:v>确定</x:v>
      </x:c>
      <x:c r="M36" s="20" t="str">
        <x:v>采用</x:v>
      </x:c>
      <x:c r="N36" s="20" t="str">
        <x:v>初审</x:v>
      </x:c>
      <x:c r="O36" s="22" t="n">
        <x:v>46255</x:v>
      </x:c>
      <x:c r="P36" s="20" t="str">
        <x:v>十神按日主生克与阴阳同异映射；《渊海子平》《三命通会》相关论述</x:v>
      </x:c>
    </x:row>
    <x:row r="37">
      <x:c r="A37" s="20" t="str">
        <x:v>M02-SS-0032-V1.0</x:v>
      </x:c>
      <x:c r="B37" s="20" t="str">
        <x:v>基础记录</x:v>
      </x:c>
      <x:c r="C37" s="20" t="str">
        <x:v>M02</x:v>
      </x:c>
      <x:c r="D37" s="20" t="str">
        <x:v>02_干支藏干基础</x:v>
      </x:c>
      <x:c r="E37" s="20" t="str">
        <x:v>SS</x:v>
      </x:c>
      <x:c r="F37" s="20" t="n">
        <x:v>32</x:v>
      </x:c>
      <x:c r="G37" s="20" t="str">
        <x:v>V1.0</x:v>
      </x:c>
      <x:c r="H37" s="20" t="str">
        <x:v>十神｜偏财</x:v>
      </x:c>
      <x:c r="I37" s="20" t="str">
        <x:v>识别层</x:v>
      </x:c>
      <x:c r="J37" s="20" t="str">
        <x:v>十神基础映射</x:v>
      </x:c>
      <x:c r="K37" s="20" t="str">
        <x:v>对象五行为日主所克，且与日主阴阳相同，故该对象相对日主为偏财。</x:v>
      </x:c>
      <x:c r="L37" s="20" t="str">
        <x:v>确定</x:v>
      </x:c>
      <x:c r="M37" s="20" t="str">
        <x:v>采用</x:v>
      </x:c>
      <x:c r="N37" s="20" t="str">
        <x:v>初审</x:v>
      </x:c>
      <x:c r="O37" s="22" t="n">
        <x:v>46255</x:v>
      </x:c>
      <x:c r="P37" s="20" t="str">
        <x:v>十神按日主生克与阴阳同异映射；《渊海子平》《三命通会》相关论述</x:v>
      </x:c>
    </x:row>
    <x:row r="38">
      <x:c r="A38" s="20" t="str">
        <x:v>M02-SS-0033-V1.0</x:v>
      </x:c>
      <x:c r="B38" s="20" t="str">
        <x:v>基础记录</x:v>
      </x:c>
      <x:c r="C38" s="20" t="str">
        <x:v>M02</x:v>
      </x:c>
      <x:c r="D38" s="20" t="str">
        <x:v>02_干支藏干基础</x:v>
      </x:c>
      <x:c r="E38" s="20" t="str">
        <x:v>SS</x:v>
      </x:c>
      <x:c r="F38" s="20" t="n">
        <x:v>33</x:v>
      </x:c>
      <x:c r="G38" s="20" t="str">
        <x:v>V1.0</x:v>
      </x:c>
      <x:c r="H38" s="20" t="str">
        <x:v>十神｜正财</x:v>
      </x:c>
      <x:c r="I38" s="20" t="str">
        <x:v>识别层</x:v>
      </x:c>
      <x:c r="J38" s="20" t="str">
        <x:v>十神基础映射</x:v>
      </x:c>
      <x:c r="K38" s="20" t="str">
        <x:v>对象五行为日主所克，且与日主阴阳相异，故该对象相对日主为正财。</x:v>
      </x:c>
      <x:c r="L38" s="20" t="str">
        <x:v>确定</x:v>
      </x:c>
      <x:c r="M38" s="20" t="str">
        <x:v>采用</x:v>
      </x:c>
      <x:c r="N38" s="20" t="str">
        <x:v>初审</x:v>
      </x:c>
      <x:c r="O38" s="22" t="n">
        <x:v>46255</x:v>
      </x:c>
      <x:c r="P38" s="20" t="str">
        <x:v>十神按日主生克与阴阳同异映射；《渊海子平》《三命通会》相关论述</x:v>
      </x:c>
    </x:row>
    <x:row r="39">
      <x:c r="A39" s="20" t="str">
        <x:v>M02-SS-0034-V1.0</x:v>
      </x:c>
      <x:c r="B39" s="20" t="str">
        <x:v>基础记录</x:v>
      </x:c>
      <x:c r="C39" s="20" t="str">
        <x:v>M02</x:v>
      </x:c>
      <x:c r="D39" s="20" t="str">
        <x:v>02_干支藏干基础</x:v>
      </x:c>
      <x:c r="E39" s="20" t="str">
        <x:v>SS</x:v>
      </x:c>
      <x:c r="F39" s="20" t="n">
        <x:v>34</x:v>
      </x:c>
      <x:c r="G39" s="20" t="str">
        <x:v>V1.0</x:v>
      </x:c>
      <x:c r="H39" s="20" t="str">
        <x:v>十神｜七杀</x:v>
      </x:c>
      <x:c r="I39" s="20" t="str">
        <x:v>识别层</x:v>
      </x:c>
      <x:c r="J39" s="20" t="str">
        <x:v>十神基础映射</x:v>
      </x:c>
      <x:c r="K39" s="20" t="str">
        <x:v>对象五行克制日主，且与日主阴阳相同，故该对象相对日主为七杀。</x:v>
      </x:c>
      <x:c r="L39" s="20" t="str">
        <x:v>确定</x:v>
      </x:c>
      <x:c r="M39" s="20" t="str">
        <x:v>采用</x:v>
      </x:c>
      <x:c r="N39" s="20" t="str">
        <x:v>初审</x:v>
      </x:c>
      <x:c r="O39" s="22" t="n">
        <x:v>46255</x:v>
      </x:c>
      <x:c r="P39" s="20" t="str">
        <x:v>十神按日主生克与阴阳同异映射；《渊海子平》《三命通会》相关论述</x:v>
      </x:c>
    </x:row>
    <x:row r="40">
      <x:c r="A40" s="20" t="str">
        <x:v>M02-SS-0035-V1.0</x:v>
      </x:c>
      <x:c r="B40" s="20" t="str">
        <x:v>基础记录</x:v>
      </x:c>
      <x:c r="C40" s="20" t="str">
        <x:v>M02</x:v>
      </x:c>
      <x:c r="D40" s="20" t="str">
        <x:v>02_干支藏干基础</x:v>
      </x:c>
      <x:c r="E40" s="20" t="str">
        <x:v>SS</x:v>
      </x:c>
      <x:c r="F40" s="20" t="n">
        <x:v>35</x:v>
      </x:c>
      <x:c r="G40" s="20" t="str">
        <x:v>V1.0</x:v>
      </x:c>
      <x:c r="H40" s="20" t="str">
        <x:v>十神｜正官</x:v>
      </x:c>
      <x:c r="I40" s="20" t="str">
        <x:v>识别层</x:v>
      </x:c>
      <x:c r="J40" s="20" t="str">
        <x:v>十神基础映射</x:v>
      </x:c>
      <x:c r="K40" s="20" t="str">
        <x:v>对象五行克制日主，且与日主阴阳相异，故该对象相对日主为正官。</x:v>
      </x:c>
      <x:c r="L40" s="20" t="str">
        <x:v>确定</x:v>
      </x:c>
      <x:c r="M40" s="20" t="str">
        <x:v>采用</x:v>
      </x:c>
      <x:c r="N40" s="20" t="str">
        <x:v>初审</x:v>
      </x:c>
      <x:c r="O40" s="22" t="n">
        <x:v>46255</x:v>
      </x:c>
      <x:c r="P40" s="20" t="str">
        <x:v>十神按日主生克与阴阳同异映射；《渊海子平》《三命通会》相关论述</x:v>
      </x:c>
    </x:row>
    <x:row r="41">
      <x:c r="A41" s="20" t="str">
        <x:v>M02-SS-0036-V1.0</x:v>
      </x:c>
      <x:c r="B41" s="20" t="str">
        <x:v>基础记录</x:v>
      </x:c>
      <x:c r="C41" s="20" t="str">
        <x:v>M02</x:v>
      </x:c>
      <x:c r="D41" s="20" t="str">
        <x:v>02_干支藏干基础</x:v>
      </x:c>
      <x:c r="E41" s="20" t="str">
        <x:v>SS</x:v>
      </x:c>
      <x:c r="F41" s="20" t="n">
        <x:v>36</x:v>
      </x:c>
      <x:c r="G41" s="20" t="str">
        <x:v>V1.0</x:v>
      </x:c>
      <x:c r="H41" s="20" t="str">
        <x:v>十神｜偏印</x:v>
      </x:c>
      <x:c r="I41" s="20" t="str">
        <x:v>识别层</x:v>
      </x:c>
      <x:c r="J41" s="20" t="str">
        <x:v>十神基础映射</x:v>
      </x:c>
      <x:c r="K41" s="20" t="str">
        <x:v>对象五行生扶日主，且与日主阴阳相同，故该对象相对日主为偏印。</x:v>
      </x:c>
      <x:c r="L41" s="20" t="str">
        <x:v>确定</x:v>
      </x:c>
      <x:c r="M41" s="20" t="str">
        <x:v>采用</x:v>
      </x:c>
      <x:c r="N41" s="20" t="str">
        <x:v>初审</x:v>
      </x:c>
      <x:c r="O41" s="22" t="n">
        <x:v>46255</x:v>
      </x:c>
      <x:c r="P41" s="20" t="str">
        <x:v>十神按日主生克与阴阳同异映射；《渊海子平》《三命通会》相关论述</x:v>
      </x:c>
    </x:row>
    <x:row r="42">
      <x:c r="A42" s="20" t="str">
        <x:v>M02-SS-0037-V1.0</x:v>
      </x:c>
      <x:c r="B42" s="20" t="str">
        <x:v>基础记录</x:v>
      </x:c>
      <x:c r="C42" s="20" t="str">
        <x:v>M02</x:v>
      </x:c>
      <x:c r="D42" s="20" t="str">
        <x:v>02_干支藏干基础</x:v>
      </x:c>
      <x:c r="E42" s="20" t="str">
        <x:v>SS</x:v>
      </x:c>
      <x:c r="F42" s="20" t="n">
        <x:v>37</x:v>
      </x:c>
      <x:c r="G42" s="20" t="str">
        <x:v>V1.0</x:v>
      </x:c>
      <x:c r="H42" s="20" t="str">
        <x:v>十神｜正印</x:v>
      </x:c>
      <x:c r="I42" s="20" t="str">
        <x:v>识别层</x:v>
      </x:c>
      <x:c r="J42" s="20" t="str">
        <x:v>十神基础映射</x:v>
      </x:c>
      <x:c r="K42" s="20" t="str">
        <x:v>对象五行生扶日主，且与日主阴阳相异，故该对象相对日主为正印。</x:v>
      </x:c>
      <x:c r="L42" s="20" t="str">
        <x:v>确定</x:v>
      </x:c>
      <x:c r="M42" s="20" t="str">
        <x:v>采用</x:v>
      </x:c>
      <x:c r="N42" s="20" t="str">
        <x:v>初审</x:v>
      </x:c>
      <x:c r="O42" s="22" t="n">
        <x:v>46255</x:v>
      </x:c>
      <x:c r="P42" s="20" t="str">
        <x:v>十神按日主生克与阴阳同异映射；《渊海子平》《三命通会》相关论述</x:v>
      </x:c>
    </x:row>
    <x:row r="43">
      <x:c r="A43" s="20" t="str">
        <x:v>M02-META-0038-V1.0</x:v>
      </x:c>
      <x:c r="B43" s="20" t="str">
        <x:v>基础记录</x:v>
      </x:c>
      <x:c r="C43" s="20" t="str">
        <x:v>M02</x:v>
      </x:c>
      <x:c r="D43" s="20" t="str">
        <x:v>02_干支藏干基础</x:v>
      </x:c>
      <x:c r="E43" s="20" t="str">
        <x:v>META</x:v>
      </x:c>
      <x:c r="F43" s="20" t="n">
        <x:v>38</x:v>
      </x:c>
      <x:c r="G43" s="20" t="str">
        <x:v>V1.0</x:v>
      </x:c>
      <x:c r="H43" s="20" t="str">
        <x:v>输出字段｜藏干存在性与透干分离</x:v>
      </x:c>
      <x:c r="I43" s="20" t="str">
        <x:v>识别层</x:v>
      </x:c>
      <x:c r="J43" s="20" t="str">
        <x:v>藏干存在性边界</x:v>
      </x:c>
      <x:c r="K43" s="20" t="str">
        <x:v>地支藏干先按基础字典记为存在；是否透出、能否发挥及力量大小另行判断。</x:v>
      </x:c>
      <x:c r="L43" s="20" t="str">
        <x:v>确定</x:v>
      </x:c>
      <x:c r="M43" s="20" t="str">
        <x:v>采用</x:v>
      </x:c>
      <x:c r="N43" s="20" t="str">
        <x:v>初审</x:v>
      </x:c>
      <x:c r="O43" s="22" t="n">
        <x:v>46255</x:v>
      </x:c>
      <x:c r="P43" s="20" t="str">
        <x:v>内部规则治理；参照传统干支、人元与十神关系框架</x:v>
      </x:c>
    </x:row>
    <x:row r="44">
      <x:c r="A44" s="20" t="str">
        <x:v>M02-META-0039-V1.0</x:v>
      </x:c>
      <x:c r="B44" s="20" t="str">
        <x:v>基础记录</x:v>
      </x:c>
      <x:c r="C44" s="20" t="str">
        <x:v>M02</x:v>
      </x:c>
      <x:c r="D44" s="20" t="str">
        <x:v>02_干支藏干基础</x:v>
      </x:c>
      <x:c r="E44" s="20" t="str">
        <x:v>META</x:v>
      </x:c>
      <x:c r="F44" s="20" t="n">
        <x:v>39</x:v>
      </x:c>
      <x:c r="G44" s="20" t="str">
        <x:v>V1.0</x:v>
      </x:c>
      <x:c r="H44" s="20" t="str">
        <x:v>输出字段｜地支阴阳与藏干阴阳分离</x:v>
      </x:c>
      <x:c r="I44" s="20" t="str">
        <x:v>识别层</x:v>
      </x:c>
      <x:c r="J44" s="20" t="str">
        <x:v>支与藏干层级分离</x:v>
      </x:c>
      <x:c r="K44" s="20" t="str">
        <x:v>判断十神时使用藏干自身阴阳，不使用地支阴阳代替。</x:v>
      </x:c>
      <x:c r="L44" s="20" t="str">
        <x:v>确定</x:v>
      </x:c>
      <x:c r="M44" s="20" t="str">
        <x:v>采用</x:v>
      </x:c>
      <x:c r="N44" s="20" t="str">
        <x:v>初审</x:v>
      </x:c>
      <x:c r="O44" s="22" t="n">
        <x:v>46255</x:v>
      </x:c>
      <x:c r="P44" s="20" t="str">
        <x:v>内部规则治理；参照传统干支、人元与十神关系框架</x:v>
      </x:c>
    </x:row>
    <x:row r="45">
      <x:c r="A45" s="20" t="str">
        <x:v>M02-META-0040-V1.0</x:v>
      </x:c>
      <x:c r="B45" s="20" t="str">
        <x:v>基础记录</x:v>
      </x:c>
      <x:c r="C45" s="20" t="str">
        <x:v>M02</x:v>
      </x:c>
      <x:c r="D45" s="20" t="str">
        <x:v>02_干支藏干基础</x:v>
      </x:c>
      <x:c r="E45" s="20" t="str">
        <x:v>META</x:v>
      </x:c>
      <x:c r="F45" s="20" t="n">
        <x:v>40</x:v>
      </x:c>
      <x:c r="G45" s="20" t="str">
        <x:v>V1.0</x:v>
      </x:c>
      <x:c r="H45" s="20" t="str">
        <x:v>输出字段｜十神为相对关系而非固定标签</x:v>
      </x:c>
      <x:c r="I45" s="20" t="str">
        <x:v>识别层</x:v>
      </x:c>
      <x:c r="J45" s="20" t="str">
        <x:v>十神相对性</x:v>
      </x:c>
      <x:c r="K45" s="20" t="str">
        <x:v>十神必须写成“对象相对某日主为何十神”，不得脱离日主单独固定。</x:v>
      </x:c>
      <x:c r="L45" s="20" t="str">
        <x:v>确定</x:v>
      </x:c>
      <x:c r="M45" s="20" t="str">
        <x:v>采用</x:v>
      </x:c>
      <x:c r="N45" s="20" t="str">
        <x:v>初审</x:v>
      </x:c>
      <x:c r="O45" s="22" t="n">
        <x:v>46255</x:v>
      </x:c>
      <x:c r="P45" s="20" t="str">
        <x:v>内部规则治理；参照传统干支、人元与十神关系框架</x:v>
      </x:c>
    </x:row>
    <x:row r="46">
      <x:c r="A46" s="20" t="str">
        <x:v>M03-ML-0001-V1.0</x:v>
      </x:c>
      <x:c r="B46" s="20" t="str">
        <x:v>规则</x:v>
      </x:c>
      <x:c r="C46" s="20" t="str">
        <x:v>M03</x:v>
      </x:c>
      <x:c r="D46" s="20" t="str">
        <x:v>03_月令与根气</x:v>
      </x:c>
      <x:c r="E46" s="20" t="str">
        <x:v>ML</x:v>
      </x:c>
      <x:c r="F46" s="20" t="n">
        <x:v>1</x:v>
      </x:c>
      <x:c r="G46" s="20" t="str">
        <x:v>V1.0</x:v>
      </x:c>
      <x:c r="H46" s="20" t="str">
        <x:v>寅月木当令基础</x:v>
      </x:c>
      <x:c r="I46" s="20" t="str">
        <x:v>结构层</x:v>
      </x:c>
      <x:c r="J46" s="20" t="str">
        <x:v>寅月木得令</x:v>
      </x:c>
      <x:c r="K46" s="20" t="str">
        <x:v>月支为寅，木取得季节主气支持；这是高权重的原始旺衰证据，仍须结合根气、透干、同党及克泄耗。</x:v>
      </x:c>
      <x:c r="L46" s="20" t="str">
        <x:v>较高</x:v>
      </x:c>
      <x:c r="M46" s="20" t="str">
        <x:v>采用</x:v>
      </x:c>
      <x:c r="N46" s="20" t="str">
        <x:v>初审</x:v>
      </x:c>
      <x:c r="O46" s="22" t="n">
        <x:v>46255</x:v>
      </x:c>
      <x:c r="P46" s="20" t="str">
        <x:v>https://zh.wikisource.org/wiki/攝生月令；https://zh.wikisource.org/zh-hans/三命通會_(四庫全書本)/卷10</x:v>
      </x:c>
    </x:row>
    <x:row r="47">
      <x:c r="A47" s="20" t="str">
        <x:v>M03-ML-0002-V1.0</x:v>
      </x:c>
      <x:c r="B47" s="20" t="str">
        <x:v>规则</x:v>
      </x:c>
      <x:c r="C47" s="20" t="str">
        <x:v>M03</x:v>
      </x:c>
      <x:c r="D47" s="20" t="str">
        <x:v>03_月令与根气</x:v>
      </x:c>
      <x:c r="E47" s="20" t="str">
        <x:v>ML</x:v>
      </x:c>
      <x:c r="F47" s="20" t="n">
        <x:v>2</x:v>
      </x:c>
      <x:c r="G47" s="20" t="str">
        <x:v>V1.0</x:v>
      </x:c>
      <x:c r="H47" s="20" t="str">
        <x:v>卯月木当令基础</x:v>
      </x:c>
      <x:c r="I47" s="20" t="str">
        <x:v>结构层</x:v>
      </x:c>
      <x:c r="J47" s="20" t="str">
        <x:v>卯月木得令</x:v>
      </x:c>
      <x:c r="K47" s="20" t="str">
        <x:v>月支为卯，木取得季节主气支持；这是高权重的原始旺衰证据，仍须结合根气、透干、同党及克泄耗。</x:v>
      </x:c>
      <x:c r="L47" s="20" t="str">
        <x:v>较高</x:v>
      </x:c>
      <x:c r="M47" s="20" t="str">
        <x:v>采用</x:v>
      </x:c>
      <x:c r="N47" s="20" t="str">
        <x:v>初审</x:v>
      </x:c>
      <x:c r="O47" s="22" t="n">
        <x:v>46255</x:v>
      </x:c>
      <x:c r="P47" s="20" t="str">
        <x:v>https://zh.wikisource.org/wiki/攝生月令；https://zh.wikisource.org/zh-hans/三命通會_(四庫全書本)/卷10</x:v>
      </x:c>
    </x:row>
    <x:row r="48">
      <x:c r="A48" s="20" t="str">
        <x:v>M03-ML-0003-V1.0</x:v>
      </x:c>
      <x:c r="B48" s="20" t="str">
        <x:v>规则</x:v>
      </x:c>
      <x:c r="C48" s="20" t="str">
        <x:v>M03</x:v>
      </x:c>
      <x:c r="D48" s="20" t="str">
        <x:v>03_月令与根气</x:v>
      </x:c>
      <x:c r="E48" s="20" t="str">
        <x:v>ML</x:v>
      </x:c>
      <x:c r="F48" s="20" t="n">
        <x:v>3</x:v>
      </x:c>
      <x:c r="G48" s="20" t="str">
        <x:v>V1.0</x:v>
      </x:c>
      <x:c r="H48" s="20" t="str">
        <x:v>辰月土当令基础</x:v>
      </x:c>
      <x:c r="I48" s="20" t="str">
        <x:v>结构层</x:v>
      </x:c>
      <x:c r="J48" s="20" t="str">
        <x:v>辰月土得令</x:v>
      </x:c>
      <x:c r="K48" s="20" t="str">
        <x:v>月支为辰，土取得季节主气支持；这是高权重的原始旺衰证据，仍须结合根气、透干、同党及克泄耗。</x:v>
      </x:c>
      <x:c r="L48" s="20" t="str">
        <x:v>较高</x:v>
      </x:c>
      <x:c r="M48" s="20" t="str">
        <x:v>采用</x:v>
      </x:c>
      <x:c r="N48" s="20" t="str">
        <x:v>初审</x:v>
      </x:c>
      <x:c r="O48" s="22" t="n">
        <x:v>46255</x:v>
      </x:c>
      <x:c r="P48" s="20" t="str">
        <x:v>https://zh.wikisource.org/wiki/攝生月令；https://zh.wikisource.org/zh-hans/三命通會_(四庫全書本)/卷10</x:v>
      </x:c>
    </x:row>
    <x:row r="49">
      <x:c r="A49" s="20" t="str">
        <x:v>M03-ML-0004-V1.0</x:v>
      </x:c>
      <x:c r="B49" s="20" t="str">
        <x:v>规则</x:v>
      </x:c>
      <x:c r="C49" s="20" t="str">
        <x:v>M03</x:v>
      </x:c>
      <x:c r="D49" s="20" t="str">
        <x:v>03_月令与根气</x:v>
      </x:c>
      <x:c r="E49" s="20" t="str">
        <x:v>ML</x:v>
      </x:c>
      <x:c r="F49" s="20" t="n">
        <x:v>4</x:v>
      </x:c>
      <x:c r="G49" s="20" t="str">
        <x:v>V1.0</x:v>
      </x:c>
      <x:c r="H49" s="20" t="str">
        <x:v>巳月火当令基础</x:v>
      </x:c>
      <x:c r="I49" s="20" t="str">
        <x:v>结构层</x:v>
      </x:c>
      <x:c r="J49" s="20" t="str">
        <x:v>巳月火得令</x:v>
      </x:c>
      <x:c r="K49" s="20" t="str">
        <x:v>月支为巳，火取得季节主气支持；这是高权重的原始旺衰证据，仍须结合根气、透干、同党及克泄耗。</x:v>
      </x:c>
      <x:c r="L49" s="20" t="str">
        <x:v>较高</x:v>
      </x:c>
      <x:c r="M49" s="20" t="str">
        <x:v>采用</x:v>
      </x:c>
      <x:c r="N49" s="20" t="str">
        <x:v>初审</x:v>
      </x:c>
      <x:c r="O49" s="22" t="n">
        <x:v>46255</x:v>
      </x:c>
      <x:c r="P49" s="20" t="str">
        <x:v>https://zh.wikisource.org/wiki/攝生月令；https://zh.wikisource.org/zh-hans/三命通會_(四庫全書本)/卷10</x:v>
      </x:c>
    </x:row>
    <x:row r="50">
      <x:c r="A50" s="20" t="str">
        <x:v>M03-ML-0005-V1.0</x:v>
      </x:c>
      <x:c r="B50" s="20" t="str">
        <x:v>规则</x:v>
      </x:c>
      <x:c r="C50" s="20" t="str">
        <x:v>M03</x:v>
      </x:c>
      <x:c r="D50" s="20" t="str">
        <x:v>03_月令与根气</x:v>
      </x:c>
      <x:c r="E50" s="20" t="str">
        <x:v>ML</x:v>
      </x:c>
      <x:c r="F50" s="20" t="n">
        <x:v>5</x:v>
      </x:c>
      <x:c r="G50" s="20" t="str">
        <x:v>V1.0</x:v>
      </x:c>
      <x:c r="H50" s="20" t="str">
        <x:v>午月火当令基础</x:v>
      </x:c>
      <x:c r="I50" s="20" t="str">
        <x:v>结构层</x:v>
      </x:c>
      <x:c r="J50" s="20" t="str">
        <x:v>午月火得令</x:v>
      </x:c>
      <x:c r="K50" s="20" t="str">
        <x:v>月支为午，火取得季节主气支持；这是高权重的原始旺衰证据，仍须结合根气、透干、同党及克泄耗。</x:v>
      </x:c>
      <x:c r="L50" s="20" t="str">
        <x:v>较高</x:v>
      </x:c>
      <x:c r="M50" s="20" t="str">
        <x:v>采用</x:v>
      </x:c>
      <x:c r="N50" s="20" t="str">
        <x:v>初审</x:v>
      </x:c>
      <x:c r="O50" s="22" t="n">
        <x:v>46255</x:v>
      </x:c>
      <x:c r="P50" s="20" t="str">
        <x:v>https://zh.wikisource.org/wiki/攝生月令；https://zh.wikisource.org/zh-hans/三命通會_(四庫全書本)/卷10</x:v>
      </x:c>
    </x:row>
    <x:row r="51">
      <x:c r="A51" s="20" t="str">
        <x:v>M03-ML-0006-V1.0</x:v>
      </x:c>
      <x:c r="B51" s="20" t="str">
        <x:v>规则</x:v>
      </x:c>
      <x:c r="C51" s="20" t="str">
        <x:v>M03</x:v>
      </x:c>
      <x:c r="D51" s="20" t="str">
        <x:v>03_月令与根气</x:v>
      </x:c>
      <x:c r="E51" s="20" t="str">
        <x:v>ML</x:v>
      </x:c>
      <x:c r="F51" s="20" t="n">
        <x:v>6</x:v>
      </x:c>
      <x:c r="G51" s="20" t="str">
        <x:v>V1.0</x:v>
      </x:c>
      <x:c r="H51" s="20" t="str">
        <x:v>未月土当令基础</x:v>
      </x:c>
      <x:c r="I51" s="20" t="str">
        <x:v>结构层</x:v>
      </x:c>
      <x:c r="J51" s="20" t="str">
        <x:v>未月土得令</x:v>
      </x:c>
      <x:c r="K51" s="20" t="str">
        <x:v>月支为未，土取得季节主气支持；这是高权重的原始旺衰证据，仍须结合根气、透干、同党及克泄耗。</x:v>
      </x:c>
      <x:c r="L51" s="20" t="str">
        <x:v>较高</x:v>
      </x:c>
      <x:c r="M51" s="20" t="str">
        <x:v>采用</x:v>
      </x:c>
      <x:c r="N51" s="20" t="str">
        <x:v>初审</x:v>
      </x:c>
      <x:c r="O51" s="22" t="n">
        <x:v>46255</x:v>
      </x:c>
      <x:c r="P51" s="20" t="str">
        <x:v>https://zh.wikisource.org/wiki/攝生月令；https://zh.wikisource.org/zh-hans/三命通會_(四庫全書本)/卷10</x:v>
      </x:c>
    </x:row>
    <x:row r="52">
      <x:c r="A52" s="20" t="str">
        <x:v>M03-ML-0007-V1.0</x:v>
      </x:c>
      <x:c r="B52" s="20" t="str">
        <x:v>规则</x:v>
      </x:c>
      <x:c r="C52" s="20" t="str">
        <x:v>M03</x:v>
      </x:c>
      <x:c r="D52" s="20" t="str">
        <x:v>03_月令与根气</x:v>
      </x:c>
      <x:c r="E52" s="20" t="str">
        <x:v>ML</x:v>
      </x:c>
      <x:c r="F52" s="20" t="n">
        <x:v>7</x:v>
      </x:c>
      <x:c r="G52" s="20" t="str">
        <x:v>V1.0</x:v>
      </x:c>
      <x:c r="H52" s="20" t="str">
        <x:v>申月金当令基础</x:v>
      </x:c>
      <x:c r="I52" s="20" t="str">
        <x:v>结构层</x:v>
      </x:c>
      <x:c r="J52" s="20" t="str">
        <x:v>申月金得令</x:v>
      </x:c>
      <x:c r="K52" s="20" t="str">
        <x:v>月支为申，金取得季节主气支持；这是高权重的原始旺衰证据，仍须结合根气、透干、同党及克泄耗。</x:v>
      </x:c>
      <x:c r="L52" s="20" t="str">
        <x:v>较高</x:v>
      </x:c>
      <x:c r="M52" s="20" t="str">
        <x:v>采用</x:v>
      </x:c>
      <x:c r="N52" s="20" t="str">
        <x:v>初审</x:v>
      </x:c>
      <x:c r="O52" s="22" t="n">
        <x:v>46255</x:v>
      </x:c>
      <x:c r="P52" s="20" t="str">
        <x:v>https://zh.wikisource.org/wiki/攝生月令；https://zh.wikisource.org/zh-hans/三命通會_(四庫全書本)/卷10</x:v>
      </x:c>
    </x:row>
    <x:row r="53">
      <x:c r="A53" s="20" t="str">
        <x:v>M03-ML-0008-V1.0</x:v>
      </x:c>
      <x:c r="B53" s="20" t="str">
        <x:v>规则</x:v>
      </x:c>
      <x:c r="C53" s="20" t="str">
        <x:v>M03</x:v>
      </x:c>
      <x:c r="D53" s="20" t="str">
        <x:v>03_月令与根气</x:v>
      </x:c>
      <x:c r="E53" s="20" t="str">
        <x:v>ML</x:v>
      </x:c>
      <x:c r="F53" s="20" t="n">
        <x:v>8</x:v>
      </x:c>
      <x:c r="G53" s="20" t="str">
        <x:v>V1.0</x:v>
      </x:c>
      <x:c r="H53" s="20" t="str">
        <x:v>酉月金当令基础</x:v>
      </x:c>
      <x:c r="I53" s="20" t="str">
        <x:v>结构层</x:v>
      </x:c>
      <x:c r="J53" s="20" t="str">
        <x:v>酉月金得令</x:v>
      </x:c>
      <x:c r="K53" s="20" t="str">
        <x:v>月支为酉，金取得季节主气支持；这是高权重的原始旺衰证据，仍须结合根气、透干、同党及克泄耗。</x:v>
      </x:c>
      <x:c r="L53" s="20" t="str">
        <x:v>较高</x:v>
      </x:c>
      <x:c r="M53" s="20" t="str">
        <x:v>采用</x:v>
      </x:c>
      <x:c r="N53" s="20" t="str">
        <x:v>初审</x:v>
      </x:c>
      <x:c r="O53" s="22" t="n">
        <x:v>46255</x:v>
      </x:c>
      <x:c r="P53" s="20" t="str">
        <x:v>https://zh.wikisource.org/wiki/攝生月令；https://zh.wikisource.org/zh-hans/三命通會_(四庫全書本)/卷10</x:v>
      </x:c>
    </x:row>
    <x:row r="54">
      <x:c r="A54" s="20" t="str">
        <x:v>M03-ML-0009-V1.0</x:v>
      </x:c>
      <x:c r="B54" s="20" t="str">
        <x:v>规则</x:v>
      </x:c>
      <x:c r="C54" s="20" t="str">
        <x:v>M03</x:v>
      </x:c>
      <x:c r="D54" s="20" t="str">
        <x:v>03_月令与根气</x:v>
      </x:c>
      <x:c r="E54" s="20" t="str">
        <x:v>ML</x:v>
      </x:c>
      <x:c r="F54" s="20" t="n">
        <x:v>9</x:v>
      </x:c>
      <x:c r="G54" s="20" t="str">
        <x:v>V1.0</x:v>
      </x:c>
      <x:c r="H54" s="20" t="str">
        <x:v>戌月土当令基础</x:v>
      </x:c>
      <x:c r="I54" s="20" t="str">
        <x:v>结构层</x:v>
      </x:c>
      <x:c r="J54" s="20" t="str">
        <x:v>戌月土得令</x:v>
      </x:c>
      <x:c r="K54" s="20" t="str">
        <x:v>月支为戌，土取得季节主气支持；这是高权重的原始旺衰证据，仍须结合根气、透干、同党及克泄耗。</x:v>
      </x:c>
      <x:c r="L54" s="20" t="str">
        <x:v>较高</x:v>
      </x:c>
      <x:c r="M54" s="20" t="str">
        <x:v>采用</x:v>
      </x:c>
      <x:c r="N54" s="20" t="str">
        <x:v>初审</x:v>
      </x:c>
      <x:c r="O54" s="22" t="n">
        <x:v>46255</x:v>
      </x:c>
      <x:c r="P54" s="20" t="str">
        <x:v>https://zh.wikisource.org/wiki/攝生月令；https://zh.wikisource.org/zh-hans/三命通會_(四庫全書本)/卷10</x:v>
      </x:c>
    </x:row>
    <x:row r="55">
      <x:c r="A55" s="20" t="str">
        <x:v>M03-ML-0010-V1.0</x:v>
      </x:c>
      <x:c r="B55" s="20" t="str">
        <x:v>规则</x:v>
      </x:c>
      <x:c r="C55" s="20" t="str">
        <x:v>M03</x:v>
      </x:c>
      <x:c r="D55" s="20" t="str">
        <x:v>03_月令与根气</x:v>
      </x:c>
      <x:c r="E55" s="20" t="str">
        <x:v>ML</x:v>
      </x:c>
      <x:c r="F55" s="20" t="n">
        <x:v>10</x:v>
      </x:c>
      <x:c r="G55" s="20" t="str">
        <x:v>V1.0</x:v>
      </x:c>
      <x:c r="H55" s="20" t="str">
        <x:v>亥月水当令基础</x:v>
      </x:c>
      <x:c r="I55" s="20" t="str">
        <x:v>结构层</x:v>
      </x:c>
      <x:c r="J55" s="20" t="str">
        <x:v>亥月水得令</x:v>
      </x:c>
      <x:c r="K55" s="20" t="str">
        <x:v>月支为亥，水取得季节主气支持；这是高权重的原始旺衰证据，仍须结合根气、透干、同党及克泄耗。</x:v>
      </x:c>
      <x:c r="L55" s="20" t="str">
        <x:v>较高</x:v>
      </x:c>
      <x:c r="M55" s="20" t="str">
        <x:v>采用</x:v>
      </x:c>
      <x:c r="N55" s="20" t="str">
        <x:v>初审</x:v>
      </x:c>
      <x:c r="O55" s="22" t="n">
        <x:v>46255</x:v>
      </x:c>
      <x:c r="P55" s="20" t="str">
        <x:v>https://zh.wikisource.org/wiki/攝生月令；https://zh.wikisource.org/zh-hans/三命通會_(四庫全書本)/卷10</x:v>
      </x:c>
    </x:row>
    <x:row r="56">
      <x:c r="A56" s="20" t="str">
        <x:v>M03-ML-0011-V1.0</x:v>
      </x:c>
      <x:c r="B56" s="20" t="str">
        <x:v>规则</x:v>
      </x:c>
      <x:c r="C56" s="20" t="str">
        <x:v>M03</x:v>
      </x:c>
      <x:c r="D56" s="20" t="str">
        <x:v>03_月令与根气</x:v>
      </x:c>
      <x:c r="E56" s="20" t="str">
        <x:v>ML</x:v>
      </x:c>
      <x:c r="F56" s="20" t="n">
        <x:v>11</x:v>
      </x:c>
      <x:c r="G56" s="20" t="str">
        <x:v>V1.0</x:v>
      </x:c>
      <x:c r="H56" s="20" t="str">
        <x:v>子月水当令基础</x:v>
      </x:c>
      <x:c r="I56" s="20" t="str">
        <x:v>结构层</x:v>
      </x:c>
      <x:c r="J56" s="20" t="str">
        <x:v>子月水得令</x:v>
      </x:c>
      <x:c r="K56" s="20" t="str">
        <x:v>月支为子，水取得季节主气支持；这是高权重的原始旺衰证据，仍须结合根气、透干、同党及克泄耗。</x:v>
      </x:c>
      <x:c r="L56" s="20" t="str">
        <x:v>较高</x:v>
      </x:c>
      <x:c r="M56" s="20" t="str">
        <x:v>采用</x:v>
      </x:c>
      <x:c r="N56" s="20" t="str">
        <x:v>初审</x:v>
      </x:c>
      <x:c r="O56" s="22" t="n">
        <x:v>46255</x:v>
      </x:c>
      <x:c r="P56" s="20" t="str">
        <x:v>https://zh.wikisource.org/wiki/攝生月令；https://zh.wikisource.org/zh-hans/三命通會_(四庫全書本)/卷10</x:v>
      </x:c>
    </x:row>
    <x:row r="57">
      <x:c r="A57" s="20" t="str">
        <x:v>M03-ML-0012-V1.0</x:v>
      </x:c>
      <x:c r="B57" s="20" t="str">
        <x:v>规则</x:v>
      </x:c>
      <x:c r="C57" s="20" t="str">
        <x:v>M03</x:v>
      </x:c>
      <x:c r="D57" s="20" t="str">
        <x:v>03_月令与根气</x:v>
      </x:c>
      <x:c r="E57" s="20" t="str">
        <x:v>ML</x:v>
      </x:c>
      <x:c r="F57" s="20" t="n">
        <x:v>12</x:v>
      </x:c>
      <x:c r="G57" s="20" t="str">
        <x:v>V1.0</x:v>
      </x:c>
      <x:c r="H57" s="20" t="str">
        <x:v>丑月土当令基础</x:v>
      </x:c>
      <x:c r="I57" s="20" t="str">
        <x:v>结构层</x:v>
      </x:c>
      <x:c r="J57" s="20" t="str">
        <x:v>丑月土得令</x:v>
      </x:c>
      <x:c r="K57" s="20" t="str">
        <x:v>月支为丑，土取得季节主气支持；这是高权重的原始旺衰证据，仍须结合根气、透干、同党及克泄耗。</x:v>
      </x:c>
      <x:c r="L57" s="20" t="str">
        <x:v>较高</x:v>
      </x:c>
      <x:c r="M57" s="20" t="str">
        <x:v>采用</x:v>
      </x:c>
      <x:c r="N57" s="20" t="str">
        <x:v>初审</x:v>
      </x:c>
      <x:c r="O57" s="22" t="n">
        <x:v>46255</x:v>
      </x:c>
      <x:c r="P57" s="20" t="str">
        <x:v>https://zh.wikisource.org/wiki/攝生月令；https://zh.wikisource.org/zh-hans/三命通會_(四庫全書本)/卷10</x:v>
      </x:c>
    </x:row>
    <x:row r="58">
      <x:c r="A58" s="20" t="str">
        <x:v>M03-WXR-0013-V1.0</x:v>
      </x:c>
      <x:c r="B58" s="20" t="str">
        <x:v>规则</x:v>
      </x:c>
      <x:c r="C58" s="20" t="str">
        <x:v>M03</x:v>
      </x:c>
      <x:c r="D58" s="20" t="str">
        <x:v>03_月令与根气</x:v>
      </x:c>
      <x:c r="E58" s="20" t="str">
        <x:v>WXR</x:v>
      </x:c>
      <x:c r="F58" s="20" t="n">
        <x:v>13</x:v>
      </x:c>
      <x:c r="G58" s="20" t="str">
        <x:v>V1.0</x:v>
      </x:c>
      <x:c r="H58" s="20" t="str">
        <x:v>季节旺态判定</x:v>
      </x:c>
      <x:c r="I58" s="20" t="str">
        <x:v>结构层</x:v>
      </x:c>
      <x:c r="J58" s="20" t="str">
        <x:v>同类得令</x:v>
      </x:c>
      <x:c r="K58" s="20" t="str">
        <x:v>对象与月令主气同五行，记为“旺”的季节证据；它说明当时得势，不等于全局最终必旺。</x:v>
      </x:c>
      <x:c r="L58" s="20" t="str">
        <x:v>较高</x:v>
      </x:c>
      <x:c r="M58" s="20" t="str">
        <x:v>采用</x:v>
      </x:c>
      <x:c r="N58" s="20" t="str">
        <x:v>初审</x:v>
      </x:c>
      <x:c r="O58" s="22" t="n">
        <x:v>46255</x:v>
      </x:c>
      <x:c r="P58" s="20" t="str">
        <x:v>https://zh.wikisource.org/zh-hans/三命通會_(四庫全書本)/卷10；https://zh.wikisource.org/wiki/淵海子平</x:v>
      </x:c>
    </x:row>
    <x:row r="59">
      <x:c r="A59" s="20" t="str">
        <x:v>M03-WXR-0014-V1.0</x:v>
      </x:c>
      <x:c r="B59" s="20" t="str">
        <x:v>规则</x:v>
      </x:c>
      <x:c r="C59" s="20" t="str">
        <x:v>M03</x:v>
      </x:c>
      <x:c r="D59" s="20" t="str">
        <x:v>03_月令与根气</x:v>
      </x:c>
      <x:c r="E59" s="20" t="str">
        <x:v>WXR</x:v>
      </x:c>
      <x:c r="F59" s="20" t="n">
        <x:v>14</x:v>
      </x:c>
      <x:c r="G59" s="20" t="str">
        <x:v>V1.0</x:v>
      </x:c>
      <x:c r="H59" s="20" t="str">
        <x:v>季节相态判定</x:v>
      </x:c>
      <x:c r="I59" s="20" t="str">
        <x:v>结构层</x:v>
      </x:c>
      <x:c r="J59" s="20" t="str">
        <x:v>受令所生</x:v>
      </x:c>
      <x:c r="K59" s="20" t="str">
        <x:v>对象由当令五行所生，记为“相”的季节证据；支持度通常低于同类当令。</x:v>
      </x:c>
      <x:c r="L59" s="20" t="str">
        <x:v>较高</x:v>
      </x:c>
      <x:c r="M59" s="20" t="str">
        <x:v>采用</x:v>
      </x:c>
      <x:c r="N59" s="20" t="str">
        <x:v>初审</x:v>
      </x:c>
      <x:c r="O59" s="22" t="n">
        <x:v>46255</x:v>
      </x:c>
      <x:c r="P59" s="20" t="str">
        <x:v>https://zh.wikisource.org/zh-hans/三命通會_(四庫全書本)/卷10；https://zh.wikisource.org/wiki/淵海子平</x:v>
      </x:c>
    </x:row>
    <x:row r="60">
      <x:c r="A60" s="20" t="str">
        <x:v>M03-WXR-0015-V1.0</x:v>
      </x:c>
      <x:c r="B60" s="20" t="str">
        <x:v>规则</x:v>
      </x:c>
      <x:c r="C60" s="20" t="str">
        <x:v>M03</x:v>
      </x:c>
      <x:c r="D60" s="20" t="str">
        <x:v>03_月令与根气</x:v>
      </x:c>
      <x:c r="E60" s="20" t="str">
        <x:v>WXR</x:v>
      </x:c>
      <x:c r="F60" s="20" t="n">
        <x:v>15</x:v>
      </x:c>
      <x:c r="G60" s="20" t="str">
        <x:v>V1.0</x:v>
      </x:c>
      <x:c r="H60" s="20" t="str">
        <x:v>季节休态判定</x:v>
      </x:c>
      <x:c r="I60" s="20" t="str">
        <x:v>结构层</x:v>
      </x:c>
      <x:c r="J60" s="20" t="str">
        <x:v>生令而休</x:v>
      </x:c>
      <x:c r="K60" s="20" t="str">
        <x:v>对象生扶当令五行，季节上有泄气倾向，记为“休”；这是相对退势证据，不等于完全无力。</x:v>
      </x:c>
      <x:c r="L60" s="20" t="str">
        <x:v>较高</x:v>
      </x:c>
      <x:c r="M60" s="20" t="str">
        <x:v>采用</x:v>
      </x:c>
      <x:c r="N60" s="20" t="str">
        <x:v>初审</x:v>
      </x:c>
      <x:c r="O60" s="22" t="n">
        <x:v>46255</x:v>
      </x:c>
      <x:c r="P60" s="20" t="str">
        <x:v>https://zh.wikisource.org/zh-hans/三命通會_(四庫全書本)/卷10；https://zh.wikisource.org/wiki/淵海子平</x:v>
      </x:c>
    </x:row>
    <x:row r="61">
      <x:c r="A61" s="20" t="str">
        <x:v>M03-WXR-0016-V1.0</x:v>
      </x:c>
      <x:c r="B61" s="20" t="str">
        <x:v>规则</x:v>
      </x:c>
      <x:c r="C61" s="20" t="str">
        <x:v>M03</x:v>
      </x:c>
      <x:c r="D61" s="20" t="str">
        <x:v>03_月令与根气</x:v>
      </x:c>
      <x:c r="E61" s="20" t="str">
        <x:v>WXR</x:v>
      </x:c>
      <x:c r="F61" s="20" t="n">
        <x:v>16</x:v>
      </x:c>
      <x:c r="G61" s="20" t="str">
        <x:v>V1.0</x:v>
      </x:c>
      <x:c r="H61" s="20" t="str">
        <x:v>季节囚态判定</x:v>
      </x:c>
      <x:c r="I61" s="20" t="str">
        <x:v>结构层</x:v>
      </x:c>
      <x:c r="J61" s="20" t="str">
        <x:v>克令而囚</x:v>
      </x:c>
      <x:c r="K61" s="20" t="str">
        <x:v>对象试图克制当令五行，季节环境不利，记为“囚”；须与根气和同党合看。</x:v>
      </x:c>
      <x:c r="L61" s="20" t="str">
        <x:v>较高</x:v>
      </x:c>
      <x:c r="M61" s="20" t="str">
        <x:v>采用</x:v>
      </x:c>
      <x:c r="N61" s="20" t="str">
        <x:v>初审</x:v>
      </x:c>
      <x:c r="O61" s="22" t="n">
        <x:v>46255</x:v>
      </x:c>
      <x:c r="P61" s="20" t="str">
        <x:v>https://zh.wikisource.org/zh-hans/三命通會_(四庫全書本)/卷10；https://zh.wikisource.org/wiki/淵海子平</x:v>
      </x:c>
    </x:row>
    <x:row r="62">
      <x:c r="A62" s="20" t="str">
        <x:v>M03-WXR-0017-V1.0</x:v>
      </x:c>
      <x:c r="B62" s="20" t="str">
        <x:v>规则</x:v>
      </x:c>
      <x:c r="C62" s="20" t="str">
        <x:v>M03</x:v>
      </x:c>
      <x:c r="D62" s="20" t="str">
        <x:v>03_月令与根气</x:v>
      </x:c>
      <x:c r="E62" s="20" t="str">
        <x:v>WXR</x:v>
      </x:c>
      <x:c r="F62" s="20" t="n">
        <x:v>17</x:v>
      </x:c>
      <x:c r="G62" s="20" t="str">
        <x:v>V1.0</x:v>
      </x:c>
      <x:c r="H62" s="20" t="str">
        <x:v>季节死态判定</x:v>
      </x:c>
      <x:c r="I62" s="20" t="str">
        <x:v>结构层</x:v>
      </x:c>
      <x:c r="J62" s="20" t="str">
        <x:v>受令所克</x:v>
      </x:c>
      <x:c r="K62" s="20" t="str">
        <x:v>对象被当令五行所克，记为“死”的季节证据；“死”是季节术语，不表示五行不存在。</x:v>
      </x:c>
      <x:c r="L62" s="20" t="str">
        <x:v>较高</x:v>
      </x:c>
      <x:c r="M62" s="20" t="str">
        <x:v>采用</x:v>
      </x:c>
      <x:c r="N62" s="20" t="str">
        <x:v>初审</x:v>
      </x:c>
      <x:c r="O62" s="22" t="n">
        <x:v>46255</x:v>
      </x:c>
      <x:c r="P62" s="20" t="str">
        <x:v>https://zh.wikisource.org/zh-hans/三命通會_(四庫全書本)/卷10；https://zh.wikisource.org/wiki/淵海子平</x:v>
      </x:c>
    </x:row>
    <x:row r="63">
      <x:c r="A63" s="20" t="str">
        <x:v>M03-PROC-0018-V1.0</x:v>
      </x:c>
      <x:c r="B63" s="20" t="str">
        <x:v>规则</x:v>
      </x:c>
      <x:c r="C63" s="20" t="str">
        <x:v>M03</x:v>
      </x:c>
      <x:c r="D63" s="20" t="str">
        <x:v>03_月令与根气</x:v>
      </x:c>
      <x:c r="E63" s="20" t="str">
        <x:v>PROC</x:v>
      </x:c>
      <x:c r="F63" s="20" t="n">
        <x:v>18</x:v>
      </x:c>
      <x:c r="G63" s="20" t="str">
        <x:v>V1.0</x:v>
      </x:c>
      <x:c r="H63" s="20" t="str">
        <x:v>月支必须按节气定界</x:v>
      </x:c>
      <x:c r="I63" s="20" t="str">
        <x:v>识别层</x:v>
      </x:c>
      <x:c r="J63" s="20" t="str">
        <x:v>节气定月</x:v>
      </x:c>
      <x:c r="K63" s="20" t="str">
        <x:v>月支以节气交接为边界；公历月份与农历月序只能作为提示，不能替代交节时刻。</x:v>
      </x:c>
      <x:c r="L63" s="20" t="str">
        <x:v>确定</x:v>
      </x:c>
      <x:c r="M63" s="20" t="str">
        <x:v>采用</x:v>
      </x:c>
      <x:c r="N63" s="20" t="str">
        <x:v>初审</x:v>
      </x:c>
      <x:c r="O63" s="22" t="n">
        <x:v>46255</x:v>
      </x:c>
      <x:c r="P63" s="20" t="str">
        <x:v>https://zh.wikisource.org/wiki/攝生月令；https://zh.wikisource.org/wiki/三命通會</x:v>
      </x:c>
    </x:row>
    <x:row r="64">
      <x:c r="A64" s="20" t="str">
        <x:v>M03-PROC-0019-V1.0</x:v>
      </x:c>
      <x:c r="B64" s="20" t="str">
        <x:v>规则</x:v>
      </x:c>
      <x:c r="C64" s="20" t="str">
        <x:v>M03</x:v>
      </x:c>
      <x:c r="D64" s="20" t="str">
        <x:v>03_月令与根气</x:v>
      </x:c>
      <x:c r="E64" s="20" t="str">
        <x:v>PROC</x:v>
      </x:c>
      <x:c r="F64" s="20" t="n">
        <x:v>19</x:v>
      </x:c>
      <x:c r="G64" s="20" t="str">
        <x:v>V1.0</x:v>
      </x:c>
      <x:c r="H64" s="20" t="str">
        <x:v>交节边界必须核对精确时刻</x:v>
      </x:c>
      <x:c r="I64" s="20" t="str">
        <x:v>识别层</x:v>
      </x:c>
      <x:c r="J64" s="20" t="str">
        <x:v>交节边界校验</x:v>
      </x:c>
      <x:c r="K64" s="20" t="str">
        <x:v>出生接近交节时，月支结论必须附时区、交节时刻与置信度；必要时保留双方案。</x:v>
      </x:c>
      <x:c r="L64" s="20" t="str">
        <x:v>较高</x:v>
      </x:c>
      <x:c r="M64" s="20" t="str">
        <x:v>采用</x:v>
      </x:c>
      <x:c r="N64" s="20" t="str">
        <x:v>初审</x:v>
      </x:c>
      <x:c r="O64" s="22" t="n">
        <x:v>46255</x:v>
      </x:c>
      <x:c r="P64" s="20" t="str">
        <x:v>内部历法治理规则；参照子平节气定月原则</x:v>
      </x:c>
    </x:row>
    <x:row r="65">
      <x:c r="A65" s="20" t="str">
        <x:v>M03-PROC-0020-V1.0</x:v>
      </x:c>
      <x:c r="B65" s="20" t="str">
        <x:v>规则</x:v>
      </x:c>
      <x:c r="C65" s="20" t="str">
        <x:v>M03</x:v>
      </x:c>
      <x:c r="D65" s="20" t="str">
        <x:v>03_月令与根气</x:v>
      </x:c>
      <x:c r="E65" s="20" t="str">
        <x:v>PROC</x:v>
      </x:c>
      <x:c r="F65" s="20" t="n">
        <x:v>20</x:v>
      </x:c>
      <x:c r="G65" s="20" t="str">
        <x:v>V1.0</x:v>
      </x:c>
      <x:c r="H65" s="20" t="str">
        <x:v>得令是高权重证据而非充分条件</x:v>
      </x:c>
      <x:c r="I65" s="20" t="str">
        <x:v>结构层</x:v>
      </x:c>
      <x:c r="J65" s="20" t="str">
        <x:v>得令非充分条件</x:v>
      </x:c>
      <x:c r="K65" s="20" t="str">
        <x:v>对象得令，原始力量明显受支持；最终旺衰仍需结合得地、得势、得生及克泄耗。</x:v>
      </x:c>
      <x:c r="L65" s="20" t="str">
        <x:v>较高</x:v>
      </x:c>
      <x:c r="M65" s="20" t="str">
        <x:v>采用</x:v>
      </x:c>
      <x:c r="N65" s="20" t="str">
        <x:v>初审</x:v>
      </x:c>
      <x:c r="O65" s="22" t="n">
        <x:v>46255</x:v>
      </x:c>
      <x:c r="P65" s="20" t="str">
        <x:v>https://zh.wikisource.org/zh-hans/三命通會_(四庫全書本)/卷10；https://zh.wikisource.org/wiki/淵海子平</x:v>
      </x:c>
    </x:row>
    <x:row r="66">
      <x:c r="A66" s="20" t="str">
        <x:v>M03-PROC-0021-V1.0</x:v>
      </x:c>
      <x:c r="B66" s="20" t="str">
        <x:v>规则</x:v>
      </x:c>
      <x:c r="C66" s="20" t="str">
        <x:v>M03</x:v>
      </x:c>
      <x:c r="D66" s="20" t="str">
        <x:v>03_月令与根气</x:v>
      </x:c>
      <x:c r="E66" s="20" t="str">
        <x:v>PROC</x:v>
      </x:c>
      <x:c r="F66" s="20" t="n">
        <x:v>21</x:v>
      </x:c>
      <x:c r="G66" s="20" t="str">
        <x:v>V1.0</x:v>
      </x:c>
      <x:c r="H66" s="20" t="str">
        <x:v>月令证据先入原始力量后再修正</x:v>
      </x:c>
      <x:c r="I66" s="20" t="str">
        <x:v>结构层</x:v>
      </x:c>
      <x:c r="J66" s="20" t="str">
        <x:v>原始有效分层</x:v>
      </x:c>
      <x:c r="K66" s="20" t="str">
        <x:v>月令先生成原始支持证据；关系效应与环境修正后，才能得到有效力量。</x:v>
      </x:c>
      <x:c r="L66" s="20" t="str">
        <x:v>确定</x:v>
      </x:c>
      <x:c r="M66" s="20" t="str">
        <x:v>采用</x:v>
      </x:c>
      <x:c r="N66" s="20" t="str">
        <x:v>初审</x:v>
      </x:c>
      <x:c r="O66" s="22" t="n">
        <x:v>46255</x:v>
      </x:c>
      <x:c r="P66" s="20" t="str">
        <x:v>内部模型治理规则</x:v>
      </x:c>
    </x:row>
    <x:row r="67">
      <x:c r="A67" s="20" t="str">
        <x:v>M03-PROC-0022-V1.0</x:v>
      </x:c>
      <x:c r="B67" s="20" t="str">
        <x:v>规则</x:v>
      </x:c>
      <x:c r="C67" s="20" t="str">
        <x:v>M03</x:v>
      </x:c>
      <x:c r="D67" s="20" t="str">
        <x:v>03_月令与根气</x:v>
      </x:c>
      <x:c r="E67" s="20" t="str">
        <x:v>PROC</x:v>
      </x:c>
      <x:c r="F67" s="20" t="n">
        <x:v>22</x:v>
      </x:c>
      <x:c r="G67" s="20" t="str">
        <x:v>V1.0</x:v>
      </x:c>
      <x:c r="H67" s="20" t="str">
        <x:v>藏干层级不换算固定百分比</x:v>
      </x:c>
      <x:c r="I67" s="20" t="str">
        <x:v>结构层</x:v>
      </x:c>
      <x:c r="J67" s="20" t="str">
        <x:v>禁用固定比例</x:v>
      </x:c>
      <x:c r="K67" s="20" t="str">
        <x:v>本气、中气、余气表示层级，不等于跨命局恒定的数值比例；实际根力由位置、月令与后续作用修正。</x:v>
      </x:c>
      <x:c r="L67" s="20" t="str">
        <x:v>较高</x:v>
      </x:c>
      <x:c r="M67" s="20" t="str">
        <x:v>采用</x:v>
      </x:c>
      <x:c r="N67" s="20" t="str">
        <x:v>初审</x:v>
      </x:c>
      <x:c r="O67" s="22" t="n">
        <x:v>46255</x:v>
      </x:c>
      <x:c r="P67" s="20" t="str">
        <x:v>内部规则治理；争议权重转M21</x:v>
      </x:c>
    </x:row>
    <x:row r="68">
      <x:c r="A68" s="20" t="str">
        <x:v>M03-PROC-0023-V1.0</x:v>
      </x:c>
      <x:c r="B68" s="20" t="str">
        <x:v>规则</x:v>
      </x:c>
      <x:c r="C68" s="20" t="str">
        <x:v>M03</x:v>
      </x:c>
      <x:c r="D68" s="20" t="str">
        <x:v>03_月令与根气</x:v>
      </x:c>
      <x:c r="E68" s="20" t="str">
        <x:v>PROC</x:v>
      </x:c>
      <x:c r="F68" s="20" t="n">
        <x:v>23</x:v>
      </x:c>
      <x:c r="G68" s="20" t="str">
        <x:v>V1.0</x:v>
      </x:c>
      <x:c r="H68" s="20" t="str">
        <x:v>月令支持与月支通根不得机械双计</x:v>
      </x:c>
      <x:c r="I68" s="20" t="str">
        <x:v>结构层</x:v>
      </x:c>
      <x:c r="J68" s="20" t="str">
        <x:v>月令根气去重</x:v>
      </x:c>
      <x:c r="K68" s="20" t="str">
        <x:v>同一月支可以同时构成得令与得地，但总量评估应识别证据共源，避免机械双重计分。</x:v>
      </x:c>
      <x:c r="L68" s="20" t="str">
        <x:v>较高</x:v>
      </x:c>
      <x:c r="M68" s="20" t="str">
        <x:v>采用</x:v>
      </x:c>
      <x:c r="N68" s="20" t="str">
        <x:v>初审</x:v>
      </x:c>
      <x:c r="O68" s="22" t="n">
        <x:v>46255</x:v>
      </x:c>
      <x:c r="P68" s="20" t="str">
        <x:v>内部模型治理规则</x:v>
      </x:c>
    </x:row>
    <x:row r="69">
      <x:c r="A69" s="20" t="str">
        <x:v>M03-TGRT-0024-V1.0</x:v>
      </x:c>
      <x:c r="B69" s="20" t="str">
        <x:v>规则</x:v>
      </x:c>
      <x:c r="C69" s="20" t="str">
        <x:v>M03</x:v>
      </x:c>
      <x:c r="D69" s="20" t="str">
        <x:v>03_月令与根气</x:v>
      </x:c>
      <x:c r="E69" s="20" t="str">
        <x:v>TGRT</x:v>
      </x:c>
      <x:c r="F69" s="20" t="n">
        <x:v>24</x:v>
      </x:c>
      <x:c r="G69" s="20" t="str">
        <x:v>V1.0</x:v>
      </x:c>
      <x:c r="H69" s="20" t="str">
        <x:v>甲干直接通根支位</x:v>
      </x:c>
      <x:c r="I69" s="20" t="str">
        <x:v>结构层</x:v>
      </x:c>
      <x:c r="J69" s="20" t="str">
        <x:v>甲干直接通根</x:v>
      </x:c>
      <x:c r="K69" s="20" t="str">
        <x:v>天干甲在寅（甲本气）、亥（甲中气）可判为直接通根；具体根力再按本气、中气、余气、位置和后续作用分级。</x:v>
      </x:c>
      <x:c r="L69" s="20" t="str">
        <x:v>确定</x:v>
      </x:c>
      <x:c r="M69" s="20" t="str">
        <x:v>采用</x:v>
      </x:c>
      <x:c r="N69" s="20" t="str">
        <x:v>初审</x:v>
      </x:c>
      <x:c r="O69" s="22" t="n">
        <x:v>46255</x:v>
      </x:c>
      <x:c r="P69" s="20" t="str">
        <x:v>https://zh.wikisource.org/wiki/三命通會；https://zh.wikisource.org/wiki/淵海子平</x:v>
      </x:c>
    </x:row>
    <x:row r="70">
      <x:c r="A70" s="20" t="str">
        <x:v>M03-TGRT-0025-V1.0</x:v>
      </x:c>
      <x:c r="B70" s="20" t="str">
        <x:v>规则</x:v>
      </x:c>
      <x:c r="C70" s="20" t="str">
        <x:v>M03</x:v>
      </x:c>
      <x:c r="D70" s="20" t="str">
        <x:v>03_月令与根气</x:v>
      </x:c>
      <x:c r="E70" s="20" t="str">
        <x:v>TGRT</x:v>
      </x:c>
      <x:c r="F70" s="20" t="n">
        <x:v>25</x:v>
      </x:c>
      <x:c r="G70" s="20" t="str">
        <x:v>V1.0</x:v>
      </x:c>
      <x:c r="H70" s="20" t="str">
        <x:v>乙干直接通根支位</x:v>
      </x:c>
      <x:c r="I70" s="20" t="str">
        <x:v>结构层</x:v>
      </x:c>
      <x:c r="J70" s="20" t="str">
        <x:v>乙干直接通根</x:v>
      </x:c>
      <x:c r="K70" s="20" t="str">
        <x:v>天干乙在卯（乙本气）、辰（乙中气）、未（乙余气）可判为直接通根；具体根力再按本气、中气、余气、位置和后续作用分级。</x:v>
      </x:c>
      <x:c r="L70" s="20" t="str">
        <x:v>确定</x:v>
      </x:c>
      <x:c r="M70" s="20" t="str">
        <x:v>采用</x:v>
      </x:c>
      <x:c r="N70" s="20" t="str">
        <x:v>初审</x:v>
      </x:c>
      <x:c r="O70" s="22" t="n">
        <x:v>46255</x:v>
      </x:c>
      <x:c r="P70" s="20" t="str">
        <x:v>https://zh.wikisource.org/wiki/三命通會；https://zh.wikisource.org/wiki/淵海子平</x:v>
      </x:c>
    </x:row>
    <x:row r="71">
      <x:c r="A71" s="20" t="str">
        <x:v>M03-TGRT-0026-V1.0</x:v>
      </x:c>
      <x:c r="B71" s="20" t="str">
        <x:v>规则</x:v>
      </x:c>
      <x:c r="C71" s="20" t="str">
        <x:v>M03</x:v>
      </x:c>
      <x:c r="D71" s="20" t="str">
        <x:v>03_月令与根气</x:v>
      </x:c>
      <x:c r="E71" s="20" t="str">
        <x:v>TGRT</x:v>
      </x:c>
      <x:c r="F71" s="20" t="n">
        <x:v>26</x:v>
      </x:c>
      <x:c r="G71" s="20" t="str">
        <x:v>V1.0</x:v>
      </x:c>
      <x:c r="H71" s="20" t="str">
        <x:v>丙干直接通根支位</x:v>
      </x:c>
      <x:c r="I71" s="20" t="str">
        <x:v>结构层</x:v>
      </x:c>
      <x:c r="J71" s="20" t="str">
        <x:v>丙干直接通根</x:v>
      </x:c>
      <x:c r="K71" s="20" t="str">
        <x:v>天干丙在巳（丙本气）、寅（丙中气）可判为直接通根；具体根力再按本气、中气、余气、位置和后续作用分级。</x:v>
      </x:c>
      <x:c r="L71" s="20" t="str">
        <x:v>确定</x:v>
      </x:c>
      <x:c r="M71" s="20" t="str">
        <x:v>采用</x:v>
      </x:c>
      <x:c r="N71" s="20" t="str">
        <x:v>初审</x:v>
      </x:c>
      <x:c r="O71" s="22" t="n">
        <x:v>46255</x:v>
      </x:c>
      <x:c r="P71" s="20" t="str">
        <x:v>https://zh.wikisource.org/wiki/三命通會；https://zh.wikisource.org/wiki/淵海子平</x:v>
      </x:c>
    </x:row>
    <x:row r="72">
      <x:c r="A72" s="20" t="str">
        <x:v>M03-TGRT-0027-V1.0</x:v>
      </x:c>
      <x:c r="B72" s="20" t="str">
        <x:v>规则</x:v>
      </x:c>
      <x:c r="C72" s="20" t="str">
        <x:v>M03</x:v>
      </x:c>
      <x:c r="D72" s="20" t="str">
        <x:v>03_月令与根气</x:v>
      </x:c>
      <x:c r="E72" s="20" t="str">
        <x:v>TGRT</x:v>
      </x:c>
      <x:c r="F72" s="20" t="n">
        <x:v>27</x:v>
      </x:c>
      <x:c r="G72" s="20" t="str">
        <x:v>V1.0</x:v>
      </x:c>
      <x:c r="H72" s="20" t="str">
        <x:v>丁干直接通根支位</x:v>
      </x:c>
      <x:c r="I72" s="20" t="str">
        <x:v>结构层</x:v>
      </x:c>
      <x:c r="J72" s="20" t="str">
        <x:v>丁干直接通根</x:v>
      </x:c>
      <x:c r="K72" s="20" t="str">
        <x:v>天干丁在午（丁本气）、未（丁中气）、戌（丁余气）可判为直接通根；具体根力再按本气、中气、余气、位置和后续作用分级。</x:v>
      </x:c>
      <x:c r="L72" s="20" t="str">
        <x:v>确定</x:v>
      </x:c>
      <x:c r="M72" s="20" t="str">
        <x:v>采用</x:v>
      </x:c>
      <x:c r="N72" s="20" t="str">
        <x:v>初审</x:v>
      </x:c>
      <x:c r="O72" s="22" t="n">
        <x:v>46255</x:v>
      </x:c>
      <x:c r="P72" s="20" t="str">
        <x:v>https://zh.wikisource.org/wiki/三命通會；https://zh.wikisource.org/wiki/淵海子平</x:v>
      </x:c>
    </x:row>
    <x:row r="73">
      <x:c r="A73" s="20" t="str">
        <x:v>M03-TGRT-0028-V1.0</x:v>
      </x:c>
      <x:c r="B73" s="20" t="str">
        <x:v>规则</x:v>
      </x:c>
      <x:c r="C73" s="20" t="str">
        <x:v>M03</x:v>
      </x:c>
      <x:c r="D73" s="20" t="str">
        <x:v>03_月令与根气</x:v>
      </x:c>
      <x:c r="E73" s="20" t="str">
        <x:v>TGRT</x:v>
      </x:c>
      <x:c r="F73" s="20" t="n">
        <x:v>28</x:v>
      </x:c>
      <x:c r="G73" s="20" t="str">
        <x:v>V1.0</x:v>
      </x:c>
      <x:c r="H73" s="20" t="str">
        <x:v>戊干直接通根支位</x:v>
      </x:c>
      <x:c r="I73" s="20" t="str">
        <x:v>结构层</x:v>
      </x:c>
      <x:c r="J73" s="20" t="str">
        <x:v>戊干直接通根</x:v>
      </x:c>
      <x:c r="K73" s="20" t="str">
        <x:v>天干戊在辰、戌（戊本气），巳（戊中气），寅、申（戊余气）可判为直接通根；具体根力再按本气、中气、余气、位置和后续作用分级。</x:v>
      </x:c>
      <x:c r="L73" s="20" t="str">
        <x:v>确定</x:v>
      </x:c>
      <x:c r="M73" s="20" t="str">
        <x:v>采用</x:v>
      </x:c>
      <x:c r="N73" s="20" t="str">
        <x:v>初审</x:v>
      </x:c>
      <x:c r="O73" s="22" t="n">
        <x:v>46255</x:v>
      </x:c>
      <x:c r="P73" s="20" t="str">
        <x:v>https://zh.wikisource.org/wiki/三命通會；https://zh.wikisource.org/wiki/淵海子平</x:v>
      </x:c>
    </x:row>
    <x:row r="74">
      <x:c r="A74" s="20" t="str">
        <x:v>M03-TGRT-0029-V1.0</x:v>
      </x:c>
      <x:c r="B74" s="20" t="str">
        <x:v>规则</x:v>
      </x:c>
      <x:c r="C74" s="20" t="str">
        <x:v>M03</x:v>
      </x:c>
      <x:c r="D74" s="20" t="str">
        <x:v>03_月令与根气</x:v>
      </x:c>
      <x:c r="E74" s="20" t="str">
        <x:v>TGRT</x:v>
      </x:c>
      <x:c r="F74" s="20" t="n">
        <x:v>29</x:v>
      </x:c>
      <x:c r="G74" s="20" t="str">
        <x:v>V1.0</x:v>
      </x:c>
      <x:c r="H74" s="20" t="str">
        <x:v>己干直接通根支位</x:v>
      </x:c>
      <x:c r="I74" s="20" t="str">
        <x:v>结构层</x:v>
      </x:c>
      <x:c r="J74" s="20" t="str">
        <x:v>己干直接通根</x:v>
      </x:c>
      <x:c r="K74" s="20" t="str">
        <x:v>天干己在丑、未（己本气），午（己中气）可判为直接通根；具体根力再按本气、中气、余气、位置和后续作用分级。</x:v>
      </x:c>
      <x:c r="L74" s="20" t="str">
        <x:v>确定</x:v>
      </x:c>
      <x:c r="M74" s="20" t="str">
        <x:v>采用</x:v>
      </x:c>
      <x:c r="N74" s="20" t="str">
        <x:v>初审</x:v>
      </x:c>
      <x:c r="O74" s="22" t="n">
        <x:v>46255</x:v>
      </x:c>
      <x:c r="P74" s="20" t="str">
        <x:v>https://zh.wikisource.org/wiki/三命通會；https://zh.wikisource.org/wiki/淵海子平</x:v>
      </x:c>
    </x:row>
    <x:row r="75">
      <x:c r="A75" s="20" t="str">
        <x:v>M03-TGRT-0030-V1.0</x:v>
      </x:c>
      <x:c r="B75" s="20" t="str">
        <x:v>规则</x:v>
      </x:c>
      <x:c r="C75" s="20" t="str">
        <x:v>M03</x:v>
      </x:c>
      <x:c r="D75" s="20" t="str">
        <x:v>03_月令与根气</x:v>
      </x:c>
      <x:c r="E75" s="20" t="str">
        <x:v>TGRT</x:v>
      </x:c>
      <x:c r="F75" s="20" t="n">
        <x:v>30</x:v>
      </x:c>
      <x:c r="G75" s="20" t="str">
        <x:v>V1.0</x:v>
      </x:c>
      <x:c r="H75" s="20" t="str">
        <x:v>庚干直接通根支位</x:v>
      </x:c>
      <x:c r="I75" s="20" t="str">
        <x:v>结构层</x:v>
      </x:c>
      <x:c r="J75" s="20" t="str">
        <x:v>庚干直接通根</x:v>
      </x:c>
      <x:c r="K75" s="20" t="str">
        <x:v>天干庚在申（庚本气）、巳（庚余气）可判为直接通根；具体根力再按本气、中气、余气、位置和后续作用分级。</x:v>
      </x:c>
      <x:c r="L75" s="20" t="str">
        <x:v>确定</x:v>
      </x:c>
      <x:c r="M75" s="20" t="str">
        <x:v>采用</x:v>
      </x:c>
      <x:c r="N75" s="20" t="str">
        <x:v>初审</x:v>
      </x:c>
      <x:c r="O75" s="22" t="n">
        <x:v>46255</x:v>
      </x:c>
      <x:c r="P75" s="20" t="str">
        <x:v>https://zh.wikisource.org/wiki/三命通會；https://zh.wikisource.org/wiki/淵海子平</x:v>
      </x:c>
    </x:row>
    <x:row r="76">
      <x:c r="A76" s="20" t="str">
        <x:v>M03-TGRT-0031-V1.0</x:v>
      </x:c>
      <x:c r="B76" s="20" t="str">
        <x:v>规则</x:v>
      </x:c>
      <x:c r="C76" s="20" t="str">
        <x:v>M03</x:v>
      </x:c>
      <x:c r="D76" s="20" t="str">
        <x:v>03_月令与根气</x:v>
      </x:c>
      <x:c r="E76" s="20" t="str">
        <x:v>TGRT</x:v>
      </x:c>
      <x:c r="F76" s="20" t="n">
        <x:v>31</x:v>
      </x:c>
      <x:c r="G76" s="20" t="str">
        <x:v>V1.0</x:v>
      </x:c>
      <x:c r="H76" s="20" t="str">
        <x:v>辛干直接通根支位</x:v>
      </x:c>
      <x:c r="I76" s="20" t="str">
        <x:v>结构层</x:v>
      </x:c>
      <x:c r="J76" s="20" t="str">
        <x:v>辛干直接通根</x:v>
      </x:c>
      <x:c r="K76" s="20" t="str">
        <x:v>天干辛在酉（辛本气）、戌（辛中气）、丑（辛余气）可判为直接通根；具体根力再按本气、中气、余气、位置和后续作用分级。</x:v>
      </x:c>
      <x:c r="L76" s="20" t="str">
        <x:v>确定</x:v>
      </x:c>
      <x:c r="M76" s="20" t="str">
        <x:v>采用</x:v>
      </x:c>
      <x:c r="N76" s="20" t="str">
        <x:v>初审</x:v>
      </x:c>
      <x:c r="O76" s="22" t="n">
        <x:v>46255</x:v>
      </x:c>
      <x:c r="P76" s="20" t="str">
        <x:v>https://zh.wikisource.org/wiki/三命通會；https://zh.wikisource.org/wiki/淵海子平</x:v>
      </x:c>
    </x:row>
    <x:row r="77">
      <x:c r="A77" s="20" t="str">
        <x:v>M03-TGRT-0032-V1.0</x:v>
      </x:c>
      <x:c r="B77" s="20" t="str">
        <x:v>规则</x:v>
      </x:c>
      <x:c r="C77" s="20" t="str">
        <x:v>M03</x:v>
      </x:c>
      <x:c r="D77" s="20" t="str">
        <x:v>03_月令与根气</x:v>
      </x:c>
      <x:c r="E77" s="20" t="str">
        <x:v>TGRT</x:v>
      </x:c>
      <x:c r="F77" s="20" t="n">
        <x:v>32</x:v>
      </x:c>
      <x:c r="G77" s="20" t="str">
        <x:v>V1.0</x:v>
      </x:c>
      <x:c r="H77" s="20" t="str">
        <x:v>壬干直接通根支位</x:v>
      </x:c>
      <x:c r="I77" s="20" t="str">
        <x:v>结构层</x:v>
      </x:c>
      <x:c r="J77" s="20" t="str">
        <x:v>壬干直接通根</x:v>
      </x:c>
      <x:c r="K77" s="20" t="str">
        <x:v>天干壬在亥（壬本气）、申（壬中气）可判为直接通根；具体根力再按本气、中气、余气、位置和后续作用分级。</x:v>
      </x:c>
      <x:c r="L77" s="20" t="str">
        <x:v>确定</x:v>
      </x:c>
      <x:c r="M77" s="20" t="str">
        <x:v>采用</x:v>
      </x:c>
      <x:c r="N77" s="20" t="str">
        <x:v>初审</x:v>
      </x:c>
      <x:c r="O77" s="22" t="n">
        <x:v>46255</x:v>
      </x:c>
      <x:c r="P77" s="20" t="str">
        <x:v>https://zh.wikisource.org/wiki/三命通會；https://zh.wikisource.org/wiki/淵海子平</x:v>
      </x:c>
    </x:row>
    <x:row r="78">
      <x:c r="A78" s="20" t="str">
        <x:v>M03-TGRT-0033-V1.0</x:v>
      </x:c>
      <x:c r="B78" s="20" t="str">
        <x:v>规则</x:v>
      </x:c>
      <x:c r="C78" s="20" t="str">
        <x:v>M03</x:v>
      </x:c>
      <x:c r="D78" s="20" t="str">
        <x:v>03_月令与根气</x:v>
      </x:c>
      <x:c r="E78" s="20" t="str">
        <x:v>TGRT</x:v>
      </x:c>
      <x:c r="F78" s="20" t="n">
        <x:v>33</x:v>
      </x:c>
      <x:c r="G78" s="20" t="str">
        <x:v>V1.0</x:v>
      </x:c>
      <x:c r="H78" s="20" t="str">
        <x:v>癸干直接通根支位</x:v>
      </x:c>
      <x:c r="I78" s="20" t="str">
        <x:v>结构层</x:v>
      </x:c>
      <x:c r="J78" s="20" t="str">
        <x:v>癸干直接通根</x:v>
      </x:c>
      <x:c r="K78" s="20" t="str">
        <x:v>天干癸在子（癸本气）、丑（癸中气）、辰（癸余气）可判为直接通根；具体根力再按本气、中气、余气、位置和后续作用分级。</x:v>
      </x:c>
      <x:c r="L78" s="20" t="str">
        <x:v>确定</x:v>
      </x:c>
      <x:c r="M78" s="20" t="str">
        <x:v>采用</x:v>
      </x:c>
      <x:c r="N78" s="20" t="str">
        <x:v>初审</x:v>
      </x:c>
      <x:c r="O78" s="22" t="n">
        <x:v>46255</x:v>
      </x:c>
      <x:c r="P78" s="20" t="str">
        <x:v>https://zh.wikisource.org/wiki/三命通會；https://zh.wikisource.org/wiki/淵海子平</x:v>
      </x:c>
    </x:row>
    <x:row r="79">
      <x:c r="A79" s="20" t="str">
        <x:v>M03-RTLV-0034-V1.0</x:v>
      </x:c>
      <x:c r="B79" s="20" t="str">
        <x:v>规则</x:v>
      </x:c>
      <x:c r="C79" s="20" t="str">
        <x:v>M03</x:v>
      </x:c>
      <x:c r="D79" s="20" t="str">
        <x:v>03_月令与根气</x:v>
      </x:c>
      <x:c r="E79" s="20" t="str">
        <x:v>RTLV</x:v>
      </x:c>
      <x:c r="F79" s="20" t="n">
        <x:v>34</x:v>
      </x:c>
      <x:c r="G79" s="20" t="str">
        <x:v>V1.0</x:v>
      </x:c>
      <x:c r="H79" s="20" t="str">
        <x:v>本气直接根默认列为强根</x:v>
      </x:c>
      <x:c r="I79" s="20" t="str">
        <x:v>结构层</x:v>
      </x:c>
      <x:c r="J79" s="20" t="str">
        <x:v>本气强根</x:v>
      </x:c>
      <x:c r="K79" s="20" t="str">
        <x:v>同一干藏于地支本气，默认记为强根证据；强根是得地的重要依据，但不是最终旺衰结论。</x:v>
      </x:c>
      <x:c r="L79" s="20" t="str">
        <x:v>较高</x:v>
      </x:c>
      <x:c r="M79" s="20" t="str">
        <x:v>待验证</x:v>
      </x:c>
      <x:c r="N79" s="20" t="str">
        <x:v>初审</x:v>
      </x:c>
      <x:c r="O79" s="22" t="n">
        <x:v>46255</x:v>
      </x:c>
      <x:c r="P79" s="20" t="str">
        <x:v>内部综合规则；根力须经M06/M08修正</x:v>
      </x:c>
    </x:row>
    <x:row r="80">
      <x:c r="A80" s="20" t="str">
        <x:v>M03-RTLV-0035-V1.0</x:v>
      </x:c>
      <x:c r="B80" s="20" t="str">
        <x:v>规则</x:v>
      </x:c>
      <x:c r="C80" s="20" t="str">
        <x:v>M03</x:v>
      </x:c>
      <x:c r="D80" s="20" t="str">
        <x:v>03_月令与根气</x:v>
      </x:c>
      <x:c r="E80" s="20" t="str">
        <x:v>RTLV</x:v>
      </x:c>
      <x:c r="F80" s="20" t="n">
        <x:v>35</x:v>
      </x:c>
      <x:c r="G80" s="20" t="str">
        <x:v>V1.0</x:v>
      </x:c>
      <x:c r="H80" s="20" t="str">
        <x:v>中气直接根默认列为中根</x:v>
      </x:c>
      <x:c r="I80" s="20" t="str">
        <x:v>结构层</x:v>
      </x:c>
      <x:c r="J80" s="20" t="str">
        <x:v>中气中根</x:v>
      </x:c>
      <x:c r="K80" s="20" t="str">
        <x:v>同一干藏于地支中气，默认记为中根证据；其有效性须结合位置、月令和作用状态。</x:v>
      </x:c>
      <x:c r="L80" s="20" t="str">
        <x:v>较高</x:v>
      </x:c>
      <x:c r="M80" s="20" t="str">
        <x:v>待验证</x:v>
      </x:c>
      <x:c r="N80" s="20" t="str">
        <x:v>初审</x:v>
      </x:c>
      <x:c r="O80" s="22" t="n">
        <x:v>46255</x:v>
      </x:c>
      <x:c r="P80" s="20" t="str">
        <x:v>内部综合规则；争议权重转M21</x:v>
      </x:c>
    </x:row>
    <x:row r="81">
      <x:c r="A81" s="20" t="str">
        <x:v>M03-RTLV-0036-V1.0</x:v>
      </x:c>
      <x:c r="B81" s="20" t="str">
        <x:v>规则</x:v>
      </x:c>
      <x:c r="C81" s="20" t="str">
        <x:v>M03</x:v>
      </x:c>
      <x:c r="D81" s="20" t="str">
        <x:v>03_月令与根气</x:v>
      </x:c>
      <x:c r="E81" s="20" t="str">
        <x:v>RTLV</x:v>
      </x:c>
      <x:c r="F81" s="20" t="n">
        <x:v>36</x:v>
      </x:c>
      <x:c r="G81" s="20" t="str">
        <x:v>V1.0</x:v>
      </x:c>
      <x:c r="H81" s="20" t="str">
        <x:v>余气直接根默认列为弱根</x:v>
      </x:c>
      <x:c r="I81" s="20" t="str">
        <x:v>结构层</x:v>
      </x:c>
      <x:c r="J81" s="20" t="str">
        <x:v>余气弱根</x:v>
      </x:c>
      <x:c r="K81" s="20" t="str">
        <x:v>同一干藏于地支余气，默认记为弱根证据；它证明并非全无根，但承载力通常有限。</x:v>
      </x:c>
      <x:c r="L81" s="20" t="str">
        <x:v>较高</x:v>
      </x:c>
      <x:c r="M81" s="20" t="str">
        <x:v>待验证</x:v>
      </x:c>
      <x:c r="N81" s="20" t="str">
        <x:v>初审</x:v>
      </x:c>
      <x:c r="O81" s="22" t="n">
        <x:v>46255</x:v>
      </x:c>
      <x:c r="P81" s="20" t="str">
        <x:v>内部综合规则；有效性转M06/M08</x:v>
      </x:c>
    </x:row>
    <x:row r="82">
      <x:c r="A82" s="20" t="str">
        <x:v>M03-RTLV-0037-V1.0</x:v>
      </x:c>
      <x:c r="B82" s="20" t="str">
        <x:v>规则</x:v>
      </x:c>
      <x:c r="C82" s="20" t="str">
        <x:v>M03</x:v>
      </x:c>
      <x:c r="D82" s="20" t="str">
        <x:v>03_月令与根气</x:v>
      </x:c>
      <x:c r="E82" s="20" t="str">
        <x:v>RTLV</x:v>
      </x:c>
      <x:c r="F82" s="20" t="n">
        <x:v>37</x:v>
      </x:c>
      <x:c r="G82" s="20" t="str">
        <x:v>V1.0</x:v>
      </x:c>
      <x:c r="H82" s="20" t="str">
        <x:v>同五行异阴阳可判同类根</x:v>
      </x:c>
      <x:c r="I82" s="20" t="str">
        <x:v>结构层</x:v>
      </x:c>
      <x:c r="J82" s="20" t="str">
        <x:v>同类根</x:v>
      </x:c>
      <x:c r="K82" s="20" t="str">
        <x:v>支内藏干与对象同五行但阴阳不同，可记为同类根或同类得地；不得与同干直接根混写。</x:v>
      </x:c>
      <x:c r="L82" s="20" t="str">
        <x:v>中等</x:v>
      </x:c>
      <x:c r="M82" s="20" t="str">
        <x:v>待验证</x:v>
      </x:c>
      <x:c r="N82" s="20" t="str">
        <x:v>初审</x:v>
      </x:c>
      <x:c r="O82" s="22" t="n">
        <x:v>46255</x:v>
      </x:c>
      <x:c r="P82" s="20" t="str">
        <x:v>内部术语裁决；流派差异转M21</x:v>
      </x:c>
    </x:row>
    <x:row r="83">
      <x:c r="A83" s="20" t="str">
        <x:v>M03-RTLV-0038-V1.0</x:v>
      </x:c>
      <x:c r="B83" s="20" t="str">
        <x:v>规则</x:v>
      </x:c>
      <x:c r="C83" s="20" t="str">
        <x:v>M03</x:v>
      </x:c>
      <x:c r="D83" s="20" t="str">
        <x:v>03_月令与根气</x:v>
      </x:c>
      <x:c r="E83" s="20" t="str">
        <x:v>RTLV</x:v>
      </x:c>
      <x:c r="F83" s="20" t="n">
        <x:v>38</x:v>
      </x:c>
      <x:c r="G83" s="20" t="str">
        <x:v>V1.0</x:v>
      </x:c>
      <x:c r="H83" s="20" t="str">
        <x:v>同类根强度不得照搬直接根</x:v>
      </x:c>
      <x:c r="I83" s="20" t="str">
        <x:v>结构层</x:v>
      </x:c>
      <x:c r="J83" s="20" t="str">
        <x:v>同类根独立分级</x:v>
      </x:c>
      <x:c r="K83" s="20" t="str">
        <x:v>同类根可以增强同五行气势，但对具体天干的承载与传导通常需单独评估，不照搬同干根等级。</x:v>
      </x:c>
      <x:c r="L83" s="20" t="str">
        <x:v>中等</x:v>
      </x:c>
      <x:c r="M83" s="20" t="str">
        <x:v>待验证</x:v>
      </x:c>
      <x:c r="N83" s="20" t="str">
        <x:v>初审</x:v>
      </x:c>
      <x:c r="O83" s="22" t="n">
        <x:v>46255</x:v>
      </x:c>
      <x:c r="P83" s="20" t="str">
        <x:v>内部综合规则；案例验证后再细化</x:v>
      </x:c>
    </x:row>
    <x:row r="84">
      <x:c r="A84" s="20" t="str">
        <x:v>M03-RTLV-0039-V1.0</x:v>
      </x:c>
      <x:c r="B84" s="20" t="str">
        <x:v>规则</x:v>
      </x:c>
      <x:c r="C84" s="20" t="str">
        <x:v>M03</x:v>
      </x:c>
      <x:c r="D84" s="20" t="str">
        <x:v>03_月令与根气</x:v>
      </x:c>
      <x:c r="E84" s="20" t="str">
        <x:v>RTLV</x:v>
      </x:c>
      <x:c r="F84" s="20" t="n">
        <x:v>39</x:v>
      </x:c>
      <x:c r="G84" s="20" t="str">
        <x:v>V1.0</x:v>
      </x:c>
      <x:c r="H84" s="20" t="str">
        <x:v>无根标签的最低判定条件</x:v>
      </x:c>
      <x:c r="I84" s="20" t="str">
        <x:v>结构层</x:v>
      </x:c>
      <x:c r="J84" s="20" t="str">
        <x:v>无根</x:v>
      </x:c>
      <x:c r="K84" s="20" t="str">
        <x:v>仅在四支均不含对象同干或同类藏干时，方可记为无根；无根不等于全局必弱。</x:v>
      </x:c>
      <x:c r="L84" s="20" t="str">
        <x:v>较高</x:v>
      </x:c>
      <x:c r="M84" s="20" t="str">
        <x:v>采用</x:v>
      </x:c>
      <x:c r="N84" s="20" t="str">
        <x:v>初审</x:v>
      </x:c>
      <x:c r="O84" s="22" t="n">
        <x:v>46255</x:v>
      </x:c>
      <x:c r="P84" s="20" t="str">
        <x:v>内部综合规则；合化后须重新检查</x:v>
      </x:c>
    </x:row>
    <x:row r="85">
      <x:c r="A85" s="20" t="str">
        <x:v>M03-RTCT-0040-V1.0</x:v>
      </x:c>
      <x:c r="B85" s="20" t="str">
        <x:v>规则</x:v>
      </x:c>
      <x:c r="C85" s="20" t="str">
        <x:v>M03</x:v>
      </x:c>
      <x:c r="D85" s="20" t="str">
        <x:v>03_月令与根气</x:v>
      </x:c>
      <x:c r="E85" s="20" t="str">
        <x:v>RTCT</x:v>
      </x:c>
      <x:c r="F85" s="20" t="n">
        <x:v>40</x:v>
      </x:c>
      <x:c r="G85" s="20" t="str">
        <x:v>V1.0</x:v>
      </x:c>
      <x:c r="H85" s="20" t="str">
        <x:v>单一弱根只提供有限得地证据</x:v>
      </x:c>
      <x:c r="I85" s="20" t="str">
        <x:v>结构层</x:v>
      </x:c>
      <x:c r="J85" s="20" t="str">
        <x:v>单一弱根</x:v>
      </x:c>
      <x:c r="K85" s="20" t="str">
        <x:v>对象只有一处弱根时，可记“有根但根浅”；它能否承载全局须结合月令、同党及克泄耗。</x:v>
      </x:c>
      <x:c r="L85" s="20" t="str">
        <x:v>较高</x:v>
      </x:c>
      <x:c r="M85" s="20" t="str">
        <x:v>待验证</x:v>
      </x:c>
      <x:c r="N85" s="20" t="str">
        <x:v>初审</x:v>
      </x:c>
      <x:c r="O85" s="22" t="n">
        <x:v>46255</x:v>
      </x:c>
      <x:c r="P85" s="20" t="str">
        <x:v>内部综合规则</x:v>
      </x:c>
    </x:row>
    <x:row r="86">
      <x:c r="A86" s="20" t="str">
        <x:v>M03-RTCT-0041-V1.0</x:v>
      </x:c>
      <x:c r="B86" s="20" t="str">
        <x:v>规则</x:v>
      </x:c>
      <x:c r="C86" s="20" t="str">
        <x:v>M03</x:v>
      </x:c>
      <x:c r="D86" s="20" t="str">
        <x:v>03_月令与根气</x:v>
      </x:c>
      <x:c r="E86" s="20" t="str">
        <x:v>RTCT</x:v>
      </x:c>
      <x:c r="F86" s="20" t="n">
        <x:v>41</x:v>
      </x:c>
      <x:c r="G86" s="20" t="str">
        <x:v>V1.0</x:v>
      </x:c>
      <x:c r="H86" s="20" t="str">
        <x:v>多根可以累积但不得机械相加</x:v>
      </x:c>
      <x:c r="I86" s="20" t="str">
        <x:v>结构层</x:v>
      </x:c>
      <x:c r="J86" s="20" t="str">
        <x:v>多根累积</x:v>
      </x:c>
      <x:c r="K86" s="20" t="str">
        <x:v>多处根气可形成累积支持，但必须同时评价每个根的层级、位置、共源与受作用状态。</x:v>
      </x:c>
      <x:c r="L86" s="20" t="str">
        <x:v>较高</x:v>
      </x:c>
      <x:c r="M86" s="20" t="str">
        <x:v>待验证</x:v>
      </x:c>
      <x:c r="N86" s="20" t="str">
        <x:v>初审</x:v>
      </x:c>
      <x:c r="O86" s="22" t="n">
        <x:v>46255</x:v>
      </x:c>
      <x:c r="P86" s="20" t="str">
        <x:v>内部综合规则</x:v>
      </x:c>
    </x:row>
    <x:row r="87">
      <x:c r="A87" s="20" t="str">
        <x:v>M03-RTCT-0042-V1.0</x:v>
      </x:c>
      <x:c r="B87" s="20" t="str">
        <x:v>规则</x:v>
      </x:c>
      <x:c r="C87" s="20" t="str">
        <x:v>M03</x:v>
      </x:c>
      <x:c r="D87" s="20" t="str">
        <x:v>03_月令与根气</x:v>
      </x:c>
      <x:c r="E87" s="20" t="str">
        <x:v>RTCT</x:v>
      </x:c>
      <x:c r="F87" s="20" t="n">
        <x:v>42</x:v>
      </x:c>
      <x:c r="G87" s="20" t="str">
        <x:v>V1.0</x:v>
      </x:c>
      <x:c r="H87" s="20" t="str">
        <x:v>月支根具有近令优势但须去重</x:v>
      </x:c>
      <x:c r="I87" s="20" t="str">
        <x:v>结构层</x:v>
      </x:c>
      <x:c r="J87" s="20" t="str">
        <x:v>月支根</x:v>
      </x:c>
      <x:c r="K87" s="20" t="str">
        <x:v>根位于月支时，通常兼具位置与季节优势；仍须区分直接根、同类根及共源去重。</x:v>
      </x:c>
      <x:c r="L87" s="20" t="str">
        <x:v>较高</x:v>
      </x:c>
      <x:c r="M87" s="20" t="str">
        <x:v>待验证</x:v>
      </x:c>
      <x:c r="N87" s="20" t="str">
        <x:v>初审</x:v>
      </x:c>
      <x:c r="O87" s="22" t="n">
        <x:v>46255</x:v>
      </x:c>
      <x:c r="P87" s="20" t="str">
        <x:v>内部综合规则</x:v>
      </x:c>
    </x:row>
    <x:row r="88">
      <x:c r="A88" s="20" t="str">
        <x:v>M03-RTCT-0043-V1.0</x:v>
      </x:c>
      <x:c r="B88" s="20" t="str">
        <x:v>规则</x:v>
      </x:c>
      <x:c r="C88" s="20" t="str">
        <x:v>M03</x:v>
      </x:c>
      <x:c r="D88" s="20" t="str">
        <x:v>03_月令与根气</x:v>
      </x:c>
      <x:c r="E88" s="20" t="str">
        <x:v>RTCT</x:v>
      </x:c>
      <x:c r="F88" s="20" t="n">
        <x:v>43</x:v>
      </x:c>
      <x:c r="G88" s="20" t="str">
        <x:v>V1.0</x:v>
      </x:c>
      <x:c r="H88" s="20" t="str">
        <x:v>日支根对日主具有近身性</x:v>
      </x:c>
      <x:c r="I88" s="20" t="str">
        <x:v>结构层</x:v>
      </x:c>
      <x:c r="J88" s="20" t="str">
        <x:v>日支近根</x:v>
      </x:c>
      <x:c r="K88" s="20" t="str">
        <x:v>日支含日主同干或同类藏干，可记近身根；其直接度较高，但仍不能替代月令与全局证据。</x:v>
      </x:c>
      <x:c r="L88" s="20" t="str">
        <x:v>中等</x:v>
      </x:c>
      <x:c r="M88" s="20" t="str">
        <x:v>待验证</x:v>
      </x:c>
      <x:c r="N88" s="20" t="str">
        <x:v>初审</x:v>
      </x:c>
      <x:c r="O88" s="22" t="n">
        <x:v>46255</x:v>
      </x:c>
      <x:c r="P88" s="20" t="str">
        <x:v>内部综合规则</x:v>
      </x:c>
    </x:row>
    <x:row r="89">
      <x:c r="A89" s="20" t="str">
        <x:v>M03-RTCT-0044-V1.0</x:v>
      </x:c>
      <x:c r="B89" s="20" t="str">
        <x:v>规则</x:v>
      </x:c>
      <x:c r="C89" s="20" t="str">
        <x:v>M03</x:v>
      </x:c>
      <x:c r="D89" s="20" t="str">
        <x:v>03_月令与根气</x:v>
      </x:c>
      <x:c r="E89" s="20" t="str">
        <x:v>RTCT</x:v>
      </x:c>
      <x:c r="F89" s="20" t="n">
        <x:v>44</x:v>
      </x:c>
      <x:c r="G89" s="20" t="str">
        <x:v>V1.0</x:v>
      </x:c>
      <x:c r="H89" s="20" t="str">
        <x:v>年支与时支之根仍属有效存在</x:v>
      </x:c>
      <x:c r="I89" s="20" t="str">
        <x:v>结构层</x:v>
      </x:c>
      <x:c r="J89" s="20" t="str">
        <x:v>远位根</x:v>
      </x:c>
      <x:c r="K89" s="20" t="str">
        <x:v>年支、时支中的根仍应记录；距离可以降低直接度，但不改变“有根”的客观存在。</x:v>
      </x:c>
      <x:c r="L89" s="20" t="str">
        <x:v>较高</x:v>
      </x:c>
      <x:c r="M89" s="20" t="str">
        <x:v>采用</x:v>
      </x:c>
      <x:c r="N89" s="20" t="str">
        <x:v>初审</x:v>
      </x:c>
      <x:c r="O89" s="22" t="n">
        <x:v>46255</x:v>
      </x:c>
      <x:c r="P89" s="20" t="str">
        <x:v>内部综合规则</x:v>
      </x:c>
    </x:row>
    <x:row r="90">
      <x:c r="A90" s="20" t="str">
        <x:v>M03-RTCT-0045-V1.0</x:v>
      </x:c>
      <x:c r="B90" s="20" t="str">
        <x:v>规则</x:v>
      </x:c>
      <x:c r="C90" s="20" t="str">
        <x:v>M03</x:v>
      </x:c>
      <x:c r="D90" s="20" t="str">
        <x:v>03_月令与根气</x:v>
      </x:c>
      <x:c r="E90" s="20" t="str">
        <x:v>RTCT</x:v>
      </x:c>
      <x:c r="F90" s="20" t="n">
        <x:v>45</x:v>
      </x:c>
      <x:c r="G90" s="20" t="str">
        <x:v>V1.0</x:v>
      </x:c>
      <x:c r="H90" s="20" t="str">
        <x:v>同一根支不能对多个天干无限复制力量</x:v>
      </x:c>
      <x:c r="I90" s="20" t="str">
        <x:v>结构层</x:v>
      </x:c>
      <x:c r="J90" s="20" t="str">
        <x:v>根气共源</x:v>
      </x:c>
      <x:c r="K90" s="20" t="str">
        <x:v>同一地支可同时成为多个同类天干的根源，但全局力量评估应识别共源，避免按天干数量无限复制。</x:v>
      </x:c>
      <x:c r="L90" s="20" t="str">
        <x:v>中等</x:v>
      </x:c>
      <x:c r="M90" s="20" t="str">
        <x:v>待验证</x:v>
      </x:c>
      <x:c r="N90" s="20" t="str">
        <x:v>初审</x:v>
      </x:c>
      <x:c r="O90" s="22" t="n">
        <x:v>46255</x:v>
      </x:c>
      <x:c r="P90" s="20" t="str">
        <x:v>内部模型治理规则</x:v>
      </x:c>
    </x:row>
    <x:row r="91">
      <x:c r="A91" s="20" t="str">
        <x:v>M03-RTEF-0046-V1.0</x:v>
      </x:c>
      <x:c r="B91" s="20" t="str">
        <x:v>规则</x:v>
      </x:c>
      <x:c r="C91" s="20" t="str">
        <x:v>M03</x:v>
      </x:c>
      <x:c r="D91" s="20" t="str">
        <x:v>03_月令与根气</x:v>
      </x:c>
      <x:c r="E91" s="20" t="str">
        <x:v>RTEF</x:v>
      </x:c>
      <x:c r="F91" s="20" t="n">
        <x:v>46</x:v>
      </x:c>
      <x:c r="G91" s="20" t="str">
        <x:v>V1.0</x:v>
      </x:c>
      <x:c r="H91" s="20" t="str">
        <x:v>先判根的存在再判根的效应</x:v>
      </x:c>
      <x:c r="I91" s="20" t="str">
        <x:v>效应层</x:v>
      </x:c>
      <x:c r="J91" s="20" t="str">
        <x:v>根气先识别后修正</x:v>
      </x:c>
      <x:c r="K91" s="20" t="str">
        <x:v>根气存在性属于基础识别；是否受损、冻结、转化或激活属于后续效应，二者必须分栏。</x:v>
      </x:c>
      <x:c r="L91" s="20" t="str">
        <x:v>确定</x:v>
      </x:c>
      <x:c r="M91" s="20" t="str">
        <x:v>采用</x:v>
      </x:c>
      <x:c r="N91" s="20" t="str">
        <x:v>初审</x:v>
      </x:c>
      <x:c r="O91" s="22" t="n">
        <x:v>46255</x:v>
      </x:c>
      <x:c r="P91" s="20" t="str">
        <x:v>内部模型治理规则</x:v>
      </x:c>
    </x:row>
    <x:row r="92">
      <x:c r="A92" s="20" t="str">
        <x:v>M03-RTEF-0047-V1.0</x:v>
      </x:c>
      <x:c r="B92" s="20" t="str">
        <x:v>规则</x:v>
      </x:c>
      <x:c r="C92" s="20" t="str">
        <x:v>M03</x:v>
      </x:c>
      <x:c r="D92" s="20" t="str">
        <x:v>03_月令与根气</x:v>
      </x:c>
      <x:c r="E92" s="20" t="str">
        <x:v>RTEF</x:v>
      </x:c>
      <x:c r="F92" s="20" t="n">
        <x:v>47</x:v>
      </x:c>
      <x:c r="G92" s="20" t="str">
        <x:v>V1.0</x:v>
      </x:c>
      <x:c r="H92" s="20" t="str">
        <x:v>相冲不自动等于根气消失</x:v>
      </x:c>
      <x:c r="I92" s="20" t="str">
        <x:v>效应层</x:v>
      </x:c>
      <x:c r="J92" s="20" t="str">
        <x:v>冲不必然拔根</x:v>
      </x:c>
      <x:c r="K92" s="20" t="str">
        <x:v>根支受冲时，先保留根的存在，再按双方强弱、月令与叠加关系判断有效根力变化。</x:v>
      </x:c>
      <x:c r="L92" s="20" t="str">
        <x:v>较高</x:v>
      </x:c>
      <x:c r="M92" s="20" t="str">
        <x:v>待验证</x:v>
      </x:c>
      <x:c r="N92" s="20" t="str">
        <x:v>初审</x:v>
      </x:c>
      <x:c r="O92" s="22" t="n">
        <x:v>46255</x:v>
      </x:c>
      <x:c r="P92" s="20" t="str">
        <x:v>https://zh.wikisource.org/wiki/三命通會；内部效应分层规则</x:v>
      </x:c>
    </x:row>
    <x:row r="93">
      <x:c r="A93" s="20" t="str">
        <x:v>M03-RTEF-0048-V1.0</x:v>
      </x:c>
      <x:c r="B93" s="20" t="str">
        <x:v>规则</x:v>
      </x:c>
      <x:c r="C93" s="20" t="str">
        <x:v>M03</x:v>
      </x:c>
      <x:c r="D93" s="20" t="str">
        <x:v>03_月令与根气</x:v>
      </x:c>
      <x:c r="E93" s="20" t="str">
        <x:v>RTEF</x:v>
      </x:c>
      <x:c r="F93" s="20" t="n">
        <x:v>48</x:v>
      </x:c>
      <x:c r="G93" s="20" t="str">
        <x:v>V1.0</x:v>
      </x:c>
      <x:c r="H93" s="20" t="str">
        <x:v>相合不自动等于根气被冻结或消失</x:v>
      </x:c>
      <x:c r="I93" s="20" t="str">
        <x:v>效应层</x:v>
      </x:c>
      <x:c r="J93" s="20" t="str">
        <x:v>合不必然失根</x:v>
      </x:c>
      <x:c r="K93" s="20" t="str">
        <x:v>根支参与合时，先判断合的实际效应；合而不化不等于基础根气不存在。</x:v>
      </x:c>
      <x:c r="L93" s="20" t="str">
        <x:v>较高</x:v>
      </x:c>
      <x:c r="M93" s="20" t="str">
        <x:v>待验证</x:v>
      </x:c>
      <x:c r="N93" s="20" t="str">
        <x:v>初审</x:v>
      </x:c>
      <x:c r="O93" s="22" t="n">
        <x:v>46255</x:v>
      </x:c>
      <x:c r="P93" s="20" t="str">
        <x:v>内部效应分层规则</x:v>
      </x:c>
    </x:row>
    <x:row r="94">
      <x:c r="A94" s="20" t="str">
        <x:v>M03-RTEF-0049-V1.0</x:v>
      </x:c>
      <x:c r="B94" s="20" t="str">
        <x:v>规则</x:v>
      </x:c>
      <x:c r="C94" s="20" t="str">
        <x:v>M03</x:v>
      </x:c>
      <x:c r="D94" s="20" t="str">
        <x:v>03_月令与根气</x:v>
      </x:c>
      <x:c r="E94" s="20" t="str">
        <x:v>RTEF</x:v>
      </x:c>
      <x:c r="F94" s="20" t="n">
        <x:v>49</x:v>
      </x:c>
      <x:c r="G94" s="20" t="str">
        <x:v>V1.0</x:v>
      </x:c>
      <x:c r="H94" s="20" t="str">
        <x:v>刑害破不自动等于根气被毁</x:v>
      </x:c>
      <x:c r="I94" s="20" t="str">
        <x:v>效应层</x:v>
      </x:c>
      <x:c r="J94" s="20" t="str">
        <x:v>刑害破不必然毁根</x:v>
      </x:c>
      <x:c r="K94" s="20" t="str">
        <x:v>根支参与刑害破时，基础根仍保留；有效根力根据关系强度、对象与环境另行修正。</x:v>
      </x:c>
      <x:c r="L94" s="20" t="str">
        <x:v>较高</x:v>
      </x:c>
      <x:c r="M94" s="20" t="str">
        <x:v>待验证</x:v>
      </x:c>
      <x:c r="N94" s="20" t="str">
        <x:v>初审</x:v>
      </x:c>
      <x:c r="O94" s="22" t="n">
        <x:v>46255</x:v>
      </x:c>
      <x:c r="P94" s="20" t="str">
        <x:v>内部效应分层规则</x:v>
      </x:c>
    </x:row>
    <x:row r="95">
      <x:c r="A95" s="20" t="str">
        <x:v>M03-RTEF-0050-V1.0</x:v>
      </x:c>
      <x:c r="B95" s="20" t="str">
        <x:v>规则</x:v>
      </x:c>
      <x:c r="C95" s="20" t="str">
        <x:v>M03</x:v>
      </x:c>
      <x:c r="D95" s="20" t="str">
        <x:v>03_月令与根气</x:v>
      </x:c>
      <x:c r="E95" s="20" t="str">
        <x:v>RTEF</x:v>
      </x:c>
      <x:c r="F95" s="20" t="n">
        <x:v>50</x:v>
      </x:c>
      <x:c r="G95" s="20" t="str">
        <x:v>V1.0</x:v>
      </x:c>
      <x:c r="H95" s="20" t="str">
        <x:v>合化成立后必须重算根气归属</x:v>
      </x:c>
      <x:c r="I95" s="20" t="str">
        <x:v>效应层</x:v>
      </x:c>
      <x:c r="J95" s="20" t="str">
        <x:v>合化后重算根气</x:v>
      </x:c>
      <x:c r="K95" s="20" t="str">
        <x:v>只有合化严格成立，才按化神重新评估参与支的有效五行与根气；原始记录仍保留用于追溯。</x:v>
      </x:c>
      <x:c r="L95" s="20" t="str">
        <x:v>较高</x:v>
      </x:c>
      <x:c r="M95" s="20" t="str">
        <x:v>待验证</x:v>
      </x:c>
      <x:c r="N95" s="20" t="str">
        <x:v>初审</x:v>
      </x:c>
      <x:c r="O95" s="22" t="n">
        <x:v>46255</x:v>
      </x:c>
      <x:c r="P95" s="20" t="str">
        <x:v>内部效应与格局裁决规则</x:v>
      </x:c>
    </x:row>
    <x:row r="96">
      <x:c r="A96" s="20" t="str">
        <x:v>M03-RTEF-0051-V1.0</x:v>
      </x:c>
      <x:c r="B96" s="20" t="str">
        <x:v>规则</x:v>
      </x:c>
      <x:c r="C96" s="20" t="str">
        <x:v>M03</x:v>
      </x:c>
      <x:c r="D96" s="20" t="str">
        <x:v>03_月令与根气</x:v>
      </x:c>
      <x:c r="E96" s="20" t="str">
        <x:v>RTEF</x:v>
      </x:c>
      <x:c r="F96" s="20" t="n">
        <x:v>51</x:v>
      </x:c>
      <x:c r="G96" s="20" t="str">
        <x:v>V1.0</x:v>
      </x:c>
      <x:c r="H96" s="20" t="str">
        <x:v>根支受损时降低有效根而非删除基础根</x:v>
      </x:c>
      <x:c r="I96" s="20" t="str">
        <x:v>效应层</x:v>
      </x:c>
      <x:c r="J96" s="20" t="str">
        <x:v>有效根减弱</x:v>
      </x:c>
      <x:c r="K96" s="20" t="str">
        <x:v>根支受损时，记录为“有根但有效性下降”；只有转化或严格否决条件成立时才改变归属。</x:v>
      </x:c>
      <x:c r="L96" s="20" t="str">
        <x:v>较高</x:v>
      </x:c>
      <x:c r="M96" s="20" t="str">
        <x:v>待验证</x:v>
      </x:c>
      <x:c r="N96" s="20" t="str">
        <x:v>初审</x:v>
      </x:c>
      <x:c r="O96" s="22" t="n">
        <x:v>46255</x:v>
      </x:c>
      <x:c r="P96" s="20" t="str">
        <x:v>内部综合规则</x:v>
      </x:c>
    </x:row>
    <x:row r="97">
      <x:c r="A97" s="20" t="str">
        <x:v>M03-RTEF-0052-V1.0</x:v>
      </x:c>
      <x:c r="B97" s="20" t="str">
        <x:v>规则</x:v>
      </x:c>
      <x:c r="C97" s="20" t="str">
        <x:v>M03</x:v>
      </x:c>
      <x:c r="D97" s="20" t="str">
        <x:v>03_月令与根气</x:v>
      </x:c>
      <x:c r="E97" s="20" t="str">
        <x:v>RTEF</x:v>
      </x:c>
      <x:c r="F97" s="20" t="n">
        <x:v>52</x:v>
      </x:c>
      <x:c r="G97" s="20" t="str">
        <x:v>V1.0</x:v>
      </x:c>
      <x:c r="H97" s="20" t="str">
        <x:v>藏干透出可增强根气传导但非存在条件</x:v>
      </x:c>
      <x:c r="I97" s="20" t="str">
        <x:v>结构层</x:v>
      </x:c>
      <x:c r="J97" s="20" t="str">
        <x:v>透出增强传导</x:v>
      </x:c>
      <x:c r="K97" s="20" t="str">
        <x:v>藏干透出通常提高其可见性与作用直接度；未透仍可作为根，透出也不自动等于旺。</x:v>
      </x:c>
      <x:c r="L97" s="20" t="str">
        <x:v>较高</x:v>
      </x:c>
      <x:c r="M97" s="20" t="str">
        <x:v>采用</x:v>
      </x:c>
      <x:c r="N97" s="20" t="str">
        <x:v>初审</x:v>
      </x:c>
      <x:c r="O97" s="22" t="n">
        <x:v>46255</x:v>
      </x:c>
      <x:c r="P97" s="20" t="str">
        <x:v>内部综合规则</x:v>
      </x:c>
    </x:row>
    <x:row r="98">
      <x:c r="A98" s="20" t="str">
        <x:v>M03-RTEF-0053-V1.0</x:v>
      </x:c>
      <x:c r="B98" s="20" t="str">
        <x:v>规则</x:v>
      </x:c>
      <x:c r="C98" s="20" t="str">
        <x:v>M03</x:v>
      </x:c>
      <x:c r="D98" s="20" t="str">
        <x:v>03_月令与根气</x:v>
      </x:c>
      <x:c r="E98" s="20" t="str">
        <x:v>RTEF</x:v>
      </x:c>
      <x:c r="F98" s="20" t="n">
        <x:v>53</x:v>
      </x:c>
      <x:c r="G98" s="20" t="str">
        <x:v>V1.0</x:v>
      </x:c>
      <x:c r="H98" s="20" t="str">
        <x:v>气候与流通可限制根气功能</x:v>
      </x:c>
      <x:c r="I98" s="20" t="str">
        <x:v>结构层</x:v>
      </x:c>
      <x:c r="J98" s="20" t="str">
        <x:v>根存在功能受限</x:v>
      </x:c>
      <x:c r="K98" s="20" t="str">
        <x:v>根气可以客观存在但因寒暖燥湿或流通卡点而难以发挥；应输出“有根、功能受限”。</x:v>
      </x:c>
      <x:c r="L98" s="20" t="str">
        <x:v>中等</x:v>
      </x:c>
      <x:c r="M98" s="20" t="str">
        <x:v>待验证</x:v>
      </x:c>
      <x:c r="N98" s="20" t="str">
        <x:v>初审</x:v>
      </x:c>
      <x:c r="O98" s="22" t="n">
        <x:v>46255</x:v>
      </x:c>
      <x:c r="P98" s="20" t="str">
        <x:v>内部综合规则；需M12/M13联动</x:v>
      </x:c>
    </x:row>
    <x:row r="99">
      <x:c r="A99" s="20" t="str">
        <x:v>M03-DIM-0054-V1.0</x:v>
      </x:c>
      <x:c r="B99" s="20" t="str">
        <x:v>规则</x:v>
      </x:c>
      <x:c r="C99" s="20" t="str">
        <x:v>M03</x:v>
      </x:c>
      <x:c r="D99" s="20" t="str">
        <x:v>03_月令与根气</x:v>
      </x:c>
      <x:c r="E99" s="20" t="str">
        <x:v>DIM</x:v>
      </x:c>
      <x:c r="F99" s="20" t="n">
        <x:v>54</x:v>
      </x:c>
      <x:c r="G99" s="20" t="str">
        <x:v>V1.0</x:v>
      </x:c>
      <x:c r="H99" s="20" t="str">
        <x:v>得令的定义与输出边界</x:v>
      </x:c>
      <x:c r="I99" s="20" t="str">
        <x:v>结构层</x:v>
      </x:c>
      <x:c r="J99" s="20" t="str">
        <x:v>得令定义</x:v>
      </x:c>
      <x:c r="K99" s="20" t="str">
        <x:v>得令只回答对象是否获得季节支持；它是高权重证据，但不是日主旺衰的完整结论。</x:v>
      </x:c>
      <x:c r="L99" s="20" t="str">
        <x:v>确定</x:v>
      </x:c>
      <x:c r="M99" s="20" t="str">
        <x:v>采用</x:v>
      </x:c>
      <x:c r="N99" s="20" t="str">
        <x:v>初审</x:v>
      </x:c>
      <x:c r="O99" s="22" t="n">
        <x:v>46255</x:v>
      </x:c>
      <x:c r="P99" s="20" t="str">
        <x:v>内部术语治理</x:v>
      </x:c>
    </x:row>
    <x:row r="100">
      <x:c r="A100" s="20" t="str">
        <x:v>M03-DIM-0055-V1.0</x:v>
      </x:c>
      <x:c r="B100" s="20" t="str">
        <x:v>规则</x:v>
      </x:c>
      <x:c r="C100" s="20" t="str">
        <x:v>M03</x:v>
      </x:c>
      <x:c r="D100" s="20" t="str">
        <x:v>03_月令与根气</x:v>
      </x:c>
      <x:c r="E100" s="20" t="str">
        <x:v>DIM</x:v>
      </x:c>
      <x:c r="F100" s="20" t="n">
        <x:v>55</x:v>
      </x:c>
      <x:c r="G100" s="20" t="str">
        <x:v>V1.0</x:v>
      </x:c>
      <x:c r="H100" s="20" t="str">
        <x:v>得地的定义与分级</x:v>
      </x:c>
      <x:c r="I100" s="20" t="str">
        <x:v>结构层</x:v>
      </x:c>
      <x:c r="J100" s="20" t="str">
        <x:v>得地定义</x:v>
      </x:c>
      <x:c r="K100" s="20" t="str">
        <x:v>得地表示对象在地支中有根；必须进一步写明直接根/同类根、本中余气、位置和有效等级。</x:v>
      </x:c>
      <x:c r="L100" s="20" t="str">
        <x:v>较高</x:v>
      </x:c>
      <x:c r="M100" s="20" t="str">
        <x:v>采用</x:v>
      </x:c>
      <x:c r="N100" s="20" t="str">
        <x:v>初审</x:v>
      </x:c>
      <x:c r="O100" s="22" t="n">
        <x:v>46255</x:v>
      </x:c>
      <x:c r="P100" s="20" t="str">
        <x:v>内部术语治理</x:v>
      </x:c>
    </x:row>
    <x:row r="101">
      <x:c r="A101" s="20" t="str">
        <x:v>M03-DIM-0056-V1.0</x:v>
      </x:c>
      <x:c r="B101" s="20" t="str">
        <x:v>规则</x:v>
      </x:c>
      <x:c r="C101" s="20" t="str">
        <x:v>M03</x:v>
      </x:c>
      <x:c r="D101" s="20" t="str">
        <x:v>03_月令与根气</x:v>
      </x:c>
      <x:c r="E101" s="20" t="str">
        <x:v>DIM</x:v>
      </x:c>
      <x:c r="F101" s="20" t="n">
        <x:v>56</x:v>
      </x:c>
      <x:c r="G101" s="20" t="str">
        <x:v>V1.0</x:v>
      </x:c>
      <x:c r="H101" s="20" t="str">
        <x:v>得势的定义与证据来源</x:v>
      </x:c>
      <x:c r="I101" s="20" t="str">
        <x:v>结构层</x:v>
      </x:c>
      <x:c r="J101" s="20" t="str">
        <x:v>得势定义</x:v>
      </x:c>
      <x:c r="K101" s="20" t="str">
        <x:v>得势表示同类及生扶阵营在全局形成整体趋势；它不同于单独得令或得地。</x:v>
      </x:c>
      <x:c r="L101" s="20" t="str">
        <x:v>中等</x:v>
      </x:c>
      <x:c r="M101" s="20" t="str">
        <x:v>待验证</x:v>
      </x:c>
      <x:c r="N101" s="20" t="str">
        <x:v>初审</x:v>
      </x:c>
      <x:c r="O101" s="22" t="n">
        <x:v>46255</x:v>
      </x:c>
      <x:c r="P101" s="20" t="str">
        <x:v>内部术语治理</x:v>
      </x:c>
    </x:row>
    <x:row r="102">
      <x:c r="A102" s="20" t="str">
        <x:v>M03-DIM-0057-V1.0</x:v>
      </x:c>
      <x:c r="B102" s="20" t="str">
        <x:v>规则</x:v>
      </x:c>
      <x:c r="C102" s="20" t="str">
        <x:v>M03</x:v>
      </x:c>
      <x:c r="D102" s="20" t="str">
        <x:v>03_月令与根气</x:v>
      </x:c>
      <x:c r="E102" s="20" t="str">
        <x:v>DIM</x:v>
      </x:c>
      <x:c r="F102" s="20" t="n">
        <x:v>57</x:v>
      </x:c>
      <x:c r="G102" s="20" t="str">
        <x:v>V1.0</x:v>
      </x:c>
      <x:c r="H102" s="20" t="str">
        <x:v>得令得地得势必须分维度汇总</x:v>
      </x:c>
      <x:c r="I102" s="20" t="str">
        <x:v>综合层</x:v>
      </x:c>
      <x:c r="J102" s="20" t="str">
        <x:v>三维分栏</x:v>
      </x:c>
      <x:c r="K102" s="20" t="str">
        <x:v>得令、得地、得势须分别输出，再综合到旺衰结论；任何单一维度都不能独立包办最终判断。</x:v>
      </x:c>
      <x:c r="L102" s="20" t="str">
        <x:v>确定</x:v>
      </x:c>
      <x:c r="M102" s="20" t="str">
        <x:v>采用</x:v>
      </x:c>
      <x:c r="N102" s="20" t="str">
        <x:v>初审</x:v>
      </x:c>
      <x:c r="O102" s="22" t="n">
        <x:v>46255</x:v>
      </x:c>
      <x:c r="P102" s="20" t="str">
        <x:v>内部模型治理规则</x:v>
      </x:c>
    </x:row>
    <x:row r="103">
      <x:c r="A103" s="20" t="str">
        <x:v>M03-EDGE-0058-V1.0</x:v>
      </x:c>
      <x:c r="B103" s="20" t="str">
        <x:v>规则</x:v>
      </x:c>
      <x:c r="C103" s="20" t="str">
        <x:v>M03</x:v>
      </x:c>
      <x:c r="D103" s="20" t="str">
        <x:v>03_月令与根气</x:v>
      </x:c>
      <x:c r="E103" s="20" t="str">
        <x:v>EDGE</x:v>
      </x:c>
      <x:c r="F103" s="20" t="n">
        <x:v>58</x:v>
      </x:c>
      <x:c r="G103" s="20" t="str">
        <x:v>V1.0</x:v>
      </x:c>
      <x:c r="H103" s="20" t="str">
        <x:v>无根不自动等于最终身弱或五行弱</x:v>
      </x:c>
      <x:c r="I103" s="20" t="str">
        <x:v>综合层</x:v>
      </x:c>
      <x:c r="J103" s="20" t="str">
        <x:v>无根非必弱</x:v>
      </x:c>
      <x:c r="K103" s="20" t="str">
        <x:v>无根是得地不足的重要证据，但最终旺衰仍需结合得令、得势、得生与克泄耗。</x:v>
      </x:c>
      <x:c r="L103" s="20" t="str">
        <x:v>较高</x:v>
      </x:c>
      <x:c r="M103" s="20" t="str">
        <x:v>待验证</x:v>
      </x:c>
      <x:c r="N103" s="20" t="str">
        <x:v>初审</x:v>
      </x:c>
      <x:c r="O103" s="22" t="n">
        <x:v>46255</x:v>
      </x:c>
      <x:c r="P103" s="20" t="str">
        <x:v>内部综合规则</x:v>
      </x:c>
    </x:row>
    <x:row r="104">
      <x:c r="A104" s="20" t="str">
        <x:v>M03-EDGE-0059-V1.0</x:v>
      </x:c>
      <x:c r="B104" s="20" t="str">
        <x:v>规则</x:v>
      </x:c>
      <x:c r="C104" s="20" t="str">
        <x:v>M03</x:v>
      </x:c>
      <x:c r="D104" s="20" t="str">
        <x:v>03_月令与根气</x:v>
      </x:c>
      <x:c r="E104" s="20" t="str">
        <x:v>EDGE</x:v>
      </x:c>
      <x:c r="F104" s="20" t="n">
        <x:v>59</x:v>
      </x:c>
      <x:c r="G104" s="20" t="str">
        <x:v>V1.0</x:v>
      </x:c>
      <x:c r="H104" s="20" t="str">
        <x:v>有根不自动等于最终身旺或五行旺</x:v>
      </x:c>
      <x:c r="I104" s="20" t="str">
        <x:v>综合层</x:v>
      </x:c>
      <x:c r="J104" s="20" t="str">
        <x:v>有根非必旺</x:v>
      </x:c>
      <x:c r="K104" s="20" t="str">
        <x:v>有根只证明对象在地支有落点；根的质量与全局承载决定其能否改变最终旺衰。</x:v>
      </x:c>
      <x:c r="L104" s="20" t="str">
        <x:v>较高</x:v>
      </x:c>
      <x:c r="M104" s="20" t="str">
        <x:v>待验证</x:v>
      </x:c>
      <x:c r="N104" s="20" t="str">
        <x:v>初审</x:v>
      </x:c>
      <x:c r="O104" s="22" t="n">
        <x:v>46255</x:v>
      </x:c>
      <x:c r="P104" s="20" t="str">
        <x:v>内部综合规则</x:v>
      </x:c>
    </x:row>
    <x:row r="105">
      <x:c r="A105" s="20" t="str">
        <x:v>M03-EDGE-0060-V1.0</x:v>
      </x:c>
      <x:c r="B105" s="20" t="str">
        <x:v>规则</x:v>
      </x:c>
      <x:c r="C105" s="20" t="str">
        <x:v>M03</x:v>
      </x:c>
      <x:c r="D105" s="20" t="str">
        <x:v>03_月令与根气</x:v>
      </x:c>
      <x:c r="E105" s="20" t="str">
        <x:v>EDGE</x:v>
      </x:c>
      <x:c r="F105" s="20" t="n">
        <x:v>60</x:v>
      </x:c>
      <x:c r="G105" s="20" t="str">
        <x:v>V1.0</x:v>
      </x:c>
      <x:c r="H105" s="20" t="str">
        <x:v>根气结论必须保留原始与有效两套输出</x:v>
      </x:c>
      <x:c r="I105" s="20" t="str">
        <x:v>综合层</x:v>
      </x:c>
      <x:c r="J105" s="20" t="str">
        <x:v>原始有效双输出</x:v>
      </x:c>
      <x:c r="K105" s="20" t="str">
        <x:v>根气结论统一写为：原始根型与位置、有效根等级、增强因素、削弱因素、反向证据、置信度。</x:v>
      </x:c>
      <x:c r="L105" s="20" t="str">
        <x:v>确定</x:v>
      </x:c>
      <x:c r="M105" s="20" t="str">
        <x:v>采用</x:v>
      </x:c>
      <x:c r="N105" s="20" t="str">
        <x:v>初审</x:v>
      </x:c>
      <x:c r="O105" s="22" t="n">
        <x:v>46255</x:v>
      </x:c>
      <x:c r="P105" s="20" t="str">
        <x:v>内部输出治理规则</x:v>
      </x:c>
    </x:row>
    <x:row r="106">
      <x:c r="A106" s="20" t="str">
        <x:v>M04-HE-0001-V1.0</x:v>
      </x:c>
      <x:c r="B106" s="20" t="str">
        <x:v>规则</x:v>
      </x:c>
      <x:c r="C106" s="20" t="str">
        <x:v>M04</x:v>
      </x:c>
      <x:c r="D106" s="20" t="str">
        <x:v>04_天干作用识别</x:v>
      </x:c>
      <x:c r="E106" s="20" t="str">
        <x:v>HE</x:v>
      </x:c>
      <x:c r="F106" s="20" t="n">
        <x:v>1</x:v>
      </x:c>
      <x:c r="G106" s="20" t="str">
        <x:v>V1.0</x:v>
      </x:c>
      <x:c r="H106" s="20" t="str">
        <x:v>甲己天干五合识别</x:v>
      </x:c>
      <x:c r="I106" s="20" t="str">
        <x:v>识别层</x:v>
      </x:c>
      <x:c r="J106" s="20" t="str">
        <x:v>甲己合识别</x:v>
      </x:c>
      <x:c r="K106" s="20" t="str">
        <x:v>天干见甲、己，识别为甲己合；合化候选为土，实际是合绊、合动、合住还是合化，转M06判断。</x:v>
      </x:c>
      <x:c r="L106" s="20" t="str">
        <x:v>确定</x:v>
      </x:c>
      <x:c r="M106" s="20" t="str">
        <x:v>采用</x:v>
      </x:c>
      <x:c r="N106" s="20" t="str">
        <x:v>初审</x:v>
      </x:c>
      <x:c r="O106" s="22" t="n">
        <x:v>46255</x:v>
      </x:c>
      <x:c r="P106" s="20" t="str">
        <x:v>https://zh.wikisource.org/wiki/淵海子平；https://zh.wikisource.org/zh-hans/三命通會_(四庫全書本)</x:v>
      </x:c>
    </x:row>
    <x:row r="107">
      <x:c r="A107" s="20" t="str">
        <x:v>M04-HE-0002-V1.0</x:v>
      </x:c>
      <x:c r="B107" s="20" t="str">
        <x:v>规则</x:v>
      </x:c>
      <x:c r="C107" s="20" t="str">
        <x:v>M04</x:v>
      </x:c>
      <x:c r="D107" s="20" t="str">
        <x:v>04_天干作用识别</x:v>
      </x:c>
      <x:c r="E107" s="20" t="str">
        <x:v>HE</x:v>
      </x:c>
      <x:c r="F107" s="20" t="n">
        <x:v>2</x:v>
      </x:c>
      <x:c r="G107" s="20" t="str">
        <x:v>V1.0</x:v>
      </x:c>
      <x:c r="H107" s="20" t="str">
        <x:v>乙庚天干五合识别</x:v>
      </x:c>
      <x:c r="I107" s="20" t="str">
        <x:v>识别层</x:v>
      </x:c>
      <x:c r="J107" s="20" t="str">
        <x:v>乙庚合识别</x:v>
      </x:c>
      <x:c r="K107" s="20" t="str">
        <x:v>天干见乙、庚，识别为乙庚合；合化候选为金，实际是合绊、合动、合住还是合化，转M06判断。</x:v>
      </x:c>
      <x:c r="L107" s="20" t="str">
        <x:v>确定</x:v>
      </x:c>
      <x:c r="M107" s="20" t="str">
        <x:v>采用</x:v>
      </x:c>
      <x:c r="N107" s="20" t="str">
        <x:v>初审</x:v>
      </x:c>
      <x:c r="O107" s="22" t="n">
        <x:v>46255</x:v>
      </x:c>
      <x:c r="P107" s="20" t="str">
        <x:v>https://zh.wikisource.org/wiki/淵海子平；https://zh.wikisource.org/zh-hans/三命通會_(四庫全書本)</x:v>
      </x:c>
    </x:row>
    <x:row r="108">
      <x:c r="A108" s="20" t="str">
        <x:v>M04-HE-0003-V1.0</x:v>
      </x:c>
      <x:c r="B108" s="20" t="str">
        <x:v>规则</x:v>
      </x:c>
      <x:c r="C108" s="20" t="str">
        <x:v>M04</x:v>
      </x:c>
      <x:c r="D108" s="20" t="str">
        <x:v>04_天干作用识别</x:v>
      </x:c>
      <x:c r="E108" s="20" t="str">
        <x:v>HE</x:v>
      </x:c>
      <x:c r="F108" s="20" t="n">
        <x:v>3</x:v>
      </x:c>
      <x:c r="G108" s="20" t="str">
        <x:v>V1.0</x:v>
      </x:c>
      <x:c r="H108" s="20" t="str">
        <x:v>丙辛天干五合识别</x:v>
      </x:c>
      <x:c r="I108" s="20" t="str">
        <x:v>识别层</x:v>
      </x:c>
      <x:c r="J108" s="20" t="str">
        <x:v>丙辛合识别</x:v>
      </x:c>
      <x:c r="K108" s="20" t="str">
        <x:v>天干见丙、辛，识别为丙辛合；合化候选为水，实际是合绊、合动、合住还是合化，转M06判断。</x:v>
      </x:c>
      <x:c r="L108" s="20" t="str">
        <x:v>确定</x:v>
      </x:c>
      <x:c r="M108" s="20" t="str">
        <x:v>采用</x:v>
      </x:c>
      <x:c r="N108" s="20" t="str">
        <x:v>初审</x:v>
      </x:c>
      <x:c r="O108" s="22" t="n">
        <x:v>46255</x:v>
      </x:c>
      <x:c r="P108" s="20" t="str">
        <x:v>https://zh.wikisource.org/wiki/淵海子平；https://zh.wikisource.org/zh-hans/三命通會_(四庫全書本)</x:v>
      </x:c>
    </x:row>
    <x:row r="109">
      <x:c r="A109" s="20" t="str">
        <x:v>M04-HE-0004-V1.0</x:v>
      </x:c>
      <x:c r="B109" s="20" t="str">
        <x:v>规则</x:v>
      </x:c>
      <x:c r="C109" s="20" t="str">
        <x:v>M04</x:v>
      </x:c>
      <x:c r="D109" s="20" t="str">
        <x:v>04_天干作用识别</x:v>
      </x:c>
      <x:c r="E109" s="20" t="str">
        <x:v>HE</x:v>
      </x:c>
      <x:c r="F109" s="20" t="n">
        <x:v>4</x:v>
      </x:c>
      <x:c r="G109" s="20" t="str">
        <x:v>V1.0</x:v>
      </x:c>
      <x:c r="H109" s="20" t="str">
        <x:v>丁壬天干五合识别</x:v>
      </x:c>
      <x:c r="I109" s="20" t="str">
        <x:v>识别层</x:v>
      </x:c>
      <x:c r="J109" s="20" t="str">
        <x:v>丁壬合识别</x:v>
      </x:c>
      <x:c r="K109" s="20" t="str">
        <x:v>天干见丁、壬，识别为丁壬合；合化候选为木，实际是合绊、合动、合住还是合化，转M06判断。</x:v>
      </x:c>
      <x:c r="L109" s="20" t="str">
        <x:v>确定</x:v>
      </x:c>
      <x:c r="M109" s="20" t="str">
        <x:v>采用</x:v>
      </x:c>
      <x:c r="N109" s="20" t="str">
        <x:v>初审</x:v>
      </x:c>
      <x:c r="O109" s="22" t="n">
        <x:v>46255</x:v>
      </x:c>
      <x:c r="P109" s="20" t="str">
        <x:v>https://zh.wikisource.org/wiki/淵海子平；https://zh.wikisource.org/zh-hans/三命通會_(四庫全書本)</x:v>
      </x:c>
    </x:row>
    <x:row r="110">
      <x:c r="A110" s="20" t="str">
        <x:v>M04-HE-0005-V1.0</x:v>
      </x:c>
      <x:c r="B110" s="20" t="str">
        <x:v>规则</x:v>
      </x:c>
      <x:c r="C110" s="20" t="str">
        <x:v>M04</x:v>
      </x:c>
      <x:c r="D110" s="20" t="str">
        <x:v>04_天干作用识别</x:v>
      </x:c>
      <x:c r="E110" s="20" t="str">
        <x:v>HE</x:v>
      </x:c>
      <x:c r="F110" s="20" t="n">
        <x:v>5</x:v>
      </x:c>
      <x:c r="G110" s="20" t="str">
        <x:v>V1.0</x:v>
      </x:c>
      <x:c r="H110" s="20" t="str">
        <x:v>戊癸天干五合识别</x:v>
      </x:c>
      <x:c r="I110" s="20" t="str">
        <x:v>识别层</x:v>
      </x:c>
      <x:c r="J110" s="20" t="str">
        <x:v>戊癸合识别</x:v>
      </x:c>
      <x:c r="K110" s="20" t="str">
        <x:v>天干见戊、癸，识别为戊癸合；合化候选为火，实际是合绊、合动、合住还是合化，转M06判断。</x:v>
      </x:c>
      <x:c r="L110" s="20" t="str">
        <x:v>确定</x:v>
      </x:c>
      <x:c r="M110" s="20" t="str">
        <x:v>采用</x:v>
      </x:c>
      <x:c r="N110" s="20" t="str">
        <x:v>初审</x:v>
      </x:c>
      <x:c r="O110" s="22" t="n">
        <x:v>46255</x:v>
      </x:c>
      <x:c r="P110" s="20" t="str">
        <x:v>https://zh.wikisource.org/wiki/淵海子平；https://zh.wikisource.org/zh-hans/三命通會_(四庫全書本)</x:v>
      </x:c>
    </x:row>
    <x:row r="111">
      <x:c r="A111" s="20" t="str">
        <x:v>M04-KE-0006-V1.0</x:v>
      </x:c>
      <x:c r="B111" s="20" t="str">
        <x:v>规则</x:v>
      </x:c>
      <x:c r="C111" s="20" t="str">
        <x:v>M04</x:v>
      </x:c>
      <x:c r="D111" s="20" t="str">
        <x:v>04_天干作用识别</x:v>
      </x:c>
      <x:c r="E111" s="20" t="str">
        <x:v>KE</x:v>
      </x:c>
      <x:c r="F111" s="20" t="n">
        <x:v>6</x:v>
      </x:c>
      <x:c r="G111" s="20" t="str">
        <x:v>V1.0</x:v>
      </x:c>
      <x:c r="H111" s="20" t="str">
        <x:v>甲克戊天干路径识别</x:v>
      </x:c>
      <x:c r="I111" s="20" t="str">
        <x:v>识别层</x:v>
      </x:c>
      <x:c r="J111" s="20" t="str">
        <x:v>甲克戊识别</x:v>
      </x:c>
      <x:c r="K111" s="20" t="str">
        <x:v>天干见甲与戊，登记“甲克戊”的有向相克关系；实际制约程度须结合柱位、旺衰及其他作用转M06判断。</x:v>
      </x:c>
      <x:c r="L111" s="20" t="str">
        <x:v>确定</x:v>
      </x:c>
      <x:c r="M111" s="20" t="str">
        <x:v>采用</x:v>
      </x:c>
      <x:c r="N111" s="20" t="str">
        <x:v>初审</x:v>
      </x:c>
      <x:c r="O111" s="22" t="n">
        <x:v>46255</x:v>
      </x:c>
      <x:c r="P111" s="20" t="str">
        <x:v>https://zh.wikisource.org/wiki/淵海子平；https://zh.wikisource.org/zh-hans/三命通會_(四庫全書本)</x:v>
      </x:c>
    </x:row>
    <x:row r="112">
      <x:c r="A112" s="20" t="str">
        <x:v>M04-KE-0007-V1.0</x:v>
      </x:c>
      <x:c r="B112" s="20" t="str">
        <x:v>规则</x:v>
      </x:c>
      <x:c r="C112" s="20" t="str">
        <x:v>M04</x:v>
      </x:c>
      <x:c r="D112" s="20" t="str">
        <x:v>04_天干作用识别</x:v>
      </x:c>
      <x:c r="E112" s="20" t="str">
        <x:v>KE</x:v>
      </x:c>
      <x:c r="F112" s="20" t="n">
        <x:v>7</x:v>
      </x:c>
      <x:c r="G112" s="20" t="str">
        <x:v>V1.0</x:v>
      </x:c>
      <x:c r="H112" s="20" t="str">
        <x:v>甲克己天干路径识别</x:v>
      </x:c>
      <x:c r="I112" s="20" t="str">
        <x:v>识别层</x:v>
      </x:c>
      <x:c r="J112" s="20" t="str">
        <x:v>甲克己识别</x:v>
      </x:c>
      <x:c r="K112" s="20" t="str">
        <x:v>天干见甲与己，登记“甲克己”的有向相克关系；实际制约程度须结合柱位、旺衰及其他作用转M06判断。</x:v>
      </x:c>
      <x:c r="L112" s="20" t="str">
        <x:v>确定</x:v>
      </x:c>
      <x:c r="M112" s="20" t="str">
        <x:v>采用</x:v>
      </x:c>
      <x:c r="N112" s="20" t="str">
        <x:v>初审</x:v>
      </x:c>
      <x:c r="O112" s="22" t="n">
        <x:v>46255</x:v>
      </x:c>
      <x:c r="P112" s="20" t="str">
        <x:v>https://zh.wikisource.org/wiki/淵海子平；https://zh.wikisource.org/zh-hans/三命通會_(四庫全書本)</x:v>
      </x:c>
    </x:row>
    <x:row r="113">
      <x:c r="A113" s="20" t="str">
        <x:v>M04-KE-0008-V1.0</x:v>
      </x:c>
      <x:c r="B113" s="20" t="str">
        <x:v>规则</x:v>
      </x:c>
      <x:c r="C113" s="20" t="str">
        <x:v>M04</x:v>
      </x:c>
      <x:c r="D113" s="20" t="str">
        <x:v>04_天干作用识别</x:v>
      </x:c>
      <x:c r="E113" s="20" t="str">
        <x:v>KE</x:v>
      </x:c>
      <x:c r="F113" s="20" t="n">
        <x:v>8</x:v>
      </x:c>
      <x:c r="G113" s="20" t="str">
        <x:v>V1.0</x:v>
      </x:c>
      <x:c r="H113" s="20" t="str">
        <x:v>乙克戊天干路径识别</x:v>
      </x:c>
      <x:c r="I113" s="20" t="str">
        <x:v>识别层</x:v>
      </x:c>
      <x:c r="J113" s="20" t="str">
        <x:v>乙克戊识别</x:v>
      </x:c>
      <x:c r="K113" s="20" t="str">
        <x:v>天干见乙与戊，登记“乙克戊”的有向相克关系；实际制约程度须结合柱位、旺衰及其他作用转M06判断。</x:v>
      </x:c>
      <x:c r="L113" s="20" t="str">
        <x:v>确定</x:v>
      </x:c>
      <x:c r="M113" s="20" t="str">
        <x:v>采用</x:v>
      </x:c>
      <x:c r="N113" s="20" t="str">
        <x:v>初审</x:v>
      </x:c>
      <x:c r="O113" s="22" t="n">
        <x:v>46255</x:v>
      </x:c>
      <x:c r="P113" s="20" t="str">
        <x:v>https://zh.wikisource.org/wiki/淵海子平；https://zh.wikisource.org/zh-hans/三命通會_(四庫全書本)</x:v>
      </x:c>
    </x:row>
    <x:row r="114">
      <x:c r="A114" s="20" t="str">
        <x:v>M04-KE-0009-V1.0</x:v>
      </x:c>
      <x:c r="B114" s="20" t="str">
        <x:v>规则</x:v>
      </x:c>
      <x:c r="C114" s="20" t="str">
        <x:v>M04</x:v>
      </x:c>
      <x:c r="D114" s="20" t="str">
        <x:v>04_天干作用识别</x:v>
      </x:c>
      <x:c r="E114" s="20" t="str">
        <x:v>KE</x:v>
      </x:c>
      <x:c r="F114" s="20" t="n">
        <x:v>9</x:v>
      </x:c>
      <x:c r="G114" s="20" t="str">
        <x:v>V1.0</x:v>
      </x:c>
      <x:c r="H114" s="20" t="str">
        <x:v>乙克己天干路径识别</x:v>
      </x:c>
      <x:c r="I114" s="20" t="str">
        <x:v>识别层</x:v>
      </x:c>
      <x:c r="J114" s="20" t="str">
        <x:v>乙克己识别</x:v>
      </x:c>
      <x:c r="K114" s="20" t="str">
        <x:v>天干见乙与己，登记“乙克己”的有向相克关系；实际制约程度须结合柱位、旺衰及其他作用转M06判断。</x:v>
      </x:c>
      <x:c r="L114" s="20" t="str">
        <x:v>确定</x:v>
      </x:c>
      <x:c r="M114" s="20" t="str">
        <x:v>采用</x:v>
      </x:c>
      <x:c r="N114" s="20" t="str">
        <x:v>初审</x:v>
      </x:c>
      <x:c r="O114" s="22" t="n">
        <x:v>46255</x:v>
      </x:c>
      <x:c r="P114" s="20" t="str">
        <x:v>https://zh.wikisource.org/wiki/淵海子平；https://zh.wikisource.org/zh-hans/三命通會_(四庫全書本)</x:v>
      </x:c>
    </x:row>
    <x:row r="115">
      <x:c r="A115" s="20" t="str">
        <x:v>M04-KE-0010-V1.0</x:v>
      </x:c>
      <x:c r="B115" s="20" t="str">
        <x:v>规则</x:v>
      </x:c>
      <x:c r="C115" s="20" t="str">
        <x:v>M04</x:v>
      </x:c>
      <x:c r="D115" s="20" t="str">
        <x:v>04_天干作用识别</x:v>
      </x:c>
      <x:c r="E115" s="20" t="str">
        <x:v>KE</x:v>
      </x:c>
      <x:c r="F115" s="20" t="n">
        <x:v>10</x:v>
      </x:c>
      <x:c r="G115" s="20" t="str">
        <x:v>V1.0</x:v>
      </x:c>
      <x:c r="H115" s="20" t="str">
        <x:v>丙克庚天干路径识别</x:v>
      </x:c>
      <x:c r="I115" s="20" t="str">
        <x:v>识别层</x:v>
      </x:c>
      <x:c r="J115" s="20" t="str">
        <x:v>丙克庚识别</x:v>
      </x:c>
      <x:c r="K115" s="20" t="str">
        <x:v>天干见丙与庚，登记“丙克庚”的有向相克关系；实际制约程度须结合柱位、旺衰及其他作用转M06判断。</x:v>
      </x:c>
      <x:c r="L115" s="20" t="str">
        <x:v>确定</x:v>
      </x:c>
      <x:c r="M115" s="20" t="str">
        <x:v>采用</x:v>
      </x:c>
      <x:c r="N115" s="20" t="str">
        <x:v>初审</x:v>
      </x:c>
      <x:c r="O115" s="22" t="n">
        <x:v>46255</x:v>
      </x:c>
      <x:c r="P115" s="20" t="str">
        <x:v>https://zh.wikisource.org/wiki/淵海子平；https://zh.wikisource.org/zh-hans/三命通會_(四庫全書本)</x:v>
      </x:c>
    </x:row>
    <x:row r="116">
      <x:c r="A116" s="20" t="str">
        <x:v>M04-KE-0011-V1.0</x:v>
      </x:c>
      <x:c r="B116" s="20" t="str">
        <x:v>规则</x:v>
      </x:c>
      <x:c r="C116" s="20" t="str">
        <x:v>M04</x:v>
      </x:c>
      <x:c r="D116" s="20" t="str">
        <x:v>04_天干作用识别</x:v>
      </x:c>
      <x:c r="E116" s="20" t="str">
        <x:v>KE</x:v>
      </x:c>
      <x:c r="F116" s="20" t="n">
        <x:v>11</x:v>
      </x:c>
      <x:c r="G116" s="20" t="str">
        <x:v>V1.0</x:v>
      </x:c>
      <x:c r="H116" s="20" t="str">
        <x:v>丙克辛天干路径识别</x:v>
      </x:c>
      <x:c r="I116" s="20" t="str">
        <x:v>识别层</x:v>
      </x:c>
      <x:c r="J116" s="20" t="str">
        <x:v>丙克辛识别</x:v>
      </x:c>
      <x:c r="K116" s="20" t="str">
        <x:v>天干见丙与辛，登记“丙克辛”的有向相克关系；实际制约程度须结合柱位、旺衰及其他作用转M06判断。</x:v>
      </x:c>
      <x:c r="L116" s="20" t="str">
        <x:v>确定</x:v>
      </x:c>
      <x:c r="M116" s="20" t="str">
        <x:v>采用</x:v>
      </x:c>
      <x:c r="N116" s="20" t="str">
        <x:v>初审</x:v>
      </x:c>
      <x:c r="O116" s="22" t="n">
        <x:v>46255</x:v>
      </x:c>
      <x:c r="P116" s="20" t="str">
        <x:v>https://zh.wikisource.org/wiki/淵海子平；https://zh.wikisource.org/zh-hans/三命通會_(四庫全書本)</x:v>
      </x:c>
    </x:row>
    <x:row r="117">
      <x:c r="A117" s="20" t="str">
        <x:v>M04-KE-0012-V1.0</x:v>
      </x:c>
      <x:c r="B117" s="20" t="str">
        <x:v>规则</x:v>
      </x:c>
      <x:c r="C117" s="20" t="str">
        <x:v>M04</x:v>
      </x:c>
      <x:c r="D117" s="20" t="str">
        <x:v>04_天干作用识别</x:v>
      </x:c>
      <x:c r="E117" s="20" t="str">
        <x:v>KE</x:v>
      </x:c>
      <x:c r="F117" s="20" t="n">
        <x:v>12</x:v>
      </x:c>
      <x:c r="G117" s="20" t="str">
        <x:v>V1.0</x:v>
      </x:c>
      <x:c r="H117" s="20" t="str">
        <x:v>丁克庚天干路径识别</x:v>
      </x:c>
      <x:c r="I117" s="20" t="str">
        <x:v>识别层</x:v>
      </x:c>
      <x:c r="J117" s="20" t="str">
        <x:v>丁克庚识别</x:v>
      </x:c>
      <x:c r="K117" s="20" t="str">
        <x:v>天干见丁与庚，登记“丁克庚”的有向相克关系；实际制约程度须结合柱位、旺衰及其他作用转M06判断。</x:v>
      </x:c>
      <x:c r="L117" s="20" t="str">
        <x:v>确定</x:v>
      </x:c>
      <x:c r="M117" s="20" t="str">
        <x:v>采用</x:v>
      </x:c>
      <x:c r="N117" s="20" t="str">
        <x:v>初审</x:v>
      </x:c>
      <x:c r="O117" s="22" t="n">
        <x:v>46255</x:v>
      </x:c>
      <x:c r="P117" s="20" t="str">
        <x:v>https://zh.wikisource.org/wiki/淵海子平；https://zh.wikisource.org/zh-hans/三命通會_(四庫全書本)</x:v>
      </x:c>
    </x:row>
    <x:row r="118">
      <x:c r="A118" s="20" t="str">
        <x:v>M04-KE-0013-V1.0</x:v>
      </x:c>
      <x:c r="B118" s="20" t="str">
        <x:v>规则</x:v>
      </x:c>
      <x:c r="C118" s="20" t="str">
        <x:v>M04</x:v>
      </x:c>
      <x:c r="D118" s="20" t="str">
        <x:v>04_天干作用识别</x:v>
      </x:c>
      <x:c r="E118" s="20" t="str">
        <x:v>KE</x:v>
      </x:c>
      <x:c r="F118" s="20" t="n">
        <x:v>13</x:v>
      </x:c>
      <x:c r="G118" s="20" t="str">
        <x:v>V1.0</x:v>
      </x:c>
      <x:c r="H118" s="20" t="str">
        <x:v>丁克辛天干路径识别</x:v>
      </x:c>
      <x:c r="I118" s="20" t="str">
        <x:v>识别层</x:v>
      </x:c>
      <x:c r="J118" s="20" t="str">
        <x:v>丁克辛识别</x:v>
      </x:c>
      <x:c r="K118" s="20" t="str">
        <x:v>天干见丁与辛，登记“丁克辛”的有向相克关系；实际制约程度须结合柱位、旺衰及其他作用转M06判断。</x:v>
      </x:c>
      <x:c r="L118" s="20" t="str">
        <x:v>确定</x:v>
      </x:c>
      <x:c r="M118" s="20" t="str">
        <x:v>采用</x:v>
      </x:c>
      <x:c r="N118" s="20" t="str">
        <x:v>初审</x:v>
      </x:c>
      <x:c r="O118" s="22" t="n">
        <x:v>46255</x:v>
      </x:c>
      <x:c r="P118" s="20" t="str">
        <x:v>https://zh.wikisource.org/wiki/淵海子平；https://zh.wikisource.org/zh-hans/三命通會_(四庫全書本)</x:v>
      </x:c>
    </x:row>
    <x:row r="119">
      <x:c r="A119" s="20" t="str">
        <x:v>M04-KE-0014-V1.0</x:v>
      </x:c>
      <x:c r="B119" s="20" t="str">
        <x:v>规则</x:v>
      </x:c>
      <x:c r="C119" s="20" t="str">
        <x:v>M04</x:v>
      </x:c>
      <x:c r="D119" s="20" t="str">
        <x:v>04_天干作用识别</x:v>
      </x:c>
      <x:c r="E119" s="20" t="str">
        <x:v>KE</x:v>
      </x:c>
      <x:c r="F119" s="20" t="n">
        <x:v>14</x:v>
      </x:c>
      <x:c r="G119" s="20" t="str">
        <x:v>V1.0</x:v>
      </x:c>
      <x:c r="H119" s="20" t="str">
        <x:v>戊克壬天干路径识别</x:v>
      </x:c>
      <x:c r="I119" s="20" t="str">
        <x:v>识别层</x:v>
      </x:c>
      <x:c r="J119" s="20" t="str">
        <x:v>戊克壬识别</x:v>
      </x:c>
      <x:c r="K119" s="20" t="str">
        <x:v>天干见戊与壬，登记“戊克壬”的有向相克关系；实际制约程度须结合柱位、旺衰及其他作用转M06判断。</x:v>
      </x:c>
      <x:c r="L119" s="20" t="str">
        <x:v>确定</x:v>
      </x:c>
      <x:c r="M119" s="20" t="str">
        <x:v>采用</x:v>
      </x:c>
      <x:c r="N119" s="20" t="str">
        <x:v>初审</x:v>
      </x:c>
      <x:c r="O119" s="22" t="n">
        <x:v>46255</x:v>
      </x:c>
      <x:c r="P119" s="20" t="str">
        <x:v>https://zh.wikisource.org/wiki/淵海子平；https://zh.wikisource.org/zh-hans/三命通會_(四庫全書本)</x:v>
      </x:c>
    </x:row>
    <x:row r="120">
      <x:c r="A120" s="20" t="str">
        <x:v>M04-KE-0015-V1.0</x:v>
      </x:c>
      <x:c r="B120" s="20" t="str">
        <x:v>规则</x:v>
      </x:c>
      <x:c r="C120" s="20" t="str">
        <x:v>M04</x:v>
      </x:c>
      <x:c r="D120" s="20" t="str">
        <x:v>04_天干作用识别</x:v>
      </x:c>
      <x:c r="E120" s="20" t="str">
        <x:v>KE</x:v>
      </x:c>
      <x:c r="F120" s="20" t="n">
        <x:v>15</x:v>
      </x:c>
      <x:c r="G120" s="20" t="str">
        <x:v>V1.0</x:v>
      </x:c>
      <x:c r="H120" s="20" t="str">
        <x:v>戊克癸天干路径识别</x:v>
      </x:c>
      <x:c r="I120" s="20" t="str">
        <x:v>识别层</x:v>
      </x:c>
      <x:c r="J120" s="20" t="str">
        <x:v>戊克癸识别</x:v>
      </x:c>
      <x:c r="K120" s="20" t="str">
        <x:v>天干见戊与癸，登记“戊克癸”的有向相克关系；实际制约程度须结合柱位、旺衰及其他作用转M06判断。</x:v>
      </x:c>
      <x:c r="L120" s="20" t="str">
        <x:v>确定</x:v>
      </x:c>
      <x:c r="M120" s="20" t="str">
        <x:v>采用</x:v>
      </x:c>
      <x:c r="N120" s="20" t="str">
        <x:v>初审</x:v>
      </x:c>
      <x:c r="O120" s="22" t="n">
        <x:v>46255</x:v>
      </x:c>
      <x:c r="P120" s="20" t="str">
        <x:v>https://zh.wikisource.org/wiki/淵海子平；https://zh.wikisource.org/zh-hans/三命通會_(四庫全書本)</x:v>
      </x:c>
    </x:row>
    <x:row r="121">
      <x:c r="A121" s="20" t="str">
        <x:v>M04-KE-0016-V1.0</x:v>
      </x:c>
      <x:c r="B121" s="20" t="str">
        <x:v>规则</x:v>
      </x:c>
      <x:c r="C121" s="20" t="str">
        <x:v>M04</x:v>
      </x:c>
      <x:c r="D121" s="20" t="str">
        <x:v>04_天干作用识别</x:v>
      </x:c>
      <x:c r="E121" s="20" t="str">
        <x:v>KE</x:v>
      </x:c>
      <x:c r="F121" s="20" t="n">
        <x:v>16</x:v>
      </x:c>
      <x:c r="G121" s="20" t="str">
        <x:v>V1.0</x:v>
      </x:c>
      <x:c r="H121" s="20" t="str">
        <x:v>己克壬天干路径识别</x:v>
      </x:c>
      <x:c r="I121" s="20" t="str">
        <x:v>识别层</x:v>
      </x:c>
      <x:c r="J121" s="20" t="str">
        <x:v>己克壬识别</x:v>
      </x:c>
      <x:c r="K121" s="20" t="str">
        <x:v>天干见己与壬，登记“己克壬”的有向相克关系；实际制约程度须结合柱位、旺衰及其他作用转M06判断。</x:v>
      </x:c>
      <x:c r="L121" s="20" t="str">
        <x:v>确定</x:v>
      </x:c>
      <x:c r="M121" s="20" t="str">
        <x:v>采用</x:v>
      </x:c>
      <x:c r="N121" s="20" t="str">
        <x:v>初审</x:v>
      </x:c>
      <x:c r="O121" s="22" t="n">
        <x:v>46255</x:v>
      </x:c>
      <x:c r="P121" s="20" t="str">
        <x:v>https://zh.wikisource.org/wiki/淵海子平；https://zh.wikisource.org/zh-hans/三命通會_(四庫全書本)</x:v>
      </x:c>
    </x:row>
    <x:row r="122">
      <x:c r="A122" s="20" t="str">
        <x:v>M04-KE-0017-V1.0</x:v>
      </x:c>
      <x:c r="B122" s="20" t="str">
        <x:v>规则</x:v>
      </x:c>
      <x:c r="C122" s="20" t="str">
        <x:v>M04</x:v>
      </x:c>
      <x:c r="D122" s="20" t="str">
        <x:v>04_天干作用识别</x:v>
      </x:c>
      <x:c r="E122" s="20" t="str">
        <x:v>KE</x:v>
      </x:c>
      <x:c r="F122" s="20" t="n">
        <x:v>17</x:v>
      </x:c>
      <x:c r="G122" s="20" t="str">
        <x:v>V1.0</x:v>
      </x:c>
      <x:c r="H122" s="20" t="str">
        <x:v>己克癸天干路径识别</x:v>
      </x:c>
      <x:c r="I122" s="20" t="str">
        <x:v>识别层</x:v>
      </x:c>
      <x:c r="J122" s="20" t="str">
        <x:v>己克癸识别</x:v>
      </x:c>
      <x:c r="K122" s="20" t="str">
        <x:v>天干见己与癸，登记“己克癸”的有向相克关系；实际制约程度须结合柱位、旺衰及其他作用转M06判断。</x:v>
      </x:c>
      <x:c r="L122" s="20" t="str">
        <x:v>确定</x:v>
      </x:c>
      <x:c r="M122" s="20" t="str">
        <x:v>采用</x:v>
      </x:c>
      <x:c r="N122" s="20" t="str">
        <x:v>初审</x:v>
      </x:c>
      <x:c r="O122" s="22" t="n">
        <x:v>46255</x:v>
      </x:c>
      <x:c r="P122" s="20" t="str">
        <x:v>https://zh.wikisource.org/wiki/淵海子平；https://zh.wikisource.org/zh-hans/三命通會_(四庫全書本)</x:v>
      </x:c>
    </x:row>
    <x:row r="123">
      <x:c r="A123" s="20" t="str">
        <x:v>M04-KE-0018-V1.0</x:v>
      </x:c>
      <x:c r="B123" s="20" t="str">
        <x:v>规则</x:v>
      </x:c>
      <x:c r="C123" s="20" t="str">
        <x:v>M04</x:v>
      </x:c>
      <x:c r="D123" s="20" t="str">
        <x:v>04_天干作用识别</x:v>
      </x:c>
      <x:c r="E123" s="20" t="str">
        <x:v>KE</x:v>
      </x:c>
      <x:c r="F123" s="20" t="n">
        <x:v>18</x:v>
      </x:c>
      <x:c r="G123" s="20" t="str">
        <x:v>V1.0</x:v>
      </x:c>
      <x:c r="H123" s="20" t="str">
        <x:v>庚克甲天干路径识别</x:v>
      </x:c>
      <x:c r="I123" s="20" t="str">
        <x:v>识别层</x:v>
      </x:c>
      <x:c r="J123" s="20" t="str">
        <x:v>庚克甲识别</x:v>
      </x:c>
      <x:c r="K123" s="20" t="str">
        <x:v>天干见庚与甲，登记“庚克甲”的有向相克关系；实际制约程度须结合柱位、旺衰及其他作用转M06判断。</x:v>
      </x:c>
      <x:c r="L123" s="20" t="str">
        <x:v>确定</x:v>
      </x:c>
      <x:c r="M123" s="20" t="str">
        <x:v>采用</x:v>
      </x:c>
      <x:c r="N123" s="20" t="str">
        <x:v>初审</x:v>
      </x:c>
      <x:c r="O123" s="22" t="n">
        <x:v>46255</x:v>
      </x:c>
      <x:c r="P123" s="20" t="str">
        <x:v>https://zh.wikisource.org/wiki/淵海子平；https://zh.wikisource.org/zh-hans/三命通會_(四庫全書本)</x:v>
      </x:c>
    </x:row>
    <x:row r="124">
      <x:c r="A124" s="20" t="str">
        <x:v>M04-KE-0019-V1.0</x:v>
      </x:c>
      <x:c r="B124" s="20" t="str">
        <x:v>规则</x:v>
      </x:c>
      <x:c r="C124" s="20" t="str">
        <x:v>M04</x:v>
      </x:c>
      <x:c r="D124" s="20" t="str">
        <x:v>04_天干作用识别</x:v>
      </x:c>
      <x:c r="E124" s="20" t="str">
        <x:v>KE</x:v>
      </x:c>
      <x:c r="F124" s="20" t="n">
        <x:v>19</x:v>
      </x:c>
      <x:c r="G124" s="20" t="str">
        <x:v>V1.0</x:v>
      </x:c>
      <x:c r="H124" s="20" t="str">
        <x:v>庚克乙天干路径识别</x:v>
      </x:c>
      <x:c r="I124" s="20" t="str">
        <x:v>识别层</x:v>
      </x:c>
      <x:c r="J124" s="20" t="str">
        <x:v>庚克乙识别</x:v>
      </x:c>
      <x:c r="K124" s="20" t="str">
        <x:v>天干见庚与乙，登记“庚克乙”的有向相克关系；实际制约程度须结合柱位、旺衰及其他作用转M06判断。</x:v>
      </x:c>
      <x:c r="L124" s="20" t="str">
        <x:v>确定</x:v>
      </x:c>
      <x:c r="M124" s="20" t="str">
        <x:v>采用</x:v>
      </x:c>
      <x:c r="N124" s="20" t="str">
        <x:v>初审</x:v>
      </x:c>
      <x:c r="O124" s="22" t="n">
        <x:v>46255</x:v>
      </x:c>
      <x:c r="P124" s="20" t="str">
        <x:v>https://zh.wikisource.org/wiki/淵海子平；https://zh.wikisource.org/zh-hans/三命通會_(四庫全書本)</x:v>
      </x:c>
    </x:row>
    <x:row r="125">
      <x:c r="A125" s="20" t="str">
        <x:v>M04-KE-0020-V1.0</x:v>
      </x:c>
      <x:c r="B125" s="20" t="str">
        <x:v>规则</x:v>
      </x:c>
      <x:c r="C125" s="20" t="str">
        <x:v>M04</x:v>
      </x:c>
      <x:c r="D125" s="20" t="str">
        <x:v>04_天干作用识别</x:v>
      </x:c>
      <x:c r="E125" s="20" t="str">
        <x:v>KE</x:v>
      </x:c>
      <x:c r="F125" s="20" t="n">
        <x:v>20</x:v>
      </x:c>
      <x:c r="G125" s="20" t="str">
        <x:v>V1.0</x:v>
      </x:c>
      <x:c r="H125" s="20" t="str">
        <x:v>辛克甲天干路径识别</x:v>
      </x:c>
      <x:c r="I125" s="20" t="str">
        <x:v>识别层</x:v>
      </x:c>
      <x:c r="J125" s="20" t="str">
        <x:v>辛克甲识别</x:v>
      </x:c>
      <x:c r="K125" s="20" t="str">
        <x:v>天干见辛与甲，登记“辛克甲”的有向相克关系；实际制约程度须结合柱位、旺衰及其他作用转M06判断。</x:v>
      </x:c>
      <x:c r="L125" s="20" t="str">
        <x:v>确定</x:v>
      </x:c>
      <x:c r="M125" s="20" t="str">
        <x:v>采用</x:v>
      </x:c>
      <x:c r="N125" s="20" t="str">
        <x:v>初审</x:v>
      </x:c>
      <x:c r="O125" s="22" t="n">
        <x:v>46255</x:v>
      </x:c>
      <x:c r="P125" s="20" t="str">
        <x:v>https://zh.wikisource.org/wiki/淵海子平；https://zh.wikisource.org/zh-hans/三命通會_(四庫全書本)</x:v>
      </x:c>
    </x:row>
    <x:row r="126">
      <x:c r="A126" s="20" t="str">
        <x:v>M04-KE-0021-V1.0</x:v>
      </x:c>
      <x:c r="B126" s="20" t="str">
        <x:v>规则</x:v>
      </x:c>
      <x:c r="C126" s="20" t="str">
        <x:v>M04</x:v>
      </x:c>
      <x:c r="D126" s="20" t="str">
        <x:v>04_天干作用识别</x:v>
      </x:c>
      <x:c r="E126" s="20" t="str">
        <x:v>KE</x:v>
      </x:c>
      <x:c r="F126" s="20" t="n">
        <x:v>21</x:v>
      </x:c>
      <x:c r="G126" s="20" t="str">
        <x:v>V1.0</x:v>
      </x:c>
      <x:c r="H126" s="20" t="str">
        <x:v>辛克乙天干路径识别</x:v>
      </x:c>
      <x:c r="I126" s="20" t="str">
        <x:v>识别层</x:v>
      </x:c>
      <x:c r="J126" s="20" t="str">
        <x:v>辛克乙识别</x:v>
      </x:c>
      <x:c r="K126" s="20" t="str">
        <x:v>天干见辛与乙，登记“辛克乙”的有向相克关系；实际制约程度须结合柱位、旺衰及其他作用转M06判断。</x:v>
      </x:c>
      <x:c r="L126" s="20" t="str">
        <x:v>确定</x:v>
      </x:c>
      <x:c r="M126" s="20" t="str">
        <x:v>采用</x:v>
      </x:c>
      <x:c r="N126" s="20" t="str">
        <x:v>初审</x:v>
      </x:c>
      <x:c r="O126" s="22" t="n">
        <x:v>46255</x:v>
      </x:c>
      <x:c r="P126" s="20" t="str">
        <x:v>https://zh.wikisource.org/wiki/淵海子平；https://zh.wikisource.org/zh-hans/三命通會_(四庫全書本)</x:v>
      </x:c>
    </x:row>
    <x:row r="127">
      <x:c r="A127" s="20" t="str">
        <x:v>M04-KE-0022-V1.0</x:v>
      </x:c>
      <x:c r="B127" s="20" t="str">
        <x:v>规则</x:v>
      </x:c>
      <x:c r="C127" s="20" t="str">
        <x:v>M04</x:v>
      </x:c>
      <x:c r="D127" s="20" t="str">
        <x:v>04_天干作用识别</x:v>
      </x:c>
      <x:c r="E127" s="20" t="str">
        <x:v>KE</x:v>
      </x:c>
      <x:c r="F127" s="20" t="n">
        <x:v>22</x:v>
      </x:c>
      <x:c r="G127" s="20" t="str">
        <x:v>V1.0</x:v>
      </x:c>
      <x:c r="H127" s="20" t="str">
        <x:v>壬克丙天干路径识别</x:v>
      </x:c>
      <x:c r="I127" s="20" t="str">
        <x:v>识别层</x:v>
      </x:c>
      <x:c r="J127" s="20" t="str">
        <x:v>壬克丙识别</x:v>
      </x:c>
      <x:c r="K127" s="20" t="str">
        <x:v>天干见壬与丙，登记“壬克丙”的有向相克关系；实际制约程度须结合柱位、旺衰及其他作用转M06判断。</x:v>
      </x:c>
      <x:c r="L127" s="20" t="str">
        <x:v>确定</x:v>
      </x:c>
      <x:c r="M127" s="20" t="str">
        <x:v>采用</x:v>
      </x:c>
      <x:c r="N127" s="20" t="str">
        <x:v>初审</x:v>
      </x:c>
      <x:c r="O127" s="22" t="n">
        <x:v>46255</x:v>
      </x:c>
      <x:c r="P127" s="20" t="str">
        <x:v>https://zh.wikisource.org/wiki/淵海子平；https://zh.wikisource.org/zh-hans/三命通會_(四庫全書本)</x:v>
      </x:c>
    </x:row>
    <x:row r="128">
      <x:c r="A128" s="20" t="str">
        <x:v>M04-KE-0023-V1.0</x:v>
      </x:c>
      <x:c r="B128" s="20" t="str">
        <x:v>规则</x:v>
      </x:c>
      <x:c r="C128" s="20" t="str">
        <x:v>M04</x:v>
      </x:c>
      <x:c r="D128" s="20" t="str">
        <x:v>04_天干作用识别</x:v>
      </x:c>
      <x:c r="E128" s="20" t="str">
        <x:v>KE</x:v>
      </x:c>
      <x:c r="F128" s="20" t="n">
        <x:v>23</x:v>
      </x:c>
      <x:c r="G128" s="20" t="str">
        <x:v>V1.0</x:v>
      </x:c>
      <x:c r="H128" s="20" t="str">
        <x:v>壬克丁天干路径识别</x:v>
      </x:c>
      <x:c r="I128" s="20" t="str">
        <x:v>识别层</x:v>
      </x:c>
      <x:c r="J128" s="20" t="str">
        <x:v>壬克丁识别</x:v>
      </x:c>
      <x:c r="K128" s="20" t="str">
        <x:v>天干见壬与丁，登记“壬克丁”的有向相克关系；实际制约程度须结合柱位、旺衰及其他作用转M06判断。</x:v>
      </x:c>
      <x:c r="L128" s="20" t="str">
        <x:v>确定</x:v>
      </x:c>
      <x:c r="M128" s="20" t="str">
        <x:v>采用</x:v>
      </x:c>
      <x:c r="N128" s="20" t="str">
        <x:v>初审</x:v>
      </x:c>
      <x:c r="O128" s="22" t="n">
        <x:v>46255</x:v>
      </x:c>
      <x:c r="P128" s="20" t="str">
        <x:v>https://zh.wikisource.org/wiki/淵海子平；https://zh.wikisource.org/zh-hans/三命通會_(四庫全書本)</x:v>
      </x:c>
    </x:row>
    <x:row r="129">
      <x:c r="A129" s="20" t="str">
        <x:v>M04-KE-0024-V1.0</x:v>
      </x:c>
      <x:c r="B129" s="20" t="str">
        <x:v>规则</x:v>
      </x:c>
      <x:c r="C129" s="20" t="str">
        <x:v>M04</x:v>
      </x:c>
      <x:c r="D129" s="20" t="str">
        <x:v>04_天干作用识别</x:v>
      </x:c>
      <x:c r="E129" s="20" t="str">
        <x:v>KE</x:v>
      </x:c>
      <x:c r="F129" s="20" t="n">
        <x:v>24</x:v>
      </x:c>
      <x:c r="G129" s="20" t="str">
        <x:v>V1.0</x:v>
      </x:c>
      <x:c r="H129" s="20" t="str">
        <x:v>癸克丙天干路径识别</x:v>
      </x:c>
      <x:c r="I129" s="20" t="str">
        <x:v>识别层</x:v>
      </x:c>
      <x:c r="J129" s="20" t="str">
        <x:v>癸克丙识别</x:v>
      </x:c>
      <x:c r="K129" s="20" t="str">
        <x:v>天干见癸与丙，登记“癸克丙”的有向相克关系；实际制约程度须结合柱位、旺衰及其他作用转M06判断。</x:v>
      </x:c>
      <x:c r="L129" s="20" t="str">
        <x:v>确定</x:v>
      </x:c>
      <x:c r="M129" s="20" t="str">
        <x:v>采用</x:v>
      </x:c>
      <x:c r="N129" s="20" t="str">
        <x:v>初审</x:v>
      </x:c>
      <x:c r="O129" s="22" t="n">
        <x:v>46255</x:v>
      </x:c>
      <x:c r="P129" s="20" t="str">
        <x:v>https://zh.wikisource.org/wiki/淵海子平；https://zh.wikisource.org/zh-hans/三命通會_(四庫全書本)</x:v>
      </x:c>
    </x:row>
    <x:row r="130">
      <x:c r="A130" s="20" t="str">
        <x:v>M04-KE-0025-V1.0</x:v>
      </x:c>
      <x:c r="B130" s="20" t="str">
        <x:v>规则</x:v>
      </x:c>
      <x:c r="C130" s="20" t="str">
        <x:v>M04</x:v>
      </x:c>
      <x:c r="D130" s="20" t="str">
        <x:v>04_天干作用识别</x:v>
      </x:c>
      <x:c r="E130" s="20" t="str">
        <x:v>KE</x:v>
      </x:c>
      <x:c r="F130" s="20" t="n">
        <x:v>25</x:v>
      </x:c>
      <x:c r="G130" s="20" t="str">
        <x:v>V1.0</x:v>
      </x:c>
      <x:c r="H130" s="20" t="str">
        <x:v>癸克丁天干路径识别</x:v>
      </x:c>
      <x:c r="I130" s="20" t="str">
        <x:v>识别层</x:v>
      </x:c>
      <x:c r="J130" s="20" t="str">
        <x:v>癸克丁识别</x:v>
      </x:c>
      <x:c r="K130" s="20" t="str">
        <x:v>天干见癸与丁，登记“癸克丁”的有向相克关系；实际制约程度须结合柱位、旺衰及其他作用转M06判断。</x:v>
      </x:c>
      <x:c r="L130" s="20" t="str">
        <x:v>确定</x:v>
      </x:c>
      <x:c r="M130" s="20" t="str">
        <x:v>采用</x:v>
      </x:c>
      <x:c r="N130" s="20" t="str">
        <x:v>初审</x:v>
      </x:c>
      <x:c r="O130" s="22" t="n">
        <x:v>46255</x:v>
      </x:c>
      <x:c r="P130" s="20" t="str">
        <x:v>https://zh.wikisource.org/wiki/淵海子平；https://zh.wikisource.org/zh-hans/三命通會_(四庫全書本)</x:v>
      </x:c>
    </x:row>
    <x:row r="131">
      <x:c r="A131" s="20" t="str">
        <x:v>M04-POS-0026-V1.0</x:v>
      </x:c>
      <x:c r="B131" s="20" t="str">
        <x:v>规则</x:v>
      </x:c>
      <x:c r="C131" s="20" t="str">
        <x:v>M04</x:v>
      </x:c>
      <x:c r="D131" s="20" t="str">
        <x:v>04_天干作用识别</x:v>
      </x:c>
      <x:c r="E131" s="20" t="str">
        <x:v>POS</x:v>
      </x:c>
      <x:c r="F131" s="20" t="n">
        <x:v>26</x:v>
      </x:c>
      <x:c r="G131" s="20" t="str">
        <x:v>V1.0</x:v>
      </x:c>
      <x:c r="H131" s="20" t="str">
        <x:v>年月天干关系位置标记</x:v>
      </x:c>
      <x:c r="I131" s="20" t="str">
        <x:v>识别层</x:v>
      </x:c>
      <x:c r="J131" s="20" t="str">
        <x:v>年月位置</x:v>
      </x:c>
      <x:c r="K131" s="20" t="str">
        <x:v>该关系发生于年月，归入相邻位置；关系本身与实际效应分别记录。</x:v>
      </x:c>
      <x:c r="L131" s="20" t="str">
        <x:v>确定</x:v>
      </x:c>
      <x:c r="M131" s="20" t="str">
        <x:v>采用</x:v>
      </x:c>
      <x:c r="N131" s="20" t="str">
        <x:v>初审</x:v>
      </x:c>
      <x:c r="O131" s="22" t="n">
        <x:v>46255</x:v>
      </x:c>
      <x:c r="P131" s="20" t="str">
        <x:v>https://zh.wikisource.org/wiki/淵海子平；https://zh.wikisource.org/zh-hans/三命通會_(四庫全書本)</x:v>
      </x:c>
    </x:row>
    <x:row r="132">
      <x:c r="A132" s="20" t="str">
        <x:v>M04-POS-0027-V1.0</x:v>
      </x:c>
      <x:c r="B132" s="20" t="str">
        <x:v>规则</x:v>
      </x:c>
      <x:c r="C132" s="20" t="str">
        <x:v>M04</x:v>
      </x:c>
      <x:c r="D132" s="20" t="str">
        <x:v>04_天干作用识别</x:v>
      </x:c>
      <x:c r="E132" s="20" t="str">
        <x:v>POS</x:v>
      </x:c>
      <x:c r="F132" s="20" t="n">
        <x:v>27</x:v>
      </x:c>
      <x:c r="G132" s="20" t="str">
        <x:v>V1.0</x:v>
      </x:c>
      <x:c r="H132" s="20" t="str">
        <x:v>月日天干关系位置标记</x:v>
      </x:c>
      <x:c r="I132" s="20" t="str">
        <x:v>识别层</x:v>
      </x:c>
      <x:c r="J132" s="20" t="str">
        <x:v>月日位置</x:v>
      </x:c>
      <x:c r="K132" s="20" t="str">
        <x:v>该关系发生于月日，归入相邻位置；关系本身与实际效应分别记录。</x:v>
      </x:c>
      <x:c r="L132" s="20" t="str">
        <x:v>确定</x:v>
      </x:c>
      <x:c r="M132" s="20" t="str">
        <x:v>采用</x:v>
      </x:c>
      <x:c r="N132" s="20" t="str">
        <x:v>初审</x:v>
      </x:c>
      <x:c r="O132" s="22" t="n">
        <x:v>46255</x:v>
      </x:c>
      <x:c r="P132" s="20" t="str">
        <x:v>https://zh.wikisource.org/wiki/淵海子平；https://zh.wikisource.org/zh-hans/三命通會_(四庫全書本)</x:v>
      </x:c>
    </x:row>
    <x:row r="133">
      <x:c r="A133" s="20" t="str">
        <x:v>M04-POS-0028-V1.0</x:v>
      </x:c>
      <x:c r="B133" s="20" t="str">
        <x:v>规则</x:v>
      </x:c>
      <x:c r="C133" s="20" t="str">
        <x:v>M04</x:v>
      </x:c>
      <x:c r="D133" s="20" t="str">
        <x:v>04_天干作用识别</x:v>
      </x:c>
      <x:c r="E133" s="20" t="str">
        <x:v>POS</x:v>
      </x:c>
      <x:c r="F133" s="20" t="n">
        <x:v>28</x:v>
      </x:c>
      <x:c r="G133" s="20" t="str">
        <x:v>V1.0</x:v>
      </x:c>
      <x:c r="H133" s="20" t="str">
        <x:v>日时天干关系位置标记</x:v>
      </x:c>
      <x:c r="I133" s="20" t="str">
        <x:v>识别层</x:v>
      </x:c>
      <x:c r="J133" s="20" t="str">
        <x:v>日时位置</x:v>
      </x:c>
      <x:c r="K133" s="20" t="str">
        <x:v>该关系发生于日时，归入相邻位置；关系本身与实际效应分别记录。</x:v>
      </x:c>
      <x:c r="L133" s="20" t="str">
        <x:v>确定</x:v>
      </x:c>
      <x:c r="M133" s="20" t="str">
        <x:v>采用</x:v>
      </x:c>
      <x:c r="N133" s="20" t="str">
        <x:v>初审</x:v>
      </x:c>
      <x:c r="O133" s="22" t="n">
        <x:v>46255</x:v>
      </x:c>
      <x:c r="P133" s="20" t="str">
        <x:v>https://zh.wikisource.org/wiki/淵海子平；https://zh.wikisource.org/zh-hans/三命通會_(四庫全書本)</x:v>
      </x:c>
    </x:row>
    <x:row r="134">
      <x:c r="A134" s="20" t="str">
        <x:v>M04-POS-0029-V1.0</x:v>
      </x:c>
      <x:c r="B134" s="20" t="str">
        <x:v>规则</x:v>
      </x:c>
      <x:c r="C134" s="20" t="str">
        <x:v>M04</x:v>
      </x:c>
      <x:c r="D134" s="20" t="str">
        <x:v>04_天干作用识别</x:v>
      </x:c>
      <x:c r="E134" s="20" t="str">
        <x:v>POS</x:v>
      </x:c>
      <x:c r="F134" s="20" t="n">
        <x:v>29</x:v>
      </x:c>
      <x:c r="G134" s="20" t="str">
        <x:v>V1.0</x:v>
      </x:c>
      <x:c r="H134" s="20" t="str">
        <x:v>年日天干关系位置标记</x:v>
      </x:c>
      <x:c r="I134" s="20" t="str">
        <x:v>识别层</x:v>
      </x:c>
      <x:c r="J134" s="20" t="str">
        <x:v>年日位置</x:v>
      </x:c>
      <x:c r="K134" s="20" t="str">
        <x:v>该关系发生于年日，归入隔位位置；关系本身与实际效应分别记录。</x:v>
      </x:c>
      <x:c r="L134" s="20" t="str">
        <x:v>确定</x:v>
      </x:c>
      <x:c r="M134" s="20" t="str">
        <x:v>采用</x:v>
      </x:c>
      <x:c r="N134" s="20" t="str">
        <x:v>初审</x:v>
      </x:c>
      <x:c r="O134" s="22" t="n">
        <x:v>46255</x:v>
      </x:c>
      <x:c r="P134" s="20" t="str">
        <x:v>https://zh.wikisource.org/wiki/淵海子平；https://zh.wikisource.org/zh-hans/三命通會_(四庫全書本)</x:v>
      </x:c>
    </x:row>
    <x:row r="135">
      <x:c r="A135" s="20" t="str">
        <x:v>M04-POS-0030-V1.0</x:v>
      </x:c>
      <x:c r="B135" s="20" t="str">
        <x:v>规则</x:v>
      </x:c>
      <x:c r="C135" s="20" t="str">
        <x:v>M04</x:v>
      </x:c>
      <x:c r="D135" s="20" t="str">
        <x:v>04_天干作用识别</x:v>
      </x:c>
      <x:c r="E135" s="20" t="str">
        <x:v>POS</x:v>
      </x:c>
      <x:c r="F135" s="20" t="n">
        <x:v>30</x:v>
      </x:c>
      <x:c r="G135" s="20" t="str">
        <x:v>V1.0</x:v>
      </x:c>
      <x:c r="H135" s="20" t="str">
        <x:v>月时天干关系位置标记</x:v>
      </x:c>
      <x:c r="I135" s="20" t="str">
        <x:v>识别层</x:v>
      </x:c>
      <x:c r="J135" s="20" t="str">
        <x:v>月时位置</x:v>
      </x:c>
      <x:c r="K135" s="20" t="str">
        <x:v>该关系发生于月时，归入隔位位置；关系本身与实际效应分别记录。</x:v>
      </x:c>
      <x:c r="L135" s="20" t="str">
        <x:v>确定</x:v>
      </x:c>
      <x:c r="M135" s="20" t="str">
        <x:v>采用</x:v>
      </x:c>
      <x:c r="N135" s="20" t="str">
        <x:v>初审</x:v>
      </x:c>
      <x:c r="O135" s="22" t="n">
        <x:v>46255</x:v>
      </x:c>
      <x:c r="P135" s="20" t="str">
        <x:v>https://zh.wikisource.org/wiki/淵海子平；https://zh.wikisource.org/zh-hans/三命通會_(四庫全書本)</x:v>
      </x:c>
    </x:row>
    <x:row r="136">
      <x:c r="A136" s="20" t="str">
        <x:v>M04-POS-0031-V1.0</x:v>
      </x:c>
      <x:c r="B136" s="20" t="str">
        <x:v>规则</x:v>
      </x:c>
      <x:c r="C136" s="20" t="str">
        <x:v>M04</x:v>
      </x:c>
      <x:c r="D136" s="20" t="str">
        <x:v>04_天干作用识别</x:v>
      </x:c>
      <x:c r="E136" s="20" t="str">
        <x:v>POS</x:v>
      </x:c>
      <x:c r="F136" s="20" t="n">
        <x:v>31</x:v>
      </x:c>
      <x:c r="G136" s="20" t="str">
        <x:v>V1.0</x:v>
      </x:c>
      <x:c r="H136" s="20" t="str">
        <x:v>年时天干关系位置标记</x:v>
      </x:c>
      <x:c r="I136" s="20" t="str">
        <x:v>识别层</x:v>
      </x:c>
      <x:c r="J136" s="20" t="str">
        <x:v>年时位置</x:v>
      </x:c>
      <x:c r="K136" s="20" t="str">
        <x:v>该关系发生于年时，归入遥隔位置；关系本身与实际效应分别记录。</x:v>
      </x:c>
      <x:c r="L136" s="20" t="str">
        <x:v>确定</x:v>
      </x:c>
      <x:c r="M136" s="20" t="str">
        <x:v>采用</x:v>
      </x:c>
      <x:c r="N136" s="20" t="str">
        <x:v>初审</x:v>
      </x:c>
      <x:c r="O136" s="22" t="n">
        <x:v>46255</x:v>
      </x:c>
      <x:c r="P136" s="20" t="str">
        <x:v>https://zh.wikisource.org/wiki/淵海子平；https://zh.wikisource.org/zh-hans/三命通會_(四庫全書本)</x:v>
      </x:c>
    </x:row>
    <x:row r="137">
      <x:c r="A137" s="20" t="str">
        <x:v>M04-HHC-0032-V1.0</x:v>
      </x:c>
      <x:c r="B137" s="20" t="str">
        <x:v>规则</x:v>
      </x:c>
      <x:c r="C137" s="20" t="str">
        <x:v>M04</x:v>
      </x:c>
      <x:c r="D137" s="20" t="str">
        <x:v>04_天干作用识别</x:v>
      </x:c>
      <x:c r="E137" s="20" t="str">
        <x:v>HHC</x:v>
      </x:c>
      <x:c r="F137" s="20" t="n">
        <x:v>32</x:v>
      </x:c>
      <x:c r="G137" s="20" t="str">
        <x:v>V1.0</x:v>
      </x:c>
      <x:c r="H137" s="20" t="str">
        <x:v>甲己合化为土候选生成</x:v>
      </x:c>
      <x:c r="I137" s="20" t="str">
        <x:v>识别层</x:v>
      </x:c>
      <x:c r="J137" s="20" t="str">
        <x:v>甲己化土候选</x:v>
      </x:c>
      <x:c r="K137" s="20" t="str">
        <x:v>甲己合的合化目标为土，当前仅生成候选；在M06完成月令、根气、化神势与破坏条件核验前，不判合化成立。</x:v>
      </x:c>
      <x:c r="L137" s="20" t="str">
        <x:v>确定</x:v>
      </x:c>
      <x:c r="M137" s="20" t="str">
        <x:v>采用</x:v>
      </x:c>
      <x:c r="N137" s="20" t="str">
        <x:v>初审</x:v>
      </x:c>
      <x:c r="O137" s="22" t="n">
        <x:v>46255</x:v>
      </x:c>
      <x:c r="P137" s="20" t="str">
        <x:v>内部结构化规则：识别层与效应层分离；https://zh.wikisource.org/wiki/淵海子平；https://zh.wikisource.org/zh-hans/三命通會_(四庫全書本)</x:v>
      </x:c>
    </x:row>
    <x:row r="138">
      <x:c r="A138" s="20" t="str">
        <x:v>M04-HHC-0033-V1.0</x:v>
      </x:c>
      <x:c r="B138" s="20" t="str">
        <x:v>规则</x:v>
      </x:c>
      <x:c r="C138" s="20" t="str">
        <x:v>M04</x:v>
      </x:c>
      <x:c r="D138" s="20" t="str">
        <x:v>04_天干作用识别</x:v>
      </x:c>
      <x:c r="E138" s="20" t="str">
        <x:v>HHC</x:v>
      </x:c>
      <x:c r="F138" s="20" t="n">
        <x:v>33</x:v>
      </x:c>
      <x:c r="G138" s="20" t="str">
        <x:v>V1.0</x:v>
      </x:c>
      <x:c r="H138" s="20" t="str">
        <x:v>乙庚合化为金候选生成</x:v>
      </x:c>
      <x:c r="I138" s="20" t="str">
        <x:v>识别层</x:v>
      </x:c>
      <x:c r="J138" s="20" t="str">
        <x:v>乙庚化金候选</x:v>
      </x:c>
      <x:c r="K138" s="20" t="str">
        <x:v>乙庚合的合化目标为金，当前仅生成候选；在M06完成月令、根气、化神势与破坏条件核验前，不判合化成立。</x:v>
      </x:c>
      <x:c r="L138" s="20" t="str">
        <x:v>确定</x:v>
      </x:c>
      <x:c r="M138" s="20" t="str">
        <x:v>采用</x:v>
      </x:c>
      <x:c r="N138" s="20" t="str">
        <x:v>初审</x:v>
      </x:c>
      <x:c r="O138" s="22" t="n">
        <x:v>46255</x:v>
      </x:c>
      <x:c r="P138" s="20" t="str">
        <x:v>内部结构化规则：识别层与效应层分离；https://zh.wikisource.org/wiki/淵海子平；https://zh.wikisource.org/zh-hans/三命通會_(四庫全書本)</x:v>
      </x:c>
    </x:row>
    <x:row r="139">
      <x:c r="A139" s="20" t="str">
        <x:v>M04-HHC-0034-V1.0</x:v>
      </x:c>
      <x:c r="B139" s="20" t="str">
        <x:v>规则</x:v>
      </x:c>
      <x:c r="C139" s="20" t="str">
        <x:v>M04</x:v>
      </x:c>
      <x:c r="D139" s="20" t="str">
        <x:v>04_天干作用识别</x:v>
      </x:c>
      <x:c r="E139" s="20" t="str">
        <x:v>HHC</x:v>
      </x:c>
      <x:c r="F139" s="20" t="n">
        <x:v>34</x:v>
      </x:c>
      <x:c r="G139" s="20" t="str">
        <x:v>V1.0</x:v>
      </x:c>
      <x:c r="H139" s="20" t="str">
        <x:v>丙辛合化为水候选生成</x:v>
      </x:c>
      <x:c r="I139" s="20" t="str">
        <x:v>识别层</x:v>
      </x:c>
      <x:c r="J139" s="20" t="str">
        <x:v>丙辛化水候选</x:v>
      </x:c>
      <x:c r="K139" s="20" t="str">
        <x:v>丙辛合的合化目标为水，当前仅生成候选；在M06完成月令、根气、化神势与破坏条件核验前，不判合化成立。</x:v>
      </x:c>
      <x:c r="L139" s="20" t="str">
        <x:v>确定</x:v>
      </x:c>
      <x:c r="M139" s="20" t="str">
        <x:v>采用</x:v>
      </x:c>
      <x:c r="N139" s="20" t="str">
        <x:v>初审</x:v>
      </x:c>
      <x:c r="O139" s="22" t="n">
        <x:v>46255</x:v>
      </x:c>
      <x:c r="P139" s="20" t="str">
        <x:v>内部结构化规则：识别层与效应层分离；https://zh.wikisource.org/wiki/淵海子平；https://zh.wikisource.org/zh-hans/三命通會_(四庫全書本)</x:v>
      </x:c>
    </x:row>
    <x:row r="140">
      <x:c r="A140" s="20" t="str">
        <x:v>M04-HHC-0035-V1.0</x:v>
      </x:c>
      <x:c r="B140" s="20" t="str">
        <x:v>规则</x:v>
      </x:c>
      <x:c r="C140" s="20" t="str">
        <x:v>M04</x:v>
      </x:c>
      <x:c r="D140" s="20" t="str">
        <x:v>04_天干作用识别</x:v>
      </x:c>
      <x:c r="E140" s="20" t="str">
        <x:v>HHC</x:v>
      </x:c>
      <x:c r="F140" s="20" t="n">
        <x:v>35</x:v>
      </x:c>
      <x:c r="G140" s="20" t="str">
        <x:v>V1.0</x:v>
      </x:c>
      <x:c r="H140" s="20" t="str">
        <x:v>丁壬合化为木候选生成</x:v>
      </x:c>
      <x:c r="I140" s="20" t="str">
        <x:v>识别层</x:v>
      </x:c>
      <x:c r="J140" s="20" t="str">
        <x:v>丁壬化木候选</x:v>
      </x:c>
      <x:c r="K140" s="20" t="str">
        <x:v>丁壬合的合化目标为木，当前仅生成候选；在M06完成月令、根气、化神势与破坏条件核验前，不判合化成立。</x:v>
      </x:c>
      <x:c r="L140" s="20" t="str">
        <x:v>确定</x:v>
      </x:c>
      <x:c r="M140" s="20" t="str">
        <x:v>采用</x:v>
      </x:c>
      <x:c r="N140" s="20" t="str">
        <x:v>初审</x:v>
      </x:c>
      <x:c r="O140" s="22" t="n">
        <x:v>46255</x:v>
      </x:c>
      <x:c r="P140" s="20" t="str">
        <x:v>内部结构化规则：识别层与效应层分离；https://zh.wikisource.org/wiki/淵海子平；https://zh.wikisource.org/zh-hans/三命通會_(四庫全書本)</x:v>
      </x:c>
    </x:row>
    <x:row r="141">
      <x:c r="A141" s="20" t="str">
        <x:v>M04-HHC-0036-V1.0</x:v>
      </x:c>
      <x:c r="B141" s="20" t="str">
        <x:v>规则</x:v>
      </x:c>
      <x:c r="C141" s="20" t="str">
        <x:v>M04</x:v>
      </x:c>
      <x:c r="D141" s="20" t="str">
        <x:v>04_天干作用识别</x:v>
      </x:c>
      <x:c r="E141" s="20" t="str">
        <x:v>HHC</x:v>
      </x:c>
      <x:c r="F141" s="20" t="n">
        <x:v>36</x:v>
      </x:c>
      <x:c r="G141" s="20" t="str">
        <x:v>V1.0</x:v>
      </x:c>
      <x:c r="H141" s="20" t="str">
        <x:v>戊癸合化为火候选生成</x:v>
      </x:c>
      <x:c r="I141" s="20" t="str">
        <x:v>识别层</x:v>
      </x:c>
      <x:c r="J141" s="20" t="str">
        <x:v>戊癸化火候选</x:v>
      </x:c>
      <x:c r="K141" s="20" t="str">
        <x:v>戊癸合的合化目标为火，当前仅生成候选；在M06完成月令、根气、化神势与破坏条件核验前，不判合化成立。</x:v>
      </x:c>
      <x:c r="L141" s="20" t="str">
        <x:v>确定</x:v>
      </x:c>
      <x:c r="M141" s="20" t="str">
        <x:v>采用</x:v>
      </x:c>
      <x:c r="N141" s="20" t="str">
        <x:v>初审</x:v>
      </x:c>
      <x:c r="O141" s="22" t="n">
        <x:v>46255</x:v>
      </x:c>
      <x:c r="P141" s="20" t="str">
        <x:v>内部结构化规则：识别层与效应层分离；https://zh.wikisource.org/wiki/淵海子平；https://zh.wikisource.org/zh-hans/三命通會_(四庫全書本)</x:v>
      </x:c>
    </x:row>
    <x:row r="142">
      <x:c r="A142" s="20" t="str">
        <x:v>M04-ZHENG-0037-V1.0</x:v>
      </x:c>
      <x:c r="B142" s="20" t="str">
        <x:v>规则</x:v>
      </x:c>
      <x:c r="C142" s="20" t="str">
        <x:v>M04</x:v>
      </x:c>
      <x:c r="D142" s="20" t="str">
        <x:v>04_天干作用识别</x:v>
      </x:c>
      <x:c r="E142" s="20" t="str">
        <x:v>ZHENG</x:v>
      </x:c>
      <x:c r="F142" s="20" t="n">
        <x:v>37</x:v>
      </x:c>
      <x:c r="G142" s="20" t="str">
        <x:v>V1.0</x:v>
      </x:c>
      <x:c r="H142" s="20" t="str">
        <x:v>甲己组合一方重复的争合候选</x:v>
      </x:c>
      <x:c r="I142" s="20" t="str">
        <x:v>识别层</x:v>
      </x:c>
      <x:c r="J142" s="20" t="str">
        <x:v>甲己争合</x:v>
      </x:c>
      <x:c r="K142" s="20" t="str">
        <x:v>甲己配对中有一方重复出现，登记争合候选，并按柱位拆分所有甲己合实例；胜负与实际牵制转M06。</x:v>
      </x:c>
      <x:c r="L142" s="20" t="str">
        <x:v>较高</x:v>
      </x:c>
      <x:c r="M142" s="20" t="str">
        <x:v>采用</x:v>
      </x:c>
      <x:c r="N142" s="20" t="str">
        <x:v>初审</x:v>
      </x:c>
      <x:c r="O142" s="22" t="n">
        <x:v>46255</x:v>
      </x:c>
      <x:c r="P142" s="20" t="str">
        <x:v>内部结构化规则：识别层与效应层分离；https://zh.wikisource.org/wiki/淵海子平；https://zh.wikisource.org/zh-hans/三命通會_(四庫全書本)</x:v>
      </x:c>
    </x:row>
    <x:row r="143">
      <x:c r="A143" s="20" t="str">
        <x:v>M04-ZHENG-0038-V1.0</x:v>
      </x:c>
      <x:c r="B143" s="20" t="str">
        <x:v>规则</x:v>
      </x:c>
      <x:c r="C143" s="20" t="str">
        <x:v>M04</x:v>
      </x:c>
      <x:c r="D143" s="20" t="str">
        <x:v>04_天干作用识别</x:v>
      </x:c>
      <x:c r="E143" s="20" t="str">
        <x:v>ZHENG</x:v>
      </x:c>
      <x:c r="F143" s="20" t="n">
        <x:v>38</x:v>
      </x:c>
      <x:c r="G143" s="20" t="str">
        <x:v>V1.0</x:v>
      </x:c>
      <x:c r="H143" s="20" t="str">
        <x:v>乙庚组合一方重复的争合候选</x:v>
      </x:c>
      <x:c r="I143" s="20" t="str">
        <x:v>识别层</x:v>
      </x:c>
      <x:c r="J143" s="20" t="str">
        <x:v>乙庚争合</x:v>
      </x:c>
      <x:c r="K143" s="20" t="str">
        <x:v>乙庚配对中有一方重复出现，登记争合候选，并按柱位拆分所有乙庚合实例；胜负与实际牵制转M06。</x:v>
      </x:c>
      <x:c r="L143" s="20" t="str">
        <x:v>较高</x:v>
      </x:c>
      <x:c r="M143" s="20" t="str">
        <x:v>采用</x:v>
      </x:c>
      <x:c r="N143" s="20" t="str">
        <x:v>初审</x:v>
      </x:c>
      <x:c r="O143" s="22" t="n">
        <x:v>46255</x:v>
      </x:c>
      <x:c r="P143" s="20" t="str">
        <x:v>内部结构化规则：识别层与效应层分离；https://zh.wikisource.org/wiki/淵海子平；https://zh.wikisource.org/zh-hans/三命通會_(四庫全書本)</x:v>
      </x:c>
    </x:row>
    <x:row r="144">
      <x:c r="A144" s="20" t="str">
        <x:v>M04-ZHENG-0039-V1.0</x:v>
      </x:c>
      <x:c r="B144" s="20" t="str">
        <x:v>规则</x:v>
      </x:c>
      <x:c r="C144" s="20" t="str">
        <x:v>M04</x:v>
      </x:c>
      <x:c r="D144" s="20" t="str">
        <x:v>04_天干作用识别</x:v>
      </x:c>
      <x:c r="E144" s="20" t="str">
        <x:v>ZHENG</x:v>
      </x:c>
      <x:c r="F144" s="20" t="n">
        <x:v>39</x:v>
      </x:c>
      <x:c r="G144" s="20" t="str">
        <x:v>V1.0</x:v>
      </x:c>
      <x:c r="H144" s="20" t="str">
        <x:v>丙辛组合一方重复的争合候选</x:v>
      </x:c>
      <x:c r="I144" s="20" t="str">
        <x:v>识别层</x:v>
      </x:c>
      <x:c r="J144" s="20" t="str">
        <x:v>丙辛争合</x:v>
      </x:c>
      <x:c r="K144" s="20" t="str">
        <x:v>丙辛配对中有一方重复出现，登记争合候选，并按柱位拆分所有丙辛合实例；胜负与实际牵制转M06。</x:v>
      </x:c>
      <x:c r="L144" s="20" t="str">
        <x:v>较高</x:v>
      </x:c>
      <x:c r="M144" s="20" t="str">
        <x:v>采用</x:v>
      </x:c>
      <x:c r="N144" s="20" t="str">
        <x:v>初审</x:v>
      </x:c>
      <x:c r="O144" s="22" t="n">
        <x:v>46255</x:v>
      </x:c>
      <x:c r="P144" s="20" t="str">
        <x:v>内部结构化规则：识别层与效应层分离；https://zh.wikisource.org/wiki/淵海子平；https://zh.wikisource.org/zh-hans/三命通會_(四庫全書本)</x:v>
      </x:c>
    </x:row>
    <x:row r="145">
      <x:c r="A145" s="20" t="str">
        <x:v>M04-ZHENG-0040-V1.0</x:v>
      </x:c>
      <x:c r="B145" s="20" t="str">
        <x:v>规则</x:v>
      </x:c>
      <x:c r="C145" s="20" t="str">
        <x:v>M04</x:v>
      </x:c>
      <x:c r="D145" s="20" t="str">
        <x:v>04_天干作用识别</x:v>
      </x:c>
      <x:c r="E145" s="20" t="str">
        <x:v>ZHENG</x:v>
      </x:c>
      <x:c r="F145" s="20" t="n">
        <x:v>40</x:v>
      </x:c>
      <x:c r="G145" s="20" t="str">
        <x:v>V1.0</x:v>
      </x:c>
      <x:c r="H145" s="20" t="str">
        <x:v>丁壬组合一方重复的争合候选</x:v>
      </x:c>
      <x:c r="I145" s="20" t="str">
        <x:v>识别层</x:v>
      </x:c>
      <x:c r="J145" s="20" t="str">
        <x:v>丁壬争合</x:v>
      </x:c>
      <x:c r="K145" s="20" t="str">
        <x:v>丁壬配对中有一方重复出现，登记争合候选，并按柱位拆分所有丁壬合实例；胜负与实际牵制转M06。</x:v>
      </x:c>
      <x:c r="L145" s="20" t="str">
        <x:v>较高</x:v>
      </x:c>
      <x:c r="M145" s="20" t="str">
        <x:v>采用</x:v>
      </x:c>
      <x:c r="N145" s="20" t="str">
        <x:v>初审</x:v>
      </x:c>
      <x:c r="O145" s="22" t="n">
        <x:v>46255</x:v>
      </x:c>
      <x:c r="P145" s="20" t="str">
        <x:v>内部结构化规则：识别层与效应层分离；https://zh.wikisource.org/wiki/淵海子平；https://zh.wikisource.org/zh-hans/三命通會_(四庫全書本)</x:v>
      </x:c>
    </x:row>
    <x:row r="146">
      <x:c r="A146" s="20" t="str">
        <x:v>M04-ZHENG-0041-V1.0</x:v>
      </x:c>
      <x:c r="B146" s="20" t="str">
        <x:v>规则</x:v>
      </x:c>
      <x:c r="C146" s="20" t="str">
        <x:v>M04</x:v>
      </x:c>
      <x:c r="D146" s="20" t="str">
        <x:v>04_天干作用识别</x:v>
      </x:c>
      <x:c r="E146" s="20" t="str">
        <x:v>ZHENG</x:v>
      </x:c>
      <x:c r="F146" s="20" t="n">
        <x:v>41</x:v>
      </x:c>
      <x:c r="G146" s="20" t="str">
        <x:v>V1.0</x:v>
      </x:c>
      <x:c r="H146" s="20" t="str">
        <x:v>戊癸组合一方重复的争合候选</x:v>
      </x:c>
      <x:c r="I146" s="20" t="str">
        <x:v>识别层</x:v>
      </x:c>
      <x:c r="J146" s="20" t="str">
        <x:v>戊癸争合</x:v>
      </x:c>
      <x:c r="K146" s="20" t="str">
        <x:v>戊癸配对中有一方重复出现，登记争合候选，并按柱位拆分所有戊癸合实例；胜负与实际牵制转M06。</x:v>
      </x:c>
      <x:c r="L146" s="20" t="str">
        <x:v>较高</x:v>
      </x:c>
      <x:c r="M146" s="20" t="str">
        <x:v>采用</x:v>
      </x:c>
      <x:c r="N146" s="20" t="str">
        <x:v>初审</x:v>
      </x:c>
      <x:c r="O146" s="22" t="n">
        <x:v>46255</x:v>
      </x:c>
      <x:c r="P146" s="20" t="str">
        <x:v>内部结构化规则：识别层与效应层分离；https://zh.wikisource.org/wiki/淵海子平；https://zh.wikisource.org/zh-hans/三命通會_(四庫全書本)</x:v>
      </x:c>
    </x:row>
    <x:row r="147">
      <x:c r="A147" s="20" t="str">
        <x:v>M04-ZHENG-0042-V1.0</x:v>
      </x:c>
      <x:c r="B147" s="20" t="str">
        <x:v>规则</x:v>
      </x:c>
      <x:c r="C147" s="20" t="str">
        <x:v>M04</x:v>
      </x:c>
      <x:c r="D147" s="20" t="str">
        <x:v>04_天干作用识别</x:v>
      </x:c>
      <x:c r="E147" s="20" t="str">
        <x:v>ZHENG</x:v>
      </x:c>
      <x:c r="F147" s="20" t="n">
        <x:v>42</x:v>
      </x:c>
      <x:c r="G147" s="20" t="str">
        <x:v>V1.0</x:v>
      </x:c>
      <x:c r="H147" s="20" t="str">
        <x:v>多重争合关系按柱位实例化计数</x:v>
      </x:c>
      <x:c r="I147" s="20" t="str">
        <x:v>识别层</x:v>
      </x:c>
      <x:c r="J147" s="20" t="str">
        <x:v>争合实例计数</x:v>
      </x:c>
      <x:c r="K147" s="20" t="str">
        <x:v>对重复天干逐柱生成关系边，并以同一争合组关联；数量只表示结构复杂度，不表示胜负。</x:v>
      </x:c>
      <x:c r="L147" s="20" t="str">
        <x:v>确定</x:v>
      </x:c>
      <x:c r="M147" s="20" t="str">
        <x:v>采用</x:v>
      </x:c>
      <x:c r="N147" s="20" t="str">
        <x:v>初审</x:v>
      </x:c>
      <x:c r="O147" s="22" t="n">
        <x:v>46255</x:v>
      </x:c>
      <x:c r="P147" s="20" t="str">
        <x:v>内部结构化规则：识别层与效应层分离；https://zh.wikisource.org/wiki/淵海子平；https://zh.wikisource.org/zh-hans/三命通會_(四庫全書本)</x:v>
      </x:c>
    </x:row>
    <x:row r="148">
      <x:c r="A148" s="20" t="str">
        <x:v>M04-DUHE-0043-V1.0</x:v>
      </x:c>
      <x:c r="B148" s="20" t="str">
        <x:v>规则</x:v>
      </x:c>
      <x:c r="C148" s="20" t="str">
        <x:v>M04</x:v>
      </x:c>
      <x:c r="D148" s="20" t="str">
        <x:v>04_天干作用识别</x:v>
      </x:c>
      <x:c r="E148" s="20" t="str">
        <x:v>DUHE</x:v>
      </x:c>
      <x:c r="F148" s="20" t="n">
        <x:v>43</x:v>
      </x:c>
      <x:c r="G148" s="20" t="str">
        <x:v>V1.0</x:v>
      </x:c>
      <x:c r="H148" s="20" t="str">
        <x:v>妒合标签的流派边界</x:v>
      </x:c>
      <x:c r="I148" s="20" t="str">
        <x:v>识别层</x:v>
      </x:c>
      <x:c r="J148" s="20" t="str">
        <x:v>妒合术语边界</x:v>
      </x:c>
      <x:c r="K148" s="20" t="str">
        <x:v>该结构在部分流派可称妒合；本库仍以具体五合实例和争合组作为计算依据。</x:v>
      </x:c>
      <x:c r="L148" s="20" t="str">
        <x:v>中等</x:v>
      </x:c>
      <x:c r="M148" s="20" t="str">
        <x:v>待验证</x:v>
      </x:c>
      <x:c r="N148" s="20" t="str">
        <x:v>初审</x:v>
      </x:c>
      <x:c r="O148" s="22" t="n">
        <x:v>46255</x:v>
      </x:c>
      <x:c r="P148" s="20" t="str">
        <x:v>内部结构化规则：识别层与效应层分离；https://zh.wikisource.org/wiki/淵海子平；https://zh.wikisource.org/zh-hans/三命通會_(四庫全書本)</x:v>
      </x:c>
    </x:row>
    <x:row r="149">
      <x:c r="A149" s="20" t="str">
        <x:v>M04-GEHE-0044-V1.0</x:v>
      </x:c>
      <x:c r="B149" s="20" t="str">
        <x:v>规则</x:v>
      </x:c>
      <x:c r="C149" s="20" t="str">
        <x:v>M04</x:v>
      </x:c>
      <x:c r="D149" s="20" t="str">
        <x:v>04_天干作用识别</x:v>
      </x:c>
      <x:c r="E149" s="20" t="str">
        <x:v>GEHE</x:v>
      </x:c>
      <x:c r="F149" s="20" t="n">
        <x:v>44</x:v>
      </x:c>
      <x:c r="G149" s="20" t="str">
        <x:v>V1.0</x:v>
      </x:c>
      <x:c r="H149" s="20" t="str">
        <x:v>隔合关系识别</x:v>
      </x:c>
      <x:c r="I149" s="20" t="str">
        <x:v>识别层</x:v>
      </x:c>
      <x:c r="J149" s="20" t="str">
        <x:v>隔合识别</x:v>
      </x:c>
      <x:c r="K149" s="20" t="str">
        <x:v>该五合发生于年日或月时，标记为隔合；位置会影响后续作用评估，但不否定关系存在。</x:v>
      </x:c>
      <x:c r="L149" s="20" t="str">
        <x:v>较高</x:v>
      </x:c>
      <x:c r="M149" s="20" t="str">
        <x:v>采用</x:v>
      </x:c>
      <x:c r="N149" s="20" t="str">
        <x:v>初审</x:v>
      </x:c>
      <x:c r="O149" s="22" t="n">
        <x:v>46255</x:v>
      </x:c>
      <x:c r="P149" s="20" t="str">
        <x:v>内部结构化规则：识别层与效应层分离；https://zh.wikisource.org/wiki/淵海子平；https://zh.wikisource.org/zh-hans/三命通會_(四庫全書本)</x:v>
      </x:c>
    </x:row>
    <x:row r="150">
      <x:c r="A150" s="20" t="str">
        <x:v>M04-YAOHE-0045-V1.0</x:v>
      </x:c>
      <x:c r="B150" s="20" t="str">
        <x:v>规则</x:v>
      </x:c>
      <x:c r="C150" s="20" t="str">
        <x:v>M04</x:v>
      </x:c>
      <x:c r="D150" s="20" t="str">
        <x:v>04_天干作用识别</x:v>
      </x:c>
      <x:c r="E150" s="20" t="str">
        <x:v>YAOHE</x:v>
      </x:c>
      <x:c r="F150" s="20" t="n">
        <x:v>45</x:v>
      </x:c>
      <x:c r="G150" s="20" t="str">
        <x:v>V1.0</x:v>
      </x:c>
      <x:c r="H150" s="20" t="str">
        <x:v>遥合关系识别</x:v>
      </x:c>
      <x:c r="I150" s="20" t="str">
        <x:v>识别层</x:v>
      </x:c>
      <x:c r="J150" s="20" t="str">
        <x:v>遥合识别</x:v>
      </x:c>
      <x:c r="K150" s="20" t="str">
        <x:v>该五合发生于年时两端，标记为遥合；关系存在，实际牵制与合化条件待M06核验。</x:v>
      </x:c>
      <x:c r="L150" s="20" t="str">
        <x:v>较高</x:v>
      </x:c>
      <x:c r="M150" s="20" t="str">
        <x:v>采用</x:v>
      </x:c>
      <x:c r="N150" s="20" t="str">
        <x:v>初审</x:v>
      </x:c>
      <x:c r="O150" s="22" t="n">
        <x:v>46255</x:v>
      </x:c>
      <x:c r="P150" s="20" t="str">
        <x:v>内部结构化规则：识别层与效应层分离；https://zh.wikisource.org/wiki/淵海子平；https://zh.wikisource.org/zh-hans/三命通會_(四庫全書本)</x:v>
      </x:c>
    </x:row>
    <x:row r="151">
      <x:c r="A151" s="20" t="str">
        <x:v>M04-OVER-0046-V1.0</x:v>
      </x:c>
      <x:c r="B151" s="20" t="str">
        <x:v>规则</x:v>
      </x:c>
      <x:c r="C151" s="20" t="str">
        <x:v>M04</x:v>
      </x:c>
      <x:c r="D151" s="20" t="str">
        <x:v>04_天干作用识别</x:v>
      </x:c>
      <x:c r="E151" s="20" t="str">
        <x:v>OVER</x:v>
      </x:c>
      <x:c r="F151" s="20" t="n">
        <x:v>46</x:v>
      </x:c>
      <x:c r="G151" s="20" t="str">
        <x:v>V1.0</x:v>
      </x:c>
      <x:c r="H151" s="20" t="str">
        <x:v>天干合与克同时关系独立列出</x:v>
      </x:c>
      <x:c r="I151" s="20" t="str">
        <x:v>识别层</x:v>
      </x:c>
      <x:c r="J151" s="20" t="str">
        <x:v>合克并存</x:v>
      </x:c>
      <x:c r="K151" s="20" t="str">
        <x:v>原局天干合克并见；已分别建立关系实例，优先级与实际作用转M06、M11判断。</x:v>
      </x:c>
      <x:c r="L151" s="20" t="str">
        <x:v>确定</x:v>
      </x:c>
      <x:c r="M151" s="20" t="str">
        <x:v>采用</x:v>
      </x:c>
      <x:c r="N151" s="20" t="str">
        <x:v>初审</x:v>
      </x:c>
      <x:c r="O151" s="22" t="n">
        <x:v>46255</x:v>
      </x:c>
      <x:c r="P151" s="20" t="str">
        <x:v>内部结构化规则：识别层与效应层分离；https://zh.wikisource.org/wiki/淵海子平；https://zh.wikisource.org/zh-hans/三命通會_(四庫全書本)</x:v>
      </x:c>
    </x:row>
    <x:row r="152">
      <x:c r="A152" s="20" t="str">
        <x:v>M04-BOUND-0047-V1.0</x:v>
      </x:c>
      <x:c r="B152" s="20" t="str">
        <x:v>规则</x:v>
      </x:c>
      <x:c r="C152" s="20" t="str">
        <x:v>M04</x:v>
      </x:c>
      <x:c r="D152" s="20" t="str">
        <x:v>04_天干作用识别</x:v>
      </x:c>
      <x:c r="E152" s="20" t="str">
        <x:v>BOUND</x:v>
      </x:c>
      <x:c r="F152" s="20" t="n">
        <x:v>47</x:v>
      </x:c>
      <x:c r="G152" s="20" t="str">
        <x:v>V1.0</x:v>
      </x:c>
      <x:c r="H152" s="20" t="str">
        <x:v>藏干不得替代明干建立天干关系</x:v>
      </x:c>
      <x:c r="I152" s="20" t="str">
        <x:v>识别层</x:v>
      </x:c>
      <x:c r="J152" s="20" t="str">
        <x:v>藏干非明干</x:v>
      </x:c>
      <x:c r="K152" s="20" t="str">
        <x:v>拟参与关系的干只藏于地支、未透天干，因此不构成原局天干合克实例。</x:v>
      </x:c>
      <x:c r="L152" s="20" t="str">
        <x:v>确定</x:v>
      </x:c>
      <x:c r="M152" s="20" t="str">
        <x:v>采用</x:v>
      </x:c>
      <x:c r="N152" s="20" t="str">
        <x:v>初审</x:v>
      </x:c>
      <x:c r="O152" s="22" t="n">
        <x:v>46255</x:v>
      </x:c>
      <x:c r="P152" s="20" t="str">
        <x:v>内部结构化规则：识别层与效应层分离；https://zh.wikisource.org/wiki/淵海子平；https://zh.wikisource.org/zh-hans/三命通會_(四庫全書本)</x:v>
      </x:c>
    </x:row>
    <x:row r="153">
      <x:c r="A153" s="20" t="str">
        <x:v>M04-BOUND-0048-V1.0</x:v>
      </x:c>
      <x:c r="B153" s="20" t="str">
        <x:v>规则</x:v>
      </x:c>
      <x:c r="C153" s="20" t="str">
        <x:v>M04</x:v>
      </x:c>
      <x:c r="D153" s="20" t="str">
        <x:v>04_天干作用识别</x:v>
      </x:c>
      <x:c r="E153" s="20" t="str">
        <x:v>BOUND</x:v>
      </x:c>
      <x:c r="F153" s="20" t="n">
        <x:v>48</x:v>
      </x:c>
      <x:c r="G153" s="20" t="str">
        <x:v>V1.0</x:v>
      </x:c>
      <x:c r="H153" s="20" t="str">
        <x:v>相生或同类关系不得误标为五合相克</x:v>
      </x:c>
      <x:c r="I153" s="20" t="str">
        <x:v>识别层</x:v>
      </x:c>
      <x:c r="J153" s="20" t="str">
        <x:v>关系分类边界</x:v>
      </x:c>
      <x:c r="K153" s="20" t="str">
        <x:v>该两干不属于天干五合或相克配对；其相生或同类作用转旺衰、十神模块处理。</x:v>
      </x:c>
      <x:c r="L153" s="20" t="str">
        <x:v>确定</x:v>
      </x:c>
      <x:c r="M153" s="20" t="str">
        <x:v>采用</x:v>
      </x:c>
      <x:c r="N153" s="20" t="str">
        <x:v>初审</x:v>
      </x:c>
      <x:c r="O153" s="22" t="n">
        <x:v>46255</x:v>
      </x:c>
      <x:c r="P153" s="20" t="str">
        <x:v>内部结构化规则：识别层与效应层分离；https://zh.wikisource.org/wiki/淵海子平；https://zh.wikisource.org/zh-hans/三命通會_(四庫全書本)</x:v>
      </x:c>
    </x:row>
    <x:row r="154">
      <x:c r="A154" s="20" t="str">
        <x:v>M04-BOUND-0049-V1.0</x:v>
      </x:c>
      <x:c r="B154" s="20" t="str">
        <x:v>规则</x:v>
      </x:c>
      <x:c r="C154" s="20" t="str">
        <x:v>M04</x:v>
      </x:c>
      <x:c r="D154" s="20" t="str">
        <x:v>04_天干作用识别</x:v>
      </x:c>
      <x:c r="E154" s="20" t="str">
        <x:v>BOUND</x:v>
      </x:c>
      <x:c r="F154" s="20" t="n">
        <x:v>49</x:v>
      </x:c>
      <x:c r="G154" s="20" t="str">
        <x:v>V1.0</x:v>
      </x:c>
      <x:c r="H154" s="20" t="str">
        <x:v>同类天干重复时按柱位保留独立节点</x:v>
      </x:c>
      <x:c r="I154" s="20" t="str">
        <x:v>识别层</x:v>
      </x:c>
      <x:c r="J154" s="20" t="str">
        <x:v>重复干节点</x:v>
      </x:c>
      <x:c r="K154" s="20" t="str">
        <x:v>原局存在同名天干重复；已按柱位拆分独立节点，再分别建立关系。</x:v>
      </x:c>
      <x:c r="L154" s="20" t="str">
        <x:v>确定</x:v>
      </x:c>
      <x:c r="M154" s="20" t="str">
        <x:v>采用</x:v>
      </x:c>
      <x:c r="N154" s="20" t="str">
        <x:v>初审</x:v>
      </x:c>
      <x:c r="O154" s="22" t="n">
        <x:v>46255</x:v>
      </x:c>
      <x:c r="P154" s="20" t="str">
        <x:v>内部结构化规则：识别层与效应层分离；https://zh.wikisource.org/wiki/淵海子平；https://zh.wikisource.org/zh-hans/三命通會_(四庫全書本)</x:v>
      </x:c>
    </x:row>
    <x:row r="155">
      <x:c r="A155" s="20" t="str">
        <x:v>M04-BOUND-0050-V1.0</x:v>
      </x:c>
      <x:c r="B155" s="20" t="str">
        <x:v>规则</x:v>
      </x:c>
      <x:c r="C155" s="20" t="str">
        <x:v>M04</x:v>
      </x:c>
      <x:c r="D155" s="20" t="str">
        <x:v>04_天干作用识别</x:v>
      </x:c>
      <x:c r="E155" s="20" t="str">
        <x:v>BOUND</x:v>
      </x:c>
      <x:c r="F155" s="20" t="n">
        <x:v>50</x:v>
      </x:c>
      <x:c r="G155" s="20" t="str">
        <x:v>V1.0</x:v>
      </x:c>
      <x:c r="H155" s="20" t="str">
        <x:v>天干识别层不得替代实际效应判断</x:v>
      </x:c>
      <x:c r="I155" s="20" t="str">
        <x:v>识别层</x:v>
      </x:c>
      <x:c r="J155" s="20" t="str">
        <x:v>识别效应分层</x:v>
      </x:c>
      <x:c r="K155" s="20" t="str">
        <x:v>天干关系已经客观识别；所有力量变化、制化优先级和合化成败转M06及后续模块判断。</x:v>
      </x:c>
      <x:c r="L155" s="20" t="str">
        <x:v>确定</x:v>
      </x:c>
      <x:c r="M155" s="20" t="str">
        <x:v>采用</x:v>
      </x:c>
      <x:c r="N155" s="20" t="str">
        <x:v>初审</x:v>
      </x:c>
      <x:c r="O155" s="22" t="n">
        <x:v>46255</x:v>
      </x:c>
      <x:c r="P155" s="20" t="str">
        <x:v>内部结构化规则：识别层与效应层分离；https://zh.wikisource.org/wiki/淵海子平；https://zh.wikisource.org/zh-hans/三命通會_(四庫全書本)</x:v>
      </x:c>
    </x:row>
    <x:row r="156">
      <x:c r="A156" s="20" t="str">
        <x:v>M05-LIUHE-0001-V1.0</x:v>
      </x:c>
      <x:c r="B156" s="20" t="str">
        <x:v>规则</x:v>
      </x:c>
      <x:c r="C156" s="20" t="str">
        <x:v>M05</x:v>
      </x:c>
      <x:c r="D156" s="20" t="str">
        <x:v>05_地支关系识别</x:v>
      </x:c>
      <x:c r="E156" s="20" t="str">
        <x:v>LIUHE</x:v>
      </x:c>
      <x:c r="F156" s="20" t="n">
        <x:v>1</x:v>
      </x:c>
      <x:c r="G156" s="20" t="str">
        <x:v>V1.0</x:v>
      </x:c>
      <x:c r="H156" s="20" t="str">
        <x:v>子丑六合识别</x:v>
      </x:c>
      <x:c r="I156" s="20" t="str">
        <x:v>识别层</x:v>
      </x:c>
      <x:c r="J156" s="20" t="str">
        <x:v>子丑六合</x:v>
      </x:c>
      <x:c r="K156" s="20" t="str">
        <x:v>地支见子、丑，识别为子丑六合；实际是合绊、合动、合住还是合化，转M06判断。</x:v>
      </x:c>
      <x:c r="L156" s="20" t="str">
        <x:v>确定</x:v>
      </x:c>
      <x:c r="M156" s="20" t="str">
        <x:v>采用</x:v>
      </x:c>
      <x:c r="N156" s="20" t="str">
        <x:v>初审</x:v>
      </x:c>
      <x:c r="O156" s="22" t="n">
        <x:v>46255</x:v>
      </x:c>
      <x:c r="P156" s="20" t="str">
        <x:v>https://zh.wikisource.org/wiki/淵海子平；https://zh.wikisource.org/zh-hans/三命通會_(四庫全書本)</x:v>
      </x:c>
    </x:row>
    <x:row r="157">
      <x:c r="A157" s="20" t="str">
        <x:v>M05-LIUHE-0002-V1.0</x:v>
      </x:c>
      <x:c r="B157" s="20" t="str">
        <x:v>规则</x:v>
      </x:c>
      <x:c r="C157" s="20" t="str">
        <x:v>M05</x:v>
      </x:c>
      <x:c r="D157" s="20" t="str">
        <x:v>05_地支关系识别</x:v>
      </x:c>
      <x:c r="E157" s="20" t="str">
        <x:v>LIUHE</x:v>
      </x:c>
      <x:c r="F157" s="20" t="n">
        <x:v>2</x:v>
      </x:c>
      <x:c r="G157" s="20" t="str">
        <x:v>V1.0</x:v>
      </x:c>
      <x:c r="H157" s="20" t="str">
        <x:v>寅亥六合识别</x:v>
      </x:c>
      <x:c r="I157" s="20" t="str">
        <x:v>识别层</x:v>
      </x:c>
      <x:c r="J157" s="20" t="str">
        <x:v>寅亥六合</x:v>
      </x:c>
      <x:c r="K157" s="20" t="str">
        <x:v>地支见寅、亥，识别为寅亥六合；实际是合绊、合动、合住还是合化，转M06判断。</x:v>
      </x:c>
      <x:c r="L157" s="20" t="str">
        <x:v>确定</x:v>
      </x:c>
      <x:c r="M157" s="20" t="str">
        <x:v>采用</x:v>
      </x:c>
      <x:c r="N157" s="20" t="str">
        <x:v>初审</x:v>
      </x:c>
      <x:c r="O157" s="22" t="n">
        <x:v>46255</x:v>
      </x:c>
      <x:c r="P157" s="20" t="str">
        <x:v>https://zh.wikisource.org/wiki/淵海子平；https://zh.wikisource.org/zh-hans/三命通會_(四庫全書本)</x:v>
      </x:c>
    </x:row>
    <x:row r="158">
      <x:c r="A158" s="20" t="str">
        <x:v>M05-LIUHE-0003-V1.0</x:v>
      </x:c>
      <x:c r="B158" s="20" t="str">
        <x:v>规则</x:v>
      </x:c>
      <x:c r="C158" s="20" t="str">
        <x:v>M05</x:v>
      </x:c>
      <x:c r="D158" s="20" t="str">
        <x:v>05_地支关系识别</x:v>
      </x:c>
      <x:c r="E158" s="20" t="str">
        <x:v>LIUHE</x:v>
      </x:c>
      <x:c r="F158" s="20" t="n">
        <x:v>3</x:v>
      </x:c>
      <x:c r="G158" s="20" t="str">
        <x:v>V1.0</x:v>
      </x:c>
      <x:c r="H158" s="20" t="str">
        <x:v>卯戌六合识别</x:v>
      </x:c>
      <x:c r="I158" s="20" t="str">
        <x:v>识别层</x:v>
      </x:c>
      <x:c r="J158" s="20" t="str">
        <x:v>卯戌六合</x:v>
      </x:c>
      <x:c r="K158" s="20" t="str">
        <x:v>地支见卯、戌，识别为卯戌六合；实际是合绊、合动、合住还是合化，转M06判断。</x:v>
      </x:c>
      <x:c r="L158" s="20" t="str">
        <x:v>确定</x:v>
      </x:c>
      <x:c r="M158" s="20" t="str">
        <x:v>采用</x:v>
      </x:c>
      <x:c r="N158" s="20" t="str">
        <x:v>初审</x:v>
      </x:c>
      <x:c r="O158" s="22" t="n">
        <x:v>46255</x:v>
      </x:c>
      <x:c r="P158" s="20" t="str">
        <x:v>https://zh.wikisource.org/wiki/淵海子平；https://zh.wikisource.org/zh-hans/三命通會_(四庫全書本)</x:v>
      </x:c>
    </x:row>
    <x:row r="159">
      <x:c r="A159" s="20" t="str">
        <x:v>M05-LIUHE-0004-V1.0</x:v>
      </x:c>
      <x:c r="B159" s="20" t="str">
        <x:v>规则</x:v>
      </x:c>
      <x:c r="C159" s="20" t="str">
        <x:v>M05</x:v>
      </x:c>
      <x:c r="D159" s="20" t="str">
        <x:v>05_地支关系识别</x:v>
      </x:c>
      <x:c r="E159" s="20" t="str">
        <x:v>LIUHE</x:v>
      </x:c>
      <x:c r="F159" s="20" t="n">
        <x:v>4</x:v>
      </x:c>
      <x:c r="G159" s="20" t="str">
        <x:v>V1.0</x:v>
      </x:c>
      <x:c r="H159" s="20" t="str">
        <x:v>辰酉六合识别</x:v>
      </x:c>
      <x:c r="I159" s="20" t="str">
        <x:v>识别层</x:v>
      </x:c>
      <x:c r="J159" s="20" t="str">
        <x:v>辰酉六合</x:v>
      </x:c>
      <x:c r="K159" s="20" t="str">
        <x:v>地支见辰、酉，识别为辰酉六合；实际是合绊、合动、合住还是合化，转M06判断。</x:v>
      </x:c>
      <x:c r="L159" s="20" t="str">
        <x:v>确定</x:v>
      </x:c>
      <x:c r="M159" s="20" t="str">
        <x:v>采用</x:v>
      </x:c>
      <x:c r="N159" s="20" t="str">
        <x:v>初审</x:v>
      </x:c>
      <x:c r="O159" s="22" t="n">
        <x:v>46255</x:v>
      </x:c>
      <x:c r="P159" s="20" t="str">
        <x:v>https://zh.wikisource.org/wiki/淵海子平；https://zh.wikisource.org/zh-hans/三命通會_(四庫全書本)</x:v>
      </x:c>
    </x:row>
    <x:row r="160">
      <x:c r="A160" s="20" t="str">
        <x:v>M05-LIUHE-0005-V1.0</x:v>
      </x:c>
      <x:c r="B160" s="20" t="str">
        <x:v>规则</x:v>
      </x:c>
      <x:c r="C160" s="20" t="str">
        <x:v>M05</x:v>
      </x:c>
      <x:c r="D160" s="20" t="str">
        <x:v>05_地支关系识别</x:v>
      </x:c>
      <x:c r="E160" s="20" t="str">
        <x:v>LIUHE</x:v>
      </x:c>
      <x:c r="F160" s="20" t="n">
        <x:v>5</x:v>
      </x:c>
      <x:c r="G160" s="20" t="str">
        <x:v>V1.0</x:v>
      </x:c>
      <x:c r="H160" s="20" t="str">
        <x:v>巳申六合识别</x:v>
      </x:c>
      <x:c r="I160" s="20" t="str">
        <x:v>识别层</x:v>
      </x:c>
      <x:c r="J160" s="20" t="str">
        <x:v>巳申六合</x:v>
      </x:c>
      <x:c r="K160" s="20" t="str">
        <x:v>地支见巳、申，识别为巳申六合；实际是合绊、合动、合住还是合化，转M06判断。</x:v>
      </x:c>
      <x:c r="L160" s="20" t="str">
        <x:v>确定</x:v>
      </x:c>
      <x:c r="M160" s="20" t="str">
        <x:v>采用</x:v>
      </x:c>
      <x:c r="N160" s="20" t="str">
        <x:v>初审</x:v>
      </x:c>
      <x:c r="O160" s="22" t="n">
        <x:v>46255</x:v>
      </x:c>
      <x:c r="P160" s="20" t="str">
        <x:v>https://zh.wikisource.org/wiki/淵海子平；https://zh.wikisource.org/zh-hans/三命通會_(四庫全書本)</x:v>
      </x:c>
    </x:row>
    <x:row r="161">
      <x:c r="A161" s="20" t="str">
        <x:v>M05-LIUHE-0006-V1.0</x:v>
      </x:c>
      <x:c r="B161" s="20" t="str">
        <x:v>规则</x:v>
      </x:c>
      <x:c r="C161" s="20" t="str">
        <x:v>M05</x:v>
      </x:c>
      <x:c r="D161" s="20" t="str">
        <x:v>05_地支关系识别</x:v>
      </x:c>
      <x:c r="E161" s="20" t="str">
        <x:v>LIUHE</x:v>
      </x:c>
      <x:c r="F161" s="20" t="n">
        <x:v>6</x:v>
      </x:c>
      <x:c r="G161" s="20" t="str">
        <x:v>V1.0</x:v>
      </x:c>
      <x:c r="H161" s="20" t="str">
        <x:v>午未六合识别</x:v>
      </x:c>
      <x:c r="I161" s="20" t="str">
        <x:v>识别层</x:v>
      </x:c>
      <x:c r="J161" s="20" t="str">
        <x:v>午未六合</x:v>
      </x:c>
      <x:c r="K161" s="20" t="str">
        <x:v>地支见午、未，识别为午未六合；实际是合绊、合动、合住还是合化，转M06判断。</x:v>
      </x:c>
      <x:c r="L161" s="20" t="str">
        <x:v>确定</x:v>
      </x:c>
      <x:c r="M161" s="20" t="str">
        <x:v>采用</x:v>
      </x:c>
      <x:c r="N161" s="20" t="str">
        <x:v>初审</x:v>
      </x:c>
      <x:c r="O161" s="22" t="n">
        <x:v>46255</x:v>
      </x:c>
      <x:c r="P161" s="20" t="str">
        <x:v>https://zh.wikisource.org/wiki/淵海子平；https://zh.wikisource.org/zh-hans/三命通會_(四庫全書本)</x:v>
      </x:c>
    </x:row>
    <x:row r="162">
      <x:c r="A162" s="20" t="str">
        <x:v>M05-SANHE-0007-V1.0</x:v>
      </x:c>
      <x:c r="B162" s="20" t="str">
        <x:v>规则</x:v>
      </x:c>
      <x:c r="C162" s="20" t="str">
        <x:v>M05</x:v>
      </x:c>
      <x:c r="D162" s="20" t="str">
        <x:v>05_地支关系识别</x:v>
      </x:c>
      <x:c r="E162" s="20" t="str">
        <x:v>SANHE</x:v>
      </x:c>
      <x:c r="F162" s="20" t="n">
        <x:v>7</x:v>
      </x:c>
      <x:c r="G162" s="20" t="str">
        <x:v>V1.0</x:v>
      </x:c>
      <x:c r="H162" s="20" t="str">
        <x:v>申子辰三合结构完整识别</x:v>
      </x:c>
      <x:c r="I162" s="20" t="str">
        <x:v>识别层</x:v>
      </x:c>
      <x:c r="J162" s="20" t="str">
        <x:v>申子辰三合完整</x:v>
      </x:c>
      <x:c r="K162" s="20" t="str">
        <x:v>原局见申、子、辰，申子辰三合结构完整；合水局仅为候选，成局条件与实际效应转M06。</x:v>
      </x:c>
      <x:c r="L162" s="20" t="str">
        <x:v>确定</x:v>
      </x:c>
      <x:c r="M162" s="20" t="str">
        <x:v>采用</x:v>
      </x:c>
      <x:c r="N162" s="20" t="str">
        <x:v>初审</x:v>
      </x:c>
      <x:c r="O162" s="22" t="n">
        <x:v>46255</x:v>
      </x:c>
      <x:c r="P162" s="20" t="str">
        <x:v>https://zh.wikisource.org/wiki/淵海子平；https://zh.wikisource.org/zh-hans/三命通會_(四庫全書本)</x:v>
      </x:c>
    </x:row>
    <x:row r="163">
      <x:c r="A163" s="20" t="str">
        <x:v>M05-SANHE-0008-V1.0</x:v>
      </x:c>
      <x:c r="B163" s="20" t="str">
        <x:v>规则</x:v>
      </x:c>
      <x:c r="C163" s="20" t="str">
        <x:v>M05</x:v>
      </x:c>
      <x:c r="D163" s="20" t="str">
        <x:v>05_地支关系识别</x:v>
      </x:c>
      <x:c r="E163" s="20" t="str">
        <x:v>SANHE</x:v>
      </x:c>
      <x:c r="F163" s="20" t="n">
        <x:v>8</x:v>
      </x:c>
      <x:c r="G163" s="20" t="str">
        <x:v>V1.0</x:v>
      </x:c>
      <x:c r="H163" s="20" t="str">
        <x:v>亥卯未三合结构完整识别</x:v>
      </x:c>
      <x:c r="I163" s="20" t="str">
        <x:v>识别层</x:v>
      </x:c>
      <x:c r="J163" s="20" t="str">
        <x:v>亥卯未三合完整</x:v>
      </x:c>
      <x:c r="K163" s="20" t="str">
        <x:v>原局见亥、卯、未，亥卯未三合结构完整；合木局仅为候选，成局条件与实际效应转M06。</x:v>
      </x:c>
      <x:c r="L163" s="20" t="str">
        <x:v>确定</x:v>
      </x:c>
      <x:c r="M163" s="20" t="str">
        <x:v>采用</x:v>
      </x:c>
      <x:c r="N163" s="20" t="str">
        <x:v>初审</x:v>
      </x:c>
      <x:c r="O163" s="22" t="n">
        <x:v>46255</x:v>
      </x:c>
      <x:c r="P163" s="20" t="str">
        <x:v>https://zh.wikisource.org/wiki/淵海子平；https://zh.wikisource.org/zh-hans/三命通會_(四庫全書本)</x:v>
      </x:c>
    </x:row>
    <x:row r="164">
      <x:c r="A164" s="20" t="str">
        <x:v>M05-SANHE-0009-V1.0</x:v>
      </x:c>
      <x:c r="B164" s="20" t="str">
        <x:v>规则</x:v>
      </x:c>
      <x:c r="C164" s="20" t="str">
        <x:v>M05</x:v>
      </x:c>
      <x:c r="D164" s="20" t="str">
        <x:v>05_地支关系识别</x:v>
      </x:c>
      <x:c r="E164" s="20" t="str">
        <x:v>SANHE</x:v>
      </x:c>
      <x:c r="F164" s="20" t="n">
        <x:v>9</x:v>
      </x:c>
      <x:c r="G164" s="20" t="str">
        <x:v>V1.0</x:v>
      </x:c>
      <x:c r="H164" s="20" t="str">
        <x:v>寅午戌三合结构完整识别</x:v>
      </x:c>
      <x:c r="I164" s="20" t="str">
        <x:v>识别层</x:v>
      </x:c>
      <x:c r="J164" s="20" t="str">
        <x:v>寅午戌三合完整</x:v>
      </x:c>
      <x:c r="K164" s="20" t="str">
        <x:v>原局见寅、午、戌，寅午戌三合结构完整；合火局仅为候选，成局条件与实际效应转M06。</x:v>
      </x:c>
      <x:c r="L164" s="20" t="str">
        <x:v>确定</x:v>
      </x:c>
      <x:c r="M164" s="20" t="str">
        <x:v>采用</x:v>
      </x:c>
      <x:c r="N164" s="20" t="str">
        <x:v>初审</x:v>
      </x:c>
      <x:c r="O164" s="22" t="n">
        <x:v>46255</x:v>
      </x:c>
      <x:c r="P164" s="20" t="str">
        <x:v>https://zh.wikisource.org/wiki/淵海子平；https://zh.wikisource.org/zh-hans/三命通會_(四庫全書本)</x:v>
      </x:c>
    </x:row>
    <x:row r="165">
      <x:c r="A165" s="20" t="str">
        <x:v>M05-SANHE-0010-V1.0</x:v>
      </x:c>
      <x:c r="B165" s="20" t="str">
        <x:v>规则</x:v>
      </x:c>
      <x:c r="C165" s="20" t="str">
        <x:v>M05</x:v>
      </x:c>
      <x:c r="D165" s="20" t="str">
        <x:v>05_地支关系识别</x:v>
      </x:c>
      <x:c r="E165" s="20" t="str">
        <x:v>SANHE</x:v>
      </x:c>
      <x:c r="F165" s="20" t="n">
        <x:v>10</x:v>
      </x:c>
      <x:c r="G165" s="20" t="str">
        <x:v>V1.0</x:v>
      </x:c>
      <x:c r="H165" s="20" t="str">
        <x:v>巳酉丑三合结构完整识别</x:v>
      </x:c>
      <x:c r="I165" s="20" t="str">
        <x:v>识别层</x:v>
      </x:c>
      <x:c r="J165" s="20" t="str">
        <x:v>巳酉丑三合完整</x:v>
      </x:c>
      <x:c r="K165" s="20" t="str">
        <x:v>原局见巳、酉、丑，巳酉丑三合结构完整；合金局仅为候选，成局条件与实际效应转M06。</x:v>
      </x:c>
      <x:c r="L165" s="20" t="str">
        <x:v>确定</x:v>
      </x:c>
      <x:c r="M165" s="20" t="str">
        <x:v>采用</x:v>
      </x:c>
      <x:c r="N165" s="20" t="str">
        <x:v>初审</x:v>
      </x:c>
      <x:c r="O165" s="22" t="n">
        <x:v>46255</x:v>
      </x:c>
      <x:c r="P165" s="20" t="str">
        <x:v>https://zh.wikisource.org/wiki/淵海子平；https://zh.wikisource.org/zh-hans/三命通會_(四庫全書本)</x:v>
      </x:c>
    </x:row>
    <x:row r="166">
      <x:c r="A166" s="20" t="str">
        <x:v>M05-BANHE-0011-V1.0</x:v>
      </x:c>
      <x:c r="B166" s="20" t="str">
        <x:v>规则</x:v>
      </x:c>
      <x:c r="C166" s="20" t="str">
        <x:v>M05</x:v>
      </x:c>
      <x:c r="D166" s="20" t="str">
        <x:v>05_地支关系识别</x:v>
      </x:c>
      <x:c r="E166" s="20" t="str">
        <x:v>BANHE</x:v>
      </x:c>
      <x:c r="F166" s="20" t="n">
        <x:v>11</x:v>
      </x:c>
      <x:c r="G166" s="20" t="str">
        <x:v>V1.0</x:v>
      </x:c>
      <x:c r="H166" s="20" t="str">
        <x:v>申子半合识别</x:v>
      </x:c>
      <x:c r="I166" s="20" t="str">
        <x:v>识别层</x:v>
      </x:c>
      <x:c r="J166" s="20" t="str">
        <x:v>申子半合</x:v>
      </x:c>
      <x:c r="K166" s="20" t="str">
        <x:v>原局见申、子而缺辰，识别为申子半合；仅属三合结构部分，效应转M06。</x:v>
      </x:c>
      <x:c r="L166" s="20" t="str">
        <x:v>较高</x:v>
      </x:c>
      <x:c r="M166" s="20" t="str">
        <x:v>采用</x:v>
      </x:c>
      <x:c r="N166" s="20" t="str">
        <x:v>初审</x:v>
      </x:c>
      <x:c r="O166" s="22" t="n">
        <x:v>46255</x:v>
      </x:c>
      <x:c r="P166" s="20" t="str">
        <x:v>内部结构化规则：识别层与效应层分离；https://zh.wikisource.org/wiki/淵海子平；https://zh.wikisource.org/zh-hans/三命通會_(四庫全書本)</x:v>
      </x:c>
    </x:row>
    <x:row r="167">
      <x:c r="A167" s="20" t="str">
        <x:v>M05-BANHE-0012-V1.0</x:v>
      </x:c>
      <x:c r="B167" s="20" t="str">
        <x:v>规则</x:v>
      </x:c>
      <x:c r="C167" s="20" t="str">
        <x:v>M05</x:v>
      </x:c>
      <x:c r="D167" s="20" t="str">
        <x:v>05_地支关系识别</x:v>
      </x:c>
      <x:c r="E167" s="20" t="str">
        <x:v>BANHE</x:v>
      </x:c>
      <x:c r="F167" s="20" t="n">
        <x:v>12</x:v>
      </x:c>
      <x:c r="G167" s="20" t="str">
        <x:v>V1.0</x:v>
      </x:c>
      <x:c r="H167" s="20" t="str">
        <x:v>子辰半合识别</x:v>
      </x:c>
      <x:c r="I167" s="20" t="str">
        <x:v>识别层</x:v>
      </x:c>
      <x:c r="J167" s="20" t="str">
        <x:v>子辰半合</x:v>
      </x:c>
      <x:c r="K167" s="20" t="str">
        <x:v>原局见子、辰而缺申，识别为子辰半合；仅属三合结构部分，效应转M06。</x:v>
      </x:c>
      <x:c r="L167" s="20" t="str">
        <x:v>较高</x:v>
      </x:c>
      <x:c r="M167" s="20" t="str">
        <x:v>采用</x:v>
      </x:c>
      <x:c r="N167" s="20" t="str">
        <x:v>初审</x:v>
      </x:c>
      <x:c r="O167" s="22" t="n">
        <x:v>46255</x:v>
      </x:c>
      <x:c r="P167" s="20" t="str">
        <x:v>内部结构化规则：识别层与效应层分离；https://zh.wikisource.org/wiki/淵海子平；https://zh.wikisource.org/zh-hans/三命通會_(四庫全書本)</x:v>
      </x:c>
    </x:row>
    <x:row r="168">
      <x:c r="A168" s="20" t="str">
        <x:v>M05-BANHE-0013-V1.0</x:v>
      </x:c>
      <x:c r="B168" s="20" t="str">
        <x:v>规则</x:v>
      </x:c>
      <x:c r="C168" s="20" t="str">
        <x:v>M05</x:v>
      </x:c>
      <x:c r="D168" s="20" t="str">
        <x:v>05_地支关系识别</x:v>
      </x:c>
      <x:c r="E168" s="20" t="str">
        <x:v>BANHE</x:v>
      </x:c>
      <x:c r="F168" s="20" t="n">
        <x:v>13</x:v>
      </x:c>
      <x:c r="G168" s="20" t="str">
        <x:v>V1.0</x:v>
      </x:c>
      <x:c r="H168" s="20" t="str">
        <x:v>亥卯半合识别</x:v>
      </x:c>
      <x:c r="I168" s="20" t="str">
        <x:v>识别层</x:v>
      </x:c>
      <x:c r="J168" s="20" t="str">
        <x:v>亥卯半合</x:v>
      </x:c>
      <x:c r="K168" s="20" t="str">
        <x:v>原局见亥、卯而缺未，识别为亥卯半合；仅属三合结构部分，效应转M06。</x:v>
      </x:c>
      <x:c r="L168" s="20" t="str">
        <x:v>较高</x:v>
      </x:c>
      <x:c r="M168" s="20" t="str">
        <x:v>采用</x:v>
      </x:c>
      <x:c r="N168" s="20" t="str">
        <x:v>初审</x:v>
      </x:c>
      <x:c r="O168" s="22" t="n">
        <x:v>46255</x:v>
      </x:c>
      <x:c r="P168" s="20" t="str">
        <x:v>内部结构化规则：识别层与效应层分离；https://zh.wikisource.org/wiki/淵海子平；https://zh.wikisource.org/zh-hans/三命通會_(四庫全書本)</x:v>
      </x:c>
    </x:row>
    <x:row r="169">
      <x:c r="A169" s="20" t="str">
        <x:v>M05-BANHE-0014-V1.0</x:v>
      </x:c>
      <x:c r="B169" s="20" t="str">
        <x:v>规则</x:v>
      </x:c>
      <x:c r="C169" s="20" t="str">
        <x:v>M05</x:v>
      </x:c>
      <x:c r="D169" s="20" t="str">
        <x:v>05_地支关系识别</x:v>
      </x:c>
      <x:c r="E169" s="20" t="str">
        <x:v>BANHE</x:v>
      </x:c>
      <x:c r="F169" s="20" t="n">
        <x:v>14</x:v>
      </x:c>
      <x:c r="G169" s="20" t="str">
        <x:v>V1.0</x:v>
      </x:c>
      <x:c r="H169" s="20" t="str">
        <x:v>卯未半合识别</x:v>
      </x:c>
      <x:c r="I169" s="20" t="str">
        <x:v>识别层</x:v>
      </x:c>
      <x:c r="J169" s="20" t="str">
        <x:v>卯未半合</x:v>
      </x:c>
      <x:c r="K169" s="20" t="str">
        <x:v>原局见卯、未而缺亥，识别为卯未半合；仅属三合结构部分，效应转M06。</x:v>
      </x:c>
      <x:c r="L169" s="20" t="str">
        <x:v>较高</x:v>
      </x:c>
      <x:c r="M169" s="20" t="str">
        <x:v>采用</x:v>
      </x:c>
      <x:c r="N169" s="20" t="str">
        <x:v>初审</x:v>
      </x:c>
      <x:c r="O169" s="22" t="n">
        <x:v>46255</x:v>
      </x:c>
      <x:c r="P169" s="20" t="str">
        <x:v>内部结构化规则：识别层与效应层分离；https://zh.wikisource.org/wiki/淵海子平；https://zh.wikisource.org/zh-hans/三命通會_(四庫全書本)</x:v>
      </x:c>
    </x:row>
    <x:row r="170">
      <x:c r="A170" s="20" t="str">
        <x:v>M05-BANHE-0015-V1.0</x:v>
      </x:c>
      <x:c r="B170" s="20" t="str">
        <x:v>规则</x:v>
      </x:c>
      <x:c r="C170" s="20" t="str">
        <x:v>M05</x:v>
      </x:c>
      <x:c r="D170" s="20" t="str">
        <x:v>05_地支关系识别</x:v>
      </x:c>
      <x:c r="E170" s="20" t="str">
        <x:v>BANHE</x:v>
      </x:c>
      <x:c r="F170" s="20" t="n">
        <x:v>15</x:v>
      </x:c>
      <x:c r="G170" s="20" t="str">
        <x:v>V1.0</x:v>
      </x:c>
      <x:c r="H170" s="20" t="str">
        <x:v>寅午半合识别</x:v>
      </x:c>
      <x:c r="I170" s="20" t="str">
        <x:v>识别层</x:v>
      </x:c>
      <x:c r="J170" s="20" t="str">
        <x:v>寅午半合</x:v>
      </x:c>
      <x:c r="K170" s="20" t="str">
        <x:v>原局见寅、午而缺戌，识别为寅午半合；仅属三合结构部分，效应转M06。</x:v>
      </x:c>
      <x:c r="L170" s="20" t="str">
        <x:v>较高</x:v>
      </x:c>
      <x:c r="M170" s="20" t="str">
        <x:v>采用</x:v>
      </x:c>
      <x:c r="N170" s="20" t="str">
        <x:v>初审</x:v>
      </x:c>
      <x:c r="O170" s="22" t="n">
        <x:v>46255</x:v>
      </x:c>
      <x:c r="P170" s="20" t="str">
        <x:v>内部结构化规则：识别层与效应层分离；https://zh.wikisource.org/wiki/淵海子平；https://zh.wikisource.org/zh-hans/三命通會_(四庫全書本)</x:v>
      </x:c>
    </x:row>
    <x:row r="171">
      <x:c r="A171" s="20" t="str">
        <x:v>M05-BANHE-0016-V1.0</x:v>
      </x:c>
      <x:c r="B171" s="20" t="str">
        <x:v>规则</x:v>
      </x:c>
      <x:c r="C171" s="20" t="str">
        <x:v>M05</x:v>
      </x:c>
      <x:c r="D171" s="20" t="str">
        <x:v>05_地支关系识别</x:v>
      </x:c>
      <x:c r="E171" s="20" t="str">
        <x:v>BANHE</x:v>
      </x:c>
      <x:c r="F171" s="20" t="n">
        <x:v>16</x:v>
      </x:c>
      <x:c r="G171" s="20" t="str">
        <x:v>V1.0</x:v>
      </x:c>
      <x:c r="H171" s="20" t="str">
        <x:v>午戌半合识别</x:v>
      </x:c>
      <x:c r="I171" s="20" t="str">
        <x:v>识别层</x:v>
      </x:c>
      <x:c r="J171" s="20" t="str">
        <x:v>午戌半合</x:v>
      </x:c>
      <x:c r="K171" s="20" t="str">
        <x:v>原局见午、戌而缺寅，识别为午戌半合；仅属三合结构部分，效应转M06。</x:v>
      </x:c>
      <x:c r="L171" s="20" t="str">
        <x:v>较高</x:v>
      </x:c>
      <x:c r="M171" s="20" t="str">
        <x:v>采用</x:v>
      </x:c>
      <x:c r="N171" s="20" t="str">
        <x:v>初审</x:v>
      </x:c>
      <x:c r="O171" s="22" t="n">
        <x:v>46255</x:v>
      </x:c>
      <x:c r="P171" s="20" t="str">
        <x:v>内部结构化规则：识别层与效应层分离；https://zh.wikisource.org/wiki/淵海子平；https://zh.wikisource.org/zh-hans/三命通會_(四庫全書本)</x:v>
      </x:c>
    </x:row>
    <x:row r="172">
      <x:c r="A172" s="20" t="str">
        <x:v>M05-BANHE-0017-V1.0</x:v>
      </x:c>
      <x:c r="B172" s="20" t="str">
        <x:v>规则</x:v>
      </x:c>
      <x:c r="C172" s="20" t="str">
        <x:v>M05</x:v>
      </x:c>
      <x:c r="D172" s="20" t="str">
        <x:v>05_地支关系识别</x:v>
      </x:c>
      <x:c r="E172" s="20" t="str">
        <x:v>BANHE</x:v>
      </x:c>
      <x:c r="F172" s="20" t="n">
        <x:v>17</x:v>
      </x:c>
      <x:c r="G172" s="20" t="str">
        <x:v>V1.0</x:v>
      </x:c>
      <x:c r="H172" s="20" t="str">
        <x:v>巳酉半合识别</x:v>
      </x:c>
      <x:c r="I172" s="20" t="str">
        <x:v>识别层</x:v>
      </x:c>
      <x:c r="J172" s="20" t="str">
        <x:v>巳酉半合</x:v>
      </x:c>
      <x:c r="K172" s="20" t="str">
        <x:v>原局见巳、酉而缺丑，识别为巳酉半合；仅属三合结构部分，效应转M06。</x:v>
      </x:c>
      <x:c r="L172" s="20" t="str">
        <x:v>较高</x:v>
      </x:c>
      <x:c r="M172" s="20" t="str">
        <x:v>采用</x:v>
      </x:c>
      <x:c r="N172" s="20" t="str">
        <x:v>初审</x:v>
      </x:c>
      <x:c r="O172" s="22" t="n">
        <x:v>46255</x:v>
      </x:c>
      <x:c r="P172" s="20" t="str">
        <x:v>内部结构化规则：识别层与效应层分离；https://zh.wikisource.org/wiki/淵海子平；https://zh.wikisource.org/zh-hans/三命通會_(四庫全書本)</x:v>
      </x:c>
    </x:row>
    <x:row r="173">
      <x:c r="A173" s="20" t="str">
        <x:v>M05-BANHE-0018-V1.0</x:v>
      </x:c>
      <x:c r="B173" s="20" t="str">
        <x:v>规则</x:v>
      </x:c>
      <x:c r="C173" s="20" t="str">
        <x:v>M05</x:v>
      </x:c>
      <x:c r="D173" s="20" t="str">
        <x:v>05_地支关系识别</x:v>
      </x:c>
      <x:c r="E173" s="20" t="str">
        <x:v>BANHE</x:v>
      </x:c>
      <x:c r="F173" s="20" t="n">
        <x:v>18</x:v>
      </x:c>
      <x:c r="G173" s="20" t="str">
        <x:v>V1.0</x:v>
      </x:c>
      <x:c r="H173" s="20" t="str">
        <x:v>酉丑半合识别</x:v>
      </x:c>
      <x:c r="I173" s="20" t="str">
        <x:v>识别层</x:v>
      </x:c>
      <x:c r="J173" s="20" t="str">
        <x:v>酉丑半合</x:v>
      </x:c>
      <x:c r="K173" s="20" t="str">
        <x:v>原局见酉、丑而缺巳，识别为酉丑半合；仅属三合结构部分，效应转M06。</x:v>
      </x:c>
      <x:c r="L173" s="20" t="str">
        <x:v>较高</x:v>
      </x:c>
      <x:c r="M173" s="20" t="str">
        <x:v>采用</x:v>
      </x:c>
      <x:c r="N173" s="20" t="str">
        <x:v>初审</x:v>
      </x:c>
      <x:c r="O173" s="22" t="n">
        <x:v>46255</x:v>
      </x:c>
      <x:c r="P173" s="20" t="str">
        <x:v>内部结构化规则：识别层与效应层分离；https://zh.wikisource.org/wiki/淵海子平；https://zh.wikisource.org/zh-hans/三命通會_(四庫全書本)</x:v>
      </x:c>
    </x:row>
    <x:row r="174">
      <x:c r="A174" s="20" t="str">
        <x:v>M05-GONGHE-0019-V1.0</x:v>
      </x:c>
      <x:c r="B174" s="20" t="str">
        <x:v>规则</x:v>
      </x:c>
      <x:c r="C174" s="20" t="str">
        <x:v>M05</x:v>
      </x:c>
      <x:c r="D174" s="20" t="str">
        <x:v>05_地支关系识别</x:v>
      </x:c>
      <x:c r="E174" s="20" t="str">
        <x:v>GONGHE</x:v>
      </x:c>
      <x:c r="F174" s="20" t="n">
        <x:v>19</x:v>
      </x:c>
      <x:c r="G174" s="20" t="str">
        <x:v>V1.0</x:v>
      </x:c>
      <x:c r="H174" s="20" t="str">
        <x:v>申辰拱合识别</x:v>
      </x:c>
      <x:c r="I174" s="20" t="str">
        <x:v>识别层</x:v>
      </x:c>
      <x:c r="J174" s="20" t="str">
        <x:v>申辰拱合</x:v>
      </x:c>
      <x:c r="K174" s="20" t="str">
        <x:v>原局见申、辰而缺中神子，识别为申辰拱合；不得把子当作实有地支。</x:v>
      </x:c>
      <x:c r="L174" s="20" t="str">
        <x:v>较高</x:v>
      </x:c>
      <x:c r="M174" s="20" t="str">
        <x:v>采用</x:v>
      </x:c>
      <x:c r="N174" s="20" t="str">
        <x:v>初审</x:v>
      </x:c>
      <x:c r="O174" s="22" t="n">
        <x:v>46255</x:v>
      </x:c>
      <x:c r="P174" s="20" t="str">
        <x:v>内部结构化规则：识别层与效应层分离；https://zh.wikisource.org/wiki/淵海子平；https://zh.wikisource.org/zh-hans/三命通會_(四庫全書本)</x:v>
      </x:c>
    </x:row>
    <x:row r="175">
      <x:c r="A175" s="20" t="str">
        <x:v>M05-GONGHE-0020-V1.0</x:v>
      </x:c>
      <x:c r="B175" s="20" t="str">
        <x:v>规则</x:v>
      </x:c>
      <x:c r="C175" s="20" t="str">
        <x:v>M05</x:v>
      </x:c>
      <x:c r="D175" s="20" t="str">
        <x:v>05_地支关系识别</x:v>
      </x:c>
      <x:c r="E175" s="20" t="str">
        <x:v>GONGHE</x:v>
      </x:c>
      <x:c r="F175" s="20" t="n">
        <x:v>20</x:v>
      </x:c>
      <x:c r="G175" s="20" t="str">
        <x:v>V1.0</x:v>
      </x:c>
      <x:c r="H175" s="20" t="str">
        <x:v>亥未拱合识别</x:v>
      </x:c>
      <x:c r="I175" s="20" t="str">
        <x:v>识别层</x:v>
      </x:c>
      <x:c r="J175" s="20" t="str">
        <x:v>亥未拱合</x:v>
      </x:c>
      <x:c r="K175" s="20" t="str">
        <x:v>原局见亥、未而缺中神卯，识别为亥未拱合；不得把卯当作实有地支。</x:v>
      </x:c>
      <x:c r="L175" s="20" t="str">
        <x:v>较高</x:v>
      </x:c>
      <x:c r="M175" s="20" t="str">
        <x:v>采用</x:v>
      </x:c>
      <x:c r="N175" s="20" t="str">
        <x:v>初审</x:v>
      </x:c>
      <x:c r="O175" s="22" t="n">
        <x:v>46255</x:v>
      </x:c>
      <x:c r="P175" s="20" t="str">
        <x:v>内部结构化规则：识别层与效应层分离；https://zh.wikisource.org/wiki/淵海子平；https://zh.wikisource.org/zh-hans/三命通會_(四庫全書本)</x:v>
      </x:c>
    </x:row>
    <x:row r="176">
      <x:c r="A176" s="20" t="str">
        <x:v>M05-GONGHE-0021-V1.0</x:v>
      </x:c>
      <x:c r="B176" s="20" t="str">
        <x:v>规则</x:v>
      </x:c>
      <x:c r="C176" s="20" t="str">
        <x:v>M05</x:v>
      </x:c>
      <x:c r="D176" s="20" t="str">
        <x:v>05_地支关系识别</x:v>
      </x:c>
      <x:c r="E176" s="20" t="str">
        <x:v>GONGHE</x:v>
      </x:c>
      <x:c r="F176" s="20" t="n">
        <x:v>21</x:v>
      </x:c>
      <x:c r="G176" s="20" t="str">
        <x:v>V1.0</x:v>
      </x:c>
      <x:c r="H176" s="20" t="str">
        <x:v>寅戌拱合识别</x:v>
      </x:c>
      <x:c r="I176" s="20" t="str">
        <x:v>识别层</x:v>
      </x:c>
      <x:c r="J176" s="20" t="str">
        <x:v>寅戌拱合</x:v>
      </x:c>
      <x:c r="K176" s="20" t="str">
        <x:v>原局见寅、戌而缺中神午，识别为寅戌拱合；不得把午当作实有地支。</x:v>
      </x:c>
      <x:c r="L176" s="20" t="str">
        <x:v>较高</x:v>
      </x:c>
      <x:c r="M176" s="20" t="str">
        <x:v>采用</x:v>
      </x:c>
      <x:c r="N176" s="20" t="str">
        <x:v>初审</x:v>
      </x:c>
      <x:c r="O176" s="22" t="n">
        <x:v>46255</x:v>
      </x:c>
      <x:c r="P176" s="20" t="str">
        <x:v>内部结构化规则：识别层与效应层分离；https://zh.wikisource.org/wiki/淵海子平；https://zh.wikisource.org/zh-hans/三命通會_(四庫全書本)</x:v>
      </x:c>
    </x:row>
    <x:row r="177">
      <x:c r="A177" s="20" t="str">
        <x:v>M05-GONGHE-0022-V1.0</x:v>
      </x:c>
      <x:c r="B177" s="20" t="str">
        <x:v>规则</x:v>
      </x:c>
      <x:c r="C177" s="20" t="str">
        <x:v>M05</x:v>
      </x:c>
      <x:c r="D177" s="20" t="str">
        <x:v>05_地支关系识别</x:v>
      </x:c>
      <x:c r="E177" s="20" t="str">
        <x:v>GONGHE</x:v>
      </x:c>
      <x:c r="F177" s="20" t="n">
        <x:v>22</x:v>
      </x:c>
      <x:c r="G177" s="20" t="str">
        <x:v>V1.0</x:v>
      </x:c>
      <x:c r="H177" s="20" t="str">
        <x:v>巳丑拱合识别</x:v>
      </x:c>
      <x:c r="I177" s="20" t="str">
        <x:v>识别层</x:v>
      </x:c>
      <x:c r="J177" s="20" t="str">
        <x:v>巳丑拱合</x:v>
      </x:c>
      <x:c r="K177" s="20" t="str">
        <x:v>原局见巳、丑而缺中神酉，识别为巳丑拱合；不得把酉当作实有地支。</x:v>
      </x:c>
      <x:c r="L177" s="20" t="str">
        <x:v>较高</x:v>
      </x:c>
      <x:c r="M177" s="20" t="str">
        <x:v>采用</x:v>
      </x:c>
      <x:c r="N177" s="20" t="str">
        <x:v>初审</x:v>
      </x:c>
      <x:c r="O177" s="22" t="n">
        <x:v>46255</x:v>
      </x:c>
      <x:c r="P177" s="20" t="str">
        <x:v>内部结构化规则：识别层与效应层分离；https://zh.wikisource.org/wiki/淵海子平；https://zh.wikisource.org/zh-hans/三命通會_(四庫全書本)</x:v>
      </x:c>
    </x:row>
    <x:row r="178">
      <x:c r="A178" s="20" t="str">
        <x:v>M05-SANHUI-0023-V1.0</x:v>
      </x:c>
      <x:c r="B178" s="20" t="str">
        <x:v>规则</x:v>
      </x:c>
      <x:c r="C178" s="20" t="str">
        <x:v>M05</x:v>
      </x:c>
      <x:c r="D178" s="20" t="str">
        <x:v>05_地支关系识别</x:v>
      </x:c>
      <x:c r="E178" s="20" t="str">
        <x:v>SANHUI</x:v>
      </x:c>
      <x:c r="F178" s="20" t="n">
        <x:v>23</x:v>
      </x:c>
      <x:c r="G178" s="20" t="str">
        <x:v>V1.0</x:v>
      </x:c>
      <x:c r="H178" s="20" t="str">
        <x:v>亥子丑三会结构完整识别</x:v>
      </x:c>
      <x:c r="I178" s="20" t="str">
        <x:v>识别层</x:v>
      </x:c>
      <x:c r="J178" s="20" t="str">
        <x:v>亥子丑三会完整</x:v>
      </x:c>
      <x:c r="K178" s="20" t="str">
        <x:v>原局见亥、子、丑，亥子丑三会结构完整；会水局仅为候选，实际效应转M06。</x:v>
      </x:c>
      <x:c r="L178" s="20" t="str">
        <x:v>确定</x:v>
      </x:c>
      <x:c r="M178" s="20" t="str">
        <x:v>采用</x:v>
      </x:c>
      <x:c r="N178" s="20" t="str">
        <x:v>初审</x:v>
      </x:c>
      <x:c r="O178" s="22" t="n">
        <x:v>46255</x:v>
      </x:c>
      <x:c r="P178" s="20" t="str">
        <x:v>https://zh.wikisource.org/wiki/淵海子平；https://zh.wikisource.org/zh-hans/三命通會_(四庫全書本)</x:v>
      </x:c>
    </x:row>
    <x:row r="179">
      <x:c r="A179" s="20" t="str">
        <x:v>M05-SANHUI-0024-V1.0</x:v>
      </x:c>
      <x:c r="B179" s="20" t="str">
        <x:v>规则</x:v>
      </x:c>
      <x:c r="C179" s="20" t="str">
        <x:v>M05</x:v>
      </x:c>
      <x:c r="D179" s="20" t="str">
        <x:v>05_地支关系识别</x:v>
      </x:c>
      <x:c r="E179" s="20" t="str">
        <x:v>SANHUI</x:v>
      </x:c>
      <x:c r="F179" s="20" t="n">
        <x:v>24</x:v>
      </x:c>
      <x:c r="G179" s="20" t="str">
        <x:v>V1.0</x:v>
      </x:c>
      <x:c r="H179" s="20" t="str">
        <x:v>寅卯辰三会结构完整识别</x:v>
      </x:c>
      <x:c r="I179" s="20" t="str">
        <x:v>识别层</x:v>
      </x:c>
      <x:c r="J179" s="20" t="str">
        <x:v>寅卯辰三会完整</x:v>
      </x:c>
      <x:c r="K179" s="20" t="str">
        <x:v>原局见寅、卯、辰，寅卯辰三会结构完整；会木局仅为候选，实际效应转M06。</x:v>
      </x:c>
      <x:c r="L179" s="20" t="str">
        <x:v>确定</x:v>
      </x:c>
      <x:c r="M179" s="20" t="str">
        <x:v>采用</x:v>
      </x:c>
      <x:c r="N179" s="20" t="str">
        <x:v>初审</x:v>
      </x:c>
      <x:c r="O179" s="22" t="n">
        <x:v>46255</x:v>
      </x:c>
      <x:c r="P179" s="20" t="str">
        <x:v>https://zh.wikisource.org/wiki/淵海子平；https://zh.wikisource.org/zh-hans/三命通會_(四庫全書本)</x:v>
      </x:c>
    </x:row>
    <x:row r="180">
      <x:c r="A180" s="20" t="str">
        <x:v>M05-SANHUI-0025-V1.0</x:v>
      </x:c>
      <x:c r="B180" s="20" t="str">
        <x:v>规则</x:v>
      </x:c>
      <x:c r="C180" s="20" t="str">
        <x:v>M05</x:v>
      </x:c>
      <x:c r="D180" s="20" t="str">
        <x:v>05_地支关系识别</x:v>
      </x:c>
      <x:c r="E180" s="20" t="str">
        <x:v>SANHUI</x:v>
      </x:c>
      <x:c r="F180" s="20" t="n">
        <x:v>25</x:v>
      </x:c>
      <x:c r="G180" s="20" t="str">
        <x:v>V1.0</x:v>
      </x:c>
      <x:c r="H180" s="20" t="str">
        <x:v>巳午未三会结构完整识别</x:v>
      </x:c>
      <x:c r="I180" s="20" t="str">
        <x:v>识别层</x:v>
      </x:c>
      <x:c r="J180" s="20" t="str">
        <x:v>巳午未三会完整</x:v>
      </x:c>
      <x:c r="K180" s="20" t="str">
        <x:v>原局见巳、午、未，巳午未三会结构完整；会火局仅为候选，实际效应转M06。</x:v>
      </x:c>
      <x:c r="L180" s="20" t="str">
        <x:v>确定</x:v>
      </x:c>
      <x:c r="M180" s="20" t="str">
        <x:v>采用</x:v>
      </x:c>
      <x:c r="N180" s="20" t="str">
        <x:v>初审</x:v>
      </x:c>
      <x:c r="O180" s="22" t="n">
        <x:v>46255</x:v>
      </x:c>
      <x:c r="P180" s="20" t="str">
        <x:v>https://zh.wikisource.org/wiki/淵海子平；https://zh.wikisource.org/zh-hans/三命通會_(四庫全書本)</x:v>
      </x:c>
    </x:row>
    <x:row r="181">
      <x:c r="A181" s="20" t="str">
        <x:v>M05-SANHUI-0026-V1.0</x:v>
      </x:c>
      <x:c r="B181" s="20" t="str">
        <x:v>规则</x:v>
      </x:c>
      <x:c r="C181" s="20" t="str">
        <x:v>M05</x:v>
      </x:c>
      <x:c r="D181" s="20" t="str">
        <x:v>05_地支关系识别</x:v>
      </x:c>
      <x:c r="E181" s="20" t="str">
        <x:v>SANHUI</x:v>
      </x:c>
      <x:c r="F181" s="20" t="n">
        <x:v>26</x:v>
      </x:c>
      <x:c r="G181" s="20" t="str">
        <x:v>V1.0</x:v>
      </x:c>
      <x:c r="H181" s="20" t="str">
        <x:v>申酉戌三会结构完整识别</x:v>
      </x:c>
      <x:c r="I181" s="20" t="str">
        <x:v>识别层</x:v>
      </x:c>
      <x:c r="J181" s="20" t="str">
        <x:v>申酉戌三会完整</x:v>
      </x:c>
      <x:c r="K181" s="20" t="str">
        <x:v>原局见申、酉、戌，申酉戌三会结构完整；会金局仅为候选，实际效应转M06。</x:v>
      </x:c>
      <x:c r="L181" s="20" t="str">
        <x:v>确定</x:v>
      </x:c>
      <x:c r="M181" s="20" t="str">
        <x:v>采用</x:v>
      </x:c>
      <x:c r="N181" s="20" t="str">
        <x:v>初审</x:v>
      </x:c>
      <x:c r="O181" s="22" t="n">
        <x:v>46255</x:v>
      </x:c>
      <x:c r="P181" s="20" t="str">
        <x:v>https://zh.wikisource.org/wiki/淵海子平；https://zh.wikisource.org/zh-hans/三命通會_(四庫全書本)</x:v>
      </x:c>
    </x:row>
    <x:row r="182">
      <x:c r="A182" s="20" t="str">
        <x:v>M05-CHONG-0027-V1.0</x:v>
      </x:c>
      <x:c r="B182" s="20" t="str">
        <x:v>规则</x:v>
      </x:c>
      <x:c r="C182" s="20" t="str">
        <x:v>M05</x:v>
      </x:c>
      <x:c r="D182" s="20" t="str">
        <x:v>05_地支关系识别</x:v>
      </x:c>
      <x:c r="E182" s="20" t="str">
        <x:v>CHONG</x:v>
      </x:c>
      <x:c r="F182" s="20" t="n">
        <x:v>27</x:v>
      </x:c>
      <x:c r="G182" s="20" t="str">
        <x:v>V1.0</x:v>
      </x:c>
      <x:c r="H182" s="20" t="str">
        <x:v>子午六冲识别</x:v>
      </x:c>
      <x:c r="I182" s="20" t="str">
        <x:v>识别层</x:v>
      </x:c>
      <x:c r="J182" s="20" t="str">
        <x:v>子午冲</x:v>
      </x:c>
      <x:c r="K182" s="20" t="str">
        <x:v>地支见子、午，识别为子午冲；实际是冲动、冲散、冲旺、冲弱还是作用有限，转M06判断。</x:v>
      </x:c>
      <x:c r="L182" s="20" t="str">
        <x:v>确定</x:v>
      </x:c>
      <x:c r="M182" s="20" t="str">
        <x:v>采用</x:v>
      </x:c>
      <x:c r="N182" s="20" t="str">
        <x:v>初审</x:v>
      </x:c>
      <x:c r="O182" s="22" t="n">
        <x:v>46255</x:v>
      </x:c>
      <x:c r="P182" s="20" t="str">
        <x:v>https://zh.wikisource.org/wiki/淵海子平；https://zh.wikisource.org/zh-hans/三命通會_(四庫全書本)</x:v>
      </x:c>
    </x:row>
    <x:row r="183">
      <x:c r="A183" s="20" t="str">
        <x:v>M05-CHONG-0028-V1.0</x:v>
      </x:c>
      <x:c r="B183" s="20" t="str">
        <x:v>规则</x:v>
      </x:c>
      <x:c r="C183" s="20" t="str">
        <x:v>M05</x:v>
      </x:c>
      <x:c r="D183" s="20" t="str">
        <x:v>05_地支关系识别</x:v>
      </x:c>
      <x:c r="E183" s="20" t="str">
        <x:v>CHONG</x:v>
      </x:c>
      <x:c r="F183" s="20" t="n">
        <x:v>28</x:v>
      </x:c>
      <x:c r="G183" s="20" t="str">
        <x:v>V1.0</x:v>
      </x:c>
      <x:c r="H183" s="20" t="str">
        <x:v>丑未六冲识别</x:v>
      </x:c>
      <x:c r="I183" s="20" t="str">
        <x:v>识别层</x:v>
      </x:c>
      <x:c r="J183" s="20" t="str">
        <x:v>丑未冲</x:v>
      </x:c>
      <x:c r="K183" s="20" t="str">
        <x:v>地支见丑、未，识别为丑未冲；实际是冲动、冲散、冲旺、冲弱还是作用有限，转M06判断。</x:v>
      </x:c>
      <x:c r="L183" s="20" t="str">
        <x:v>确定</x:v>
      </x:c>
      <x:c r="M183" s="20" t="str">
        <x:v>采用</x:v>
      </x:c>
      <x:c r="N183" s="20" t="str">
        <x:v>初审</x:v>
      </x:c>
      <x:c r="O183" s="22" t="n">
        <x:v>46255</x:v>
      </x:c>
      <x:c r="P183" s="20" t="str">
        <x:v>https://zh.wikisource.org/wiki/淵海子平；https://zh.wikisource.org/zh-hans/三命通會_(四庫全書本)</x:v>
      </x:c>
    </x:row>
    <x:row r="184">
      <x:c r="A184" s="20" t="str">
        <x:v>M05-CHONG-0029-V1.0</x:v>
      </x:c>
      <x:c r="B184" s="20" t="str">
        <x:v>规则</x:v>
      </x:c>
      <x:c r="C184" s="20" t="str">
        <x:v>M05</x:v>
      </x:c>
      <x:c r="D184" s="20" t="str">
        <x:v>05_地支关系识别</x:v>
      </x:c>
      <x:c r="E184" s="20" t="str">
        <x:v>CHONG</x:v>
      </x:c>
      <x:c r="F184" s="20" t="n">
        <x:v>29</x:v>
      </x:c>
      <x:c r="G184" s="20" t="str">
        <x:v>V1.0</x:v>
      </x:c>
      <x:c r="H184" s="20" t="str">
        <x:v>寅申六冲识别</x:v>
      </x:c>
      <x:c r="I184" s="20" t="str">
        <x:v>识别层</x:v>
      </x:c>
      <x:c r="J184" s="20" t="str">
        <x:v>寅申冲</x:v>
      </x:c>
      <x:c r="K184" s="20" t="str">
        <x:v>地支见寅、申，识别为寅申冲；实际是冲动、冲散、冲旺、冲弱还是作用有限，转M06判断。</x:v>
      </x:c>
      <x:c r="L184" s="20" t="str">
        <x:v>确定</x:v>
      </x:c>
      <x:c r="M184" s="20" t="str">
        <x:v>采用</x:v>
      </x:c>
      <x:c r="N184" s="20" t="str">
        <x:v>初审</x:v>
      </x:c>
      <x:c r="O184" s="22" t="n">
        <x:v>46255</x:v>
      </x:c>
      <x:c r="P184" s="20" t="str">
        <x:v>https://zh.wikisource.org/wiki/淵海子平；https://zh.wikisource.org/zh-hans/三命通會_(四庫全書本)</x:v>
      </x:c>
    </x:row>
    <x:row r="185">
      <x:c r="A185" s="20" t="str">
        <x:v>M05-CHONG-0030-V1.0</x:v>
      </x:c>
      <x:c r="B185" s="20" t="str">
        <x:v>规则</x:v>
      </x:c>
      <x:c r="C185" s="20" t="str">
        <x:v>M05</x:v>
      </x:c>
      <x:c r="D185" s="20" t="str">
        <x:v>05_地支关系识别</x:v>
      </x:c>
      <x:c r="E185" s="20" t="str">
        <x:v>CHONG</x:v>
      </x:c>
      <x:c r="F185" s="20" t="n">
        <x:v>30</x:v>
      </x:c>
      <x:c r="G185" s="20" t="str">
        <x:v>V1.0</x:v>
      </x:c>
      <x:c r="H185" s="20" t="str">
        <x:v>卯酉六冲识别</x:v>
      </x:c>
      <x:c r="I185" s="20" t="str">
        <x:v>识别层</x:v>
      </x:c>
      <x:c r="J185" s="20" t="str">
        <x:v>卯酉冲</x:v>
      </x:c>
      <x:c r="K185" s="20" t="str">
        <x:v>地支见卯、酉，识别为卯酉冲；实际是冲动、冲散、冲旺、冲弱还是作用有限，转M06判断。</x:v>
      </x:c>
      <x:c r="L185" s="20" t="str">
        <x:v>确定</x:v>
      </x:c>
      <x:c r="M185" s="20" t="str">
        <x:v>采用</x:v>
      </x:c>
      <x:c r="N185" s="20" t="str">
        <x:v>初审</x:v>
      </x:c>
      <x:c r="O185" s="22" t="n">
        <x:v>46255</x:v>
      </x:c>
      <x:c r="P185" s="20" t="str">
        <x:v>https://zh.wikisource.org/wiki/淵海子平；https://zh.wikisource.org/zh-hans/三命通會_(四庫全書本)</x:v>
      </x:c>
    </x:row>
    <x:row r="186">
      <x:c r="A186" s="20" t="str">
        <x:v>M05-CHONG-0031-V1.0</x:v>
      </x:c>
      <x:c r="B186" s="20" t="str">
        <x:v>规则</x:v>
      </x:c>
      <x:c r="C186" s="20" t="str">
        <x:v>M05</x:v>
      </x:c>
      <x:c r="D186" s="20" t="str">
        <x:v>05_地支关系识别</x:v>
      </x:c>
      <x:c r="E186" s="20" t="str">
        <x:v>CHONG</x:v>
      </x:c>
      <x:c r="F186" s="20" t="n">
        <x:v>31</x:v>
      </x:c>
      <x:c r="G186" s="20" t="str">
        <x:v>V1.0</x:v>
      </x:c>
      <x:c r="H186" s="20" t="str">
        <x:v>辰戌六冲识别</x:v>
      </x:c>
      <x:c r="I186" s="20" t="str">
        <x:v>识别层</x:v>
      </x:c>
      <x:c r="J186" s="20" t="str">
        <x:v>辰戌冲</x:v>
      </x:c>
      <x:c r="K186" s="20" t="str">
        <x:v>地支见辰、戌，识别为辰戌冲；实际是冲动、冲散、冲旺、冲弱还是作用有限，转M06判断。</x:v>
      </x:c>
      <x:c r="L186" s="20" t="str">
        <x:v>确定</x:v>
      </x:c>
      <x:c r="M186" s="20" t="str">
        <x:v>采用</x:v>
      </x:c>
      <x:c r="N186" s="20" t="str">
        <x:v>初审</x:v>
      </x:c>
      <x:c r="O186" s="22" t="n">
        <x:v>46255</x:v>
      </x:c>
      <x:c r="P186" s="20" t="str">
        <x:v>https://zh.wikisource.org/wiki/淵海子平；https://zh.wikisource.org/zh-hans/三命通會_(四庫全書本)</x:v>
      </x:c>
    </x:row>
    <x:row r="187">
      <x:c r="A187" s="20" t="str">
        <x:v>M05-CHONG-0032-V1.0</x:v>
      </x:c>
      <x:c r="B187" s="20" t="str">
        <x:v>规则</x:v>
      </x:c>
      <x:c r="C187" s="20" t="str">
        <x:v>M05</x:v>
      </x:c>
      <x:c r="D187" s="20" t="str">
        <x:v>05_地支关系识别</x:v>
      </x:c>
      <x:c r="E187" s="20" t="str">
        <x:v>CHONG</x:v>
      </x:c>
      <x:c r="F187" s="20" t="n">
        <x:v>32</x:v>
      </x:c>
      <x:c r="G187" s="20" t="str">
        <x:v>V1.0</x:v>
      </x:c>
      <x:c r="H187" s="20" t="str">
        <x:v>巳亥六冲识别</x:v>
      </x:c>
      <x:c r="I187" s="20" t="str">
        <x:v>识别层</x:v>
      </x:c>
      <x:c r="J187" s="20" t="str">
        <x:v>巳亥冲</x:v>
      </x:c>
      <x:c r="K187" s="20" t="str">
        <x:v>地支见巳、亥，识别为巳亥冲；实际是冲动、冲散、冲旺、冲弱还是作用有限，转M06判断。</x:v>
      </x:c>
      <x:c r="L187" s="20" t="str">
        <x:v>确定</x:v>
      </x:c>
      <x:c r="M187" s="20" t="str">
        <x:v>采用</x:v>
      </x:c>
      <x:c r="N187" s="20" t="str">
        <x:v>初审</x:v>
      </x:c>
      <x:c r="O187" s="22" t="n">
        <x:v>46255</x:v>
      </x:c>
      <x:c r="P187" s="20" t="str">
        <x:v>https://zh.wikisource.org/wiki/淵海子平；https://zh.wikisource.org/zh-hans/三命通會_(四庫全書本)</x:v>
      </x:c>
    </x:row>
    <x:row r="188">
      <x:c r="A188" s="20" t="str">
        <x:v>M05-XING-0033-V1.0</x:v>
      </x:c>
      <x:c r="B188" s="20" t="str">
        <x:v>规则</x:v>
      </x:c>
      <x:c r="C188" s="20" t="str">
        <x:v>M05</x:v>
      </x:c>
      <x:c r="D188" s="20" t="str">
        <x:v>05_地支关系识别</x:v>
      </x:c>
      <x:c r="E188" s="20" t="str">
        <x:v>XING</x:v>
      </x:c>
      <x:c r="F188" s="20" t="n">
        <x:v>33</x:v>
      </x:c>
      <x:c r="G188" s="20" t="str">
        <x:v>V1.0</x:v>
      </x:c>
      <x:c r="H188" s="20" t="str">
        <x:v>寅巳刑支局部关系识别</x:v>
      </x:c>
      <x:c r="I188" s="20" t="str">
        <x:v>识别层</x:v>
      </x:c>
      <x:c r="J188" s="20" t="str">
        <x:v>寅巳刑局部</x:v>
      </x:c>
      <x:c r="K188" s="20" t="str">
        <x:v>原局见寅、巳，识别为寅巳申三刑组的局部刑关系；三支是否齐全及实际效应分别记录。</x:v>
      </x:c>
      <x:c r="L188" s="20" t="str">
        <x:v>较高</x:v>
      </x:c>
      <x:c r="M188" s="20" t="str">
        <x:v>采用</x:v>
      </x:c>
      <x:c r="N188" s="20" t="str">
        <x:v>初审</x:v>
      </x:c>
      <x:c r="O188" s="22" t="n">
        <x:v>46255</x:v>
      </x:c>
      <x:c r="P188" s="20" t="str">
        <x:v>内部结构化规则：识别层与效应层分离；https://zh.wikisource.org/wiki/淵海子平；https://zh.wikisource.org/zh-hans/三命通會_(四庫全書本)</x:v>
      </x:c>
    </x:row>
    <x:row r="189">
      <x:c r="A189" s="20" t="str">
        <x:v>M05-XING-0034-V1.0</x:v>
      </x:c>
      <x:c r="B189" s="20" t="str">
        <x:v>规则</x:v>
      </x:c>
      <x:c r="C189" s="20" t="str">
        <x:v>M05</x:v>
      </x:c>
      <x:c r="D189" s="20" t="str">
        <x:v>05_地支关系识别</x:v>
      </x:c>
      <x:c r="E189" s="20" t="str">
        <x:v>XING</x:v>
      </x:c>
      <x:c r="F189" s="20" t="n">
        <x:v>34</x:v>
      </x:c>
      <x:c r="G189" s="20" t="str">
        <x:v>V1.0</x:v>
      </x:c>
      <x:c r="H189" s="20" t="str">
        <x:v>巳申刑支局部关系识别</x:v>
      </x:c>
      <x:c r="I189" s="20" t="str">
        <x:v>识别层</x:v>
      </x:c>
      <x:c r="J189" s="20" t="str">
        <x:v>巳申刑局部</x:v>
      </x:c>
      <x:c r="K189" s="20" t="str">
        <x:v>原局见巳、申，识别为寅巳申三刑组的局部刑关系；三支是否齐全及实际效应分别记录。</x:v>
      </x:c>
      <x:c r="L189" s="20" t="str">
        <x:v>较高</x:v>
      </x:c>
      <x:c r="M189" s="20" t="str">
        <x:v>采用</x:v>
      </x:c>
      <x:c r="N189" s="20" t="str">
        <x:v>初审</x:v>
      </x:c>
      <x:c r="O189" s="22" t="n">
        <x:v>46255</x:v>
      </x:c>
      <x:c r="P189" s="20" t="str">
        <x:v>内部结构化规则：识别层与效应层分离；https://zh.wikisource.org/wiki/淵海子平；https://zh.wikisource.org/zh-hans/三命通會_(四庫全書本)</x:v>
      </x:c>
    </x:row>
    <x:row r="190">
      <x:c r="A190" s="20" t="str">
        <x:v>M05-XING-0035-V1.0</x:v>
      </x:c>
      <x:c r="B190" s="20" t="str">
        <x:v>规则</x:v>
      </x:c>
      <x:c r="C190" s="20" t="str">
        <x:v>M05</x:v>
      </x:c>
      <x:c r="D190" s="20" t="str">
        <x:v>05_地支关系识别</x:v>
      </x:c>
      <x:c r="E190" s="20" t="str">
        <x:v>XING</x:v>
      </x:c>
      <x:c r="F190" s="20" t="n">
        <x:v>35</x:v>
      </x:c>
      <x:c r="G190" s="20" t="str">
        <x:v>V1.0</x:v>
      </x:c>
      <x:c r="H190" s="20" t="str">
        <x:v>寅申刑支局部关系识别</x:v>
      </x:c>
      <x:c r="I190" s="20" t="str">
        <x:v>识别层</x:v>
      </x:c>
      <x:c r="J190" s="20" t="str">
        <x:v>寅申刑局部</x:v>
      </x:c>
      <x:c r="K190" s="20" t="str">
        <x:v>原局见寅、申，识别为寅巳申三刑组的局部刑关系；三支是否齐全及实际效应分别记录。</x:v>
      </x:c>
      <x:c r="L190" s="20" t="str">
        <x:v>较高</x:v>
      </x:c>
      <x:c r="M190" s="20" t="str">
        <x:v>采用</x:v>
      </x:c>
      <x:c r="N190" s="20" t="str">
        <x:v>初审</x:v>
      </x:c>
      <x:c r="O190" s="22" t="n">
        <x:v>46255</x:v>
      </x:c>
      <x:c r="P190" s="20" t="str">
        <x:v>内部结构化规则：识别层与效应层分离；https://zh.wikisource.org/wiki/淵海子平；https://zh.wikisource.org/zh-hans/三命通會_(四庫全書本)</x:v>
      </x:c>
    </x:row>
    <x:row r="191">
      <x:c r="A191" s="20" t="str">
        <x:v>M05-XING-0036-V1.0</x:v>
      </x:c>
      <x:c r="B191" s="20" t="str">
        <x:v>规则</x:v>
      </x:c>
      <x:c r="C191" s="20" t="str">
        <x:v>M05</x:v>
      </x:c>
      <x:c r="D191" s="20" t="str">
        <x:v>05_地支关系识别</x:v>
      </x:c>
      <x:c r="E191" s="20" t="str">
        <x:v>XING</x:v>
      </x:c>
      <x:c r="F191" s="20" t="n">
        <x:v>36</x:v>
      </x:c>
      <x:c r="G191" s="20" t="str">
        <x:v>V1.0</x:v>
      </x:c>
      <x:c r="H191" s="20" t="str">
        <x:v>寅巳申三刑结构完整识别</x:v>
      </x:c>
      <x:c r="I191" s="20" t="str">
        <x:v>识别层</x:v>
      </x:c>
      <x:c r="J191" s="20" t="str">
        <x:v>寅巳申三刑完整</x:v>
      </x:c>
      <x:c r="K191" s="20" t="str">
        <x:v>原局寅、巳、申齐全，三刑结构完整；各支实际受力须结合月令、根气、透干及叠加关系进入M06逐支判断。</x:v>
      </x:c>
      <x:c r="L191" s="20" t="str">
        <x:v>确定</x:v>
      </x:c>
      <x:c r="M191" s="20" t="str">
        <x:v>采用</x:v>
      </x:c>
      <x:c r="N191" s="20" t="str">
        <x:v>初审</x:v>
      </x:c>
      <x:c r="O191" s="22" t="n">
        <x:v>46255</x:v>
      </x:c>
      <x:c r="P191" s="20" t="str">
        <x:v>内部结构化规则：识别层与效应层分离；https://zh.wikisource.org/wiki/淵海子平；https://zh.wikisource.org/zh-hans/三命通會_(四庫全書本)</x:v>
      </x:c>
    </x:row>
    <x:row r="192">
      <x:c r="A192" s="20" t="str">
        <x:v>M05-XING-0037-V1.0</x:v>
      </x:c>
      <x:c r="B192" s="20" t="str">
        <x:v>规则</x:v>
      </x:c>
      <x:c r="C192" s="20" t="str">
        <x:v>M05</x:v>
      </x:c>
      <x:c r="D192" s="20" t="str">
        <x:v>05_地支关系识别</x:v>
      </x:c>
      <x:c r="E192" s="20" t="str">
        <x:v>XING</x:v>
      </x:c>
      <x:c r="F192" s="20" t="n">
        <x:v>37</x:v>
      </x:c>
      <x:c r="G192" s="20" t="str">
        <x:v>V1.0</x:v>
      </x:c>
      <x:c r="H192" s="20" t="str">
        <x:v>丑戌刑支局部关系识别</x:v>
      </x:c>
      <x:c r="I192" s="20" t="str">
        <x:v>识别层</x:v>
      </x:c>
      <x:c r="J192" s="20" t="str">
        <x:v>丑戌刑局部</x:v>
      </x:c>
      <x:c r="K192" s="20" t="str">
        <x:v>原局见丑、戌，识别为丑未戌三刑组的局部刑关系；三支是否齐全及实际效应分别记录。</x:v>
      </x:c>
      <x:c r="L192" s="20" t="str">
        <x:v>较高</x:v>
      </x:c>
      <x:c r="M192" s="20" t="str">
        <x:v>采用</x:v>
      </x:c>
      <x:c r="N192" s="20" t="str">
        <x:v>初审</x:v>
      </x:c>
      <x:c r="O192" s="22" t="n">
        <x:v>46255</x:v>
      </x:c>
      <x:c r="P192" s="20" t="str">
        <x:v>内部结构化规则：识别层与效应层分离；https://zh.wikisource.org/wiki/淵海子平；https://zh.wikisource.org/zh-hans/三命通會_(四庫全書本)</x:v>
      </x:c>
    </x:row>
    <x:row r="193">
      <x:c r="A193" s="20" t="str">
        <x:v>M05-XING-0038-V1.0</x:v>
      </x:c>
      <x:c r="B193" s="20" t="str">
        <x:v>规则</x:v>
      </x:c>
      <x:c r="C193" s="20" t="str">
        <x:v>M05</x:v>
      </x:c>
      <x:c r="D193" s="20" t="str">
        <x:v>05_地支关系识别</x:v>
      </x:c>
      <x:c r="E193" s="20" t="str">
        <x:v>XING</x:v>
      </x:c>
      <x:c r="F193" s="20" t="n">
        <x:v>38</x:v>
      </x:c>
      <x:c r="G193" s="20" t="str">
        <x:v>V1.0</x:v>
      </x:c>
      <x:c r="H193" s="20" t="str">
        <x:v>未戌刑支局部关系识别</x:v>
      </x:c>
      <x:c r="I193" s="20" t="str">
        <x:v>识别层</x:v>
      </x:c>
      <x:c r="J193" s="20" t="str">
        <x:v>未戌刑局部</x:v>
      </x:c>
      <x:c r="K193" s="20" t="str">
        <x:v>原局见戌、未，识别为丑未戌三刑组的局部刑关系；三支是否齐全及实际效应分别记录。</x:v>
      </x:c>
      <x:c r="L193" s="20" t="str">
        <x:v>较高</x:v>
      </x:c>
      <x:c r="M193" s="20" t="str">
        <x:v>采用</x:v>
      </x:c>
      <x:c r="N193" s="20" t="str">
        <x:v>初审</x:v>
      </x:c>
      <x:c r="O193" s="22" t="n">
        <x:v>46255</x:v>
      </x:c>
      <x:c r="P193" s="20" t="str">
        <x:v>内部结构化规则：识别层与效应层分离；https://zh.wikisource.org/wiki/淵海子平；https://zh.wikisource.org/zh-hans/三命通會_(四庫全書本)</x:v>
      </x:c>
    </x:row>
    <x:row r="194">
      <x:c r="A194" s="20" t="str">
        <x:v>M05-XING-0039-V1.0</x:v>
      </x:c>
      <x:c r="B194" s="20" t="str">
        <x:v>规则</x:v>
      </x:c>
      <x:c r="C194" s="20" t="str">
        <x:v>M05</x:v>
      </x:c>
      <x:c r="D194" s="20" t="str">
        <x:v>05_地支关系识别</x:v>
      </x:c>
      <x:c r="E194" s="20" t="str">
        <x:v>XING</x:v>
      </x:c>
      <x:c r="F194" s="20" t="n">
        <x:v>39</x:v>
      </x:c>
      <x:c r="G194" s="20" t="str">
        <x:v>V1.0</x:v>
      </x:c>
      <x:c r="H194" s="20" t="str">
        <x:v>丑未刑支局部关系识别</x:v>
      </x:c>
      <x:c r="I194" s="20" t="str">
        <x:v>识别层</x:v>
      </x:c>
      <x:c r="J194" s="20" t="str">
        <x:v>丑未刑局部</x:v>
      </x:c>
      <x:c r="K194" s="20" t="str">
        <x:v>原局见丑、未，识别为丑未戌三刑组的局部刑关系；三支是否齐全及实际效应分别记录。</x:v>
      </x:c>
      <x:c r="L194" s="20" t="str">
        <x:v>较高</x:v>
      </x:c>
      <x:c r="M194" s="20" t="str">
        <x:v>采用</x:v>
      </x:c>
      <x:c r="N194" s="20" t="str">
        <x:v>初审</x:v>
      </x:c>
      <x:c r="O194" s="22" t="n">
        <x:v>46255</x:v>
      </x:c>
      <x:c r="P194" s="20" t="str">
        <x:v>内部结构化规则：识别层与效应层分离；https://zh.wikisource.org/wiki/淵海子平；https://zh.wikisource.org/zh-hans/三命通會_(四庫全書本)</x:v>
      </x:c>
    </x:row>
    <x:row r="195">
      <x:c r="A195" s="20" t="str">
        <x:v>M05-XING-0040-V1.0</x:v>
      </x:c>
      <x:c r="B195" s="20" t="str">
        <x:v>规则</x:v>
      </x:c>
      <x:c r="C195" s="20" t="str">
        <x:v>M05</x:v>
      </x:c>
      <x:c r="D195" s="20" t="str">
        <x:v>05_地支关系识别</x:v>
      </x:c>
      <x:c r="E195" s="20" t="str">
        <x:v>XING</x:v>
      </x:c>
      <x:c r="F195" s="20" t="n">
        <x:v>40</x:v>
      </x:c>
      <x:c r="G195" s="20" t="str">
        <x:v>V1.0</x:v>
      </x:c>
      <x:c r="H195" s="20" t="str">
        <x:v>丑未戌三刑结构完整识别</x:v>
      </x:c>
      <x:c r="I195" s="20" t="str">
        <x:v>识别层</x:v>
      </x:c>
      <x:c r="J195" s="20" t="str">
        <x:v>丑未戌三刑完整</x:v>
      </x:c>
      <x:c r="K195" s="20" t="str">
        <x:v>原局丑、未、戌齐全，三刑结构完整；各支实际效应须结合月令、藏干、透干及叠加关系进入M06逐支判断。</x:v>
      </x:c>
      <x:c r="L195" s="20" t="str">
        <x:v>确定</x:v>
      </x:c>
      <x:c r="M195" s="20" t="str">
        <x:v>采用</x:v>
      </x:c>
      <x:c r="N195" s="20" t="str">
        <x:v>初审</x:v>
      </x:c>
      <x:c r="O195" s="22" t="n">
        <x:v>46255</x:v>
      </x:c>
      <x:c r="P195" s="20" t="str">
        <x:v>内部结构化规则：识别层与效应层分离；https://zh.wikisource.org/wiki/淵海子平；https://zh.wikisource.org/zh-hans/三命通會_(四庫全書本)</x:v>
      </x:c>
    </x:row>
    <x:row r="196">
      <x:c r="A196" s="20" t="str">
        <x:v>M05-XING-0041-V1.0</x:v>
      </x:c>
      <x:c r="B196" s="20" t="str">
        <x:v>规则</x:v>
      </x:c>
      <x:c r="C196" s="20" t="str">
        <x:v>M05</x:v>
      </x:c>
      <x:c r="D196" s="20" t="str">
        <x:v>05_地支关系识别</x:v>
      </x:c>
      <x:c r="E196" s="20" t="str">
        <x:v>XING</x:v>
      </x:c>
      <x:c r="F196" s="20" t="n">
        <x:v>41</x:v>
      </x:c>
      <x:c r="G196" s="20" t="str">
        <x:v>V1.0</x:v>
      </x:c>
      <x:c r="H196" s="20" t="str">
        <x:v>子卯刑关系识别</x:v>
      </x:c>
      <x:c r="I196" s="20" t="str">
        <x:v>识别层</x:v>
      </x:c>
      <x:c r="J196" s="20" t="str">
        <x:v>子卯刑</x:v>
      </x:c>
      <x:c r="K196" s="20" t="str">
        <x:v>地支见子、卯，识别为子卯刑；实际作用与力量结果转M06判断。</x:v>
      </x:c>
      <x:c r="L196" s="20" t="str">
        <x:v>较高</x:v>
      </x:c>
      <x:c r="M196" s="20" t="str">
        <x:v>采用</x:v>
      </x:c>
      <x:c r="N196" s="20" t="str">
        <x:v>初审</x:v>
      </x:c>
      <x:c r="O196" s="22" t="n">
        <x:v>46255</x:v>
      </x:c>
      <x:c r="P196" s="20" t="str">
        <x:v>https://zh.wikisource.org/wiki/淵海子平；https://zh.wikisource.org/zh-hans/三命通會_(四庫全書本)</x:v>
      </x:c>
    </x:row>
    <x:row r="197">
      <x:c r="A197" s="20" t="str">
        <x:v>M05-ZIXING-0042-V1.0</x:v>
      </x:c>
      <x:c r="B197" s="20" t="str">
        <x:v>规则</x:v>
      </x:c>
      <x:c r="C197" s="20" t="str">
        <x:v>M05</x:v>
      </x:c>
      <x:c r="D197" s="20" t="str">
        <x:v>05_地支关系识别</x:v>
      </x:c>
      <x:c r="E197" s="20" t="str">
        <x:v>ZIXING</x:v>
      </x:c>
      <x:c r="F197" s="20" t="n">
        <x:v>42</x:v>
      </x:c>
      <x:c r="G197" s="20" t="str">
        <x:v>V1.0</x:v>
      </x:c>
      <x:c r="H197" s="20" t="str">
        <x:v>辰辰自刑识别</x:v>
      </x:c>
      <x:c r="I197" s="20" t="str">
        <x:v>识别层</x:v>
      </x:c>
      <x:c r="J197" s="20" t="str">
        <x:v>辰辰自刑</x:v>
      </x:c>
      <x:c r="K197" s="20" t="str">
        <x:v>原局辰支重复至少两次，识别为辰辰自刑候选；效应强弱与流派差异转M06、M21。</x:v>
      </x:c>
      <x:c r="L197" s="20" t="str">
        <x:v>中等</x:v>
      </x:c>
      <x:c r="M197" s="20" t="str">
        <x:v>待验证</x:v>
      </x:c>
      <x:c r="N197" s="20" t="str">
        <x:v>初审</x:v>
      </x:c>
      <x:c r="O197" s="22" t="n">
        <x:v>46255</x:v>
      </x:c>
      <x:c r="P197" s="20" t="str">
        <x:v>内部结构化规则：识别层与效应层分离；https://zh.wikisource.org/wiki/淵海子平；https://zh.wikisource.org/zh-hans/三命通會_(四庫全書本)</x:v>
      </x:c>
    </x:row>
    <x:row r="198">
      <x:c r="A198" s="20" t="str">
        <x:v>M05-ZIXING-0043-V1.0</x:v>
      </x:c>
      <x:c r="B198" s="20" t="str">
        <x:v>规则</x:v>
      </x:c>
      <x:c r="C198" s="20" t="str">
        <x:v>M05</x:v>
      </x:c>
      <x:c r="D198" s="20" t="str">
        <x:v>05_地支关系识别</x:v>
      </x:c>
      <x:c r="E198" s="20" t="str">
        <x:v>ZIXING</x:v>
      </x:c>
      <x:c r="F198" s="20" t="n">
        <x:v>43</x:v>
      </x:c>
      <x:c r="G198" s="20" t="str">
        <x:v>V1.0</x:v>
      </x:c>
      <x:c r="H198" s="20" t="str">
        <x:v>午午自刑识别</x:v>
      </x:c>
      <x:c r="I198" s="20" t="str">
        <x:v>识别层</x:v>
      </x:c>
      <x:c r="J198" s="20" t="str">
        <x:v>午午自刑</x:v>
      </x:c>
      <x:c r="K198" s="20" t="str">
        <x:v>原局午支重复至少两次，识别为午午自刑候选；效应强弱与流派差异转M06、M21。</x:v>
      </x:c>
      <x:c r="L198" s="20" t="str">
        <x:v>中等</x:v>
      </x:c>
      <x:c r="M198" s="20" t="str">
        <x:v>待验证</x:v>
      </x:c>
      <x:c r="N198" s="20" t="str">
        <x:v>初审</x:v>
      </x:c>
      <x:c r="O198" s="22" t="n">
        <x:v>46255</x:v>
      </x:c>
      <x:c r="P198" s="20" t="str">
        <x:v>内部结构化规则：识别层与效应层分离；https://zh.wikisource.org/wiki/淵海子平；https://zh.wikisource.org/zh-hans/三命通會_(四庫全書本)</x:v>
      </x:c>
    </x:row>
    <x:row r="199">
      <x:c r="A199" s="20" t="str">
        <x:v>M05-ZIXING-0044-V1.0</x:v>
      </x:c>
      <x:c r="B199" s="20" t="str">
        <x:v>规则</x:v>
      </x:c>
      <x:c r="C199" s="20" t="str">
        <x:v>M05</x:v>
      </x:c>
      <x:c r="D199" s="20" t="str">
        <x:v>05_地支关系识别</x:v>
      </x:c>
      <x:c r="E199" s="20" t="str">
        <x:v>ZIXING</x:v>
      </x:c>
      <x:c r="F199" s="20" t="n">
        <x:v>44</x:v>
      </x:c>
      <x:c r="G199" s="20" t="str">
        <x:v>V1.0</x:v>
      </x:c>
      <x:c r="H199" s="20" t="str">
        <x:v>酉酉自刑识别</x:v>
      </x:c>
      <x:c r="I199" s="20" t="str">
        <x:v>识别层</x:v>
      </x:c>
      <x:c r="J199" s="20" t="str">
        <x:v>酉酉自刑</x:v>
      </x:c>
      <x:c r="K199" s="20" t="str">
        <x:v>原局酉支重复至少两次，识别为酉酉自刑候选；效应强弱与流派差异转M06、M21。</x:v>
      </x:c>
      <x:c r="L199" s="20" t="str">
        <x:v>中等</x:v>
      </x:c>
      <x:c r="M199" s="20" t="str">
        <x:v>待验证</x:v>
      </x:c>
      <x:c r="N199" s="20" t="str">
        <x:v>初审</x:v>
      </x:c>
      <x:c r="O199" s="22" t="n">
        <x:v>46255</x:v>
      </x:c>
      <x:c r="P199" s="20" t="str">
        <x:v>内部结构化规则：识别层与效应层分离；https://zh.wikisource.org/wiki/淵海子平；https://zh.wikisource.org/zh-hans/三命通會_(四庫全書本)</x:v>
      </x:c>
    </x:row>
    <x:row r="200">
      <x:c r="A200" s="20" t="str">
        <x:v>M05-ZIXING-0045-V1.0</x:v>
      </x:c>
      <x:c r="B200" s="20" t="str">
        <x:v>规则</x:v>
      </x:c>
      <x:c r="C200" s="20" t="str">
        <x:v>M05</x:v>
      </x:c>
      <x:c r="D200" s="20" t="str">
        <x:v>05_地支关系识别</x:v>
      </x:c>
      <x:c r="E200" s="20" t="str">
        <x:v>ZIXING</x:v>
      </x:c>
      <x:c r="F200" s="20" t="n">
        <x:v>45</x:v>
      </x:c>
      <x:c r="G200" s="20" t="str">
        <x:v>V1.0</x:v>
      </x:c>
      <x:c r="H200" s="20" t="str">
        <x:v>亥亥自刑识别</x:v>
      </x:c>
      <x:c r="I200" s="20" t="str">
        <x:v>识别层</x:v>
      </x:c>
      <x:c r="J200" s="20" t="str">
        <x:v>亥亥自刑</x:v>
      </x:c>
      <x:c r="K200" s="20" t="str">
        <x:v>原局亥支重复至少两次，识别为亥亥自刑候选；效应强弱与流派差异转M06、M21。</x:v>
      </x:c>
      <x:c r="L200" s="20" t="str">
        <x:v>中等</x:v>
      </x:c>
      <x:c r="M200" s="20" t="str">
        <x:v>待验证</x:v>
      </x:c>
      <x:c r="N200" s="20" t="str">
        <x:v>初审</x:v>
      </x:c>
      <x:c r="O200" s="22" t="n">
        <x:v>46255</x:v>
      </x:c>
      <x:c r="P200" s="20" t="str">
        <x:v>内部结构化规则：识别层与效应层分离；https://zh.wikisource.org/wiki/淵海子平；https://zh.wikisource.org/zh-hans/三命通會_(四庫全書本)</x:v>
      </x:c>
    </x:row>
    <x:row r="201">
      <x:c r="A201" s="20" t="str">
        <x:v>M05-HAI-0046-V1.0</x:v>
      </x:c>
      <x:c r="B201" s="20" t="str">
        <x:v>规则</x:v>
      </x:c>
      <x:c r="C201" s="20" t="str">
        <x:v>M05</x:v>
      </x:c>
      <x:c r="D201" s="20" t="str">
        <x:v>05_地支关系识别</x:v>
      </x:c>
      <x:c r="E201" s="20" t="str">
        <x:v>HAI</x:v>
      </x:c>
      <x:c r="F201" s="20" t="n">
        <x:v>46</x:v>
      </x:c>
      <x:c r="G201" s="20" t="str">
        <x:v>V1.0</x:v>
      </x:c>
      <x:c r="H201" s="20" t="str">
        <x:v>子未六害识别</x:v>
      </x:c>
      <x:c r="I201" s="20" t="str">
        <x:v>识别层</x:v>
      </x:c>
      <x:c r="J201" s="20" t="str">
        <x:v>子未害</x:v>
      </x:c>
      <x:c r="K201" s="20" t="str">
        <x:v>地支见子、未，识别为子未害；实际作用及力量结果转M06判断。</x:v>
      </x:c>
      <x:c r="L201" s="20" t="str">
        <x:v>较高</x:v>
      </x:c>
      <x:c r="M201" s="20" t="str">
        <x:v>采用</x:v>
      </x:c>
      <x:c r="N201" s="20" t="str">
        <x:v>初审</x:v>
      </x:c>
      <x:c r="O201" s="22" t="n">
        <x:v>46255</x:v>
      </x:c>
      <x:c r="P201" s="20" t="str">
        <x:v>https://zh.wikisource.org/wiki/淵海子平；https://zh.wikisource.org/zh-hans/三命通會_(四庫全書本)</x:v>
      </x:c>
    </x:row>
    <x:row r="202">
      <x:c r="A202" s="20" t="str">
        <x:v>M05-HAI-0047-V1.0</x:v>
      </x:c>
      <x:c r="B202" s="20" t="str">
        <x:v>规则</x:v>
      </x:c>
      <x:c r="C202" s="20" t="str">
        <x:v>M05</x:v>
      </x:c>
      <x:c r="D202" s="20" t="str">
        <x:v>05_地支关系识别</x:v>
      </x:c>
      <x:c r="E202" s="20" t="str">
        <x:v>HAI</x:v>
      </x:c>
      <x:c r="F202" s="20" t="n">
        <x:v>47</x:v>
      </x:c>
      <x:c r="G202" s="20" t="str">
        <x:v>V1.0</x:v>
      </x:c>
      <x:c r="H202" s="20" t="str">
        <x:v>丑午六害识别</x:v>
      </x:c>
      <x:c r="I202" s="20" t="str">
        <x:v>识别层</x:v>
      </x:c>
      <x:c r="J202" s="20" t="str">
        <x:v>丑午害</x:v>
      </x:c>
      <x:c r="K202" s="20" t="str">
        <x:v>地支见丑、午，识别为丑午害；实际作用及力量结果转M06判断。</x:v>
      </x:c>
      <x:c r="L202" s="20" t="str">
        <x:v>较高</x:v>
      </x:c>
      <x:c r="M202" s="20" t="str">
        <x:v>采用</x:v>
      </x:c>
      <x:c r="N202" s="20" t="str">
        <x:v>初审</x:v>
      </x:c>
      <x:c r="O202" s="22" t="n">
        <x:v>46255</x:v>
      </x:c>
      <x:c r="P202" s="20" t="str">
        <x:v>https://zh.wikisource.org/wiki/淵海子平；https://zh.wikisource.org/zh-hans/三命通會_(四庫全書本)</x:v>
      </x:c>
    </x:row>
    <x:row r="203">
      <x:c r="A203" s="20" t="str">
        <x:v>M05-HAI-0048-V1.0</x:v>
      </x:c>
      <x:c r="B203" s="20" t="str">
        <x:v>规则</x:v>
      </x:c>
      <x:c r="C203" s="20" t="str">
        <x:v>M05</x:v>
      </x:c>
      <x:c r="D203" s="20" t="str">
        <x:v>05_地支关系识别</x:v>
      </x:c>
      <x:c r="E203" s="20" t="str">
        <x:v>HAI</x:v>
      </x:c>
      <x:c r="F203" s="20" t="n">
        <x:v>48</x:v>
      </x:c>
      <x:c r="G203" s="20" t="str">
        <x:v>V1.0</x:v>
      </x:c>
      <x:c r="H203" s="20" t="str">
        <x:v>寅巳六害识别</x:v>
      </x:c>
      <x:c r="I203" s="20" t="str">
        <x:v>识别层</x:v>
      </x:c>
      <x:c r="J203" s="20" t="str">
        <x:v>寅巳害</x:v>
      </x:c>
      <x:c r="K203" s="20" t="str">
        <x:v>地支见寅、巳，识别为寅巳害；实际作用及力量结果转M06判断。</x:v>
      </x:c>
      <x:c r="L203" s="20" t="str">
        <x:v>较高</x:v>
      </x:c>
      <x:c r="M203" s="20" t="str">
        <x:v>采用</x:v>
      </x:c>
      <x:c r="N203" s="20" t="str">
        <x:v>初审</x:v>
      </x:c>
      <x:c r="O203" s="22" t="n">
        <x:v>46255</x:v>
      </x:c>
      <x:c r="P203" s="20" t="str">
        <x:v>https://zh.wikisource.org/wiki/淵海子平；https://zh.wikisource.org/zh-hans/三命通會_(四庫全書本)</x:v>
      </x:c>
    </x:row>
    <x:row r="204">
      <x:c r="A204" s="20" t="str">
        <x:v>M05-HAI-0049-V1.0</x:v>
      </x:c>
      <x:c r="B204" s="20" t="str">
        <x:v>规则</x:v>
      </x:c>
      <x:c r="C204" s="20" t="str">
        <x:v>M05</x:v>
      </x:c>
      <x:c r="D204" s="20" t="str">
        <x:v>05_地支关系识别</x:v>
      </x:c>
      <x:c r="E204" s="20" t="str">
        <x:v>HAI</x:v>
      </x:c>
      <x:c r="F204" s="20" t="n">
        <x:v>49</x:v>
      </x:c>
      <x:c r="G204" s="20" t="str">
        <x:v>V1.0</x:v>
      </x:c>
      <x:c r="H204" s="20" t="str">
        <x:v>卯辰六害识别</x:v>
      </x:c>
      <x:c r="I204" s="20" t="str">
        <x:v>识别层</x:v>
      </x:c>
      <x:c r="J204" s="20" t="str">
        <x:v>卯辰害</x:v>
      </x:c>
      <x:c r="K204" s="20" t="str">
        <x:v>地支见卯、辰，识别为卯辰害；实际作用及力量结果转M06判断。</x:v>
      </x:c>
      <x:c r="L204" s="20" t="str">
        <x:v>较高</x:v>
      </x:c>
      <x:c r="M204" s="20" t="str">
        <x:v>采用</x:v>
      </x:c>
      <x:c r="N204" s="20" t="str">
        <x:v>初审</x:v>
      </x:c>
      <x:c r="O204" s="22" t="n">
        <x:v>46255</x:v>
      </x:c>
      <x:c r="P204" s="20" t="str">
        <x:v>https://zh.wikisource.org/wiki/淵海子平；https://zh.wikisource.org/zh-hans/三命通會_(四庫全書本)</x:v>
      </x:c>
    </x:row>
    <x:row r="205">
      <x:c r="A205" s="20" t="str">
        <x:v>M05-HAI-0050-V1.0</x:v>
      </x:c>
      <x:c r="B205" s="20" t="str">
        <x:v>规则</x:v>
      </x:c>
      <x:c r="C205" s="20" t="str">
        <x:v>M05</x:v>
      </x:c>
      <x:c r="D205" s="20" t="str">
        <x:v>05_地支关系识别</x:v>
      </x:c>
      <x:c r="E205" s="20" t="str">
        <x:v>HAI</x:v>
      </x:c>
      <x:c r="F205" s="20" t="n">
        <x:v>50</x:v>
      </x:c>
      <x:c r="G205" s="20" t="str">
        <x:v>V1.0</x:v>
      </x:c>
      <x:c r="H205" s="20" t="str">
        <x:v>申亥六害识别</x:v>
      </x:c>
      <x:c r="I205" s="20" t="str">
        <x:v>识别层</x:v>
      </x:c>
      <x:c r="J205" s="20" t="str">
        <x:v>申亥害</x:v>
      </x:c>
      <x:c r="K205" s="20" t="str">
        <x:v>地支见申、亥，识别为申亥害；实际作用及力量结果转M06判断。</x:v>
      </x:c>
      <x:c r="L205" s="20" t="str">
        <x:v>较高</x:v>
      </x:c>
      <x:c r="M205" s="20" t="str">
        <x:v>采用</x:v>
      </x:c>
      <x:c r="N205" s="20" t="str">
        <x:v>初审</x:v>
      </x:c>
      <x:c r="O205" s="22" t="n">
        <x:v>46255</x:v>
      </x:c>
      <x:c r="P205" s="20" t="str">
        <x:v>https://zh.wikisource.org/wiki/淵海子平；https://zh.wikisource.org/zh-hans/三命通會_(四庫全書本)</x:v>
      </x:c>
    </x:row>
    <x:row r="206">
      <x:c r="A206" s="20" t="str">
        <x:v>M05-HAI-0051-V1.0</x:v>
      </x:c>
      <x:c r="B206" s="20" t="str">
        <x:v>规则</x:v>
      </x:c>
      <x:c r="C206" s="20" t="str">
        <x:v>M05</x:v>
      </x:c>
      <x:c r="D206" s="20" t="str">
        <x:v>05_地支关系识别</x:v>
      </x:c>
      <x:c r="E206" s="20" t="str">
        <x:v>HAI</x:v>
      </x:c>
      <x:c r="F206" s="20" t="n">
        <x:v>51</x:v>
      </x:c>
      <x:c r="G206" s="20" t="str">
        <x:v>V1.0</x:v>
      </x:c>
      <x:c r="H206" s="20" t="str">
        <x:v>酉戌六害识别</x:v>
      </x:c>
      <x:c r="I206" s="20" t="str">
        <x:v>识别层</x:v>
      </x:c>
      <x:c r="J206" s="20" t="str">
        <x:v>酉戌害</x:v>
      </x:c>
      <x:c r="K206" s="20" t="str">
        <x:v>地支见酉、戌，识别为酉戌害；实际作用及力量结果转M06判断。</x:v>
      </x:c>
      <x:c r="L206" s="20" t="str">
        <x:v>较高</x:v>
      </x:c>
      <x:c r="M206" s="20" t="str">
        <x:v>采用</x:v>
      </x:c>
      <x:c r="N206" s="20" t="str">
        <x:v>初审</x:v>
      </x:c>
      <x:c r="O206" s="22" t="n">
        <x:v>46255</x:v>
      </x:c>
      <x:c r="P206" s="20" t="str">
        <x:v>https://zh.wikisource.org/wiki/淵海子平；https://zh.wikisource.org/zh-hans/三命通會_(四庫全書本)</x:v>
      </x:c>
    </x:row>
    <x:row r="207">
      <x:c r="A207" s="20" t="str">
        <x:v>M05-PO-0052-V1.0</x:v>
      </x:c>
      <x:c r="B207" s="20" t="str">
        <x:v>规则</x:v>
      </x:c>
      <x:c r="C207" s="20" t="str">
        <x:v>M05</x:v>
      </x:c>
      <x:c r="D207" s="20" t="str">
        <x:v>05_地支关系识别</x:v>
      </x:c>
      <x:c r="E207" s="20" t="str">
        <x:v>PO</x:v>
      </x:c>
      <x:c r="F207" s="20" t="n">
        <x:v>52</x:v>
      </x:c>
      <x:c r="G207" s="20" t="str">
        <x:v>V1.0</x:v>
      </x:c>
      <x:c r="H207" s="20" t="str">
        <x:v>子酉六破识别</x:v>
      </x:c>
      <x:c r="I207" s="20" t="str">
        <x:v>识别层</x:v>
      </x:c>
      <x:c r="J207" s="20" t="str">
        <x:v>子酉破</x:v>
      </x:c>
      <x:c r="K207" s="20" t="str">
        <x:v>地支见子、酉，识别为子酉破；实际效应及权重转M06、M21判断。</x:v>
      </x:c>
      <x:c r="L207" s="20" t="str">
        <x:v>中等</x:v>
      </x:c>
      <x:c r="M207" s="20" t="str">
        <x:v>待验证</x:v>
      </x:c>
      <x:c r="N207" s="20" t="str">
        <x:v>初审</x:v>
      </x:c>
      <x:c r="O207" s="22" t="n">
        <x:v>46255</x:v>
      </x:c>
      <x:c r="P207" s="20" t="str">
        <x:v>内部结构化规则：识别层与效应层分离；https://zh.wikisource.org/wiki/淵海子平；https://zh.wikisource.org/zh-hans/三命通會_(四庫全書本)</x:v>
      </x:c>
    </x:row>
    <x:row r="208">
      <x:c r="A208" s="20" t="str">
        <x:v>M05-PO-0053-V1.0</x:v>
      </x:c>
      <x:c r="B208" s="20" t="str">
        <x:v>规则</x:v>
      </x:c>
      <x:c r="C208" s="20" t="str">
        <x:v>M05</x:v>
      </x:c>
      <x:c r="D208" s="20" t="str">
        <x:v>05_地支关系识别</x:v>
      </x:c>
      <x:c r="E208" s="20" t="str">
        <x:v>PO</x:v>
      </x:c>
      <x:c r="F208" s="20" t="n">
        <x:v>53</x:v>
      </x:c>
      <x:c r="G208" s="20" t="str">
        <x:v>V1.0</x:v>
      </x:c>
      <x:c r="H208" s="20" t="str">
        <x:v>丑辰六破识别</x:v>
      </x:c>
      <x:c r="I208" s="20" t="str">
        <x:v>识别层</x:v>
      </x:c>
      <x:c r="J208" s="20" t="str">
        <x:v>丑辰破</x:v>
      </x:c>
      <x:c r="K208" s="20" t="str">
        <x:v>地支见丑、辰，识别为丑辰破；实际效应及权重转M06、M21判断。</x:v>
      </x:c>
      <x:c r="L208" s="20" t="str">
        <x:v>中等</x:v>
      </x:c>
      <x:c r="M208" s="20" t="str">
        <x:v>待验证</x:v>
      </x:c>
      <x:c r="N208" s="20" t="str">
        <x:v>初审</x:v>
      </x:c>
      <x:c r="O208" s="22" t="n">
        <x:v>46255</x:v>
      </x:c>
      <x:c r="P208" s="20" t="str">
        <x:v>内部结构化规则：识别层与效应层分离；https://zh.wikisource.org/wiki/淵海子平；https://zh.wikisource.org/zh-hans/三命通會_(四庫全書本)</x:v>
      </x:c>
    </x:row>
    <x:row r="209">
      <x:c r="A209" s="20" t="str">
        <x:v>M05-PO-0054-V1.0</x:v>
      </x:c>
      <x:c r="B209" s="20" t="str">
        <x:v>规则</x:v>
      </x:c>
      <x:c r="C209" s="20" t="str">
        <x:v>M05</x:v>
      </x:c>
      <x:c r="D209" s="20" t="str">
        <x:v>05_地支关系识别</x:v>
      </x:c>
      <x:c r="E209" s="20" t="str">
        <x:v>PO</x:v>
      </x:c>
      <x:c r="F209" s="20" t="n">
        <x:v>54</x:v>
      </x:c>
      <x:c r="G209" s="20" t="str">
        <x:v>V1.0</x:v>
      </x:c>
      <x:c r="H209" s="20" t="str">
        <x:v>寅亥六破识别</x:v>
      </x:c>
      <x:c r="I209" s="20" t="str">
        <x:v>识别层</x:v>
      </x:c>
      <x:c r="J209" s="20" t="str">
        <x:v>寅亥破</x:v>
      </x:c>
      <x:c r="K209" s="20" t="str">
        <x:v>地支见寅、亥，识别为寅亥破；实际效应及权重转M06、M21判断。</x:v>
      </x:c>
      <x:c r="L209" s="20" t="str">
        <x:v>中等</x:v>
      </x:c>
      <x:c r="M209" s="20" t="str">
        <x:v>待验证</x:v>
      </x:c>
      <x:c r="N209" s="20" t="str">
        <x:v>初审</x:v>
      </x:c>
      <x:c r="O209" s="22" t="n">
        <x:v>46255</x:v>
      </x:c>
      <x:c r="P209" s="20" t="str">
        <x:v>内部结构化规则：识别层与效应层分离；https://zh.wikisource.org/wiki/淵海子平；https://zh.wikisource.org/zh-hans/三命通會_(四庫全書本)</x:v>
      </x:c>
    </x:row>
    <x:row r="210">
      <x:c r="A210" s="20" t="str">
        <x:v>M05-PO-0055-V1.0</x:v>
      </x:c>
      <x:c r="B210" s="20" t="str">
        <x:v>规则</x:v>
      </x:c>
      <x:c r="C210" s="20" t="str">
        <x:v>M05</x:v>
      </x:c>
      <x:c r="D210" s="20" t="str">
        <x:v>05_地支关系识别</x:v>
      </x:c>
      <x:c r="E210" s="20" t="str">
        <x:v>PO</x:v>
      </x:c>
      <x:c r="F210" s="20" t="n">
        <x:v>55</x:v>
      </x:c>
      <x:c r="G210" s="20" t="str">
        <x:v>V1.0</x:v>
      </x:c>
      <x:c r="H210" s="20" t="str">
        <x:v>卯午六破识别</x:v>
      </x:c>
      <x:c r="I210" s="20" t="str">
        <x:v>识别层</x:v>
      </x:c>
      <x:c r="J210" s="20" t="str">
        <x:v>卯午破</x:v>
      </x:c>
      <x:c r="K210" s="20" t="str">
        <x:v>地支见卯、午，识别为卯午破；实际效应及权重转M06、M21判断。</x:v>
      </x:c>
      <x:c r="L210" s="20" t="str">
        <x:v>中等</x:v>
      </x:c>
      <x:c r="M210" s="20" t="str">
        <x:v>待验证</x:v>
      </x:c>
      <x:c r="N210" s="20" t="str">
        <x:v>初审</x:v>
      </x:c>
      <x:c r="O210" s="22" t="n">
        <x:v>46255</x:v>
      </x:c>
      <x:c r="P210" s="20" t="str">
        <x:v>内部结构化规则：识别层与效应层分离；https://zh.wikisource.org/wiki/淵海子平；https://zh.wikisource.org/zh-hans/三命通會_(四庫全書本)</x:v>
      </x:c>
    </x:row>
    <x:row r="211">
      <x:c r="A211" s="20" t="str">
        <x:v>M05-PO-0056-V1.0</x:v>
      </x:c>
      <x:c r="B211" s="20" t="str">
        <x:v>规则</x:v>
      </x:c>
      <x:c r="C211" s="20" t="str">
        <x:v>M05</x:v>
      </x:c>
      <x:c r="D211" s="20" t="str">
        <x:v>05_地支关系识别</x:v>
      </x:c>
      <x:c r="E211" s="20" t="str">
        <x:v>PO</x:v>
      </x:c>
      <x:c r="F211" s="20" t="n">
        <x:v>56</x:v>
      </x:c>
      <x:c r="G211" s="20" t="str">
        <x:v>V1.0</x:v>
      </x:c>
      <x:c r="H211" s="20" t="str">
        <x:v>巳申六破识别</x:v>
      </x:c>
      <x:c r="I211" s="20" t="str">
        <x:v>识别层</x:v>
      </x:c>
      <x:c r="J211" s="20" t="str">
        <x:v>巳申破</x:v>
      </x:c>
      <x:c r="K211" s="20" t="str">
        <x:v>地支见巳、申，识别为巳申破；实际效应及权重转M06、M21判断。</x:v>
      </x:c>
      <x:c r="L211" s="20" t="str">
        <x:v>中等</x:v>
      </x:c>
      <x:c r="M211" s="20" t="str">
        <x:v>待验证</x:v>
      </x:c>
      <x:c r="N211" s="20" t="str">
        <x:v>初审</x:v>
      </x:c>
      <x:c r="O211" s="22" t="n">
        <x:v>46255</x:v>
      </x:c>
      <x:c r="P211" s="20" t="str">
        <x:v>内部结构化规则：识别层与效应层分离；https://zh.wikisource.org/wiki/淵海子平；https://zh.wikisource.org/zh-hans/三命通會_(四庫全書本)</x:v>
      </x:c>
    </x:row>
    <x:row r="212">
      <x:c r="A212" s="20" t="str">
        <x:v>M05-PO-0057-V1.0</x:v>
      </x:c>
      <x:c r="B212" s="20" t="str">
        <x:v>规则</x:v>
      </x:c>
      <x:c r="C212" s="20" t="str">
        <x:v>M05</x:v>
      </x:c>
      <x:c r="D212" s="20" t="str">
        <x:v>05_地支关系识别</x:v>
      </x:c>
      <x:c r="E212" s="20" t="str">
        <x:v>PO</x:v>
      </x:c>
      <x:c r="F212" s="20" t="n">
        <x:v>57</x:v>
      </x:c>
      <x:c r="G212" s="20" t="str">
        <x:v>V1.0</x:v>
      </x:c>
      <x:c r="H212" s="20" t="str">
        <x:v>未戌六破识别</x:v>
      </x:c>
      <x:c r="I212" s="20" t="str">
        <x:v>识别层</x:v>
      </x:c>
      <x:c r="J212" s="20" t="str">
        <x:v>未戌破</x:v>
      </x:c>
      <x:c r="K212" s="20" t="str">
        <x:v>地支见未、戌，识别为未戌破；实际效应及权重转M06、M21判断。</x:v>
      </x:c>
      <x:c r="L212" s="20" t="str">
        <x:v>中等</x:v>
      </x:c>
      <x:c r="M212" s="20" t="str">
        <x:v>待验证</x:v>
      </x:c>
      <x:c r="N212" s="20" t="str">
        <x:v>初审</x:v>
      </x:c>
      <x:c r="O212" s="22" t="n">
        <x:v>46255</x:v>
      </x:c>
      <x:c r="P212" s="20" t="str">
        <x:v>内部结构化规则：识别层与效应层分离；https://zh.wikisource.org/wiki/淵海子平；https://zh.wikisource.org/zh-hans/三命通會_(四庫全書本)</x:v>
      </x:c>
    </x:row>
    <x:row r="213">
      <x:c r="A213" s="20" t="str">
        <x:v>M05-POS-0058-V1.0</x:v>
      </x:c>
      <x:c r="B213" s="20" t="str">
        <x:v>规则</x:v>
      </x:c>
      <x:c r="C213" s="20" t="str">
        <x:v>M05</x:v>
      </x:c>
      <x:c r="D213" s="20" t="str">
        <x:v>05_地支关系识别</x:v>
      </x:c>
      <x:c r="E213" s="20" t="str">
        <x:v>POS</x:v>
      </x:c>
      <x:c r="F213" s="20" t="n">
        <x:v>58</x:v>
      </x:c>
      <x:c r="G213" s="20" t="str">
        <x:v>V1.0</x:v>
      </x:c>
      <x:c r="H213" s="20" t="str">
        <x:v>年月地支关系位置标记</x:v>
      </x:c>
      <x:c r="I213" s="20" t="str">
        <x:v>识别层</x:v>
      </x:c>
      <x:c r="J213" s="20" t="str">
        <x:v>年月位置</x:v>
      </x:c>
      <x:c r="K213" s="20" t="str">
        <x:v>该地支关系发生于年月，归入相邻位置；基础关系与实际效应分别记录。</x:v>
      </x:c>
      <x:c r="L213" s="20" t="str">
        <x:v>确定</x:v>
      </x:c>
      <x:c r="M213" s="20" t="str">
        <x:v>采用</x:v>
      </x:c>
      <x:c r="N213" s="20" t="str">
        <x:v>初审</x:v>
      </x:c>
      <x:c r="O213" s="22" t="n">
        <x:v>46255</x:v>
      </x:c>
      <x:c r="P213" s="20" t="str">
        <x:v>内部结构化规则：识别层与效应层分离；https://zh.wikisource.org/wiki/淵海子平；https://zh.wikisource.org/zh-hans/三命通會_(四庫全書本)</x:v>
      </x:c>
    </x:row>
    <x:row r="214">
      <x:c r="A214" s="20" t="str">
        <x:v>M05-POS-0059-V1.0</x:v>
      </x:c>
      <x:c r="B214" s="20" t="str">
        <x:v>规则</x:v>
      </x:c>
      <x:c r="C214" s="20" t="str">
        <x:v>M05</x:v>
      </x:c>
      <x:c r="D214" s="20" t="str">
        <x:v>05_地支关系识别</x:v>
      </x:c>
      <x:c r="E214" s="20" t="str">
        <x:v>POS</x:v>
      </x:c>
      <x:c r="F214" s="20" t="n">
        <x:v>59</x:v>
      </x:c>
      <x:c r="G214" s="20" t="str">
        <x:v>V1.0</x:v>
      </x:c>
      <x:c r="H214" s="20" t="str">
        <x:v>月日地支关系位置标记</x:v>
      </x:c>
      <x:c r="I214" s="20" t="str">
        <x:v>识别层</x:v>
      </x:c>
      <x:c r="J214" s="20" t="str">
        <x:v>月日位置</x:v>
      </x:c>
      <x:c r="K214" s="20" t="str">
        <x:v>该地支关系发生于月日，归入相邻位置；基础关系与实际效应分别记录。</x:v>
      </x:c>
      <x:c r="L214" s="20" t="str">
        <x:v>确定</x:v>
      </x:c>
      <x:c r="M214" s="20" t="str">
        <x:v>采用</x:v>
      </x:c>
      <x:c r="N214" s="20" t="str">
        <x:v>初审</x:v>
      </x:c>
      <x:c r="O214" s="22" t="n">
        <x:v>46255</x:v>
      </x:c>
      <x:c r="P214" s="20" t="str">
        <x:v>内部结构化规则：识别层与效应层分离；https://zh.wikisource.org/wiki/淵海子平；https://zh.wikisource.org/zh-hans/三命通會_(四庫全書本)</x:v>
      </x:c>
    </x:row>
    <x:row r="215">
      <x:c r="A215" s="20" t="str">
        <x:v>M05-POS-0060-V1.0</x:v>
      </x:c>
      <x:c r="B215" s="20" t="str">
        <x:v>规则</x:v>
      </x:c>
      <x:c r="C215" s="20" t="str">
        <x:v>M05</x:v>
      </x:c>
      <x:c r="D215" s="20" t="str">
        <x:v>05_地支关系识别</x:v>
      </x:c>
      <x:c r="E215" s="20" t="str">
        <x:v>POS</x:v>
      </x:c>
      <x:c r="F215" s="20" t="n">
        <x:v>60</x:v>
      </x:c>
      <x:c r="G215" s="20" t="str">
        <x:v>V1.0</x:v>
      </x:c>
      <x:c r="H215" s="20" t="str">
        <x:v>日时地支关系位置标记</x:v>
      </x:c>
      <x:c r="I215" s="20" t="str">
        <x:v>识别层</x:v>
      </x:c>
      <x:c r="J215" s="20" t="str">
        <x:v>日时位置</x:v>
      </x:c>
      <x:c r="K215" s="20" t="str">
        <x:v>该地支关系发生于日时，归入相邻位置；基础关系与实际效应分别记录。</x:v>
      </x:c>
      <x:c r="L215" s="20" t="str">
        <x:v>确定</x:v>
      </x:c>
      <x:c r="M215" s="20" t="str">
        <x:v>采用</x:v>
      </x:c>
      <x:c r="N215" s="20" t="str">
        <x:v>初审</x:v>
      </x:c>
      <x:c r="O215" s="22" t="n">
        <x:v>46255</x:v>
      </x:c>
      <x:c r="P215" s="20" t="str">
        <x:v>内部结构化规则：识别层与效应层分离；https://zh.wikisource.org/wiki/淵海子平；https://zh.wikisource.org/zh-hans/三命通會_(四庫全書本)</x:v>
      </x:c>
    </x:row>
    <x:row r="216">
      <x:c r="A216" s="20" t="str">
        <x:v>M05-POS-0061-V1.0</x:v>
      </x:c>
      <x:c r="B216" s="20" t="str">
        <x:v>规则</x:v>
      </x:c>
      <x:c r="C216" s="20" t="str">
        <x:v>M05</x:v>
      </x:c>
      <x:c r="D216" s="20" t="str">
        <x:v>05_地支关系识别</x:v>
      </x:c>
      <x:c r="E216" s="20" t="str">
        <x:v>POS</x:v>
      </x:c>
      <x:c r="F216" s="20" t="n">
        <x:v>61</x:v>
      </x:c>
      <x:c r="G216" s="20" t="str">
        <x:v>V1.0</x:v>
      </x:c>
      <x:c r="H216" s="20" t="str">
        <x:v>年日地支关系位置标记</x:v>
      </x:c>
      <x:c r="I216" s="20" t="str">
        <x:v>识别层</x:v>
      </x:c>
      <x:c r="J216" s="20" t="str">
        <x:v>年日位置</x:v>
      </x:c>
      <x:c r="K216" s="20" t="str">
        <x:v>该地支关系发生于年日，归入隔位位置；基础关系与实际效应分别记录。</x:v>
      </x:c>
      <x:c r="L216" s="20" t="str">
        <x:v>确定</x:v>
      </x:c>
      <x:c r="M216" s="20" t="str">
        <x:v>采用</x:v>
      </x:c>
      <x:c r="N216" s="20" t="str">
        <x:v>初审</x:v>
      </x:c>
      <x:c r="O216" s="22" t="n">
        <x:v>46255</x:v>
      </x:c>
      <x:c r="P216" s="20" t="str">
        <x:v>内部结构化规则：识别层与效应层分离；https://zh.wikisource.org/wiki/淵海子平；https://zh.wikisource.org/zh-hans/三命通會_(四庫全書本)</x:v>
      </x:c>
    </x:row>
    <x:row r="217">
      <x:c r="A217" s="20" t="str">
        <x:v>M05-POS-0062-V1.0</x:v>
      </x:c>
      <x:c r="B217" s="20" t="str">
        <x:v>规则</x:v>
      </x:c>
      <x:c r="C217" s="20" t="str">
        <x:v>M05</x:v>
      </x:c>
      <x:c r="D217" s="20" t="str">
        <x:v>05_地支关系识别</x:v>
      </x:c>
      <x:c r="E217" s="20" t="str">
        <x:v>POS</x:v>
      </x:c>
      <x:c r="F217" s="20" t="n">
        <x:v>62</x:v>
      </x:c>
      <x:c r="G217" s="20" t="str">
        <x:v>V1.0</x:v>
      </x:c>
      <x:c r="H217" s="20" t="str">
        <x:v>月时地支关系位置标记</x:v>
      </x:c>
      <x:c r="I217" s="20" t="str">
        <x:v>识别层</x:v>
      </x:c>
      <x:c r="J217" s="20" t="str">
        <x:v>月时位置</x:v>
      </x:c>
      <x:c r="K217" s="20" t="str">
        <x:v>该地支关系发生于月时，归入隔位位置；基础关系与实际效应分别记录。</x:v>
      </x:c>
      <x:c r="L217" s="20" t="str">
        <x:v>确定</x:v>
      </x:c>
      <x:c r="M217" s="20" t="str">
        <x:v>采用</x:v>
      </x:c>
      <x:c r="N217" s="20" t="str">
        <x:v>初审</x:v>
      </x:c>
      <x:c r="O217" s="22" t="n">
        <x:v>46255</x:v>
      </x:c>
      <x:c r="P217" s="20" t="str">
        <x:v>内部结构化规则：识别层与效应层分离；https://zh.wikisource.org/wiki/淵海子平；https://zh.wikisource.org/zh-hans/三命通會_(四庫全書本)</x:v>
      </x:c>
    </x:row>
    <x:row r="218">
      <x:c r="A218" s="20" t="str">
        <x:v>M05-POS-0063-V1.0</x:v>
      </x:c>
      <x:c r="B218" s="20" t="str">
        <x:v>规则</x:v>
      </x:c>
      <x:c r="C218" s="20" t="str">
        <x:v>M05</x:v>
      </x:c>
      <x:c r="D218" s="20" t="str">
        <x:v>05_地支关系识别</x:v>
      </x:c>
      <x:c r="E218" s="20" t="str">
        <x:v>POS</x:v>
      </x:c>
      <x:c r="F218" s="20" t="n">
        <x:v>63</x:v>
      </x:c>
      <x:c r="G218" s="20" t="str">
        <x:v>V1.0</x:v>
      </x:c>
      <x:c r="H218" s="20" t="str">
        <x:v>年时地支关系位置标记</x:v>
      </x:c>
      <x:c r="I218" s="20" t="str">
        <x:v>识别层</x:v>
      </x:c>
      <x:c r="J218" s="20" t="str">
        <x:v>年时位置</x:v>
      </x:c>
      <x:c r="K218" s="20" t="str">
        <x:v>该地支关系发生于年时，归入遥隔位置；基础关系与实际效应分别记录。</x:v>
      </x:c>
      <x:c r="L218" s="20" t="str">
        <x:v>确定</x:v>
      </x:c>
      <x:c r="M218" s="20" t="str">
        <x:v>采用</x:v>
      </x:c>
      <x:c r="N218" s="20" t="str">
        <x:v>初审</x:v>
      </x:c>
      <x:c r="O218" s="22" t="n">
        <x:v>46255</x:v>
      </x:c>
      <x:c r="P218" s="20" t="str">
        <x:v>内部结构化规则：识别层与效应层分离；https://zh.wikisource.org/wiki/淵海子平；https://zh.wikisource.org/zh-hans/三命通會_(四庫全書本)</x:v>
      </x:c>
    </x:row>
    <x:row r="219">
      <x:c r="A219" s="20" t="str">
        <x:v>M05-BOUND-0064-V1.0</x:v>
      </x:c>
      <x:c r="B219" s="20" t="str">
        <x:v>规则</x:v>
      </x:c>
      <x:c r="C219" s="20" t="str">
        <x:v>M05</x:v>
      </x:c>
      <x:c r="D219" s="20" t="str">
        <x:v>05_地支关系识别</x:v>
      </x:c>
      <x:c r="E219" s="20" t="str">
        <x:v>BOUND</x:v>
      </x:c>
      <x:c r="F219" s="20" t="n">
        <x:v>64</x:v>
      </x:c>
      <x:c r="G219" s="20" t="str">
        <x:v>V1.0</x:v>
      </x:c>
      <x:c r="H219" s="20" t="str">
        <x:v>月令归属只作关系元数据</x:v>
      </x:c>
      <x:c r="I219" s="20" t="str">
        <x:v>识别层</x:v>
      </x:c>
      <x:c r="J219" s="20" t="str">
        <x:v>月令元数据</x:v>
      </x:c>
      <x:c r="K219" s="20" t="str">
        <x:v>该关系已识别；参与支的月令归属另行标注，仅供后续效应判断。</x:v>
      </x:c>
      <x:c r="L219" s="20" t="str">
        <x:v>确定</x:v>
      </x:c>
      <x:c r="M219" s="20" t="str">
        <x:v>采用</x:v>
      </x:c>
      <x:c r="N219" s="20" t="str">
        <x:v>初审</x:v>
      </x:c>
      <x:c r="O219" s="22" t="n">
        <x:v>46255</x:v>
      </x:c>
      <x:c r="P219" s="20" t="str">
        <x:v>内部结构化规则：识别层与效应层分离；https://zh.wikisource.org/wiki/淵海子平；https://zh.wikisource.org/zh-hans/三命通會_(四庫全書本)</x:v>
      </x:c>
    </x:row>
    <x:row r="220">
      <x:c r="A220" s="20" t="str">
        <x:v>M05-BOUND-0065-V1.0</x:v>
      </x:c>
      <x:c r="B220" s="20" t="str">
        <x:v>规则</x:v>
      </x:c>
      <x:c r="C220" s="20" t="str">
        <x:v>M05</x:v>
      </x:c>
      <x:c r="D220" s="20" t="str">
        <x:v>05_地支关系识别</x:v>
      </x:c>
      <x:c r="E220" s="20" t="str">
        <x:v>BOUND</x:v>
      </x:c>
      <x:c r="F220" s="20" t="n">
        <x:v>65</x:v>
      </x:c>
      <x:c r="G220" s="20" t="str">
        <x:v>V1.0</x:v>
      </x:c>
      <x:c r="H220" s="20" t="str">
        <x:v>藏干透出不决定地支关系存在</x:v>
      </x:c>
      <x:c r="I220" s="20" t="str">
        <x:v>识别层</x:v>
      </x:c>
      <x:c r="J220" s="20" t="str">
        <x:v>透干元数据</x:v>
      </x:c>
      <x:c r="K220" s="20" t="str">
        <x:v>地支关系按支位成立；相关藏干透出情况另记，不影响本层识别。</x:v>
      </x:c>
      <x:c r="L220" s="20" t="str">
        <x:v>确定</x:v>
      </x:c>
      <x:c r="M220" s="20" t="str">
        <x:v>采用</x:v>
      </x:c>
      <x:c r="N220" s="20" t="str">
        <x:v>初审</x:v>
      </x:c>
      <x:c r="O220" s="22" t="n">
        <x:v>46255</x:v>
      </x:c>
      <x:c r="P220" s="20" t="str">
        <x:v>内部结构化规则：识别层与效应层分离；https://zh.wikisource.org/wiki/淵海子平；https://zh.wikisource.org/zh-hans/三命通會_(四庫全書本)</x:v>
      </x:c>
    </x:row>
    <x:row r="221">
      <x:c r="A221" s="20" t="str">
        <x:v>M05-BOUND-0066-V1.0</x:v>
      </x:c>
      <x:c r="B221" s="20" t="str">
        <x:v>规则</x:v>
      </x:c>
      <x:c r="C221" s="20" t="str">
        <x:v>M05</x:v>
      </x:c>
      <x:c r="D221" s="20" t="str">
        <x:v>05_地支关系识别</x:v>
      </x:c>
      <x:c r="E221" s="20" t="str">
        <x:v>BOUND</x:v>
      </x:c>
      <x:c r="F221" s="20" t="n">
        <x:v>66</x:v>
      </x:c>
      <x:c r="G221" s="20" t="str">
        <x:v>V1.0</x:v>
      </x:c>
      <x:c r="H221" s="20" t="str">
        <x:v>藏干不得替代缺失地支补齐关系</x:v>
      </x:c>
      <x:c r="I221" s="20" t="str">
        <x:v>识别层</x:v>
      </x:c>
      <x:c r="J221" s="20" t="str">
        <x:v>藏干不补支</x:v>
      </x:c>
      <x:c r="K221" s="20" t="str">
        <x:v>缺失的是实际地支，藏干或同五行不能替代，因此该关系未在原局补齐。</x:v>
      </x:c>
      <x:c r="L221" s="20" t="str">
        <x:v>确定</x:v>
      </x:c>
      <x:c r="M221" s="20" t="str">
        <x:v>采用</x:v>
      </x:c>
      <x:c r="N221" s="20" t="str">
        <x:v>初审</x:v>
      </x:c>
      <x:c r="O221" s="22" t="n">
        <x:v>46255</x:v>
      </x:c>
      <x:c r="P221" s="20" t="str">
        <x:v>内部结构化规则：识别层与效应层分离；https://zh.wikisource.org/wiki/淵海子平；https://zh.wikisource.org/zh-hans/三命通會_(四庫全書本)</x:v>
      </x:c>
    </x:row>
    <x:row r="222">
      <x:c r="A222" s="20" t="str">
        <x:v>M05-BOUND-0067-V1.0</x:v>
      </x:c>
      <x:c r="B222" s="20" t="str">
        <x:v>规则</x:v>
      </x:c>
      <x:c r="C222" s="20" t="str">
        <x:v>M05</x:v>
      </x:c>
      <x:c r="D222" s="20" t="str">
        <x:v>05_地支关系识别</x:v>
      </x:c>
      <x:c r="E222" s="20" t="str">
        <x:v>BOUND</x:v>
      </x:c>
      <x:c r="F222" s="20" t="n">
        <x:v>67</x:v>
      </x:c>
      <x:c r="G222" s="20" t="str">
        <x:v>V1.0</x:v>
      </x:c>
      <x:c r="H222" s="20" t="str">
        <x:v>重复地支按柱位保留独立节点</x:v>
      </x:c>
      <x:c r="I222" s="20" t="str">
        <x:v>识别层</x:v>
      </x:c>
      <x:c r="J222" s="20" t="str">
        <x:v>重复支节点</x:v>
      </x:c>
      <x:c r="K222" s="20" t="str">
        <x:v>原局存在同名地支重复；已按柱位拆分独立节点，再分别建立关系。</x:v>
      </x:c>
      <x:c r="L222" s="20" t="str">
        <x:v>确定</x:v>
      </x:c>
      <x:c r="M222" s="20" t="str">
        <x:v>采用</x:v>
      </x:c>
      <x:c r="N222" s="20" t="str">
        <x:v>初审</x:v>
      </x:c>
      <x:c r="O222" s="22" t="n">
        <x:v>46255</x:v>
      </x:c>
      <x:c r="P222" s="20" t="str">
        <x:v>内部结构化规则：识别层与效应层分离；https://zh.wikisource.org/wiki/淵海子平；https://zh.wikisource.org/zh-hans/三命通會_(四庫全書本)</x:v>
      </x:c>
    </x:row>
    <x:row r="223">
      <x:c r="A223" s="20" t="str">
        <x:v>M05-OVER-0068-V1.0</x:v>
      </x:c>
      <x:c r="B223" s="20" t="str">
        <x:v>规则</x:v>
      </x:c>
      <x:c r="C223" s="20" t="str">
        <x:v>M05</x:v>
      </x:c>
      <x:c r="D223" s="20" t="str">
        <x:v>05_地支关系识别</x:v>
      </x:c>
      <x:c r="E223" s="20" t="str">
        <x:v>OVER</x:v>
      </x:c>
      <x:c r="F223" s="20" t="n">
        <x:v>68</x:v>
      </x:c>
      <x:c r="G223" s="20" t="str">
        <x:v>V1.0</x:v>
      </x:c>
      <x:c r="H223" s="20" t="str">
        <x:v>同一地支可同时参与多种关系</x:v>
      </x:c>
      <x:c r="I223" s="20" t="str">
        <x:v>识别层</x:v>
      </x:c>
      <x:c r="J223" s="20" t="str">
        <x:v>多重关系节点</x:v>
      </x:c>
      <x:c r="K223" s="20" t="str">
        <x:v>该地支同时参与多种关系；所有关系已独立列出，效应优先级转M06。</x:v>
      </x:c>
      <x:c r="L223" s="20" t="str">
        <x:v>确定</x:v>
      </x:c>
      <x:c r="M223" s="20" t="str">
        <x:v>采用</x:v>
      </x:c>
      <x:c r="N223" s="20" t="str">
        <x:v>初审</x:v>
      </x:c>
      <x:c r="O223" s="22" t="n">
        <x:v>46255</x:v>
      </x:c>
      <x:c r="P223" s="20" t="str">
        <x:v>内部结构化规则：识别层与效应层分离；https://zh.wikisource.org/wiki/淵海子平；https://zh.wikisource.org/zh-hans/三命通會_(四庫全書本)</x:v>
      </x:c>
    </x:row>
    <x:row r="224">
      <x:c r="A224" s="20" t="str">
        <x:v>M05-OVER-0069-V1.0</x:v>
      </x:c>
      <x:c r="B224" s="20" t="str">
        <x:v>规则</x:v>
      </x:c>
      <x:c r="C224" s="20" t="str">
        <x:v>M05</x:v>
      </x:c>
      <x:c r="D224" s="20" t="str">
        <x:v>05_地支关系识别</x:v>
      </x:c>
      <x:c r="E224" s="20" t="str">
        <x:v>OVER</x:v>
      </x:c>
      <x:c r="F224" s="20" t="n">
        <x:v>69</x:v>
      </x:c>
      <x:c r="G224" s="20" t="str">
        <x:v>V1.0</x:v>
      </x:c>
      <x:c r="H224" s="20" t="str">
        <x:v>多重地支关系按实例独立列出</x:v>
      </x:c>
      <x:c r="I224" s="20" t="str">
        <x:v>识别层</x:v>
      </x:c>
      <x:c r="J224" s="20" t="str">
        <x:v>关系实例化</x:v>
      </x:c>
      <x:c r="K224" s="20" t="str">
        <x:v>原局地支关系已逐条实例化；叠加、竞争与优先级转M06处理。</x:v>
      </x:c>
      <x:c r="L224" s="20" t="str">
        <x:v>确定</x:v>
      </x:c>
      <x:c r="M224" s="20" t="str">
        <x:v>采用</x:v>
      </x:c>
      <x:c r="N224" s="20" t="str">
        <x:v>初审</x:v>
      </x:c>
      <x:c r="O224" s="22" t="n">
        <x:v>46255</x:v>
      </x:c>
      <x:c r="P224" s="20" t="str">
        <x:v>内部结构化规则：识别层与效应层分离；https://zh.wikisource.org/wiki/淵海子平；https://zh.wikisource.org/zh-hans/三命通會_(四庫全書本)</x:v>
      </x:c>
    </x:row>
    <x:row r="225">
      <x:c r="A225" s="20" t="str">
        <x:v>M05-BOUND-0070-V1.0</x:v>
      </x:c>
      <x:c r="B225" s="20" t="str">
        <x:v>规则</x:v>
      </x:c>
      <x:c r="C225" s="20" t="str">
        <x:v>M05</x:v>
      </x:c>
      <x:c r="D225" s="20" t="str">
        <x:v>05_地支关系识别</x:v>
      </x:c>
      <x:c r="E225" s="20" t="str">
        <x:v>BOUND</x:v>
      </x:c>
      <x:c r="F225" s="20" t="n">
        <x:v>70</x:v>
      </x:c>
      <x:c r="G225" s="20" t="str">
        <x:v>V1.0</x:v>
      </x:c>
      <x:c r="H225" s="20" t="str">
        <x:v>三支结构缺一不得标记原局完整</x:v>
      </x:c>
      <x:c r="I225" s="20" t="str">
        <x:v>识别层</x:v>
      </x:c>
      <x:c r="J225" s="20" t="str">
        <x:v>三支完整性边界</x:v>
      </x:c>
      <x:c r="K225" s="20" t="str">
        <x:v>该三支结构尚未齐全；只记录实际存在的部分关系，不写原局完整三合、三会或三刑。</x:v>
      </x:c>
      <x:c r="L225" s="20" t="str">
        <x:v>确定</x:v>
      </x:c>
      <x:c r="M225" s="20" t="str">
        <x:v>采用</x:v>
      </x:c>
      <x:c r="N225" s="20" t="str">
        <x:v>初审</x:v>
      </x:c>
      <x:c r="O225" s="22" t="n">
        <x:v>46255</x:v>
      </x:c>
      <x:c r="P225" s="20" t="str">
        <x:v>内部结构化规则：识别层与效应层分离；https://zh.wikisource.org/wiki/淵海子平；https://zh.wikisource.org/zh-hans/三命通會_(四庫全書本)</x:v>
      </x:c>
    </x:row>
    <x:row r="226">
      <x:c r="A226" s="20" t="str">
        <x:v>M05-SUIYUN-0071-V1.0</x:v>
      </x:c>
      <x:c r="B226" s="20" t="str">
        <x:v>规则</x:v>
      </x:c>
      <x:c r="C226" s="20" t="str">
        <x:v>M05</x:v>
      </x:c>
      <x:c r="D226" s="20" t="str">
        <x:v>05_地支关系识别</x:v>
      </x:c>
      <x:c r="E226" s="20" t="str">
        <x:v>SUIYUN</x:v>
      </x:c>
      <x:c r="F226" s="20" t="n">
        <x:v>71</x:v>
      </x:c>
      <x:c r="G226" s="20" t="str">
        <x:v>V1.0</x:v>
      </x:c>
      <x:c r="H226" s="20" t="str">
        <x:v>三合结构岁运补齐标记</x:v>
      </x:c>
      <x:c r="I226" s="20" t="str">
        <x:v>识别层</x:v>
      </x:c>
      <x:c r="J226" s="20" t="str">
        <x:v>三合岁运补齐</x:v>
      </x:c>
      <x:c r="K226" s="20" t="str">
        <x:v>原局三合结构未全；该岁运补入缺支后可标记“岁运补齐”，动态效应转D0/M06。</x:v>
      </x:c>
      <x:c r="L226" s="20" t="str">
        <x:v>确定</x:v>
      </x:c>
      <x:c r="M226" s="20" t="str">
        <x:v>采用</x:v>
      </x:c>
      <x:c r="N226" s="20" t="str">
        <x:v>初审</x:v>
      </x:c>
      <x:c r="O226" s="22" t="n">
        <x:v>46255</x:v>
      </x:c>
      <x:c r="P226" s="20" t="str">
        <x:v>内部结构化规则：识别层与效应层分离；https://zh.wikisource.org/wiki/淵海子平；https://zh.wikisource.org/zh-hans/三命通會_(四庫全書本)</x:v>
      </x:c>
    </x:row>
    <x:row r="227">
      <x:c r="A227" s="20" t="str">
        <x:v>M05-SUIYUN-0072-V1.0</x:v>
      </x:c>
      <x:c r="B227" s="20" t="str">
        <x:v>规则</x:v>
      </x:c>
      <x:c r="C227" s="20" t="str">
        <x:v>M05</x:v>
      </x:c>
      <x:c r="D227" s="20" t="str">
        <x:v>05_地支关系识别</x:v>
      </x:c>
      <x:c r="E227" s="20" t="str">
        <x:v>SUIYUN</x:v>
      </x:c>
      <x:c r="F227" s="20" t="n">
        <x:v>72</x:v>
      </x:c>
      <x:c r="G227" s="20" t="str">
        <x:v>V1.0</x:v>
      </x:c>
      <x:c r="H227" s="20" t="str">
        <x:v>三会结构岁运补齐标记</x:v>
      </x:c>
      <x:c r="I227" s="20" t="str">
        <x:v>识别层</x:v>
      </x:c>
      <x:c r="J227" s="20" t="str">
        <x:v>三会岁运补齐</x:v>
      </x:c>
      <x:c r="K227" s="20" t="str">
        <x:v>原局三会结构未全；该岁运补入缺支后可标记“岁运补齐”，动态效应转D0/M06。</x:v>
      </x:c>
      <x:c r="L227" s="20" t="str">
        <x:v>确定</x:v>
      </x:c>
      <x:c r="M227" s="20" t="str">
        <x:v>采用</x:v>
      </x:c>
      <x:c r="N227" s="20" t="str">
        <x:v>初审</x:v>
      </x:c>
      <x:c r="O227" s="22" t="n">
        <x:v>46255</x:v>
      </x:c>
      <x:c r="P227" s="20" t="str">
        <x:v>内部结构化规则：识别层与效应层分离；https://zh.wikisource.org/wiki/淵海子平；https://zh.wikisource.org/zh-hans/三命通會_(四庫全書本)</x:v>
      </x:c>
    </x:row>
    <x:row r="228">
      <x:c r="A228" s="20" t="str">
        <x:v>M05-SUIYUN-0073-V1.0</x:v>
      </x:c>
      <x:c r="B228" s="20" t="str">
        <x:v>规则</x:v>
      </x:c>
      <x:c r="C228" s="20" t="str">
        <x:v>M05</x:v>
      </x:c>
      <x:c r="D228" s="20" t="str">
        <x:v>05_地支关系识别</x:v>
      </x:c>
      <x:c r="E228" s="20" t="str">
        <x:v>SUIYUN</x:v>
      </x:c>
      <x:c r="F228" s="20" t="n">
        <x:v>73</x:v>
      </x:c>
      <x:c r="G228" s="20" t="str">
        <x:v>V1.0</x:v>
      </x:c>
      <x:c r="H228" s="20" t="str">
        <x:v>三刑结构岁运补齐标记</x:v>
      </x:c>
      <x:c r="I228" s="20" t="str">
        <x:v>识别层</x:v>
      </x:c>
      <x:c r="J228" s="20" t="str">
        <x:v>三刑岁运补齐</x:v>
      </x:c>
      <x:c r="K228" s="20" t="str">
        <x:v>原局三刑结构未全；该岁运补入缺支后可标记“岁运补齐”，动态效应转D0/M06。</x:v>
      </x:c>
      <x:c r="L228" s="20" t="str">
        <x:v>确定</x:v>
      </x:c>
      <x:c r="M228" s="20" t="str">
        <x:v>采用</x:v>
      </x:c>
      <x:c r="N228" s="20" t="str">
        <x:v>初审</x:v>
      </x:c>
      <x:c r="O228" s="22" t="n">
        <x:v>46255</x:v>
      </x:c>
      <x:c r="P228" s="20" t="str">
        <x:v>内部结构化规则：识别层与效应层分离；https://zh.wikisource.org/wiki/淵海子平；https://zh.wikisource.org/zh-hans/三命通會_(四庫全書本)</x:v>
      </x:c>
    </x:row>
    <x:row r="229">
      <x:c r="A229" s="20" t="str">
        <x:v>M05-BOUND-0074-V1.0</x:v>
      </x:c>
      <x:c r="B229" s="20" t="str">
        <x:v>规则</x:v>
      </x:c>
      <x:c r="C229" s="20" t="str">
        <x:v>M05</x:v>
      </x:c>
      <x:c r="D229" s="20" t="str">
        <x:v>05_地支关系识别</x:v>
      </x:c>
      <x:c r="E229" s="20" t="str">
        <x:v>BOUND</x:v>
      </x:c>
      <x:c r="F229" s="20" t="n">
        <x:v>74</x:v>
      </x:c>
      <x:c r="G229" s="20" t="str">
        <x:v>V1.0</x:v>
      </x:c>
      <x:c r="H229" s="20" t="str">
        <x:v>六合识别不等于合化成立</x:v>
      </x:c>
      <x:c r="I229" s="20" t="str">
        <x:v>识别层</x:v>
      </x:c>
      <x:c r="J229" s="20" t="str">
        <x:v>六合效应边界</x:v>
      </x:c>
      <x:c r="K229" s="20" t="str">
        <x:v>六合已经识别，但并不等于合化；实际作用转M06。</x:v>
      </x:c>
      <x:c r="L229" s="20" t="str">
        <x:v>确定</x:v>
      </x:c>
      <x:c r="M229" s="20" t="str">
        <x:v>采用</x:v>
      </x:c>
      <x:c r="N229" s="20" t="str">
        <x:v>初审</x:v>
      </x:c>
      <x:c r="O229" s="22" t="n">
        <x:v>46255</x:v>
      </x:c>
      <x:c r="P229" s="20" t="str">
        <x:v>内部结构化规则：识别层与效应层分离；https://zh.wikisource.org/wiki/淵海子平；https://zh.wikisource.org/zh-hans/三命通會_(四庫全書本)</x:v>
      </x:c>
    </x:row>
    <x:row r="230">
      <x:c r="A230" s="20" t="str">
        <x:v>M05-BOUND-0075-V1.0</x:v>
      </x:c>
      <x:c r="B230" s="20" t="str">
        <x:v>规则</x:v>
      </x:c>
      <x:c r="C230" s="20" t="str">
        <x:v>M05</x:v>
      </x:c>
      <x:c r="D230" s="20" t="str">
        <x:v>05_地支关系识别</x:v>
      </x:c>
      <x:c r="E230" s="20" t="str">
        <x:v>BOUND</x:v>
      </x:c>
      <x:c r="F230" s="20" t="n">
        <x:v>75</x:v>
      </x:c>
      <x:c r="G230" s="20" t="str">
        <x:v>V1.0</x:v>
      </x:c>
      <x:c r="H230" s="20" t="str">
        <x:v>三合完整不等于三合成局</x:v>
      </x:c>
      <x:c r="I230" s="20" t="str">
        <x:v>识别层</x:v>
      </x:c>
      <x:c r="J230" s="20" t="str">
        <x:v>三合成局边界</x:v>
      </x:c>
      <x:c r="K230" s="20" t="str">
        <x:v>三合三支齐全，但成局尚未判定；目标五行只作为候选。</x:v>
      </x:c>
      <x:c r="L230" s="20" t="str">
        <x:v>确定</x:v>
      </x:c>
      <x:c r="M230" s="20" t="str">
        <x:v>采用</x:v>
      </x:c>
      <x:c r="N230" s="20" t="str">
        <x:v>初审</x:v>
      </x:c>
      <x:c r="O230" s="22" t="n">
        <x:v>46255</x:v>
      </x:c>
      <x:c r="P230" s="20" t="str">
        <x:v>内部结构化规则：识别层与效应层分离；https://zh.wikisource.org/wiki/淵海子平；https://zh.wikisource.org/zh-hans/三命通會_(四庫全書本)</x:v>
      </x:c>
    </x:row>
    <x:row r="231">
      <x:c r="A231" s="20" t="str">
        <x:v>M05-BOUND-0076-V1.0</x:v>
      </x:c>
      <x:c r="B231" s="20" t="str">
        <x:v>规则</x:v>
      </x:c>
      <x:c r="C231" s="20" t="str">
        <x:v>M05</x:v>
      </x:c>
      <x:c r="D231" s="20" t="str">
        <x:v>05_地支关系识别</x:v>
      </x:c>
      <x:c r="E231" s="20" t="str">
        <x:v>BOUND</x:v>
      </x:c>
      <x:c r="F231" s="20" t="n">
        <x:v>76</x:v>
      </x:c>
      <x:c r="G231" s="20" t="str">
        <x:v>V1.0</x:v>
      </x:c>
      <x:c r="H231" s="20" t="str">
        <x:v>三会完整不等于三会成局</x:v>
      </x:c>
      <x:c r="I231" s="20" t="str">
        <x:v>识别层</x:v>
      </x:c>
      <x:c r="J231" s="20" t="str">
        <x:v>三会成局边界</x:v>
      </x:c>
      <x:c r="K231" s="20" t="str">
        <x:v>三会三支齐全，但成会尚未判定；目标五行只作为候选。</x:v>
      </x:c>
      <x:c r="L231" s="20" t="str">
        <x:v>确定</x:v>
      </x:c>
      <x:c r="M231" s="20" t="str">
        <x:v>采用</x:v>
      </x:c>
      <x:c r="N231" s="20" t="str">
        <x:v>初审</x:v>
      </x:c>
      <x:c r="O231" s="22" t="n">
        <x:v>46255</x:v>
      </x:c>
      <x:c r="P231" s="20" t="str">
        <x:v>内部结构化规则：识别层与效应层分离；https://zh.wikisource.org/wiki/淵海子平；https://zh.wikisource.org/zh-hans/三命通會_(四庫全書本)</x:v>
      </x:c>
    </x:row>
    <x:row r="232">
      <x:c r="A232" s="20" t="str">
        <x:v>M05-BOUND-0077-V1.0</x:v>
      </x:c>
      <x:c r="B232" s="20" t="str">
        <x:v>规则</x:v>
      </x:c>
      <x:c r="C232" s="20" t="str">
        <x:v>M05</x:v>
      </x:c>
      <x:c r="D232" s="20" t="str">
        <x:v>05_地支关系识别</x:v>
      </x:c>
      <x:c r="E232" s="20" t="str">
        <x:v>BOUND</x:v>
      </x:c>
      <x:c r="F232" s="20" t="n">
        <x:v>77</x:v>
      </x:c>
      <x:c r="G232" s="20" t="str">
        <x:v>V1.0</x:v>
      </x:c>
      <x:c r="H232" s="20" t="str">
        <x:v>六冲识别不等于冲散或冲去</x:v>
      </x:c>
      <x:c r="I232" s="20" t="str">
        <x:v>识别层</x:v>
      </x:c>
      <x:c r="J232" s="20" t="str">
        <x:v>六冲效应边界</x:v>
      </x:c>
      <x:c r="K232" s="20" t="str">
        <x:v>六冲已经识别；冲的实际结果需逐支评估，不能由“冲”字直接替代。</x:v>
      </x:c>
      <x:c r="L232" s="20" t="str">
        <x:v>确定</x:v>
      </x:c>
      <x:c r="M232" s="20" t="str">
        <x:v>采用</x:v>
      </x:c>
      <x:c r="N232" s="20" t="str">
        <x:v>初审</x:v>
      </x:c>
      <x:c r="O232" s="22" t="n">
        <x:v>46255</x:v>
      </x:c>
      <x:c r="P232" s="20" t="str">
        <x:v>内部结构化规则：识别层与效应层分离；https://zh.wikisource.org/wiki/淵海子平；https://zh.wikisource.org/zh-hans/三命通會_(四庫全書本)</x:v>
      </x:c>
    </x:row>
    <x:row r="233">
      <x:c r="A233" s="20" t="str">
        <x:v>M05-BOUND-0078-V1.0</x:v>
      </x:c>
      <x:c r="B233" s="20" t="str">
        <x:v>规则</x:v>
      </x:c>
      <x:c r="C233" s="20" t="str">
        <x:v>M05</x:v>
      </x:c>
      <x:c r="D233" s="20" t="str">
        <x:v>05_地支关系识别</x:v>
      </x:c>
      <x:c r="E233" s="20" t="str">
        <x:v>BOUND</x:v>
      </x:c>
      <x:c r="F233" s="20" t="n">
        <x:v>78</x:v>
      </x:c>
      <x:c r="G233" s="20" t="str">
        <x:v>V1.0</x:v>
      </x:c>
      <x:c r="H233" s="20" t="str">
        <x:v>三刑与自刑识别不等于固定减力</x:v>
      </x:c>
      <x:c r="I233" s="20" t="str">
        <x:v>识别层</x:v>
      </x:c>
      <x:c r="J233" s="20" t="str">
        <x:v>刑效应边界</x:v>
      </x:c>
      <x:c r="K233" s="20" t="str">
        <x:v>刑关系已经识别；实际是刑动、刑伤、激活还是作用有限，须在M06逐支判断。</x:v>
      </x:c>
      <x:c r="L233" s="20" t="str">
        <x:v>确定</x:v>
      </x:c>
      <x:c r="M233" s="20" t="str">
        <x:v>采用</x:v>
      </x:c>
      <x:c r="N233" s="20" t="str">
        <x:v>初审</x:v>
      </x:c>
      <x:c r="O233" s="22" t="n">
        <x:v>46255</x:v>
      </x:c>
      <x:c r="P233" s="20" t="str">
        <x:v>内部结构化规则：识别层与效应层分离；https://zh.wikisource.org/wiki/淵海子平；https://zh.wikisource.org/zh-hans/三命通會_(四庫全書本)</x:v>
      </x:c>
    </x:row>
    <x:row r="234">
      <x:c r="A234" s="20" t="str">
        <x:v>M05-BOUND-0079-V1.0</x:v>
      </x:c>
      <x:c r="B234" s="20" t="str">
        <x:v>规则</x:v>
      </x:c>
      <x:c r="C234" s="20" t="str">
        <x:v>M05</x:v>
      </x:c>
      <x:c r="D234" s="20" t="str">
        <x:v>05_地支关系识别</x:v>
      </x:c>
      <x:c r="E234" s="20" t="str">
        <x:v>BOUND</x:v>
      </x:c>
      <x:c r="F234" s="20" t="n">
        <x:v>79</x:v>
      </x:c>
      <x:c r="G234" s="20" t="str">
        <x:v>V1.0</x:v>
      </x:c>
      <x:c r="H234" s="20" t="str">
        <x:v>六害识别不等于受伤或减力</x:v>
      </x:c>
      <x:c r="I234" s="20" t="str">
        <x:v>识别层</x:v>
      </x:c>
      <x:c r="J234" s="20" t="str">
        <x:v>六害效应边界</x:v>
      </x:c>
      <x:c r="K234" s="20" t="str">
        <x:v>六害已经识别；具体作用及权重转M06，不在识别层定吉凶。</x:v>
      </x:c>
      <x:c r="L234" s="20" t="str">
        <x:v>确定</x:v>
      </x:c>
      <x:c r="M234" s="20" t="str">
        <x:v>采用</x:v>
      </x:c>
      <x:c r="N234" s="20" t="str">
        <x:v>初审</x:v>
      </x:c>
      <x:c r="O234" s="22" t="n">
        <x:v>46255</x:v>
      </x:c>
      <x:c r="P234" s="20" t="str">
        <x:v>内部结构化规则：识别层与效应层分离；https://zh.wikisource.org/wiki/淵海子平；https://zh.wikisource.org/zh-hans/三命通會_(四庫全書本)</x:v>
      </x:c>
    </x:row>
    <x:row r="235">
      <x:c r="A235" s="20" t="str">
        <x:v>M05-BOUND-0080-V1.0</x:v>
      </x:c>
      <x:c r="B235" s="20" t="str">
        <x:v>规则</x:v>
      </x:c>
      <x:c r="C235" s="20" t="str">
        <x:v>M05</x:v>
      </x:c>
      <x:c r="D235" s="20" t="str">
        <x:v>05_地支关系识别</x:v>
      </x:c>
      <x:c r="E235" s="20" t="str">
        <x:v>BOUND</x:v>
      </x:c>
      <x:c r="F235" s="20" t="n">
        <x:v>80</x:v>
      </x:c>
      <x:c r="G235" s="20" t="str">
        <x:v>V1.0</x:v>
      </x:c>
      <x:c r="H235" s="20" t="str">
        <x:v>六破识别不等于根气被破坏</x:v>
      </x:c>
      <x:c r="I235" s="20" t="str">
        <x:v>识别层</x:v>
      </x:c>
      <x:c r="J235" s="20" t="str">
        <x:v>六破效应边界</x:v>
      </x:c>
      <x:c r="K235" s="20" t="str">
        <x:v>六破已经识别；“破”不是自动破坏根气，需结合全局转M06判断。</x:v>
      </x:c>
      <x:c r="L235" s="20" t="str">
        <x:v>确定</x:v>
      </x:c>
      <x:c r="M235" s="20" t="str">
        <x:v>采用</x:v>
      </x:c>
      <x:c r="N235" s="20" t="str">
        <x:v>初审</x:v>
      </x:c>
      <x:c r="O235" s="22" t="n">
        <x:v>46255</x:v>
      </x:c>
      <x:c r="P235" s="20" t="str">
        <x:v>内部结构化规则：识别层与效应层分离；https://zh.wikisource.org/wiki/淵海子平；https://zh.wikisource.org/zh-hans/三命通會_(四庫全書本)</x:v>
      </x:c>
    </x:row>
    <x:row r="236">
      <x:c r="A236" s="20" t="str">
        <x:v>M05-OVER-0081-V1.0</x:v>
      </x:c>
      <x:c r="B236" s="20" t="str">
        <x:v>规则</x:v>
      </x:c>
      <x:c r="C236" s="20" t="str">
        <x:v>M05</x:v>
      </x:c>
      <x:c r="D236" s="20" t="str">
        <x:v>05_地支关系识别</x:v>
      </x:c>
      <x:c r="E236" s="20" t="str">
        <x:v>OVER</x:v>
      </x:c>
      <x:c r="F236" s="20" t="n">
        <x:v>81</x:v>
      </x:c>
      <x:c r="G236" s="20" t="str">
        <x:v>V1.0</x:v>
      </x:c>
      <x:c r="H236" s="20" t="str">
        <x:v>巳申三重关系独立识别</x:v>
      </x:c>
      <x:c r="I236" s="20" t="str">
        <x:v>识别层</x:v>
      </x:c>
      <x:c r="J236" s="20" t="str">
        <x:v>巳申三重关系</x:v>
      </x:c>
      <x:c r="K236" s="20" t="str">
        <x:v>地支见巳、申，同时登记巳申六合、巳申刑、巳申破；多重关系的实际效应转M06。</x:v>
      </x:c>
      <x:c r="L236" s="20" t="str">
        <x:v>确定</x:v>
      </x:c>
      <x:c r="M236" s="20" t="str">
        <x:v>采用</x:v>
      </x:c>
      <x:c r="N236" s="20" t="str">
        <x:v>初审</x:v>
      </x:c>
      <x:c r="O236" s="22" t="n">
        <x:v>46255</x:v>
      </x:c>
      <x:c r="P236" s="20" t="str">
        <x:v>内部结构化规则：识别层与效应层分离；https://zh.wikisource.org/wiki/淵海子平；https://zh.wikisource.org/zh-hans/三命通會_(四庫全書本)</x:v>
      </x:c>
    </x:row>
    <x:row r="237">
      <x:c r="A237" s="20" t="str">
        <x:v>M05-OVER-0082-V1.0</x:v>
      </x:c>
      <x:c r="B237" s="20" t="str">
        <x:v>规则</x:v>
      </x:c>
      <x:c r="C237" s="20" t="str">
        <x:v>M05</x:v>
      </x:c>
      <x:c r="D237" s="20" t="str">
        <x:v>05_地支关系识别</x:v>
      </x:c>
      <x:c r="E237" s="20" t="str">
        <x:v>OVER</x:v>
      </x:c>
      <x:c r="F237" s="20" t="n">
        <x:v>82</x:v>
      </x:c>
      <x:c r="G237" s="20" t="str">
        <x:v>V1.0</x:v>
      </x:c>
      <x:c r="H237" s="20" t="str">
        <x:v>寅申冲刑并见独立识别</x:v>
      </x:c>
      <x:c r="I237" s="20" t="str">
        <x:v>识别层</x:v>
      </x:c>
      <x:c r="J237" s="20" t="str">
        <x:v>寅申冲刑并见</x:v>
      </x:c>
      <x:c r="K237" s="20" t="str">
        <x:v>地支见寅、申，同时登记寅申冲、寅申刑支局部关系；多重关系的实际效应转M06。</x:v>
      </x:c>
      <x:c r="L237" s="20" t="str">
        <x:v>确定</x:v>
      </x:c>
      <x:c r="M237" s="20" t="str">
        <x:v>采用</x:v>
      </x:c>
      <x:c r="N237" s="20" t="str">
        <x:v>初审</x:v>
      </x:c>
      <x:c r="O237" s="22" t="n">
        <x:v>46255</x:v>
      </x:c>
      <x:c r="P237" s="20" t="str">
        <x:v>内部结构化规则：识别层与效应层分离；https://zh.wikisource.org/wiki/淵海子平；https://zh.wikisource.org/zh-hans/三命通會_(四庫全書本)</x:v>
      </x:c>
    </x:row>
    <x:row r="238">
      <x:c r="A238" s="20" t="str">
        <x:v>M05-OVER-0083-V1.0</x:v>
      </x:c>
      <x:c r="B238" s="20" t="str">
        <x:v>规则</x:v>
      </x:c>
      <x:c r="C238" s="20" t="str">
        <x:v>M05</x:v>
      </x:c>
      <x:c r="D238" s="20" t="str">
        <x:v>05_地支关系识别</x:v>
      </x:c>
      <x:c r="E238" s="20" t="str">
        <x:v>OVER</x:v>
      </x:c>
      <x:c r="F238" s="20" t="n">
        <x:v>83</x:v>
      </x:c>
      <x:c r="G238" s="20" t="str">
        <x:v>V1.0</x:v>
      </x:c>
      <x:c r="H238" s="20" t="str">
        <x:v>丑未冲刑并见独立识别</x:v>
      </x:c>
      <x:c r="I238" s="20" t="str">
        <x:v>识别层</x:v>
      </x:c>
      <x:c r="J238" s="20" t="str">
        <x:v>丑未冲刑并见</x:v>
      </x:c>
      <x:c r="K238" s="20" t="str">
        <x:v>地支见丑、未，同时登记丑未冲、丑未刑支局部关系；多重关系的实际效应转M06。</x:v>
      </x:c>
      <x:c r="L238" s="20" t="str">
        <x:v>确定</x:v>
      </x:c>
      <x:c r="M238" s="20" t="str">
        <x:v>采用</x:v>
      </x:c>
      <x:c r="N238" s="20" t="str">
        <x:v>初审</x:v>
      </x:c>
      <x:c r="O238" s="22" t="n">
        <x:v>46255</x:v>
      </x:c>
      <x:c r="P238" s="20" t="str">
        <x:v>内部结构化规则：识别层与效应层分离；https://zh.wikisource.org/wiki/淵海子平；https://zh.wikisource.org/zh-hans/三命通會_(四庫全書本)</x:v>
      </x:c>
    </x:row>
    <x:row r="239">
      <x:c r="A239" s="20" t="str">
        <x:v>M05-OVER-0084-V1.0</x:v>
      </x:c>
      <x:c r="B239" s="20" t="str">
        <x:v>规则</x:v>
      </x:c>
      <x:c r="C239" s="20" t="str">
        <x:v>M05</x:v>
      </x:c>
      <x:c r="D239" s="20" t="str">
        <x:v>05_地支关系识别</x:v>
      </x:c>
      <x:c r="E239" s="20" t="str">
        <x:v>OVER</x:v>
      </x:c>
      <x:c r="F239" s="20" t="n">
        <x:v>84</x:v>
      </x:c>
      <x:c r="G239" s="20" t="str">
        <x:v>V1.0</x:v>
      </x:c>
      <x:c r="H239" s="20" t="str">
        <x:v>寅巳刑害并见独立识别</x:v>
      </x:c>
      <x:c r="I239" s="20" t="str">
        <x:v>识别层</x:v>
      </x:c>
      <x:c r="J239" s="20" t="str">
        <x:v>寅巳刑害并见</x:v>
      </x:c>
      <x:c r="K239" s="20" t="str">
        <x:v>地支见寅、巳，同时登记寅巳害、寅巳刑支局部关系；多重关系的实际效应转M06。</x:v>
      </x:c>
      <x:c r="L239" s="20" t="str">
        <x:v>确定</x:v>
      </x:c>
      <x:c r="M239" s="20" t="str">
        <x:v>采用</x:v>
      </x:c>
      <x:c r="N239" s="20" t="str">
        <x:v>初审</x:v>
      </x:c>
      <x:c r="O239" s="22" t="n">
        <x:v>46255</x:v>
      </x:c>
      <x:c r="P239" s="20" t="str">
        <x:v>内部结构化规则：识别层与效应层分离；https://zh.wikisource.org/wiki/淵海子平；https://zh.wikisource.org/zh-hans/三命通會_(四庫全書本)</x:v>
      </x:c>
    </x:row>
    <x:row r="240">
      <x:c r="A240" s="20" t="str">
        <x:v>M05-OVER-0085-V1.0</x:v>
      </x:c>
      <x:c r="B240" s="20" t="str">
        <x:v>规则</x:v>
      </x:c>
      <x:c r="C240" s="20" t="str">
        <x:v>M05</x:v>
      </x:c>
      <x:c r="D240" s="20" t="str">
        <x:v>05_地支关系识别</x:v>
      </x:c>
      <x:c r="E240" s="20" t="str">
        <x:v>OVER</x:v>
      </x:c>
      <x:c r="F240" s="20" t="n">
        <x:v>85</x:v>
      </x:c>
      <x:c r="G240" s="20" t="str">
        <x:v>V1.0</x:v>
      </x:c>
      <x:c r="H240" s="20" t="str">
        <x:v>寅亥合破并见独立识别</x:v>
      </x:c>
      <x:c r="I240" s="20" t="str">
        <x:v>识别层</x:v>
      </x:c>
      <x:c r="J240" s="20" t="str">
        <x:v>寅亥合破并见</x:v>
      </x:c>
      <x:c r="K240" s="20" t="str">
        <x:v>地支见寅、亥，同时登记寅亥六合、寅亥破；多重关系的实际效应转M06。</x:v>
      </x:c>
      <x:c r="L240" s="20" t="str">
        <x:v>确定</x:v>
      </x:c>
      <x:c r="M240" s="20" t="str">
        <x:v>采用</x:v>
      </x:c>
      <x:c r="N240" s="20" t="str">
        <x:v>初审</x:v>
      </x:c>
      <x:c r="O240" s="22" t="n">
        <x:v>46255</x:v>
      </x:c>
      <x:c r="P240" s="20" t="str">
        <x:v>内部结构化规则：识别层与效应层分离；https://zh.wikisource.org/wiki/淵海子平；https://zh.wikisource.org/zh-hans/三命通會_(四庫全書本)</x:v>
      </x:c>
    </x:row>
    <x:row r="241">
      <x:c r="A241" s="20" t="str">
        <x:v>M05-OVER-0086-V1.0</x:v>
      </x:c>
      <x:c r="B241" s="20" t="str">
        <x:v>规则</x:v>
      </x:c>
      <x:c r="C241" s="20" t="str">
        <x:v>M05</x:v>
      </x:c>
      <x:c r="D241" s="20" t="str">
        <x:v>05_地支关系识别</x:v>
      </x:c>
      <x:c r="E241" s="20" t="str">
        <x:v>OVER</x:v>
      </x:c>
      <x:c r="F241" s="20" t="n">
        <x:v>86</x:v>
      </x:c>
      <x:c r="G241" s="20" t="str">
        <x:v>V1.0</x:v>
      </x:c>
      <x:c r="H241" s="20" t="str">
        <x:v>未戌刑破并见独立识别</x:v>
      </x:c>
      <x:c r="I241" s="20" t="str">
        <x:v>识别层</x:v>
      </x:c>
      <x:c r="J241" s="20" t="str">
        <x:v>未戌刑破并见</x:v>
      </x:c>
      <x:c r="K241" s="20" t="str">
        <x:v>地支见未、戌，同时登记未戌刑支局部关系、未戌破；多重关系的实际效应转M06。</x:v>
      </x:c>
      <x:c r="L241" s="20" t="str">
        <x:v>确定</x:v>
      </x:c>
      <x:c r="M241" s="20" t="str">
        <x:v>采用</x:v>
      </x:c>
      <x:c r="N241" s="20" t="str">
        <x:v>初审</x:v>
      </x:c>
      <x:c r="O241" s="22" t="n">
        <x:v>46255</x:v>
      </x:c>
      <x:c r="P241" s="20" t="str">
        <x:v>内部结构化规则：识别层与效应层分离；https://zh.wikisource.org/wiki/淵海子平；https://zh.wikisource.org/zh-hans/三命通會_(四庫全書本)</x:v>
      </x:c>
    </x:row>
    <x:row r="242">
      <x:c r="A242" s="20" t="str">
        <x:v>M05-BOUND-0087-V1.0</x:v>
      </x:c>
      <x:c r="B242" s="20" t="str">
        <x:v>规则</x:v>
      </x:c>
      <x:c r="C242" s="20" t="str">
        <x:v>M05</x:v>
      </x:c>
      <x:c r="D242" s="20" t="str">
        <x:v>05_地支关系识别</x:v>
      </x:c>
      <x:c r="E242" s="20" t="str">
        <x:v>BOUND</x:v>
      </x:c>
      <x:c r="F242" s="20" t="n">
        <x:v>87</x:v>
      </x:c>
      <x:c r="G242" s="20" t="str">
        <x:v>V1.0</x:v>
      </x:c>
      <x:c r="H242" s="20" t="str">
        <x:v>三合两端组合应分类为拱合而非半合</x:v>
      </x:c>
      <x:c r="I242" s="20" t="str">
        <x:v>识别层</x:v>
      </x:c>
      <x:c r="J242" s="20" t="str">
        <x:v>半合拱合分类</x:v>
      </x:c>
      <x:c r="K242" s="20" t="str">
        <x:v>该组合为三合两端齐、中神缺，按本库分类记为拱合；含中神的两支才记半合。</x:v>
      </x:c>
      <x:c r="L242" s="20" t="str">
        <x:v>较高</x:v>
      </x:c>
      <x:c r="M242" s="20" t="str">
        <x:v>采用</x:v>
      </x:c>
      <x:c r="N242" s="20" t="str">
        <x:v>初审</x:v>
      </x:c>
      <x:c r="O242" s="22" t="n">
        <x:v>46255</x:v>
      </x:c>
      <x:c r="P242" s="20" t="str">
        <x:v>内部结构化规则：识别层与效应层分离；https://zh.wikisource.org/wiki/淵海子平；https://zh.wikisource.org/zh-hans/三命通會_(四庫全書本)</x:v>
      </x:c>
    </x:row>
    <x:row r="243">
      <x:c r="A243" s="20" t="str">
        <x:v>M05-BOUND-0088-V1.0</x:v>
      </x:c>
      <x:c r="B243" s="20" t="str">
        <x:v>规则</x:v>
      </x:c>
      <x:c r="C243" s="20" t="str">
        <x:v>M05</x:v>
      </x:c>
      <x:c r="D243" s="20" t="str">
        <x:v>05_地支关系识别</x:v>
      </x:c>
      <x:c r="E243" s="20" t="str">
        <x:v>BOUND</x:v>
      </x:c>
      <x:c r="F243" s="20" t="n">
        <x:v>88</x:v>
      </x:c>
      <x:c r="G243" s="20" t="str">
        <x:v>V1.0</x:v>
      </x:c>
      <x:c r="H243" s="20" t="str">
        <x:v>三会只见两支时标记部分候选</x:v>
      </x:c>
      <x:c r="I243" s="20" t="str">
        <x:v>识别层</x:v>
      </x:c>
      <x:c r="J243" s="20" t="str">
        <x:v>三会部分候选</x:v>
      </x:c>
      <x:c r="K243" s="20" t="str">
        <x:v>同一三会组仅见两支，记录为三会部分候选；第三支缺失，完整度为部分。</x:v>
      </x:c>
      <x:c r="L243" s="20" t="str">
        <x:v>较高</x:v>
      </x:c>
      <x:c r="M243" s="20" t="str">
        <x:v>采用</x:v>
      </x:c>
      <x:c r="N243" s="20" t="str">
        <x:v>初审</x:v>
      </x:c>
      <x:c r="O243" s="22" t="n">
        <x:v>46255</x:v>
      </x:c>
      <x:c r="P243" s="20" t="str">
        <x:v>内部结构化规则：识别层与效应层分离；https://zh.wikisource.org/wiki/淵海子平；https://zh.wikisource.org/zh-hans/三命通會_(四庫全書本)</x:v>
      </x:c>
    </x:row>
    <x:row r="244">
      <x:c r="A244" s="20" t="str">
        <x:v>M05-BOUND-0089-V1.0</x:v>
      </x:c>
      <x:c r="B244" s="20" t="str">
        <x:v>规则</x:v>
      </x:c>
      <x:c r="C244" s="20" t="str">
        <x:v>M05</x:v>
      </x:c>
      <x:c r="D244" s="20" t="str">
        <x:v>05_地支关系识别</x:v>
      </x:c>
      <x:c r="E244" s="20" t="str">
        <x:v>BOUND</x:v>
      </x:c>
      <x:c r="F244" s="20" t="n">
        <x:v>89</x:v>
      </x:c>
      <x:c r="G244" s="20" t="str">
        <x:v>V1.0</x:v>
      </x:c>
      <x:c r="H244" s="20" t="str">
        <x:v>重复同一地支不得替代三支组缺支</x:v>
      </x:c>
      <x:c r="I244" s="20" t="str">
        <x:v>识别层</x:v>
      </x:c>
      <x:c r="J244" s="20" t="str">
        <x:v>重复支不补组</x:v>
      </x:c>
      <x:c r="K244" s="20" t="str">
        <x:v>同支重复不能替代缺失成员；该三支组仍未完整，重复支另行处理。</x:v>
      </x:c>
      <x:c r="L244" s="20" t="str">
        <x:v>确定</x:v>
      </x:c>
      <x:c r="M244" s="20" t="str">
        <x:v>采用</x:v>
      </x:c>
      <x:c r="N244" s="20" t="str">
        <x:v>初审</x:v>
      </x:c>
      <x:c r="O244" s="22" t="n">
        <x:v>46255</x:v>
      </x:c>
      <x:c r="P244" s="20" t="str">
        <x:v>内部结构化规则：识别层与效应层分离；https://zh.wikisource.org/wiki/淵海子平；https://zh.wikisource.org/zh-hans/三命通會_(四庫全書本)</x:v>
      </x:c>
    </x:row>
    <x:row r="245">
      <x:c r="A245" s="20" t="str">
        <x:v>M05-BOUND-0090-V1.0</x:v>
      </x:c>
      <x:c r="B245" s="20" t="str">
        <x:v>规则</x:v>
      </x:c>
      <x:c r="C245" s="20" t="str">
        <x:v>M05</x:v>
      </x:c>
      <x:c r="D245" s="20" t="str">
        <x:v>05_地支关系识别</x:v>
      </x:c>
      <x:c r="E245" s="20" t="str">
        <x:v>BOUND</x:v>
      </x:c>
      <x:c r="F245" s="20" t="n">
        <x:v>90</x:v>
      </x:c>
      <x:c r="G245" s="20" t="str">
        <x:v>V1.0</x:v>
      </x:c>
      <x:c r="H245" s="20" t="str">
        <x:v>地支识别层不裁定关系优先级与力量结果</x:v>
      </x:c>
      <x:c r="I245" s="20" t="str">
        <x:v>识别层</x:v>
      </x:c>
      <x:c r="J245" s="20" t="str">
        <x:v>识别效应分层</x:v>
      </x:c>
      <x:c r="K245" s="20" t="str">
        <x:v>地支关系已经客观识别；所有成局、冲刑结果、根气变化与力量修正转M06及后续模块判断。</x:v>
      </x:c>
      <x:c r="L245" s="20" t="str">
        <x:v>确定</x:v>
      </x:c>
      <x:c r="M245" s="20" t="str">
        <x:v>采用</x:v>
      </x:c>
      <x:c r="N245" s="20" t="str">
        <x:v>初审</x:v>
      </x:c>
      <x:c r="O245" s="22" t="n">
        <x:v>46255</x:v>
      </x:c>
      <x:c r="P245" s="20" t="str">
        <x:v>内部结构化规则：识别层与效应层分离；https://zh.wikisource.org/wiki/淵海子平；https://zh.wikisource.org/zh-hans/三命通會_(四庫全書本)</x:v>
      </x:c>
    </x:row>
    <x:row r="246">
      <x:c r="A246" s="20" t="str">
        <x:v>M06-TGHE-0001-V1.0</x:v>
      </x:c>
      <x:c r="B246" s="20" t="str">
        <x:v>规则</x:v>
      </x:c>
      <x:c r="C246" s="20" t="str">
        <x:v>M06</x:v>
      </x:c>
      <x:c r="D246" s="20" t="str">
        <x:v>06_干支关系效应</x:v>
      </x:c>
      <x:c r="E246" s="20" t="str">
        <x:v>TGHE</x:v>
      </x:c>
      <x:c r="F246" s="20" t="n">
        <x:v>1</x:v>
      </x:c>
      <x:c r="G246" s="20" t="str">
        <x:v>V1.0</x:v>
      </x:c>
      <x:c r="H246" s="20" t="str">
        <x:v>天干五合先判合意再判合化</x:v>
      </x:c>
      <x:c r="I246" s="20" t="str">
        <x:v>效应层</x:v>
      </x:c>
      <x:c r="J246" s="20" t="str"/>
      <x:c r="K246" s="20" t="str">
        <x:v>天干五合已形成合意，当前先按合动或合绊评估；合化须另行验证。</x:v>
      </x:c>
      <x:c r="L246" s="20" t="str">
        <x:v>较高</x:v>
      </x:c>
      <x:c r="M246" s="20" t="str">
        <x:v>采用</x:v>
      </x:c>
      <x:c r="N246" s="20" t="str">
        <x:v>初审</x:v>
      </x:c>
      <x:c r="O246" s="22" t="n">
        <x:v>46255</x:v>
      </x:c>
      <x:c r="P246" s="20" t="str">
        <x:v>五合固定配对与合化候选应分层处理。参考：https://zh.wikisource.org/zh-hans/淵海子平；https://zh.wikisource.org/wiki/三命通會/卷二</x:v>
      </x:c>
    </x:row>
    <x:row r="247">
      <x:c r="A247" s="20" t="str">
        <x:v>M06-TGHE-0002-V1.0</x:v>
      </x:c>
      <x:c r="B247" s="20" t="str">
        <x:v>规则</x:v>
      </x:c>
      <x:c r="C247" s="20" t="str">
        <x:v>M06</x:v>
      </x:c>
      <x:c r="D247" s="20" t="str">
        <x:v>06_干支关系效应</x:v>
      </x:c>
      <x:c r="E247" s="20" t="str">
        <x:v>TGHE</x:v>
      </x:c>
      <x:c r="F247" s="20" t="n">
        <x:v>2</x:v>
      </x:c>
      <x:c r="G247" s="20" t="str">
        <x:v>V1.0</x:v>
      </x:c>
      <x:c r="H247" s="20" t="str">
        <x:v>天干相邻增强合的直接作用</x:v>
      </x:c>
      <x:c r="I247" s="20" t="str">
        <x:v>效应层</x:v>
      </x:c>
      <x:c r="J247" s="20" t="str"/>
      <x:c r="K247" s="20" t="str">
        <x:v>该五合相邻，直接牵制较明显；是否达到合住仍须看双方强弱与第三方作用。</x:v>
      </x:c>
      <x:c r="L247" s="20" t="str">
        <x:v>较高</x:v>
      </x:c>
      <x:c r="M247" s="20" t="str">
        <x:v>采用</x:v>
      </x:c>
      <x:c r="N247" s="20" t="str">
        <x:v>初审</x:v>
      </x:c>
      <x:c r="O247" s="22" t="n">
        <x:v>46255</x:v>
      </x:c>
      <x:c r="P247" s="20" t="str">
        <x:v>位置近远作为效应强弱信息，而不是关系存在条件。参考：https://ctext.org/wiki.pl?chapter=435028&amp;if=gb&amp;remap=gb</x:v>
      </x:c>
    </x:row>
    <x:row r="248">
      <x:c r="A248" s="20" t="str">
        <x:v>M06-TGHE-0003-V1.0</x:v>
      </x:c>
      <x:c r="B248" s="20" t="str">
        <x:v>规则</x:v>
      </x:c>
      <x:c r="C248" s="20" t="str">
        <x:v>M06</x:v>
      </x:c>
      <x:c r="D248" s="20" t="str">
        <x:v>06_干支关系效应</x:v>
      </x:c>
      <x:c r="E248" s="20" t="str">
        <x:v>TGHE</x:v>
      </x:c>
      <x:c r="F248" s="20" t="n">
        <x:v>3</x:v>
      </x:c>
      <x:c r="G248" s="20" t="str">
        <x:v>V1.0</x:v>
      </x:c>
      <x:c r="H248" s="20" t="str">
        <x:v>天干隔合降低直接牵制强度</x:v>
      </x:c>
      <x:c r="I248" s="20" t="str">
        <x:v>效应层</x:v>
      </x:c>
      <x:c r="J248" s="20" t="str"/>
      <x:c r="K248" s="20" t="str">
        <x:v>该五合属隔合，保留牵引候选；未见额外支持时不判强合住。</x:v>
      </x:c>
      <x:c r="L248" s="20" t="str">
        <x:v>较高</x:v>
      </x:c>
      <x:c r="M248" s="20" t="str">
        <x:v>采用</x:v>
      </x:c>
      <x:c r="N248" s="20" t="str">
        <x:v>初审</x:v>
      </x:c>
      <x:c r="O248" s="22" t="n">
        <x:v>46255</x:v>
      </x:c>
      <x:c r="P248" s="20" t="str">
        <x:v>隔位关系需要额外通道支持。参考：https://ctext.org/wiki.pl?chapter=435028&amp;if=gb&amp;remap=gb</x:v>
      </x:c>
    </x:row>
    <x:row r="249">
      <x:c r="A249" s="20" t="str">
        <x:v>M06-TGHE-0004-V1.0</x:v>
      </x:c>
      <x:c r="B249" s="20" t="str">
        <x:v>规则</x:v>
      </x:c>
      <x:c r="C249" s="20" t="str">
        <x:v>M06</x:v>
      </x:c>
      <x:c r="D249" s="20" t="str">
        <x:v>06_干支关系效应</x:v>
      </x:c>
      <x:c r="E249" s="20" t="str">
        <x:v>TGHE</x:v>
      </x:c>
      <x:c r="F249" s="20" t="n">
        <x:v>4</x:v>
      </x:c>
      <x:c r="G249" s="20" t="str">
        <x:v>V1.0</x:v>
      </x:c>
      <x:c r="H249" s="20" t="str">
        <x:v>天干遥合只保留弱牵引候选</x:v>
      </x:c>
      <x:c r="I249" s="20" t="str">
        <x:v>效应层</x:v>
      </x:c>
      <x:c r="J249" s="20" t="str"/>
      <x:c r="K249" s="20" t="str">
        <x:v>该关系为遥合，暂记弱牵引；不得仅凭遥合判合住或合化。</x:v>
      </x:c>
      <x:c r="L249" s="20" t="str">
        <x:v>较高</x:v>
      </x:c>
      <x:c r="M249" s="20" t="str">
        <x:v>采用</x:v>
      </x:c>
      <x:c r="N249" s="20" t="str">
        <x:v>初审</x:v>
      </x:c>
      <x:c r="O249" s="22" t="n">
        <x:v>46255</x:v>
      </x:c>
      <x:c r="P249" s="20" t="str">
        <x:v>遥隔降低直接作用，不删除关系本身。参考：https://ctext.org/wiki.pl?chapter=435028&amp;if=gb&amp;remap=gb</x:v>
      </x:c>
    </x:row>
    <x:row r="250">
      <x:c r="A250" s="20" t="str">
        <x:v>M06-TGHE-0005-V1.0</x:v>
      </x:c>
      <x:c r="B250" s="20" t="str">
        <x:v>规则</x:v>
      </x:c>
      <x:c r="C250" s="20" t="str">
        <x:v>M06</x:v>
      </x:c>
      <x:c r="D250" s="20" t="str">
        <x:v>06_干支关系效应</x:v>
      </x:c>
      <x:c r="E250" s="20" t="str">
        <x:v>TGHE</x:v>
      </x:c>
      <x:c r="F250" s="20" t="n">
        <x:v>5</x:v>
      </x:c>
      <x:c r="G250" s="20" t="str">
        <x:v>V1.0</x:v>
      </x:c>
      <x:c r="H250" s="20" t="str">
        <x:v>一强一弱时弱干更易受合绊</x:v>
      </x:c>
      <x:c r="I250" s="20" t="str">
        <x:v>效应层</x:v>
      </x:c>
      <x:c r="J250" s="20" t="str"/>
      <x:c r="K250" s="20" t="str">
        <x:v>五合双方力量悬殊，弱干受合绊较重；强干仍保留主要功能。</x:v>
      </x:c>
      <x:c r="L250" s="20" t="str">
        <x:v>较高</x:v>
      </x:c>
      <x:c r="M250" s="20" t="str">
        <x:v>采用</x:v>
      </x:c>
      <x:c r="N250" s="20" t="str">
        <x:v>初审</x:v>
      </x:c>
      <x:c r="O250" s="22" t="n">
        <x:v>46255</x:v>
      </x:c>
      <x:c r="P250" s="20" t="str">
        <x:v>实际效应必须逐对象判断，不能把两干作等量扣减。参考：https://zh.wikisource.org/zh-hans/滴天髓</x:v>
      </x:c>
    </x:row>
    <x:row r="251">
      <x:c r="A251" s="20" t="str">
        <x:v>M06-TGHE-0006-V1.0</x:v>
      </x:c>
      <x:c r="B251" s="20" t="str">
        <x:v>规则</x:v>
      </x:c>
      <x:c r="C251" s="20" t="str">
        <x:v>M06</x:v>
      </x:c>
      <x:c r="D251" s="20" t="str">
        <x:v>06_干支关系效应</x:v>
      </x:c>
      <x:c r="E251" s="20" t="str">
        <x:v>TGHE</x:v>
      </x:c>
      <x:c r="F251" s="20" t="n">
        <x:v>6</x:v>
      </x:c>
      <x:c r="G251" s="20" t="str">
        <x:v>V1.0</x:v>
      </x:c>
      <x:c r="H251" s="20" t="str">
        <x:v>双方强根时优先判合绊而非消失</x:v>
      </x:c>
      <x:c r="I251" s="20" t="str">
        <x:v>效应层</x:v>
      </x:c>
      <x:c r="J251" s="20" t="str"/>
      <x:c r="K251" s="20" t="str">
        <x:v>双方根气均实，本条判为相互合绊；原五行性质和基本存在仍保留。</x:v>
      </x:c>
      <x:c r="L251" s="20" t="str">
        <x:v>较高</x:v>
      </x:c>
      <x:c r="M251" s="20" t="str">
        <x:v>采用</x:v>
      </x:c>
      <x:c r="N251" s="20" t="str">
        <x:v>初审</x:v>
      </x:c>
      <x:c r="O251" s="22" t="n">
        <x:v>46255</x:v>
      </x:c>
      <x:c r="P251" s="20" t="str">
        <x:v>有根者不因一合自动失去存在。参考：https://ctext.org/wiki.pl?chapter=974137&amp;if=gb&amp;remap=gb</x:v>
      </x:c>
    </x:row>
    <x:row r="252">
      <x:c r="A252" s="20" t="str">
        <x:v>M06-TGHE-0007-V1.0</x:v>
      </x:c>
      <x:c r="B252" s="20" t="str">
        <x:v>规则</x:v>
      </x:c>
      <x:c r="C252" s="20" t="str">
        <x:v>M06</x:v>
      </x:c>
      <x:c r="D252" s="20" t="str">
        <x:v>06_干支关系效应</x:v>
      </x:c>
      <x:c r="E252" s="20" t="str">
        <x:v>TGHE</x:v>
      </x:c>
      <x:c r="F252" s="20" t="n">
        <x:v>7</x:v>
      </x:c>
      <x:c r="G252" s="20" t="str">
        <x:v>V1.0</x:v>
      </x:c>
      <x:c r="H252" s="20" t="str">
        <x:v>独立根气使被合天干保留本气</x:v>
      </x:c>
      <x:c r="I252" s="20" t="str">
        <x:v>效应层</x:v>
      </x:c>
      <x:c r="J252" s="20" t="str"/>
      <x:c r="K252" s="20" t="str">
        <x:v>该干虽被合，但根气未失，仍保留本气；合主要限制其直接发挥。</x:v>
      </x:c>
      <x:c r="L252" s="20" t="str">
        <x:v>较高</x:v>
      </x:c>
      <x:c r="M252" s="20" t="str">
        <x:v>采用</x:v>
      </x:c>
      <x:c r="N252" s="20" t="str">
        <x:v>初审</x:v>
      </x:c>
      <x:c r="O252" s="22" t="n">
        <x:v>46255</x:v>
      </x:c>
      <x:c r="P252" s="20" t="str">
        <x:v>天干关系与地支根气是不同层级。参考：https://zh.wikisource.org/zh-hans/滴天髓</x:v>
      </x:c>
    </x:row>
    <x:row r="253">
      <x:c r="A253" s="20" t="str">
        <x:v>M06-TGHE-0008-V1.0</x:v>
      </x:c>
      <x:c r="B253" s="20" t="str">
        <x:v>规则</x:v>
      </x:c>
      <x:c r="C253" s="20" t="str">
        <x:v>M06</x:v>
      </x:c>
      <x:c r="D253" s="20" t="str">
        <x:v>06_干支关系效应</x:v>
      </x:c>
      <x:c r="E253" s="20" t="str">
        <x:v>TGHE</x:v>
      </x:c>
      <x:c r="F253" s="20" t="n">
        <x:v>8</x:v>
      </x:c>
      <x:c r="G253" s="20" t="str">
        <x:v>V1.0</x:v>
      </x:c>
      <x:c r="H253" s="20" t="str">
        <x:v>天干合可暂缓原有直接克制路径</x:v>
      </x:c>
      <x:c r="I253" s="20" t="str">
        <x:v>效应层</x:v>
      </x:c>
      <x:c r="J253" s="20" t="str"/>
      <x:c r="K253" s="20" t="str">
        <x:v>共享天干受合，原克制路径被削弱；是否完全解除须看合的强度与第三方力量。</x:v>
      </x:c>
      <x:c r="L253" s="20" t="str">
        <x:v>较高</x:v>
      </x:c>
      <x:c r="M253" s="20" t="str">
        <x:v>采用</x:v>
      </x:c>
      <x:c r="N253" s="20" t="str">
        <x:v>初审</x:v>
      </x:c>
      <x:c r="O253" s="22" t="n">
        <x:v>46255</x:v>
      </x:c>
      <x:c r="P253" s="20" t="str">
        <x:v>会合可作为解冲解克机制，但必须比较结构强弱。参考：https://ctext.org/wiki.pl?chapter=974137&amp;if=gb&amp;remap=gb</x:v>
      </x:c>
    </x:row>
    <x:row r="254">
      <x:c r="A254" s="20" t="str">
        <x:v>M06-TGHE-0009-V1.0</x:v>
      </x:c>
      <x:c r="B254" s="20" t="str">
        <x:v>规则</x:v>
      </x:c>
      <x:c r="C254" s="20" t="str">
        <x:v>M06</x:v>
      </x:c>
      <x:c r="D254" s="20" t="str">
        <x:v>06_干支关系效应</x:v>
      </x:c>
      <x:c r="E254" s="20" t="str">
        <x:v>TGHE</x:v>
      </x:c>
      <x:c r="F254" s="20" t="n">
        <x:v>9</x:v>
      </x:c>
      <x:c r="G254" s="20" t="str">
        <x:v>V1.0</x:v>
      </x:c>
      <x:c r="H254" s="20" t="str">
        <x:v>第三干仍可作用于被合天干</x:v>
      </x:c>
      <x:c r="I254" s="20" t="str">
        <x:v>效应层</x:v>
      </x:c>
      <x:c r="J254" s="20" t="str"/>
      <x:c r="K254" s="20" t="str">
        <x:v>该干虽参与五合，仍接受第三干生克；最终效应按多重关系综合。</x:v>
      </x:c>
      <x:c r="L254" s="20" t="str">
        <x:v>较高</x:v>
      </x:c>
      <x:c r="M254" s="20" t="str">
        <x:v>采用</x:v>
      </x:c>
      <x:c r="N254" s="20" t="str">
        <x:v>初审</x:v>
      </x:c>
      <x:c r="O254" s="22" t="n">
        <x:v>46255</x:v>
      </x:c>
      <x:c r="P254" s="20" t="str">
        <x:v>多重关系不能因先见合而删除后续生克。参考：https://ctext.org/wiki.pl?chapter=974137&amp;if=gb&amp;remap=gb</x:v>
      </x:c>
    </x:row>
    <x:row r="255">
      <x:c r="A255" s="20" t="str">
        <x:v>M06-TGHE-0010-V1.0</x:v>
      </x:c>
      <x:c r="B255" s="20" t="str">
        <x:v>规则</x:v>
      </x:c>
      <x:c r="C255" s="20" t="str">
        <x:v>M06</x:v>
      </x:c>
      <x:c r="D255" s="20" t="str">
        <x:v>06_干支关系效应</x:v>
      </x:c>
      <x:c r="E255" s="20" t="str">
        <x:v>TGHE</x:v>
      </x:c>
      <x:c r="F255" s="20" t="n">
        <x:v>10</x:v>
      </x:c>
      <x:c r="G255" s="20" t="str">
        <x:v>V1.0</x:v>
      </x:c>
      <x:c r="H255" s="20" t="str">
        <x:v>争合降低单一合关系的稳定性</x:v>
      </x:c>
      <x:c r="I255" s="20" t="str">
        <x:v>效应层</x:v>
      </x:c>
      <x:c r="J255" s="20" t="str"/>
      <x:c r="K255" s="20" t="str">
        <x:v>该结构存在争合，各合关系稳定性下降；需指定主合、次合或均不成强合。</x:v>
      </x:c>
      <x:c r="L255" s="20" t="str">
        <x:v>中等</x:v>
      </x:c>
      <x:c r="M255" s="20" t="str">
        <x:v>采用</x:v>
      </x:c>
      <x:c r="N255" s="20" t="str">
        <x:v>初审</x:v>
      </x:c>
      <x:c r="O255" s="22" t="n">
        <x:v>46255</x:v>
      </x:c>
      <x:c r="P255" s="20" t="str">
        <x:v>争合是多关系共享节点问题，必须分配作用优先级。参考：https://ctext.org/wiki.pl?chapter=435028&amp;if=gb&amp;remap=gb</x:v>
      </x:c>
    </x:row>
    <x:row r="256">
      <x:c r="A256" s="20" t="str">
        <x:v>M06-TGHUA-0011-V1.0</x:v>
      </x:c>
      <x:c r="B256" s="20" t="str">
        <x:v>规则</x:v>
      </x:c>
      <x:c r="C256" s="20" t="str">
        <x:v>M06</x:v>
      </x:c>
      <x:c r="D256" s="20" t="str">
        <x:v>06_干支关系效应</x:v>
      </x:c>
      <x:c r="E256" s="20" t="str">
        <x:v>TGHUA</x:v>
      </x:c>
      <x:c r="F256" s="20" t="n">
        <x:v>11</x:v>
      </x:c>
      <x:c r="G256" s="20" t="str">
        <x:v>V1.0</x:v>
      </x:c>
      <x:c r="H256" s="20" t="str">
        <x:v>天干合化成立的四项联合门槛</x:v>
      </x:c>
      <x:c r="I256" s="20" t="str">
        <x:v>效应层</x:v>
      </x:c>
      <x:c r="J256" s="20" t="str"/>
      <x:c r="K256" s="20" t="str">
        <x:v>当前满足合化联合门槛，方可把两干的主要有效性质转向化神；否则退回合绊或合动。</x:v>
      </x:c>
      <x:c r="L256" s="20" t="str">
        <x:v>较高</x:v>
      </x:c>
      <x:c r="M256" s="20" t="str">
        <x:v>采用</x:v>
      </x:c>
      <x:c r="N256" s="20" t="str">
        <x:v>初审</x:v>
      </x:c>
      <x:c r="O256" s="22" t="n">
        <x:v>46255</x:v>
      </x:c>
      <x:c r="P256" s="20" t="str">
        <x:v>传统五合化气不能仅凭配对成立，需考察月令与气势。参考：https://zh.wikisource.org/zh-hans/淵海子平；https://zh.wikisource.org/wiki/三命通會/卷二</x:v>
      </x:c>
    </x:row>
    <x:row r="257">
      <x:c r="A257" s="20" t="str">
        <x:v>M06-TGHUA-0012-V1.0</x:v>
      </x:c>
      <x:c r="B257" s="20" t="str">
        <x:v>规则</x:v>
      </x:c>
      <x:c r="C257" s="20" t="str">
        <x:v>M06</x:v>
      </x:c>
      <x:c r="D257" s="20" t="str">
        <x:v>06_干支关系效应</x:v>
      </x:c>
      <x:c r="E257" s="20" t="str">
        <x:v>TGHUA</x:v>
      </x:c>
      <x:c r="F257" s="20" t="n">
        <x:v>12</x:v>
      </x:c>
      <x:c r="G257" s="20" t="str">
        <x:v>V1.0</x:v>
      </x:c>
      <x:c r="H257" s="20" t="str">
        <x:v>甲己合化土的化神方向</x:v>
      </x:c>
      <x:c r="I257" s="20" t="str">
        <x:v>效应层</x:v>
      </x:c>
      <x:c r="J257" s="20" t="str"/>
      <x:c r="K257" s="20" t="str">
        <x:v>甲己合化土条件成立，甲己主要有效作用转向土；若条件不足则仍按合绊处理。</x:v>
      </x:c>
      <x:c r="L257" s="20" t="str">
        <x:v>较高</x:v>
      </x:c>
      <x:c r="M257" s="20" t="str">
        <x:v>采用</x:v>
      </x:c>
      <x:c r="N257" s="20" t="str">
        <x:v>初审</x:v>
      </x:c>
      <x:c r="O257" s="22" t="n">
        <x:v>46255</x:v>
      </x:c>
      <x:c r="P257" s="20" t="str">
        <x:v>本条只规定固定化神方向与条件，不把候选等同成立。参考：https://zh.wikisource.org/zh-hans/淵海子平；https://zh.wikisource.org/wiki/三命通會/卷二</x:v>
      </x:c>
    </x:row>
    <x:row r="258">
      <x:c r="A258" s="20" t="str">
        <x:v>M06-TGHUA-0013-V1.0</x:v>
      </x:c>
      <x:c r="B258" s="20" t="str">
        <x:v>规则</x:v>
      </x:c>
      <x:c r="C258" s="20" t="str">
        <x:v>M06</x:v>
      </x:c>
      <x:c r="D258" s="20" t="str">
        <x:v>06_干支关系效应</x:v>
      </x:c>
      <x:c r="E258" s="20" t="str">
        <x:v>TGHUA</x:v>
      </x:c>
      <x:c r="F258" s="20" t="n">
        <x:v>13</x:v>
      </x:c>
      <x:c r="G258" s="20" t="str">
        <x:v>V1.0</x:v>
      </x:c>
      <x:c r="H258" s="20" t="str">
        <x:v>乙庚合化金的化神方向</x:v>
      </x:c>
      <x:c r="I258" s="20" t="str">
        <x:v>效应层</x:v>
      </x:c>
      <x:c r="J258" s="20" t="str"/>
      <x:c r="K258" s="20" t="str">
        <x:v>乙庚合化金条件成立，乙庚主要有效作用转向金；若条件不足则仍按合绊处理。</x:v>
      </x:c>
      <x:c r="L258" s="20" t="str">
        <x:v>较高</x:v>
      </x:c>
      <x:c r="M258" s="20" t="str">
        <x:v>采用</x:v>
      </x:c>
      <x:c r="N258" s="20" t="str">
        <x:v>初审</x:v>
      </x:c>
      <x:c r="O258" s="22" t="n">
        <x:v>46255</x:v>
      </x:c>
      <x:c r="P258" s="20" t="str">
        <x:v>本条只规定固定化神方向与条件，不把候选等同成立。参考：https://zh.wikisource.org/zh-hans/淵海子平；https://zh.wikisource.org/wiki/三命通會/卷二</x:v>
      </x:c>
    </x:row>
    <x:row r="259">
      <x:c r="A259" s="20" t="str">
        <x:v>M06-TGHUA-0014-V1.0</x:v>
      </x:c>
      <x:c r="B259" s="20" t="str">
        <x:v>规则</x:v>
      </x:c>
      <x:c r="C259" s="20" t="str">
        <x:v>M06</x:v>
      </x:c>
      <x:c r="D259" s="20" t="str">
        <x:v>06_干支关系效应</x:v>
      </x:c>
      <x:c r="E259" s="20" t="str">
        <x:v>TGHUA</x:v>
      </x:c>
      <x:c r="F259" s="20" t="n">
        <x:v>14</x:v>
      </x:c>
      <x:c r="G259" s="20" t="str">
        <x:v>V1.0</x:v>
      </x:c>
      <x:c r="H259" s="20" t="str">
        <x:v>丙辛合化水的化神方向</x:v>
      </x:c>
      <x:c r="I259" s="20" t="str">
        <x:v>效应层</x:v>
      </x:c>
      <x:c r="J259" s="20" t="str"/>
      <x:c r="K259" s="20" t="str">
        <x:v>丙辛合化水条件成立，丙辛主要有效作用转向水；若条件不足则仍按合绊处理。</x:v>
      </x:c>
      <x:c r="L259" s="20" t="str">
        <x:v>较高</x:v>
      </x:c>
      <x:c r="M259" s="20" t="str">
        <x:v>采用</x:v>
      </x:c>
      <x:c r="N259" s="20" t="str">
        <x:v>初审</x:v>
      </x:c>
      <x:c r="O259" s="22" t="n">
        <x:v>46255</x:v>
      </x:c>
      <x:c r="P259" s="20" t="str">
        <x:v>本条只规定固定化神方向与条件，不把候选等同成立。参考：https://zh.wikisource.org/zh-hans/淵海子平；https://zh.wikisource.org/wiki/三命通會/卷二</x:v>
      </x:c>
    </x:row>
    <x:row r="260">
      <x:c r="A260" s="20" t="str">
        <x:v>M06-TGHUA-0015-V1.0</x:v>
      </x:c>
      <x:c r="B260" s="20" t="str">
        <x:v>规则</x:v>
      </x:c>
      <x:c r="C260" s="20" t="str">
        <x:v>M06</x:v>
      </x:c>
      <x:c r="D260" s="20" t="str">
        <x:v>06_干支关系效应</x:v>
      </x:c>
      <x:c r="E260" s="20" t="str">
        <x:v>TGHUA</x:v>
      </x:c>
      <x:c r="F260" s="20" t="n">
        <x:v>15</x:v>
      </x:c>
      <x:c r="G260" s="20" t="str">
        <x:v>V1.0</x:v>
      </x:c>
      <x:c r="H260" s="20" t="str">
        <x:v>丁壬合化木的化神方向</x:v>
      </x:c>
      <x:c r="I260" s="20" t="str">
        <x:v>效应层</x:v>
      </x:c>
      <x:c r="J260" s="20" t="str"/>
      <x:c r="K260" s="20" t="str">
        <x:v>丁壬合化木条件成立，丁壬主要有效作用转向木；若条件不足则仍按合绊处理。</x:v>
      </x:c>
      <x:c r="L260" s="20" t="str">
        <x:v>较高</x:v>
      </x:c>
      <x:c r="M260" s="20" t="str">
        <x:v>采用</x:v>
      </x:c>
      <x:c r="N260" s="20" t="str">
        <x:v>初审</x:v>
      </x:c>
      <x:c r="O260" s="22" t="n">
        <x:v>46255</x:v>
      </x:c>
      <x:c r="P260" s="20" t="str">
        <x:v>本条只规定固定化神方向与条件，不把候选等同成立。参考：https://zh.wikisource.org/zh-hans/淵海子平；https://zh.wikisource.org/wiki/三命通會/卷二</x:v>
      </x:c>
    </x:row>
    <x:row r="261">
      <x:c r="A261" s="20" t="str">
        <x:v>M06-TGHUA-0016-V1.0</x:v>
      </x:c>
      <x:c r="B261" s="20" t="str">
        <x:v>规则</x:v>
      </x:c>
      <x:c r="C261" s="20" t="str">
        <x:v>M06</x:v>
      </x:c>
      <x:c r="D261" s="20" t="str">
        <x:v>06_干支关系效应</x:v>
      </x:c>
      <x:c r="E261" s="20" t="str">
        <x:v>TGHUA</x:v>
      </x:c>
      <x:c r="F261" s="20" t="n">
        <x:v>16</x:v>
      </x:c>
      <x:c r="G261" s="20" t="str">
        <x:v>V1.0</x:v>
      </x:c>
      <x:c r="H261" s="20" t="str">
        <x:v>戊癸合化火的化神方向</x:v>
      </x:c>
      <x:c r="I261" s="20" t="str">
        <x:v>效应层</x:v>
      </x:c>
      <x:c r="J261" s="20" t="str"/>
      <x:c r="K261" s="20" t="str">
        <x:v>戊癸合化火条件成立，戊癸主要有效作用转向火；若条件不足则仍按合绊处理。</x:v>
      </x:c>
      <x:c r="L261" s="20" t="str">
        <x:v>较高</x:v>
      </x:c>
      <x:c r="M261" s="20" t="str">
        <x:v>采用</x:v>
      </x:c>
      <x:c r="N261" s="20" t="str">
        <x:v>初审</x:v>
      </x:c>
      <x:c r="O261" s="22" t="n">
        <x:v>46255</x:v>
      </x:c>
      <x:c r="P261" s="20" t="str">
        <x:v>本条只规定固定化神方向与条件，不把候选等同成立。参考：https://zh.wikisource.org/zh-hans/淵海子平；https://zh.wikisource.org/wiki/三命通會/卷二</x:v>
      </x:c>
    </x:row>
    <x:row r="262">
      <x:c r="A262" s="20" t="str">
        <x:v>M06-TGHUA-0017-V1.0</x:v>
      </x:c>
      <x:c r="B262" s="20" t="str">
        <x:v>规则</x:v>
      </x:c>
      <x:c r="C262" s="20" t="str">
        <x:v>M06</x:v>
      </x:c>
      <x:c r="D262" s="20" t="str">
        <x:v>06_干支关系效应</x:v>
      </x:c>
      <x:c r="E262" s="20" t="str">
        <x:v>TGHUA</x:v>
      </x:c>
      <x:c r="F262" s="20" t="n">
        <x:v>17</x:v>
      </x:c>
      <x:c r="G262" s="20" t="str">
        <x:v>V1.0</x:v>
      </x:c>
      <x:c r="H262" s="20" t="str">
        <x:v>化神得令得地成势显著增强合化</x:v>
      </x:c>
      <x:c r="I262" s="20" t="str">
        <x:v>效应层</x:v>
      </x:c>
      <x:c r="J262" s="20" t="str"/>
      <x:c r="K262" s="20" t="str">
        <x:v>化神得令得地成势，合化证据显著增强；仍需确认无拒化与争合。</x:v>
      </x:c>
      <x:c r="L262" s="20" t="str">
        <x:v>较高</x:v>
      </x:c>
      <x:c r="M262" s="20" t="str">
        <x:v>采用</x:v>
      </x:c>
      <x:c r="N262" s="20" t="str">
        <x:v>初审</x:v>
      </x:c>
      <x:c r="O262" s="22" t="n">
        <x:v>46255</x:v>
      </x:c>
      <x:c r="P262" s="20" t="str">
        <x:v>月令和气势是传统合化判定的核心条件。参考：https://zh.wikisource.org/zh-hans/淵海子平；https://zh.wikisource.org/wiki/三命通會/卷二</x:v>
      </x:c>
    </x:row>
    <x:row r="263">
      <x:c r="A263" s="20" t="str">
        <x:v>M06-TGHUA-0018-V1.0</x:v>
      </x:c>
      <x:c r="B263" s="20" t="str">
        <x:v>规则</x:v>
      </x:c>
      <x:c r="C263" s="20" t="str">
        <x:v>M06</x:v>
      </x:c>
      <x:c r="D263" s="20" t="str">
        <x:v>06_干支关系效应</x:v>
      </x:c>
      <x:c r="E263" s="20" t="str">
        <x:v>TGHUA</x:v>
      </x:c>
      <x:c r="F263" s="20" t="n">
        <x:v>18</x:v>
      </x:c>
      <x:c r="G263" s="20" t="str">
        <x:v>V1.0</x:v>
      </x:c>
      <x:c r="H263" s="20" t="str">
        <x:v>原干强根拒化使完整合化降级</x:v>
      </x:c>
      <x:c r="I263" s="20" t="str">
        <x:v>效应层</x:v>
      </x:c>
      <x:c r="J263" s="20" t="str"/>
      <x:c r="K263" s="20" t="str">
        <x:v>原干根气坚固，拒化证据明显；本条不判完整合化。</x:v>
      </x:c>
      <x:c r="L263" s="20" t="str">
        <x:v>较高</x:v>
      </x:c>
      <x:c r="M263" s="20" t="str">
        <x:v>采用</x:v>
      </x:c>
      <x:c r="N263" s="20" t="str">
        <x:v>初审</x:v>
      </x:c>
      <x:c r="O263" s="22" t="n">
        <x:v>46255</x:v>
      </x:c>
      <x:c r="P263" s="20" t="str">
        <x:v>化神成立不能忽略原气是否有能力从化。参考：https://zh.wikisource.org/zh-hans/滴天髓</x:v>
      </x:c>
    </x:row>
    <x:row r="264">
      <x:c r="A264" s="20" t="str">
        <x:v>M06-TGHUA-0019-V1.0</x:v>
      </x:c>
      <x:c r="B264" s="20" t="str">
        <x:v>规则</x:v>
      </x:c>
      <x:c r="C264" s="20" t="str">
        <x:v>M06</x:v>
      </x:c>
      <x:c r="D264" s="20" t="str">
        <x:v>06_干支关系效应</x:v>
      </x:c>
      <x:c r="E264" s="20" t="str">
        <x:v>TGHUA</x:v>
      </x:c>
      <x:c r="F264" s="20" t="n">
        <x:v>19</x:v>
      </x:c>
      <x:c r="G264" s="20" t="str">
        <x:v>V1.0</x:v>
      </x:c>
      <x:c r="H264" s="20" t="str">
        <x:v>强力反化五行可否决完整合化</x:v>
      </x:c>
      <x:c r="I264" s="20" t="str">
        <x:v>效应层</x:v>
      </x:c>
      <x:c r="J264" s="20" t="str"/>
      <x:c r="K264" s="20" t="str">
        <x:v>化神受强力反制，完整合化被否决；退回合绊或合动。</x:v>
      </x:c>
      <x:c r="L264" s="20" t="str">
        <x:v>较高</x:v>
      </x:c>
      <x:c r="M264" s="20" t="str">
        <x:v>采用</x:v>
      </x:c>
      <x:c r="N264" s="20" t="str">
        <x:v>初审</x:v>
      </x:c>
      <x:c r="O264" s="22" t="n">
        <x:v>46255</x:v>
      </x:c>
      <x:c r="P264" s="20" t="str">
        <x:v>合化必须能在全局生克中存续。参考：https://zh.wikisource.org/zh-hans/淵海子平；https://zh.wikisource.org/wiki/三命通會/卷二</x:v>
      </x:c>
    </x:row>
    <x:row r="265">
      <x:c r="A265" s="20" t="str">
        <x:v>M06-TGHUA-0020-V1.0</x:v>
      </x:c>
      <x:c r="B265" s="20" t="str">
        <x:v>规则</x:v>
      </x:c>
      <x:c r="C265" s="20" t="str">
        <x:v>M06</x:v>
      </x:c>
      <x:c r="D265" s="20" t="str">
        <x:v>06_干支关系效应</x:v>
      </x:c>
      <x:c r="E265" s="20" t="str">
        <x:v>TGHUA</x:v>
      </x:c>
      <x:c r="F265" s="20" t="n">
        <x:v>20</x:v>
      </x:c>
      <x:c r="G265" s="20" t="str">
        <x:v>V1.0</x:v>
      </x:c>
      <x:c r="H265" s="20" t="str">
        <x:v>争合与妒合可破坏单一化神归属</x:v>
      </x:c>
      <x:c r="I265" s="20" t="str">
        <x:v>效应层</x:v>
      </x:c>
      <x:c r="J265" s="20" t="str"/>
      <x:c r="K265" s="20" t="str">
        <x:v>争合破坏单一化神归属，合化暂不成立或仅保留主关系的条件性候选。</x:v>
      </x:c>
      <x:c r="L265" s="20" t="str">
        <x:v>中等</x:v>
      </x:c>
      <x:c r="M265" s="20" t="str">
        <x:v>采用</x:v>
      </x:c>
      <x:c r="N265" s="20" t="str">
        <x:v>初审</x:v>
      </x:c>
      <x:c r="O265" s="22" t="n">
        <x:v>46255</x:v>
      </x:c>
      <x:c r="P265" s="20" t="str">
        <x:v>争合属于合化稳定性的否决或降级因素。参考：https://ctext.org/wiki.pl?chapter=435028&amp;if=gb&amp;remap=gb</x:v>
      </x:c>
    </x:row>
    <x:row r="266">
      <x:c r="A266" s="20" t="str">
        <x:v>M06-TGHUA-0021-V1.0</x:v>
      </x:c>
      <x:c r="B266" s="20" t="str">
        <x:v>规则</x:v>
      </x:c>
      <x:c r="C266" s="20" t="str">
        <x:v>M06</x:v>
      </x:c>
      <x:c r="D266" s="20" t="str">
        <x:v>06_干支关系效应</x:v>
      </x:c>
      <x:c r="E266" s="20" t="str">
        <x:v>TGHUA</x:v>
      </x:c>
      <x:c r="F266" s="20" t="n">
        <x:v>21</x:v>
      </x:c>
      <x:c r="G266" s="20" t="str">
        <x:v>V1.0</x:v>
      </x:c>
      <x:c r="H266" s="20" t="str">
        <x:v>局部化意不得等同完整五行改性</x:v>
      </x:c>
      <x:c r="I266" s="20" t="str">
        <x:v>效应层</x:v>
      </x:c>
      <x:c r="J266" s="20" t="str"/>
      <x:c r="K266" s="20" t="str">
        <x:v>当前仅有化意：合对功能有偏移，但原五行仍保留，不能按完整合化计。</x:v>
      </x:c>
      <x:c r="L266" s="20" t="str">
        <x:v>较高</x:v>
      </x:c>
      <x:c r="M266" s="20" t="str">
        <x:v>采用</x:v>
      </x:c>
      <x:c r="N266" s="20" t="str">
        <x:v>初审</x:v>
      </x:c>
      <x:c r="O266" s="22" t="n">
        <x:v>46255</x:v>
      </x:c>
      <x:c r="P266" s="20" t="str">
        <x:v>设置局部化意可避免“非化即无效”的二分错误。参考：https://ctext.org/wiki.pl?chapter=435028&amp;if=gb&amp;remap=gb</x:v>
      </x:c>
    </x:row>
    <x:row r="267">
      <x:c r="A267" s="20" t="str">
        <x:v>M06-TGHUA-0022-V1.0</x:v>
      </x:c>
      <x:c r="B267" s="20" t="str">
        <x:v>规则</x:v>
      </x:c>
      <x:c r="C267" s="20" t="str">
        <x:v>M06</x:v>
      </x:c>
      <x:c r="D267" s="20" t="str">
        <x:v>06_干支关系效应</x:v>
      </x:c>
      <x:c r="E267" s="20" t="str">
        <x:v>TGHUA</x:v>
      </x:c>
      <x:c r="F267" s="20" t="n">
        <x:v>22</x:v>
      </x:c>
      <x:c r="G267" s="20" t="str">
        <x:v>V1.0</x:v>
      </x:c>
      <x:c r="H267" s="20" t="str">
        <x:v>完整合化后原干不作物理删除</x:v>
      </x:c>
      <x:c r="I267" s="20" t="str">
        <x:v>效应层</x:v>
      </x:c>
      <x:c r="J267" s="20" t="str"/>
      <x:c r="K267" s="20" t="str">
        <x:v>合化成立：两干原始记录保留，当前有效功能按化神计入；后续破合时可恢复原气评估。</x:v>
      </x:c>
      <x:c r="L267" s="20" t="str">
        <x:v>较高</x:v>
      </x:c>
      <x:c r="M267" s="20" t="str">
        <x:v>采用</x:v>
      </x:c>
      <x:c r="N267" s="20" t="str">
        <x:v>初审</x:v>
      </x:c>
      <x:c r="O267" s="22" t="n">
        <x:v>46255</x:v>
      </x:c>
      <x:c r="P267" s="20" t="str">
        <x:v>区分原始存在与有效性质，便于后续岁运破合与回溯。参考：https://zh.wikisource.org/zh-hans/滴天髓</x:v>
      </x:c>
    </x:row>
    <x:row r="268">
      <x:c r="A268" s="20" t="str">
        <x:v>M06-TGKE-0023-V1.0</x:v>
      </x:c>
      <x:c r="B268" s="20" t="str">
        <x:v>规则</x:v>
      </x:c>
      <x:c r="C268" s="20" t="str">
        <x:v>M06</x:v>
      </x:c>
      <x:c r="D268" s="20" t="str">
        <x:v>06_干支关系效应</x:v>
      </x:c>
      <x:c r="E268" s="20" t="str">
        <x:v>TGKE</x:v>
      </x:c>
      <x:c r="F268" s="20" t="n">
        <x:v>23</x:v>
      </x:c>
      <x:c r="G268" s="20" t="str">
        <x:v>V1.0</x:v>
      </x:c>
      <x:c r="H268" s="20" t="str">
        <x:v>天干相克必须分别记录克者与受克者</x:v>
      </x:c>
      <x:c r="I268" s="20" t="str">
        <x:v>效应层</x:v>
      </x:c>
      <x:c r="J268" s="20" t="str"/>
      <x:c r="K268" s="20" t="str">
        <x:v>该天干相克关系成立；克者耗力与受克者减力分别评估，不作等量扣减。</x:v>
      </x:c>
      <x:c r="L268" s="20" t="str">
        <x:v>较高</x:v>
      </x:c>
      <x:c r="M268" s="20" t="str">
        <x:v>采用</x:v>
      </x:c>
      <x:c r="N268" s="20" t="str">
        <x:v>初审</x:v>
      </x:c>
      <x:c r="O268" s="22" t="n">
        <x:v>46255</x:v>
      </x:c>
      <x:c r="P268" s="20" t="str">
        <x:v>五行相克是有方向的，效应需分角色。参考：https://zh.wikisource.org/zh-hans/淵海子平；https://zh.wikisource.org/wiki/三命通會/卷二</x:v>
      </x:c>
    </x:row>
    <x:row r="269">
      <x:c r="A269" s="20" t="str">
        <x:v>M06-TGKE-0024-V1.0</x:v>
      </x:c>
      <x:c r="B269" s="20" t="str">
        <x:v>规则</x:v>
      </x:c>
      <x:c r="C269" s="20" t="str">
        <x:v>M06</x:v>
      </x:c>
      <x:c r="D269" s="20" t="str">
        <x:v>06_干支关系效应</x:v>
      </x:c>
      <x:c r="E269" s="20" t="str">
        <x:v>TGKE</x:v>
      </x:c>
      <x:c r="F269" s="20" t="n">
        <x:v>24</x:v>
      </x:c>
      <x:c r="G269" s="20" t="str">
        <x:v>V1.0</x:v>
      </x:c>
      <x:c r="H269" s="20" t="str">
        <x:v>强干克弱干时弱干明显受制</x:v>
      </x:c>
      <x:c r="I269" s="20" t="str">
        <x:v>效应层</x:v>
      </x:c>
      <x:c r="J269" s="20" t="str"/>
      <x:c r="K269" s="20" t="str">
        <x:v>强克弱成立，受克干明显减力；克者仍保留主要力量。</x:v>
      </x:c>
      <x:c r="L269" s="20" t="str">
        <x:v>较高</x:v>
      </x:c>
      <x:c r="M269" s="20" t="str">
        <x:v>采用</x:v>
      </x:c>
      <x:c r="N269" s="20" t="str">
        <x:v>初审</x:v>
      </x:c>
      <x:c r="O269" s="22" t="n">
        <x:v>46255</x:v>
      </x:c>
      <x:c r="P269" s="20" t="str">
        <x:v>强弱决定克制是否落实。参考：https://zh.wikisource.org/zh-hans/滴天髓</x:v>
      </x:c>
    </x:row>
    <x:row r="270">
      <x:c r="A270" s="20" t="str">
        <x:v>M06-TGKE-0025-V1.0</x:v>
      </x:c>
      <x:c r="B270" s="20" t="str">
        <x:v>规则</x:v>
      </x:c>
      <x:c r="C270" s="20" t="str">
        <x:v>M06</x:v>
      </x:c>
      <x:c r="D270" s="20" t="str">
        <x:v>06_干支关系效应</x:v>
      </x:c>
      <x:c r="E270" s="20" t="str">
        <x:v>TGKE</x:v>
      </x:c>
      <x:c r="F270" s="20" t="n">
        <x:v>25</x:v>
      </x:c>
      <x:c r="G270" s="20" t="str">
        <x:v>V1.0</x:v>
      </x:c>
      <x:c r="H270" s="20" t="str">
        <x:v>弱干克强干时克者先耗而难制强</x:v>
      </x:c>
      <x:c r="I270" s="20" t="str">
        <x:v>效应层</x:v>
      </x:c>
      <x:c r="J270" s="20" t="str"/>
      <x:c r="K270" s="20" t="str">
        <x:v>弱克强：克者耗力较明显，受克者仅受扰动或被激活。</x:v>
      </x:c>
      <x:c r="L270" s="20" t="str">
        <x:v>较高</x:v>
      </x:c>
      <x:c r="M270" s="20" t="str">
        <x:v>采用</x:v>
      </x:c>
      <x:c r="N270" s="20" t="str">
        <x:v>初审</x:v>
      </x:c>
      <x:c r="O270" s="22" t="n">
        <x:v>46255</x:v>
      </x:c>
      <x:c r="P270" s="20" t="str">
        <x:v>相克不是固定单向减分，弱者强行克制也会耗损。参考：https://zh.wikisource.org/zh-hans/滴天髓</x:v>
      </x:c>
    </x:row>
    <x:row r="271">
      <x:c r="A271" s="20" t="str">
        <x:v>M06-TGKE-0026-V1.0</x:v>
      </x:c>
      <x:c r="B271" s="20" t="str">
        <x:v>规则</x:v>
      </x:c>
      <x:c r="C271" s="20" t="str">
        <x:v>M06</x:v>
      </x:c>
      <x:c r="D271" s="20" t="str">
        <x:v>06_干支关系效应</x:v>
      </x:c>
      <x:c r="E271" s="20" t="str">
        <x:v>TGKE</x:v>
      </x:c>
      <x:c r="F271" s="20" t="n">
        <x:v>26</x:v>
      </x:c>
      <x:c r="G271" s="20" t="str">
        <x:v>V1.0</x:v>
      </x:c>
      <x:c r="H271" s="20" t="str">
        <x:v>势均力敌的天干相克形成互耗</x:v>
      </x:c>
      <x:c r="I271" s="20" t="str">
        <x:v>效应层</x:v>
      </x:c>
      <x:c r="J271" s="20" t="str"/>
      <x:c r="K271" s="20" t="str">
        <x:v>双方力量接近，判为相克互耗；需在M12检查是否有通关。</x:v>
      </x:c>
      <x:c r="L271" s="20" t="str">
        <x:v>较高</x:v>
      </x:c>
      <x:c r="M271" s="20" t="str">
        <x:v>采用</x:v>
      </x:c>
      <x:c r="N271" s="20" t="str">
        <x:v>初审</x:v>
      </x:c>
      <x:c r="O271" s="22" t="n">
        <x:v>46255</x:v>
      </x:c>
      <x:c r="P271" s="20" t="str">
        <x:v>相战结构应进入通关与病药模块，而非只削弱一方。参考：https://zh.wikisource.org/zh-hans/滴天髓</x:v>
      </x:c>
    </x:row>
    <x:row r="272">
      <x:c r="A272" s="20" t="str">
        <x:v>M06-TGKE-0027-V1.0</x:v>
      </x:c>
      <x:c r="B272" s="20" t="str">
        <x:v>规则</x:v>
      </x:c>
      <x:c r="C272" s="20" t="str">
        <x:v>M06</x:v>
      </x:c>
      <x:c r="D272" s="20" t="str">
        <x:v>06_干支关系效应</x:v>
      </x:c>
      <x:c r="E272" s="20" t="str">
        <x:v>TGKE</x:v>
      </x:c>
      <x:c r="F272" s="20" t="n">
        <x:v>27</x:v>
      </x:c>
      <x:c r="G272" s="20" t="str">
        <x:v>V1.0</x:v>
      </x:c>
      <x:c r="H272" s="20" t="str">
        <x:v>受克干得生扶可降低制伤</x:v>
      </x:c>
      <x:c r="I272" s="20" t="str">
        <x:v>效应层</x:v>
      </x:c>
      <x:c r="J272" s="20" t="str"/>
      <x:c r="K272" s="20" t="str">
        <x:v>受克干有生扶承接，克制被缓冲；不判完全失效。</x:v>
      </x:c>
      <x:c r="L272" s="20" t="str">
        <x:v>较高</x:v>
      </x:c>
      <x:c r="M272" s="20" t="str">
        <x:v>采用</x:v>
      </x:c>
      <x:c r="N272" s="20" t="str">
        <x:v>初审</x:v>
      </x:c>
      <x:c r="O272" s="22" t="n">
        <x:v>46255</x:v>
      </x:c>
      <x:c r="P272" s="20" t="str">
        <x:v>制化须看是否有救应和承载。参考：https://zh.wikisource.org/zh-hans/淵海子平；https://zh.wikisource.org/wiki/三命通會/卷二</x:v>
      </x:c>
    </x:row>
    <x:row r="273">
      <x:c r="A273" s="20" t="str">
        <x:v>M06-TGKE-0028-V1.0</x:v>
      </x:c>
      <x:c r="B273" s="20" t="str">
        <x:v>规则</x:v>
      </x:c>
      <x:c r="C273" s="20" t="str">
        <x:v>M06</x:v>
      </x:c>
      <x:c r="D273" s="20" t="str">
        <x:v>06_干支关系效应</x:v>
      </x:c>
      <x:c r="E273" s="20" t="str">
        <x:v>TGKE</x:v>
      </x:c>
      <x:c r="F273" s="20" t="n">
        <x:v>28</x:v>
      </x:c>
      <x:c r="G273" s="20" t="str">
        <x:v>V1.0</x:v>
      </x:c>
      <x:c r="H273" s="20" t="str">
        <x:v>克者被合绊会降低实际克制效率</x:v>
      </x:c>
      <x:c r="I273" s="20" t="str">
        <x:v>效应层</x:v>
      </x:c>
      <x:c r="J273" s="20" t="str"/>
      <x:c r="K273" s="20" t="str">
        <x:v>克者受合绊，原克制路径下降；是否解除取决于合绊强度。</x:v>
      </x:c>
      <x:c r="L273" s="20" t="str">
        <x:v>较高</x:v>
      </x:c>
      <x:c r="M273" s="20" t="str">
        <x:v>采用</x:v>
      </x:c>
      <x:c r="N273" s="20" t="str">
        <x:v>初审</x:v>
      </x:c>
      <x:c r="O273" s="22" t="n">
        <x:v>46255</x:v>
      </x:c>
      <x:c r="P273" s="20" t="str">
        <x:v>合与克并见要综合，不可只保留其中一项。参考：https://ctext.org/wiki.pl?chapter=974137&amp;if=gb&amp;remap=gb</x:v>
      </x:c>
    </x:row>
    <x:row r="274">
      <x:c r="A274" s="20" t="str">
        <x:v>M06-TGKE-0029-V1.0</x:v>
      </x:c>
      <x:c r="B274" s="20" t="str">
        <x:v>规则</x:v>
      </x:c>
      <x:c r="C274" s="20" t="str">
        <x:v>M06</x:v>
      </x:c>
      <x:c r="D274" s="20" t="str">
        <x:v>06_干支关系效应</x:v>
      </x:c>
      <x:c r="E274" s="20" t="str">
        <x:v>TGKE</x:v>
      </x:c>
      <x:c r="F274" s="20" t="n">
        <x:v>29</x:v>
      </x:c>
      <x:c r="G274" s="20" t="str">
        <x:v>V1.0</x:v>
      </x:c>
      <x:c r="H274" s="20" t="str">
        <x:v>受克干被合住不等于免受克</x:v>
      </x:c>
      <x:c r="I274" s="20" t="str">
        <x:v>效应层</x:v>
      </x:c>
      <x:c r="J274" s="20" t="str"/>
      <x:c r="K274" s="20" t="str">
        <x:v>被克干同时受合与克，当前不直接判解克；按主导关系决定其功能。</x:v>
      </x:c>
      <x:c r="L274" s="20" t="str">
        <x:v>中等</x:v>
      </x:c>
      <x:c r="M274" s="20" t="str">
        <x:v>采用</x:v>
      </x:c>
      <x:c r="N274" s="20" t="str">
        <x:v>初审</x:v>
      </x:c>
      <x:c r="O274" s="22" t="n">
        <x:v>46255</x:v>
      </x:c>
      <x:c r="P274" s="20" t="str">
        <x:v>会合是否解克依赖节点归属和强弱。参考：https://ctext.org/wiki.pl?chapter=974137&amp;if=gb&amp;remap=gb</x:v>
      </x:c>
    </x:row>
    <x:row r="275">
      <x:c r="A275" s="20" t="str">
        <x:v>M06-TGKE-0030-V1.0</x:v>
      </x:c>
      <x:c r="B275" s="20" t="str">
        <x:v>规则</x:v>
      </x:c>
      <x:c r="C275" s="20" t="str">
        <x:v>M06</x:v>
      </x:c>
      <x:c r="D275" s="20" t="str">
        <x:v>06_干支关系效应</x:v>
      </x:c>
      <x:c r="E275" s="20" t="str">
        <x:v>TGKE</x:v>
      </x:c>
      <x:c r="F275" s="20" t="n">
        <x:v>30</x:v>
      </x:c>
      <x:c r="G275" s="20" t="str">
        <x:v>V1.0</x:v>
      </x:c>
      <x:c r="H275" s="20" t="str">
        <x:v>距离与中间通道修正天干克制</x:v>
      </x:c>
      <x:c r="I275" s="20" t="str">
        <x:v>效应层</x:v>
      </x:c>
      <x:c r="J275" s="20" t="str"/>
      <x:c r="K275" s="20" t="str">
        <x:v>该克制路径受柱位修正；相邻从强评估，隔位遥隔从弱评估并检查中间通道。</x:v>
      </x:c>
      <x:c r="L275" s="20" t="str">
        <x:v>较高</x:v>
      </x:c>
      <x:c r="M275" s="20" t="str">
        <x:v>采用</x:v>
      </x:c>
      <x:c r="N275" s="20" t="str">
        <x:v>初审</x:v>
      </x:c>
      <x:c r="O275" s="22" t="n">
        <x:v>46255</x:v>
      </x:c>
      <x:c r="P275" s="20" t="str">
        <x:v>位置只修正效应，不改变有向相克事实。参考：https://ctext.org/wiki.pl?chapter=435028&amp;if=gb&amp;remap=gb</x:v>
      </x:c>
    </x:row>
    <x:row r="276">
      <x:c r="A276" s="20" t="str">
        <x:v>M06-LIUHE-0031-V1.0</x:v>
      </x:c>
      <x:c r="B276" s="20" t="str">
        <x:v>规则</x:v>
      </x:c>
      <x:c r="C276" s="20" t="str">
        <x:v>M06</x:v>
      </x:c>
      <x:c r="D276" s="20" t="str">
        <x:v>06_干支关系效应</x:v>
      </x:c>
      <x:c r="E276" s="20" t="str">
        <x:v>LIUHE</x:v>
      </x:c>
      <x:c r="F276" s="20" t="n">
        <x:v>31</x:v>
      </x:c>
      <x:c r="G276" s="20" t="str">
        <x:v>V1.0</x:v>
      </x:c>
      <x:c r="H276" s="20" t="str">
        <x:v>地支六合先判牵引再判合化</x:v>
      </x:c>
      <x:c r="I276" s="20" t="str">
        <x:v>效应层</x:v>
      </x:c>
      <x:c r="J276" s="20" t="str"/>
      <x:c r="K276" s="20" t="str">
        <x:v>六合关系成立，当前先按合动或合绊处理；合化另验。</x:v>
      </x:c>
      <x:c r="L276" s="20" t="str">
        <x:v>较高</x:v>
      </x:c>
      <x:c r="M276" s="20" t="str">
        <x:v>采用</x:v>
      </x:c>
      <x:c r="N276" s="20" t="str">
        <x:v>初审</x:v>
      </x:c>
      <x:c r="O276" s="22" t="n">
        <x:v>46255</x:v>
      </x:c>
      <x:c r="P276" s="20" t="str">
        <x:v>六合配对与实际化气必须分层。参考：https://zh.wikisource.org/zh-hans/淵海子平；https://zh.wikisource.org/wiki/三命通會/卷二</x:v>
      </x:c>
    </x:row>
    <x:row r="277">
      <x:c r="A277" s="20" t="str">
        <x:v>M06-LIUHE-0032-V1.0</x:v>
      </x:c>
      <x:c r="B277" s="20" t="str">
        <x:v>规则</x:v>
      </x:c>
      <x:c r="C277" s="20" t="str">
        <x:v>M06</x:v>
      </x:c>
      <x:c r="D277" s="20" t="str">
        <x:v>06_干支关系效应</x:v>
      </x:c>
      <x:c r="E277" s="20" t="str">
        <x:v>LIUHE</x:v>
      </x:c>
      <x:c r="F277" s="20" t="n">
        <x:v>32</x:v>
      </x:c>
      <x:c r="G277" s="20" t="str">
        <x:v>V1.0</x:v>
      </x:c>
      <x:c r="H277" s="20" t="str">
        <x:v>六合相邻时合绊作用更直接</x:v>
      </x:c>
      <x:c r="I277" s="20" t="str">
        <x:v>效应层</x:v>
      </x:c>
      <x:c r="J277" s="20" t="str"/>
      <x:c r="K277" s="20" t="str">
        <x:v>该六合相邻，合绊较直接；是否合住或合化仍须看强弱与叠加关系。</x:v>
      </x:c>
      <x:c r="L277" s="20" t="str">
        <x:v>较高</x:v>
      </x:c>
      <x:c r="M277" s="20" t="str">
        <x:v>采用</x:v>
      </x:c>
      <x:c r="N277" s="20" t="str">
        <x:v>初审</x:v>
      </x:c>
      <x:c r="O277" s="22" t="n">
        <x:v>46255</x:v>
      </x:c>
      <x:c r="P277" s="20" t="str">
        <x:v>位置近远是效应强弱信息。参考：https://ctext.org/wiki.pl?chapter=435028&amp;if=gb&amp;remap=gb</x:v>
      </x:c>
    </x:row>
    <x:row r="278">
      <x:c r="A278" s="20" t="str">
        <x:v>M06-LIUHE-0033-V1.0</x:v>
      </x:c>
      <x:c r="B278" s="20" t="str">
        <x:v>规则</x:v>
      </x:c>
      <x:c r="C278" s="20" t="str">
        <x:v>M06</x:v>
      </x:c>
      <x:c r="D278" s="20" t="str">
        <x:v>06_干支关系效应</x:v>
      </x:c>
      <x:c r="E278" s="20" t="str">
        <x:v>LIUHE</x:v>
      </x:c>
      <x:c r="F278" s="20" t="n">
        <x:v>33</x:v>
      </x:c>
      <x:c r="G278" s="20" t="str">
        <x:v>V1.0</x:v>
      </x:c>
      <x:c r="H278" s="20" t="str">
        <x:v>六合一强一弱时弱支更易被牵制</x:v>
      </x:c>
      <x:c r="I278" s="20" t="str">
        <x:v>效应层</x:v>
      </x:c>
      <x:c r="J278" s="20" t="str"/>
      <x:c r="K278" s="20" t="str">
        <x:v>六合双方力量悬殊，弱支受牵制更重；强支保留主导作用。</x:v>
      </x:c>
      <x:c r="L278" s="20" t="str">
        <x:v>较高</x:v>
      </x:c>
      <x:c r="M278" s="20" t="str">
        <x:v>采用</x:v>
      </x:c>
      <x:c r="N278" s="20" t="str">
        <x:v>初审</x:v>
      </x:c>
      <x:c r="O278" s="22" t="n">
        <x:v>46255</x:v>
      </x:c>
      <x:c r="P278" s="20" t="str">
        <x:v>六合效应也必须逐支判断。参考：https://zh.wikisource.org/zh-hans/滴天髓</x:v>
      </x:c>
    </x:row>
    <x:row r="279">
      <x:c r="A279" s="20" t="str">
        <x:v>M06-LIUHE-0034-V1.0</x:v>
      </x:c>
      <x:c r="B279" s="20" t="str">
        <x:v>规则</x:v>
      </x:c>
      <x:c r="C279" s="20" t="str">
        <x:v>M06</x:v>
      </x:c>
      <x:c r="D279" s="20" t="str">
        <x:v>06_干支关系效应</x:v>
      </x:c>
      <x:c r="E279" s="20" t="str">
        <x:v>LIUHE</x:v>
      </x:c>
      <x:c r="F279" s="20" t="n">
        <x:v>34</x:v>
      </x:c>
      <x:c r="G279" s="20" t="str">
        <x:v>V1.0</x:v>
      </x:c>
      <x:c r="H279" s="20" t="str">
        <x:v>六合双方均强时优先判合绊不判消失</x:v>
      </x:c>
      <x:c r="I279" s="20" t="str">
        <x:v>效应层</x:v>
      </x:c>
      <x:c r="J279" s="20" t="str"/>
      <x:c r="K279" s="20" t="str">
        <x:v>双方均有实根，六合按相互牵制处理；两支原始存在与根气均保留。</x:v>
      </x:c>
      <x:c r="L279" s="20" t="str">
        <x:v>较高</x:v>
      </x:c>
      <x:c r="M279" s="20" t="str">
        <x:v>采用</x:v>
      </x:c>
      <x:c r="N279" s="20" t="str">
        <x:v>初审</x:v>
      </x:c>
      <x:c r="O279" s="22" t="n">
        <x:v>46255</x:v>
      </x:c>
      <x:c r="P279" s="20" t="str">
        <x:v>有根有势者不因六合自动失根。参考：https://ctext.org/wiki.pl?chapter=974137&amp;if=gb&amp;remap=gb</x:v>
      </x:c>
    </x:row>
    <x:row r="280">
      <x:c r="A280" s="20" t="str">
        <x:v>M06-LIUHE-0035-V1.0</x:v>
      </x:c>
      <x:c r="B280" s="20" t="str">
        <x:v>规则</x:v>
      </x:c>
      <x:c r="C280" s="20" t="str">
        <x:v>M06</x:v>
      </x:c>
      <x:c r="D280" s="20" t="str">
        <x:v>06_干支关系效应</x:v>
      </x:c>
      <x:c r="E280" s="20" t="str">
        <x:v>LIUHE</x:v>
      </x:c>
      <x:c r="F280" s="20" t="n">
        <x:v>35</x:v>
      </x:c>
      <x:c r="G280" s="20" t="str">
        <x:v>V1.0</x:v>
      </x:c>
      <x:c r="H280" s="20" t="str">
        <x:v>子丑合土的效应方向</x:v>
      </x:c>
      <x:c r="I280" s="20" t="str">
        <x:v>效应层</x:v>
      </x:c>
      <x:c r="J280" s="20" t="str"/>
      <x:c r="K280" s="20" t="str">
        <x:v>子丑合的土向条件成立，土的有效作用增强；条件不足时仍按水土相牵。</x:v>
      </x:c>
      <x:c r="L280" s="20" t="str">
        <x:v>中等</x:v>
      </x:c>
      <x:c r="M280" s="20" t="str">
        <x:v>待验证</x:v>
      </x:c>
      <x:c r="N280" s="20" t="str">
        <x:v>初审</x:v>
      </x:c>
      <x:c r="O280" s="22" t="n">
        <x:v>46255</x:v>
      </x:c>
      <x:c r="P280" s="20" t="str">
        <x:v>六合化气在不同流派中条件差异较大，本库只保留条件性方向。参考：https://ctext.org/wiki.pl?chapter=435028&amp;if=gb&amp;remap=gb</x:v>
      </x:c>
    </x:row>
    <x:row r="281">
      <x:c r="A281" s="20" t="str">
        <x:v>M06-LIUHE-0036-V1.0</x:v>
      </x:c>
      <x:c r="B281" s="20" t="str">
        <x:v>规则</x:v>
      </x:c>
      <x:c r="C281" s="20" t="str">
        <x:v>M06</x:v>
      </x:c>
      <x:c r="D281" s="20" t="str">
        <x:v>06_干支关系效应</x:v>
      </x:c>
      <x:c r="E281" s="20" t="str">
        <x:v>LIUHE</x:v>
      </x:c>
      <x:c r="F281" s="20" t="n">
        <x:v>36</x:v>
      </x:c>
      <x:c r="G281" s="20" t="str">
        <x:v>V1.0</x:v>
      </x:c>
      <x:c r="H281" s="20" t="str">
        <x:v>寅亥合木的效应方向</x:v>
      </x:c>
      <x:c r="I281" s="20" t="str">
        <x:v>效应层</x:v>
      </x:c>
      <x:c r="J281" s="20" t="str"/>
      <x:c r="K281" s="20" t="str">
        <x:v>寅亥合的木向条件成立，木的生发通道增强；条件不足时按合动处理。</x:v>
      </x:c>
      <x:c r="L281" s="20" t="str">
        <x:v>中等</x:v>
      </x:c>
      <x:c r="M281" s="20" t="str">
        <x:v>待验证</x:v>
      </x:c>
      <x:c r="N281" s="20" t="str">
        <x:v>初审</x:v>
      </x:c>
      <x:c r="O281" s="22" t="n">
        <x:v>46255</x:v>
      </x:c>
      <x:c r="P281" s="20" t="str">
        <x:v>六合化气在不同流派中条件差异较大，本库只保留条件性方向。参考：https://ctext.org/wiki.pl?chapter=435028&amp;if=gb&amp;remap=gb</x:v>
      </x:c>
    </x:row>
    <x:row r="282">
      <x:c r="A282" s="20" t="str">
        <x:v>M06-LIUHE-0037-V1.0</x:v>
      </x:c>
      <x:c r="B282" s="20" t="str">
        <x:v>规则</x:v>
      </x:c>
      <x:c r="C282" s="20" t="str">
        <x:v>M06</x:v>
      </x:c>
      <x:c r="D282" s="20" t="str">
        <x:v>06_干支关系效应</x:v>
      </x:c>
      <x:c r="E282" s="20" t="str">
        <x:v>LIUHE</x:v>
      </x:c>
      <x:c r="F282" s="20" t="n">
        <x:v>37</x:v>
      </x:c>
      <x:c r="G282" s="20" t="str">
        <x:v>V1.0</x:v>
      </x:c>
      <x:c r="H282" s="20" t="str">
        <x:v>卯戌合火的效应方向</x:v>
      </x:c>
      <x:c r="I282" s="20" t="str">
        <x:v>效应层</x:v>
      </x:c>
      <x:c r="J282" s="20" t="str"/>
      <x:c r="K282" s="20" t="str">
        <x:v>卯戌合的火向条件成立，火的有效通道增强；条件不足时按木土相牵。</x:v>
      </x:c>
      <x:c r="L282" s="20" t="str">
        <x:v>中等</x:v>
      </x:c>
      <x:c r="M282" s="20" t="str">
        <x:v>待验证</x:v>
      </x:c>
      <x:c r="N282" s="20" t="str">
        <x:v>初审</x:v>
      </x:c>
      <x:c r="O282" s="22" t="n">
        <x:v>46255</x:v>
      </x:c>
      <x:c r="P282" s="20" t="str">
        <x:v>六合化气在不同流派中条件差异较大，本库只保留条件性方向。参考：https://ctext.org/wiki.pl?chapter=435028&amp;if=gb&amp;remap=gb</x:v>
      </x:c>
    </x:row>
    <x:row r="283">
      <x:c r="A283" s="20" t="str">
        <x:v>M06-LIUHE-0038-V1.0</x:v>
      </x:c>
      <x:c r="B283" s="20" t="str">
        <x:v>规则</x:v>
      </x:c>
      <x:c r="C283" s="20" t="str">
        <x:v>M06</x:v>
      </x:c>
      <x:c r="D283" s="20" t="str">
        <x:v>06_干支关系效应</x:v>
      </x:c>
      <x:c r="E283" s="20" t="str">
        <x:v>LIUHE</x:v>
      </x:c>
      <x:c r="F283" s="20" t="n">
        <x:v>38</x:v>
      </x:c>
      <x:c r="G283" s="20" t="str">
        <x:v>V1.0</x:v>
      </x:c>
      <x:c r="H283" s="20" t="str">
        <x:v>辰酉合金的效应方向</x:v>
      </x:c>
      <x:c r="I283" s="20" t="str">
        <x:v>效应层</x:v>
      </x:c>
      <x:c r="J283" s="20" t="str"/>
      <x:c r="K283" s="20" t="str">
        <x:v>辰酉合的金向条件成立，金的有效作用增强；条件不足时按合绊处理。</x:v>
      </x:c>
      <x:c r="L283" s="20" t="str">
        <x:v>中等</x:v>
      </x:c>
      <x:c r="M283" s="20" t="str">
        <x:v>待验证</x:v>
      </x:c>
      <x:c r="N283" s="20" t="str">
        <x:v>初审</x:v>
      </x:c>
      <x:c r="O283" s="22" t="n">
        <x:v>46255</x:v>
      </x:c>
      <x:c r="P283" s="20" t="str">
        <x:v>六合化气在不同流派中条件差异较大，本库只保留条件性方向。参考：https://ctext.org/wiki.pl?chapter=435028&amp;if=gb&amp;remap=gb</x:v>
      </x:c>
    </x:row>
    <x:row r="284">
      <x:c r="A284" s="20" t="str">
        <x:v>M06-LIUHE-0039-V1.0</x:v>
      </x:c>
      <x:c r="B284" s="20" t="str">
        <x:v>规则</x:v>
      </x:c>
      <x:c r="C284" s="20" t="str">
        <x:v>M06</x:v>
      </x:c>
      <x:c r="D284" s="20" t="str">
        <x:v>06_干支关系效应</x:v>
      </x:c>
      <x:c r="E284" s="20" t="str">
        <x:v>LIUHE</x:v>
      </x:c>
      <x:c r="F284" s="20" t="n">
        <x:v>39</x:v>
      </x:c>
      <x:c r="G284" s="20" t="str">
        <x:v>V1.0</x:v>
      </x:c>
      <x:c r="H284" s="20" t="str">
        <x:v>巳申合水的效应方向</x:v>
      </x:c>
      <x:c r="I284" s="20" t="str">
        <x:v>效应层</x:v>
      </x:c>
      <x:c r="J284" s="20" t="str"/>
      <x:c r="K284" s="20" t="str">
        <x:v>巳申合的水向条件成立，水的有效通道增强；条件不足时须同时保留刑与破的叠加作用。</x:v>
      </x:c>
      <x:c r="L284" s="20" t="str">
        <x:v>中等</x:v>
      </x:c>
      <x:c r="M284" s="20" t="str">
        <x:v>待验证</x:v>
      </x:c>
      <x:c r="N284" s="20" t="str">
        <x:v>初审</x:v>
      </x:c>
      <x:c r="O284" s="22" t="n">
        <x:v>46255</x:v>
      </x:c>
      <x:c r="P284" s="20" t="str">
        <x:v>六合化气在不同流派中条件差异较大，本库只保留条件性方向。参考：https://ctext.org/wiki.pl?chapter=435028&amp;if=gb&amp;remap=gb</x:v>
      </x:c>
    </x:row>
    <x:row r="285">
      <x:c r="A285" s="20" t="str">
        <x:v>M06-LIUHE-0040-V1.0</x:v>
      </x:c>
      <x:c r="B285" s="20" t="str">
        <x:v>规则</x:v>
      </x:c>
      <x:c r="C285" s="20" t="str">
        <x:v>M06</x:v>
      </x:c>
      <x:c r="D285" s="20" t="str">
        <x:v>06_干支关系效应</x:v>
      </x:c>
      <x:c r="E285" s="20" t="str">
        <x:v>LIUHE</x:v>
      </x:c>
      <x:c r="F285" s="20" t="n">
        <x:v>40</x:v>
      </x:c>
      <x:c r="G285" s="20" t="str">
        <x:v>V1.0</x:v>
      </x:c>
      <x:c r="H285" s="20" t="str">
        <x:v>午未合土的效应方向</x:v>
      </x:c>
      <x:c r="I285" s="20" t="str">
        <x:v>效应层</x:v>
      </x:c>
      <x:c r="J285" s="20" t="str"/>
      <x:c r="K285" s="20" t="str">
        <x:v>午未合的土向条件成立，火土连续通道增强；条件不足时按合绊处理。</x:v>
      </x:c>
      <x:c r="L285" s="20" t="str">
        <x:v>中等</x:v>
      </x:c>
      <x:c r="M285" s="20" t="str">
        <x:v>待验证</x:v>
      </x:c>
      <x:c r="N285" s="20" t="str">
        <x:v>初审</x:v>
      </x:c>
      <x:c r="O285" s="22" t="n">
        <x:v>46255</x:v>
      </x:c>
      <x:c r="P285" s="20" t="str">
        <x:v>六合化气在不同流派中条件差异较大，本库只保留条件性方向。参考：https://ctext.org/wiki.pl?chapter=435028&amp;if=gb&amp;remap=gb</x:v>
      </x:c>
    </x:row>
    <x:row r="286">
      <x:c r="A286" s="20" t="str">
        <x:v>M06-LIUHE-0041-V1.0</x:v>
      </x:c>
      <x:c r="B286" s="20" t="str">
        <x:v>规则</x:v>
      </x:c>
      <x:c r="C286" s="20" t="str">
        <x:v>M06</x:v>
      </x:c>
      <x:c r="D286" s="20" t="str">
        <x:v>06_干支关系效应</x:v>
      </x:c>
      <x:c r="E286" s="20" t="str">
        <x:v>LIUHE</x:v>
      </x:c>
      <x:c r="F286" s="20" t="n">
        <x:v>41</x:v>
      </x:c>
      <x:c r="G286" s="20" t="str">
        <x:v>V1.0</x:v>
      </x:c>
      <x:c r="H286" s="20" t="str">
        <x:v>六合可缓冲相冲但必须比较节点归属</x:v>
      </x:c>
      <x:c r="I286" s="20" t="str">
        <x:v>效应层</x:v>
      </x:c>
      <x:c r="J286" s="20" t="str"/>
      <x:c r="K286" s="20" t="str">
        <x:v>合与冲并见：若合强于冲，可缓冲冲势；若冲强或节点另有主局，则不能视为解冲。</x:v>
      </x:c>
      <x:c r="L286" s="20" t="str">
        <x:v>中等</x:v>
      </x:c>
      <x:c r="M286" s="20" t="str">
        <x:v>采用</x:v>
      </x:c>
      <x:c r="N286" s="20" t="str">
        <x:v>初审</x:v>
      </x:c>
      <x:c r="O286" s="22" t="n">
        <x:v>46255</x:v>
      </x:c>
      <x:c r="P286" s="20" t="str">
        <x:v>会合能否解刑冲是条件性问题。参考：https://ctext.org/wiki.pl?chapter=974137&amp;if=gb&amp;remap=gb</x:v>
      </x:c>
    </x:row>
    <x:row r="287">
      <x:c r="A287" s="20" t="str">
        <x:v>M06-LIUHE-0042-V1.0</x:v>
      </x:c>
      <x:c r="B287" s="20" t="str">
        <x:v>规则</x:v>
      </x:c>
      <x:c r="C287" s="20" t="str">
        <x:v>M06</x:v>
      </x:c>
      <x:c r="D287" s="20" t="str">
        <x:v>06_干支关系效应</x:v>
      </x:c>
      <x:c r="E287" s="20" t="str">
        <x:v>LIUHE</x:v>
      </x:c>
      <x:c r="F287" s="20" t="n">
        <x:v>42</x:v>
      </x:c>
      <x:c r="G287" s="20" t="str">
        <x:v>V1.0</x:v>
      </x:c>
      <x:c r="H287" s="20" t="str">
        <x:v>强冲或强会可松解原有六合</x:v>
      </x:c>
      <x:c r="I287" s="20" t="str">
        <x:v>效应层</x:v>
      </x:c>
      <x:c r="J287" s="20" t="str"/>
      <x:c r="K287" s="20" t="str">
        <x:v>原六合受到更强关系争夺，合的稳定性下降；需按主导关系重算。</x:v>
      </x:c>
      <x:c r="L287" s="20" t="str">
        <x:v>较高</x:v>
      </x:c>
      <x:c r="M287" s="20" t="str">
        <x:v>采用</x:v>
      </x:c>
      <x:c r="N287" s="20" t="str">
        <x:v>初审</x:v>
      </x:c>
      <x:c r="O287" s="22" t="n">
        <x:v>46255</x:v>
      </x:c>
      <x:c r="P287" s="20" t="str">
        <x:v>关系优先级不能预设，须看具体结构。参考：https://ctext.org/wiki.pl?chapter=974137&amp;if=gb&amp;remap=gb</x:v>
      </x:c>
    </x:row>
    <x:row r="288">
      <x:c r="A288" s="20" t="str">
        <x:v>M06-SANHE-0043-V1.0</x:v>
      </x:c>
      <x:c r="B288" s="20" t="str">
        <x:v>规则</x:v>
      </x:c>
      <x:c r="C288" s="20" t="str">
        <x:v>M06</x:v>
      </x:c>
      <x:c r="D288" s="20" t="str">
        <x:v>06_干支关系效应</x:v>
      </x:c>
      <x:c r="E288" s="20" t="str">
        <x:v>SANHE</x:v>
      </x:c>
      <x:c r="F288" s="20" t="n">
        <x:v>43</x:v>
      </x:c>
      <x:c r="G288" s="20" t="str">
        <x:v>V1.0</x:v>
      </x:c>
      <x:c r="H288" s="20" t="str">
        <x:v>三合三支齐全不等于成局</x:v>
      </x:c>
      <x:c r="I288" s="20" t="str">
        <x:v>效应层</x:v>
      </x:c>
      <x:c r="J288" s="20" t="str"/>
      <x:c r="K288" s="20" t="str">
        <x:v>三合结构完整，当前生成成局候选；未验证条件前不改写三支性质。</x:v>
      </x:c>
      <x:c r="L288" s="20" t="str">
        <x:v>较高</x:v>
      </x:c>
      <x:c r="M288" s="20" t="str">
        <x:v>采用</x:v>
      </x:c>
      <x:c r="N288" s="20" t="str">
        <x:v>初审</x:v>
      </x:c>
      <x:c r="O288" s="22" t="n">
        <x:v>46255</x:v>
      </x:c>
      <x:c r="P288" s="20" t="str">
        <x:v>三合配对事实与成局需分层。参考：https://zh.wikisource.org/zh-hans/淵海子平；https://zh.wikisource.org/wiki/三命通會/卷二</x:v>
      </x:c>
    </x:row>
    <x:row r="289">
      <x:c r="A289" s="20" t="str">
        <x:v>M06-SANHE-0044-V1.0</x:v>
      </x:c>
      <x:c r="B289" s="20" t="str">
        <x:v>规则</x:v>
      </x:c>
      <x:c r="C289" s="20" t="str">
        <x:v>M06</x:v>
      </x:c>
      <x:c r="D289" s="20" t="str">
        <x:v>06_干支关系效应</x:v>
      </x:c>
      <x:c r="E289" s="20" t="str">
        <x:v>SANHE</x:v>
      </x:c>
      <x:c r="F289" s="20" t="n">
        <x:v>44</x:v>
      </x:c>
      <x:c r="G289" s="20" t="str">
        <x:v>V1.0</x:v>
      </x:c>
      <x:c r="H289" s="20" t="str">
        <x:v>申子辰三合水局的成立方向</x:v>
      </x:c>
      <x:c r="I289" s="20" t="str">
        <x:v>效应层</x:v>
      </x:c>
      <x:c r="J289" s="20" t="str"/>
      <x:c r="K289" s="20" t="str">
        <x:v>申子辰水局条件成立，三支主要有效通道向水集中。</x:v>
      </x:c>
      <x:c r="L289" s="20" t="str">
        <x:v>较高</x:v>
      </x:c>
      <x:c r="M289" s="20" t="str">
        <x:v>采用</x:v>
      </x:c>
      <x:c r="N289" s="20" t="str">
        <x:v>初审</x:v>
      </x:c>
      <x:c r="O289" s="22" t="n">
        <x:v>46255</x:v>
      </x:c>
      <x:c r="P289" s="20" t="str">
        <x:v>三合以生、旺、墓三支围绕中神成局，仍需结合月令与气势。参考：https://zh.wikisource.org/zh-hans/淵海子平；https://zh.wikisource.org/wiki/三命通會/卷二</x:v>
      </x:c>
    </x:row>
    <x:row r="290">
      <x:c r="A290" s="20" t="str">
        <x:v>M06-SANHE-0045-V1.0</x:v>
      </x:c>
      <x:c r="B290" s="20" t="str">
        <x:v>规则</x:v>
      </x:c>
      <x:c r="C290" s="20" t="str">
        <x:v>M06</x:v>
      </x:c>
      <x:c r="D290" s="20" t="str">
        <x:v>06_干支关系效应</x:v>
      </x:c>
      <x:c r="E290" s="20" t="str">
        <x:v>SANHE</x:v>
      </x:c>
      <x:c r="F290" s="20" t="n">
        <x:v>45</x:v>
      </x:c>
      <x:c r="G290" s="20" t="str">
        <x:v>V1.0</x:v>
      </x:c>
      <x:c r="H290" s="20" t="str">
        <x:v>亥卯未三合木局的成立方向</x:v>
      </x:c>
      <x:c r="I290" s="20" t="str">
        <x:v>效应层</x:v>
      </x:c>
      <x:c r="J290" s="20" t="str"/>
      <x:c r="K290" s="20" t="str">
        <x:v>亥卯未木局条件成立，三支主要有效通道向木集中。</x:v>
      </x:c>
      <x:c r="L290" s="20" t="str">
        <x:v>较高</x:v>
      </x:c>
      <x:c r="M290" s="20" t="str">
        <x:v>采用</x:v>
      </x:c>
      <x:c r="N290" s="20" t="str">
        <x:v>初审</x:v>
      </x:c>
      <x:c r="O290" s="22" t="n">
        <x:v>46255</x:v>
      </x:c>
      <x:c r="P290" s="20" t="str">
        <x:v>三合以生、旺、墓三支围绕中神成局，仍需结合月令与气势。参考：https://zh.wikisource.org/zh-hans/淵海子平；https://zh.wikisource.org/wiki/三命通會/卷二</x:v>
      </x:c>
    </x:row>
    <x:row r="291">
      <x:c r="A291" s="20" t="str">
        <x:v>M06-SANHE-0046-V1.0</x:v>
      </x:c>
      <x:c r="B291" s="20" t="str">
        <x:v>规则</x:v>
      </x:c>
      <x:c r="C291" s="20" t="str">
        <x:v>M06</x:v>
      </x:c>
      <x:c r="D291" s="20" t="str">
        <x:v>06_干支关系效应</x:v>
      </x:c>
      <x:c r="E291" s="20" t="str">
        <x:v>SANHE</x:v>
      </x:c>
      <x:c r="F291" s="20" t="n">
        <x:v>46</x:v>
      </x:c>
      <x:c r="G291" s="20" t="str">
        <x:v>V1.0</x:v>
      </x:c>
      <x:c r="H291" s="20" t="str">
        <x:v>寅午戌三合火局的成立方向</x:v>
      </x:c>
      <x:c r="I291" s="20" t="str">
        <x:v>效应层</x:v>
      </x:c>
      <x:c r="J291" s="20" t="str"/>
      <x:c r="K291" s="20" t="str">
        <x:v>寅午戌火局条件成立，三支主要有效通道向火集中。</x:v>
      </x:c>
      <x:c r="L291" s="20" t="str">
        <x:v>较高</x:v>
      </x:c>
      <x:c r="M291" s="20" t="str">
        <x:v>采用</x:v>
      </x:c>
      <x:c r="N291" s="20" t="str">
        <x:v>初审</x:v>
      </x:c>
      <x:c r="O291" s="22" t="n">
        <x:v>46255</x:v>
      </x:c>
      <x:c r="P291" s="20" t="str">
        <x:v>三合以生、旺、墓三支围绕中神成局，仍需结合月令与气势。参考：https://zh.wikisource.org/zh-hans/淵海子平；https://zh.wikisource.org/wiki/三命通會/卷二</x:v>
      </x:c>
    </x:row>
    <x:row r="292">
      <x:c r="A292" s="20" t="str">
        <x:v>M06-SANHE-0047-V1.0</x:v>
      </x:c>
      <x:c r="B292" s="20" t="str">
        <x:v>规则</x:v>
      </x:c>
      <x:c r="C292" s="20" t="str">
        <x:v>M06</x:v>
      </x:c>
      <x:c r="D292" s="20" t="str">
        <x:v>06_干支关系效应</x:v>
      </x:c>
      <x:c r="E292" s="20" t="str">
        <x:v>SANHE</x:v>
      </x:c>
      <x:c r="F292" s="20" t="n">
        <x:v>47</x:v>
      </x:c>
      <x:c r="G292" s="20" t="str">
        <x:v>V1.0</x:v>
      </x:c>
      <x:c r="H292" s="20" t="str">
        <x:v>巳酉丑三合金局的成立方向</x:v>
      </x:c>
      <x:c r="I292" s="20" t="str">
        <x:v>效应层</x:v>
      </x:c>
      <x:c r="J292" s="20" t="str"/>
      <x:c r="K292" s="20" t="str">
        <x:v>巳酉丑金局条件成立，三支主要有效通道向金集中。</x:v>
      </x:c>
      <x:c r="L292" s="20" t="str">
        <x:v>较高</x:v>
      </x:c>
      <x:c r="M292" s="20" t="str">
        <x:v>采用</x:v>
      </x:c>
      <x:c r="N292" s="20" t="str">
        <x:v>初审</x:v>
      </x:c>
      <x:c r="O292" s="22" t="n">
        <x:v>46255</x:v>
      </x:c>
      <x:c r="P292" s="20" t="str">
        <x:v>三合以生、旺、墓三支围绕中神成局，仍需结合月令与气势。参考：https://zh.wikisource.org/zh-hans/淵海子平；https://zh.wikisource.org/wiki/三命通會/卷二</x:v>
      </x:c>
    </x:row>
    <x:row r="293">
      <x:c r="A293" s="20" t="str">
        <x:v>M06-SANHE-0048-V1.0</x:v>
      </x:c>
      <x:c r="B293" s="20" t="str">
        <x:v>规则</x:v>
      </x:c>
      <x:c r="C293" s="20" t="str">
        <x:v>M06</x:v>
      </x:c>
      <x:c r="D293" s="20" t="str">
        <x:v>06_干支关系效应</x:v>
      </x:c>
      <x:c r="E293" s="20" t="str">
        <x:v>SANHE</x:v>
      </x:c>
      <x:c r="F293" s="20" t="n">
        <x:v>48</x:v>
      </x:c>
      <x:c r="G293" s="20" t="str">
        <x:v>V1.0</x:v>
      </x:c>
      <x:c r="H293" s="20" t="str">
        <x:v>三合中神得令是成局强证据</x:v>
      </x:c>
      <x:c r="I293" s="20" t="str">
        <x:v>效应层</x:v>
      </x:c>
      <x:c r="J293" s="20" t="str"/>
      <x:c r="K293" s="20" t="str">
        <x:v>三合中神得令，成局证据显著增强；仍需检查反制和节点被牵走。</x:v>
      </x:c>
      <x:c r="L293" s="20" t="str">
        <x:v>较高</x:v>
      </x:c>
      <x:c r="M293" s="20" t="str">
        <x:v>采用</x:v>
      </x:c>
      <x:c r="N293" s="20" t="str">
        <x:v>初审</x:v>
      </x:c>
      <x:c r="O293" s="22" t="n">
        <x:v>46255</x:v>
      </x:c>
      <x:c r="P293" s="20" t="str">
        <x:v>中神是三合局的核心旺点。参考：https://zh.wikisource.org/zh-hans/淵海子平；https://zh.wikisource.org/wiki/三命通會/卷二</x:v>
      </x:c>
    </x:row>
    <x:row r="294">
      <x:c r="A294" s="20" t="str">
        <x:v>M06-SANHE-0049-V1.0</x:v>
      </x:c>
      <x:c r="B294" s="20" t="str">
        <x:v>规则</x:v>
      </x:c>
      <x:c r="C294" s="20" t="str">
        <x:v>M06</x:v>
      </x:c>
      <x:c r="D294" s="20" t="str">
        <x:v>06_干支关系效应</x:v>
      </x:c>
      <x:c r="E294" s="20" t="str">
        <x:v>SANHE</x:v>
      </x:c>
      <x:c r="F294" s="20" t="n">
        <x:v>49</x:v>
      </x:c>
      <x:c r="G294" s="20" t="str">
        <x:v>V1.0</x:v>
      </x:c>
      <x:c r="H294" s="20" t="str">
        <x:v>局气透干与同党使三合由支内走向全局</x:v>
      </x:c>
      <x:c r="I294" s="20" t="str">
        <x:v>效应层</x:v>
      </x:c>
      <x:c r="J294" s="20" t="str"/>
      <x:c r="K294" s="20" t="str">
        <x:v>局气透干有根，三合从支内趋向全局发挥。</x:v>
      </x:c>
      <x:c r="L294" s="20" t="str">
        <x:v>较高</x:v>
      </x:c>
      <x:c r="M294" s="20" t="str">
        <x:v>采用</x:v>
      </x:c>
      <x:c r="N294" s="20" t="str">
        <x:v>初审</x:v>
      </x:c>
      <x:c r="O294" s="22" t="n">
        <x:v>46255</x:v>
      </x:c>
      <x:c r="P294" s="20" t="str">
        <x:v>透干使支内局气有明确作用通道。参考：https://zh.wikisource.org/zh-hans/淵海子平；https://zh.wikisource.org/wiki/三命通會/卷二</x:v>
      </x:c>
    </x:row>
    <x:row r="295">
      <x:c r="A295" s="20" t="str">
        <x:v>M06-SANHE-0050-V1.0</x:v>
      </x:c>
      <x:c r="B295" s="20" t="str">
        <x:v>规则</x:v>
      </x:c>
      <x:c r="C295" s="20" t="str">
        <x:v>M06</x:v>
      </x:c>
      <x:c r="D295" s="20" t="str">
        <x:v>06_干支关系效应</x:v>
      </x:c>
      <x:c r="E295" s="20" t="str">
        <x:v>SANHE</x:v>
      </x:c>
      <x:c r="F295" s="20" t="n">
        <x:v>50</x:v>
      </x:c>
      <x:c r="G295" s="20" t="str">
        <x:v>V1.0</x:v>
      </x:c>
      <x:c r="H295" s="20" t="str">
        <x:v>三合成员被强冲强合牵走会破坏局气连续性</x:v>
      </x:c>
      <x:c r="I295" s="20" t="str">
        <x:v>效应层</x:v>
      </x:c>
      <x:c r="J295" s="20" t="str"/>
      <x:c r="K295" s="20" t="str">
        <x:v>三合成员被更强关系牵制，局气连续性下降；完整成局暂不成立或降级。</x:v>
      </x:c>
      <x:c r="L295" s="20" t="str">
        <x:v>较高</x:v>
      </x:c>
      <x:c r="M295" s="20" t="str">
        <x:v>采用</x:v>
      </x:c>
      <x:c r="N295" s="20" t="str">
        <x:v>初审</x:v>
      </x:c>
      <x:c r="O295" s="22" t="n">
        <x:v>46255</x:v>
      </x:c>
      <x:c r="P295" s="20" t="str">
        <x:v>会合能否解冲或被冲破必须比较结构。参考：https://ctext.org/wiki.pl?chapter=974137&amp;if=gb&amp;remap=gb</x:v>
      </x:c>
    </x:row>
    <x:row r="296">
      <x:c r="A296" s="20" t="str">
        <x:v>M06-SANHE-0051-V1.0</x:v>
      </x:c>
      <x:c r="B296" s="20" t="str">
        <x:v>规则</x:v>
      </x:c>
      <x:c r="C296" s="20" t="str">
        <x:v>M06</x:v>
      </x:c>
      <x:c r="D296" s="20" t="str">
        <x:v>06_干支关系效应</x:v>
      </x:c>
      <x:c r="E296" s="20" t="str">
        <x:v>SANHE</x:v>
      </x:c>
      <x:c r="F296" s="20" t="n">
        <x:v>51</x:v>
      </x:c>
      <x:c r="G296" s="20" t="str">
        <x:v>V1.0</x:v>
      </x:c>
      <x:c r="H296" s="20" t="str">
        <x:v>三合成局后原支本气不必全部归零</x:v>
      </x:c>
      <x:c r="I296" s="20" t="str">
        <x:v>效应层</x:v>
      </x:c>
      <x:c r="J296" s="20" t="str"/>
      <x:c r="K296" s="20" t="str">
        <x:v>三合成局：有效力量以局气为主，同时保留各支原始节点供破局与岁运复核。</x:v>
      </x:c>
      <x:c r="L296" s="20" t="str">
        <x:v>较高</x:v>
      </x:c>
      <x:c r="M296" s="20" t="str">
        <x:v>采用</x:v>
      </x:c>
      <x:c r="N296" s="20" t="str">
        <x:v>初审</x:v>
      </x:c>
      <x:c r="O296" s="22" t="n">
        <x:v>46255</x:v>
      </x:c>
      <x:c r="P296" s="20" t="str">
        <x:v>区分原始存在与有效作用，避免把地支物理删除。参考：https://zh.wikisource.org/zh-hans/滴天髓</x:v>
      </x:c>
    </x:row>
    <x:row r="297">
      <x:c r="A297" s="20" t="str">
        <x:v>M06-SANHE-0052-V1.0</x:v>
      </x:c>
      <x:c r="B297" s="20" t="str">
        <x:v>规则</x:v>
      </x:c>
      <x:c r="C297" s="20" t="str">
        <x:v>M06</x:v>
      </x:c>
      <x:c r="D297" s="20" t="str">
        <x:v>06_干支关系效应</x:v>
      </x:c>
      <x:c r="E297" s="20" t="str">
        <x:v>SANHE</x:v>
      </x:c>
      <x:c r="F297" s="20" t="n">
        <x:v>52</x:v>
      </x:c>
      <x:c r="G297" s="20" t="str">
        <x:v>V1.0</x:v>
      </x:c>
      <x:c r="H297" s="20" t="str">
        <x:v>三合局气失令但成势时可条件成立</x:v>
      </x:c>
      <x:c r="I297" s="20" t="str">
        <x:v>效应层</x:v>
      </x:c>
      <x:c r="J297" s="20" t="str"/>
      <x:c r="K297" s="20" t="str">
        <x:v>三合局气失令但得地得势，判条件性成局；需明确其强度低于得令成局。</x:v>
      </x:c>
      <x:c r="L297" s="20" t="str">
        <x:v>中等</x:v>
      </x:c>
      <x:c r="M297" s="20" t="str">
        <x:v>采用</x:v>
      </x:c>
      <x:c r="N297" s="20" t="str">
        <x:v>初审</x:v>
      </x:c>
      <x:c r="O297" s="22" t="n">
        <x:v>46255</x:v>
      </x:c>
      <x:c r="P297" s="20" t="str">
        <x:v>月令是强证据而非唯一条件，仍须看全局气势。参考：https://zh.wikisource.org/zh-hans/滴天髓</x:v>
      </x:c>
    </x:row>
    <x:row r="298">
      <x:c r="A298" s="20" t="str">
        <x:v>M06-SANHUI-0053-V1.0</x:v>
      </x:c>
      <x:c r="B298" s="20" t="str">
        <x:v>规则</x:v>
      </x:c>
      <x:c r="C298" s="20" t="str">
        <x:v>M06</x:v>
      </x:c>
      <x:c r="D298" s="20" t="str">
        <x:v>06_干支关系效应</x:v>
      </x:c>
      <x:c r="E298" s="20" t="str">
        <x:v>SANHUI</x:v>
      </x:c>
      <x:c r="F298" s="20" t="n">
        <x:v>53</x:v>
      </x:c>
      <x:c r="G298" s="20" t="str">
        <x:v>V1.0</x:v>
      </x:c>
      <x:c r="H298" s="20" t="str">
        <x:v>三会三支齐全不等于会局完成</x:v>
      </x:c>
      <x:c r="I298" s="20" t="str">
        <x:v>效应层</x:v>
      </x:c>
      <x:c r="J298" s="20" t="str"/>
      <x:c r="K298" s="20" t="str">
        <x:v>三会结构完整，生成方局候选；未验证气势前不改写三支全部性质。</x:v>
      </x:c>
      <x:c r="L298" s="20" t="str">
        <x:v>较高</x:v>
      </x:c>
      <x:c r="M298" s="20" t="str">
        <x:v>采用</x:v>
      </x:c>
      <x:c r="N298" s="20" t="str">
        <x:v>初审</x:v>
      </x:c>
      <x:c r="O298" s="22" t="n">
        <x:v>46255</x:v>
      </x:c>
      <x:c r="P298" s="20" t="str">
        <x:v>三会以方位季节气势为核心，结构完整与成局分开。参考：https://zh.wikisource.org/zh-hans/淵海子平；https://zh.wikisource.org/wiki/三命通會/卷二</x:v>
      </x:c>
    </x:row>
    <x:row r="299">
      <x:c r="A299" s="20" t="str">
        <x:v>M06-SANHUI-0054-V1.0</x:v>
      </x:c>
      <x:c r="B299" s="20" t="str">
        <x:v>规则</x:v>
      </x:c>
      <x:c r="C299" s="20" t="str">
        <x:v>M06</x:v>
      </x:c>
      <x:c r="D299" s="20" t="str">
        <x:v>06_干支关系效应</x:v>
      </x:c>
      <x:c r="E299" s="20" t="str">
        <x:v>SANHUI</x:v>
      </x:c>
      <x:c r="F299" s="20" t="n">
        <x:v>54</x:v>
      </x:c>
      <x:c r="G299" s="20" t="str">
        <x:v>V1.0</x:v>
      </x:c>
      <x:c r="H299" s="20" t="str">
        <x:v>亥子丑三会水方的成立方向</x:v>
      </x:c>
      <x:c r="I299" s="20" t="str">
        <x:v>效应层</x:v>
      </x:c>
      <x:c r="J299" s="20" t="str"/>
      <x:c r="K299" s="20" t="str">
        <x:v>亥、子、丑三会水方条件成立，三支主要有效力量向水集中。</x:v>
      </x:c>
      <x:c r="L299" s="20" t="str">
        <x:v>较高</x:v>
      </x:c>
      <x:c r="M299" s="20" t="str">
        <x:v>采用</x:v>
      </x:c>
      <x:c r="N299" s="20" t="str">
        <x:v>初审</x:v>
      </x:c>
      <x:c r="O299" s="22" t="n">
        <x:v>46255</x:v>
      </x:c>
      <x:c r="P299" s="20" t="str">
        <x:v>三会的核心是季节方气连续成势。参考：https://zh.wikisource.org/zh-hans/淵海子平；https://zh.wikisource.org/wiki/三命通會/卷二</x:v>
      </x:c>
    </x:row>
    <x:row r="300">
      <x:c r="A300" s="20" t="str">
        <x:v>M06-SANHUI-0055-V1.0</x:v>
      </x:c>
      <x:c r="B300" s="20" t="str">
        <x:v>规则</x:v>
      </x:c>
      <x:c r="C300" s="20" t="str">
        <x:v>M06</x:v>
      </x:c>
      <x:c r="D300" s="20" t="str">
        <x:v>06_干支关系效应</x:v>
      </x:c>
      <x:c r="E300" s="20" t="str">
        <x:v>SANHUI</x:v>
      </x:c>
      <x:c r="F300" s="20" t="n">
        <x:v>55</x:v>
      </x:c>
      <x:c r="G300" s="20" t="str">
        <x:v>V1.0</x:v>
      </x:c>
      <x:c r="H300" s="20" t="str">
        <x:v>寅卯辰三会木方的成立方向</x:v>
      </x:c>
      <x:c r="I300" s="20" t="str">
        <x:v>效应层</x:v>
      </x:c>
      <x:c r="J300" s="20" t="str"/>
      <x:c r="K300" s="20" t="str">
        <x:v>寅、卯、辰三会木方条件成立，三支主要有效力量向木集中。</x:v>
      </x:c>
      <x:c r="L300" s="20" t="str">
        <x:v>较高</x:v>
      </x:c>
      <x:c r="M300" s="20" t="str">
        <x:v>采用</x:v>
      </x:c>
      <x:c r="N300" s="20" t="str">
        <x:v>初审</x:v>
      </x:c>
      <x:c r="O300" s="22" t="n">
        <x:v>46255</x:v>
      </x:c>
      <x:c r="P300" s="20" t="str">
        <x:v>三会的核心是季节方气连续成势。参考：https://zh.wikisource.org/zh-hans/淵海子平；https://zh.wikisource.org/wiki/三命通會/卷二</x:v>
      </x:c>
    </x:row>
    <x:row r="301">
      <x:c r="A301" s="20" t="str">
        <x:v>M06-SANHUI-0056-V1.0</x:v>
      </x:c>
      <x:c r="B301" s="20" t="str">
        <x:v>规则</x:v>
      </x:c>
      <x:c r="C301" s="20" t="str">
        <x:v>M06</x:v>
      </x:c>
      <x:c r="D301" s="20" t="str">
        <x:v>06_干支关系效应</x:v>
      </x:c>
      <x:c r="E301" s="20" t="str">
        <x:v>SANHUI</x:v>
      </x:c>
      <x:c r="F301" s="20" t="n">
        <x:v>56</x:v>
      </x:c>
      <x:c r="G301" s="20" t="str">
        <x:v>V1.0</x:v>
      </x:c>
      <x:c r="H301" s="20" t="str">
        <x:v>巳午未三会火方的成立方向</x:v>
      </x:c>
      <x:c r="I301" s="20" t="str">
        <x:v>效应层</x:v>
      </x:c>
      <x:c r="J301" s="20" t="str"/>
      <x:c r="K301" s="20" t="str">
        <x:v>巳、午、未三会火方条件成立，三支主要有效力量向火集中。</x:v>
      </x:c>
      <x:c r="L301" s="20" t="str">
        <x:v>较高</x:v>
      </x:c>
      <x:c r="M301" s="20" t="str">
        <x:v>采用</x:v>
      </x:c>
      <x:c r="N301" s="20" t="str">
        <x:v>初审</x:v>
      </x:c>
      <x:c r="O301" s="22" t="n">
        <x:v>46255</x:v>
      </x:c>
      <x:c r="P301" s="20" t="str">
        <x:v>三会的核心是季节方气连续成势。参考：https://zh.wikisource.org/zh-hans/淵海子平；https://zh.wikisource.org/wiki/三命通會/卷二</x:v>
      </x:c>
    </x:row>
    <x:row r="302">
      <x:c r="A302" s="20" t="str">
        <x:v>M06-SANHUI-0057-V1.0</x:v>
      </x:c>
      <x:c r="B302" s="20" t="str">
        <x:v>规则</x:v>
      </x:c>
      <x:c r="C302" s="20" t="str">
        <x:v>M06</x:v>
      </x:c>
      <x:c r="D302" s="20" t="str">
        <x:v>06_干支关系效应</x:v>
      </x:c>
      <x:c r="E302" s="20" t="str">
        <x:v>SANHUI</x:v>
      </x:c>
      <x:c r="F302" s="20" t="n">
        <x:v>57</x:v>
      </x:c>
      <x:c r="G302" s="20" t="str">
        <x:v>V1.0</x:v>
      </x:c>
      <x:c r="H302" s="20" t="str">
        <x:v>申酉戌三会金方的成立方向</x:v>
      </x:c>
      <x:c r="I302" s="20" t="str">
        <x:v>效应层</x:v>
      </x:c>
      <x:c r="J302" s="20" t="str"/>
      <x:c r="K302" s="20" t="str">
        <x:v>申、酉、戌三会金方条件成立，三支主要有效力量向金集中。</x:v>
      </x:c>
      <x:c r="L302" s="20" t="str">
        <x:v>较高</x:v>
      </x:c>
      <x:c r="M302" s="20" t="str">
        <x:v>采用</x:v>
      </x:c>
      <x:c r="N302" s="20" t="str">
        <x:v>初审</x:v>
      </x:c>
      <x:c r="O302" s="22" t="n">
        <x:v>46255</x:v>
      </x:c>
      <x:c r="P302" s="20" t="str">
        <x:v>三会的核心是季节方气连续成势。参考：https://zh.wikisource.org/zh-hans/淵海子平；https://zh.wikisource.org/wiki/三命通會/卷二</x:v>
      </x:c>
    </x:row>
    <x:row r="303">
      <x:c r="A303" s="20" t="str">
        <x:v>M06-SANHUI-0058-V1.0</x:v>
      </x:c>
      <x:c r="B303" s="20" t="str">
        <x:v>规则</x:v>
      </x:c>
      <x:c r="C303" s="20" t="str">
        <x:v>M06</x:v>
      </x:c>
      <x:c r="D303" s="20" t="str">
        <x:v>06_干支关系效应</x:v>
      </x:c>
      <x:c r="E303" s="20" t="str">
        <x:v>SANHUI</x:v>
      </x:c>
      <x:c r="F303" s="20" t="n">
        <x:v>58</x:v>
      </x:c>
      <x:c r="G303" s="20" t="str">
        <x:v>V1.0</x:v>
      </x:c>
      <x:c r="H303" s="20" t="str">
        <x:v>三会成势通常优先牵引同节点的局部六合半合</x:v>
      </x:c>
      <x:c r="I303" s="20" t="str">
        <x:v>效应层</x:v>
      </x:c>
      <x:c r="J303" s="20" t="str"/>
      <x:c r="K303" s="20" t="str">
        <x:v>三会方气成势，共享节点优先归入方局；其他合关系降为次级。</x:v>
      </x:c>
      <x:c r="L303" s="20" t="str">
        <x:v>中等</x:v>
      </x:c>
      <x:c r="M303" s="20" t="str">
        <x:v>采用</x:v>
      </x:c>
      <x:c r="N303" s="20" t="str">
        <x:v>初审</x:v>
      </x:c>
      <x:c r="O303" s="22" t="n">
        <x:v>46255</x:v>
      </x:c>
      <x:c r="P303" s="20" t="str">
        <x:v>多重会合须按气势与完整性裁决。参考：https://ctext.org/wiki.pl?chapter=974137&amp;if=gb&amp;remap=gb</x:v>
      </x:c>
    </x:row>
    <x:row r="304">
      <x:c r="A304" s="20" t="str">
        <x:v>M06-BANGONG-0059-V1.0</x:v>
      </x:c>
      <x:c r="B304" s="20" t="str">
        <x:v>规则</x:v>
      </x:c>
      <x:c r="C304" s="20" t="str">
        <x:v>M06</x:v>
      </x:c>
      <x:c r="D304" s="20" t="str">
        <x:v>06_干支关系效应</x:v>
      </x:c>
      <x:c r="E304" s="20" t="str">
        <x:v>BANGONG</x:v>
      </x:c>
      <x:c r="F304" s="20" t="n">
        <x:v>59</x:v>
      </x:c>
      <x:c r="G304" s="20" t="str">
        <x:v>V1.0</x:v>
      </x:c>
      <x:c r="H304" s="20" t="str">
        <x:v>含中神的半合通常强于缺中神的拱合</x:v>
      </x:c>
      <x:c r="I304" s="20" t="str">
        <x:v>效应层</x:v>
      </x:c>
      <x:c r="J304" s="20" t="str"/>
      <x:c r="K304" s="20" t="str">
        <x:v>该两支关系按半合或拱合分级：含中神者作用较强，缺中神者只记弱趋向。</x:v>
      </x:c>
      <x:c r="L304" s="20" t="str">
        <x:v>较高</x:v>
      </x:c>
      <x:c r="M304" s="20" t="str">
        <x:v>采用</x:v>
      </x:c>
      <x:c r="N304" s="20" t="str">
        <x:v>初审</x:v>
      </x:c>
      <x:c r="O304" s="22" t="n">
        <x:v>46255</x:v>
      </x:c>
      <x:c r="P304" s="20" t="str">
        <x:v>中神是三合局的核心，不应把拱合与半合等量处理。参考：https://zh.wikisource.org/zh-hans/淵海子平；https://zh.wikisource.org/wiki/三命通會/卷二</x:v>
      </x:c>
    </x:row>
    <x:row r="305">
      <x:c r="A305" s="20" t="str">
        <x:v>M06-BANGONG-0060-V1.0</x:v>
      </x:c>
      <x:c r="B305" s="20" t="str">
        <x:v>规则</x:v>
      </x:c>
      <x:c r="C305" s="20" t="str">
        <x:v>M06</x:v>
      </x:c>
      <x:c r="D305" s="20" t="str">
        <x:v>06_干支关系效应</x:v>
      </x:c>
      <x:c r="E305" s="20" t="str">
        <x:v>BANGONG</x:v>
      </x:c>
      <x:c r="F305" s="20" t="n">
        <x:v>60</x:v>
      </x:c>
      <x:c r="G305" s="20" t="str">
        <x:v>V1.0</x:v>
      </x:c>
      <x:c r="H305" s="20" t="str">
        <x:v>半合中神得令可形成明显局气</x:v>
      </x:c>
      <x:c r="I305" s="20" t="str">
        <x:v>效应层</x:v>
      </x:c>
      <x:c r="J305" s="20" t="str"/>
      <x:c r="K305" s="20" t="str">
        <x:v>半合中神得令，局气明显增强；输出为强半合或局部成势，不标完整三合。</x:v>
      </x:c>
      <x:c r="L305" s="20" t="str">
        <x:v>较高</x:v>
      </x:c>
      <x:c r="M305" s="20" t="str">
        <x:v>采用</x:v>
      </x:c>
      <x:c r="N305" s="20" t="str">
        <x:v>初审</x:v>
      </x:c>
      <x:c r="O305" s="22" t="n">
        <x:v>46255</x:v>
      </x:c>
      <x:c r="P305" s="20" t="str">
        <x:v>半合强弱由中神与局气承载决定。参考：https://zh.wikisource.org/zh-hans/淵海子平；https://zh.wikisource.org/wiki/三命通會/卷二</x:v>
      </x:c>
    </x:row>
    <x:row r="306">
      <x:c r="A306" s="20" t="str">
        <x:v>M06-BANGONG-0061-V1.0</x:v>
      </x:c>
      <x:c r="B306" s="20" t="str">
        <x:v>规则</x:v>
      </x:c>
      <x:c r="C306" s="20" t="str">
        <x:v>M06</x:v>
      </x:c>
      <x:c r="D306" s="20" t="str">
        <x:v>06_干支关系效应</x:v>
      </x:c>
      <x:c r="E306" s="20" t="str">
        <x:v>BANGONG</x:v>
      </x:c>
      <x:c r="F306" s="20" t="n">
        <x:v>61</x:v>
      </x:c>
      <x:c r="G306" s="20" t="str">
        <x:v>V1.0</x:v>
      </x:c>
      <x:c r="H306" s="20" t="str">
        <x:v>半合无中神支持或受强克时只保留弱趋向</x:v>
      </x:c>
      <x:c r="I306" s="20" t="str">
        <x:v>效应层</x:v>
      </x:c>
      <x:c r="J306" s="20" t="str"/>
      <x:c r="K306" s="20" t="str">
        <x:v>该半合缺乏局气承载，降级为弱合意；不按成局计。</x:v>
      </x:c>
      <x:c r="L306" s="20" t="str">
        <x:v>较高</x:v>
      </x:c>
      <x:c r="M306" s="20" t="str">
        <x:v>采用</x:v>
      </x:c>
      <x:c r="N306" s="20" t="str">
        <x:v>初审</x:v>
      </x:c>
      <x:c r="O306" s="22" t="n">
        <x:v>46255</x:v>
      </x:c>
      <x:c r="P306" s="20" t="str">
        <x:v>两支出现不保证局气能输出。参考：https://ctext.org/wiki.pl?chapter=435028&amp;if=gb&amp;remap=gb</x:v>
      </x:c>
    </x:row>
    <x:row r="307">
      <x:c r="A307" s="20" t="str">
        <x:v>M06-BANGONG-0062-V1.0</x:v>
      </x:c>
      <x:c r="B307" s="20" t="str">
        <x:v>规则</x:v>
      </x:c>
      <x:c r="C307" s="20" t="str">
        <x:v>M06</x:v>
      </x:c>
      <x:c r="D307" s="20" t="str">
        <x:v>06_干支关系效应</x:v>
      </x:c>
      <x:c r="E307" s="20" t="str">
        <x:v>BANGONG</x:v>
      </x:c>
      <x:c r="F307" s="20" t="n">
        <x:v>62</x:v>
      </x:c>
      <x:c r="G307" s="20" t="str">
        <x:v>V1.0</x:v>
      </x:c>
      <x:c r="H307" s="20" t="str">
        <x:v>拱合缺中神不得直接成局</x:v>
      </x:c>
      <x:c r="I307" s="20" t="str">
        <x:v>效应层</x:v>
      </x:c>
      <x:c r="J307" s="20" t="str"/>
      <x:c r="K307" s="20" t="str">
        <x:v>该结构为拱合，中神缺失；只保留弱局气候选，不判成局。</x:v>
      </x:c>
      <x:c r="L307" s="20" t="str">
        <x:v>较高</x:v>
      </x:c>
      <x:c r="M307" s="20" t="str">
        <x:v>采用</x:v>
      </x:c>
      <x:c r="N307" s="20" t="str">
        <x:v>初审</x:v>
      </x:c>
      <x:c r="O307" s="22" t="n">
        <x:v>46255</x:v>
      </x:c>
      <x:c r="P307" s="20" t="str">
        <x:v>拱合与完整三合必须保持分类边界。参考：https://ctext.org/wiki.pl?chapter=435028&amp;if=gb&amp;remap=gb</x:v>
      </x:c>
    </x:row>
    <x:row r="308">
      <x:c r="A308" s="20" t="str">
        <x:v>M06-BANGONG-0063-V1.0</x:v>
      </x:c>
      <x:c r="B308" s="20" t="str">
        <x:v>规则</x:v>
      </x:c>
      <x:c r="C308" s="20" t="str">
        <x:v>M06</x:v>
      </x:c>
      <x:c r="D308" s="20" t="str">
        <x:v>06_干支关系效应</x:v>
      </x:c>
      <x:c r="E308" s="20" t="str">
        <x:v>BANGONG</x:v>
      </x:c>
      <x:c r="F308" s="20" t="n">
        <x:v>63</x:v>
      </x:c>
      <x:c r="G308" s="20" t="str">
        <x:v>V1.0</x:v>
      </x:c>
      <x:c r="H308" s="20" t="str">
        <x:v>岁运补入中神时拱合转动态完整候选</x:v>
      </x:c>
      <x:c r="I308" s="20" t="str">
        <x:v>效应层</x:v>
      </x:c>
      <x:c r="J308" s="20" t="str"/>
      <x:c r="K308" s="20" t="str">
        <x:v>岁运补中神，拱合在该时段升级为动态三合候选；原局仍记部分结构。</x:v>
      </x:c>
      <x:c r="L308" s="20" t="str">
        <x:v>较高</x:v>
      </x:c>
      <x:c r="M308" s="20" t="str">
        <x:v>采用</x:v>
      </x:c>
      <x:c r="N308" s="20" t="str">
        <x:v>初审</x:v>
      </x:c>
      <x:c r="O308" s="22" t="n">
        <x:v>46255</x:v>
      </x:c>
      <x:c r="P308" s="20" t="str">
        <x:v>静态原局与动态补齐必须分层。参考：https://ctext.org/wiki.pl?chapter=435028&amp;if=gb&amp;remap=gb</x:v>
      </x:c>
    </x:row>
    <x:row r="309">
      <x:c r="A309" s="20" t="str">
        <x:v>M06-BANGONG-0064-V1.0</x:v>
      </x:c>
      <x:c r="B309" s="20" t="str">
        <x:v>规则</x:v>
      </x:c>
      <x:c r="C309" s="20" t="str">
        <x:v>M06</x:v>
      </x:c>
      <x:c r="D309" s="20" t="str">
        <x:v>06_干支关系效应</x:v>
      </x:c>
      <x:c r="E309" s="20" t="str">
        <x:v>BANGONG</x:v>
      </x:c>
      <x:c r="F309" s="20" t="n">
        <x:v>64</x:v>
      </x:c>
      <x:c r="G309" s="20" t="str">
        <x:v>V1.0</x:v>
      </x:c>
      <x:c r="H309" s="20" t="str">
        <x:v>半合拱合均不得自动改写两支全部性质</x:v>
      </x:c>
      <x:c r="I309" s="20" t="str">
        <x:v>效应层</x:v>
      </x:c>
      <x:c r="J309" s="20" t="str"/>
      <x:c r="K309" s="20" t="str">
        <x:v>半合或拱合只修正局气倾向；两支原始性质和根气继续保留。</x:v>
      </x:c>
      <x:c r="L309" s="20" t="str">
        <x:v>较高</x:v>
      </x:c>
      <x:c r="M309" s="20" t="str">
        <x:v>采用</x:v>
      </x:c>
      <x:c r="N309" s="20" t="str">
        <x:v>初审</x:v>
      </x:c>
      <x:c r="O309" s="22" t="n">
        <x:v>46255</x:v>
      </x:c>
      <x:c r="P309" s="20" t="str">
        <x:v>部分结构不能套用完整合化结果。参考：https://ctext.org/wiki.pl?chapter=435028&amp;if=gb&amp;remap=gb</x:v>
      </x:c>
    </x:row>
    <x:row r="310">
      <x:c r="A310" s="20" t="str">
        <x:v>M06-CHONG-0065-V1.0</x:v>
      </x:c>
      <x:c r="B310" s="20" t="str">
        <x:v>规则</x:v>
      </x:c>
      <x:c r="C310" s="20" t="str">
        <x:v>M06</x:v>
      </x:c>
      <x:c r="D310" s="20" t="str">
        <x:v>06_干支关系效应</x:v>
      </x:c>
      <x:c r="E310" s="20" t="str">
        <x:v>CHONG</x:v>
      </x:c>
      <x:c r="F310" s="20" t="n">
        <x:v>65</x:v>
      </x:c>
      <x:c r="G310" s="20" t="str">
        <x:v>V1.0</x:v>
      </x:c>
      <x:c r="H310" s="20" t="str">
        <x:v>六冲至少产生冲动但不自动减力</x:v>
      </x:c>
      <x:c r="I310" s="20" t="str">
        <x:v>效应层</x:v>
      </x:c>
      <x:c r="J310" s="20" t="str"/>
      <x:c r="K310" s="20" t="str">
        <x:v>六冲关系使双方被引动；当前不直接判任何一支归零或必然减力。</x:v>
      </x:c>
      <x:c r="L310" s="20" t="str">
        <x:v>较高</x:v>
      </x:c>
      <x:c r="M310" s="20" t="str">
        <x:v>采用</x:v>
      </x:c>
      <x:c r="N310" s="20" t="str">
        <x:v>初审</x:v>
      </x:c>
      <x:c r="O310" s="22" t="n">
        <x:v>46255</x:v>
      </x:c>
      <x:c r="P310" s="20" t="str">
        <x:v>传统地支论以冲为动，但动后的强弱结果须细裁。参考：https://zh.wikisource.org/zh-hans/滴天髓</x:v>
      </x:c>
    </x:row>
    <x:row r="311">
      <x:c r="A311" s="20" t="str">
        <x:v>M06-CHONG-0066-V1.0</x:v>
      </x:c>
      <x:c r="B311" s="20" t="str">
        <x:v>规则</x:v>
      </x:c>
      <x:c r="C311" s="20" t="str">
        <x:v>M06</x:v>
      </x:c>
      <x:c r="D311" s="20" t="str">
        <x:v>06_干支关系效应</x:v>
      </x:c>
      <x:c r="E311" s="20" t="str">
        <x:v>CHONG</x:v>
      </x:c>
      <x:c r="F311" s="20" t="n">
        <x:v>66</x:v>
      </x:c>
      <x:c r="G311" s="20" t="str">
        <x:v>V1.0</x:v>
      </x:c>
      <x:c r="H311" s="20" t="str">
        <x:v>旺支冲衰支时衰支可被冲拔</x:v>
      </x:c>
      <x:c r="I311" s="20" t="str">
        <x:v>效应层</x:v>
      </x:c>
      <x:c r="J311" s="20" t="str"/>
      <x:c r="K311" s="20" t="str">
        <x:v>强冲弱成立，弱支明显受损；若为唯一根，可判该根功能大幅下降。</x:v>
      </x:c>
      <x:c r="L311" s="20" t="str">
        <x:v>较高</x:v>
      </x:c>
      <x:c r="M311" s="20" t="str">
        <x:v>采用</x:v>
      </x:c>
      <x:c r="N311" s="20" t="str">
        <x:v>初审</x:v>
      </x:c>
      <x:c r="O311" s="22" t="n">
        <x:v>46255</x:v>
      </x:c>
      <x:c r="P311" s="20" t="str">
        <x:v>“旺者冲衰，衰者拔”强调强弱悬殊时的结果。参考：https://zh.wikisource.org/zh-hans/滴天髓</x:v>
      </x:c>
    </x:row>
    <x:row r="312">
      <x:c r="A312" s="20" t="str">
        <x:v>M06-CHONG-0067-V1.0</x:v>
      </x:c>
      <x:c r="B312" s="20" t="str">
        <x:v>规则</x:v>
      </x:c>
      <x:c r="C312" s="20" t="str">
        <x:v>M06</x:v>
      </x:c>
      <x:c r="D312" s="20" t="str">
        <x:v>06_干支关系效应</x:v>
      </x:c>
      <x:c r="E312" s="20" t="str">
        <x:v>CHONG</x:v>
      </x:c>
      <x:c r="F312" s="20" t="n">
        <x:v>67</x:v>
      </x:c>
      <x:c r="G312" s="20" t="str">
        <x:v>V1.0</x:v>
      </x:c>
      <x:c r="H312" s="20" t="str">
        <x:v>衰支冲旺支时旺支多被激发</x:v>
      </x:c>
      <x:c r="I312" s="20" t="str">
        <x:v>效应层</x:v>
      </x:c>
      <x:c r="J312" s="20" t="str"/>
      <x:c r="K312" s="20" t="str">
        <x:v>弱冲强：旺支被激活或冲旺，弱支耗损；不判旺支明显减力。</x:v>
      </x:c>
      <x:c r="L312" s="20" t="str">
        <x:v>较高</x:v>
      </x:c>
      <x:c r="M312" s="20" t="str">
        <x:v>采用</x:v>
      </x:c>
      <x:c r="N312" s="20" t="str">
        <x:v>初审</x:v>
      </x:c>
      <x:c r="O312" s="22" t="n">
        <x:v>46255</x:v>
      </x:c>
      <x:c r="P312" s="20" t="str">
        <x:v>“衰者冲旺，旺神发”用于区分冲旺与冲弱。参考：https://zh.wikisource.org/zh-hans/滴天髓</x:v>
      </x:c>
    </x:row>
    <x:row r="313">
      <x:c r="A313" s="20" t="str">
        <x:v>M06-CHONG-0068-V1.0</x:v>
      </x:c>
      <x:c r="B313" s="20" t="str">
        <x:v>规则</x:v>
      </x:c>
      <x:c r="C313" s="20" t="str">
        <x:v>M06</x:v>
      </x:c>
      <x:c r="D313" s="20" t="str">
        <x:v>06_干支关系效应</x:v>
      </x:c>
      <x:c r="E313" s="20" t="str">
        <x:v>CHONG</x:v>
      </x:c>
      <x:c r="F313" s="20" t="n">
        <x:v>68</x:v>
      </x:c>
      <x:c r="G313" s="20" t="str">
        <x:v>V1.0</x:v>
      </x:c>
      <x:c r="H313" s="20" t="str">
        <x:v>双方皆旺时六冲形成持续对战互耗</x:v>
      </x:c>
      <x:c r="I313" s="20" t="str">
        <x:v>效应层</x:v>
      </x:c>
      <x:c r="J313" s="20" t="str"/>
      <x:c r="K313" s="20" t="str">
        <x:v>双方皆旺，判为强冲对战与互耗；不指定一方被冲去。</x:v>
      </x:c>
      <x:c r="L313" s="20" t="str">
        <x:v>较高</x:v>
      </x:c>
      <x:c r="M313" s="20" t="str">
        <x:v>采用</x:v>
      </x:c>
      <x:c r="N313" s="20" t="str">
        <x:v>初审</x:v>
      </x:c>
      <x:c r="O313" s="22" t="n">
        <x:v>46255</x:v>
      </x:c>
      <x:c r="P313" s="20" t="str">
        <x:v>强强相冲需进入通关与病药判断。参考：https://zh.wikisource.org/zh-hans/滴天髓</x:v>
      </x:c>
    </x:row>
    <x:row r="314">
      <x:c r="A314" s="20" t="str">
        <x:v>M06-CHONG-0069-V1.0</x:v>
      </x:c>
      <x:c r="B314" s="20" t="str">
        <x:v>规则</x:v>
      </x:c>
      <x:c r="C314" s="20" t="str">
        <x:v>M06</x:v>
      </x:c>
      <x:c r="D314" s="20" t="str">
        <x:v>06_干支关系效应</x:v>
      </x:c>
      <x:c r="E314" s="20" t="str">
        <x:v>CHONG</x:v>
      </x:c>
      <x:c r="F314" s="20" t="n">
        <x:v>69</x:v>
      </x:c>
      <x:c r="G314" s="20" t="str">
        <x:v>V1.0</x:v>
      </x:c>
      <x:c r="H314" s="20" t="str">
        <x:v>双方皆弱时六冲以扰动为主</x:v>
      </x:c>
      <x:c r="I314" s="20" t="str">
        <x:v>效应层</x:v>
      </x:c>
      <x:c r="J314" s="20" t="str"/>
      <x:c r="K314" s="20" t="str">
        <x:v>双方皆弱，六冲以弱扰动为主；力量修正从轻。</x:v>
      </x:c>
      <x:c r="L314" s="20" t="str">
        <x:v>较高</x:v>
      </x:c>
      <x:c r="M314" s="20" t="str">
        <x:v>采用</x:v>
      </x:c>
      <x:c r="N314" s="20" t="str">
        <x:v>初审</x:v>
      </x:c>
      <x:c r="O314" s="22" t="n">
        <x:v>46255</x:v>
      </x:c>
      <x:c r="P314" s="20" t="str">
        <x:v>关系存在不代表作用等级固定。参考：https://zh.wikisource.org/zh-hans/滴天髓</x:v>
      </x:c>
    </x:row>
    <x:row r="315">
      <x:c r="A315" s="20" t="str">
        <x:v>M06-CHONG-0070-V1.0</x:v>
      </x:c>
      <x:c r="B315" s="20" t="str">
        <x:v>规则</x:v>
      </x:c>
      <x:c r="C315" s="20" t="str">
        <x:v>M06</x:v>
      </x:c>
      <x:c r="D315" s="20" t="str">
        <x:v>06_干支关系效应</x:v>
      </x:c>
      <x:c r="E315" s="20" t="str">
        <x:v>CHONG</x:v>
      </x:c>
      <x:c r="F315" s="20" t="n">
        <x:v>70</x:v>
      </x:c>
      <x:c r="G315" s="20" t="str">
        <x:v>V1.0</x:v>
      </x:c>
      <x:c r="H315" s="20" t="str">
        <x:v>月支参与六冲提高结构权重</x:v>
      </x:c>
      <x:c r="I315" s="20" t="str">
        <x:v>效应层</x:v>
      </x:c>
      <x:c r="J315" s="20" t="str"/>
      <x:c r="K315" s="20" t="str">
        <x:v>月令参与六冲，结构权重上调；仍按双方实际强弱判断冲旺、冲弱或互耗。</x:v>
      </x:c>
      <x:c r="L315" s="20" t="str">
        <x:v>较高</x:v>
      </x:c>
      <x:c r="M315" s="20" t="str">
        <x:v>采用</x:v>
      </x:c>
      <x:c r="N315" s="20" t="str">
        <x:v>初审</x:v>
      </x:c>
      <x:c r="O315" s="22" t="n">
        <x:v>46255</x:v>
      </x:c>
      <x:c r="P315" s="20" t="str">
        <x:v>月令提升关系的重要性而非自动决定输赢。参考：https://zh.wikisource.org/zh-hans/滴天髓</x:v>
      </x:c>
    </x:row>
    <x:row r="316">
      <x:c r="A316" s="20" t="str">
        <x:v>M06-CHONG-0071-V1.0</x:v>
      </x:c>
      <x:c r="B316" s="20" t="str">
        <x:v>规则</x:v>
      </x:c>
      <x:c r="C316" s="20" t="str">
        <x:v>M06</x:v>
      </x:c>
      <x:c r="D316" s="20" t="str">
        <x:v>06_干支关系效应</x:v>
      </x:c>
      <x:c r="E316" s="20" t="str">
        <x:v>CHONG</x:v>
      </x:c>
      <x:c r="F316" s="20" t="n">
        <x:v>71</x:v>
      </x:c>
      <x:c r="G316" s="20" t="str">
        <x:v>V1.0</x:v>
      </x:c>
      <x:c r="H316" s="20" t="str">
        <x:v>唯一根被强冲时可判根气实质受损</x:v>
      </x:c>
      <x:c r="I316" s="20" t="str">
        <x:v>效应层</x:v>
      </x:c>
      <x:c r="J316" s="20" t="str"/>
      <x:c r="K316" s="20" t="str">
        <x:v>被冲支承载唯一弱根，且强冲落实；该根有效性显著下降。</x:v>
      </x:c>
      <x:c r="L316" s="20" t="str">
        <x:v>较高</x:v>
      </x:c>
      <x:c r="M316" s="20" t="str">
        <x:v>采用</x:v>
      </x:c>
      <x:c r="N316" s="20" t="str">
        <x:v>初审</x:v>
      </x:c>
      <x:c r="O316" s="22" t="n">
        <x:v>46255</x:v>
      </x:c>
      <x:c r="P316" s="20" t="str">
        <x:v>拔根必须落实到具体根位，不能由“有冲”直接推出。参考：https://zh.wikisource.org/zh-hans/滴天髓</x:v>
      </x:c>
    </x:row>
    <x:row r="317">
      <x:c r="A317" s="20" t="str">
        <x:v>M06-CHONG-0072-V1.0</x:v>
      </x:c>
      <x:c r="B317" s="20" t="str">
        <x:v>规则</x:v>
      </x:c>
      <x:c r="C317" s="20" t="str">
        <x:v>M06</x:v>
      </x:c>
      <x:c r="D317" s="20" t="str">
        <x:v>06_干支关系效应</x:v>
      </x:c>
      <x:c r="E317" s="20" t="str">
        <x:v>CHONG</x:v>
      </x:c>
      <x:c r="F317" s="20" t="n">
        <x:v>72</x:v>
      </x:c>
      <x:c r="G317" s="20" t="str">
        <x:v>V1.0</x:v>
      </x:c>
      <x:c r="H317" s="20" t="str">
        <x:v>多根或强根结构不因单点受冲而无根</x:v>
      </x:c>
      <x:c r="I317" s="20" t="str">
        <x:v>效应层</x:v>
      </x:c>
      <x:c r="J317" s="20" t="str"/>
      <x:c r="K317" s="20" t="str">
        <x:v>一处根受冲，但其他根仍在；整体仍有根，只下调有效根力。</x:v>
      </x:c>
      <x:c r="L317" s="20" t="str">
        <x:v>较高</x:v>
      </x:c>
      <x:c r="M317" s="20" t="str">
        <x:v>采用</x:v>
      </x:c>
      <x:c r="N317" s="20" t="str">
        <x:v>初审</x:v>
      </x:c>
      <x:c r="O317" s="22" t="n">
        <x:v>46255</x:v>
      </x:c>
      <x:c r="P317" s="20" t="str">
        <x:v>根气判断必须区分单点与整体。参考：https://zh.wikisource.org/zh-hans/滴天髓</x:v>
      </x:c>
    </x:row>
    <x:row r="318">
      <x:c r="A318" s="20" t="str">
        <x:v>M06-CHONG-0073-V1.0</x:v>
      </x:c>
      <x:c r="B318" s="20" t="str">
        <x:v>规则</x:v>
      </x:c>
      <x:c r="C318" s="20" t="str">
        <x:v>M06</x:v>
      </x:c>
      <x:c r="D318" s="20" t="str">
        <x:v>06_干支关系效应</x:v>
      </x:c>
      <x:c r="E318" s="20" t="str">
        <x:v>CHONG</x:v>
      </x:c>
      <x:c r="F318" s="20" t="n">
        <x:v>73</x:v>
      </x:c>
      <x:c r="G318" s="20" t="str">
        <x:v>V1.0</x:v>
      </x:c>
      <x:c r="H318" s="20" t="str">
        <x:v>六冲可引动双方藏干进入作用层</x:v>
      </x:c>
      <x:c r="I318" s="20" t="str">
        <x:v>效应层</x:v>
      </x:c>
      <x:c r="J318" s="20" t="str"/>
      <x:c r="K318" s="20" t="str">
        <x:v>六冲引动相关藏干；哪些藏干有效输出须逐项评估。</x:v>
      </x:c>
      <x:c r="L318" s="20" t="str">
        <x:v>较高</x:v>
      </x:c>
      <x:c r="M318" s="20" t="str">
        <x:v>采用</x:v>
      </x:c>
      <x:c r="N318" s="20" t="str">
        <x:v>初审</x:v>
      </x:c>
      <x:c r="O318" s="22" t="n">
        <x:v>46255</x:v>
      </x:c>
      <x:c r="P318" s="20" t="str">
        <x:v>冲的核心之一是动，动可使藏干参与。参考：https://zh.wikisource.org/zh-hans/滴天髓</x:v>
      </x:c>
    </x:row>
    <x:row r="319">
      <x:c r="A319" s="20" t="str">
        <x:v>M06-CHONG-0074-V1.0</x:v>
      </x:c>
      <x:c r="B319" s="20" t="str">
        <x:v>规则</x:v>
      </x:c>
      <x:c r="C319" s="20" t="str">
        <x:v>M06</x:v>
      </x:c>
      <x:c r="D319" s="20" t="str">
        <x:v>06_干支关系效应</x:v>
      </x:c>
      <x:c r="E319" s="20" t="str">
        <x:v>CHONG</x:v>
      </x:c>
      <x:c r="F319" s="20" t="n">
        <x:v>74</x:v>
      </x:c>
      <x:c r="G319" s="20" t="str">
        <x:v>V1.0</x:v>
      </x:c>
      <x:c r="H319" s="20" t="str">
        <x:v>六冲可破坏共享节点的六合或半合稳定性</x:v>
      </x:c>
      <x:c r="I319" s="20" t="str">
        <x:v>效应层</x:v>
      </x:c>
      <x:c r="J319" s="20" t="str"/>
      <x:c r="K319" s="20" t="str">
        <x:v>强冲作用于合局节点，原合关系降级或解开；需重算节点有效力量。</x:v>
      </x:c>
      <x:c r="L319" s="20" t="str">
        <x:v>较高</x:v>
      </x:c>
      <x:c r="M319" s="20" t="str">
        <x:v>采用</x:v>
      </x:c>
      <x:c r="N319" s="20" t="str">
        <x:v>初审</x:v>
      </x:c>
      <x:c r="O319" s="22" t="n">
        <x:v>46255</x:v>
      </x:c>
      <x:c r="P319" s="20" t="str">
        <x:v>刑冲会合之间可相互解构，但非固定优先级。参考：https://ctext.org/wiki.pl?chapter=974137&amp;if=gb&amp;remap=gb</x:v>
      </x:c>
    </x:row>
    <x:row r="320">
      <x:c r="A320" s="20" t="str">
        <x:v>M06-CHONG-0075-V1.0</x:v>
      </x:c>
      <x:c r="B320" s="20" t="str">
        <x:v>规则</x:v>
      </x:c>
      <x:c r="C320" s="20" t="str">
        <x:v>M06</x:v>
      </x:c>
      <x:c r="D320" s="20" t="str">
        <x:v>06_干支关系效应</x:v>
      </x:c>
      <x:c r="E320" s="20" t="str">
        <x:v>CHONG</x:v>
      </x:c>
      <x:c r="F320" s="20" t="n">
        <x:v>75</x:v>
      </x:c>
      <x:c r="G320" s="20" t="str">
        <x:v>V1.0</x:v>
      </x:c>
      <x:c r="H320" s="20" t="str">
        <x:v>六冲可释放被合绊对象的原有功能</x:v>
      </x:c>
      <x:c r="I320" s="20" t="str">
        <x:v>效应层</x:v>
      </x:c>
      <x:c r="J320" s="20" t="str"/>
      <x:c r="K320" s="20" t="str">
        <x:v>冲开原合：被合支的本气和相关藏干重新进入作用层。</x:v>
      </x:c>
      <x:c r="L320" s="20" t="str">
        <x:v>较高</x:v>
      </x:c>
      <x:c r="M320" s="20" t="str">
        <x:v>采用</x:v>
      </x:c>
      <x:c r="N320" s="20" t="str">
        <x:v>初审</x:v>
      </x:c>
      <x:c r="O320" s="22" t="n">
        <x:v>46255</x:v>
      </x:c>
      <x:c r="P320" s="20" t="str">
        <x:v>冲可解合是条件性释放机制。参考：https://ctext.org/wiki.pl?chapter=974137&amp;if=gb&amp;remap=gb</x:v>
      </x:c>
    </x:row>
    <x:row r="321">
      <x:c r="A321" s="20" t="str">
        <x:v>M06-CHONG-0076-V1.0</x:v>
      </x:c>
      <x:c r="B321" s="20" t="str">
        <x:v>规则</x:v>
      </x:c>
      <x:c r="C321" s="20" t="str">
        <x:v>M06</x:v>
      </x:c>
      <x:c r="D321" s="20" t="str">
        <x:v>06_干支关系效应</x:v>
      </x:c>
      <x:c r="E321" s="20" t="str">
        <x:v>CHONG</x:v>
      </x:c>
      <x:c r="F321" s="20" t="n">
        <x:v>76</x:v>
      </x:c>
      <x:c r="G321" s="20" t="str">
        <x:v>V1.0</x:v>
      </x:c>
      <x:c r="H321" s="20" t="str">
        <x:v>四生地相冲重在位移与生机受扰</x:v>
      </x:c>
      <x:c r="I321" s="20" t="str">
        <x:v>效应层</x:v>
      </x:c>
      <x:c r="J321" s="20" t="str"/>
      <x:c r="K321" s="20" t="str">
        <x:v>四生地相冲，重点记录位移、藏干引动与生发路径受扰；不直接判一方消失。</x:v>
      </x:c>
      <x:c r="L321" s="20" t="str">
        <x:v>较高</x:v>
      </x:c>
      <x:c r="M321" s="20" t="str">
        <x:v>采用</x:v>
      </x:c>
      <x:c r="N321" s="20" t="str">
        <x:v>初审</x:v>
      </x:c>
      <x:c r="O321" s="22" t="n">
        <x:v>46255</x:v>
      </x:c>
      <x:c r="P321" s="20" t="str">
        <x:v>生方怕动强调生发节点受冲需细察。参考：https://zh.wikisource.org/zh-hans/滴天髓</x:v>
      </x:c>
    </x:row>
    <x:row r="322">
      <x:c r="A322" s="20" t="str">
        <x:v>M06-CHONG-0077-V1.0</x:v>
      </x:c>
      <x:c r="B322" s="20" t="str">
        <x:v>规则</x:v>
      </x:c>
      <x:c r="C322" s="20" t="str">
        <x:v>M06</x:v>
      </x:c>
      <x:c r="D322" s="20" t="str">
        <x:v>06_干支关系效应</x:v>
      </x:c>
      <x:c r="E322" s="20" t="str">
        <x:v>CHONG</x:v>
      </x:c>
      <x:c r="F322" s="20" t="n">
        <x:v>77</x:v>
      </x:c>
      <x:c r="G322" s="20" t="str">
        <x:v>V1.0</x:v>
      </x:c>
      <x:c r="H322" s="20" t="str">
        <x:v>四正地相冲直接性高但仍须比较旺衰</x:v>
      </x:c>
      <x:c r="I322" s="20" t="str">
        <x:v>效应层</x:v>
      </x:c>
      <x:c r="J322" s="20" t="str"/>
      <x:c r="K322" s="20" t="str">
        <x:v>四正之冲作用直接，强度上调；输赢仍由月令、根气和成势决定。</x:v>
      </x:c>
      <x:c r="L322" s="20" t="str">
        <x:v>较高</x:v>
      </x:c>
      <x:c r="M322" s="20" t="str">
        <x:v>采用</x:v>
      </x:c>
      <x:c r="N322" s="20" t="str">
        <x:v>初审</x:v>
      </x:c>
      <x:c r="O322" s="22" t="n">
        <x:v>46255</x:v>
      </x:c>
      <x:c r="P322" s="20" t="str">
        <x:v>败地逢冲须细裁，不能仅凭类别定吉凶。参考：https://zh.wikisource.org/zh-hans/滴天髓</x:v>
      </x:c>
    </x:row>
    <x:row r="323">
      <x:c r="A323" s="20" t="str">
        <x:v>M06-CHONG-0078-V1.0</x:v>
      </x:c>
      <x:c r="B323" s="20" t="str">
        <x:v>规则</x:v>
      </x:c>
      <x:c r="C323" s="20" t="str">
        <x:v>M06</x:v>
      </x:c>
      <x:c r="D323" s="20" t="str">
        <x:v>06_干支关系效应</x:v>
      </x:c>
      <x:c r="E323" s="20" t="str">
        <x:v>CHONG</x:v>
      </x:c>
      <x:c r="F323" s="20" t="n">
        <x:v>78</x:v>
      </x:c>
      <x:c r="G323" s="20" t="str">
        <x:v>V1.0</x:v>
      </x:c>
      <x:c r="H323" s="20" t="str">
        <x:v>四库地相冲生成开库候选而非自动开库</x:v>
      </x:c>
      <x:c r="I323" s="20" t="str">
        <x:v>效应层</x:v>
      </x:c>
      <x:c r="J323" s="20" t="str"/>
      <x:c r="K323" s="20" t="str">
        <x:v>四库相冲，生成开库与藏干引动候选；未验证前不直接判库中全部透出。</x:v>
      </x:c>
      <x:c r="L323" s="20" t="str">
        <x:v>较高</x:v>
      </x:c>
      <x:c r="M323" s="20" t="str">
        <x:v>采用</x:v>
      </x:c>
      <x:c r="N323" s="20" t="str">
        <x:v>初审</x:v>
      </x:c>
      <x:c r="O323" s="22" t="n">
        <x:v>46255</x:v>
      </x:c>
      <x:c r="P323" s="20" t="str">
        <x:v>库宜开只是方向，仍需详细裁定。参考：https://zh.wikisource.org/zh-hans/滴天髓</x:v>
      </x:c>
    </x:row>
    <x:row r="324">
      <x:c r="A324" s="20" t="str">
        <x:v>M06-CHONG-0079-V1.0</x:v>
      </x:c>
      <x:c r="B324" s="20" t="str">
        <x:v>规则</x:v>
      </x:c>
      <x:c r="C324" s="20" t="str">
        <x:v>M06</x:v>
      </x:c>
      <x:c r="D324" s="20" t="str">
        <x:v>06_干支关系效应</x:v>
      </x:c>
      <x:c r="E324" s="20" t="str">
        <x:v>CHONG</x:v>
      </x:c>
      <x:c r="F324" s="20" t="n">
        <x:v>79</x:v>
      </x:c>
      <x:c r="G324" s="20" t="str">
        <x:v>V1.0</x:v>
      </x:c>
      <x:c r="H324" s="20" t="str">
        <x:v>开库成立需有库物、承接与非毁损条件</x:v>
      </x:c>
      <x:c r="I324" s="20" t="str">
        <x:v>效应层</x:v>
      </x:c>
      <x:c r="J324" s="20" t="str"/>
      <x:c r="K324" s="20" t="str">
        <x:v>本次库冲对指定藏干形成有效释放/仅引动/受损，三者择一，不可笼统写“开库”。</x:v>
      </x:c>
      <x:c r="L324" s="20" t="str">
        <x:v>较高</x:v>
      </x:c>
      <x:c r="M324" s="20" t="str">
        <x:v>采用</x:v>
      </x:c>
      <x:c r="N324" s="20" t="str">
        <x:v>初审</x:v>
      </x:c>
      <x:c r="O324" s="22" t="n">
        <x:v>46255</x:v>
      </x:c>
      <x:c r="P324" s="20" t="str">
        <x:v>库冲的结果可能是释放、扰动或毁损。参考：https://zh.wikisource.org/zh-hans/滴天髓</x:v>
      </x:c>
    </x:row>
    <x:row r="325">
      <x:c r="A325" s="20" t="str">
        <x:v>M06-CHONG-0080-V1.0</x:v>
      </x:c>
      <x:c r="B325" s="20" t="str">
        <x:v>规则</x:v>
      </x:c>
      <x:c r="C325" s="20" t="str">
        <x:v>M06</x:v>
      </x:c>
      <x:c r="D325" s="20" t="str">
        <x:v>06_干支关系效应</x:v>
      </x:c>
      <x:c r="E325" s="20" t="str">
        <x:v>CHONG</x:v>
      </x:c>
      <x:c r="F325" s="20" t="n">
        <x:v>80</x:v>
      </x:c>
      <x:c r="G325" s="20" t="str">
        <x:v>V1.0</x:v>
      </x:c>
      <x:c r="H325" s="20" t="str">
        <x:v>一支受多方冲击时冲效应可累积升级</x:v>
      </x:c>
      <x:c r="I325" s="20" t="str">
        <x:v>效应层</x:v>
      </x:c>
      <x:c r="J325" s="20" t="str"/>
      <x:c r="K325" s="20" t="str">
        <x:v>该支受多重独立冲击，冲效应升级；已去重后再评估根气与藏干。</x:v>
      </x:c>
      <x:c r="L325" s="20" t="str">
        <x:v>较高</x:v>
      </x:c>
      <x:c r="M325" s="20" t="str">
        <x:v>采用</x:v>
      </x:c>
      <x:c r="N325" s="20" t="str">
        <x:v>初审</x:v>
      </x:c>
      <x:c r="O325" s="22" t="n">
        <x:v>46255</x:v>
      </x:c>
      <x:c r="P325" s="20" t="str">
        <x:v>多重关系需按实例计数再综合。参考：https://ctext.org/wiki.pl?chapter=435028&amp;if=gb&amp;remap=gb</x:v>
      </x:c>
    </x:row>
    <x:row r="326">
      <x:c r="A326" s="20" t="str">
        <x:v>M06-CHONG-0081-V1.0</x:v>
      </x:c>
      <x:c r="B326" s="20" t="str">
        <x:v>规则</x:v>
      </x:c>
      <x:c r="C326" s="20" t="str">
        <x:v>M06</x:v>
      </x:c>
      <x:c r="D326" s="20" t="str">
        <x:v>06_干支关系效应</x:v>
      </x:c>
      <x:c r="E326" s="20" t="str">
        <x:v>CHONG</x:v>
      </x:c>
      <x:c r="F326" s="20" t="n">
        <x:v>81</x:v>
      </x:c>
      <x:c r="G326" s="20" t="str">
        <x:v>V1.0</x:v>
      </x:c>
      <x:c r="H326" s="20" t="str">
        <x:v>六冲结论必须按对象选择具体效应标签</x:v>
      </x:c>
      <x:c r="I326" s="20" t="str">
        <x:v>效应层</x:v>
      </x:c>
      <x:c r="J326" s="20" t="str"/>
      <x:c r="K326" s="20" t="str">
        <x:v>对象A：____；对象B：____；依据为月令、根气、成势及叠加关系。</x:v>
      </x:c>
      <x:c r="L326" s="20" t="str">
        <x:v>较高</x:v>
      </x:c>
      <x:c r="M326" s="20" t="str">
        <x:v>采用</x:v>
      </x:c>
      <x:c r="N326" s="20" t="str">
        <x:v>初审</x:v>
      </x:c>
      <x:c r="O326" s="22" t="n">
        <x:v>46255</x:v>
      </x:c>
      <x:c r="P326" s="20" t="str">
        <x:v>冲的结果是对象依赖的，不是关系名自带的。参考：https://zh.wikisource.org/zh-hans/滴天髓</x:v>
      </x:c>
    </x:row>
    <x:row r="327">
      <x:c r="A327" s="20" t="str">
        <x:v>M06-CHONG-0082-V1.0</x:v>
      </x:c>
      <x:c r="B327" s="20" t="str">
        <x:v>规则</x:v>
      </x:c>
      <x:c r="C327" s="20" t="str">
        <x:v>M06</x:v>
      </x:c>
      <x:c r="D327" s="20" t="str">
        <x:v>06_干支关系效应</x:v>
      </x:c>
      <x:c r="E327" s="20" t="str">
        <x:v>CHONG</x:v>
      </x:c>
      <x:c r="F327" s="20" t="n">
        <x:v>82</x:v>
      </x:c>
      <x:c r="G327" s="20" t="str">
        <x:v>V1.0</x:v>
      </x:c>
      <x:c r="H327" s="20" t="str">
        <x:v>冲去必须满足极端强弱与唯一根门槛</x:v>
      </x:c>
      <x:c r="I327" s="20" t="str">
        <x:v>效应层</x:v>
      </x:c>
      <x:c r="J327" s="20" t="str"/>
      <x:c r="K327" s="20" t="str">
        <x:v>满足冲去门槛：该支主要有效功能近乎退出；原始节点仍保留供岁运复核。</x:v>
      </x:c>
      <x:c r="L327" s="20" t="str">
        <x:v>较高</x:v>
      </x:c>
      <x:c r="M327" s="20" t="str">
        <x:v>采用</x:v>
      </x:c>
      <x:c r="N327" s="20" t="str">
        <x:v>初审</x:v>
      </x:c>
      <x:c r="O327" s="22" t="n">
        <x:v>46255</x:v>
      </x:c>
      <x:c r="P327" s="20" t="str">
        <x:v>把“冲去”设为高门槛可防止将一般冲动夸大。参考：https://zh.wikisource.org/zh-hans/滴天髓</x:v>
      </x:c>
    </x:row>
    <x:row r="328">
      <x:c r="A328" s="20" t="str">
        <x:v>M06-XING-0083-V1.0</x:v>
      </x:c>
      <x:c r="B328" s="20" t="str">
        <x:v>规则</x:v>
      </x:c>
      <x:c r="C328" s="20" t="str">
        <x:v>M06</x:v>
      </x:c>
      <x:c r="D328" s="20" t="str">
        <x:v>06_干支关系效应</x:v>
      </x:c>
      <x:c r="E328" s="20" t="str">
        <x:v>XING</x:v>
      </x:c>
      <x:c r="F328" s="20" t="n">
        <x:v>83</x:v>
      </x:c>
      <x:c r="G328" s="20" t="str">
        <x:v>V1.0</x:v>
      </x:c>
      <x:c r="H328" s="20" t="str">
        <x:v>三刑只生成刑动刑伤候选不固定减力</x:v>
      </x:c>
      <x:c r="I328" s="20" t="str">
        <x:v>效应层</x:v>
      </x:c>
      <x:c r="J328" s="20" t="str"/>
      <x:c r="K328" s="20" t="str">
        <x:v>三刑关系成立，先判刑动；是否刑伤及减力程度逐支确认。</x:v>
      </x:c>
      <x:c r="L328" s="20" t="str">
        <x:v>较高</x:v>
      </x:c>
      <x:c r="M328" s="20" t="str">
        <x:v>采用</x:v>
      </x:c>
      <x:c r="N328" s="20" t="str">
        <x:v>初审</x:v>
      </x:c>
      <x:c r="O328" s="22" t="n">
        <x:v>46255</x:v>
      </x:c>
      <x:c r="P328" s="20" t="str">
        <x:v>刑害有动不动之异，不宜把刑直接换算为统一减力。参考：https://zh.wikisource.org/zh-hans/滴天髓</x:v>
      </x:c>
    </x:row>
    <x:row r="329">
      <x:c r="A329" s="20" t="str">
        <x:v>M06-XING-0084-V1.0</x:v>
      </x:c>
      <x:c r="B329" s="20" t="str">
        <x:v>规则</x:v>
      </x:c>
      <x:c r="C329" s="20" t="str">
        <x:v>M06</x:v>
      </x:c>
      <x:c r="D329" s="20" t="str">
        <x:v>06_干支关系效应</x:v>
      </x:c>
      <x:c r="E329" s="20" t="str">
        <x:v>XING</x:v>
      </x:c>
      <x:c r="F329" s="20" t="n">
        <x:v>84</x:v>
      </x:c>
      <x:c r="G329" s="20" t="str">
        <x:v>V1.0</x:v>
      </x:c>
      <x:c r="H329" s="20" t="str">
        <x:v>寅巳申完整三刑提高结构复杂度而非全员受伤</x:v>
      </x:c>
      <x:c r="I329" s="20" t="str">
        <x:v>效应层</x:v>
      </x:c>
      <x:c r="J329" s="20" t="str"/>
      <x:c r="K329" s="20" t="str">
        <x:v>寅巳申三刑完整，逐支输出刑动、刑伤或作用有限；禁止统一判三支减力。</x:v>
      </x:c>
      <x:c r="L329" s="20" t="str">
        <x:v>较高</x:v>
      </x:c>
      <x:c r="M329" s="20" t="str">
        <x:v>采用</x:v>
      </x:c>
      <x:c r="N329" s="20" t="str">
        <x:v>初审</x:v>
      </x:c>
      <x:c r="O329" s="22" t="n">
        <x:v>46255</x:v>
      </x:c>
      <x:c r="P329" s="20" t="str">
        <x:v>完整三刑是关系网络，不是统一伤害公式。参考：https://zh.wikisource.org/zh-hans/滴天髓</x:v>
      </x:c>
    </x:row>
    <x:row r="330">
      <x:c r="A330" s="20" t="str">
        <x:v>M06-XING-0085-V1.0</x:v>
      </x:c>
      <x:c r="B330" s="20" t="str">
        <x:v>规则</x:v>
      </x:c>
      <x:c r="C330" s="20" t="str">
        <x:v>M06</x:v>
      </x:c>
      <x:c r="D330" s="20" t="str">
        <x:v>06_干支关系效应</x:v>
      </x:c>
      <x:c r="E330" s="20" t="str">
        <x:v>XING</x:v>
      </x:c>
      <x:c r="F330" s="20" t="n">
        <x:v>85</x:v>
      </x:c>
      <x:c r="G330" s="20" t="str">
        <x:v>V1.0</x:v>
      </x:c>
      <x:c r="H330" s="20" t="str">
        <x:v>寅巳申须同时保留冲合害破的叠加效应</x:v>
      </x:c>
      <x:c r="I330" s="20" t="str">
        <x:v>效应层</x:v>
      </x:c>
      <x:c r="J330" s="20" t="str"/>
      <x:c r="K330" s="20" t="str">
        <x:v>寅巳申关系网络已拆分：冲、合、刑、害、破分别评估后再合成，不设固定优先级。</x:v>
      </x:c>
      <x:c r="L330" s="20" t="str">
        <x:v>中等</x:v>
      </x:c>
      <x:c r="M330" s="20" t="str">
        <x:v>采用</x:v>
      </x:c>
      <x:c r="N330" s="20" t="str">
        <x:v>初审</x:v>
      </x:c>
      <x:c r="O330" s="22" t="n">
        <x:v>46255</x:v>
      </x:c>
      <x:c r="P330" s="20" t="str">
        <x:v>同一节点可同时参与多种关系，效果不能被单一“三刑”覆盖。参考：https://ctext.org/wiki.pl?chapter=974137&amp;if=gb&amp;remap=gb</x:v>
      </x:c>
    </x:row>
    <x:row r="331">
      <x:c r="A331" s="20" t="str">
        <x:v>M06-XING-0086-V1.0</x:v>
      </x:c>
      <x:c r="B331" s="20" t="str">
        <x:v>规则</x:v>
      </x:c>
      <x:c r="C331" s="20" t="str">
        <x:v>M06</x:v>
      </x:c>
      <x:c r="D331" s="20" t="str">
        <x:v>06_干支关系效应</x:v>
      </x:c>
      <x:c r="E331" s="20" t="str">
        <x:v>XING</x:v>
      </x:c>
      <x:c r="F331" s="20" t="n">
        <x:v>86</x:v>
      </x:c>
      <x:c r="G331" s="20" t="str">
        <x:v>V1.0</x:v>
      </x:c>
      <x:c r="H331" s="20" t="str">
        <x:v>丑未戌完整三刑重在土气交战与库气扰动</x:v>
      </x:c>
      <x:c r="I331" s="20" t="str">
        <x:v>效应层</x:v>
      </x:c>
      <x:c r="J331" s="20" t="str"/>
      <x:c r="K331" s="20" t="str">
        <x:v>丑未戌三刑完整，重点评估土战、燥湿冲突和库气引动；逐支判断受损与否。</x:v>
      </x:c>
      <x:c r="L331" s="20" t="str">
        <x:v>较高</x:v>
      </x:c>
      <x:c r="M331" s="20" t="str">
        <x:v>采用</x:v>
      </x:c>
      <x:c r="N331" s="20" t="str">
        <x:v>初审</x:v>
      </x:c>
      <x:c r="O331" s="22" t="n">
        <x:v>46255</x:v>
      </x:c>
      <x:c r="P331" s="20" t="str">
        <x:v>四库关系需区分开库、土战与藏干受损。参考：https://zh.wikisource.org/zh-hans/滴天髓</x:v>
      </x:c>
    </x:row>
    <x:row r="332">
      <x:c r="A332" s="20" t="str">
        <x:v>M06-XING-0087-V1.0</x:v>
      </x:c>
      <x:c r="B332" s="20" t="str">
        <x:v>规则</x:v>
      </x:c>
      <x:c r="C332" s="20" t="str">
        <x:v>M06</x:v>
      </x:c>
      <x:c r="D332" s="20" t="str">
        <x:v>06_干支关系效应</x:v>
      </x:c>
      <x:c r="E332" s="20" t="str">
        <x:v>XING</x:v>
      </x:c>
      <x:c r="F332" s="20" t="n">
        <x:v>87</x:v>
      </x:c>
      <x:c r="G332" s="20" t="str">
        <x:v>V1.0</x:v>
      </x:c>
      <x:c r="H332" s="20" t="str">
        <x:v>子卯刑以关系失调候选为主并需强弱验证</x:v>
      </x:c>
      <x:c r="I332" s="20" t="str">
        <x:v>效应层</x:v>
      </x:c>
      <x:c r="J332" s="20" t="str"/>
      <x:c r="K332" s="20" t="str">
        <x:v>子卯刑成立，先评估水木生化是否顺畅；再决定是刑动、刑伤或作用有限。</x:v>
      </x:c>
      <x:c r="L332" s="20" t="str">
        <x:v>中等</x:v>
      </x:c>
      <x:c r="M332" s="20" t="str">
        <x:v>采用</x:v>
      </x:c>
      <x:c r="N332" s="20" t="str">
        <x:v>初审</x:v>
      </x:c>
      <x:c r="O332" s="22" t="n">
        <x:v>46255</x:v>
      </x:c>
      <x:c r="P332" s="20" t="str">
        <x:v>刑与害可能同时存在相生关系，故动不动、伤不伤须细察。参考：https://zh.wikisource.org/zh-hans/滴天髓</x:v>
      </x:c>
    </x:row>
    <x:row r="333">
      <x:c r="A333" s="20" t="str">
        <x:v>M06-XING-0088-V1.0</x:v>
      </x:c>
      <x:c r="B333" s="20" t="str">
        <x:v>规则</x:v>
      </x:c>
      <x:c r="C333" s="20" t="str">
        <x:v>M06</x:v>
      </x:c>
      <x:c r="D333" s="20" t="str">
        <x:v>06_干支关系效应</x:v>
      </x:c>
      <x:c r="E333" s="20" t="str">
        <x:v>XING</x:v>
      </x:c>
      <x:c r="F333" s="20" t="n">
        <x:v>88</x:v>
      </x:c>
      <x:c r="G333" s="20" t="str">
        <x:v>V1.0</x:v>
      </x:c>
      <x:c r="H333" s="20" t="str">
        <x:v>三刑可引动藏干但不等于全部透出</x:v>
      </x:c>
      <x:c r="I333" s="20" t="str">
        <x:v>效应层</x:v>
      </x:c>
      <x:c r="J333" s="20" t="str"/>
      <x:c r="K333" s="20" t="str">
        <x:v>三刑引动相关藏干；逐个标记增强、受制或仅被触发，不按透干同级处理。</x:v>
      </x:c>
      <x:c r="L333" s="20" t="str">
        <x:v>较高</x:v>
      </x:c>
      <x:c r="M333" s="20" t="str">
        <x:v>采用</x:v>
      </x:c>
      <x:c r="N333" s="20" t="str">
        <x:v>初审</x:v>
      </x:c>
      <x:c r="O333" s="22" t="n">
        <x:v>46255</x:v>
      </x:c>
      <x:c r="P333" s="20" t="str">
        <x:v>引动藏干与藏干透出是两个不同结论。参考：https://zh.wikisource.org/zh-hans/滴天髓</x:v>
      </x:c>
    </x:row>
    <x:row r="334">
      <x:c r="A334" s="20" t="str">
        <x:v>M06-XING-0089-V1.0</x:v>
      </x:c>
      <x:c r="B334" s="20" t="str">
        <x:v>规则</x:v>
      </x:c>
      <x:c r="C334" s="20" t="str">
        <x:v>M06</x:v>
      </x:c>
      <x:c r="D334" s="20" t="str">
        <x:v>06_干支关系效应</x:v>
      </x:c>
      <x:c r="E334" s="20" t="str">
        <x:v>XING</x:v>
      </x:c>
      <x:c r="F334" s="20" t="n">
        <x:v>89</x:v>
      </x:c>
      <x:c r="G334" s="20" t="str">
        <x:v>V1.0</x:v>
      </x:c>
      <x:c r="H334" s="20" t="str">
        <x:v>弱支唯一根叠加刑伤时可下调根气</x:v>
      </x:c>
      <x:c r="I334" s="20" t="str">
        <x:v>效应层</x:v>
      </x:c>
      <x:c r="J334" s="20" t="str"/>
      <x:c r="K334" s="20" t="str">
        <x:v>该支为唯一弱根且刑伤落实，根气有效性下调；仍保留原始根记录。</x:v>
      </x:c>
      <x:c r="L334" s="20" t="str">
        <x:v>较高</x:v>
      </x:c>
      <x:c r="M334" s="20" t="str">
        <x:v>采用</x:v>
      </x:c>
      <x:c r="N334" s="20" t="str">
        <x:v>初审</x:v>
      </x:c>
      <x:c r="O334" s="22" t="n">
        <x:v>46255</x:v>
      </x:c>
      <x:c r="P334" s="20" t="str">
        <x:v>刑伤根气必须落实到具体根位和强弱。参考：https://zh.wikisource.org/zh-hans/滴天髓</x:v>
      </x:c>
    </x:row>
    <x:row r="335">
      <x:c r="A335" s="20" t="str">
        <x:v>M06-XING-0090-V1.0</x:v>
      </x:c>
      <x:c r="B335" s="20" t="str">
        <x:v>规则</x:v>
      </x:c>
      <x:c r="C335" s="20" t="str">
        <x:v>M06</x:v>
      </x:c>
      <x:c r="D335" s="20" t="str">
        <x:v>06_干支关系效应</x:v>
      </x:c>
      <x:c r="E335" s="20" t="str">
        <x:v>XING</x:v>
      </x:c>
      <x:c r="F335" s="20" t="n">
        <x:v>90</x:v>
      </x:c>
      <x:c r="G335" s="20" t="str">
        <x:v>V1.0</x:v>
      </x:c>
      <x:c r="H335" s="20" t="str">
        <x:v>参与支均强时三刑可表现为激烈运作而非衰减</x:v>
      </x:c>
      <x:c r="I335" s="20" t="str">
        <x:v>效应层</x:v>
      </x:c>
      <x:c r="J335" s="20" t="str"/>
      <x:c r="K335" s="20" t="str">
        <x:v>三刑各方均强，判强烈刑动与结构扰动；减力仅作次级条件。</x:v>
      </x:c>
      <x:c r="L335" s="20" t="str">
        <x:v>较高</x:v>
      </x:c>
      <x:c r="M335" s="20" t="str">
        <x:v>采用</x:v>
      </x:c>
      <x:c r="N335" s="20" t="str">
        <x:v>初审</x:v>
      </x:c>
      <x:c r="O335" s="22" t="n">
        <x:v>46255</x:v>
      </x:c>
      <x:c r="P335" s="20" t="str">
        <x:v>旺者受刑未必衰，可能因动而更显。参考：https://zh.wikisource.org/zh-hans/滴天髓</x:v>
      </x:c>
    </x:row>
    <x:row r="336">
      <x:c r="A336" s="20" t="str">
        <x:v>M06-XING-0091-V1.0</x:v>
      </x:c>
      <x:c r="B336" s="20" t="str">
        <x:v>规则</x:v>
      </x:c>
      <x:c r="C336" s="20" t="str">
        <x:v>M06</x:v>
      </x:c>
      <x:c r="D336" s="20" t="str">
        <x:v>06_干支关系效应</x:v>
      </x:c>
      <x:c r="E336" s="20" t="str">
        <x:v>XING</x:v>
      </x:c>
      <x:c r="F336" s="20" t="n">
        <x:v>91</x:v>
      </x:c>
      <x:c r="G336" s="20" t="str">
        <x:v>V1.0</x:v>
      </x:c>
      <x:c r="H336" s="20" t="str">
        <x:v>局部三刑与岁运补齐必须分层定级</x:v>
      </x:c>
      <x:c r="I336" s="20" t="str">
        <x:v>效应层</x:v>
      </x:c>
      <x:c r="J336" s="20" t="str"/>
      <x:c r="K336" s="20" t="str">
        <x:v>原局为局部刑；岁运补齐后在该时段升级为完整三刑并重新逐支评估。</x:v>
      </x:c>
      <x:c r="L336" s="20" t="str">
        <x:v>较高</x:v>
      </x:c>
      <x:c r="M336" s="20" t="str">
        <x:v>采用</x:v>
      </x:c>
      <x:c r="N336" s="20" t="str">
        <x:v>初审</x:v>
      </x:c>
      <x:c r="O336" s="22" t="n">
        <x:v>46255</x:v>
      </x:c>
      <x:c r="P336" s="20" t="str">
        <x:v>动态补齐是时段效应，不改变原局静态结构。参考：https://ctext.org/wiki.pl?chapter=435028&amp;if=gb&amp;remap=gb</x:v>
      </x:c>
    </x:row>
    <x:row r="337">
      <x:c r="A337" s="20" t="str">
        <x:v>M06-ZIXING-0092-V1.0</x:v>
      </x:c>
      <x:c r="B337" s="20" t="str">
        <x:v>规则</x:v>
      </x:c>
      <x:c r="C337" s="20" t="str">
        <x:v>M06</x:v>
      </x:c>
      <x:c r="D337" s="20" t="str">
        <x:v>06_干支关系效应</x:v>
      </x:c>
      <x:c r="E337" s="20" t="str">
        <x:v>ZIXING</x:v>
      </x:c>
      <x:c r="F337" s="20" t="n">
        <x:v>92</x:v>
      </x:c>
      <x:c r="G337" s="20" t="str">
        <x:v>V1.0</x:v>
      </x:c>
      <x:c r="H337" s="20" t="str">
        <x:v>重复地支只生成自刑候选不自动受伤</x:v>
      </x:c>
      <x:c r="I337" s="20" t="str">
        <x:v>效应层</x:v>
      </x:c>
      <x:c r="J337" s="20" t="str"/>
      <x:c r="K337" s="20" t="str">
        <x:v>重复支存在自刑候选，先评估同气叠加与阻塞；不直接判两支互相减力。</x:v>
      </x:c>
      <x:c r="L337" s="20" t="str">
        <x:v>中等</x:v>
      </x:c>
      <x:c r="M337" s="20" t="str">
        <x:v>待验证</x:v>
      </x:c>
      <x:c r="N337" s="20" t="str">
        <x:v>初审</x:v>
      </x:c>
      <x:c r="O337" s="22" t="n">
        <x:v>46255</x:v>
      </x:c>
      <x:c r="P337" s="20" t="str">
        <x:v>自刑的启动与权重存在流派差异，本库采用条件式表达。参考：https://ctext.org/wiki.pl?chapter=435028&amp;if=gb&amp;remap=gb</x:v>
      </x:c>
    </x:row>
    <x:row r="338">
      <x:c r="A338" s="20" t="str">
        <x:v>M06-ZIXING-0093-V1.0</x:v>
      </x:c>
      <x:c r="B338" s="20" t="str">
        <x:v>规则</x:v>
      </x:c>
      <x:c r="C338" s="20" t="str">
        <x:v>M06</x:v>
      </x:c>
      <x:c r="D338" s="20" t="str">
        <x:v>06_干支关系效应</x:v>
      </x:c>
      <x:c r="E338" s="20" t="str">
        <x:v>ZIXING</x:v>
      </x:c>
      <x:c r="F338" s="20" t="n">
        <x:v>93</x:v>
      </x:c>
      <x:c r="G338" s="20" t="str">
        <x:v>V1.0</x:v>
      </x:c>
      <x:c r="H338" s="20" t="str">
        <x:v>自刑支旺而无泄时偏向回流壅滞</x:v>
      </x:c>
      <x:c r="I338" s="20" t="str">
        <x:v>效应层</x:v>
      </x:c>
      <x:c r="J338" s="20" t="str"/>
      <x:c r="K338" s="20" t="str">
        <x:v>自刑支旺而无泄，判同气回流与局部阻塞；力量未必下降。</x:v>
      </x:c>
      <x:c r="L338" s="20" t="str">
        <x:v>较高</x:v>
      </x:c>
      <x:c r="M338" s="20" t="str">
        <x:v>采用</x:v>
      </x:c>
      <x:c r="N338" s="20" t="str">
        <x:v>初审</x:v>
      </x:c>
      <x:c r="O338" s="22" t="n">
        <x:v>46255</x:v>
      </x:c>
      <x:c r="P338" s="20" t="str">
        <x:v>同气过旺的问题常在不流通，而非力量不足。参考：https://zh.wikisource.org/zh-hans/滴天髓</x:v>
      </x:c>
    </x:row>
    <x:row r="339">
      <x:c r="A339" s="20" t="str">
        <x:v>M06-ZIXING-0094-V1.0</x:v>
      </x:c>
      <x:c r="B339" s="20" t="str">
        <x:v>规则</x:v>
      </x:c>
      <x:c r="C339" s="20" t="str">
        <x:v>M06</x:v>
      </x:c>
      <x:c r="D339" s="20" t="str">
        <x:v>06_干支关系效应</x:v>
      </x:c>
      <x:c r="E339" s="20" t="str">
        <x:v>ZIXING</x:v>
      </x:c>
      <x:c r="F339" s="20" t="n">
        <x:v>94</x:v>
      </x:c>
      <x:c r="G339" s="20" t="str">
        <x:v>V1.0</x:v>
      </x:c>
      <x:c r="H339" s="20" t="str">
        <x:v>自刑支弱时不得双重扣减</x:v>
      </x:c>
      <x:c r="I339" s="20" t="str">
        <x:v>效应层</x:v>
      </x:c>
      <x:c r="J339" s="20" t="str"/>
      <x:c r="K339" s="20" t="str">
        <x:v>自刑支均弱，保留轻度反复候选；不作双重减力。</x:v>
      </x:c>
      <x:c r="L339" s="20" t="str">
        <x:v>较高</x:v>
      </x:c>
      <x:c r="M339" s="20" t="str">
        <x:v>采用</x:v>
      </x:c>
      <x:c r="N339" s="20" t="str">
        <x:v>初审</x:v>
      </x:c>
      <x:c r="O339" s="22" t="n">
        <x:v>46255</x:v>
      </x:c>
      <x:c r="P339" s="20" t="str">
        <x:v>重复节点与自刑效应必须分别计量，避免重复惩罚。参考：https://ctext.org/wiki.pl?chapter=435028&amp;if=gb&amp;remap=gb</x:v>
      </x:c>
    </x:row>
    <x:row r="340">
      <x:c r="A340" s="20" t="str">
        <x:v>M06-ZIXING-0095-V1.0</x:v>
      </x:c>
      <x:c r="B340" s="20" t="str">
        <x:v>规则</x:v>
      </x:c>
      <x:c r="C340" s="20" t="str">
        <x:v>M06</x:v>
      </x:c>
      <x:c r="D340" s="20" t="str">
        <x:v>06_干支关系效应</x:v>
      </x:c>
      <x:c r="E340" s="20" t="str">
        <x:v>ZIXING</x:v>
      </x:c>
      <x:c r="F340" s="20" t="n">
        <x:v>95</x:v>
      </x:c>
      <x:c r="G340" s="20" t="str">
        <x:v>V1.0</x:v>
      </x:c>
      <x:c r="H340" s="20" t="str">
        <x:v>强冲强合存在时自刑通常列次级效应</x:v>
      </x:c>
      <x:c r="I340" s="20" t="str">
        <x:v>效应层</x:v>
      </x:c>
      <x:c r="J340" s="20" t="str"/>
      <x:c r="K340" s="20" t="str">
        <x:v>自刑与强关系并见，先裁定强冲强合，自刑列次级修正。</x:v>
      </x:c>
      <x:c r="L340" s="20" t="str">
        <x:v>中等</x:v>
      </x:c>
      <x:c r="M340" s="20" t="str">
        <x:v>待验证</x:v>
      </x:c>
      <x:c r="N340" s="20" t="str">
        <x:v>初审</x:v>
      </x:c>
      <x:c r="O340" s="22" t="n">
        <x:v>46255</x:v>
      </x:c>
      <x:c r="P340" s="20" t="str">
        <x:v>多重关系应按直接性与气势裁决。参考：https://ctext.org/wiki.pl?chapter=974137&amp;if=gb&amp;remap=gb</x:v>
      </x:c>
    </x:row>
    <x:row r="341">
      <x:c r="A341" s="20" t="str">
        <x:v>M06-HAI-0096-V1.0</x:v>
      </x:c>
      <x:c r="B341" s="20" t="str">
        <x:v>规则</x:v>
      </x:c>
      <x:c r="C341" s="20" t="str">
        <x:v>M06</x:v>
      </x:c>
      <x:c r="D341" s="20" t="str">
        <x:v>06_干支关系效应</x:v>
      </x:c>
      <x:c r="E341" s="20" t="str">
        <x:v>HAI</x:v>
      </x:c>
      <x:c r="F341" s="20" t="n">
        <x:v>96</x:v>
      </x:c>
      <x:c r="G341" s="20" t="str">
        <x:v>V1.0</x:v>
      </x:c>
      <x:c r="H341" s="20" t="str">
        <x:v>六害只生成暗损阻滞候选不自动减力</x:v>
      </x:c>
      <x:c r="I341" s="20" t="str">
        <x:v>效应层</x:v>
      </x:c>
      <x:c r="J341" s="20" t="str"/>
      <x:c r="K341" s="20" t="str">
        <x:v>六害关系存在，先标记潜在阻滞；未见落实条件时不作固定减力。</x:v>
      </x:c>
      <x:c r="L341" s="20" t="str">
        <x:v>中等</x:v>
      </x:c>
      <x:c r="M341" s="20" t="str">
        <x:v>待验证</x:v>
      </x:c>
      <x:c r="N341" s="20" t="str">
        <x:v>初审</x:v>
      </x:c>
      <x:c r="O341" s="22" t="n">
        <x:v>46255</x:v>
      </x:c>
      <x:c r="P341" s="20" t="str">
        <x:v>刑害有动不动之异，害的力量不宜与冲等量。参考：https://zh.wikisource.org/zh-hans/滴天髓</x:v>
      </x:c>
    </x:row>
    <x:row r="342">
      <x:c r="A342" s="20" t="str">
        <x:v>M06-HAI-0097-V1.0</x:v>
      </x:c>
      <x:c r="B342" s="20" t="str">
        <x:v>规则</x:v>
      </x:c>
      <x:c r="C342" s="20" t="str">
        <x:v>M06</x:v>
      </x:c>
      <x:c r="D342" s="20" t="str">
        <x:v>06_干支关系效应</x:v>
      </x:c>
      <x:c r="E342" s="20" t="str">
        <x:v>HAI</x:v>
      </x:c>
      <x:c r="F342" s="20" t="n">
        <x:v>97</x:v>
      </x:c>
      <x:c r="G342" s="20" t="str">
        <x:v>V1.0</x:v>
      </x:c>
      <x:c r="H342" s="20" t="str">
        <x:v>六害作用于关键桥梁时可形成流通卡点</x:v>
      </x:c>
      <x:c r="I342" s="20" t="str">
        <x:v>效应层</x:v>
      </x:c>
      <x:c r="J342" s="20" t="str"/>
      <x:c r="K342" s="20" t="str">
        <x:v>六害落在唯一桥梁，流通受限；转M12验证是否存在替代路径。</x:v>
      </x:c>
      <x:c r="L342" s="20" t="str">
        <x:v>较高</x:v>
      </x:c>
      <x:c r="M342" s="20" t="str">
        <x:v>采用</x:v>
      </x:c>
      <x:c r="N342" s="20" t="str">
        <x:v>初审</x:v>
      </x:c>
      <x:c r="O342" s="22" t="n">
        <x:v>46255</x:v>
      </x:c>
      <x:c r="P342" s="20" t="str">
        <x:v>害是否重要取决于它是否命中关键功能节点。参考：https://ctext.org/wiki.pl?chapter=435028&amp;if=gb&amp;remap=gb</x:v>
      </x:c>
    </x:row>
    <x:row r="343">
      <x:c r="A343" s="20" t="str">
        <x:v>M06-HAI-0098-V1.0</x:v>
      </x:c>
      <x:c r="B343" s="20" t="str">
        <x:v>规则</x:v>
      </x:c>
      <x:c r="C343" s="20" t="str">
        <x:v>M06</x:v>
      </x:c>
      <x:c r="D343" s="20" t="str">
        <x:v>06_干支关系效应</x:v>
      </x:c>
      <x:c r="E343" s="20" t="str">
        <x:v>HAI</x:v>
      </x:c>
      <x:c r="F343" s="20" t="n">
        <x:v>98</x:v>
      </x:c>
      <x:c r="G343" s="20" t="str">
        <x:v>V1.0</x:v>
      </x:c>
      <x:c r="H343" s="20" t="str">
        <x:v>强害弱且命中唯一根时可下调有效根气</x:v>
      </x:c>
      <x:c r="I343" s="20" t="str">
        <x:v>效应层</x:v>
      </x:c>
      <x:c r="J343" s="20" t="str"/>
      <x:c r="K343" s="20" t="str">
        <x:v>六害命中唯一弱根，根气有效性下调；不直接判根被拔。</x:v>
      </x:c>
      <x:c r="L343" s="20" t="str">
        <x:v>低</x:v>
      </x:c>
      <x:c r="M343" s="20" t="str">
        <x:v>待验证</x:v>
      </x:c>
      <x:c r="N343" s="20" t="str">
        <x:v>未审核</x:v>
      </x:c>
      <x:c r="O343" s="22" t="n">
        <x:v>46255</x:v>
      </x:c>
      <x:c r="P343" s="20" t="str">
        <x:v>六害的力量权重存在争议，本条仅作为条件性辅助规则。参考：https://ctext.org/wiki.pl?chapter=435028&amp;if=gb&amp;remap=gb</x:v>
      </x:c>
    </x:row>
    <x:row r="344">
      <x:c r="A344" s="20" t="str">
        <x:v>M06-HAI-0099-V1.0</x:v>
      </x:c>
      <x:c r="B344" s="20" t="str">
        <x:v>规则</x:v>
      </x:c>
      <x:c r="C344" s="20" t="str">
        <x:v>M06</x:v>
      </x:c>
      <x:c r="D344" s="20" t="str">
        <x:v>06_干支关系效应</x:v>
      </x:c>
      <x:c r="E344" s="20" t="str">
        <x:v>HAI</x:v>
      </x:c>
      <x:c r="F344" s="20" t="n">
        <x:v>99</x:v>
      </x:c>
      <x:c r="G344" s="20" t="str">
        <x:v>V1.0</x:v>
      </x:c>
      <x:c r="H344" s="20" t="str">
        <x:v>六害与冲刑合并见时通常作为次级修正</x:v>
      </x:c>
      <x:c r="I344" s="20" t="str">
        <x:v>效应层</x:v>
      </x:c>
      <x:c r="J344" s="20" t="str"/>
      <x:c r="K344" s="20" t="str">
        <x:v>六害与强关系并见，列为次级阻滞证据；主效应由冲、刑、合的实际强度决定。</x:v>
      </x:c>
      <x:c r="L344" s="20" t="str">
        <x:v>中等</x:v>
      </x:c>
      <x:c r="M344" s="20" t="str">
        <x:v>待验证</x:v>
      </x:c>
      <x:c r="N344" s="20" t="str">
        <x:v>初审</x:v>
      </x:c>
      <x:c r="O344" s="22" t="n">
        <x:v>46255</x:v>
      </x:c>
      <x:c r="P344" s="20" t="str">
        <x:v>多重关系不能机械叠加，需指定主次。参考：https://ctext.org/wiki.pl?chapter=974137&amp;if=gb&amp;remap=gb</x:v>
      </x:c>
    </x:row>
    <x:row r="345">
      <x:c r="A345" s="20" t="str">
        <x:v>M06-PO-0100-V1.0</x:v>
      </x:c>
      <x:c r="B345" s="20" t="str">
        <x:v>规则</x:v>
      </x:c>
      <x:c r="C345" s="20" t="str">
        <x:v>M06</x:v>
      </x:c>
      <x:c r="D345" s="20" t="str">
        <x:v>06_干支关系效应</x:v>
      </x:c>
      <x:c r="E345" s="20" t="str">
        <x:v>PO</x:v>
      </x:c>
      <x:c r="F345" s="20" t="n">
        <x:v>100</x:v>
      </x:c>
      <x:c r="G345" s="20" t="str">
        <x:v>V1.0</x:v>
      </x:c>
      <x:c r="H345" s="20" t="str">
        <x:v>六破只生成连接松动候选不自动破根</x:v>
      </x:c>
      <x:c r="I345" s="20" t="str">
        <x:v>效应层</x:v>
      </x:c>
      <x:c r="J345" s="20" t="str"/>
      <x:c r="K345" s="20" t="str">
        <x:v>六破关系存在，先标记连接不稳；是否影响根气和流通须另验。</x:v>
      </x:c>
      <x:c r="L345" s="20" t="str">
        <x:v>低</x:v>
      </x:c>
      <x:c r="M345" s="20" t="str">
        <x:v>待验证</x:v>
      </x:c>
      <x:c r="N345" s="20" t="str">
        <x:v>未审核</x:v>
      </x:c>
      <x:c r="O345" s="22" t="n">
        <x:v>46255</x:v>
      </x:c>
      <x:c r="P345" s="20" t="str">
        <x:v>六破的具体权重流派分歧较大，本库从低权重条件规则处理。参考：https://ctext.org/wiki.pl?chapter=435028&amp;if=gb&amp;remap=gb</x:v>
      </x:c>
    </x:row>
    <x:row r="346">
      <x:c r="A346" s="20" t="str">
        <x:v>M06-PO-0101-V1.0</x:v>
      </x:c>
      <x:c r="B346" s="20" t="str">
        <x:v>规则</x:v>
      </x:c>
      <x:c r="C346" s="20" t="str">
        <x:v>M06</x:v>
      </x:c>
      <x:c r="D346" s="20" t="str">
        <x:v>06_干支关系效应</x:v>
      </x:c>
      <x:c r="E346" s="20" t="str">
        <x:v>PO</x:v>
      </x:c>
      <x:c r="F346" s="20" t="n">
        <x:v>101</x:v>
      </x:c>
      <x:c r="G346" s="20" t="str">
        <x:v>V1.0</x:v>
      </x:c>
      <x:c r="H346" s="20" t="str">
        <x:v>六破命中弱合局节点时可使合关系松解</x:v>
      </x:c>
      <x:c r="I346" s="20" t="str">
        <x:v>效应层</x:v>
      </x:c>
      <x:c r="J346" s="20" t="str"/>
      <x:c r="K346" s="20" t="str">
        <x:v>六破命中弱合节点，原合稳定性下调；强合局仍需更强破坏条件。</x:v>
      </x:c>
      <x:c r="L346" s="20" t="str">
        <x:v>低</x:v>
      </x:c>
      <x:c r="M346" s="20" t="str">
        <x:v>待验证</x:v>
      </x:c>
      <x:c r="N346" s="20" t="str">
        <x:v>初审</x:v>
      </x:c>
      <x:c r="O346" s="22" t="n">
        <x:v>46255</x:v>
      </x:c>
      <x:c r="P346" s="20" t="str">
        <x:v>破更适合作为稳定性修正，而非决定性关系。参考：https://ctext.org/wiki.pl?chapter=435028&amp;if=gb&amp;remap=gb</x:v>
      </x:c>
    </x:row>
    <x:row r="347">
      <x:c r="A347" s="20" t="str">
        <x:v>M06-PO-0102-V1.0</x:v>
      </x:c>
      <x:c r="B347" s="20" t="str">
        <x:v>规则</x:v>
      </x:c>
      <x:c r="C347" s="20" t="str">
        <x:v>M06</x:v>
      </x:c>
      <x:c r="D347" s="20" t="str">
        <x:v>06_干支关系效应</x:v>
      </x:c>
      <x:c r="E347" s="20" t="str">
        <x:v>PO</x:v>
      </x:c>
      <x:c r="F347" s="20" t="n">
        <x:v>102</x:v>
      </x:c>
      <x:c r="G347" s="20" t="str">
        <x:v>V1.0</x:v>
      </x:c>
      <x:c r="H347" s="20" t="str">
        <x:v>六破双方强根时通常只记不稳定不记减力</x:v>
      </x:c>
      <x:c r="I347" s="20" t="str">
        <x:v>效应层</x:v>
      </x:c>
      <x:c r="J347" s="20" t="str"/>
      <x:c r="K347" s="20" t="str">
        <x:v>六破双方均强，力量暂不下调；仅标记连接不稳定。</x:v>
      </x:c>
      <x:c r="L347" s="20" t="str">
        <x:v>低</x:v>
      </x:c>
      <x:c r="M347" s="20" t="str">
        <x:v>待验证</x:v>
      </x:c>
      <x:c r="N347" s="20" t="str">
        <x:v>初审</x:v>
      </x:c>
      <x:c r="O347" s="22" t="n">
        <x:v>46255</x:v>
      </x:c>
      <x:c r="P347" s="20" t="str">
        <x:v>低权重关系须有落实条件才进入旺衰修正。参考：https://ctext.org/wiki.pl?chapter=435028&amp;if=gb&amp;remap=gb</x:v>
      </x:c>
    </x:row>
    <x:row r="348">
      <x:c r="A348" s="20" t="str">
        <x:v>M06-PO-0103-V1.0</x:v>
      </x:c>
      <x:c r="B348" s="20" t="str">
        <x:v>规则</x:v>
      </x:c>
      <x:c r="C348" s="20" t="str">
        <x:v>M06</x:v>
      </x:c>
      <x:c r="D348" s="20" t="str">
        <x:v>06_干支关系效应</x:v>
      </x:c>
      <x:c r="E348" s="20" t="str">
        <x:v>PO</x:v>
      </x:c>
      <x:c r="F348" s="20" t="n">
        <x:v>103</x:v>
      </x:c>
      <x:c r="G348" s="20" t="str">
        <x:v>V1.0</x:v>
      </x:c>
      <x:c r="H348" s="20" t="str">
        <x:v>六破与强冲刑合并见时列最次级证据</x:v>
      </x:c>
      <x:c r="I348" s="20" t="str">
        <x:v>效应层</x:v>
      </x:c>
      <x:c r="J348" s="20" t="str"/>
      <x:c r="K348" s="20" t="str">
        <x:v>六破列次级证据；主效应由冲、刑、合及实际强弱决定。</x:v>
      </x:c>
      <x:c r="L348" s="20" t="str">
        <x:v>低</x:v>
      </x:c>
      <x:c r="M348" s="20" t="str">
        <x:v>待验证</x:v>
      </x:c>
      <x:c r="N348" s="20" t="str">
        <x:v>初审</x:v>
      </x:c>
      <x:c r="O348" s="22" t="n">
        <x:v>46255</x:v>
      </x:c>
      <x:c r="P348" s="20" t="str">
        <x:v>多重关系需要去重和权重分层。参考：https://ctext.org/wiki.pl?chapter=974137&amp;if=gb&amp;remap=gb</x:v>
      </x:c>
    </x:row>
    <x:row r="349">
      <x:c r="A349" s="20" t="str">
        <x:v>M06-OVER-0104-V1.0</x:v>
      </x:c>
      <x:c r="B349" s="20" t="str">
        <x:v>规则</x:v>
      </x:c>
      <x:c r="C349" s="20" t="str">
        <x:v>M06</x:v>
      </x:c>
      <x:c r="D349" s="20" t="str">
        <x:v>06_干支关系效应</x:v>
      </x:c>
      <x:c r="E349" s="20" t="str">
        <x:v>OVER</x:v>
      </x:c>
      <x:c r="F349" s="20" t="n">
        <x:v>104</x:v>
      </x:c>
      <x:c r="G349" s="20" t="str">
        <x:v>V1.0</x:v>
      </x:c>
      <x:c r="H349" s="20" t="str">
        <x:v>多重关系全部保留候选后再判主次</x:v>
      </x:c>
      <x:c r="I349" s="20" t="str">
        <x:v>效应层</x:v>
      </x:c>
      <x:c r="J349" s="20" t="str"/>
      <x:c r="K349" s="20" t="str">
        <x:v>共享节点存在多重关系：全部保留，已指定主关系、次关系及被抑制关系。</x:v>
      </x:c>
      <x:c r="L349" s="20" t="str">
        <x:v>较高</x:v>
      </x:c>
      <x:c r="M349" s="20" t="str">
        <x:v>采用</x:v>
      </x:c>
      <x:c r="N349" s="20" t="str">
        <x:v>初审</x:v>
      </x:c>
      <x:c r="O349" s="22" t="n">
        <x:v>46255</x:v>
      </x:c>
      <x:c r="P349" s="20" t="str">
        <x:v>会合刑冲的解法取决于具体结构，不可预设一刀切优先级。参考：https://ctext.org/wiki.pl?chapter=974137&amp;if=gb&amp;remap=gb</x:v>
      </x:c>
    </x:row>
    <x:row r="350">
      <x:c r="A350" s="20" t="str">
        <x:v>M06-OVER-0105-V1.0</x:v>
      </x:c>
      <x:c r="B350" s="20" t="str">
        <x:v>规则</x:v>
      </x:c>
      <x:c r="C350" s="20" t="str">
        <x:v>M06</x:v>
      </x:c>
      <x:c r="D350" s="20" t="str">
        <x:v>06_干支关系效应</x:v>
      </x:c>
      <x:c r="E350" s="20" t="str">
        <x:v>OVER</x:v>
      </x:c>
      <x:c r="F350" s="20" t="n">
        <x:v>105</x:v>
      </x:c>
      <x:c r="G350" s="20" t="str">
        <x:v>V1.0</x:v>
      </x:c>
      <x:c r="H350" s="20" t="str">
        <x:v>巳申合刑破并见必须拆分三种效应</x:v>
      </x:c>
      <x:c r="I350" s="20" t="str">
        <x:v>效应层</x:v>
      </x:c>
      <x:c r="J350" s="20" t="str"/>
      <x:c r="K350" s="20" t="str">
        <x:v>巳申已分别评估合、刑、破：主效应____，次效应____，六破仅作____修正。</x:v>
      </x:c>
      <x:c r="L350" s="20" t="str">
        <x:v>中等</x:v>
      </x:c>
      <x:c r="M350" s="20" t="str">
        <x:v>采用</x:v>
      </x:c>
      <x:c r="N350" s="20" t="str">
        <x:v>初审</x:v>
      </x:c>
      <x:c r="O350" s="22" t="n">
        <x:v>46255</x:v>
      </x:c>
      <x:c r="P350" s="20" t="str">
        <x:v>同一对支多关系并存是测试规则去重能力的关键案例。参考：https://ctext.org/wiki.pl?chapter=974137&amp;if=gb&amp;remap=gb</x:v>
      </x:c>
    </x:row>
    <x:row r="351">
      <x:c r="A351" s="20" t="str">
        <x:v>M06-OVER-0106-V1.0</x:v>
      </x:c>
      <x:c r="B351" s="20" t="str">
        <x:v>规则</x:v>
      </x:c>
      <x:c r="C351" s="20" t="str">
        <x:v>M06</x:v>
      </x:c>
      <x:c r="D351" s="20" t="str">
        <x:v>06_干支关系效应</x:v>
      </x:c>
      <x:c r="E351" s="20" t="str">
        <x:v>OVER</x:v>
      </x:c>
      <x:c r="F351" s="20" t="n">
        <x:v>106</x:v>
      </x:c>
      <x:c r="G351" s="20" t="str">
        <x:v>V1.0</x:v>
      </x:c>
      <x:c r="H351" s="20" t="str">
        <x:v>合可解冲属于条件性而非固定优先</x:v>
      </x:c>
      <x:c r="I351" s="20" t="str">
        <x:v>效应层</x:v>
      </x:c>
      <x:c r="J351" s="20" t="str"/>
      <x:c r="K351" s="20" t="str">
        <x:v>合能否解冲已比较：合强则冲降级；冲强或合被夺则不解。</x:v>
      </x:c>
      <x:c r="L351" s="20" t="str">
        <x:v>中等</x:v>
      </x:c>
      <x:c r="M351" s="20" t="str">
        <x:v>采用</x:v>
      </x:c>
      <x:c r="N351" s="20" t="str">
        <x:v>初审</x:v>
      </x:c>
      <x:c r="O351" s="22" t="n">
        <x:v>46255</x:v>
      </x:c>
      <x:c r="P351" s="20" t="str">
        <x:v>经典案例表明会合有时能解刑冲、有时不能。参考：https://ctext.org/wiki.pl?chapter=974137&amp;if=gb&amp;remap=gb</x:v>
      </x:c>
    </x:row>
    <x:row r="352">
      <x:c r="A352" s="20" t="str">
        <x:v>M06-OVER-0107-V1.0</x:v>
      </x:c>
      <x:c r="B352" s="20" t="str">
        <x:v>规则</x:v>
      </x:c>
      <x:c r="C352" s="20" t="str">
        <x:v>M06</x:v>
      </x:c>
      <x:c r="D352" s="20" t="str">
        <x:v>06_干支关系效应</x:v>
      </x:c>
      <x:c r="E352" s="20" t="str">
        <x:v>OVER</x:v>
      </x:c>
      <x:c r="F352" s="20" t="n">
        <x:v>107</x:v>
      </x:c>
      <x:c r="G352" s="20" t="str">
        <x:v>V1.0</x:v>
      </x:c>
      <x:c r="H352" s="20" t="str">
        <x:v>冲可解合也属于条件性释放</x:v>
      </x:c>
      <x:c r="I352" s="20" t="str">
        <x:v>效应层</x:v>
      </x:c>
      <x:c r="J352" s="20" t="str"/>
      <x:c r="K352" s="20" t="str">
        <x:v>冲能否解合已比较：强冲可冲开，弱冲只扰动，原合仍保留。</x:v>
      </x:c>
      <x:c r="L352" s="20" t="str">
        <x:v>中等</x:v>
      </x:c>
      <x:c r="M352" s="20" t="str">
        <x:v>采用</x:v>
      </x:c>
      <x:c r="N352" s="20" t="str">
        <x:v>初审</x:v>
      </x:c>
      <x:c r="O352" s="22" t="n">
        <x:v>46255</x:v>
      </x:c>
      <x:c r="P352" s="20" t="str">
        <x:v>刑冲会合之间的相互解除依结构而定。参考：https://ctext.org/wiki.pl?chapter=974137&amp;if=gb&amp;remap=gb</x:v>
      </x:c>
    </x:row>
    <x:row r="353">
      <x:c r="A353" s="20" t="str">
        <x:v>M06-OVER-0108-V1.0</x:v>
      </x:c>
      <x:c r="B353" s="20" t="str">
        <x:v>规则</x:v>
      </x:c>
      <x:c r="C353" s="20" t="str">
        <x:v>M06</x:v>
      </x:c>
      <x:c r="D353" s="20" t="str">
        <x:v>06_干支关系效应</x:v>
      </x:c>
      <x:c r="E353" s="20" t="str">
        <x:v>OVER</x:v>
      </x:c>
      <x:c r="F353" s="20" t="n">
        <x:v>108</x:v>
      </x:c>
      <x:c r="G353" s="20" t="str">
        <x:v>V1.0</x:v>
      </x:c>
      <x:c r="H353" s="20" t="str">
        <x:v>三合三会成势可牵走六合共享节点</x:v>
      </x:c>
      <x:c r="I353" s="20" t="str">
        <x:v>效应层</x:v>
      </x:c>
      <x:c r="J353" s="20" t="str"/>
      <x:c r="K353" s="20" t="str">
        <x:v>三合/三会成势，共享节点归入大局，六合降为次级；若大局未成则重新比较。</x:v>
      </x:c>
      <x:c r="L353" s="20" t="str">
        <x:v>中等</x:v>
      </x:c>
      <x:c r="M353" s="20" t="str">
        <x:v>采用</x:v>
      </x:c>
      <x:c r="N353" s="20" t="str">
        <x:v>初审</x:v>
      </x:c>
      <x:c r="O353" s="22" t="n">
        <x:v>46255</x:v>
      </x:c>
      <x:c r="P353" s="20" t="str">
        <x:v>完整度和气势共同决定多重会合的主次。参考：https://ctext.org/wiki.pl?chapter=974137&amp;if=gb&amp;remap=gb</x:v>
      </x:c>
    </x:row>
    <x:row r="354">
      <x:c r="A354" s="20" t="str">
        <x:v>M06-OVER-0109-V1.0</x:v>
      </x:c>
      <x:c r="B354" s="20" t="str">
        <x:v>规则</x:v>
      </x:c>
      <x:c r="C354" s="20" t="str">
        <x:v>M06</x:v>
      </x:c>
      <x:c r="D354" s="20" t="str">
        <x:v>06_干支关系效应</x:v>
      </x:c>
      <x:c r="E354" s="20" t="str">
        <x:v>OVER</x:v>
      </x:c>
      <x:c r="F354" s="20" t="n">
        <x:v>109</x:v>
      </x:c>
      <x:c r="G354" s="20" t="str">
        <x:v>V1.0</x:v>
      </x:c>
      <x:c r="H354" s="20" t="str">
        <x:v>共享节点不能同时完整归属互斥结果</x:v>
      </x:c>
      <x:c r="I354" s="20" t="str">
        <x:v>效应层</x:v>
      </x:c>
      <x:c r="J354" s="20" t="str"/>
      <x:c r="K354" s="20" t="str">
        <x:v>共享节点已指定唯一主导归属；其他关系保留为次级、受抑制或未成立。</x:v>
      </x:c>
      <x:c r="L354" s="20" t="str">
        <x:v>较高</x:v>
      </x:c>
      <x:c r="M354" s="20" t="str">
        <x:v>采用</x:v>
      </x:c>
      <x:c r="N354" s="20" t="str">
        <x:v>初审</x:v>
      </x:c>
      <x:c r="O354" s="22" t="n">
        <x:v>46255</x:v>
      </x:c>
      <x:c r="P354" s="20" t="str">
        <x:v>关系并存不等于效应可无损叠加。参考：https://ctext.org/wiki.pl?chapter=974137&amp;if=gb&amp;remap=gb</x:v>
      </x:c>
    </x:row>
    <x:row r="355">
      <x:c r="A355" s="20" t="str">
        <x:v>M06-OVER-0110-V1.0</x:v>
      </x:c>
      <x:c r="B355" s="20" t="str">
        <x:v>规则</x:v>
      </x:c>
      <x:c r="C355" s="20" t="str">
        <x:v>M06</x:v>
      </x:c>
      <x:c r="D355" s="20" t="str">
        <x:v>06_干支关系效应</x:v>
      </x:c>
      <x:c r="E355" s="20" t="str">
        <x:v>OVER</x:v>
      </x:c>
      <x:c r="F355" s="20" t="n">
        <x:v>110</x:v>
      </x:c>
      <x:c r="G355" s="20" t="str">
        <x:v>V1.0</x:v>
      </x:c>
      <x:c r="H355" s="20" t="str">
        <x:v>关系效应采用五步链式裁决顺序</x:v>
      </x:c>
      <x:c r="I355" s="20" t="str">
        <x:v>效应层</x:v>
      </x:c>
      <x:c r="J355" s="20" t="str"/>
      <x:c r="K355" s="20" t="str">
        <x:v>本关系已按五步链完成，不存在由关系名称直接跳到喜忌或旺衰结论。</x:v>
      </x:c>
      <x:c r="L355" s="20" t="str">
        <x:v>较高</x:v>
      </x:c>
      <x:c r="M355" s="20" t="str">
        <x:v>采用</x:v>
      </x:c>
      <x:c r="N355" s="20" t="str">
        <x:v>初审</x:v>
      </x:c>
      <x:c r="O355" s="22" t="n">
        <x:v>46255</x:v>
      </x:c>
      <x:c r="P355" s="20" t="str">
        <x:v>分层流程用于防止循环论证和重复计算。参考：https://ctext.org/wiki.pl?chapter=435028&amp;if=gb&amp;remap=gb</x:v>
      </x:c>
    </x:row>
    <x:row r="356">
      <x:c r="A356" s="20" t="str">
        <x:v>M06-BOUND-0111-V1.0</x:v>
      </x:c>
      <x:c r="B356" s="20" t="str">
        <x:v>规则</x:v>
      </x:c>
      <x:c r="C356" s="20" t="str">
        <x:v>M06</x:v>
      </x:c>
      <x:c r="D356" s="20" t="str">
        <x:v>06_干支关系效应</x:v>
      </x:c>
      <x:c r="E356" s="20" t="str">
        <x:v>BOUND</x:v>
      </x:c>
      <x:c r="F356" s="20" t="n">
        <x:v>111</x:v>
      </x:c>
      <x:c r="G356" s="20" t="str">
        <x:v>V1.0</x:v>
      </x:c>
      <x:c r="H356" s="20" t="str">
        <x:v>关系名称不得换算固定分值</x:v>
      </x:c>
      <x:c r="I356" s="20" t="str">
        <x:v>效应层</x:v>
      </x:c>
      <x:c r="J356" s="20" t="str"/>
      <x:c r="K356" s="20" t="str">
        <x:v>本条只给条件性效应，不使用“见冲减X分、见合减Y分”的固定算法。</x:v>
      </x:c>
      <x:c r="L356" s="20" t="str">
        <x:v>较高</x:v>
      </x:c>
      <x:c r="M356" s="20" t="str">
        <x:v>采用</x:v>
      </x:c>
      <x:c r="N356" s="20" t="str">
        <x:v>初审</x:v>
      </x:c>
      <x:c r="O356" s="22" t="n">
        <x:v>46255</x:v>
      </x:c>
      <x:c r="P356" s="20" t="str">
        <x:v>关系不是固定力学常数。参考：https://zh.wikisource.org/zh-hans/滴天髓</x:v>
      </x:c>
    </x:row>
    <x:row r="357">
      <x:c r="A357" s="20" t="str">
        <x:v>M06-BOUND-0112-V1.0</x:v>
      </x:c>
      <x:c r="B357" s="20" t="str">
        <x:v>规则</x:v>
      </x:c>
      <x:c r="C357" s="20" t="str">
        <x:v>M06</x:v>
      </x:c>
      <x:c r="D357" s="20" t="str">
        <x:v>06_干支关系效应</x:v>
      </x:c>
      <x:c r="E357" s="20" t="str">
        <x:v>BOUND</x:v>
      </x:c>
      <x:c r="F357" s="20" t="n">
        <x:v>112</x:v>
      </x:c>
      <x:c r="G357" s="20" t="str">
        <x:v>V1.0</x:v>
      </x:c>
      <x:c r="H357" s="20" t="str">
        <x:v>任何关系都不得自动把干支归零</x:v>
      </x:c>
      <x:c r="I357" s="20" t="str">
        <x:v>效应层</x:v>
      </x:c>
      <x:c r="J357" s="20" t="str"/>
      <x:c r="K357" s="20" t="str">
        <x:v>对象原始存在保留；当前仅按已验证效应调整有效力量。</x:v>
      </x:c>
      <x:c r="L357" s="20" t="str">
        <x:v>较高</x:v>
      </x:c>
      <x:c r="M357" s="20" t="str">
        <x:v>采用</x:v>
      </x:c>
      <x:c r="N357" s="20" t="str">
        <x:v>初审</x:v>
      </x:c>
      <x:c r="O357" s="22" t="n">
        <x:v>46255</x:v>
      </x:c>
      <x:c r="P357" s="20" t="str">
        <x:v>原始存在与有效作用必须分开。参考：https://zh.wikisource.org/zh-hans/滴天髓</x:v>
      </x:c>
    </x:row>
    <x:row r="358">
      <x:c r="A358" s="20" t="str">
        <x:v>M06-BOUND-0113-V1.0</x:v>
      </x:c>
      <x:c r="B358" s="20" t="str">
        <x:v>规则</x:v>
      </x:c>
      <x:c r="C358" s="20" t="str">
        <x:v>M06</x:v>
      </x:c>
      <x:c r="D358" s="20" t="str">
        <x:v>06_干支关系效应</x:v>
      </x:c>
      <x:c r="E358" s="20" t="str">
        <x:v>BOUND</x:v>
      </x:c>
      <x:c r="F358" s="20" t="n">
        <x:v>113</x:v>
      </x:c>
      <x:c r="G358" s="20" t="str">
        <x:v>V1.0</x:v>
      </x:c>
      <x:c r="H358" s="20" t="str">
        <x:v>五行性质改变只允许由已验证合化成局触发</x:v>
      </x:c>
      <x:c r="I358" s="20" t="str">
        <x:v>效应层</x:v>
      </x:c>
      <x:c r="J358" s="20" t="str"/>
      <x:c r="K358" s="20" t="str">
        <x:v>五行性质是否改变：是/否/条件性；依据为具体合化成局规则。</x:v>
      </x:c>
      <x:c r="L358" s="20" t="str">
        <x:v>较高</x:v>
      </x:c>
      <x:c r="M358" s="20" t="str">
        <x:v>采用</x:v>
      </x:c>
      <x:c r="N358" s="20" t="str">
        <x:v>初审</x:v>
      </x:c>
      <x:c r="O358" s="22" t="n">
        <x:v>46255</x:v>
      </x:c>
      <x:c r="P358" s="20" t="str">
        <x:v>性质改变是高等级结论，需严格门槛。参考：https://zh.wikisource.org/zh-hans/淵海子平；https://zh.wikisource.org/wiki/三命通會/卷二</x:v>
      </x:c>
    </x:row>
    <x:row r="359">
      <x:c r="A359" s="20" t="str">
        <x:v>M06-BOUND-0114-V1.0</x:v>
      </x:c>
      <x:c r="B359" s="20" t="str">
        <x:v>规则</x:v>
      </x:c>
      <x:c r="C359" s="20" t="str">
        <x:v>M06</x:v>
      </x:c>
      <x:c r="D359" s="20" t="str">
        <x:v>06_干支关系效应</x:v>
      </x:c>
      <x:c r="E359" s="20" t="str">
        <x:v>BOUND</x:v>
      </x:c>
      <x:c r="F359" s="20" t="n">
        <x:v>114</x:v>
      </x:c>
      <x:c r="G359" s="20" t="str">
        <x:v>V1.0</x:v>
      </x:c>
      <x:c r="H359" s="20" t="str">
        <x:v>合住不等于对象消失</x:v>
      </x:c>
      <x:c r="I359" s="20" t="str">
        <x:v>效应层</x:v>
      </x:c>
      <x:c r="J359" s="20" t="str"/>
      <x:c r="K359" s="20" t="str">
        <x:v>该对象被合住，当前功能受限但未消失；原始力量与根气继续记录。</x:v>
      </x:c>
      <x:c r="L359" s="20" t="str">
        <x:v>较高</x:v>
      </x:c>
      <x:c r="M359" s="20" t="str">
        <x:v>采用</x:v>
      </x:c>
      <x:c r="N359" s="20" t="str">
        <x:v>初审</x:v>
      </x:c>
      <x:c r="O359" s="22" t="n">
        <x:v>46255</x:v>
      </x:c>
      <x:c r="P359" s="20" t="str">
        <x:v>冻结与删除是不同数据状态。参考：https://ctext.org/wiki.pl?chapter=974137&amp;if=gb&amp;remap=gb</x:v>
      </x:c>
    </x:row>
    <x:row r="360">
      <x:c r="A360" s="20" t="str">
        <x:v>M06-BOUND-0115-V1.0</x:v>
      </x:c>
      <x:c r="B360" s="20" t="str">
        <x:v>规则</x:v>
      </x:c>
      <x:c r="C360" s="20" t="str">
        <x:v>M06</x:v>
      </x:c>
      <x:c r="D360" s="20" t="str">
        <x:v>06_干支关系效应</x:v>
      </x:c>
      <x:c r="E360" s="20" t="str">
        <x:v>BOUND</x:v>
      </x:c>
      <x:c r="F360" s="20" t="n">
        <x:v>115</x:v>
      </x:c>
      <x:c r="G360" s="20" t="str">
        <x:v>V1.0</x:v>
      </x:c>
      <x:c r="H360" s="20" t="str">
        <x:v>根气改变必须落实到具体根位</x:v>
      </x:c>
      <x:c r="I360" s="20" t="str">
        <x:v>效应层</x:v>
      </x:c>
      <x:c r="J360" s="20" t="str"/>
      <x:c r="K360" s="20" t="str">
        <x:v>根气变化对象：____根于____；变化为____；其他根位____仍保留。</x:v>
      </x:c>
      <x:c r="L360" s="20" t="str">
        <x:v>较高</x:v>
      </x:c>
      <x:c r="M360" s="20" t="str">
        <x:v>采用</x:v>
      </x:c>
      <x:c r="N360" s="20" t="str">
        <x:v>初审</x:v>
      </x:c>
      <x:c r="O360" s="22" t="n">
        <x:v>46255</x:v>
      </x:c>
      <x:c r="P360" s="20" t="str">
        <x:v>根气是对象化证据，不能笼统归因。参考：https://zh.wikisource.org/zh-hans/滴天髓</x:v>
      </x:c>
    </x:row>
    <x:row r="361">
      <x:c r="A361" s="20" t="str">
        <x:v>M06-BOUND-0116-V1.0</x:v>
      </x:c>
      <x:c r="B361" s="20" t="str">
        <x:v>规则</x:v>
      </x:c>
      <x:c r="C361" s="20" t="str">
        <x:v>M06</x:v>
      </x:c>
      <x:c r="D361" s="20" t="str">
        <x:v>06_干支关系效应</x:v>
      </x:c>
      <x:c r="E361" s="20" t="str">
        <x:v>BOUND</x:v>
      </x:c>
      <x:c r="F361" s="20" t="n">
        <x:v>116</x:v>
      </x:c>
      <x:c r="G361" s="20" t="str">
        <x:v>V1.0</x:v>
      </x:c>
      <x:c r="H361" s="20" t="str">
        <x:v>藏干可用性变化不等于地支被删除</x:v>
      </x:c>
      <x:c r="I361" s="20" t="str">
        <x:v>效应层</x:v>
      </x:c>
      <x:c r="J361" s="20" t="str"/>
      <x:c r="K361" s="20" t="str">
        <x:v>藏干可用性已逐项评估：____被引动，____受制，____保持；地支节点仍存在。</x:v>
      </x:c>
      <x:c r="L361" s="20" t="str">
        <x:v>较高</x:v>
      </x:c>
      <x:c r="M361" s="20" t="str">
        <x:v>采用</x:v>
      </x:c>
      <x:c r="N361" s="20" t="str">
        <x:v>初审</x:v>
      </x:c>
      <x:c r="O361" s="22" t="n">
        <x:v>46255</x:v>
      </x:c>
      <x:c r="P361" s="20" t="str">
        <x:v>地支是多藏干容器，不能用单一标签覆盖全部内容。参考：https://zh.wikisource.org/zh-hans/滴天髓</x:v>
      </x:c>
    </x:row>
    <x:row r="362">
      <x:c r="A362" s="20" t="str">
        <x:v>M06-BOUND-0117-V1.0</x:v>
      </x:c>
      <x:c r="B362" s="20" t="str">
        <x:v>规则</x:v>
      </x:c>
      <x:c r="C362" s="20" t="str">
        <x:v>M06</x:v>
      </x:c>
      <x:c r="D362" s="20" t="str">
        <x:v>06_干支关系效应</x:v>
      </x:c>
      <x:c r="E362" s="20" t="str">
        <x:v>BOUND</x:v>
      </x:c>
      <x:c r="F362" s="20" t="n">
        <x:v>117</x:v>
      </x:c>
      <x:c r="G362" s="20" t="str">
        <x:v>V1.0</x:v>
      </x:c>
      <x:c r="H362" s="20" t="str">
        <x:v>同一关系必须逐对象输出非对称结果</x:v>
      </x:c>
      <x:c r="I362" s="20" t="str">
        <x:v>效应层</x:v>
      </x:c>
      <x:c r="J362" s="20" t="str"/>
      <x:c r="K362" s="20" t="str">
        <x:v>对象A效应：____；对象B效应：____；对象C效应：____；主导证据：____。</x:v>
      </x:c>
      <x:c r="L362" s="20" t="str">
        <x:v>较高</x:v>
      </x:c>
      <x:c r="M362" s="20" t="str">
        <x:v>采用</x:v>
      </x:c>
      <x:c r="N362" s="20" t="str">
        <x:v>初审</x:v>
      </x:c>
      <x:c r="O362" s="22" t="n">
        <x:v>46255</x:v>
      </x:c>
      <x:c r="P362" s="20" t="str">
        <x:v>非对称输出是避免机械推断的核心。参考：https://zh.wikisource.org/zh-hans/滴天髓</x:v>
      </x:c>
    </x:row>
    <x:row r="363">
      <x:c r="A363" s="20" t="str">
        <x:v>M06-BOUND-0118-V1.0</x:v>
      </x:c>
      <x:c r="B363" s="20" t="str">
        <x:v>规则</x:v>
      </x:c>
      <x:c r="C363" s="20" t="str">
        <x:v>M06</x:v>
      </x:c>
      <x:c r="D363" s="20" t="str">
        <x:v>06_干支关系效应</x:v>
      </x:c>
      <x:c r="E363" s="20" t="str">
        <x:v>BOUND</x:v>
      </x:c>
      <x:c r="F363" s="20" t="n">
        <x:v>118</x:v>
      </x:c>
      <x:c r="G363" s="20" t="str">
        <x:v>V1.0</x:v>
      </x:c>
      <x:c r="H363" s="20" t="str">
        <x:v>原局静态效应与岁运动态效应必须分层</x:v>
      </x:c>
      <x:c r="I363" s="20" t="str">
        <x:v>效应层</x:v>
      </x:c>
      <x:c r="J363" s="20" t="str"/>
      <x:c r="K363" s="20" t="str">
        <x:v>原局效应：____；大运效应：____；流年效应：____；生效时段分别记录。</x:v>
      </x:c>
      <x:c r="L363" s="20" t="str">
        <x:v>较高</x:v>
      </x:c>
      <x:c r="M363" s="20" t="str">
        <x:v>采用</x:v>
      </x:c>
      <x:c r="N363" s="20" t="str">
        <x:v>初审</x:v>
      </x:c>
      <x:c r="O363" s="22" t="n">
        <x:v>46255</x:v>
      </x:c>
      <x:c r="P363" s="20" t="str">
        <x:v>时间层级分开可防止把阶段性引动当成先天常态。参考：https://ctext.org/wiki.pl?chapter=435028&amp;if=gb&amp;remap=gb</x:v>
      </x:c>
    </x:row>
    <x:row r="364">
      <x:c r="A364" s="20" t="str">
        <x:v>M06-BOUND-0119-V1.0</x:v>
      </x:c>
      <x:c r="B364" s="20" t="str">
        <x:v>规则</x:v>
      </x:c>
      <x:c r="C364" s="20" t="str">
        <x:v>M06</x:v>
      </x:c>
      <x:c r="D364" s="20" t="str">
        <x:v>06_干支关系效应</x:v>
      </x:c>
      <x:c r="E364" s="20" t="str">
        <x:v>BOUND</x:v>
      </x:c>
      <x:c r="F364" s="20" t="n">
        <x:v>119</x:v>
      </x:c>
      <x:c r="G364" s="20" t="str">
        <x:v>V1.0</x:v>
      </x:c>
      <x:c r="H364" s="20" t="str">
        <x:v>月令根气成势与叠加关系构成最低证据框架</x:v>
      </x:c>
      <x:c r="I364" s="20" t="str">
        <x:v>效应层</x:v>
      </x:c>
      <x:c r="J364" s="20" t="str"/>
      <x:c r="K364" s="20" t="str">
        <x:v>本效应证据已覆盖月令、根气、成势、位置、叠加五项；缺项已标记置信度下降。</x:v>
      </x:c>
      <x:c r="L364" s="20" t="str">
        <x:v>较高</x:v>
      </x:c>
      <x:c r="M364" s="20" t="str">
        <x:v>采用</x:v>
      </x:c>
      <x:c r="N364" s="20" t="str">
        <x:v>初审</x:v>
      </x:c>
      <x:c r="O364" s="22" t="n">
        <x:v>46255</x:v>
      </x:c>
      <x:c r="P364" s="20" t="str">
        <x:v>多证据框架用于提高可复核性。参考：https://zh.wikisource.org/zh-hans/滴天髓</x:v>
      </x:c>
    </x:row>
    <x:row r="365">
      <x:c r="A365" s="20" t="str">
        <x:v>M06-BOUND-0120-V1.0</x:v>
      </x:c>
      <x:c r="B365" s="20" t="str">
        <x:v>规则</x:v>
      </x:c>
      <x:c r="C365" s="20" t="str">
        <x:v>M06</x:v>
      </x:c>
      <x:c r="D365" s="20" t="str">
        <x:v>06_干支关系效应</x:v>
      </x:c>
      <x:c r="E365" s="20" t="str">
        <x:v>BOUND</x:v>
      </x:c>
      <x:c r="F365" s="20" t="n">
        <x:v>120</x:v>
      </x:c>
      <x:c r="G365" s="20" t="str">
        <x:v>V1.0</x:v>
      </x:c>
      <x:c r="H365" s="20" t="str">
        <x:v>M06只输出效应修正不得直接定喜忌用神</x:v>
      </x:c>
      <x:c r="I365" s="20" t="str">
        <x:v>效应层</x:v>
      </x:c>
      <x:c r="J365" s="20" t="str"/>
      <x:c r="K365" s="20" t="str">
        <x:v>M06效应已完成，结论转入M08有效旺衰与M12流通；本层不直接输出喜忌。</x:v>
      </x:c>
      <x:c r="L365" s="20" t="str">
        <x:v>较高</x:v>
      </x:c>
      <x:c r="M365" s="20" t="str">
        <x:v>采用</x:v>
      </x:c>
      <x:c r="N365" s="20" t="str">
        <x:v>初审</x:v>
      </x:c>
      <x:c r="O365" s="22" t="n">
        <x:v>46255</x:v>
      </x:c>
      <x:c r="P365" s="20" t="str">
        <x:v>效应层与综合层分离可避免循环论证。参考：https://ctext.org/wiki.pl?chapter=435028&amp;if=gb&amp;remap=gb</x:v>
      </x:c>
    </x:row>
    <x:row r="366">
      <x:c r="A366" s="20" t="str">
        <x:v>M07-SEAS-0001-V1.0</x:v>
      </x:c>
      <x:c r="B366" s="20" t="str">
        <x:v>规则</x:v>
      </x:c>
      <x:c r="C366" s="20" t="str">
        <x:v>M07</x:v>
      </x:c>
      <x:c r="D366" s="20" t="str">
        <x:v>07_五行原始旺衰</x:v>
      </x:c>
      <x:c r="E366" s="20" t="str">
        <x:v>SEAS</x:v>
      </x:c>
      <x:c r="F366" s="20" t="n">
        <x:v>1</x:v>
      </x:c>
      <x:c r="G366" s="20" t="str">
        <x:v>V1.0</x:v>
      </x:c>
      <x:c r="H366" s="20" t="str">
        <x:v>月令本气同类构成最高等级季令支持</x:v>
      </x:c>
      <x:c r="I366" s="20" t="str">
        <x:v>结构层</x:v>
      </x:c>
      <x:c r="J366" s="20" t="str">
        <x:v>季令强支持</x:v>
      </x:c>
      <x:c r="K366" s="20" t="str">
        <x:v>目标五行得月令本气支持，原始力量获得最高等级季令加权；仍须合并根、透、源、党判断。</x:v>
      </x:c>
      <x:c r="L366" s="20" t="str">
        <x:v>较高</x:v>
      </x:c>
      <x:c r="M366" s="20" t="str">
        <x:v>采用</x:v>
      </x:c>
      <x:c r="N366" s="20" t="str">
        <x:v>初审</x:v>
      </x:c>
      <x:c r="O366" s="22" t="n">
        <x:v>46255</x:v>
      </x:c>
      <x:c r="P366" s="20" t="str">
        <x:v>https://zh.wikisource.org/wiki/三命通會/卷二；https://zh.wikisource.org/zh-hans/淵海子平</x:v>
      </x:c>
    </x:row>
    <x:row r="367">
      <x:c r="A367" s="20" t="str">
        <x:v>M07-SEAS-0002-V1.0</x:v>
      </x:c>
      <x:c r="B367" s="20" t="str">
        <x:v>规则</x:v>
      </x:c>
      <x:c r="C367" s="20" t="str">
        <x:v>M07</x:v>
      </x:c>
      <x:c r="D367" s="20" t="str">
        <x:v>07_五行原始旺衰</x:v>
      </x:c>
      <x:c r="E367" s="20" t="str">
        <x:v>SEAS</x:v>
      </x:c>
      <x:c r="F367" s="20" t="n">
        <x:v>2</x:v>
      </x:c>
      <x:c r="G367" s="20" t="str">
        <x:v>V1.0</x:v>
      </x:c>
      <x:c r="H367" s="20" t="str">
        <x:v>月令藏中气或余气同类只形成次级季令支持</x:v>
      </x:c>
      <x:c r="I367" s="20" t="str">
        <x:v>结构层</x:v>
      </x:c>
      <x:c r="J367" s="20" t="str">
        <x:v>季令次级支持</x:v>
      </x:c>
      <x:c r="K367" s="20" t="str">
        <x:v>目标五行仅得月令中气或余气支持，原始力量有季节落点，但低于月支本气得令。</x:v>
      </x:c>
      <x:c r="L367" s="20" t="str">
        <x:v>较高</x:v>
      </x:c>
      <x:c r="M367" s="20" t="str">
        <x:v>采用</x:v>
      </x:c>
      <x:c r="N367" s="20" t="str">
        <x:v>初审</x:v>
      </x:c>
      <x:c r="O367" s="22" t="n">
        <x:v>46255</x:v>
      </x:c>
      <x:c r="P367" s="20" t="str">
        <x:v>https://zh.wikisource.org/wiki/三命通會/卷二；https://zh.wikisource.org/zh-hans/淵海子平</x:v>
      </x:c>
    </x:row>
    <x:row r="368">
      <x:c r="A368" s="20" t="str">
        <x:v>M07-SEAS-0003-V1.0</x:v>
      </x:c>
      <x:c r="B368" s="20" t="str">
        <x:v>规则</x:v>
      </x:c>
      <x:c r="C368" s="20" t="str">
        <x:v>M07</x:v>
      </x:c>
      <x:c r="D368" s="20" t="str">
        <x:v>07_五行原始旺衰</x:v>
      </x:c>
      <x:c r="E368" s="20" t="str">
        <x:v>SEAS</x:v>
      </x:c>
      <x:c r="F368" s="20" t="n">
        <x:v>3</x:v>
      </x:c>
      <x:c r="G368" s="20" t="str">
        <x:v>V1.0</x:v>
      </x:c>
      <x:c r="H368" s="20" t="str">
        <x:v>旺相休囚死之旺为强正向季节证据</x:v>
      </x:c>
      <x:c r="I368" s="20" t="str">
        <x:v>结构层</x:v>
      </x:c>
      <x:c r="J368" s="20" t="str">
        <x:v>旺令证据</x:v>
      </x:c>
      <x:c r="K368" s="20" t="str">
        <x:v>目标五行处于季节之旺，原始力量获得强正向证据；与月令同类事实合并而非重复计权。</x:v>
      </x:c>
      <x:c r="L368" s="20" t="str">
        <x:v>较高</x:v>
      </x:c>
      <x:c r="M368" s="20" t="str">
        <x:v>采用</x:v>
      </x:c>
      <x:c r="N368" s="20" t="str">
        <x:v>初审</x:v>
      </x:c>
      <x:c r="O368" s="22" t="n">
        <x:v>46255</x:v>
      </x:c>
      <x:c r="P368" s="20" t="str">
        <x:v>https://zh.wikisource.org/zh-hans/淵海子平；https://zh.wikisource.org/zh-hans/滴天髓</x:v>
      </x:c>
    </x:row>
    <x:row r="369">
      <x:c r="A369" s="20" t="str">
        <x:v>M07-SEAS-0004-V1.0</x:v>
      </x:c>
      <x:c r="B369" s="20" t="str">
        <x:v>规则</x:v>
      </x:c>
      <x:c r="C369" s="20" t="str">
        <x:v>M07</x:v>
      </x:c>
      <x:c r="D369" s="20" t="str">
        <x:v>07_五行原始旺衰</x:v>
      </x:c>
      <x:c r="E369" s="20" t="str">
        <x:v>SEAS</x:v>
      </x:c>
      <x:c r="F369" s="20" t="n">
        <x:v>4</x:v>
      </x:c>
      <x:c r="G369" s="20" t="str">
        <x:v>V1.0</x:v>
      </x:c>
      <x:c r="H369" s="20" t="str">
        <x:v>旺相休囚死之相为中高等级正向季节证据</x:v>
      </x:c>
      <x:c r="I369" s="20" t="str">
        <x:v>结构层</x:v>
      </x:c>
      <x:c r="J369" s="20" t="str">
        <x:v>相令证据</x:v>
      </x:c>
      <x:c r="K369" s="20" t="str">
        <x:v>目标五行得当令五行所生，属于相令，原始力量获得中高等级季节支持。</x:v>
      </x:c>
      <x:c r="L369" s="20" t="str">
        <x:v>较高</x:v>
      </x:c>
      <x:c r="M369" s="20" t="str">
        <x:v>采用</x:v>
      </x:c>
      <x:c r="N369" s="20" t="str">
        <x:v>初审</x:v>
      </x:c>
      <x:c r="O369" s="22" t="n">
        <x:v>46255</x:v>
      </x:c>
      <x:c r="P369" s="20" t="str">
        <x:v>https://zh.wikisource.org/zh-hans/淵海子平；https://zh.wikisource.org/zh-hans/滴天髓</x:v>
      </x:c>
    </x:row>
    <x:row r="370">
      <x:c r="A370" s="20" t="str">
        <x:v>M07-SEAS-0005-V1.0</x:v>
      </x:c>
      <x:c r="B370" s="20" t="str">
        <x:v>规则</x:v>
      </x:c>
      <x:c r="C370" s="20" t="str">
        <x:v>M07</x:v>
      </x:c>
      <x:c r="D370" s="20" t="str">
        <x:v>07_五行原始旺衰</x:v>
      </x:c>
      <x:c r="E370" s="20" t="str">
        <x:v>SEAS</x:v>
      </x:c>
      <x:c r="F370" s="20" t="n">
        <x:v>5</x:v>
      </x:c>
      <x:c r="G370" s="20" t="str">
        <x:v>V1.0</x:v>
      </x:c>
      <x:c r="H370" s="20" t="str">
        <x:v>旺相休囚死之休表示季节支持有限</x:v>
      </x:c>
      <x:c r="I370" s="20" t="str">
        <x:v>结构层</x:v>
      </x:c>
      <x:c r="J370" s="20" t="str">
        <x:v>休令证据</x:v>
      </x:c>
      <x:c r="K370" s="20" t="str">
        <x:v>目标五行处于休令，季节支持有限；是否仍旺须看根、透、源、党能否形成反向证据。</x:v>
      </x:c>
      <x:c r="L370" s="20" t="str">
        <x:v>较高</x:v>
      </x:c>
      <x:c r="M370" s="20" t="str">
        <x:v>采用</x:v>
      </x:c>
      <x:c r="N370" s="20" t="str">
        <x:v>初审</x:v>
      </x:c>
      <x:c r="O370" s="22" t="n">
        <x:v>46255</x:v>
      </x:c>
      <x:c r="P370" s="20" t="str">
        <x:v>https://zh.wikisource.org/zh-hans/淵海子平；https://zh.wikisource.org/zh-hans/滴天髓</x:v>
      </x:c>
    </x:row>
    <x:row r="371">
      <x:c r="A371" s="20" t="str">
        <x:v>M07-SEAS-0006-V1.0</x:v>
      </x:c>
      <x:c r="B371" s="20" t="str">
        <x:v>规则</x:v>
      </x:c>
      <x:c r="C371" s="20" t="str">
        <x:v>M07</x:v>
      </x:c>
      <x:c r="D371" s="20" t="str">
        <x:v>07_五行原始旺衰</x:v>
      </x:c>
      <x:c r="E371" s="20" t="str">
        <x:v>SEAS</x:v>
      </x:c>
      <x:c r="F371" s="20" t="n">
        <x:v>6</x:v>
      </x:c>
      <x:c r="G371" s="20" t="str">
        <x:v>V1.0</x:v>
      </x:c>
      <x:c r="H371" s="20" t="str">
        <x:v>旺相休囚死之囚为明确不利季节证据</x:v>
      </x:c>
      <x:c r="I371" s="20" t="str">
        <x:v>结构层</x:v>
      </x:c>
      <x:c r="J371" s="20" t="str">
        <x:v>囚令证据</x:v>
      </x:c>
      <x:c r="K371" s="20" t="str">
        <x:v>目标五行处于囚令，季节环境不利，原始力量需由强根、透干和生源补偿。</x:v>
      </x:c>
      <x:c r="L371" s="20" t="str">
        <x:v>较高</x:v>
      </x:c>
      <x:c r="M371" s="20" t="str">
        <x:v>采用</x:v>
      </x:c>
      <x:c r="N371" s="20" t="str">
        <x:v>初审</x:v>
      </x:c>
      <x:c r="O371" s="22" t="n">
        <x:v>46255</x:v>
      </x:c>
      <x:c r="P371" s="20" t="str">
        <x:v>https://zh.wikisource.org/zh-hans/淵海子平；https://zh.wikisource.org/zh-hans/滴天髓</x:v>
      </x:c>
    </x:row>
    <x:row r="372">
      <x:c r="A372" s="20" t="str">
        <x:v>M07-SEAS-0007-V1.0</x:v>
      </x:c>
      <x:c r="B372" s="20" t="str">
        <x:v>规则</x:v>
      </x:c>
      <x:c r="C372" s="20" t="str">
        <x:v>M07</x:v>
      </x:c>
      <x:c r="D372" s="20" t="str">
        <x:v>07_五行原始旺衰</x:v>
      </x:c>
      <x:c r="E372" s="20" t="str">
        <x:v>SEAS</x:v>
      </x:c>
      <x:c r="F372" s="20" t="n">
        <x:v>7</x:v>
      </x:c>
      <x:c r="G372" s="20" t="str">
        <x:v>V1.0</x:v>
      </x:c>
      <x:c r="H372" s="20" t="str">
        <x:v>旺相休囚死之死为最高等级负向季节证据</x:v>
      </x:c>
      <x:c r="I372" s="20" t="str">
        <x:v>结构层</x:v>
      </x:c>
      <x:c r="J372" s="20" t="str">
        <x:v>死令证据</x:v>
      </x:c>
      <x:c r="K372" s="20" t="str">
        <x:v>目标五行处于死令，季节环境强烈不利；若无根、无源、无党，才接近极弱候选。</x:v>
      </x:c>
      <x:c r="L372" s="20" t="str">
        <x:v>较高</x:v>
      </x:c>
      <x:c r="M372" s="20" t="str">
        <x:v>采用</x:v>
      </x:c>
      <x:c r="N372" s="20" t="str">
        <x:v>初审</x:v>
      </x:c>
      <x:c r="O372" s="22" t="n">
        <x:v>46255</x:v>
      </x:c>
      <x:c r="P372" s="20" t="str">
        <x:v>https://zh.wikisource.org/zh-hans/淵海子平；https://zh.wikisource.org/zh-hans/滴天髓</x:v>
      </x:c>
    </x:row>
    <x:row r="373">
      <x:c r="A373" s="20" t="str">
        <x:v>M07-SEAS-0008-V1.0</x:v>
      </x:c>
      <x:c r="B373" s="20" t="str">
        <x:v>规则</x:v>
      </x:c>
      <x:c r="C373" s="20" t="str">
        <x:v>M07</x:v>
      </x:c>
      <x:c r="D373" s="20" t="str">
        <x:v>07_五行原始旺衰</x:v>
      </x:c>
      <x:c r="E373" s="20" t="str">
        <x:v>SEAS</x:v>
      </x:c>
      <x:c r="F373" s="20" t="n">
        <x:v>8</x:v>
      </x:c>
      <x:c r="G373" s="20" t="str">
        <x:v>V1.0</x:v>
      </x:c>
      <x:c r="H373" s="20" t="str">
        <x:v>辰戌丑未月须同时记录土本气与杂气证据</x:v>
      </x:c>
      <x:c r="I373" s="20" t="str">
        <x:v>结构层</x:v>
      </x:c>
      <x:c r="J373" s="20" t="str">
        <x:v>四季月复合证据</x:v>
      </x:c>
      <x:c r="K373" s="20" t="str">
        <x:v>四季土月先确认土的本气优势，再分别保留月支中余气对其他五行的次级支持。</x:v>
      </x:c>
      <x:c r="L373" s="20" t="str">
        <x:v>中等</x:v>
      </x:c>
      <x:c r="M373" s="20" t="str">
        <x:v>待验证</x:v>
      </x:c>
      <x:c r="N373" s="20" t="str">
        <x:v>初审</x:v>
      </x:c>
      <x:c r="O373" s="22" t="n">
        <x:v>46255</x:v>
      </x:c>
      <x:c r="P373" s="20" t="str">
        <x:v>https://zh.wikisource.org/wiki/三命通會/卷二；https://zh.wikisource.org/zh-hans/淵海子平</x:v>
      </x:c>
    </x:row>
    <x:row r="374">
      <x:c r="A374" s="20" t="str">
        <x:v>M07-SEAS-0009-V1.0</x:v>
      </x:c>
      <x:c r="B374" s="20" t="str">
        <x:v>规则</x:v>
      </x:c>
      <x:c r="C374" s="20" t="str">
        <x:v>M07</x:v>
      </x:c>
      <x:c r="D374" s="20" t="str">
        <x:v>07_五行原始旺衰</x:v>
      </x:c>
      <x:c r="E374" s="20" t="str">
        <x:v>SEAS</x:v>
      </x:c>
      <x:c r="F374" s="20" t="n">
        <x:v>9</x:v>
      </x:c>
      <x:c r="G374" s="20" t="str">
        <x:v>V1.0</x:v>
      </x:c>
      <x:c r="H374" s="20" t="str">
        <x:v>交节附近必须先核准月令再评季令强弱</x:v>
      </x:c>
      <x:c r="I374" s="20" t="str">
        <x:v>结构层</x:v>
      </x:c>
      <x:c r="J374" s="20" t="str">
        <x:v>月令边界校验</x:v>
      </x:c>
      <x:c r="K374" s="20" t="str">
        <x:v>出生接近交节，季令证据暂列待定；应先完成月令校验，再进入原始旺衰。</x:v>
      </x:c>
      <x:c r="L374" s="20" t="str">
        <x:v>确定</x:v>
      </x:c>
      <x:c r="M374" s="20" t="str">
        <x:v>采用</x:v>
      </x:c>
      <x:c r="N374" s="20" t="str">
        <x:v>初审</x:v>
      </x:c>
      <x:c r="O374" s="22" t="n">
        <x:v>46255</x:v>
      </x:c>
      <x:c r="P374" s="20" t="str">
        <x:v>https://zh.wikisource.org/wiki/三命通會/卷二；https://zh.wikisource.org/zh-hans/淵海子平</x:v>
      </x:c>
    </x:row>
    <x:row r="375">
      <x:c r="A375" s="20" t="str">
        <x:v>M07-SEAS-0010-V1.0</x:v>
      </x:c>
      <x:c r="B375" s="20" t="str">
        <x:v>规则</x:v>
      </x:c>
      <x:c r="C375" s="20" t="str">
        <x:v>M07</x:v>
      </x:c>
      <x:c r="D375" s="20" t="str">
        <x:v>07_五行原始旺衰</x:v>
      </x:c>
      <x:c r="E375" s="20" t="str">
        <x:v>SEAS</x:v>
      </x:c>
      <x:c r="F375" s="20" t="n">
        <x:v>10</x:v>
      </x:c>
      <x:c r="G375" s="20" t="str">
        <x:v>V1.0</x:v>
      </x:c>
      <x:c r="H375" s="20" t="str">
        <x:v>季令证据只能计入一个主标签并保留辅助说明</x:v>
      </x:c>
      <x:c r="I375" s="20" t="str">
        <x:v>结构层</x:v>
      </x:c>
      <x:c r="J375" s="20" t="str">
        <x:v>季令去重</x:v>
      </x:c>
      <x:c r="K375" s="20" t="str">
        <x:v>本条季令事实只计一次主权重；相关旺相术语与月支根气作为关联证据说明，避免重复计权。</x:v>
      </x:c>
      <x:c r="L375" s="20" t="str">
        <x:v>较高</x:v>
      </x:c>
      <x:c r="M375" s="20" t="str">
        <x:v>采用</x:v>
      </x:c>
      <x:c r="N375" s="20" t="str">
        <x:v>初审</x:v>
      </x:c>
      <x:c r="O375" s="22" t="n">
        <x:v>46255</x:v>
      </x:c>
      <x:c r="P375" s="20" t="str">
        <x:v>经典原则经结构化整理；参见：https://zh.wikisource.org/zh-hans/滴天髓</x:v>
      </x:c>
    </x:row>
    <x:row r="376">
      <x:c r="A376" s="20" t="str">
        <x:v>M07-ROOT-0011-V1.0</x:v>
      </x:c>
      <x:c r="B376" s="20" t="str">
        <x:v>规则</x:v>
      </x:c>
      <x:c r="C376" s="20" t="str">
        <x:v>M07</x:v>
      </x:c>
      <x:c r="D376" s="20" t="str">
        <x:v>07_五行原始旺衰</x:v>
      </x:c>
      <x:c r="E376" s="20" t="str">
        <x:v>ROOT</x:v>
      </x:c>
      <x:c r="F376" s="20" t="n">
        <x:v>11</x:v>
      </x:c>
      <x:c r="G376" s="20" t="str">
        <x:v>V1.0</x:v>
      </x:c>
      <x:c r="H376" s="20" t="str">
        <x:v>本气根构成最高等级原始根气</x:v>
      </x:c>
      <x:c r="I376" s="20" t="str">
        <x:v>结构层</x:v>
      </x:c>
      <x:c r="J376" s="20" t="str">
        <x:v>本气强根</x:v>
      </x:c>
      <x:c r="K376" s="20" t="str">
        <x:v>目标五行在该支得本气根，原始力量获得强根证据；有效根是否受损另由M08处理。</x:v>
      </x:c>
      <x:c r="L376" s="20" t="str">
        <x:v>较高</x:v>
      </x:c>
      <x:c r="M376" s="20" t="str">
        <x:v>采用</x:v>
      </x:c>
      <x:c r="N376" s="20" t="str">
        <x:v>初审</x:v>
      </x:c>
      <x:c r="O376" s="22" t="n">
        <x:v>46255</x:v>
      </x:c>
      <x:c r="P376" s="20" t="str">
        <x:v>https://zh.wikisource.org/wiki/三命通會/卷二；https://zh.wikisource.org/zh-hans/淵海子平</x:v>
      </x:c>
    </x:row>
    <x:row r="377">
      <x:c r="A377" s="20" t="str">
        <x:v>M07-ROOT-0012-V1.0</x:v>
      </x:c>
      <x:c r="B377" s="20" t="str">
        <x:v>规则</x:v>
      </x:c>
      <x:c r="C377" s="20" t="str">
        <x:v>M07</x:v>
      </x:c>
      <x:c r="D377" s="20" t="str">
        <x:v>07_五行原始旺衰</x:v>
      </x:c>
      <x:c r="E377" s="20" t="str">
        <x:v>ROOT</x:v>
      </x:c>
      <x:c r="F377" s="20" t="n">
        <x:v>12</x:v>
      </x:c>
      <x:c r="G377" s="20" t="str">
        <x:v>V1.0</x:v>
      </x:c>
      <x:c r="H377" s="20" t="str">
        <x:v>中气根构成中等级原始根气</x:v>
      </x:c>
      <x:c r="I377" s="20" t="str">
        <x:v>结构层</x:v>
      </x:c>
      <x:c r="J377" s="20" t="str">
        <x:v>中气根</x:v>
      </x:c>
      <x:c r="K377" s="20" t="str">
        <x:v>目标五行得中气根，原始力量具备中等落点，强度低于本气根。</x:v>
      </x:c>
      <x:c r="L377" s="20" t="str">
        <x:v>较高</x:v>
      </x:c>
      <x:c r="M377" s="20" t="str">
        <x:v>采用</x:v>
      </x:c>
      <x:c r="N377" s="20" t="str">
        <x:v>初审</x:v>
      </x:c>
      <x:c r="O377" s="22" t="n">
        <x:v>46255</x:v>
      </x:c>
      <x:c r="P377" s="20" t="str">
        <x:v>https://zh.wikisource.org/wiki/三命通會/卷二；https://zh.wikisource.org/zh-hans/淵海子平</x:v>
      </x:c>
    </x:row>
    <x:row r="378">
      <x:c r="A378" s="20" t="str">
        <x:v>M07-ROOT-0013-V1.0</x:v>
      </x:c>
      <x:c r="B378" s="20" t="str">
        <x:v>规则</x:v>
      </x:c>
      <x:c r="C378" s="20" t="str">
        <x:v>M07</x:v>
      </x:c>
      <x:c r="D378" s="20" t="str">
        <x:v>07_五行原始旺衰</x:v>
      </x:c>
      <x:c r="E378" s="20" t="str">
        <x:v>ROOT</x:v>
      </x:c>
      <x:c r="F378" s="20" t="n">
        <x:v>13</x:v>
      </x:c>
      <x:c r="G378" s="20" t="str">
        <x:v>V1.0</x:v>
      </x:c>
      <x:c r="H378" s="20" t="str">
        <x:v>余气根构成弱等级原始根气</x:v>
      </x:c>
      <x:c r="I378" s="20" t="str">
        <x:v>结构层</x:v>
      </x:c>
      <x:c r="J378" s="20" t="str">
        <x:v>余气弱根</x:v>
      </x:c>
      <x:c r="K378" s="20" t="str">
        <x:v>目标五行虽仅得余气根，但不能视为完全无根；其原始根力偏弱。</x:v>
      </x:c>
      <x:c r="L378" s="20" t="str">
        <x:v>较高</x:v>
      </x:c>
      <x:c r="M378" s="20" t="str">
        <x:v>采用</x:v>
      </x:c>
      <x:c r="N378" s="20" t="str">
        <x:v>初审</x:v>
      </x:c>
      <x:c r="O378" s="22" t="n">
        <x:v>46255</x:v>
      </x:c>
      <x:c r="P378" s="20" t="str">
        <x:v>https://zh.wikisource.org/wiki/三命通會/卷二；https://zh.wikisource.org/zh-hans/淵海子平</x:v>
      </x:c>
    </x:row>
    <x:row r="379">
      <x:c r="A379" s="20" t="str">
        <x:v>M07-ROOT-0014-V1.0</x:v>
      </x:c>
      <x:c r="B379" s="20" t="str">
        <x:v>规则</x:v>
      </x:c>
      <x:c r="C379" s="20" t="str">
        <x:v>M07</x:v>
      </x:c>
      <x:c r="D379" s="20" t="str">
        <x:v>07_五行原始旺衰</x:v>
      </x:c>
      <x:c r="E379" s="20" t="str">
        <x:v>ROOT</x:v>
      </x:c>
      <x:c r="F379" s="20" t="n">
        <x:v>14</x:v>
      </x:c>
      <x:c r="G379" s="20" t="str">
        <x:v>V1.0</x:v>
      </x:c>
      <x:c r="H379" s="20" t="str">
        <x:v>同五行异阴阳根仍属于五行层面的有效根</x:v>
      </x:c>
      <x:c r="I379" s="20" t="str">
        <x:v>结构层</x:v>
      </x:c>
      <x:c r="J379" s="20" t="str">
        <x:v>五行同类根</x:v>
      </x:c>
      <x:c r="K379" s="20" t="str">
        <x:v>在五行层面，该支所藏同五行之气可作为根；阴阳同异不改变五行归属。</x:v>
      </x:c>
      <x:c r="L379" s="20" t="str">
        <x:v>较高</x:v>
      </x:c>
      <x:c r="M379" s="20" t="str">
        <x:v>采用</x:v>
      </x:c>
      <x:c r="N379" s="20" t="str">
        <x:v>初审</x:v>
      </x:c>
      <x:c r="O379" s="22" t="n">
        <x:v>46255</x:v>
      </x:c>
      <x:c r="P379" s="20" t="str">
        <x:v>经典原则经结构化整理；参见：https://zh.wikisource.org/zh-hans/滴天髓</x:v>
      </x:c>
    </x:row>
    <x:row r="380">
      <x:c r="A380" s="20" t="str">
        <x:v>M07-ROOT-0015-V1.0</x:v>
      </x:c>
      <x:c r="B380" s="20" t="str">
        <x:v>规则</x:v>
      </x:c>
      <x:c r="C380" s="20" t="str">
        <x:v>M07</x:v>
      </x:c>
      <x:c r="D380" s="20" t="str">
        <x:v>07_五行原始旺衰</x:v>
      </x:c>
      <x:c r="E380" s="20" t="str">
        <x:v>ROOT</x:v>
      </x:c>
      <x:c r="F380" s="20" t="n">
        <x:v>15</x:v>
      </x:c>
      <x:c r="G380" s="20" t="str">
        <x:v>V1.0</x:v>
      </x:c>
      <x:c r="H380" s="20" t="str">
        <x:v>月支根具有季令与根气共源属性</x:v>
      </x:c>
      <x:c r="I380" s="20" t="str">
        <x:v>结构层</x:v>
      </x:c>
      <x:c r="J380" s="20" t="str">
        <x:v>月支共源根</x:v>
      </x:c>
      <x:c r="K380" s="20" t="str">
        <x:v>目标五行在月支得根，根气较关键；该证据与季令相关，汇总时应去重而非双倍计算。</x:v>
      </x:c>
      <x:c r="L380" s="20" t="str">
        <x:v>较高</x:v>
      </x:c>
      <x:c r="M380" s="20" t="str">
        <x:v>采用</x:v>
      </x:c>
      <x:c r="N380" s="20" t="str">
        <x:v>初审</x:v>
      </x:c>
      <x:c r="O380" s="22" t="n">
        <x:v>46255</x:v>
      </x:c>
      <x:c r="P380" s="20" t="str">
        <x:v>经典原则经结构化整理；参见：https://zh.wikisource.org/zh-hans/滴天髓</x:v>
      </x:c>
    </x:row>
    <x:row r="381">
      <x:c r="A381" s="20" t="str">
        <x:v>M07-ROOT-0016-V1.0</x:v>
      </x:c>
      <x:c r="B381" s="20" t="str">
        <x:v>规则</x:v>
      </x:c>
      <x:c r="C381" s="20" t="str">
        <x:v>M07</x:v>
      </x:c>
      <x:c r="D381" s="20" t="str">
        <x:v>07_五行原始旺衰</x:v>
      </x:c>
      <x:c r="E381" s="20" t="str">
        <x:v>ROOT</x:v>
      </x:c>
      <x:c r="F381" s="20" t="n">
        <x:v>16</x:v>
      </x:c>
      <x:c r="G381" s="20" t="str">
        <x:v>V1.0</x:v>
      </x:c>
      <x:c r="H381" s="20" t="str">
        <x:v>日支根提供中心位置的稳定落点</x:v>
      </x:c>
      <x:c r="I381" s="20" t="str">
        <x:v>结构层</x:v>
      </x:c>
      <x:c r="J381" s="20" t="str">
        <x:v>日支根</x:v>
      </x:c>
      <x:c r="K381" s="20" t="str">
        <x:v>目标五行在日支有根，原始力量具备中心落点；具体强度仍按本中余气与全局配合确定。</x:v>
      </x:c>
      <x:c r="L381" s="20" t="str">
        <x:v>中等</x:v>
      </x:c>
      <x:c r="M381" s="20" t="str">
        <x:v>待验证</x:v>
      </x:c>
      <x:c r="N381" s="20" t="str">
        <x:v>初审</x:v>
      </x:c>
      <x:c r="O381" s="22" t="n">
        <x:v>46255</x:v>
      </x:c>
      <x:c r="P381" s="20" t="str">
        <x:v>经典原则经结构化整理；参见：https://zh.wikisource.org/zh-hans/滴天髓</x:v>
      </x:c>
    </x:row>
    <x:row r="382">
      <x:c r="A382" s="20" t="str">
        <x:v>M07-ROOT-0017-V1.0</x:v>
      </x:c>
      <x:c r="B382" s="20" t="str">
        <x:v>规则</x:v>
      </x:c>
      <x:c r="C382" s="20" t="str">
        <x:v>M07</x:v>
      </x:c>
      <x:c r="D382" s="20" t="str">
        <x:v>07_五行原始旺衰</x:v>
      </x:c>
      <x:c r="E382" s="20" t="str">
        <x:v>ROOT</x:v>
      </x:c>
      <x:c r="F382" s="20" t="n">
        <x:v>17</x:v>
      </x:c>
      <x:c r="G382" s="20" t="str">
        <x:v>V1.0</x:v>
      </x:c>
      <x:c r="H382" s="20" t="str">
        <x:v>年支与时支根同样有效但位置只作次级修正</x:v>
      </x:c>
      <x:c r="I382" s="20" t="str">
        <x:v>结构层</x:v>
      </x:c>
      <x:c r="J382" s="20" t="str">
        <x:v>边支根</x:v>
      </x:c>
      <x:c r="K382" s="20" t="str">
        <x:v>目标五行在年支或时支仍属有根；其原始根力以本中余气为主，位置仅作辅助说明。</x:v>
      </x:c>
      <x:c r="L382" s="20" t="str">
        <x:v>较高</x:v>
      </x:c>
      <x:c r="M382" s="20" t="str">
        <x:v>采用</x:v>
      </x:c>
      <x:c r="N382" s="20" t="str">
        <x:v>初审</x:v>
      </x:c>
      <x:c r="O382" s="22" t="n">
        <x:v>46255</x:v>
      </x:c>
      <x:c r="P382" s="20" t="str">
        <x:v>经典原则经结构化整理；参见：https://zh.wikisource.org/zh-hans/滴天髓</x:v>
      </x:c>
    </x:row>
    <x:row r="383">
      <x:c r="A383" s="20" t="str">
        <x:v>M07-ROOT-0018-V1.0</x:v>
      </x:c>
      <x:c r="B383" s="20" t="str">
        <x:v>规则</x:v>
      </x:c>
      <x:c r="C383" s="20" t="str">
        <x:v>M07</x:v>
      </x:c>
      <x:c r="D383" s="20" t="str">
        <x:v>07_五行原始旺衰</x:v>
      </x:c>
      <x:c r="E383" s="20" t="str">
        <x:v>ROOT</x:v>
      </x:c>
      <x:c r="F383" s="20" t="n">
        <x:v>18</x:v>
      </x:c>
      <x:c r="G383" s="20" t="str">
        <x:v>V1.0</x:v>
      </x:c>
      <x:c r="H383" s="20" t="str">
        <x:v>多处独立根比单一根更稳固</x:v>
      </x:c>
      <x:c r="I383" s="20" t="str">
        <x:v>结构层</x:v>
      </x:c>
      <x:c r="J383" s="20" t="str">
        <x:v>多根增强</x:v>
      </x:c>
      <x:c r="K383" s="20" t="str">
        <x:v>目标五行在多个地支有独立根，原始力量与稳定性均高于单根结构。</x:v>
      </x:c>
      <x:c r="L383" s="20" t="str">
        <x:v>较高</x:v>
      </x:c>
      <x:c r="M383" s="20" t="str">
        <x:v>采用</x:v>
      </x:c>
      <x:c r="N383" s="20" t="str">
        <x:v>初审</x:v>
      </x:c>
      <x:c r="O383" s="22" t="n">
        <x:v>46255</x:v>
      </x:c>
      <x:c r="P383" s="20" t="str">
        <x:v>https://zh.wikisource.org/zh-hans/淵海子平；https://zh.wikisource.org/zh-hans/滴天髓</x:v>
      </x:c>
    </x:row>
    <x:row r="384">
      <x:c r="A384" s="20" t="str">
        <x:v>M07-ROOT-0019-V1.0</x:v>
      </x:c>
      <x:c r="B384" s="20" t="str">
        <x:v>规则</x:v>
      </x:c>
      <x:c r="C384" s="20" t="str">
        <x:v>M07</x:v>
      </x:c>
      <x:c r="D384" s="20" t="str">
        <x:v>07_五行原始旺衰</x:v>
      </x:c>
      <x:c r="E384" s="20" t="str">
        <x:v>ROOT</x:v>
      </x:c>
      <x:c r="F384" s="20" t="n">
        <x:v>19</x:v>
      </x:c>
      <x:c r="G384" s="20" t="str">
        <x:v>V1.0</x:v>
      </x:c>
      <x:c r="H384" s="20" t="str">
        <x:v>多根加权采用递减边际而非线性累加</x:v>
      </x:c>
      <x:c r="I384" s="20" t="str">
        <x:v>结构层</x:v>
      </x:c>
      <x:c r="J384" s="20" t="str">
        <x:v>多根递减</x:v>
      </x:c>
      <x:c r="K384" s="20" t="str">
        <x:v>新增根继续增强目标五行，但采用边际递减；多根是否成势另行综合。</x:v>
      </x:c>
      <x:c r="L384" s="20" t="str">
        <x:v>中等</x:v>
      </x:c>
      <x:c r="M384" s="20" t="str">
        <x:v>采用</x:v>
      </x:c>
      <x:c r="N384" s="20" t="str">
        <x:v>初审</x:v>
      </x:c>
      <x:c r="O384" s="22" t="n">
        <x:v>46255</x:v>
      </x:c>
      <x:c r="P384" s="20" t="str">
        <x:v>经典原则经结构化整理；参见：https://zh.wikisource.org/zh-hans/滴天髓</x:v>
      </x:c>
    </x:row>
    <x:row r="385">
      <x:c r="A385" s="20" t="str">
        <x:v>M07-ROOT-0020-V1.0</x:v>
      </x:c>
      <x:c r="B385" s="20" t="str">
        <x:v>规则</x:v>
      </x:c>
      <x:c r="C385" s="20" t="str">
        <x:v>M07</x:v>
      </x:c>
      <x:c r="D385" s="20" t="str">
        <x:v>07_五行原始旺衰</x:v>
      </x:c>
      <x:c r="E385" s="20" t="str">
        <x:v>ROOT</x:v>
      </x:c>
      <x:c r="F385" s="20" t="n">
        <x:v>20</x:v>
      </x:c>
      <x:c r="G385" s="20" t="str">
        <x:v>V1.0</x:v>
      </x:c>
      <x:c r="H385" s="20" t="str">
        <x:v>分布于不同支位的根比单点集中更具稳定性</x:v>
      </x:c>
      <x:c r="I385" s="20" t="str">
        <x:v>结构层</x:v>
      </x:c>
      <x:c r="J385" s="20" t="str">
        <x:v>根位稳定</x:v>
      </x:c>
      <x:c r="K385" s="20" t="str">
        <x:v>目标五行根气分布于多个支位，原始承载更稳定；旺度仍须结合季令与透源。</x:v>
      </x:c>
      <x:c r="L385" s="20" t="str">
        <x:v>中等</x:v>
      </x:c>
      <x:c r="M385" s="20" t="str">
        <x:v>待验证</x:v>
      </x:c>
      <x:c r="N385" s="20" t="str">
        <x:v>初审</x:v>
      </x:c>
      <x:c r="O385" s="22" t="n">
        <x:v>46255</x:v>
      </x:c>
      <x:c r="P385" s="20" t="str">
        <x:v>经典原则经结构化整理；参见：https://zh.wikisource.org/zh-hans/滴天髓</x:v>
      </x:c>
    </x:row>
    <x:row r="386">
      <x:c r="A386" s="20" t="str">
        <x:v>M07-ROOT-0021-V1.0</x:v>
      </x:c>
      <x:c r="B386" s="20" t="str">
        <x:v>规则</x:v>
      </x:c>
      <x:c r="C386" s="20" t="str">
        <x:v>M07</x:v>
      </x:c>
      <x:c r="D386" s="20" t="str">
        <x:v>07_五行原始旺衰</x:v>
      </x:c>
      <x:c r="E386" s="20" t="str">
        <x:v>ROOT</x:v>
      </x:c>
      <x:c r="F386" s="20" t="n">
        <x:v>21</x:v>
      </x:c>
      <x:c r="G386" s="20" t="str">
        <x:v>V1.0</x:v>
      </x:c>
      <x:c r="H386" s="20" t="str">
        <x:v>库根属于储藏性根气而非自动显用</x:v>
      </x:c>
      <x:c r="I386" s="20" t="str">
        <x:v>结构层</x:v>
      </x:c>
      <x:c r="J386" s="20" t="str">
        <x:v>库根证据</x:v>
      </x:c>
      <x:c r="K386" s="20" t="str">
        <x:v>目标五行在墓库中有储藏性根气，原始上仍属有根；能否透达与启用另行判断。</x:v>
      </x:c>
      <x:c r="L386" s="20" t="str">
        <x:v>中等</x:v>
      </x:c>
      <x:c r="M386" s="20" t="str">
        <x:v>采用</x:v>
      </x:c>
      <x:c r="N386" s="20" t="str">
        <x:v>初审</x:v>
      </x:c>
      <x:c r="O386" s="22" t="n">
        <x:v>46255</x:v>
      </x:c>
      <x:c r="P386" s="20" t="str">
        <x:v>https://zh.wikisource.org/zh-hans/淵海子平；https://zh.wikisource.org/zh-hans/滴天髓</x:v>
      </x:c>
    </x:row>
    <x:row r="387">
      <x:c r="A387" s="20" t="str">
        <x:v>M07-ROOT-0022-V1.0</x:v>
      </x:c>
      <x:c r="B387" s="20" t="str">
        <x:v>规则</x:v>
      </x:c>
      <x:c r="C387" s="20" t="str">
        <x:v>M07</x:v>
      </x:c>
      <x:c r="D387" s="20" t="str">
        <x:v>07_五行原始旺衰</x:v>
      </x:c>
      <x:c r="E387" s="20" t="str">
        <x:v>ROOT</x:v>
      </x:c>
      <x:c r="F387" s="20" t="n">
        <x:v>22</x:v>
      </x:c>
      <x:c r="G387" s="20" t="str">
        <x:v>V1.0</x:v>
      </x:c>
      <x:c r="H387" s="20" t="str">
        <x:v>单一弱根主要用于否定完全无根</x:v>
      </x:c>
      <x:c r="I387" s="20" t="str">
        <x:v>结构层</x:v>
      </x:c>
      <x:c r="J387" s="20" t="str">
        <x:v>孤弱根</x:v>
      </x:c>
      <x:c r="K387" s="20" t="str">
        <x:v>目标五行并非完全无根，但仅有孤弱根；原始力量仍偏弱，需其他证据补强。</x:v>
      </x:c>
      <x:c r="L387" s="20" t="str">
        <x:v>较高</x:v>
      </x:c>
      <x:c r="M387" s="20" t="str">
        <x:v>采用</x:v>
      </x:c>
      <x:c r="N387" s="20" t="str">
        <x:v>初审</x:v>
      </x:c>
      <x:c r="O387" s="22" t="n">
        <x:v>46255</x:v>
      </x:c>
      <x:c r="P387" s="20" t="str">
        <x:v>经典原则经结构化整理；参见：https://zh.wikisource.org/zh-hans/滴天髓</x:v>
      </x:c>
    </x:row>
    <x:row r="388">
      <x:c r="A388" s="20" t="str">
        <x:v>M07-ROOT-0023-V1.0</x:v>
      </x:c>
      <x:c r="B388" s="20" t="str">
        <x:v>规则</x:v>
      </x:c>
      <x:c r="C388" s="20" t="str">
        <x:v>M07</x:v>
      </x:c>
      <x:c r="D388" s="20" t="str">
        <x:v>07_五行原始旺衰</x:v>
      </x:c>
      <x:c r="E388" s="20" t="str">
        <x:v>ROOT</x:v>
      </x:c>
      <x:c r="F388" s="20" t="n">
        <x:v>23</x:v>
      </x:c>
      <x:c r="G388" s="20" t="str">
        <x:v>V1.0</x:v>
      </x:c>
      <x:c r="H388" s="20" t="str">
        <x:v>无根只表示得地不足而非自动极弱</x:v>
      </x:c>
      <x:c r="I388" s="20" t="str">
        <x:v>结构层</x:v>
      </x:c>
      <x:c r="J388" s="20" t="str">
        <x:v>无根证据</x:v>
      </x:c>
      <x:c r="K388" s="20" t="str">
        <x:v>目标五行在四支无根，原始得地不足；是否极弱仍须看季令、透干、生源与同党。</x:v>
      </x:c>
      <x:c r="L388" s="20" t="str">
        <x:v>较高</x:v>
      </x:c>
      <x:c r="M388" s="20" t="str">
        <x:v>采用</x:v>
      </x:c>
      <x:c r="N388" s="20" t="str">
        <x:v>初审</x:v>
      </x:c>
      <x:c r="O388" s="22" t="n">
        <x:v>46255</x:v>
      </x:c>
      <x:c r="P388" s="20" t="str">
        <x:v>https://zh.wikisource.org/zh-hans/淵海子平；https://zh.wikisource.org/zh-hans/滴天髓</x:v>
      </x:c>
    </x:row>
    <x:row r="389">
      <x:c r="A389" s="20" t="str">
        <x:v>M07-ROOT-0024-V1.0</x:v>
      </x:c>
      <x:c r="B389" s="20" t="str">
        <x:v>规则</x:v>
      </x:c>
      <x:c r="C389" s="20" t="str">
        <x:v>M07</x:v>
      </x:c>
      <x:c r="D389" s="20" t="str">
        <x:v>07_五行原始旺衰</x:v>
      </x:c>
      <x:c r="E389" s="20" t="str">
        <x:v>ROOT</x:v>
      </x:c>
      <x:c r="F389" s="20" t="n">
        <x:v>24</x:v>
      </x:c>
      <x:c r="G389" s="20" t="str">
        <x:v>V1.0</x:v>
      </x:c>
      <x:c r="H389" s="20" t="str">
        <x:v>根与透干相应时原始承载显著增强</x:v>
      </x:c>
      <x:c r="I389" s="20" t="str">
        <x:v>结构层</x:v>
      </x:c>
      <x:c r="J389" s="20" t="str">
        <x:v>透根相应</x:v>
      </x:c>
      <x:c r="K389" s="20" t="str">
        <x:v>目标五行透干并有根，既能显露又有承载，原始力量明显高于有透无根或有根不透。</x:v>
      </x:c>
      <x:c r="L389" s="20" t="str">
        <x:v>较高</x:v>
      </x:c>
      <x:c r="M389" s="20" t="str">
        <x:v>采用</x:v>
      </x:c>
      <x:c r="N389" s="20" t="str">
        <x:v>初审</x:v>
      </x:c>
      <x:c r="O389" s="22" t="n">
        <x:v>46255</x:v>
      </x:c>
      <x:c r="P389" s="20" t="str">
        <x:v>https://zh.wikisource.org/zh-hans/淵海子平；https://zh.wikisource.org/zh-hans/滴天髓</x:v>
      </x:c>
    </x:row>
    <x:row r="390">
      <x:c r="A390" s="20" t="str">
        <x:v>M07-ROOT-0025-V1.0</x:v>
      </x:c>
      <x:c r="B390" s="20" t="str">
        <x:v>规则</x:v>
      </x:c>
      <x:c r="C390" s="20" t="str">
        <x:v>M07</x:v>
      </x:c>
      <x:c r="D390" s="20" t="str">
        <x:v>07_五行原始旺衰</x:v>
      </x:c>
      <x:c r="E390" s="20" t="str">
        <x:v>ROOT</x:v>
      </x:c>
      <x:c r="F390" s="20" t="n">
        <x:v>25</x:v>
      </x:c>
      <x:c r="G390" s="20" t="str">
        <x:v>V1.0</x:v>
      </x:c>
      <x:c r="H390" s="20" t="str">
        <x:v>多根并得令可形成旺势基础但仍需透源党验证</x:v>
      </x:c>
      <x:c r="I390" s="20" t="str">
        <x:v>结构层</x:v>
      </x:c>
      <x:c r="J390" s="20" t="str">
        <x:v>旺势基础</x:v>
      </x:c>
      <x:c r="K390" s="20" t="str">
        <x:v>目标五行得令又多根，已具旺势基础；是否达到旺或极旺须再看透干、同党与生源。</x:v>
      </x:c>
      <x:c r="L390" s="20" t="str">
        <x:v>较高</x:v>
      </x:c>
      <x:c r="M390" s="20" t="str">
        <x:v>采用</x:v>
      </x:c>
      <x:c r="N390" s="20" t="str">
        <x:v>初审</x:v>
      </x:c>
      <x:c r="O390" s="22" t="n">
        <x:v>46255</x:v>
      </x:c>
      <x:c r="P390" s="20" t="str">
        <x:v>https://zh.wikisource.org/zh-hans/淵海子平；https://zh.wikisource.org/zh-hans/滴天髓</x:v>
      </x:c>
    </x:row>
    <x:row r="391">
      <x:c r="A391" s="20" t="str">
        <x:v>M07-ROOT-0026-V1.0</x:v>
      </x:c>
      <x:c r="B391" s="20" t="str">
        <x:v>规则</x:v>
      </x:c>
      <x:c r="C391" s="20" t="str">
        <x:v>M07</x:v>
      </x:c>
      <x:c r="D391" s="20" t="str">
        <x:v>07_五行原始旺衰</x:v>
      </x:c>
      <x:c r="E391" s="20" t="str">
        <x:v>ROOT</x:v>
      </x:c>
      <x:c r="F391" s="20" t="n">
        <x:v>26</x:v>
      </x:c>
      <x:c r="G391" s="20" t="str">
        <x:v>V1.0</x:v>
      </x:c>
      <x:c r="H391" s="20" t="str">
        <x:v>M07只记录原始根气不提前应用合冲刑害修正</x:v>
      </x:c>
      <x:c r="I391" s="20" t="str">
        <x:v>结构层</x:v>
      </x:c>
      <x:c r="J391" s="20" t="str">
        <x:v>原始根保留</x:v>
      </x:c>
      <x:c r="K391" s="20" t="str">
        <x:v>该根位在原始层仍予保留；关系造成的冲动、冲散、合绊或改性转入M08修正。</x:v>
      </x:c>
      <x:c r="L391" s="20" t="str">
        <x:v>确定</x:v>
      </x:c>
      <x:c r="M391" s="20" t="str">
        <x:v>采用</x:v>
      </x:c>
      <x:c r="N391" s="20" t="str">
        <x:v>初审</x:v>
      </x:c>
      <x:c r="O391" s="22" t="n">
        <x:v>46255</x:v>
      </x:c>
      <x:c r="P391" s="20" t="str">
        <x:v>经典原则经结构化整理；参见：https://zh.wikisource.org/zh-hans/滴天髓</x:v>
      </x:c>
    </x:row>
    <x:row r="392">
      <x:c r="A392" s="20" t="str">
        <x:v>M07-STEM-0027-V1.0</x:v>
      </x:c>
      <x:c r="B392" s="20" t="str">
        <x:v>规则</x:v>
      </x:c>
      <x:c r="C392" s="20" t="str">
        <x:v>M07</x:v>
      </x:c>
      <x:c r="D392" s="20" t="str">
        <x:v>07_五行原始旺衰</x:v>
      </x:c>
      <x:c r="E392" s="20" t="str">
        <x:v>STEM</x:v>
      </x:c>
      <x:c r="F392" s="20" t="n">
        <x:v>27</x:v>
      </x:c>
      <x:c r="G392" s="20" t="str">
        <x:v>V1.0</x:v>
      </x:c>
      <x:c r="H392" s="20" t="str">
        <x:v>单一透干提升五行显露度与直接作用能力</x:v>
      </x:c>
      <x:c r="I392" s="20" t="str">
        <x:v>结构层</x:v>
      </x:c>
      <x:c r="J392" s="20" t="str">
        <x:v>单透证据</x:v>
      </x:c>
      <x:c r="K392" s="20" t="str">
        <x:v>目标五行有一处透干，具备直接显露与作用通道；力量大小仍取决于根、令、源、党。</x:v>
      </x:c>
      <x:c r="L392" s="20" t="str">
        <x:v>较高</x:v>
      </x:c>
      <x:c r="M392" s="20" t="str">
        <x:v>采用</x:v>
      </x:c>
      <x:c r="N392" s="20" t="str">
        <x:v>初审</x:v>
      </x:c>
      <x:c r="O392" s="22" t="n">
        <x:v>46255</x:v>
      </x:c>
      <x:c r="P392" s="20" t="str">
        <x:v>https://zh.wikisource.org/zh-hans/淵海子平；https://zh.wikisource.org/zh-hans/滴天髓</x:v>
      </x:c>
    </x:row>
    <x:row r="393">
      <x:c r="A393" s="20" t="str">
        <x:v>M07-STEM-0028-V1.0</x:v>
      </x:c>
      <x:c r="B393" s="20" t="str">
        <x:v>规则</x:v>
      </x:c>
      <x:c r="C393" s="20" t="str">
        <x:v>M07</x:v>
      </x:c>
      <x:c r="D393" s="20" t="str">
        <x:v>07_五行原始旺衰</x:v>
      </x:c>
      <x:c r="E393" s="20" t="str">
        <x:v>STEM</x:v>
      </x:c>
      <x:c r="F393" s="20" t="n">
        <x:v>28</x:v>
      </x:c>
      <x:c r="G393" s="20" t="str">
        <x:v>V1.0</x:v>
      </x:c>
      <x:c r="H393" s="20" t="str">
        <x:v>透干有根显著强于透干无根</x:v>
      </x:c>
      <x:c r="I393" s="20" t="str">
        <x:v>结构层</x:v>
      </x:c>
      <x:c r="J393" s="20" t="str">
        <x:v>透根强证</x:v>
      </x:c>
      <x:c r="K393" s="20" t="str">
        <x:v>目标五行透而有根，原始力量明显高于浮干；根的层级和季令决定增强幅度。</x:v>
      </x:c>
      <x:c r="L393" s="20" t="str">
        <x:v>较高</x:v>
      </x:c>
      <x:c r="M393" s="20" t="str">
        <x:v>采用</x:v>
      </x:c>
      <x:c r="N393" s="20" t="str">
        <x:v>初审</x:v>
      </x:c>
      <x:c r="O393" s="22" t="n">
        <x:v>46255</x:v>
      </x:c>
      <x:c r="P393" s="20" t="str">
        <x:v>https://zh.wikisource.org/zh-hans/淵海子平；https://zh.wikisource.org/zh-hans/滴天髓</x:v>
      </x:c>
    </x:row>
    <x:row r="394">
      <x:c r="A394" s="20" t="str">
        <x:v>M07-STEM-0029-V1.0</x:v>
      </x:c>
      <x:c r="B394" s="20" t="str">
        <x:v>规则</x:v>
      </x:c>
      <x:c r="C394" s="20" t="str">
        <x:v>M07</x:v>
      </x:c>
      <x:c r="D394" s="20" t="str">
        <x:v>07_五行原始旺衰</x:v>
      </x:c>
      <x:c r="E394" s="20" t="str">
        <x:v>STEM</x:v>
      </x:c>
      <x:c r="F394" s="20" t="n">
        <x:v>29</x:v>
      </x:c>
      <x:c r="G394" s="20" t="str">
        <x:v>V1.0</x:v>
      </x:c>
      <x:c r="H394" s="20" t="str">
        <x:v>透干无根属于浮露而非完全无气</x:v>
      </x:c>
      <x:c r="I394" s="20" t="str">
        <x:v>结构层</x:v>
      </x:c>
      <x:c r="J394" s="20" t="str">
        <x:v>浮干证据</x:v>
      </x:c>
      <x:c r="K394" s="20" t="str">
        <x:v>目标五行虽透干但无根，属于浮露；仍有存在和作用通道，但原始承载偏弱。</x:v>
      </x:c>
      <x:c r="L394" s="20" t="str">
        <x:v>较高</x:v>
      </x:c>
      <x:c r="M394" s="20" t="str">
        <x:v>采用</x:v>
      </x:c>
      <x:c r="N394" s="20" t="str">
        <x:v>初审</x:v>
      </x:c>
      <x:c r="O394" s="22" t="n">
        <x:v>46255</x:v>
      </x:c>
      <x:c r="P394" s="20" t="str">
        <x:v>经典原则经结构化整理；参见：https://zh.wikisource.org/zh-hans/滴天髓</x:v>
      </x:c>
    </x:row>
    <x:row r="395">
      <x:c r="A395" s="20" t="str">
        <x:v>M07-STEM-0030-V1.0</x:v>
      </x:c>
      <x:c r="B395" s="20" t="str">
        <x:v>规则</x:v>
      </x:c>
      <x:c r="C395" s="20" t="str">
        <x:v>M07</x:v>
      </x:c>
      <x:c r="D395" s="20" t="str">
        <x:v>07_五行原始旺衰</x:v>
      </x:c>
      <x:c r="E395" s="20" t="str">
        <x:v>STEM</x:v>
      </x:c>
      <x:c r="F395" s="20" t="n">
        <x:v>30</x:v>
      </x:c>
      <x:c r="G395" s="20" t="str">
        <x:v>V1.0</x:v>
      </x:c>
      <x:c r="H395" s="20" t="str">
        <x:v>多处同五行透干增强显露但采用递减边际</x:v>
      </x:c>
      <x:c r="I395" s="20" t="str">
        <x:v>结构层</x:v>
      </x:c>
      <x:c r="J395" s="20" t="str">
        <x:v>多透增强</x:v>
      </x:c>
      <x:c r="K395" s="20" t="str">
        <x:v>目标五行多处透干，显露度与同党性增强；新增透干采用边际递减，不直接等同成势。</x:v>
      </x:c>
      <x:c r="L395" s="20" t="str">
        <x:v>较高</x:v>
      </x:c>
      <x:c r="M395" s="20" t="str">
        <x:v>采用</x:v>
      </x:c>
      <x:c r="N395" s="20" t="str">
        <x:v>初审</x:v>
      </x:c>
      <x:c r="O395" s="22" t="n">
        <x:v>46255</x:v>
      </x:c>
      <x:c r="P395" s="20" t="str">
        <x:v>经典原则经结构化整理；参见：https://zh.wikisource.org/zh-hans/滴天髓</x:v>
      </x:c>
    </x:row>
    <x:row r="396">
      <x:c r="A396" s="20" t="str">
        <x:v>M07-STEM-0031-V1.0</x:v>
      </x:c>
      <x:c r="B396" s="20" t="str">
        <x:v>规则</x:v>
      </x:c>
      <x:c r="C396" s="20" t="str">
        <x:v>M07</x:v>
      </x:c>
      <x:c r="D396" s="20" t="str">
        <x:v>07_五行原始旺衰</x:v>
      </x:c>
      <x:c r="E396" s="20" t="str">
        <x:v>STEM</x:v>
      </x:c>
      <x:c r="F396" s="20" t="n">
        <x:v>31</x:v>
      </x:c>
      <x:c r="G396" s="20" t="str">
        <x:v>V1.0</x:v>
      </x:c>
      <x:c r="H396" s="20" t="str">
        <x:v>藏支不透仍计存在与根气但显露度较低</x:v>
      </x:c>
      <x:c r="I396" s="20" t="str">
        <x:v>结构层</x:v>
      </x:c>
      <x:c r="J396" s="20" t="str">
        <x:v>藏而不透</x:v>
      </x:c>
      <x:c r="K396" s="20" t="str">
        <x:v>目标五行虽未透干，但在地支有实际藏气与根；原始存在不被否定，只是显露度较低。</x:v>
      </x:c>
      <x:c r="L396" s="20" t="str">
        <x:v>较高</x:v>
      </x:c>
      <x:c r="M396" s="20" t="str">
        <x:v>采用</x:v>
      </x:c>
      <x:c r="N396" s="20" t="str">
        <x:v>初审</x:v>
      </x:c>
      <x:c r="O396" s="22" t="n">
        <x:v>46255</x:v>
      </x:c>
      <x:c r="P396" s="20" t="str">
        <x:v>https://zh.wikisource.org/zh-hans/淵海子平；https://zh.wikisource.org/zh-hans/滴天髓</x:v>
      </x:c>
    </x:row>
    <x:row r="397">
      <x:c r="A397" s="20" t="str">
        <x:v>M07-STEM-0032-V1.0</x:v>
      </x:c>
      <x:c r="B397" s="20" t="str">
        <x:v>规则</x:v>
      </x:c>
      <x:c r="C397" s="20" t="str">
        <x:v>M07</x:v>
      </x:c>
      <x:c r="D397" s="20" t="str">
        <x:v>07_五行原始旺衰</x:v>
      </x:c>
      <x:c r="E397" s="20" t="str">
        <x:v>STEM</x:v>
      </x:c>
      <x:c r="F397" s="20" t="n">
        <x:v>32</x:v>
      </x:c>
      <x:c r="G397" s="20" t="str">
        <x:v>V1.0</x:v>
      </x:c>
      <x:c r="H397" s="20" t="str">
        <x:v>月令本气藏而不透仍可具强原始力量</x:v>
      </x:c>
      <x:c r="I397" s="20" t="str">
        <x:v>结构层</x:v>
      </x:c>
      <x:c r="J397" s="20" t="str">
        <x:v>当令不透</x:v>
      </x:c>
      <x:c r="K397" s="20" t="str">
        <x:v>目标五行虽不透干，但得月令本气与月支根，原始力量可以较强；仅其显露与功能通道较低。</x:v>
      </x:c>
      <x:c r="L397" s="20" t="str">
        <x:v>较高</x:v>
      </x:c>
      <x:c r="M397" s="20" t="str">
        <x:v>采用</x:v>
      </x:c>
      <x:c r="N397" s="20" t="str">
        <x:v>初审</x:v>
      </x:c>
      <x:c r="O397" s="22" t="n">
        <x:v>46255</x:v>
      </x:c>
      <x:c r="P397" s="20" t="str">
        <x:v>https://zh.wikisource.org/zh-hans/淵海子平；https://zh.wikisource.org/zh-hans/滴天髓</x:v>
      </x:c>
    </x:row>
    <x:row r="398">
      <x:c r="A398" s="20" t="str">
        <x:v>M07-STEM-0033-V1.0</x:v>
      </x:c>
      <x:c r="B398" s="20" t="str">
        <x:v>规则</x:v>
      </x:c>
      <x:c r="C398" s="20" t="str">
        <x:v>M07</x:v>
      </x:c>
      <x:c r="D398" s="20" t="str">
        <x:v>07_五行原始旺衰</x:v>
      </x:c>
      <x:c r="E398" s="20" t="str">
        <x:v>STEM</x:v>
      </x:c>
      <x:c r="F398" s="20" t="n">
        <x:v>33</x:v>
      </x:c>
      <x:c r="G398" s="20" t="str">
        <x:v>V1.0</x:v>
      </x:c>
      <x:c r="H398" s="20" t="str">
        <x:v>月干日干位置只作显露通道的次级修正</x:v>
      </x:c>
      <x:c r="I398" s="20" t="str">
        <x:v>结构层</x:v>
      </x:c>
      <x:c r="J398" s="20" t="str">
        <x:v>中心显露</x:v>
      </x:c>
      <x:c r="K398" s="20" t="str">
        <x:v>目标五行透于中心干位，作用通道较直接；位置只作辅助，根令源党仍为主。</x:v>
      </x:c>
      <x:c r="L398" s="20" t="str">
        <x:v>中等</x:v>
      </x:c>
      <x:c r="M398" s="20" t="str">
        <x:v>待验证</x:v>
      </x:c>
      <x:c r="N398" s="20" t="str">
        <x:v>初审</x:v>
      </x:c>
      <x:c r="O398" s="22" t="n">
        <x:v>46255</x:v>
      </x:c>
      <x:c r="P398" s="20" t="str">
        <x:v>经典原则经结构化整理；参见：https://zh.wikisource.org/zh-hans/滴天髓</x:v>
      </x:c>
    </x:row>
    <x:row r="399">
      <x:c r="A399" s="20" t="str">
        <x:v>M07-STEM-0034-V1.0</x:v>
      </x:c>
      <x:c r="B399" s="20" t="str">
        <x:v>规则</x:v>
      </x:c>
      <x:c r="C399" s="20" t="str">
        <x:v>M07</x:v>
      </x:c>
      <x:c r="D399" s="20" t="str">
        <x:v>07_五行原始旺衰</x:v>
      </x:c>
      <x:c r="E399" s="20" t="str">
        <x:v>STEM</x:v>
      </x:c>
      <x:c r="F399" s="20" t="n">
        <x:v>34</x:v>
      </x:c>
      <x:c r="G399" s="20" t="str">
        <x:v>V1.0</x:v>
      </x:c>
      <x:c r="H399" s="20" t="str">
        <x:v>年干时干透出仍有效不因边位被删除</x:v>
      </x:c>
      <x:c r="I399" s="20" t="str">
        <x:v>结构层</x:v>
      </x:c>
      <x:c r="J399" s="20" t="str">
        <x:v>边位显露</x:v>
      </x:c>
      <x:c r="K399" s="20" t="str">
        <x:v>目标五行在年干或时干仍属明现，原始力量不能删除；其强弱仍由令根源党决定。</x:v>
      </x:c>
      <x:c r="L399" s="20" t="str">
        <x:v>较高</x:v>
      </x:c>
      <x:c r="M399" s="20" t="str">
        <x:v>采用</x:v>
      </x:c>
      <x:c r="N399" s="20" t="str">
        <x:v>初审</x:v>
      </x:c>
      <x:c r="O399" s="22" t="n">
        <x:v>46255</x:v>
      </x:c>
      <x:c r="P399" s="20" t="str">
        <x:v>经典原则经结构化整理；参见：https://zh.wikisource.org/zh-hans/滴天髓</x:v>
      </x:c>
    </x:row>
    <x:row r="400">
      <x:c r="A400" s="20" t="str">
        <x:v>M07-STEM-0035-V1.0</x:v>
      </x:c>
      <x:c r="B400" s="20" t="str">
        <x:v>规则</x:v>
      </x:c>
      <x:c r="C400" s="20" t="str">
        <x:v>M07</x:v>
      </x:c>
      <x:c r="D400" s="20" t="str">
        <x:v>07_五行原始旺衰</x:v>
      </x:c>
      <x:c r="E400" s="20" t="str">
        <x:v>STEM</x:v>
      </x:c>
      <x:c r="F400" s="20" t="n">
        <x:v>35</x:v>
      </x:c>
      <x:c r="G400" s="20" t="str">
        <x:v>V1.0</x:v>
      </x:c>
      <x:c r="H400" s="20" t="str">
        <x:v>透干与生源同现可提升显露力量候选</x:v>
      </x:c>
      <x:c r="I400" s="20" t="str">
        <x:v>结构层</x:v>
      </x:c>
      <x:c r="J400" s="20" t="str">
        <x:v>透干得生</x:v>
      </x:c>
      <x:c r="K400" s="20" t="str">
        <x:v>目标五行透干且有可识别生源，原始显露力量获得进一步支持；生源有效性后续复核。</x:v>
      </x:c>
      <x:c r="L400" s="20" t="str">
        <x:v>较高</x:v>
      </x:c>
      <x:c r="M400" s="20" t="str">
        <x:v>采用</x:v>
      </x:c>
      <x:c r="N400" s="20" t="str">
        <x:v>初审</x:v>
      </x:c>
      <x:c r="O400" s="22" t="n">
        <x:v>46255</x:v>
      </x:c>
      <x:c r="P400" s="20" t="str">
        <x:v>经典原则经结构化整理；参见：https://zh.wikisource.org/zh-hans/滴天髓</x:v>
      </x:c>
    </x:row>
    <x:row r="401">
      <x:c r="A401" s="20" t="str">
        <x:v>M07-STEM-0036-V1.0</x:v>
      </x:c>
      <x:c r="B401" s="20" t="str">
        <x:v>规则</x:v>
      </x:c>
      <x:c r="C401" s="20" t="str">
        <x:v>M07</x:v>
      </x:c>
      <x:c r="D401" s="20" t="str">
        <x:v>07_五行原始旺衰</x:v>
      </x:c>
      <x:c r="E401" s="20" t="str">
        <x:v>STEM</x:v>
      </x:c>
      <x:c r="F401" s="20" t="n">
        <x:v>36</x:v>
      </x:c>
      <x:c r="G401" s="20" t="str">
        <x:v>V1.0</x:v>
      </x:c>
      <x:c r="H401" s="20" t="str">
        <x:v>透干、根气与同党属于相关证据须避免三重满额累加</x:v>
      </x:c>
      <x:c r="I401" s="20" t="str">
        <x:v>结构层</x:v>
      </x:c>
      <x:c r="J401" s="20" t="str">
        <x:v>显露证据去重</x:v>
      </x:c>
      <x:c r="K401" s="20" t="str">
        <x:v>透、根、党均予记录，但共源节点不重复满额计权；原始等级由独立证据数量决定。</x:v>
      </x:c>
      <x:c r="L401" s="20" t="str">
        <x:v>较高</x:v>
      </x:c>
      <x:c r="M401" s="20" t="str">
        <x:v>采用</x:v>
      </x:c>
      <x:c r="N401" s="20" t="str">
        <x:v>初审</x:v>
      </x:c>
      <x:c r="O401" s="22" t="n">
        <x:v>46255</x:v>
      </x:c>
      <x:c r="P401" s="20" t="str">
        <x:v>经典原则经结构化整理；参见：https://zh.wikisource.org/zh-hans/滴天髓</x:v>
      </x:c>
    </x:row>
    <x:row r="402">
      <x:c r="A402" s="20" t="str">
        <x:v>M07-SOURCE-0037-V1.0</x:v>
      </x:c>
      <x:c r="B402" s="20" t="str">
        <x:v>规则</x:v>
      </x:c>
      <x:c r="C402" s="20" t="str">
        <x:v>M07</x:v>
      </x:c>
      <x:c r="D402" s="20" t="str">
        <x:v>07_五行原始旺衰</x:v>
      </x:c>
      <x:c r="E402" s="20" t="str">
        <x:v>SOURCE</x:v>
      </x:c>
      <x:c r="F402" s="20" t="n">
        <x:v>37</x:v>
      </x:c>
      <x:c r="G402" s="20" t="str">
        <x:v>V1.0</x:v>
      </x:c>
      <x:c r="H402" s="20" t="str">
        <x:v>生我五行有力时构成直接生源</x:v>
      </x:c>
      <x:c r="I402" s="20" t="str">
        <x:v>结构层</x:v>
      </x:c>
      <x:c r="J402" s="20" t="str">
        <x:v>直接生源</x:v>
      </x:c>
      <x:c r="K402" s="20" t="str">
        <x:v>目标五行得到有力生源，原始力量获得支持；支持幅度取决于生源自身的令、根、透、党。</x:v>
      </x:c>
      <x:c r="L402" s="20" t="str">
        <x:v>较高</x:v>
      </x:c>
      <x:c r="M402" s="20" t="str">
        <x:v>采用</x:v>
      </x:c>
      <x:c r="N402" s="20" t="str">
        <x:v>初审</x:v>
      </x:c>
      <x:c r="O402" s="22" t="n">
        <x:v>46255</x:v>
      </x:c>
      <x:c r="P402" s="20" t="str">
        <x:v>https://zh.wikisource.org/zh-hans/淵海子平；https://zh.wikisource.org/zh-hans/滴天髓</x:v>
      </x:c>
    </x:row>
    <x:row r="403">
      <x:c r="A403" s="20" t="str">
        <x:v>M07-SOURCE-0038-V1.0</x:v>
      </x:c>
      <x:c r="B403" s="20" t="str">
        <x:v>规则</x:v>
      </x:c>
      <x:c r="C403" s="20" t="str">
        <x:v>M07</x:v>
      </x:c>
      <x:c r="D403" s="20" t="str">
        <x:v>07_五行原始旺衰</x:v>
      </x:c>
      <x:c r="E403" s="20" t="str">
        <x:v>SOURCE</x:v>
      </x:c>
      <x:c r="F403" s="20" t="n">
        <x:v>38</x:v>
      </x:c>
      <x:c r="G403" s="20" t="str">
        <x:v>V1.0</x:v>
      </x:c>
      <x:c r="H403" s="20" t="str">
        <x:v>生源得令时对目标的原始支持增强</x:v>
      </x:c>
      <x:c r="I403" s="20" t="str">
        <x:v>结构层</x:v>
      </x:c>
      <x:c r="J403" s="20" t="str">
        <x:v>得令生源</x:v>
      </x:c>
      <x:c r="K403" s="20" t="str">
        <x:v>目标五行之生源得令，原始供给能力较强；目标能否承接仍须看自身根透。</x:v>
      </x:c>
      <x:c r="L403" s="20" t="str">
        <x:v>较高</x:v>
      </x:c>
      <x:c r="M403" s="20" t="str">
        <x:v>采用</x:v>
      </x:c>
      <x:c r="N403" s="20" t="str">
        <x:v>初审</x:v>
      </x:c>
      <x:c r="O403" s="22" t="n">
        <x:v>46255</x:v>
      </x:c>
      <x:c r="P403" s="20" t="str">
        <x:v>https://zh.wikisource.org/zh-hans/淵海子平；https://zh.wikisource.org/zh-hans/滴天髓</x:v>
      </x:c>
    </x:row>
    <x:row r="404">
      <x:c r="A404" s="20" t="str">
        <x:v>M07-SOURCE-0039-V1.0</x:v>
      </x:c>
      <x:c r="B404" s="20" t="str">
        <x:v>规则</x:v>
      </x:c>
      <x:c r="C404" s="20" t="str">
        <x:v>M07</x:v>
      </x:c>
      <x:c r="D404" s="20" t="str">
        <x:v>07_五行原始旺衰</x:v>
      </x:c>
      <x:c r="E404" s="20" t="str">
        <x:v>SOURCE</x:v>
      </x:c>
      <x:c r="F404" s="20" t="n">
        <x:v>39</x:v>
      </x:c>
      <x:c r="G404" s="20" t="str">
        <x:v>V1.0</x:v>
      </x:c>
      <x:c r="H404" s="20" t="str">
        <x:v>生源有根有透时供给稳定性提高</x:v>
      </x:c>
      <x:c r="I404" s="20" t="str">
        <x:v>结构层</x:v>
      </x:c>
      <x:c r="J404" s="20" t="str">
        <x:v>稳定生源</x:v>
      </x:c>
      <x:c r="K404" s="20" t="str">
        <x:v>生源透而有根，具备较稳定的原始供给能力，可提高目标五行的生扶证据。</x:v>
      </x:c>
      <x:c r="L404" s="20" t="str">
        <x:v>较高</x:v>
      </x:c>
      <x:c r="M404" s="20" t="str">
        <x:v>采用</x:v>
      </x:c>
      <x:c r="N404" s="20" t="str">
        <x:v>初审</x:v>
      </x:c>
      <x:c r="O404" s="22" t="n">
        <x:v>46255</x:v>
      </x:c>
      <x:c r="P404" s="20" t="str">
        <x:v>经典原则经结构化整理；参见：https://zh.wikisource.org/zh-hans/滴天髓</x:v>
      </x:c>
    </x:row>
    <x:row r="405">
      <x:c r="A405" s="20" t="str">
        <x:v>M07-SOURCE-0040-V1.0</x:v>
      </x:c>
      <x:c r="B405" s="20" t="str">
        <x:v>规则</x:v>
      </x:c>
      <x:c r="C405" s="20" t="str">
        <x:v>M07</x:v>
      </x:c>
      <x:c r="D405" s="20" t="str">
        <x:v>07_五行原始旺衰</x:v>
      </x:c>
      <x:c r="E405" s="20" t="str">
        <x:v>SOURCE</x:v>
      </x:c>
      <x:c r="F405" s="20" t="n">
        <x:v>40</x:v>
      </x:c>
      <x:c r="G405" s="20" t="str">
        <x:v>V1.0</x:v>
      </x:c>
      <x:c r="H405" s="20" t="str">
        <x:v>生源与目标相邻或路径短时支持更直接</x:v>
      </x:c>
      <x:c r="I405" s="20" t="str">
        <x:v>结构层</x:v>
      </x:c>
      <x:c r="J405" s="20" t="str">
        <x:v>短程生源</x:v>
      </x:c>
      <x:c r="K405" s="20" t="str">
        <x:v>生源与目标路径较短，原始生扶较直接；但支持强度仍以双方自身力量为主。</x:v>
      </x:c>
      <x:c r="L405" s="20" t="str">
        <x:v>中等</x:v>
      </x:c>
      <x:c r="M405" s="20" t="str">
        <x:v>待验证</x:v>
      </x:c>
      <x:c r="N405" s="20" t="str">
        <x:v>初审</x:v>
      </x:c>
      <x:c r="O405" s="22" t="n">
        <x:v>46255</x:v>
      </x:c>
      <x:c r="P405" s="20" t="str">
        <x:v>经典原则经结构化整理；参见：https://zh.wikisource.org/zh-hans/滴天髓</x:v>
      </x:c>
    </x:row>
    <x:row r="406">
      <x:c r="A406" s="20" t="str">
        <x:v>M07-SOURCE-0041-V1.0</x:v>
      </x:c>
      <x:c r="B406" s="20" t="str">
        <x:v>规则</x:v>
      </x:c>
      <x:c r="C406" s="20" t="str">
        <x:v>M07</x:v>
      </x:c>
      <x:c r="D406" s="20" t="str">
        <x:v>07_五行原始旺衰</x:v>
      </x:c>
      <x:c r="E406" s="20" t="str">
        <x:v>SOURCE</x:v>
      </x:c>
      <x:c r="F406" s="20" t="n">
        <x:v>41</x:v>
      </x:c>
      <x:c r="G406" s="20" t="str">
        <x:v>V1.0</x:v>
      </x:c>
      <x:c r="H406" s="20" t="str">
        <x:v>生源孤弱无根时只保留名义支持</x:v>
      </x:c>
      <x:c r="I406" s="20" t="str">
        <x:v>结构层</x:v>
      </x:c>
      <x:c r="J406" s="20" t="str">
        <x:v>名义生源</x:v>
      </x:c>
      <x:c r="K406" s="20" t="str">
        <x:v>生源虽出现，但自身孤弱无根，只能提供名义或低等级支持，不能据此显著上调目标。</x:v>
      </x:c>
      <x:c r="L406" s="20" t="str">
        <x:v>较高</x:v>
      </x:c>
      <x:c r="M406" s="20" t="str">
        <x:v>采用</x:v>
      </x:c>
      <x:c r="N406" s="20" t="str">
        <x:v>初审</x:v>
      </x:c>
      <x:c r="O406" s="22" t="n">
        <x:v>46255</x:v>
      </x:c>
      <x:c r="P406" s="20" t="str">
        <x:v>经典原则经结构化整理；参见：https://zh.wikisource.org/zh-hans/滴天髓</x:v>
      </x:c>
    </x:row>
    <x:row r="407">
      <x:c r="A407" s="20" t="str">
        <x:v>M07-SOURCE-0042-V1.0</x:v>
      </x:c>
      <x:c r="B407" s="20" t="str">
        <x:v>规则</x:v>
      </x:c>
      <x:c r="C407" s="20" t="str">
        <x:v>M07</x:v>
      </x:c>
      <x:c r="D407" s="20" t="str">
        <x:v>07_五行原始旺衰</x:v>
      </x:c>
      <x:c r="E407" s="20" t="str">
        <x:v>SOURCE</x:v>
      </x:c>
      <x:c r="F407" s="20" t="n">
        <x:v>42</x:v>
      </x:c>
      <x:c r="G407" s="20" t="str">
        <x:v>V1.0</x:v>
      </x:c>
      <x:c r="H407" s="20" t="str">
        <x:v>多个生源节点增强供给但共享同一根时需去重</x:v>
      </x:c>
      <x:c r="I407" s="20" t="str">
        <x:v>结构层</x:v>
      </x:c>
      <x:c r="J407" s="20" t="str">
        <x:v>多源增强</x:v>
      </x:c>
      <x:c r="K407" s="20" t="str">
        <x:v>目标五行有多个生源，原始供给增强；若多个生源共用同一根或同一气源，应降低重复权重。</x:v>
      </x:c>
      <x:c r="L407" s="20" t="str">
        <x:v>中等</x:v>
      </x:c>
      <x:c r="M407" s="20" t="str">
        <x:v>采用</x:v>
      </x:c>
      <x:c r="N407" s="20" t="str">
        <x:v>初审</x:v>
      </x:c>
      <x:c r="O407" s="22" t="n">
        <x:v>46255</x:v>
      </x:c>
      <x:c r="P407" s="20" t="str">
        <x:v>经典原则经结构化整理；参见：https://zh.wikisource.org/zh-hans/滴天髓</x:v>
      </x:c>
    </x:row>
    <x:row r="408">
      <x:c r="A408" s="20" t="str">
        <x:v>M07-SOURCE-0043-V1.0</x:v>
      </x:c>
      <x:c r="B408" s="20" t="str">
        <x:v>规则</x:v>
      </x:c>
      <x:c r="C408" s="20" t="str">
        <x:v>M07</x:v>
      </x:c>
      <x:c r="D408" s="20" t="str">
        <x:v>07_五行原始旺衰</x:v>
      </x:c>
      <x:c r="E408" s="20" t="str">
        <x:v>SOURCE</x:v>
      </x:c>
      <x:c r="F408" s="20" t="n">
        <x:v>43</x:v>
      </x:c>
      <x:c r="G408" s="20" t="str">
        <x:v>V1.0</x:v>
      </x:c>
      <x:c r="H408" s="20" t="str">
        <x:v>上游生源之源形成两级连续支持</x:v>
      </x:c>
      <x:c r="I408" s="20" t="str">
        <x:v>结构层</x:v>
      </x:c>
      <x:c r="J408" s="20" t="str">
        <x:v>两级生扶</x:v>
      </x:c>
      <x:c r="K408" s="20" t="str">
        <x:v>目标五行得到上游—生源—目标的连续支持；链条完整可增强原始力量，但低于直接强源。</x:v>
      </x:c>
      <x:c r="L408" s="20" t="str">
        <x:v>中等</x:v>
      </x:c>
      <x:c r="M408" s="20" t="str">
        <x:v>采用</x:v>
      </x:c>
      <x:c r="N408" s="20" t="str">
        <x:v>初审</x:v>
      </x:c>
      <x:c r="O408" s="22" t="n">
        <x:v>46255</x:v>
      </x:c>
      <x:c r="P408" s="20" t="str">
        <x:v>经典原则经结构化整理；参见：https://zh.wikisource.org/zh-hans/滴天髓</x:v>
      </x:c>
    </x:row>
    <x:row r="409">
      <x:c r="A409" s="20" t="str">
        <x:v>M07-SOURCE-0044-V1.0</x:v>
      </x:c>
      <x:c r="B409" s="20" t="str">
        <x:v>规则</x:v>
      </x:c>
      <x:c r="C409" s="20" t="str">
        <x:v>M07</x:v>
      </x:c>
      <x:c r="D409" s="20" t="str">
        <x:v>07_五行原始旺衰</x:v>
      </x:c>
      <x:c r="E409" s="20" t="str">
        <x:v>SOURCE</x:v>
      </x:c>
      <x:c r="F409" s="20" t="n">
        <x:v>44</x:v>
      </x:c>
      <x:c r="G409" s="20" t="str">
        <x:v>V1.0</x:v>
      </x:c>
      <x:c r="H409" s="20" t="str">
        <x:v>生源缺失不等于目标必弱</x:v>
      </x:c>
      <x:c r="I409" s="20" t="str">
        <x:v>结构层</x:v>
      </x:c>
      <x:c r="J409" s="20" t="str">
        <x:v>无源证据</x:v>
      </x:c>
      <x:c r="K409" s="20" t="str">
        <x:v>目标五行无直接生源，原始生扶不足；若自身得令有根成党，仍可保持较强力量。</x:v>
      </x:c>
      <x:c r="L409" s="20" t="str">
        <x:v>较高</x:v>
      </x:c>
      <x:c r="M409" s="20" t="str">
        <x:v>采用</x:v>
      </x:c>
      <x:c r="N409" s="20" t="str">
        <x:v>初审</x:v>
      </x:c>
      <x:c r="O409" s="22" t="n">
        <x:v>46255</x:v>
      </x:c>
      <x:c r="P409" s="20" t="str">
        <x:v>https://zh.wikisource.org/zh-hans/淵海子平；https://zh.wikisource.org/zh-hans/滴天髓</x:v>
      </x:c>
    </x:row>
    <x:row r="410">
      <x:c r="A410" s="20" t="str">
        <x:v>M07-SOURCE-0045-V1.0</x:v>
      </x:c>
      <x:c r="B410" s="20" t="str">
        <x:v>规则</x:v>
      </x:c>
      <x:c r="C410" s="20" t="str">
        <x:v>M07</x:v>
      </x:c>
      <x:c r="D410" s="20" t="str">
        <x:v>07_五行原始旺衰</x:v>
      </x:c>
      <x:c r="E410" s="20" t="str">
        <x:v>SOURCE</x:v>
      </x:c>
      <x:c r="F410" s="20" t="n">
        <x:v>45</x:v>
      </x:c>
      <x:c r="G410" s="20" t="str">
        <x:v>V1.0</x:v>
      </x:c>
      <x:c r="H410" s="20" t="str">
        <x:v>目标极旺时生源只记录增势不在M07判断壅塞吉凶</x:v>
      </x:c>
      <x:c r="I410" s="20" t="str">
        <x:v>结构层</x:v>
      </x:c>
      <x:c r="J410" s="20" t="str">
        <x:v>生源增势</x:v>
      </x:c>
      <x:c r="K410" s="20" t="str">
        <x:v>目标已强又得生源，原始力量继续集中；是否构成壅塞或为忌不在M07裁定。</x:v>
      </x:c>
      <x:c r="L410" s="20" t="str">
        <x:v>较高</x:v>
      </x:c>
      <x:c r="M410" s="20" t="str">
        <x:v>采用</x:v>
      </x:c>
      <x:c r="N410" s="20" t="str">
        <x:v>初审</x:v>
      </x:c>
      <x:c r="O410" s="22" t="n">
        <x:v>46255</x:v>
      </x:c>
      <x:c r="P410" s="20" t="str">
        <x:v>经典原则经结构化整理；参见：https://zh.wikisource.org/zh-hans/滴天髓</x:v>
      </x:c>
    </x:row>
    <x:row r="411">
      <x:c r="A411" s="20" t="str">
        <x:v>M07-SOURCE-0046-V1.0</x:v>
      </x:c>
      <x:c r="B411" s="20" t="str">
        <x:v>规则</x:v>
      </x:c>
      <x:c r="C411" s="20" t="str">
        <x:v>M07</x:v>
      </x:c>
      <x:c r="D411" s="20" t="str">
        <x:v>07_五行原始旺衰</x:v>
      </x:c>
      <x:c r="E411" s="20" t="str">
        <x:v>SOURCE</x:v>
      </x:c>
      <x:c r="F411" s="20" t="n">
        <x:v>46</x:v>
      </x:c>
      <x:c r="G411" s="20" t="str">
        <x:v>V1.0</x:v>
      </x:c>
      <x:c r="H411" s="20" t="str">
        <x:v>生源支持必须以生源自身原始等级为上限</x:v>
      </x:c>
      <x:c r="I411" s="20" t="str">
        <x:v>结构层</x:v>
      </x:c>
      <x:c r="J411" s="20" t="str">
        <x:v>生源容量约束</x:v>
      </x:c>
      <x:c r="K411" s="20" t="str">
        <x:v>生源对目标的支持以上游自身原始力量为上限；弱源不能产生强供给。</x:v>
      </x:c>
      <x:c r="L411" s="20" t="str">
        <x:v>较高</x:v>
      </x:c>
      <x:c r="M411" s="20" t="str">
        <x:v>采用</x:v>
      </x:c>
      <x:c r="N411" s="20" t="str">
        <x:v>初审</x:v>
      </x:c>
      <x:c r="O411" s="22" t="n">
        <x:v>46255</x:v>
      </x:c>
      <x:c r="P411" s="20" t="str">
        <x:v>经典原则经结构化整理；参见：https://zh.wikisource.org/zh-hans/滴天髓</x:v>
      </x:c>
    </x:row>
    <x:row r="412">
      <x:c r="A412" s="20" t="str">
        <x:v>M07-ALLY-0047-V1.0</x:v>
      </x:c>
      <x:c r="B412" s="20" t="str">
        <x:v>规则</x:v>
      </x:c>
      <x:c r="C412" s="20" t="str">
        <x:v>M07</x:v>
      </x:c>
      <x:c r="D412" s="20" t="str">
        <x:v>07_五行原始旺衰</x:v>
      </x:c>
      <x:c r="E412" s="20" t="str">
        <x:v>ALLY</x:v>
      </x:c>
      <x:c r="F412" s="20" t="n">
        <x:v>47</x:v>
      </x:c>
      <x:c r="G412" s="20" t="str">
        <x:v>V1.0</x:v>
      </x:c>
      <x:c r="H412" s="20" t="str">
        <x:v>同五行天干构成明同党</x:v>
      </x:c>
      <x:c r="I412" s="20" t="str">
        <x:v>结构层</x:v>
      </x:c>
      <x:c r="J412" s="20" t="str">
        <x:v>明同党</x:v>
      </x:c>
      <x:c r="K412" s="20" t="str">
        <x:v>目标五行在天干有同党，原始力量与显露度增强；同党是否有力仍须看根令源。</x:v>
      </x:c>
      <x:c r="L412" s="20" t="str">
        <x:v>较高</x:v>
      </x:c>
      <x:c r="M412" s="20" t="str">
        <x:v>采用</x:v>
      </x:c>
      <x:c r="N412" s="20" t="str">
        <x:v>初审</x:v>
      </x:c>
      <x:c r="O412" s="22" t="n">
        <x:v>46255</x:v>
      </x:c>
      <x:c r="P412" s="20" t="str">
        <x:v>https://zh.wikisource.org/zh-hans/淵海子平；https://zh.wikisource.org/zh-hans/滴天髓</x:v>
      </x:c>
    </x:row>
    <x:row r="413">
      <x:c r="A413" s="20" t="str">
        <x:v>M07-ALLY-0048-V1.0</x:v>
      </x:c>
      <x:c r="B413" s="20" t="str">
        <x:v>规则</x:v>
      </x:c>
      <x:c r="C413" s="20" t="str">
        <x:v>M07</x:v>
      </x:c>
      <x:c r="D413" s="20" t="str">
        <x:v>07_五行原始旺衰</x:v>
      </x:c>
      <x:c r="E413" s="20" t="str">
        <x:v>ALLY</x:v>
      </x:c>
      <x:c r="F413" s="20" t="n">
        <x:v>48</x:v>
      </x:c>
      <x:c r="G413" s="20" t="str">
        <x:v>V1.0</x:v>
      </x:c>
      <x:c r="H413" s="20" t="str">
        <x:v>地支本气同五行构成强同党</x:v>
      </x:c>
      <x:c r="I413" s="20" t="str">
        <x:v>结构层</x:v>
      </x:c>
      <x:c r="J413" s="20" t="str">
        <x:v>本气同党</x:v>
      </x:c>
      <x:c r="K413" s="20" t="str">
        <x:v>目标五行在多个地支本气成同党，原始根气与聚集度显著增强。</x:v>
      </x:c>
      <x:c r="L413" s="20" t="str">
        <x:v>较高</x:v>
      </x:c>
      <x:c r="M413" s="20" t="str">
        <x:v>采用</x:v>
      </x:c>
      <x:c r="N413" s="20" t="str">
        <x:v>初审</x:v>
      </x:c>
      <x:c r="O413" s="22" t="n">
        <x:v>46255</x:v>
      </x:c>
      <x:c r="P413" s="20" t="str">
        <x:v>https://zh.wikisource.org/zh-hans/淵海子平；https://zh.wikisource.org/zh-hans/滴天髓</x:v>
      </x:c>
    </x:row>
    <x:row r="414">
      <x:c r="A414" s="20" t="str">
        <x:v>M07-ALLY-0049-V1.0</x:v>
      </x:c>
      <x:c r="B414" s="20" t="str">
        <x:v>规则</x:v>
      </x:c>
      <x:c r="C414" s="20" t="str">
        <x:v>M07</x:v>
      </x:c>
      <x:c r="D414" s="20" t="str">
        <x:v>07_五行原始旺衰</x:v>
      </x:c>
      <x:c r="E414" s="20" t="str">
        <x:v>ALLY</x:v>
      </x:c>
      <x:c r="F414" s="20" t="n">
        <x:v>49</x:v>
      </x:c>
      <x:c r="G414" s="20" t="str">
        <x:v>V1.0</x:v>
      </x:c>
      <x:c r="H414" s="20" t="str">
        <x:v>中余气同类只形成弱至中等同党证据</x:v>
      </x:c>
      <x:c r="I414" s="20" t="str">
        <x:v>结构层</x:v>
      </x:c>
      <x:c r="J414" s="20" t="str">
        <x:v>隐同党</x:v>
      </x:c>
      <x:c r="K414" s="20" t="str">
        <x:v>目标五行在多个支的中余气中有同类，形成弱至中等隐性同党，不能与本气同党等权。</x:v>
      </x:c>
      <x:c r="L414" s="20" t="str">
        <x:v>较高</x:v>
      </x:c>
      <x:c r="M414" s="20" t="str">
        <x:v>采用</x:v>
      </x:c>
      <x:c r="N414" s="20" t="str">
        <x:v>初审</x:v>
      </x:c>
      <x:c r="O414" s="22" t="n">
        <x:v>46255</x:v>
      </x:c>
      <x:c r="P414" s="20" t="str">
        <x:v>经典原则经结构化整理；参见：https://zh.wikisource.org/zh-hans/滴天髓</x:v>
      </x:c>
    </x:row>
    <x:row r="415">
      <x:c r="A415" s="20" t="str">
        <x:v>M07-ALLY-0050-V1.0</x:v>
      </x:c>
      <x:c r="B415" s="20" t="str">
        <x:v>规则</x:v>
      </x:c>
      <x:c r="C415" s="20" t="str">
        <x:v>M07</x:v>
      </x:c>
      <x:c r="D415" s="20" t="str">
        <x:v>07_五行原始旺衰</x:v>
      </x:c>
      <x:c r="E415" s="20" t="str">
        <x:v>ALLY</x:v>
      </x:c>
      <x:c r="F415" s="20" t="n">
        <x:v>50</x:v>
      </x:c>
      <x:c r="G415" s="20" t="str">
        <x:v>V1.0</x:v>
      </x:c>
      <x:c r="H415" s="20" t="str">
        <x:v>干支同类同时出现形成上下呼应</x:v>
      </x:c>
      <x:c r="I415" s="20" t="str">
        <x:v>结构层</x:v>
      </x:c>
      <x:c r="J415" s="20" t="str">
        <x:v>干支呼应</x:v>
      </x:c>
      <x:c r="K415" s="20" t="str">
        <x:v>目标五行干支均有同类，形成显露与承载的上下呼应，原始力量明显增强。</x:v>
      </x:c>
      <x:c r="L415" s="20" t="str">
        <x:v>较高</x:v>
      </x:c>
      <x:c r="M415" s="20" t="str">
        <x:v>采用</x:v>
      </x:c>
      <x:c r="N415" s="20" t="str">
        <x:v>初审</x:v>
      </x:c>
      <x:c r="O415" s="22" t="n">
        <x:v>46255</x:v>
      </x:c>
      <x:c r="P415" s="20" t="str">
        <x:v>https://zh.wikisource.org/zh-hans/淵海子平；https://zh.wikisource.org/zh-hans/滴天髓</x:v>
      </x:c>
    </x:row>
    <x:row r="416">
      <x:c r="A416" s="20" t="str">
        <x:v>M07-ALLY-0051-V1.0</x:v>
      </x:c>
      <x:c r="B416" s="20" t="str">
        <x:v>规则</x:v>
      </x:c>
      <x:c r="C416" s="20" t="str">
        <x:v>M07</x:v>
      </x:c>
      <x:c r="D416" s="20" t="str">
        <x:v>07_五行原始旺衰</x:v>
      </x:c>
      <x:c r="E416" s="20" t="str">
        <x:v>ALLY</x:v>
      </x:c>
      <x:c r="F416" s="20" t="n">
        <x:v>51</x:v>
      </x:c>
      <x:c r="G416" s="20" t="str">
        <x:v>V1.0</x:v>
      </x:c>
      <x:c r="H416" s="20" t="str">
        <x:v>同党数量增加采用边际递减</x:v>
      </x:c>
      <x:c r="I416" s="20" t="str">
        <x:v>结构层</x:v>
      </x:c>
      <x:c r="J416" s="20" t="str">
        <x:v>同党递减</x:v>
      </x:c>
      <x:c r="K416" s="20" t="str">
        <x:v>新增同党继续增强目标五行，但采用边际递减；是否成势由季令、根透与集中度共同决定。</x:v>
      </x:c>
      <x:c r="L416" s="20" t="str">
        <x:v>中等</x:v>
      </x:c>
      <x:c r="M416" s="20" t="str">
        <x:v>采用</x:v>
      </x:c>
      <x:c r="N416" s="20" t="str">
        <x:v>初审</x:v>
      </x:c>
      <x:c r="O416" s="22" t="n">
        <x:v>46255</x:v>
      </x:c>
      <x:c r="P416" s="20" t="str">
        <x:v>经典原则经结构化整理；参见：https://zh.wikisource.org/zh-hans/滴天髓</x:v>
      </x:c>
    </x:row>
    <x:row r="417">
      <x:c r="A417" s="20" t="str">
        <x:v>M07-ALLY-0052-V1.0</x:v>
      </x:c>
      <x:c r="B417" s="20" t="str">
        <x:v>规则</x:v>
      </x:c>
      <x:c r="C417" s="20" t="str">
        <x:v>M07</x:v>
      </x:c>
      <x:c r="D417" s="20" t="str">
        <x:v>07_五行原始旺衰</x:v>
      </x:c>
      <x:c r="E417" s="20" t="str">
        <x:v>ALLY</x:v>
      </x:c>
      <x:c r="F417" s="20" t="n">
        <x:v>52</x:v>
      </x:c>
      <x:c r="G417" s="20" t="str">
        <x:v>V1.0</x:v>
      </x:c>
      <x:c r="H417" s="20" t="str">
        <x:v>同党得令时支持效应放大</x:v>
      </x:c>
      <x:c r="I417" s="20" t="str">
        <x:v>结构层</x:v>
      </x:c>
      <x:c r="J417" s="20" t="str">
        <x:v>得令同党</x:v>
      </x:c>
      <x:c r="K417" s="20" t="str">
        <x:v>目标五行同党又得季令支持，原始聚势明显；汇总时需处理与月令的共源关系。</x:v>
      </x:c>
      <x:c r="L417" s="20" t="str">
        <x:v>较高</x:v>
      </x:c>
      <x:c r="M417" s="20" t="str">
        <x:v>采用</x:v>
      </x:c>
      <x:c r="N417" s="20" t="str">
        <x:v>初审</x:v>
      </x:c>
      <x:c r="O417" s="22" t="n">
        <x:v>46255</x:v>
      </x:c>
      <x:c r="P417" s="20" t="str">
        <x:v>https://zh.wikisource.org/zh-hans/淵海子平；https://zh.wikisource.org/zh-hans/滴天髓</x:v>
      </x:c>
    </x:row>
    <x:row r="418">
      <x:c r="A418" s="20" t="str">
        <x:v>M07-ALLY-0053-V1.0</x:v>
      </x:c>
      <x:c r="B418" s="20" t="str">
        <x:v>规则</x:v>
      </x:c>
      <x:c r="C418" s="20" t="str">
        <x:v>M07</x:v>
      </x:c>
      <x:c r="D418" s="20" t="str">
        <x:v>07_五行原始旺衰</x:v>
      </x:c>
      <x:c r="E418" s="20" t="str">
        <x:v>ALLY</x:v>
      </x:c>
      <x:c r="F418" s="20" t="n">
        <x:v>53</x:v>
      </x:c>
      <x:c r="G418" s="20" t="str">
        <x:v>V1.0</x:v>
      </x:c>
      <x:c r="H418" s="20" t="str">
        <x:v>同党集中在相邻或中心位置时凝聚度较高</x:v>
      </x:c>
      <x:c r="I418" s="20" t="str">
        <x:v>结构层</x:v>
      </x:c>
      <x:c r="J418" s="20" t="str">
        <x:v>同党凝聚</x:v>
      </x:c>
      <x:c r="K418" s="20" t="str">
        <x:v>同党在结构中较集中，凝聚度较高；该项只作辅助，不能单独确定旺衰。</x:v>
      </x:c>
      <x:c r="L418" s="20" t="str">
        <x:v>中等</x:v>
      </x:c>
      <x:c r="M418" s="20" t="str">
        <x:v>待验证</x:v>
      </x:c>
      <x:c r="N418" s="20" t="str">
        <x:v>初审</x:v>
      </x:c>
      <x:c r="O418" s="22" t="n">
        <x:v>46255</x:v>
      </x:c>
      <x:c r="P418" s="20" t="str">
        <x:v>经典原则经结构化整理；参见：https://zh.wikisource.org/zh-hans/滴天髓</x:v>
      </x:c>
    </x:row>
    <x:row r="419">
      <x:c r="A419" s="20" t="str">
        <x:v>M07-ALLY-0054-V1.0</x:v>
      </x:c>
      <x:c r="B419" s="20" t="str">
        <x:v>规则</x:v>
      </x:c>
      <x:c r="C419" s="20" t="str">
        <x:v>M07</x:v>
      </x:c>
      <x:c r="D419" s="20" t="str">
        <x:v>07_五行原始旺衰</x:v>
      </x:c>
      <x:c r="E419" s="20" t="str">
        <x:v>ALLY</x:v>
      </x:c>
      <x:c r="F419" s="20" t="n">
        <x:v>54</x:v>
      </x:c>
      <x:c r="G419" s="20" t="str">
        <x:v>V1.0</x:v>
      </x:c>
      <x:c r="H419" s="20" t="str">
        <x:v>同党分散仍计数量但凝聚度较低</x:v>
      </x:c>
      <x:c r="I419" s="20" t="str">
        <x:v>结构层</x:v>
      </x:c>
      <x:c r="J419" s="20" t="str">
        <x:v>分散同党</x:v>
      </x:c>
      <x:c r="K419" s="20" t="str">
        <x:v>目标五行虽有分散同党，仍增加原始数量；但凝聚成势证据低于集中同党。</x:v>
      </x:c>
      <x:c r="L419" s="20" t="str">
        <x:v>中等</x:v>
      </x:c>
      <x:c r="M419" s="20" t="str">
        <x:v>待验证</x:v>
      </x:c>
      <x:c r="N419" s="20" t="str">
        <x:v>初审</x:v>
      </x:c>
      <x:c r="O419" s="22" t="n">
        <x:v>46255</x:v>
      </x:c>
      <x:c r="P419" s="20" t="str">
        <x:v>经典原则经结构化整理；参见：https://zh.wikisource.org/zh-hans/滴天髓</x:v>
      </x:c>
    </x:row>
    <x:row r="420">
      <x:c r="A420" s="20" t="str">
        <x:v>M07-ALLY-0055-V1.0</x:v>
      </x:c>
      <x:c r="B420" s="20" t="str">
        <x:v>规则</x:v>
      </x:c>
      <x:c r="C420" s="20" t="str">
        <x:v>M07</x:v>
      </x:c>
      <x:c r="D420" s="20" t="str">
        <x:v>07_五行原始旺衰</x:v>
      </x:c>
      <x:c r="E420" s="20" t="str">
        <x:v>ALLY</x:v>
      </x:c>
      <x:c r="F420" s="20" t="n">
        <x:v>55</x:v>
      </x:c>
      <x:c r="G420" s="20" t="str">
        <x:v>V1.0</x:v>
      </x:c>
      <x:c r="H420" s="20" t="str">
        <x:v>阴阳不同不取消五行层面的同党关系</x:v>
      </x:c>
      <x:c r="I420" s="20" t="str">
        <x:v>结构层</x:v>
      </x:c>
      <x:c r="J420" s="20" t="str">
        <x:v>五行同党</x:v>
      </x:c>
      <x:c r="K420" s="20" t="str">
        <x:v>甲乙、丙丁等阴阳虽异，在五行原始旺衰层仍属于同类；十神功能另行区分。</x:v>
      </x:c>
      <x:c r="L420" s="20" t="str">
        <x:v>确定</x:v>
      </x:c>
      <x:c r="M420" s="20" t="str">
        <x:v>采用</x:v>
      </x:c>
      <x:c r="N420" s="20" t="str">
        <x:v>初审</x:v>
      </x:c>
      <x:c r="O420" s="22" t="n">
        <x:v>46255</x:v>
      </x:c>
      <x:c r="P420" s="20" t="str">
        <x:v>经典原则经结构化整理；参见：https://zh.wikisource.org/zh-hans/滴天髓</x:v>
      </x:c>
    </x:row>
    <x:row r="421">
      <x:c r="A421" s="20" t="str">
        <x:v>M07-ALLY-0056-V1.0</x:v>
      </x:c>
      <x:c r="B421" s="20" t="str">
        <x:v>规则</x:v>
      </x:c>
      <x:c r="C421" s="20" t="str">
        <x:v>M07</x:v>
      </x:c>
      <x:c r="D421" s="20" t="str">
        <x:v>07_五行原始旺衰</x:v>
      </x:c>
      <x:c r="E421" s="20" t="str">
        <x:v>ALLY</x:v>
      </x:c>
      <x:c r="F421" s="20" t="n">
        <x:v>56</x:v>
      </x:c>
      <x:c r="G421" s="20" t="str">
        <x:v>V1.0</x:v>
      </x:c>
      <x:c r="H421" s="20" t="str">
        <x:v>同党数量不能覆盖季令、根气与生源反证</x:v>
      </x:c>
      <x:c r="I421" s="20" t="str">
        <x:v>结构层</x:v>
      </x:c>
      <x:c r="J421" s="20" t="str">
        <x:v>数量非旺衰</x:v>
      </x:c>
      <x:c r="K421" s="20" t="str">
        <x:v>目标五行虽数量较多，但失令无根无源时可能多而不实；不得仅凭数量判旺。</x:v>
      </x:c>
      <x:c r="L421" s="20" t="str">
        <x:v>较高</x:v>
      </x:c>
      <x:c r="M421" s="20" t="str">
        <x:v>采用</x:v>
      </x:c>
      <x:c r="N421" s="20" t="str">
        <x:v>初审</x:v>
      </x:c>
      <x:c r="O421" s="22" t="n">
        <x:v>46255</x:v>
      </x:c>
      <x:c r="P421" s="20" t="str">
        <x:v>经典原则经结构化整理；参见：https://zh.wikisource.org/zh-hans/滴天髓</x:v>
      </x:c>
    </x:row>
    <x:row r="422">
      <x:c r="A422" s="20" t="str">
        <x:v>M07-MOMENT-0057-V1.0</x:v>
      </x:c>
      <x:c r="B422" s="20" t="str">
        <x:v>规则</x:v>
      </x:c>
      <x:c r="C422" s="20" t="str">
        <x:v>M07</x:v>
      </x:c>
      <x:c r="D422" s="20" t="str">
        <x:v>07_五行原始旺衰</x:v>
      </x:c>
      <x:c r="E422" s="20" t="str">
        <x:v>MOMENT</x:v>
      </x:c>
      <x:c r="F422" s="20" t="n">
        <x:v>57</x:v>
      </x:c>
      <x:c r="G422" s="20" t="str">
        <x:v>V1.0</x:v>
      </x:c>
      <x:c r="H422" s="20" t="str">
        <x:v>得令、多根、透干与同党汇合时形成成势候选</x:v>
      </x:c>
      <x:c r="I422" s="20" t="str">
        <x:v>结构层</x:v>
      </x:c>
      <x:c r="J422" s="20" t="str">
        <x:v>五行成势候选</x:v>
      </x:c>
      <x:c r="K422" s="20" t="str">
        <x:v>目标五行的令、根、透、党多维汇合，已形成原始成势候选；是否极旺仍需反证检查。</x:v>
      </x:c>
      <x:c r="L422" s="20" t="str">
        <x:v>较高</x:v>
      </x:c>
      <x:c r="M422" s="20" t="str">
        <x:v>采用</x:v>
      </x:c>
      <x:c r="N422" s="20" t="str">
        <x:v>初审</x:v>
      </x:c>
      <x:c r="O422" s="22" t="n">
        <x:v>46255</x:v>
      </x:c>
      <x:c r="P422" s="20" t="str">
        <x:v>https://zh.wikisource.org/zh-hans/淵海子平；https://zh.wikisource.org/zh-hans/滴天髓</x:v>
      </x:c>
    </x:row>
    <x:row r="423">
      <x:c r="A423" s="20" t="str">
        <x:v>M07-MOMENT-0058-V1.0</x:v>
      </x:c>
      <x:c r="B423" s="20" t="str">
        <x:v>规则</x:v>
      </x:c>
      <x:c r="C423" s="20" t="str">
        <x:v>M07</x:v>
      </x:c>
      <x:c r="D423" s="20" t="str">
        <x:v>07_五行原始旺衰</x:v>
      </x:c>
      <x:c r="E423" s="20" t="str">
        <x:v>MOMENT</x:v>
      </x:c>
      <x:c r="F423" s="20" t="n">
        <x:v>58</x:v>
      </x:c>
      <x:c r="G423" s="20" t="str">
        <x:v>V1.0</x:v>
      </x:c>
      <x:c r="H423" s="20" t="str">
        <x:v>占据三个以上独立干支位置可形成党势候选</x:v>
      </x:c>
      <x:c r="I423" s="20" t="str">
        <x:v>结构层</x:v>
      </x:c>
      <x:c r="J423" s="20" t="str">
        <x:v>位置成党</x:v>
      </x:c>
      <x:c r="K423" s="20" t="str">
        <x:v>目标五行覆盖多个独立位置，具备党势基础；仍须看季令、层级与生源。</x:v>
      </x:c>
      <x:c r="L423" s="20" t="str">
        <x:v>中等</x:v>
      </x:c>
      <x:c r="M423" s="20" t="str">
        <x:v>采用</x:v>
      </x:c>
      <x:c r="N423" s="20" t="str">
        <x:v>初审</x:v>
      </x:c>
      <x:c r="O423" s="22" t="n">
        <x:v>46255</x:v>
      </x:c>
      <x:c r="P423" s="20" t="str">
        <x:v>经典原则经结构化整理；参见：https://zh.wikisource.org/zh-hans/滴天髓</x:v>
      </x:c>
    </x:row>
    <x:row r="424">
      <x:c r="A424" s="20" t="str">
        <x:v>M07-MOMENT-0059-V1.0</x:v>
      </x:c>
      <x:c r="B424" s="20" t="str">
        <x:v>规则</x:v>
      </x:c>
      <x:c r="C424" s="20" t="str">
        <x:v>M07</x:v>
      </x:c>
      <x:c r="D424" s="20" t="str">
        <x:v>07_五行原始旺衰</x:v>
      </x:c>
      <x:c r="E424" s="20" t="str">
        <x:v>MOMENT</x:v>
      </x:c>
      <x:c r="F424" s="20" t="n">
        <x:v>59</x:v>
      </x:c>
      <x:c r="G424" s="20" t="str">
        <x:v>V1.0</x:v>
      </x:c>
      <x:c r="H424" s="20" t="str">
        <x:v>大量中余气堆积不能等同本气成势</x:v>
      </x:c>
      <x:c r="I424" s="20" t="str">
        <x:v>结构层</x:v>
      </x:c>
      <x:c r="J424" s="20" t="str">
        <x:v>隐气不成势</x:v>
      </x:c>
      <x:c r="K424" s="20" t="str">
        <x:v>目标五行虽多处潜藏，但主要为中余气，原始上不宜与本气多根成势等同。</x:v>
      </x:c>
      <x:c r="L424" s="20" t="str">
        <x:v>较高</x:v>
      </x:c>
      <x:c r="M424" s="20" t="str">
        <x:v>采用</x:v>
      </x:c>
      <x:c r="N424" s="20" t="str">
        <x:v>初审</x:v>
      </x:c>
      <x:c r="O424" s="22" t="n">
        <x:v>46255</x:v>
      </x:c>
      <x:c r="P424" s="20" t="str">
        <x:v>经典原则经结构化整理；参见：https://zh.wikisource.org/zh-hans/滴天髓</x:v>
      </x:c>
    </x:row>
    <x:row r="425">
      <x:c r="A425" s="20" t="str">
        <x:v>M07-MOMENT-0060-V1.0</x:v>
      </x:c>
      <x:c r="B425" s="20" t="str">
        <x:v>规则</x:v>
      </x:c>
      <x:c r="C425" s="20" t="str">
        <x:v>M07</x:v>
      </x:c>
      <x:c r="D425" s="20" t="str">
        <x:v>07_五行原始旺衰</x:v>
      </x:c>
      <x:c r="E425" s="20" t="str">
        <x:v>MOMENT</x:v>
      </x:c>
      <x:c r="F425" s="20" t="n">
        <x:v>60</x:v>
      </x:c>
      <x:c r="G425" s="20" t="str">
        <x:v>V1.0</x:v>
      </x:c>
      <x:c r="H425" s="20" t="str">
        <x:v>强生源与同党共同指向目标时形成方向性聚势</x:v>
      </x:c>
      <x:c r="I425" s="20" t="str">
        <x:v>结构层</x:v>
      </x:c>
      <x:c r="J425" s="20" t="str">
        <x:v>方向性聚势</x:v>
      </x:c>
      <x:c r="K425" s="20" t="str">
        <x:v>有力生源持续汇入目标，同党又多，原始气势向该五行集中。</x:v>
      </x:c>
      <x:c r="L425" s="20" t="str">
        <x:v>较高</x:v>
      </x:c>
      <x:c r="M425" s="20" t="str">
        <x:v>采用</x:v>
      </x:c>
      <x:c r="N425" s="20" t="str">
        <x:v>初审</x:v>
      </x:c>
      <x:c r="O425" s="22" t="n">
        <x:v>46255</x:v>
      </x:c>
      <x:c r="P425" s="20" t="str">
        <x:v>经典原则经结构化整理；参见：https://zh.wikisource.org/zh-hans/滴天髓</x:v>
      </x:c>
    </x:row>
    <x:row r="426">
      <x:c r="A426" s="20" t="str">
        <x:v>M07-MOMENT-0061-V1.0</x:v>
      </x:c>
      <x:c r="B426" s="20" t="str">
        <x:v>规则</x:v>
      </x:c>
      <x:c r="C426" s="20" t="str">
        <x:v>M07</x:v>
      </x:c>
      <x:c r="D426" s="20" t="str">
        <x:v>07_五行原始旺衰</x:v>
      </x:c>
      <x:c r="E426" s="20" t="str">
        <x:v>MOMENT</x:v>
      </x:c>
      <x:c r="F426" s="20" t="n">
        <x:v>61</x:v>
      </x:c>
      <x:c r="G426" s="20" t="str">
        <x:v>V1.0</x:v>
      </x:c>
      <x:c r="H426" s="20" t="str">
        <x:v>同类集中但失令无源时只列弱成势候选</x:v>
      </x:c>
      <x:c r="I426" s="20" t="str">
        <x:v>结构层</x:v>
      </x:c>
      <x:c r="J426" s="20" t="str">
        <x:v>反季节成党</x:v>
      </x:c>
      <x:c r="K426" s="20" t="str">
        <x:v>目标五行虽同党较多，但失令无源；可形成反季节党势，是否真正旺须看根气质量。</x:v>
      </x:c>
      <x:c r="L426" s="20" t="str">
        <x:v>中等</x:v>
      </x:c>
      <x:c r="M426" s="20" t="str">
        <x:v>采用</x:v>
      </x:c>
      <x:c r="N426" s="20" t="str">
        <x:v>初审</x:v>
      </x:c>
      <x:c r="O426" s="22" t="n">
        <x:v>46255</x:v>
      </x:c>
      <x:c r="P426" s="20" t="str">
        <x:v>经典原则经结构化整理；参见：https://zh.wikisource.org/zh-hans/滴天髓</x:v>
      </x:c>
    </x:row>
    <x:row r="427">
      <x:c r="A427" s="20" t="str">
        <x:v>M07-MOMENT-0062-V1.0</x:v>
      </x:c>
      <x:c r="B427" s="20" t="str">
        <x:v>规则</x:v>
      </x:c>
      <x:c r="C427" s="20" t="str">
        <x:v>M07</x:v>
      </x:c>
      <x:c r="D427" s="20" t="str">
        <x:v>07_五行原始旺衰</x:v>
      </x:c>
      <x:c r="E427" s="20" t="str">
        <x:v>MOMENT</x:v>
      </x:c>
      <x:c r="F427" s="20" t="n">
        <x:v>62</x:v>
      </x:c>
      <x:c r="G427" s="20" t="str">
        <x:v>V1.0</x:v>
      </x:c>
      <x:c r="H427" s="20" t="str">
        <x:v>三合三会之化出五行不得在M07提前计入</x:v>
      </x:c>
      <x:c r="I427" s="20" t="str">
        <x:v>结构层</x:v>
      </x:c>
      <x:c r="J427" s="20" t="str">
        <x:v>原始五行保真</x:v>
      </x:c>
      <x:c r="K427" s="20" t="str">
        <x:v>M07按各干支原始五行计力；三合三会是否转化成局，须待M06确认后进入M08。</x:v>
      </x:c>
      <x:c r="L427" s="20" t="str">
        <x:v>确定</x:v>
      </x:c>
      <x:c r="M427" s="20" t="str">
        <x:v>采用</x:v>
      </x:c>
      <x:c r="N427" s="20" t="str">
        <x:v>初审</x:v>
      </x:c>
      <x:c r="O427" s="22" t="n">
        <x:v>46255</x:v>
      </x:c>
      <x:c r="P427" s="20" t="str">
        <x:v>经典原则经结构化整理；参见：https://zh.wikisource.org/zh-hans/滴天髓</x:v>
      </x:c>
    </x:row>
    <x:row r="428">
      <x:c r="A428" s="20" t="str">
        <x:v>M07-MOMENT-0063-V1.0</x:v>
      </x:c>
      <x:c r="B428" s="20" t="str">
        <x:v>规则</x:v>
      </x:c>
      <x:c r="C428" s="20" t="str">
        <x:v>M07</x:v>
      </x:c>
      <x:c r="D428" s="20" t="str">
        <x:v>07_五行原始旺衰</x:v>
      </x:c>
      <x:c r="E428" s="20" t="str">
        <x:v>MOMENT</x:v>
      </x:c>
      <x:c r="F428" s="20" t="n">
        <x:v>63</x:v>
      </x:c>
      <x:c r="G428" s="20" t="str">
        <x:v>V1.0</x:v>
      </x:c>
      <x:c r="H428" s="20" t="str">
        <x:v>成势后仍须保留克泄耗与弱项反证</x:v>
      </x:c>
      <x:c r="I428" s="20" t="str">
        <x:v>结构层</x:v>
      </x:c>
      <x:c r="J428" s="20" t="str">
        <x:v>成势反证</x:v>
      </x:c>
      <x:c r="K428" s="20" t="str">
        <x:v>目标五行具成势候选，同时保留反向证据；最终等级根据支持与反证的独立性裁定。</x:v>
      </x:c>
      <x:c r="L428" s="20" t="str">
        <x:v>较高</x:v>
      </x:c>
      <x:c r="M428" s="20" t="str">
        <x:v>采用</x:v>
      </x:c>
      <x:c r="N428" s="20" t="str">
        <x:v>初审</x:v>
      </x:c>
      <x:c r="O428" s="22" t="n">
        <x:v>46255</x:v>
      </x:c>
      <x:c r="P428" s="20" t="str">
        <x:v>经典原则经结构化整理；参见：https://zh.wikisource.org/zh-hans/滴天髓</x:v>
      </x:c>
    </x:row>
    <x:row r="429">
      <x:c r="A429" s="20" t="str">
        <x:v>M07-MOMENT-0064-V1.0</x:v>
      </x:c>
      <x:c r="B429" s="20" t="str">
        <x:v>规则</x:v>
      </x:c>
      <x:c r="C429" s="20" t="str">
        <x:v>M07</x:v>
      </x:c>
      <x:c r="D429" s="20" t="str">
        <x:v>07_五行原始旺衰</x:v>
      </x:c>
      <x:c r="E429" s="20" t="str">
        <x:v>MOMENT</x:v>
      </x:c>
      <x:c r="F429" s="20" t="n">
        <x:v>64</x:v>
      </x:c>
      <x:c r="G429" s="20" t="str">
        <x:v>V1.0</x:v>
      </x:c>
      <x:c r="H429" s="20" t="str">
        <x:v>成势是综合结论不得继续把全部子证据线性相加</x:v>
      </x:c>
      <x:c r="I429" s="20" t="str">
        <x:v>结构层</x:v>
      </x:c>
      <x:c r="J429" s="20" t="str">
        <x:v>成势汇总</x:v>
      </x:c>
      <x:c r="K429" s="20" t="str">
        <x:v>成势是令根透源党汇合后的综合标签，不应在子证据总和之外再作为独立满额加权。</x:v>
      </x:c>
      <x:c r="L429" s="20" t="str">
        <x:v>较高</x:v>
      </x:c>
      <x:c r="M429" s="20" t="str">
        <x:v>采用</x:v>
      </x:c>
      <x:c r="N429" s="20" t="str">
        <x:v>初审</x:v>
      </x:c>
      <x:c r="O429" s="22" t="n">
        <x:v>46255</x:v>
      </x:c>
      <x:c r="P429" s="20" t="str">
        <x:v>经典原则经结构化整理；参见：https://zh.wikisource.org/zh-hans/滴天髓</x:v>
      </x:c>
    </x:row>
    <x:row r="430">
      <x:c r="A430" s="20" t="str">
        <x:v>M07-CHAIN-0065-V1.0</x:v>
      </x:c>
      <x:c r="B430" s="20" t="str">
        <x:v>规则</x:v>
      </x:c>
      <x:c r="C430" s="20" t="str">
        <x:v>M07</x:v>
      </x:c>
      <x:c r="D430" s="20" t="str">
        <x:v>07_五行原始旺衰</x:v>
      </x:c>
      <x:c r="E430" s="20" t="str">
        <x:v>CHAIN</x:v>
      </x:c>
      <x:c r="F430" s="20" t="n">
        <x:v>65</x:v>
      </x:c>
      <x:c r="G430" s="20" t="str">
        <x:v>V1.0</x:v>
      </x:c>
      <x:c r="H430" s="20" t="str">
        <x:v>生源到目标的直接一段链最具原始传递效率</x:v>
      </x:c>
      <x:c r="I430" s="20" t="str">
        <x:v>结构层</x:v>
      </x:c>
      <x:c r="J430" s="20" t="str">
        <x:v>直接生扶链</x:v>
      </x:c>
      <x:c r="K430" s="20" t="str">
        <x:v>原局存在生源直接流向目标的一段链；母强子能承接时，原始生扶较有效。</x:v>
      </x:c>
      <x:c r="L430" s="20" t="str">
        <x:v>较高</x:v>
      </x:c>
      <x:c r="M430" s="20" t="str">
        <x:v>采用</x:v>
      </x:c>
      <x:c r="N430" s="20" t="str">
        <x:v>初审</x:v>
      </x:c>
      <x:c r="O430" s="22" t="n">
        <x:v>46255</x:v>
      </x:c>
      <x:c r="P430" s="20" t="str">
        <x:v>经典原则经结构化整理；参见：https://zh.wikisource.org/zh-hans/滴天髓</x:v>
      </x:c>
    </x:row>
    <x:row r="431">
      <x:c r="A431" s="20" t="str">
        <x:v>M07-CHAIN-0066-V1.0</x:v>
      </x:c>
      <x:c r="B431" s="20" t="str">
        <x:v>规则</x:v>
      </x:c>
      <x:c r="C431" s="20" t="str">
        <x:v>M07</x:v>
      </x:c>
      <x:c r="D431" s="20" t="str">
        <x:v>07_五行原始旺衰</x:v>
      </x:c>
      <x:c r="E431" s="20" t="str">
        <x:v>CHAIN</x:v>
      </x:c>
      <x:c r="F431" s="20" t="n">
        <x:v>66</x:v>
      </x:c>
      <x:c r="G431" s="20" t="str">
        <x:v>V1.0</x:v>
      </x:c>
      <x:c r="H431" s="20" t="str">
        <x:v>两段连续链须中间五行真实存在且有承载</x:v>
      </x:c>
      <x:c r="I431" s="20" t="str">
        <x:v>结构层</x:v>
      </x:c>
      <x:c r="J431" s="20" t="str">
        <x:v>两段生扶链</x:v>
      </x:c>
      <x:c r="K431" s="20" t="str">
        <x:v>上游经中间五行生到目标，链条完整可提供连续支持；中间节点决定链的上限。</x:v>
      </x:c>
      <x:c r="L431" s="20" t="str">
        <x:v>中等</x:v>
      </x:c>
      <x:c r="M431" s="20" t="str">
        <x:v>采用</x:v>
      </x:c>
      <x:c r="N431" s="20" t="str">
        <x:v>初审</x:v>
      </x:c>
      <x:c r="O431" s="22" t="n">
        <x:v>46255</x:v>
      </x:c>
      <x:c r="P431" s="20" t="str">
        <x:v>经典原则经结构化整理；参见：https://zh.wikisource.org/zh-hans/滴天髓</x:v>
      </x:c>
    </x:row>
    <x:row r="432">
      <x:c r="A432" s="20" t="str">
        <x:v>M07-CHAIN-0067-V1.0</x:v>
      </x:c>
      <x:c r="B432" s="20" t="str">
        <x:v>规则</x:v>
      </x:c>
      <x:c r="C432" s="20" t="str">
        <x:v>M07</x:v>
      </x:c>
      <x:c r="D432" s="20" t="str">
        <x:v>07_五行原始旺衰</x:v>
      </x:c>
      <x:c r="E432" s="20" t="str">
        <x:v>CHAIN</x:v>
      </x:c>
      <x:c r="F432" s="20" t="n">
        <x:v>67</x:v>
      </x:c>
      <x:c r="G432" s="20" t="str">
        <x:v>V1.0</x:v>
      </x:c>
      <x:c r="H432" s="20" t="str">
        <x:v>透干连续链比全藏链显露度更高</x:v>
      </x:c>
      <x:c r="I432" s="20" t="str">
        <x:v>结构层</x:v>
      </x:c>
      <x:c r="J432" s="20" t="str">
        <x:v>显露生扶链</x:v>
      </x:c>
      <x:c r="K432" s="20" t="str">
        <x:v>生扶链在天干明现，传递路径较清楚；根气与实际阻断仍需后续判断。</x:v>
      </x:c>
      <x:c r="L432" s="20" t="str">
        <x:v>中等</x:v>
      </x:c>
      <x:c r="M432" s="20" t="str">
        <x:v>待验证</x:v>
      </x:c>
      <x:c r="N432" s="20" t="str">
        <x:v>初审</x:v>
      </x:c>
      <x:c r="O432" s="22" t="n">
        <x:v>46255</x:v>
      </x:c>
      <x:c r="P432" s="20" t="str">
        <x:v>经典原则经结构化整理；参见：https://zh.wikisource.org/zh-hans/滴天髓</x:v>
      </x:c>
    </x:row>
    <x:row r="433">
      <x:c r="A433" s="20" t="str">
        <x:v>M07-CHAIN-0068-V1.0</x:v>
      </x:c>
      <x:c r="B433" s="20" t="str">
        <x:v>规则</x:v>
      </x:c>
      <x:c r="C433" s="20" t="str">
        <x:v>M07</x:v>
      </x:c>
      <x:c r="D433" s="20" t="str">
        <x:v>07_五行原始旺衰</x:v>
      </x:c>
      <x:c r="E433" s="20" t="str">
        <x:v>CHAIN</x:v>
      </x:c>
      <x:c r="F433" s="20" t="n">
        <x:v>68</x:v>
      </x:c>
      <x:c r="G433" s="20" t="str">
        <x:v>V1.0</x:v>
      </x:c>
      <x:c r="H433" s="20" t="str">
        <x:v>全链有根时连续生扶稳定性提高</x:v>
      </x:c>
      <x:c r="I433" s="20" t="str">
        <x:v>结构层</x:v>
      </x:c>
      <x:c r="J433" s="20" t="str">
        <x:v>有根生扶链</x:v>
      </x:c>
      <x:c r="K433" s="20" t="str">
        <x:v>生扶链关键节点均有根，原始传递稳定性较高；链强度仍受最弱节点限制。</x:v>
      </x:c>
      <x:c r="L433" s="20" t="str">
        <x:v>较高</x:v>
      </x:c>
      <x:c r="M433" s="20" t="str">
        <x:v>采用</x:v>
      </x:c>
      <x:c r="N433" s="20" t="str">
        <x:v>初审</x:v>
      </x:c>
      <x:c r="O433" s="22" t="n">
        <x:v>46255</x:v>
      </x:c>
      <x:c r="P433" s="20" t="str">
        <x:v>经典原则经结构化整理；参见：https://zh.wikisource.org/zh-hans/滴天髓</x:v>
      </x:c>
    </x:row>
    <x:row r="434">
      <x:c r="A434" s="20" t="str">
        <x:v>M07-CHAIN-0069-V1.0</x:v>
      </x:c>
      <x:c r="B434" s="20" t="str">
        <x:v>规则</x:v>
      </x:c>
      <x:c r="C434" s="20" t="str">
        <x:v>M07</x:v>
      </x:c>
      <x:c r="D434" s="20" t="str">
        <x:v>07_五行原始旺衰</x:v>
      </x:c>
      <x:c r="E434" s="20" t="str">
        <x:v>CHAIN</x:v>
      </x:c>
      <x:c r="F434" s="20" t="n">
        <x:v>69</x:v>
      </x:c>
      <x:c r="G434" s="20" t="str">
        <x:v>V1.0</x:v>
      </x:c>
      <x:c r="H434" s="20" t="str">
        <x:v>中间桥梁缺失时不得判连续生扶</x:v>
      </x:c>
      <x:c r="I434" s="20" t="str">
        <x:v>结构层</x:v>
      </x:c>
      <x:c r="J434" s="20" t="str">
        <x:v>原始链断</x:v>
      </x:c>
      <x:c r="K434" s="20" t="str">
        <x:v>原局中间桥梁缺失，不能建立连续生扶链；是否需要通关由M12判断。</x:v>
      </x:c>
      <x:c r="L434" s="20" t="str">
        <x:v>确定</x:v>
      </x:c>
      <x:c r="M434" s="20" t="str">
        <x:v>采用</x:v>
      </x:c>
      <x:c r="N434" s="20" t="str">
        <x:v>初审</x:v>
      </x:c>
      <x:c r="O434" s="22" t="n">
        <x:v>46255</x:v>
      </x:c>
      <x:c r="P434" s="20" t="str">
        <x:v>经典原则经结构化整理；参见：https://zh.wikisource.org/zh-hans/滴天髓</x:v>
      </x:c>
    </x:row>
    <x:row r="435">
      <x:c r="A435" s="20" t="str">
        <x:v>M07-CHAIN-0070-V1.0</x:v>
      </x:c>
      <x:c r="B435" s="20" t="str">
        <x:v>规则</x:v>
      </x:c>
      <x:c r="C435" s="20" t="str">
        <x:v>M07</x:v>
      </x:c>
      <x:c r="D435" s="20" t="str">
        <x:v>07_五行原始旺衰</x:v>
      </x:c>
      <x:c r="E435" s="20" t="str">
        <x:v>CHAIN</x:v>
      </x:c>
      <x:c r="F435" s="20" t="n">
        <x:v>70</x:v>
      </x:c>
      <x:c r="G435" s="20" t="str">
        <x:v>V1.0</x:v>
      </x:c>
      <x:c r="H435" s="20" t="str">
        <x:v>链路越长原始传递权重越递减</x:v>
      </x:c>
      <x:c r="I435" s="20" t="str">
        <x:v>结构层</x:v>
      </x:c>
      <x:c r="J435" s="20" t="str">
        <x:v>长链衰减</x:v>
      </x:c>
      <x:c r="K435" s="20" t="str">
        <x:v>原局存在较长生扶链，末端仍可获方向性支持，但权重随链长递减并受最弱节点限制。</x:v>
      </x:c>
      <x:c r="L435" s="20" t="str">
        <x:v>中等</x:v>
      </x:c>
      <x:c r="M435" s="20" t="str">
        <x:v>采用</x:v>
      </x:c>
      <x:c r="N435" s="20" t="str">
        <x:v>初审</x:v>
      </x:c>
      <x:c r="O435" s="22" t="n">
        <x:v>46255</x:v>
      </x:c>
      <x:c r="P435" s="20" t="str">
        <x:v>经典原则经结构化整理；参见：https://zh.wikisource.org/zh-hans/滴天髓</x:v>
      </x:c>
    </x:row>
    <x:row r="436">
      <x:c r="A436" s="20" t="str">
        <x:v>M07-AGG-0071-V1.0</x:v>
      </x:c>
      <x:c r="B436" s="20" t="str">
        <x:v>规则</x:v>
      </x:c>
      <x:c r="C436" s="20" t="str">
        <x:v>M07</x:v>
      </x:c>
      <x:c r="D436" s="20" t="str">
        <x:v>07_五行原始旺衰</x:v>
      </x:c>
      <x:c r="E436" s="20" t="str">
        <x:v>AGG</x:v>
      </x:c>
      <x:c r="F436" s="20" t="n">
        <x:v>71</x:v>
      </x:c>
      <x:c r="G436" s="20" t="str">
        <x:v>V1.0</x:v>
      </x:c>
      <x:c r="H436" s="20" t="str">
        <x:v>五行原始旺衰必须按证据矩阵而非单一总分汇总</x:v>
      </x:c>
      <x:c r="I436" s="20" t="str">
        <x:v>结构层</x:v>
      </x:c>
      <x:c r="J436" s="20" t="str">
        <x:v>原始旺衰矩阵</x:v>
      </x:c>
      <x:c r="K436" s="20" t="str">
        <x:v>原始旺衰由季令、根、透、源、党、势、链的证据矩阵综合，不采用单一计数或固定总分。</x:v>
      </x:c>
      <x:c r="L436" s="20" t="str">
        <x:v>确定</x:v>
      </x:c>
      <x:c r="M436" s="20" t="str">
        <x:v>采用</x:v>
      </x:c>
      <x:c r="N436" s="20" t="str">
        <x:v>初审</x:v>
      </x:c>
      <x:c r="O436" s="22" t="n">
        <x:v>46255</x:v>
      </x:c>
      <x:c r="P436" s="20" t="str">
        <x:v>经典原则经结构化整理；参见：https://zh.wikisource.org/zh-hans/滴天髓</x:v>
      </x:c>
    </x:row>
    <x:row r="437">
      <x:c r="A437" s="20" t="str">
        <x:v>M07-AGG-0072-V1.0</x:v>
      </x:c>
      <x:c r="B437" s="20" t="str">
        <x:v>规则</x:v>
      </x:c>
      <x:c r="C437" s="20" t="str">
        <x:v>M07</x:v>
      </x:c>
      <x:c r="D437" s="20" t="str">
        <x:v>07_五行原始旺衰</x:v>
      </x:c>
      <x:c r="E437" s="20" t="str">
        <x:v>AGG</x:v>
      </x:c>
      <x:c r="F437" s="20" t="n">
        <x:v>72</x:v>
      </x:c>
      <x:c r="G437" s="20" t="str">
        <x:v>V1.0</x:v>
      </x:c>
      <x:c r="H437" s="20" t="str">
        <x:v>原始旺衰统一输出七级候选</x:v>
      </x:c>
      <x:c r="I437" s="20" t="str">
        <x:v>结构层</x:v>
      </x:c>
      <x:c r="J437" s="20" t="str">
        <x:v>七级原始旺衰</x:v>
      </x:c>
      <x:c r="K437" s="20" t="str">
        <x:v>目标五行原始旺衰暂定为【七级之一】，并附主要支持、主要反证与置信度。</x:v>
      </x:c>
      <x:c r="L437" s="20" t="str">
        <x:v>较高</x:v>
      </x:c>
      <x:c r="M437" s="20" t="str">
        <x:v>采用</x:v>
      </x:c>
      <x:c r="N437" s="20" t="str">
        <x:v>初审</x:v>
      </x:c>
      <x:c r="O437" s="22" t="n">
        <x:v>46255</x:v>
      </x:c>
      <x:c r="P437" s="20" t="str">
        <x:v>经典原则经结构化整理；参见：https://zh.wikisource.org/zh-hans/滴天髓</x:v>
      </x:c>
    </x:row>
    <x:row r="438">
      <x:c r="A438" s="20" t="str">
        <x:v>M07-AGG-0073-V1.0</x:v>
      </x:c>
      <x:c r="B438" s="20" t="str">
        <x:v>规则</x:v>
      </x:c>
      <x:c r="C438" s="20" t="str">
        <x:v>M07</x:v>
      </x:c>
      <x:c r="D438" s="20" t="str">
        <x:v>07_五行原始旺衰</x:v>
      </x:c>
      <x:c r="E438" s="20" t="str">
        <x:v>AGG</x:v>
      </x:c>
      <x:c r="F438" s="20" t="n">
        <x:v>73</x:v>
      </x:c>
      <x:c r="G438" s="20" t="str">
        <x:v>V1.0</x:v>
      </x:c>
      <x:c r="H438" s="20" t="str">
        <x:v>极弱候选须同时满足多项核心缺失或强负证据</x:v>
      </x:c>
      <x:c r="I438" s="20" t="str">
        <x:v>结构层</x:v>
      </x:c>
      <x:c r="J438" s="20" t="str">
        <x:v>极弱门槛</x:v>
      </x:c>
      <x:c r="K438" s="20" t="str">
        <x:v>目标五行只有在季令、根、透、源、党多项共同缺失或受限时，才进入极弱候选。</x:v>
      </x:c>
      <x:c r="L438" s="20" t="str">
        <x:v>较高</x:v>
      </x:c>
      <x:c r="M438" s="20" t="str">
        <x:v>采用</x:v>
      </x:c>
      <x:c r="N438" s="20" t="str">
        <x:v>初审</x:v>
      </x:c>
      <x:c r="O438" s="22" t="n">
        <x:v>46255</x:v>
      </x:c>
      <x:c r="P438" s="20" t="str">
        <x:v>经典原则经结构化整理；参见：https://zh.wikisource.org/zh-hans/滴天髓</x:v>
      </x:c>
    </x:row>
    <x:row r="439">
      <x:c r="A439" s="20" t="str">
        <x:v>M07-AGG-0074-V1.0</x:v>
      </x:c>
      <x:c r="B439" s="20" t="str">
        <x:v>规则</x:v>
      </x:c>
      <x:c r="C439" s="20" t="str">
        <x:v>M07</x:v>
      </x:c>
      <x:c r="D439" s="20" t="str">
        <x:v>07_五行原始旺衰</x:v>
      </x:c>
      <x:c r="E439" s="20" t="str">
        <x:v>AGG</x:v>
      </x:c>
      <x:c r="F439" s="20" t="n">
        <x:v>74</x:v>
      </x:c>
      <x:c r="G439" s="20" t="str">
        <x:v>V1.0</x:v>
      </x:c>
      <x:c r="H439" s="20" t="str">
        <x:v>极旺候选须具多维汇合且缺少有效反证</x:v>
      </x:c>
      <x:c r="I439" s="20" t="str">
        <x:v>结构层</x:v>
      </x:c>
      <x:c r="J439" s="20" t="str">
        <x:v>极旺门槛</x:v>
      </x:c>
      <x:c r="K439" s="20" t="str">
        <x:v>目标五行需令、根、透、源、党、势多维高度汇合且缺乏强反证，才可判极旺候选。</x:v>
      </x:c>
      <x:c r="L439" s="20" t="str">
        <x:v>较高</x:v>
      </x:c>
      <x:c r="M439" s="20" t="str">
        <x:v>采用</x:v>
      </x:c>
      <x:c r="N439" s="20" t="str">
        <x:v>初审</x:v>
      </x:c>
      <x:c r="O439" s="22" t="n">
        <x:v>46255</x:v>
      </x:c>
      <x:c r="P439" s="20" t="str">
        <x:v>经典原则经结构化整理；参见：https://zh.wikisource.org/zh-hans/滴天髓</x:v>
      </x:c>
    </x:row>
    <x:row r="440">
      <x:c r="A440" s="20" t="str">
        <x:v>M07-AGG-0075-V1.0</x:v>
      </x:c>
      <x:c r="B440" s="20" t="str">
        <x:v>规则</x:v>
      </x:c>
      <x:c r="C440" s="20" t="str">
        <x:v>M07</x:v>
      </x:c>
      <x:c r="D440" s="20" t="str">
        <x:v>07_五行原始旺衰</x:v>
      </x:c>
      <x:c r="E440" s="20" t="str">
        <x:v>AGG</x:v>
      </x:c>
      <x:c r="F440" s="20" t="n">
        <x:v>75</x:v>
      </x:c>
      <x:c r="G440" s="20" t="str">
        <x:v>V1.0</x:v>
      </x:c>
      <x:c r="H440" s="20" t="str">
        <x:v>正负证据接近时使用中和三区间并说明偏向</x:v>
      </x:c>
      <x:c r="I440" s="20" t="str">
        <x:v>结构层</x:v>
      </x:c>
      <x:c r="J440" s="20" t="str">
        <x:v>中和区间</x:v>
      </x:c>
      <x:c r="K440" s="20" t="str">
        <x:v>目标五行正负证据相近，按略占优势的一方定为中和偏弱、中和或中和偏旺，并明确反证。</x:v>
      </x:c>
      <x:c r="L440" s="20" t="str">
        <x:v>较高</x:v>
      </x:c>
      <x:c r="M440" s="20" t="str">
        <x:v>采用</x:v>
      </x:c>
      <x:c r="N440" s="20" t="str">
        <x:v>初审</x:v>
      </x:c>
      <x:c r="O440" s="22" t="n">
        <x:v>46255</x:v>
      </x:c>
      <x:c r="P440" s="20" t="str">
        <x:v>经典原则经结构化整理；参见：https://zh.wikisource.org/zh-hans/滴天髓</x:v>
      </x:c>
    </x:row>
    <x:row r="441">
      <x:c r="A441" s="20" t="str">
        <x:v>M07-AGG-0076-V1.0</x:v>
      </x:c>
      <x:c r="B441" s="20" t="str">
        <x:v>规则</x:v>
      </x:c>
      <x:c r="C441" s="20" t="str">
        <x:v>M07</x:v>
      </x:c>
      <x:c r="D441" s="20" t="str">
        <x:v>07_五行原始旺衰</x:v>
      </x:c>
      <x:c r="E441" s="20" t="str">
        <x:v>AGG</x:v>
      </x:c>
      <x:c r="F441" s="20" t="n">
        <x:v>76</x:v>
      </x:c>
      <x:c r="G441" s="20" t="str">
        <x:v>V1.0</x:v>
      </x:c>
      <x:c r="H441" s="20" t="str">
        <x:v>原始旺衰输出必须包含主证、反证、等级与置信度</x:v>
      </x:c>
      <x:c r="I441" s="20" t="str">
        <x:v>结构层</x:v>
      </x:c>
      <x:c r="J441" s="20" t="str">
        <x:v>原始旺衰输出</x:v>
      </x:c>
      <x:c r="K441" s="20" t="str">
        <x:v>原始旺衰：【等级】；主证：【令/根/透/源/党/势】；反证：【内容】；置信度：【等级】。</x:v>
      </x:c>
      <x:c r="L441" s="20" t="str">
        <x:v>确定</x:v>
      </x:c>
      <x:c r="M441" s="20" t="str">
        <x:v>采用</x:v>
      </x:c>
      <x:c r="N441" s="20" t="str">
        <x:v>初审</x:v>
      </x:c>
      <x:c r="O441" s="22" t="n">
        <x:v>46255</x:v>
      </x:c>
      <x:c r="P441" s="20" t="str">
        <x:v>经典原则经结构化整理；参见：https://zh.wikisource.org/zh-hans/滴天髓</x:v>
      </x:c>
    </x:row>
    <x:row r="442">
      <x:c r="A442" s="20" t="str">
        <x:v>M07-BOUND-0077-V1.0</x:v>
      </x:c>
      <x:c r="B442" s="20" t="str">
        <x:v>规则</x:v>
      </x:c>
      <x:c r="C442" s="20" t="str">
        <x:v>M07</x:v>
      </x:c>
      <x:c r="D442" s="20" t="str">
        <x:v>07_五行原始旺衰</x:v>
      </x:c>
      <x:c r="E442" s="20" t="str">
        <x:v>BOUND</x:v>
      </x:c>
      <x:c r="F442" s="20" t="n">
        <x:v>77</x:v>
      </x:c>
      <x:c r="G442" s="20" t="str">
        <x:v>V1.0</x:v>
      </x:c>
      <x:c r="H442" s="20" t="str">
        <x:v>M07不得提前应用合冲刑害造成的增减与改性</x:v>
      </x:c>
      <x:c r="I442" s="20" t="str">
        <x:v>结构层</x:v>
      </x:c>
      <x:c r="J442" s="20" t="str">
        <x:v>原始层边界</x:v>
      </x:c>
      <x:c r="K442" s="20" t="str">
        <x:v>本模块仅评估关系修正前的原始力量；合冲刑害的增减、冻结、激活与改性由M08处理。</x:v>
      </x:c>
      <x:c r="L442" s="20" t="str">
        <x:v>确定</x:v>
      </x:c>
      <x:c r="M442" s="20" t="str">
        <x:v>采用</x:v>
      </x:c>
      <x:c r="N442" s="20" t="str">
        <x:v>初审</x:v>
      </x:c>
      <x:c r="O442" s="22" t="n">
        <x:v>46255</x:v>
      </x:c>
      <x:c r="P442" s="20" t="str">
        <x:v>经典原则经结构化整理；参见：https://zh.wikisource.org/zh-hans/滴天髓</x:v>
      </x:c>
    </x:row>
    <x:row r="443">
      <x:c r="A443" s="20" t="str">
        <x:v>M07-BOUND-0078-V1.0</x:v>
      </x:c>
      <x:c r="B443" s="20" t="str">
        <x:v>规则</x:v>
      </x:c>
      <x:c r="C443" s="20" t="str">
        <x:v>M07</x:v>
      </x:c>
      <x:c r="D443" s="20" t="str">
        <x:v>07_五行原始旺衰</x:v>
      </x:c>
      <x:c r="E443" s="20" t="str">
        <x:v>BOUND</x:v>
      </x:c>
      <x:c r="F443" s="20" t="n">
        <x:v>78</x:v>
      </x:c>
      <x:c r="G443" s="20" t="str">
        <x:v>V1.0</x:v>
      </x:c>
      <x:c r="H443" s="20" t="str">
        <x:v>参考权重不得转换为固定百分比或机械总分</x:v>
      </x:c>
      <x:c r="I443" s="20" t="str">
        <x:v>结构层</x:v>
      </x:c>
      <x:c r="J443" s="20" t="str">
        <x:v>非机械计分</x:v>
      </x:c>
      <x:c r="K443" s="20" t="str">
        <x:v>本库权重只表示证据优先级，不换算固定百分比；最终等级由条件、反证与边界规则裁定。</x:v>
      </x:c>
      <x:c r="L443" s="20" t="str">
        <x:v>确定</x:v>
      </x:c>
      <x:c r="M443" s="20" t="str">
        <x:v>采用</x:v>
      </x:c>
      <x:c r="N443" s="20" t="str">
        <x:v>初审</x:v>
      </x:c>
      <x:c r="O443" s="22" t="n">
        <x:v>46255</x:v>
      </x:c>
      <x:c r="P443" s="20" t="str">
        <x:v>经典原则经结构化整理；参见：https://zh.wikisource.org/zh-hans/滴天髓</x:v>
      </x:c>
    </x:row>
    <x:row r="444">
      <x:c r="A444" s="20" t="str">
        <x:v>M07-BOUND-0079-V1.0</x:v>
      </x:c>
      <x:c r="B444" s="20" t="str">
        <x:v>规则</x:v>
      </x:c>
      <x:c r="C444" s="20" t="str">
        <x:v>M07</x:v>
      </x:c>
      <x:c r="D444" s="20" t="str">
        <x:v>07_五行原始旺衰</x:v>
      </x:c>
      <x:c r="E444" s="20" t="str">
        <x:v>BOUND</x:v>
      </x:c>
      <x:c r="F444" s="20" t="n">
        <x:v>79</x:v>
      </x:c>
      <x:c r="G444" s="20" t="str">
        <x:v>V1.0</x:v>
      </x:c>
      <x:c r="H444" s="20" t="str">
        <x:v>原始旺衰不能直接推出喜神忌神或吉凶</x:v>
      </x:c>
      <x:c r="I444" s="20" t="str">
        <x:v>结构层</x:v>
      </x:c>
      <x:c r="J444" s="20" t="str">
        <x:v>强弱喜忌分离</x:v>
      </x:c>
      <x:c r="K444" s="20" t="str">
        <x:v>目标五行原始强弱只描述力量，不直接决定吉凶与喜忌；用神判断须进入M17/M18。</x:v>
      </x:c>
      <x:c r="L444" s="20" t="str">
        <x:v>确定</x:v>
      </x:c>
      <x:c r="M444" s="20" t="str">
        <x:v>采用</x:v>
      </x:c>
      <x:c r="N444" s="20" t="str">
        <x:v>初审</x:v>
      </x:c>
      <x:c r="O444" s="22" t="n">
        <x:v>46255</x:v>
      </x:c>
      <x:c r="P444" s="20" t="str">
        <x:v>经典原则经结构化整理；参见：https://zh.wikisource.org/zh-hans/滴天髓</x:v>
      </x:c>
    </x:row>
    <x:row r="445">
      <x:c r="A445" s="20" t="str">
        <x:v>M07-BOUND-0080-V1.0</x:v>
      </x:c>
      <x:c r="B445" s="20" t="str">
        <x:v>规则</x:v>
      </x:c>
      <x:c r="C445" s="20" t="str">
        <x:v>M07</x:v>
      </x:c>
      <x:c r="D445" s="20" t="str">
        <x:v>07_五行原始旺衰</x:v>
      </x:c>
      <x:c r="E445" s="20" t="str">
        <x:v>BOUND</x:v>
      </x:c>
      <x:c r="F445" s="20" t="n">
        <x:v>80</x:v>
      </x:c>
      <x:c r="G445" s="20" t="str">
        <x:v>V1.0</x:v>
      </x:c>
      <x:c r="H445" s="20" t="str">
        <x:v>共享节点与共源证据不得重复全额调用</x:v>
      </x:c>
      <x:c r="I445" s="20" t="str">
        <x:v>结构层</x:v>
      </x:c>
      <x:c r="J445" s="20" t="str">
        <x:v>证据容量约束</x:v>
      </x:c>
      <x:c r="K445" s="20" t="str">
        <x:v>同一干支可承担多个解释标签，但有效证据容量不能被重复全额调用；独立节点才形成新增支持。</x:v>
      </x:c>
      <x:c r="L445" s="20" t="str">
        <x:v>确定</x:v>
      </x:c>
      <x:c r="M445" s="20" t="str">
        <x:v>采用</x:v>
      </x:c>
      <x:c r="N445" s="20" t="str">
        <x:v>初审</x:v>
      </x:c>
      <x:c r="O445" s="22" t="n">
        <x:v>46255</x:v>
      </x:c>
      <x:c r="P445" s="20" t="str">
        <x:v>经典原则经结构化整理；参见：https://zh.wikisource.org/zh-hans/滴天髓</x:v>
      </x:c>
    </x:row>
    <x:row r="446">
      <x:c r="A446" s="20" t="str">
        <x:v>M08-ROOT-0001-V1.0</x:v>
      </x:c>
      <x:c r="B446" s="20" t="str">
        <x:v>规则</x:v>
      </x:c>
      <x:c r="C446" s="20" t="str">
        <x:v>M08</x:v>
      </x:c>
      <x:c r="D446" s="20" t="str">
        <x:v>08_五行有效旺衰</x:v>
      </x:c>
      <x:c r="E446" s="20" t="str">
        <x:v>ROOT</x:v>
      </x:c>
      <x:c r="F446" s="20" t="n">
        <x:v>1</x:v>
      </x:c>
      <x:c r="G446" s="20" t="str">
        <x:v>V1.0</x:v>
      </x:c>
      <x:c r="H446" s="20" t="str">
        <x:v>唯一强根未被实质破坏时保留主要承载力</x:v>
      </x:c>
      <x:c r="I446" s="20" t="str">
        <x:v>结构层</x:v>
      </x:c>
      <x:c r="J446" s="20" t="str">
        <x:v>有效根保留</x:v>
      </x:c>
      <x:c r="K446" s="20" t="str">
        <x:v>强根受扰但未被实质破坏，仍保留主要承载力。</x:v>
      </x:c>
      <x:c r="L446" s="20" t="str">
        <x:v>较高</x:v>
      </x:c>
      <x:c r="M446" s="20" t="str">
        <x:v>采用</x:v>
      </x:c>
      <x:c r="N446" s="20" t="str">
        <x:v>初审</x:v>
      </x:c>
      <x:c r="O446" s="22" t="n">
        <x:v>46255</x:v>
      </x:c>
      <x:c r="P446" s="20" t="str">
        <x:v>https://zh.wikisource.org/zh-hans/滴天髓 ; https://zh.wikisource.org/zh-hans/淵海子平 ; https://zh.wikisource.org/wiki/三命通會</x:v>
      </x:c>
    </x:row>
    <x:row r="447">
      <x:c r="A447" s="20" t="str">
        <x:v>M08-ROOT-0002-V1.0</x:v>
      </x:c>
      <x:c r="B447" s="20" t="str">
        <x:v>规则</x:v>
      </x:c>
      <x:c r="C447" s="20" t="str">
        <x:v>M08</x:v>
      </x:c>
      <x:c r="D447" s="20" t="str">
        <x:v>08_五行有效旺衰</x:v>
      </x:c>
      <x:c r="E447" s="20" t="str">
        <x:v>ROOT</x:v>
      </x:c>
      <x:c r="F447" s="20" t="n">
        <x:v>2</x:v>
      </x:c>
      <x:c r="G447" s="20" t="str">
        <x:v>V1.0</x:v>
      </x:c>
      <x:c r="H447" s="20" t="str">
        <x:v>唯一弱根被强力冲散时可判有效根失效</x:v>
      </x:c>
      <x:c r="I447" s="20" t="str">
        <x:v>结构层</x:v>
      </x:c>
      <x:c r="J447" s="20" t="str">
        <x:v>唯一弱根失效</x:v>
      </x:c>
      <x:c r="K447" s="20" t="str">
        <x:v>唯一弱根被强势冲散且无救应时，原有得地证据失效。</x:v>
      </x:c>
      <x:c r="L447" s="20" t="str">
        <x:v>较高</x:v>
      </x:c>
      <x:c r="M447" s="20" t="str">
        <x:v>采用</x:v>
      </x:c>
      <x:c r="N447" s="20" t="str">
        <x:v>初审</x:v>
      </x:c>
      <x:c r="O447" s="22" t="n">
        <x:v>46255</x:v>
      </x:c>
      <x:c r="P447" s="20" t="str">
        <x:v>https://zh.wikisource.org/zh-hans/滴天髓 ; https://zh.wikisource.org/zh-hans/淵海子平 ; https://zh.wikisource.org/wiki/三命通會</x:v>
      </x:c>
    </x:row>
    <x:row r="448">
      <x:c r="A448" s="20" t="str">
        <x:v>M08-ROOT-0003-V1.0</x:v>
      </x:c>
      <x:c r="B448" s="20" t="str">
        <x:v>规则</x:v>
      </x:c>
      <x:c r="C448" s="20" t="str">
        <x:v>M08</x:v>
      </x:c>
      <x:c r="D448" s="20" t="str">
        <x:v>08_五行有效旺衰</x:v>
      </x:c>
      <x:c r="E448" s="20" t="str">
        <x:v>ROOT</x:v>
      </x:c>
      <x:c r="F448" s="20" t="n">
        <x:v>3</x:v>
      </x:c>
      <x:c r="G448" s="20" t="str">
        <x:v>V1.0</x:v>
      </x:c>
      <x:c r="H448" s="20" t="str">
        <x:v>强根受冲且得令有援多表现为冲动而非拔根</x:v>
      </x:c>
      <x:c r="I448" s="20" t="str">
        <x:v>结构层</x:v>
      </x:c>
      <x:c r="J448" s="20" t="str">
        <x:v>强根受冲保留</x:v>
      </x:c>
      <x:c r="K448" s="20" t="str">
        <x:v>强根受冲但得令有援，主要表现为被引动与稳定性下降。</x:v>
      </x:c>
      <x:c r="L448" s="20" t="str">
        <x:v>较高</x:v>
      </x:c>
      <x:c r="M448" s="20" t="str">
        <x:v>采用</x:v>
      </x:c>
      <x:c r="N448" s="20" t="str">
        <x:v>初审</x:v>
      </x:c>
      <x:c r="O448" s="22" t="n">
        <x:v>46255</x:v>
      </x:c>
      <x:c r="P448" s="20" t="str">
        <x:v>https://zh.wikisource.org/zh-hans/滴天髓 ; https://zh.wikisource.org/zh-hans/淵海子平 ; https://zh.wikisource.org/wiki/三命通會</x:v>
      </x:c>
    </x:row>
    <x:row r="449">
      <x:c r="A449" s="20" t="str">
        <x:v>M08-ROOT-0004-V1.0</x:v>
      </x:c>
      <x:c r="B449" s="20" t="str">
        <x:v>规则</x:v>
      </x:c>
      <x:c r="C449" s="20" t="str">
        <x:v>M08</x:v>
      </x:c>
      <x:c r="D449" s="20" t="str">
        <x:v>08_五行有效旺衰</x:v>
      </x:c>
      <x:c r="E449" s="20" t="str">
        <x:v>ROOT</x:v>
      </x:c>
      <x:c r="F449" s="20" t="n">
        <x:v>4</x:v>
      </x:c>
      <x:c r="G449" s="20" t="str">
        <x:v>V1.0</x:v>
      </x:c>
      <x:c r="H449" s="20" t="str">
        <x:v>多重独立根可分散单一根受损风险</x:v>
      </x:c>
      <x:c r="I449" s="20" t="str">
        <x:v>结构层</x:v>
      </x:c>
      <x:c r="J449" s="20" t="str">
        <x:v>多根风险分散</x:v>
      </x:c>
      <x:c r="K449" s="20" t="str">
        <x:v>多处独立根中一根受损，不应扩大为全部根气失效。</x:v>
      </x:c>
      <x:c r="L449" s="20" t="str">
        <x:v>较高</x:v>
      </x:c>
      <x:c r="M449" s="20" t="str">
        <x:v>采用</x:v>
      </x:c>
      <x:c r="N449" s="20" t="str">
        <x:v>初审</x:v>
      </x:c>
      <x:c r="O449" s="22" t="n">
        <x:v>46255</x:v>
      </x:c>
      <x:c r="P449" s="20" t="str">
        <x:v>https://zh.wikisource.org/zh-hans/滴天髓 ; https://zh.wikisource.org/zh-hans/淵海子平 ; https://zh.wikisource.org/wiki/三命通會</x:v>
      </x:c>
    </x:row>
    <x:row r="450">
      <x:c r="A450" s="20" t="str">
        <x:v>M08-ROOT-0005-V1.0</x:v>
      </x:c>
      <x:c r="B450" s="20" t="str">
        <x:v>规则</x:v>
      </x:c>
      <x:c r="C450" s="20" t="str">
        <x:v>M08</x:v>
      </x:c>
      <x:c r="D450" s="20" t="str">
        <x:v>08_五行有效旺衰</x:v>
      </x:c>
      <x:c r="E450" s="20" t="str">
        <x:v>ROOT</x:v>
      </x:c>
      <x:c r="F450" s="20" t="n">
        <x:v>5</x:v>
      </x:c>
      <x:c r="G450" s="20" t="str">
        <x:v>V1.0</x:v>
      </x:c>
      <x:c r="H450" s="20" t="str">
        <x:v>根支合绊通常先限制功能而非删除根性</x:v>
      </x:c>
      <x:c r="I450" s="20" t="str">
        <x:v>结构层</x:v>
      </x:c>
      <x:c r="J450" s="20" t="str">
        <x:v>根气合绊</x:v>
      </x:c>
      <x:c r="K450" s="20" t="str">
        <x:v>根支被合绊时仍保留原五行根性，但调用受限。</x:v>
      </x:c>
      <x:c r="L450" s="20" t="str">
        <x:v>较高</x:v>
      </x:c>
      <x:c r="M450" s="20" t="str">
        <x:v>采用</x:v>
      </x:c>
      <x:c r="N450" s="20" t="str">
        <x:v>初审</x:v>
      </x:c>
      <x:c r="O450" s="22" t="n">
        <x:v>46255</x:v>
      </x:c>
      <x:c r="P450" s="20" t="str">
        <x:v>https://zh.wikisource.org/zh-hans/滴天髓 ; https://zh.wikisource.org/zh-hans/淵海子平 ; https://zh.wikisource.org/wiki/三命通會</x:v>
      </x:c>
    </x:row>
    <x:row r="451">
      <x:c r="A451" s="20" t="str">
        <x:v>M08-ROOT-0006-V1.0</x:v>
      </x:c>
      <x:c r="B451" s="20" t="str">
        <x:v>规则</x:v>
      </x:c>
      <x:c r="C451" s="20" t="str">
        <x:v>M08</x:v>
      </x:c>
      <x:c r="D451" s="20" t="str">
        <x:v>08_五行有效旺衰</x:v>
      </x:c>
      <x:c r="E451" s="20" t="str">
        <x:v>ROOT</x:v>
      </x:c>
      <x:c r="F451" s="20" t="n">
        <x:v>6</x:v>
      </x:c>
      <x:c r="G451" s="20" t="str">
        <x:v>V1.0</x:v>
      </x:c>
      <x:c r="H451" s="20" t="str">
        <x:v>根支合化成立时原五行根性按改性程度下调</x:v>
      </x:c>
      <x:c r="I451" s="20" t="str">
        <x:v>结构层</x:v>
      </x:c>
      <x:c r="J451" s="20" t="str">
        <x:v>根气合化改性</x:v>
      </x:c>
      <x:c r="K451" s="20" t="str">
        <x:v>根支实质合化后，原五行根性需按改性程度下调。</x:v>
      </x:c>
      <x:c r="L451" s="20" t="str">
        <x:v>较高</x:v>
      </x:c>
      <x:c r="M451" s="20" t="str">
        <x:v>采用</x:v>
      </x:c>
      <x:c r="N451" s="20" t="str">
        <x:v>初审</x:v>
      </x:c>
      <x:c r="O451" s="22" t="n">
        <x:v>46255</x:v>
      </x:c>
      <x:c r="P451" s="20" t="str">
        <x:v>https://zh.wikisource.org/zh-hans/滴天髓 ; https://zh.wikisource.org/zh-hans/淵海子平 ; https://zh.wikisource.org/wiki/三命通會</x:v>
      </x:c>
    </x:row>
    <x:row r="452">
      <x:c r="A452" s="20" t="str">
        <x:v>M08-ROOT-0007-V1.0</x:v>
      </x:c>
      <x:c r="B452" s="20" t="str">
        <x:v>规则</x:v>
      </x:c>
      <x:c r="C452" s="20" t="str">
        <x:v>M08</x:v>
      </x:c>
      <x:c r="D452" s="20" t="str">
        <x:v>08_五行有效旺衰</x:v>
      </x:c>
      <x:c r="E452" s="20" t="str">
        <x:v>ROOT</x:v>
      </x:c>
      <x:c r="F452" s="20" t="n">
        <x:v>7</x:v>
      </x:c>
      <x:c r="G452" s="20" t="str">
        <x:v>V1.0</x:v>
      </x:c>
      <x:c r="H452" s="20" t="str">
        <x:v>根支被刑以刑动为主时不自动减根</x:v>
      </x:c>
      <x:c r="I452" s="20" t="str">
        <x:v>结构层</x:v>
      </x:c>
      <x:c r="J452" s="20" t="str">
        <x:v>刑动不拔根</x:v>
      </x:c>
      <x:c r="K452" s="20" t="str">
        <x:v>刑动本身不等于根气受损，无强制约时根仍有效。</x:v>
      </x:c>
      <x:c r="L452" s="20" t="str">
        <x:v>较高</x:v>
      </x:c>
      <x:c r="M452" s="20" t="str">
        <x:v>采用</x:v>
      </x:c>
      <x:c r="N452" s="20" t="str">
        <x:v>初审</x:v>
      </x:c>
      <x:c r="O452" s="22" t="n">
        <x:v>46255</x:v>
      </x:c>
      <x:c r="P452" s="20" t="str">
        <x:v>https://zh.wikisource.org/zh-hans/滴天髓 ; https://zh.wikisource.org/zh-hans/淵海子平 ; https://zh.wikisource.org/wiki/三命通會</x:v>
      </x:c>
    </x:row>
    <x:row r="453">
      <x:c r="A453" s="20" t="str">
        <x:v>M08-ROOT-0008-V1.0</x:v>
      </x:c>
      <x:c r="B453" s="20" t="str">
        <x:v>规则</x:v>
      </x:c>
      <x:c r="C453" s="20" t="str">
        <x:v>M08</x:v>
      </x:c>
      <x:c r="D453" s="20" t="str">
        <x:v>08_五行有效旺衰</x:v>
      </x:c>
      <x:c r="E453" s="20" t="str">
        <x:v>ROOT</x:v>
      </x:c>
      <x:c r="F453" s="20" t="n">
        <x:v>8</x:v>
      </x:c>
      <x:c r="G453" s="20" t="str">
        <x:v>V1.0</x:v>
      </x:c>
      <x:c r="H453" s="20" t="str">
        <x:v>刑伤叠加强克时可下调根气有效等级</x:v>
      </x:c>
      <x:c r="I453" s="20" t="str">
        <x:v>结构层</x:v>
      </x:c>
      <x:c r="J453" s="20" t="str">
        <x:v>刑伤根气修正</x:v>
      </x:c>
      <x:c r="K453" s="20" t="str">
        <x:v>刑伤叠加强克时可明显下调根气，但需去除同源重复计权。</x:v>
      </x:c>
      <x:c r="L453" s="20" t="str">
        <x:v>较高</x:v>
      </x:c>
      <x:c r="M453" s="20" t="str">
        <x:v>采用</x:v>
      </x:c>
      <x:c r="N453" s="20" t="str">
        <x:v>初审</x:v>
      </x:c>
      <x:c r="O453" s="22" t="n">
        <x:v>46255</x:v>
      </x:c>
      <x:c r="P453" s="20" t="str">
        <x:v>https://zh.wikisource.org/zh-hans/滴天髓 ; https://zh.wikisource.org/zh-hans/淵海子平 ; https://zh.wikisource.org/wiki/三命通會</x:v>
      </x:c>
    </x:row>
    <x:row r="454">
      <x:c r="A454" s="20" t="str">
        <x:v>M08-ROOT-0009-V1.0</x:v>
      </x:c>
      <x:c r="B454" s="20" t="str">
        <x:v>规则</x:v>
      </x:c>
      <x:c r="C454" s="20" t="str">
        <x:v>M08</x:v>
      </x:c>
      <x:c r="D454" s="20" t="str">
        <x:v>08_五行有效旺衰</x:v>
      </x:c>
      <x:c r="E454" s="20" t="str">
        <x:v>ROOT</x:v>
      </x:c>
      <x:c r="F454" s="20" t="n">
        <x:v>9</x:v>
      </x:c>
      <x:c r="G454" s="20" t="str">
        <x:v>V1.0</x:v>
      </x:c>
      <x:c r="H454" s="20" t="str">
        <x:v>害破通常只作低至中度根气修正</x:v>
      </x:c>
      <x:c r="I454" s="20" t="str">
        <x:v>结构层</x:v>
      </x:c>
      <x:c r="J454" s="20" t="str">
        <x:v>害破低权重</x:v>
      </x:c>
      <x:c r="K454" s="20" t="str">
        <x:v>害破默认只作低权重根气修正，叠加强作用时才升级。</x:v>
      </x:c>
      <x:c r="L454" s="20" t="str">
        <x:v>较高</x:v>
      </x:c>
      <x:c r="M454" s="20" t="str">
        <x:v>采用</x:v>
      </x:c>
      <x:c r="N454" s="20" t="str">
        <x:v>初审</x:v>
      </x:c>
      <x:c r="O454" s="22" t="n">
        <x:v>46255</x:v>
      </x:c>
      <x:c r="P454" s="20" t="str">
        <x:v>https://zh.wikisource.org/zh-hans/滴天髓 ; https://zh.wikisource.org/zh-hans/淵海子平 ; https://zh.wikisource.org/wiki/三命通會</x:v>
      </x:c>
    </x:row>
    <x:row r="455">
      <x:c r="A455" s="20" t="str">
        <x:v>M08-ROOT-0010-V1.0</x:v>
      </x:c>
      <x:c r="B455" s="20" t="str">
        <x:v>规则</x:v>
      </x:c>
      <x:c r="C455" s="20" t="str">
        <x:v>M08</x:v>
      </x:c>
      <x:c r="D455" s="20" t="str">
        <x:v>08_五行有效旺衰</x:v>
      </x:c>
      <x:c r="E455" s="20" t="str">
        <x:v>ROOT</x:v>
      </x:c>
      <x:c r="F455" s="20" t="n">
        <x:v>10</x:v>
      </x:c>
      <x:c r="G455" s="20" t="str">
        <x:v>V1.0</x:v>
      </x:c>
      <x:c r="H455" s="20" t="str">
        <x:v>墓库根被冲需区分开库、冲动与冲坏</x:v>
      </x:c>
      <x:c r="I455" s="20" t="str">
        <x:v>结构层</x:v>
      </x:c>
      <x:c r="J455" s="20" t="str">
        <x:v>墓库冲效应</x:v>
      </x:c>
      <x:c r="K455" s="20" t="str">
        <x:v>墓库逢冲不得一律开库，应按实际藏干可用性调整。</x:v>
      </x:c>
      <x:c r="L455" s="20" t="str">
        <x:v>较高</x:v>
      </x:c>
      <x:c r="M455" s="20" t="str">
        <x:v>采用</x:v>
      </x:c>
      <x:c r="N455" s="20" t="str">
        <x:v>初审</x:v>
      </x:c>
      <x:c r="O455" s="22" t="n">
        <x:v>46255</x:v>
      </x:c>
      <x:c r="P455" s="20" t="str">
        <x:v>https://zh.wikisource.org/zh-hans/滴天髓 ; https://zh.wikisource.org/zh-hans/淵海子平 ; https://zh.wikisource.org/wiki/三命通會</x:v>
      </x:c>
    </x:row>
    <x:row r="456">
      <x:c r="A456" s="20" t="str">
        <x:v>M08-ROOT-0011-V1.0</x:v>
      </x:c>
      <x:c r="B456" s="20" t="str">
        <x:v>规则</x:v>
      </x:c>
      <x:c r="C456" s="20" t="str">
        <x:v>M08</x:v>
      </x:c>
      <x:c r="D456" s="20" t="str">
        <x:v>08_五行有效旺衰</x:v>
      </x:c>
      <x:c r="E456" s="20" t="str">
        <x:v>ROOT</x:v>
      </x:c>
      <x:c r="F456" s="20" t="n">
        <x:v>11</x:v>
      </x:c>
      <x:c r="G456" s="20" t="str">
        <x:v>V1.0</x:v>
      </x:c>
      <x:c r="H456" s="20" t="str">
        <x:v>墓库被合住时藏干调用能力下降</x:v>
      </x:c>
      <x:c r="I456" s="20" t="str">
        <x:v>结构层</x:v>
      </x:c>
      <x:c r="J456" s="20" t="str">
        <x:v>库根合绊</x:v>
      </x:c>
      <x:c r="K456" s="20" t="str">
        <x:v>库支被合绊时藏干仍存在，但有效调用能力下降。</x:v>
      </x:c>
      <x:c r="L456" s="20" t="str">
        <x:v>较高</x:v>
      </x:c>
      <x:c r="M456" s="20" t="str">
        <x:v>采用</x:v>
      </x:c>
      <x:c r="N456" s="20" t="str">
        <x:v>初审</x:v>
      </x:c>
      <x:c r="O456" s="22" t="n">
        <x:v>46255</x:v>
      </x:c>
      <x:c r="P456" s="20" t="str">
        <x:v>https://zh.wikisource.org/zh-hans/滴天髓 ; https://zh.wikisource.org/zh-hans/淵海子平 ; https://zh.wikisource.org/wiki/三命通會</x:v>
      </x:c>
    </x:row>
    <x:row r="457">
      <x:c r="A457" s="20" t="str">
        <x:v>M08-ROOT-0012-V1.0</x:v>
      </x:c>
      <x:c r="B457" s="20" t="str">
        <x:v>规则</x:v>
      </x:c>
      <x:c r="C457" s="20" t="str">
        <x:v>M08</x:v>
      </x:c>
      <x:c r="D457" s="20" t="str">
        <x:v>08_五行有效旺衰</x:v>
      </x:c>
      <x:c r="E457" s="20" t="str">
        <x:v>ROOT</x:v>
      </x:c>
      <x:c r="F457" s="20" t="n">
        <x:v>12</x:v>
      </x:c>
      <x:c r="G457" s="20" t="str">
        <x:v>V1.0</x:v>
      </x:c>
      <x:c r="H457" s="20" t="str">
        <x:v>透干可缓冲受损根的可调用性但不能凭空造根</x:v>
      </x:c>
      <x:c r="I457" s="20" t="str">
        <x:v>结构层</x:v>
      </x:c>
      <x:c r="J457" s="20" t="str">
        <x:v>透干缓冲根损</x:v>
      </x:c>
      <x:c r="K457" s="20" t="str">
        <x:v>有同五行透干可缓冲根损，但不能恢复已不存在的根位。</x:v>
      </x:c>
      <x:c r="L457" s="20" t="str">
        <x:v>较高</x:v>
      </x:c>
      <x:c r="M457" s="20" t="str">
        <x:v>采用</x:v>
      </x:c>
      <x:c r="N457" s="20" t="str">
        <x:v>初审</x:v>
      </x:c>
      <x:c r="O457" s="22" t="n">
        <x:v>46255</x:v>
      </x:c>
      <x:c r="P457" s="20" t="str">
        <x:v>https://zh.wikisource.org/zh-hans/滴天髓 ; https://zh.wikisource.org/zh-hans/淵海子平 ; https://zh.wikisource.org/wiki/三命通會</x:v>
      </x:c>
    </x:row>
    <x:row r="458">
      <x:c r="A458" s="20" t="str">
        <x:v>M08-ROOT-0013-V1.0</x:v>
      </x:c>
      <x:c r="B458" s="20" t="str">
        <x:v>规则</x:v>
      </x:c>
      <x:c r="C458" s="20" t="str">
        <x:v>M08</x:v>
      </x:c>
      <x:c r="D458" s="20" t="str">
        <x:v>08_五行有效旺衰</x:v>
      </x:c>
      <x:c r="E458" s="20" t="str">
        <x:v>ROOT</x:v>
      </x:c>
      <x:c r="F458" s="20" t="n">
        <x:v>13</x:v>
      </x:c>
      <x:c r="G458" s="20" t="str">
        <x:v>V1.0</x:v>
      </x:c>
      <x:c r="H458" s="20" t="str">
        <x:v>多重根共同参与成局时避免原根与化神双算</x:v>
      </x:c>
      <x:c r="I458" s="20" t="str">
        <x:v>结构层</x:v>
      </x:c>
      <x:c r="J458" s="20" t="str">
        <x:v>成局根气去重</x:v>
      </x:c>
      <x:c r="K458" s="20" t="str">
        <x:v>合会成局后原根与化神力量必须去重分配。</x:v>
      </x:c>
      <x:c r="L458" s="20" t="str">
        <x:v>较高</x:v>
      </x:c>
      <x:c r="M458" s="20" t="str">
        <x:v>采用</x:v>
      </x:c>
      <x:c r="N458" s="20" t="str">
        <x:v>初审</x:v>
      </x:c>
      <x:c r="O458" s="22" t="n">
        <x:v>46255</x:v>
      </x:c>
      <x:c r="P458" s="20" t="str">
        <x:v>https://zh.wikisource.org/zh-hans/滴天髓 ; https://zh.wikisource.org/zh-hans/淵海子平 ; https://zh.wikisource.org/wiki/三命通會</x:v>
      </x:c>
    </x:row>
    <x:row r="459">
      <x:c r="A459" s="20" t="str">
        <x:v>M08-ROOT-0014-V1.0</x:v>
      </x:c>
      <x:c r="B459" s="20" t="str">
        <x:v>规则</x:v>
      </x:c>
      <x:c r="C459" s="20" t="str">
        <x:v>M08</x:v>
      </x:c>
      <x:c r="D459" s="20" t="str">
        <x:v>08_五行有效旺衰</x:v>
      </x:c>
      <x:c r="E459" s="20" t="str">
        <x:v>ROOT</x:v>
      </x:c>
      <x:c r="F459" s="20" t="n">
        <x:v>14</x:v>
      </x:c>
      <x:c r="G459" s="20" t="str">
        <x:v>V1.0</x:v>
      </x:c>
      <x:c r="H459" s="20" t="str">
        <x:v>根气有效性以独立节点而非标签数量汇总</x:v>
      </x:c>
      <x:c r="I459" s="20" t="str">
        <x:v>结构层</x:v>
      </x:c>
      <x:c r="J459" s="20" t="str">
        <x:v>根气证据去重</x:v>
      </x:c>
      <x:c r="K459" s="20" t="str">
        <x:v>同一支位的根、同党、得地等标签不得重复满额加权。</x:v>
      </x:c>
      <x:c r="L459" s="20" t="str">
        <x:v>较高</x:v>
      </x:c>
      <x:c r="M459" s="20" t="str">
        <x:v>采用</x:v>
      </x:c>
      <x:c r="N459" s="20" t="str">
        <x:v>初审</x:v>
      </x:c>
      <x:c r="O459" s="22" t="n">
        <x:v>46255</x:v>
      </x:c>
      <x:c r="P459" s="20" t="str">
        <x:v>https://zh.wikisource.org/zh-hans/滴天髓 ; https://zh.wikisource.org/zh-hans/淵海子平 ; https://zh.wikisource.org/wiki/三命通會</x:v>
      </x:c>
    </x:row>
    <x:row r="460">
      <x:c r="A460" s="20" t="str">
        <x:v>M08-ROOT-0015-V1.0</x:v>
      </x:c>
      <x:c r="B460" s="20" t="str">
        <x:v>规则</x:v>
      </x:c>
      <x:c r="C460" s="20" t="str">
        <x:v>M08</x:v>
      </x:c>
      <x:c r="D460" s="20" t="str">
        <x:v>08_五行有效旺衰</x:v>
      </x:c>
      <x:c r="E460" s="20" t="str">
        <x:v>ROOT</x:v>
      </x:c>
      <x:c r="F460" s="20" t="n">
        <x:v>15</x:v>
      </x:c>
      <x:c r="G460" s="20" t="str">
        <x:v>V1.0</x:v>
      </x:c>
      <x:c r="H460" s="20" t="str">
        <x:v>原始无根若因已成立化局可生成条件性新根</x:v>
      </x:c>
      <x:c r="I460" s="20" t="str">
        <x:v>结构层</x:v>
      </x:c>
      <x:c r="J460" s="20" t="str">
        <x:v>化局新生根</x:v>
      </x:c>
      <x:c r="K460" s="20" t="str">
        <x:v>原始无根若因严格成立的化局产生目标五行，可新增条件性有效根。</x:v>
      </x:c>
      <x:c r="L460" s="20" t="str">
        <x:v>较高</x:v>
      </x:c>
      <x:c r="M460" s="20" t="str">
        <x:v>采用</x:v>
      </x:c>
      <x:c r="N460" s="20" t="str">
        <x:v>初审</x:v>
      </x:c>
      <x:c r="O460" s="22" t="n">
        <x:v>46255</x:v>
      </x:c>
      <x:c r="P460" s="20" t="str">
        <x:v>https://zh.wikisource.org/zh-hans/滴天髓 ; https://zh.wikisource.org/zh-hans/淵海子平 ; https://zh.wikisource.org/wiki/三命通會</x:v>
      </x:c>
    </x:row>
    <x:row r="461">
      <x:c r="A461" s="20" t="str">
        <x:v>M08-ROOT-0016-V1.0</x:v>
      </x:c>
      <x:c r="B461" s="20" t="str">
        <x:v>规则</x:v>
      </x:c>
      <x:c r="C461" s="20" t="str">
        <x:v>M08</x:v>
      </x:c>
      <x:c r="D461" s="20" t="str">
        <x:v>08_五行有效旺衰</x:v>
      </x:c>
      <x:c r="E461" s="20" t="str">
        <x:v>ROOT</x:v>
      </x:c>
      <x:c r="F461" s="20" t="n">
        <x:v>16</x:v>
      </x:c>
      <x:c r="G461" s="20" t="str">
        <x:v>V1.0</x:v>
      </x:c>
      <x:c r="H461" s="20" t="str">
        <x:v>根气强弱修正不得脱离季令与全局势能</x:v>
      </x:c>
      <x:c r="I461" s="20" t="str">
        <x:v>结构层</x:v>
      </x:c>
      <x:c r="J461" s="20" t="str">
        <x:v>根气综合修正</x:v>
      </x:c>
      <x:c r="K461" s="20" t="str">
        <x:v>本气、中气、余气只是起点，有效根强弱仍需结合全局修正。</x:v>
      </x:c>
      <x:c r="L461" s="20" t="str">
        <x:v>较高</x:v>
      </x:c>
      <x:c r="M461" s="20" t="str">
        <x:v>采用</x:v>
      </x:c>
      <x:c r="N461" s="20" t="str">
        <x:v>初审</x:v>
      </x:c>
      <x:c r="O461" s="22" t="n">
        <x:v>46255</x:v>
      </x:c>
      <x:c r="P461" s="20" t="str">
        <x:v>https://zh.wikisource.org/zh-hans/滴天髓 ; https://zh.wikisource.org/zh-hans/淵海子平 ; https://zh.wikisource.org/wiki/三命通會</x:v>
      </x:c>
    </x:row>
    <x:row r="462">
      <x:c r="A462" s="20" t="str">
        <x:v>M08-SOURCE-0017-V1.0</x:v>
      </x:c>
      <x:c r="B462" s="20" t="str">
        <x:v>规则</x:v>
      </x:c>
      <x:c r="C462" s="20" t="str">
        <x:v>M08</x:v>
      </x:c>
      <x:c r="D462" s="20" t="str">
        <x:v>08_五行有效旺衰</x:v>
      </x:c>
      <x:c r="E462" s="20" t="str">
        <x:v>SOURCE</x:v>
      </x:c>
      <x:c r="F462" s="20" t="n">
        <x:v>17</x:v>
      </x:c>
      <x:c r="G462" s="20" t="str">
        <x:v>V1.0</x:v>
      </x:c>
      <x:c r="H462" s="20" t="str">
        <x:v>强生源自身有效时才可提供高等级支持</x:v>
      </x:c>
      <x:c r="I462" s="20" t="str">
        <x:v>结构层</x:v>
      </x:c>
      <x:c r="J462" s="20" t="str">
        <x:v>有效生源强支持</x:v>
      </x:c>
      <x:c r="K462" s="20" t="str">
        <x:v>生源自身有效且生路可达时，目标获得真实高等级生扶。</x:v>
      </x:c>
      <x:c r="L462" s="20" t="str">
        <x:v>较高</x:v>
      </x:c>
      <x:c r="M462" s="20" t="str">
        <x:v>采用</x:v>
      </x:c>
      <x:c r="N462" s="20" t="str">
        <x:v>初审</x:v>
      </x:c>
      <x:c r="O462" s="22" t="n">
        <x:v>46255</x:v>
      </x:c>
      <x:c r="P462" s="20" t="str">
        <x:v>https://zh.wikisource.org/zh-hans/滴天髓 ; https://zh.wikisource.org/zh-hans/淵海子平 ; https://zh.wikisource.org/wiki/三命通會</x:v>
      </x:c>
    </x:row>
    <x:row r="463">
      <x:c r="A463" s="20" t="str">
        <x:v>M08-SOURCE-0018-V1.0</x:v>
      </x:c>
      <x:c r="B463" s="20" t="str">
        <x:v>规则</x:v>
      </x:c>
      <x:c r="C463" s="20" t="str">
        <x:v>M08</x:v>
      </x:c>
      <x:c r="D463" s="20" t="str">
        <x:v>08_五行有效旺衰</x:v>
      </x:c>
      <x:c r="E463" s="20" t="str">
        <x:v>SOURCE</x:v>
      </x:c>
      <x:c r="F463" s="20" t="n">
        <x:v>18</x:v>
      </x:c>
      <x:c r="G463" s="20" t="str">
        <x:v>V1.0</x:v>
      </x:c>
      <x:c r="H463" s="20" t="str">
        <x:v>弱生源仅形成低等级名义支持</x:v>
      </x:c>
      <x:c r="I463" s="20" t="str">
        <x:v>结构层</x:v>
      </x:c>
      <x:c r="J463" s="20" t="str">
        <x:v>弱生源降权</x:v>
      </x:c>
      <x:c r="K463" s="20" t="str">
        <x:v>生源自身弱而无承载，对目标只形成低等级支持。</x:v>
      </x:c>
      <x:c r="L463" s="20" t="str">
        <x:v>较高</x:v>
      </x:c>
      <x:c r="M463" s="20" t="str">
        <x:v>采用</x:v>
      </x:c>
      <x:c r="N463" s="20" t="str">
        <x:v>初审</x:v>
      </x:c>
      <x:c r="O463" s="22" t="n">
        <x:v>46255</x:v>
      </x:c>
      <x:c r="P463" s="20" t="str">
        <x:v>https://zh.wikisource.org/zh-hans/滴天髓 ; https://zh.wikisource.org/zh-hans/淵海子平 ; https://zh.wikisource.org/wiki/三命通會</x:v>
      </x:c>
    </x:row>
    <x:row r="464">
      <x:c r="A464" s="20" t="str">
        <x:v>M08-SOURCE-0019-V1.0</x:v>
      </x:c>
      <x:c r="B464" s="20" t="str">
        <x:v>规则</x:v>
      </x:c>
      <x:c r="C464" s="20" t="str">
        <x:v>M08</x:v>
      </x:c>
      <x:c r="D464" s="20" t="str">
        <x:v>08_五行有效旺衰</x:v>
      </x:c>
      <x:c r="E464" s="20" t="str">
        <x:v>SOURCE</x:v>
      </x:c>
      <x:c r="F464" s="20" t="n">
        <x:v>19</x:v>
      </x:c>
      <x:c r="G464" s="20" t="str">
        <x:v>V1.0</x:v>
      </x:c>
      <x:c r="H464" s="20" t="str">
        <x:v>生源被合绊时供给能力下降</x:v>
      </x:c>
      <x:c r="I464" s="20" t="str">
        <x:v>结构层</x:v>
      </x:c>
      <x:c r="J464" s="20" t="str">
        <x:v>生源合绊</x:v>
      </x:c>
      <x:c r="K464" s="20" t="str">
        <x:v>生源被合绊仍存在，但向目标输送力量的能力下降。</x:v>
      </x:c>
      <x:c r="L464" s="20" t="str">
        <x:v>较高</x:v>
      </x:c>
      <x:c r="M464" s="20" t="str">
        <x:v>采用</x:v>
      </x:c>
      <x:c r="N464" s="20" t="str">
        <x:v>初审</x:v>
      </x:c>
      <x:c r="O464" s="22" t="n">
        <x:v>46255</x:v>
      </x:c>
      <x:c r="P464" s="20" t="str">
        <x:v>https://zh.wikisource.org/zh-hans/滴天髓 ; https://zh.wikisource.org/zh-hans/淵海子平 ; https://zh.wikisource.org/wiki/三命通會</x:v>
      </x:c>
    </x:row>
    <x:row r="465">
      <x:c r="A465" s="20" t="str">
        <x:v>M08-SOURCE-0020-V1.0</x:v>
      </x:c>
      <x:c r="B465" s="20" t="str">
        <x:v>规则</x:v>
      </x:c>
      <x:c r="C465" s="20" t="str">
        <x:v>M08</x:v>
      </x:c>
      <x:c r="D465" s="20" t="str">
        <x:v>08_五行有效旺衰</x:v>
      </x:c>
      <x:c r="E465" s="20" t="str">
        <x:v>SOURCE</x:v>
      </x:c>
      <x:c r="F465" s="20" t="n">
        <x:v>20</x:v>
      </x:c>
      <x:c r="G465" s="20" t="str">
        <x:v>V1.0</x:v>
      </x:c>
      <x:c r="H465" s="20" t="str">
        <x:v>生源合化为非生源五行时原供给功能失效</x:v>
      </x:c>
      <x:c r="I465" s="20" t="str">
        <x:v>结构层</x:v>
      </x:c>
      <x:c r="J465" s="20" t="str">
        <x:v>生源改性</x:v>
      </x:c>
      <x:c r="K465" s="20" t="str">
        <x:v>生源实质改性后，原供给功能失效，需按化后五行重建生扶链。</x:v>
      </x:c>
      <x:c r="L465" s="20" t="str">
        <x:v>较高</x:v>
      </x:c>
      <x:c r="M465" s="20" t="str">
        <x:v>采用</x:v>
      </x:c>
      <x:c r="N465" s="20" t="str">
        <x:v>初审</x:v>
      </x:c>
      <x:c r="O465" s="22" t="n">
        <x:v>46255</x:v>
      </x:c>
      <x:c r="P465" s="20" t="str">
        <x:v>https://zh.wikisource.org/zh-hans/滴天髓 ; https://zh.wikisource.org/zh-hans/淵海子平 ; https://zh.wikisource.org/wiki/三命通會</x:v>
      </x:c>
    </x:row>
    <x:row r="466">
      <x:c r="A466" s="20" t="str">
        <x:v>M08-SOURCE-0021-V1.0</x:v>
      </x:c>
      <x:c r="B466" s="20" t="str">
        <x:v>规则</x:v>
      </x:c>
      <x:c r="C466" s="20" t="str">
        <x:v>M08</x:v>
      </x:c>
      <x:c r="D466" s="20" t="str">
        <x:v>08_五行有效旺衰</x:v>
      </x:c>
      <x:c r="E466" s="20" t="str">
        <x:v>SOURCE</x:v>
      </x:c>
      <x:c r="F466" s="20" t="n">
        <x:v>21</x:v>
      </x:c>
      <x:c r="G466" s="20" t="str">
        <x:v>V1.0</x:v>
      </x:c>
      <x:c r="H466" s="20" t="str">
        <x:v>唯一生源被强克且无根时供给链中断</x:v>
      </x:c>
      <x:c r="I466" s="20" t="str">
        <x:v>结构层</x:v>
      </x:c>
      <x:c r="J466" s="20" t="str">
        <x:v>生扶链中断</x:v>
      </x:c>
      <x:c r="K466" s="20" t="str">
        <x:v>唯一生源被强克且无承载时，该生扶链失效。</x:v>
      </x:c>
      <x:c r="L466" s="20" t="str">
        <x:v>较高</x:v>
      </x:c>
      <x:c r="M466" s="20" t="str">
        <x:v>采用</x:v>
      </x:c>
      <x:c r="N466" s="20" t="str">
        <x:v>初审</x:v>
      </x:c>
      <x:c r="O466" s="22" t="n">
        <x:v>46255</x:v>
      </x:c>
      <x:c r="P466" s="20" t="str">
        <x:v>https://zh.wikisource.org/zh-hans/滴天髓 ; https://zh.wikisource.org/zh-hans/淵海子平 ; https://zh.wikisource.org/wiki/三命通會</x:v>
      </x:c>
    </x:row>
    <x:row r="467">
      <x:c r="A467" s="20" t="str">
        <x:v>M08-SOURCE-0022-V1.0</x:v>
      </x:c>
      <x:c r="B467" s="20" t="str">
        <x:v>规则</x:v>
      </x:c>
      <x:c r="C467" s="20" t="str">
        <x:v>M08</x:v>
      </x:c>
      <x:c r="D467" s="20" t="str">
        <x:v>08_五行有效旺衰</x:v>
      </x:c>
      <x:c r="E467" s="20" t="str">
        <x:v>SOURCE</x:v>
      </x:c>
      <x:c r="F467" s="20" t="n">
        <x:v>22</x:v>
      </x:c>
      <x:c r="G467" s="20" t="str">
        <x:v>V1.0</x:v>
      </x:c>
      <x:c r="H467" s="20" t="str">
        <x:v>多个独立生源可形成供给冗余</x:v>
      </x:c>
      <x:c r="I467" s="20" t="str">
        <x:v>结构层</x:v>
      </x:c>
      <x:c r="J467" s="20" t="str">
        <x:v>生源冗余</x:v>
      </x:c>
      <x:c r="K467" s="20" t="str">
        <x:v>多个独立生源可分散单一路径受损风险。</x:v>
      </x:c>
      <x:c r="L467" s="20" t="str">
        <x:v>较高</x:v>
      </x:c>
      <x:c r="M467" s="20" t="str">
        <x:v>采用</x:v>
      </x:c>
      <x:c r="N467" s="20" t="str">
        <x:v>初审</x:v>
      </x:c>
      <x:c r="O467" s="22" t="n">
        <x:v>46255</x:v>
      </x:c>
      <x:c r="P467" s="20" t="str">
        <x:v>https://zh.wikisource.org/zh-hans/滴天髓 ; https://zh.wikisource.org/zh-hans/淵海子平 ; https://zh.wikisource.org/wiki/三命通會</x:v>
      </x:c>
    </x:row>
    <x:row r="468">
      <x:c r="A468" s="20" t="str">
        <x:v>M08-SOURCE-0023-V1.0</x:v>
      </x:c>
      <x:c r="B468" s="20" t="str">
        <x:v>规则</x:v>
      </x:c>
      <x:c r="C468" s="20" t="str">
        <x:v>M08</x:v>
      </x:c>
      <x:c r="D468" s="20" t="str">
        <x:v>08_五行有效旺衰</x:v>
      </x:c>
      <x:c r="E468" s="20" t="str">
        <x:v>SOURCE</x:v>
      </x:c>
      <x:c r="F468" s="20" t="n">
        <x:v>23</x:v>
      </x:c>
      <x:c r="G468" s="20" t="str">
        <x:v>V1.0</x:v>
      </x:c>
      <x:c r="H468" s="20" t="str">
        <x:v>两段生扶必须以中间五行为有效桥梁</x:v>
      </x:c>
      <x:c r="I468" s="20" t="str">
        <x:v>结构层</x:v>
      </x:c>
      <x:c r="J468" s="20" t="str">
        <x:v>桥梁有效生扶</x:v>
      </x:c>
      <x:c r="K468" s="20" t="str">
        <x:v>两段生扶只有中间桥梁有效时才成立，且低于直接生源权重。</x:v>
      </x:c>
      <x:c r="L468" s="20" t="str">
        <x:v>较高</x:v>
      </x:c>
      <x:c r="M468" s="20" t="str">
        <x:v>采用</x:v>
      </x:c>
      <x:c r="N468" s="20" t="str">
        <x:v>初审</x:v>
      </x:c>
      <x:c r="O468" s="22" t="n">
        <x:v>46255</x:v>
      </x:c>
      <x:c r="P468" s="20" t="str">
        <x:v>https://zh.wikisource.org/zh-hans/滴天髓 ; https://zh.wikisource.org/zh-hans/淵海子平 ; https://zh.wikisource.org/wiki/三命通會</x:v>
      </x:c>
    </x:row>
    <x:row r="469">
      <x:c r="A469" s="20" t="str">
        <x:v>M08-SOURCE-0024-V1.0</x:v>
      </x:c>
      <x:c r="B469" s="20" t="str">
        <x:v>规则</x:v>
      </x:c>
      <x:c r="C469" s="20" t="str">
        <x:v>M08</x:v>
      </x:c>
      <x:c r="D469" s="20" t="str">
        <x:v>08_五行有效旺衰</x:v>
      </x:c>
      <x:c r="E469" s="20" t="str">
        <x:v>SOURCE</x:v>
      </x:c>
      <x:c r="F469" s="20" t="n">
        <x:v>24</x:v>
      </x:c>
      <x:c r="G469" s="20" t="str">
        <x:v>V1.0</x:v>
      </x:c>
      <x:c r="H469" s="20" t="str">
        <x:v>生源过旺而目标过弱时供给不等于可承载</x:v>
      </x:c>
      <x:c r="I469" s="20" t="str">
        <x:v>结构层</x:v>
      </x:c>
      <x:c r="J469" s="20" t="str">
        <x:v>生多不受</x:v>
      </x:c>
      <x:c r="K469" s="20" t="str">
        <x:v>强生源输入弱目标时仍需检查目标承载，不能直接推升为旺。</x:v>
      </x:c>
      <x:c r="L469" s="20" t="str">
        <x:v>较高</x:v>
      </x:c>
      <x:c r="M469" s="20" t="str">
        <x:v>采用</x:v>
      </x:c>
      <x:c r="N469" s="20" t="str">
        <x:v>初审</x:v>
      </x:c>
      <x:c r="O469" s="22" t="n">
        <x:v>46255</x:v>
      </x:c>
      <x:c r="P469" s="20" t="str">
        <x:v>https://zh.wikisource.org/zh-hans/滴天髓 ; https://zh.wikisource.org/zh-hans/淵海子平 ; https://zh.wikisource.org/wiki/三命通會</x:v>
      </x:c>
    </x:row>
    <x:row r="470">
      <x:c r="A470" s="20" t="str">
        <x:v>M08-SOURCE-0025-V1.0</x:v>
      </x:c>
      <x:c r="B470" s="20" t="str">
        <x:v>规则</x:v>
      </x:c>
      <x:c r="C470" s="20" t="str">
        <x:v>M08</x:v>
      </x:c>
      <x:c r="D470" s="20" t="str">
        <x:v>08_五行有效旺衰</x:v>
      </x:c>
      <x:c r="E470" s="20" t="str">
        <x:v>SOURCE</x:v>
      </x:c>
      <x:c r="F470" s="20" t="n">
        <x:v>25</x:v>
      </x:c>
      <x:c r="G470" s="20" t="str">
        <x:v>V1.0</x:v>
      </x:c>
      <x:c r="H470" s="20" t="str">
        <x:v>生源被泄耗过度时实际供给下降</x:v>
      </x:c>
      <x:c r="I470" s="20" t="str">
        <x:v>结构层</x:v>
      </x:c>
      <x:c r="J470" s="20" t="str">
        <x:v>生源容量分配</x:v>
      </x:c>
      <x:c r="K470" s="20" t="str">
        <x:v>生源同时承担多条强输出路径时，对单一目标的供给应下调。</x:v>
      </x:c>
      <x:c r="L470" s="20" t="str">
        <x:v>较高</x:v>
      </x:c>
      <x:c r="M470" s="20" t="str">
        <x:v>采用</x:v>
      </x:c>
      <x:c r="N470" s="20" t="str">
        <x:v>初审</x:v>
      </x:c>
      <x:c r="O470" s="22" t="n">
        <x:v>46255</x:v>
      </x:c>
      <x:c r="P470" s="20" t="str">
        <x:v>https://zh.wikisource.org/zh-hans/滴天髓 ; https://zh.wikisource.org/zh-hans/淵海子平 ; https://zh.wikisource.org/wiki/三命通會</x:v>
      </x:c>
    </x:row>
    <x:row r="471">
      <x:c r="A471" s="20" t="str">
        <x:v>M08-SOURCE-0026-V1.0</x:v>
      </x:c>
      <x:c r="B471" s="20" t="str">
        <x:v>规则</x:v>
      </x:c>
      <x:c r="C471" s="20" t="str">
        <x:v>M08</x:v>
      </x:c>
      <x:c r="D471" s="20" t="str">
        <x:v>08_五行有效旺衰</x:v>
      </x:c>
      <x:c r="E471" s="20" t="str">
        <x:v>SOURCE</x:v>
      </x:c>
      <x:c r="F471" s="20" t="n">
        <x:v>26</x:v>
      </x:c>
      <x:c r="G471" s="20" t="str">
        <x:v>V1.0</x:v>
      </x:c>
      <x:c r="H471" s="20" t="str">
        <x:v>透而无根且被截脚的生源供给效率下降</x:v>
      </x:c>
      <x:c r="I471" s="20" t="str">
        <x:v>结构层</x:v>
      </x:c>
      <x:c r="J471" s="20" t="str">
        <x:v>浮源降权</x:v>
      </x:c>
      <x:c r="K471" s="20" t="str">
        <x:v>生源虽透干但无根且受制时，持续供给明显低于有根透干。</x:v>
      </x:c>
      <x:c r="L471" s="20" t="str">
        <x:v>较高</x:v>
      </x:c>
      <x:c r="M471" s="20" t="str">
        <x:v>采用</x:v>
      </x:c>
      <x:c r="N471" s="20" t="str">
        <x:v>初审</x:v>
      </x:c>
      <x:c r="O471" s="22" t="n">
        <x:v>46255</x:v>
      </x:c>
      <x:c r="P471" s="20" t="str">
        <x:v>https://zh.wikisource.org/zh-hans/滴天髓 ; https://zh.wikisource.org/zh-hans/淵海子平 ; https://zh.wikisource.org/wiki/三命通會</x:v>
      </x:c>
    </x:row>
    <x:row r="472">
      <x:c r="A472" s="20" t="str">
        <x:v>M08-SOURCE-0027-V1.0</x:v>
      </x:c>
      <x:c r="B472" s="20" t="str">
        <x:v>规则</x:v>
      </x:c>
      <x:c r="C472" s="20" t="str">
        <x:v>M08</x:v>
      </x:c>
      <x:c r="D472" s="20" t="str">
        <x:v>08_五行有效旺衰</x:v>
      </x:c>
      <x:c r="E472" s="20" t="str">
        <x:v>SOURCE</x:v>
      </x:c>
      <x:c r="F472" s="20" t="n">
        <x:v>27</x:v>
      </x:c>
      <x:c r="G472" s="20" t="str">
        <x:v>V1.0</x:v>
      </x:c>
      <x:c r="H472" s="20" t="str">
        <x:v>生源被通关保护时可恢复部分供给</x:v>
      </x:c>
      <x:c r="I472" s="20" t="str">
        <x:v>结构层</x:v>
      </x:c>
      <x:c r="J472" s="20" t="str">
        <x:v>通关恢复生源</x:v>
      </x:c>
      <x:c r="K472" s="20" t="str">
        <x:v>生源受克但有有效通关时，可恢复部分供给能力。</x:v>
      </x:c>
      <x:c r="L472" s="20" t="str">
        <x:v>较高</x:v>
      </x:c>
      <x:c r="M472" s="20" t="str">
        <x:v>采用</x:v>
      </x:c>
      <x:c r="N472" s="20" t="str">
        <x:v>初审</x:v>
      </x:c>
      <x:c r="O472" s="22" t="n">
        <x:v>46255</x:v>
      </x:c>
      <x:c r="P472" s="20" t="str">
        <x:v>https://zh.wikisource.org/zh-hans/滴天髓 ; https://zh.wikisource.org/zh-hans/淵海子平 ; https://zh.wikisource.org/wiki/三命通會</x:v>
      </x:c>
    </x:row>
    <x:row r="473">
      <x:c r="A473" s="20" t="str">
        <x:v>M08-SOURCE-0028-V1.0</x:v>
      </x:c>
      <x:c r="B473" s="20" t="str">
        <x:v>规则</x:v>
      </x:c>
      <x:c r="C473" s="20" t="str">
        <x:v>M08</x:v>
      </x:c>
      <x:c r="D473" s="20" t="str">
        <x:v>08_五行有效旺衰</x:v>
      </x:c>
      <x:c r="E473" s="20" t="str">
        <x:v>SOURCE</x:v>
      </x:c>
      <x:c r="F473" s="20" t="n">
        <x:v>28</x:v>
      </x:c>
      <x:c r="G473" s="20" t="str">
        <x:v>V1.0</x:v>
      </x:c>
      <x:c r="H473" s="20" t="str">
        <x:v>有效生源汇总需避免与季令相重复满额加权</x:v>
      </x:c>
      <x:c r="I473" s="20" t="str">
        <x:v>结构层</x:v>
      </x:c>
      <x:c r="J473" s="20" t="str">
        <x:v>生源证据去重</x:v>
      </x:c>
      <x:c r="K473" s="20" t="str">
        <x:v>季令相与月令生源若来自同一事实，应合并计权。</x:v>
      </x:c>
      <x:c r="L473" s="20" t="str">
        <x:v>较高</x:v>
      </x:c>
      <x:c r="M473" s="20" t="str">
        <x:v>采用</x:v>
      </x:c>
      <x:c r="N473" s="20" t="str">
        <x:v>初审</x:v>
      </x:c>
      <x:c r="O473" s="22" t="n">
        <x:v>46255</x:v>
      </x:c>
      <x:c r="P473" s="20" t="str">
        <x:v>https://zh.wikisource.org/zh-hans/滴天髓 ; https://zh.wikisource.org/zh-hans/淵海子平 ; https://zh.wikisource.org/wiki/三命通會</x:v>
      </x:c>
    </x:row>
    <x:row r="474">
      <x:c r="A474" s="20" t="str">
        <x:v>M08-STEM-0029-V1.0</x:v>
      </x:c>
      <x:c r="B474" s="20" t="str">
        <x:v>规则</x:v>
      </x:c>
      <x:c r="C474" s="20" t="str">
        <x:v>M08</x:v>
      </x:c>
      <x:c r="D474" s="20" t="str">
        <x:v>08_五行有效旺衰</x:v>
      </x:c>
      <x:c r="E474" s="20" t="str">
        <x:v>STEM</x:v>
      </x:c>
      <x:c r="F474" s="20" t="n">
        <x:v>29</x:v>
      </x:c>
      <x:c r="G474" s="20" t="str">
        <x:v>V1.0</x:v>
      </x:c>
      <x:c r="H474" s="20" t="str">
        <x:v>有根透干的有效显露度通常高于藏而不透</x:v>
      </x:c>
      <x:c r="I474" s="20" t="str">
        <x:v>结构层</x:v>
      </x:c>
      <x:c r="J474" s="20" t="str">
        <x:v>有根透干有效</x:v>
      </x:c>
      <x:c r="K474" s="20" t="str">
        <x:v>有根又透干时，可调用性较高，更能直接参与全局生克。</x:v>
      </x:c>
      <x:c r="L474" s="20" t="str">
        <x:v>较高</x:v>
      </x:c>
      <x:c r="M474" s="20" t="str">
        <x:v>采用</x:v>
      </x:c>
      <x:c r="N474" s="20" t="str">
        <x:v>初审</x:v>
      </x:c>
      <x:c r="O474" s="22" t="n">
        <x:v>46255</x:v>
      </x:c>
      <x:c r="P474" s="20" t="str">
        <x:v>https://zh.wikisource.org/zh-hans/滴天髓 ; https://zh.wikisource.org/zh-hans/淵海子平 ; https://zh.wikisource.org/wiki/三命通會</x:v>
      </x:c>
    </x:row>
    <x:row r="475">
      <x:c r="A475" s="20" t="str">
        <x:v>M08-STEM-0030-V1.0</x:v>
      </x:c>
      <x:c r="B475" s="20" t="str">
        <x:v>规则</x:v>
      </x:c>
      <x:c r="C475" s="20" t="str">
        <x:v>M08</x:v>
      </x:c>
      <x:c r="D475" s="20" t="str">
        <x:v>08_五行有效旺衰</x:v>
      </x:c>
      <x:c r="E475" s="20" t="str">
        <x:v>STEM</x:v>
      </x:c>
      <x:c r="F475" s="20" t="n">
        <x:v>30</x:v>
      </x:c>
      <x:c r="G475" s="20" t="str">
        <x:v>V1.0</x:v>
      </x:c>
      <x:c r="H475" s="20" t="str">
        <x:v>透干被合绊时显露功能下降但本体不消失</x:v>
      </x:c>
      <x:c r="I475" s="20" t="str">
        <x:v>结构层</x:v>
      </x:c>
      <x:c r="J475" s="20" t="str">
        <x:v>透干合绊</x:v>
      </x:c>
      <x:c r="K475" s="20" t="str">
        <x:v>透干被合绊时直接作用能力下降，但五行存在性与根气仍需保留。</x:v>
      </x:c>
      <x:c r="L475" s="20" t="str">
        <x:v>较高</x:v>
      </x:c>
      <x:c r="M475" s="20" t="str">
        <x:v>采用</x:v>
      </x:c>
      <x:c r="N475" s="20" t="str">
        <x:v>初审</x:v>
      </x:c>
      <x:c r="O475" s="22" t="n">
        <x:v>46255</x:v>
      </x:c>
      <x:c r="P475" s="20" t="str">
        <x:v>https://zh.wikisource.org/zh-hans/滴天髓 ; https://zh.wikisource.org/zh-hans/淵海子平 ; https://zh.wikisource.org/wiki/三命通會</x:v>
      </x:c>
    </x:row>
    <x:row r="476">
      <x:c r="A476" s="20" t="str">
        <x:v>M08-STEM-0031-V1.0</x:v>
      </x:c>
      <x:c r="B476" s="20" t="str">
        <x:v>规则</x:v>
      </x:c>
      <x:c r="C476" s="20" t="str">
        <x:v>M08</x:v>
      </x:c>
      <x:c r="D476" s="20" t="str">
        <x:v>08_五行有效旺衰</x:v>
      </x:c>
      <x:c r="E476" s="20" t="str">
        <x:v>STEM</x:v>
      </x:c>
      <x:c r="F476" s="20" t="n">
        <x:v>31</x:v>
      </x:c>
      <x:c r="G476" s="20" t="str">
        <x:v>V1.0</x:v>
      </x:c>
      <x:c r="H476" s="20" t="str">
        <x:v>透干合化成立时按化后五行重建作用关系</x:v>
      </x:c>
      <x:c r="I476" s="20" t="str">
        <x:v>结构层</x:v>
      </x:c>
      <x:c r="J476" s="20" t="str">
        <x:v>透干改性</x:v>
      </x:c>
      <x:c r="K476" s="20" t="str">
        <x:v>天干合化成立后，应按化神重建作用路径并避免双算。</x:v>
      </x:c>
      <x:c r="L476" s="20" t="str">
        <x:v>较高</x:v>
      </x:c>
      <x:c r="M476" s="20" t="str">
        <x:v>采用</x:v>
      </x:c>
      <x:c r="N476" s="20" t="str">
        <x:v>初审</x:v>
      </x:c>
      <x:c r="O476" s="22" t="n">
        <x:v>46255</x:v>
      </x:c>
      <x:c r="P476" s="20" t="str">
        <x:v>https://zh.wikisource.org/zh-hans/滴天髓 ; https://zh.wikisource.org/zh-hans/淵海子平 ; https://zh.wikisource.org/wiki/三命通會</x:v>
      </x:c>
    </x:row>
    <x:row r="477">
      <x:c r="A477" s="20" t="str">
        <x:v>M08-STEM-0032-V1.0</x:v>
      </x:c>
      <x:c r="B477" s="20" t="str">
        <x:v>规则</x:v>
      </x:c>
      <x:c r="C477" s="20" t="str">
        <x:v>M08</x:v>
      </x:c>
      <x:c r="D477" s="20" t="str">
        <x:v>08_五行有效旺衰</x:v>
      </x:c>
      <x:c r="E477" s="20" t="str">
        <x:v>STEM</x:v>
      </x:c>
      <x:c r="F477" s="20" t="n">
        <x:v>32</x:v>
      </x:c>
      <x:c r="G477" s="20" t="str">
        <x:v>V1.0</x:v>
      </x:c>
      <x:c r="H477" s="20" t="str">
        <x:v>浮干受强克且无根时显露功能可近失效</x:v>
      </x:c>
      <x:c r="I477" s="20" t="str">
        <x:v>结构层</x:v>
      </x:c>
      <x:c r="J477" s="20" t="str">
        <x:v>浮干受克</x:v>
      </x:c>
      <x:c r="K477" s="20" t="str">
        <x:v>无根浮干遭强克且无救援时，显露功能可接近失效。</x:v>
      </x:c>
      <x:c r="L477" s="20" t="str">
        <x:v>较高</x:v>
      </x:c>
      <x:c r="M477" s="20" t="str">
        <x:v>采用</x:v>
      </x:c>
      <x:c r="N477" s="20" t="str">
        <x:v>初审</x:v>
      </x:c>
      <x:c r="O477" s="22" t="n">
        <x:v>46255</x:v>
      </x:c>
      <x:c r="P477" s="20" t="str">
        <x:v>https://zh.wikisource.org/zh-hans/滴天髓 ; https://zh.wikisource.org/zh-hans/淵海子平 ; https://zh.wikisource.org/wiki/三命通會</x:v>
      </x:c>
    </x:row>
    <x:row r="478">
      <x:c r="A478" s="20" t="str">
        <x:v>M08-STEM-0033-V1.0</x:v>
      </x:c>
      <x:c r="B478" s="20" t="str">
        <x:v>规则</x:v>
      </x:c>
      <x:c r="C478" s="20" t="str">
        <x:v>M08</x:v>
      </x:c>
      <x:c r="D478" s="20" t="str">
        <x:v>08_五行有效旺衰</x:v>
      </x:c>
      <x:c r="E478" s="20" t="str">
        <x:v>STEM</x:v>
      </x:c>
      <x:c r="F478" s="20" t="n">
        <x:v>33</x:v>
      </x:c>
      <x:c r="G478" s="20" t="str">
        <x:v>V1.0</x:v>
      </x:c>
      <x:c r="H478" s="20" t="str">
        <x:v>有根透干受克多表现为受制而非消失</x:v>
      </x:c>
      <x:c r="I478" s="20" t="str">
        <x:v>结构层</x:v>
      </x:c>
      <x:c r="J478" s="20" t="str">
        <x:v>有根透干受制</x:v>
      </x:c>
      <x:c r="K478" s="20" t="str">
        <x:v>有根透干受克时通常是受制，不应直接归零。</x:v>
      </x:c>
      <x:c r="L478" s="20" t="str">
        <x:v>较高</x:v>
      </x:c>
      <x:c r="M478" s="20" t="str">
        <x:v>采用</x:v>
      </x:c>
      <x:c r="N478" s="20" t="str">
        <x:v>初审</x:v>
      </x:c>
      <x:c r="O478" s="22" t="n">
        <x:v>46255</x:v>
      </x:c>
      <x:c r="P478" s="20" t="str">
        <x:v>https://zh.wikisource.org/zh-hans/滴天髓 ; https://zh.wikisource.org/zh-hans/淵海子平 ; https://zh.wikisource.org/wiki/三命通會</x:v>
      </x:c>
    </x:row>
    <x:row r="479">
      <x:c r="A479" s="20" t="str">
        <x:v>M08-STEM-0034-V1.0</x:v>
      </x:c>
      <x:c r="B479" s="20" t="str">
        <x:v>规则</x:v>
      </x:c>
      <x:c r="C479" s="20" t="str">
        <x:v>M08</x:v>
      </x:c>
      <x:c r="D479" s="20" t="str">
        <x:v>08_五行有效旺衰</x:v>
      </x:c>
      <x:c r="E479" s="20" t="str">
        <x:v>STEM</x:v>
      </x:c>
      <x:c r="F479" s="20" t="n">
        <x:v>34</x:v>
      </x:c>
      <x:c r="G479" s="20" t="str">
        <x:v>V1.0</x:v>
      </x:c>
      <x:c r="H479" s="20" t="str">
        <x:v>藏而不透但得令成势时仍可有高有效力量</x:v>
      </x:c>
      <x:c r="I479" s="20" t="str">
        <x:v>结构层</x:v>
      </x:c>
      <x:c r="J479" s="20" t="str">
        <x:v>藏旺不透</x:v>
      </x:c>
      <x:c r="K479" s="20" t="str">
        <x:v>五行虽不透干，但若得令多根成势，实际力量仍可较高。</x:v>
      </x:c>
      <x:c r="L479" s="20" t="str">
        <x:v>较高</x:v>
      </x:c>
      <x:c r="M479" s="20" t="str">
        <x:v>采用</x:v>
      </x:c>
      <x:c r="N479" s="20" t="str">
        <x:v>初审</x:v>
      </x:c>
      <x:c r="O479" s="22" t="n">
        <x:v>46255</x:v>
      </x:c>
      <x:c r="P479" s="20" t="str">
        <x:v>https://zh.wikisource.org/zh-hans/滴天髓 ; https://zh.wikisource.org/zh-hans/淵海子平 ; https://zh.wikisource.org/wiki/三命通會</x:v>
      </x:c>
    </x:row>
    <x:row r="480">
      <x:c r="A480" s="20" t="str">
        <x:v>M08-STEM-0035-V1.0</x:v>
      </x:c>
      <x:c r="B480" s="20" t="str">
        <x:v>规则</x:v>
      </x:c>
      <x:c r="C480" s="20" t="str">
        <x:v>M08</x:v>
      </x:c>
      <x:c r="D480" s="20" t="str">
        <x:v>08_五行有效旺衰</x:v>
      </x:c>
      <x:c r="E480" s="20" t="str">
        <x:v>STEM</x:v>
      </x:c>
      <x:c r="F480" s="20" t="n">
        <x:v>35</x:v>
      </x:c>
      <x:c r="G480" s="20" t="str">
        <x:v>V1.0</x:v>
      </x:c>
      <x:c r="H480" s="20" t="str">
        <x:v>多透同五行按承载能力实行边际递减</x:v>
      </x:c>
      <x:c r="I480" s="20" t="str">
        <x:v>结构层</x:v>
      </x:c>
      <x:c r="J480" s="20" t="str">
        <x:v>多透边际递减</x:v>
      </x:c>
      <x:c r="K480" s="20" t="str">
        <x:v>同五行多透可增强显用，但第二、第三透干不应线性满额累加。</x:v>
      </x:c>
      <x:c r="L480" s="20" t="str">
        <x:v>较高</x:v>
      </x:c>
      <x:c r="M480" s="20" t="str">
        <x:v>采用</x:v>
      </x:c>
      <x:c r="N480" s="20" t="str">
        <x:v>初审</x:v>
      </x:c>
      <x:c r="O480" s="22" t="n">
        <x:v>46255</x:v>
      </x:c>
      <x:c r="P480" s="20" t="str">
        <x:v>https://zh.wikisource.org/zh-hans/滴天髓 ; https://zh.wikisource.org/zh-hans/淵海子平 ; https://zh.wikisource.org/wiki/三命通會</x:v>
      </x:c>
    </x:row>
    <x:row r="481">
      <x:c r="A481" s="20" t="str">
        <x:v>M08-STEM-0036-V1.0</x:v>
      </x:c>
      <x:c r="B481" s="20" t="str">
        <x:v>规则</x:v>
      </x:c>
      <x:c r="C481" s="20" t="str">
        <x:v>M08</x:v>
      </x:c>
      <x:c r="D481" s="20" t="str">
        <x:v>08_五行有效旺衰</x:v>
      </x:c>
      <x:c r="E481" s="20" t="str">
        <x:v>STEM</x:v>
      </x:c>
      <x:c r="F481" s="20" t="n">
        <x:v>36</x:v>
      </x:c>
      <x:c r="G481" s="20" t="str">
        <x:v>V1.0</x:v>
      </x:c>
      <x:c r="H481" s="20" t="str">
        <x:v>透干位置影响直接作用路径而不设固定旺衰分数</x:v>
      </x:c>
      <x:c r="I481" s="20" t="str">
        <x:v>结构层</x:v>
      </x:c>
      <x:c r="J481" s="20" t="str">
        <x:v>位置路径</x:v>
      </x:c>
      <x:c r="K481" s="20" t="str">
        <x:v>透干位置主要决定作用路径，不应机械换算为固定旺衰分数。</x:v>
      </x:c>
      <x:c r="L481" s="20" t="str">
        <x:v>较高</x:v>
      </x:c>
      <x:c r="M481" s="20" t="str">
        <x:v>采用</x:v>
      </x:c>
      <x:c r="N481" s="20" t="str">
        <x:v>初审</x:v>
      </x:c>
      <x:c r="O481" s="22" t="n">
        <x:v>46255</x:v>
      </x:c>
      <x:c r="P481" s="20" t="str">
        <x:v>https://zh.wikisource.org/zh-hans/滴天髓 ; https://zh.wikisource.org/zh-hans/淵海子平 ; https://zh.wikisource.org/wiki/三命通會</x:v>
      </x:c>
    </x:row>
    <x:row r="482">
      <x:c r="A482" s="20" t="str">
        <x:v>M08-CONTROL-0037-V1.0</x:v>
      </x:c>
      <x:c r="B482" s="20" t="str">
        <x:v>规则</x:v>
      </x:c>
      <x:c r="C482" s="20" t="str">
        <x:v>M08</x:v>
      </x:c>
      <x:c r="D482" s="20" t="str">
        <x:v>08_五行有效旺衰</x:v>
      </x:c>
      <x:c r="E482" s="20" t="str">
        <x:v>CONTROL</x:v>
      </x:c>
      <x:c r="F482" s="20" t="n">
        <x:v>37</x:v>
      </x:c>
      <x:c r="G482" s="20" t="str">
        <x:v>V1.0</x:v>
      </x:c>
      <x:c r="H482" s="20" t="str">
        <x:v>强克弱形成显著有效减力</x:v>
      </x:c>
      <x:c r="I482" s="20" t="str">
        <x:v>结构层</x:v>
      </x:c>
      <x:c r="J482" s="20" t="str">
        <x:v>强克弱</x:v>
      </x:c>
      <x:c r="K482" s="20" t="str">
        <x:v>克方明显强于目标且路径直接时，目标有效力量显著下降。</x:v>
      </x:c>
      <x:c r="L482" s="20" t="str">
        <x:v>较高</x:v>
      </x:c>
      <x:c r="M482" s="20" t="str">
        <x:v>采用</x:v>
      </x:c>
      <x:c r="N482" s="20" t="str">
        <x:v>初审</x:v>
      </x:c>
      <x:c r="O482" s="22" t="n">
        <x:v>46255</x:v>
      </x:c>
      <x:c r="P482" s="20" t="str">
        <x:v>https://zh.wikisource.org/zh-hans/滴天髓 ; https://zh.wikisource.org/zh-hans/淵海子平 ; https://zh.wikisource.org/wiki/三命通會</x:v>
      </x:c>
    </x:row>
    <x:row r="483">
      <x:c r="A483" s="20" t="str">
        <x:v>M08-CONTROL-0038-V1.0</x:v>
      </x:c>
      <x:c r="B483" s="20" t="str">
        <x:v>规则</x:v>
      </x:c>
      <x:c r="C483" s="20" t="str">
        <x:v>M08</x:v>
      </x:c>
      <x:c r="D483" s="20" t="str">
        <x:v>08_五行有效旺衰</x:v>
      </x:c>
      <x:c r="E483" s="20" t="str">
        <x:v>CONTROL</x:v>
      </x:c>
      <x:c r="F483" s="20" t="n">
        <x:v>38</x:v>
      </x:c>
      <x:c r="G483" s="20" t="str">
        <x:v>V1.0</x:v>
      </x:c>
      <x:c r="H483" s="20" t="str">
        <x:v>弱克强多表现为牵制而非实质压制</x:v>
      </x:c>
      <x:c r="I483" s="20" t="str">
        <x:v>结构层</x:v>
      </x:c>
      <x:c r="J483" s="20" t="str">
        <x:v>弱克强</x:v>
      </x:c>
      <x:c r="K483" s="20" t="str">
        <x:v>克方弱而目标强时，通常不足以改变目标主要旺衰等级。</x:v>
      </x:c>
      <x:c r="L483" s="20" t="str">
        <x:v>较高</x:v>
      </x:c>
      <x:c r="M483" s="20" t="str">
        <x:v>采用</x:v>
      </x:c>
      <x:c r="N483" s="20" t="str">
        <x:v>初审</x:v>
      </x:c>
      <x:c r="O483" s="22" t="n">
        <x:v>46255</x:v>
      </x:c>
      <x:c r="P483" s="20" t="str">
        <x:v>https://zh.wikisource.org/zh-hans/滴天髓 ; https://zh.wikisource.org/zh-hans/淵海子平 ; https://zh.wikisource.org/wiki/三命通會</x:v>
      </x:c>
    </x:row>
    <x:row r="484">
      <x:c r="A484" s="20" t="str">
        <x:v>M08-CONTROL-0039-V1.0</x:v>
      </x:c>
      <x:c r="B484" s="20" t="str">
        <x:v>规则</x:v>
      </x:c>
      <x:c r="C484" s="20" t="str">
        <x:v>M08</x:v>
      </x:c>
      <x:c r="D484" s="20" t="str">
        <x:v>08_五行有效旺衰</x:v>
      </x:c>
      <x:c r="E484" s="20" t="str">
        <x:v>CONTROL</x:v>
      </x:c>
      <x:c r="F484" s="20" t="n">
        <x:v>39</x:v>
      </x:c>
      <x:c r="G484" s="20" t="str">
        <x:v>V1.0</x:v>
      </x:c>
      <x:c r="H484" s="20" t="str">
        <x:v>同级相克双方均有损但减力不必等量</x:v>
      </x:c>
      <x:c r="I484" s="20" t="str">
        <x:v>结构层</x:v>
      </x:c>
      <x:c r="J484" s="20" t="str">
        <x:v>势均相克</x:v>
      </x:c>
      <x:c r="K484" s="20" t="str">
        <x:v>双方势均相克时都存在耗损，但减力幅度不应机械相同。</x:v>
      </x:c>
      <x:c r="L484" s="20" t="str">
        <x:v>较高</x:v>
      </x:c>
      <x:c r="M484" s="20" t="str">
        <x:v>采用</x:v>
      </x:c>
      <x:c r="N484" s="20" t="str">
        <x:v>初审</x:v>
      </x:c>
      <x:c r="O484" s="22" t="n">
        <x:v>46255</x:v>
      </x:c>
      <x:c r="P484" s="20" t="str">
        <x:v>https://zh.wikisource.org/zh-hans/滴天髓 ; https://zh.wikisource.org/zh-hans/淵海子平 ; https://zh.wikisource.org/wiki/三命通會</x:v>
      </x:c>
    </x:row>
    <x:row r="485">
      <x:c r="A485" s="20" t="str">
        <x:v>M08-CONTROL-0040-V1.0</x:v>
      </x:c>
      <x:c r="B485" s="20" t="str">
        <x:v>规则</x:v>
      </x:c>
      <x:c r="C485" s="20" t="str">
        <x:v>M08</x:v>
      </x:c>
      <x:c r="D485" s="20" t="str">
        <x:v>08_五行有效旺衰</x:v>
      </x:c>
      <x:c r="E485" s="20" t="str">
        <x:v>CONTROL</x:v>
      </x:c>
      <x:c r="F485" s="20" t="n">
        <x:v>40</x:v>
      </x:c>
      <x:c r="G485" s="20" t="str">
        <x:v>V1.0</x:v>
      </x:c>
      <x:c r="H485" s="20" t="str">
        <x:v>被克方有强生源时可抵消部分克制</x:v>
      </x:c>
      <x:c r="I485" s="20" t="str">
        <x:v>结构层</x:v>
      </x:c>
      <x:c r="J485" s="20" t="str">
        <x:v>生扶抗克</x:v>
      </x:c>
      <x:c r="K485" s="20" t="str">
        <x:v>被克方若有强生源持续补给，可抵消部分克制。</x:v>
      </x:c>
      <x:c r="L485" s="20" t="str">
        <x:v>较高</x:v>
      </x:c>
      <x:c r="M485" s="20" t="str">
        <x:v>采用</x:v>
      </x:c>
      <x:c r="N485" s="20" t="str">
        <x:v>初审</x:v>
      </x:c>
      <x:c r="O485" s="22" t="n">
        <x:v>46255</x:v>
      </x:c>
      <x:c r="P485" s="20" t="str">
        <x:v>https://zh.wikisource.org/zh-hans/滴天髓 ; https://zh.wikisource.org/zh-hans/淵海子平 ; https://zh.wikisource.org/wiki/三命通會</x:v>
      </x:c>
    </x:row>
    <x:row r="486">
      <x:c r="A486" s="20" t="str">
        <x:v>M08-CONTROL-0041-V1.0</x:v>
      </x:c>
      <x:c r="B486" s="20" t="str">
        <x:v>规则</x:v>
      </x:c>
      <x:c r="C486" s="20" t="str">
        <x:v>M08</x:v>
      </x:c>
      <x:c r="D486" s="20" t="str">
        <x:v>08_五行有效旺衰</x:v>
      </x:c>
      <x:c r="E486" s="20" t="str">
        <x:v>CONTROL</x:v>
      </x:c>
      <x:c r="F486" s="20" t="n">
        <x:v>41</x:v>
      </x:c>
      <x:c r="G486" s="20" t="str">
        <x:v>V1.0</x:v>
      </x:c>
      <x:c r="H486" s="20" t="str">
        <x:v>克方被制时其对目标的克制能力下降</x:v>
      </x:c>
      <x:c r="I486" s="20" t="str">
        <x:v>结构层</x:v>
      </x:c>
      <x:c r="J486" s="20" t="str">
        <x:v>制克缓冲</x:v>
      </x:c>
      <x:c r="K486" s="20" t="str">
        <x:v>克方被第三方有效制约时，对目标的实际压制会下降。</x:v>
      </x:c>
      <x:c r="L486" s="20" t="str">
        <x:v>较高</x:v>
      </x:c>
      <x:c r="M486" s="20" t="str">
        <x:v>采用</x:v>
      </x:c>
      <x:c r="N486" s="20" t="str">
        <x:v>初审</x:v>
      </x:c>
      <x:c r="O486" s="22" t="n">
        <x:v>46255</x:v>
      </x:c>
      <x:c r="P486" s="20" t="str">
        <x:v>https://zh.wikisource.org/zh-hans/滴天髓 ; https://zh.wikisource.org/zh-hans/淵海子平 ; https://zh.wikisource.org/wiki/三命通會</x:v>
      </x:c>
    </x:row>
    <x:row r="487">
      <x:c r="A487" s="20" t="str">
        <x:v>M08-CONTROL-0042-V1.0</x:v>
      </x:c>
      <x:c r="B487" s="20" t="str">
        <x:v>规则</x:v>
      </x:c>
      <x:c r="C487" s="20" t="str">
        <x:v>M08</x:v>
      </x:c>
      <x:c r="D487" s="20" t="str">
        <x:v>08_五行有效旺衰</x:v>
      </x:c>
      <x:c r="E487" s="20" t="str">
        <x:v>CONTROL</x:v>
      </x:c>
      <x:c r="F487" s="20" t="n">
        <x:v>42</x:v>
      </x:c>
      <x:c r="G487" s="20" t="str">
        <x:v>V1.0</x:v>
      </x:c>
      <x:c r="H487" s="20" t="str">
        <x:v>通关可把直接相克改写为生化链</x:v>
      </x:c>
      <x:c r="I487" s="20" t="str">
        <x:v>结构层</x:v>
      </x:c>
      <x:c r="J487" s="20" t="str">
        <x:v>有效通关</x:v>
      </x:c>
      <x:c r="K487" s="20" t="str">
        <x:v>有效通关可把直接克战转化为生化链，明显降低被克方损耗。</x:v>
      </x:c>
      <x:c r="L487" s="20" t="str">
        <x:v>较高</x:v>
      </x:c>
      <x:c r="M487" s="20" t="str">
        <x:v>采用</x:v>
      </x:c>
      <x:c r="N487" s="20" t="str">
        <x:v>初审</x:v>
      </x:c>
      <x:c r="O487" s="22" t="n">
        <x:v>46255</x:v>
      </x:c>
      <x:c r="P487" s="20" t="str">
        <x:v>https://zh.wikisource.org/zh-hans/滴天髓 ; https://zh.wikisource.org/zh-hans/淵海子平 ; https://zh.wikisource.org/wiki/三命通會</x:v>
      </x:c>
    </x:row>
    <x:row r="488">
      <x:c r="A488" s="20" t="str">
        <x:v>M08-CONTROL-0043-V1.0</x:v>
      </x:c>
      <x:c r="B488" s="20" t="str">
        <x:v>规则</x:v>
      </x:c>
      <x:c r="C488" s="20" t="str">
        <x:v>M08</x:v>
      </x:c>
      <x:c r="D488" s="20" t="str">
        <x:v>08_五行有效旺衰</x:v>
      </x:c>
      <x:c r="E488" s="20" t="str">
        <x:v>CONTROL</x:v>
      </x:c>
      <x:c r="F488" s="20" t="n">
        <x:v>43</x:v>
      </x:c>
      <x:c r="G488" s="20" t="str">
        <x:v>V1.0</x:v>
      </x:c>
      <x:c r="H488" s="20" t="str">
        <x:v>藏干相克且无透达时权重低于显干直接克</x:v>
      </x:c>
      <x:c r="I488" s="20" t="str">
        <x:v>结构层</x:v>
      </x:c>
      <x:c r="J488" s="20" t="str">
        <x:v>藏克低权重</x:v>
      </x:c>
      <x:c r="K488" s="20" t="str">
        <x:v>未透达的藏干相克通常只作低权重潜在制约。</x:v>
      </x:c>
      <x:c r="L488" s="20" t="str">
        <x:v>较高</x:v>
      </x:c>
      <x:c r="M488" s="20" t="str">
        <x:v>采用</x:v>
      </x:c>
      <x:c r="N488" s="20" t="str">
        <x:v>初审</x:v>
      </x:c>
      <x:c r="O488" s="22" t="n">
        <x:v>46255</x:v>
      </x:c>
      <x:c r="P488" s="20" t="str">
        <x:v>https://zh.wikisource.org/zh-hans/滴天髓 ; https://zh.wikisource.org/zh-hans/淵海子平 ; https://zh.wikisource.org/wiki/三命通會</x:v>
      </x:c>
    </x:row>
    <x:row r="489">
      <x:c r="A489" s="20" t="str">
        <x:v>M08-CONTROL-0044-V1.0</x:v>
      </x:c>
      <x:c r="B489" s="20" t="str">
        <x:v>规则</x:v>
      </x:c>
      <x:c r="C489" s="20" t="str">
        <x:v>M08</x:v>
      </x:c>
      <x:c r="D489" s="20" t="str">
        <x:v>08_五行有效旺衰</x:v>
      </x:c>
      <x:c r="E489" s="20" t="str">
        <x:v>CONTROL</x:v>
      </x:c>
      <x:c r="F489" s="20" t="n">
        <x:v>44</x:v>
      </x:c>
      <x:c r="G489" s="20" t="str">
        <x:v>V1.0</x:v>
      </x:c>
      <x:c r="H489" s="20" t="str">
        <x:v>克制对象过多时克方输出需分配容量</x:v>
      </x:c>
      <x:c r="I489" s="20" t="str">
        <x:v>结构层</x:v>
      </x:c>
      <x:c r="J489" s="20" t="str">
        <x:v>克力容量</x:v>
      </x:c>
      <x:c r="K489" s="20" t="str">
        <x:v>同一克方同时制约多个对象时，其输出存在容量分配。</x:v>
      </x:c>
      <x:c r="L489" s="20" t="str">
        <x:v>较高</x:v>
      </x:c>
      <x:c r="M489" s="20" t="str">
        <x:v>采用</x:v>
      </x:c>
      <x:c r="N489" s="20" t="str">
        <x:v>初审</x:v>
      </x:c>
      <x:c r="O489" s="22" t="n">
        <x:v>46255</x:v>
      </x:c>
      <x:c r="P489" s="20" t="str">
        <x:v>https://zh.wikisource.org/zh-hans/滴天髓 ; https://zh.wikisource.org/zh-hans/淵海子平 ; https://zh.wikisource.org/wiki/三命通會</x:v>
      </x:c>
    </x:row>
    <x:row r="490">
      <x:c r="A490" s="20" t="str">
        <x:v>M08-CONTROL-0045-V1.0</x:v>
      </x:c>
      <x:c r="B490" s="20" t="str">
        <x:v>规则</x:v>
      </x:c>
      <x:c r="C490" s="20" t="str">
        <x:v>M08</x:v>
      </x:c>
      <x:c r="D490" s="20" t="str">
        <x:v>08_五行有效旺衰</x:v>
      </x:c>
      <x:c r="E490" s="20" t="str">
        <x:v>CONTROL</x:v>
      </x:c>
      <x:c r="F490" s="20" t="n">
        <x:v>45</x:v>
      </x:c>
      <x:c r="G490" s="20" t="str">
        <x:v>V1.0</x:v>
      </x:c>
      <x:c r="H490" s="20" t="str">
        <x:v>克方同时大量泄耗时持续压制能力下降</x:v>
      </x:c>
      <x:c r="I490" s="20" t="str">
        <x:v>结构层</x:v>
      </x:c>
      <x:c r="J490" s="20" t="str">
        <x:v>克方续航下降</x:v>
      </x:c>
      <x:c r="K490" s="20" t="str">
        <x:v>克制不是无限输出，克方若同时大量泄耗，其持续压制能力会下降。</x:v>
      </x:c>
      <x:c r="L490" s="20" t="str">
        <x:v>较高</x:v>
      </x:c>
      <x:c r="M490" s="20" t="str">
        <x:v>采用</x:v>
      </x:c>
      <x:c r="N490" s="20" t="str">
        <x:v>初审</x:v>
      </x:c>
      <x:c r="O490" s="22" t="n">
        <x:v>46255</x:v>
      </x:c>
      <x:c r="P490" s="20" t="str">
        <x:v>https://zh.wikisource.org/zh-hans/滴天髓 ; https://zh.wikisource.org/zh-hans/淵海子平 ; https://zh.wikisource.org/wiki/三命通會</x:v>
      </x:c>
    </x:row>
    <x:row r="491">
      <x:c r="A491" s="20" t="str">
        <x:v>M08-CONTROL-0046-V1.0</x:v>
      </x:c>
      <x:c r="B491" s="20" t="str">
        <x:v>规则</x:v>
      </x:c>
      <x:c r="C491" s="20" t="str">
        <x:v>M08</x:v>
      </x:c>
      <x:c r="D491" s="20" t="str">
        <x:v>08_五行有效旺衰</x:v>
      </x:c>
      <x:c r="E491" s="20" t="str">
        <x:v>CONTROL</x:v>
      </x:c>
      <x:c r="F491" s="20" t="n">
        <x:v>46</x:v>
      </x:c>
      <x:c r="G491" s="20" t="str">
        <x:v>V1.0</x:v>
      </x:c>
      <x:c r="H491" s="20" t="str">
        <x:v>克制结果不得越级等同十神功能成败</x:v>
      </x:c>
      <x:c r="I491" s="20" t="str">
        <x:v>结构层</x:v>
      </x:c>
      <x:c r="J491" s="20" t="str">
        <x:v>五行克制边界</x:v>
      </x:c>
      <x:c r="K491" s="20" t="str">
        <x:v>M08只确认克制对五行力量的影响，十神功能与组合交由M10/M11。</x:v>
      </x:c>
      <x:c r="L491" s="20" t="str">
        <x:v>较高</x:v>
      </x:c>
      <x:c r="M491" s="20" t="str">
        <x:v>采用</x:v>
      </x:c>
      <x:c r="N491" s="20" t="str">
        <x:v>初审</x:v>
      </x:c>
      <x:c r="O491" s="22" t="n">
        <x:v>46255</x:v>
      </x:c>
      <x:c r="P491" s="20" t="str">
        <x:v>https://zh.wikisource.org/zh-hans/滴天髓 ; https://zh.wikisource.org/zh-hans/淵海子平 ; https://zh.wikisource.org/wiki/三命通會</x:v>
      </x:c>
    </x:row>
    <x:row r="492">
      <x:c r="A492" s="20" t="str">
        <x:v>M08-LEAK-0047-V1.0</x:v>
      </x:c>
      <x:c r="B492" s="20" t="str">
        <x:v>规则</x:v>
      </x:c>
      <x:c r="C492" s="20" t="str">
        <x:v>M08</x:v>
      </x:c>
      <x:c r="D492" s="20" t="str">
        <x:v>08_五行有效旺衰</x:v>
      </x:c>
      <x:c r="E492" s="20" t="str">
        <x:v>LEAK</x:v>
      </x:c>
      <x:c r="F492" s="20" t="n">
        <x:v>47</x:v>
      </x:c>
      <x:c r="G492" s="20" t="str">
        <x:v>V1.0</x:v>
      </x:c>
      <x:c r="H492" s="20" t="str">
        <x:v>目标主动生出强泄神时有效力量下降</x:v>
      </x:c>
      <x:c r="I492" s="20" t="str">
        <x:v>结构层</x:v>
      </x:c>
      <x:c r="J492" s="20" t="str">
        <x:v>主动泄气</x:v>
      </x:c>
      <x:c r="K492" s="20" t="str">
        <x:v>目标持续生出有承载的下游五行时，自身有效力量下降。</x:v>
      </x:c>
      <x:c r="L492" s="20" t="str">
        <x:v>较高</x:v>
      </x:c>
      <x:c r="M492" s="20" t="str">
        <x:v>采用</x:v>
      </x:c>
      <x:c r="N492" s="20" t="str">
        <x:v>初审</x:v>
      </x:c>
      <x:c r="O492" s="22" t="n">
        <x:v>46255</x:v>
      </x:c>
      <x:c r="P492" s="20" t="str">
        <x:v>https://zh.wikisource.org/zh-hans/滴天髓 ; https://zh.wikisource.org/zh-hans/淵海子平 ; https://zh.wikisource.org/wiki/三命通會</x:v>
      </x:c>
    </x:row>
    <x:row r="493">
      <x:c r="A493" s="20" t="str">
        <x:v>M08-LEAK-0048-V1.0</x:v>
      </x:c>
      <x:c r="B493" s="20" t="str">
        <x:v>规则</x:v>
      </x:c>
      <x:c r="C493" s="20" t="str">
        <x:v>M08</x:v>
      </x:c>
      <x:c r="D493" s="20" t="str">
        <x:v>08_五行有效旺衰</x:v>
      </x:c>
      <x:c r="E493" s="20" t="str">
        <x:v>LEAK</x:v>
      </x:c>
      <x:c r="F493" s="20" t="n">
        <x:v>48</x:v>
      </x:c>
      <x:c r="G493" s="20" t="str">
        <x:v>V1.0</x:v>
      </x:c>
      <x:c r="H493" s="20" t="str">
        <x:v>泄神弱或无根时对目标泄力有限</x:v>
      </x:c>
      <x:c r="I493" s="20" t="str">
        <x:v>结构层</x:v>
      </x:c>
      <x:c r="J493" s="20" t="str">
        <x:v>弱泄低权重</x:v>
      </x:c>
      <x:c r="K493" s="20" t="str">
        <x:v>泄神弱而无承载时，对目标的实际泄力有限。</x:v>
      </x:c>
      <x:c r="L493" s="20" t="str">
        <x:v>较高</x:v>
      </x:c>
      <x:c r="M493" s="20" t="str">
        <x:v>采用</x:v>
      </x:c>
      <x:c r="N493" s="20" t="str">
        <x:v>初审</x:v>
      </x:c>
      <x:c r="O493" s="22" t="n">
        <x:v>46255</x:v>
      </x:c>
      <x:c r="P493" s="20" t="str">
        <x:v>https://zh.wikisource.org/zh-hans/滴天髓 ; https://zh.wikisource.org/zh-hans/淵海子平 ; https://zh.wikisource.org/wiki/三命通會</x:v>
      </x:c>
    </x:row>
    <x:row r="494">
      <x:c r="A494" s="20" t="str">
        <x:v>M08-LEAK-0049-V1.0</x:v>
      </x:c>
      <x:c r="B494" s="20" t="str">
        <x:v>规则</x:v>
      </x:c>
      <x:c r="C494" s="20" t="str">
        <x:v>M08</x:v>
      </x:c>
      <x:c r="D494" s="20" t="str">
        <x:v>08_五行有效旺衰</x:v>
      </x:c>
      <x:c r="E494" s="20" t="str">
        <x:v>LEAK</x:v>
      </x:c>
      <x:c r="F494" s="20" t="n">
        <x:v>49</x:v>
      </x:c>
      <x:c r="G494" s="20" t="str">
        <x:v>V1.0</x:v>
      </x:c>
      <x:c r="H494" s="20" t="str">
        <x:v>多重泄出需按目标容量与下游承载共同判断</x:v>
      </x:c>
      <x:c r="I494" s="20" t="str">
        <x:v>结构层</x:v>
      </x:c>
      <x:c r="J494" s="20" t="str">
        <x:v>多路泄气</x:v>
      </x:c>
      <x:c r="K494" s="20" t="str">
        <x:v>多路有效泄出会提高总泄力，但受目标自身容量约束。</x:v>
      </x:c>
      <x:c r="L494" s="20" t="str">
        <x:v>较高</x:v>
      </x:c>
      <x:c r="M494" s="20" t="str">
        <x:v>采用</x:v>
      </x:c>
      <x:c r="N494" s="20" t="str">
        <x:v>初审</x:v>
      </x:c>
      <x:c r="O494" s="22" t="n">
        <x:v>46255</x:v>
      </x:c>
      <x:c r="P494" s="20" t="str">
        <x:v>https://zh.wikisource.org/zh-hans/滴天髓 ; https://zh.wikisource.org/zh-hans/淵海子平 ; https://zh.wikisource.org/wiki/三命通會</x:v>
      </x:c>
    </x:row>
    <x:row r="495">
      <x:c r="A495" s="20" t="str">
        <x:v>M08-LEAK-0050-V1.0</x:v>
      </x:c>
      <x:c r="B495" s="20" t="str">
        <x:v>规则</x:v>
      </x:c>
      <x:c r="C495" s="20" t="str">
        <x:v>M08</x:v>
      </x:c>
      <x:c r="D495" s="20" t="str">
        <x:v>08_五行有效旺衰</x:v>
      </x:c>
      <x:c r="E495" s="20" t="str">
        <x:v>LEAK</x:v>
      </x:c>
      <x:c r="F495" s="20" t="n">
        <x:v>50</x:v>
      </x:c>
      <x:c r="G495" s="20" t="str">
        <x:v>V1.0</x:v>
      </x:c>
      <x:c r="H495" s="20" t="str">
        <x:v>泄神被合绊时目标泄力下降</x:v>
      </x:c>
      <x:c r="I495" s="20" t="str">
        <x:v>结构层</x:v>
      </x:c>
      <x:c r="J495" s="20" t="str">
        <x:v>泄路受阻</x:v>
      </x:c>
      <x:c r="K495" s="20" t="str">
        <x:v>泄神被合绊后，目标的泄出通道受限，实际泄气减轻。</x:v>
      </x:c>
      <x:c r="L495" s="20" t="str">
        <x:v>较高</x:v>
      </x:c>
      <x:c r="M495" s="20" t="str">
        <x:v>采用</x:v>
      </x:c>
      <x:c r="N495" s="20" t="str">
        <x:v>初审</x:v>
      </x:c>
      <x:c r="O495" s="22" t="n">
        <x:v>46255</x:v>
      </x:c>
      <x:c r="P495" s="20" t="str">
        <x:v>https://zh.wikisource.org/zh-hans/滴天髓 ; https://zh.wikisource.org/zh-hans/淵海子平 ; https://zh.wikisource.org/wiki/三命通會</x:v>
      </x:c>
    </x:row>
    <x:row r="496">
      <x:c r="A496" s="20" t="str">
        <x:v>M08-LEAK-0051-V1.0</x:v>
      </x:c>
      <x:c r="B496" s="20" t="str">
        <x:v>规则</x:v>
      </x:c>
      <x:c r="C496" s="20" t="str">
        <x:v>M08</x:v>
      </x:c>
      <x:c r="D496" s="20" t="str">
        <x:v>08_五行有效旺衰</x:v>
      </x:c>
      <x:c r="E496" s="20" t="str">
        <x:v>LEAK</x:v>
      </x:c>
      <x:c r="F496" s="20" t="n">
        <x:v>51</x:v>
      </x:c>
      <x:c r="G496" s="20" t="str">
        <x:v>V1.0</x:v>
      </x:c>
      <x:c r="H496" s="20" t="str">
        <x:v>泄神被克制时目标泄气能力下降</x:v>
      </x:c>
      <x:c r="I496" s="20" t="str">
        <x:v>结构层</x:v>
      </x:c>
      <x:c r="J496" s="20" t="str">
        <x:v>泄神受制</x:v>
      </x:c>
      <x:c r="K496" s="20" t="str">
        <x:v>泄神自身受制会降低承接能力，使目标实际泄气减轻。</x:v>
      </x:c>
      <x:c r="L496" s="20" t="str">
        <x:v>较高</x:v>
      </x:c>
      <x:c r="M496" s="20" t="str">
        <x:v>采用</x:v>
      </x:c>
      <x:c r="N496" s="20" t="str">
        <x:v>初审</x:v>
      </x:c>
      <x:c r="O496" s="22" t="n">
        <x:v>46255</x:v>
      </x:c>
      <x:c r="P496" s="20" t="str">
        <x:v>https://zh.wikisource.org/zh-hans/滴天髓 ; https://zh.wikisource.org/zh-hans/淵海子平 ; https://zh.wikisource.org/wiki/三命通會</x:v>
      </x:c>
    </x:row>
    <x:row r="497">
      <x:c r="A497" s="20" t="str">
        <x:v>M08-LEAK-0052-V1.0</x:v>
      </x:c>
      <x:c r="B497" s="20" t="str">
        <x:v>规则</x:v>
      </x:c>
      <x:c r="C497" s="20" t="str">
        <x:v>M08</x:v>
      </x:c>
      <x:c r="D497" s="20" t="str">
        <x:v>08_五行有效旺衰</x:v>
      </x:c>
      <x:c r="E497" s="20" t="str">
        <x:v>LEAK</x:v>
      </x:c>
      <x:c r="F497" s="20" t="n">
        <x:v>52</x:v>
      </x:c>
      <x:c r="G497" s="20" t="str">
        <x:v>V1.0</x:v>
      </x:c>
      <x:c r="H497" s="20" t="str">
        <x:v>泄出后继续顺生可形成连续导流</x:v>
      </x:c>
      <x:c r="I497" s="20" t="str">
        <x:v>结构层</x:v>
      </x:c>
      <x:c r="J497" s="20" t="str">
        <x:v>连续泄流</x:v>
      </x:c>
      <x:c r="K497" s="20" t="str">
        <x:v>力量沿连续生化链顺畅导出时，源头泄力通常高于单段泄出。</x:v>
      </x:c>
      <x:c r="L497" s="20" t="str">
        <x:v>较高</x:v>
      </x:c>
      <x:c r="M497" s="20" t="str">
        <x:v>采用</x:v>
      </x:c>
      <x:c r="N497" s="20" t="str">
        <x:v>初审</x:v>
      </x:c>
      <x:c r="O497" s="22" t="n">
        <x:v>46255</x:v>
      </x:c>
      <x:c r="P497" s="20" t="str">
        <x:v>https://zh.wikisource.org/zh-hans/滴天髓 ; https://zh.wikisource.org/zh-hans/淵海子平 ; https://zh.wikisource.org/wiki/三命通會</x:v>
      </x:c>
    </x:row>
    <x:row r="498">
      <x:c r="A498" s="20" t="str">
        <x:v>M08-LEAK-0053-V1.0</x:v>
      </x:c>
      <x:c r="B498" s="20" t="str">
        <x:v>规则</x:v>
      </x:c>
      <x:c r="C498" s="20" t="str">
        <x:v>M08</x:v>
      </x:c>
      <x:c r="D498" s="20" t="str">
        <x:v>08_五行有效旺衰</x:v>
      </x:c>
      <x:c r="E498" s="20" t="str">
        <x:v>LEAK</x:v>
      </x:c>
      <x:c r="F498" s="20" t="n">
        <x:v>53</x:v>
      </x:c>
      <x:c r="G498" s="20" t="str">
        <x:v>V1.0</x:v>
      </x:c>
      <x:c r="H498" s="20" t="str">
        <x:v>目标极弱时再遇强泄可形成过泄候选</x:v>
      </x:c>
      <x:c r="I498" s="20" t="str">
        <x:v>结构层</x:v>
      </x:c>
      <x:c r="J498" s="20" t="str">
        <x:v>过泄</x:v>
      </x:c>
      <x:c r="K498" s="20" t="str">
        <x:v>弱目标再遇强泄时，有效力量可能进一步下探。</x:v>
      </x:c>
      <x:c r="L498" s="20" t="str">
        <x:v>较高</x:v>
      </x:c>
      <x:c r="M498" s="20" t="str">
        <x:v>采用</x:v>
      </x:c>
      <x:c r="N498" s="20" t="str">
        <x:v>初审</x:v>
      </x:c>
      <x:c r="O498" s="22" t="n">
        <x:v>46255</x:v>
      </x:c>
      <x:c r="P498" s="20" t="str">
        <x:v>https://zh.wikisource.org/zh-hans/滴天髓 ; https://zh.wikisource.org/zh-hans/淵海子平 ; https://zh.wikisource.org/wiki/三命通會</x:v>
      </x:c>
    </x:row>
    <x:row r="499">
      <x:c r="A499" s="20" t="str">
        <x:v>M08-LEAK-0054-V1.0</x:v>
      </x:c>
      <x:c r="B499" s="20" t="str">
        <x:v>规则</x:v>
      </x:c>
      <x:c r="C499" s="20" t="str">
        <x:v>M08</x:v>
      </x:c>
      <x:c r="D499" s="20" t="str">
        <x:v>08_五行有效旺衰</x:v>
      </x:c>
      <x:c r="E499" s="20" t="str">
        <x:v>LEAK</x:v>
      </x:c>
      <x:c r="F499" s="20" t="n">
        <x:v>54</x:v>
      </x:c>
      <x:c r="G499" s="20" t="str">
        <x:v>V1.0</x:v>
      </x:c>
      <x:c r="H499" s="20" t="str">
        <x:v>泄气修正与喜忌判断分离</x:v>
      </x:c>
      <x:c r="I499" s="20" t="str">
        <x:v>结构层</x:v>
      </x:c>
      <x:c r="J499" s="20" t="str">
        <x:v>泄气边界</x:v>
      </x:c>
      <x:c r="K499" s="20" t="str">
        <x:v>泄气在M08只代表力量外流，是否形成好结构由后续模块判断。</x:v>
      </x:c>
      <x:c r="L499" s="20" t="str">
        <x:v>较高</x:v>
      </x:c>
      <x:c r="M499" s="20" t="str">
        <x:v>采用</x:v>
      </x:c>
      <x:c r="N499" s="20" t="str">
        <x:v>初审</x:v>
      </x:c>
      <x:c r="O499" s="22" t="n">
        <x:v>46255</x:v>
      </x:c>
      <x:c r="P499" s="20" t="str">
        <x:v>https://zh.wikisource.org/zh-hans/滴天髓 ; https://zh.wikisource.org/zh-hans/淵海子平 ; https://zh.wikisource.org/wiki/三命通會</x:v>
      </x:c>
    </x:row>
    <x:row r="500">
      <x:c r="A500" s="20" t="str">
        <x:v>M08-DRAIN-0055-V1.0</x:v>
      </x:c>
      <x:c r="B500" s="20" t="str">
        <x:v>规则</x:v>
      </x:c>
      <x:c r="C500" s="20" t="str">
        <x:v>M08</x:v>
      </x:c>
      <x:c r="D500" s="20" t="str">
        <x:v>08_五行有效旺衰</x:v>
      </x:c>
      <x:c r="E500" s="20" t="str">
        <x:v>DRAIN</x:v>
      </x:c>
      <x:c r="F500" s="20" t="n">
        <x:v>55</x:v>
      </x:c>
      <x:c r="G500" s="20" t="str">
        <x:v>V1.0</x:v>
      </x:c>
      <x:c r="H500" s="20" t="str">
        <x:v>目标克制强耗对象时自身发生明显耗力</x:v>
      </x:c>
      <x:c r="I500" s="20" t="str">
        <x:v>结构层</x:v>
      </x:c>
      <x:c r="J500" s="20" t="str">
        <x:v>主动耗力</x:v>
      </x:c>
      <x:c r="K500" s="20" t="str">
        <x:v>目标长期克制强对象会消耗自身有效力量。</x:v>
      </x:c>
      <x:c r="L500" s="20" t="str">
        <x:v>较高</x:v>
      </x:c>
      <x:c r="M500" s="20" t="str">
        <x:v>采用</x:v>
      </x:c>
      <x:c r="N500" s="20" t="str">
        <x:v>初审</x:v>
      </x:c>
      <x:c r="O500" s="22" t="n">
        <x:v>46255</x:v>
      </x:c>
      <x:c r="P500" s="20" t="str">
        <x:v>https://zh.wikisource.org/zh-hans/滴天髓 ; https://zh.wikisource.org/zh-hans/淵海子平 ; https://zh.wikisource.org/wiki/三命通會</x:v>
      </x:c>
    </x:row>
    <x:row r="501">
      <x:c r="A501" s="20" t="str">
        <x:v>M08-DRAIN-0056-V1.0</x:v>
      </x:c>
      <x:c r="B501" s="20" t="str">
        <x:v>规则</x:v>
      </x:c>
      <x:c r="C501" s="20" t="str">
        <x:v>M08</x:v>
      </x:c>
      <x:c r="D501" s="20" t="str">
        <x:v>08_五行有效旺衰</x:v>
      </x:c>
      <x:c r="E501" s="20" t="str">
        <x:v>DRAIN</x:v>
      </x:c>
      <x:c r="F501" s="20" t="n">
        <x:v>56</x:v>
      </x:c>
      <x:c r="G501" s="20" t="str">
        <x:v>V1.0</x:v>
      </x:c>
      <x:c r="H501" s="20" t="str">
        <x:v>被克对象弱时目标耗力有限</x:v>
      </x:c>
      <x:c r="I501" s="20" t="str">
        <x:v>结构层</x:v>
      </x:c>
      <x:c r="J501" s="20" t="str">
        <x:v>弱耗低权重</x:v>
      </x:c>
      <x:c r="K501" s="20" t="str">
        <x:v>被克对象弱时，目标为维持克制所付出的实际耗力有限。</x:v>
      </x:c>
      <x:c r="L501" s="20" t="str">
        <x:v>较高</x:v>
      </x:c>
      <x:c r="M501" s="20" t="str">
        <x:v>采用</x:v>
      </x:c>
      <x:c r="N501" s="20" t="str">
        <x:v>初审</x:v>
      </x:c>
      <x:c r="O501" s="22" t="n">
        <x:v>46255</x:v>
      </x:c>
      <x:c r="P501" s="20" t="str">
        <x:v>https://zh.wikisource.org/zh-hans/滴天髓 ; https://zh.wikisource.org/zh-hans/淵海子平 ; https://zh.wikisource.org/wiki/三命通會</x:v>
      </x:c>
    </x:row>
    <x:row r="502">
      <x:c r="A502" s="20" t="str">
        <x:v>M08-DRAIN-0057-V1.0</x:v>
      </x:c>
      <x:c r="B502" s="20" t="str">
        <x:v>规则</x:v>
      </x:c>
      <x:c r="C502" s="20" t="str">
        <x:v>M08</x:v>
      </x:c>
      <x:c r="D502" s="20" t="str">
        <x:v>08_五行有效旺衰</x:v>
      </x:c>
      <x:c r="E502" s="20" t="str">
        <x:v>DRAIN</x:v>
      </x:c>
      <x:c r="F502" s="20" t="n">
        <x:v>57</x:v>
      </x:c>
      <x:c r="G502" s="20" t="str">
        <x:v>V1.0</x:v>
      </x:c>
      <x:c r="H502" s="20" t="str">
        <x:v>多个强耗对象会提高总耗但受目标容量上限</x:v>
      </x:c>
      <x:c r="I502" s="20" t="str">
        <x:v>结构层</x:v>
      </x:c>
      <x:c r="J502" s="20" t="str">
        <x:v>多路耗力</x:v>
      </x:c>
      <x:c r="K502" s="20" t="str">
        <x:v>多个强耗对象会增加总消耗，但仍受目标自身容量约束。</x:v>
      </x:c>
      <x:c r="L502" s="20" t="str">
        <x:v>较高</x:v>
      </x:c>
      <x:c r="M502" s="20" t="str">
        <x:v>采用</x:v>
      </x:c>
      <x:c r="N502" s="20" t="str">
        <x:v>初审</x:v>
      </x:c>
      <x:c r="O502" s="22" t="n">
        <x:v>46255</x:v>
      </x:c>
      <x:c r="P502" s="20" t="str">
        <x:v>https://zh.wikisource.org/zh-hans/滴天髓 ; https://zh.wikisource.org/zh-hans/淵海子平 ; https://zh.wikisource.org/wiki/三命通會</x:v>
      </x:c>
    </x:row>
    <x:row r="503">
      <x:c r="A503" s="20" t="str">
        <x:v>M08-DRAIN-0058-V1.0</x:v>
      </x:c>
      <x:c r="B503" s="20" t="str">
        <x:v>规则</x:v>
      </x:c>
      <x:c r="C503" s="20" t="str">
        <x:v>M08</x:v>
      </x:c>
      <x:c r="D503" s="20" t="str">
        <x:v>08_五行有效旺衰</x:v>
      </x:c>
      <x:c r="E503" s="20" t="str">
        <x:v>DRAIN</x:v>
      </x:c>
      <x:c r="F503" s="20" t="n">
        <x:v>58</x:v>
      </x:c>
      <x:c r="G503" s="20" t="str">
        <x:v>V1.0</x:v>
      </x:c>
      <x:c r="H503" s="20" t="str">
        <x:v>耗对象被第三方削弱时目标耗力下降</x:v>
      </x:c>
      <x:c r="I503" s="20" t="str">
        <x:v>结构层</x:v>
      </x:c>
      <x:c r="J503" s="20" t="str">
        <x:v>耗对象被削</x:v>
      </x:c>
      <x:c r="K503" s="20" t="str">
        <x:v>被克对象被其他力量削弱后，目标用于克制它的耗力相应下降。</x:v>
      </x:c>
      <x:c r="L503" s="20" t="str">
        <x:v>较高</x:v>
      </x:c>
      <x:c r="M503" s="20" t="str">
        <x:v>采用</x:v>
      </x:c>
      <x:c r="N503" s="20" t="str">
        <x:v>初审</x:v>
      </x:c>
      <x:c r="O503" s="22" t="n">
        <x:v>46255</x:v>
      </x:c>
      <x:c r="P503" s="20" t="str">
        <x:v>https://zh.wikisource.org/zh-hans/滴天髓 ; https://zh.wikisource.org/zh-hans/淵海子平 ; https://zh.wikisource.org/wiki/三命通會</x:v>
      </x:c>
    </x:row>
    <x:row r="504">
      <x:c r="A504" s="20" t="str">
        <x:v>M08-DRAIN-0059-V1.0</x:v>
      </x:c>
      <x:c r="B504" s="20" t="str">
        <x:v>规则</x:v>
      </x:c>
      <x:c r="C504" s="20" t="str">
        <x:v>M08</x:v>
      </x:c>
      <x:c r="D504" s="20" t="str">
        <x:v>08_五行有效旺衰</x:v>
      </x:c>
      <x:c r="E504" s="20" t="str">
        <x:v>DRAIN</x:v>
      </x:c>
      <x:c r="F504" s="20" t="n">
        <x:v>59</x:v>
      </x:c>
      <x:c r="G504" s="20" t="str">
        <x:v>V1.0</x:v>
      </x:c>
      <x:c r="H504" s="20" t="str">
        <x:v>目标被合绊时主动克耗下降但功能也受限</x:v>
      </x:c>
      <x:c r="I504" s="20" t="str">
        <x:v>结构层</x:v>
      </x:c>
      <x:c r="J504" s="20" t="str">
        <x:v>合绊减耗</x:v>
      </x:c>
      <x:c r="K504" s="20" t="str">
        <x:v>目标被合绊后少耗不等于纯增力，应同时记录功能受限。</x:v>
      </x:c>
      <x:c r="L504" s="20" t="str">
        <x:v>较高</x:v>
      </x:c>
      <x:c r="M504" s="20" t="str">
        <x:v>采用</x:v>
      </x:c>
      <x:c r="N504" s="20" t="str">
        <x:v>初审</x:v>
      </x:c>
      <x:c r="O504" s="22" t="n">
        <x:v>46255</x:v>
      </x:c>
      <x:c r="P504" s="20" t="str">
        <x:v>https://zh.wikisource.org/zh-hans/滴天髓 ; https://zh.wikisource.org/zh-hans/淵海子平 ; https://zh.wikisource.org/wiki/三命通會</x:v>
      </x:c>
    </x:row>
    <x:row r="505">
      <x:c r="A505" s="20" t="str">
        <x:v>M08-DRAIN-0060-V1.0</x:v>
      </x:c>
      <x:c r="B505" s="20" t="str">
        <x:v>规则</x:v>
      </x:c>
      <x:c r="C505" s="20" t="str">
        <x:v>M08</x:v>
      </x:c>
      <x:c r="D505" s="20" t="str">
        <x:v>08_五行有效旺衰</x:v>
      </x:c>
      <x:c r="E505" s="20" t="str">
        <x:v>DRAIN</x:v>
      </x:c>
      <x:c r="F505" s="20" t="n">
        <x:v>60</x:v>
      </x:c>
      <x:c r="G505" s="20" t="str">
        <x:v>V1.0</x:v>
      </x:c>
      <x:c r="H505" s="20" t="str">
        <x:v>目标极弱却面对强耗对象时可形成不任耗候选</x:v>
      </x:c>
      <x:c r="I505" s="20" t="str">
        <x:v>结构层</x:v>
      </x:c>
      <x:c r="J505" s="20" t="str">
        <x:v>不任耗</x:v>
      </x:c>
      <x:c r="K505" s="20" t="str">
        <x:v>弱目标面对强耗对象时，承载不足会使有效力量进一步下降。</x:v>
      </x:c>
      <x:c r="L505" s="20" t="str">
        <x:v>较高</x:v>
      </x:c>
      <x:c r="M505" s="20" t="str">
        <x:v>采用</x:v>
      </x:c>
      <x:c r="N505" s="20" t="str">
        <x:v>初审</x:v>
      </x:c>
      <x:c r="O505" s="22" t="n">
        <x:v>46255</x:v>
      </x:c>
      <x:c r="P505" s="20" t="str">
        <x:v>https://zh.wikisource.org/zh-hans/滴天髓 ; https://zh.wikisource.org/zh-hans/淵海子平 ; https://zh.wikisource.org/wiki/三命通會</x:v>
      </x:c>
    </x:row>
    <x:row r="506">
      <x:c r="A506" s="20" t="str">
        <x:v>M08-DRAIN-0061-V1.0</x:v>
      </x:c>
      <x:c r="B506" s="20" t="str">
        <x:v>规则</x:v>
      </x:c>
      <x:c r="C506" s="20" t="str">
        <x:v>M08</x:v>
      </x:c>
      <x:c r="D506" s="20" t="str">
        <x:v>08_五行有效旺衰</x:v>
      </x:c>
      <x:c r="E506" s="20" t="str">
        <x:v>DRAIN</x:v>
      </x:c>
      <x:c r="F506" s="20" t="n">
        <x:v>61</x:v>
      </x:c>
      <x:c r="G506" s="20" t="str">
        <x:v>V1.0</x:v>
      </x:c>
      <x:c r="H506" s="20" t="str">
        <x:v>耗力与克制成果必须分别记录</x:v>
      </x:c>
      <x:c r="I506" s="20" t="str">
        <x:v>结构层</x:v>
      </x:c>
      <x:c r="J506" s="20" t="str">
        <x:v>克耗双向</x:v>
      </x:c>
      <x:c r="K506" s="20" t="str">
        <x:v>主动克制既削弱对象，也会消耗施克者，两方修正必须分开记录。</x:v>
      </x:c>
      <x:c r="L506" s="20" t="str">
        <x:v>较高</x:v>
      </x:c>
      <x:c r="M506" s="20" t="str">
        <x:v>采用</x:v>
      </x:c>
      <x:c r="N506" s="20" t="str">
        <x:v>初审</x:v>
      </x:c>
      <x:c r="O506" s="22" t="n">
        <x:v>46255</x:v>
      </x:c>
      <x:c r="P506" s="20" t="str">
        <x:v>https://zh.wikisource.org/zh-hans/滴天髓 ; https://zh.wikisource.org/zh-hans/淵海子平 ; https://zh.wikisource.org/wiki/三命通會</x:v>
      </x:c>
    </x:row>
    <x:row r="507">
      <x:c r="A507" s="20" t="str">
        <x:v>M08-DRAIN-0062-V1.0</x:v>
      </x:c>
      <x:c r="B507" s="20" t="str">
        <x:v>规则</x:v>
      </x:c>
      <x:c r="C507" s="20" t="str">
        <x:v>M08</x:v>
      </x:c>
      <x:c r="D507" s="20" t="str">
        <x:v>08_五行有效旺衰</x:v>
      </x:c>
      <x:c r="E507" s="20" t="str">
        <x:v>DRAIN</x:v>
      </x:c>
      <x:c r="F507" s="20" t="n">
        <x:v>62</x:v>
      </x:c>
      <x:c r="G507" s="20" t="str">
        <x:v>V1.0</x:v>
      </x:c>
      <x:c r="H507" s="20" t="str">
        <x:v>耗力修正不直接等同财星喜忌</x:v>
      </x:c>
      <x:c r="I507" s="20" t="str">
        <x:v>结构层</x:v>
      </x:c>
      <x:c r="J507" s="20" t="str">
        <x:v>耗力边界</x:v>
      </x:c>
      <x:c r="K507" s="20" t="str">
        <x:v>耗力只说明力量付出，不代表对应十神必为忌神。</x:v>
      </x:c>
      <x:c r="L507" s="20" t="str">
        <x:v>较高</x:v>
      </x:c>
      <x:c r="M507" s="20" t="str">
        <x:v>采用</x:v>
      </x:c>
      <x:c r="N507" s="20" t="str">
        <x:v>初审</x:v>
      </x:c>
      <x:c r="O507" s="22" t="n">
        <x:v>46255</x:v>
      </x:c>
      <x:c r="P507" s="20" t="str">
        <x:v>https://zh.wikisource.org/zh-hans/滴天髓 ; https://zh.wikisource.org/zh-hans/淵海子平 ; https://zh.wikisource.org/wiki/三命通會</x:v>
      </x:c>
    </x:row>
    <x:row r="508">
      <x:c r="A508" s="20" t="str">
        <x:v>M08-TRANS-0063-V1.0</x:v>
      </x:c>
      <x:c r="B508" s="20" t="str">
        <x:v>规则</x:v>
      </x:c>
      <x:c r="C508" s="20" t="str">
        <x:v>M08</x:v>
      </x:c>
      <x:c r="D508" s="20" t="str">
        <x:v>08_五行有效旺衰</x:v>
      </x:c>
      <x:c r="E508" s="20" t="str">
        <x:v>TRANS</x:v>
      </x:c>
      <x:c r="F508" s="20" t="n">
        <x:v>63</x:v>
      </x:c>
      <x:c r="G508" s="20" t="str">
        <x:v>V1.0</x:v>
      </x:c>
      <x:c r="H508" s="20" t="str">
        <x:v>天干五合仅合意时不改变五行有效属性</x:v>
      </x:c>
      <x:c r="I508" s="20" t="str">
        <x:v>结构层</x:v>
      </x:c>
      <x:c r="J508" s="20" t="str">
        <x:v>五合未化</x:v>
      </x:c>
      <x:c r="K508" s="20" t="str">
        <x:v>天干五合未满足合化条件时，原五行属性继续有效。</x:v>
      </x:c>
      <x:c r="L508" s="20" t="str">
        <x:v>较高</x:v>
      </x:c>
      <x:c r="M508" s="20" t="str">
        <x:v>采用</x:v>
      </x:c>
      <x:c r="N508" s="20" t="str">
        <x:v>初审</x:v>
      </x:c>
      <x:c r="O508" s="22" t="n">
        <x:v>46255</x:v>
      </x:c>
      <x:c r="P508" s="20" t="str">
        <x:v>https://zh.wikisource.org/zh-hans/滴天髓 ; https://zh.wikisource.org/zh-hans/淵海子平 ; https://zh.wikisource.org/wiki/三命通會</x:v>
      </x:c>
    </x:row>
    <x:row r="509">
      <x:c r="A509" s="20" t="str">
        <x:v>M08-TRANS-0064-V1.0</x:v>
      </x:c>
      <x:c r="B509" s="20" t="str">
        <x:v>规则</x:v>
      </x:c>
      <x:c r="C509" s="20" t="str">
        <x:v>M08</x:v>
      </x:c>
      <x:c r="D509" s="20" t="str">
        <x:v>08_五行有效旺衰</x:v>
      </x:c>
      <x:c r="E509" s="20" t="str">
        <x:v>TRANS</x:v>
      </x:c>
      <x:c r="F509" s="20" t="n">
        <x:v>64</x:v>
      </x:c>
      <x:c r="G509" s="20" t="str">
        <x:v>V1.0</x:v>
      </x:c>
      <x:c r="H509" s="20" t="str">
        <x:v>天干五合化神成立时按化神重新分配力量</x:v>
      </x:c>
      <x:c r="I509" s="20" t="str">
        <x:v>结构层</x:v>
      </x:c>
      <x:c r="J509" s="20" t="str">
        <x:v>天干合化</x:v>
      </x:c>
      <x:c r="K509" s="20" t="str">
        <x:v>天干合化成立后，参与干的有效属性需转入化神并避免双算。</x:v>
      </x:c>
      <x:c r="L509" s="20" t="str">
        <x:v>较高</x:v>
      </x:c>
      <x:c r="M509" s="20" t="str">
        <x:v>采用</x:v>
      </x:c>
      <x:c r="N509" s="20" t="str">
        <x:v>初审</x:v>
      </x:c>
      <x:c r="O509" s="22" t="n">
        <x:v>46255</x:v>
      </x:c>
      <x:c r="P509" s="20" t="str">
        <x:v>https://zh.wikisource.org/zh-hans/滴天髓 ; https://zh.wikisource.org/zh-hans/淵海子平 ; https://zh.wikisource.org/wiki/三命通會</x:v>
      </x:c>
    </x:row>
    <x:row r="510">
      <x:c r="A510" s="20" t="str">
        <x:v>M08-TRANS-0065-V1.0</x:v>
      </x:c>
      <x:c r="B510" s="20" t="str">
        <x:v>规则</x:v>
      </x:c>
      <x:c r="C510" s="20" t="str">
        <x:v>M08</x:v>
      </x:c>
      <x:c r="D510" s="20" t="str">
        <x:v>08_五行有效旺衰</x:v>
      </x:c>
      <x:c r="E510" s="20" t="str">
        <x:v>TRANS</x:v>
      </x:c>
      <x:c r="F510" s="20" t="n">
        <x:v>65</x:v>
      </x:c>
      <x:c r="G510" s="20" t="str">
        <x:v>V1.0</x:v>
      </x:c>
      <x:c r="H510" s="20" t="str">
        <x:v>六合未化时以牵引与合绊修正为主</x:v>
      </x:c>
      <x:c r="I510" s="20" t="str">
        <x:v>结构层</x:v>
      </x:c>
      <x:c r="J510" s="20" t="str">
        <x:v>六合未化</x:v>
      </x:c>
      <x:c r="K510" s="20" t="str">
        <x:v>六合未化时不改变支的基本五行归属，主要修正合绊与作用路径。</x:v>
      </x:c>
      <x:c r="L510" s="20" t="str">
        <x:v>较高</x:v>
      </x:c>
      <x:c r="M510" s="20" t="str">
        <x:v>采用</x:v>
      </x:c>
      <x:c r="N510" s="20" t="str">
        <x:v>初审</x:v>
      </x:c>
      <x:c r="O510" s="22" t="n">
        <x:v>46255</x:v>
      </x:c>
      <x:c r="P510" s="20" t="str">
        <x:v>https://zh.wikisource.org/zh-hans/滴天髓 ; https://zh.wikisource.org/zh-hans/淵海子平 ; https://zh.wikisource.org/wiki/三命通會</x:v>
      </x:c>
    </x:row>
    <x:row r="511">
      <x:c r="A511" s="20" t="str">
        <x:v>M08-TRANS-0066-V1.0</x:v>
      </x:c>
      <x:c r="B511" s="20" t="str">
        <x:v>规则</x:v>
      </x:c>
      <x:c r="C511" s="20" t="str">
        <x:v>M08</x:v>
      </x:c>
      <x:c r="D511" s="20" t="str">
        <x:v>08_五行有效旺衰</x:v>
      </x:c>
      <x:c r="E511" s="20" t="str">
        <x:v>TRANS</x:v>
      </x:c>
      <x:c r="F511" s="20" t="n">
        <x:v>66</x:v>
      </x:c>
      <x:c r="G511" s="20" t="str">
        <x:v>V1.0</x:v>
      </x:c>
      <x:c r="H511" s="20" t="str">
        <x:v>六合合化成立时逐支评估原性残余</x:v>
      </x:c>
      <x:c r="I511" s="20" t="str">
        <x:v>结构层</x:v>
      </x:c>
      <x:c r="J511" s="20" t="str">
        <x:v>六合改性</x:v>
      </x:c>
      <x:c r="K511" s="20" t="str">
        <x:v>六合合化成立后，应逐支评估原五行残余，转移可以不对称。</x:v>
      </x:c>
      <x:c r="L511" s="20" t="str">
        <x:v>较高</x:v>
      </x:c>
      <x:c r="M511" s="20" t="str">
        <x:v>采用</x:v>
      </x:c>
      <x:c r="N511" s="20" t="str">
        <x:v>初审</x:v>
      </x:c>
      <x:c r="O511" s="22" t="n">
        <x:v>46255</x:v>
      </x:c>
      <x:c r="P511" s="20" t="str">
        <x:v>https://zh.wikisource.org/zh-hans/滴天髓 ; https://zh.wikisource.org/zh-hans/淵海子平 ; https://zh.wikisource.org/wiki/三命通會</x:v>
      </x:c>
    </x:row>
    <x:row r="512">
      <x:c r="A512" s="20" t="str">
        <x:v>M08-TRANS-0067-V1.0</x:v>
      </x:c>
      <x:c r="B512" s="20" t="str">
        <x:v>规则</x:v>
      </x:c>
      <x:c r="C512" s="20" t="str">
        <x:v>M08</x:v>
      </x:c>
      <x:c r="D512" s="20" t="str">
        <x:v>08_五行有效旺衰</x:v>
      </x:c>
      <x:c r="E512" s="20" t="str">
        <x:v>TRANS</x:v>
      </x:c>
      <x:c r="F512" s="20" t="n">
        <x:v>67</x:v>
      </x:c>
      <x:c r="G512" s="20" t="str">
        <x:v>V1.0</x:v>
      </x:c>
      <x:c r="H512" s="20" t="str">
        <x:v>三合完整但不成局时只记聚势候选</x:v>
      </x:c>
      <x:c r="I512" s="20" t="str">
        <x:v>结构层</x:v>
      </x:c>
      <x:c r="J512" s="20" t="str">
        <x:v>三合候选</x:v>
      </x:c>
      <x:c r="K512" s="20" t="str">
        <x:v>三合结构完整但未成局时，只作为化神聚势候选，不能全量改性。</x:v>
      </x:c>
      <x:c r="L512" s="20" t="str">
        <x:v>较高</x:v>
      </x:c>
      <x:c r="M512" s="20" t="str">
        <x:v>采用</x:v>
      </x:c>
      <x:c r="N512" s="20" t="str">
        <x:v>初审</x:v>
      </x:c>
      <x:c r="O512" s="22" t="n">
        <x:v>46255</x:v>
      </x:c>
      <x:c r="P512" s="20" t="str">
        <x:v>https://zh.wikisource.org/zh-hans/滴天髓 ; https://zh.wikisource.org/zh-hans/淵海子平 ; https://zh.wikisource.org/wiki/三命通會</x:v>
      </x:c>
    </x:row>
    <x:row r="513">
      <x:c r="A513" s="20" t="str">
        <x:v>M08-TRANS-0068-V1.0</x:v>
      </x:c>
      <x:c r="B513" s="20" t="str">
        <x:v>规则</x:v>
      </x:c>
      <x:c r="C513" s="20" t="str">
        <x:v>M08</x:v>
      </x:c>
      <x:c r="D513" s="20" t="str">
        <x:v>08_五行有效旺衰</x:v>
      </x:c>
      <x:c r="E513" s="20" t="str">
        <x:v>TRANS</x:v>
      </x:c>
      <x:c r="F513" s="20" t="n">
        <x:v>68</x:v>
      </x:c>
      <x:c r="G513" s="20" t="str">
        <x:v>V1.0</x:v>
      </x:c>
      <x:c r="H513" s="20" t="str">
        <x:v>三合成局时化神成为主要势能池</x:v>
      </x:c>
      <x:c r="I513" s="20" t="str">
        <x:v>结构层</x:v>
      </x:c>
      <x:c r="J513" s="20" t="str">
        <x:v>三合成局</x:v>
      </x:c>
      <x:c r="K513" s="20" t="str">
        <x:v>三合成局时，化神成为主要势能方向，参与支原性按残余程度重算。</x:v>
      </x:c>
      <x:c r="L513" s="20" t="str">
        <x:v>较高</x:v>
      </x:c>
      <x:c r="M513" s="20" t="str">
        <x:v>采用</x:v>
      </x:c>
      <x:c r="N513" s="20" t="str">
        <x:v>初审</x:v>
      </x:c>
      <x:c r="O513" s="22" t="n">
        <x:v>46255</x:v>
      </x:c>
      <x:c r="P513" s="20" t="str">
        <x:v>https://zh.wikisource.org/zh-hans/滴天髓 ; https://zh.wikisource.org/zh-hans/淵海子平 ; https://zh.wikisource.org/wiki/三命通會</x:v>
      </x:c>
    </x:row>
    <x:row r="514">
      <x:c r="A514" s="20" t="str">
        <x:v>M08-TRANS-0069-V1.0</x:v>
      </x:c>
      <x:c r="B514" s="20" t="str">
        <x:v>规则</x:v>
      </x:c>
      <x:c r="C514" s="20" t="str">
        <x:v>M08</x:v>
      </x:c>
      <x:c r="D514" s="20" t="str">
        <x:v>08_五行有效旺衰</x:v>
      </x:c>
      <x:c r="E514" s="20" t="str">
        <x:v>TRANS</x:v>
      </x:c>
      <x:c r="F514" s="20" t="n">
        <x:v>69</x:v>
      </x:c>
      <x:c r="G514" s="20" t="str">
        <x:v>V1.0</x:v>
      </x:c>
      <x:c r="H514" s="20" t="str">
        <x:v>三会成局时方局五行获得强势能支持</x:v>
      </x:c>
      <x:c r="I514" s="20" t="str">
        <x:v>结构层</x:v>
      </x:c>
      <x:c r="J514" s="20" t="str">
        <x:v>三会成势</x:v>
      </x:c>
      <x:c r="K514" s="20" t="str">
        <x:v>三会完整且成势时，方局五行获得强势能支持。</x:v>
      </x:c>
      <x:c r="L514" s="20" t="str">
        <x:v>较高</x:v>
      </x:c>
      <x:c r="M514" s="20" t="str">
        <x:v>采用</x:v>
      </x:c>
      <x:c r="N514" s="20" t="str">
        <x:v>初审</x:v>
      </x:c>
      <x:c r="O514" s="22" t="n">
        <x:v>46255</x:v>
      </x:c>
      <x:c r="P514" s="20" t="str">
        <x:v>https://zh.wikisource.org/zh-hans/滴天髓 ; https://zh.wikisource.org/zh-hans/淵海子平 ; https://zh.wikisource.org/wiki/三命通會</x:v>
      </x:c>
    </x:row>
    <x:row r="515">
      <x:c r="A515" s="20" t="str">
        <x:v>M08-TRANS-0070-V1.0</x:v>
      </x:c>
      <x:c r="B515" s="20" t="str">
        <x:v>规则</x:v>
      </x:c>
      <x:c r="C515" s="20" t="str">
        <x:v>M08</x:v>
      </x:c>
      <x:c r="D515" s="20" t="str">
        <x:v>08_五行有效旺衰</x:v>
      </x:c>
      <x:c r="E515" s="20" t="str">
        <x:v>TRANS</x:v>
      </x:c>
      <x:c r="F515" s="20" t="n">
        <x:v>70</x:v>
      </x:c>
      <x:c r="G515" s="20" t="str">
        <x:v>V1.0</x:v>
      </x:c>
      <x:c r="H515" s="20" t="str">
        <x:v>半合有效时可形成中等级聚势</x:v>
      </x:c>
      <x:c r="I515" s="20" t="str">
        <x:v>结构层</x:v>
      </x:c>
      <x:c r="J515" s="20" t="str">
        <x:v>半合聚势</x:v>
      </x:c>
      <x:c r="K515" s="20" t="str">
        <x:v>半合可形成中等级聚势，但通常不能替代完整三合成局。</x:v>
      </x:c>
      <x:c r="L515" s="20" t="str">
        <x:v>较高</x:v>
      </x:c>
      <x:c r="M515" s="20" t="str">
        <x:v>采用</x:v>
      </x:c>
      <x:c r="N515" s="20" t="str">
        <x:v>初审</x:v>
      </x:c>
      <x:c r="O515" s="22" t="n">
        <x:v>46255</x:v>
      </x:c>
      <x:c r="P515" s="20" t="str">
        <x:v>https://zh.wikisource.org/zh-hans/滴天髓 ; https://zh.wikisource.org/zh-hans/淵海子平 ; https://zh.wikisource.org/wiki/三命通會</x:v>
      </x:c>
    </x:row>
    <x:row r="516">
      <x:c r="A516" s="20" t="str">
        <x:v>M08-TRANS-0071-V1.0</x:v>
      </x:c>
      <x:c r="B516" s="20" t="str">
        <x:v>规则</x:v>
      </x:c>
      <x:c r="C516" s="20" t="str">
        <x:v>M08</x:v>
      </x:c>
      <x:c r="D516" s="20" t="str">
        <x:v>08_五行有效旺衰</x:v>
      </x:c>
      <x:c r="E516" s="20" t="str">
        <x:v>TRANS</x:v>
      </x:c>
      <x:c r="F516" s="20" t="n">
        <x:v>71</x:v>
      </x:c>
      <x:c r="G516" s="20" t="str">
        <x:v>V1.0</x:v>
      </x:c>
      <x:c r="H516" s="20" t="str">
        <x:v>拱合缺中神时通常只作低等级趋向</x:v>
      </x:c>
      <x:c r="I516" s="20" t="str">
        <x:v>结构层</x:v>
      </x:c>
      <x:c r="J516" s="20" t="str">
        <x:v>拱合低权重</x:v>
      </x:c>
      <x:c r="K516" s="20" t="str">
        <x:v>拱合只表示结构趋向，不能把缺失中神当作实际根气。</x:v>
      </x:c>
      <x:c r="L516" s="20" t="str">
        <x:v>较高</x:v>
      </x:c>
      <x:c r="M516" s="20" t="str">
        <x:v>采用</x:v>
      </x:c>
      <x:c r="N516" s="20" t="str">
        <x:v>初审</x:v>
      </x:c>
      <x:c r="O516" s="22" t="n">
        <x:v>46255</x:v>
      </x:c>
      <x:c r="P516" s="20" t="str">
        <x:v>https://zh.wikisource.org/zh-hans/滴天髓 ; https://zh.wikisource.org/zh-hans/淵海子平 ; https://zh.wikisource.org/wiki/三命通會</x:v>
      </x:c>
    </x:row>
    <x:row r="517">
      <x:c r="A517" s="20" t="str">
        <x:v>M08-TRANS-0072-V1.0</x:v>
      </x:c>
      <x:c r="B517" s="20" t="str">
        <x:v>规则</x:v>
      </x:c>
      <x:c r="C517" s="20" t="str">
        <x:v>M08</x:v>
      </x:c>
      <x:c r="D517" s="20" t="str">
        <x:v>08_五行有效旺衰</x:v>
      </x:c>
      <x:c r="E517" s="20" t="str">
        <x:v>TRANS</x:v>
      </x:c>
      <x:c r="F517" s="20" t="n">
        <x:v>72</x:v>
      </x:c>
      <x:c r="G517" s="20" t="str">
        <x:v>V1.0</x:v>
      </x:c>
      <x:c r="H517" s="20" t="str">
        <x:v>成局受关键冲破时化神下调并恢复部分原性</x:v>
      </x:c>
      <x:c r="I517" s="20" t="str">
        <x:v>结构层</x:v>
      </x:c>
      <x:c r="J517" s="20" t="str">
        <x:v>成局破坏</x:v>
      </x:c>
      <x:c r="K517" s="20" t="str">
        <x:v>合会局遭关键冲破时，应同步下调化神势能并恢复部分原性。</x:v>
      </x:c>
      <x:c r="L517" s="20" t="str">
        <x:v>较高</x:v>
      </x:c>
      <x:c r="M517" s="20" t="str">
        <x:v>采用</x:v>
      </x:c>
      <x:c r="N517" s="20" t="str">
        <x:v>初审</x:v>
      </x:c>
      <x:c r="O517" s="22" t="n">
        <x:v>46255</x:v>
      </x:c>
      <x:c r="P517" s="20" t="str">
        <x:v>https://zh.wikisource.org/zh-hans/滴天髓 ; https://zh.wikisource.org/zh-hans/淵海子平 ; https://zh.wikisource.org/wiki/三命通會</x:v>
      </x:c>
    </x:row>
    <x:row r="518">
      <x:c r="A518" s="20" t="str">
        <x:v>M08-TRANS-0073-V1.0</x:v>
      </x:c>
      <x:c r="B518" s="20" t="str">
        <x:v>规则</x:v>
      </x:c>
      <x:c r="C518" s="20" t="str">
        <x:v>M08</x:v>
      </x:c>
      <x:c r="D518" s="20" t="str">
        <x:v>08_五行有效旺衰</x:v>
      </x:c>
      <x:c r="E518" s="20" t="str">
        <x:v>TRANS</x:v>
      </x:c>
      <x:c r="F518" s="20" t="n">
        <x:v>73</x:v>
      </x:c>
      <x:c r="G518" s="20" t="str">
        <x:v>V1.0</x:v>
      </x:c>
      <x:c r="H518" s="20" t="str">
        <x:v>共享地支参与多个合会时只能有一个主导势能归属</x:v>
      </x:c>
      <x:c r="I518" s="20" t="str">
        <x:v>结构层</x:v>
      </x:c>
      <x:c r="J518" s="20" t="str">
        <x:v>共享节点归属</x:v>
      </x:c>
      <x:c r="K518" s="20" t="str">
        <x:v>共享地支不能被两个合会结构同时满额调用。</x:v>
      </x:c>
      <x:c r="L518" s="20" t="str">
        <x:v>较高</x:v>
      </x:c>
      <x:c r="M518" s="20" t="str">
        <x:v>采用</x:v>
      </x:c>
      <x:c r="N518" s="20" t="str">
        <x:v>初审</x:v>
      </x:c>
      <x:c r="O518" s="22" t="n">
        <x:v>46255</x:v>
      </x:c>
      <x:c r="P518" s="20" t="str">
        <x:v>https://zh.wikisource.org/zh-hans/滴天髓 ; https://zh.wikisource.org/zh-hans/淵海子平 ; https://zh.wikisource.org/wiki/三命通會</x:v>
      </x:c>
    </x:row>
    <x:row r="519">
      <x:c r="A519" s="20" t="str">
        <x:v>M08-TRANS-0074-V1.0</x:v>
      </x:c>
      <x:c r="B519" s="20" t="str">
        <x:v>规则</x:v>
      </x:c>
      <x:c r="C519" s="20" t="str">
        <x:v>M08</x:v>
      </x:c>
      <x:c r="D519" s="20" t="str">
        <x:v>08_五行有效旺衰</x:v>
      </x:c>
      <x:c r="E519" s="20" t="str">
        <x:v>TRANS</x:v>
      </x:c>
      <x:c r="F519" s="20" t="n">
        <x:v>74</x:v>
      </x:c>
      <x:c r="G519" s="20" t="str">
        <x:v>V1.0</x:v>
      </x:c>
      <x:c r="H519" s="20" t="str">
        <x:v>化神形成后仍需接受后续克泄耗修正</x:v>
      </x:c>
      <x:c r="I519" s="20" t="str">
        <x:v>结构层</x:v>
      </x:c>
      <x:c r="J519" s="20" t="str">
        <x:v>化后再修正</x:v>
      </x:c>
      <x:c r="K519" s="20" t="str">
        <x:v>合化成局只改变力量归属，化神形成后仍要接受全局生克泄耗。</x:v>
      </x:c>
      <x:c r="L519" s="20" t="str">
        <x:v>较高</x:v>
      </x:c>
      <x:c r="M519" s="20" t="str">
        <x:v>采用</x:v>
      </x:c>
      <x:c r="N519" s="20" t="str">
        <x:v>初审</x:v>
      </x:c>
      <x:c r="O519" s="22" t="n">
        <x:v>46255</x:v>
      </x:c>
      <x:c r="P519" s="20" t="str">
        <x:v>https://zh.wikisource.org/zh-hans/滴天髓 ; https://zh.wikisource.org/zh-hans/淵海子平 ; https://zh.wikisource.org/wiki/三命通會</x:v>
      </x:c>
    </x:row>
    <x:row r="520">
      <x:c r="A520" s="20" t="str">
        <x:v>M08-REL-0075-V1.0</x:v>
      </x:c>
      <x:c r="B520" s="20" t="str">
        <x:v>规则</x:v>
      </x:c>
      <x:c r="C520" s="20" t="str">
        <x:v>M08</x:v>
      </x:c>
      <x:c r="D520" s="20" t="str">
        <x:v>08_五行有效旺衰</x:v>
      </x:c>
      <x:c r="E520" s="20" t="str">
        <x:v>REL</x:v>
      </x:c>
      <x:c r="F520" s="20" t="n">
        <x:v>75</x:v>
      </x:c>
      <x:c r="G520" s="20" t="str">
        <x:v>V1.0</x:v>
      </x:c>
      <x:c r="H520" s="20" t="str">
        <x:v>六冲的有效修正按冲动冲弱冲散分级</x:v>
      </x:c>
      <x:c r="I520" s="20" t="str">
        <x:v>结构层</x:v>
      </x:c>
      <x:c r="J520" s="20" t="str">
        <x:v>六冲分级修正</x:v>
      </x:c>
      <x:c r="K520" s="20" t="str">
        <x:v>六冲只提供作用入口，必须按冲动、冲弱、冲散等效应分级调整。</x:v>
      </x:c>
      <x:c r="L520" s="20" t="str">
        <x:v>较高</x:v>
      </x:c>
      <x:c r="M520" s="20" t="str">
        <x:v>采用</x:v>
      </x:c>
      <x:c r="N520" s="20" t="str">
        <x:v>初审</x:v>
      </x:c>
      <x:c r="O520" s="22" t="n">
        <x:v>46255</x:v>
      </x:c>
      <x:c r="P520" s="20" t="str">
        <x:v>https://zh.wikisource.org/zh-hans/滴天髓 ; https://zh.wikisource.org/zh-hans/淵海子平 ; https://zh.wikisource.org/wiki/三命通會</x:v>
      </x:c>
    </x:row>
    <x:row r="521">
      <x:c r="A521" s="20" t="str">
        <x:v>M08-REL-0076-V1.0</x:v>
      </x:c>
      <x:c r="B521" s="20" t="str">
        <x:v>规则</x:v>
      </x:c>
      <x:c r="C521" s="20" t="str">
        <x:v>M08</x:v>
      </x:c>
      <x:c r="D521" s="20" t="str">
        <x:v>08_五行有效旺衰</x:v>
      </x:c>
      <x:c r="E521" s="20" t="str">
        <x:v>REL</x:v>
      </x:c>
      <x:c r="F521" s="20" t="n">
        <x:v>76</x:v>
      </x:c>
      <x:c r="G521" s="20" t="str">
        <x:v>V1.0</x:v>
      </x:c>
      <x:c r="H521" s="20" t="str">
        <x:v>冲旺成立时目标可能因被引动而作用增强</x:v>
      </x:c>
      <x:c r="I521" s="20" t="str">
        <x:v>结构层</x:v>
      </x:c>
      <x:c r="J521" s="20" t="str">
        <x:v>冲旺</x:v>
      </x:c>
      <x:c r="K521" s="20" t="str">
        <x:v>强势五行受冲若主要表现为引动，不必机械减弱。</x:v>
      </x:c>
      <x:c r="L521" s="20" t="str">
        <x:v>较高</x:v>
      </x:c>
      <x:c r="M521" s="20" t="str">
        <x:v>采用</x:v>
      </x:c>
      <x:c r="N521" s="20" t="str">
        <x:v>初审</x:v>
      </x:c>
      <x:c r="O521" s="22" t="n">
        <x:v>46255</x:v>
      </x:c>
      <x:c r="P521" s="20" t="str">
        <x:v>https://zh.wikisource.org/zh-hans/滴天髓 ; https://zh.wikisource.org/zh-hans/淵海子平 ; https://zh.wikisource.org/wiki/三命通會</x:v>
      </x:c>
    </x:row>
    <x:row r="522">
      <x:c r="A522" s="20" t="str">
        <x:v>M08-REL-0077-V1.0</x:v>
      </x:c>
      <x:c r="B522" s="20" t="str">
        <x:v>规则</x:v>
      </x:c>
      <x:c r="C522" s="20" t="str">
        <x:v>M08</x:v>
      </x:c>
      <x:c r="D522" s="20" t="str">
        <x:v>08_五行有效旺衰</x:v>
      </x:c>
      <x:c r="E522" s="20" t="str">
        <x:v>REL</x:v>
      </x:c>
      <x:c r="F522" s="20" t="n">
        <x:v>77</x:v>
      </x:c>
      <x:c r="G522" s="20" t="str">
        <x:v>V1.0</x:v>
      </x:c>
      <x:c r="H522" s="20" t="str">
        <x:v>冲弱时下调受损方并保留强方轻耗</x:v>
      </x:c>
      <x:c r="I522" s="20" t="str">
        <x:v>结构层</x:v>
      </x:c>
      <x:c r="J522" s="20" t="str">
        <x:v>强冲弱</x:v>
      </x:c>
      <x:c r="K522" s="20" t="str">
        <x:v>强冲弱时主要损伤落在弱方，但强方也可能有轻度耗损。</x:v>
      </x:c>
      <x:c r="L522" s="20" t="str">
        <x:v>较高</x:v>
      </x:c>
      <x:c r="M522" s="20" t="str">
        <x:v>采用</x:v>
      </x:c>
      <x:c r="N522" s="20" t="str">
        <x:v>初审</x:v>
      </x:c>
      <x:c r="O522" s="22" t="n">
        <x:v>46255</x:v>
      </x:c>
      <x:c r="P522" s="20" t="str">
        <x:v>https://zh.wikisource.org/zh-hans/滴天髓 ; https://zh.wikisource.org/zh-hans/淵海子平 ; https://zh.wikisource.org/wiki/三命通會</x:v>
      </x:c>
    </x:row>
    <x:row r="523">
      <x:c r="A523" s="20" t="str">
        <x:v>M08-REL-0078-V1.0</x:v>
      </x:c>
      <x:c r="B523" s="20" t="str">
        <x:v>规则</x:v>
      </x:c>
      <x:c r="C523" s="20" t="str">
        <x:v>M08</x:v>
      </x:c>
      <x:c r="D523" s="20" t="str">
        <x:v>08_五行有效旺衰</x:v>
      </x:c>
      <x:c r="E523" s="20" t="str">
        <x:v>REL</x:v>
      </x:c>
      <x:c r="F523" s="20" t="n">
        <x:v>78</x:v>
      </x:c>
      <x:c r="G523" s="20" t="str">
        <x:v>V1.0</x:v>
      </x:c>
      <x:c r="H523" s="20" t="str">
        <x:v>势均冲战主要破坏稳定与流通</x:v>
      </x:c>
      <x:c r="I523" s="20" t="str">
        <x:v>结构层</x:v>
      </x:c>
      <x:c r="J523" s="20" t="str">
        <x:v>势均对战</x:v>
      </x:c>
      <x:c r="K523" s="20" t="str">
        <x:v>势均相冲通常体现持续对战与流通受阻，而非一方消失。</x:v>
      </x:c>
      <x:c r="L523" s="20" t="str">
        <x:v>较高</x:v>
      </x:c>
      <x:c r="M523" s="20" t="str">
        <x:v>采用</x:v>
      </x:c>
      <x:c r="N523" s="20" t="str">
        <x:v>初审</x:v>
      </x:c>
      <x:c r="O523" s="22" t="n">
        <x:v>46255</x:v>
      </x:c>
      <x:c r="P523" s="20" t="str">
        <x:v>https://zh.wikisource.org/zh-hans/滴天髓 ; https://zh.wikisource.org/zh-hans/淵海子平 ; https://zh.wikisource.org/wiki/三命通會</x:v>
      </x:c>
    </x:row>
    <x:row r="524">
      <x:c r="A524" s="20" t="str">
        <x:v>M08-REL-0079-V1.0</x:v>
      </x:c>
      <x:c r="B524" s="20" t="str">
        <x:v>规则</x:v>
      </x:c>
      <x:c r="C524" s="20" t="str">
        <x:v>M08</x:v>
      </x:c>
      <x:c r="D524" s="20" t="str">
        <x:v>08_五行有效旺衰</x:v>
      </x:c>
      <x:c r="E524" s="20" t="str">
        <x:v>REL</x:v>
      </x:c>
      <x:c r="F524" s="20" t="n">
        <x:v>79</x:v>
      </x:c>
      <x:c r="G524" s="20" t="str">
        <x:v>V1.0</x:v>
      </x:c>
      <x:c r="H524" s="20" t="str">
        <x:v>三刑完整结构必须逐支修正</x:v>
      </x:c>
      <x:c r="I524" s="20" t="str">
        <x:v>结构层</x:v>
      </x:c>
      <x:c r="J524" s="20" t="str">
        <x:v>三刑逐支</x:v>
      </x:c>
      <x:c r="K524" s="20" t="str">
        <x:v>三刑完整只说明结构压力，实际力量必须逐支判断。</x:v>
      </x:c>
      <x:c r="L524" s="20" t="str">
        <x:v>较高</x:v>
      </x:c>
      <x:c r="M524" s="20" t="str">
        <x:v>采用</x:v>
      </x:c>
      <x:c r="N524" s="20" t="str">
        <x:v>初审</x:v>
      </x:c>
      <x:c r="O524" s="22" t="n">
        <x:v>46255</x:v>
      </x:c>
      <x:c r="P524" s="20" t="str">
        <x:v>https://zh.wikisource.org/zh-hans/滴天髓 ; https://zh.wikisource.org/zh-hans/淵海子平 ; https://zh.wikisource.org/wiki/三命通會</x:v>
      </x:c>
    </x:row>
    <x:row r="525">
      <x:c r="A525" s="20" t="str">
        <x:v>M08-REL-0080-V1.0</x:v>
      </x:c>
      <x:c r="B525" s="20" t="str">
        <x:v>规则</x:v>
      </x:c>
      <x:c r="C525" s="20" t="str">
        <x:v>M08</x:v>
      </x:c>
      <x:c r="D525" s="20" t="str">
        <x:v>08_五行有效旺衰</x:v>
      </x:c>
      <x:c r="E525" s="20" t="str">
        <x:v>REL</x:v>
      </x:c>
      <x:c r="F525" s="20" t="n">
        <x:v>80</x:v>
      </x:c>
      <x:c r="G525" s="20" t="str">
        <x:v>V1.0</x:v>
      </x:c>
      <x:c r="H525" s="20" t="str">
        <x:v>自刑默认优先修正稳定性而非基础力量</x:v>
      </x:c>
      <x:c r="I525" s="20" t="str">
        <x:v>结构层</x:v>
      </x:c>
      <x:c r="J525" s="20" t="str">
        <x:v>自刑稳定性</x:v>
      </x:c>
      <x:c r="K525" s="20" t="str">
        <x:v>自刑默认优先表现为稳定性和流通问题，而不是机械大幅扣减。</x:v>
      </x:c>
      <x:c r="L525" s="20" t="str">
        <x:v>中等</x:v>
      </x:c>
      <x:c r="M525" s="20" t="str">
        <x:v>待验证</x:v>
      </x:c>
      <x:c r="N525" s="20" t="str">
        <x:v>初审</x:v>
      </x:c>
      <x:c r="O525" s="22" t="n">
        <x:v>46255</x:v>
      </x:c>
      <x:c r="P525" s="20" t="str">
        <x:v>https://zh.wikisource.org/zh-hans/滴天髓 ; https://zh.wikisource.org/zh-hans/淵海子平 ; https://zh.wikisource.org/wiki/三命通會</x:v>
      </x:c>
    </x:row>
    <x:row r="526">
      <x:c r="A526" s="20" t="str">
        <x:v>M08-REL-0081-V1.0</x:v>
      </x:c>
      <x:c r="B526" s="20" t="str">
        <x:v>规则</x:v>
      </x:c>
      <x:c r="C526" s="20" t="str">
        <x:v>M08</x:v>
      </x:c>
      <x:c r="D526" s="20" t="str">
        <x:v>08_五行有效旺衰</x:v>
      </x:c>
      <x:c r="E526" s="20" t="str">
        <x:v>REL</x:v>
      </x:c>
      <x:c r="F526" s="20" t="n">
        <x:v>81</x:v>
      </x:c>
      <x:c r="G526" s="20" t="str">
        <x:v>V1.0</x:v>
      </x:c>
      <x:c r="H526" s="20" t="str">
        <x:v>六害对力量的直接修正通常低于六冲</x:v>
      </x:c>
      <x:c r="I526" s="20" t="str">
        <x:v>结构层</x:v>
      </x:c>
      <x:c r="J526" s="20" t="str">
        <x:v>六害低权重</x:v>
      </x:c>
      <x:c r="K526" s="20" t="str">
        <x:v>六害在力量层通常只作低权重修正，切断生源或桥梁时才升级。</x:v>
      </x:c>
      <x:c r="L526" s="20" t="str">
        <x:v>中等</x:v>
      </x:c>
      <x:c r="M526" s="20" t="str">
        <x:v>待验证</x:v>
      </x:c>
      <x:c r="N526" s="20" t="str">
        <x:v>初审</x:v>
      </x:c>
      <x:c r="O526" s="22" t="n">
        <x:v>46255</x:v>
      </x:c>
      <x:c r="P526" s="20" t="str">
        <x:v>https://zh.wikisource.org/zh-hans/滴天髓 ; https://zh.wikisource.org/zh-hans/淵海子平 ; https://zh.wikisource.org/wiki/三命通會</x:v>
      </x:c>
    </x:row>
    <x:row r="527">
      <x:c r="A527" s="20" t="str">
        <x:v>M08-REL-0082-V1.0</x:v>
      </x:c>
      <x:c r="B527" s="20" t="str">
        <x:v>规则</x:v>
      </x:c>
      <x:c r="C527" s="20" t="str">
        <x:v>M08</x:v>
      </x:c>
      <x:c r="D527" s="20" t="str">
        <x:v>08_五行有效旺衰</x:v>
      </x:c>
      <x:c r="E527" s="20" t="str">
        <x:v>REL</x:v>
      </x:c>
      <x:c r="F527" s="20" t="n">
        <x:v>82</x:v>
      </x:c>
      <x:c r="G527" s="20" t="str">
        <x:v>V1.0</x:v>
      </x:c>
      <x:c r="H527" s="20" t="str">
        <x:v>六破主要修正结构连接稳定性</x:v>
      </x:c>
      <x:c r="I527" s="20" t="str">
        <x:v>结构层</x:v>
      </x:c>
      <x:c r="J527" s="20" t="str">
        <x:v>六破结构修正</x:v>
      </x:c>
      <x:c r="K527" s="20" t="str">
        <x:v>六破主要用于修正结构连接与合局稳定性，对总量低权重处理。</x:v>
      </x:c>
      <x:c r="L527" s="20" t="str">
        <x:v>中等</x:v>
      </x:c>
      <x:c r="M527" s="20" t="str">
        <x:v>待验证</x:v>
      </x:c>
      <x:c r="N527" s="20" t="str">
        <x:v>初审</x:v>
      </x:c>
      <x:c r="O527" s="22" t="n">
        <x:v>46255</x:v>
      </x:c>
      <x:c r="P527" s="20" t="str">
        <x:v>https://zh.wikisource.org/zh-hans/滴天髓 ; https://zh.wikisource.org/zh-hans/淵海子平 ; https://zh.wikisource.org/wiki/三命通會</x:v>
      </x:c>
    </x:row>
    <x:row r="528">
      <x:c r="A528" s="20" t="str">
        <x:v>M08-REL-0083-V1.0</x:v>
      </x:c>
      <x:c r="B528" s="20" t="str">
        <x:v>规则</x:v>
      </x:c>
      <x:c r="C528" s="20" t="str">
        <x:v>M08</x:v>
      </x:c>
      <x:c r="D528" s="20" t="str">
        <x:v>08_五行有效旺衰</x:v>
      </x:c>
      <x:c r="E528" s="20" t="str">
        <x:v>REL</x:v>
      </x:c>
      <x:c r="F528" s="20" t="n">
        <x:v>83</x:v>
      </x:c>
      <x:c r="G528" s="20" t="str">
        <x:v>V1.0</x:v>
      </x:c>
      <x:c r="H528" s="20" t="str">
        <x:v>多重关系叠加先去重同源再判断协同或抵消</x:v>
      </x:c>
      <x:c r="I528" s="20" t="str">
        <x:v>结构层</x:v>
      </x:c>
      <x:c r="J528" s="20" t="str">
        <x:v>多重关系净效应</x:v>
      </x:c>
      <x:c r="K528" s="20" t="str">
        <x:v>多重关系应先去重共享事实，再判断独立效应是协同还是抵消。</x:v>
      </x:c>
      <x:c r="L528" s="20" t="str">
        <x:v>较高</x:v>
      </x:c>
      <x:c r="M528" s="20" t="str">
        <x:v>采用</x:v>
      </x:c>
      <x:c r="N528" s="20" t="str">
        <x:v>初审</x:v>
      </x:c>
      <x:c r="O528" s="22" t="n">
        <x:v>46255</x:v>
      </x:c>
      <x:c r="P528" s="20" t="str">
        <x:v>https://zh.wikisource.org/zh-hans/滴天髓 ; https://zh.wikisource.org/zh-hans/淵海子平 ; https://zh.wikisource.org/wiki/三命通會</x:v>
      </x:c>
    </x:row>
    <x:row r="529">
      <x:c r="A529" s="20" t="str">
        <x:v>M08-REL-0084-V1.0</x:v>
      </x:c>
      <x:c r="B529" s="20" t="str">
        <x:v>规则</x:v>
      </x:c>
      <x:c r="C529" s="20" t="str">
        <x:v>M08</x:v>
      </x:c>
      <x:c r="D529" s="20" t="str">
        <x:v>08_五行有效旺衰</x:v>
      </x:c>
      <x:c r="E529" s="20" t="str">
        <x:v>REL</x:v>
      </x:c>
      <x:c r="F529" s="20" t="n">
        <x:v>84</x:v>
      </x:c>
      <x:c r="G529" s="20" t="str">
        <x:v>V1.0</x:v>
      </x:c>
      <x:c r="H529" s="20" t="str">
        <x:v>合冲并见时需先裁决主导关系</x:v>
      </x:c>
      <x:c r="I529" s="20" t="str">
        <x:v>结构层</x:v>
      </x:c>
      <x:c r="J529" s="20" t="str">
        <x:v>合冲裁决</x:v>
      </x:c>
      <x:c r="K529" s="20" t="str">
        <x:v>合冲并见可能互相削弱或解开，不能简单累加减力。</x:v>
      </x:c>
      <x:c r="L529" s="20" t="str">
        <x:v>较高</x:v>
      </x:c>
      <x:c r="M529" s="20" t="str">
        <x:v>采用</x:v>
      </x:c>
      <x:c r="N529" s="20" t="str">
        <x:v>初审</x:v>
      </x:c>
      <x:c r="O529" s="22" t="n">
        <x:v>46255</x:v>
      </x:c>
      <x:c r="P529" s="20" t="str">
        <x:v>https://zh.wikisource.org/zh-hans/滴天髓 ; https://zh.wikisource.org/zh-hans/淵海子平 ; https://zh.wikisource.org/wiki/三命通會</x:v>
      </x:c>
    </x:row>
    <x:row r="530">
      <x:c r="A530" s="20" t="str">
        <x:v>M08-REL-0085-V1.0</x:v>
      </x:c>
      <x:c r="B530" s="20" t="str">
        <x:v>规则</x:v>
      </x:c>
      <x:c r="C530" s="20" t="str">
        <x:v>M08</x:v>
      </x:c>
      <x:c r="D530" s="20" t="str">
        <x:v>08_五行有效旺衰</x:v>
      </x:c>
      <x:c r="E530" s="20" t="str">
        <x:v>REL</x:v>
      </x:c>
      <x:c r="F530" s="20" t="n">
        <x:v>85</x:v>
      </x:c>
      <x:c r="G530" s="20" t="str">
        <x:v>V1.0</x:v>
      </x:c>
      <x:c r="H530" s="20" t="str">
        <x:v>刑冲并见且独立同向时可升级受损等级</x:v>
      </x:c>
      <x:c r="I530" s="20" t="str">
        <x:v>结构层</x:v>
      </x:c>
      <x:c r="J530" s="20" t="str">
        <x:v>刑冲协同</x:v>
      </x:c>
      <x:c r="K530" s="20" t="str">
        <x:v>独立刑伤与强冲方向一致时可升级损伤，但必须排除同源重复计权。</x:v>
      </x:c>
      <x:c r="L530" s="20" t="str">
        <x:v>较高</x:v>
      </x:c>
      <x:c r="M530" s="20" t="str">
        <x:v>采用</x:v>
      </x:c>
      <x:c r="N530" s="20" t="str">
        <x:v>初审</x:v>
      </x:c>
      <x:c r="O530" s="22" t="n">
        <x:v>46255</x:v>
      </x:c>
      <x:c r="P530" s="20" t="str">
        <x:v>https://zh.wikisource.org/zh-hans/滴天髓 ; https://zh.wikisource.org/zh-hans/淵海子平 ; https://zh.wikisource.org/wiki/三命通會</x:v>
      </x:c>
    </x:row>
    <x:row r="531">
      <x:c r="A531" s="20" t="str">
        <x:v>M08-REL-0086-V1.0</x:v>
      </x:c>
      <x:c r="B531" s="20" t="str">
        <x:v>规则</x:v>
      </x:c>
      <x:c r="C531" s="20" t="str">
        <x:v>M08</x:v>
      </x:c>
      <x:c r="D531" s="20" t="str">
        <x:v>08_五行有效旺衰</x:v>
      </x:c>
      <x:c r="E531" s="20" t="str">
        <x:v>REL</x:v>
      </x:c>
      <x:c r="F531" s="20" t="n">
        <x:v>86</x:v>
      </x:c>
      <x:c r="G531" s="20" t="str">
        <x:v>V1.0</x:v>
      </x:c>
      <x:c r="H531" s="20" t="str">
        <x:v>M08关系修正必须基于M06实际效应而非M05关系名</x:v>
      </x:c>
      <x:c r="I531" s="20" t="str">
        <x:v>结构层</x:v>
      </x:c>
      <x:c r="J531" s="20" t="str">
        <x:v>效应接口</x:v>
      </x:c>
      <x:c r="K531" s="20" t="str">
        <x:v>M08只接受M06的实际效应输出，不允许直接把M05关系名换算成力量增减。</x:v>
      </x:c>
      <x:c r="L531" s="20" t="str">
        <x:v>较高</x:v>
      </x:c>
      <x:c r="M531" s="20" t="str">
        <x:v>采用</x:v>
      </x:c>
      <x:c r="N531" s="20" t="str">
        <x:v>初审</x:v>
      </x:c>
      <x:c r="O531" s="22" t="n">
        <x:v>46255</x:v>
      </x:c>
      <x:c r="P531" s="20" t="str">
        <x:v>https://zh.wikisource.org/zh-hans/滴天髓 ; https://zh.wikisource.org/zh-hans/淵海子平 ; https://zh.wikisource.org/wiki/三命通會</x:v>
      </x:c>
    </x:row>
    <x:row r="532">
      <x:c r="A532" s="20" t="str">
        <x:v>M08-CLIM-0087-V1.0</x:v>
      </x:c>
      <x:c r="B532" s="20" t="str">
        <x:v>规则</x:v>
      </x:c>
      <x:c r="C532" s="20" t="str">
        <x:v>M08</x:v>
      </x:c>
      <x:c r="D532" s="20" t="str">
        <x:v>08_五行有效旺衰</x:v>
      </x:c>
      <x:c r="E532" s="20" t="str">
        <x:v>CLIM</x:v>
      </x:c>
      <x:c r="F532" s="20" t="n">
        <x:v>87</x:v>
      </x:c>
      <x:c r="G532" s="20" t="str">
        <x:v>V1.0</x:v>
      </x:c>
      <x:c r="H532" s="20" t="str">
        <x:v>极寒环境可降低火的有效发挥度</x:v>
      </x:c>
      <x:c r="I532" s="20" t="str">
        <x:v>结构层</x:v>
      </x:c>
      <x:c r="J532" s="20" t="str">
        <x:v>寒抑火</x:v>
      </x:c>
      <x:c r="K532" s="20" t="str">
        <x:v>极寒环境中孤弱之火的实际发挥度可能低于原始数量所显示。</x:v>
      </x:c>
      <x:c r="L532" s="20" t="str">
        <x:v>中等</x:v>
      </x:c>
      <x:c r="M532" s="20" t="str">
        <x:v>采用</x:v>
      </x:c>
      <x:c r="N532" s="20" t="str">
        <x:v>初审</x:v>
      </x:c>
      <x:c r="O532" s="22" t="n">
        <x:v>46255</x:v>
      </x:c>
      <x:c r="P532" s="20" t="str">
        <x:v>https://zh.wikisource.org/zh-hans/滴天髓 ; https://zh.wikisource.org/zh-hans/淵海子平 ; https://zh.wikisource.org/wiki/三命通會</x:v>
      </x:c>
    </x:row>
    <x:row r="533">
      <x:c r="A533" s="20" t="str">
        <x:v>M08-CLIM-0088-V1.0</x:v>
      </x:c>
      <x:c r="B533" s="20" t="str">
        <x:v>规则</x:v>
      </x:c>
      <x:c r="C533" s="20" t="str">
        <x:v>M08</x:v>
      </x:c>
      <x:c r="D533" s="20" t="str">
        <x:v>08_五行有效旺衰</x:v>
      </x:c>
      <x:c r="E533" s="20" t="str">
        <x:v>CLIM</x:v>
      </x:c>
      <x:c r="F533" s="20" t="n">
        <x:v>88</x:v>
      </x:c>
      <x:c r="G533" s="20" t="str">
        <x:v>V1.0</x:v>
      </x:c>
      <x:c r="H533" s="20" t="str">
        <x:v>寒湿过重可降低木的生发与透达</x:v>
      </x:c>
      <x:c r="I533" s="20" t="str">
        <x:v>结构层</x:v>
      </x:c>
      <x:c r="J533" s="20" t="str">
        <x:v>寒湿木滞</x:v>
      </x:c>
      <x:c r="K533" s="20" t="str">
        <x:v>寒湿过重时木的实际生发与疏泄能力下降。</x:v>
      </x:c>
      <x:c r="L533" s="20" t="str">
        <x:v>中等</x:v>
      </x:c>
      <x:c r="M533" s="20" t="str">
        <x:v>采用</x:v>
      </x:c>
      <x:c r="N533" s="20" t="str">
        <x:v>初审</x:v>
      </x:c>
      <x:c r="O533" s="22" t="n">
        <x:v>46255</x:v>
      </x:c>
      <x:c r="P533" s="20" t="str">
        <x:v>https://zh.wikisource.org/zh-hans/滴天髓 ; https://zh.wikisource.org/zh-hans/淵海子平 ; https://zh.wikisource.org/wiki/三命通會</x:v>
      </x:c>
    </x:row>
    <x:row r="534">
      <x:c r="A534" s="20" t="str">
        <x:v>M08-CLIM-0089-V1.0</x:v>
      </x:c>
      <x:c r="B534" s="20" t="str">
        <x:v>规则</x:v>
      </x:c>
      <x:c r="C534" s="20" t="str">
        <x:v>M08</x:v>
      </x:c>
      <x:c r="D534" s="20" t="str">
        <x:v>08_五行有效旺衰</x:v>
      </x:c>
      <x:c r="E534" s="20" t="str">
        <x:v>CLIM</x:v>
      </x:c>
      <x:c r="F534" s="20" t="n">
        <x:v>89</x:v>
      </x:c>
      <x:c r="G534" s="20" t="str">
        <x:v>V1.0</x:v>
      </x:c>
      <x:c r="H534" s="20" t="str">
        <x:v>燥热过重可降低水的存续与滋润能力</x:v>
      </x:c>
      <x:c r="I534" s="20" t="str">
        <x:v>结构层</x:v>
      </x:c>
      <x:c r="J534" s="20" t="str">
        <x:v>燥耗水</x:v>
      </x:c>
      <x:c r="K534" s="20" t="str">
        <x:v>燥热环境中孤弱水的有效滋润能力应下调。</x:v>
      </x:c>
      <x:c r="L534" s="20" t="str">
        <x:v>中等</x:v>
      </x:c>
      <x:c r="M534" s="20" t="str">
        <x:v>采用</x:v>
      </x:c>
      <x:c r="N534" s="20" t="str">
        <x:v>初审</x:v>
      </x:c>
      <x:c r="O534" s="22" t="n">
        <x:v>46255</x:v>
      </x:c>
      <x:c r="P534" s="20" t="str">
        <x:v>https://zh.wikisource.org/zh-hans/滴天髓 ; https://zh.wikisource.org/zh-hans/淵海子平 ; https://zh.wikisource.org/wiki/三命通會</x:v>
      </x:c>
    </x:row>
    <x:row r="535">
      <x:c r="A535" s="20" t="str">
        <x:v>M08-CLIM-0090-V1.0</x:v>
      </x:c>
      <x:c r="B535" s="20" t="str">
        <x:v>规则</x:v>
      </x:c>
      <x:c r="C535" s="20" t="str">
        <x:v>M08</x:v>
      </x:c>
      <x:c r="D535" s="20" t="str">
        <x:v>08_五行有效旺衰</x:v>
      </x:c>
      <x:c r="E535" s="20" t="str">
        <x:v>CLIM</x:v>
      </x:c>
      <x:c r="F535" s="20" t="n">
        <x:v>90</x:v>
      </x:c>
      <x:c r="G535" s="20" t="str">
        <x:v>V1.0</x:v>
      </x:c>
      <x:c r="H535" s="20" t="str">
        <x:v>燥土过重可限制木根生发效率</x:v>
      </x:c>
      <x:c r="I535" s="20" t="str">
        <x:v>结构层</x:v>
      </x:c>
      <x:c r="J535" s="20" t="str">
        <x:v>燥土木困</x:v>
      </x:c>
      <x:c r="K535" s="20" t="str">
        <x:v>燥土过重且无水润时，木根仍存在，但生发与疏土效率下降。</x:v>
      </x:c>
      <x:c r="L535" s="20" t="str">
        <x:v>中等</x:v>
      </x:c>
      <x:c r="M535" s="20" t="str">
        <x:v>待验证</x:v>
      </x:c>
      <x:c r="N535" s="20" t="str">
        <x:v>初审</x:v>
      </x:c>
      <x:c r="O535" s="22" t="n">
        <x:v>46255</x:v>
      </x:c>
      <x:c r="P535" s="20" t="str">
        <x:v>https://zh.wikisource.org/zh-hans/滴天髓 ; https://zh.wikisource.org/zh-hans/淵海子平 ; https://zh.wikisource.org/wiki/三命通會</x:v>
      </x:c>
    </x:row>
    <x:row r="536">
      <x:c r="A536" s="20" t="str">
        <x:v>M08-CLIM-0091-V1.0</x:v>
      </x:c>
      <x:c r="B536" s="20" t="str">
        <x:v>规则</x:v>
      </x:c>
      <x:c r="C536" s="20" t="str">
        <x:v>M08</x:v>
      </x:c>
      <x:c r="D536" s="20" t="str">
        <x:v>08_五行有效旺衰</x:v>
      </x:c>
      <x:c r="E536" s="20" t="str">
        <x:v>CLIM</x:v>
      </x:c>
      <x:c r="F536" s="20" t="n">
        <x:v>91</x:v>
      </x:c>
      <x:c r="G536" s="20" t="str">
        <x:v>V1.0</x:v>
      </x:c>
      <x:c r="H536" s="20" t="str">
        <x:v>湿土过重可降低火的透达并形成晦火候选</x:v>
      </x:c>
      <x:c r="I536" s="20" t="str">
        <x:v>结构层</x:v>
      </x:c>
      <x:c r="J536" s="20" t="str">
        <x:v>湿土晦火</x:v>
      </x:c>
      <x:c r="K536" s="20" t="str">
        <x:v>湿土重且火弱时，火的透达和持续性下降。</x:v>
      </x:c>
      <x:c r="L536" s="20" t="str">
        <x:v>中等</x:v>
      </x:c>
      <x:c r="M536" s="20" t="str">
        <x:v>采用</x:v>
      </x:c>
      <x:c r="N536" s="20" t="str">
        <x:v>初审</x:v>
      </x:c>
      <x:c r="O536" s="22" t="n">
        <x:v>46255</x:v>
      </x:c>
      <x:c r="P536" s="20" t="str">
        <x:v>https://zh.wikisource.org/zh-hans/滴天髓 ; https://zh.wikisource.org/zh-hans/淵海子平 ; https://zh.wikisource.org/wiki/三命通會</x:v>
      </x:c>
    </x:row>
    <x:row r="537">
      <x:c r="A537" s="20" t="str">
        <x:v>M08-CLIM-0092-V1.0</x:v>
      </x:c>
      <x:c r="B537" s="20" t="str">
        <x:v>规则</x:v>
      </x:c>
      <x:c r="C537" s="20" t="str">
        <x:v>M08</x:v>
      </x:c>
      <x:c r="D537" s="20" t="str">
        <x:v>08_五行有效旺衰</x:v>
      </x:c>
      <x:c r="E537" s="20" t="str">
        <x:v>CLIM</x:v>
      </x:c>
      <x:c r="F537" s="20" t="n">
        <x:v>92</x:v>
      </x:c>
      <x:c r="G537" s="20" t="str">
        <x:v>V1.0</x:v>
      </x:c>
      <x:c r="H537" s="20" t="str">
        <x:v>有效调候桥梁可恢复受气候压制五行的可用性</x:v>
      </x:c>
      <x:c r="I537" s="20" t="str">
        <x:v>结构层</x:v>
      </x:c>
      <x:c r="J537" s="20" t="str">
        <x:v>调候恢复</x:v>
      </x:c>
      <x:c r="K537" s="20" t="str">
        <x:v>有效调候桥梁可恢复被寒燥湿热压制五行的功能。</x:v>
      </x:c>
      <x:c r="L537" s="20" t="str">
        <x:v>中等</x:v>
      </x:c>
      <x:c r="M537" s="20" t="str">
        <x:v>采用</x:v>
      </x:c>
      <x:c r="N537" s="20" t="str">
        <x:v>初审</x:v>
      </x:c>
      <x:c r="O537" s="22" t="n">
        <x:v>46255</x:v>
      </x:c>
      <x:c r="P537" s="20" t="str">
        <x:v>https://zh.wikisource.org/zh-hans/滴天髓 ; https://zh.wikisource.org/zh-hans/淵海子平 ; https://zh.wikisource.org/wiki/三命通會</x:v>
      </x:c>
    </x:row>
    <x:row r="538">
      <x:c r="A538" s="20" t="str">
        <x:v>M08-CLIM-0093-V1.0</x:v>
      </x:c>
      <x:c r="B538" s="20" t="str">
        <x:v>规则</x:v>
      </x:c>
      <x:c r="C538" s="20" t="str">
        <x:v>M08</x:v>
      </x:c>
      <x:c r="D538" s="20" t="str">
        <x:v>08_五行有效旺衰</x:v>
      </x:c>
      <x:c r="E538" s="20" t="str">
        <x:v>CLIM</x:v>
      </x:c>
      <x:c r="F538" s="20" t="n">
        <x:v>93</x:v>
      </x:c>
      <x:c r="G538" s="20" t="str">
        <x:v>V1.0</x:v>
      </x:c>
      <x:c r="H538" s="20" t="str">
        <x:v>气候修正主要影响可用性与生化效率而非简单数量</x:v>
      </x:c>
      <x:c r="I538" s="20" t="str">
        <x:v>结构层</x:v>
      </x:c>
      <x:c r="J538" s="20" t="str">
        <x:v>气候功能修正</x:v>
      </x:c>
      <x:c r="K538" s="20" t="str">
        <x:v>寒暖燥湿首先改变可用性和生化效率，不能简单等同于数量增减。</x:v>
      </x:c>
      <x:c r="L538" s="20" t="str">
        <x:v>较高</x:v>
      </x:c>
      <x:c r="M538" s="20" t="str">
        <x:v>采用</x:v>
      </x:c>
      <x:c r="N538" s="20" t="str">
        <x:v>初审</x:v>
      </x:c>
      <x:c r="O538" s="22" t="n">
        <x:v>46255</x:v>
      </x:c>
      <x:c r="P538" s="20" t="str">
        <x:v>https://zh.wikisource.org/zh-hans/滴天髓 ; https://zh.wikisource.org/zh-hans/淵海子平 ; https://zh.wikisource.org/wiki/三命通會</x:v>
      </x:c>
    </x:row>
    <x:row r="539">
      <x:c r="A539" s="20" t="str">
        <x:v>M08-CLIM-0094-V1.0</x:v>
      </x:c>
      <x:c r="B539" s="20" t="str">
        <x:v>规则</x:v>
      </x:c>
      <x:c r="C539" s="20" t="str">
        <x:v>M08</x:v>
      </x:c>
      <x:c r="D539" s="20" t="str">
        <x:v>08_五行有效旺衰</x:v>
      </x:c>
      <x:c r="E539" s="20" t="str">
        <x:v>CLIM</x:v>
      </x:c>
      <x:c r="F539" s="20" t="n">
        <x:v>94</x:v>
      </x:c>
      <x:c r="G539" s="20" t="str">
        <x:v>V1.0</x:v>
      </x:c>
      <x:c r="H539" s="20" t="str">
        <x:v>M08只做气候对有效力的接口修正</x:v>
      </x:c>
      <x:c r="I539" s="20" t="str">
        <x:v>结构层</x:v>
      </x:c>
      <x:c r="J539" s="20" t="str">
        <x:v>气候接口边界</x:v>
      </x:c>
      <x:c r="K539" s="20" t="str">
        <x:v>M08只修正气候条件下的有效发挥度，调候需求与优先级由M13判断。</x:v>
      </x:c>
      <x:c r="L539" s="20" t="str">
        <x:v>较高</x:v>
      </x:c>
      <x:c r="M539" s="20" t="str">
        <x:v>采用</x:v>
      </x:c>
      <x:c r="N539" s="20" t="str">
        <x:v>初审</x:v>
      </x:c>
      <x:c r="O539" s="22" t="n">
        <x:v>46255</x:v>
      </x:c>
      <x:c r="P539" s="20" t="str">
        <x:v>https://zh.wikisource.org/zh-hans/滴天髓 ; https://zh.wikisource.org/zh-hans/淵海子平 ; https://zh.wikisource.org/wiki/三命通會</x:v>
      </x:c>
    </x:row>
    <x:row r="540">
      <x:c r="A540" s="20" t="str">
        <x:v>M08-FLOW-0095-V1.0</x:v>
      </x:c>
      <x:c r="B540" s="20" t="str">
        <x:v>规则</x:v>
      </x:c>
      <x:c r="C540" s="20" t="str">
        <x:v>M08</x:v>
      </x:c>
      <x:c r="D540" s="20" t="str">
        <x:v>08_五行有效旺衰</x:v>
      </x:c>
      <x:c r="E540" s="20" t="str">
        <x:v>FLOW</x:v>
      </x:c>
      <x:c r="F540" s="20" t="n">
        <x:v>95</x:v>
      </x:c>
      <x:c r="G540" s="20" t="str">
        <x:v>V1.0</x:v>
      </x:c>
      <x:c r="H540" s="20" t="str">
        <x:v>生化链通畅可提高桥梁与终点的有效调用</x:v>
      </x:c>
      <x:c r="I540" s="20" t="str">
        <x:v>结构层</x:v>
      </x:c>
      <x:c r="J540" s="20" t="str">
        <x:v>流通增效</x:v>
      </x:c>
      <x:c r="K540" s="20" t="str">
        <x:v>流通顺畅主要提高已有力量的传递效率。</x:v>
      </x:c>
      <x:c r="L540" s="20" t="str">
        <x:v>较高</x:v>
      </x:c>
      <x:c r="M540" s="20" t="str">
        <x:v>采用</x:v>
      </x:c>
      <x:c r="N540" s="20" t="str">
        <x:v>初审</x:v>
      </x:c>
      <x:c r="O540" s="22" t="n">
        <x:v>46255</x:v>
      </x:c>
      <x:c r="P540" s="20" t="str">
        <x:v>https://zh.wikisource.org/zh-hans/滴天髓 ; https://zh.wikisource.org/zh-hans/淵海子平 ; https://zh.wikisource.org/wiki/三命通會</x:v>
      </x:c>
    </x:row>
    <x:row r="541">
      <x:c r="A541" s="20" t="str">
        <x:v>M08-FLOW-0096-V1.0</x:v>
      </x:c>
      <x:c r="B541" s="20" t="str">
        <x:v>规则</x:v>
      </x:c>
      <x:c r="C541" s="20" t="str">
        <x:v>M08</x:v>
      </x:c>
      <x:c r="D541" s="20" t="str">
        <x:v>08_五行有效旺衰</x:v>
      </x:c>
      <x:c r="E541" s="20" t="str">
        <x:v>FLOW</x:v>
      </x:c>
      <x:c r="F541" s="20" t="n">
        <x:v>96</x:v>
      </x:c>
      <x:c r="G541" s="20" t="str">
        <x:v>V1.0</x:v>
      </x:c>
      <x:c r="H541" s="20" t="str">
        <x:v>关键桥梁缺失时上游力量不能跨级传给终点</x:v>
      </x:c>
      <x:c r="I541" s="20" t="str">
        <x:v>结构层</x:v>
      </x:c>
      <x:c r="J541" s="20" t="str">
        <x:v>缺桥阻断</x:v>
      </x:c>
      <x:c r="K541" s="20" t="str">
        <x:v>生化链缺少关键桥梁时，上游力量不能直接越级传给终点。</x:v>
      </x:c>
      <x:c r="L541" s="20" t="str">
        <x:v>较高</x:v>
      </x:c>
      <x:c r="M541" s="20" t="str">
        <x:v>采用</x:v>
      </x:c>
      <x:c r="N541" s="20" t="str">
        <x:v>初审</x:v>
      </x:c>
      <x:c r="O541" s="22" t="n">
        <x:v>46255</x:v>
      </x:c>
      <x:c r="P541" s="20" t="str">
        <x:v>https://zh.wikisource.org/zh-hans/滴天髓 ; https://zh.wikisource.org/zh-hans/淵海子平 ; https://zh.wikisource.org/wiki/三命通會</x:v>
      </x:c>
    </x:row>
    <x:row r="542">
      <x:c r="A542" s="20" t="str">
        <x:v>M08-FLOW-0097-V1.0</x:v>
      </x:c>
      <x:c r="B542" s="20" t="str">
        <x:v>规则</x:v>
      </x:c>
      <x:c r="C542" s="20" t="str">
        <x:v>M08</x:v>
      </x:c>
      <x:c r="D542" s="20" t="str">
        <x:v>08_五行有效旺衰</x:v>
      </x:c>
      <x:c r="E542" s="20" t="str">
        <x:v>FLOW</x:v>
      </x:c>
      <x:c r="F542" s="20" t="n">
        <x:v>97</x:v>
      </x:c>
      <x:c r="G542" s="20" t="str">
        <x:v>V1.0</x:v>
      </x:c>
      <x:c r="H542" s="20" t="str">
        <x:v>桥梁被合绊或强克时流通效率显著下降</x:v>
      </x:c>
      <x:c r="I542" s="20" t="str">
        <x:v>结构层</x:v>
      </x:c>
      <x:c r="J542" s="20" t="str">
        <x:v>桥梁受阻</x:v>
      </x:c>
      <x:c r="K542" s="20" t="str">
        <x:v>五行齐全不代表流通；关键桥梁受限时传递效率会明显下降。</x:v>
      </x:c>
      <x:c r="L542" s="20" t="str">
        <x:v>较高</x:v>
      </x:c>
      <x:c r="M542" s="20" t="str">
        <x:v>采用</x:v>
      </x:c>
      <x:c r="N542" s="20" t="str">
        <x:v>初审</x:v>
      </x:c>
      <x:c r="O542" s="22" t="n">
        <x:v>46255</x:v>
      </x:c>
      <x:c r="P542" s="20" t="str">
        <x:v>https://zh.wikisource.org/zh-hans/滴天髓 ; https://zh.wikisource.org/zh-hans/淵海子平 ; https://zh.wikisource.org/wiki/三命通會</x:v>
      </x:c>
    </x:row>
    <x:row r="543">
      <x:c r="A543" s="20" t="str">
        <x:v>M08-FLOW-0098-V1.0</x:v>
      </x:c>
      <x:c r="B543" s="20" t="str">
        <x:v>规则</x:v>
      </x:c>
      <x:c r="C543" s="20" t="str">
        <x:v>M08</x:v>
      </x:c>
      <x:c r="D543" s="20" t="str">
        <x:v>08_五行有效旺衰</x:v>
      </x:c>
      <x:c r="E543" s="20" t="str">
        <x:v>FLOW</x:v>
      </x:c>
      <x:c r="F543" s="20" t="n">
        <x:v>98</x:v>
      </x:c>
      <x:c r="G543" s="20" t="str">
        <x:v>V1.0</x:v>
      </x:c>
      <x:c r="H543" s="20" t="str">
        <x:v>源头过旺无泄时力量可旺但功能壅塞</x:v>
      </x:c>
      <x:c r="I543" s="20" t="str">
        <x:v>结构层</x:v>
      </x:c>
      <x:c r="J543" s="20" t="str">
        <x:v>旺而壅塞</x:v>
      </x:c>
      <x:c r="K543" s="20" t="str">
        <x:v>源头过旺而无泄时，力量仍可很强，但流通与功能效率下降。</x:v>
      </x:c>
      <x:c r="L543" s="20" t="str">
        <x:v>较高</x:v>
      </x:c>
      <x:c r="M543" s="20" t="str">
        <x:v>采用</x:v>
      </x:c>
      <x:c r="N543" s="20" t="str">
        <x:v>初审</x:v>
      </x:c>
      <x:c r="O543" s="22" t="n">
        <x:v>46255</x:v>
      </x:c>
      <x:c r="P543" s="20" t="str">
        <x:v>https://zh.wikisource.org/zh-hans/滴天髓 ; https://zh.wikisource.org/zh-hans/淵海子平 ; https://zh.wikisource.org/wiki/三命通會</x:v>
      </x:c>
    </x:row>
    <x:row r="544">
      <x:c r="A544" s="20" t="str">
        <x:v>M08-FLOW-0099-V1.0</x:v>
      </x:c>
      <x:c r="B544" s="20" t="str">
        <x:v>规则</x:v>
      </x:c>
      <x:c r="C544" s="20" t="str">
        <x:v>M08</x:v>
      </x:c>
      <x:c r="D544" s="20" t="str">
        <x:v>08_五行有效旺衰</x:v>
      </x:c>
      <x:c r="E544" s="20" t="str">
        <x:v>FLOW</x:v>
      </x:c>
      <x:c r="F544" s="20" t="n">
        <x:v>99</x:v>
      </x:c>
      <x:c r="G544" s="20" t="str">
        <x:v>V1.0</x:v>
      </x:c>
      <x:c r="H544" s="20" t="str">
        <x:v>终点过弱不能承载时上游输入未必转成有效力量</x:v>
      </x:c>
      <x:c r="I544" s="20" t="str">
        <x:v>结构层</x:v>
      </x:c>
      <x:c r="J544" s="20" t="str">
        <x:v>终点承载不足</x:v>
      </x:c>
      <x:c r="K544" s="20" t="str">
        <x:v>终点无承载时，上游输入未必能完全转化为终点有效力量。</x:v>
      </x:c>
      <x:c r="L544" s="20" t="str">
        <x:v>较高</x:v>
      </x:c>
      <x:c r="M544" s="20" t="str">
        <x:v>采用</x:v>
      </x:c>
      <x:c r="N544" s="20" t="str">
        <x:v>初审</x:v>
      </x:c>
      <x:c r="O544" s="22" t="n">
        <x:v>46255</x:v>
      </x:c>
      <x:c r="P544" s="20" t="str">
        <x:v>https://zh.wikisource.org/zh-hans/滴天髓 ; https://zh.wikisource.org/zh-hans/淵海子平 ; https://zh.wikisource.org/wiki/三命通會</x:v>
      </x:c>
    </x:row>
    <x:row r="545">
      <x:c r="A545" s="20" t="str">
        <x:v>M08-FLOW-0100-V1.0</x:v>
      </x:c>
      <x:c r="B545" s="20" t="str">
        <x:v>规则</x:v>
      </x:c>
      <x:c r="C545" s="20" t="str">
        <x:v>M08</x:v>
      </x:c>
      <x:c r="D545" s="20" t="str">
        <x:v>08_五行有效旺衰</x:v>
      </x:c>
      <x:c r="E545" s="20" t="str">
        <x:v>FLOW</x:v>
      </x:c>
      <x:c r="F545" s="20" t="n">
        <x:v>100</x:v>
      </x:c>
      <x:c r="G545" s="20" t="str">
        <x:v>V1.0</x:v>
      </x:c>
      <x:c r="H545" s="20" t="str">
        <x:v>M08只记录流通对有效力的修正，卡点定位交M12</x:v>
      </x:c>
      <x:c r="I545" s="20" t="str">
        <x:v>结构层</x:v>
      </x:c>
      <x:c r="J545" s="20" t="str">
        <x:v>流通接口边界</x:v>
      </x:c>
      <x:c r="K545" s="20" t="str">
        <x:v>M08记录流通对有效力量的影响，具体卡点与通关路径由M12判断。</x:v>
      </x:c>
      <x:c r="L545" s="20" t="str">
        <x:v>较高</x:v>
      </x:c>
      <x:c r="M545" s="20" t="str">
        <x:v>采用</x:v>
      </x:c>
      <x:c r="N545" s="20" t="str">
        <x:v>初审</x:v>
      </x:c>
      <x:c r="O545" s="22" t="n">
        <x:v>46255</x:v>
      </x:c>
      <x:c r="P545" s="20" t="str">
        <x:v>https://zh.wikisource.org/zh-hans/滴天髓 ; https://zh.wikisource.org/zh-hans/淵海子平 ; https://zh.wikisource.org/wiki/三命通會</x:v>
      </x:c>
    </x:row>
    <x:row r="546">
      <x:c r="A546" s="20" t="str">
        <x:v>M08-AGG-0101-V1.0</x:v>
      </x:c>
      <x:c r="B546" s="20" t="str">
        <x:v>规则</x:v>
      </x:c>
      <x:c r="C546" s="20" t="str">
        <x:v>M08</x:v>
      </x:c>
      <x:c r="D546" s="20" t="str">
        <x:v>08_五行有效旺衰</x:v>
      </x:c>
      <x:c r="E546" s="20" t="str">
        <x:v>AGG</x:v>
      </x:c>
      <x:c r="F546" s="20" t="n">
        <x:v>101</x:v>
      </x:c>
      <x:c r="G546" s="20" t="str">
        <x:v>V1.0</x:v>
      </x:c>
      <x:c r="H546" s="20" t="str">
        <x:v>有效旺衰必须从M07原始等级出发逐项修正</x:v>
      </x:c>
      <x:c r="I546" s="20" t="str">
        <x:v>结构层</x:v>
      </x:c>
      <x:c r="J546" s="20" t="str">
        <x:v>有效旺衰总则</x:v>
      </x:c>
      <x:c r="K546" s="20" t="str">
        <x:v>有效旺衰以M07原始力量为起点，经M06/M08逐项修正后形成。</x:v>
      </x:c>
      <x:c r="L546" s="20" t="str">
        <x:v>较高</x:v>
      </x:c>
      <x:c r="M546" s="20" t="str">
        <x:v>采用</x:v>
      </x:c>
      <x:c r="N546" s="20" t="str">
        <x:v>初审</x:v>
      </x:c>
      <x:c r="O546" s="22" t="n">
        <x:v>46255</x:v>
      </x:c>
      <x:c r="P546" s="20" t="str">
        <x:v>https://zh.wikisource.org/zh-hans/滴天髓 ; https://zh.wikisource.org/zh-hans/淵海子平 ; https://zh.wikisource.org/wiki/三命通會</x:v>
      </x:c>
    </x:row>
    <x:row r="547">
      <x:c r="A547" s="20" t="str">
        <x:v>M08-AGG-0102-V1.0</x:v>
      </x:c>
      <x:c r="B547" s="20" t="str">
        <x:v>规则</x:v>
      </x:c>
      <x:c r="C547" s="20" t="str">
        <x:v>M08</x:v>
      </x:c>
      <x:c r="D547" s="20" t="str">
        <x:v>08_五行有效旺衰</x:v>
      </x:c>
      <x:c r="E547" s="20" t="str">
        <x:v>AGG</x:v>
      </x:c>
      <x:c r="F547" s="20" t="n">
        <x:v>102</x:v>
      </x:c>
      <x:c r="G547" s="20" t="str">
        <x:v>V1.0</x:v>
      </x:c>
      <x:c r="H547" s="20" t="str">
        <x:v>七级有效旺衰采用区间与证据矩阵而非固定总分</x:v>
      </x:c>
      <x:c r="I547" s="20" t="str">
        <x:v>结构层</x:v>
      </x:c>
      <x:c r="J547" s="20" t="str">
        <x:v>七级有效旺衰</x:v>
      </x:c>
      <x:c r="K547" s="20" t="str">
        <x:v>有效旺衰按证据矩阵归类为极弱至极旺七级区间。</x:v>
      </x:c>
      <x:c r="L547" s="20" t="str">
        <x:v>较高</x:v>
      </x:c>
      <x:c r="M547" s="20" t="str">
        <x:v>采用</x:v>
      </x:c>
      <x:c r="N547" s="20" t="str">
        <x:v>初审</x:v>
      </x:c>
      <x:c r="O547" s="22" t="n">
        <x:v>46255</x:v>
      </x:c>
      <x:c r="P547" s="20" t="str">
        <x:v>https://zh.wikisource.org/zh-hans/滴天髓 ; https://zh.wikisource.org/zh-hans/淵海子平 ; https://zh.wikisource.org/wiki/三命通會</x:v>
      </x:c>
    </x:row>
    <x:row r="548">
      <x:c r="A548" s="20" t="str">
        <x:v>M08-AGG-0103-V1.0</x:v>
      </x:c>
      <x:c r="B548" s="20" t="str">
        <x:v>规则</x:v>
      </x:c>
      <x:c r="C548" s="20" t="str">
        <x:v>M08</x:v>
      </x:c>
      <x:c r="D548" s="20" t="str">
        <x:v>08_五行有效旺衰</x:v>
      </x:c>
      <x:c r="E548" s="20" t="str">
        <x:v>AGG</x:v>
      </x:c>
      <x:c r="F548" s="20" t="n">
        <x:v>103</x:v>
      </x:c>
      <x:c r="G548" s="20" t="str">
        <x:v>V1.0</x:v>
      </x:c>
      <x:c r="H548" s="20" t="str">
        <x:v>极旺要求原始强势且关键削弱仍不足以改变主势</x:v>
      </x:c>
      <x:c r="I548" s="20" t="str">
        <x:v>结构层</x:v>
      </x:c>
      <x:c r="J548" s="20" t="str">
        <x:v>极旺门槛</x:v>
      </x:c>
      <x:c r="K548" s="20" t="str">
        <x:v>极旺必须在有效修正后仍保持压倒性势能。</x:v>
      </x:c>
      <x:c r="L548" s="20" t="str">
        <x:v>较高</x:v>
      </x:c>
      <x:c r="M548" s="20" t="str">
        <x:v>采用</x:v>
      </x:c>
      <x:c r="N548" s="20" t="str">
        <x:v>初审</x:v>
      </x:c>
      <x:c r="O548" s="22" t="n">
        <x:v>46255</x:v>
      </x:c>
      <x:c r="P548" s="20" t="str">
        <x:v>https://zh.wikisource.org/zh-hans/滴天髓 ; https://zh.wikisource.org/zh-hans/淵海子平 ; https://zh.wikisource.org/wiki/三命通會</x:v>
      </x:c>
    </x:row>
    <x:row r="549">
      <x:c r="A549" s="20" t="str">
        <x:v>M08-AGG-0104-V1.0</x:v>
      </x:c>
      <x:c r="B549" s="20" t="str">
        <x:v>规则</x:v>
      </x:c>
      <x:c r="C549" s="20" t="str">
        <x:v>M08</x:v>
      </x:c>
      <x:c r="D549" s="20" t="str">
        <x:v>08_五行有效旺衰</x:v>
      </x:c>
      <x:c r="E549" s="20" t="str">
        <x:v>AGG</x:v>
      </x:c>
      <x:c r="F549" s="20" t="n">
        <x:v>104</x:v>
      </x:c>
      <x:c r="G549" s="20" t="str">
        <x:v>V1.0</x:v>
      </x:c>
      <x:c r="H549" s="20" t="str">
        <x:v>极弱要求主要承载、生源与根透均接近失效</x:v>
      </x:c>
      <x:c r="I549" s="20" t="str">
        <x:v>结构层</x:v>
      </x:c>
      <x:c r="J549" s="20" t="str">
        <x:v>极弱门槛</x:v>
      </x:c>
      <x:c r="K549" s="20" t="str">
        <x:v>极弱要求多项有效承载同时缺失，不能只凭无根或失令。</x:v>
      </x:c>
      <x:c r="L549" s="20" t="str">
        <x:v>较高</x:v>
      </x:c>
      <x:c r="M549" s="20" t="str">
        <x:v>采用</x:v>
      </x:c>
      <x:c r="N549" s="20" t="str">
        <x:v>初审</x:v>
      </x:c>
      <x:c r="O549" s="22" t="n">
        <x:v>46255</x:v>
      </x:c>
      <x:c r="P549" s="20" t="str">
        <x:v>https://zh.wikisource.org/zh-hans/滴天髓 ; https://zh.wikisource.org/zh-hans/淵海子平 ; https://zh.wikisource.org/wiki/三命通會</x:v>
      </x:c>
    </x:row>
    <x:row r="550">
      <x:c r="A550" s="20" t="str">
        <x:v>M08-AGG-0105-V1.0</x:v>
      </x:c>
      <x:c r="B550" s="20" t="str">
        <x:v>规则</x:v>
      </x:c>
      <x:c r="C550" s="20" t="str">
        <x:v>M08</x:v>
      </x:c>
      <x:c r="D550" s="20" t="str">
        <x:v>08_五行有效旺衰</x:v>
      </x:c>
      <x:c r="E550" s="20" t="str">
        <x:v>AGG</x:v>
      </x:c>
      <x:c r="F550" s="20" t="n">
        <x:v>105</x:v>
      </x:c>
      <x:c r="G550" s="20" t="str">
        <x:v>V1.0</x:v>
      </x:c>
      <x:c r="H550" s="20" t="str">
        <x:v>中和区间允许强弱证据同时存在并相互抵消</x:v>
      </x:c>
      <x:c r="I550" s="20" t="str">
        <x:v>结构层</x:v>
      </x:c>
      <x:c r="J550" s="20" t="str">
        <x:v>中和区间</x:v>
      </x:c>
      <x:c r="K550" s="20" t="str">
        <x:v>正反证据接近时，应保留中和区间并表达轻微方向。</x:v>
      </x:c>
      <x:c r="L550" s="20" t="str">
        <x:v>较高</x:v>
      </x:c>
      <x:c r="M550" s="20" t="str">
        <x:v>采用</x:v>
      </x:c>
      <x:c r="N550" s="20" t="str">
        <x:v>初审</x:v>
      </x:c>
      <x:c r="O550" s="22" t="n">
        <x:v>46255</x:v>
      </x:c>
      <x:c r="P550" s="20" t="str">
        <x:v>https://zh.wikisource.org/zh-hans/滴天髓 ; https://zh.wikisource.org/zh-hans/淵海子平 ; https://zh.wikisource.org/wiki/三命通會</x:v>
      </x:c>
    </x:row>
    <x:row r="551">
      <x:c r="A551" s="20" t="str">
        <x:v>M08-AGG-0106-V1.0</x:v>
      </x:c>
      <x:c r="B551" s="20" t="str">
        <x:v>规则</x:v>
      </x:c>
      <x:c r="C551" s="20" t="str">
        <x:v>M08</x:v>
      </x:c>
      <x:c r="D551" s="20" t="str">
        <x:v>08_五行有效旺衰</x:v>
      </x:c>
      <x:c r="E551" s="20" t="str">
        <x:v>AGG</x:v>
      </x:c>
      <x:c r="F551" s="20" t="n">
        <x:v>106</x:v>
      </x:c>
      <x:c r="G551" s="20" t="str">
        <x:v>V1.0</x:v>
      </x:c>
      <x:c r="H551" s="20" t="str">
        <x:v>有效旺衰输出必须附主证据、反证与置信度</x:v>
      </x:c>
      <x:c r="I551" s="20" t="str">
        <x:v>结构层</x:v>
      </x:c>
      <x:c r="J551" s="20" t="str">
        <x:v>有效旺衰输出</x:v>
      </x:c>
      <x:c r="K551" s="20" t="str">
        <x:v>每个五行必须输出有效旺衰等级、主要修正、反证和置信度。</x:v>
      </x:c>
      <x:c r="L551" s="20" t="str">
        <x:v>较高</x:v>
      </x:c>
      <x:c r="M551" s="20" t="str">
        <x:v>采用</x:v>
      </x:c>
      <x:c r="N551" s="20" t="str">
        <x:v>初审</x:v>
      </x:c>
      <x:c r="O551" s="22" t="n">
        <x:v>46255</x:v>
      </x:c>
      <x:c r="P551" s="20" t="str">
        <x:v>https://zh.wikisource.org/zh-hans/滴天髓 ; https://zh.wikisource.org/zh-hans/淵海子平 ; https://zh.wikisource.org/wiki/三命通會</x:v>
      </x:c>
    </x:row>
    <x:row r="552">
      <x:c r="A552" s="20" t="str">
        <x:v>M08-BOUND-0107-V1.0</x:v>
      </x:c>
      <x:c r="B552" s="20" t="str">
        <x:v>规则</x:v>
      </x:c>
      <x:c r="C552" s="20" t="str">
        <x:v>M08</x:v>
      </x:c>
      <x:c r="D552" s="20" t="str">
        <x:v>08_五行有效旺衰</x:v>
      </x:c>
      <x:c r="E552" s="20" t="str">
        <x:v>BOUND</x:v>
      </x:c>
      <x:c r="F552" s="20" t="n">
        <x:v>107</x:v>
      </x:c>
      <x:c r="G552" s="20" t="str">
        <x:v>V1.0</x:v>
      </x:c>
      <x:c r="H552" s="20" t="str">
        <x:v>M08不得直接确定喜神忌神用神</x:v>
      </x:c>
      <x:c r="I552" s="20" t="str">
        <x:v>结构层</x:v>
      </x:c>
      <x:c r="J552" s="20" t="str">
        <x:v>喜忌隔离</x:v>
      </x:c>
      <x:c r="K552" s="20" t="str">
        <x:v>有效旺衰只描述力量事实，喜忌用神必须等待后续综合裁决。</x:v>
      </x:c>
      <x:c r="L552" s="20" t="str">
        <x:v>较高</x:v>
      </x:c>
      <x:c r="M552" s="20" t="str">
        <x:v>采用</x:v>
      </x:c>
      <x:c r="N552" s="20" t="str">
        <x:v>初审</x:v>
      </x:c>
      <x:c r="O552" s="22" t="n">
        <x:v>46255</x:v>
      </x:c>
      <x:c r="P552" s="20" t="str">
        <x:v>https://zh.wikisource.org/zh-hans/滴天髓 ; https://zh.wikisource.org/zh-hans/淵海子平 ; https://zh.wikisource.org/wiki/三命通會</x:v>
      </x:c>
    </x:row>
    <x:row r="553">
      <x:c r="A553" s="20" t="str">
        <x:v>M08-BOUND-0108-V1.0</x:v>
      </x:c>
      <x:c r="B553" s="20" t="str">
        <x:v>规则</x:v>
      </x:c>
      <x:c r="C553" s="20" t="str">
        <x:v>M08</x:v>
      </x:c>
      <x:c r="D553" s="20" t="str">
        <x:v>08_五行有效旺衰</x:v>
      </x:c>
      <x:c r="E553" s="20" t="str">
        <x:v>BOUND</x:v>
      </x:c>
      <x:c r="F553" s="20" t="n">
        <x:v>108</x:v>
      </x:c>
      <x:c r="G553" s="20" t="str">
        <x:v>V1.0</x:v>
      </x:c>
      <x:c r="H553" s="20" t="str">
        <x:v>同一力量节点不得在根源透党合局等维度重复满额调用</x:v>
      </x:c>
      <x:c r="I553" s="20" t="str">
        <x:v>结构层</x:v>
      </x:c>
      <x:c r="J553" s="20" t="str">
        <x:v>有效证据去重</x:v>
      </x:c>
      <x:c r="K553" s="20" t="str">
        <x:v>同一干支节点可以承担多个解释标签，但只能按真实容量调用。</x:v>
      </x:c>
      <x:c r="L553" s="20" t="str">
        <x:v>较高</x:v>
      </x:c>
      <x:c r="M553" s="20" t="str">
        <x:v>采用</x:v>
      </x:c>
      <x:c r="N553" s="20" t="str">
        <x:v>初审</x:v>
      </x:c>
      <x:c r="O553" s="22" t="n">
        <x:v>46255</x:v>
      </x:c>
      <x:c r="P553" s="20" t="str">
        <x:v>https://zh.wikisource.org/zh-hans/滴天髓 ; https://zh.wikisource.org/zh-hans/淵海子平 ; https://zh.wikisource.org/wiki/三命通會</x:v>
      </x:c>
    </x:row>
    <x:row r="554">
      <x:c r="A554" s="20" t="str">
        <x:v>M08-BOUND-0109-V1.0</x:v>
      </x:c>
      <x:c r="B554" s="20" t="str">
        <x:v>规则</x:v>
      </x:c>
      <x:c r="C554" s="20" t="str">
        <x:v>M08</x:v>
      </x:c>
      <x:c r="D554" s="20" t="str">
        <x:v>08_五行有效旺衰</x:v>
      </x:c>
      <x:c r="E554" s="20" t="str">
        <x:v>BOUND</x:v>
      </x:c>
      <x:c r="F554" s="20" t="n">
        <x:v>109</x:v>
      </x:c>
      <x:c r="G554" s="20" t="str">
        <x:v>V1.0</x:v>
      </x:c>
      <x:c r="H554" s="20" t="str">
        <x:v>固定百分比或固定分值不能作为最终裁决</x:v>
      </x:c>
      <x:c r="I554" s="20" t="str">
        <x:v>结构层</x:v>
      </x:c>
      <x:c r="J554" s="20" t="str">
        <x:v>非机械计分</x:v>
      </x:c>
      <x:c r="K554" s="20" t="str">
        <x:v>M08可以使用参考权重辅助一致性，但不能用固定百分比替代结构判断。</x:v>
      </x:c>
      <x:c r="L554" s="20" t="str">
        <x:v>较高</x:v>
      </x:c>
      <x:c r="M554" s="20" t="str">
        <x:v>采用</x:v>
      </x:c>
      <x:c r="N554" s="20" t="str">
        <x:v>初审</x:v>
      </x:c>
      <x:c r="O554" s="22" t="n">
        <x:v>46255</x:v>
      </x:c>
      <x:c r="P554" s="20" t="str">
        <x:v>https://zh.wikisource.org/zh-hans/滴天髓 ; https://zh.wikisource.org/zh-hans/淵海子平 ; https://zh.wikisource.org/wiki/三命通會</x:v>
      </x:c>
    </x:row>
    <x:row r="555">
      <x:c r="A555" s="20" t="str">
        <x:v>M08-BOUND-0110-V1.0</x:v>
      </x:c>
      <x:c r="B555" s="20" t="str">
        <x:v>规则</x:v>
      </x:c>
      <x:c r="C555" s="20" t="str">
        <x:v>M08</x:v>
      </x:c>
      <x:c r="D555" s="20" t="str">
        <x:v>08_五行有效旺衰</x:v>
      </x:c>
      <x:c r="E555" s="20" t="str">
        <x:v>BOUND</x:v>
      </x:c>
      <x:c r="F555" s="20" t="n">
        <x:v>110</x:v>
      </x:c>
      <x:c r="G555" s="20" t="str">
        <x:v>V1.0</x:v>
      </x:c>
      <x:c r="H555" s="20" t="str">
        <x:v>关键结论依赖争议规则时降低置信度并转M21</x:v>
      </x:c>
      <x:c r="I555" s="20" t="str">
        <x:v>结构层</x:v>
      </x:c>
      <x:c r="J555" s="20" t="str">
        <x:v>争议降置信</x:v>
      </x:c>
      <x:c r="K555" s="20" t="str">
        <x:v>若有效旺衰依赖自刑、六破等争议规则，应降低置信度并在M21保留替代解释。</x:v>
      </x:c>
      <x:c r="L555" s="20" t="str">
        <x:v>中等</x:v>
      </x:c>
      <x:c r="M555" s="20" t="str">
        <x:v>待验证</x:v>
      </x:c>
      <x:c r="N555" s="20" t="str">
        <x:v>初审</x:v>
      </x:c>
      <x:c r="O555" s="22" t="n">
        <x:v>46255</x:v>
      </x:c>
      <x:c r="P555" s="20" t="str">
        <x:v>https://zh.wikisource.org/zh-hans/滴天髓 ; https://zh.wikisource.org/zh-hans/淵海子平 ; https://zh.wikisource.org/wiki/三命通會</x:v>
      </x:c>
    </x:row>
    <x:row r="556">
      <x:c r="A556" s="20" t="str">
        <x:v>M09-LING-0001-V1.0</x:v>
      </x:c>
      <x:c r="B556" s="20" t="str">
        <x:v>规则</x:v>
      </x:c>
      <x:c r="C556" s="20" t="str">
        <x:v>M09</x:v>
      </x:c>
      <x:c r="D556" s="20" t="str">
        <x:v>09_日主旺衰</x:v>
      </x:c>
      <x:c r="E556" s="20" t="str">
        <x:v>LING</x:v>
      </x:c>
      <x:c r="F556" s="20" t="n">
        <x:v>1</x:v>
      </x:c>
      <x:c r="G556" s="20" t="str">
        <x:v>V1.0</x:v>
      </x:c>
      <x:c r="H556" s="20" t="str">
        <x:v>得令是日主偏强的高权重证据但非充分条件</x:v>
      </x:c>
      <x:c r="I556" s="20" t="str">
        <x:v>综合层</x:v>
      </x:c>
      <x:c r="J556" s="20" t="str">
        <x:v>得令高权重</x:v>
      </x:c>
      <x:c r="K556" s="20" t="str">
        <x:v>日主得令，属于偏强的重要证据；仍需与有效根气、印比及制泄耗合并裁定。</x:v>
      </x:c>
      <x:c r="L556" s="20" t="str">
        <x:v>较高</x:v>
      </x:c>
      <x:c r="M556" s="20" t="str">
        <x:v>采用</x:v>
      </x:c>
      <x:c r="N556" s="20" t="str">
        <x:v>初审</x:v>
      </x:c>
      <x:c r="O556" s="22" t="n">
        <x:v>46255</x:v>
      </x:c>
      <x:c r="P556" s="20" t="str">
        <x:v>https://zh.wikisource.org/wiki/%E6%B7%B5%E6%B5%B7%E5%AD%90%E5%B9%B3%E5%A4%A7%E5%85%A8 ; https://zh.wikisource.org/wiki/%E6%BB%B4%E5%A4%A9%E9%AB%93%E9%97%A1%E5%BE%AE</x:v>
      </x:c>
    </x:row>
    <x:row r="557">
      <x:c r="A557" s="20" t="str">
        <x:v>M09-LING-0002-V1.0</x:v>
      </x:c>
      <x:c r="B557" s="20" t="str">
        <x:v>规则</x:v>
      </x:c>
      <x:c r="C557" s="20" t="str">
        <x:v>M09</x:v>
      </x:c>
      <x:c r="D557" s="20" t="str">
        <x:v>09_日主旺衰</x:v>
      </x:c>
      <x:c r="E557" s="20" t="str">
        <x:v>LING</x:v>
      </x:c>
      <x:c r="F557" s="20" t="n">
        <x:v>2</x:v>
      </x:c>
      <x:c r="G557" s="20" t="str">
        <x:v>V1.0</x:v>
      </x:c>
      <x:c r="H557" s="20" t="str">
        <x:v>旺令比相令提供更直接的季节扶持</x:v>
      </x:c>
      <x:c r="I557" s="20" t="str">
        <x:v>综合层</x:v>
      </x:c>
      <x:c r="J557" s="20" t="str">
        <x:v>旺相层级</x:v>
      </x:c>
      <x:c r="K557" s="20" t="str">
        <x:v>旺令提供更直接季节优势；相令为间接支持，两者不作机械等权。</x:v>
      </x:c>
      <x:c r="L557" s="20" t="str">
        <x:v>较高</x:v>
      </x:c>
      <x:c r="M557" s="20" t="str">
        <x:v>采用</x:v>
      </x:c>
      <x:c r="N557" s="20" t="str">
        <x:v>初审</x:v>
      </x:c>
      <x:c r="O557" s="22" t="n">
        <x:v>46255</x:v>
      </x:c>
      <x:c r="P557" s="20" t="str">
        <x:v>https://zh.wikisource.org/wiki/%E6%B7%B5%E6%B5%B7%E5%AD%90%E5%B9%B3%E5%A4%A7%E5%85%A8 ; https://zh.wikisource.org/wiki/%E6%BB%B4%E5%A4%A9%E9%AB%93%E9%97%A1%E5%BE%AE</x:v>
      </x:c>
    </x:row>
    <x:row r="558">
      <x:c r="A558" s="20" t="str">
        <x:v>M09-LING-0003-V1.0</x:v>
      </x:c>
      <x:c r="B558" s="20" t="str">
        <x:v>规则</x:v>
      </x:c>
      <x:c r="C558" s="20" t="str">
        <x:v>M09</x:v>
      </x:c>
      <x:c r="D558" s="20" t="str">
        <x:v>09_日主旺衰</x:v>
      </x:c>
      <x:c r="E558" s="20" t="str">
        <x:v>LING</x:v>
      </x:c>
      <x:c r="F558" s="20" t="n">
        <x:v>3</x:v>
      </x:c>
      <x:c r="G558" s="20" t="str">
        <x:v>V1.0</x:v>
      </x:c>
      <x:c r="H558" s="20" t="str">
        <x:v>休囚死是季节不利证据而不是日主弱的充分条件</x:v>
      </x:c>
      <x:c r="I558" s="20" t="str">
        <x:v>综合层</x:v>
      </x:c>
      <x:c r="J558" s="20" t="str">
        <x:v>失令证据</x:v>
      </x:c>
      <x:c r="K558" s="20" t="str">
        <x:v>日主失令构成偏弱证据，但是否身弱取决于有效根气、印比和制泄耗。</x:v>
      </x:c>
      <x:c r="L558" s="20" t="str">
        <x:v>较高</x:v>
      </x:c>
      <x:c r="M558" s="20" t="str">
        <x:v>采用</x:v>
      </x:c>
      <x:c r="N558" s="20" t="str">
        <x:v>初审</x:v>
      </x:c>
      <x:c r="O558" s="22" t="n">
        <x:v>46255</x:v>
      </x:c>
      <x:c r="P558" s="20" t="str">
        <x:v>https://zh.wikisource.org/wiki/%E6%B7%B5%E6%B5%B7%E5%AD%90%E5%B9%B3%E5%A4%A7%E5%85%A8 ; https://zh.wikisource.org/wiki/%E6%BB%B4%E5%A4%A9%E9%AB%93%E9%97%A1%E5%BE%AE</x:v>
      </x:c>
    </x:row>
    <x:row r="559">
      <x:c r="A559" s="20" t="str">
        <x:v>M09-LING-0004-V1.0</x:v>
      </x:c>
      <x:c r="B559" s="20" t="str">
        <x:v>规则</x:v>
      </x:c>
      <x:c r="C559" s="20" t="str">
        <x:v>M09</x:v>
      </x:c>
      <x:c r="D559" s="20" t="str">
        <x:v>09_日主旺衰</x:v>
      </x:c>
      <x:c r="E559" s="20" t="str">
        <x:v>LING</x:v>
      </x:c>
      <x:c r="F559" s="20" t="n">
        <x:v>4</x:v>
      </x:c>
      <x:c r="G559" s="20" t="str">
        <x:v>V1.0</x:v>
      </x:c>
      <x:c r="H559" s="20" t="str">
        <x:v>得令但无有效根时承载能力需单独核查</x:v>
      </x:c>
      <x:c r="I559" s="20" t="str">
        <x:v>综合层</x:v>
      </x:c>
      <x:c r="J559" s="20" t="str">
        <x:v>得令无根边界</x:v>
      </x:c>
      <x:c r="K559" s="20" t="str">
        <x:v>日主虽得令，但有效根不足；季令优势能否转化为稳定承载需与印比和负荷侧共同判断。</x:v>
      </x:c>
      <x:c r="L559" s="20" t="str">
        <x:v>较高</x:v>
      </x:c>
      <x:c r="M559" s="20" t="str">
        <x:v>采用</x:v>
      </x:c>
      <x:c r="N559" s="20" t="str">
        <x:v>初审</x:v>
      </x:c>
      <x:c r="O559" s="22" t="n">
        <x:v>46255</x:v>
      </x:c>
      <x:c r="P559" s="20" t="str">
        <x:v>https://zh.wikisource.org/wiki/%E6%B7%B5%E6%B5%B7%E5%AD%90%E5%B9%B3%E5%A4%A7%E5%85%A8 ; https://zh.wikisource.org/wiki/%E6%BB%B4%E5%A4%A9%E9%AB%93%E9%97%A1%E5%BE%AE</x:v>
      </x:c>
    </x:row>
    <x:row r="560">
      <x:c r="A560" s="20" t="str">
        <x:v>M09-LING-0005-V1.0</x:v>
      </x:c>
      <x:c r="B560" s="20" t="str">
        <x:v>规则</x:v>
      </x:c>
      <x:c r="C560" s="20" t="str">
        <x:v>M09</x:v>
      </x:c>
      <x:c r="D560" s="20" t="str">
        <x:v>09_日主旺衰</x:v>
      </x:c>
      <x:c r="E560" s="20" t="str">
        <x:v>LING</x:v>
      </x:c>
      <x:c r="F560" s="20" t="n">
        <x:v>5</x:v>
      </x:c>
      <x:c r="G560" s="20" t="str">
        <x:v>V1.0</x:v>
      </x:c>
      <x:c r="H560" s="20" t="str">
        <x:v>失令但根深印比成势可反转季节劣势</x:v>
      </x:c>
      <x:c r="I560" s="20" t="str">
        <x:v>综合层</x:v>
      </x:c>
      <x:c r="J560" s="20" t="str">
        <x:v>失令反强</x:v>
      </x:c>
      <x:c r="K560" s="20" t="str">
        <x:v>日主失令，但有效根深、印比成势，可抵消乃至反转季节劣势。</x:v>
      </x:c>
      <x:c r="L560" s="20" t="str">
        <x:v>较高</x:v>
      </x:c>
      <x:c r="M560" s="20" t="str">
        <x:v>采用</x:v>
      </x:c>
      <x:c r="N560" s="20" t="str">
        <x:v>初审</x:v>
      </x:c>
      <x:c r="O560" s="22" t="n">
        <x:v>46255</x:v>
      </x:c>
      <x:c r="P560" s="20" t="str">
        <x:v>https://zh.wikisource.org/wiki/%E6%B7%B5%E6%B5%B7%E5%AD%90%E5%B9%B3%E5%A4%A7%E5%85%A8 ; https://zh.wikisource.org/wiki/%E6%BB%B4%E5%A4%A9%E9%AB%93%E9%97%A1%E5%BE%AE</x:v>
      </x:c>
    </x:row>
    <x:row r="561">
      <x:c r="A561" s="20" t="str">
        <x:v>M09-LING-0006-V1.0</x:v>
      </x:c>
      <x:c r="B561" s="20" t="str">
        <x:v>规则</x:v>
      </x:c>
      <x:c r="C561" s="20" t="str">
        <x:v>M09</x:v>
      </x:c>
      <x:c r="D561" s="20" t="str">
        <x:v>09_日主旺衰</x:v>
      </x:c>
      <x:c r="E561" s="20" t="str">
        <x:v>LING</x:v>
      </x:c>
      <x:c r="F561" s="20" t="n">
        <x:v>6</x:v>
      </x:c>
      <x:c r="G561" s="20" t="str">
        <x:v>V1.0</x:v>
      </x:c>
      <x:c r="H561" s="20" t="str">
        <x:v>月令节点兼具根气时必须去重计权</x:v>
      </x:c>
      <x:c r="I561" s="20" t="str">
        <x:v>综合层</x:v>
      </x:c>
      <x:c r="J561" s="20" t="str">
        <x:v>季令根气去重</x:v>
      </x:c>
      <x:c r="K561" s="20" t="str">
        <x:v>月令与月支根气可分别解释，但同一节点不重复按多个决定性证据累加。</x:v>
      </x:c>
      <x:c r="L561" s="20" t="str">
        <x:v>较高</x:v>
      </x:c>
      <x:c r="M561" s="20" t="str">
        <x:v>采用</x:v>
      </x:c>
      <x:c r="N561" s="20" t="str">
        <x:v>初审</x:v>
      </x:c>
      <x:c r="O561" s="22" t="n">
        <x:v>46255</x:v>
      </x:c>
      <x:c r="P561" s="20" t="str">
        <x:v>https://zh.wikisource.org/wiki/%E6%B7%B5%E6%B5%B7%E5%AD%90%E5%B9%B3%E5%A4%A7%E5%85%A8 ; https://zh.wikisource.org/wiki/%E6%BB%B4%E5%A4%A9%E9%AB%93%E9%97%A1%E5%BE%AE</x:v>
      </x:c>
    </x:row>
    <x:row r="562">
      <x:c r="A562" s="20" t="str">
        <x:v>M09-LING-0007-V1.0</x:v>
      </x:c>
      <x:c r="B562" s="20" t="str">
        <x:v>规则</x:v>
      </x:c>
      <x:c r="C562" s="20" t="str">
        <x:v>M09</x:v>
      </x:c>
      <x:c r="D562" s="20" t="str">
        <x:v>09_日主旺衰</x:v>
      </x:c>
      <x:c r="E562" s="20" t="str">
        <x:v>LING</x:v>
      </x:c>
      <x:c r="F562" s="20" t="n">
        <x:v>7</x:v>
      </x:c>
      <x:c r="G562" s="20" t="str">
        <x:v>V1.0</x:v>
      </x:c>
      <x:c r="H562" s="20" t="str">
        <x:v>月令受合冲改性后的季令证据承接M08而非重算</x:v>
      </x:c>
      <x:c r="I562" s="20" t="str">
        <x:v>综合层</x:v>
      </x:c>
      <x:c r="J562" s="20" t="str">
        <x:v>季令效应承接</x:v>
      </x:c>
      <x:c r="K562" s="20" t="str">
        <x:v>月令是否仍能支持日主，以M08有效性结论为准；M09不重复处理合冲。</x:v>
      </x:c>
      <x:c r="L562" s="20" t="str">
        <x:v>较高</x:v>
      </x:c>
      <x:c r="M562" s="20" t="str">
        <x:v>采用</x:v>
      </x:c>
      <x:c r="N562" s="20" t="str">
        <x:v>初审</x:v>
      </x:c>
      <x:c r="O562" s="22" t="n">
        <x:v>46255</x:v>
      </x:c>
      <x:c r="P562" s="20" t="str">
        <x:v>https://zh.wikisource.org/wiki/%E6%B7%B5%E6%B5%B7%E5%AD%90%E5%B9%B3%E5%A4%A7%E5%85%A8 ; https://zh.wikisource.org/wiki/%E6%BB%B4%E5%A4%A9%E9%AB%93%E9%97%A1%E5%BE%AE</x:v>
      </x:c>
    </x:row>
    <x:row r="563">
      <x:c r="A563" s="20" t="str">
        <x:v>M09-LING-0008-V1.0</x:v>
      </x:c>
      <x:c r="B563" s="20" t="str">
        <x:v>规则</x:v>
      </x:c>
      <x:c r="C563" s="20" t="str">
        <x:v>M09</x:v>
      </x:c>
      <x:c r="D563" s="20" t="str">
        <x:v>09_日主旺衰</x:v>
      </x:c>
      <x:c r="E563" s="20" t="str">
        <x:v>LING</x:v>
      </x:c>
      <x:c r="F563" s="20" t="n">
        <x:v>8</x:v>
      </x:c>
      <x:c r="G563" s="20" t="str">
        <x:v>V1.0</x:v>
      </x:c>
      <x:c r="H563" s="20" t="str">
        <x:v>四季土月必须使用M03细分结果而非统一按土旺处理</x:v>
      </x:c>
      <x:c r="I563" s="20" t="str">
        <x:v>综合层</x:v>
      </x:c>
      <x:c r="J563" s="20" t="str">
        <x:v>四季月细分</x:v>
      </x:c>
      <x:c r="K563" s="20" t="str">
        <x:v>四季土月的季令证据按M03细分，不采用“一见辰戌丑未即土旺”的统一结论。</x:v>
      </x:c>
      <x:c r="L563" s="20" t="str">
        <x:v>中等</x:v>
      </x:c>
      <x:c r="M563" s="20" t="str">
        <x:v>待验证</x:v>
      </x:c>
      <x:c r="N563" s="20" t="str">
        <x:v>初审</x:v>
      </x:c>
      <x:c r="O563" s="22" t="n">
        <x:v>46255</x:v>
      </x:c>
      <x:c r="P563" s="20" t="str">
        <x:v>https://zh.wikisource.org/wiki/%E6%B7%B5%E6%B5%B7%E5%AD%90%E5%B9%B3%E5%A4%A7%E5%85%A8 ; https://zh.wikisource.org/wiki/%E6%BB%B4%E5%A4%A9%E9%AB%93%E9%97%A1%E5%BE%AE</x:v>
      </x:c>
    </x:row>
    <x:row r="564">
      <x:c r="A564" s="20" t="str">
        <x:v>M09-LING-0009-V1.0</x:v>
      </x:c>
      <x:c r="B564" s="20" t="str">
        <x:v>规则</x:v>
      </x:c>
      <x:c r="C564" s="20" t="str">
        <x:v>M09</x:v>
      </x:c>
      <x:c r="D564" s="20" t="str">
        <x:v>09_日主旺衰</x:v>
      </x:c>
      <x:c r="E564" s="20" t="str">
        <x:v>LING</x:v>
      </x:c>
      <x:c r="F564" s="20" t="n">
        <x:v>9</x:v>
      </x:c>
      <x:c r="G564" s="20" t="str">
        <x:v>V1.0</x:v>
      </x:c>
      <x:c r="H564" s="20" t="str">
        <x:v>交节附近月令未核实时不得给出高置信旺衰</x:v>
      </x:c>
      <x:c r="I564" s="20" t="str">
        <x:v>综合层</x:v>
      </x:c>
      <x:c r="J564" s="20" t="str">
        <x:v>月令不确定</x:v>
      </x:c>
      <x:c r="K564" s="20" t="str">
        <x:v>出生临近交节，月令尚有不确定；日主旺衰只能给条件性候选并降低置信度。</x:v>
      </x:c>
      <x:c r="L564" s="20" t="str">
        <x:v>较高</x:v>
      </x:c>
      <x:c r="M564" s="20" t="str">
        <x:v>采用</x:v>
      </x:c>
      <x:c r="N564" s="20" t="str">
        <x:v>初审</x:v>
      </x:c>
      <x:c r="O564" s="22" t="n">
        <x:v>46255</x:v>
      </x:c>
      <x:c r="P564" s="20" t="str">
        <x:v>https://zh.wikisource.org/wiki/%E6%B7%B5%E6%B5%B7%E5%AD%90%E5%B9%B3%E5%A4%A7%E5%85%A8 ; https://zh.wikisource.org/wiki/%E6%BB%B4%E5%A4%A9%E9%AB%93%E9%97%A1%E5%BE%AE</x:v>
      </x:c>
    </x:row>
    <x:row r="565">
      <x:c r="A565" s="20" t="str">
        <x:v>M09-LING-0010-V1.0</x:v>
      </x:c>
      <x:c r="B565" s="20" t="str">
        <x:v>规则</x:v>
      </x:c>
      <x:c r="C565" s="20" t="str">
        <x:v>M09</x:v>
      </x:c>
      <x:c r="D565" s="20" t="str">
        <x:v>09_日主旺衰</x:v>
      </x:c>
      <x:c r="E565" s="20" t="str">
        <x:v>LING</x:v>
      </x:c>
      <x:c r="F565" s="20" t="n">
        <x:v>10</x:v>
      </x:c>
      <x:c r="G565" s="20" t="str">
        <x:v>V1.0</x:v>
      </x:c>
      <x:c r="H565" s="20" t="str">
        <x:v>季令证据必须服从全局有效力量而非覆盖其他维度</x:v>
      </x:c>
      <x:c r="I565" s="20" t="str">
        <x:v>综合层</x:v>
      </x:c>
      <x:c r="J565" s="20" t="str">
        <x:v>季令非一票否决</x:v>
      </x:c>
      <x:c r="K565" s="20" t="str">
        <x:v>月令权重高，但最终旺衰必须服从全局有效力量的合成结果。</x:v>
      </x:c>
      <x:c r="L565" s="20" t="str">
        <x:v>较高</x:v>
      </x:c>
      <x:c r="M565" s="20" t="str">
        <x:v>采用</x:v>
      </x:c>
      <x:c r="N565" s="20" t="str">
        <x:v>初审</x:v>
      </x:c>
      <x:c r="O565" s="22" t="n">
        <x:v>46255</x:v>
      </x:c>
      <x:c r="P565" s="20" t="str">
        <x:v>https://zh.wikisource.org/wiki/%E6%B7%B5%E6%B5%B7%E5%AD%90%E5%B9%B3%E5%A4%A7%E5%85%A8 ; https://zh.wikisource.org/wiki/%E6%BB%B4%E5%A4%A9%E9%AB%93%E9%97%A1%E5%BE%AE</x:v>
      </x:c>
    </x:row>
    <x:row r="566">
      <x:c r="A566" s="20" t="str">
        <x:v>M09-DI-0011-V1.0</x:v>
      </x:c>
      <x:c r="B566" s="20" t="str">
        <x:v>规则</x:v>
      </x:c>
      <x:c r="C566" s="20" t="str">
        <x:v>M09</x:v>
      </x:c>
      <x:c r="D566" s="20" t="str">
        <x:v>09_日主旺衰</x:v>
      </x:c>
      <x:c r="E566" s="20" t="str">
        <x:v>DI</x:v>
      </x:c>
      <x:c r="F566" s="20" t="n">
        <x:v>11</x:v>
      </x:c>
      <x:c r="G566" s="20" t="str">
        <x:v>V1.0</x:v>
      </x:c>
      <x:c r="H566" s="20" t="str">
        <x:v>有效本气根是得地的强支持证据</x:v>
      </x:c>
      <x:c r="I566" s="20" t="str">
        <x:v>综合层</x:v>
      </x:c>
      <x:c r="J566" s="20" t="str">
        <x:v>本气根支持</x:v>
      </x:c>
      <x:c r="K566" s="20" t="str">
        <x:v>日主有有效本气根，得地证据强；仍需比较扶身与制泄耗总势。</x:v>
      </x:c>
      <x:c r="L566" s="20" t="str">
        <x:v>较高</x:v>
      </x:c>
      <x:c r="M566" s="20" t="str">
        <x:v>采用</x:v>
      </x:c>
      <x:c r="N566" s="20" t="str">
        <x:v>初审</x:v>
      </x:c>
      <x:c r="O566" s="22" t="n">
        <x:v>46255</x:v>
      </x:c>
      <x:c r="P566" s="20" t="str">
        <x:v>https://zh.wikisource.org/wiki/%E6%B7%B5%E6%B5%B7%E5%AD%90%E5%B9%B3%E5%A4%A7%E5%85%A8 ; https://zh.wikisource.org/wiki/%E6%BB%B4%E5%A4%A9%E9%AB%93%E9%97%A1%E5%BE%AE</x:v>
      </x:c>
    </x:row>
    <x:row r="567">
      <x:c r="A567" s="20" t="str">
        <x:v>M09-DI-0012-V1.0</x:v>
      </x:c>
      <x:c r="B567" s="20" t="str">
        <x:v>规则</x:v>
      </x:c>
      <x:c r="C567" s="20" t="str">
        <x:v>M09</x:v>
      </x:c>
      <x:c r="D567" s="20" t="str">
        <x:v>09_日主旺衰</x:v>
      </x:c>
      <x:c r="E567" s="20" t="str">
        <x:v>DI</x:v>
      </x:c>
      <x:c r="F567" s="20" t="n">
        <x:v>12</x:v>
      </x:c>
      <x:c r="G567" s="20" t="str">
        <x:v>V1.0</x:v>
      </x:c>
      <x:c r="H567" s="20" t="str">
        <x:v>有效中气根提供中等级得地支持</x:v>
      </x:c>
      <x:c r="I567" s="20" t="str">
        <x:v>综合层</x:v>
      </x:c>
      <x:c r="J567" s="20" t="str">
        <x:v>中气根支持</x:v>
      </x:c>
      <x:c r="K567" s="20" t="str">
        <x:v>日主有有效中气根，获得中等级得地支持。</x:v>
      </x:c>
      <x:c r="L567" s="20" t="str">
        <x:v>较高</x:v>
      </x:c>
      <x:c r="M567" s="20" t="str">
        <x:v>采用</x:v>
      </x:c>
      <x:c r="N567" s="20" t="str">
        <x:v>初审</x:v>
      </x:c>
      <x:c r="O567" s="22" t="n">
        <x:v>46255</x:v>
      </x:c>
      <x:c r="P567" s="20" t="str">
        <x:v>https://zh.wikisource.org/wiki/%E6%B7%B5%E6%B5%B7%E5%AD%90%E5%B9%B3%E5%A4%A7%E5%85%A8 ; https://zh.wikisource.org/wiki/%E6%BB%B4%E5%A4%A9%E9%AB%93%E9%97%A1%E5%BE%AE</x:v>
      </x:c>
    </x:row>
    <x:row r="568">
      <x:c r="A568" s="20" t="str">
        <x:v>M09-DI-0013-V1.0</x:v>
      </x:c>
      <x:c r="B568" s="20" t="str">
        <x:v>规则</x:v>
      </x:c>
      <x:c r="C568" s="20" t="str">
        <x:v>M09</x:v>
      </x:c>
      <x:c r="D568" s="20" t="str">
        <x:v>09_日主旺衰</x:v>
      </x:c>
      <x:c r="E568" s="20" t="str">
        <x:v>DI</x:v>
      </x:c>
      <x:c r="F568" s="20" t="n">
        <x:v>13</x:v>
      </x:c>
      <x:c r="G568" s="20" t="str">
        <x:v>V1.0</x:v>
      </x:c>
      <x:c r="H568" s="20" t="str">
        <x:v>有效余气根主要用于否定完全无根</x:v>
      </x:c>
      <x:c r="I568" s="20" t="str">
        <x:v>综合层</x:v>
      </x:c>
      <x:c r="J568" s="20" t="str">
        <x:v>余气根边界</x:v>
      </x:c>
      <x:c r="K568" s="20" t="str">
        <x:v>日主有余气根，可否定“完全无根”；但其承载较弱，不能单独支撑身旺。</x:v>
      </x:c>
      <x:c r="L568" s="20" t="str">
        <x:v>较高</x:v>
      </x:c>
      <x:c r="M568" s="20" t="str">
        <x:v>采用</x:v>
      </x:c>
      <x:c r="N568" s="20" t="str">
        <x:v>初审</x:v>
      </x:c>
      <x:c r="O568" s="22" t="n">
        <x:v>46255</x:v>
      </x:c>
      <x:c r="P568" s="20" t="str">
        <x:v>https://zh.wikisource.org/wiki/%E6%B7%B5%E6%B5%B7%E5%AD%90%E5%B9%B3%E5%A4%A7%E5%85%A8 ; https://zh.wikisource.org/wiki/%E6%BB%B4%E5%A4%A9%E9%AB%93%E9%97%A1%E5%BE%AE</x:v>
      </x:c>
    </x:row>
    <x:row r="569">
      <x:c r="A569" s="20" t="str">
        <x:v>M09-DI-0014-V1.0</x:v>
      </x:c>
      <x:c r="B569" s="20" t="str">
        <x:v>规则</x:v>
      </x:c>
      <x:c r="C569" s="20" t="str">
        <x:v>M09</x:v>
      </x:c>
      <x:c r="D569" s="20" t="str">
        <x:v>09_日主旺衰</x:v>
      </x:c>
      <x:c r="E569" s="20" t="str">
        <x:v>DI</x:v>
      </x:c>
      <x:c r="F569" s="20" t="n">
        <x:v>14</x:v>
      </x:c>
      <x:c r="G569" s="20" t="str">
        <x:v>V1.0</x:v>
      </x:c>
      <x:c r="H569" s="20" t="str">
        <x:v>多重独立有效根显著提高日主承载稳定性</x:v>
      </x:c>
      <x:c r="I569" s="20" t="str">
        <x:v>综合层</x:v>
      </x:c>
      <x:c r="J569" s="20" t="str">
        <x:v>多根承载</x:v>
      </x:c>
      <x:c r="K569" s="20" t="str">
        <x:v>日主拥有多处独立有效根，得地稳定性高，是偏旺或旺的重要证据。</x:v>
      </x:c>
      <x:c r="L569" s="20" t="str">
        <x:v>较高</x:v>
      </x:c>
      <x:c r="M569" s="20" t="str">
        <x:v>采用</x:v>
      </x:c>
      <x:c r="N569" s="20" t="str">
        <x:v>初审</x:v>
      </x:c>
      <x:c r="O569" s="22" t="n">
        <x:v>46255</x:v>
      </x:c>
      <x:c r="P569" s="20" t="str">
        <x:v>https://zh.wikisource.org/wiki/%E6%B7%B5%E6%B5%B7%E5%AD%90%E5%B9%B3%E5%A4%A7%E5%85%A8 ; https://zh.wikisource.org/wiki/%E6%BB%B4%E5%A4%A9%E9%AB%93%E9%97%A1%E5%BE%AE</x:v>
      </x:c>
    </x:row>
    <x:row r="570">
      <x:c r="A570" s="20" t="str">
        <x:v>M09-DI-0015-V1.0</x:v>
      </x:c>
      <x:c r="B570" s="20" t="str">
        <x:v>规则</x:v>
      </x:c>
      <x:c r="C570" s="20" t="str">
        <x:v>M09</x:v>
      </x:c>
      <x:c r="D570" s="20" t="str">
        <x:v>09_日主旺衰</x:v>
      </x:c>
      <x:c r="E570" s="20" t="str">
        <x:v>DI</x:v>
      </x:c>
      <x:c r="F570" s="20" t="n">
        <x:v>15</x:v>
      </x:c>
      <x:c r="G570" s="20" t="str">
        <x:v>V1.0</x:v>
      </x:c>
      <x:c r="H570" s="20" t="str">
        <x:v>同类根可以扶身但不与同干直接根完全等权</x:v>
      </x:c>
      <x:c r="I570" s="20" t="str">
        <x:v>综合层</x:v>
      </x:c>
      <x:c r="J570" s="20" t="str">
        <x:v>同类根支持</x:v>
      </x:c>
      <x:c r="K570" s="20" t="str">
        <x:v>同类根可支持日主五行，但与同干直接根区分记录，不机械等权。</x:v>
      </x:c>
      <x:c r="L570" s="20" t="str">
        <x:v>中等</x:v>
      </x:c>
      <x:c r="M570" s="20" t="str">
        <x:v>待验证</x:v>
      </x:c>
      <x:c r="N570" s="20" t="str">
        <x:v>初审</x:v>
      </x:c>
      <x:c r="O570" s="22" t="n">
        <x:v>46255</x:v>
      </x:c>
      <x:c r="P570" s="20" t="str">
        <x:v>https://zh.wikisource.org/wiki/%E6%B7%B5%E6%B5%B7%E5%AD%90%E5%B9%B3%E5%A4%A7%E5%85%A8 ; https://zh.wikisource.org/wiki/%E6%BB%B4%E5%A4%A9%E9%AB%93%E9%97%A1%E5%BE%AE</x:v>
      </x:c>
    </x:row>
    <x:row r="571">
      <x:c r="A571" s="20" t="str">
        <x:v>M09-DI-0016-V1.0</x:v>
      </x:c>
      <x:c r="B571" s="20" t="str">
        <x:v>规则</x:v>
      </x:c>
      <x:c r="C571" s="20" t="str">
        <x:v>M09</x:v>
      </x:c>
      <x:c r="D571" s="20" t="str">
        <x:v>09_日主旺衰</x:v>
      </x:c>
      <x:c r="E571" s="20" t="str">
        <x:v>DI</x:v>
      </x:c>
      <x:c r="F571" s="20" t="n">
        <x:v>16</x:v>
      </x:c>
      <x:c r="G571" s="20" t="str">
        <x:v>V1.0</x:v>
      </x:c>
      <x:c r="H571" s="20" t="str">
        <x:v>无有效根是日主偏弱的重要证据</x:v>
      </x:c>
      <x:c r="I571" s="20" t="str">
        <x:v>综合层</x:v>
      </x:c>
      <x:c r="J571" s="20" t="str">
        <x:v>无根证据</x:v>
      </x:c>
      <x:c r="K571" s="20" t="str">
        <x:v>日主无有效根，得地不足，是偏弱的重要证据；但不能单独推出极弱。</x:v>
      </x:c>
      <x:c r="L571" s="20" t="str">
        <x:v>较高</x:v>
      </x:c>
      <x:c r="M571" s="20" t="str">
        <x:v>采用</x:v>
      </x:c>
      <x:c r="N571" s="20" t="str">
        <x:v>初审</x:v>
      </x:c>
      <x:c r="O571" s="22" t="n">
        <x:v>46255</x:v>
      </x:c>
      <x:c r="P571" s="20" t="str">
        <x:v>https://zh.wikisource.org/wiki/%E6%B7%B5%E6%B5%B7%E5%AD%90%E5%B9%B3%E5%A4%A7%E5%85%A8 ; https://zh.wikisource.org/wiki/%E6%BB%B4%E5%A4%A9%E9%AB%93%E9%97%A1%E5%BE%AE</x:v>
      </x:c>
    </x:row>
    <x:row r="572">
      <x:c r="A572" s="20" t="str">
        <x:v>M09-DI-0017-V1.0</x:v>
      </x:c>
      <x:c r="B572" s="20" t="str">
        <x:v>规则</x:v>
      </x:c>
      <x:c r="C572" s="20" t="str">
        <x:v>M09</x:v>
      </x:c>
      <x:c r="D572" s="20" t="str">
        <x:v>09_日主旺衰</x:v>
      </x:c>
      <x:c r="E572" s="20" t="str">
        <x:v>DI</x:v>
      </x:c>
      <x:c r="F572" s="20" t="n">
        <x:v>17</x:v>
      </x:c>
      <x:c r="G572" s="20" t="str">
        <x:v>V1.0</x:v>
      </x:c>
      <x:c r="H572" s="20" t="str">
        <x:v>唯一有效根被实质冲散时应显著下调日主承载</x:v>
      </x:c>
      <x:c r="I572" s="20" t="str">
        <x:v>综合层</x:v>
      </x:c>
      <x:c r="J572" s="20" t="str">
        <x:v>唯一根失效</x:v>
      </x:c>
      <x:c r="K572" s="20" t="str">
        <x:v>日主唯一有效根已失效，得地证据显著下降；需重新评估是否进入弱或极弱候选。</x:v>
      </x:c>
      <x:c r="L572" s="20" t="str">
        <x:v>较高</x:v>
      </x:c>
      <x:c r="M572" s="20" t="str">
        <x:v>采用</x:v>
      </x:c>
      <x:c r="N572" s="20" t="str">
        <x:v>初审</x:v>
      </x:c>
      <x:c r="O572" s="22" t="n">
        <x:v>46255</x:v>
      </x:c>
      <x:c r="P572" s="20" t="str">
        <x:v>https://zh.wikisource.org/wiki/%E6%B7%B5%E6%B5%B7%E5%AD%90%E5%B9%B3%E5%A4%A7%E5%85%A8 ; https://zh.wikisource.org/wiki/%E6%BB%B4%E5%A4%A9%E9%AB%93%E9%97%A1%E5%BE%AE</x:v>
      </x:c>
    </x:row>
    <x:row r="573">
      <x:c r="A573" s="20" t="str">
        <x:v>M09-DI-0018-V1.0</x:v>
      </x:c>
      <x:c r="B573" s="20" t="str">
        <x:v>规则</x:v>
      </x:c>
      <x:c r="C573" s="20" t="str">
        <x:v>M09</x:v>
      </x:c>
      <x:c r="D573" s="20" t="str">
        <x:v>09_日主旺衰</x:v>
      </x:c>
      <x:c r="E573" s="20" t="str">
        <x:v>DI</x:v>
      </x:c>
      <x:c r="F573" s="20" t="n">
        <x:v>18</x:v>
      </x:c>
      <x:c r="G573" s="20" t="str">
        <x:v>V1.0</x:v>
      </x:c>
      <x:c r="H573" s="20" t="str">
        <x:v>强根受冲但M08判为冲动时不得下调为无根</x:v>
      </x:c>
      <x:c r="I573" s="20" t="str">
        <x:v>综合层</x:v>
      </x:c>
      <x:c r="J573" s="20" t="str">
        <x:v>冲根保留</x:v>
      </x:c>
      <x:c r="K573" s="20" t="str">
        <x:v>该根虽被冲动，但有效根性仍在，不按无根处理。</x:v>
      </x:c>
      <x:c r="L573" s="20" t="str">
        <x:v>较高</x:v>
      </x:c>
      <x:c r="M573" s="20" t="str">
        <x:v>采用</x:v>
      </x:c>
      <x:c r="N573" s="20" t="str">
        <x:v>初审</x:v>
      </x:c>
      <x:c r="O573" s="22" t="n">
        <x:v>46255</x:v>
      </x:c>
      <x:c r="P573" s="20" t="str">
        <x:v>https://zh.wikisource.org/wiki/%E6%B7%B5%E6%B5%B7%E5%AD%90%E5%B9%B3%E5%A4%A7%E5%85%A8 ; https://zh.wikisource.org/wiki/%E6%BB%B4%E5%A4%A9%E9%AB%93%E9%97%A1%E5%BE%AE</x:v>
      </x:c>
    </x:row>
    <x:row r="574">
      <x:c r="A574" s="20" t="str">
        <x:v>M09-DI-0019-V1.0</x:v>
      </x:c>
      <x:c r="B574" s="20" t="str">
        <x:v>规则</x:v>
      </x:c>
      <x:c r="C574" s="20" t="str">
        <x:v>M09</x:v>
      </x:c>
      <x:c r="D574" s="20" t="str">
        <x:v>09_日主旺衰</x:v>
      </x:c>
      <x:c r="E574" s="20" t="str">
        <x:v>DI</x:v>
      </x:c>
      <x:c r="F574" s="20" t="n">
        <x:v>19</x:v>
      </x:c>
      <x:c r="G574" s="20" t="str">
        <x:v>V1.0</x:v>
      </x:c>
      <x:c r="H574" s="20" t="str">
        <x:v>月支根与得令来自同一节点时不得重复全额计权</x:v>
      </x:c>
      <x:c r="I574" s="20" t="str">
        <x:v>综合层</x:v>
      </x:c>
      <x:c r="J574" s="20" t="str">
        <x:v>月支去重</x:v>
      </x:c>
      <x:c r="K574" s="20" t="str">
        <x:v>月支既得令又通根时保留两类说明，但总权重需去重。</x:v>
      </x:c>
      <x:c r="L574" s="20" t="str">
        <x:v>较高</x:v>
      </x:c>
      <x:c r="M574" s="20" t="str">
        <x:v>采用</x:v>
      </x:c>
      <x:c r="N574" s="20" t="str">
        <x:v>初审</x:v>
      </x:c>
      <x:c r="O574" s="22" t="n">
        <x:v>46255</x:v>
      </x:c>
      <x:c r="P574" s="20" t="str">
        <x:v>https://zh.wikisource.org/wiki/%E6%B7%B5%E6%B5%B7%E5%AD%90%E5%B9%B3%E5%A4%A7%E5%85%A8 ; https://zh.wikisource.org/wiki/%E6%BB%B4%E5%A4%A9%E9%AB%93%E9%97%A1%E5%BE%AE</x:v>
      </x:c>
    </x:row>
    <x:row r="575">
      <x:c r="A575" s="20" t="str">
        <x:v>M09-DI-0020-V1.0</x:v>
      </x:c>
      <x:c r="B575" s="20" t="str">
        <x:v>规则</x:v>
      </x:c>
      <x:c r="C575" s="20" t="str">
        <x:v>M09</x:v>
      </x:c>
      <x:c r="D575" s="20" t="str">
        <x:v>09_日主旺衰</x:v>
      </x:c>
      <x:c r="E575" s="20" t="str">
        <x:v>DI</x:v>
      </x:c>
      <x:c r="F575" s="20" t="n">
        <x:v>20</x:v>
      </x:c>
      <x:c r="G575" s="20" t="str">
        <x:v>V1.0</x:v>
      </x:c>
      <x:c r="H575" s="20" t="str">
        <x:v>日支根属于直接承载节点但不设置固定倍权</x:v>
      </x:c>
      <x:c r="I575" s="20" t="str">
        <x:v>综合层</x:v>
      </x:c>
      <x:c r="J575" s="20" t="str">
        <x:v>日支根直接性</x:v>
      </x:c>
      <x:c r="K575" s="20" t="str">
        <x:v>日支有效根可视为较直接的承载证据，但不使用固定倍权。</x:v>
      </x:c>
      <x:c r="L575" s="20" t="str">
        <x:v>中等</x:v>
      </x:c>
      <x:c r="M575" s="20" t="str">
        <x:v>待验证</x:v>
      </x:c>
      <x:c r="N575" s="20" t="str">
        <x:v>初审</x:v>
      </x:c>
      <x:c r="O575" s="22" t="n">
        <x:v>46255</x:v>
      </x:c>
      <x:c r="P575" s="20" t="str">
        <x:v>https://zh.wikisource.org/wiki/%E6%B7%B5%E6%B5%B7%E5%AD%90%E5%B9%B3%E5%A4%A7%E5%85%A8 ; https://zh.wikisource.org/wiki/%E6%BB%B4%E5%A4%A9%E9%AB%93%E9%97%A1%E5%BE%AE</x:v>
      </x:c>
    </x:row>
    <x:row r="576">
      <x:c r="A576" s="20" t="str">
        <x:v>M09-DI-0021-V1.0</x:v>
      </x:c>
      <x:c r="B576" s="20" t="str">
        <x:v>规则</x:v>
      </x:c>
      <x:c r="C576" s="20" t="str">
        <x:v>M09</x:v>
      </x:c>
      <x:c r="D576" s="20" t="str">
        <x:v>09_日主旺衰</x:v>
      </x:c>
      <x:c r="E576" s="20" t="str">
        <x:v>DI</x:v>
      </x:c>
      <x:c r="F576" s="20" t="n">
        <x:v>21</x:v>
      </x:c>
      <x:c r="G576" s="20" t="str">
        <x:v>V1.0</x:v>
      </x:c>
      <x:c r="H576" s="20" t="str">
        <x:v>多根受损只修正对应节点不连坐删除其他根</x:v>
      </x:c>
      <x:c r="I576" s="20" t="str">
        <x:v>综合层</x:v>
      </x:c>
      <x:c r="J576" s="20" t="str">
        <x:v>根位局部修正</x:v>
      </x:c>
      <x:c r="K576" s="20" t="str">
        <x:v>部分根气受损只影响对应节点；其余独立有效根继续保留。</x:v>
      </x:c>
      <x:c r="L576" s="20" t="str">
        <x:v>较高</x:v>
      </x:c>
      <x:c r="M576" s="20" t="str">
        <x:v>采用</x:v>
      </x:c>
      <x:c r="N576" s="20" t="str">
        <x:v>初审</x:v>
      </x:c>
      <x:c r="O576" s="22" t="n">
        <x:v>46255</x:v>
      </x:c>
      <x:c r="P576" s="20" t="str">
        <x:v>https://zh.wikisource.org/wiki/%E6%B7%B5%E6%B5%B7%E5%AD%90%E5%B9%B3%E5%A4%A7%E5%85%A8 ; https://zh.wikisource.org/wiki/%E6%BB%B4%E5%A4%A9%E9%AB%93%E9%97%A1%E5%BE%AE</x:v>
      </x:c>
    </x:row>
    <x:row r="577">
      <x:c r="A577" s="20" t="str">
        <x:v>M09-DI-0022-V1.0</x:v>
      </x:c>
      <x:c r="B577" s="20" t="str">
        <x:v>规则</x:v>
      </x:c>
      <x:c r="C577" s="20" t="str">
        <x:v>M09</x:v>
      </x:c>
      <x:c r="D577" s="20" t="str">
        <x:v>09_日主旺衰</x:v>
      </x:c>
      <x:c r="E577" s="20" t="str">
        <x:v>DI</x:v>
      </x:c>
      <x:c r="F577" s="20" t="n">
        <x:v>22</x:v>
      </x:c>
      <x:c r="G577" s="20" t="str">
        <x:v>V1.0</x:v>
      </x:c>
      <x:c r="H577" s="20" t="str">
        <x:v>根气存在与根气可调用必须分别记录</x:v>
      </x:c>
      <x:c r="I577" s="20" t="str">
        <x:v>综合层</x:v>
      </x:c>
      <x:c r="J577" s="20" t="str">
        <x:v>根气可调用性</x:v>
      </x:c>
      <x:c r="K577" s="20" t="str">
        <x:v>日主虽有根，但根气调用受限；得地证据按有效等级而非存在性计入。</x:v>
      </x:c>
      <x:c r="L577" s="20" t="str">
        <x:v>较高</x:v>
      </x:c>
      <x:c r="M577" s="20" t="str">
        <x:v>采用</x:v>
      </x:c>
      <x:c r="N577" s="20" t="str">
        <x:v>初审</x:v>
      </x:c>
      <x:c r="O577" s="22" t="n">
        <x:v>46255</x:v>
      </x:c>
      <x:c r="P577" s="20" t="str">
        <x:v>https://zh.wikisource.org/wiki/%E6%B7%B5%E6%B5%B7%E5%AD%90%E5%B9%B3%E5%A4%A7%E5%85%A8 ; https://zh.wikisource.org/wiki/%E6%BB%B4%E5%A4%A9%E9%AB%93%E9%97%A1%E5%BE%AE</x:v>
      </x:c>
    </x:row>
    <x:row r="578">
      <x:c r="A578" s="20" t="str">
        <x:v>M09-SHI-0023-V1.0</x:v>
      </x:c>
      <x:c r="B578" s="20" t="str">
        <x:v>规则</x:v>
      </x:c>
      <x:c r="C578" s="20" t="str">
        <x:v>M09</x:v>
      </x:c>
      <x:c r="D578" s="20" t="str">
        <x:v>09_日主旺衰</x:v>
      </x:c>
      <x:c r="E578" s="20" t="str">
        <x:v>SHI</x:v>
      </x:c>
      <x:c r="F578" s="20" t="n">
        <x:v>23</x:v>
      </x:c>
      <x:c r="G578" s="20" t="str">
        <x:v>V1.0</x:v>
      </x:c>
      <x:c r="H578" s="20" t="str">
        <x:v>得势以有效印比形成扶身集团为核心</x:v>
      </x:c>
      <x:c r="I578" s="20" t="str">
        <x:v>综合层</x:v>
      </x:c>
      <x:c r="J578" s="20" t="str">
        <x:v>扶身成势</x:v>
      </x:c>
      <x:c r="K578" s="20" t="str">
        <x:v>有效印比在多个节点形成扶身集团，可判为得势的重要证据。</x:v>
      </x:c>
      <x:c r="L578" s="20" t="str">
        <x:v>较高</x:v>
      </x:c>
      <x:c r="M578" s="20" t="str">
        <x:v>采用</x:v>
      </x:c>
      <x:c r="N578" s="20" t="str">
        <x:v>初审</x:v>
      </x:c>
      <x:c r="O578" s="22" t="n">
        <x:v>46255</x:v>
      </x:c>
      <x:c r="P578" s="20" t="str">
        <x:v>https://zh.wikisource.org/wiki/%E6%B7%B5%E6%B5%B7%E5%AD%90%E5%B9%B3%E5%A4%A7%E5%85%A8 ; https://zh.wikisource.org/wiki/%E6%BB%B4%E5%A4%A9%E9%AB%93%E9%97%A1%E5%BE%AE</x:v>
      </x:c>
    </x:row>
    <x:row r="579">
      <x:c r="A579" s="20" t="str">
        <x:v>M09-SHI-0024-V1.0</x:v>
      </x:c>
      <x:c r="B579" s="20" t="str">
        <x:v>规则</x:v>
      </x:c>
      <x:c r="C579" s="20" t="str">
        <x:v>M09</x:v>
      </x:c>
      <x:c r="D579" s="20" t="str">
        <x:v>09_日主旺衰</x:v>
      </x:c>
      <x:c r="E579" s="20" t="str">
        <x:v>SHI</x:v>
      </x:c>
      <x:c r="F579" s="20" t="n">
        <x:v>24</x:v>
      </x:c>
      <x:c r="G579" s="20" t="str">
        <x:v>V1.0</x:v>
      </x:c>
      <x:c r="H579" s="20" t="str">
        <x:v>比劫有效成群比孤立浮干更能构成得势</x:v>
      </x:c>
      <x:c r="I579" s="20" t="str">
        <x:v>综合层</x:v>
      </x:c>
      <x:c r="J579" s="20" t="str">
        <x:v>比劫得势</x:v>
      </x:c>
      <x:c r="K579" s="20" t="str">
        <x:v>比劫有效成群且有根，构成日主得势的强证据。</x:v>
      </x:c>
      <x:c r="L579" s="20" t="str">
        <x:v>较高</x:v>
      </x:c>
      <x:c r="M579" s="20" t="str">
        <x:v>采用</x:v>
      </x:c>
      <x:c r="N579" s="20" t="str">
        <x:v>初审</x:v>
      </x:c>
      <x:c r="O579" s="22" t="n">
        <x:v>46255</x:v>
      </x:c>
      <x:c r="P579" s="20" t="str">
        <x:v>https://zh.wikisource.org/wiki/%E6%B7%B5%E6%B5%B7%E5%AD%90%E5%B9%B3%E5%A4%A7%E5%85%A8 ; https://zh.wikisource.org/wiki/%E6%BB%B4%E5%A4%A9%E9%AB%93%E9%97%A1%E5%BE%AE</x:v>
      </x:c>
    </x:row>
    <x:row r="580">
      <x:c r="A580" s="20" t="str">
        <x:v>M09-SHI-0025-V1.0</x:v>
      </x:c>
      <x:c r="B580" s="20" t="str">
        <x:v>规则</x:v>
      </x:c>
      <x:c r="C580" s="20" t="str">
        <x:v>M09</x:v>
      </x:c>
      <x:c r="D580" s="20" t="str">
        <x:v>09_日主旺衰</x:v>
      </x:c>
      <x:c r="E580" s="20" t="str">
        <x:v>SHI</x:v>
      </x:c>
      <x:c r="F580" s="20" t="n">
        <x:v>25</x:v>
      </x:c>
      <x:c r="G580" s="20" t="str">
        <x:v>V1.0</x:v>
      </x:c>
      <x:c r="H580" s="20" t="str">
        <x:v>印星成势属于得生与得势的共享证据需去重</x:v>
      </x:c>
      <x:c r="I580" s="20" t="str">
        <x:v>综合层</x:v>
      </x:c>
      <x:c r="J580" s="20" t="str">
        <x:v>印势去重</x:v>
      </x:c>
      <x:c r="K580" s="20" t="str">
        <x:v>印星成势可同时解释为得生与得势，但同源证据必须去重。</x:v>
      </x:c>
      <x:c r="L580" s="20" t="str">
        <x:v>较高</x:v>
      </x:c>
      <x:c r="M580" s="20" t="str">
        <x:v>采用</x:v>
      </x:c>
      <x:c r="N580" s="20" t="str">
        <x:v>初审</x:v>
      </x:c>
      <x:c r="O580" s="22" t="n">
        <x:v>46255</x:v>
      </x:c>
      <x:c r="P580" s="20" t="str">
        <x:v>https://zh.wikisource.org/wiki/%E6%B7%B5%E6%B5%B7%E5%AD%90%E5%B9%B3%E5%A4%A7%E5%85%A8 ; https://zh.wikisource.org/wiki/%E6%BB%B4%E5%A4%A9%E9%AB%93%E9%97%A1%E5%BE%AE</x:v>
      </x:c>
    </x:row>
    <x:row r="581">
      <x:c r="A581" s="20" t="str">
        <x:v>M09-SHI-0026-V1.0</x:v>
      </x:c>
      <x:c r="B581" s="20" t="str">
        <x:v>规则</x:v>
      </x:c>
      <x:c r="C581" s="20" t="str">
        <x:v>M09</x:v>
      </x:c>
      <x:c r="D581" s="20" t="str">
        <x:v>09_日主旺衰</x:v>
      </x:c>
      <x:c r="E581" s="20" t="str">
        <x:v>SHI</x:v>
      </x:c>
      <x:c r="F581" s="20" t="n">
        <x:v>26</x:v>
      </x:c>
      <x:c r="G581" s="20" t="str">
        <x:v>V1.0</x:v>
      </x:c>
      <x:c r="H581" s="20" t="str">
        <x:v>数量优势必须经过质量筛选后才能形成势</x:v>
      </x:c>
      <x:c r="I581" s="20" t="str">
        <x:v>综合层</x:v>
      </x:c>
      <x:c r="J581" s="20" t="str">
        <x:v>数量质量分离</x:v>
      </x:c>
      <x:c r="K581" s="20" t="str">
        <x:v>扶身元素数量多只是候选；只有有效力量和方向一致时才构成得势。</x:v>
      </x:c>
      <x:c r="L581" s="20" t="str">
        <x:v>较高</x:v>
      </x:c>
      <x:c r="M581" s="20" t="str">
        <x:v>采用</x:v>
      </x:c>
      <x:c r="N581" s="20" t="str">
        <x:v>初审</x:v>
      </x:c>
      <x:c r="O581" s="22" t="n">
        <x:v>46255</x:v>
      </x:c>
      <x:c r="P581" s="20" t="str">
        <x:v>https://zh.wikisource.org/wiki/%E6%B7%B5%E6%B5%B7%E5%AD%90%E5%B9%B3%E5%A4%A7%E5%85%A8 ; https://zh.wikisource.org/wiki/%E6%BB%B4%E5%A4%A9%E9%AB%93%E9%97%A1%E5%BE%AE</x:v>
      </x:c>
    </x:row>
    <x:row r="582">
      <x:c r="A582" s="20" t="str">
        <x:v>M09-SHI-0027-V1.0</x:v>
      </x:c>
      <x:c r="B582" s="20" t="str">
        <x:v>规则</x:v>
      </x:c>
      <x:c r="C582" s="20" t="str">
        <x:v>M09</x:v>
      </x:c>
      <x:c r="D582" s="20" t="str">
        <x:v>09_日主旺衰</x:v>
      </x:c>
      <x:c r="E582" s="20" t="str">
        <x:v>SHI</x:v>
      </x:c>
      <x:c r="F582" s="20" t="n">
        <x:v>27</x:v>
      </x:c>
      <x:c r="G582" s="20" t="str">
        <x:v>V1.0</x:v>
      </x:c>
      <x:c r="H582" s="20" t="str">
        <x:v>扶身节点覆盖天干地支通常比单层聚集更稳定</x:v>
      </x:c>
      <x:c r="I582" s="20" t="str">
        <x:v>综合层</x:v>
      </x:c>
      <x:c r="J582" s="20" t="str">
        <x:v>干支扶身覆盖</x:v>
      </x:c>
      <x:c r="K582" s="20" t="str">
        <x:v>扶身力量同时落在干支，通常比单层孤立聚集更稳定。</x:v>
      </x:c>
      <x:c r="L582" s="20" t="str">
        <x:v>中等</x:v>
      </x:c>
      <x:c r="M582" s="20" t="str">
        <x:v>待验证</x:v>
      </x:c>
      <x:c r="N582" s="20" t="str">
        <x:v>初审</x:v>
      </x:c>
      <x:c r="O582" s="22" t="n">
        <x:v>46255</x:v>
      </x:c>
      <x:c r="P582" s="20" t="str">
        <x:v>https://zh.wikisource.org/wiki/%E6%B7%B5%E6%B5%B7%E5%AD%90%E5%B9%B3%E5%A4%A7%E5%85%A8 ; https://zh.wikisource.org/wiki/%E6%BB%B4%E5%A4%A9%E9%AB%93%E9%97%A1%E5%BE%AE</x:v>
      </x:c>
    </x:row>
    <x:row r="583">
      <x:c r="A583" s="20" t="str">
        <x:v>M09-SHI-0028-V1.0</x:v>
      </x:c>
      <x:c r="B583" s="20" t="str">
        <x:v>规则</x:v>
      </x:c>
      <x:c r="C583" s="20" t="str">
        <x:v>M09</x:v>
      </x:c>
      <x:c r="D583" s="20" t="str">
        <x:v>09_日主旺衰</x:v>
      </x:c>
      <x:c r="E583" s="20" t="str">
        <x:v>SHI</x:v>
      </x:c>
      <x:c r="F583" s="20" t="n">
        <x:v>28</x:v>
      </x:c>
      <x:c r="G583" s="20" t="str">
        <x:v>V1.0</x:v>
      </x:c>
      <x:c r="H583" s="20" t="str">
        <x:v>扶身集团内部生扶链通畅可提高得势有效性</x:v>
      </x:c>
      <x:c r="I583" s="20" t="str">
        <x:v>综合层</x:v>
      </x:c>
      <x:c r="J583" s="20" t="str">
        <x:v>扶身链有效</x:v>
      </x:c>
      <x:c r="K583" s="20" t="str">
        <x:v>扶身集团内部生扶通畅，得势证据上调。</x:v>
      </x:c>
      <x:c r="L583" s="20" t="str">
        <x:v>较高</x:v>
      </x:c>
      <x:c r="M583" s="20" t="str">
        <x:v>采用</x:v>
      </x:c>
      <x:c r="N583" s="20" t="str">
        <x:v>初审</x:v>
      </x:c>
      <x:c r="O583" s="22" t="n">
        <x:v>46255</x:v>
      </x:c>
      <x:c r="P583" s="20" t="str">
        <x:v>https://zh.wikisource.org/wiki/%E6%B7%B5%E6%B5%B7%E5%AD%90%E5%B9%B3%E5%A4%A7%E5%85%A8 ; https://zh.wikisource.org/wiki/%E6%BB%B4%E5%A4%A9%E9%AB%93%E9%97%A1%E5%BE%AE</x:v>
      </x:c>
    </x:row>
    <x:row r="584">
      <x:c r="A584" s="20" t="str">
        <x:v>M09-SHI-0029-V1.0</x:v>
      </x:c>
      <x:c r="B584" s="20" t="str">
        <x:v>规则</x:v>
      </x:c>
      <x:c r="C584" s="20" t="str">
        <x:v>M09</x:v>
      </x:c>
      <x:c r="D584" s="20" t="str">
        <x:v>09_日主旺衰</x:v>
      </x:c>
      <x:c r="E584" s="20" t="str">
        <x:v>SHI</x:v>
      </x:c>
      <x:c r="F584" s="20" t="n">
        <x:v>29</x:v>
      </x:c>
      <x:c r="G584" s="20" t="str">
        <x:v>V1.0</x:v>
      </x:c>
      <x:c r="H584" s="20" t="str">
        <x:v>扶身集团被强力分割时得势等级下调</x:v>
      </x:c>
      <x:c r="I584" s="20" t="str">
        <x:v>综合层</x:v>
      </x:c>
      <x:c r="J584" s="20" t="str">
        <x:v>得势受阻</x:v>
      </x:c>
      <x:c r="K584" s="20" t="str">
        <x:v>原局印比虽多，但有效扶身被分割或冻结，得势证据需下调。</x:v>
      </x:c>
      <x:c r="L584" s="20" t="str">
        <x:v>较高</x:v>
      </x:c>
      <x:c r="M584" s="20" t="str">
        <x:v>采用</x:v>
      </x:c>
      <x:c r="N584" s="20" t="str">
        <x:v>初审</x:v>
      </x:c>
      <x:c r="O584" s="22" t="n">
        <x:v>46255</x:v>
      </x:c>
      <x:c r="P584" s="20" t="str">
        <x:v>https://zh.wikisource.org/wiki/%E6%B7%B5%E6%B5%B7%E5%AD%90%E5%B9%B3%E5%A4%A7%E5%85%A8 ; https://zh.wikisource.org/wiki/%E6%BB%B4%E5%A4%A9%E9%AB%93%E9%97%A1%E5%BE%AE</x:v>
      </x:c>
    </x:row>
    <x:row r="585">
      <x:c r="A585" s="20" t="str">
        <x:v>M09-SHI-0030-V1.0</x:v>
      </x:c>
      <x:c r="B585" s="20" t="str">
        <x:v>规则</x:v>
      </x:c>
      <x:c r="C585" s="20" t="str">
        <x:v>M09</x:v>
      </x:c>
      <x:c r="D585" s="20" t="str">
        <x:v>09_日主旺衰</x:v>
      </x:c>
      <x:c r="E585" s="20" t="str">
        <x:v>SHI</x:v>
      </x:c>
      <x:c r="F585" s="20" t="n">
        <x:v>30</x:v>
      </x:c>
      <x:c r="G585" s="20" t="str">
        <x:v>V1.0</x:v>
      </x:c>
      <x:c r="H585" s="20" t="str">
        <x:v>负荷侧形成更强集团可压过日主已有得势</x:v>
      </x:c>
      <x:c r="I585" s="20" t="str">
        <x:v>综合层</x:v>
      </x:c>
      <x:c r="J585" s="20" t="str">
        <x:v>双集团对比</x:v>
      </x:c>
      <x:c r="K585" s="20" t="str">
        <x:v>日主虽得势，但若制泄耗集团更强，旺衰仍可能回落至中和或偏弱。</x:v>
      </x:c>
      <x:c r="L585" s="20" t="str">
        <x:v>较高</x:v>
      </x:c>
      <x:c r="M585" s="20" t="str">
        <x:v>采用</x:v>
      </x:c>
      <x:c r="N585" s="20" t="str">
        <x:v>初审</x:v>
      </x:c>
      <x:c r="O585" s="22" t="n">
        <x:v>46255</x:v>
      </x:c>
      <x:c r="P585" s="20" t="str">
        <x:v>https://zh.wikisource.org/wiki/%E6%B7%B5%E6%B5%B7%E5%AD%90%E5%B9%B3%E5%A4%A7%E5%85%A8 ; https://zh.wikisource.org/wiki/%E6%BB%B4%E5%A4%A9%E9%AB%93%E9%97%A1%E5%BE%AE</x:v>
      </x:c>
    </x:row>
    <x:row r="586">
      <x:c r="A586" s="20" t="str">
        <x:v>M09-SHI-0031-V1.0</x:v>
      </x:c>
      <x:c r="B586" s="20" t="str">
        <x:v>规则</x:v>
      </x:c>
      <x:c r="C586" s="20" t="str">
        <x:v>M09</x:v>
      </x:c>
      <x:c r="D586" s="20" t="str">
        <x:v>09_日主旺衰</x:v>
      </x:c>
      <x:c r="E586" s="20" t="str">
        <x:v>SHI</x:v>
      </x:c>
      <x:c r="F586" s="20" t="n">
        <x:v>31</x:v>
      </x:c>
      <x:c r="G586" s="20" t="str">
        <x:v>V1.0</x:v>
      </x:c>
      <x:c r="H586" s="20" t="str">
        <x:v>单一极强扶身节点可抵消多个弱反向节点</x:v>
      </x:c>
      <x:c r="I586" s="20" t="str">
        <x:v>综合层</x:v>
      </x:c>
      <x:c r="J586" s="20" t="str">
        <x:v>强证据优先</x:v>
      </x:c>
      <x:c r="K586" s="20" t="str">
        <x:v>一个决定性扶身节点可强于多个微弱反向节点，旺衰比较以有效质量为先。</x:v>
      </x:c>
      <x:c r="L586" s="20" t="str">
        <x:v>较高</x:v>
      </x:c>
      <x:c r="M586" s="20" t="str">
        <x:v>采用</x:v>
      </x:c>
      <x:c r="N586" s="20" t="str">
        <x:v>初审</x:v>
      </x:c>
      <x:c r="O586" s="22" t="n">
        <x:v>46255</x:v>
      </x:c>
      <x:c r="P586" s="20" t="str">
        <x:v>https://zh.wikisource.org/wiki/%E6%B7%B5%E6%B5%B7%E5%AD%90%E5%B9%B3%E5%A4%A7%E5%85%A8 ; https://zh.wikisource.org/wiki/%E6%BB%B4%E5%A4%A9%E9%AB%93%E9%97%A1%E5%BE%AE</x:v>
      </x:c>
    </x:row>
    <x:row r="587">
      <x:c r="A587" s="20" t="str">
        <x:v>M09-SHI-0032-V1.0</x:v>
      </x:c>
      <x:c r="B587" s="20" t="str">
        <x:v>规则</x:v>
      </x:c>
      <x:c r="C587" s="20" t="str">
        <x:v>M09</x:v>
      </x:c>
      <x:c r="D587" s="20" t="str">
        <x:v>09_日主旺衰</x:v>
      </x:c>
      <x:c r="E587" s="20" t="str">
        <x:v>SHI</x:v>
      </x:c>
      <x:c r="F587" s="20" t="n">
        <x:v>32</x:v>
      </x:c>
      <x:c r="G587" s="20" t="str">
        <x:v>V1.0</x:v>
      </x:c>
      <x:c r="H587" s="20" t="str">
        <x:v>得势是全局方向概念而非单一十神数量标签</x:v>
      </x:c>
      <x:c r="I587" s="20" t="str">
        <x:v>综合层</x:v>
      </x:c>
      <x:c r="J587" s="20" t="str">
        <x:v>得势定义</x:v>
      </x:c>
      <x:c r="K587" s="20" t="str">
        <x:v>得势只在全局有效力量明显向日主集中时成立，不以单一十神数量代替。</x:v>
      </x:c>
      <x:c r="L587" s="20" t="str">
        <x:v>较高</x:v>
      </x:c>
      <x:c r="M587" s="20" t="str">
        <x:v>采用</x:v>
      </x:c>
      <x:c r="N587" s="20" t="str">
        <x:v>初审</x:v>
      </x:c>
      <x:c r="O587" s="22" t="n">
        <x:v>46255</x:v>
      </x:c>
      <x:c r="P587" s="20" t="str">
        <x:v>https://zh.wikisource.org/wiki/%E6%B7%B5%E6%B5%B7%E5%AD%90%E5%B9%B3%E5%A4%A7%E5%85%A8 ; https://zh.wikisource.org/wiki/%E6%BB%B4%E5%A4%A9%E9%AB%93%E9%97%A1%E5%BE%AE</x:v>
      </x:c>
    </x:row>
    <x:row r="588">
      <x:c r="A588" s="20" t="str">
        <x:v>M09-SHENG-0033-V1.0</x:v>
      </x:c>
      <x:c r="B588" s="20" t="str">
        <x:v>规则</x:v>
      </x:c>
      <x:c r="C588" s="20" t="str">
        <x:v>M09</x:v>
      </x:c>
      <x:c r="D588" s="20" t="str">
        <x:v>09_日主旺衰</x:v>
      </x:c>
      <x:c r="E588" s="20" t="str">
        <x:v>SHENG</x:v>
      </x:c>
      <x:c r="F588" s="20" t="n">
        <x:v>33</x:v>
      </x:c>
      <x:c r="G588" s="20" t="str">
        <x:v>V1.0</x:v>
      </x:c>
      <x:c r="H588" s="20" t="str">
        <x:v>有效印星是日主得生的直接证据</x:v>
      </x:c>
      <x:c r="I588" s="20" t="str">
        <x:v>综合层</x:v>
      </x:c>
      <x:c r="J588" s="20" t="str">
        <x:v>有效得生</x:v>
      </x:c>
      <x:c r="K588" s="20" t="str">
        <x:v>日主获得有效印星生扶，是偏强的重要证据。</x:v>
      </x:c>
      <x:c r="L588" s="20" t="str">
        <x:v>较高</x:v>
      </x:c>
      <x:c r="M588" s="20" t="str">
        <x:v>采用</x:v>
      </x:c>
      <x:c r="N588" s="20" t="str">
        <x:v>初审</x:v>
      </x:c>
      <x:c r="O588" s="22" t="n">
        <x:v>46255</x:v>
      </x:c>
      <x:c r="P588" s="20" t="str">
        <x:v>https://zh.wikisource.org/wiki/%E6%B7%B5%E6%B5%B7%E5%AD%90%E5%B9%B3%E5%A4%A7%E5%85%A8 ; https://zh.wikisource.org/wiki/%E6%BB%B4%E5%A4%A9%E9%AB%93%E9%97%A1%E5%BE%AE</x:v>
      </x:c>
    </x:row>
    <x:row r="589">
      <x:c r="A589" s="20" t="str">
        <x:v>M09-SHENG-0034-V1.0</x:v>
      </x:c>
      <x:c r="B589" s="20" t="str">
        <x:v>规则</x:v>
      </x:c>
      <x:c r="C589" s="20" t="str">
        <x:v>M09</x:v>
      </x:c>
      <x:c r="D589" s="20" t="str">
        <x:v>09_日主旺衰</x:v>
      </x:c>
      <x:c r="E589" s="20" t="str">
        <x:v>SHENG</x:v>
      </x:c>
      <x:c r="F589" s="20" t="n">
        <x:v>34</x:v>
      </x:c>
      <x:c r="G589" s="20" t="str">
        <x:v>V1.0</x:v>
      </x:c>
      <x:c r="H589" s="20" t="str">
        <x:v>印星旺但被财破或合绊时得生按有效性下调</x:v>
      </x:c>
      <x:c r="I589" s="20" t="str">
        <x:v>综合层</x:v>
      </x:c>
      <x:c r="J589" s="20" t="str">
        <x:v>印源受损</x:v>
      </x:c>
      <x:c r="K589" s="20" t="str">
        <x:v>印星虽旺，但其生身通路受损；得生证据按M08有效水平计入。</x:v>
      </x:c>
      <x:c r="L589" s="20" t="str">
        <x:v>较高</x:v>
      </x:c>
      <x:c r="M589" s="20" t="str">
        <x:v>采用</x:v>
      </x:c>
      <x:c r="N589" s="20" t="str">
        <x:v>初审</x:v>
      </x:c>
      <x:c r="O589" s="22" t="n">
        <x:v>46255</x:v>
      </x:c>
      <x:c r="P589" s="20" t="str">
        <x:v>https://zh.wikisource.org/wiki/%E6%B7%B5%E6%B5%B7%E5%AD%90%E5%B9%B3%E5%A4%A7%E5%85%A8 ; https://zh.wikisource.org/wiki/%E6%BB%B4%E5%A4%A9%E9%AB%93%E9%97%A1%E5%BE%AE</x:v>
      </x:c>
    </x:row>
    <x:row r="590">
      <x:c r="A590" s="20" t="str">
        <x:v>M09-SHENG-0035-V1.0</x:v>
      </x:c>
      <x:c r="B590" s="20" t="str">
        <x:v>规则</x:v>
      </x:c>
      <x:c r="C590" s="20" t="str">
        <x:v>M09</x:v>
      </x:c>
      <x:c r="D590" s="20" t="str">
        <x:v>09_日主旺衰</x:v>
      </x:c>
      <x:c r="E590" s="20" t="str">
        <x:v>SHENG</x:v>
      </x:c>
      <x:c r="F590" s="20" t="n">
        <x:v>35</x:v>
      </x:c>
      <x:c r="G590" s="20" t="str">
        <x:v>V1.0</x:v>
      </x:c>
      <x:c r="H590" s="20" t="str">
        <x:v>无根日主即使得强印也需检查承载落点</x:v>
      </x:c>
      <x:c r="I590" s="20" t="str">
        <x:v>综合层</x:v>
      </x:c>
      <x:c r="J590" s="20" t="str">
        <x:v>强印无根边界</x:v>
      </x:c>
      <x:c r="K590" s="20" t="str">
        <x:v>日主无根但得强印，可获得明显生扶；是否偏旺仍取决于承载与负荷侧。</x:v>
      </x:c>
      <x:c r="L590" s="20" t="str">
        <x:v>较高</x:v>
      </x:c>
      <x:c r="M590" s="20" t="str">
        <x:v>采用</x:v>
      </x:c>
      <x:c r="N590" s="20" t="str">
        <x:v>初审</x:v>
      </x:c>
      <x:c r="O590" s="22" t="n">
        <x:v>46255</x:v>
      </x:c>
      <x:c r="P590" s="20" t="str">
        <x:v>https://zh.wikisource.org/wiki/%E6%B7%B5%E6%B5%B7%E5%AD%90%E5%B9%B3%E5%A4%A7%E5%85%A8 ; https://zh.wikisource.org/wiki/%E6%BB%B4%E5%A4%A9%E9%AB%93%E9%97%A1%E5%BE%AE</x:v>
      </x:c>
    </x:row>
    <x:row r="591">
      <x:c r="A591" s="20" t="str">
        <x:v>M09-SHENG-0036-V1.0</x:v>
      </x:c>
      <x:c r="B591" s="20" t="str">
        <x:v>规则</x:v>
      </x:c>
      <x:c r="C591" s="20" t="str">
        <x:v>M09</x:v>
      </x:c>
      <x:c r="D591" s="20" t="str">
        <x:v>09_日主旺衰</x:v>
      </x:c>
      <x:c r="E591" s="20" t="str">
        <x:v>SHENG</x:v>
      </x:c>
      <x:c r="F591" s="20" t="n">
        <x:v>36</x:v>
      </x:c>
      <x:c r="G591" s="20" t="str">
        <x:v>V1.0</x:v>
      </x:c>
      <x:c r="H591" s="20" t="str">
        <x:v>多重独立印源可提高得生稳定性但边际递减</x:v>
      </x:c>
      <x:c r="I591" s="20" t="str">
        <x:v>综合层</x:v>
      </x:c>
      <x:c r="J591" s="20" t="str">
        <x:v>多印得生</x:v>
      </x:c>
      <x:c r="K591" s="20" t="str">
        <x:v>多重独立有效印源提高日主得生稳定性，但不线性累加。</x:v>
      </x:c>
      <x:c r="L591" s="20" t="str">
        <x:v>较高</x:v>
      </x:c>
      <x:c r="M591" s="20" t="str">
        <x:v>采用</x:v>
      </x:c>
      <x:c r="N591" s="20" t="str">
        <x:v>初审</x:v>
      </x:c>
      <x:c r="O591" s="22" t="n">
        <x:v>46255</x:v>
      </x:c>
      <x:c r="P591" s="20" t="str">
        <x:v>https://zh.wikisource.org/wiki/%E6%B7%B5%E6%B5%B7%E5%AD%90%E5%B9%B3%E5%A4%A7%E5%85%A8 ; https://zh.wikisource.org/wiki/%E6%BB%B4%E5%A4%A9%E9%AB%93%E9%97%A1%E5%BE%AE</x:v>
      </x:c>
    </x:row>
    <x:row r="592">
      <x:c r="A592" s="20" t="str">
        <x:v>M09-SHENG-0037-V1.0</x:v>
      </x:c>
      <x:c r="B592" s="20" t="str">
        <x:v>规则</x:v>
      </x:c>
      <x:c r="C592" s="20" t="str">
        <x:v>M09</x:v>
      </x:c>
      <x:c r="D592" s="20" t="str">
        <x:v>09_日主旺衰</x:v>
      </x:c>
      <x:c r="E592" s="20" t="str">
        <x:v>SHENG</x:v>
      </x:c>
      <x:c r="F592" s="20" t="n">
        <x:v>37</x:v>
      </x:c>
      <x:c r="G592" s="20" t="str">
        <x:v>V1.0</x:v>
      </x:c>
      <x:c r="H592" s="20" t="str">
        <x:v>生源力量上限限制日主得生等级</x:v>
      </x:c>
      <x:c r="I592" s="20" t="str">
        <x:v>综合层</x:v>
      </x:c>
      <x:c r="J592" s="20" t="str">
        <x:v>生源容量</x:v>
      </x:c>
      <x:c r="K592" s="20" t="str">
        <x:v>日主得生强度不能高于生源自身可提供的有效能力。</x:v>
      </x:c>
      <x:c r="L592" s="20" t="str">
        <x:v>较高</x:v>
      </x:c>
      <x:c r="M592" s="20" t="str">
        <x:v>采用</x:v>
      </x:c>
      <x:c r="N592" s="20" t="str">
        <x:v>初审</x:v>
      </x:c>
      <x:c r="O592" s="22" t="n">
        <x:v>46255</x:v>
      </x:c>
      <x:c r="P592" s="20" t="str">
        <x:v>https://zh.wikisource.org/wiki/%E6%B7%B5%E6%B5%B7%E5%AD%90%E5%B9%B3%E5%A4%A7%E5%85%A8 ; https://zh.wikisource.org/wiki/%E6%BB%B4%E5%A4%A9%E9%AB%93%E9%97%A1%E5%BE%AE</x:v>
      </x:c>
    </x:row>
    <x:row r="593">
      <x:c r="A593" s="20" t="str">
        <x:v>M09-SHENG-0038-V1.0</x:v>
      </x:c>
      <x:c r="B593" s="20" t="str">
        <x:v>规则</x:v>
      </x:c>
      <x:c r="C593" s="20" t="str">
        <x:v>M09</x:v>
      </x:c>
      <x:c r="D593" s="20" t="str">
        <x:v>09_日主旺衰</x:v>
      </x:c>
      <x:c r="E593" s="20" t="str">
        <x:v>SHENG</x:v>
      </x:c>
      <x:c r="F593" s="20" t="n">
        <x:v>38</x:v>
      </x:c>
      <x:c r="G593" s="20" t="str">
        <x:v>V1.0</x:v>
      </x:c>
      <x:c r="H593" s="20" t="str">
        <x:v>长生扶链的末端支持应低于直接生扶</x:v>
      </x:c>
      <x:c r="I593" s="20" t="str">
        <x:v>综合层</x:v>
      </x:c>
      <x:c r="J593" s="20" t="str">
        <x:v>链式得生</x:v>
      </x:c>
      <x:c r="K593" s="20" t="str">
        <x:v>日主通过连续生扶链获益，但末端支持低于同等条件下的直接生扶。</x:v>
      </x:c>
      <x:c r="L593" s="20" t="str">
        <x:v>中等</x:v>
      </x:c>
      <x:c r="M593" s="20" t="str">
        <x:v>采用</x:v>
      </x:c>
      <x:c r="N593" s="20" t="str">
        <x:v>初审</x:v>
      </x:c>
      <x:c r="O593" s="22" t="n">
        <x:v>46255</x:v>
      </x:c>
      <x:c r="P593" s="20" t="str">
        <x:v>https://zh.wikisource.org/wiki/%E6%B7%B5%E6%B5%B7%E5%AD%90%E5%B9%B3%E5%A4%A7%E5%85%A8 ; https://zh.wikisource.org/wiki/%E6%BB%B4%E5%A4%A9%E9%AB%93%E9%97%A1%E5%BE%AE</x:v>
      </x:c>
    </x:row>
    <x:row r="594">
      <x:c r="A594" s="20" t="str">
        <x:v>M09-SHENG-0039-V1.0</x:v>
      </x:c>
      <x:c r="B594" s="20" t="str">
        <x:v>规则</x:v>
      </x:c>
      <x:c r="C594" s="20" t="str">
        <x:v>M09</x:v>
      </x:c>
      <x:c r="D594" s="20" t="str">
        <x:v>09_日主旺衰</x:v>
      </x:c>
      <x:c r="E594" s="20" t="str">
        <x:v>SHENG</x:v>
      </x:c>
      <x:c r="F594" s="20" t="n">
        <x:v>39</x:v>
      </x:c>
      <x:c r="G594" s="20" t="str">
        <x:v>V1.0</x:v>
      </x:c>
      <x:c r="H594" s="20" t="str">
        <x:v>印比同向时得生与得势可互相增强但同源去重</x:v>
      </x:c>
      <x:c r="I594" s="20" t="str">
        <x:v>综合层</x:v>
      </x:c>
      <x:c r="J594" s="20" t="str">
        <x:v>印比协同</x:v>
      </x:c>
      <x:c r="K594" s="20" t="str">
        <x:v>印与比劫均有效且来源独立时，日主扶身结构更稳定。</x:v>
      </x:c>
      <x:c r="L594" s="20" t="str">
        <x:v>较高</x:v>
      </x:c>
      <x:c r="M594" s="20" t="str">
        <x:v>采用</x:v>
      </x:c>
      <x:c r="N594" s="20" t="str">
        <x:v>初审</x:v>
      </x:c>
      <x:c r="O594" s="22" t="n">
        <x:v>46255</x:v>
      </x:c>
      <x:c r="P594" s="20" t="str">
        <x:v>https://zh.wikisource.org/wiki/%E6%B7%B5%E6%B5%B7%E5%AD%90%E5%B9%B3%E5%A4%A7%E5%85%A8 ; https://zh.wikisource.org/wiki/%E6%BB%B4%E5%A4%A9%E9%AB%93%E9%97%A1%E5%BE%AE</x:v>
      </x:c>
    </x:row>
    <x:row r="595">
      <x:c r="A595" s="20" t="str">
        <x:v>M09-SHENG-0040-V1.0</x:v>
      </x:c>
      <x:c r="B595" s="20" t="str">
        <x:v>规则</x:v>
      </x:c>
      <x:c r="C595" s="20" t="str">
        <x:v>M09</x:v>
      </x:c>
      <x:c r="D595" s="20" t="str">
        <x:v>09_日主旺衰</x:v>
      </x:c>
      <x:c r="E595" s="20" t="str">
        <x:v>SHENG</x:v>
      </x:c>
      <x:c r="F595" s="20" t="n">
        <x:v>40</x:v>
      </x:c>
      <x:c r="G595" s="20" t="str">
        <x:v>V1.0</x:v>
      </x:c>
      <x:c r="H595" s="20" t="str">
        <x:v>印多不自动等于身旺</x:v>
      </x:c>
      <x:c r="I595" s="20" t="str">
        <x:v>综合层</x:v>
      </x:c>
      <x:c r="J595" s="20" t="str">
        <x:v>印多非旺充分条件</x:v>
      </x:c>
      <x:c r="K595" s="20" t="str">
        <x:v>印星多或旺不等于日主必旺；应以有效生身和日主承载为准。</x:v>
      </x:c>
      <x:c r="L595" s="20" t="str">
        <x:v>较高</x:v>
      </x:c>
      <x:c r="M595" s="20" t="str">
        <x:v>采用</x:v>
      </x:c>
      <x:c r="N595" s="20" t="str">
        <x:v>初审</x:v>
      </x:c>
      <x:c r="O595" s="22" t="n">
        <x:v>46255</x:v>
      </x:c>
      <x:c r="P595" s="20" t="str">
        <x:v>https://zh.wikisource.org/wiki/%E6%B7%B5%E6%B5%B7%E5%AD%90%E5%B9%B3%E5%A4%A7%E5%85%A8 ; https://zh.wikisource.org/wiki/%E6%BB%B4%E5%A4%A9%E9%AB%93%E9%97%A1%E5%BE%AE</x:v>
      </x:c>
    </x:row>
    <x:row r="596">
      <x:c r="A596" s="20" t="str">
        <x:v>M09-KE-0041-V1.0</x:v>
      </x:c>
      <x:c r="B596" s="20" t="str">
        <x:v>规则</x:v>
      </x:c>
      <x:c r="C596" s="20" t="str">
        <x:v>M09</x:v>
      </x:c>
      <x:c r="D596" s="20" t="str">
        <x:v>09_日主旺衰</x:v>
      </x:c>
      <x:c r="E596" s="20" t="str">
        <x:v>KE</x:v>
      </x:c>
      <x:c r="F596" s="20" t="n">
        <x:v>41</x:v>
      </x:c>
      <x:c r="G596" s="20" t="str">
        <x:v>V1.0</x:v>
      </x:c>
      <x:c r="H596" s="20" t="str">
        <x:v>有效官杀直接制身构成强偏弱证据</x:v>
      </x:c>
      <x:c r="I596" s="20" t="str">
        <x:v>综合层</x:v>
      </x:c>
      <x:c r="J596" s="20" t="str">
        <x:v>官杀制身</x:v>
      </x:c>
      <x:c r="K596" s="20" t="str">
        <x:v>日主受到有效官杀直接制约，是偏弱的重要证据。</x:v>
      </x:c>
      <x:c r="L596" s="20" t="str">
        <x:v>较高</x:v>
      </x:c>
      <x:c r="M596" s="20" t="str">
        <x:v>采用</x:v>
      </x:c>
      <x:c r="N596" s="20" t="str">
        <x:v>初审</x:v>
      </x:c>
      <x:c r="O596" s="22" t="n">
        <x:v>46255</x:v>
      </x:c>
      <x:c r="P596" s="20" t="str">
        <x:v>https://zh.wikisource.org/wiki/%E6%B7%B5%E6%B5%B7%E5%AD%90%E5%B9%B3%E5%A4%A7%E5%85%A8 ; https://zh.wikisource.org/wiki/%E6%BB%B4%E5%A4%A9%E9%AB%93%E9%97%A1%E5%BE%AE</x:v>
      </x:c>
    </x:row>
    <x:row r="597">
      <x:c r="A597" s="20" t="str">
        <x:v>M09-KE-0042-V1.0</x:v>
      </x:c>
      <x:c r="B597" s="20" t="str">
        <x:v>规则</x:v>
      </x:c>
      <x:c r="C597" s="20" t="str">
        <x:v>M09</x:v>
      </x:c>
      <x:c r="D597" s="20" t="str">
        <x:v>09_日主旺衰</x:v>
      </x:c>
      <x:c r="E597" s="20" t="str">
        <x:v>KE</x:v>
      </x:c>
      <x:c r="F597" s="20" t="n">
        <x:v>42</x:v>
      </x:c>
      <x:c r="G597" s="20" t="str">
        <x:v>V1.0</x:v>
      </x:c>
      <x:c r="H597" s="20" t="str">
        <x:v>官杀数量多但大多无根无气时不形成强制身</x:v>
      </x:c>
      <x:c r="I597" s="20" t="str">
        <x:v>综合层</x:v>
      </x:c>
      <x:c r="J597" s="20" t="str">
        <x:v>官杀质量优先</x:v>
      </x:c>
      <x:c r="K597" s="20" t="str">
        <x:v>官杀数量多但有效力量弱，制身证据按实际质量计入，不按数量定弱。</x:v>
      </x:c>
      <x:c r="L597" s="20" t="str">
        <x:v>较高</x:v>
      </x:c>
      <x:c r="M597" s="20" t="str">
        <x:v>采用</x:v>
      </x:c>
      <x:c r="N597" s="20" t="str">
        <x:v>初审</x:v>
      </x:c>
      <x:c r="O597" s="22" t="n">
        <x:v>46255</x:v>
      </x:c>
      <x:c r="P597" s="20" t="str">
        <x:v>https://zh.wikisource.org/wiki/%E6%B7%B5%E6%B5%B7%E5%AD%90%E5%B9%B3%E5%A4%A7%E5%85%A8 ; https://zh.wikisource.org/wiki/%E6%BB%B4%E5%A4%A9%E9%AB%93%E9%97%A1%E5%BE%AE</x:v>
      </x:c>
    </x:row>
    <x:row r="598">
      <x:c r="A598" s="20" t="str">
        <x:v>M09-KE-0043-V1.0</x:v>
      </x:c>
      <x:c r="B598" s="20" t="str">
        <x:v>规则</x:v>
      </x:c>
      <x:c r="C598" s="20" t="str">
        <x:v>M09</x:v>
      </x:c>
      <x:c r="D598" s="20" t="str">
        <x:v>09_日主旺衰</x:v>
      </x:c>
      <x:c r="E598" s="20" t="str">
        <x:v>KE</x:v>
      </x:c>
      <x:c r="F598" s="20" t="n">
        <x:v>43</x:v>
      </x:c>
      <x:c r="G598" s="20" t="str">
        <x:v>V1.0</x:v>
      </x:c>
      <x:c r="H598" s="20" t="str">
        <x:v>官杀得令通根成势时可形成决定性制身压力</x:v>
      </x:c>
      <x:c r="I598" s="20" t="str">
        <x:v>综合层</x:v>
      </x:c>
      <x:c r="J598" s="20" t="str">
        <x:v>官杀成势</x:v>
      </x:c>
      <x:c r="K598" s="20" t="str">
        <x:v>官杀有效成势并直接制身时，是日主偏弱或弱的强证据。</x:v>
      </x:c>
      <x:c r="L598" s="20" t="str">
        <x:v>较高</x:v>
      </x:c>
      <x:c r="M598" s="20" t="str">
        <x:v>采用</x:v>
      </x:c>
      <x:c r="N598" s="20" t="str">
        <x:v>初审</x:v>
      </x:c>
      <x:c r="O598" s="22" t="n">
        <x:v>46255</x:v>
      </x:c>
      <x:c r="P598" s="20" t="str">
        <x:v>https://zh.wikisource.org/wiki/%E6%B7%B5%E6%B5%B7%E5%AD%90%E5%B9%B3%E5%A4%A7%E5%85%A8 ; https://zh.wikisource.org/wiki/%E6%BB%B4%E5%A4%A9%E9%AB%93%E9%97%A1%E5%BE%AE</x:v>
      </x:c>
    </x:row>
    <x:row r="599">
      <x:c r="A599" s="20" t="str">
        <x:v>M09-KE-0044-V1.0</x:v>
      </x:c>
      <x:c r="B599" s="20" t="str">
        <x:v>规则</x:v>
      </x:c>
      <x:c r="C599" s="20" t="str">
        <x:v>M09</x:v>
      </x:c>
      <x:c r="D599" s="20" t="str">
        <x:v>09_日主旺衰</x:v>
      </x:c>
      <x:c r="E599" s="20" t="str">
        <x:v>KE</x:v>
      </x:c>
      <x:c r="F599" s="20" t="n">
        <x:v>44</x:v>
      </x:c>
      <x:c r="G599" s="20" t="str">
        <x:v>V1.0</x:v>
      </x:c>
      <x:c r="H599" s="20" t="str">
        <x:v>官杀被食伤制或被合住时按剩余有效压力计入</x:v>
      </x:c>
      <x:c r="I599" s="20" t="str">
        <x:v>综合层</x:v>
      </x:c>
      <x:c r="J599" s="20" t="str">
        <x:v>官杀压力修正</x:v>
      </x:c>
      <x:c r="K599" s="20" t="str">
        <x:v>官杀已被有效制约，日主只承受其剩余压力，不按原始旺度满额计入。</x:v>
      </x:c>
      <x:c r="L599" s="20" t="str">
        <x:v>较高</x:v>
      </x:c>
      <x:c r="M599" s="20" t="str">
        <x:v>采用</x:v>
      </x:c>
      <x:c r="N599" s="20" t="str">
        <x:v>初审</x:v>
      </x:c>
      <x:c r="O599" s="22" t="n">
        <x:v>46255</x:v>
      </x:c>
      <x:c r="P599" s="20" t="str">
        <x:v>https://zh.wikisource.org/wiki/%E6%B7%B5%E6%B5%B7%E5%AD%90%E5%B9%B3%E5%A4%A7%E5%85%A8 ; https://zh.wikisource.org/wiki/%E6%BB%B4%E5%A4%A9%E9%AB%93%E9%97%A1%E5%BE%AE</x:v>
      </x:c>
    </x:row>
    <x:row r="600">
      <x:c r="A600" s="20" t="str">
        <x:v>M09-KE-0045-V1.0</x:v>
      </x:c>
      <x:c r="B600" s="20" t="str">
        <x:v>规则</x:v>
      </x:c>
      <x:c r="C600" s="20" t="str">
        <x:v>M09</x:v>
      </x:c>
      <x:c r="D600" s="20" t="str">
        <x:v>09_日主旺衰</x:v>
      </x:c>
      <x:c r="E600" s="20" t="str">
        <x:v>KE</x:v>
      </x:c>
      <x:c r="F600" s="20" t="n">
        <x:v>45</x:v>
      </x:c>
      <x:c r="G600" s="20" t="str">
        <x:v>V1.0</x:v>
      </x:c>
      <x:c r="H600" s="20" t="str">
        <x:v>官杀生印再生日主时制身与得生需按流向拆分</x:v>
      </x:c>
      <x:c r="I600" s="20" t="str">
        <x:v>综合层</x:v>
      </x:c>
      <x:c r="J600" s="20" t="str">
        <x:v>官印流向拆分</x:v>
      </x:c>
      <x:c r="K600" s="20" t="str">
        <x:v>官杀之气若有效转入印再生身，应降低直接制身权重，并另计得生。</x:v>
      </x:c>
      <x:c r="L600" s="20" t="str">
        <x:v>较高</x:v>
      </x:c>
      <x:c r="M600" s="20" t="str">
        <x:v>采用</x:v>
      </x:c>
      <x:c r="N600" s="20" t="str">
        <x:v>初审</x:v>
      </x:c>
      <x:c r="O600" s="22" t="n">
        <x:v>46255</x:v>
      </x:c>
      <x:c r="P600" s="20" t="str">
        <x:v>https://zh.wikisource.org/wiki/%E6%B7%B5%E6%B5%B7%E5%AD%90%E5%B9%B3%E5%A4%A7%E5%85%A8 ; https://zh.wikisource.org/wiki/%E6%BB%B4%E5%A4%A9%E9%AB%93%E9%97%A1%E5%BE%AE</x:v>
      </x:c>
    </x:row>
    <x:row r="601">
      <x:c r="A601" s="20" t="str">
        <x:v>M09-KE-0046-V1.0</x:v>
      </x:c>
      <x:c r="B601" s="20" t="str">
        <x:v>规则</x:v>
      </x:c>
      <x:c r="C601" s="20" t="str">
        <x:v>M09</x:v>
      </x:c>
      <x:c r="D601" s="20" t="str">
        <x:v>09_日主旺衰</x:v>
      </x:c>
      <x:c r="E601" s="20" t="str">
        <x:v>KE</x:v>
      </x:c>
      <x:c r="F601" s="20" t="n">
        <x:v>46</x:v>
      </x:c>
      <x:c r="G601" s="20" t="str">
        <x:v>V1.0</x:v>
      </x:c>
      <x:c r="H601" s="20" t="str">
        <x:v>日主根弱时同等官杀压力的伤害更显著</x:v>
      </x:c>
      <x:c r="I601" s="20" t="str">
        <x:v>综合层</x:v>
      </x:c>
      <x:c r="J601" s="20" t="str">
        <x:v>弱根受制</x:v>
      </x:c>
      <x:c r="K601" s="20" t="str">
        <x:v>日主承载偏弱时，同等官杀压力更容易形成身弱结论。</x:v>
      </x:c>
      <x:c r="L601" s="20" t="str">
        <x:v>较高</x:v>
      </x:c>
      <x:c r="M601" s="20" t="str">
        <x:v>采用</x:v>
      </x:c>
      <x:c r="N601" s="20" t="str">
        <x:v>初审</x:v>
      </x:c>
      <x:c r="O601" s="22" t="n">
        <x:v>46255</x:v>
      </x:c>
      <x:c r="P601" s="20" t="str">
        <x:v>https://zh.wikisource.org/wiki/%E6%B7%B5%E6%B5%B7%E5%AD%90%E5%B9%B3%E5%A4%A7%E5%85%A8 ; https://zh.wikisource.org/wiki/%E6%BB%B4%E5%A4%A9%E9%AB%93%E9%97%A1%E5%BE%AE</x:v>
      </x:c>
    </x:row>
    <x:row r="602">
      <x:c r="A602" s="20" t="str">
        <x:v>M09-KE-0047-V1.0</x:v>
      </x:c>
      <x:c r="B602" s="20" t="str">
        <x:v>规则</x:v>
      </x:c>
      <x:c r="C602" s="20" t="str">
        <x:v>M09</x:v>
      </x:c>
      <x:c r="D602" s="20" t="str">
        <x:v>09_日主旺衰</x:v>
      </x:c>
      <x:c r="E602" s="20" t="str">
        <x:v>KE</x:v>
      </x:c>
      <x:c r="F602" s="20" t="n">
        <x:v>47</x:v>
      </x:c>
      <x:c r="G602" s="20" t="str">
        <x:v>V1.0</x:v>
      </x:c>
      <x:c r="H602" s="20" t="str">
        <x:v>日主强根得势时可承受一定官杀而不必判弱</x:v>
      </x:c>
      <x:c r="I602" s="20" t="str">
        <x:v>综合层</x:v>
      </x:c>
      <x:c r="J602" s="20" t="str">
        <x:v>强身承压</x:v>
      </x:c>
      <x:c r="K602" s="20" t="str">
        <x:v>日主根深得势时可承受一定官杀，不能因存在官杀就直接判弱。</x:v>
      </x:c>
      <x:c r="L602" s="20" t="str">
        <x:v>较高</x:v>
      </x:c>
      <x:c r="M602" s="20" t="str">
        <x:v>采用</x:v>
      </x:c>
      <x:c r="N602" s="20" t="str">
        <x:v>初审</x:v>
      </x:c>
      <x:c r="O602" s="22" t="n">
        <x:v>46255</x:v>
      </x:c>
      <x:c r="P602" s="20" t="str">
        <x:v>https://zh.wikisource.org/wiki/%E6%B7%B5%E6%B5%B7%E5%AD%90%E5%B9%B3%E5%A4%A7%E5%85%A8 ; https://zh.wikisource.org/wiki/%E6%BB%B4%E5%A4%A9%E9%AB%93%E9%97%A1%E5%BE%AE</x:v>
      </x:c>
    </x:row>
    <x:row r="603">
      <x:c r="A603" s="20" t="str">
        <x:v>M09-KE-0048-V1.0</x:v>
      </x:c>
      <x:c r="B603" s="20" t="str">
        <x:v>规则</x:v>
      </x:c>
      <x:c r="C603" s="20" t="str">
        <x:v>M09</x:v>
      </x:c>
      <x:c r="D603" s="20" t="str">
        <x:v>09_日主旺衰</x:v>
      </x:c>
      <x:c r="E603" s="20" t="str">
        <x:v>KE</x:v>
      </x:c>
      <x:c r="F603" s="20" t="n">
        <x:v>48</x:v>
      </x:c>
      <x:c r="G603" s="20" t="str">
        <x:v>V1.0</x:v>
      </x:c>
      <x:c r="H603" s="20" t="str">
        <x:v>多个官杀压力共享同一来源时按容量去重</x:v>
      </x:c>
      <x:c r="I603" s="20" t="str">
        <x:v>综合层</x:v>
      </x:c>
      <x:c r="J603" s="20" t="str">
        <x:v>官杀容量去重</x:v>
      </x:c>
      <x:c r="K603" s="20" t="str">
        <x:v>官杀多处出现但共享同一有限来源时，制身压力需去重计入。</x:v>
      </x:c>
      <x:c r="L603" s="20" t="str">
        <x:v>较高</x:v>
      </x:c>
      <x:c r="M603" s="20" t="str">
        <x:v>采用</x:v>
      </x:c>
      <x:c r="N603" s="20" t="str">
        <x:v>初审</x:v>
      </x:c>
      <x:c r="O603" s="22" t="n">
        <x:v>46255</x:v>
      </x:c>
      <x:c r="P603" s="20" t="str">
        <x:v>https://zh.wikisource.org/wiki/%E6%B7%B5%E6%B5%B7%E5%AD%90%E5%B9%B3%E5%A4%A7%E5%85%A8 ; https://zh.wikisource.org/wiki/%E6%BB%B4%E5%A4%A9%E9%AB%93%E9%97%A1%E5%BE%AE</x:v>
      </x:c>
    </x:row>
    <x:row r="604">
      <x:c r="A604" s="20" t="str">
        <x:v>M09-XIE-0049-V1.0</x:v>
      </x:c>
      <x:c r="B604" s="20" t="str">
        <x:v>规则</x:v>
      </x:c>
      <x:c r="C604" s="20" t="str">
        <x:v>M09</x:v>
      </x:c>
      <x:c r="D604" s="20" t="str">
        <x:v>09_日主旺衰</x:v>
      </x:c>
      <x:c r="E604" s="20" t="str">
        <x:v>XIE</x:v>
      </x:c>
      <x:c r="F604" s="20" t="n">
        <x:v>49</x:v>
      </x:c>
      <x:c r="G604" s="20" t="str">
        <x:v>V1.0</x:v>
      </x:c>
      <x:c r="H604" s="20" t="str">
        <x:v>有效食伤泄身构成日主偏弱证据</x:v>
      </x:c>
      <x:c r="I604" s="20" t="str">
        <x:v>综合层</x:v>
      </x:c>
      <x:c r="J604" s="20" t="str">
        <x:v>食伤泄身</x:v>
      </x:c>
      <x:c r="K604" s="20" t="str">
        <x:v>日主有有效食伤泄出，是偏弱证据；强度取决于食伤有效力量与日主承载。</x:v>
      </x:c>
      <x:c r="L604" s="20" t="str">
        <x:v>较高</x:v>
      </x:c>
      <x:c r="M604" s="20" t="str">
        <x:v>采用</x:v>
      </x:c>
      <x:c r="N604" s="20" t="str">
        <x:v>初审</x:v>
      </x:c>
      <x:c r="O604" s="22" t="n">
        <x:v>46255</x:v>
      </x:c>
      <x:c r="P604" s="20" t="str">
        <x:v>https://zh.wikisource.org/wiki/%E6%B7%B5%E6%B5%B7%E5%AD%90%E5%B9%B3%E5%A4%A7%E5%85%A8 ; https://zh.wikisource.org/wiki/%E6%BB%B4%E5%A4%A9%E9%AB%93%E9%97%A1%E5%BE%AE</x:v>
      </x:c>
    </x:row>
    <x:row r="605">
      <x:c r="A605" s="20" t="str">
        <x:v>M09-XIE-0050-V1.0</x:v>
      </x:c>
      <x:c r="B605" s="20" t="str">
        <x:v>规则</x:v>
      </x:c>
      <x:c r="C605" s="20" t="str">
        <x:v>M09</x:v>
      </x:c>
      <x:c r="D605" s="20" t="str">
        <x:v>09_日主旺衰</x:v>
      </x:c>
      <x:c r="E605" s="20" t="str">
        <x:v>XIE</x:v>
      </x:c>
      <x:c r="F605" s="20" t="n">
        <x:v>50</x:v>
      </x:c>
      <x:c r="G605" s="20" t="str">
        <x:v>V1.0</x:v>
      </x:c>
      <x:c r="H605" s="20" t="str">
        <x:v>食伤数量多但有效性低时不得按强泄处理</x:v>
      </x:c>
      <x:c r="I605" s="20" t="str">
        <x:v>综合层</x:v>
      </x:c>
      <x:c r="J605" s="20" t="str">
        <x:v>食伤质量优先</x:v>
      </x:c>
      <x:c r="K605" s="20" t="str">
        <x:v>食伤数量多但有效力量低，泄身证据应按实际质量而非数量计入。</x:v>
      </x:c>
      <x:c r="L605" s="20" t="str">
        <x:v>较高</x:v>
      </x:c>
      <x:c r="M605" s="20" t="str">
        <x:v>采用</x:v>
      </x:c>
      <x:c r="N605" s="20" t="str">
        <x:v>初审</x:v>
      </x:c>
      <x:c r="O605" s="22" t="n">
        <x:v>46255</x:v>
      </x:c>
      <x:c r="P605" s="20" t="str">
        <x:v>https://zh.wikisource.org/wiki/%E6%B7%B5%E6%B5%B7%E5%AD%90%E5%B9%B3%E5%A4%A7%E5%85%A8 ; https://zh.wikisource.org/wiki/%E6%BB%B4%E5%A4%A9%E9%AB%93%E9%97%A1%E5%BE%AE</x:v>
      </x:c>
    </x:row>
    <x:row r="606">
      <x:c r="A606" s="20" t="str">
        <x:v>M09-XIE-0051-V1.0</x:v>
      </x:c>
      <x:c r="B606" s="20" t="str">
        <x:v>规则</x:v>
      </x:c>
      <x:c r="C606" s="20" t="str">
        <x:v>M09</x:v>
      </x:c>
      <x:c r="D606" s="20" t="str">
        <x:v>09_日主旺衰</x:v>
      </x:c>
      <x:c r="E606" s="20" t="str">
        <x:v>XIE</x:v>
      </x:c>
      <x:c r="F606" s="20" t="n">
        <x:v>51</x:v>
      </x:c>
      <x:c r="G606" s="20" t="str">
        <x:v>V1.0</x:v>
      </x:c>
      <x:c r="H606" s="20" t="str">
        <x:v>强根日主可承受中等泄身而保持中和以上</x:v>
      </x:c>
      <x:c r="I606" s="20" t="str">
        <x:v>综合层</x:v>
      </x:c>
      <x:c r="J606" s="20" t="str">
        <x:v>强身可泄</x:v>
      </x:c>
      <x:c r="K606" s="20" t="str">
        <x:v>日主根深得势时，中等食伤泄出未必使其转弱，可能仅由旺降至偏旺或中和。</x:v>
      </x:c>
      <x:c r="L606" s="20" t="str">
        <x:v>较高</x:v>
      </x:c>
      <x:c r="M606" s="20" t="str">
        <x:v>采用</x:v>
      </x:c>
      <x:c r="N606" s="20" t="str">
        <x:v>初审</x:v>
      </x:c>
      <x:c r="O606" s="22" t="n">
        <x:v>46255</x:v>
      </x:c>
      <x:c r="P606" s="20" t="str">
        <x:v>https://zh.wikisource.org/wiki/%E6%B7%B5%E6%B5%B7%E5%AD%90%E5%B9%B3%E5%A4%A7%E5%85%A8 ; https://zh.wikisource.org/wiki/%E6%BB%B4%E5%A4%A9%E9%AB%93%E9%97%A1%E5%BE%AE</x:v>
      </x:c>
    </x:row>
    <x:row r="607">
      <x:c r="A607" s="20" t="str">
        <x:v>M09-XIE-0052-V1.0</x:v>
      </x:c>
      <x:c r="B607" s="20" t="str">
        <x:v>规则</x:v>
      </x:c>
      <x:c r="C607" s="20" t="str">
        <x:v>M09</x:v>
      </x:c>
      <x:c r="D607" s="20" t="str">
        <x:v>09_日主旺衰</x:v>
      </x:c>
      <x:c r="E607" s="20" t="str">
        <x:v>XIE</x:v>
      </x:c>
      <x:c r="F607" s="20" t="n">
        <x:v>52</x:v>
      </x:c>
      <x:c r="G607" s="20" t="str">
        <x:v>V1.0</x:v>
      </x:c>
      <x:c r="H607" s="20" t="str">
        <x:v>食伤成势且日主根弱时可形成决定性泄身</x:v>
      </x:c>
      <x:c r="I607" s="20" t="str">
        <x:v>综合层</x:v>
      </x:c>
      <x:c r="J607" s="20" t="str">
        <x:v>食伤成势</x:v>
      </x:c>
      <x:c r="K607" s="20" t="str">
        <x:v>食伤有效成势而日主承载弱时，泄身压力可成为主导。</x:v>
      </x:c>
      <x:c r="L607" s="20" t="str">
        <x:v>较高</x:v>
      </x:c>
      <x:c r="M607" s="20" t="str">
        <x:v>采用</x:v>
      </x:c>
      <x:c r="N607" s="20" t="str">
        <x:v>初审</x:v>
      </x:c>
      <x:c r="O607" s="22" t="n">
        <x:v>46255</x:v>
      </x:c>
      <x:c r="P607" s="20" t="str">
        <x:v>https://zh.wikisource.org/wiki/%E6%B7%B5%E6%B5%B7%E5%AD%90%E5%B9%B3%E5%A4%A7%E5%85%A8 ; https://zh.wikisource.org/wiki/%E6%BB%B4%E5%A4%A9%E9%AB%93%E9%97%A1%E5%BE%AE</x:v>
      </x:c>
    </x:row>
    <x:row r="608">
      <x:c r="A608" s="20" t="str">
        <x:v>M09-XIE-0053-V1.0</x:v>
      </x:c>
      <x:c r="B608" s="20" t="str">
        <x:v>规则</x:v>
      </x:c>
      <x:c r="C608" s="20" t="str">
        <x:v>M09</x:v>
      </x:c>
      <x:c r="D608" s="20" t="str">
        <x:v>09_日主旺衰</x:v>
      </x:c>
      <x:c r="E608" s="20" t="str">
        <x:v>XIE</x:v>
      </x:c>
      <x:c r="F608" s="20" t="n">
        <x:v>53</x:v>
      </x:c>
      <x:c r="G608" s="20" t="str">
        <x:v>V1.0</x:v>
      </x:c>
      <x:c r="H608" s="20" t="str">
        <x:v>食伤被强印制约时按剩余泄力计入</x:v>
      </x:c>
      <x:c r="I608" s="20" t="str">
        <x:v>综合层</x:v>
      </x:c>
      <x:c r="J608" s="20" t="str">
        <x:v>食伤泄力修正</x:v>
      </x:c>
      <x:c r="K608" s="20" t="str">
        <x:v>食伤已受有效制约，日主只按其剩余泄力承受影响。</x:v>
      </x:c>
      <x:c r="L608" s="20" t="str">
        <x:v>较高</x:v>
      </x:c>
      <x:c r="M608" s="20" t="str">
        <x:v>采用</x:v>
      </x:c>
      <x:c r="N608" s="20" t="str">
        <x:v>初审</x:v>
      </x:c>
      <x:c r="O608" s="22" t="n">
        <x:v>46255</x:v>
      </x:c>
      <x:c r="P608" s="20" t="str">
        <x:v>https://zh.wikisource.org/wiki/%E6%B7%B5%E6%B5%B7%E5%AD%90%E5%B9%B3%E5%A4%A7%E5%85%A8 ; https://zh.wikisource.org/wiki/%E6%BB%B4%E5%A4%A9%E9%AB%93%E9%97%A1%E5%BE%AE</x:v>
      </x:c>
    </x:row>
    <x:row r="609">
      <x:c r="A609" s="20" t="str">
        <x:v>M09-XIE-0054-V1.0</x:v>
      </x:c>
      <x:c r="B609" s="20" t="str">
        <x:v>规则</x:v>
      </x:c>
      <x:c r="C609" s="20" t="str">
        <x:v>M09</x:v>
      </x:c>
      <x:c r="D609" s="20" t="str">
        <x:v>09_日主旺衰</x:v>
      </x:c>
      <x:c r="E609" s="20" t="str">
        <x:v>XIE</x:v>
      </x:c>
      <x:c r="F609" s="20" t="n">
        <x:v>54</x:v>
      </x:c>
      <x:c r="G609" s="20" t="str">
        <x:v>V1.0</x:v>
      </x:c>
      <x:c r="H609" s="20" t="str">
        <x:v>食伤继续生财形成连续外泄时总耗泄需看链路有效性</x:v>
      </x:c>
      <x:c r="I609" s="20" t="str">
        <x:v>综合层</x:v>
      </x:c>
      <x:c r="J609" s="20" t="str">
        <x:v>连续泄耗</x:v>
      </x:c>
      <x:c r="K609" s="20" t="str">
        <x:v>食伤生财路径有效时，日主力量可持续向外传递；需同时考虑泄与耗的连续性。</x:v>
      </x:c>
      <x:c r="L609" s="20" t="str">
        <x:v>较高</x:v>
      </x:c>
      <x:c r="M609" s="20" t="str">
        <x:v>采用</x:v>
      </x:c>
      <x:c r="N609" s="20" t="str">
        <x:v>初审</x:v>
      </x:c>
      <x:c r="O609" s="22" t="n">
        <x:v>46255</x:v>
      </x:c>
      <x:c r="P609" s="20" t="str">
        <x:v>https://zh.wikisource.org/wiki/%E6%B7%B5%E6%B5%B7%E5%AD%90%E5%B9%B3%E5%A4%A7%E5%85%A8 ; https://zh.wikisource.org/wiki/%E6%BB%B4%E5%A4%A9%E9%AB%93%E9%97%A1%E5%BE%AE</x:v>
      </x:c>
    </x:row>
    <x:row r="610">
      <x:c r="A610" s="20" t="str">
        <x:v>M09-XIE-0055-V1.0</x:v>
      </x:c>
      <x:c r="B610" s="20" t="str">
        <x:v>规则</x:v>
      </x:c>
      <x:c r="C610" s="20" t="str">
        <x:v>M09</x:v>
      </x:c>
      <x:c r="D610" s="20" t="str">
        <x:v>09_日主旺衰</x:v>
      </x:c>
      <x:c r="E610" s="20" t="str">
        <x:v>XIE</x:v>
      </x:c>
      <x:c r="F610" s="20" t="n">
        <x:v>55</x:v>
      </x:c>
      <x:c r="G610" s="20" t="str">
        <x:v>V1.0</x:v>
      </x:c>
      <x:c r="H610" s="20" t="str">
        <x:v>泄身与克身性质不同但均属于负荷侧</x:v>
      </x:c>
      <x:c r="I610" s="20" t="str">
        <x:v>综合层</x:v>
      </x:c>
      <x:c r="J610" s="20" t="str">
        <x:v>泄克分型</x:v>
      </x:c>
      <x:c r="K610" s="20" t="str">
        <x:v>受泄与受制均会降低日主相对力量，但机制不同，必须分项记录后再综合。</x:v>
      </x:c>
      <x:c r="L610" s="20" t="str">
        <x:v>较高</x:v>
      </x:c>
      <x:c r="M610" s="20" t="str">
        <x:v>采用</x:v>
      </x:c>
      <x:c r="N610" s="20" t="str">
        <x:v>初审</x:v>
      </x:c>
      <x:c r="O610" s="22" t="n">
        <x:v>46255</x:v>
      </x:c>
      <x:c r="P610" s="20" t="str">
        <x:v>https://zh.wikisource.org/wiki/%E6%B7%B5%E6%B5%B7%E5%AD%90%E5%B9%B3%E5%A4%A7%E5%85%A8 ; https://zh.wikisource.org/wiki/%E6%BB%B4%E5%A4%A9%E9%AB%93%E9%97%A1%E5%BE%AE</x:v>
      </x:c>
    </x:row>
    <x:row r="611">
      <x:c r="A611" s="20" t="str">
        <x:v>M09-XIE-0056-V1.0</x:v>
      </x:c>
      <x:c r="B611" s="20" t="str">
        <x:v>规则</x:v>
      </x:c>
      <x:c r="C611" s="20" t="str">
        <x:v>M09</x:v>
      </x:c>
      <x:c r="D611" s="20" t="str">
        <x:v>09_日主旺衰</x:v>
      </x:c>
      <x:c r="E611" s="20" t="str">
        <x:v>XIE</x:v>
      </x:c>
      <x:c r="F611" s="20" t="n">
        <x:v>56</x:v>
      </x:c>
      <x:c r="G611" s="20" t="str">
        <x:v>V1.0</x:v>
      </x:c>
      <x:c r="H611" s="20" t="str">
        <x:v>食伤过弱或通路不畅时只记录名义泄出</x:v>
      </x:c>
      <x:c r="I611" s="20" t="str">
        <x:v>综合层</x:v>
      </x:c>
      <x:c r="J611" s="20" t="str">
        <x:v>名义泄出</x:v>
      </x:c>
      <x:c r="K611" s="20" t="str">
        <x:v>食伤虽存在但有效性低，只构成轻度泄身证据，不足以主导日主旺衰。</x:v>
      </x:c>
      <x:c r="L611" s="20" t="str">
        <x:v>较高</x:v>
      </x:c>
      <x:c r="M611" s="20" t="str">
        <x:v>采用</x:v>
      </x:c>
      <x:c r="N611" s="20" t="str">
        <x:v>初审</x:v>
      </x:c>
      <x:c r="O611" s="22" t="n">
        <x:v>46255</x:v>
      </x:c>
      <x:c r="P611" s="20" t="str">
        <x:v>https://zh.wikisource.org/wiki/%E6%B7%B5%E6%B5%B7%E5%AD%90%E5%B9%B3%E5%A4%A7%E5%85%A8 ; https://zh.wikisource.org/wiki/%E6%BB%B4%E5%A4%A9%E9%AB%93%E9%97%A1%E5%BE%AE</x:v>
      </x:c>
    </x:row>
    <x:row r="612">
      <x:c r="A612" s="20" t="str">
        <x:v>M09-HAO-0057-V1.0</x:v>
      </x:c>
      <x:c r="B612" s="20" t="str">
        <x:v>规则</x:v>
      </x:c>
      <x:c r="C612" s="20" t="str">
        <x:v>M09</x:v>
      </x:c>
      <x:c r="D612" s="20" t="str">
        <x:v>09_日主旺衰</x:v>
      </x:c>
      <x:c r="E612" s="20" t="str">
        <x:v>HAO</x:v>
      </x:c>
      <x:c r="F612" s="20" t="n">
        <x:v>57</x:v>
      </x:c>
      <x:c r="G612" s="20" t="str">
        <x:v>V1.0</x:v>
      </x:c>
      <x:c r="H612" s="20" t="str">
        <x:v>有效财星构成日主主动耗力证据</x:v>
      </x:c>
      <x:c r="I612" s="20" t="str">
        <x:v>综合层</x:v>
      </x:c>
      <x:c r="J612" s="20" t="str">
        <x:v>财星耗身</x:v>
      </x:c>
      <x:c r="K612" s="20" t="str">
        <x:v>有效财星会占用日主克制与承载能力，是偏弱证据之一。</x:v>
      </x:c>
      <x:c r="L612" s="20" t="str">
        <x:v>较高</x:v>
      </x:c>
      <x:c r="M612" s="20" t="str">
        <x:v>采用</x:v>
      </x:c>
      <x:c r="N612" s="20" t="str">
        <x:v>初审</x:v>
      </x:c>
      <x:c r="O612" s="22" t="n">
        <x:v>46255</x:v>
      </x:c>
      <x:c r="P612" s="20" t="str">
        <x:v>https://zh.wikisource.org/wiki/%E6%B7%B5%E6%B5%B7%E5%AD%90%E5%B9%B3%E5%A4%A7%E5%85%A8 ; https://zh.wikisource.org/wiki/%E6%BB%B4%E5%A4%A9%E9%AB%93%E9%97%A1%E5%BE%AE</x:v>
      </x:c>
    </x:row>
    <x:row r="613">
      <x:c r="A613" s="20" t="str">
        <x:v>M09-HAO-0058-V1.0</x:v>
      </x:c>
      <x:c r="B613" s="20" t="str">
        <x:v>规则</x:v>
      </x:c>
      <x:c r="C613" s="20" t="str">
        <x:v>M09</x:v>
      </x:c>
      <x:c r="D613" s="20" t="str">
        <x:v>09_日主旺衰</x:v>
      </x:c>
      <x:c r="E613" s="20" t="str">
        <x:v>HAO</x:v>
      </x:c>
      <x:c r="F613" s="20" t="n">
        <x:v>58</x:v>
      </x:c>
      <x:c r="G613" s="20" t="str">
        <x:v>V1.0</x:v>
      </x:c>
      <x:c r="H613" s="20" t="str">
        <x:v>财星成势而日主根弱时耗身影响显著</x:v>
      </x:c>
      <x:c r="I613" s="20" t="str">
        <x:v>综合层</x:v>
      </x:c>
      <x:c r="J613" s="20" t="str">
        <x:v>财旺耗身</x:v>
      </x:c>
      <x:c r="K613" s="20" t="str">
        <x:v>财星有效成势而日主承载弱时，耗身可成为重要负荷。</x:v>
      </x:c>
      <x:c r="L613" s="20" t="str">
        <x:v>较高</x:v>
      </x:c>
      <x:c r="M613" s="20" t="str">
        <x:v>采用</x:v>
      </x:c>
      <x:c r="N613" s="20" t="str">
        <x:v>初审</x:v>
      </x:c>
      <x:c r="O613" s="22" t="n">
        <x:v>46255</x:v>
      </x:c>
      <x:c r="P613" s="20" t="str">
        <x:v>https://zh.wikisource.org/wiki/%E6%B7%B5%E6%B5%B7%E5%AD%90%E5%B9%B3%E5%A4%A7%E5%85%A8 ; https://zh.wikisource.org/wiki/%E6%BB%B4%E5%A4%A9%E9%AB%93%E9%97%A1%E5%BE%AE</x:v>
      </x:c>
    </x:row>
    <x:row r="614">
      <x:c r="A614" s="20" t="str">
        <x:v>M09-HAO-0059-V1.0</x:v>
      </x:c>
      <x:c r="B614" s="20" t="str">
        <x:v>规则</x:v>
      </x:c>
      <x:c r="C614" s="20" t="str">
        <x:v>M09</x:v>
      </x:c>
      <x:c r="D614" s="20" t="str">
        <x:v>09_日主旺衰</x:v>
      </x:c>
      <x:c r="E614" s="20" t="str">
        <x:v>HAO</x:v>
      </x:c>
      <x:c r="F614" s="20" t="n">
        <x:v>59</x:v>
      </x:c>
      <x:c r="G614" s="20" t="str">
        <x:v>V1.0</x:v>
      </x:c>
      <x:c r="H614" s="20" t="str">
        <x:v>财星弱或受比劫制约时耗身证据下调</x:v>
      </x:c>
      <x:c r="I614" s="20" t="str">
        <x:v>综合层</x:v>
      </x:c>
      <x:c r="J614" s="20" t="str">
        <x:v>财耗修正</x:v>
      </x:c>
      <x:c r="K614" s="20" t="str">
        <x:v>财星实际有效性低，日主耗身压力相应下调。</x:v>
      </x:c>
      <x:c r="L614" s="20" t="str">
        <x:v>较高</x:v>
      </x:c>
      <x:c r="M614" s="20" t="str">
        <x:v>采用</x:v>
      </x:c>
      <x:c r="N614" s="20" t="str">
        <x:v>初审</x:v>
      </x:c>
      <x:c r="O614" s="22" t="n">
        <x:v>46255</x:v>
      </x:c>
      <x:c r="P614" s="20" t="str">
        <x:v>https://zh.wikisource.org/wiki/%E6%B7%B5%E6%B5%B7%E5%AD%90%E5%B9%B3%E5%A4%A7%E5%85%A8 ; https://zh.wikisource.org/wiki/%E6%BB%B4%E5%A4%A9%E9%AB%93%E9%97%A1%E5%BE%AE</x:v>
      </x:c>
    </x:row>
    <x:row r="615">
      <x:c r="A615" s="20" t="str">
        <x:v>M09-HAO-0060-V1.0</x:v>
      </x:c>
      <x:c r="B615" s="20" t="str">
        <x:v>规则</x:v>
      </x:c>
      <x:c r="C615" s="20" t="str">
        <x:v>M09</x:v>
      </x:c>
      <x:c r="D615" s="20" t="str">
        <x:v>09_日主旺衰</x:v>
      </x:c>
      <x:c r="E615" s="20" t="str">
        <x:v>HAO</x:v>
      </x:c>
      <x:c r="F615" s="20" t="n">
        <x:v>60</x:v>
      </x:c>
      <x:c r="G615" s="20" t="str">
        <x:v>V1.0</x:v>
      </x:c>
      <x:c r="H615" s="20" t="str">
        <x:v>强旺日主可任一定财而不必转弱</x:v>
      </x:c>
      <x:c r="I615" s="20" t="str">
        <x:v>综合层</x:v>
      </x:c>
      <x:c r="J615" s="20" t="str">
        <x:v>强身任财</x:v>
      </x:c>
      <x:c r="K615" s="20" t="str">
        <x:v>日主根深得势时可承受一定财星耗力，不因有财就直接判弱。</x:v>
      </x:c>
      <x:c r="L615" s="20" t="str">
        <x:v>较高</x:v>
      </x:c>
      <x:c r="M615" s="20" t="str">
        <x:v>采用</x:v>
      </x:c>
      <x:c r="N615" s="20" t="str">
        <x:v>初审</x:v>
      </x:c>
      <x:c r="O615" s="22" t="n">
        <x:v>46255</x:v>
      </x:c>
      <x:c r="P615" s="20" t="str">
        <x:v>https://zh.wikisource.org/wiki/%E6%B7%B5%E6%B5%B7%E5%AD%90%E5%B9%B3%E5%A4%A7%E5%85%A8 ; https://zh.wikisource.org/wiki/%E6%BB%B4%E5%A4%A9%E9%AB%93%E9%97%A1%E5%BE%AE</x:v>
      </x:c>
    </x:row>
    <x:row r="616">
      <x:c r="A616" s="20" t="str">
        <x:v>M09-HAO-0061-V1.0</x:v>
      </x:c>
      <x:c r="B616" s="20" t="str">
        <x:v>规则</x:v>
      </x:c>
      <x:c r="C616" s="20" t="str">
        <x:v>M09</x:v>
      </x:c>
      <x:c r="D616" s="20" t="str">
        <x:v>09_日主旺衰</x:v>
      </x:c>
      <x:c r="E616" s="20" t="str">
        <x:v>HAO</x:v>
      </x:c>
      <x:c r="F616" s="20" t="n">
        <x:v>61</x:v>
      </x:c>
      <x:c r="G616" s="20" t="str">
        <x:v>V1.0</x:v>
      </x:c>
      <x:c r="H616" s="20" t="str">
        <x:v>财耗与食伤生财共享同一外泄链时需去重</x:v>
      </x:c>
      <x:c r="I616" s="20" t="str">
        <x:v>综合层</x:v>
      </x:c>
      <x:c r="J616" s="20" t="str">
        <x:v>泄耗链去重</x:v>
      </x:c>
      <x:c r="K616" s="20" t="str">
        <x:v>同一食伤生财链可说明连续外泄，但泄与耗不得脱离源头容量重复满额计权。</x:v>
      </x:c>
      <x:c r="L616" s="20" t="str">
        <x:v>较高</x:v>
      </x:c>
      <x:c r="M616" s="20" t="str">
        <x:v>采用</x:v>
      </x:c>
      <x:c r="N616" s="20" t="str">
        <x:v>初审</x:v>
      </x:c>
      <x:c r="O616" s="22" t="n">
        <x:v>46255</x:v>
      </x:c>
      <x:c r="P616" s="20" t="str">
        <x:v>https://zh.wikisource.org/wiki/%E6%B7%B5%E6%B5%B7%E5%AD%90%E5%B9%B3%E5%A4%A7%E5%85%A8 ; https://zh.wikisource.org/wiki/%E6%BB%B4%E5%A4%A9%E9%AB%93%E9%97%A1%E5%BE%AE</x:v>
      </x:c>
    </x:row>
    <x:row r="617">
      <x:c r="A617" s="20" t="str">
        <x:v>M09-HAO-0062-V1.0</x:v>
      </x:c>
      <x:c r="B617" s="20" t="str">
        <x:v>规则</x:v>
      </x:c>
      <x:c r="C617" s="20" t="str">
        <x:v>M09</x:v>
      </x:c>
      <x:c r="D617" s="20" t="str">
        <x:v>09_日主旺衰</x:v>
      </x:c>
      <x:c r="E617" s="20" t="str">
        <x:v>HAO</x:v>
      </x:c>
      <x:c r="F617" s="20" t="n">
        <x:v>62</x:v>
      </x:c>
      <x:c r="G617" s="20" t="str">
        <x:v>V1.0</x:v>
      </x:c>
      <x:c r="H617" s="20" t="str">
        <x:v>财官食伤多不等于日主必弱</x:v>
      </x:c>
      <x:c r="I617" s="20" t="str">
        <x:v>综合层</x:v>
      </x:c>
      <x:c r="J617" s="20" t="str">
        <x:v>多负荷非弱充分条件</x:v>
      </x:c>
      <x:c r="K617" s="20" t="str">
        <x:v>财官食伤多只是负荷候选；是否身弱取决于它们的有效力量、通路与日主承载。</x:v>
      </x:c>
      <x:c r="L617" s="20" t="str">
        <x:v>较高</x:v>
      </x:c>
      <x:c r="M617" s="20" t="str">
        <x:v>采用</x:v>
      </x:c>
      <x:c r="N617" s="20" t="str">
        <x:v>初审</x:v>
      </x:c>
      <x:c r="O617" s="22" t="n">
        <x:v>46255</x:v>
      </x:c>
      <x:c r="P617" s="20" t="str">
        <x:v>https://zh.wikisource.org/wiki/%E6%B7%B5%E6%B5%B7%E5%AD%90%E5%B9%B3%E5%A4%A7%E5%85%A8 ; https://zh.wikisource.org/wiki/%E6%BB%B4%E5%A4%A9%E9%AB%93%E9%97%A1%E5%BE%AE</x:v>
      </x:c>
    </x:row>
    <x:row r="618">
      <x:c r="A618" s="20" t="str">
        <x:v>M09-SYN-0063-V1.0</x:v>
      </x:c>
      <x:c r="B618" s="20" t="str">
        <x:v>规则</x:v>
      </x:c>
      <x:c r="C618" s="20" t="str">
        <x:v>M09</x:v>
      </x:c>
      <x:c r="D618" s="20" t="str">
        <x:v>09_日主旺衰</x:v>
      </x:c>
      <x:c r="E618" s="20" t="str">
        <x:v>SYN</x:v>
      </x:c>
      <x:c r="F618" s="20" t="n">
        <x:v>63</x:v>
      </x:c>
      <x:c r="G618" s="20" t="str">
        <x:v>V1.0</x:v>
      </x:c>
      <x:c r="H618" s="20" t="str">
        <x:v>日主旺衰先分扶身侧与负荷侧再比较净优势</x:v>
      </x:c>
      <x:c r="I618" s="20" t="str">
        <x:v>综合层</x:v>
      </x:c>
      <x:c r="J618" s="20" t="str">
        <x:v>双侧净优势</x:v>
      </x:c>
      <x:c r="K618" s="20" t="str">
        <x:v>日主旺衰以扶身侧与制泄耗侧的有效净优势裁定，而非按元素数量投票。</x:v>
      </x:c>
      <x:c r="L618" s="20" t="str">
        <x:v>较高</x:v>
      </x:c>
      <x:c r="M618" s="20" t="str">
        <x:v>采用</x:v>
      </x:c>
      <x:c r="N618" s="20" t="str">
        <x:v>初审</x:v>
      </x:c>
      <x:c r="O618" s="22" t="n">
        <x:v>46255</x:v>
      </x:c>
      <x:c r="P618" s="20" t="str">
        <x:v>https://zh.wikisource.org/wiki/%E6%B7%B5%E6%B5%B7%E5%AD%90%E5%B9%B3%E5%A4%A7%E5%85%A8 ; https://zh.wikisource.org/wiki/%E6%BB%B4%E5%A4%A9%E9%AB%93%E9%97%A1%E5%BE%AE</x:v>
      </x:c>
    </x:row>
    <x:row r="619">
      <x:c r="A619" s="20" t="str">
        <x:v>M09-SYN-0064-V1.0</x:v>
      </x:c>
      <x:c r="B619" s="20" t="str">
        <x:v>规则</x:v>
      </x:c>
      <x:c r="C619" s="20" t="str">
        <x:v>M09</x:v>
      </x:c>
      <x:c r="D619" s="20" t="str">
        <x:v>09_日主旺衰</x:v>
      </x:c>
      <x:c r="E619" s="20" t="str">
        <x:v>SYN</x:v>
      </x:c>
      <x:c r="F619" s="20" t="n">
        <x:v>64</x:v>
      </x:c>
      <x:c r="G619" s="20" t="str">
        <x:v>V1.0</x:v>
      </x:c>
      <x:c r="H619" s="20" t="str">
        <x:v>扶身侧必须包含日主自身承载而不只统计印比</x:v>
      </x:c>
      <x:c r="I619" s="20" t="str">
        <x:v>综合层</x:v>
      </x:c>
      <x:c r="J619" s="20" t="str">
        <x:v>承载纳入扶身</x:v>
      </x:c>
      <x:c r="K619" s="20" t="str">
        <x:v>扶身侧必须同时考虑日主有效根气与印比支持，不能只看外部帮扶。</x:v>
      </x:c>
      <x:c r="L619" s="20" t="str">
        <x:v>较高</x:v>
      </x:c>
      <x:c r="M619" s="20" t="str">
        <x:v>采用</x:v>
      </x:c>
      <x:c r="N619" s="20" t="str">
        <x:v>初审</x:v>
      </x:c>
      <x:c r="O619" s="22" t="n">
        <x:v>46255</x:v>
      </x:c>
      <x:c r="P619" s="20" t="str">
        <x:v>https://zh.wikisource.org/wiki/%E6%B7%B5%E6%B5%B7%E5%AD%90%E5%B9%B3%E5%A4%A7%E5%85%A8 ; https://zh.wikisource.org/wiki/%E6%BB%B4%E5%A4%A9%E9%AB%93%E9%97%A1%E5%BE%AE</x:v>
      </x:c>
    </x:row>
    <x:row r="620">
      <x:c r="A620" s="20" t="str">
        <x:v>M09-SYN-0065-V1.0</x:v>
      </x:c>
      <x:c r="B620" s="20" t="str">
        <x:v>规则</x:v>
      </x:c>
      <x:c r="C620" s="20" t="str">
        <x:v>M09</x:v>
      </x:c>
      <x:c r="D620" s="20" t="str">
        <x:v>09_日主旺衰</x:v>
      </x:c>
      <x:c r="E620" s="20" t="str">
        <x:v>SYN</x:v>
      </x:c>
      <x:c r="F620" s="20" t="n">
        <x:v>65</x:v>
      </x:c>
      <x:c r="G620" s="20" t="str">
        <x:v>V1.0</x:v>
      </x:c>
      <x:c r="H620" s="20" t="str">
        <x:v>负荷侧三类力量必须按实际通路分别计算后再合并</x:v>
      </x:c>
      <x:c r="I620" s="20" t="str">
        <x:v>综合层</x:v>
      </x:c>
      <x:c r="J620" s="20" t="str">
        <x:v>多负荷合并</x:v>
      </x:c>
      <x:c r="K620" s="20" t="str">
        <x:v>受制、受泄、受耗应先分项判断，再按独立有效通路合并。</x:v>
      </x:c>
      <x:c r="L620" s="20" t="str">
        <x:v>较高</x:v>
      </x:c>
      <x:c r="M620" s="20" t="str">
        <x:v>采用</x:v>
      </x:c>
      <x:c r="N620" s="20" t="str">
        <x:v>初审</x:v>
      </x:c>
      <x:c r="O620" s="22" t="n">
        <x:v>46255</x:v>
      </x:c>
      <x:c r="P620" s="20" t="str">
        <x:v>https://zh.wikisource.org/wiki/%E6%B7%B5%E6%B5%B7%E5%AD%90%E5%B9%B3%E5%A4%A7%E5%85%A8 ; https://zh.wikisource.org/wiki/%E6%BB%B4%E5%A4%A9%E9%AB%93%E9%97%A1%E5%BE%AE</x:v>
      </x:c>
    </x:row>
    <x:row r="621">
      <x:c r="A621" s="20" t="str">
        <x:v>M09-SYN-0066-V1.0</x:v>
      </x:c>
      <x:c r="B621" s="20" t="str">
        <x:v>规则</x:v>
      </x:c>
      <x:c r="C621" s="20" t="str">
        <x:v>M09</x:v>
      </x:c>
      <x:c r="D621" s="20" t="str">
        <x:v>09_日主旺衰</x:v>
      </x:c>
      <x:c r="E621" s="20" t="str">
        <x:v>SYN</x:v>
      </x:c>
      <x:c r="F621" s="20" t="n">
        <x:v>66</x:v>
      </x:c>
      <x:c r="G621" s="20" t="str">
        <x:v>V1.0</x:v>
      </x:c>
      <x:c r="H621" s="20" t="str">
        <x:v>一个决定性强证据可压过多个微弱证据</x:v>
      </x:c>
      <x:c r="I621" s="20" t="str">
        <x:v>综合层</x:v>
      </x:c>
      <x:c r="J621" s="20" t="str">
        <x:v>强证据优先</x:v>
      </x:c>
      <x:c r="K621" s="20" t="str">
        <x:v>旺衰裁定以有效强度优先；一个决定性证据可高于多个微弱证据。</x:v>
      </x:c>
      <x:c r="L621" s="20" t="str">
        <x:v>较高</x:v>
      </x:c>
      <x:c r="M621" s="20" t="str">
        <x:v>采用</x:v>
      </x:c>
      <x:c r="N621" s="20" t="str">
        <x:v>初审</x:v>
      </x:c>
      <x:c r="O621" s="22" t="n">
        <x:v>46255</x:v>
      </x:c>
      <x:c r="P621" s="20" t="str">
        <x:v>https://zh.wikisource.org/wiki/%E6%B7%B5%E6%B5%B7%E5%AD%90%E5%B9%B3%E5%A4%A7%E5%85%A8 ; https://zh.wikisource.org/wiki/%E6%BB%B4%E5%A4%A9%E9%AB%93%E9%97%A1%E5%BE%AE</x:v>
      </x:c>
    </x:row>
    <x:row r="622">
      <x:c r="A622" s="20" t="str">
        <x:v>M09-SYN-0067-V1.0</x:v>
      </x:c>
      <x:c r="B622" s="20" t="str">
        <x:v>规则</x:v>
      </x:c>
      <x:c r="C622" s="20" t="str">
        <x:v>M09</x:v>
      </x:c>
      <x:c r="D622" s="20" t="str">
        <x:v>09_日主旺衰</x:v>
      </x:c>
      <x:c r="E622" s="20" t="str">
        <x:v>SYN</x:v>
      </x:c>
      <x:c r="F622" s="20" t="n">
        <x:v>67</x:v>
      </x:c>
      <x:c r="G622" s="20" t="str">
        <x:v>V1.0</x:v>
      </x:c>
      <x:c r="H622" s="20" t="str">
        <x:v>同一干支节点跨维度出现时必须做证据容量去重</x:v>
      </x:c>
      <x:c r="I622" s="20" t="str">
        <x:v>综合层</x:v>
      </x:c>
      <x:c r="J622" s="20" t="str">
        <x:v>跨维去重</x:v>
      </x:c>
      <x:c r="K622" s="20" t="str">
        <x:v>同一干支节点可有多重意义，但其力量容量不得在多个维度中重复全额使用。</x:v>
      </x:c>
      <x:c r="L622" s="20" t="str">
        <x:v>较高</x:v>
      </x:c>
      <x:c r="M622" s="20" t="str">
        <x:v>采用</x:v>
      </x:c>
      <x:c r="N622" s="20" t="str">
        <x:v>初审</x:v>
      </x:c>
      <x:c r="O622" s="22" t="n">
        <x:v>46255</x:v>
      </x:c>
      <x:c r="P622" s="20" t="str">
        <x:v>https://zh.wikisource.org/wiki/%E6%B7%B5%E6%B5%B7%E5%AD%90%E5%B9%B3%E5%A4%A7%E5%85%A8 ; https://zh.wikisource.org/wiki/%E6%BB%B4%E5%A4%A9%E9%AB%93%E9%97%A1%E5%BE%AE</x:v>
      </x:c>
    </x:row>
    <x:row r="623">
      <x:c r="A623" s="20" t="str">
        <x:v>M09-SYN-0068-V1.0</x:v>
      </x:c>
      <x:c r="B623" s="20" t="str">
        <x:v>规则</x:v>
      </x:c>
      <x:c r="C623" s="20" t="str">
        <x:v>M09</x:v>
      </x:c>
      <x:c r="D623" s="20" t="str">
        <x:v>09_日主旺衰</x:v>
      </x:c>
      <x:c r="E623" s="20" t="str">
        <x:v>SYN</x:v>
      </x:c>
      <x:c r="F623" s="20" t="n">
        <x:v>68</x:v>
      </x:c>
      <x:c r="G623" s="20" t="str">
        <x:v>V1.0</x:v>
      </x:c>
      <x:c r="H623" s="20" t="str">
        <x:v>两侧都强且差距不大时优先落在中和区而非同时判旺弱</x:v>
      </x:c>
      <x:c r="I623" s="20" t="str">
        <x:v>综合层</x:v>
      </x:c>
      <x:c r="J623" s="20" t="str">
        <x:v>强强平衡</x:v>
      </x:c>
      <x:c r="K623" s="20" t="str">
        <x:v>扶身与负荷两侧都强且净差不大时，日主更接近中和或中和偏向。</x:v>
      </x:c>
      <x:c r="L623" s="20" t="str">
        <x:v>较高</x:v>
      </x:c>
      <x:c r="M623" s="20" t="str">
        <x:v>采用</x:v>
      </x:c>
      <x:c r="N623" s="20" t="str">
        <x:v>初审</x:v>
      </x:c>
      <x:c r="O623" s="22" t="n">
        <x:v>46255</x:v>
      </x:c>
      <x:c r="P623" s="20" t="str">
        <x:v>https://zh.wikisource.org/wiki/%E6%B7%B5%E6%B5%B7%E5%AD%90%E5%B9%B3%E5%A4%A7%E5%85%A8 ; https://zh.wikisource.org/wiki/%E6%BB%B4%E5%A4%A9%E9%AB%93%E9%97%A1%E5%BE%AE</x:v>
      </x:c>
    </x:row>
    <x:row r="624">
      <x:c r="A624" s="20" t="str">
        <x:v>M09-SYN-0069-V1.0</x:v>
      </x:c>
      <x:c r="B624" s="20" t="str">
        <x:v>规则</x:v>
      </x:c>
      <x:c r="C624" s="20" t="str">
        <x:v>M09</x:v>
      </x:c>
      <x:c r="D624" s="20" t="str">
        <x:v>09_日主旺衰</x:v>
      </x:c>
      <x:c r="E624" s="20" t="str">
        <x:v>SYN</x:v>
      </x:c>
      <x:c r="F624" s="20" t="n">
        <x:v>69</x:v>
      </x:c>
      <x:c r="G624" s="20" t="str">
        <x:v>V1.0</x:v>
      </x:c>
      <x:c r="H624" s="20" t="str">
        <x:v>两侧都弱时仍按相对净差裁定而不是自动中和</x:v>
      </x:c>
      <x:c r="I624" s="20" t="str">
        <x:v>综合层</x:v>
      </x:c>
      <x:c r="J624" s="20" t="str">
        <x:v>弱弱比较</x:v>
      </x:c>
      <x:c r="K624" s="20" t="str">
        <x:v>两侧都弱时仍比较相对优势；中和要求净差小，而非双方绝对力量都低。</x:v>
      </x:c>
      <x:c r="L624" s="20" t="str">
        <x:v>较高</x:v>
      </x:c>
      <x:c r="M624" s="20" t="str">
        <x:v>采用</x:v>
      </x:c>
      <x:c r="N624" s="20" t="str">
        <x:v>初审</x:v>
      </x:c>
      <x:c r="O624" s="22" t="n">
        <x:v>46255</x:v>
      </x:c>
      <x:c r="P624" s="20" t="str">
        <x:v>https://zh.wikisource.org/wiki/%E6%B7%B5%E6%B5%B7%E5%AD%90%E5%B9%B3%E5%A4%A7%E5%85%A8 ; https://zh.wikisource.org/wiki/%E6%BB%B4%E5%A4%A9%E9%AB%93%E9%97%A1%E5%BE%AE</x:v>
      </x:c>
    </x:row>
    <x:row r="625">
      <x:c r="A625" s="20" t="str">
        <x:v>M09-SYN-0070-V1.0</x:v>
      </x:c>
      <x:c r="B625" s="20" t="str">
        <x:v>规则</x:v>
      </x:c>
      <x:c r="C625" s="20" t="str">
        <x:v>M09</x:v>
      </x:c>
      <x:c r="D625" s="20" t="str">
        <x:v>09_日主旺衰</x:v>
      </x:c>
      <x:c r="E625" s="20" t="str">
        <x:v>SYN</x:v>
      </x:c>
      <x:c r="F625" s="20" t="n">
        <x:v>70</x:v>
      </x:c>
      <x:c r="G625" s="20" t="str">
        <x:v>V1.0</x:v>
      </x:c>
      <x:c r="H625" s="20" t="str">
        <x:v>M08五行旺衰必须转换为相对日主角色后才能进入M09</x:v>
      </x:c>
      <x:c r="I625" s="20" t="str">
        <x:v>综合层</x:v>
      </x:c>
      <x:c r="J625" s="20" t="str">
        <x:v>五行角色转换</x:v>
      </x:c>
      <x:c r="K625" s="20" t="str">
        <x:v>M08的五行有效旺衰需先按日主映射为扶身或负荷角色，才能参与M09裁定。</x:v>
      </x:c>
      <x:c r="L625" s="20" t="str">
        <x:v>较高</x:v>
      </x:c>
      <x:c r="M625" s="20" t="str">
        <x:v>采用</x:v>
      </x:c>
      <x:c r="N625" s="20" t="str">
        <x:v>初审</x:v>
      </x:c>
      <x:c r="O625" s="22" t="n">
        <x:v>46255</x:v>
      </x:c>
      <x:c r="P625" s="20" t="str">
        <x:v>https://zh.wikisource.org/wiki/%E6%B7%B5%E6%B5%B7%E5%AD%90%E5%B9%B3%E5%A4%A7%E5%85%A8 ; https://zh.wikisource.org/wiki/%E6%BB%B4%E5%A4%A9%E9%AB%93%E9%97%A1%E5%BE%AE</x:v>
      </x:c>
    </x:row>
    <x:row r="626">
      <x:c r="A626" s="20" t="str">
        <x:v>M09-SYN-0071-V1.0</x:v>
      </x:c>
      <x:c r="B626" s="20" t="str">
        <x:v>规则</x:v>
      </x:c>
      <x:c r="C626" s="20" t="str">
        <x:v>M09</x:v>
      </x:c>
      <x:c r="D626" s="20" t="str">
        <x:v>09_日主旺衰</x:v>
      </x:c>
      <x:c r="E626" s="20" t="str">
        <x:v>SYN</x:v>
      </x:c>
      <x:c r="F626" s="20" t="n">
        <x:v>71</x:v>
      </x:c>
      <x:c r="G626" s="20" t="str">
        <x:v>V1.0</x:v>
      </x:c>
      <x:c r="H626" s="20" t="str">
        <x:v>反向证据必须与主结论同时保存</x:v>
      </x:c>
      <x:c r="I626" s="20" t="str">
        <x:v>综合层</x:v>
      </x:c>
      <x:c r="J626" s="20" t="str">
        <x:v>反证保留</x:v>
      </x:c>
      <x:c r="K626" s="20" t="str">
        <x:v>日主旺衰结论必须同时列出最强支持证据与最强反向证据。</x:v>
      </x:c>
      <x:c r="L626" s="20" t="str">
        <x:v>较高</x:v>
      </x:c>
      <x:c r="M626" s="20" t="str">
        <x:v>采用</x:v>
      </x:c>
      <x:c r="N626" s="20" t="str">
        <x:v>初审</x:v>
      </x:c>
      <x:c r="O626" s="22" t="n">
        <x:v>46255</x:v>
      </x:c>
      <x:c r="P626" s="20" t="str">
        <x:v>https://zh.wikisource.org/wiki/%E6%B7%B5%E6%B5%B7%E5%AD%90%E5%B9%B3%E5%A4%A7%E5%85%A8 ; https://zh.wikisource.org/wiki/%E6%BB%B4%E5%A4%A9%E9%AB%93%E9%97%A1%E5%BE%AE</x:v>
      </x:c>
    </x:row>
    <x:row r="627">
      <x:c r="A627" s="20" t="str">
        <x:v>M09-SYN-0072-V1.0</x:v>
      </x:c>
      <x:c r="B627" s="20" t="str">
        <x:v>规则</x:v>
      </x:c>
      <x:c r="C627" s="20" t="str">
        <x:v>M09</x:v>
      </x:c>
      <x:c r="D627" s="20" t="str">
        <x:v>09_日主旺衰</x:v>
      </x:c>
      <x:c r="E627" s="20" t="str">
        <x:v>SYN</x:v>
      </x:c>
      <x:c r="F627" s="20" t="n">
        <x:v>72</x:v>
      </x:c>
      <x:c r="G627" s="20" t="str">
        <x:v>V1.0</x:v>
      </x:c>
      <x:c r="H627" s="20" t="str">
        <x:v>证据冲突未被M08解决时先降低置信度而非强行定级</x:v>
      </x:c>
      <x:c r="I627" s="20" t="str">
        <x:v>综合层</x:v>
      </x:c>
      <x:c r="J627" s="20" t="str">
        <x:v>冲突降置信</x:v>
      </x:c>
      <x:c r="K627" s="20" t="str">
        <x:v>关键证据存在未决争议时，输出相邻旺衰候选并降低置信度，不强行定级。</x:v>
      </x:c>
      <x:c r="L627" s="20" t="str">
        <x:v>较高</x:v>
      </x:c>
      <x:c r="M627" s="20" t="str">
        <x:v>采用</x:v>
      </x:c>
      <x:c r="N627" s="20" t="str">
        <x:v>初审</x:v>
      </x:c>
      <x:c r="O627" s="22" t="n">
        <x:v>46255</x:v>
      </x:c>
      <x:c r="P627" s="20" t="str">
        <x:v>https://zh.wikisource.org/wiki/%E6%B7%B5%E6%B5%B7%E5%AD%90%E5%B9%B3%E5%A4%A7%E5%85%A8 ; https://zh.wikisource.org/wiki/%E6%BB%B4%E5%A4%A9%E9%AB%93%E9%97%A1%E5%BE%AE</x:v>
      </x:c>
    </x:row>
    <x:row r="628">
      <x:c r="A628" s="20" t="str">
        <x:v>M09-GRADE-0073-V1.0</x:v>
      </x:c>
      <x:c r="B628" s="20" t="str">
        <x:v>规则</x:v>
      </x:c>
      <x:c r="C628" s="20" t="str">
        <x:v>M09</x:v>
      </x:c>
      <x:c r="D628" s="20" t="str">
        <x:v>09_日主旺衰</x:v>
      </x:c>
      <x:c r="E628" s="20" t="str">
        <x:v>GRADE</x:v>
      </x:c>
      <x:c r="F628" s="20" t="n">
        <x:v>73</x:v>
      </x:c>
      <x:c r="G628" s="20" t="str">
        <x:v>V1.0</x:v>
      </x:c>
      <x:c r="H628" s="20" t="str">
        <x:v>极弱要求扶身侧近乎失效且负荷侧形成单向主导</x:v>
      </x:c>
      <x:c r="I628" s="20" t="str">
        <x:v>综合层</x:v>
      </x:c>
      <x:c r="J628" s="20" t="str">
        <x:v>七级极弱</x:v>
      </x:c>
      <x:c r="K628" s="20" t="str">
        <x:v>扶身侧近乎失效、负荷侧单向主导且无强反证，可判日主极弱；从格另审。</x:v>
      </x:c>
      <x:c r="L628" s="20" t="str">
        <x:v>较高</x:v>
      </x:c>
      <x:c r="M628" s="20" t="str">
        <x:v>采用</x:v>
      </x:c>
      <x:c r="N628" s="20" t="str">
        <x:v>初审</x:v>
      </x:c>
      <x:c r="O628" s="22" t="n">
        <x:v>46255</x:v>
      </x:c>
      <x:c r="P628" s="20" t="str">
        <x:v>https://zh.wikisource.org/wiki/%E6%B7%B5%E6%B5%B7%E5%AD%90%E5%B9%B3%E5%A4%A7%E5%85%A8 ; https://zh.wikisource.org/wiki/%E6%BB%B4%E5%A4%A9%E9%AB%93%E9%97%A1%E5%BE%AE</x:v>
      </x:c>
    </x:row>
    <x:row r="629">
      <x:c r="A629" s="20" t="str">
        <x:v>M09-GRADE-0074-V1.0</x:v>
      </x:c>
      <x:c r="B629" s="20" t="str">
        <x:v>规则</x:v>
      </x:c>
      <x:c r="C629" s="20" t="str">
        <x:v>M09</x:v>
      </x:c>
      <x:c r="D629" s="20" t="str">
        <x:v>09_日主旺衰</x:v>
      </x:c>
      <x:c r="E629" s="20" t="str">
        <x:v>GRADE</x:v>
      </x:c>
      <x:c r="F629" s="20" t="n">
        <x:v>74</x:v>
      </x:c>
      <x:c r="G629" s="20" t="str">
        <x:v>V1.0</x:v>
      </x:c>
      <x:c r="H629" s="20" t="str">
        <x:v>弱表示负荷侧明显占优但日主仍有一定承载</x:v>
      </x:c>
      <x:c r="I629" s="20" t="str">
        <x:v>综合层</x:v>
      </x:c>
      <x:c r="J629" s="20" t="str">
        <x:v>七级弱</x:v>
      </x:c>
      <x:c r="K629" s="20" t="str">
        <x:v>制泄耗明显占优，但日主仍保留一定有效承载，判为弱。</x:v>
      </x:c>
      <x:c r="L629" s="20" t="str">
        <x:v>较高</x:v>
      </x:c>
      <x:c r="M629" s="20" t="str">
        <x:v>采用</x:v>
      </x:c>
      <x:c r="N629" s="20" t="str">
        <x:v>初审</x:v>
      </x:c>
      <x:c r="O629" s="22" t="n">
        <x:v>46255</x:v>
      </x:c>
      <x:c r="P629" s="20" t="str">
        <x:v>https://zh.wikisource.org/wiki/%E6%B7%B5%E6%B5%B7%E5%AD%90%E5%B9%B3%E5%A4%A7%E5%85%A8 ; https://zh.wikisource.org/wiki/%E6%BB%B4%E5%A4%A9%E9%AB%93%E9%97%A1%E5%BE%AE</x:v>
      </x:c>
    </x:row>
    <x:row r="630">
      <x:c r="A630" s="20" t="str">
        <x:v>M09-GRADE-0075-V1.0</x:v>
      </x:c>
      <x:c r="B630" s="20" t="str">
        <x:v>规则</x:v>
      </x:c>
      <x:c r="C630" s="20" t="str">
        <x:v>M09</x:v>
      </x:c>
      <x:c r="D630" s="20" t="str">
        <x:v>09_日主旺衰</x:v>
      </x:c>
      <x:c r="E630" s="20" t="str">
        <x:v>GRADE</x:v>
      </x:c>
      <x:c r="F630" s="20" t="n">
        <x:v>75</x:v>
      </x:c>
      <x:c r="G630" s="20" t="str">
        <x:v>V1.0</x:v>
      </x:c>
      <x:c r="H630" s="20" t="str">
        <x:v>中和偏弱表示负荷侧轻度占优且无决定性差距</x:v>
      </x:c>
      <x:c r="I630" s="20" t="str">
        <x:v>综合层</x:v>
      </x:c>
      <x:c r="J630" s="20" t="str">
        <x:v>七级中和偏弱</x:v>
      </x:c>
      <x:c r="K630" s="20" t="str">
        <x:v>日主扶身与负荷总体接近，但负荷侧略占优势，判中和偏弱。</x:v>
      </x:c>
      <x:c r="L630" s="20" t="str">
        <x:v>较高</x:v>
      </x:c>
      <x:c r="M630" s="20" t="str">
        <x:v>采用</x:v>
      </x:c>
      <x:c r="N630" s="20" t="str">
        <x:v>初审</x:v>
      </x:c>
      <x:c r="O630" s="22" t="n">
        <x:v>46255</x:v>
      </x:c>
      <x:c r="P630" s="20" t="str">
        <x:v>https://zh.wikisource.org/wiki/%E6%B7%B5%E6%B5%B7%E5%AD%90%E5%B9%B3%E5%A4%A7%E5%85%A8 ; https://zh.wikisource.org/wiki/%E6%BB%B4%E5%A4%A9%E9%AB%93%E9%97%A1%E5%BE%AE</x:v>
      </x:c>
    </x:row>
    <x:row r="631">
      <x:c r="A631" s="20" t="str">
        <x:v>M09-GRADE-0076-V1.0</x:v>
      </x:c>
      <x:c r="B631" s="20" t="str">
        <x:v>规则</x:v>
      </x:c>
      <x:c r="C631" s="20" t="str">
        <x:v>M09</x:v>
      </x:c>
      <x:c r="D631" s="20" t="str">
        <x:v>09_日主旺衰</x:v>
      </x:c>
      <x:c r="E631" s="20" t="str">
        <x:v>GRADE</x:v>
      </x:c>
      <x:c r="F631" s="20" t="n">
        <x:v>76</x:v>
      </x:c>
      <x:c r="G631" s="20" t="str">
        <x:v>V1.0</x:v>
      </x:c>
      <x:c r="H631" s="20" t="str">
        <x:v>中和要求两侧有效力量大体相抵且无一方形成主导</x:v>
      </x:c>
      <x:c r="I631" s="20" t="str">
        <x:v>综合层</x:v>
      </x:c>
      <x:c r="J631" s="20" t="str">
        <x:v>七级中和</x:v>
      </x:c>
      <x:c r="K631" s="20" t="str">
        <x:v>扶身与制泄耗两侧有效力量大体相抵、无明显主导，判为中和。</x:v>
      </x:c>
      <x:c r="L631" s="20" t="str">
        <x:v>较高</x:v>
      </x:c>
      <x:c r="M631" s="20" t="str">
        <x:v>采用</x:v>
      </x:c>
      <x:c r="N631" s="20" t="str">
        <x:v>初审</x:v>
      </x:c>
      <x:c r="O631" s="22" t="n">
        <x:v>46255</x:v>
      </x:c>
      <x:c r="P631" s="20" t="str">
        <x:v>https://zh.wikisource.org/wiki/%E6%B7%B5%E6%B5%B7%E5%AD%90%E5%B9%B3%E5%A4%A7%E5%85%A8 ; https://zh.wikisource.org/wiki/%E6%BB%B4%E5%A4%A9%E9%AB%93%E9%97%A1%E5%BE%AE</x:v>
      </x:c>
    </x:row>
    <x:row r="632">
      <x:c r="A632" s="20" t="str">
        <x:v>M09-GRADE-0077-V1.0</x:v>
      </x:c>
      <x:c r="B632" s="20" t="str">
        <x:v>规则</x:v>
      </x:c>
      <x:c r="C632" s="20" t="str">
        <x:v>M09</x:v>
      </x:c>
      <x:c r="D632" s="20" t="str">
        <x:v>09_日主旺衰</x:v>
      </x:c>
      <x:c r="E632" s="20" t="str">
        <x:v>GRADE</x:v>
      </x:c>
      <x:c r="F632" s="20" t="n">
        <x:v>77</x:v>
      </x:c>
      <x:c r="G632" s="20" t="str">
        <x:v>V1.0</x:v>
      </x:c>
      <x:c r="H632" s="20" t="str">
        <x:v>中和偏旺表示扶身侧轻度占优且无决定性差距</x:v>
      </x:c>
      <x:c r="I632" s="20" t="str">
        <x:v>综合层</x:v>
      </x:c>
      <x:c r="J632" s="20" t="str">
        <x:v>七级中和偏旺</x:v>
      </x:c>
      <x:c r="K632" s="20" t="str">
        <x:v>日主扶身与负荷总体接近，但扶身侧略占优势，判中和偏旺。</x:v>
      </x:c>
      <x:c r="L632" s="20" t="str">
        <x:v>较高</x:v>
      </x:c>
      <x:c r="M632" s="20" t="str">
        <x:v>采用</x:v>
      </x:c>
      <x:c r="N632" s="20" t="str">
        <x:v>初审</x:v>
      </x:c>
      <x:c r="O632" s="22" t="n">
        <x:v>46255</x:v>
      </x:c>
      <x:c r="P632" s="20" t="str">
        <x:v>https://zh.wikisource.org/wiki/%E6%B7%B5%E6%B5%B7%E5%AD%90%E5%B9%B3%E5%A4%A7%E5%85%A8 ; https://zh.wikisource.org/wiki/%E6%BB%B4%E5%A4%A9%E9%AB%93%E9%97%A1%E5%BE%AE</x:v>
      </x:c>
    </x:row>
    <x:row r="633">
      <x:c r="A633" s="20" t="str">
        <x:v>M09-GRADE-0078-V1.0</x:v>
      </x:c>
      <x:c r="B633" s="20" t="str">
        <x:v>规则</x:v>
      </x:c>
      <x:c r="C633" s="20" t="str">
        <x:v>M09</x:v>
      </x:c>
      <x:c r="D633" s="20" t="str">
        <x:v>09_日主旺衰</x:v>
      </x:c>
      <x:c r="E633" s="20" t="str">
        <x:v>GRADE</x:v>
      </x:c>
      <x:c r="F633" s="20" t="n">
        <x:v>78</x:v>
      </x:c>
      <x:c r="G633" s="20" t="str">
        <x:v>V1.0</x:v>
      </x:c>
      <x:c r="H633" s="20" t="str">
        <x:v>旺要求扶身侧明显占优且日主具有稳定承载</x:v>
      </x:c>
      <x:c r="I633" s="20" t="str">
        <x:v>综合层</x:v>
      </x:c>
      <x:c r="J633" s="20" t="str">
        <x:v>七级旺</x:v>
      </x:c>
      <x:c r="K633" s="20" t="str">
        <x:v>扶身侧明显占优且承载稳定，判日主旺。</x:v>
      </x:c>
      <x:c r="L633" s="20" t="str">
        <x:v>较高</x:v>
      </x:c>
      <x:c r="M633" s="20" t="str">
        <x:v>采用</x:v>
      </x:c>
      <x:c r="N633" s="20" t="str">
        <x:v>初审</x:v>
      </x:c>
      <x:c r="O633" s="22" t="n">
        <x:v>46255</x:v>
      </x:c>
      <x:c r="P633" s="20" t="str">
        <x:v>https://zh.wikisource.org/wiki/%E6%B7%B5%E6%B5%B7%E5%AD%90%E5%B9%B3%E5%A4%A7%E5%85%A8 ; https://zh.wikisource.org/wiki/%E6%BB%B4%E5%A4%A9%E9%AB%93%E9%97%A1%E5%BE%AE</x:v>
      </x:c>
    </x:row>
    <x:row r="634">
      <x:c r="A634" s="20" t="str">
        <x:v>M09-GRADE-0079-V1.0</x:v>
      </x:c>
      <x:c r="B634" s="20" t="str">
        <x:v>规则</x:v>
      </x:c>
      <x:c r="C634" s="20" t="str">
        <x:v>M09</x:v>
      </x:c>
      <x:c r="D634" s="20" t="str">
        <x:v>09_日主旺衰</x:v>
      </x:c>
      <x:c r="E634" s="20" t="str">
        <x:v>GRADE</x:v>
      </x:c>
      <x:c r="F634" s="20" t="n">
        <x:v>79</x:v>
      </x:c>
      <x:c r="G634" s="20" t="str">
        <x:v>V1.0</x:v>
      </x:c>
      <x:c r="H634" s="20" t="str">
        <x:v>极旺要求扶身侧高度集中且负荷侧缺乏有效制衡</x:v>
      </x:c>
      <x:c r="I634" s="20" t="str">
        <x:v>综合层</x:v>
      </x:c>
      <x:c r="J634" s="20" t="str">
        <x:v>七级极旺</x:v>
      </x:c>
      <x:c r="K634" s="20" t="str">
        <x:v>扶身侧高度集中、负荷侧缺乏有效制衡，可判日主极旺；特殊格局另审。</x:v>
      </x:c>
      <x:c r="L634" s="20" t="str">
        <x:v>较高</x:v>
      </x:c>
      <x:c r="M634" s="20" t="str">
        <x:v>采用</x:v>
      </x:c>
      <x:c r="N634" s="20" t="str">
        <x:v>初审</x:v>
      </x:c>
      <x:c r="O634" s="22" t="n">
        <x:v>46255</x:v>
      </x:c>
      <x:c r="P634" s="20" t="str">
        <x:v>https://zh.wikisource.org/wiki/%E6%B7%B5%E6%B5%B7%E5%AD%90%E5%B9%B3%E5%A4%A7%E5%85%A8 ; https://zh.wikisource.org/wiki/%E6%BB%B4%E5%A4%A9%E9%AB%93%E9%97%A1%E5%BE%AE</x:v>
      </x:c>
    </x:row>
    <x:row r="635">
      <x:c r="A635" s="20" t="str">
        <x:v>M09-GRADE-0080-V1.0</x:v>
      </x:c>
      <x:c r="B635" s="20" t="str">
        <x:v>规则</x:v>
      </x:c>
      <x:c r="C635" s="20" t="str">
        <x:v>M09</x:v>
      </x:c>
      <x:c r="D635" s="20" t="str">
        <x:v>09_日主旺衰</x:v>
      </x:c>
      <x:c r="E635" s="20" t="str">
        <x:v>GRADE</x:v>
      </x:c>
      <x:c r="F635" s="20" t="n">
        <x:v>80</x:v>
      </x:c>
      <x:c r="G635" s="20" t="str">
        <x:v>V1.0</x:v>
      </x:c>
      <x:c r="H635" s="20" t="str">
        <x:v>相邻等级边界应优先给主级加次级候选而非跨两级跳判</x:v>
      </x:c>
      <x:c r="I635" s="20" t="str">
        <x:v>综合层</x:v>
      </x:c>
      <x:c r="J635" s="20" t="str">
        <x:v>等级边界</x:v>
      </x:c>
      <x:c r="K635" s="20" t="str">
        <x:v>证据处于边界时优先保留相邻候选，并说明偏向与反证，不做无依据的大幅跳级。</x:v>
      </x:c>
      <x:c r="L635" s="20" t="str">
        <x:v>较高</x:v>
      </x:c>
      <x:c r="M635" s="20" t="str">
        <x:v>采用</x:v>
      </x:c>
      <x:c r="N635" s="20" t="str">
        <x:v>初审</x:v>
      </x:c>
      <x:c r="O635" s="22" t="n">
        <x:v>46255</x:v>
      </x:c>
      <x:c r="P635" s="20" t="str">
        <x:v>https://zh.wikisource.org/wiki/%E6%B7%B5%E6%B5%B7%E5%AD%90%E5%B9%B3%E5%A4%A7%E5%85%A8 ; https://zh.wikisource.org/wiki/%E6%BB%B4%E5%A4%A9%E9%AB%93%E9%97%A1%E5%BE%AE</x:v>
      </x:c>
    </x:row>
    <x:row r="636">
      <x:c r="A636" s="20" t="str">
        <x:v>M09-BOUND-0081-V1.0</x:v>
      </x:c>
      <x:c r="B636" s="20" t="str">
        <x:v>规则</x:v>
      </x:c>
      <x:c r="C636" s="20" t="str">
        <x:v>M09</x:v>
      </x:c>
      <x:c r="D636" s="20" t="str">
        <x:v>09_日主旺衰</x:v>
      </x:c>
      <x:c r="E636" s="20" t="str">
        <x:v>BOUND</x:v>
      </x:c>
      <x:c r="F636" s="20" t="n">
        <x:v>81</x:v>
      </x:c>
      <x:c r="G636" s="20" t="str">
        <x:v>V1.0</x:v>
      </x:c>
      <x:c r="H636" s="20" t="str">
        <x:v>M09禁止固定分值总和代替旺衰裁定</x:v>
      </x:c>
      <x:c r="I636" s="20" t="str">
        <x:v>综合层</x:v>
      </x:c>
      <x:c r="J636" s="20" t="str">
        <x:v>非机械计分</x:v>
      </x:c>
      <x:c r="K636" s="20" t="str">
        <x:v>参考权重只帮助组织证据，最终七级旺衰必须由结构与有效力量裁定。</x:v>
      </x:c>
      <x:c r="L636" s="20" t="str">
        <x:v>较高</x:v>
      </x:c>
      <x:c r="M636" s="20" t="str">
        <x:v>采用</x:v>
      </x:c>
      <x:c r="N636" s="20" t="str">
        <x:v>初审</x:v>
      </x:c>
      <x:c r="O636" s="22" t="n">
        <x:v>46255</x:v>
      </x:c>
      <x:c r="P636" s="20" t="str">
        <x:v>https://zh.wikisource.org/wiki/%E6%B7%B5%E6%B5%B7%E5%AD%90%E5%B9%B3%E5%A4%A7%E5%85%A8 ; https://zh.wikisource.org/wiki/%E6%BB%B4%E5%A4%A9%E9%AB%93%E9%97%A1%E5%BE%AE</x:v>
      </x:c>
    </x:row>
    <x:row r="637">
      <x:c r="A637" s="20" t="str">
        <x:v>M09-BOUND-0082-V1.0</x:v>
      </x:c>
      <x:c r="B637" s="20" t="str">
        <x:v>规则</x:v>
      </x:c>
      <x:c r="C637" s="20" t="str">
        <x:v>M09</x:v>
      </x:c>
      <x:c r="D637" s="20" t="str">
        <x:v>09_日主旺衰</x:v>
      </x:c>
      <x:c r="E637" s="20" t="str">
        <x:v>BOUND</x:v>
      </x:c>
      <x:c r="F637" s="20" t="n">
        <x:v>82</x:v>
      </x:c>
      <x:c r="G637" s="20" t="str">
        <x:v>V1.0</x:v>
      </x:c>
      <x:c r="H637" s="20" t="str">
        <x:v>M09禁止按五行或十神数量投票决定身强身弱</x:v>
      </x:c>
      <x:c r="I637" s="20" t="str">
        <x:v>综合层</x:v>
      </x:c>
      <x:c r="J637" s="20" t="str">
        <x:v>数量非结论</x:v>
      </x:c>
      <x:c r="K637" s="20" t="str">
        <x:v>五行与十神数量只能作为候选证据，不能直接决定日主旺衰。</x:v>
      </x:c>
      <x:c r="L637" s="20" t="str">
        <x:v>较高</x:v>
      </x:c>
      <x:c r="M637" s="20" t="str">
        <x:v>采用</x:v>
      </x:c>
      <x:c r="N637" s="20" t="str">
        <x:v>初审</x:v>
      </x:c>
      <x:c r="O637" s="22" t="n">
        <x:v>46255</x:v>
      </x:c>
      <x:c r="P637" s="20" t="str">
        <x:v>https://zh.wikisource.org/wiki/%E6%B7%B5%E6%B5%B7%E5%AD%90%E5%B9%B3%E5%A4%A7%E5%85%A8 ; https://zh.wikisource.org/wiki/%E6%BB%B4%E5%A4%A9%E9%AB%93%E9%97%A1%E5%BE%AE</x:v>
      </x:c>
    </x:row>
    <x:row r="638">
      <x:c r="A638" s="20" t="str">
        <x:v>M09-BOUND-0083-V1.0</x:v>
      </x:c>
      <x:c r="B638" s="20" t="str">
        <x:v>规则</x:v>
      </x:c>
      <x:c r="C638" s="20" t="str">
        <x:v>M09</x:v>
      </x:c>
      <x:c r="D638" s="20" t="str">
        <x:v>09_日主旺衰</x:v>
      </x:c>
      <x:c r="E638" s="20" t="str">
        <x:v>BOUND</x:v>
      </x:c>
      <x:c r="F638" s="20" t="n">
        <x:v>83</x:v>
      </x:c>
      <x:c r="G638" s="20" t="str">
        <x:v>V1.0</x:v>
      </x:c>
      <x:c r="H638" s="20" t="str">
        <x:v>日主旺衰与喜忌用神严格分离</x:v>
      </x:c>
      <x:c r="I638" s="20" t="str">
        <x:v>综合层</x:v>
      </x:c>
      <x:c r="J638" s="20" t="str">
        <x:v>旺衰喜忌分离</x:v>
      </x:c>
      <x:c r="K638" s="20" t="str">
        <x:v>M09只判断日主力量，不直接确定喜神、忌神或用神。</x:v>
      </x:c>
      <x:c r="L638" s="20" t="str">
        <x:v>较高</x:v>
      </x:c>
      <x:c r="M638" s="20" t="str">
        <x:v>采用</x:v>
      </x:c>
      <x:c r="N638" s="20" t="str">
        <x:v>初审</x:v>
      </x:c>
      <x:c r="O638" s="22" t="n">
        <x:v>46255</x:v>
      </x:c>
      <x:c r="P638" s="20" t="str">
        <x:v>https://zh.wikisource.org/wiki/%E6%B7%B5%E6%B5%B7%E5%AD%90%E5%B9%B3%E5%A4%A7%E5%85%A8 ; https://zh.wikisource.org/wiki/%E6%BB%B4%E5%A4%A9%E9%AB%93%E9%97%A1%E5%BE%AE</x:v>
      </x:c>
    </x:row>
    <x:row r="639">
      <x:c r="A639" s="20" t="str">
        <x:v>M09-BOUND-0084-V1.0</x:v>
      </x:c>
      <x:c r="B639" s="20" t="str">
        <x:v>规则</x:v>
      </x:c>
      <x:c r="C639" s="20" t="str">
        <x:v>M09</x:v>
      </x:c>
      <x:c r="D639" s="20" t="str">
        <x:v>09_日主旺衰</x:v>
      </x:c>
      <x:c r="E639" s="20" t="str">
        <x:v>BOUND</x:v>
      </x:c>
      <x:c r="F639" s="20" t="n">
        <x:v>84</x:v>
      </x:c>
      <x:c r="G639" s="20" t="str">
        <x:v>V1.0</x:v>
      </x:c>
      <x:c r="H639" s="20" t="str">
        <x:v>极旺极弱只生成特殊格局候选不在M09确认从格</x:v>
      </x:c>
      <x:c r="I639" s="20" t="str">
        <x:v>综合层</x:v>
      </x:c>
      <x:c r="J639" s="20" t="str">
        <x:v>特殊格局接口</x:v>
      </x:c>
      <x:c r="K639" s="20" t="str">
        <x:v>日主极旺/极弱仅触发特殊格局候选，是否从格或专旺转M14严格判断。</x:v>
      </x:c>
      <x:c r="L639" s="20" t="str">
        <x:v>较高</x:v>
      </x:c>
      <x:c r="M639" s="20" t="str">
        <x:v>采用</x:v>
      </x:c>
      <x:c r="N639" s="20" t="str">
        <x:v>初审</x:v>
      </x:c>
      <x:c r="O639" s="22" t="n">
        <x:v>46255</x:v>
      </x:c>
      <x:c r="P639" s="20" t="str">
        <x:v>https://zh.wikisource.org/wiki/%E6%B7%B5%E6%B5%B7%E5%AD%90%E5%B9%B3%E5%A4%A7%E5%85%A8 ; https://zh.wikisource.org/wiki/%E6%BB%B4%E5%A4%A9%E9%AB%93%E9%97%A1%E5%BE%AE</x:v>
      </x:c>
    </x:row>
    <x:row r="640">
      <x:c r="A640" s="20" t="str">
        <x:v>M09-BOUND-0085-V1.0</x:v>
      </x:c>
      <x:c r="B640" s="20" t="str">
        <x:v>规则</x:v>
      </x:c>
      <x:c r="C640" s="20" t="str">
        <x:v>M09</x:v>
      </x:c>
      <x:c r="D640" s="20" t="str">
        <x:v>09_日主旺衰</x:v>
      </x:c>
      <x:c r="E640" s="20" t="str">
        <x:v>BOUND</x:v>
      </x:c>
      <x:c r="F640" s="20" t="n">
        <x:v>85</x:v>
      </x:c>
      <x:c r="G640" s="20" t="str">
        <x:v>V1.0</x:v>
      </x:c>
      <x:c r="H640" s="20" t="str">
        <x:v>寒暖燥湿只通过M08有效性影响M09不直接定身强弱</x:v>
      </x:c>
      <x:c r="I640" s="20" t="str">
        <x:v>综合层</x:v>
      </x:c>
      <x:c r="J640" s="20" t="str">
        <x:v>调候旺衰分离</x:v>
      </x:c>
      <x:c r="K640" s="20" t="str">
        <x:v>寒暖燥湿只有在已影响五行有效力量时才进入M09；调候需求另由M13判断。</x:v>
      </x:c>
      <x:c r="L640" s="20" t="str">
        <x:v>较高</x:v>
      </x:c>
      <x:c r="M640" s="20" t="str">
        <x:v>采用</x:v>
      </x:c>
      <x:c r="N640" s="20" t="str">
        <x:v>初审</x:v>
      </x:c>
      <x:c r="O640" s="22" t="n">
        <x:v>46255</x:v>
      </x:c>
      <x:c r="P640" s="20" t="str">
        <x:v>https://zh.wikisource.org/wiki/%E6%B7%B5%E6%B5%B7%E5%AD%90%E5%B9%B3%E5%A4%A7%E5%85%A8 ; https://zh.wikisource.org/wiki/%E6%BB%B4%E5%A4%A9%E9%AB%93%E9%97%A1%E5%BE%AE</x:v>
      </x:c>
    </x:row>
    <x:row r="641">
      <x:c r="A641" s="20" t="str">
        <x:v>M09-BOUND-0086-V1.0</x:v>
      </x:c>
      <x:c r="B641" s="20" t="str">
        <x:v>规则</x:v>
      </x:c>
      <x:c r="C641" s="20" t="str">
        <x:v>M09</x:v>
      </x:c>
      <x:c r="D641" s="20" t="str">
        <x:v>09_日主旺衰</x:v>
      </x:c>
      <x:c r="E641" s="20" t="str">
        <x:v>BOUND</x:v>
      </x:c>
      <x:c r="F641" s="20" t="n">
        <x:v>86</x:v>
      </x:c>
      <x:c r="G641" s="20" t="str">
        <x:v>V1.0</x:v>
      </x:c>
      <x:c r="H641" s="20" t="str">
        <x:v>原局静态旺衰不得混入大运流年动态增减</x:v>
      </x:c>
      <x:c r="I641" s="20" t="str">
        <x:v>综合层</x:v>
      </x:c>
      <x:c r="J641" s="20" t="str">
        <x:v>静动态分离</x:v>
      </x:c>
      <x:c r="K641" s="20" t="str">
        <x:v>M09输出原局静态日主旺衰，不混入大运流年力量。</x:v>
      </x:c>
      <x:c r="L641" s="20" t="str">
        <x:v>较高</x:v>
      </x:c>
      <x:c r="M641" s="20" t="str">
        <x:v>采用</x:v>
      </x:c>
      <x:c r="N641" s="20" t="str">
        <x:v>初审</x:v>
      </x:c>
      <x:c r="O641" s="22" t="n">
        <x:v>46255</x:v>
      </x:c>
      <x:c r="P641" s="20" t="str">
        <x:v>https://zh.wikisource.org/wiki/%E6%B7%B5%E6%B5%B7%E5%AD%90%E5%B9%B3%E5%A4%A7%E5%85%A8 ; https://zh.wikisource.org/wiki/%E6%BB%B4%E5%A4%A9%E9%AB%93%E9%97%A1%E5%BE%AE</x:v>
      </x:c>
    </x:row>
    <x:row r="642">
      <x:c r="A642" s="20" t="str">
        <x:v>M09-BOUND-0087-V1.0</x:v>
      </x:c>
      <x:c r="B642" s="20" t="str">
        <x:v>规则</x:v>
      </x:c>
      <x:c r="C642" s="20" t="str">
        <x:v>M09</x:v>
      </x:c>
      <x:c r="D642" s="20" t="str">
        <x:v>09_日主旺衰</x:v>
      </x:c>
      <x:c r="E642" s="20" t="str">
        <x:v>BOUND</x:v>
      </x:c>
      <x:c r="F642" s="20" t="n">
        <x:v>87</x:v>
      </x:c>
      <x:c r="G642" s="20" t="str">
        <x:v>V1.0</x:v>
      </x:c>
      <x:c r="H642" s="20" t="str">
        <x:v>性别不参与原局日主旺衰计算</x:v>
      </x:c>
      <x:c r="I642" s="20" t="str">
        <x:v>综合层</x:v>
      </x:c>
      <x:c r="J642" s="20" t="str">
        <x:v>性别无关旺衰</x:v>
      </x:c>
      <x:c r="K642" s="20" t="str">
        <x:v>日主旺衰是原局结构判断，性别不改变同一四柱的力量结论。</x:v>
      </x:c>
      <x:c r="L642" s="20" t="str">
        <x:v>较高</x:v>
      </x:c>
      <x:c r="M642" s="20" t="str">
        <x:v>采用</x:v>
      </x:c>
      <x:c r="N642" s="20" t="str">
        <x:v>初审</x:v>
      </x:c>
      <x:c r="O642" s="22" t="n">
        <x:v>46255</x:v>
      </x:c>
      <x:c r="P642" s="20" t="str">
        <x:v>https://zh.wikisource.org/wiki/%E6%B7%B5%E6%B5%B7%E5%AD%90%E5%B9%B3%E5%A4%A7%E5%85%A8 ; https://zh.wikisource.org/wiki/%E6%BB%B4%E5%A4%A9%E9%AB%93%E9%97%A1%E5%BE%AE</x:v>
      </x:c>
    </x:row>
    <x:row r="643">
      <x:c r="A643" s="20" t="str">
        <x:v>M09-BOUND-0088-V1.0</x:v>
      </x:c>
      <x:c r="B643" s="20" t="str">
        <x:v>规则</x:v>
      </x:c>
      <x:c r="C643" s="20" t="str">
        <x:v>M09</x:v>
      </x:c>
      <x:c r="D643" s="20" t="str">
        <x:v>09_日主旺衰</x:v>
      </x:c>
      <x:c r="E643" s="20" t="str">
        <x:v>BOUND</x:v>
      </x:c>
      <x:c r="F643" s="20" t="n">
        <x:v>88</x:v>
      </x:c>
      <x:c r="G643" s="20" t="str">
        <x:v>V1.0</x:v>
      </x:c>
      <x:c r="H643" s="20" t="str">
        <x:v>十神功能成败不在M09提前裁定</x:v>
      </x:c>
      <x:c r="I643" s="20" t="str">
        <x:v>综合层</x:v>
      </x:c>
      <x:c r="J643" s="20" t="str">
        <x:v>十神功能接口</x:v>
      </x:c>
      <x:c r="K643" s="20" t="str">
        <x:v>M09只记录相关力量对日主的影响；十神功能、清纯度与组合成立转M10/M11。</x:v>
      </x:c>
      <x:c r="L643" s="20" t="str">
        <x:v>较高</x:v>
      </x:c>
      <x:c r="M643" s="20" t="str">
        <x:v>采用</x:v>
      </x:c>
      <x:c r="N643" s="20" t="str">
        <x:v>初审</x:v>
      </x:c>
      <x:c r="O643" s="22" t="n">
        <x:v>46255</x:v>
      </x:c>
      <x:c r="P643" s="20" t="str">
        <x:v>https://zh.wikisource.org/wiki/%E6%B7%B5%E6%B5%B7%E5%AD%90%E5%B9%B3%E5%A4%A7%E5%85%A8 ; https://zh.wikisource.org/wiki/%E6%BB%B4%E5%A4%A9%E9%AB%93%E9%97%A1%E5%BE%AE</x:v>
      </x:c>
    </x:row>
    <x:row r="644">
      <x:c r="A644" s="20" t="str">
        <x:v>M09-BOUND-0089-V1.0</x:v>
      </x:c>
      <x:c r="B644" s="20" t="str">
        <x:v>规则</x:v>
      </x:c>
      <x:c r="C644" s="20" t="str">
        <x:v>M09</x:v>
      </x:c>
      <x:c r="D644" s="20" t="str">
        <x:v>09_日主旺衰</x:v>
      </x:c>
      <x:c r="E644" s="20" t="str">
        <x:v>BOUND</x:v>
      </x:c>
      <x:c r="F644" s="20" t="n">
        <x:v>89</x:v>
      </x:c>
      <x:c r="G644" s="20" t="str">
        <x:v>V1.0</x:v>
      </x:c>
      <x:c r="H644" s="20" t="str">
        <x:v>最终旺衰输出必须包含正证、反证、关键转折和置信度</x:v>
      </x:c>
      <x:c r="I644" s="20" t="str">
        <x:v>综合层</x:v>
      </x:c>
      <x:c r="J644" s="20" t="str">
        <x:v>旺衰输出规范</x:v>
      </x:c>
      <x:c r="K644" s="20" t="str">
        <x:v>最终输出须包含：旺衰等级、得令/得地/得势/得生、主要制泄耗、最强反证、关键转折与置信度。</x:v>
      </x:c>
      <x:c r="L644" s="20" t="str">
        <x:v>较高</x:v>
      </x:c>
      <x:c r="M644" s="20" t="str">
        <x:v>采用</x:v>
      </x:c>
      <x:c r="N644" s="20" t="str">
        <x:v>初审</x:v>
      </x:c>
      <x:c r="O644" s="22" t="n">
        <x:v>46255</x:v>
      </x:c>
      <x:c r="P644" s="20" t="str">
        <x:v>https://zh.wikisource.org/wiki/%E6%B7%B5%E6%B5%B7%E5%AD%90%E5%B9%B3%E5%A4%A7%E5%85%A8 ; https://zh.wikisource.org/wiki/%E6%BB%B4%E5%A4%A9%E9%AB%93%E9%97%A1%E5%BE%AE</x:v>
      </x:c>
    </x:row>
    <x:row r="645">
      <x:c r="A645" s="20" t="str">
        <x:v>M09-BOUND-0090-V1.0</x:v>
      </x:c>
      <x:c r="B645" s="20" t="str">
        <x:v>规则</x:v>
      </x:c>
      <x:c r="C645" s="20" t="str">
        <x:v>M09</x:v>
      </x:c>
      <x:c r="D645" s="20" t="str">
        <x:v>09_日主旺衰</x:v>
      </x:c>
      <x:c r="E645" s="20" t="str">
        <x:v>BOUND</x:v>
      </x:c>
      <x:c r="F645" s="20" t="n">
        <x:v>90</x:v>
      </x:c>
      <x:c r="G645" s="20" t="str">
        <x:v>V1.0</x:v>
      </x:c>
      <x:c r="H645" s="20" t="str">
        <x:v>中和偏旺与中和偏弱必须由轻度净优势而非主观感觉区分</x:v>
      </x:c>
      <x:c r="I645" s="20" t="str">
        <x:v>综合层</x:v>
      </x:c>
      <x:c r="J645" s="20" t="str">
        <x:v>中和偏向分界</x:v>
      </x:c>
      <x:c r="K645" s="20" t="str">
        <x:v>中和偏旺/偏弱必须指出造成轻度净优势的具体证据；无法指出时不得强行偏向。</x:v>
      </x:c>
      <x:c r="L645" s="20" t="str">
        <x:v>较高</x:v>
      </x:c>
      <x:c r="M645" s="20" t="str">
        <x:v>采用</x:v>
      </x:c>
      <x:c r="N645" s="20" t="str">
        <x:v>初审</x:v>
      </x:c>
      <x:c r="O645" s="22" t="n">
        <x:v>46255</x:v>
      </x:c>
      <x:c r="P645" s="20" t="str">
        <x:v>https://zh.wikisource.org/wiki/%E6%B7%B5%E6%B5%B7%E5%AD%90%E5%B9%B3%E5%A4%A7%E5%85%A8 ; https://zh.wikisource.org/wiki/%E6%BB%B4%E5%A4%A9%E9%AB%93%E9%97%A1%E5%BE%AE</x:v>
      </x:c>
    </x:row>
    <x:row r="646">
      <x:c r="A646" s="20" t="str">
        <x:v>M10-PRES-0001-V1.0</x:v>
      </x:c>
      <x:c r="B646" s="20" t="str">
        <x:v>规则</x:v>
      </x:c>
      <x:c r="C646" s="20" t="str">
        <x:v>M10</x:v>
      </x:c>
      <x:c r="D646" s="20" t="str">
        <x:v>10_十神旺衰功能</x:v>
      </x:c>
      <x:c r="E646" s="20" t="str">
        <x:v>PRES</x:v>
      </x:c>
      <x:c r="F646" s="20" t="n">
        <x:v>1</x:v>
      </x:c>
      <x:c r="G646" s="20" t="str">
        <x:v>V1.0</x:v>
      </x:c>
      <x:c r="H646" s="20" t="str">
        <x:v>十神透干属于明确显性存在</x:v>
      </x:c>
      <x:c r="I646" s="20" t="str">
        <x:v>结构层</x:v>
      </x:c>
      <x:c r="J646" s="20" t="str">
        <x:v>十神显性存在</x:v>
      </x:c>
      <x:c r="K646" s="20" t="str">
        <x:v>十神透干属于明确显性存在：当“目标十神出现在四柱天干”成立时，按本规则记录十神的有效功能；同时保留制化、承载和反向证据。</x:v>
      </x:c>
      <x:c r="L646" s="20" t="str">
        <x:v>较高</x:v>
      </x:c>
      <x:c r="M646" s="20" t="str">
        <x:v>采用</x:v>
      </x:c>
      <x:c r="N646" s="20" t="str">
        <x:v>初审</x:v>
      </x:c>
      <x:c r="O646" s="22" t="n">
        <x:v>46255</x:v>
      </x:c>
      <x:c r="P646" s="20" t="str">
        <x:v>https://zh.wikisource.org/wiki/%E6%B8%8A%E6%B5%B7%E5%AD%90%E5%B9%B3%E5%A4%A7%E5%85%A8 ; https://zh.wikisource.org/wiki/%E6%BB%B4%E5%A4%A9%E9%AB%93%E9%97%A1%E5%BE%AE</x:v>
      </x:c>
    </x:row>
    <x:row r="647">
      <x:c r="A647" s="20" t="str">
        <x:v>M10-PRES-0002-V1.0</x:v>
      </x:c>
      <x:c r="B647" s="20" t="str">
        <x:v>规则</x:v>
      </x:c>
      <x:c r="C647" s="20" t="str">
        <x:v>M10</x:v>
      </x:c>
      <x:c r="D647" s="20" t="str">
        <x:v>10_十神旺衰功能</x:v>
      </x:c>
      <x:c r="E647" s="20" t="str">
        <x:v>PRES</x:v>
      </x:c>
      <x:c r="F647" s="20" t="n">
        <x:v>2</x:v>
      </x:c>
      <x:c r="G647" s="20" t="str">
        <x:v>V1.0</x:v>
      </x:c>
      <x:c r="H647" s="20" t="str">
        <x:v>藏于地支本气属于稳定的隐性存在</x:v>
      </x:c>
      <x:c r="I647" s="20" t="str">
        <x:v>结构层</x:v>
      </x:c>
      <x:c r="J647" s="20" t="str">
        <x:v>十神本气藏支</x:v>
      </x:c>
      <x:c r="K647" s="20" t="str">
        <x:v>藏于地支本气属于稳定的隐性存在：当“目标十神对应天干藏于某地支本气”成立时，按本规则记录十神的有效功能；同时保留制化、承载和反向证据。</x:v>
      </x:c>
      <x:c r="L647" s="20" t="str">
        <x:v>较高</x:v>
      </x:c>
      <x:c r="M647" s="20" t="str">
        <x:v>采用</x:v>
      </x:c>
      <x:c r="N647" s="20" t="str">
        <x:v>初审</x:v>
      </x:c>
      <x:c r="O647" s="22" t="n">
        <x:v>46255</x:v>
      </x:c>
      <x:c r="P647" s="20" t="str">
        <x:v>https://zh.wikisource.org/wiki/%E6%B8%8A%E6%B5%B7%E5%AD%90%E5%B9%B3%E5%A4%A7%E5%85%A8 ; https://zh.wikisource.org/wiki/%E6%BB%B4%E5%A4%A9%E9%AB%93%E9%97%A1%E5%BE%AE</x:v>
      </x:c>
    </x:row>
    <x:row r="648">
      <x:c r="A648" s="20" t="str">
        <x:v>M10-PRES-0003-V1.0</x:v>
      </x:c>
      <x:c r="B648" s="20" t="str">
        <x:v>规则</x:v>
      </x:c>
      <x:c r="C648" s="20" t="str">
        <x:v>M10</x:v>
      </x:c>
      <x:c r="D648" s="20" t="str">
        <x:v>10_十神旺衰功能</x:v>
      </x:c>
      <x:c r="E648" s="20" t="str">
        <x:v>PRES</x:v>
      </x:c>
      <x:c r="F648" s="20" t="n">
        <x:v>3</x:v>
      </x:c>
      <x:c r="G648" s="20" t="str">
        <x:v>V1.0</x:v>
      </x:c>
      <x:c r="H648" s="20" t="str">
        <x:v>藏于地支中气属于中层隐性存在</x:v>
      </x:c>
      <x:c r="I648" s="20" t="str">
        <x:v>结构层</x:v>
      </x:c>
      <x:c r="J648" s="20" t="str">
        <x:v>十神中气藏支</x:v>
      </x:c>
      <x:c r="K648" s="20" t="str">
        <x:v>藏于地支中气属于中层隐性存在：当“目标十神对应天干藏于某地支中气”成立时，按本规则记录十神的有效功能；同时保留制化、承载和反向证据。</x:v>
      </x:c>
      <x:c r="L648" s="20" t="str">
        <x:v>较高</x:v>
      </x:c>
      <x:c r="M648" s="20" t="str">
        <x:v>采用</x:v>
      </x:c>
      <x:c r="N648" s="20" t="str">
        <x:v>初审</x:v>
      </x:c>
      <x:c r="O648" s="22" t="n">
        <x:v>46255</x:v>
      </x:c>
      <x:c r="P648" s="20" t="str">
        <x:v>https://zh.wikisource.org/wiki/%E6%B8%8A%E6%B5%B7%E5%AD%90%E5%B9%B3%E5%A4%A7%E5%85%A8 ; https://zh.wikisource.org/wiki/%E6%BB%B4%E5%A4%A9%E9%AB%93%E9%97%A1%E5%BE%AE</x:v>
      </x:c>
    </x:row>
    <x:row r="649">
      <x:c r="A649" s="20" t="str">
        <x:v>M10-PRES-0004-V1.0</x:v>
      </x:c>
      <x:c r="B649" s="20" t="str">
        <x:v>规则</x:v>
      </x:c>
      <x:c r="C649" s="20" t="str">
        <x:v>M10</x:v>
      </x:c>
      <x:c r="D649" s="20" t="str">
        <x:v>10_十神旺衰功能</x:v>
      </x:c>
      <x:c r="E649" s="20" t="str">
        <x:v>PRES</x:v>
      </x:c>
      <x:c r="F649" s="20" t="n">
        <x:v>4</x:v>
      </x:c>
      <x:c r="G649" s="20" t="str">
        <x:v>V1.0</x:v>
      </x:c>
      <x:c r="H649" s="20" t="str">
        <x:v>藏于地支余气属于弱层隐性存在</x:v>
      </x:c>
      <x:c r="I649" s="20" t="str">
        <x:v>结构层</x:v>
      </x:c>
      <x:c r="J649" s="20" t="str">
        <x:v>十神余气藏支</x:v>
      </x:c>
      <x:c r="K649" s="20" t="str">
        <x:v>藏于地支余气属于弱层隐性存在：当“目标十神对应天干藏于某地支余气”成立时，按本规则记录十神的有效功能；同时保留制化、承载和反向证据。</x:v>
      </x:c>
      <x:c r="L649" s="20" t="str">
        <x:v>较高</x:v>
      </x:c>
      <x:c r="M649" s="20" t="str">
        <x:v>采用</x:v>
      </x:c>
      <x:c r="N649" s="20" t="str">
        <x:v>初审</x:v>
      </x:c>
      <x:c r="O649" s="22" t="n">
        <x:v>46255</x:v>
      </x:c>
      <x:c r="P649" s="20" t="str">
        <x:v>https://zh.wikisource.org/wiki/%E6%B8%8A%E6%B5%B7%E5%AD%90%E5%B9%B3%E5%A4%A7%E5%85%A8 ; https://zh.wikisource.org/wiki/%E6%BB%B4%E5%A4%A9%E9%AB%93%E9%97%A1%E5%BE%AE</x:v>
      </x:c>
    </x:row>
    <x:row r="650">
      <x:c r="A650" s="20" t="str">
        <x:v>M10-PRES-0005-V1.0</x:v>
      </x:c>
      <x:c r="B650" s="20" t="str">
        <x:v>规则</x:v>
      </x:c>
      <x:c r="C650" s="20" t="str">
        <x:v>M10</x:v>
      </x:c>
      <x:c r="D650" s="20" t="str">
        <x:v>10_十神旺衰功能</x:v>
      </x:c>
      <x:c r="E650" s="20" t="str">
        <x:v>PRES</x:v>
      </x:c>
      <x:c r="F650" s="20" t="n">
        <x:v>5</x:v>
      </x:c>
      <x:c r="G650" s="20" t="str">
        <x:v>V1.0</x:v>
      </x:c>
      <x:c r="H650" s="20" t="str">
        <x:v>同一十神多处出现只证明节点增多</x:v>
      </x:c>
      <x:c r="I650" s="20" t="str">
        <x:v>结构层</x:v>
      </x:c>
      <x:c r="J650" s="20" t="str">
        <x:v>十神多节点存在</x:v>
      </x:c>
      <x:c r="K650" s="20" t="str">
        <x:v>同一十神多处出现只证明节点增多：当“同一十神在两个及以上独立干支节点出现”成立时，按本规则记录十神的有效功能；同时保留制化、承载和反向证据。</x:v>
      </x:c>
      <x:c r="L650" s="20" t="str">
        <x:v>较高</x:v>
      </x:c>
      <x:c r="M650" s="20" t="str">
        <x:v>采用</x:v>
      </x:c>
      <x:c r="N650" s="20" t="str">
        <x:v>初审</x:v>
      </x:c>
      <x:c r="O650" s="22" t="n">
        <x:v>46255</x:v>
      </x:c>
      <x:c r="P650" s="20" t="str">
        <x:v>https://zh.wikisource.org/wiki/%E6%B8%8A%E6%B5%B7%E5%AD%90%E5%B9%B3%E5%A4%A7%E5%85%A8 ; https://zh.wikisource.org/wiki/%E6%BB%B4%E5%A4%A9%E9%AB%93%E9%97%A1%E5%BE%AE</x:v>
      </x:c>
    </x:row>
    <x:row r="651">
      <x:c r="A651" s="20" t="str">
        <x:v>M10-PRES-0006-V1.0</x:v>
      </x:c>
      <x:c r="B651" s="20" t="str">
        <x:v>规则</x:v>
      </x:c>
      <x:c r="C651" s="20" t="str">
        <x:v>M10</x:v>
      </x:c>
      <x:c r="D651" s="20" t="str">
        <x:v>10_十神旺衰功能</x:v>
      </x:c>
      <x:c r="E651" s="20" t="str">
        <x:v>PRES</x:v>
      </x:c>
      <x:c r="F651" s="20" t="n">
        <x:v>6</x:v>
      </x:c>
      <x:c r="G651" s="20" t="str">
        <x:v>V1.0</x:v>
      </x:c>
      <x:c r="H651" s="20" t="str">
        <x:v>十神完全不现仅表示原局无直接节点</x:v>
      </x:c>
      <x:c r="I651" s="20" t="str">
        <x:v>结构层</x:v>
      </x:c>
      <x:c r="J651" s="20" t="str">
        <x:v>十神原局不现</x:v>
      </x:c>
      <x:c r="K651" s="20" t="str">
        <x:v>十神完全不现仅表示原局无直接节点：当“四柱明干与藏干均未出现目标十神”成立时，按本规则记录十神的有效功能；同时保留制化、承载和反向证据。</x:v>
      </x:c>
      <x:c r="L651" s="20" t="str">
        <x:v>较高</x:v>
      </x:c>
      <x:c r="M651" s="20" t="str">
        <x:v>采用</x:v>
      </x:c>
      <x:c r="N651" s="20" t="str">
        <x:v>初审</x:v>
      </x:c>
      <x:c r="O651" s="22" t="n">
        <x:v>46255</x:v>
      </x:c>
      <x:c r="P651" s="20" t="str">
        <x:v>https://zh.wikisource.org/wiki/%E6%B8%8A%E6%B5%B7%E5%AD%90%E5%B9%B3%E5%A4%A7%E5%85%A8 ; https://zh.wikisource.org/wiki/%E6%BB%B4%E5%A4%A9%E9%AB%93%E9%97%A1%E5%BE%AE</x:v>
      </x:c>
    </x:row>
    <x:row r="652">
      <x:c r="A652" s="20" t="str">
        <x:v>M10-PRES-0007-V1.0</x:v>
      </x:c>
      <x:c r="B652" s="20" t="str">
        <x:v>规则</x:v>
      </x:c>
      <x:c r="C652" s="20" t="str">
        <x:v>M10</x:v>
      </x:c>
      <x:c r="D652" s="20" t="str">
        <x:v>10_十神旺衰功能</x:v>
      </x:c>
      <x:c r="E652" s="20" t="str">
        <x:v>PRES</x:v>
      </x:c>
      <x:c r="F652" s="20" t="n">
        <x:v>7</x:v>
      </x:c>
      <x:c r="G652" s="20" t="str">
        <x:v>V1.0</x:v>
      </x:c>
      <x:c r="H652" s="20" t="str">
        <x:v>透干且通根应同时记录存在方式与承载</x:v>
      </x:c>
      <x:c r="I652" s="20" t="str">
        <x:v>结构层</x:v>
      </x:c>
      <x:c r="J652" s="20" t="str">
        <x:v>十神透根相应</x:v>
      </x:c>
      <x:c r="K652" s="20" t="str">
        <x:v>透干且通根应同时记录存在方式与承载：当“七杀透干并在地支有有效同类根”成立时，按本规则记录十神的有效功能；同时保留制化、承载和反向证据。</x:v>
      </x:c>
      <x:c r="L652" s="20" t="str">
        <x:v>较高</x:v>
      </x:c>
      <x:c r="M652" s="20" t="str">
        <x:v>采用</x:v>
      </x:c>
      <x:c r="N652" s="20" t="str">
        <x:v>初审</x:v>
      </x:c>
      <x:c r="O652" s="22" t="n">
        <x:v>46255</x:v>
      </x:c>
      <x:c r="P652" s="20" t="str">
        <x:v>https://zh.wikisource.org/wiki/%E6%B8%8A%E6%B5%B7%E5%AD%90%E5%B9%B3%E5%A4%A7%E5%85%A8 ; https://zh.wikisource.org/wiki/%E6%BB%B4%E5%A4%A9%E9%AB%93%E9%97%A1%E5%BE%AE</x:v>
      </x:c>
    </x:row>
    <x:row r="653">
      <x:c r="A653" s="20" t="str">
        <x:v>M10-PRES-0008-V1.0</x:v>
      </x:c>
      <x:c r="B653" s="20" t="str">
        <x:v>规则</x:v>
      </x:c>
      <x:c r="C653" s="20" t="str">
        <x:v>M10</x:v>
      </x:c>
      <x:c r="D653" s="20" t="str">
        <x:v>10_十神旺衰功能</x:v>
      </x:c>
      <x:c r="E653" s="20" t="str">
        <x:v>PRES</x:v>
      </x:c>
      <x:c r="F653" s="20" t="n">
        <x:v>8</x:v>
      </x:c>
      <x:c r="G653" s="20" t="str">
        <x:v>V1.0</x:v>
      </x:c>
      <x:c r="H653" s="20" t="str">
        <x:v>藏而不透不等于十神不存在</x:v>
      </x:c>
      <x:c r="I653" s="20" t="str">
        <x:v>结构层</x:v>
      </x:c>
      <x:c r="J653" s="20" t="str">
        <x:v>十神藏而不透</x:v>
      </x:c>
      <x:c r="K653" s="20" t="str">
        <x:v>藏而不透不等于十神不存在：当“正官只见于地支藏干而天干不透”成立时，按本规则记录十神的有效功能；同时保留制化、承载和反向证据。</x:v>
      </x:c>
      <x:c r="L653" s="20" t="str">
        <x:v>较高</x:v>
      </x:c>
      <x:c r="M653" s="20" t="str">
        <x:v>采用</x:v>
      </x:c>
      <x:c r="N653" s="20" t="str">
        <x:v>初审</x:v>
      </x:c>
      <x:c r="O653" s="22" t="n">
        <x:v>46255</x:v>
      </x:c>
      <x:c r="P653" s="20" t="str">
        <x:v>https://zh.wikisource.org/wiki/%E6%B8%8A%E6%B5%B7%E5%AD%90%E5%B9%B3%E5%A4%A7%E5%85%A8 ; https://zh.wikisource.org/wiki/%E6%BB%B4%E5%A4%A9%E9%AB%93%E9%97%A1%E5%BE%AE</x:v>
      </x:c>
    </x:row>
    <x:row r="654">
      <x:c r="A654" s="20" t="str">
        <x:v>M10-PRES-0009-V1.0</x:v>
      </x:c>
      <x:c r="B654" s="20" t="str">
        <x:v>规则</x:v>
      </x:c>
      <x:c r="C654" s="20" t="str">
        <x:v>M10</x:v>
      </x:c>
      <x:c r="D654" s="20" t="str">
        <x:v>10_十神旺衰功能</x:v>
      </x:c>
      <x:c r="E654" s="20" t="str">
        <x:v>PRES</x:v>
      </x:c>
      <x:c r="F654" s="20" t="n">
        <x:v>9</x:v>
      </x:c>
      <x:c r="G654" s="20" t="str">
        <x:v>V1.0</x:v>
      </x:c>
      <x:c r="H654" s="20" t="str">
        <x:v>同一地支含多个藏干时各十神分别识别</x:v>
      </x:c>
      <x:c r="I654" s="20" t="str">
        <x:v>结构层</x:v>
      </x:c>
      <x:c r="J654" s="20" t="str">
        <x:v>藏干十神分项识别</x:v>
      </x:c>
      <x:c r="K654" s="20" t="str">
        <x:v>同一地支含多个藏干时各十神分别识别：当“一个地支藏干映射出两个或三个不同十神”成立时，按本规则记录十神的有效功能；同时保留制化、承载和反向证据。</x:v>
      </x:c>
      <x:c r="L654" s="20" t="str">
        <x:v>较高</x:v>
      </x:c>
      <x:c r="M654" s="20" t="str">
        <x:v>采用</x:v>
      </x:c>
      <x:c r="N654" s="20" t="str">
        <x:v>初审</x:v>
      </x:c>
      <x:c r="O654" s="22" t="n">
        <x:v>46255</x:v>
      </x:c>
      <x:c r="P654" s="20" t="str">
        <x:v>https://zh.wikisource.org/wiki/%E6%B8%8A%E6%B5%B7%E5%AD%90%E5%B9%B3%E5%A4%A7%E5%85%A8 ; https://zh.wikisource.org/wiki/%E6%BB%B4%E5%A4%A9%E9%AB%93%E9%97%A1%E5%BE%AE</x:v>
      </x:c>
    </x:row>
    <x:row r="655">
      <x:c r="A655" s="20" t="str">
        <x:v>M10-PRES-0010-V1.0</x:v>
      </x:c>
      <x:c r="B655" s="20" t="str">
        <x:v>规则</x:v>
      </x:c>
      <x:c r="C655" s="20" t="str">
        <x:v>M10</x:v>
      </x:c>
      <x:c r="D655" s="20" t="str">
        <x:v>10_十神旺衰功能</x:v>
      </x:c>
      <x:c r="E655" s="20" t="str">
        <x:v>PRES</x:v>
      </x:c>
      <x:c r="F655" s="20" t="n">
        <x:v>10</x:v>
      </x:c>
      <x:c r="G655" s="20" t="str">
        <x:v>V1.0</x:v>
      </x:c>
      <x:c r="H655" s="20" t="str">
        <x:v>正偏同类十神并见先生成混杂候选</x:v>
      </x:c>
      <x:c r="I655" s="20" t="str">
        <x:v>结构层</x:v>
      </x:c>
      <x:c r="J655" s="20" t="str">
        <x:v>正偏并见候选</x:v>
      </x:c>
      <x:c r="K655" s="20" t="str">
        <x:v>正偏同类十神并见先生成混杂候选：当“同一功能群的正、偏十神同时有效存在”成立时，按本规则记录十神的有效功能；同时保留制化、承载和反向证据。</x:v>
      </x:c>
      <x:c r="L655" s="20" t="str">
        <x:v>较高</x:v>
      </x:c>
      <x:c r="M655" s="20" t="str">
        <x:v>采用</x:v>
      </x:c>
      <x:c r="N655" s="20" t="str">
        <x:v>初审</x:v>
      </x:c>
      <x:c r="O655" s="22" t="n">
        <x:v>46255</x:v>
      </x:c>
      <x:c r="P655" s="20" t="str">
        <x:v>https://zh.wikisource.org/wiki/%E6%B8%8A%E6%B5%B7%E5%AD%90%E5%B9%B3%E5%A4%A7%E5%85%A8 ; https://zh.wikisource.org/wiki/%E6%BB%B4%E5%A4%A9%E9%AB%93%E9%97%A1%E5%BE%AE</x:v>
      </x:c>
    </x:row>
    <x:row r="656">
      <x:c r="A656" s="20" t="str">
        <x:v>M10-PRES-0011-V1.0</x:v>
      </x:c>
      <x:c r="B656" s="20" t="str">
        <x:v>规则</x:v>
      </x:c>
      <x:c r="C656" s="20" t="str">
        <x:v>M10</x:v>
      </x:c>
      <x:c r="D656" s="20" t="str">
        <x:v>10_十神旺衰功能</x:v>
      </x:c>
      <x:c r="E656" s="20" t="str">
        <x:v>PRES</x:v>
      </x:c>
      <x:c r="F656" s="20" t="n">
        <x:v>11</x:v>
      </x:c>
      <x:c r="G656" s="20" t="str">
        <x:v>V1.0</x:v>
      </x:c>
      <x:c r="H656" s="20" t="str">
        <x:v>十神存在必须以日主为参照映射</x:v>
      </x:c>
      <x:c r="I656" s="20" t="str">
        <x:v>结构层</x:v>
      </x:c>
      <x:c r="J656" s="20" t="str">
        <x:v>十神相对映射</x:v>
      </x:c>
      <x:c r="K656" s="20" t="str">
        <x:v>十神存在必须以日主为参照映射：当“识别食神、伤官等十神时必须先确定日主天干及阴阳”成立时，按本规则记录十神的有效功能；同时保留制化、承载和反向证据。</x:v>
      </x:c>
      <x:c r="L656" s="20" t="str">
        <x:v>较高</x:v>
      </x:c>
      <x:c r="M656" s="20" t="str">
        <x:v>采用</x:v>
      </x:c>
      <x:c r="N656" s="20" t="str">
        <x:v>初审</x:v>
      </x:c>
      <x:c r="O656" s="22" t="n">
        <x:v>46255</x:v>
      </x:c>
      <x:c r="P656" s="20" t="str">
        <x:v>https://zh.wikisource.org/wiki/%E6%B8%8A%E6%B5%B7%E5%AD%90%E5%B9%B3%E5%A4%A7%E5%85%A8 ; https://zh.wikisource.org/wiki/%E6%BB%B4%E5%A4%A9%E9%AB%93%E9%97%A1%E5%BE%AE</x:v>
      </x:c>
    </x:row>
    <x:row r="657">
      <x:c r="A657" s="20" t="str">
        <x:v>M10-PRES-0012-V1.0</x:v>
      </x:c>
      <x:c r="B657" s="20" t="str">
        <x:v>规则</x:v>
      </x:c>
      <x:c r="C657" s="20" t="str">
        <x:v>M10</x:v>
      </x:c>
      <x:c r="D657" s="20" t="str">
        <x:v>10_十神旺衰功能</x:v>
      </x:c>
      <x:c r="E657" s="20" t="str">
        <x:v>PRES</x:v>
      </x:c>
      <x:c r="F657" s="20" t="n">
        <x:v>12</x:v>
      </x:c>
      <x:c r="G657" s="20" t="str">
        <x:v>V1.0</x:v>
      </x:c>
      <x:c r="H657" s="20" t="str">
        <x:v>静态原局存在与岁运引动必须分开</x:v>
      </x:c>
      <x:c r="I657" s="20" t="str">
        <x:v>结构层</x:v>
      </x:c>
      <x:c r="J657" s="20" t="str">
        <x:v>静动态存在分离</x:v>
      </x:c>
      <x:c r="K657" s="20" t="str">
        <x:v>静态原局存在与岁运引动必须分开：当“M10只处理原局十神存在，不使用未来岁运补入作为原局存在证据”成立时，按本规则记录十神的有效功能；同时保留制化、承载和反向证据。</x:v>
      </x:c>
      <x:c r="L657" s="20" t="str">
        <x:v>较高</x:v>
      </x:c>
      <x:c r="M657" s="20" t="str">
        <x:v>采用</x:v>
      </x:c>
      <x:c r="N657" s="20" t="str">
        <x:v>初审</x:v>
      </x:c>
      <x:c r="O657" s="22" t="n">
        <x:v>46255</x:v>
      </x:c>
      <x:c r="P657" s="20" t="str">
        <x:v>https://zh.wikisource.org/wiki/%E6%B8%8A%E6%B5%B7%E5%AD%90%E5%B9%B3%E5%A4%A7%E5%85%A8 ; https://zh.wikisource.org/wiki/%E6%BB%B4%E5%A4%A9%E9%AB%93%E9%97%A1%E5%BE%AE</x:v>
      </x:c>
    </x:row>
    <x:row r="658">
      <x:c r="A658" s="20" t="str">
        <x:v>M10-POWER-0013-V1.0</x:v>
      </x:c>
      <x:c r="B658" s="20" t="str">
        <x:v>规则</x:v>
      </x:c>
      <x:c r="C658" s="20" t="str">
        <x:v>M10</x:v>
      </x:c>
      <x:c r="D658" s="20" t="str">
        <x:v>10_十神旺衰功能</x:v>
      </x:c>
      <x:c r="E658" s="20" t="str">
        <x:v>POWER</x:v>
      </x:c>
      <x:c r="F658" s="20" t="n">
        <x:v>13</x:v>
      </x:c>
      <x:c r="G658" s="20" t="str">
        <x:v>V1.0</x:v>
      </x:c>
      <x:c r="H658" s="20" t="str">
        <x:v>十神有效力量继承对应五行的M08结果</x:v>
      </x:c>
      <x:c r="I658" s="20" t="str">
        <x:v>结构层</x:v>
      </x:c>
      <x:c r="J658" s="20" t="str">
        <x:v>十神力量继承</x:v>
      </x:c>
      <x:c r="K658" s="20" t="str">
        <x:v>十神有效力量继承对应五行的M08结果：当“目标十神已映射到具体干支节点，并有M08有效旺衰结果”成立时，按本规则记录十神的有效功能；同时保留制化、承载和反向证据。</x:v>
      </x:c>
      <x:c r="L658" s="20" t="str">
        <x:v>较高</x:v>
      </x:c>
      <x:c r="M658" s="20" t="str">
        <x:v>采用</x:v>
      </x:c>
      <x:c r="N658" s="20" t="str">
        <x:v>初审</x:v>
      </x:c>
      <x:c r="O658" s="22" t="n">
        <x:v>46255</x:v>
      </x:c>
      <x:c r="P658" s="20" t="str">
        <x:v>https://zh.wikisource.org/wiki/%E6%B8%8A%E6%B5%B7%E5%AD%90%E5%B9%B3%E5%A4%A7%E5%85%A8 ; https://zh.wikisource.org/wiki/%E6%BB%B4%E5%A4%A9%E9%AB%93%E9%97%A1%E5%BE%AE</x:v>
      </x:c>
    </x:row>
    <x:row r="659">
      <x:c r="A659" s="20" t="str">
        <x:v>M10-POWER-0014-V1.0</x:v>
      </x:c>
      <x:c r="B659" s="20" t="str">
        <x:v>规则</x:v>
      </x:c>
      <x:c r="C659" s="20" t="str">
        <x:v>M10</x:v>
      </x:c>
      <x:c r="D659" s="20" t="str">
        <x:v>10_十神旺衰功能</x:v>
      </x:c>
      <x:c r="E659" s="20" t="str">
        <x:v>POWER</x:v>
      </x:c>
      <x:c r="F659" s="20" t="n">
        <x:v>14</x:v>
      </x:c>
      <x:c r="G659" s="20" t="str">
        <x:v>V1.0</x:v>
      </x:c>
      <x:c r="H659" s="20" t="str">
        <x:v>十神原始力量与有效力量必须分开</x:v>
      </x:c>
      <x:c r="I659" s="20" t="str">
        <x:v>结构层</x:v>
      </x:c>
      <x:c r="J659" s="20" t="str">
        <x:v>十神原效分离</x:v>
      </x:c>
      <x:c r="K659" s="20" t="str">
        <x:v>十神原始力量与有效力量必须分开：当“十神节点在M07原始有力，但经M06/M08受到合冲制化修正”成立时，按本规则记录十神的有效功能；同时保留制化、承载和反向证据。</x:v>
      </x:c>
      <x:c r="L659" s="20" t="str">
        <x:v>较高</x:v>
      </x:c>
      <x:c r="M659" s="20" t="str">
        <x:v>采用</x:v>
      </x:c>
      <x:c r="N659" s="20" t="str">
        <x:v>初审</x:v>
      </x:c>
      <x:c r="O659" s="22" t="n">
        <x:v>46255</x:v>
      </x:c>
      <x:c r="P659" s="20" t="str">
        <x:v>https://zh.wikisource.org/wiki/%E6%B8%8A%E6%B5%B7%E5%AD%90%E5%B9%B3%E5%A4%A7%E5%85%A8 ; https://zh.wikisource.org/wiki/%E6%BB%B4%E5%A4%A9%E9%AB%93%E9%97%A1%E5%BE%AE</x:v>
      </x:c>
    </x:row>
    <x:row r="660">
      <x:c r="A660" s="20" t="str">
        <x:v>M10-POWER-0015-V1.0</x:v>
      </x:c>
      <x:c r="B660" s="20" t="str">
        <x:v>规则</x:v>
      </x:c>
      <x:c r="C660" s="20" t="str">
        <x:v>M10</x:v>
      </x:c>
      <x:c r="D660" s="20" t="str">
        <x:v>10_十神旺衰功能</x:v>
      </x:c>
      <x:c r="E660" s="20" t="str">
        <x:v>POWER</x:v>
      </x:c>
      <x:c r="F660" s="20" t="n">
        <x:v>15</x:v>
      </x:c>
      <x:c r="G660" s="20" t="str">
        <x:v>V1.0</x:v>
      </x:c>
      <x:c r="H660" s="20" t="str">
        <x:v>多节点十神力量采用独立节点汇总而非次数计分</x:v>
      </x:c>
      <x:c r="I660" s="20" t="str">
        <x:v>结构层</x:v>
      </x:c>
      <x:c r="J660" s="20" t="str">
        <x:v>十神多节点汇总</x:v>
      </x:c>
      <x:c r="K660" s="20" t="str">
        <x:v>多节点十神力量采用独立节点汇总而非次数计分：当“同一十神在多个独立节点出现”成立时，按本规则记录十神的有效功能；同时保留制化、承载和反向证据。</x:v>
      </x:c>
      <x:c r="L660" s="20" t="str">
        <x:v>较高</x:v>
      </x:c>
      <x:c r="M660" s="20" t="str">
        <x:v>采用</x:v>
      </x:c>
      <x:c r="N660" s="20" t="str">
        <x:v>初审</x:v>
      </x:c>
      <x:c r="O660" s="22" t="n">
        <x:v>46255</x:v>
      </x:c>
      <x:c r="P660" s="20" t="str">
        <x:v>https://zh.wikisource.org/wiki/%E6%B8%8A%E6%B5%B7%E5%AD%90%E5%B9%B3%E5%A4%A7%E5%85%A8 ; https://zh.wikisource.org/wiki/%E6%BB%B4%E5%A4%A9%E9%AB%93%E9%97%A1%E5%BE%AE</x:v>
      </x:c>
    </x:row>
    <x:row r="661">
      <x:c r="A661" s="20" t="str">
        <x:v>M10-POWER-0016-V1.0</x:v>
      </x:c>
      <x:c r="B661" s="20" t="str">
        <x:v>规则</x:v>
      </x:c>
      <x:c r="C661" s="20" t="str">
        <x:v>M10</x:v>
      </x:c>
      <x:c r="D661" s="20" t="str">
        <x:v>10_十神旺衰功能</x:v>
      </x:c>
      <x:c r="E661" s="20" t="str">
        <x:v>POWER</x:v>
      </x:c>
      <x:c r="F661" s="20" t="n">
        <x:v>16</x:v>
      </x:c>
      <x:c r="G661" s="20" t="str">
        <x:v>V1.0</x:v>
      </x:c>
      <x:c r="H661" s="20" t="str">
        <x:v>得令提高十神力量但不是旺的充分条件</x:v>
      </x:c>
      <x:c r="I661" s="20" t="str">
        <x:v>结构层</x:v>
      </x:c>
      <x:c r="J661" s="20" t="str">
        <x:v>十神季令支持</x:v>
      </x:c>
      <x:c r="K661" s="20" t="str">
        <x:v>得令提高十神力量但不是旺的充分条件：当“目标十神对应五行获得强季令支持”成立时，按本规则记录十神的有效功能；同时保留制化、承载和反向证据。</x:v>
      </x:c>
      <x:c r="L661" s="20" t="str">
        <x:v>较高</x:v>
      </x:c>
      <x:c r="M661" s="20" t="str">
        <x:v>采用</x:v>
      </x:c>
      <x:c r="N661" s="20" t="str">
        <x:v>初审</x:v>
      </x:c>
      <x:c r="O661" s="22" t="n">
        <x:v>46255</x:v>
      </x:c>
      <x:c r="P661" s="20" t="str">
        <x:v>https://zh.wikisource.org/wiki/%E6%B8%8A%E6%B5%B7%E5%AD%90%E5%B9%B3%E5%A4%A7%E5%85%A8 ; https://zh.wikisource.org/wiki/%E6%BB%B4%E5%A4%A9%E9%AB%93%E9%97%A1%E5%BE%AE</x:v>
      </x:c>
    </x:row>
    <x:row r="662">
      <x:c r="A662" s="20" t="str">
        <x:v>M10-POWER-0017-V1.0</x:v>
      </x:c>
      <x:c r="B662" s="20" t="str">
        <x:v>规则</x:v>
      </x:c>
      <x:c r="C662" s="20" t="str">
        <x:v>M10</x:v>
      </x:c>
      <x:c r="D662" s="20" t="str">
        <x:v>10_十神旺衰功能</x:v>
      </x:c>
      <x:c r="E662" s="20" t="str">
        <x:v>POWER</x:v>
      </x:c>
      <x:c r="F662" s="20" t="n">
        <x:v>17</x:v>
      </x:c>
      <x:c r="G662" s="20" t="str">
        <x:v>V1.0</x:v>
      </x:c>
      <x:c r="H662" s="20" t="str">
        <x:v>有效根气增强十神持续作用能力</x:v>
      </x:c>
      <x:c r="I662" s="20" t="str">
        <x:v>结构层</x:v>
      </x:c>
      <x:c r="J662" s="20" t="str">
        <x:v>十神根气支持</x:v>
      </x:c>
      <x:c r="K662" s="20" t="str">
        <x:v>有效根气增强十神持续作用能力：当“财星透干或藏支且存在可调用的有效根”成立时，按本规则记录十神的有效功能；同时保留制化、承载和反向证据。</x:v>
      </x:c>
      <x:c r="L662" s="20" t="str">
        <x:v>较高</x:v>
      </x:c>
      <x:c r="M662" s="20" t="str">
        <x:v>采用</x:v>
      </x:c>
      <x:c r="N662" s="20" t="str">
        <x:v>初审</x:v>
      </x:c>
      <x:c r="O662" s="22" t="n">
        <x:v>46255</x:v>
      </x:c>
      <x:c r="P662" s="20" t="str">
        <x:v>https://zh.wikisource.org/wiki/%E6%B8%8A%E6%B5%B7%E5%AD%90%E5%B9%B3%E5%A4%A7%E5%85%A8 ; https://zh.wikisource.org/wiki/%E6%BB%B4%E5%A4%A9%E9%AB%93%E9%97%A1%E5%BE%AE</x:v>
      </x:c>
    </x:row>
    <x:row r="663">
      <x:c r="A663" s="20" t="str">
        <x:v>M10-POWER-0018-V1.0</x:v>
      </x:c>
      <x:c r="B663" s="20" t="str">
        <x:v>规则</x:v>
      </x:c>
      <x:c r="C663" s="20" t="str">
        <x:v>M10</x:v>
      </x:c>
      <x:c r="D663" s="20" t="str">
        <x:v>10_十神旺衰功能</x:v>
      </x:c>
      <x:c r="E663" s="20" t="str">
        <x:v>POWER</x:v>
      </x:c>
      <x:c r="F663" s="20" t="n">
        <x:v>18</x:v>
      </x:c>
      <x:c r="G663" s="20" t="str">
        <x:v>V1.0</x:v>
      </x:c>
      <x:c r="H663" s="20" t="str">
        <x:v>无根透干属于显而承载不足的候选</x:v>
      </x:c>
      <x:c r="I663" s="20" t="str">
        <x:v>结构层</x:v>
      </x:c>
      <x:c r="J663" s="20" t="str">
        <x:v>十神浮显</x:v>
      </x:c>
      <x:c r="K663" s="20" t="str">
        <x:v>无根透干属于显而承载不足的候选：当“财星透干但M08确认无有效根、无强生源”成立时，按本规则记录十神的有效功能；同时保留制化、承载和反向证据。</x:v>
      </x:c>
      <x:c r="L663" s="20" t="str">
        <x:v>较高</x:v>
      </x:c>
      <x:c r="M663" s="20" t="str">
        <x:v>采用</x:v>
      </x:c>
      <x:c r="N663" s="20" t="str">
        <x:v>初审</x:v>
      </x:c>
      <x:c r="O663" s="22" t="n">
        <x:v>46255</x:v>
      </x:c>
      <x:c r="P663" s="20" t="str">
        <x:v>https://zh.wikisource.org/wiki/%E6%B8%8A%E6%B5%B7%E5%AD%90%E5%B9%B3%E5%A4%A7%E5%85%A8 ; https://zh.wikisource.org/wiki/%E6%BB%B4%E5%A4%A9%E9%AB%93%E9%97%A1%E5%BE%AE</x:v>
      </x:c>
    </x:row>
    <x:row r="664">
      <x:c r="A664" s="20" t="str">
        <x:v>M10-POWER-0019-V1.0</x:v>
      </x:c>
      <x:c r="B664" s="20" t="str">
        <x:v>规则</x:v>
      </x:c>
      <x:c r="C664" s="20" t="str">
        <x:v>M10</x:v>
      </x:c>
      <x:c r="D664" s="20" t="str">
        <x:v>10_十神旺衰功能</x:v>
      </x:c>
      <x:c r="E664" s="20" t="str">
        <x:v>POWER</x:v>
      </x:c>
      <x:c r="F664" s="20" t="n">
        <x:v>19</x:v>
      </x:c>
      <x:c r="G664" s="20" t="str">
        <x:v>V1.0</x:v>
      </x:c>
      <x:c r="H664" s="20" t="str">
        <x:v>生源有力可增强官杀实际压力</x:v>
      </x:c>
      <x:c r="I664" s="20" t="str">
        <x:v>结构层</x:v>
      </x:c>
      <x:c r="J664" s="20" t="str">
        <x:v>官杀受生增强</x:v>
      </x:c>
      <x:c r="K664" s="20" t="str">
        <x:v>生源有力可增强官杀实际压力：当“财星有效生官杀，且生扶通路未被阻断”成立时，按本规则记录十神的有效功能；同时保留制化、承载和反向证据。</x:v>
      </x:c>
      <x:c r="L664" s="20" t="str">
        <x:v>较高</x:v>
      </x:c>
      <x:c r="M664" s="20" t="str">
        <x:v>采用</x:v>
      </x:c>
      <x:c r="N664" s="20" t="str">
        <x:v>初审</x:v>
      </x:c>
      <x:c r="O664" s="22" t="n">
        <x:v>46255</x:v>
      </x:c>
      <x:c r="P664" s="20" t="str">
        <x:v>https://zh.wikisource.org/wiki/%E6%B8%8A%E6%B5%B7%E5%AD%90%E5%B9%B3%E5%A4%A7%E5%85%A8 ; https://zh.wikisource.org/wiki/%E6%BB%B4%E5%A4%A9%E9%AB%93%E9%97%A1%E5%BE%AE</x:v>
      </x:c>
    </x:row>
    <x:row r="665">
      <x:c r="A665" s="20" t="str">
        <x:v>M10-POWER-0020-V1.0</x:v>
      </x:c>
      <x:c r="B665" s="20" t="str">
        <x:v>规则</x:v>
      </x:c>
      <x:c r="C665" s="20" t="str">
        <x:v>M10</x:v>
      </x:c>
      <x:c r="D665" s="20" t="str">
        <x:v>10_十神旺衰功能</x:v>
      </x:c>
      <x:c r="E665" s="20" t="str">
        <x:v>POWER</x:v>
      </x:c>
      <x:c r="F665" s="20" t="n">
        <x:v>20</x:v>
      </x:c>
      <x:c r="G665" s="20" t="str">
        <x:v>V1.0</x:v>
      </x:c>
      <x:c r="H665" s="20" t="str">
        <x:v>十神受制时须按实际克制效应下调</x:v>
      </x:c>
      <x:c r="I665" s="20" t="str">
        <x:v>结构层</x:v>
      </x:c>
      <x:c r="J665" s="20" t="str">
        <x:v>十神受制修正</x:v>
      </x:c>
      <x:c r="K665" s="20" t="str">
        <x:v>十神受制时须按实际克制效应下调：当“正官遭有效伤官克制、合绊或改性，M06/M08确认作用成立”成立时，按本规则记录十神的有效功能；同时保留制化、承载和反向证据。</x:v>
      </x:c>
      <x:c r="L665" s="20" t="str">
        <x:v>较高</x:v>
      </x:c>
      <x:c r="M665" s="20" t="str">
        <x:v>采用</x:v>
      </x:c>
      <x:c r="N665" s="20" t="str">
        <x:v>初审</x:v>
      </x:c>
      <x:c r="O665" s="22" t="n">
        <x:v>46255</x:v>
      </x:c>
      <x:c r="P665" s="20" t="str">
        <x:v>https://zh.wikisource.org/wiki/%E6%B8%8A%E6%B5%B7%E5%AD%90%E5%B9%B3%E5%A4%A7%E5%85%A8 ; https://zh.wikisource.org/wiki/%E6%BB%B4%E5%A4%A9%E9%AB%93%E9%97%A1%E5%BE%AE</x:v>
      </x:c>
    </x:row>
    <x:row r="666">
      <x:c r="A666" s="20" t="str">
        <x:v>M10-POWER-0021-V1.0</x:v>
      </x:c>
      <x:c r="B666" s="20" t="str">
        <x:v>规则</x:v>
      </x:c>
      <x:c r="C666" s="20" t="str">
        <x:v>M10</x:v>
      </x:c>
      <x:c r="D666" s="20" t="str">
        <x:v>10_十神旺衰功能</x:v>
      </x:c>
      <x:c r="E666" s="20" t="str">
        <x:v>POWER</x:v>
      </x:c>
      <x:c r="F666" s="20" t="n">
        <x:v>21</x:v>
      </x:c>
      <x:c r="G666" s="20" t="str">
        <x:v>V1.0</x:v>
      </x:c>
      <x:c r="H666" s="20" t="str">
        <x:v>被合化改性的节点不再按原十神全额调用</x:v>
      </x:c>
      <x:c r="I666" s="20" t="str">
        <x:v>结构层</x:v>
      </x:c>
      <x:c r="J666" s="20" t="str">
        <x:v>十神改性重算</x:v>
      </x:c>
      <x:c r="K666" s="20" t="str">
        <x:v>被合化改性的节点不再按原十神全额调用：当“原偏印节点经M06确认发生实质五行改性”成立时，按本规则记录十神的有效功能；同时保留制化、承载和反向证据。</x:v>
      </x:c>
      <x:c r="L666" s="20" t="str">
        <x:v>较高</x:v>
      </x:c>
      <x:c r="M666" s="20" t="str">
        <x:v>采用</x:v>
      </x:c>
      <x:c r="N666" s="20" t="str">
        <x:v>初审</x:v>
      </x:c>
      <x:c r="O666" s="22" t="n">
        <x:v>46255</x:v>
      </x:c>
      <x:c r="P666" s="20" t="str">
        <x:v>https://zh.wikisource.org/wiki/%E6%B8%8A%E6%B5%B7%E5%AD%90%E5%B9%B3%E5%A4%A7%E5%85%A8 ; https://zh.wikisource.org/wiki/%E6%BB%B4%E5%A4%A9%E9%AB%93%E9%97%A1%E5%BE%AE</x:v>
      </x:c>
    </x:row>
    <x:row r="667">
      <x:c r="A667" s="20" t="str">
        <x:v>M10-POWER-0022-V1.0</x:v>
      </x:c>
      <x:c r="B667" s="20" t="str">
        <x:v>规则</x:v>
      </x:c>
      <x:c r="C667" s="20" t="str">
        <x:v>M10</x:v>
      </x:c>
      <x:c r="D667" s="20" t="str">
        <x:v>10_十神旺衰功能</x:v>
      </x:c>
      <x:c r="E667" s="20" t="str">
        <x:v>POWER</x:v>
      </x:c>
      <x:c r="F667" s="20" t="n">
        <x:v>22</x:v>
      </x:c>
      <x:c r="G667" s="20" t="str">
        <x:v>V1.0</x:v>
      </x:c>
      <x:c r="H667" s="20" t="str">
        <x:v>同源季令根气透干证据必须去重</x:v>
      </x:c>
      <x:c r="I667" s="20" t="str">
        <x:v>结构层</x:v>
      </x:c>
      <x:c r="J667" s="20" t="str">
        <x:v>十神证据去重</x:v>
      </x:c>
      <x:c r="K667" s="20" t="str">
        <x:v>同源季令根气透干证据必须去重：当“同一干支节点同时提供得令、通根、透出等多个标签”成立时，按本规则记录十神的有效功能；同时保留制化、承载和反向证据。</x:v>
      </x:c>
      <x:c r="L667" s="20" t="str">
        <x:v>较高</x:v>
      </x:c>
      <x:c r="M667" s="20" t="str">
        <x:v>采用</x:v>
      </x:c>
      <x:c r="N667" s="20" t="str">
        <x:v>初审</x:v>
      </x:c>
      <x:c r="O667" s="22" t="n">
        <x:v>46255</x:v>
      </x:c>
      <x:c r="P667" s="20" t="str">
        <x:v>https://zh.wikisource.org/wiki/%E6%B8%8A%E6%B5%B7%E5%AD%90%E5%B9%B3%E5%A4%A7%E5%85%A8 ; https://zh.wikisource.org/wiki/%E6%BB%B4%E5%A4%A9%E9%AB%93%E9%97%A1%E5%BE%AE</x:v>
      </x:c>
    </x:row>
    <x:row r="668">
      <x:c r="A668" s="20" t="str">
        <x:v>M10-POWER-0023-V1.0</x:v>
      </x:c>
      <x:c r="B668" s="20" t="str">
        <x:v>规则</x:v>
      </x:c>
      <x:c r="C668" s="20" t="str">
        <x:v>M10</x:v>
      </x:c>
      <x:c r="D668" s="20" t="str">
        <x:v>10_十神旺衰功能</x:v>
      </x:c>
      <x:c r="E668" s="20" t="str">
        <x:v>POWER</x:v>
      </x:c>
      <x:c r="F668" s="20" t="n">
        <x:v>23</x:v>
      </x:c>
      <x:c r="G668" s="20" t="str">
        <x:v>V1.0</x:v>
      </x:c>
      <x:c r="H668" s="20" t="str">
        <x:v>藏支弱十神不等于零力量</x:v>
      </x:c>
      <x:c r="I668" s="20" t="str">
        <x:v>结构层</x:v>
      </x:c>
      <x:c r="J668" s="20" t="str">
        <x:v>隐性弱十神保留</x:v>
      </x:c>
      <x:c r="K668" s="20" t="str">
        <x:v>藏支弱十神不等于零力量：当“食神仅藏中余气但其根位未被实质破坏”成立时，按本规则记录十神的有效功能；同时保留制化、承载和反向证据。</x:v>
      </x:c>
      <x:c r="L668" s="20" t="str">
        <x:v>较高</x:v>
      </x:c>
      <x:c r="M668" s="20" t="str">
        <x:v>采用</x:v>
      </x:c>
      <x:c r="N668" s="20" t="str">
        <x:v>初审</x:v>
      </x:c>
      <x:c r="O668" s="22" t="n">
        <x:v>46255</x:v>
      </x:c>
      <x:c r="P668" s="20" t="str">
        <x:v>https://zh.wikisource.org/wiki/%E6%B8%8A%E6%B5%B7%E5%AD%90%E5%B9%B3%E5%A4%A7%E5%85%A8 ; https://zh.wikisource.org/wiki/%E6%BB%B4%E5%A4%A9%E9%AB%93%E9%97%A1%E5%BE%AE</x:v>
      </x:c>
    </x:row>
    <x:row r="669">
      <x:c r="A669" s="20" t="str">
        <x:v>M10-POWER-0024-V1.0</x:v>
      </x:c>
      <x:c r="B669" s="20" t="str">
        <x:v>规则</x:v>
      </x:c>
      <x:c r="C669" s="20" t="str">
        <x:v>M10</x:v>
      </x:c>
      <x:c r="D669" s="20" t="str">
        <x:v>10_十神旺衰功能</x:v>
      </x:c>
      <x:c r="E669" s="20" t="str">
        <x:v>POWER</x:v>
      </x:c>
      <x:c r="F669" s="20" t="n">
        <x:v>24</x:v>
      </x:c>
      <x:c r="G669" s="20" t="str">
        <x:v>V1.0</x:v>
      </x:c>
      <x:c r="H669" s="20" t="str">
        <x:v>十神旺衰统一采用七级有效等级</x:v>
      </x:c>
      <x:c r="I669" s="20" t="str">
        <x:v>结构层</x:v>
      </x:c>
      <x:c r="J669" s="20" t="str">
        <x:v>十神七级分级</x:v>
      </x:c>
      <x:c r="K669" s="20" t="str">
        <x:v>十神有效旺衰须按极弱、弱、中和偏弱、中和、中和偏旺、旺、极旺输出，并附主要正反证据。</x:v>
      </x:c>
      <x:c r="L669" s="20" t="str">
        <x:v>较高</x:v>
      </x:c>
      <x:c r="M669" s="20" t="str">
        <x:v>采用</x:v>
      </x:c>
      <x:c r="N669" s="20" t="str">
        <x:v>初审</x:v>
      </x:c>
      <x:c r="O669" s="22" t="n">
        <x:v>46255</x:v>
      </x:c>
      <x:c r="P669" s="20" t="str">
        <x:v>https://zh.wikisource.org/wiki/%E6%B8%8A%E6%B5%B7%E5%AD%90%E5%B9%B3%E5%A4%A7%E5%85%A8 ; https://zh.wikisource.org/wiki/%E6%BB%B4%E5%A4%A9%E9%AB%93%E9%97%A1%E5%BE%AE</x:v>
      </x:c>
    </x:row>
    <x:row r="670">
      <x:c r="A670" s="20" t="str">
        <x:v>M10-PURE-0025-V1.0</x:v>
      </x:c>
      <x:c r="B670" s="20" t="str">
        <x:v>规则</x:v>
      </x:c>
      <x:c r="C670" s="20" t="str">
        <x:v>M10</x:v>
      </x:c>
      <x:c r="D670" s="20" t="str">
        <x:v>10_十神旺衰功能</x:v>
      </x:c>
      <x:c r="E670" s="20" t="str">
        <x:v>PURE</x:v>
      </x:c>
      <x:c r="F670" s="20" t="n">
        <x:v>25</x:v>
      </x:c>
      <x:c r="G670" s="20" t="str">
        <x:v>V1.0</x:v>
      </x:c>
      <x:c r="H670" s="20" t="str">
        <x:v>同一功能群仅一类十神有效主导时可判较清</x:v>
      </x:c>
      <x:c r="I670" s="20" t="str">
        <x:v>结构层</x:v>
      </x:c>
      <x:c r="J670" s="20" t="str">
        <x:v>官杀较清</x:v>
      </x:c>
      <x:c r="K670" s="20" t="str">
        <x:v>同一功能群仅一类十神有效主导时可判较清：当“官杀功能群中正官明显有效，七杀不现或极弱”成立时，按本规则记录十神的有效功能；同时保留制化、承载和反向证据。</x:v>
      </x:c>
      <x:c r="L670" s="20" t="str">
        <x:v>较高</x:v>
      </x:c>
      <x:c r="M670" s="20" t="str">
        <x:v>采用</x:v>
      </x:c>
      <x:c r="N670" s="20" t="str">
        <x:v>初审</x:v>
      </x:c>
      <x:c r="O670" s="22" t="n">
        <x:v>46255</x:v>
      </x:c>
      <x:c r="P670" s="20" t="str">
        <x:v>https://zh.wikisource.org/wiki/%E6%B8%8A%E6%B5%B7%E5%AD%90%E5%B9%B3%E5%A4%A7%E5%85%A8 ; https://zh.wikisource.org/wiki/%E6%BB%B4%E5%A4%A9%E9%AB%93%E9%97%A1%E5%BE%AE</x:v>
      </x:c>
    </x:row>
    <x:row r="671">
      <x:c r="A671" s="20" t="str">
        <x:v>M10-PURE-0026-V1.0</x:v>
      </x:c>
      <x:c r="B671" s="20" t="str">
        <x:v>规则</x:v>
      </x:c>
      <x:c r="C671" s="20" t="str">
        <x:v>M10</x:v>
      </x:c>
      <x:c r="D671" s="20" t="str">
        <x:v>10_十神旺衰功能</x:v>
      </x:c>
      <x:c r="E671" s="20" t="str">
        <x:v>PURE</x:v>
      </x:c>
      <x:c r="F671" s="20" t="n">
        <x:v>26</x:v>
      </x:c>
      <x:c r="G671" s="20" t="str">
        <x:v>V1.0</x:v>
      </x:c>
      <x:c r="H671" s="20" t="str">
        <x:v>七杀主导而正官无效时不按官杀混杂处理</x:v>
      </x:c>
      <x:c r="I671" s="20" t="str">
        <x:v>结构层</x:v>
      </x:c>
      <x:c r="J671" s="20" t="str">
        <x:v>七杀较清</x:v>
      </x:c>
      <x:c r="K671" s="20" t="str">
        <x:v>七杀主导而正官无效时不按官杀混杂处理：当“七杀有效主导，正官不现或仅有失效弱节点”成立时，按本规则记录十神的有效功能；同时保留制化、承载和反向证据。</x:v>
      </x:c>
      <x:c r="L671" s="20" t="str">
        <x:v>较高</x:v>
      </x:c>
      <x:c r="M671" s="20" t="str">
        <x:v>采用</x:v>
      </x:c>
      <x:c r="N671" s="20" t="str">
        <x:v>初审</x:v>
      </x:c>
      <x:c r="O671" s="22" t="n">
        <x:v>46255</x:v>
      </x:c>
      <x:c r="P671" s="20" t="str">
        <x:v>https://zh.wikisource.org/wiki/%E6%B8%8A%E6%B5%B7%E5%AD%90%E5%B9%B3%E5%A4%A7%E5%85%A8 ; https://zh.wikisource.org/wiki/%E6%BB%B4%E5%A4%A9%E9%AB%93%E9%97%A1%E5%BE%AE</x:v>
      </x:c>
    </x:row>
    <x:row r="672">
      <x:c r="A672" s="20" t="str">
        <x:v>M10-PURE-0027-V1.0</x:v>
      </x:c>
      <x:c r="B672" s="20" t="str">
        <x:v>规则</x:v>
      </x:c>
      <x:c r="C672" s="20" t="str">
        <x:v>M10</x:v>
      </x:c>
      <x:c r="D672" s="20" t="str">
        <x:v>10_十神旺衰功能</x:v>
      </x:c>
      <x:c r="E672" s="20" t="str">
        <x:v>PURE</x:v>
      </x:c>
      <x:c r="F672" s="20" t="n">
        <x:v>27</x:v>
      </x:c>
      <x:c r="G672" s="20" t="str">
        <x:v>V1.0</x:v>
      </x:c>
      <x:c r="H672" s="20" t="str">
        <x:v>食伤正偏并见先判有杂而非自动混杂</x:v>
      </x:c>
      <x:c r="I672" s="20" t="str">
        <x:v>结构层</x:v>
      </x:c>
      <x:c r="J672" s="20" t="str">
        <x:v>食伤有杂</x:v>
      </x:c>
      <x:c r="K672" s="20" t="str">
        <x:v>食伤正偏并见先判有杂而非自动混杂：当“食神与伤官均存在，但一方明显主导、另一方弱”成立时，按本规则记录十神的有效功能；同时保留制化、承载和反向证据。</x:v>
      </x:c>
      <x:c r="L672" s="20" t="str">
        <x:v>较高</x:v>
      </x:c>
      <x:c r="M672" s="20" t="str">
        <x:v>采用</x:v>
      </x:c>
      <x:c r="N672" s="20" t="str">
        <x:v>初审</x:v>
      </x:c>
      <x:c r="O672" s="22" t="n">
        <x:v>46255</x:v>
      </x:c>
      <x:c r="P672" s="20" t="str">
        <x:v>https://zh.wikisource.org/wiki/%E6%B8%8A%E6%B5%B7%E5%AD%90%E5%B9%B3%E5%A4%A7%E5%85%A8 ; https://zh.wikisource.org/wiki/%E6%BB%B4%E5%A4%A9%E9%AB%93%E9%97%A1%E5%BE%AE</x:v>
      </x:c>
    </x:row>
    <x:row r="673">
      <x:c r="A673" s="20" t="str">
        <x:v>M10-PURE-0028-V1.0</x:v>
      </x:c>
      <x:c r="B673" s="20" t="str">
        <x:v>规则</x:v>
      </x:c>
      <x:c r="C673" s="20" t="str">
        <x:v>M10</x:v>
      </x:c>
      <x:c r="D673" s="20" t="str">
        <x:v>10_十神旺衰功能</x:v>
      </x:c>
      <x:c r="E673" s="20" t="str">
        <x:v>PURE</x:v>
      </x:c>
      <x:c r="F673" s="20" t="n">
        <x:v>28</x:v>
      </x:c>
      <x:c r="G673" s="20" t="str">
        <x:v>V1.0</x:v>
      </x:c>
      <x:c r="H673" s="20" t="str">
        <x:v>食伤两类均旺且透达时混杂程度上升</x:v>
      </x:c>
      <x:c r="I673" s="20" t="str">
        <x:v>结构层</x:v>
      </x:c>
      <x:c r="J673" s="20" t="str">
        <x:v>食伤混杂候选</x:v>
      </x:c>
      <x:c r="K673" s="20" t="str">
        <x:v>食伤两类均旺且透达时混杂程度上升：当“食神与伤官同时有效且均达到中和偏旺以上”成立时，按本规则记录十神的有效功能；同时保留制化、承载和反向证据。</x:v>
      </x:c>
      <x:c r="L673" s="20" t="str">
        <x:v>较高</x:v>
      </x:c>
      <x:c r="M673" s="20" t="str">
        <x:v>采用</x:v>
      </x:c>
      <x:c r="N673" s="20" t="str">
        <x:v>初审</x:v>
      </x:c>
      <x:c r="O673" s="22" t="n">
        <x:v>46255</x:v>
      </x:c>
      <x:c r="P673" s="20" t="str">
        <x:v>https://zh.wikisource.org/wiki/%E6%B8%8A%E6%B5%B7%E5%AD%90%E5%B9%B3%E5%A4%A7%E5%85%A8 ; https://zh.wikisource.org/wiki/%E6%BB%B4%E5%A4%A9%E9%AB%93%E9%97%A1%E5%BE%AE</x:v>
      </x:c>
    </x:row>
    <x:row r="674">
      <x:c r="A674" s="20" t="str">
        <x:v>M10-PURE-0029-V1.0</x:v>
      </x:c>
      <x:c r="B674" s="20" t="str">
        <x:v>规则</x:v>
      </x:c>
      <x:c r="C674" s="20" t="str">
        <x:v>M10</x:v>
      </x:c>
      <x:c r="D674" s="20" t="str">
        <x:v>10_十神旺衰功能</x:v>
      </x:c>
      <x:c r="E674" s="20" t="str">
        <x:v>PURE</x:v>
      </x:c>
      <x:c r="F674" s="20" t="n">
        <x:v>29</x:v>
      </x:c>
      <x:c r="G674" s="20" t="str">
        <x:v>V1.0</x:v>
      </x:c>
      <x:c r="H674" s="20" t="str">
        <x:v>印枭并见但偏印失效时可降低混杂等级</x:v>
      </x:c>
      <x:c r="I674" s="20" t="str">
        <x:v>结构层</x:v>
      </x:c>
      <x:c r="J674" s="20" t="str">
        <x:v>印枭主次清晰</x:v>
      </x:c>
      <x:c r="K674" s="20" t="str">
        <x:v>印枭并见但偏印失效时可降低混杂等级：当“正印有效而偏印仅名义存在、被制或改性”成立时，按本规则记录十神的有效功能；同时保留制化、承载和反向证据。</x:v>
      </x:c>
      <x:c r="L674" s="20" t="str">
        <x:v>较高</x:v>
      </x:c>
      <x:c r="M674" s="20" t="str">
        <x:v>采用</x:v>
      </x:c>
      <x:c r="N674" s="20" t="str">
        <x:v>初审</x:v>
      </x:c>
      <x:c r="O674" s="22" t="n">
        <x:v>46255</x:v>
      </x:c>
      <x:c r="P674" s="20" t="str">
        <x:v>https://zh.wikisource.org/wiki/%E6%B8%8A%E6%B5%B7%E5%AD%90%E5%B9%B3%E5%A4%A7%E5%85%A8 ; https://zh.wikisource.org/wiki/%E6%BB%B4%E5%A4%A9%E9%AB%93%E9%97%A1%E5%BE%AE</x:v>
      </x:c>
    </x:row>
    <x:row r="675">
      <x:c r="A675" s="20" t="str">
        <x:v>M10-PURE-0030-V1.0</x:v>
      </x:c>
      <x:c r="B675" s="20" t="str">
        <x:v>规则</x:v>
      </x:c>
      <x:c r="C675" s="20" t="str">
        <x:v>M10</x:v>
      </x:c>
      <x:c r="D675" s="20" t="str">
        <x:v>10_十神旺衰功能</x:v>
      </x:c>
      <x:c r="E675" s="20" t="str">
        <x:v>PURE</x:v>
      </x:c>
      <x:c r="F675" s="20" t="n">
        <x:v>30</x:v>
      </x:c>
      <x:c r="G675" s="20" t="str">
        <x:v>V1.0</x:v>
      </x:c>
      <x:c r="H675" s="20" t="str">
        <x:v>正偏财并见不等于财星失效</x:v>
      </x:c>
      <x:c r="I675" s="20" t="str">
        <x:v>结构层</x:v>
      </x:c>
      <x:c r="J675" s="20" t="str">
        <x:v>财星正偏并见</x:v>
      </x:c>
      <x:c r="K675" s="20" t="str">
        <x:v>正偏财并见不等于财星失效：当“正财偏财同时有效存在”成立时，按本规则记录十神的有效功能；同时保留制化、承载和反向证据。</x:v>
      </x:c>
      <x:c r="L675" s="20" t="str">
        <x:v>较高</x:v>
      </x:c>
      <x:c r="M675" s="20" t="str">
        <x:v>采用</x:v>
      </x:c>
      <x:c r="N675" s="20" t="str">
        <x:v>初审</x:v>
      </x:c>
      <x:c r="O675" s="22" t="n">
        <x:v>46255</x:v>
      </x:c>
      <x:c r="P675" s="20" t="str">
        <x:v>https://zh.wikisource.org/wiki/%E6%B8%8A%E6%B5%B7%E5%AD%90%E5%B9%B3%E5%A4%A7%E5%85%A8 ; https://zh.wikisource.org/wiki/%E6%BB%B4%E5%A4%A9%E9%AB%93%E9%97%A1%E5%BE%AE</x:v>
      </x:c>
    </x:row>
    <x:row r="676">
      <x:c r="A676" s="20" t="str">
        <x:v>M10-PURE-0031-V1.0</x:v>
      </x:c>
      <x:c r="B676" s="20" t="str">
        <x:v>规则</x:v>
      </x:c>
      <x:c r="C676" s="20" t="str">
        <x:v>M10</x:v>
      </x:c>
      <x:c r="D676" s="20" t="str">
        <x:v>10_十神旺衰功能</x:v>
      </x:c>
      <x:c r="E676" s="20" t="str">
        <x:v>PURE</x:v>
      </x:c>
      <x:c r="F676" s="20" t="n">
        <x:v>31</x:v>
      </x:c>
      <x:c r="G676" s="20" t="str">
        <x:v>V1.0</x:v>
      </x:c>
      <x:c r="H676" s="20" t="str">
        <x:v>同一十神多处出现属于数量问题而非清纯问题</x:v>
      </x:c>
      <x:c r="I676" s="20" t="str">
        <x:v>结构层</x:v>
      </x:c>
      <x:c r="J676" s="20" t="str">
        <x:v>同类重复非混杂</x:v>
      </x:c>
      <x:c r="K676" s="20" t="str">
        <x:v>同一十神多处出现属于数量问题而非清纯问题：当“比肩在多个节点重复出现，但未混入劫财”成立时，按本规则记录十神的有效功能；同时保留制化、承载和反向证据。</x:v>
      </x:c>
      <x:c r="L676" s="20" t="str">
        <x:v>较高</x:v>
      </x:c>
      <x:c r="M676" s="20" t="str">
        <x:v>采用</x:v>
      </x:c>
      <x:c r="N676" s="20" t="str">
        <x:v>初审</x:v>
      </x:c>
      <x:c r="O676" s="22" t="n">
        <x:v>46255</x:v>
      </x:c>
      <x:c r="P676" s="20" t="str">
        <x:v>https://zh.wikisource.org/wiki/%E6%B8%8A%E6%B5%B7%E5%AD%90%E5%B9%B3%E5%A4%A7%E5%85%A8 ; https://zh.wikisource.org/wiki/%E6%BB%B4%E5%A4%A9%E9%AB%93%E9%97%A1%E5%BE%AE</x:v>
      </x:c>
    </x:row>
    <x:row r="677">
      <x:c r="A677" s="20" t="str">
        <x:v>M10-PURE-0032-V1.0</x:v>
      </x:c>
      <x:c r="B677" s="20" t="str">
        <x:v>规则</x:v>
      </x:c>
      <x:c r="C677" s="20" t="str">
        <x:v>M10</x:v>
      </x:c>
      <x:c r="D677" s="20" t="str">
        <x:v>10_十神旺衰功能</x:v>
      </x:c>
      <x:c r="E677" s="20" t="str">
        <x:v>PURE</x:v>
      </x:c>
      <x:c r="F677" s="20" t="n">
        <x:v>32</x:v>
      </x:c>
      <x:c r="G677" s="20" t="str">
        <x:v>V1.0</x:v>
      </x:c>
      <x:c r="H677" s="20" t="str">
        <x:v>清纯度与喜忌价值必须分开</x:v>
      </x:c>
      <x:c r="I677" s="20" t="str">
        <x:v>结构层</x:v>
      </x:c>
      <x:c r="J677" s="20" t="str">
        <x:v>清纯喜忌分离</x:v>
      </x:c>
      <x:c r="K677" s="20" t="str">
        <x:v>清纯度与喜忌价值必须分开：当“十神清纯度已完成判断”成立时，按本规则记录十神的有效功能；同时保留制化、承载和反向证据。</x:v>
      </x:c>
      <x:c r="L677" s="20" t="str">
        <x:v>较高</x:v>
      </x:c>
      <x:c r="M677" s="20" t="str">
        <x:v>采用</x:v>
      </x:c>
      <x:c r="N677" s="20" t="str">
        <x:v>初审</x:v>
      </x:c>
      <x:c r="O677" s="22" t="n">
        <x:v>46255</x:v>
      </x:c>
      <x:c r="P677" s="20" t="str">
        <x:v>https://zh.wikisource.org/wiki/%E6%B8%8A%E6%B5%B7%E5%AD%90%E5%B9%B3%E5%A4%A7%E5%85%A8 ; https://zh.wikisource.org/wiki/%E6%BB%B4%E5%A4%A9%E9%AB%93%E9%97%A1%E5%BE%AE</x:v>
      </x:c>
    </x:row>
    <x:row r="678">
      <x:c r="A678" s="20" t="str">
        <x:v>M10-BIJIE-0033-V1.0</x:v>
      </x:c>
      <x:c r="B678" s="20" t="str">
        <x:v>规则</x:v>
      </x:c>
      <x:c r="C678" s="20" t="str">
        <x:v>M10</x:v>
      </x:c>
      <x:c r="D678" s="20" t="str">
        <x:v>10_十神旺衰功能</x:v>
      </x:c>
      <x:c r="E678" s="20" t="str">
        <x:v>BIJIE</x:v>
      </x:c>
      <x:c r="F678" s="20" t="n">
        <x:v>33</x:v>
      </x:c>
      <x:c r="G678" s="20" t="str">
        <x:v>V1.0</x:v>
      </x:c>
      <x:c r="H678" s="20" t="str">
        <x:v>比肩有效时首先提供同类扶身</x:v>
      </x:c>
      <x:c r="I678" s="20" t="str">
        <x:v>结构层</x:v>
      </x:c>
      <x:c r="J678" s="20" t="str">
        <x:v>比肩扶身</x:v>
      </x:c>
      <x:c r="K678" s="20" t="str">
        <x:v>比肩有效时首先提供同类扶身：当“比肩有效存在且未被实质制化”成立时，按本规则记录十神的有效功能；同时保留制化、承载和反向证据。</x:v>
      </x:c>
      <x:c r="L678" s="20" t="str">
        <x:v>较高</x:v>
      </x:c>
      <x:c r="M678" s="20" t="str">
        <x:v>采用</x:v>
      </x:c>
      <x:c r="N678" s="20" t="str">
        <x:v>初审</x:v>
      </x:c>
      <x:c r="O678" s="22" t="n">
        <x:v>46255</x:v>
      </x:c>
      <x:c r="P678" s="20" t="str">
        <x:v>https://zh.wikisource.org/wiki/%E6%B8%8A%E6%B5%B7%E5%AD%90%E5%B9%B3%E5%A4%A7%E5%85%A8 ; https://zh.wikisource.org/wiki/%E6%BB%B4%E5%A4%A9%E9%AB%93%E9%97%A1%E5%BE%AE</x:v>
      </x:c>
    </x:row>
    <x:row r="679">
      <x:c r="A679" s="20" t="str">
        <x:v>M10-BIJIE-0034-V1.0</x:v>
      </x:c>
      <x:c r="B679" s="20" t="str">
        <x:v>规则</x:v>
      </x:c>
      <x:c r="C679" s="20" t="str">
        <x:v>M10</x:v>
      </x:c>
      <x:c r="D679" s="20" t="str">
        <x:v>10_十神旺衰功能</x:v>
      </x:c>
      <x:c r="E679" s="20" t="str">
        <x:v>BIJIE</x:v>
      </x:c>
      <x:c r="F679" s="20" t="n">
        <x:v>34</x:v>
      </x:c>
      <x:c r="G679" s="20" t="str">
        <x:v>V1.0</x:v>
      </x:c>
      <x:c r="H679" s="20" t="str">
        <x:v>劫财有效时同时具有扶身与分财双重功能</x:v>
      </x:c>
      <x:c r="I679" s="20" t="str">
        <x:v>结构层</x:v>
      </x:c>
      <x:c r="J679" s="20" t="str">
        <x:v>劫财双重功能</x:v>
      </x:c>
      <x:c r="K679" s="20" t="str">
        <x:v>劫财有效时同时具有扶身与分财双重功能：当“劫财有效且财星也存在”成立时，按本规则记录十神的有效功能；同时保留制化、承载和反向证据。</x:v>
      </x:c>
      <x:c r="L679" s="20" t="str">
        <x:v>较高</x:v>
      </x:c>
      <x:c r="M679" s="20" t="str">
        <x:v>采用</x:v>
      </x:c>
      <x:c r="N679" s="20" t="str">
        <x:v>初审</x:v>
      </x:c>
      <x:c r="O679" s="22" t="n">
        <x:v>46255</x:v>
      </x:c>
      <x:c r="P679" s="20" t="str">
        <x:v>https://zh.wikisource.org/wiki/%E6%B8%8A%E6%B5%B7%E5%AD%90%E5%B9%B3%E5%A4%A7%E5%85%A8 ; https://zh.wikisource.org/wiki/%E6%BB%B4%E5%A4%A9%E9%AB%93%E9%97%A1%E5%BE%AE</x:v>
      </x:c>
    </x:row>
    <x:row r="680">
      <x:c r="A680" s="20" t="str">
        <x:v>M10-BIJIE-0035-V1.0</x:v>
      </x:c>
      <x:c r="B680" s="20" t="str">
        <x:v>规则</x:v>
      </x:c>
      <x:c r="C680" s="20" t="str">
        <x:v>M10</x:v>
      </x:c>
      <x:c r="D680" s="20" t="str">
        <x:v>10_十神旺衰功能</x:v>
      </x:c>
      <x:c r="E680" s="20" t="str">
        <x:v>BIJIE</x:v>
      </x:c>
      <x:c r="F680" s="20" t="n">
        <x:v>35</x:v>
      </x:c>
      <x:c r="G680" s="20" t="str">
        <x:v>V1.0</x:v>
      </x:c>
      <x:c r="H680" s="20" t="str">
        <x:v>身弱时有效比肩通常属于有利候选</x:v>
      </x:c>
      <x:c r="I680" s="20" t="str">
        <x:v>结构层</x:v>
      </x:c>
      <x:c r="J680" s="20" t="str">
        <x:v>身弱比肩候选</x:v>
      </x:c>
      <x:c r="K680" s="20" t="str">
        <x:v>身弱时有效比肩通常属于有利候选：当“M09日主弱或中和偏弱，且比肩有效”成立时，按本规则记录十神的有效功能；同时保留制化、承载和反向证据。</x:v>
      </x:c>
      <x:c r="L680" s="20" t="str">
        <x:v>较高</x:v>
      </x:c>
      <x:c r="M680" s="20" t="str">
        <x:v>采用</x:v>
      </x:c>
      <x:c r="N680" s="20" t="str">
        <x:v>初审</x:v>
      </x:c>
      <x:c r="O680" s="22" t="n">
        <x:v>46255</x:v>
      </x:c>
      <x:c r="P680" s="20" t="str">
        <x:v>https://zh.wikisource.org/wiki/%E6%B8%8A%E6%B5%B7%E5%AD%90%E5%B9%B3%E5%A4%A7%E5%85%A8 ; https://zh.wikisource.org/wiki/%E6%BB%B4%E5%A4%A9%E9%AB%93%E9%97%A1%E5%BE%AE</x:v>
      </x:c>
    </x:row>
    <x:row r="681">
      <x:c r="A681" s="20" t="str">
        <x:v>M10-BIJIE-0036-V1.0</x:v>
      </x:c>
      <x:c r="B681" s="20" t="str">
        <x:v>规则</x:v>
      </x:c>
      <x:c r="C681" s="20" t="str">
        <x:v>M10</x:v>
      </x:c>
      <x:c r="D681" s="20" t="str">
        <x:v>10_十神旺衰功能</x:v>
      </x:c>
      <x:c r="E681" s="20" t="str">
        <x:v>BIJIE</x:v>
      </x:c>
      <x:c r="F681" s="20" t="n">
        <x:v>36</x:v>
      </x:c>
      <x:c r="G681" s="20" t="str">
        <x:v>V1.0</x:v>
      </x:c>
      <x:c r="H681" s="20" t="str">
        <x:v>身旺时劫财继续增强可能成为负荷候选</x:v>
      </x:c>
      <x:c r="I681" s="20" t="str">
        <x:v>结构层</x:v>
      </x:c>
      <x:c r="J681" s="20" t="str">
        <x:v>身旺劫财过度</x:v>
      </x:c>
      <x:c r="K681" s="20" t="str">
        <x:v>身旺时劫财继续增强可能成为负荷候选：当“M09日主旺或极旺，劫财又有力”成立时，按本规则记录十神的有效功能；同时保留制化、承载和反向证据。</x:v>
      </x:c>
      <x:c r="L681" s="20" t="str">
        <x:v>较高</x:v>
      </x:c>
      <x:c r="M681" s="20" t="str">
        <x:v>采用</x:v>
      </x:c>
      <x:c r="N681" s="20" t="str">
        <x:v>初审</x:v>
      </x:c>
      <x:c r="O681" s="22" t="n">
        <x:v>46255</x:v>
      </x:c>
      <x:c r="P681" s="20" t="str">
        <x:v>https://zh.wikisource.org/wiki/%E6%B8%8A%E6%B5%B7%E5%AD%90%E5%B9%B3%E5%A4%A7%E5%85%A8 ; https://zh.wikisource.org/wiki/%E6%BB%B4%E5%A4%A9%E9%AB%93%E9%97%A1%E5%BE%AE</x:v>
      </x:c>
    </x:row>
    <x:row r="682">
      <x:c r="A682" s="20" t="str">
        <x:v>M10-BIJIE-0037-V1.0</x:v>
      </x:c>
      <x:c r="B682" s="20" t="str">
        <x:v>规则</x:v>
      </x:c>
      <x:c r="C682" s="20" t="str">
        <x:v>M10</x:v>
      </x:c>
      <x:c r="D682" s="20" t="str">
        <x:v>10_十神旺衰功能</x:v>
      </x:c>
      <x:c r="E682" s="20" t="str">
        <x:v>BIJIE</x:v>
      </x:c>
      <x:c r="F682" s="20" t="n">
        <x:v>37</x:v>
      </x:c>
      <x:c r="G682" s="20" t="str">
        <x:v>V1.0</x:v>
      </x:c>
      <x:c r="H682" s="20" t="str">
        <x:v>比肩可帮助承受有效官杀制身</x:v>
      </x:c>
      <x:c r="I682" s="20" t="str">
        <x:v>结构层</x:v>
      </x:c>
      <x:c r="J682" s="20" t="str">
        <x:v>比肩抗杀</x:v>
      </x:c>
      <x:c r="K682" s="20" t="str">
        <x:v>比肩可帮助承受有效官杀制身：当“日主承载不足且官杀有力，比肩自身有效”成立时，按本规则记录十神的有效功能；同时保留制化、承载和反向证据。</x:v>
      </x:c>
      <x:c r="L682" s="20" t="str">
        <x:v>较高</x:v>
      </x:c>
      <x:c r="M682" s="20" t="str">
        <x:v>采用</x:v>
      </x:c>
      <x:c r="N682" s="20" t="str">
        <x:v>初审</x:v>
      </x:c>
      <x:c r="O682" s="22" t="n">
        <x:v>46255</x:v>
      </x:c>
      <x:c r="P682" s="20" t="str">
        <x:v>https://zh.wikisource.org/wiki/%E6%B8%8A%E6%B5%B7%E5%AD%90%E5%B9%B3%E5%A4%A7%E5%85%A8 ; https://zh.wikisource.org/wiki/%E6%BB%B4%E5%A4%A9%E9%AB%93%E9%97%A1%E5%BE%AE</x:v>
      </x:c>
    </x:row>
    <x:row r="683">
      <x:c r="A683" s="20" t="str">
        <x:v>M10-BIJIE-0038-V1.0</x:v>
      </x:c>
      <x:c r="B683" s="20" t="str">
        <x:v>规则</x:v>
      </x:c>
      <x:c r="C683" s="20" t="str">
        <x:v>M10</x:v>
      </x:c>
      <x:c r="D683" s="20" t="str">
        <x:v>10_十神旺衰功能</x:v>
      </x:c>
      <x:c r="E683" s="20" t="str">
        <x:v>BIJIE</x:v>
      </x:c>
      <x:c r="F683" s="20" t="n">
        <x:v>38</x:v>
      </x:c>
      <x:c r="G683" s="20" t="str">
        <x:v>V1.0</x:v>
      </x:c>
      <x:c r="H683" s="20" t="str">
        <x:v>劫财制财必须以双方有效力量匹配为条件</x:v>
      </x:c>
      <x:c r="I683" s="20" t="str">
        <x:v>结构层</x:v>
      </x:c>
      <x:c r="J683" s="20" t="str">
        <x:v>劫财制财候选</x:v>
      </x:c>
      <x:c r="K683" s="20" t="str">
        <x:v>劫财制财必须以双方有效力量匹配为条件：当“劫财与财星直接形成有效克制关系”成立时，按本规则记录十神的有效功能；同时保留制化、承载和反向证据。</x:v>
      </x:c>
      <x:c r="L683" s="20" t="str">
        <x:v>较高</x:v>
      </x:c>
      <x:c r="M683" s="20" t="str">
        <x:v>采用</x:v>
      </x:c>
      <x:c r="N683" s="20" t="str">
        <x:v>初审</x:v>
      </x:c>
      <x:c r="O683" s="22" t="n">
        <x:v>46255</x:v>
      </x:c>
      <x:c r="P683" s="20" t="str">
        <x:v>https://zh.wikisource.org/wiki/%E6%B8%8A%E6%B5%B7%E5%AD%90%E5%B9%B3%E5%A4%A7%E5%85%A8 ; https://zh.wikisource.org/wiki/%E6%BB%B4%E5%A4%A9%E9%AB%93%E9%97%A1%E5%BE%AE</x:v>
      </x:c>
    </x:row>
    <x:row r="684">
      <x:c r="A684" s="20" t="str">
        <x:v>M10-BIJIE-0039-V1.0</x:v>
      </x:c>
      <x:c r="B684" s="20" t="str">
        <x:v>规则</x:v>
      </x:c>
      <x:c r="C684" s="20" t="str">
        <x:v>M10</x:v>
      </x:c>
      <x:c r="D684" s="20" t="str">
        <x:v>10_十神旺衰功能</x:v>
      </x:c>
      <x:c r="E684" s="20" t="str">
        <x:v>BIJIE</x:v>
      </x:c>
      <x:c r="F684" s="20" t="n">
        <x:v>39</x:v>
      </x:c>
      <x:c r="G684" s="20" t="str">
        <x:v>V1.0</x:v>
      </x:c>
      <x:c r="H684" s="20" t="str">
        <x:v>比肩被官杀强制时扶身功能会受限</x:v>
      </x:c>
      <x:c r="I684" s="20" t="str">
        <x:v>结构层</x:v>
      </x:c>
      <x:c r="J684" s="20" t="str">
        <x:v>比肩功能受限</x:v>
      </x:c>
      <x:c r="K684" s="20" t="str">
        <x:v>比肩被官杀强制时扶身功能会受限：当“比肩虽存在，但官杀对其形成实质强制”成立时，按本规则记录十神的有效功能；同时保留制化、承载和反向证据。</x:v>
      </x:c>
      <x:c r="L684" s="20" t="str">
        <x:v>较高</x:v>
      </x:c>
      <x:c r="M684" s="20" t="str">
        <x:v>采用</x:v>
      </x:c>
      <x:c r="N684" s="20" t="str">
        <x:v>初审</x:v>
      </x:c>
      <x:c r="O684" s="22" t="n">
        <x:v>46255</x:v>
      </x:c>
      <x:c r="P684" s="20" t="str">
        <x:v>https://zh.wikisource.org/wiki/%E6%B8%8A%E6%B5%B7%E5%AD%90%E5%B9%B3%E5%A4%A7%E5%85%A8 ; https://zh.wikisource.org/wiki/%E6%BB%B4%E5%A4%A9%E9%AB%93%E9%97%A1%E5%BE%AE</x:v>
      </x:c>
    </x:row>
    <x:row r="685">
      <x:c r="A685" s="20" t="str">
        <x:v>M10-BIJIE-0040-V1.0</x:v>
      </x:c>
      <x:c r="B685" s="20" t="str">
        <x:v>规则</x:v>
      </x:c>
      <x:c r="C685" s="20" t="str">
        <x:v>M10</x:v>
      </x:c>
      <x:c r="D685" s="20" t="str">
        <x:v>10_十神旺衰功能</x:v>
      </x:c>
      <x:c r="E685" s="20" t="str">
        <x:v>BIJIE</x:v>
      </x:c>
      <x:c r="F685" s="20" t="n">
        <x:v>40</x:v>
      </x:c>
      <x:c r="G685" s="20" t="str">
        <x:v>V1.0</x:v>
      </x:c>
      <x:c r="H685" s="20" t="str">
        <x:v>比劫集团成势时应作为整体扶身集团评估</x:v>
      </x:c>
      <x:c r="I685" s="20" t="str">
        <x:v>结构层</x:v>
      </x:c>
      <x:c r="J685" s="20" t="str">
        <x:v>比劫集团成势</x:v>
      </x:c>
      <x:c r="K685" s="20" t="str">
        <x:v>比劫集团成势时应作为整体扶身集团评估：当“比肩劫财多节点有效并形成同类集团”成立时，按本规则记录十神的有效功能；同时保留制化、承载和反向证据。</x:v>
      </x:c>
      <x:c r="L685" s="20" t="str">
        <x:v>较高</x:v>
      </x:c>
      <x:c r="M685" s="20" t="str">
        <x:v>采用</x:v>
      </x:c>
      <x:c r="N685" s="20" t="str">
        <x:v>初审</x:v>
      </x:c>
      <x:c r="O685" s="22" t="n">
        <x:v>46255</x:v>
      </x:c>
      <x:c r="P685" s="20" t="str">
        <x:v>https://zh.wikisource.org/wiki/%E6%B8%8A%E6%B5%B7%E5%AD%90%E5%B9%B3%E5%A4%A7%E5%85%A8 ; https://zh.wikisource.org/wiki/%E6%BB%B4%E5%A4%A9%E9%AB%93%E9%97%A1%E5%BE%AE</x:v>
      </x:c>
    </x:row>
    <x:row r="686">
      <x:c r="A686" s="20" t="str">
        <x:v>M10-BIJIE-0041-V1.0</x:v>
      </x:c>
      <x:c r="B686" s="20" t="str">
        <x:v>规则</x:v>
      </x:c>
      <x:c r="C686" s="20" t="str">
        <x:v>M10</x:v>
      </x:c>
      <x:c r="D686" s="20" t="str">
        <x:v>10_十神旺衰功能</x:v>
      </x:c>
      <x:c r="E686" s="20" t="str">
        <x:v>BIJIE</x:v>
      </x:c>
      <x:c r="F686" s="20" t="n">
        <x:v>41</x:v>
      </x:c>
      <x:c r="G686" s="20" t="str">
        <x:v>V1.0</x:v>
      </x:c>
      <x:c r="H686" s="20" t="str">
        <x:v>比劫过旺可阻塞日主向食伤财星的输出</x:v>
      </x:c>
      <x:c r="I686" s="20" t="str">
        <x:v>结构层</x:v>
      </x:c>
      <x:c r="J686" s="20" t="str">
        <x:v>比劫壅塞候选</x:v>
      </x:c>
      <x:c r="K686" s="20" t="str">
        <x:v>比劫过旺可阻塞日主向食伤财星的输出：当“比劫明显过旺，而食伤财星通道偏弱”成立时，按本规则记录十神的有效功能；同时保留制化、承载和反向证据。</x:v>
      </x:c>
      <x:c r="L686" s="20" t="str">
        <x:v>较高</x:v>
      </x:c>
      <x:c r="M686" s="20" t="str">
        <x:v>采用</x:v>
      </x:c>
      <x:c r="N686" s="20" t="str">
        <x:v>初审</x:v>
      </x:c>
      <x:c r="O686" s="22" t="n">
        <x:v>46255</x:v>
      </x:c>
      <x:c r="P686" s="20" t="str">
        <x:v>https://zh.wikisource.org/wiki/%E6%B8%8A%E6%B5%B7%E5%AD%90%E5%B9%B3%E5%A4%A7%E5%85%A8 ; https://zh.wikisource.org/wiki/%E6%BB%B4%E5%A4%A9%E9%AB%93%E9%97%A1%E5%BE%AE</x:v>
      </x:c>
    </x:row>
    <x:row r="687">
      <x:c r="A687" s="20" t="str">
        <x:v>M10-BIJIE-0042-V1.0</x:v>
      </x:c>
      <x:c r="B687" s="20" t="str">
        <x:v>规则</x:v>
      </x:c>
      <x:c r="C687" s="20" t="str">
        <x:v>M10</x:v>
      </x:c>
      <x:c r="D687" s="20" t="str">
        <x:v>10_十神旺衰功能</x:v>
      </x:c>
      <x:c r="E687" s="20" t="str">
        <x:v>BIJIE</x:v>
      </x:c>
      <x:c r="F687" s="20" t="n">
        <x:v>42</x:v>
      </x:c>
      <x:c r="G687" s="20" t="str">
        <x:v>V1.0</x:v>
      </x:c>
      <x:c r="H687" s="20" t="str">
        <x:v>劫财喜忌不能脱离财星和日主状态</x:v>
      </x:c>
      <x:c r="I687" s="20" t="str">
        <x:v>结构层</x:v>
      </x:c>
      <x:c r="J687" s="20" t="str">
        <x:v>劫财喜忌联判</x:v>
      </x:c>
      <x:c r="K687" s="20" t="str">
        <x:v>劫财喜忌不能脱离财星和日主状态：当“判断劫财价值时必须同时读取M09日主旺衰与财星有效力量”成立时，按本规则记录十神的有效功能；同时保留制化、承载和反向证据。</x:v>
      </x:c>
      <x:c r="L687" s="20" t="str">
        <x:v>较高</x:v>
      </x:c>
      <x:c r="M687" s="20" t="str">
        <x:v>采用</x:v>
      </x:c>
      <x:c r="N687" s="20" t="str">
        <x:v>初审</x:v>
      </x:c>
      <x:c r="O687" s="22" t="n">
        <x:v>46255</x:v>
      </x:c>
      <x:c r="P687" s="20" t="str">
        <x:v>https://zh.wikisource.org/wiki/%E6%B8%8A%E6%B5%B7%E5%AD%90%E5%B9%B3%E5%A4%A7%E5%85%A8 ; https://zh.wikisource.org/wiki/%E6%BB%B4%E5%A4%A9%E9%AB%93%E9%97%A1%E5%BE%AE</x:v>
      </x:c>
    </x:row>
    <x:row r="688">
      <x:c r="A688" s="20" t="str">
        <x:v>M10-YIN-0043-V1.0</x:v>
      </x:c>
      <x:c r="B688" s="20" t="str">
        <x:v>规则</x:v>
      </x:c>
      <x:c r="C688" s="20" t="str">
        <x:v>M10</x:v>
      </x:c>
      <x:c r="D688" s="20" t="str">
        <x:v>10_十神旺衰功能</x:v>
      </x:c>
      <x:c r="E688" s="20" t="str">
        <x:v>YIN</x:v>
      </x:c>
      <x:c r="F688" s="20" t="n">
        <x:v>43</x:v>
      </x:c>
      <x:c r="G688" s="20" t="str">
        <x:v>V1.0</x:v>
      </x:c>
      <x:c r="H688" s="20" t="str">
        <x:v>有效正印首先提供生身功能</x:v>
      </x:c>
      <x:c r="I688" s="20" t="str">
        <x:v>结构层</x:v>
      </x:c>
      <x:c r="J688" s="20" t="str">
        <x:v>正印生身</x:v>
      </x:c>
      <x:c r="K688" s="20" t="str">
        <x:v>有效正印首先提供生身功能：当“正印有效存在且生身路径未被阻断”成立时，按本规则记录十神的有效功能；同时保留制化、承载和反向证据。</x:v>
      </x:c>
      <x:c r="L688" s="20" t="str">
        <x:v>较高</x:v>
      </x:c>
      <x:c r="M688" s="20" t="str">
        <x:v>采用</x:v>
      </x:c>
      <x:c r="N688" s="20" t="str">
        <x:v>初审</x:v>
      </x:c>
      <x:c r="O688" s="22" t="n">
        <x:v>46255</x:v>
      </x:c>
      <x:c r="P688" s="20" t="str">
        <x:v>https://zh.wikisource.org/wiki/%E6%B8%8A%E6%B5%B7%E5%AD%90%E5%B9%B3%E5%A4%A7%E5%85%A8 ; https://zh.wikisource.org/wiki/%E6%BB%B4%E5%A4%A9%E9%AB%93%E9%97%A1%E5%BE%AE</x:v>
      </x:c>
    </x:row>
    <x:row r="689">
      <x:c r="A689" s="20" t="str">
        <x:v>M10-YIN-0044-V1.0</x:v>
      </x:c>
      <x:c r="B689" s="20" t="str">
        <x:v>规则</x:v>
      </x:c>
      <x:c r="C689" s="20" t="str">
        <x:v>M10</x:v>
      </x:c>
      <x:c r="D689" s="20" t="str">
        <x:v>10_十神旺衰功能</x:v>
      </x:c>
      <x:c r="E689" s="20" t="str">
        <x:v>YIN</x:v>
      </x:c>
      <x:c r="F689" s="20" t="n">
        <x:v>44</x:v>
      </x:c>
      <x:c r="G689" s="20" t="str">
        <x:v>V1.0</x:v>
      </x:c>
      <x:c r="H689" s="20" t="str">
        <x:v>有效偏印同样可生身但需另审制食功能</x:v>
      </x:c>
      <x:c r="I689" s="20" t="str">
        <x:v>结构层</x:v>
      </x:c>
      <x:c r="J689" s="20" t="str">
        <x:v>偏印双向功能</x:v>
      </x:c>
      <x:c r="K689" s="20" t="str">
        <x:v>有效偏印同样可生身但需另审制食功能：当“偏印有效存在”成立时，按本规则记录十神的有效功能；同时保留制化、承载和反向证据。</x:v>
      </x:c>
      <x:c r="L689" s="20" t="str">
        <x:v>较高</x:v>
      </x:c>
      <x:c r="M689" s="20" t="str">
        <x:v>采用</x:v>
      </x:c>
      <x:c r="N689" s="20" t="str">
        <x:v>初审</x:v>
      </x:c>
      <x:c r="O689" s="22" t="n">
        <x:v>46255</x:v>
      </x:c>
      <x:c r="P689" s="20" t="str">
        <x:v>https://zh.wikisource.org/wiki/%E6%B8%8A%E6%B5%B7%E5%AD%90%E5%B9%B3%E5%A4%A7%E5%85%A8 ; https://zh.wikisource.org/wiki/%E6%BB%B4%E5%A4%A9%E9%AB%93%E9%97%A1%E5%BE%AE</x:v>
      </x:c>
    </x:row>
    <x:row r="690">
      <x:c r="A690" s="20" t="str">
        <x:v>M10-YIN-0045-V1.0</x:v>
      </x:c>
      <x:c r="B690" s="20" t="str">
        <x:v>规则</x:v>
      </x:c>
      <x:c r="C690" s="20" t="str">
        <x:v>M10</x:v>
      </x:c>
      <x:c r="D690" s="20" t="str">
        <x:v>10_十神旺衰功能</x:v>
      </x:c>
      <x:c r="E690" s="20" t="str">
        <x:v>YIN</x:v>
      </x:c>
      <x:c r="F690" s="20" t="n">
        <x:v>45</x:v>
      </x:c>
      <x:c r="G690" s="20" t="str">
        <x:v>V1.0</x:v>
      </x:c>
      <x:c r="H690" s="20" t="str">
        <x:v>身弱时印星有力通常形成生身有利候选</x:v>
      </x:c>
      <x:c r="I690" s="20" t="str">
        <x:v>结构层</x:v>
      </x:c>
      <x:c r="J690" s="20" t="str">
        <x:v>身弱正印候选</x:v>
      </x:c>
      <x:c r="K690" s="20" t="str">
        <x:v>身弱时印星有力通常形成生身有利候选：当“M09日主弱或中和偏弱且正印有效”成立时，按本规则记录十神的有效功能；同时保留制化、承载和反向证据。</x:v>
      </x:c>
      <x:c r="L690" s="20" t="str">
        <x:v>较高</x:v>
      </x:c>
      <x:c r="M690" s="20" t="str">
        <x:v>采用</x:v>
      </x:c>
      <x:c r="N690" s="20" t="str">
        <x:v>初审</x:v>
      </x:c>
      <x:c r="O690" s="22" t="n">
        <x:v>46255</x:v>
      </x:c>
      <x:c r="P690" s="20" t="str">
        <x:v>https://zh.wikisource.org/wiki/%E6%B8%8A%E6%B5%B7%E5%AD%90%E5%B9%B3%E5%A4%A7%E5%85%A8 ; https://zh.wikisource.org/wiki/%E6%BB%B4%E5%A4%A9%E9%AB%93%E9%97%A1%E5%BE%AE</x:v>
      </x:c>
    </x:row>
    <x:row r="691">
      <x:c r="A691" s="20" t="str">
        <x:v>M10-YIN-0046-V1.0</x:v>
      </x:c>
      <x:c r="B691" s="20" t="str">
        <x:v>规则</x:v>
      </x:c>
      <x:c r="C691" s="20" t="str">
        <x:v>M10</x:v>
      </x:c>
      <x:c r="D691" s="20" t="str">
        <x:v>10_十神旺衰功能</x:v>
      </x:c>
      <x:c r="E691" s="20" t="str">
        <x:v>YIN</x:v>
      </x:c>
      <x:c r="F691" s="20" t="n">
        <x:v>46</x:v>
      </x:c>
      <x:c r="G691" s="20" t="str">
        <x:v>V1.0</x:v>
      </x:c>
      <x:c r="H691" s="20" t="str">
        <x:v>偏印制食只有克制路径真实成立才记录</x:v>
      </x:c>
      <x:c r="I691" s="20" t="str">
        <x:v>结构层</x:v>
      </x:c>
      <x:c r="J691" s="20" t="str">
        <x:v>偏印制食候选</x:v>
      </x:c>
      <x:c r="K691" s="20" t="str">
        <x:v>偏印制食只有克制路径真实成立才记录：当“偏印与食神形成有效克制，且偏印力量足以作用”成立时，按本规则记录十神的有效功能；同时保留制化、承载和反向证据。</x:v>
      </x:c>
      <x:c r="L691" s="20" t="str">
        <x:v>较高</x:v>
      </x:c>
      <x:c r="M691" s="20" t="str">
        <x:v>采用</x:v>
      </x:c>
      <x:c r="N691" s="20" t="str">
        <x:v>初审</x:v>
      </x:c>
      <x:c r="O691" s="22" t="n">
        <x:v>46255</x:v>
      </x:c>
      <x:c r="P691" s="20" t="str">
        <x:v>https://zh.wikisource.org/wiki/%E6%B8%8A%E6%B5%B7%E5%AD%90%E5%B9%B3%E5%A4%A7%E5%85%A8 ; https://zh.wikisource.org/wiki/%E6%BB%B4%E5%A4%A9%E9%AB%93%E9%97%A1%E5%BE%AE</x:v>
      </x:c>
    </x:row>
    <x:row r="692">
      <x:c r="A692" s="20" t="str">
        <x:v>M10-YIN-0047-V1.0</x:v>
      </x:c>
      <x:c r="B692" s="20" t="str">
        <x:v>规则</x:v>
      </x:c>
      <x:c r="C692" s="20" t="str">
        <x:v>M10</x:v>
      </x:c>
      <x:c r="D692" s="20" t="str">
        <x:v>10_十神旺衰功能</x:v>
      </x:c>
      <x:c r="E692" s="20" t="str">
        <x:v>YIN</x:v>
      </x:c>
      <x:c r="F692" s="20" t="n">
        <x:v>47</x:v>
      </x:c>
      <x:c r="G692" s="20" t="str">
        <x:v>V1.0</x:v>
      </x:c>
      <x:c r="H692" s="20" t="str">
        <x:v>印星可承接官杀形成化杀生身路径</x:v>
      </x:c>
      <x:c r="I692" s="20" t="str">
        <x:v>结构层</x:v>
      </x:c>
      <x:c r="J692" s="20" t="str">
        <x:v>印化官杀接口</x:v>
      </x:c>
      <x:c r="K692" s="20" t="str">
        <x:v>印星可承接官杀形成化杀生身路径：当“官杀生印、印再生日主的链路连续有效”成立时，按本规则记录十神的有效功能；同时保留制化、承载和反向证据。</x:v>
      </x:c>
      <x:c r="L692" s="20" t="str">
        <x:v>较高</x:v>
      </x:c>
      <x:c r="M692" s="20" t="str">
        <x:v>采用</x:v>
      </x:c>
      <x:c r="N692" s="20" t="str">
        <x:v>初审</x:v>
      </x:c>
      <x:c r="O692" s="22" t="n">
        <x:v>46255</x:v>
      </x:c>
      <x:c r="P692" s="20" t="str">
        <x:v>https://zh.wikisource.org/wiki/%E6%B8%8A%E6%B5%B7%E5%AD%90%E5%B9%B3%E5%A4%A7%E5%85%A8 ; https://zh.wikisource.org/wiki/%E6%BB%B4%E5%A4%A9%E9%AB%93%E9%97%A1%E5%BE%AE</x:v>
      </x:c>
    </x:row>
    <x:row r="693">
      <x:c r="A693" s="20" t="str">
        <x:v>M10-YIN-0048-V1.0</x:v>
      </x:c>
      <x:c r="B693" s="20" t="str">
        <x:v>规则</x:v>
      </x:c>
      <x:c r="C693" s="20" t="str">
        <x:v>M10</x:v>
      </x:c>
      <x:c r="D693" s="20" t="str">
        <x:v>10_十神旺衰功能</x:v>
      </x:c>
      <x:c r="E693" s="20" t="str">
        <x:v>YIN</x:v>
      </x:c>
      <x:c r="F693" s="20" t="n">
        <x:v>48</x:v>
      </x:c>
      <x:c r="G693" s="20" t="str">
        <x:v>V1.0</x:v>
      </x:c>
      <x:c r="H693" s="20" t="str">
        <x:v>印星受财星强制时生身功能下降</x:v>
      </x:c>
      <x:c r="I693" s="20" t="str">
        <x:v>结构层</x:v>
      </x:c>
      <x:c r="J693" s="20" t="str">
        <x:v>财制印功能受限</x:v>
      </x:c>
      <x:c r="K693" s="20" t="str">
        <x:v>印星受财星强制时生身功能下降：当“财星对印星形成实质有效克制”成立时，按本规则记录十神的有效功能；同时保留制化、承载和反向证据。</x:v>
      </x:c>
      <x:c r="L693" s="20" t="str">
        <x:v>较高</x:v>
      </x:c>
      <x:c r="M693" s="20" t="str">
        <x:v>采用</x:v>
      </x:c>
      <x:c r="N693" s="20" t="str">
        <x:v>初审</x:v>
      </x:c>
      <x:c r="O693" s="22" t="n">
        <x:v>46255</x:v>
      </x:c>
      <x:c r="P693" s="20" t="str">
        <x:v>https://zh.wikisource.org/wiki/%E6%B8%8A%E6%B5%B7%E5%AD%90%E5%B9%B3%E5%A4%A7%E5%85%A8 ; https://zh.wikisource.org/wiki/%E6%BB%B4%E5%A4%A9%E9%AB%93%E9%97%A1%E5%BE%AE</x:v>
      </x:c>
    </x:row>
    <x:row r="694">
      <x:c r="A694" s="20" t="str">
        <x:v>M10-YIN-0049-V1.0</x:v>
      </x:c>
      <x:c r="B694" s="20" t="str">
        <x:v>规则</x:v>
      </x:c>
      <x:c r="C694" s="20" t="str">
        <x:v>M10</x:v>
      </x:c>
      <x:c r="D694" s="20" t="str">
        <x:v>10_十神旺衰功能</x:v>
      </x:c>
      <x:c r="E694" s="20" t="str">
        <x:v>YIN</x:v>
      </x:c>
      <x:c r="F694" s="20" t="n">
        <x:v>49</x:v>
      </x:c>
      <x:c r="G694" s="20" t="str">
        <x:v>V1.0</x:v>
      </x:c>
      <x:c r="H694" s="20" t="str">
        <x:v>印多但无根无源不等于印星旺</x:v>
      </x:c>
      <x:c r="I694" s="20" t="str">
        <x:v>结构层</x:v>
      </x:c>
      <x:c r="J694" s="20" t="str">
        <x:v>印多不等于旺</x:v>
      </x:c>
      <x:c r="K694" s="20" t="str">
        <x:v>印多但无根无源不等于印星旺：当“正印多处出现但主要为浮干或弱藏、缺乏有效根源”成立时，按本规则记录十神的有效功能；同时保留制化、承载和反向证据。</x:v>
      </x:c>
      <x:c r="L694" s="20" t="str">
        <x:v>较高</x:v>
      </x:c>
      <x:c r="M694" s="20" t="str">
        <x:v>采用</x:v>
      </x:c>
      <x:c r="N694" s="20" t="str">
        <x:v>初审</x:v>
      </x:c>
      <x:c r="O694" s="22" t="n">
        <x:v>46255</x:v>
      </x:c>
      <x:c r="P694" s="20" t="str">
        <x:v>https://zh.wikisource.org/wiki/%E6%B8%8A%E6%B5%B7%E5%AD%90%E5%B9%B3%E5%A4%A7%E5%85%A8 ; https://zh.wikisource.org/wiki/%E6%BB%B4%E5%A4%A9%E9%AB%93%E9%97%A1%E5%BE%AE</x:v>
      </x:c>
    </x:row>
    <x:row r="695">
      <x:c r="A695" s="20" t="str">
        <x:v>M10-YIN-0050-V1.0</x:v>
      </x:c>
      <x:c r="B695" s="20" t="str">
        <x:v>规则</x:v>
      </x:c>
      <x:c r="C695" s="20" t="str">
        <x:v>M10</x:v>
      </x:c>
      <x:c r="D695" s="20" t="str">
        <x:v>10_十神旺衰功能</x:v>
      </x:c>
      <x:c r="E695" s="20" t="str">
        <x:v>YIN</x:v>
      </x:c>
      <x:c r="F695" s="20" t="n">
        <x:v>50</x:v>
      </x:c>
      <x:c r="G695" s="20" t="str">
        <x:v>V1.0</x:v>
      </x:c>
      <x:c r="H695" s="20" t="str">
        <x:v>印星过旺可能压制食伤并造成输出不足</x:v>
      </x:c>
      <x:c r="I695" s="20" t="str">
        <x:v>结构层</x:v>
      </x:c>
      <x:c r="J695" s="20" t="str">
        <x:v>印旺制食过度</x:v>
      </x:c>
      <x:c r="K695" s="20" t="str">
        <x:v>印星过旺可能压制食伤并造成输出不足：当“偏印旺或极旺，食伤偏弱且受其实际克制”成立时，按本规则记录十神的有效功能；同时保留制化、承载和反向证据。</x:v>
      </x:c>
      <x:c r="L695" s="20" t="str">
        <x:v>较高</x:v>
      </x:c>
      <x:c r="M695" s="20" t="str">
        <x:v>采用</x:v>
      </x:c>
      <x:c r="N695" s="20" t="str">
        <x:v>初审</x:v>
      </x:c>
      <x:c r="O695" s="22" t="n">
        <x:v>46255</x:v>
      </x:c>
      <x:c r="P695" s="20" t="str">
        <x:v>https://zh.wikisource.org/wiki/%E6%B8%8A%E6%B5%B7%E5%AD%90%E5%B9%B3%E5%A4%A7%E5%85%A8 ; https://zh.wikisource.org/wiki/%E6%BB%B4%E5%A4%A9%E9%AB%93%E9%97%A1%E5%BE%AE</x:v>
      </x:c>
    </x:row>
    <x:row r="696">
      <x:c r="A696" s="20" t="str">
        <x:v>M10-YIN-0051-V1.0</x:v>
      </x:c>
      <x:c r="B696" s="20" t="str">
        <x:v>规则</x:v>
      </x:c>
      <x:c r="C696" s="20" t="str">
        <x:v>M10</x:v>
      </x:c>
      <x:c r="D696" s="20" t="str">
        <x:v>10_十神旺衰功能</x:v>
      </x:c>
      <x:c r="E696" s="20" t="str">
        <x:v>YIN</x:v>
      </x:c>
      <x:c r="F696" s="20" t="n">
        <x:v>51</x:v>
      </x:c>
      <x:c r="G696" s="20" t="str">
        <x:v>V1.0</x:v>
      </x:c>
      <x:c r="H696" s="20" t="str">
        <x:v>印星与比劫连续生扶时扶身效果增强</x:v>
      </x:c>
      <x:c r="I696" s="20" t="str">
        <x:v>结构层</x:v>
      </x:c>
      <x:c r="J696" s="20" t="str">
        <x:v>印比协同扶身</x:v>
      </x:c>
      <x:c r="K696" s="20" t="str">
        <x:v>印星与比劫连续生扶时扶身效果增强：当“有效印星生日主且比劫继续提供同类承载”成立时，按本规则记录十神的有效功能；同时保留制化、承载和反向证据。</x:v>
      </x:c>
      <x:c r="L696" s="20" t="str">
        <x:v>较高</x:v>
      </x:c>
      <x:c r="M696" s="20" t="str">
        <x:v>采用</x:v>
      </x:c>
      <x:c r="N696" s="20" t="str">
        <x:v>初审</x:v>
      </x:c>
      <x:c r="O696" s="22" t="n">
        <x:v>46255</x:v>
      </x:c>
      <x:c r="P696" s="20" t="str">
        <x:v>https://zh.wikisource.org/wiki/%E6%B8%8A%E6%B5%B7%E5%AD%90%E5%B9%B3%E5%A4%A7%E5%85%A8 ; https://zh.wikisource.org/wiki/%E6%BB%B4%E5%A4%A9%E9%AB%93%E9%97%A1%E5%BE%AE</x:v>
      </x:c>
    </x:row>
    <x:row r="697">
      <x:c r="A697" s="20" t="str">
        <x:v>M10-YIN-0052-V1.0</x:v>
      </x:c>
      <x:c r="B697" s="20" t="str">
        <x:v>规则</x:v>
      </x:c>
      <x:c r="C697" s="20" t="str">
        <x:v>M10</x:v>
      </x:c>
      <x:c r="D697" s="20" t="str">
        <x:v>10_十神旺衰功能</x:v>
      </x:c>
      <x:c r="E697" s="20" t="str">
        <x:v>YIN</x:v>
      </x:c>
      <x:c r="F697" s="20" t="n">
        <x:v>52</x:v>
      </x:c>
      <x:c r="G697" s="20" t="str">
        <x:v>V1.0</x:v>
      </x:c>
      <x:c r="H697" s="20" t="str">
        <x:v>偏印是否为忌须同时判断食神价值与日主需要</x:v>
      </x:c>
      <x:c r="I697" s="20" t="str">
        <x:v>结构层</x:v>
      </x:c>
      <x:c r="J697" s="20" t="str">
        <x:v>偏印价值条件化</x:v>
      </x:c>
      <x:c r="K697" s="20" t="str">
        <x:v>偏印是否为忌须同时判断食神价值与日主需要：当“偏印与食神同现，需要判断日主是否需要印、食神是否承担关键功能”成立时，按本规则记录十神的有效功能；同时保留制化、承载和反向证据。</x:v>
      </x:c>
      <x:c r="L697" s="20" t="str">
        <x:v>较高</x:v>
      </x:c>
      <x:c r="M697" s="20" t="str">
        <x:v>采用</x:v>
      </x:c>
      <x:c r="N697" s="20" t="str">
        <x:v>初审</x:v>
      </x:c>
      <x:c r="O697" s="22" t="n">
        <x:v>46255</x:v>
      </x:c>
      <x:c r="P697" s="20" t="str">
        <x:v>https://zh.wikisource.org/wiki/%E6%B8%8A%E6%B5%B7%E5%AD%90%E5%B9%B3%E5%A4%A7%E5%85%A8 ; https://zh.wikisource.org/wiki/%E6%BB%B4%E5%A4%A9%E9%AB%93%E9%97%A1%E5%BE%AE</x:v>
      </x:c>
    </x:row>
    <x:row r="698">
      <x:c r="A698" s="20" t="str">
        <x:v>M10-SHISHANG-0053-V1.0</x:v>
      </x:c>
      <x:c r="B698" s="20" t="str">
        <x:v>规则</x:v>
      </x:c>
      <x:c r="C698" s="20" t="str">
        <x:v>M10</x:v>
      </x:c>
      <x:c r="D698" s="20" t="str">
        <x:v>10_十神旺衰功能</x:v>
      </x:c>
      <x:c r="E698" s="20" t="str">
        <x:v>SHISHANG</x:v>
      </x:c>
      <x:c r="F698" s="20" t="n">
        <x:v>53</x:v>
      </x:c>
      <x:c r="G698" s="20" t="str">
        <x:v>V1.0</x:v>
      </x:c>
      <x:c r="H698" s="20" t="str">
        <x:v>有效食神首先承担泄身输出功能</x:v>
      </x:c>
      <x:c r="I698" s="20" t="str">
        <x:v>结构层</x:v>
      </x:c>
      <x:c r="J698" s="20" t="str">
        <x:v>食神泄身</x:v>
      </x:c>
      <x:c r="K698" s="20" t="str">
        <x:v>有效食神首先承担泄身输出功能：当“食神有效存在且日主有力量可泄”成立时，按本规则记录十神的有效功能；同时保留制化、承载和反向证据。</x:v>
      </x:c>
      <x:c r="L698" s="20" t="str">
        <x:v>较高</x:v>
      </x:c>
      <x:c r="M698" s="20" t="str">
        <x:v>采用</x:v>
      </x:c>
      <x:c r="N698" s="20" t="str">
        <x:v>初审</x:v>
      </x:c>
      <x:c r="O698" s="22" t="n">
        <x:v>46255</x:v>
      </x:c>
      <x:c r="P698" s="20" t="str">
        <x:v>https://zh.wikisource.org/wiki/%E6%B8%8A%E6%B5%B7%E5%AD%90%E5%B9%B3%E5%A4%A7%E5%85%A8 ; https://zh.wikisource.org/wiki/%E6%BB%B4%E5%A4%A9%E9%AB%93%E9%97%A1%E5%BE%AE</x:v>
      </x:c>
    </x:row>
    <x:row r="699">
      <x:c r="A699" s="20" t="str">
        <x:v>M10-SHISHANG-0054-V1.0</x:v>
      </x:c>
      <x:c r="B699" s="20" t="str">
        <x:v>规则</x:v>
      </x:c>
      <x:c r="C699" s="20" t="str">
        <x:v>M10</x:v>
      </x:c>
      <x:c r="D699" s="20" t="str">
        <x:v>10_十神旺衰功能</x:v>
      </x:c>
      <x:c r="E699" s="20" t="str">
        <x:v>SHISHANG</x:v>
      </x:c>
      <x:c r="F699" s="20" t="n">
        <x:v>54</x:v>
      </x:c>
      <x:c r="G699" s="20" t="str">
        <x:v>V1.0</x:v>
      </x:c>
      <x:c r="H699" s="20" t="str">
        <x:v>有效伤官同样承担泄身且具有克官接口</x:v>
      </x:c>
      <x:c r="I699" s="20" t="str">
        <x:v>结构层</x:v>
      </x:c>
      <x:c r="J699" s="20" t="str">
        <x:v>伤官双向功能</x:v>
      </x:c>
      <x:c r="K699" s="20" t="str">
        <x:v>有效伤官同样承担泄身且具有克官接口：当“伤官有效存在”成立时，按本规则记录十神的有效功能；同时保留制化、承载和反向证据。</x:v>
      </x:c>
      <x:c r="L699" s="20" t="str">
        <x:v>较高</x:v>
      </x:c>
      <x:c r="M699" s="20" t="str">
        <x:v>采用</x:v>
      </x:c>
      <x:c r="N699" s="20" t="str">
        <x:v>初审</x:v>
      </x:c>
      <x:c r="O699" s="22" t="n">
        <x:v>46255</x:v>
      </x:c>
      <x:c r="P699" s="20" t="str">
        <x:v>https://zh.wikisource.org/wiki/%E6%B8%8A%E6%B5%B7%E5%AD%90%E5%B9%B3%E5%A4%A7%E5%85%A8 ; https://zh.wikisource.org/wiki/%E6%BB%B4%E5%A4%A9%E9%AB%93%E9%97%A1%E5%BE%AE</x:v>
      </x:c>
    </x:row>
    <x:row r="700">
      <x:c r="A700" s="20" t="str">
        <x:v>M10-SHISHANG-0055-V1.0</x:v>
      </x:c>
      <x:c r="B700" s="20" t="str">
        <x:v>规则</x:v>
      </x:c>
      <x:c r="C700" s="20" t="str">
        <x:v>M10</x:v>
      </x:c>
      <x:c r="D700" s="20" t="str">
        <x:v>10_十神旺衰功能</x:v>
      </x:c>
      <x:c r="E700" s="20" t="str">
        <x:v>SHISHANG</x:v>
      </x:c>
      <x:c r="F700" s="20" t="n">
        <x:v>55</x:v>
      </x:c>
      <x:c r="G700" s="20" t="str">
        <x:v>V1.0</x:v>
      </x:c>
      <x:c r="H700" s="20" t="str">
        <x:v>食神可生财形成连续输出链</x:v>
      </x:c>
      <x:c r="I700" s="20" t="str">
        <x:v>结构层</x:v>
      </x:c>
      <x:c r="J700" s="20" t="str">
        <x:v>食神生财接口</x:v>
      </x:c>
      <x:c r="K700" s="20" t="str">
        <x:v>食神可生财形成连续输出链：当“食神有效且财星能够承接其生扶”成立时，按本规则记录十神的有效功能；同时保留制化、承载和反向证据。</x:v>
      </x:c>
      <x:c r="L700" s="20" t="str">
        <x:v>较高</x:v>
      </x:c>
      <x:c r="M700" s="20" t="str">
        <x:v>采用</x:v>
      </x:c>
      <x:c r="N700" s="20" t="str">
        <x:v>初审</x:v>
      </x:c>
      <x:c r="O700" s="22" t="n">
        <x:v>46255</x:v>
      </x:c>
      <x:c r="P700" s="20" t="str">
        <x:v>https://zh.wikisource.org/wiki/%E6%B8%8A%E6%B5%B7%E5%AD%90%E5%B9%B3%E5%A4%A7%E5%85%A8 ; https://zh.wikisource.org/wiki/%E6%BB%B4%E5%A4%A9%E9%AB%93%E9%97%A1%E5%BE%AE</x:v>
      </x:c>
    </x:row>
    <x:row r="701">
      <x:c r="A701" s="20" t="str">
        <x:v>M10-SHISHANG-0056-V1.0</x:v>
      </x:c>
      <x:c r="B701" s="20" t="str">
        <x:v>规则</x:v>
      </x:c>
      <x:c r="C701" s="20" t="str">
        <x:v>M10</x:v>
      </x:c>
      <x:c r="D701" s="20" t="str">
        <x:v>10_十神旺衰功能</x:v>
      </x:c>
      <x:c r="E701" s="20" t="str">
        <x:v>SHISHANG</x:v>
      </x:c>
      <x:c r="F701" s="20" t="n">
        <x:v>56</x:v>
      </x:c>
      <x:c r="G701" s="20" t="str">
        <x:v>V1.0</x:v>
      </x:c>
      <x:c r="H701" s="20" t="str">
        <x:v>伤官生财须财星有效承接才成立</x:v>
      </x:c>
      <x:c r="I701" s="20" t="str">
        <x:v>结构层</x:v>
      </x:c>
      <x:c r="J701" s="20" t="str">
        <x:v>伤官生财接口</x:v>
      </x:c>
      <x:c r="K701" s="20" t="str">
        <x:v>伤官生财须财星有效承接才成立：当“伤官有效，财星存在且生扶通路连续”成立时，按本规则记录十神的有效功能；同时保留制化、承载和反向证据。</x:v>
      </x:c>
      <x:c r="L701" s="20" t="str">
        <x:v>较高</x:v>
      </x:c>
      <x:c r="M701" s="20" t="str">
        <x:v>采用</x:v>
      </x:c>
      <x:c r="N701" s="20" t="str">
        <x:v>初审</x:v>
      </x:c>
      <x:c r="O701" s="22" t="n">
        <x:v>46255</x:v>
      </x:c>
      <x:c r="P701" s="20" t="str">
        <x:v>https://zh.wikisource.org/wiki/%E6%B8%8A%E6%B5%B7%E5%AD%90%E5%B9%B3%E5%A4%A7%E5%85%A8 ; https://zh.wikisource.org/wiki/%E6%BB%B4%E5%A4%A9%E9%AB%93%E9%97%A1%E5%BE%AE</x:v>
      </x:c>
    </x:row>
    <x:row r="702">
      <x:c r="A702" s="20" t="str">
        <x:v>M10-SHISHANG-0057-V1.0</x:v>
      </x:c>
      <x:c r="B702" s="20" t="str">
        <x:v>规则</x:v>
      </x:c>
      <x:c r="C702" s="20" t="str">
        <x:v>M10</x:v>
      </x:c>
      <x:c r="D702" s="20" t="str">
        <x:v>10_十神旺衰功能</x:v>
      </x:c>
      <x:c r="E702" s="20" t="str">
        <x:v>SHISHANG</x:v>
      </x:c>
      <x:c r="F702" s="20" t="n">
        <x:v>57</x:v>
      </x:c>
      <x:c r="G702" s="20" t="str">
        <x:v>V1.0</x:v>
      </x:c>
      <x:c r="H702" s="20" t="str">
        <x:v>食神制杀须双方均有效且形成直接制约</x:v>
      </x:c>
      <x:c r="I702" s="20" t="str">
        <x:v>结构层</x:v>
      </x:c>
      <x:c r="J702" s="20" t="str">
        <x:v>食神制杀接口</x:v>
      </x:c>
      <x:c r="K702" s="20" t="str">
        <x:v>食神制杀须双方均有效且形成直接制约：当“食神与七杀均有效，克制路径真实成立”成立时，按本规则记录十神的有效功能；同时保留制化、承载和反向证据。</x:v>
      </x:c>
      <x:c r="L702" s="20" t="str">
        <x:v>较高</x:v>
      </x:c>
      <x:c r="M702" s="20" t="str">
        <x:v>采用</x:v>
      </x:c>
      <x:c r="N702" s="20" t="str">
        <x:v>初审</x:v>
      </x:c>
      <x:c r="O702" s="22" t="n">
        <x:v>46255</x:v>
      </x:c>
      <x:c r="P702" s="20" t="str">
        <x:v>https://zh.wikisource.org/wiki/%E6%B8%8A%E6%B5%B7%E5%AD%90%E5%B9%B3%E5%A4%A7%E5%85%A8 ; https://zh.wikisource.org/wiki/%E6%BB%B4%E5%A4%A9%E9%AB%93%E9%97%A1%E5%BE%AE</x:v>
      </x:c>
    </x:row>
    <x:row r="703">
      <x:c r="A703" s="20" t="str">
        <x:v>M10-SHISHANG-0058-V1.0</x:v>
      </x:c>
      <x:c r="B703" s="20" t="str">
        <x:v>规则</x:v>
      </x:c>
      <x:c r="C703" s="20" t="str">
        <x:v>M10</x:v>
      </x:c>
      <x:c r="D703" s="20" t="str">
        <x:v>10_十神旺衰功能</x:v>
      </x:c>
      <x:c r="E703" s="20" t="str">
        <x:v>SHISHANG</x:v>
      </x:c>
      <x:c r="F703" s="20" t="n">
        <x:v>58</x:v>
      </x:c>
      <x:c r="G703" s="20" t="str">
        <x:v>V1.0</x:v>
      </x:c>
      <x:c r="H703" s="20" t="str">
        <x:v>伤官见官只是冲突候选不是自动凶论</x:v>
      </x:c>
      <x:c r="I703" s="20" t="str">
        <x:v>结构层</x:v>
      </x:c>
      <x:c r="J703" s="20" t="str">
        <x:v>伤官克官接口</x:v>
      </x:c>
      <x:c r="K703" s="20" t="str">
        <x:v>伤官见官只是冲突候选不是自动凶论：当“伤官与正官均有效且形成实质克制”成立时，按本规则记录十神的有效功能；同时保留制化、承载和反向证据。</x:v>
      </x:c>
      <x:c r="L703" s="20" t="str">
        <x:v>较高</x:v>
      </x:c>
      <x:c r="M703" s="20" t="str">
        <x:v>采用</x:v>
      </x:c>
      <x:c r="N703" s="20" t="str">
        <x:v>初审</x:v>
      </x:c>
      <x:c r="O703" s="22" t="n">
        <x:v>46255</x:v>
      </x:c>
      <x:c r="P703" s="20" t="str">
        <x:v>https://zh.wikisource.org/wiki/%E6%B8%8A%E6%B5%B7%E5%AD%90%E5%B9%B3%E5%A4%A7%E5%85%A8 ; https://zh.wikisource.org/wiki/%E6%BB%B4%E5%A4%A9%E9%AB%93%E9%97%A1%E5%BE%AE</x:v>
      </x:c>
    </x:row>
    <x:row r="704">
      <x:c r="A704" s="20" t="str">
        <x:v>M10-SHISHANG-0059-V1.0</x:v>
      </x:c>
      <x:c r="B704" s="20" t="str">
        <x:v>规则</x:v>
      </x:c>
      <x:c r="C704" s="20" t="str">
        <x:v>M10</x:v>
      </x:c>
      <x:c r="D704" s="20" t="str">
        <x:v>10_十神旺衰功能</x:v>
      </x:c>
      <x:c r="E704" s="20" t="str">
        <x:v>SHISHANG</x:v>
      </x:c>
      <x:c r="F704" s="20" t="n">
        <x:v>59</x:v>
      </x:c>
      <x:c r="G704" s="20" t="str">
        <x:v>V1.0</x:v>
      </x:c>
      <x:c r="H704" s="20" t="str">
        <x:v>身旺有食伤泄出可形成泄秀候选</x:v>
      </x:c>
      <x:c r="I704" s="20" t="str">
        <x:v>结构层</x:v>
      </x:c>
      <x:c r="J704" s="20" t="str">
        <x:v>身旺食神泄秀</x:v>
      </x:c>
      <x:c r="K704" s="20" t="str">
        <x:v>身旺有食伤泄出可形成泄秀候选：当“M09日主旺或中和偏旺，食神有效且输出顺畅”成立时，按本规则记录十神的有效功能；同时保留制化、承载和反向证据。</x:v>
      </x:c>
      <x:c r="L704" s="20" t="str">
        <x:v>较高</x:v>
      </x:c>
      <x:c r="M704" s="20" t="str">
        <x:v>采用</x:v>
      </x:c>
      <x:c r="N704" s="20" t="str">
        <x:v>初审</x:v>
      </x:c>
      <x:c r="O704" s="22" t="n">
        <x:v>46255</x:v>
      </x:c>
      <x:c r="P704" s="20" t="str">
        <x:v>https://zh.wikisource.org/wiki/%E6%B8%8A%E6%B5%B7%E5%AD%90%E5%B9%B3%E5%A4%A7%E5%85%A8 ; https://zh.wikisource.org/wiki/%E6%BB%B4%E5%A4%A9%E9%AB%93%E9%97%A1%E5%BE%AE</x:v>
      </x:c>
    </x:row>
    <x:row r="705">
      <x:c r="A705" s="20" t="str">
        <x:v>M10-SHISHANG-0060-V1.0</x:v>
      </x:c>
      <x:c r="B705" s="20" t="str">
        <x:v>规则</x:v>
      </x:c>
      <x:c r="C705" s="20" t="str">
        <x:v>M10</x:v>
      </x:c>
      <x:c r="D705" s="20" t="str">
        <x:v>10_十神旺衰功能</x:v>
      </x:c>
      <x:c r="E705" s="20" t="str">
        <x:v>SHISHANG</x:v>
      </x:c>
      <x:c r="F705" s="20" t="n">
        <x:v>60</x:v>
      </x:c>
      <x:c r="G705" s="20" t="str">
        <x:v>V1.0</x:v>
      </x:c>
      <x:c r="H705" s="20" t="str">
        <x:v>身弱食伤过旺会扩大泄身负荷</x:v>
      </x:c>
      <x:c r="I705" s="20" t="str">
        <x:v>结构层</x:v>
      </x:c>
      <x:c r="J705" s="20" t="str">
        <x:v>身弱伤官过泄</x:v>
      </x:c>
      <x:c r="K705" s="20" t="str">
        <x:v>身弱食伤过旺会扩大泄身负荷：当“M09日主弱或中和偏弱，伤官旺且印比不足”成立时，按本规则记录十神的有效功能；同时保留制化、承载和反向证据。</x:v>
      </x:c>
      <x:c r="L705" s="20" t="str">
        <x:v>较高</x:v>
      </x:c>
      <x:c r="M705" s="20" t="str">
        <x:v>采用</x:v>
      </x:c>
      <x:c r="N705" s="20" t="str">
        <x:v>初审</x:v>
      </x:c>
      <x:c r="O705" s="22" t="n">
        <x:v>46255</x:v>
      </x:c>
      <x:c r="P705" s="20" t="str">
        <x:v>https://zh.wikisource.org/wiki/%E6%B8%8A%E6%B5%B7%E5%AD%90%E5%B9%B3%E5%A4%A7%E5%85%A8 ; https://zh.wikisource.org/wiki/%E6%BB%B4%E5%A4%A9%E9%AB%93%E9%97%A1%E5%BE%AE</x:v>
      </x:c>
    </x:row>
    <x:row r="706">
      <x:c r="A706" s="20" t="str">
        <x:v>M10-SHISHANG-0061-V1.0</x:v>
      </x:c>
      <x:c r="B706" s="20" t="str">
        <x:v>规则</x:v>
      </x:c>
      <x:c r="C706" s="20" t="str">
        <x:v>M10</x:v>
      </x:c>
      <x:c r="D706" s="20" t="str">
        <x:v>10_十神旺衰功能</x:v>
      </x:c>
      <x:c r="E706" s="20" t="str">
        <x:v>SHISHANG</x:v>
      </x:c>
      <x:c r="F706" s="20" t="n">
        <x:v>61</x:v>
      </x:c>
      <x:c r="G706" s="20" t="str">
        <x:v>V1.0</x:v>
      </x:c>
      <x:c r="H706" s="20" t="str">
        <x:v>食神被偏印强制时输出和制杀功能均受限</x:v>
      </x:c>
      <x:c r="I706" s="20" t="str">
        <x:v>结构层</x:v>
      </x:c>
      <x:c r="J706" s="20" t="str">
        <x:v>食神受枭制</x:v>
      </x:c>
      <x:c r="K706" s="20" t="str">
        <x:v>食神被偏印强制时输出和制杀功能均受限：当“偏印对食神形成实质有效克制”成立时，按本规则记录十神的有效功能；同时保留制化、承载和反向证据。</x:v>
      </x:c>
      <x:c r="L706" s="20" t="str">
        <x:v>较高</x:v>
      </x:c>
      <x:c r="M706" s="20" t="str">
        <x:v>采用</x:v>
      </x:c>
      <x:c r="N706" s="20" t="str">
        <x:v>初审</x:v>
      </x:c>
      <x:c r="O706" s="22" t="n">
        <x:v>46255</x:v>
      </x:c>
      <x:c r="P706" s="20" t="str">
        <x:v>https://zh.wikisource.org/wiki/%E6%B8%8A%E6%B5%B7%E5%AD%90%E5%B9%B3%E5%A4%A7%E5%85%A8 ; https://zh.wikisource.org/wiki/%E6%BB%B4%E5%A4%A9%E9%AB%93%E9%97%A1%E5%BE%AE</x:v>
      </x:c>
    </x:row>
    <x:row r="707">
      <x:c r="A707" s="20" t="str">
        <x:v>M10-SHISHANG-0062-V1.0</x:v>
      </x:c>
      <x:c r="B707" s="20" t="str">
        <x:v>规则</x:v>
      </x:c>
      <x:c r="C707" s="20" t="str">
        <x:v>M10</x:v>
      </x:c>
      <x:c r="D707" s="20" t="str">
        <x:v>10_十神旺衰功能</x:v>
      </x:c>
      <x:c r="E707" s="20" t="str">
        <x:v>SHISHANG</x:v>
      </x:c>
      <x:c r="F707" s="20" t="n">
        <x:v>62</x:v>
      </x:c>
      <x:c r="G707" s="20" t="str">
        <x:v>V1.0</x:v>
      </x:c>
      <x:c r="H707" s="20" t="str">
        <x:v>伤官被印星有效制约时可形成制化候选</x:v>
      </x:c>
      <x:c r="I707" s="20" t="str">
        <x:v>结构层</x:v>
      </x:c>
      <x:c r="J707" s="20" t="str">
        <x:v>伤官受印制</x:v>
      </x:c>
      <x:c r="K707" s="20" t="str">
        <x:v>伤官被印星有效制约时可形成制化候选：当“印星有力并能直接制伤官”成立时，按本规则记录十神的有效功能；同时保留制化、承载和反向证据。</x:v>
      </x:c>
      <x:c r="L707" s="20" t="str">
        <x:v>较高</x:v>
      </x:c>
      <x:c r="M707" s="20" t="str">
        <x:v>采用</x:v>
      </x:c>
      <x:c r="N707" s="20" t="str">
        <x:v>初审</x:v>
      </x:c>
      <x:c r="O707" s="22" t="n">
        <x:v>46255</x:v>
      </x:c>
      <x:c r="P707" s="20" t="str">
        <x:v>https://zh.wikisource.org/wiki/%E6%B8%8A%E6%B5%B7%E5%AD%90%E5%B9%B3%E5%A4%A7%E5%85%A8 ; https://zh.wikisource.org/wiki/%E6%BB%B4%E5%A4%A9%E9%AB%93%E9%97%A1%E5%BE%AE</x:v>
      </x:c>
    </x:row>
    <x:row r="708">
      <x:c r="A708" s="20" t="str">
        <x:v>M10-SHISHANG-0063-V1.0</x:v>
      </x:c>
      <x:c r="B708" s="20" t="str">
        <x:v>规则</x:v>
      </x:c>
      <x:c r="C708" s="20" t="str">
        <x:v>M10</x:v>
      </x:c>
      <x:c r="D708" s="20" t="str">
        <x:v>10_十神旺衰功能</x:v>
      </x:c>
      <x:c r="E708" s="20" t="str">
        <x:v>SHISHANG</x:v>
      </x:c>
      <x:c r="F708" s="20" t="n">
        <x:v>63</x:v>
      </x:c>
      <x:c r="G708" s="20" t="str">
        <x:v>V1.0</x:v>
      </x:c>
      <x:c r="H708" s="20" t="str">
        <x:v>食伤集团成势时必须检查日主是否有足够源头</x:v>
      </x:c>
      <x:c r="I708" s="20" t="str">
        <x:v>结构层</x:v>
      </x:c>
      <x:c r="J708" s="20" t="str">
        <x:v>食伤集团成势</x:v>
      </x:c>
      <x:c r="K708" s="20" t="str">
        <x:v>食伤集团成势时必须检查日主是否有足够源头：当“食神伤官多节点旺强并形成输出集团”成立时，按本规则记录十神的有效功能；同时保留制化、承载和反向证据。</x:v>
      </x:c>
      <x:c r="L708" s="20" t="str">
        <x:v>较高</x:v>
      </x:c>
      <x:c r="M708" s="20" t="str">
        <x:v>采用</x:v>
      </x:c>
      <x:c r="N708" s="20" t="str">
        <x:v>初审</x:v>
      </x:c>
      <x:c r="O708" s="22" t="n">
        <x:v>46255</x:v>
      </x:c>
      <x:c r="P708" s="20" t="str">
        <x:v>https://zh.wikisource.org/wiki/%E6%B8%8A%E6%B5%B7%E5%AD%90%E5%B9%B3%E5%A4%A7%E5%85%A8 ; https://zh.wikisource.org/wiki/%E6%BB%B4%E5%A4%A9%E9%AB%93%E9%97%A1%E5%BE%AE</x:v>
      </x:c>
    </x:row>
    <x:row r="709">
      <x:c r="A709" s="20" t="str">
        <x:v>M10-SHISHANG-0064-V1.0</x:v>
      </x:c>
      <x:c r="B709" s="20" t="str">
        <x:v>规则</x:v>
      </x:c>
      <x:c r="C709" s="20" t="str">
        <x:v>M10</x:v>
      </x:c>
      <x:c r="D709" s="20" t="str">
        <x:v>10_十神旺衰功能</x:v>
      </x:c>
      <x:c r="E709" s="20" t="str">
        <x:v>SHISHANG</x:v>
      </x:c>
      <x:c r="F709" s="20" t="n">
        <x:v>64</x:v>
      </x:c>
      <x:c r="G709" s="20" t="str">
        <x:v>V1.0</x:v>
      </x:c>
      <x:c r="H709" s="20" t="str">
        <x:v>食伤旺不等于食伤为喜</x:v>
      </x:c>
      <x:c r="I709" s="20" t="str">
        <x:v>结构层</x:v>
      </x:c>
      <x:c r="J709" s="20" t="str">
        <x:v>食伤旺弱喜忌分离</x:v>
      </x:c>
      <x:c r="K709" s="20" t="str">
        <x:v>食伤旺不等于食伤为喜：当“食伤有效旺衰已经确定”成立时，按本规则记录十神的有效功能；同时保留制化、承载和反向证据。</x:v>
      </x:c>
      <x:c r="L709" s="20" t="str">
        <x:v>较高</x:v>
      </x:c>
      <x:c r="M709" s="20" t="str">
        <x:v>采用</x:v>
      </x:c>
      <x:c r="N709" s="20" t="str">
        <x:v>初审</x:v>
      </x:c>
      <x:c r="O709" s="22" t="n">
        <x:v>46255</x:v>
      </x:c>
      <x:c r="P709" s="20" t="str">
        <x:v>https://zh.wikisource.org/wiki/%E6%B8%8A%E6%B5%B7%E5%AD%90%E5%B9%B3%E5%A4%A7%E5%85%A8 ; https://zh.wikisource.org/wiki/%E6%BB%B4%E5%A4%A9%E9%AB%93%E9%97%A1%E5%BE%AE</x:v>
      </x:c>
    </x:row>
    <x:row r="710">
      <x:c r="A710" s="20" t="str">
        <x:v>M10-CAI-0065-V1.0</x:v>
      </x:c>
      <x:c r="B710" s="20" t="str">
        <x:v>规则</x:v>
      </x:c>
      <x:c r="C710" s="20" t="str">
        <x:v>M10</x:v>
      </x:c>
      <x:c r="D710" s="20" t="str">
        <x:v>10_十神旺衰功能</x:v>
      </x:c>
      <x:c r="E710" s="20" t="str">
        <x:v>CAI</x:v>
      </x:c>
      <x:c r="F710" s="20" t="n">
        <x:v>65</x:v>
      </x:c>
      <x:c r="G710" s="20" t="str">
        <x:v>V1.0</x:v>
      </x:c>
      <x:c r="H710" s="20" t="str">
        <x:v>有效财星首先承担耗身和承接食伤功能</x:v>
      </x:c>
      <x:c r="I710" s="20" t="str">
        <x:v>结构层</x:v>
      </x:c>
      <x:c r="J710" s="20" t="str">
        <x:v>正财基本功能</x:v>
      </x:c>
      <x:c r="K710" s="20" t="str">
        <x:v>有效财星首先承担耗身和承接食伤功能：当“正财有效存在”成立时，按本规则记录十神的有效功能；同时保留制化、承载和反向证据。</x:v>
      </x:c>
      <x:c r="L710" s="20" t="str">
        <x:v>较高</x:v>
      </x:c>
      <x:c r="M710" s="20" t="str">
        <x:v>采用</x:v>
      </x:c>
      <x:c r="N710" s="20" t="str">
        <x:v>初审</x:v>
      </x:c>
      <x:c r="O710" s="22" t="n">
        <x:v>46255</x:v>
      </x:c>
      <x:c r="P710" s="20" t="str">
        <x:v>https://zh.wikisource.org/wiki/%E6%B8%8A%E6%B5%B7%E5%AD%90%E5%B9%B3%E5%A4%A7%E5%85%A8 ; https://zh.wikisource.org/wiki/%E6%BB%B4%E5%A4%A9%E9%AB%93%E9%97%A1%E5%BE%AE</x:v>
      </x:c>
    </x:row>
    <x:row r="711">
      <x:c r="A711" s="20" t="str">
        <x:v>M10-CAI-0066-V1.0</x:v>
      </x:c>
      <x:c r="B711" s="20" t="str">
        <x:v>规则</x:v>
      </x:c>
      <x:c r="C711" s="20" t="str">
        <x:v>M10</x:v>
      </x:c>
      <x:c r="D711" s="20" t="str">
        <x:v>10_十神旺衰功能</x:v>
      </x:c>
      <x:c r="E711" s="20" t="str">
        <x:v>CAI</x:v>
      </x:c>
      <x:c r="F711" s="20" t="n">
        <x:v>66</x:v>
      </x:c>
      <x:c r="G711" s="20" t="str">
        <x:v>V1.0</x:v>
      </x:c>
      <x:c r="H711" s="20" t="str">
        <x:v>偏财同样耗身并具有生官杀接口</x:v>
      </x:c>
      <x:c r="I711" s="20" t="str">
        <x:v>结构层</x:v>
      </x:c>
      <x:c r="J711" s="20" t="str">
        <x:v>偏财基本功能</x:v>
      </x:c>
      <x:c r="K711" s="20" t="str">
        <x:v>偏财同样耗身并具有生官杀接口：当“偏财有效存在”成立时，按本规则记录十神的有效功能；同时保留制化、承载和反向证据。</x:v>
      </x:c>
      <x:c r="L711" s="20" t="str">
        <x:v>较高</x:v>
      </x:c>
      <x:c r="M711" s="20" t="str">
        <x:v>采用</x:v>
      </x:c>
      <x:c r="N711" s="20" t="str">
        <x:v>初审</x:v>
      </x:c>
      <x:c r="O711" s="22" t="n">
        <x:v>46255</x:v>
      </x:c>
      <x:c r="P711" s="20" t="str">
        <x:v>https://zh.wikisource.org/wiki/%E6%B8%8A%E6%B5%B7%E5%AD%90%E5%B9%B3%E5%A4%A7%E5%85%A8 ; https://zh.wikisource.org/wiki/%E6%BB%B4%E5%A4%A9%E9%AB%93%E9%97%A1%E5%BE%AE</x:v>
      </x:c>
    </x:row>
    <x:row r="712">
      <x:c r="A712" s="20" t="str">
        <x:v>M10-CAI-0067-V1.0</x:v>
      </x:c>
      <x:c r="B712" s="20" t="str">
        <x:v>规则</x:v>
      </x:c>
      <x:c r="C712" s="20" t="str">
        <x:v>M10</x:v>
      </x:c>
      <x:c r="D712" s="20" t="str">
        <x:v>10_十神旺衰功能</x:v>
      </x:c>
      <x:c r="E712" s="20" t="str">
        <x:v>CAI</x:v>
      </x:c>
      <x:c r="F712" s="20" t="n">
        <x:v>67</x:v>
      </x:c>
      <x:c r="G712" s="20" t="str">
        <x:v>V1.0</x:v>
      </x:c>
      <x:c r="H712" s="20" t="str">
        <x:v>身旺且财星有效时可形成任财候选</x:v>
      </x:c>
      <x:c r="I712" s="20" t="str">
        <x:v>结构层</x:v>
      </x:c>
      <x:c r="J712" s="20" t="str">
        <x:v>身旺任财候选</x:v>
      </x:c>
      <x:c r="K712" s="20" t="str">
        <x:v>身旺且财星有效时可形成任财候选：当“M09日主旺或中和偏旺，正财有效且不过度”成立时，按本规则记录十神的有效功能；同时保留制化、承载和反向证据。</x:v>
      </x:c>
      <x:c r="L712" s="20" t="str">
        <x:v>较高</x:v>
      </x:c>
      <x:c r="M712" s="20" t="str">
        <x:v>采用</x:v>
      </x:c>
      <x:c r="N712" s="20" t="str">
        <x:v>初审</x:v>
      </x:c>
      <x:c r="O712" s="22" t="n">
        <x:v>46255</x:v>
      </x:c>
      <x:c r="P712" s="20" t="str">
        <x:v>https://zh.wikisource.org/wiki/%E6%B8%8A%E6%B5%B7%E5%AD%90%E5%B9%B3%E5%A4%A7%E5%85%A8 ; https://zh.wikisource.org/wiki/%E6%BB%B4%E5%A4%A9%E9%AB%93%E9%97%A1%E5%BE%AE</x:v>
      </x:c>
    </x:row>
    <x:row r="713">
      <x:c r="A713" s="20" t="str">
        <x:v>M10-CAI-0068-V1.0</x:v>
      </x:c>
      <x:c r="B713" s="20" t="str">
        <x:v>规则</x:v>
      </x:c>
      <x:c r="C713" s="20" t="str">
        <x:v>M10</x:v>
      </x:c>
      <x:c r="D713" s="20" t="str">
        <x:v>10_十神旺衰功能</x:v>
      </x:c>
      <x:c r="E713" s="20" t="str">
        <x:v>CAI</x:v>
      </x:c>
      <x:c r="F713" s="20" t="n">
        <x:v>68</x:v>
      </x:c>
      <x:c r="G713" s="20" t="str">
        <x:v>V1.0</x:v>
      </x:c>
      <x:c r="H713" s="20" t="str">
        <x:v>身弱财旺时财星可能成为主要耗身负荷</x:v>
      </x:c>
      <x:c r="I713" s="20" t="str">
        <x:v>结构层</x:v>
      </x:c>
      <x:c r="J713" s="20" t="str">
        <x:v>财多身弱候选</x:v>
      </x:c>
      <x:c r="K713" s="20" t="str">
        <x:v>身弱财旺时财星可能成为主要耗身负荷：当“M09日主弱或中和偏弱，偏财旺且印比不足”成立时，按本规则记录十神的有效功能；同时保留制化、承载和反向证据。</x:v>
      </x:c>
      <x:c r="L713" s="20" t="str">
        <x:v>较高</x:v>
      </x:c>
      <x:c r="M713" s="20" t="str">
        <x:v>采用</x:v>
      </x:c>
      <x:c r="N713" s="20" t="str">
        <x:v>初审</x:v>
      </x:c>
      <x:c r="O713" s="22" t="n">
        <x:v>46255</x:v>
      </x:c>
      <x:c r="P713" s="20" t="str">
        <x:v>https://zh.wikisource.org/wiki/%E6%B8%8A%E6%B5%B7%E5%AD%90%E5%B9%B3%E5%A4%A7%E5%85%A8 ; https://zh.wikisource.org/wiki/%E6%BB%B4%E5%A4%A9%E9%AB%93%E9%97%A1%E5%BE%AE</x:v>
      </x:c>
    </x:row>
    <x:row r="714">
      <x:c r="A714" s="20" t="str">
        <x:v>M10-CAI-0069-V1.0</x:v>
      </x:c>
      <x:c r="B714" s="20" t="str">
        <x:v>规则</x:v>
      </x:c>
      <x:c r="C714" s="20" t="str">
        <x:v>M10</x:v>
      </x:c>
      <x:c r="D714" s="20" t="str">
        <x:v>10_十神旺衰功能</x:v>
      </x:c>
      <x:c r="E714" s="20" t="str">
        <x:v>CAI</x:v>
      </x:c>
      <x:c r="F714" s="20" t="n">
        <x:v>69</x:v>
      </x:c>
      <x:c r="G714" s="20" t="str">
        <x:v>V1.0</x:v>
      </x:c>
      <x:c r="H714" s="20" t="str">
        <x:v>财星受比劫强制时有效性下降</x:v>
      </x:c>
      <x:c r="I714" s="20" t="str">
        <x:v>结构层</x:v>
      </x:c>
      <x:c r="J714" s="20" t="str">
        <x:v>财受比劫制</x:v>
      </x:c>
      <x:c r="K714" s="20" t="str">
        <x:v>财星受比劫强制时有效性下降：当“比劫对正财形成实质有效克制”成立时，按本规则记录十神的有效功能；同时保留制化、承载和反向证据。</x:v>
      </x:c>
      <x:c r="L714" s="20" t="str">
        <x:v>较高</x:v>
      </x:c>
      <x:c r="M714" s="20" t="str">
        <x:v>采用</x:v>
      </x:c>
      <x:c r="N714" s="20" t="str">
        <x:v>初审</x:v>
      </x:c>
      <x:c r="O714" s="22" t="n">
        <x:v>46255</x:v>
      </x:c>
      <x:c r="P714" s="20" t="str">
        <x:v>https://zh.wikisource.org/wiki/%E6%B8%8A%E6%B5%B7%E5%AD%90%E5%B9%B3%E5%A4%A7%E5%85%A8 ; https://zh.wikisource.org/wiki/%E6%BB%B4%E5%A4%A9%E9%AB%93%E9%97%A1%E5%BE%AE</x:v>
      </x:c>
    </x:row>
    <x:row r="715">
      <x:c r="A715" s="20" t="str">
        <x:v>M10-CAI-0070-V1.0</x:v>
      </x:c>
      <x:c r="B715" s="20" t="str">
        <x:v>规则</x:v>
      </x:c>
      <x:c r="C715" s="20" t="str">
        <x:v>M10</x:v>
      </x:c>
      <x:c r="D715" s="20" t="str">
        <x:v>10_十神旺衰功能</x:v>
      </x:c>
      <x:c r="E715" s="20" t="str">
        <x:v>CAI</x:v>
      </x:c>
      <x:c r="F715" s="20" t="n">
        <x:v>70</x:v>
      </x:c>
      <x:c r="G715" s="20" t="str">
        <x:v>V1.0</x:v>
      </x:c>
      <x:c r="H715" s="20" t="str">
        <x:v>财星制印须财印力量和路径均成立</x:v>
      </x:c>
      <x:c r="I715" s="20" t="str">
        <x:v>结构层</x:v>
      </x:c>
      <x:c r="J715" s="20" t="str">
        <x:v>财制印接口</x:v>
      </x:c>
      <x:c r="K715" s="20" t="str">
        <x:v>财星制印须财印力量和路径均成立：当“偏财与印星形成有效克制”成立时，按本规则记录十神的有效功能；同时保留制化、承载和反向证据。</x:v>
      </x:c>
      <x:c r="L715" s="20" t="str">
        <x:v>较高</x:v>
      </x:c>
      <x:c r="M715" s="20" t="str">
        <x:v>采用</x:v>
      </x:c>
      <x:c r="N715" s="20" t="str">
        <x:v>初审</x:v>
      </x:c>
      <x:c r="O715" s="22" t="n">
        <x:v>46255</x:v>
      </x:c>
      <x:c r="P715" s="20" t="str">
        <x:v>https://zh.wikisource.org/wiki/%E6%B8%8A%E6%B5%B7%E5%AD%90%E5%B9%B3%E5%A4%A7%E5%85%A8 ; https://zh.wikisource.org/wiki/%E6%BB%B4%E5%A4%A9%E9%AB%93%E9%97%A1%E5%BE%AE</x:v>
      </x:c>
    </x:row>
    <x:row r="716">
      <x:c r="A716" s="20" t="str">
        <x:v>M10-CAI-0071-V1.0</x:v>
      </x:c>
      <x:c r="B716" s="20" t="str">
        <x:v>规则</x:v>
      </x:c>
      <x:c r="C716" s="20" t="str">
        <x:v>M10</x:v>
      </x:c>
      <x:c r="D716" s="20" t="str">
        <x:v>10_十神旺衰功能</x:v>
      </x:c>
      <x:c r="E716" s="20" t="str">
        <x:v>CAI</x:v>
      </x:c>
      <x:c r="F716" s="20" t="n">
        <x:v>71</x:v>
      </x:c>
      <x:c r="G716" s="20" t="str">
        <x:v>V1.0</x:v>
      </x:c>
      <x:c r="H716" s="20" t="str">
        <x:v>财生官必须官星能够承接</x:v>
      </x:c>
      <x:c r="I716" s="20" t="str">
        <x:v>结构层</x:v>
      </x:c>
      <x:c r="J716" s="20" t="str">
        <x:v>财生官接口</x:v>
      </x:c>
      <x:c r="K716" s="20" t="str">
        <x:v>财生官必须官星能够承接：当“正财有效且正官存在，生扶路径连续”成立时，按本规则记录十神的有效功能；同时保留制化、承载和反向证据。</x:v>
      </x:c>
      <x:c r="L716" s="20" t="str">
        <x:v>较高</x:v>
      </x:c>
      <x:c r="M716" s="20" t="str">
        <x:v>采用</x:v>
      </x:c>
      <x:c r="N716" s="20" t="str">
        <x:v>初审</x:v>
      </x:c>
      <x:c r="O716" s="22" t="n">
        <x:v>46255</x:v>
      </x:c>
      <x:c r="P716" s="20" t="str">
        <x:v>https://zh.wikisource.org/wiki/%E6%B8%8A%E6%B5%B7%E5%AD%90%E5%B9%B3%E5%A4%A7%E5%85%A8 ; https://zh.wikisource.org/wiki/%E6%BB%B4%E5%A4%A9%E9%AB%93%E9%97%A1%E5%BE%AE</x:v>
      </x:c>
    </x:row>
    <x:row r="717">
      <x:c r="A717" s="20" t="str">
        <x:v>M10-CAI-0072-V1.0</x:v>
      </x:c>
      <x:c r="B717" s="20" t="str">
        <x:v>规则</x:v>
      </x:c>
      <x:c r="C717" s="20" t="str">
        <x:v>M10</x:v>
      </x:c>
      <x:c r="D717" s="20" t="str">
        <x:v>10_十神旺衰功能</x:v>
      </x:c>
      <x:c r="E717" s="20" t="str">
        <x:v>CAI</x:v>
      </x:c>
      <x:c r="F717" s="20" t="n">
        <x:v>72</x:v>
      </x:c>
      <x:c r="G717" s="20" t="str">
        <x:v>V1.0</x:v>
      </x:c>
      <x:c r="H717" s="20" t="str">
        <x:v>财生杀会同时增加日主官杀负荷</x:v>
      </x:c>
      <x:c r="I717" s="20" t="str">
        <x:v>结构层</x:v>
      </x:c>
      <x:c r="J717" s="20" t="str">
        <x:v>财生杀加压</x:v>
      </x:c>
      <x:c r="K717" s="20" t="str">
        <x:v>财生杀会同时增加日主官杀负荷：当“偏财有效生七杀，且七杀能够承接”成立时，按本规则记录十神的有效功能；同时保留制化、承载和反向证据。</x:v>
      </x:c>
      <x:c r="L717" s="20" t="str">
        <x:v>较高</x:v>
      </x:c>
      <x:c r="M717" s="20" t="str">
        <x:v>采用</x:v>
      </x:c>
      <x:c r="N717" s="20" t="str">
        <x:v>初审</x:v>
      </x:c>
      <x:c r="O717" s="22" t="n">
        <x:v>46255</x:v>
      </x:c>
      <x:c r="P717" s="20" t="str">
        <x:v>https://zh.wikisource.org/wiki/%E6%B8%8A%E6%B5%B7%E5%AD%90%E5%B9%B3%E5%A4%A7%E5%85%A8 ; https://zh.wikisource.org/wiki/%E6%BB%B4%E5%A4%A9%E9%AB%93%E9%97%A1%E5%BE%AE</x:v>
      </x:c>
    </x:row>
    <x:row r="718">
      <x:c r="A718" s="20" t="str">
        <x:v>M10-CAI-0073-V1.0</x:v>
      </x:c>
      <x:c r="B718" s="20" t="str">
        <x:v>规则</x:v>
      </x:c>
      <x:c r="C718" s="20" t="str">
        <x:v>M10</x:v>
      </x:c>
      <x:c r="D718" s="20" t="str">
        <x:v>10_十神旺衰功能</x:v>
      </x:c>
      <x:c r="E718" s="20" t="str">
        <x:v>CAI</x:v>
      </x:c>
      <x:c r="F718" s="20" t="n">
        <x:v>73</x:v>
      </x:c>
      <x:c r="G718" s="20" t="str">
        <x:v>V1.0</x:v>
      </x:c>
      <x:c r="H718" s="20" t="str">
        <x:v>食伤生财链成立时财星来源更稳定</x:v>
      </x:c>
      <x:c r="I718" s="20" t="str">
        <x:v>结构层</x:v>
      </x:c>
      <x:c r="J718" s="20" t="str">
        <x:v>食伤生财来源</x:v>
      </x:c>
      <x:c r="K718" s="20" t="str">
        <x:v>食伤生财链成立时财星来源更稳定：当“食伤有效生正财且中间无阻断”成立时，按本规则记录十神的有效功能；同时保留制化、承载和反向证据。</x:v>
      </x:c>
      <x:c r="L718" s="20" t="str">
        <x:v>较高</x:v>
      </x:c>
      <x:c r="M718" s="20" t="str">
        <x:v>采用</x:v>
      </x:c>
      <x:c r="N718" s="20" t="str">
        <x:v>初审</x:v>
      </x:c>
      <x:c r="O718" s="22" t="n">
        <x:v>46255</x:v>
      </x:c>
      <x:c r="P718" s="20" t="str">
        <x:v>https://zh.wikisource.org/wiki/%E6%B8%8A%E6%B5%B7%E5%AD%90%E5%B9%B3%E5%A4%A7%E5%85%A8 ; https://zh.wikisource.org/wiki/%E6%BB%B4%E5%A4%A9%E9%AB%93%E9%97%A1%E5%BE%AE</x:v>
      </x:c>
    </x:row>
    <x:row r="719">
      <x:c r="A719" s="20" t="str">
        <x:v>M10-CAI-0074-V1.0</x:v>
      </x:c>
      <x:c r="B719" s="20" t="str">
        <x:v>规则</x:v>
      </x:c>
      <x:c r="C719" s="20" t="str">
        <x:v>M10</x:v>
      </x:c>
      <x:c r="D719" s="20" t="str">
        <x:v>10_十神旺衰功能</x:v>
      </x:c>
      <x:c r="E719" s="20" t="str">
        <x:v>CAI</x:v>
      </x:c>
      <x:c r="F719" s="20" t="n">
        <x:v>74</x:v>
      </x:c>
      <x:c r="G719" s="20" t="str">
        <x:v>V1.0</x:v>
      </x:c>
      <x:c r="H719" s="20" t="str">
        <x:v>财星多现但受制严重时不按财旺处理</x:v>
      </x:c>
      <x:c r="I719" s="20" t="str">
        <x:v>结构层</x:v>
      </x:c>
      <x:c r="J719" s="20" t="str">
        <x:v>财多而效弱</x:v>
      </x:c>
      <x:c r="K719" s="20" t="str">
        <x:v>财星多现但受制严重时不按财旺处理：当“偏财多处出现，但主要节点被比劫制、合绊或改性”成立时，按本规则记录十神的有效功能；同时保留制化、承载和反向证据。</x:v>
      </x:c>
      <x:c r="L719" s="20" t="str">
        <x:v>较高</x:v>
      </x:c>
      <x:c r="M719" s="20" t="str">
        <x:v>采用</x:v>
      </x:c>
      <x:c r="N719" s="20" t="str">
        <x:v>初审</x:v>
      </x:c>
      <x:c r="O719" s="22" t="n">
        <x:v>46255</x:v>
      </x:c>
      <x:c r="P719" s="20" t="str">
        <x:v>https://zh.wikisource.org/wiki/%E6%B8%8A%E6%B5%B7%E5%AD%90%E5%B9%B3%E5%A4%A7%E5%85%A8 ; https://zh.wikisource.org/wiki/%E6%BB%B4%E5%A4%A9%E9%AB%93%E9%97%A1%E5%BE%AE</x:v>
      </x:c>
    </x:row>
    <x:row r="720">
      <x:c r="A720" s="20" t="str">
        <x:v>M10-CAI-0075-V1.0</x:v>
      </x:c>
      <x:c r="B720" s="20" t="str">
        <x:v>规则</x:v>
      </x:c>
      <x:c r="C720" s="20" t="str">
        <x:v>M10</x:v>
      </x:c>
      <x:c r="D720" s="20" t="str">
        <x:v>10_十神旺衰功能</x:v>
      </x:c>
      <x:c r="E720" s="20" t="str">
        <x:v>CAI</x:v>
      </x:c>
      <x:c r="F720" s="20" t="n">
        <x:v>75</x:v>
      </x:c>
      <x:c r="G720" s="20" t="str">
        <x:v>V1.0</x:v>
      </x:c>
      <x:c r="H720" s="20" t="str">
        <x:v>财星旺弱与财富结果必须分离</x:v>
      </x:c>
      <x:c r="I720" s="20" t="str">
        <x:v>结构层</x:v>
      </x:c>
      <x:c r="J720" s="20" t="str">
        <x:v>财星力量价值分离</x:v>
      </x:c>
      <x:c r="K720" s="20" t="str">
        <x:v>财星旺弱与财富结果必须分离：当“财星有效旺衰已经确定”成立时，按本规则记录十神的有效功能；同时保留制化、承载和反向证据。</x:v>
      </x:c>
      <x:c r="L720" s="20" t="str">
        <x:v>较高</x:v>
      </x:c>
      <x:c r="M720" s="20" t="str">
        <x:v>采用</x:v>
      </x:c>
      <x:c r="N720" s="20" t="str">
        <x:v>初审</x:v>
      </x:c>
      <x:c r="O720" s="22" t="n">
        <x:v>46255</x:v>
      </x:c>
      <x:c r="P720" s="20" t="str">
        <x:v>https://zh.wikisource.org/wiki/%E6%B8%8A%E6%B5%B7%E5%AD%90%E5%B9%B3%E5%A4%A7%E5%85%A8 ; https://zh.wikisource.org/wiki/%E6%BB%B4%E5%A4%A9%E9%AB%93%E9%97%A1%E5%BE%AE</x:v>
      </x:c>
    </x:row>
    <x:row r="721">
      <x:c r="A721" s="20" t="str">
        <x:v>M10-CAI-0076-V1.0</x:v>
      </x:c>
      <x:c r="B721" s="20" t="str">
        <x:v>规则</x:v>
      </x:c>
      <x:c r="C721" s="20" t="str">
        <x:v>M10</x:v>
      </x:c>
      <x:c r="D721" s="20" t="str">
        <x:v>10_十神旺衰功能</x:v>
      </x:c>
      <x:c r="E721" s="20" t="str">
        <x:v>CAI</x:v>
      </x:c>
      <x:c r="F721" s="20" t="n">
        <x:v>76</x:v>
      </x:c>
      <x:c r="G721" s="20" t="str">
        <x:v>V1.0</x:v>
      </x:c>
      <x:c r="H721" s="20" t="str">
        <x:v>财星喜忌须同时读取日主承载与格局功能</x:v>
      </x:c>
      <x:c r="I721" s="20" t="str">
        <x:v>结构层</x:v>
      </x:c>
      <x:c r="J721" s="20" t="str">
        <x:v>财星喜忌联判</x:v>
      </x:c>
      <x:c r="K721" s="20" t="str">
        <x:v>财星喜忌须同时读取日主承载与格局功能：当“判断偏财价值时，同时核查M09承载和M11/M14结构角色”成立时，按本规则记录十神的有效功能；同时保留制化、承载和反向证据。</x:v>
      </x:c>
      <x:c r="L721" s="20" t="str">
        <x:v>较高</x:v>
      </x:c>
      <x:c r="M721" s="20" t="str">
        <x:v>采用</x:v>
      </x:c>
      <x:c r="N721" s="20" t="str">
        <x:v>初审</x:v>
      </x:c>
      <x:c r="O721" s="22" t="n">
        <x:v>46255</x:v>
      </x:c>
      <x:c r="P721" s="20" t="str">
        <x:v>https://zh.wikisource.org/wiki/%E6%B8%8A%E6%B5%B7%E5%AD%90%E5%B9%B3%E5%A4%A7%E5%85%A8 ; https://zh.wikisource.org/wiki/%E6%BB%B4%E5%A4%A9%E9%AB%93%E9%97%A1%E5%BE%AE</x:v>
      </x:c>
    </x:row>
    <x:row r="722">
      <x:c r="A722" s="20" t="str">
        <x:v>M10-GUANSHA-0077-V1.0</x:v>
      </x:c>
      <x:c r="B722" s="20" t="str">
        <x:v>规则</x:v>
      </x:c>
      <x:c r="C722" s="20" t="str">
        <x:v>M10</x:v>
      </x:c>
      <x:c r="D722" s="20" t="str">
        <x:v>10_十神旺衰功能</x:v>
      </x:c>
      <x:c r="E722" s="20" t="str">
        <x:v>GUANSHA</x:v>
      </x:c>
      <x:c r="F722" s="20" t="n">
        <x:v>77</x:v>
      </x:c>
      <x:c r="G722" s="20" t="str">
        <x:v>V1.0</x:v>
      </x:c>
      <x:c r="H722" s="20" t="str">
        <x:v>有效正官首先承担制身和生印接口</x:v>
      </x:c>
      <x:c r="I722" s="20" t="str">
        <x:v>结构层</x:v>
      </x:c>
      <x:c r="J722" s="20" t="str">
        <x:v>正官基本功能</x:v>
      </x:c>
      <x:c r="K722" s="20" t="str">
        <x:v>有效正官首先承担制身和生印接口：当“正官有效存在”成立时，按本规则记录十神的有效功能；同时保留制化、承载和反向证据。</x:v>
      </x:c>
      <x:c r="L722" s="20" t="str">
        <x:v>较高</x:v>
      </x:c>
      <x:c r="M722" s="20" t="str">
        <x:v>采用</x:v>
      </x:c>
      <x:c r="N722" s="20" t="str">
        <x:v>初审</x:v>
      </x:c>
      <x:c r="O722" s="22" t="n">
        <x:v>46255</x:v>
      </x:c>
      <x:c r="P722" s="20" t="str">
        <x:v>https://zh.wikisource.org/wiki/%E6%B8%8A%E6%B5%B7%E5%AD%90%E5%B9%B3%E5%A4%A7%E5%85%A8 ; https://zh.wikisource.org/wiki/%E6%BB%B4%E5%A4%A9%E9%AB%93%E9%97%A1%E5%BE%AE</x:v>
      </x:c>
    </x:row>
    <x:row r="723">
      <x:c r="A723" s="20" t="str">
        <x:v>M10-GUANSHA-0078-V1.0</x:v>
      </x:c>
      <x:c r="B723" s="20" t="str">
        <x:v>规则</x:v>
      </x:c>
      <x:c r="C723" s="20" t="str">
        <x:v>M10</x:v>
      </x:c>
      <x:c r="D723" s="20" t="str">
        <x:v>10_十神旺衰功能</x:v>
      </x:c>
      <x:c r="E723" s="20" t="str">
        <x:v>GUANSHA</x:v>
      </x:c>
      <x:c r="F723" s="20" t="n">
        <x:v>78</x:v>
      </x:c>
      <x:c r="G723" s="20" t="str">
        <x:v>V1.0</x:v>
      </x:c>
      <x:c r="H723" s="20" t="str">
        <x:v>有效七杀形成更直接的制身压力候选</x:v>
      </x:c>
      <x:c r="I723" s="20" t="str">
        <x:v>结构层</x:v>
      </x:c>
      <x:c r="J723" s="20" t="str">
        <x:v>七杀制身</x:v>
      </x:c>
      <x:c r="K723" s="20" t="str">
        <x:v>有效七杀形成更直接的制身压力候选：当“七杀有效存在”成立时，按本规则记录十神的有效功能；同时保留制化、承载和反向证据。</x:v>
      </x:c>
      <x:c r="L723" s="20" t="str">
        <x:v>较高</x:v>
      </x:c>
      <x:c r="M723" s="20" t="str">
        <x:v>采用</x:v>
      </x:c>
      <x:c r="N723" s="20" t="str">
        <x:v>初审</x:v>
      </x:c>
      <x:c r="O723" s="22" t="n">
        <x:v>46255</x:v>
      </x:c>
      <x:c r="P723" s="20" t="str">
        <x:v>https://zh.wikisource.org/wiki/%E6%B8%8A%E6%B5%B7%E5%AD%90%E5%B9%B3%E5%A4%A7%E5%85%A8 ; https://zh.wikisource.org/wiki/%E6%BB%B4%E5%A4%A9%E9%AB%93%E9%97%A1%E5%BE%AE</x:v>
      </x:c>
    </x:row>
    <x:row r="724">
      <x:c r="A724" s="20" t="str">
        <x:v>M10-GUANSHA-0079-V1.0</x:v>
      </x:c>
      <x:c r="B724" s="20" t="str">
        <x:v>规则</x:v>
      </x:c>
      <x:c r="C724" s="20" t="str">
        <x:v>M10</x:v>
      </x:c>
      <x:c r="D724" s="20" t="str">
        <x:v>10_十神旺衰功能</x:v>
      </x:c>
      <x:c r="E724" s="20" t="str">
        <x:v>GUANSHA</x:v>
      </x:c>
      <x:c r="F724" s="20" t="n">
        <x:v>79</x:v>
      </x:c>
      <x:c r="G724" s="20" t="str">
        <x:v>V1.0</x:v>
      </x:c>
      <x:c r="H724" s="20" t="str">
        <x:v>身旺官星适度可形成制衡候选</x:v>
      </x:c>
      <x:c r="I724" s="20" t="str">
        <x:v>结构层</x:v>
      </x:c>
      <x:c r="J724" s="20" t="str">
        <x:v>身旺官星制衡</x:v>
      </x:c>
      <x:c r="K724" s="20" t="str">
        <x:v>身旺官星适度可形成制衡候选：当“M09日主旺或中和偏旺，正官有效且不过度”成立时，按本规则记录十神的有效功能；同时保留制化、承载和反向证据。</x:v>
      </x:c>
      <x:c r="L724" s="20" t="str">
        <x:v>较高</x:v>
      </x:c>
      <x:c r="M724" s="20" t="str">
        <x:v>采用</x:v>
      </x:c>
      <x:c r="N724" s="20" t="str">
        <x:v>初审</x:v>
      </x:c>
      <x:c r="O724" s="22" t="n">
        <x:v>46255</x:v>
      </x:c>
      <x:c r="P724" s="20" t="str">
        <x:v>https://zh.wikisource.org/wiki/%E6%B8%8A%E6%B5%B7%E5%AD%90%E5%B9%B3%E5%A4%A7%E5%85%A8 ; https://zh.wikisource.org/wiki/%E6%BB%B4%E5%A4%A9%E9%AB%93%E9%97%A1%E5%BE%AE</x:v>
      </x:c>
    </x:row>
    <x:row r="725">
      <x:c r="A725" s="20" t="str">
        <x:v>M10-GUANSHA-0080-V1.0</x:v>
      </x:c>
      <x:c r="B725" s="20" t="str">
        <x:v>规则</x:v>
      </x:c>
      <x:c r="C725" s="20" t="str">
        <x:v>M10</x:v>
      </x:c>
      <x:c r="D725" s="20" t="str">
        <x:v>10_十神旺衰功能</x:v>
      </x:c>
      <x:c r="E725" s="20" t="str">
        <x:v>GUANSHA</x:v>
      </x:c>
      <x:c r="F725" s="20" t="n">
        <x:v>80</x:v>
      </x:c>
      <x:c r="G725" s="20" t="str">
        <x:v>V1.0</x:v>
      </x:c>
      <x:c r="H725" s="20" t="str">
        <x:v>身弱杀旺无制化时属于高压力候选</x:v>
      </x:c>
      <x:c r="I725" s="20" t="str">
        <x:v>结构层</x:v>
      </x:c>
      <x:c r="J725" s="20" t="str">
        <x:v>杀旺攻身候选</x:v>
      </x:c>
      <x:c r="K725" s="20" t="str">
        <x:v>身弱杀旺无制化时属于高压力候选：当“M09日主弱或中和偏弱，七杀旺且缺少印化食制”成立时，按本规则记录十神的有效功能；同时保留制化、承载和反向证据。</x:v>
      </x:c>
      <x:c r="L725" s="20" t="str">
        <x:v>较高</x:v>
      </x:c>
      <x:c r="M725" s="20" t="str">
        <x:v>采用</x:v>
      </x:c>
      <x:c r="N725" s="20" t="str">
        <x:v>初审</x:v>
      </x:c>
      <x:c r="O725" s="22" t="n">
        <x:v>46255</x:v>
      </x:c>
      <x:c r="P725" s="20" t="str">
        <x:v>https://zh.wikisource.org/wiki/%E6%B8%8A%E6%B5%B7%E5%AD%90%E5%B9%B3%E5%A4%A7%E5%85%A8 ; https://zh.wikisource.org/wiki/%E6%BB%B4%E5%A4%A9%E9%AB%93%E9%97%A1%E5%BE%AE</x:v>
      </x:c>
    </x:row>
    <x:row r="726">
      <x:c r="A726" s="20" t="str">
        <x:v>M10-GUANSHA-0081-V1.0</x:v>
      </x:c>
      <x:c r="B726" s="20" t="str">
        <x:v>规则</x:v>
      </x:c>
      <x:c r="C726" s="20" t="str">
        <x:v>M10</x:v>
      </x:c>
      <x:c r="D726" s="20" t="str">
        <x:v>10_十神旺衰功能</x:v>
      </x:c>
      <x:c r="E726" s="20" t="str">
        <x:v>GUANSHA</x:v>
      </x:c>
      <x:c r="F726" s="20" t="n">
        <x:v>81</x:v>
      </x:c>
      <x:c r="G726" s="20" t="str">
        <x:v>V1.0</x:v>
      </x:c>
      <x:c r="H726" s="20" t="str">
        <x:v>正官受伤官有效克制时功能受限</x:v>
      </x:c>
      <x:c r="I726" s="20" t="str">
        <x:v>结构层</x:v>
      </x:c>
      <x:c r="J726" s="20" t="str">
        <x:v>官受伤官制</x:v>
      </x:c>
      <x:c r="K726" s="20" t="str">
        <x:v>正官受伤官有效克制时功能受限：当“伤官对正官形成实质克制”成立时，按本规则记录十神的有效功能；同时保留制化、承载和反向证据。</x:v>
      </x:c>
      <x:c r="L726" s="20" t="str">
        <x:v>较高</x:v>
      </x:c>
      <x:c r="M726" s="20" t="str">
        <x:v>采用</x:v>
      </x:c>
      <x:c r="N726" s="20" t="str">
        <x:v>初审</x:v>
      </x:c>
      <x:c r="O726" s="22" t="n">
        <x:v>46255</x:v>
      </x:c>
      <x:c r="P726" s="20" t="str">
        <x:v>https://zh.wikisource.org/wiki/%E6%B8%8A%E6%B5%B7%E5%AD%90%E5%B9%B3%E5%A4%A7%E5%85%A8 ; https://zh.wikisource.org/wiki/%E6%BB%B4%E5%A4%A9%E9%AB%93%E9%97%A1%E5%BE%AE</x:v>
      </x:c>
    </x:row>
    <x:row r="727">
      <x:c r="A727" s="20" t="str">
        <x:v>M10-GUANSHA-0082-V1.0</x:v>
      </x:c>
      <x:c r="B727" s="20" t="str">
        <x:v>规则</x:v>
      </x:c>
      <x:c r="C727" s="20" t="str">
        <x:v>M10</x:v>
      </x:c>
      <x:c r="D727" s="20" t="str">
        <x:v>10_十神旺衰功能</x:v>
      </x:c>
      <x:c r="E727" s="20" t="str">
        <x:v>GUANSHA</x:v>
      </x:c>
      <x:c r="F727" s="20" t="n">
        <x:v>82</x:v>
      </x:c>
      <x:c r="G727" s="20" t="str">
        <x:v>V1.0</x:v>
      </x:c>
      <x:c r="H727" s="20" t="str">
        <x:v>七杀受食神有效制约时制身压力下降</x:v>
      </x:c>
      <x:c r="I727" s="20" t="str">
        <x:v>结构层</x:v>
      </x:c>
      <x:c r="J727" s="20" t="str">
        <x:v>杀受食制</x:v>
      </x:c>
      <x:c r="K727" s="20" t="str">
        <x:v>七杀受食神有效制约时制身压力下降：当“食神对七杀形成有效克制且力量匹配”成立时，按本规则记录十神的有效功能；同时保留制化、承载和反向证据。</x:v>
      </x:c>
      <x:c r="L727" s="20" t="str">
        <x:v>较高</x:v>
      </x:c>
      <x:c r="M727" s="20" t="str">
        <x:v>采用</x:v>
      </x:c>
      <x:c r="N727" s="20" t="str">
        <x:v>初审</x:v>
      </x:c>
      <x:c r="O727" s="22" t="n">
        <x:v>46255</x:v>
      </x:c>
      <x:c r="P727" s="20" t="str">
        <x:v>https://zh.wikisource.org/wiki/%E6%B8%8A%E6%B5%B7%E5%AD%90%E5%B9%B3%E5%A4%A7%E5%85%A8 ; https://zh.wikisource.org/wiki/%E6%BB%B4%E5%A4%A9%E9%AB%93%E9%97%A1%E5%BE%AE</x:v>
      </x:c>
    </x:row>
    <x:row r="728">
      <x:c r="A728" s="20" t="str">
        <x:v>M10-GUANSHA-0083-V1.0</x:v>
      </x:c>
      <x:c r="B728" s="20" t="str">
        <x:v>规则</x:v>
      </x:c>
      <x:c r="C728" s="20" t="str">
        <x:v>M10</x:v>
      </x:c>
      <x:c r="D728" s="20" t="str">
        <x:v>10_十神旺衰功能</x:v>
      </x:c>
      <x:c r="E728" s="20" t="str">
        <x:v>GUANSHA</x:v>
      </x:c>
      <x:c r="F728" s="20" t="n">
        <x:v>83</x:v>
      </x:c>
      <x:c r="G728" s="20" t="str">
        <x:v>V1.0</x:v>
      </x:c>
      <x:c r="H728" s="20" t="str">
        <x:v>七杀生印且印再生身时可由直接压力转为生扶链</x:v>
      </x:c>
      <x:c r="I728" s="20" t="str">
        <x:v>结构层</x:v>
      </x:c>
      <x:c r="J728" s="20" t="str">
        <x:v>杀印转化</x:v>
      </x:c>
      <x:c r="K728" s="20" t="str">
        <x:v>七杀生印且印再生身时可由直接压力转为生扶链：当“七杀→印→日主链路连续有效”成立时，按本规则记录十神的有效功能；同时保留制化、承载和反向证据。</x:v>
      </x:c>
      <x:c r="L728" s="20" t="str">
        <x:v>较高</x:v>
      </x:c>
      <x:c r="M728" s="20" t="str">
        <x:v>采用</x:v>
      </x:c>
      <x:c r="N728" s="20" t="str">
        <x:v>初审</x:v>
      </x:c>
      <x:c r="O728" s="22" t="n">
        <x:v>46255</x:v>
      </x:c>
      <x:c r="P728" s="20" t="str">
        <x:v>https://zh.wikisource.org/wiki/%E6%B8%8A%E6%B5%B7%E5%AD%90%E5%B9%B3%E5%A4%A7%E5%85%A8 ; https://zh.wikisource.org/wiki/%E6%BB%B4%E5%A4%A9%E9%AB%93%E9%97%A1%E5%BE%AE</x:v>
      </x:c>
    </x:row>
    <x:row r="729">
      <x:c r="A729" s="20" t="str">
        <x:v>M10-GUANSHA-0084-V1.0</x:v>
      </x:c>
      <x:c r="B729" s="20" t="str">
        <x:v>规则</x:v>
      </x:c>
      <x:c r="C729" s="20" t="str">
        <x:v>M10</x:v>
      </x:c>
      <x:c r="D729" s="20" t="str">
        <x:v>10_十神旺衰功能</x:v>
      </x:c>
      <x:c r="E729" s="20" t="str">
        <x:v>GUANSHA</x:v>
      </x:c>
      <x:c r="F729" s="20" t="n">
        <x:v>84</x:v>
      </x:c>
      <x:c r="G729" s="20" t="str">
        <x:v>V1.0</x:v>
      </x:c>
      <x:c r="H729" s="20" t="str">
        <x:v>正官生印形成官印连续链候选</x:v>
      </x:c>
      <x:c r="I729" s="20" t="str">
        <x:v>结构层</x:v>
      </x:c>
      <x:c r="J729" s="20" t="str">
        <x:v>官印相生接口</x:v>
      </x:c>
      <x:c r="K729" s="20" t="str">
        <x:v>正官生印形成官印连续链候选：当“正官→印→日主链路连续有效”成立时，按本规则记录十神的有效功能；同时保留制化、承载和反向证据。</x:v>
      </x:c>
      <x:c r="L729" s="20" t="str">
        <x:v>较高</x:v>
      </x:c>
      <x:c r="M729" s="20" t="str">
        <x:v>采用</x:v>
      </x:c>
      <x:c r="N729" s="20" t="str">
        <x:v>初审</x:v>
      </x:c>
      <x:c r="O729" s="22" t="n">
        <x:v>46255</x:v>
      </x:c>
      <x:c r="P729" s="20" t="str">
        <x:v>https://zh.wikisource.org/wiki/%E6%B8%8A%E6%B5%B7%E5%AD%90%E5%B9%B3%E5%A4%A7%E5%85%A8 ; https://zh.wikisource.org/wiki/%E6%BB%B4%E5%A4%A9%E9%AB%93%E9%97%A1%E5%BE%AE</x:v>
      </x:c>
    </x:row>
    <x:row r="730">
      <x:c r="A730" s="20" t="str">
        <x:v>M10-GUANSHA-0085-V1.0</x:v>
      </x:c>
      <x:c r="B730" s="20" t="str">
        <x:v>规则</x:v>
      </x:c>
      <x:c r="C730" s="20" t="str">
        <x:v>M10</x:v>
      </x:c>
      <x:c r="D730" s="20" t="str">
        <x:v>10_十神旺衰功能</x:v>
      </x:c>
      <x:c r="E730" s="20" t="str">
        <x:v>GUANSHA</x:v>
      </x:c>
      <x:c r="F730" s="20" t="n">
        <x:v>85</x:v>
      </x:c>
      <x:c r="G730" s="20" t="str">
        <x:v>V1.0</x:v>
      </x:c>
      <x:c r="H730" s="20" t="str">
        <x:v>财星强生七杀会提高杀的有效压力</x:v>
      </x:c>
      <x:c r="I730" s="20" t="str">
        <x:v>结构层</x:v>
      </x:c>
      <x:c r="J730" s="20" t="str">
        <x:v>财生杀增强</x:v>
      </x:c>
      <x:c r="K730" s="20" t="str">
        <x:v>财星强生七杀会提高杀的有效压力：当“财星有效生七杀且无通关截断”成立时，按本规则记录十神的有效功能；同时保留制化、承载和反向证据。</x:v>
      </x:c>
      <x:c r="L730" s="20" t="str">
        <x:v>较高</x:v>
      </x:c>
      <x:c r="M730" s="20" t="str">
        <x:v>采用</x:v>
      </x:c>
      <x:c r="N730" s="20" t="str">
        <x:v>初审</x:v>
      </x:c>
      <x:c r="O730" s="22" t="n">
        <x:v>46255</x:v>
      </x:c>
      <x:c r="P730" s="20" t="str">
        <x:v>https://zh.wikisource.org/wiki/%E6%B8%8A%E6%B5%B7%E5%AD%90%E5%B9%B3%E5%A4%A7%E5%85%A8 ; https://zh.wikisource.org/wiki/%E6%BB%B4%E5%A4%A9%E9%AB%93%E9%97%A1%E5%BE%AE</x:v>
      </x:c>
    </x:row>
    <x:row r="731">
      <x:c r="A731" s="20" t="str">
        <x:v>M10-GUANSHA-0086-V1.0</x:v>
      </x:c>
      <x:c r="B731" s="20" t="str">
        <x:v>规则</x:v>
      </x:c>
      <x:c r="C731" s="20" t="str">
        <x:v>M10</x:v>
      </x:c>
      <x:c r="D731" s="20" t="str">
        <x:v>10_十神旺衰功能</x:v>
      </x:c>
      <x:c r="E731" s="20" t="str">
        <x:v>GUANSHA</x:v>
      </x:c>
      <x:c r="F731" s="20" t="n">
        <x:v>86</x:v>
      </x:c>
      <x:c r="G731" s="20" t="str">
        <x:v>V1.0</x:v>
      </x:c>
      <x:c r="H731" s="20" t="str">
        <x:v>官杀并见先判混杂程度而非直接定凶</x:v>
      </x:c>
      <x:c r="I731" s="20" t="str">
        <x:v>结构层</x:v>
      </x:c>
      <x:c r="J731" s="20" t="str">
        <x:v>官杀混杂候选</x:v>
      </x:c>
      <x:c r="K731" s="20" t="str">
        <x:v>官杀并见先判混杂程度而非直接定凶：当“正官七杀同时有效存在”成立时，按本规则记录十神的有效功能；同时保留制化、承载和反向证据。</x:v>
      </x:c>
      <x:c r="L731" s="20" t="str">
        <x:v>较高</x:v>
      </x:c>
      <x:c r="M731" s="20" t="str">
        <x:v>采用</x:v>
      </x:c>
      <x:c r="N731" s="20" t="str">
        <x:v>初审</x:v>
      </x:c>
      <x:c r="O731" s="22" t="n">
        <x:v>46255</x:v>
      </x:c>
      <x:c r="P731" s="20" t="str">
        <x:v>https://zh.wikisource.org/wiki/%E6%B8%8A%E6%B5%B7%E5%AD%90%E5%B9%B3%E5%A4%A7%E5%85%A8 ; https://zh.wikisource.org/wiki/%E6%BB%B4%E5%A4%A9%E9%AB%93%E9%97%A1%E5%BE%AE</x:v>
      </x:c>
    </x:row>
    <x:row r="732">
      <x:c r="A732" s="20" t="str">
        <x:v>M10-GUANSHA-0087-V1.0</x:v>
      </x:c>
      <x:c r="B732" s="20" t="str">
        <x:v>规则</x:v>
      </x:c>
      <x:c r="C732" s="20" t="str">
        <x:v>M10</x:v>
      </x:c>
      <x:c r="D732" s="20" t="str">
        <x:v>10_十神旺衰功能</x:v>
      </x:c>
      <x:c r="E732" s="20" t="str">
        <x:v>GUANSHA</x:v>
      </x:c>
      <x:c r="F732" s="20" t="n">
        <x:v>87</x:v>
      </x:c>
      <x:c r="G732" s="20" t="str">
        <x:v>V1.0</x:v>
      </x:c>
      <x:c r="H732" s="20" t="str">
        <x:v>官杀均旺且均直接制身时混杂与压力同步上升</x:v>
      </x:c>
      <x:c r="I732" s="20" t="str">
        <x:v>结构层</x:v>
      </x:c>
      <x:c r="J732" s="20" t="str">
        <x:v>官杀双强</x:v>
      </x:c>
      <x:c r="K732" s="20" t="str">
        <x:v>官杀均旺且均直接制身时混杂与压力同步上升：当“正官七杀均达到中和偏旺以上且制身路径均有效”成立时，按本规则记录十神的有效功能；同时保留制化、承载和反向证据。</x:v>
      </x:c>
      <x:c r="L732" s="20" t="str">
        <x:v>较高</x:v>
      </x:c>
      <x:c r="M732" s="20" t="str">
        <x:v>采用</x:v>
      </x:c>
      <x:c r="N732" s="20" t="str">
        <x:v>初审</x:v>
      </x:c>
      <x:c r="O732" s="22" t="n">
        <x:v>46255</x:v>
      </x:c>
      <x:c r="P732" s="20" t="str">
        <x:v>https://zh.wikisource.org/wiki/%E6%B8%8A%E6%B5%B7%E5%AD%90%E5%B9%B3%E5%A4%A7%E5%85%A8 ; https://zh.wikisource.org/wiki/%E6%BB%B4%E5%A4%A9%E9%AB%93%E9%97%A1%E5%BE%AE</x:v>
      </x:c>
    </x:row>
    <x:row r="733">
      <x:c r="A733" s="20" t="str">
        <x:v>M10-GUANSHA-0088-V1.0</x:v>
      </x:c>
      <x:c r="B733" s="20" t="str">
        <x:v>规则</x:v>
      </x:c>
      <x:c r="C733" s="20" t="str">
        <x:v>M10</x:v>
      </x:c>
      <x:c r="D733" s="20" t="str">
        <x:v>10_十神旺衰功能</x:v>
      </x:c>
      <x:c r="E733" s="20" t="str">
        <x:v>GUANSHA</x:v>
      </x:c>
      <x:c r="F733" s="20" t="n">
        <x:v>88</x:v>
      </x:c>
      <x:c r="G733" s="20" t="str">
        <x:v>V1.0</x:v>
      </x:c>
      <x:c r="H733" s="20" t="str">
        <x:v>官杀一方被合制失效时可形成清化候选</x:v>
      </x:c>
      <x:c r="I733" s="20" t="str">
        <x:v>结构层</x:v>
      </x:c>
      <x:c r="J733" s="20" t="str">
        <x:v>官杀清化候选</x:v>
      </x:c>
      <x:c r="K733" s="20" t="str">
        <x:v>官杀一方被合制失效时可形成清化候选：当“官杀并见，但其中一方被有效合住、制去或改性而功能显著下降”成立时，按本规则记录十神的有效功能；同时保留制化、承载和反向证据。</x:v>
      </x:c>
      <x:c r="L733" s="20" t="str">
        <x:v>较高</x:v>
      </x:c>
      <x:c r="M733" s="20" t="str">
        <x:v>采用</x:v>
      </x:c>
      <x:c r="N733" s="20" t="str">
        <x:v>初审</x:v>
      </x:c>
      <x:c r="O733" s="22" t="n">
        <x:v>46255</x:v>
      </x:c>
      <x:c r="P733" s="20" t="str">
        <x:v>https://zh.wikisource.org/wiki/%E6%B8%8A%E6%B5%B7%E5%AD%90%E5%B9%B3%E5%A4%A7%E5%85%A8 ; https://zh.wikisource.org/wiki/%E6%BB%B4%E5%A4%A9%E9%AB%93%E9%97%A1%E5%BE%AE</x:v>
      </x:c>
    </x:row>
    <x:row r="734">
      <x:c r="A734" s="20" t="str">
        <x:v>M10-GUANSHA-0089-V1.0</x:v>
      </x:c>
      <x:c r="B734" s="20" t="str">
        <x:v>规则</x:v>
      </x:c>
      <x:c r="C734" s="20" t="str">
        <x:v>M10</x:v>
      </x:c>
      <x:c r="D734" s="20" t="str">
        <x:v>10_十神旺衰功能</x:v>
      </x:c>
      <x:c r="E734" s="20" t="str">
        <x:v>GUANSHA</x:v>
      </x:c>
      <x:c r="F734" s="20" t="n">
        <x:v>89</x:v>
      </x:c>
      <x:c r="G734" s="20" t="str">
        <x:v>V1.0</x:v>
      </x:c>
      <x:c r="H734" s="20" t="str">
        <x:v>官杀虽旺但有强制化不应直接按为害处理</x:v>
      </x:c>
      <x:c r="I734" s="20" t="str">
        <x:v>结构层</x:v>
      </x:c>
      <x:c r="J734" s="20" t="str">
        <x:v>杀旺有制化</x:v>
      </x:c>
      <x:c r="K734" s="20" t="str">
        <x:v>官杀虽旺但有强制化不应直接按为害处理：当“七杀旺，但食神制杀或印化杀功能稳定有效”成立时，按本规则记录十神的有效功能；同时保留制化、承载和反向证据。</x:v>
      </x:c>
      <x:c r="L734" s="20" t="str">
        <x:v>较高</x:v>
      </x:c>
      <x:c r="M734" s="20" t="str">
        <x:v>采用</x:v>
      </x:c>
      <x:c r="N734" s="20" t="str">
        <x:v>初审</x:v>
      </x:c>
      <x:c r="O734" s="22" t="n">
        <x:v>46255</x:v>
      </x:c>
      <x:c r="P734" s="20" t="str">
        <x:v>https://zh.wikisource.org/wiki/%E6%B8%8A%E6%B5%B7%E5%AD%90%E5%B9%B3%E5%A4%A7%E5%85%A8 ; https://zh.wikisource.org/wiki/%E6%BB%B4%E5%A4%A9%E9%AB%93%E9%97%A1%E5%BE%AE</x:v>
      </x:c>
    </x:row>
    <x:row r="735">
      <x:c r="A735" s="20" t="str">
        <x:v>M10-GUANSHA-0090-V1.0</x:v>
      </x:c>
      <x:c r="B735" s="20" t="str">
        <x:v>规则</x:v>
      </x:c>
      <x:c r="C735" s="20" t="str">
        <x:v>M10</x:v>
      </x:c>
      <x:c r="D735" s="20" t="str">
        <x:v>10_十神旺衰功能</x:v>
      </x:c>
      <x:c r="E735" s="20" t="str">
        <x:v>GUANSHA</x:v>
      </x:c>
      <x:c r="F735" s="20" t="n">
        <x:v>90</x:v>
      </x:c>
      <x:c r="G735" s="20" t="str">
        <x:v>V1.0</x:v>
      </x:c>
      <x:c r="H735" s="20" t="str">
        <x:v>官杀旺弱与职位权力事件必须分离</x:v>
      </x:c>
      <x:c r="I735" s="20" t="str">
        <x:v>结构层</x:v>
      </x:c>
      <x:c r="J735" s="20" t="str">
        <x:v>官杀力量事件分离</x:v>
      </x:c>
      <x:c r="K735" s="20" t="str">
        <x:v>官杀旺弱与职位权力事件必须分离：当“官杀有效旺衰已经确定”成立时，按本规则记录十神的有效功能；同时保留制化、承载和反向证据。</x:v>
      </x:c>
      <x:c r="L735" s="20" t="str">
        <x:v>较高</x:v>
      </x:c>
      <x:c r="M735" s="20" t="str">
        <x:v>采用</x:v>
      </x:c>
      <x:c r="N735" s="20" t="str">
        <x:v>初审</x:v>
      </x:c>
      <x:c r="O735" s="22" t="n">
        <x:v>46255</x:v>
      </x:c>
      <x:c r="P735" s="20" t="str">
        <x:v>https://zh.wikisource.org/wiki/%E6%B8%8A%E6%B5%B7%E5%AD%90%E5%B9%B3%E5%A4%A7%E5%85%A8 ; https://zh.wikisource.org/wiki/%E6%BB%B4%E5%A4%A9%E9%AB%93%E9%97%A1%E5%BE%AE</x:v>
      </x:c>
    </x:row>
    <x:row r="736">
      <x:c r="A736" s="20" t="str">
        <x:v>M10-BAL-0091-V1.0</x:v>
      </x:c>
      <x:c r="B736" s="20" t="str">
        <x:v>规则</x:v>
      </x:c>
      <x:c r="C736" s="20" t="str">
        <x:v>M10</x:v>
      </x:c>
      <x:c r="D736" s="20" t="str">
        <x:v>10_十神旺衰功能</x:v>
      </x:c>
      <x:c r="E736" s="20" t="str">
        <x:v>BAL</x:v>
      </x:c>
      <x:c r="F736" s="20" t="n">
        <x:v>91</x:v>
      </x:c>
      <x:c r="G736" s="20" t="str">
        <x:v>V1.0</x:v>
      </x:c>
      <x:c r="H736" s="20" t="str">
        <x:v>十神功能正常需自身有效且作用对象可承接</x:v>
      </x:c>
      <x:c r="I736" s="20" t="str">
        <x:v>结构层</x:v>
      </x:c>
      <x:c r="J736" s="20" t="str">
        <x:v>功能成立基础</x:v>
      </x:c>
      <x:c r="K736" s="20" t="str">
        <x:v>十神功能正常需自身有效且作用对象可承接：当“七杀有力，同时日主或印食等对象真实存在并能形成作用路径”成立时，按本规则记录十神的有效功能；同时保留制化、承载和反向证据。</x:v>
      </x:c>
      <x:c r="L736" s="20" t="str">
        <x:v>较高</x:v>
      </x:c>
      <x:c r="M736" s="20" t="str">
        <x:v>采用</x:v>
      </x:c>
      <x:c r="N736" s="20" t="str">
        <x:v>初审</x:v>
      </x:c>
      <x:c r="O736" s="22" t="n">
        <x:v>46255</x:v>
      </x:c>
      <x:c r="P736" s="20" t="str">
        <x:v>https://zh.wikisource.org/wiki/%E6%B8%8A%E6%B5%B7%E5%AD%90%E5%B9%B3%E5%A4%A7%E5%85%A8 ; https://zh.wikisource.org/wiki/%E6%BB%B4%E5%A4%A9%E9%AB%93%E9%97%A1%E5%BE%AE</x:v>
      </x:c>
    </x:row>
    <x:row r="737">
      <x:c r="A737" s="20" t="str">
        <x:v>M10-BAL-0092-V1.0</x:v>
      </x:c>
      <x:c r="B737" s="20" t="str">
        <x:v>规则</x:v>
      </x:c>
      <x:c r="C737" s="20" t="str">
        <x:v>M10</x:v>
      </x:c>
      <x:c r="D737" s="20" t="str">
        <x:v>10_十神旺衰功能</x:v>
      </x:c>
      <x:c r="E737" s="20" t="str">
        <x:v>BAL</x:v>
      </x:c>
      <x:c r="F737" s="20" t="n">
        <x:v>92</x:v>
      </x:c>
      <x:c r="G737" s="20" t="str">
        <x:v>V1.0</x:v>
      </x:c>
      <x:c r="H737" s="20" t="str">
        <x:v>受制不等于完全失效，应按制约程度分级</x:v>
      </x:c>
      <x:c r="I737" s="20" t="str">
        <x:v>结构层</x:v>
      </x:c>
      <x:c r="J737" s="20" t="str">
        <x:v>功能受限分级</x:v>
      </x:c>
      <x:c r="K737" s="20" t="str">
        <x:v>受制不等于完全失效，应按制约程度分级：当“食神受到偏印或合绊制约，但仍保有根源和其他有效节点”成立时，按本规则记录十神的有效功能；同时保留制化、承载和反向证据。</x:v>
      </x:c>
      <x:c r="L737" s="20" t="str">
        <x:v>较高</x:v>
      </x:c>
      <x:c r="M737" s="20" t="str">
        <x:v>采用</x:v>
      </x:c>
      <x:c r="N737" s="20" t="str">
        <x:v>初审</x:v>
      </x:c>
      <x:c r="O737" s="22" t="n">
        <x:v>46255</x:v>
      </x:c>
      <x:c r="P737" s="20" t="str">
        <x:v>https://zh.wikisource.org/wiki/%E6%B8%8A%E6%B5%B7%E5%AD%90%E5%B9%B3%E5%A4%A7%E5%85%A8 ; https://zh.wikisource.org/wiki/%E6%BB%B4%E5%A4%A9%E9%AB%93%E9%97%A1%E5%BE%AE</x:v>
      </x:c>
    </x:row>
    <x:row r="738">
      <x:c r="A738" s="20" t="str">
        <x:v>M10-BAL-0093-V1.0</x:v>
      </x:c>
      <x:c r="B738" s="20" t="str">
        <x:v>规则</x:v>
      </x:c>
      <x:c r="C738" s="20" t="str">
        <x:v>M10</x:v>
      </x:c>
      <x:c r="D738" s="20" t="str">
        <x:v>10_十神旺衰功能</x:v>
      </x:c>
      <x:c r="E738" s="20" t="str">
        <x:v>BAL</x:v>
      </x:c>
      <x:c r="F738" s="20" t="n">
        <x:v>93</x:v>
      </x:c>
      <x:c r="G738" s="20" t="str">
        <x:v>V1.0</x:v>
      </x:c>
      <x:c r="H738" s="20" t="str">
        <x:v>实质改性后原十神功能应标记转化</x:v>
      </x:c>
      <x:c r="I738" s="20" t="str">
        <x:v>结构层</x:v>
      </x:c>
      <x:c r="J738" s="20" t="str">
        <x:v>十神功能转化</x:v>
      </x:c>
      <x:c r="K738" s="20" t="str">
        <x:v>实质改性后原十神功能应标记转化：当“正官节点经合化等确认五行性质改变”成立时，按本规则记录十神的有效功能；同时保留制化、承载和反向证据。</x:v>
      </x:c>
      <x:c r="L738" s="20" t="str">
        <x:v>较高</x:v>
      </x:c>
      <x:c r="M738" s="20" t="str">
        <x:v>采用</x:v>
      </x:c>
      <x:c r="N738" s="20" t="str">
        <x:v>初审</x:v>
      </x:c>
      <x:c r="O738" s="22" t="n">
        <x:v>46255</x:v>
      </x:c>
      <x:c r="P738" s="20" t="str">
        <x:v>https://zh.wikisource.org/wiki/%E6%B8%8A%E6%B5%B7%E5%AD%90%E5%B9%B3%E5%A4%A7%E5%85%A8 ; https://zh.wikisource.org/wiki/%E6%BB%B4%E5%A4%A9%E9%AB%93%E9%97%A1%E5%BE%AE</x:v>
      </x:c>
    </x:row>
    <x:row r="739">
      <x:c r="A739" s="20" t="str">
        <x:v>M10-BAL-0094-V1.0</x:v>
      </x:c>
      <x:c r="B739" s="20" t="str">
        <x:v>规则</x:v>
      </x:c>
      <x:c r="C739" s="20" t="str">
        <x:v>M10</x:v>
      </x:c>
      <x:c r="D739" s="20" t="str">
        <x:v>10_十神旺衰功能</x:v>
      </x:c>
      <x:c r="E739" s="20" t="str">
        <x:v>BAL</x:v>
      </x:c>
      <x:c r="F739" s="20" t="n">
        <x:v>94</x:v>
      </x:c>
      <x:c r="G739" s="20" t="str">
        <x:v>V1.0</x:v>
      </x:c>
      <x:c r="H739" s="20" t="str">
        <x:v>所有有效节点均失去作用路径时才判失效</x:v>
      </x:c>
      <x:c r="I739" s="20" t="str">
        <x:v>结构层</x:v>
      </x:c>
      <x:c r="J739" s="20" t="str">
        <x:v>十神功能失效</x:v>
      </x:c>
      <x:c r="K739" s="20" t="str">
        <x:v>所有有效节点均失去作用路径时才判失效：当“正财名义存在，但全部节点被制、改性或无法透达”成立时，按本规则记录十神的有效功能；同时保留制化、承载和反向证据。</x:v>
      </x:c>
      <x:c r="L739" s="20" t="str">
        <x:v>较高</x:v>
      </x:c>
      <x:c r="M739" s="20" t="str">
        <x:v>采用</x:v>
      </x:c>
      <x:c r="N739" s="20" t="str">
        <x:v>初审</x:v>
      </x:c>
      <x:c r="O739" s="22" t="n">
        <x:v>46255</x:v>
      </x:c>
      <x:c r="P739" s="20" t="str">
        <x:v>https://zh.wikisource.org/wiki/%E6%B8%8A%E6%B5%B7%E5%AD%90%E5%B9%B3%E5%A4%A7%E5%85%A8 ; https://zh.wikisource.org/wiki/%E6%BB%B4%E5%A4%A9%E9%AB%93%E9%97%A1%E5%BE%AE</x:v>
      </x:c>
    </x:row>
    <x:row r="740">
      <x:c r="A740" s="20" t="str">
        <x:v>M10-BAL-0095-V1.0</x:v>
      </x:c>
      <x:c r="B740" s="20" t="str">
        <x:v>规则</x:v>
      </x:c>
      <x:c r="C740" s="20" t="str">
        <x:v>M10</x:v>
      </x:c>
      <x:c r="D740" s="20" t="str">
        <x:v>10_十神旺衰功能</x:v>
      </x:c>
      <x:c r="E740" s="20" t="str">
        <x:v>BAL</x:v>
      </x:c>
      <x:c r="F740" s="20" t="n">
        <x:v>95</x:v>
      </x:c>
      <x:c r="G740" s="20" t="str">
        <x:v>V1.0</x:v>
      </x:c>
      <x:c r="H740" s="20" t="str">
        <x:v>十神作用超过全局承载并制造新阻塞时可判过度</x:v>
      </x:c>
      <x:c r="I740" s="20" t="str">
        <x:v>结构层</x:v>
      </x:c>
      <x:c r="J740" s="20" t="str">
        <x:v>十神功能过度</x:v>
      </x:c>
      <x:c r="K740" s="20" t="str">
        <x:v>十神作用超过全局承载并制造新阻塞时可判过度：当“偏印极旺且持续压制食伤、加重身势或阻断流通”成立时，按本规则记录十神的有效功能；同时保留制化、承载和反向证据。</x:v>
      </x:c>
      <x:c r="L740" s="20" t="str">
        <x:v>较高</x:v>
      </x:c>
      <x:c r="M740" s="20" t="str">
        <x:v>采用</x:v>
      </x:c>
      <x:c r="N740" s="20" t="str">
        <x:v>初审</x:v>
      </x:c>
      <x:c r="O740" s="22" t="n">
        <x:v>46255</x:v>
      </x:c>
      <x:c r="P740" s="20" t="str">
        <x:v>https://zh.wikisource.org/wiki/%E6%B8%8A%E6%B5%B7%E5%AD%90%E5%B9%B3%E5%A4%A7%E5%85%A8 ; https://zh.wikisource.org/wiki/%E6%BB%B4%E5%A4%A9%E9%AB%93%E9%97%A1%E5%BE%AE</x:v>
      </x:c>
    </x:row>
    <x:row r="741">
      <x:c r="A741" s="20" t="str">
        <x:v>M10-BAL-0096-V1.0</x:v>
      </x:c>
      <x:c r="B741" s="20" t="str">
        <x:v>规则</x:v>
      </x:c>
      <x:c r="C741" s="20" t="str">
        <x:v>M10</x:v>
      </x:c>
      <x:c r="D741" s="20" t="str">
        <x:v>10_十神旺衰功能</x:v>
      </x:c>
      <x:c r="E741" s="20" t="str">
        <x:v>BAL</x:v>
      </x:c>
      <x:c r="F741" s="20" t="n">
        <x:v>96</x:v>
      </x:c>
      <x:c r="G741" s="20" t="str">
        <x:v>V1.0</x:v>
      </x:c>
      <x:c r="H741" s="20" t="str">
        <x:v>制杀双方力量匹配且无关键破坏时标记制化平衡</x:v>
      </x:c>
      <x:c r="I741" s="20" t="str">
        <x:v>结构层</x:v>
      </x:c>
      <x:c r="J741" s="20" t="str">
        <x:v>制化平衡候选</x:v>
      </x:c>
      <x:c r="K741" s="20" t="str">
        <x:v>制杀双方力量匹配且无关键破坏时标记制化平衡：当“食神与七杀有效力量匹配，制约路径稳定”成立时，按本规则记录十神的有效功能；同时保留制化、承载和反向证据。</x:v>
      </x:c>
      <x:c r="L741" s="20" t="str">
        <x:v>较高</x:v>
      </x:c>
      <x:c r="M741" s="20" t="str">
        <x:v>采用</x:v>
      </x:c>
      <x:c r="N741" s="20" t="str">
        <x:v>初审</x:v>
      </x:c>
      <x:c r="O741" s="22" t="n">
        <x:v>46255</x:v>
      </x:c>
      <x:c r="P741" s="20" t="str">
        <x:v>https://zh.wikisource.org/wiki/%E6%B8%8A%E6%B5%B7%E5%AD%90%E5%B9%B3%E5%A4%A7%E5%85%A8 ; https://zh.wikisource.org/wiki/%E6%BB%B4%E5%A4%A9%E9%AB%93%E9%97%A1%E5%BE%AE</x:v>
      </x:c>
    </x:row>
    <x:row r="742">
      <x:c r="A742" s="20" t="str">
        <x:v>M10-BAL-0097-V1.0</x:v>
      </x:c>
      <x:c r="B742" s="20" t="str">
        <x:v>规则</x:v>
      </x:c>
      <x:c r="C742" s="20" t="str">
        <x:v>M10</x:v>
      </x:c>
      <x:c r="D742" s="20" t="str">
        <x:v>10_十神旺衰功能</x:v>
      </x:c>
      <x:c r="E742" s="20" t="str">
        <x:v>BAL</x:v>
      </x:c>
      <x:c r="F742" s="20" t="n">
        <x:v>97</x:v>
      </x:c>
      <x:c r="G742" s="20" t="str">
        <x:v>V1.0</x:v>
      </x:c>
      <x:c r="H742" s="20" t="str">
        <x:v>制化两端同时过强并彼此破坏时标记制化失衡</x:v>
      </x:c>
      <x:c r="I742" s="20" t="str">
        <x:v>结构层</x:v>
      </x:c>
      <x:c r="J742" s="20" t="str">
        <x:v>制化失衡候选</x:v>
      </x:c>
      <x:c r="K742" s="20" t="str">
        <x:v>制化两端同时过强并彼此破坏时标记制化失衡：当“伤官、印或官星形成多方强力冲突且无稳定主导”成立时，按本规则记录十神的有效功能；同时保留制化、承载和反向证据。</x:v>
      </x:c>
      <x:c r="L742" s="20" t="str">
        <x:v>较高</x:v>
      </x:c>
      <x:c r="M742" s="20" t="str">
        <x:v>采用</x:v>
      </x:c>
      <x:c r="N742" s="20" t="str">
        <x:v>初审</x:v>
      </x:c>
      <x:c r="O742" s="22" t="n">
        <x:v>46255</x:v>
      </x:c>
      <x:c r="P742" s="20" t="str">
        <x:v>https://zh.wikisource.org/wiki/%E6%B8%8A%E6%B5%B7%E5%AD%90%E5%B9%B3%E5%A4%A7%E5%85%A8 ; https://zh.wikisource.org/wiki/%E6%BB%B4%E5%A4%A9%E9%AB%93%E9%97%A1%E5%BE%AE</x:v>
      </x:c>
    </x:row>
    <x:row r="743">
      <x:c r="A743" s="20" t="str">
        <x:v>M10-BAL-0098-V1.0</x:v>
      </x:c>
      <x:c r="B743" s="20" t="str">
        <x:v>规则</x:v>
      </x:c>
      <x:c r="C743" s="20" t="str">
        <x:v>M10</x:v>
      </x:c>
      <x:c r="D743" s="20" t="str">
        <x:v>10_十神旺衰功能</x:v>
      </x:c>
      <x:c r="E743" s="20" t="str">
        <x:v>BAL</x:v>
      </x:c>
      <x:c r="F743" s="20" t="n">
        <x:v>98</x:v>
      </x:c>
      <x:c r="G743" s="20" t="str">
        <x:v>V1.0</x:v>
      </x:c>
      <x:c r="H743" s="20" t="str">
        <x:v>同一十神可同时承担多个功能但不得重复计力</x:v>
      </x:c>
      <x:c r="I743" s="20" t="str">
        <x:v>结构层</x:v>
      </x:c>
      <x:c r="J743" s="20" t="str">
        <x:v>一神多职不重复计力</x:v>
      </x:c>
      <x:c r="K743" s="20" t="str">
        <x:v>同一十神可同时承担多个功能但不得重复计力：当“正印同时生身、承接官星并制食伤”成立时，按本规则记录十神的有效功能；同时保留制化、承载和反向证据。</x:v>
      </x:c>
      <x:c r="L743" s="20" t="str">
        <x:v>较高</x:v>
      </x:c>
      <x:c r="M743" s="20" t="str">
        <x:v>采用</x:v>
      </x:c>
      <x:c r="N743" s="20" t="str">
        <x:v>初审</x:v>
      </x:c>
      <x:c r="O743" s="22" t="n">
        <x:v>46255</x:v>
      </x:c>
      <x:c r="P743" s="20" t="str">
        <x:v>https://zh.wikisource.org/wiki/%E6%B8%8A%E6%B5%B7%E5%AD%90%E5%B9%B3%E5%A4%A7%E5%85%A8 ; https://zh.wikisource.org/wiki/%E6%BB%B4%E5%A4%A9%E9%AB%93%E9%97%A1%E5%BE%AE</x:v>
      </x:c>
    </x:row>
    <x:row r="744">
      <x:c r="A744" s="20" t="str">
        <x:v>M10-BAL-0099-V1.0</x:v>
      </x:c>
      <x:c r="B744" s="20" t="str">
        <x:v>规则</x:v>
      </x:c>
      <x:c r="C744" s="20" t="str">
        <x:v>M10</x:v>
      </x:c>
      <x:c r="D744" s="20" t="str">
        <x:v>10_十神旺衰功能</x:v>
      </x:c>
      <x:c r="E744" s="20" t="str">
        <x:v>BAL</x:v>
      </x:c>
      <x:c r="F744" s="20" t="n">
        <x:v>99</x:v>
      </x:c>
      <x:c r="G744" s="20" t="str">
        <x:v>V1.0</x:v>
      </x:c>
      <x:c r="H744" s="20" t="str">
        <x:v>功能价值取决于是否解决主要矛盾</x:v>
      </x:c>
      <x:c r="I744" s="20" t="str">
        <x:v>结构层</x:v>
      </x:c>
      <x:c r="J744" s="20" t="str">
        <x:v>功能目标导向</x:v>
      </x:c>
      <x:c r="K744" s="20" t="str">
        <x:v>功能价值取决于是否解决主要矛盾：当“劫财既能扶身又可能制财，须判断当前原局主要矛盾”成立时，按本规则记录十神的有效功能；同时保留制化、承载和反向证据。</x:v>
      </x:c>
      <x:c r="L744" s="20" t="str">
        <x:v>较高</x:v>
      </x:c>
      <x:c r="M744" s="20" t="str">
        <x:v>采用</x:v>
      </x:c>
      <x:c r="N744" s="20" t="str">
        <x:v>初审</x:v>
      </x:c>
      <x:c r="O744" s="22" t="n">
        <x:v>46255</x:v>
      </x:c>
      <x:c r="P744" s="20" t="str">
        <x:v>https://zh.wikisource.org/wiki/%E6%B8%8A%E6%B5%B7%E5%AD%90%E5%B9%B3%E5%A4%A7%E5%85%A8 ; https://zh.wikisource.org/wiki/%E6%BB%B4%E5%A4%A9%E9%AB%93%E9%97%A1%E5%BE%AE</x:v>
      </x:c>
    </x:row>
    <x:row r="745">
      <x:c r="A745" s="20" t="str">
        <x:v>M10-BAL-0100-V1.0</x:v>
      </x:c>
      <x:c r="B745" s="20" t="str">
        <x:v>规则</x:v>
      </x:c>
      <x:c r="C745" s="20" t="str">
        <x:v>M10</x:v>
      </x:c>
      <x:c r="D745" s="20" t="str">
        <x:v>10_十神旺衰功能</x:v>
      </x:c>
      <x:c r="E745" s="20" t="str">
        <x:v>BAL</x:v>
      </x:c>
      <x:c r="F745" s="20" t="n">
        <x:v>100</x:v>
      </x:c>
      <x:c r="G745" s="20" t="str">
        <x:v>V1.0</x:v>
      </x:c>
      <x:c r="H745" s="20" t="str">
        <x:v>功能副作用必须与主要收益同时记录</x:v>
      </x:c>
      <x:c r="I745" s="20" t="str">
        <x:v>结构层</x:v>
      </x:c>
      <x:c r="J745" s="20" t="str">
        <x:v>功能收益副作用并列</x:v>
      </x:c>
      <x:c r="K745" s="20" t="str">
        <x:v>十神功能评价应同时记录主要收益、次级作用和副作用，留给M16—M18统一裁决。</x:v>
      </x:c>
      <x:c r="L745" s="20" t="str">
        <x:v>较高</x:v>
      </x:c>
      <x:c r="M745" s="20" t="str">
        <x:v>采用</x:v>
      </x:c>
      <x:c r="N745" s="20" t="str">
        <x:v>初审</x:v>
      </x:c>
      <x:c r="O745" s="22" t="n">
        <x:v>46255</x:v>
      </x:c>
      <x:c r="P745" s="20" t="str">
        <x:v>https://zh.wikisource.org/wiki/%E6%B8%8A%E6%B5%B7%E5%AD%90%E5%B9%B3%E5%A4%A7%E5%85%A8 ; https://zh.wikisource.org/wiki/%E6%BB%B4%E5%A4%A9%E9%AB%93%E9%97%A1%E5%BE%AE</x:v>
      </x:c>
    </x:row>
    <x:row r="746">
      <x:c r="A746" s="20" t="str">
        <x:v>M10-ROLE-0101-V1.0</x:v>
      </x:c>
      <x:c r="B746" s="20" t="str">
        <x:v>规则</x:v>
      </x:c>
      <x:c r="C746" s="20" t="str">
        <x:v>M10</x:v>
      </x:c>
      <x:c r="D746" s="20" t="str">
        <x:v>10_十神旺衰功能</x:v>
      </x:c>
      <x:c r="E746" s="20" t="str">
        <x:v>ROLE</x:v>
      </x:c>
      <x:c r="F746" s="20" t="n">
        <x:v>101</x:v>
      </x:c>
      <x:c r="G746" s="20" t="str">
        <x:v>V1.0</x:v>
      </x:c>
      <x:c r="H746" s="20" t="str">
        <x:v>十神有力只能生成组合候选不能直接成立格局</x:v>
      </x:c>
      <x:c r="I746" s="20" t="str">
        <x:v>结构层</x:v>
      </x:c>
      <x:c r="J746" s="20" t="str">
        <x:v>组合候选接口</x:v>
      </x:c>
      <x:c r="K746" s="20" t="str">
        <x:v>十神有力只能生成组合候选不能直接成立格局：当“食神有效且七杀或财星等对象存在”成立时，按本规则记录十神的有效功能；同时保留制化、承载和反向证据。</x:v>
      </x:c>
      <x:c r="L746" s="20" t="str">
        <x:v>较高</x:v>
      </x:c>
      <x:c r="M746" s="20" t="str">
        <x:v>采用</x:v>
      </x:c>
      <x:c r="N746" s="20" t="str">
        <x:v>初审</x:v>
      </x:c>
      <x:c r="O746" s="22" t="n">
        <x:v>46255</x:v>
      </x:c>
      <x:c r="P746" s="20" t="str">
        <x:v>https://zh.wikisource.org/wiki/%E6%B8%8A%E6%B5%B7%E5%AD%90%E5%B9%B3%E5%A4%A7%E5%85%A8 ; https://zh.wikisource.org/wiki/%E6%BB%B4%E5%A4%A9%E9%AB%93%E9%97%A1%E5%BE%AE</x:v>
      </x:c>
    </x:row>
    <x:row r="747">
      <x:c r="A747" s="20" t="str">
        <x:v>M10-ROLE-0102-V1.0</x:v>
      </x:c>
      <x:c r="B747" s="20" t="str">
        <x:v>规则</x:v>
      </x:c>
      <x:c r="C747" s="20" t="str">
        <x:v>M10</x:v>
      </x:c>
      <x:c r="D747" s="20" t="str">
        <x:v>10_十神旺衰功能</x:v>
      </x:c>
      <x:c r="E747" s="20" t="str">
        <x:v>ROLE</x:v>
      </x:c>
      <x:c r="F747" s="20" t="n">
        <x:v>102</x:v>
      </x:c>
      <x:c r="G747" s="20" t="str">
        <x:v>V1.0</x:v>
      </x:c>
      <x:c r="H747" s="20" t="str">
        <x:v>伤官有力且印星存在时只生成伤官配印候选</x:v>
      </x:c>
      <x:c r="I747" s="20" t="str">
        <x:v>结构层</x:v>
      </x:c>
      <x:c r="J747" s="20" t="str">
        <x:v>伤官配印接口</x:v>
      </x:c>
      <x:c r="K747" s="20" t="str">
        <x:v>伤官有力且印星存在时只生成伤官配印候选：当“伤官与印星均有效存在”成立时，按本规则记录十神的有效功能；同时保留制化、承载和反向证据。</x:v>
      </x:c>
      <x:c r="L747" s="20" t="str">
        <x:v>较高</x:v>
      </x:c>
      <x:c r="M747" s="20" t="str">
        <x:v>采用</x:v>
      </x:c>
      <x:c r="N747" s="20" t="str">
        <x:v>初审</x:v>
      </x:c>
      <x:c r="O747" s="22" t="n">
        <x:v>46255</x:v>
      </x:c>
      <x:c r="P747" s="20" t="str">
        <x:v>https://zh.wikisource.org/wiki/%E6%B8%8A%E6%B5%B7%E5%AD%90%E5%B9%B3%E5%A4%A7%E5%85%A8 ; https://zh.wikisource.org/wiki/%E6%BB%B4%E5%A4%A9%E9%AB%93%E9%97%A1%E5%BE%AE</x:v>
      </x:c>
    </x:row>
    <x:row r="748">
      <x:c r="A748" s="20" t="str">
        <x:v>M10-ROLE-0103-V1.0</x:v>
      </x:c>
      <x:c r="B748" s="20" t="str">
        <x:v>规则</x:v>
      </x:c>
      <x:c r="C748" s="20" t="str">
        <x:v>M10</x:v>
      </x:c>
      <x:c r="D748" s="20" t="str">
        <x:v>10_十神旺衰功能</x:v>
      </x:c>
      <x:c r="E748" s="20" t="str">
        <x:v>ROLE</x:v>
      </x:c>
      <x:c r="F748" s="20" t="n">
        <x:v>103</x:v>
      </x:c>
      <x:c r="G748" s="20" t="str">
        <x:v>V1.0</x:v>
      </x:c>
      <x:c r="H748" s="20" t="str">
        <x:v>官印均有效时只生成官印相生候选</x:v>
      </x:c>
      <x:c r="I748" s="20" t="str">
        <x:v>结构层</x:v>
      </x:c>
      <x:c r="J748" s="20" t="str">
        <x:v>官印组合接口</x:v>
      </x:c>
      <x:c r="K748" s="20" t="str">
        <x:v>官印均有效时只生成官印相生候选：当“正官与印星有效且生化路径可能连续”成立时，按本规则记录十神的有效功能；同时保留制化、承载和反向证据。</x:v>
      </x:c>
      <x:c r="L748" s="20" t="str">
        <x:v>较高</x:v>
      </x:c>
      <x:c r="M748" s="20" t="str">
        <x:v>采用</x:v>
      </x:c>
      <x:c r="N748" s="20" t="str">
        <x:v>初审</x:v>
      </x:c>
      <x:c r="O748" s="22" t="n">
        <x:v>46255</x:v>
      </x:c>
      <x:c r="P748" s="20" t="str">
        <x:v>https://zh.wikisource.org/wiki/%E6%B8%8A%E6%B5%B7%E5%AD%90%E5%B9%B3%E5%A4%A7%E5%85%A8 ; https://zh.wikisource.org/wiki/%E6%BB%B4%E5%A4%A9%E9%AB%93%E9%97%A1%E5%BE%AE</x:v>
      </x:c>
    </x:row>
    <x:row r="749">
      <x:c r="A749" s="20" t="str">
        <x:v>M10-ROLE-0104-V1.0</x:v>
      </x:c>
      <x:c r="B749" s="20" t="str">
        <x:v>规则</x:v>
      </x:c>
      <x:c r="C749" s="20" t="str">
        <x:v>M10</x:v>
      </x:c>
      <x:c r="D749" s="20" t="str">
        <x:v>10_十神旺衰功能</x:v>
      </x:c>
      <x:c r="E749" s="20" t="str">
        <x:v>ROLE</x:v>
      </x:c>
      <x:c r="F749" s="20" t="n">
        <x:v>104</x:v>
      </x:c>
      <x:c r="G749" s="20" t="str">
        <x:v>V1.0</x:v>
      </x:c>
      <x:c r="H749" s="20" t="str">
        <x:v>杀印均有效时只生成杀印相生候选</x:v>
      </x:c>
      <x:c r="I749" s="20" t="str">
        <x:v>结构层</x:v>
      </x:c>
      <x:c r="J749" s="20" t="str">
        <x:v>杀印组合接口</x:v>
      </x:c>
      <x:c r="K749" s="20" t="str">
        <x:v>杀印均有效时只生成杀印相生候选：当“七杀与印星有效且七杀可生印”成立时，按本规则记录十神的有效功能；同时保留制化、承载和反向证据。</x:v>
      </x:c>
      <x:c r="L749" s="20" t="str">
        <x:v>较高</x:v>
      </x:c>
      <x:c r="M749" s="20" t="str">
        <x:v>采用</x:v>
      </x:c>
      <x:c r="N749" s="20" t="str">
        <x:v>初审</x:v>
      </x:c>
      <x:c r="O749" s="22" t="n">
        <x:v>46255</x:v>
      </x:c>
      <x:c r="P749" s="20" t="str">
        <x:v>https://zh.wikisource.org/wiki/%E6%B8%8A%E6%B5%B7%E5%AD%90%E5%B9%B3%E5%A4%A7%E5%85%A8 ; https://zh.wikisource.org/wiki/%E6%BB%B4%E5%A4%A9%E9%AB%93%E9%97%A1%E5%BE%AE</x:v>
      </x:c>
    </x:row>
    <x:row r="750">
      <x:c r="A750" s="20" t="str">
        <x:v>M10-ROLE-0105-V1.0</x:v>
      </x:c>
      <x:c r="B750" s="20" t="str">
        <x:v>规则</x:v>
      </x:c>
      <x:c r="C750" s="20" t="str">
        <x:v>M10</x:v>
      </x:c>
      <x:c r="D750" s="20" t="str">
        <x:v>10_十神旺衰功能</x:v>
      </x:c>
      <x:c r="E750" s="20" t="str">
        <x:v>ROLE</x:v>
      </x:c>
      <x:c r="F750" s="20" t="n">
        <x:v>105</x:v>
      </x:c>
      <x:c r="G750" s="20" t="str">
        <x:v>V1.0</x:v>
      </x:c>
      <x:c r="H750" s="20" t="str">
        <x:v>食伤与财均有效时只生成食伤生财候选</x:v>
      </x:c>
      <x:c r="I750" s="20" t="str">
        <x:v>结构层</x:v>
      </x:c>
      <x:c r="J750" s="20" t="str">
        <x:v>财星组合接口</x:v>
      </x:c>
      <x:c r="K750" s="20" t="str">
        <x:v>食伤与财均有效时只生成食伤生财候选：当“食伤与财星有连续生扶路径”成立时，按本规则记录十神的有效功能；同时保留制化、承载和反向证据。</x:v>
      </x:c>
      <x:c r="L750" s="20" t="str">
        <x:v>较高</x:v>
      </x:c>
      <x:c r="M750" s="20" t="str">
        <x:v>采用</x:v>
      </x:c>
      <x:c r="N750" s="20" t="str">
        <x:v>初审</x:v>
      </x:c>
      <x:c r="O750" s="22" t="n">
        <x:v>46255</x:v>
      </x:c>
      <x:c r="P750" s="20" t="str">
        <x:v>https://zh.wikisource.org/wiki/%E6%B8%8A%E6%B5%B7%E5%AD%90%E5%B9%B3%E5%A4%A7%E5%85%A8 ; https://zh.wikisource.org/wiki/%E6%BB%B4%E5%A4%A9%E9%AB%93%E9%97%A1%E5%BE%AE</x:v>
      </x:c>
    </x:row>
    <x:row r="751">
      <x:c r="A751" s="20" t="str">
        <x:v>M10-ROLE-0106-V1.0</x:v>
      </x:c>
      <x:c r="B751" s="20" t="str">
        <x:v>规则</x:v>
      </x:c>
      <x:c r="C751" s="20" t="str">
        <x:v>M10</x:v>
      </x:c>
      <x:c r="D751" s="20" t="str">
        <x:v>10_十神旺衰功能</x:v>
      </x:c>
      <x:c r="E751" s="20" t="str">
        <x:v>ROLE</x:v>
      </x:c>
      <x:c r="F751" s="20" t="n">
        <x:v>106</x:v>
      </x:c>
      <x:c r="G751" s="20" t="str">
        <x:v>V1.0</x:v>
      </x:c>
      <x:c r="H751" s="20" t="str">
        <x:v>比劫与财星形成克制时只生成比劫制财类候选</x:v>
      </x:c>
      <x:c r="I751" s="20" t="str">
        <x:v>结构层</x:v>
      </x:c>
      <x:c r="J751" s="20" t="str">
        <x:v>比劫组合接口</x:v>
      </x:c>
      <x:c r="K751" s="20" t="str">
        <x:v>比劫与财星形成克制时只生成比劫制财类候选：当“比劫与财星均有效且克制路径成立”成立时，按本规则记录十神的有效功能；同时保留制化、承载和反向证据。</x:v>
      </x:c>
      <x:c r="L751" s="20" t="str">
        <x:v>较高</x:v>
      </x:c>
      <x:c r="M751" s="20" t="str">
        <x:v>采用</x:v>
      </x:c>
      <x:c r="N751" s="20" t="str">
        <x:v>初审</x:v>
      </x:c>
      <x:c r="O751" s="22" t="n">
        <x:v>46255</x:v>
      </x:c>
      <x:c r="P751" s="20" t="str">
        <x:v>https://zh.wikisource.org/wiki/%E6%B8%8A%E6%B5%B7%E5%AD%90%E5%B9%B3%E5%A4%A7%E5%85%A8 ; https://zh.wikisource.org/wiki/%E6%BB%B4%E5%A4%A9%E9%AB%93%E9%97%A1%E5%BE%AE</x:v>
      </x:c>
    </x:row>
    <x:row r="752">
      <x:c r="A752" s="20" t="str">
        <x:v>M10-ROLE-0107-V1.0</x:v>
      </x:c>
      <x:c r="B752" s="20" t="str">
        <x:v>规则</x:v>
      </x:c>
      <x:c r="C752" s="20" t="str">
        <x:v>M10</x:v>
      </x:c>
      <x:c r="D752" s="20" t="str">
        <x:v>10_十神旺衰功能</x:v>
      </x:c>
      <x:c r="E752" s="20" t="str">
        <x:v>ROLE</x:v>
      </x:c>
      <x:c r="F752" s="20" t="n">
        <x:v>107</x:v>
      </x:c>
      <x:c r="G752" s="20" t="str">
        <x:v>V1.0</x:v>
      </x:c>
      <x:c r="H752" s="20" t="str">
        <x:v>格局功能必须服从M14月令与格神条件</x:v>
      </x:c>
      <x:c r="I752" s="20" t="str">
        <x:v>结构层</x:v>
      </x:c>
      <x:c r="J752" s="20" t="str">
        <x:v>格局角色候选</x:v>
      </x:c>
      <x:c r="K752" s="20" t="str">
        <x:v>格局功能必须服从M14月令与格神条件：当“十神在M10功能有效，但是否成为格神尚未核验”成立时，按本规则记录十神的有效功能；同时保留制化、承载和反向证据。</x:v>
      </x:c>
      <x:c r="L752" s="20" t="str">
        <x:v>较高</x:v>
      </x:c>
      <x:c r="M752" s="20" t="str">
        <x:v>采用</x:v>
      </x:c>
      <x:c r="N752" s="20" t="str">
        <x:v>初审</x:v>
      </x:c>
      <x:c r="O752" s="22" t="n">
        <x:v>46255</x:v>
      </x:c>
      <x:c r="P752" s="20" t="str">
        <x:v>https://zh.wikisource.org/wiki/%E6%B8%8A%E6%B5%B7%E5%AD%90%E5%B9%B3%E5%A4%A7%E5%85%A8 ; https://zh.wikisource.org/wiki/%E6%BB%B4%E5%A4%A9%E9%AB%93%E9%97%A1%E5%BE%AE</x:v>
      </x:c>
    </x:row>
    <x:row r="753">
      <x:c r="A753" s="20" t="str">
        <x:v>M10-ROLE-0108-V1.0</x:v>
      </x:c>
      <x:c r="B753" s="20" t="str">
        <x:v>规则</x:v>
      </x:c>
      <x:c r="C753" s="20" t="str">
        <x:v>M10</x:v>
      </x:c>
      <x:c r="D753" s="20" t="str">
        <x:v>10_十神旺衰功能</x:v>
      </x:c>
      <x:c r="E753" s="20" t="str">
        <x:v>ROLE</x:v>
      </x:c>
      <x:c r="F753" s="20" t="n">
        <x:v>108</x:v>
      </x:c>
      <x:c r="G753" s="20" t="str">
        <x:v>V1.0</x:v>
      </x:c>
      <x:c r="H753" s="20" t="str">
        <x:v>十神组合成立与格局成立必须分层</x:v>
      </x:c>
      <x:c r="I753" s="20" t="str">
        <x:v>结构层</x:v>
      </x:c>
      <x:c r="J753" s="20" t="str">
        <x:v>组合格局分离</x:v>
      </x:c>
      <x:c r="K753" s="20" t="str">
        <x:v>十神组合成立与格局成立必须分层：当“M11可能确认某局部组合成立”成立时，按本规则记录十神的有效功能；同时保留制化、承载和反向证据。</x:v>
      </x:c>
      <x:c r="L753" s="20" t="str">
        <x:v>较高</x:v>
      </x:c>
      <x:c r="M753" s="20" t="str">
        <x:v>采用</x:v>
      </x:c>
      <x:c r="N753" s="20" t="str">
        <x:v>初审</x:v>
      </x:c>
      <x:c r="O753" s="22" t="n">
        <x:v>46255</x:v>
      </x:c>
      <x:c r="P753" s="20" t="str">
        <x:v>https://zh.wikisource.org/wiki/%E6%B8%8A%E6%B5%B7%E5%AD%90%E5%B9%B3%E5%A4%A7%E5%85%A8 ; https://zh.wikisource.org/wiki/%E6%BB%B4%E5%A4%A9%E9%AB%93%E9%97%A1%E5%BE%AE</x:v>
      </x:c>
    </x:row>
    <x:row r="754">
      <x:c r="A754" s="20" t="str">
        <x:v>M10-XIJI-0109-V1.0</x:v>
      </x:c>
      <x:c r="B754" s="20" t="str">
        <x:v>规则</x:v>
      </x:c>
      <x:c r="C754" s="20" t="str">
        <x:v>M10</x:v>
      </x:c>
      <x:c r="D754" s="20" t="str">
        <x:v>10_十神旺衰功能</x:v>
      </x:c>
      <x:c r="E754" s="20" t="str">
        <x:v>XIJI</x:v>
      </x:c>
      <x:c r="F754" s="20" t="n">
        <x:v>109</x:v>
      </x:c>
      <x:c r="G754" s="20" t="str">
        <x:v>V1.0</x:v>
      </x:c>
      <x:c r="H754" s="20" t="str">
        <x:v>十神补足日主核心承载缺口时可列条件性喜神</x:v>
      </x:c>
      <x:c r="I754" s="20" t="str">
        <x:v>结构层</x:v>
      </x:c>
      <x:c r="J754" s="20" t="str">
        <x:v>补身喜神候选</x:v>
      </x:c>
      <x:c r="K754" s="20" t="str">
        <x:v>十神补足日主核心承载缺口时可列条件性喜神：当“M09偏弱，且比肩确能解决承载不足、无重大副作用”成立时，按本规则记录十神的有效功能；同时保留制化、承载和反向证据。</x:v>
      </x:c>
      <x:c r="L754" s="20" t="str">
        <x:v>较高</x:v>
      </x:c>
      <x:c r="M754" s="20" t="str">
        <x:v>采用</x:v>
      </x:c>
      <x:c r="N754" s="20" t="str">
        <x:v>初审</x:v>
      </x:c>
      <x:c r="O754" s="22" t="n">
        <x:v>46255</x:v>
      </x:c>
      <x:c r="P754" s="20" t="str">
        <x:v>https://zh.wikisource.org/wiki/%E6%B8%8A%E6%B5%B7%E5%AD%90%E5%B9%B3%E5%A4%A7%E5%85%A8 ; https://zh.wikisource.org/wiki/%E6%BB%B4%E5%A4%A9%E9%AB%93%E9%97%A1%E5%BE%AE</x:v>
      </x:c>
    </x:row>
    <x:row r="755">
      <x:c r="A755" s="20" t="str">
        <x:v>M10-XIJI-0110-V1.0</x:v>
      </x:c>
      <x:c r="B755" s="20" t="str">
        <x:v>规则</x:v>
      </x:c>
      <x:c r="C755" s="20" t="str">
        <x:v>M10</x:v>
      </x:c>
      <x:c r="D755" s="20" t="str">
        <x:v>10_十神旺衰功能</x:v>
      </x:c>
      <x:c r="E755" s="20" t="str">
        <x:v>XIJI</x:v>
      </x:c>
      <x:c r="F755" s="20" t="n">
        <x:v>110</x:v>
      </x:c>
      <x:c r="G755" s="20" t="str">
        <x:v>V1.0</x:v>
      </x:c>
      <x:c r="H755" s="20" t="str">
        <x:v>十神能泄过强日主且不破坏关键结构时可列条件性喜神</x:v>
      </x:c>
      <x:c r="I755" s="20" t="str">
        <x:v>结构层</x:v>
      </x:c>
      <x:c r="J755" s="20" t="str">
        <x:v>泄身喜神候选</x:v>
      </x:c>
      <x:c r="K755" s="20" t="str">
        <x:v>十神能泄过强日主且不破坏关键结构时可列条件性喜神：当“M09偏旺或旺，食神泄身有效且不损害主要格局”成立时，按本规则记录十神的有效功能；同时保留制化、承载和反向证据。</x:v>
      </x:c>
      <x:c r="L755" s="20" t="str">
        <x:v>较高</x:v>
      </x:c>
      <x:c r="M755" s="20" t="str">
        <x:v>采用</x:v>
      </x:c>
      <x:c r="N755" s="20" t="str">
        <x:v>初审</x:v>
      </x:c>
      <x:c r="O755" s="22" t="n">
        <x:v>46255</x:v>
      </x:c>
      <x:c r="P755" s="20" t="str">
        <x:v>https://zh.wikisource.org/wiki/%E6%B8%8A%E6%B5%B7%E5%AD%90%E5%B9%B3%E5%A4%A7%E5%85%A8 ; https://zh.wikisource.org/wiki/%E6%BB%B4%E5%A4%A9%E9%AB%93%E9%97%A1%E5%BE%AE</x:v>
      </x:c>
    </x:row>
    <x:row r="756">
      <x:c r="A756" s="20" t="str">
        <x:v>M10-XIJI-0111-V1.0</x:v>
      </x:c>
      <x:c r="B756" s="20" t="str">
        <x:v>规则</x:v>
      </x:c>
      <x:c r="C756" s="20" t="str">
        <x:v>M10</x:v>
      </x:c>
      <x:c r="D756" s="20" t="str">
        <x:v>10_十神旺衰功能</x:v>
      </x:c>
      <x:c r="E756" s="20" t="str">
        <x:v>XIJI</x:v>
      </x:c>
      <x:c r="F756" s="20" t="n">
        <x:v>111</x:v>
      </x:c>
      <x:c r="G756" s="20" t="str">
        <x:v>V1.0</x:v>
      </x:c>
      <x:c r="H756" s="20" t="str">
        <x:v>官杀超出日主承载且无制化时可列条件性忌神</x:v>
      </x:c>
      <x:c r="I756" s="20" t="str">
        <x:v>结构层</x:v>
      </x:c>
      <x:c r="J756" s="20" t="str">
        <x:v>官杀忌神候选</x:v>
      </x:c>
      <x:c r="K756" s="20" t="str">
        <x:v>官杀超出日主承载且无制化时可列条件性忌神：当“官杀有效过强，日主承载不足且无稳定制化”成立时，按本规则记录十神的有效功能；同时保留制化、承载和反向证据。</x:v>
      </x:c>
      <x:c r="L756" s="20" t="str">
        <x:v>较高</x:v>
      </x:c>
      <x:c r="M756" s="20" t="str">
        <x:v>采用</x:v>
      </x:c>
      <x:c r="N756" s="20" t="str">
        <x:v>初审</x:v>
      </x:c>
      <x:c r="O756" s="22" t="n">
        <x:v>46255</x:v>
      </x:c>
      <x:c r="P756" s="20" t="str">
        <x:v>https://zh.wikisource.org/wiki/%E6%B8%8A%E6%B5%B7%E5%AD%90%E5%B9%B3%E5%A4%A7%E5%85%A8 ; https://zh.wikisource.org/wiki/%E6%BB%B4%E5%A4%A9%E9%AB%93%E9%97%A1%E5%BE%AE</x:v>
      </x:c>
    </x:row>
    <x:row r="757">
      <x:c r="A757" s="20" t="str">
        <x:v>M10-XIJI-0112-V1.0</x:v>
      </x:c>
      <x:c r="B757" s="20" t="str">
        <x:v>规则</x:v>
      </x:c>
      <x:c r="C757" s="20" t="str">
        <x:v>M10</x:v>
      </x:c>
      <x:c r="D757" s="20" t="str">
        <x:v>10_十神旺衰功能</x:v>
      </x:c>
      <x:c r="E757" s="20" t="str">
        <x:v>XIJI</x:v>
      </x:c>
      <x:c r="F757" s="20" t="n">
        <x:v>112</x:v>
      </x:c>
      <x:c r="G757" s="20" t="str">
        <x:v>V1.0</x:v>
      </x:c>
      <x:c r="H757" s="20" t="str">
        <x:v>印星加重身势并破坏关键食伤功能时可列条件性忌神</x:v>
      </x:c>
      <x:c r="I757" s="20" t="str">
        <x:v>结构层</x:v>
      </x:c>
      <x:c r="J757" s="20" t="str">
        <x:v>印星忌神候选</x:v>
      </x:c>
      <x:c r="K757" s="20" t="str">
        <x:v>印星加重身势并破坏关键食伤功能时可列条件性忌神：当“日主已旺，偏印又强且实质制约关键食伤”成立时，按本规则记录十神的有效功能；同时保留制化、承载和反向证据。</x:v>
      </x:c>
      <x:c r="L757" s="20" t="str">
        <x:v>较高</x:v>
      </x:c>
      <x:c r="M757" s="20" t="str">
        <x:v>采用</x:v>
      </x:c>
      <x:c r="N757" s="20" t="str">
        <x:v>初审</x:v>
      </x:c>
      <x:c r="O757" s="22" t="n">
        <x:v>46255</x:v>
      </x:c>
      <x:c r="P757" s="20" t="str">
        <x:v>https://zh.wikisource.org/wiki/%E6%B8%8A%E6%B5%B7%E5%AD%90%E5%B9%B3%E5%A4%A7%E5%85%A8 ; https://zh.wikisource.org/wiki/%E6%BB%B4%E5%A4%A9%E9%AB%93%E9%97%A1%E5%BE%AE</x:v>
      </x:c>
    </x:row>
    <x:row r="758">
      <x:c r="A758" s="20" t="str">
        <x:v>M10-XIJI-0113-V1.0</x:v>
      </x:c>
      <x:c r="B758" s="20" t="str">
        <x:v>规则</x:v>
      </x:c>
      <x:c r="C758" s="20" t="str">
        <x:v>M10</x:v>
      </x:c>
      <x:c r="D758" s="20" t="str">
        <x:v>10_十神旺衰功能</x:v>
      </x:c>
      <x:c r="E758" s="20" t="str">
        <x:v>XIJI</x:v>
      </x:c>
      <x:c r="F758" s="20" t="n">
        <x:v>113</x:v>
      </x:c>
      <x:c r="G758" s="20" t="str">
        <x:v>V1.0</x:v>
      </x:c>
      <x:c r="H758" s="20" t="str">
        <x:v>十神既有收益又有明显结构副作用时保持待定</x:v>
      </x:c>
      <x:c r="I758" s="20" t="str">
        <x:v>结构层</x:v>
      </x:c>
      <x:c r="J758" s="20" t="str">
        <x:v>喜忌冲突待裁决</x:v>
      </x:c>
      <x:c r="K758" s="20" t="str">
        <x:v>十神既有收益又有明显结构副作用时保持待定：当“财星既可耗旺身，又会强生忌官或破关键印”成立时，按本规则记录十神的有效功能；同时保留制化、承载和反向证据。</x:v>
      </x:c>
      <x:c r="L758" s="20" t="str">
        <x:v>较高</x:v>
      </x:c>
      <x:c r="M758" s="20" t="str">
        <x:v>采用</x:v>
      </x:c>
      <x:c r="N758" s="20" t="str">
        <x:v>初审</x:v>
      </x:c>
      <x:c r="O758" s="22" t="n">
        <x:v>46255</x:v>
      </x:c>
      <x:c r="P758" s="20" t="str">
        <x:v>https://zh.wikisource.org/wiki/%E6%B8%8A%E6%B5%B7%E5%AD%90%E5%B9%B3%E5%A4%A7%E5%85%A8 ; https://zh.wikisource.org/wiki/%E6%BB%B4%E5%A4%A9%E9%AB%93%E9%97%A1%E5%BE%AE</x:v>
      </x:c>
    </x:row>
    <x:row r="759">
      <x:c r="A759" s="20" t="str">
        <x:v>M10-XIJI-0114-V1.0</x:v>
      </x:c>
      <x:c r="B759" s="20" t="str">
        <x:v>规则</x:v>
      </x:c>
      <x:c r="C759" s="20" t="str">
        <x:v>M10</x:v>
      </x:c>
      <x:c r="D759" s="20" t="str">
        <x:v>10_十神旺衰功能</x:v>
      </x:c>
      <x:c r="E759" s="20" t="str">
        <x:v>XIJI</x:v>
      </x:c>
      <x:c r="F759" s="20" t="n">
        <x:v>114</x:v>
      </x:c>
      <x:c r="G759" s="20" t="str">
        <x:v>V1.0</x:v>
      </x:c>
      <x:c r="H759" s="20" t="str">
        <x:v>M10喜忌字段只允许候选不得输出主用神终局</x:v>
      </x:c>
      <x:c r="I759" s="20" t="str">
        <x:v>结构层</x:v>
      </x:c>
      <x:c r="J759" s="20" t="str">
        <x:v>喜忌候选边界</x:v>
      </x:c>
      <x:c r="K759" s="20" t="str">
        <x:v>M10喜忌字段只允许候选不得输出主用神终局：当“十神功能和局部价值已判断”成立时，按本规则记录十神的有效功能；同时保留制化、承载和反向证据。</x:v>
      </x:c>
      <x:c r="L759" s="20" t="str">
        <x:v>较高</x:v>
      </x:c>
      <x:c r="M759" s="20" t="str">
        <x:v>采用</x:v>
      </x:c>
      <x:c r="N759" s="20" t="str">
        <x:v>初审</x:v>
      </x:c>
      <x:c r="O759" s="22" t="n">
        <x:v>46255</x:v>
      </x:c>
      <x:c r="P759" s="20" t="str">
        <x:v>https://zh.wikisource.org/wiki/%E6%B8%8A%E6%B5%B7%E5%AD%90%E5%B9%B3%E5%A4%A7%E5%85%A8 ; https://zh.wikisource.org/wiki/%E6%BB%B4%E5%A4%A9%E9%AB%93%E9%97%A1%E5%BE%AE</x:v>
      </x:c>
    </x:row>
    <x:row r="760">
      <x:c r="A760" s="20" t="str">
        <x:v>M10-BOUND-0115-V1.0</x:v>
      </x:c>
      <x:c r="B760" s="20" t="str">
        <x:v>规则</x:v>
      </x:c>
      <x:c r="C760" s="20" t="str">
        <x:v>M10</x:v>
      </x:c>
      <x:c r="D760" s="20" t="str">
        <x:v>10_十神旺衰功能</x:v>
      </x:c>
      <x:c r="E760" s="20" t="str">
        <x:v>BOUND</x:v>
      </x:c>
      <x:c r="F760" s="20" t="n">
        <x:v>115</x:v>
      </x:c>
      <x:c r="G760" s="20" t="str">
        <x:v>V1.0</x:v>
      </x:c>
      <x:c r="H760" s="20" t="str">
        <x:v>十神名称不得直接等同现实人物或事件</x:v>
      </x:c>
      <x:c r="I760" s="20" t="str">
        <x:v>结构层</x:v>
      </x:c>
      <x:c r="J760" s="20" t="str">
        <x:v>十神象义边界</x:v>
      </x:c>
      <x:c r="K760" s="20" t="str">
        <x:v>十神名称不得直接等同现实人物或事件：当“任何十神完成存在与功能判断后”成立时，按本规则记录十神的有效功能；同时保留制化、承载和反向证据。</x:v>
      </x:c>
      <x:c r="L760" s="20" t="str">
        <x:v>较高</x:v>
      </x:c>
      <x:c r="M760" s="20" t="str">
        <x:v>采用</x:v>
      </x:c>
      <x:c r="N760" s="20" t="str">
        <x:v>初审</x:v>
      </x:c>
      <x:c r="O760" s="22" t="n">
        <x:v>46255</x:v>
      </x:c>
      <x:c r="P760" s="20" t="str">
        <x:v>https://zh.wikisource.org/wiki/%E6%B8%8A%E6%B5%B7%E5%AD%90%E5%B9%B3%E5%A4%A7%E5%85%A8 ; https://zh.wikisource.org/wiki/%E6%BB%B4%E5%A4%A9%E9%AB%93%E9%97%A1%E5%BE%AE</x:v>
      </x:c>
    </x:row>
    <x:row r="761">
      <x:c r="A761" s="20" t="str">
        <x:v>M10-BOUND-0116-V1.0</x:v>
      </x:c>
      <x:c r="B761" s="20" t="str">
        <x:v>规则</x:v>
      </x:c>
      <x:c r="C761" s="20" t="str">
        <x:v>M10</x:v>
      </x:c>
      <x:c r="D761" s="20" t="str">
        <x:v>10_十神旺衰功能</x:v>
      </x:c>
      <x:c r="E761" s="20" t="str">
        <x:v>BOUND</x:v>
      </x:c>
      <x:c r="F761" s="20" t="n">
        <x:v>116</x:v>
      </x:c>
      <x:c r="G761" s="20" t="str">
        <x:v>V1.0</x:v>
      </x:c>
      <x:c r="H761" s="20" t="str">
        <x:v>十神旺弱不得直接等同吉凶</x:v>
      </x:c>
      <x:c r="I761" s="20" t="str">
        <x:v>结构层</x:v>
      </x:c>
      <x:c r="J761" s="20" t="str">
        <x:v>十神旺衰吉凶分离</x:v>
      </x:c>
      <x:c r="K761" s="20" t="str">
        <x:v>十神旺弱不得直接等同吉凶：当“任何十神有效旺衰已经确定”成立时，按本规则记录十神的有效功能；同时保留制化、承载和反向证据。</x:v>
      </x:c>
      <x:c r="L761" s="20" t="str">
        <x:v>较高</x:v>
      </x:c>
      <x:c r="M761" s="20" t="str">
        <x:v>采用</x:v>
      </x:c>
      <x:c r="N761" s="20" t="str">
        <x:v>初审</x:v>
      </x:c>
      <x:c r="O761" s="22" t="n">
        <x:v>46255</x:v>
      </x:c>
      <x:c r="P761" s="20" t="str">
        <x:v>https://zh.wikisource.org/wiki/%E6%B8%8A%E6%B5%B7%E5%AD%90%E5%B9%B3%E5%A4%A7%E5%85%A8 ; https://zh.wikisource.org/wiki/%E6%BB%B4%E5%A4%A9%E9%AB%93%E9%97%A1%E5%BE%AE</x:v>
      </x:c>
    </x:row>
    <x:row r="762">
      <x:c r="A762" s="20" t="str">
        <x:v>M10-BOUND-0117-V1.0</x:v>
      </x:c>
      <x:c r="B762" s="20" t="str">
        <x:v>规则</x:v>
      </x:c>
      <x:c r="C762" s="20" t="str">
        <x:v>M10</x:v>
      </x:c>
      <x:c r="D762" s="20" t="str">
        <x:v>10_十神旺衰功能</x:v>
      </x:c>
      <x:c r="E762" s="20" t="str">
        <x:v>BOUND</x:v>
      </x:c>
      <x:c r="F762" s="20" t="n">
        <x:v>117</x:v>
      </x:c>
      <x:c r="G762" s="20" t="str">
        <x:v>V1.0</x:v>
      </x:c>
      <x:c r="H762" s="20" t="str">
        <x:v>单一十神不得越级推出性格定论</x:v>
      </x:c>
      <x:c r="I762" s="20" t="str">
        <x:v>结构层</x:v>
      </x:c>
      <x:c r="J762" s="20" t="str">
        <x:v>十神性格边界</x:v>
      </x:c>
      <x:c r="K762" s="20" t="str">
        <x:v>单一十神不得越级推出性格定论：当“伤官等十神有效存在”成立时，按本规则记录十神的有效功能；同时保留制化、承载和反向证据。</x:v>
      </x:c>
      <x:c r="L762" s="20" t="str">
        <x:v>较高</x:v>
      </x:c>
      <x:c r="M762" s="20" t="str">
        <x:v>采用</x:v>
      </x:c>
      <x:c r="N762" s="20" t="str">
        <x:v>初审</x:v>
      </x:c>
      <x:c r="O762" s="22" t="n">
        <x:v>46255</x:v>
      </x:c>
      <x:c r="P762" s="20" t="str">
        <x:v>https://zh.wikisource.org/wiki/%E6%B8%8A%E6%B5%B7%E5%AD%90%E5%B9%B3%E5%A4%A7%E5%85%A8 ; https://zh.wikisource.org/wiki/%E6%BB%B4%E5%A4%A9%E9%AB%93%E9%97%A1%E5%BE%AE</x:v>
      </x:c>
    </x:row>
    <x:row r="763">
      <x:c r="A763" s="20" t="str">
        <x:v>M10-BOUND-0118-V1.0</x:v>
      </x:c>
      <x:c r="B763" s="20" t="str">
        <x:v>规则</x:v>
      </x:c>
      <x:c r="C763" s="20" t="str">
        <x:v>M10</x:v>
      </x:c>
      <x:c r="D763" s="20" t="str">
        <x:v>10_十神旺衰功能</x:v>
      </x:c>
      <x:c r="E763" s="20" t="str">
        <x:v>BOUND</x:v>
      </x:c>
      <x:c r="F763" s="20" t="n">
        <x:v>118</x:v>
      </x:c>
      <x:c r="G763" s="20" t="str">
        <x:v>V1.0</x:v>
      </x:c>
      <x:c r="H763" s="20" t="str">
        <x:v>原局静态十神不得越级替代岁运判断</x:v>
      </x:c>
      <x:c r="I763" s="20" t="str">
        <x:v>结构层</x:v>
      </x:c>
      <x:c r="J763" s="20" t="str">
        <x:v>十神静动态分离</x:v>
      </x:c>
      <x:c r="K763" s="20" t="str">
        <x:v>原局静态十神不得越级替代岁运判断：当“M10完成原局十神结构”成立时，按本规则记录十神的有效功能；同时保留制化、承载和反向证据。</x:v>
      </x:c>
      <x:c r="L763" s="20" t="str">
        <x:v>较高</x:v>
      </x:c>
      <x:c r="M763" s="20" t="str">
        <x:v>采用</x:v>
      </x:c>
      <x:c r="N763" s="20" t="str">
        <x:v>初审</x:v>
      </x:c>
      <x:c r="O763" s="22" t="n">
        <x:v>46255</x:v>
      </x:c>
      <x:c r="P763" s="20" t="str">
        <x:v>https://zh.wikisource.org/wiki/%E6%B8%8A%E6%B5%B7%E5%AD%90%E5%B9%B3%E5%A4%A7%E5%85%A8 ; https://zh.wikisource.org/wiki/%E6%BB%B4%E5%A4%A9%E9%AB%93%E9%97%A1%E5%BE%AE</x:v>
      </x:c>
    </x:row>
    <x:row r="764">
      <x:c r="A764" s="20" t="str">
        <x:v>M10-BOUND-0119-V1.0</x:v>
      </x:c>
      <x:c r="B764" s="20" t="str">
        <x:v>规则</x:v>
      </x:c>
      <x:c r="C764" s="20" t="str">
        <x:v>M10</x:v>
      </x:c>
      <x:c r="D764" s="20" t="str">
        <x:v>10_十神旺衰功能</x:v>
      </x:c>
      <x:c r="E764" s="20" t="str">
        <x:v>BOUND</x:v>
      </x:c>
      <x:c r="F764" s="20" t="n">
        <x:v>119</x:v>
      </x:c>
      <x:c r="G764" s="20" t="str">
        <x:v>V1.0</x:v>
      </x:c>
      <x:c r="H764" s="20" t="str">
        <x:v>不同流派对十神象义扩展应进入M21治理</x:v>
      </x:c>
      <x:c r="I764" s="20" t="str">
        <x:v>结构层</x:v>
      </x:c>
      <x:c r="J764" s="20" t="str">
        <x:v>十神争议治理</x:v>
      </x:c>
      <x:c r="K764" s="20" t="str">
        <x:v>不同流派对十神象义扩展应进入M21治理：当“某条十神象义或权重存在明显流派差异”成立时，按本规则记录十神的有效功能；同时保留制化、承载和反向证据。</x:v>
      </x:c>
      <x:c r="L764" s="20" t="str">
        <x:v>中等</x:v>
      </x:c>
      <x:c r="M764" s="20" t="str">
        <x:v>待验证</x:v>
      </x:c>
      <x:c r="N764" s="20" t="str">
        <x:v>初审</x:v>
      </x:c>
      <x:c r="O764" s="22" t="n">
        <x:v>46255</x:v>
      </x:c>
      <x:c r="P764" s="20" t="str">
        <x:v>https://zh.wikisource.org/wiki/%E6%B8%8A%E6%B5%B7%E5%AD%90%E5%B9%B3%E5%A4%A7%E5%85%A8 ; https://zh.wikisource.org/wiki/%E6%BB%B4%E5%A4%A9%E9%AB%93%E9%97%A1%E5%BE%AE</x:v>
      </x:c>
    </x:row>
    <x:row r="765">
      <x:c r="A765" s="20" t="str">
        <x:v>M10-BOUND-0120-V1.0</x:v>
      </x:c>
      <x:c r="B765" s="20" t="str">
        <x:v>规则</x:v>
      </x:c>
      <x:c r="C765" s="20" t="str">
        <x:v>M10</x:v>
      </x:c>
      <x:c r="D765" s="20" t="str">
        <x:v>10_十神旺衰功能</x:v>
      </x:c>
      <x:c r="E765" s="20" t="str">
        <x:v>BOUND</x:v>
      </x:c>
      <x:c r="F765" s="20" t="n">
        <x:v>120</x:v>
      </x:c>
      <x:c r="G765" s="20" t="str">
        <x:v>V1.0</x:v>
      </x:c>
      <x:c r="H765" s="20" t="str">
        <x:v>M10最终输出必须保留正反证据与置信度</x:v>
      </x:c>
      <x:c r="I765" s="20" t="str">
        <x:v>结构层</x:v>
      </x:c>
      <x:c r="J765" s="20" t="str">
        <x:v>十神标准输出</x:v>
      </x:c>
      <x:c r="K765" s="20" t="str">
        <x:v>每个十神至少输出：存在方式、有效旺衰、清纯度、主要生源、主要制约、功能状态、对日主作用、组合/格局接口、喜忌候选、反向证据与置信度。</x:v>
      </x:c>
      <x:c r="L765" s="20" t="str">
        <x:v>较高</x:v>
      </x:c>
      <x:c r="M765" s="20" t="str">
        <x:v>采用</x:v>
      </x:c>
      <x:c r="N765" s="20" t="str">
        <x:v>初审</x:v>
      </x:c>
      <x:c r="O765" s="22" t="n">
        <x:v>46255</x:v>
      </x:c>
      <x:c r="P765" s="20" t="str">
        <x:v>https://zh.wikisource.org/wiki/%E6%B8%8A%E6%B5%B7%E5%AD%90%E5%B9%B3%E5%A4%A7%E5%85%A8 ; https://zh.wikisource.org/wiki/%E6%BB%B4%E5%A4%A9%E9%AB%93%E9%97%A1%E5%BE%AE</x:v>
      </x:c>
    </x:row>
    <x:row r="766">
      <x:c r="A766" s="20" t="str">
        <x:v>M11-GEN-0001-V1.0</x:v>
      </x:c>
      <x:c r="B766" s="20" t="str">
        <x:v>规则</x:v>
      </x:c>
      <x:c r="C766" s="20" t="str">
        <x:v>M11</x:v>
      </x:c>
      <x:c r="D766" s="20" t="str">
        <x:v>11_十神组合成立</x:v>
      </x:c>
      <x:c r="E766" s="20" t="str">
        <x:v>GEN</x:v>
      </x:c>
      <x:c r="F766" s="20" t="n">
        <x:v>1</x:v>
      </x:c>
      <x:c r="G766" s="20" t="str">
        <x:v>V1.0</x:v>
      </x:c>
      <x:c r="H766" s="20" t="str">
        <x:v>组合必须先满足十神真实有效</x:v>
      </x:c>
      <x:c r="I766" s="20" t="str">
        <x:v>结构层</x:v>
      </x:c>
      <x:c r="J766" s="20" t="str">
        <x:v>组合成立前置</x:v>
      </x:c>
      <x:c r="K766" s="20" t="str">
        <x:v>十神组合通用判定：当主体、客体、路径与力量匹配满足最低标准时，判“弱成立”；是否上升为格局转M14/M15。</x:v>
      </x:c>
      <x:c r="L766" s="20" t="str">
        <x:v>较高</x:v>
      </x:c>
      <x:c r="M766" s="20" t="str">
        <x:v>采用</x:v>
      </x:c>
      <x:c r="N766" s="20" t="str">
        <x:v>初审</x:v>
      </x:c>
      <x:c r="O766" s="22" t="n">
        <x:v>46255</x:v>
      </x:c>
      <x:c r="P766" s="20" t="str">
        <x:v>https://zh.wikisource.org/zh-hans/%E6%B7%B5%E6%B5%B7%E5%AD%90%E5%B9%B3 ; https://zh.wikisource.org/wiki/%E6%BB%B4%E5%A4%A9%E9%AB%93%E9%97%A1%E5%BE%AE</x:v>
      </x:c>
    </x:row>
    <x:row r="767">
      <x:c r="A767" s="20" t="str">
        <x:v>M11-GEN-0002-V1.0</x:v>
      </x:c>
      <x:c r="B767" s="20" t="str">
        <x:v>规则</x:v>
      </x:c>
      <x:c r="C767" s="20" t="str">
        <x:v>M11</x:v>
      </x:c>
      <x:c r="D767" s="20" t="str">
        <x:v>11_十神组合成立</x:v>
      </x:c>
      <x:c r="E767" s="20" t="str">
        <x:v>GEN</x:v>
      </x:c>
      <x:c r="F767" s="20" t="n">
        <x:v>2</x:v>
      </x:c>
      <x:c r="G767" s="20" t="str">
        <x:v>V1.0</x:v>
      </x:c>
      <x:c r="H767" s="20" t="str">
        <x:v>同时出现只生成组合候选</x:v>
      </x:c>
      <x:c r="I767" s="20" t="str">
        <x:v>结构层</x:v>
      </x:c>
      <x:c r="J767" s="20" t="str">
        <x:v>同现不等于成立</x:v>
      </x:c>
      <x:c r="K767" s="20" t="str">
        <x:v>十神组合通用判定：当主体、客体、路径与力量匹配满足最低标准时，判“待定”；是否上升为格局转M14/M15。</x:v>
      </x:c>
      <x:c r="L767" s="20" t="str">
        <x:v>较高</x:v>
      </x:c>
      <x:c r="M767" s="20" t="str">
        <x:v>采用</x:v>
      </x:c>
      <x:c r="N767" s="20" t="str">
        <x:v>初审</x:v>
      </x:c>
      <x:c r="O767" s="22" t="n">
        <x:v>46255</x:v>
      </x:c>
      <x:c r="P767" s="20" t="str">
        <x:v>https://zh.wikisource.org/zh-hans/%E6%B7%B5%E6%B5%B7%E5%AD%90%E5%B9%B3 ; https://zh.wikisource.org/wiki/%E6%BB%B4%E5%A4%A9%E9%AB%93%E9%97%A1%E5%BE%AE</x:v>
      </x:c>
    </x:row>
    <x:row r="768">
      <x:c r="A768" s="20" t="str">
        <x:v>M11-GEN-0003-V1.0</x:v>
      </x:c>
      <x:c r="B768" s="20" t="str">
        <x:v>规则</x:v>
      </x:c>
      <x:c r="C768" s="20" t="str">
        <x:v>M11</x:v>
      </x:c>
      <x:c r="D768" s="20" t="str">
        <x:v>11_十神组合成立</x:v>
      </x:c>
      <x:c r="E768" s="20" t="str">
        <x:v>GEN</x:v>
      </x:c>
      <x:c r="F768" s="20" t="n">
        <x:v>3</x:v>
      </x:c>
      <x:c r="G768" s="20" t="str">
        <x:v>V1.0</x:v>
      </x:c>
      <x:c r="H768" s="20" t="str">
        <x:v>作用路径是组合成立的必要条件</x:v>
      </x:c>
      <x:c r="I768" s="20" t="str">
        <x:v>结构层</x:v>
      </x:c>
      <x:c r="J768" s="20" t="str">
        <x:v>组合路径必要性</x:v>
      </x:c>
      <x:c r="K768" s="20" t="str">
        <x:v>十神组合通用判定：当主体、客体、路径与力量匹配满足最低标准时，判“基本成立”；是否上升为格局转M14/M15。</x:v>
      </x:c>
      <x:c r="L768" s="20" t="str">
        <x:v>较高</x:v>
      </x:c>
      <x:c r="M768" s="20" t="str">
        <x:v>采用</x:v>
      </x:c>
      <x:c r="N768" s="20" t="str">
        <x:v>初审</x:v>
      </x:c>
      <x:c r="O768" s="22" t="n">
        <x:v>46255</x:v>
      </x:c>
      <x:c r="P768" s="20" t="str">
        <x:v>https://zh.wikisource.org/zh-hans/%E6%B7%B5%E6%B5%B7%E5%AD%90%E5%B9%B3 ; https://zh.wikisource.org/wiki/%E6%BB%B4%E5%A4%A9%E9%AB%93%E9%97%A1%E5%BE%AE</x:v>
      </x:c>
    </x:row>
    <x:row r="769">
      <x:c r="A769" s="20" t="str">
        <x:v>M11-GEN-0004-V1.0</x:v>
      </x:c>
      <x:c r="B769" s="20" t="str">
        <x:v>规则</x:v>
      </x:c>
      <x:c r="C769" s="20" t="str">
        <x:v>M11</x:v>
      </x:c>
      <x:c r="D769" s="20" t="str">
        <x:v>11_十神组合成立</x:v>
      </x:c>
      <x:c r="E769" s="20" t="str">
        <x:v>GEN</x:v>
      </x:c>
      <x:c r="F769" s="20" t="n">
        <x:v>4</x:v>
      </x:c>
      <x:c r="G769" s="20" t="str">
        <x:v>V1.0</x:v>
      </x:c>
      <x:c r="H769" s="20" t="str">
        <x:v>力量严重失衡时组合降级</x:v>
      </x:c>
      <x:c r="I769" s="20" t="str">
        <x:v>结构层</x:v>
      </x:c>
      <x:c r="J769" s="20" t="str">
        <x:v>组合力量失衡</x:v>
      </x:c>
      <x:c r="K769" s="20" t="str">
        <x:v>十神组合通用判定：当主体、客体、路径与力量匹配满足最低标准时，判“弱成立”；是否上升为格局转M14/M15。</x:v>
      </x:c>
      <x:c r="L769" s="20" t="str">
        <x:v>较高</x:v>
      </x:c>
      <x:c r="M769" s="20" t="str">
        <x:v>采用</x:v>
      </x:c>
      <x:c r="N769" s="20" t="str">
        <x:v>初审</x:v>
      </x:c>
      <x:c r="O769" s="22" t="n">
        <x:v>46255</x:v>
      </x:c>
      <x:c r="P769" s="20" t="str">
        <x:v>https://zh.wikisource.org/zh-hans/%E6%B7%B5%E6%B5%B7%E5%AD%90%E5%B9%B3 ; https://zh.wikisource.org/wiki/%E6%BB%B4%E5%A4%A9%E9%AB%93%E9%97%A1%E5%BE%AE</x:v>
      </x:c>
    </x:row>
    <x:row r="770">
      <x:c r="A770" s="20" t="str">
        <x:v>M11-GEN-0005-V1.0</x:v>
      </x:c>
      <x:c r="B770" s="20" t="str">
        <x:v>规则</x:v>
      </x:c>
      <x:c r="C770" s="20" t="str">
        <x:v>M11</x:v>
      </x:c>
      <x:c r="D770" s="20" t="str">
        <x:v>11_十神组合成立</x:v>
      </x:c>
      <x:c r="E770" s="20" t="str">
        <x:v>GEN</x:v>
      </x:c>
      <x:c r="F770" s="20" t="n">
        <x:v>5</x:v>
      </x:c>
      <x:c r="G770" s="20" t="str">
        <x:v>V1.0</x:v>
      </x:c>
      <x:c r="H770" s="20" t="str">
        <x:v>组合必须检查日主承载</x:v>
      </x:c>
      <x:c r="I770" s="20" t="str">
        <x:v>结构层</x:v>
      </x:c>
      <x:c r="J770" s="20" t="str">
        <x:v>组合承载约束</x:v>
      </x:c>
      <x:c r="K770" s="20" t="str">
        <x:v>十神组合通用判定：当主体、客体、路径与力量匹配满足最低标准时，判“基本成立”；是否上升为格局转M14/M15。</x:v>
      </x:c>
      <x:c r="L770" s="20" t="str">
        <x:v>较高</x:v>
      </x:c>
      <x:c r="M770" s="20" t="str">
        <x:v>采用</x:v>
      </x:c>
      <x:c r="N770" s="20" t="str">
        <x:v>初审</x:v>
      </x:c>
      <x:c r="O770" s="22" t="n">
        <x:v>46255</x:v>
      </x:c>
      <x:c r="P770" s="20" t="str">
        <x:v>https://zh.wikisource.org/zh-hans/%E6%B7%B5%E6%B5%B7%E5%AD%90%E5%B9%B3 ; https://zh.wikisource.org/wiki/%E6%BB%B4%E5%A4%A9%E9%AB%93%E9%97%A1%E5%BE%AE</x:v>
      </x:c>
    </x:row>
    <x:row r="771">
      <x:c r="A771" s="20" t="str">
        <x:v>M11-GEN-0006-V1.0</x:v>
      </x:c>
      <x:c r="B771" s="20" t="str">
        <x:v>规则</x:v>
      </x:c>
      <x:c r="C771" s="20" t="str">
        <x:v>M11</x:v>
      </x:c>
      <x:c r="D771" s="20" t="str">
        <x:v>11_十神组合成立</x:v>
      </x:c>
      <x:c r="E771" s="20" t="str">
        <x:v>GEN</x:v>
      </x:c>
      <x:c r="F771" s="20" t="n">
        <x:v>6</x:v>
      </x:c>
      <x:c r="G771" s="20" t="str">
        <x:v>V1.0</x:v>
      </x:c>
      <x:c r="H771" s="20" t="str">
        <x:v>一神多职不得重复全额调用</x:v>
      </x:c>
      <x:c r="I771" s="20" t="str">
        <x:v>结构层</x:v>
      </x:c>
      <x:c r="J771" s="20" t="str">
        <x:v>组合容量去重</x:v>
      </x:c>
      <x:c r="K771" s="20" t="str">
        <x:v>十神组合通用判定：当主体、客体、路径与力量匹配满足最低标准时，判“待定”；是否上升为格局转M14/M15。</x:v>
      </x:c>
      <x:c r="L771" s="20" t="str">
        <x:v>较高</x:v>
      </x:c>
      <x:c r="M771" s="20" t="str">
        <x:v>采用</x:v>
      </x:c>
      <x:c r="N771" s="20" t="str">
        <x:v>初审</x:v>
      </x:c>
      <x:c r="O771" s="22" t="n">
        <x:v>46255</x:v>
      </x:c>
      <x:c r="P771" s="20" t="str">
        <x:v>https://zh.wikisource.org/zh-hans/%E6%B7%B5%E6%B5%B7%E5%AD%90%E5%B9%B3 ; https://zh.wikisource.org/wiki/%E6%BB%B4%E5%A4%A9%E9%AB%93%E9%97%A1%E5%BE%AE</x:v>
      </x:c>
    </x:row>
    <x:row r="772">
      <x:c r="A772" s="20" t="str">
        <x:v>M11-GEN-0007-V1.0</x:v>
      </x:c>
      <x:c r="B772" s="20" t="str">
        <x:v>规则</x:v>
      </x:c>
      <x:c r="C772" s="20" t="str">
        <x:v>M11</x:v>
      </x:c>
      <x:c r="D772" s="20" t="str">
        <x:v>11_十神组合成立</x:v>
      </x:c>
      <x:c r="E772" s="20" t="str">
        <x:v>GEN</x:v>
      </x:c>
      <x:c r="F772" s="20" t="n">
        <x:v>7</x:v>
      </x:c>
      <x:c r="G772" s="20" t="str">
        <x:v>V1.0</x:v>
      </x:c>
      <x:c r="H772" s="20" t="str">
        <x:v>强破坏因素可否决表面组合</x:v>
      </x:c>
      <x:c r="I772" s="20" t="str">
        <x:v>结构层</x:v>
      </x:c>
      <x:c r="J772" s="20" t="str">
        <x:v>组合破坏否决</x:v>
      </x:c>
      <x:c r="K772" s="20" t="str">
        <x:v>十神组合通用判定：当主体、客体、路径与力量匹配满足最低标准时，判“不成立”；是否上升为格局转M14/M15。</x:v>
      </x:c>
      <x:c r="L772" s="20" t="str">
        <x:v>较高</x:v>
      </x:c>
      <x:c r="M772" s="20" t="str">
        <x:v>采用</x:v>
      </x:c>
      <x:c r="N772" s="20" t="str">
        <x:v>初审</x:v>
      </x:c>
      <x:c r="O772" s="22" t="n">
        <x:v>46255</x:v>
      </x:c>
      <x:c r="P772" s="20" t="str">
        <x:v>https://zh.wikisource.org/zh-hans/%E6%B7%B5%E6%B5%B7%E5%AD%90%E5%B9%B3 ; https://zh.wikisource.org/wiki/%E6%BB%B4%E5%A4%A9%E9%AB%93%E9%97%A1%E5%BE%AE</x:v>
      </x:c>
    </x:row>
    <x:row r="773">
      <x:c r="A773" s="20" t="str">
        <x:v>M11-GEN-0008-V1.0</x:v>
      </x:c>
      <x:c r="B773" s="20" t="str">
        <x:v>规则</x:v>
      </x:c>
      <x:c r="C773" s="20" t="str">
        <x:v>M11</x:v>
      </x:c>
      <x:c r="D773" s="20" t="str">
        <x:v>11_十神组合成立</x:v>
      </x:c>
      <x:c r="E773" s="20" t="str">
        <x:v>GEN</x:v>
      </x:c>
      <x:c r="F773" s="20" t="n">
        <x:v>8</x:v>
      </x:c>
      <x:c r="G773" s="20" t="str">
        <x:v>V1.0</x:v>
      </x:c>
      <x:c r="H773" s="20" t="str">
        <x:v>救应只在恢复关键功能后有效</x:v>
      </x:c>
      <x:c r="I773" s="20" t="str">
        <x:v>结构层</x:v>
      </x:c>
      <x:c r="J773" s="20" t="str">
        <x:v>组合救应有效性</x:v>
      </x:c>
      <x:c r="K773" s="20" t="str">
        <x:v>十神组合通用判定：当主体、客体、路径与力量匹配满足最低标准时，判“基本成立”；是否上升为格局转M14/M15。</x:v>
      </x:c>
      <x:c r="L773" s="20" t="str">
        <x:v>较高</x:v>
      </x:c>
      <x:c r="M773" s="20" t="str">
        <x:v>采用</x:v>
      </x:c>
      <x:c r="N773" s="20" t="str">
        <x:v>初审</x:v>
      </x:c>
      <x:c r="O773" s="22" t="n">
        <x:v>46255</x:v>
      </x:c>
      <x:c r="P773" s="20" t="str">
        <x:v>https://zh.wikisource.org/zh-hans/%E6%B7%B5%E6%B5%B7%E5%AD%90%E5%B9%B3 ; https://zh.wikisource.org/wiki/%E6%BB%B4%E5%A4%A9%E9%AB%93%E9%97%A1%E5%BE%AE</x:v>
      </x:c>
    </x:row>
    <x:row r="774">
      <x:c r="A774" s="20" t="str">
        <x:v>M11-GEN-0009-V1.0</x:v>
      </x:c>
      <x:c r="B774" s="20" t="str">
        <x:v>规则</x:v>
      </x:c>
      <x:c r="C774" s="20" t="str">
        <x:v>M11</x:v>
      </x:c>
      <x:c r="D774" s="20" t="str">
        <x:v>11_十神组合成立</x:v>
      </x:c>
      <x:c r="E774" s="20" t="str">
        <x:v>GEN</x:v>
      </x:c>
      <x:c r="F774" s="20" t="n">
        <x:v>9</x:v>
      </x:c>
      <x:c r="G774" s="20" t="str">
        <x:v>V1.0</x:v>
      </x:c>
      <x:c r="H774" s="20" t="str">
        <x:v>组合成立与格局成立必须分层</x:v>
      </x:c>
      <x:c r="I774" s="20" t="str">
        <x:v>结构层</x:v>
      </x:c>
      <x:c r="J774" s="20" t="str">
        <x:v>组合格局分离</x:v>
      </x:c>
      <x:c r="K774" s="20" t="str">
        <x:v>十神组合通用判定：当主体、客体、路径与力量匹配满足最低标准时，判“明显成立”；是否上升为格局转M14/M15。</x:v>
      </x:c>
      <x:c r="L774" s="20" t="str">
        <x:v>较高</x:v>
      </x:c>
      <x:c r="M774" s="20" t="str">
        <x:v>采用</x:v>
      </x:c>
      <x:c r="N774" s="20" t="str">
        <x:v>初审</x:v>
      </x:c>
      <x:c r="O774" s="22" t="n">
        <x:v>46255</x:v>
      </x:c>
      <x:c r="P774" s="20" t="str">
        <x:v>https://zh.wikisource.org/zh-hans/%E6%B7%B5%E6%B5%B7%E5%AD%90%E5%B9%B3 ; https://zh.wikisource.org/wiki/%E6%BB%B4%E5%A4%A9%E9%AB%93%E9%97%A1%E5%BE%AE</x:v>
      </x:c>
    </x:row>
    <x:row r="775">
      <x:c r="A775" s="20" t="str">
        <x:v>M11-GEN-0010-V1.0</x:v>
      </x:c>
      <x:c r="B775" s="20" t="str">
        <x:v>规则</x:v>
      </x:c>
      <x:c r="C775" s="20" t="str">
        <x:v>M11</x:v>
      </x:c>
      <x:c r="D775" s="20" t="str">
        <x:v>11_十神组合成立</x:v>
      </x:c>
      <x:c r="E775" s="20" t="str">
        <x:v>GEN</x:v>
      </x:c>
      <x:c r="F775" s="20" t="n">
        <x:v>10</x:v>
      </x:c>
      <x:c r="G775" s="20" t="str">
        <x:v>V1.0</x:v>
      </x:c>
      <x:c r="H775" s="20" t="str">
        <x:v>组合输出必须同时保留破坏与反证</x:v>
      </x:c>
      <x:c r="I775" s="20" t="str">
        <x:v>结构层</x:v>
      </x:c>
      <x:c r="J775" s="20" t="str">
        <x:v>组合标准输出</x:v>
      </x:c>
      <x:c r="K775" s="20" t="str">
        <x:v>每个组合至少输出：核心十神、主体/客体、路径、力量匹配、日主承载、破坏、救应、成立等级、实际功能、是否具备格局候选资格。</x:v>
      </x:c>
      <x:c r="L775" s="20" t="str">
        <x:v>较高</x:v>
      </x:c>
      <x:c r="M775" s="20" t="str">
        <x:v>采用</x:v>
      </x:c>
      <x:c r="N775" s="20" t="str">
        <x:v>初审</x:v>
      </x:c>
      <x:c r="O775" s="22" t="n">
        <x:v>46255</x:v>
      </x:c>
      <x:c r="P775" s="20" t="str">
        <x:v>https://zh.wikisource.org/zh-hans/%E6%B7%B5%E6%B5%B7%E5%AD%90%E5%B9%B3 ; https://zh.wikisource.org/wiki/%E6%BB%B4%E5%A4%A9%E9%AB%93%E9%97%A1%E5%BE%AE</x:v>
      </x:c>
    </x:row>
    <x:row r="776">
      <x:c r="A776" s="20" t="str">
        <x:v>M11-SHIZHI-0011-V1.0</x:v>
      </x:c>
      <x:c r="B776" s="20" t="str">
        <x:v>规则</x:v>
      </x:c>
      <x:c r="C776" s="20" t="str">
        <x:v>M11</x:v>
      </x:c>
      <x:c r="D776" s="20" t="str">
        <x:v>11_十神组合成立</x:v>
      </x:c>
      <x:c r="E776" s="20" t="str">
        <x:v>SHIZHI</x:v>
      </x:c>
      <x:c r="F776" s="20" t="n">
        <x:v>11</x:v>
      </x:c>
      <x:c r="G776" s="20" t="str">
        <x:v>V1.0</x:v>
      </x:c>
      <x:c r="H776" s="20" t="str">
        <x:v>七杀必须真实有力并对日主形成压力</x:v>
      </x:c>
      <x:c r="I776" s="20" t="str">
        <x:v>结构层</x:v>
      </x:c>
      <x:c r="J776" s="20" t="str">
        <x:v>食神制杀_成立条件</x:v>
      </x:c>
      <x:c r="K776" s="20" t="str">
        <x:v>食神制杀：当主体、客体、路径与力量匹配满足最低标准时，判“基本成立”；是否上升为格局转M14/M15。</x:v>
      </x:c>
      <x:c r="L776" s="20" t="str">
        <x:v>较高</x:v>
      </x:c>
      <x:c r="M776" s="20" t="str">
        <x:v>采用</x:v>
      </x:c>
      <x:c r="N776" s="20" t="str">
        <x:v>初审</x:v>
      </x:c>
      <x:c r="O776" s="22" t="n">
        <x:v>46255</x:v>
      </x:c>
      <x:c r="P776" s="20" t="str">
        <x:v>https://zh.wikisource.org/zh-hans/%E6%B7%B5%E6%B5%B7%E5%AD%90%E5%B9%B3 ; https://zh.wikisource.org/wiki/%E6%BB%B4%E5%A4%A9%E9%AB%93%E9%97%A1%E5%BE%AE</x:v>
      </x:c>
    </x:row>
    <x:row r="777">
      <x:c r="A777" s="20" t="str">
        <x:v>M11-SHIZHI-0012-V1.0</x:v>
      </x:c>
      <x:c r="B777" s="20" t="str">
        <x:v>规则</x:v>
      </x:c>
      <x:c r="C777" s="20" t="str">
        <x:v>M11</x:v>
      </x:c>
      <x:c r="D777" s="20" t="str">
        <x:v>11_十神组合成立</x:v>
      </x:c>
      <x:c r="E777" s="20" t="str">
        <x:v>SHIZHI</x:v>
      </x:c>
      <x:c r="F777" s="20" t="n">
        <x:v>12</x:v>
      </x:c>
      <x:c r="G777" s="20" t="str">
        <x:v>V1.0</x:v>
      </x:c>
      <x:c r="H777" s="20" t="str">
        <x:v>食神自身必须有根有源或稳定有效</x:v>
      </x:c>
      <x:c r="I777" s="20" t="str">
        <x:v>结构层</x:v>
      </x:c>
      <x:c r="J777" s="20" t="str">
        <x:v>食神制杀_食神有效性</x:v>
      </x:c>
      <x:c r="K777" s="20" t="str">
        <x:v>食神制杀：当主体、客体、路径与力量匹配满足最低标准时，判“基本成立”；是否上升为格局转M14/M15。</x:v>
      </x:c>
      <x:c r="L777" s="20" t="str">
        <x:v>较高</x:v>
      </x:c>
      <x:c r="M777" s="20" t="str">
        <x:v>采用</x:v>
      </x:c>
      <x:c r="N777" s="20" t="str">
        <x:v>初审</x:v>
      </x:c>
      <x:c r="O777" s="22" t="n">
        <x:v>46255</x:v>
      </x:c>
      <x:c r="P777" s="20" t="str">
        <x:v>https://zh.wikisource.org/zh-hans/%E6%B7%B5%E6%B5%B7%E5%AD%90%E5%B9%B3 ; https://zh.wikisource.org/wiki/%E6%BB%B4%E5%A4%A9%E9%AB%93%E9%97%A1%E5%BE%AE</x:v>
      </x:c>
    </x:row>
    <x:row r="778">
      <x:c r="A778" s="20" t="str">
        <x:v>M11-SHIZHI-0013-V1.0</x:v>
      </x:c>
      <x:c r="B778" s="20" t="str">
        <x:v>规则</x:v>
      </x:c>
      <x:c r="C778" s="20" t="str">
        <x:v>M11</x:v>
      </x:c>
      <x:c r="D778" s="20" t="str">
        <x:v>11_十神组合成立</x:v>
      </x:c>
      <x:c r="E778" s="20" t="str">
        <x:v>SHIZHI</x:v>
      </x:c>
      <x:c r="F778" s="20" t="n">
        <x:v>13</x:v>
      </x:c>
      <x:c r="G778" s="20" t="str">
        <x:v>V1.0</x:v>
      </x:c>
      <x:c r="H778" s="20" t="str">
        <x:v>七杀太弱无须制时组合降级</x:v>
      </x:c>
      <x:c r="I778" s="20" t="str">
        <x:v>结构层</x:v>
      </x:c>
      <x:c r="J778" s="20" t="str">
        <x:v>食神制杀_杀弱否决</x:v>
      </x:c>
      <x:c r="K778" s="20" t="str">
        <x:v>食神制杀：当主体、客体、路径与力量匹配满足最低标准时，判“不成立”；是否上升为格局转M14/M15。</x:v>
      </x:c>
      <x:c r="L778" s="20" t="str">
        <x:v>较高</x:v>
      </x:c>
      <x:c r="M778" s="20" t="str">
        <x:v>采用</x:v>
      </x:c>
      <x:c r="N778" s="20" t="str">
        <x:v>初审</x:v>
      </x:c>
      <x:c r="O778" s="22" t="n">
        <x:v>46255</x:v>
      </x:c>
      <x:c r="P778" s="20" t="str">
        <x:v>https://zh.wikisource.org/zh-hans/%E6%B7%B5%E6%B5%B7%E5%AD%90%E5%B9%B3 ; https://zh.wikisource.org/wiki/%E6%BB%B4%E5%A4%A9%E9%AB%93%E9%97%A1%E5%BE%AE</x:v>
      </x:c>
    </x:row>
    <x:row r="779">
      <x:c r="A779" s="20" t="str">
        <x:v>M11-SHIZHI-0014-V1.0</x:v>
      </x:c>
      <x:c r="B779" s="20" t="str">
        <x:v>规则</x:v>
      </x:c>
      <x:c r="C779" s="20" t="str">
        <x:v>M11</x:v>
      </x:c>
      <x:c r="D779" s="20" t="str">
        <x:v>11_十神组合成立</x:v>
      </x:c>
      <x:c r="E779" s="20" t="str">
        <x:v>SHIZHI</x:v>
      </x:c>
      <x:c r="F779" s="20" t="n">
        <x:v>14</x:v>
      </x:c>
      <x:c r="G779" s="20" t="str">
        <x:v>V1.0</x:v>
      </x:c>
      <x:c r="H779" s="20" t="str">
        <x:v>食神太弱不能有效制杀</x:v>
      </x:c>
      <x:c r="I779" s="20" t="str">
        <x:v>结构层</x:v>
      </x:c>
      <x:c r="J779" s="20" t="str">
        <x:v>食神制杀_食弱</x:v>
      </x:c>
      <x:c r="K779" s="20" t="str">
        <x:v>食神制杀：当主体、客体、路径与力量匹配满足最低标准时，判“弱成立”；是否上升为格局转M14/M15。</x:v>
      </x:c>
      <x:c r="L779" s="20" t="str">
        <x:v>较高</x:v>
      </x:c>
      <x:c r="M779" s="20" t="str">
        <x:v>采用</x:v>
      </x:c>
      <x:c r="N779" s="20" t="str">
        <x:v>初审</x:v>
      </x:c>
      <x:c r="O779" s="22" t="n">
        <x:v>46255</x:v>
      </x:c>
      <x:c r="P779" s="20" t="str">
        <x:v>https://zh.wikisource.org/zh-hans/%E6%B7%B5%E6%B5%B7%E5%AD%90%E5%B9%B3 ; https://zh.wikisource.org/wiki/%E6%BB%B4%E5%A4%A9%E9%AB%93%E9%97%A1%E5%BE%AE</x:v>
      </x:c>
    </x:row>
    <x:row r="780">
      <x:c r="A780" s="20" t="str">
        <x:v>M11-SHIZHI-0015-V1.0</x:v>
      </x:c>
      <x:c r="B780" s="20" t="str">
        <x:v>规则</x:v>
      </x:c>
      <x:c r="C780" s="20" t="str">
        <x:v>M11</x:v>
      </x:c>
      <x:c r="D780" s="20" t="str">
        <x:v>11_十神组合成立</x:v>
      </x:c>
      <x:c r="E780" s="20" t="str">
        <x:v>SHIZHI</x:v>
      </x:c>
      <x:c r="F780" s="20" t="n">
        <x:v>15</x:v>
      </x:c>
      <x:c r="G780" s="20" t="str">
        <x:v>V1.0</x:v>
      </x:c>
      <x:c r="H780" s="20" t="str">
        <x:v>制杀太过时由平衡转为失衡</x:v>
      </x:c>
      <x:c r="I780" s="20" t="str">
        <x:v>结构层</x:v>
      </x:c>
      <x:c r="J780" s="20" t="str">
        <x:v>食神制杀_制杀太过</x:v>
      </x:c>
      <x:c r="K780" s="20" t="str">
        <x:v>食神制杀：当主体、客体、路径与力量匹配满足最低标准时，判“弱成立”；是否上升为格局转M14/M15。</x:v>
      </x:c>
      <x:c r="L780" s="20" t="str">
        <x:v>较高</x:v>
      </x:c>
      <x:c r="M780" s="20" t="str">
        <x:v>采用</x:v>
      </x:c>
      <x:c r="N780" s="20" t="str">
        <x:v>初审</x:v>
      </x:c>
      <x:c r="O780" s="22" t="n">
        <x:v>46255</x:v>
      </x:c>
      <x:c r="P780" s="20" t="str">
        <x:v>https://zh.wikisource.org/zh-hans/%E6%B7%B5%E6%B5%B7%E5%AD%90%E5%B9%B3 ; https://zh.wikisource.org/wiki/%E6%BB%B4%E5%A4%A9%E9%AB%93%E9%97%A1%E5%BE%AE</x:v>
      </x:c>
    </x:row>
    <x:row r="781">
      <x:c r="A781" s="20" t="str">
        <x:v>M11-SHIZHI-0016-V1.0</x:v>
      </x:c>
      <x:c r="B781" s="20" t="str">
        <x:v>规则</x:v>
      </x:c>
      <x:c r="C781" s="20" t="str">
        <x:v>M11</x:v>
      </x:c>
      <x:c r="D781" s="20" t="str">
        <x:v>11_十神组合成立</x:v>
      </x:c>
      <x:c r="E781" s="20" t="str">
        <x:v>SHIZHI</x:v>
      </x:c>
      <x:c r="F781" s="20" t="n">
        <x:v>16</x:v>
      </x:c>
      <x:c r="G781" s="20" t="str">
        <x:v>V1.0</x:v>
      </x:c>
      <x:c r="H781" s="20" t="str">
        <x:v>强枭夺食可破坏食神制杀</x:v>
      </x:c>
      <x:c r="I781" s="20" t="str">
        <x:v>结构层</x:v>
      </x:c>
      <x:c r="J781" s="20" t="str">
        <x:v>食神制杀_枭夺食破坏</x:v>
      </x:c>
      <x:c r="K781" s="20" t="str">
        <x:v>食神制杀：当主体、客体、路径与力量匹配满足最低标准时，判“不成立”；是否上升为格局转M14/M15。</x:v>
      </x:c>
      <x:c r="L781" s="20" t="str">
        <x:v>较高</x:v>
      </x:c>
      <x:c r="M781" s="20" t="str">
        <x:v>采用</x:v>
      </x:c>
      <x:c r="N781" s="20" t="str">
        <x:v>初审</x:v>
      </x:c>
      <x:c r="O781" s="22" t="n">
        <x:v>46255</x:v>
      </x:c>
      <x:c r="P781" s="20" t="str">
        <x:v>https://zh.wikisource.org/zh-hans/%E6%B7%B5%E6%B5%B7%E5%AD%90%E5%B9%B3 ; https://zh.wikisource.org/wiki/%E6%BB%B4%E5%A4%A9%E9%AB%93%E9%97%A1%E5%BE%AE</x:v>
      </x:c>
    </x:row>
    <x:row r="782">
      <x:c r="A782" s="20" t="str">
        <x:v>M11-SHIZHI-0017-V1.0</x:v>
      </x:c>
      <x:c r="B782" s="20" t="str">
        <x:v>规则</x:v>
      </x:c>
      <x:c r="C782" s="20" t="str">
        <x:v>M11</x:v>
      </x:c>
      <x:c r="D782" s="20" t="str">
        <x:v>11_十神组合成立</x:v>
      </x:c>
      <x:c r="E782" s="20" t="str">
        <x:v>SHIZHI</x:v>
      </x:c>
      <x:c r="F782" s="20" t="n">
        <x:v>17</x:v>
      </x:c>
      <x:c r="G782" s="20" t="str">
        <x:v>V1.0</x:v>
      </x:c>
      <x:c r="H782" s="20" t="str">
        <x:v>财星制枭可成为救应</x:v>
      </x:c>
      <x:c r="I782" s="20" t="str">
        <x:v>结构层</x:v>
      </x:c>
      <x:c r="J782" s="20" t="str">
        <x:v>食神制杀_财制枭救应</x:v>
      </x:c>
      <x:c r="K782" s="20" t="str">
        <x:v>食神制杀：当主体、客体、路径与力量匹配满足最低标准时，判“基本成立”；是否上升为格局转M14/M15。</x:v>
      </x:c>
      <x:c r="L782" s="20" t="str">
        <x:v>较高</x:v>
      </x:c>
      <x:c r="M782" s="20" t="str">
        <x:v>采用</x:v>
      </x:c>
      <x:c r="N782" s="20" t="str">
        <x:v>初审</x:v>
      </x:c>
      <x:c r="O782" s="22" t="n">
        <x:v>46255</x:v>
      </x:c>
      <x:c r="P782" s="20" t="str">
        <x:v>https://zh.wikisource.org/zh-hans/%E6%B7%B5%E6%B5%B7%E5%AD%90%E5%B9%B3 ; https://zh.wikisource.org/wiki/%E6%BB%B4%E5%A4%A9%E9%AB%93%E9%97%A1%E5%BE%AE</x:v>
      </x:c>
    </x:row>
    <x:row r="783">
      <x:c r="A783" s="20" t="str">
        <x:v>M11-SHIZHI-0018-V1.0</x:v>
      </x:c>
      <x:c r="B783" s="20" t="str">
        <x:v>规则</x:v>
      </x:c>
      <x:c r="C783" s="20" t="str">
        <x:v>M11</x:v>
      </x:c>
      <x:c r="D783" s="20" t="str">
        <x:v>11_十神组合成立</x:v>
      </x:c>
      <x:c r="E783" s="20" t="str">
        <x:v>SHIZHI</x:v>
      </x:c>
      <x:c r="F783" s="20" t="n">
        <x:v>18</x:v>
      </x:c>
      <x:c r="G783" s="20" t="str">
        <x:v>V1.0</x:v>
      </x:c>
      <x:c r="H783" s="20" t="str">
        <x:v>财星过强生杀可能抵消制杀</x:v>
      </x:c>
      <x:c r="I783" s="20" t="str">
        <x:v>结构层</x:v>
      </x:c>
      <x:c r="J783" s="20" t="str">
        <x:v>食神制杀_财生杀干扰</x:v>
      </x:c>
      <x:c r="K783" s="20" t="str">
        <x:v>食神制杀：当主体、客体、路径与力量匹配满足最低标准时，判“弱成立”；是否上升为格局转M14/M15。</x:v>
      </x:c>
      <x:c r="L783" s="20" t="str">
        <x:v>较高</x:v>
      </x:c>
      <x:c r="M783" s="20" t="str">
        <x:v>采用</x:v>
      </x:c>
      <x:c r="N783" s="20" t="str">
        <x:v>初审</x:v>
      </x:c>
      <x:c r="O783" s="22" t="n">
        <x:v>46255</x:v>
      </x:c>
      <x:c r="P783" s="20" t="str">
        <x:v>https://zh.wikisource.org/zh-hans/%E6%B7%B5%E6%B5%B7%E5%AD%90%E5%B9%B3 ; https://zh.wikisource.org/wiki/%E6%BB%B4%E5%A4%A9%E9%AB%93%E9%97%A1%E5%BE%AE</x:v>
      </x:c>
    </x:row>
    <x:row r="784">
      <x:c r="A784" s="20" t="str">
        <x:v>M11-SHIZHI-0019-V1.0</x:v>
      </x:c>
      <x:c r="B784" s="20" t="str">
        <x:v>规则</x:v>
      </x:c>
      <x:c r="C784" s="20" t="str">
        <x:v>M11</x:v>
      </x:c>
      <x:c r="D784" s="20" t="str">
        <x:v>11_十神组合成立</x:v>
      </x:c>
      <x:c r="E784" s="20" t="str">
        <x:v>SHIZHI</x:v>
      </x:c>
      <x:c r="F784" s="20" t="n">
        <x:v>19</x:v>
      </x:c>
      <x:c r="G784" s="20" t="str">
        <x:v>V1.0</x:v>
      </x:c>
      <x:c r="H784" s="20" t="str">
        <x:v>日主过弱时食神制杀需防再泄身</x:v>
      </x:c>
      <x:c r="I784" s="20" t="str">
        <x:v>结构层</x:v>
      </x:c>
      <x:c r="J784" s="20" t="str">
        <x:v>食神制杀_日主承载</x:v>
      </x:c>
      <x:c r="K784" s="20" t="str">
        <x:v>食神制杀：当主体、客体、路径与力量匹配满足最低标准时，判“弱成立”；是否上升为格局转M14/M15。</x:v>
      </x:c>
      <x:c r="L784" s="20" t="str">
        <x:v>较高</x:v>
      </x:c>
      <x:c r="M784" s="20" t="str">
        <x:v>采用</x:v>
      </x:c>
      <x:c r="N784" s="20" t="str">
        <x:v>初审</x:v>
      </x:c>
      <x:c r="O784" s="22" t="n">
        <x:v>46255</x:v>
      </x:c>
      <x:c r="P784" s="20" t="str">
        <x:v>https://zh.wikisource.org/zh-hans/%E6%B7%B5%E6%B5%B7%E5%AD%90%E5%B9%B3 ; https://zh.wikisource.org/wiki/%E6%BB%B4%E5%A4%A9%E9%AB%93%E9%97%A1%E5%BE%AE</x:v>
      </x:c>
    </x:row>
    <x:row r="785">
      <x:c r="A785" s="20" t="str">
        <x:v>M11-SHIZHI-0020-V1.0</x:v>
      </x:c>
      <x:c r="B785" s="20" t="str">
        <x:v>规则</x:v>
      </x:c>
      <x:c r="C785" s="20" t="str">
        <x:v>M11</x:v>
      </x:c>
      <x:c r="D785" s="20" t="str">
        <x:v>11_十神组合成立</x:v>
      </x:c>
      <x:c r="E785" s="20" t="str">
        <x:v>SHIZHI</x:v>
      </x:c>
      <x:c r="F785" s="20" t="n">
        <x:v>20</x:v>
      </x:c>
      <x:c r="G785" s="20" t="str">
        <x:v>V1.0</x:v>
      </x:c>
      <x:c r="H785" s="20" t="str">
        <x:v>力量匹配且路径清晰时可判明显成立</x:v>
      </x:c>
      <x:c r="I785" s="20" t="str">
        <x:v>结构层</x:v>
      </x:c>
      <x:c r="J785" s="20" t="str">
        <x:v>食神制杀_明显成立</x:v>
      </x:c>
      <x:c r="K785" s="20" t="str">
        <x:v>食神制杀：当主体、客体、路径与力量匹配满足最低标准时，判“明显成立”；是否上升为格局转M14/M15。</x:v>
      </x:c>
      <x:c r="L785" s="20" t="str">
        <x:v>较高</x:v>
      </x:c>
      <x:c r="M785" s="20" t="str">
        <x:v>采用</x:v>
      </x:c>
      <x:c r="N785" s="20" t="str">
        <x:v>初审</x:v>
      </x:c>
      <x:c r="O785" s="22" t="n">
        <x:v>46255</x:v>
      </x:c>
      <x:c r="P785" s="20" t="str">
        <x:v>https://zh.wikisource.org/zh-hans/%E6%B7%B5%E6%B5%B7%E5%AD%90%E5%B9%B3 ; https://zh.wikisource.org/wiki/%E6%BB%B4%E5%A4%A9%E9%AB%93%E9%97%A1%E5%BE%AE</x:v>
      </x:c>
    </x:row>
    <x:row r="786">
      <x:c r="A786" s="20" t="str">
        <x:v>M11-SHAYIN-0021-V1.0</x:v>
      </x:c>
      <x:c r="B786" s="20" t="str">
        <x:v>规则</x:v>
      </x:c>
      <x:c r="C786" s="20" t="str">
        <x:v>M11</x:v>
      </x:c>
      <x:c r="D786" s="20" t="str">
        <x:v>11_十神组合成立</x:v>
      </x:c>
      <x:c r="E786" s="20" t="str">
        <x:v>SHAYIN</x:v>
      </x:c>
      <x:c r="F786" s="20" t="n">
        <x:v>21</x:v>
      </x:c>
      <x:c r="G786" s="20" t="str">
        <x:v>V1.0</x:v>
      </x:c>
      <x:c r="H786" s="20" t="str">
        <x:v>七杀必须能够生印而非只直接攻身</x:v>
      </x:c>
      <x:c r="I786" s="20" t="str">
        <x:v>结构层</x:v>
      </x:c>
      <x:c r="J786" s="20" t="str">
        <x:v>杀印相生_成立条件</x:v>
      </x:c>
      <x:c r="K786" s="20" t="str">
        <x:v>杀印相生：当主体、客体、路径与力量匹配满足最低标准时，判“基本成立”；是否上升为格局转M14/M15。</x:v>
      </x:c>
      <x:c r="L786" s="20" t="str">
        <x:v>较高</x:v>
      </x:c>
      <x:c r="M786" s="20" t="str">
        <x:v>采用</x:v>
      </x:c>
      <x:c r="N786" s="20" t="str">
        <x:v>初审</x:v>
      </x:c>
      <x:c r="O786" s="22" t="n">
        <x:v>46255</x:v>
      </x:c>
      <x:c r="P786" s="20" t="str">
        <x:v>https://zh.wikisource.org/zh-hans/%E6%B7%B5%E6%B5%B7%E5%AD%90%E5%B9%B3 ; https://zh.wikisource.org/wiki/%E6%BB%B4%E5%A4%A9%E9%AB%93%E9%97%A1%E5%BE%AE</x:v>
      </x:c>
    </x:row>
    <x:row r="787">
      <x:c r="A787" s="20" t="str">
        <x:v>M11-SHAYIN-0022-V1.0</x:v>
      </x:c>
      <x:c r="B787" s="20" t="str">
        <x:v>规则</x:v>
      </x:c>
      <x:c r="C787" s="20" t="str">
        <x:v>M11</x:v>
      </x:c>
      <x:c r="D787" s="20" t="str">
        <x:v>11_十神组合成立</x:v>
      </x:c>
      <x:c r="E787" s="20" t="str">
        <x:v>SHAYIN</x:v>
      </x:c>
      <x:c r="F787" s="20" t="n">
        <x:v>22</x:v>
      </x:c>
      <x:c r="G787" s="20" t="str">
        <x:v>V1.0</x:v>
      </x:c>
      <x:c r="H787" s="20" t="str">
        <x:v>印星必须能够继续生日主</x:v>
      </x:c>
      <x:c r="I787" s="20" t="str">
        <x:v>结构层</x:v>
      </x:c>
      <x:c r="J787" s="20" t="str">
        <x:v>杀印相生_完整链</x:v>
      </x:c>
      <x:c r="K787" s="20" t="str">
        <x:v>杀印相生：当主体、客体、路径与力量匹配满足最低标准时，判“基本成立”；是否上升为格局转M14/M15。</x:v>
      </x:c>
      <x:c r="L787" s="20" t="str">
        <x:v>较高</x:v>
      </x:c>
      <x:c r="M787" s="20" t="str">
        <x:v>采用</x:v>
      </x:c>
      <x:c r="N787" s="20" t="str">
        <x:v>初审</x:v>
      </x:c>
      <x:c r="O787" s="22" t="n">
        <x:v>46255</x:v>
      </x:c>
      <x:c r="P787" s="20" t="str">
        <x:v>https://zh.wikisource.org/zh-hans/%E6%B7%B5%E6%B5%B7%E5%AD%90%E5%B9%B3 ; https://zh.wikisource.org/wiki/%E6%BB%B4%E5%A4%A9%E9%AB%93%E9%97%A1%E5%BE%AE</x:v>
      </x:c>
    </x:row>
    <x:row r="788">
      <x:c r="A788" s="20" t="str">
        <x:v>M11-SHAYIN-0023-V1.0</x:v>
      </x:c>
      <x:c r="B788" s="20" t="str">
        <x:v>规则</x:v>
      </x:c>
      <x:c r="C788" s="20" t="str">
        <x:v>M11</x:v>
      </x:c>
      <x:c r="D788" s="20" t="str">
        <x:v>11_十神组合成立</x:v>
      </x:c>
      <x:c r="E788" s="20" t="str">
        <x:v>SHAYIN</x:v>
      </x:c>
      <x:c r="F788" s="20" t="n">
        <x:v>23</x:v>
      </x:c>
      <x:c r="G788" s="20" t="str">
        <x:v>V1.0</x:v>
      </x:c>
      <x:c r="H788" s="20" t="str">
        <x:v>印弱不能有效化杀时组合降级</x:v>
      </x:c>
      <x:c r="I788" s="20" t="str">
        <x:v>结构层</x:v>
      </x:c>
      <x:c r="J788" s="20" t="str">
        <x:v>杀印相生_印弱</x:v>
      </x:c>
      <x:c r="K788" s="20" t="str">
        <x:v>杀印相生：当主体、客体、路径与力量匹配满足最低标准时，判“弱成立”；是否上升为格局转M14/M15。</x:v>
      </x:c>
      <x:c r="L788" s="20" t="str">
        <x:v>较高</x:v>
      </x:c>
      <x:c r="M788" s="20" t="str">
        <x:v>采用</x:v>
      </x:c>
      <x:c r="N788" s="20" t="str">
        <x:v>初审</x:v>
      </x:c>
      <x:c r="O788" s="22" t="n">
        <x:v>46255</x:v>
      </x:c>
      <x:c r="P788" s="20" t="str">
        <x:v>https://zh.wikisource.org/zh-hans/%E6%B7%B5%E6%B5%B7%E5%AD%90%E5%B9%B3 ; https://zh.wikisource.org/wiki/%E6%BB%B4%E5%A4%A9%E9%AB%93%E9%97%A1%E5%BE%AE</x:v>
      </x:c>
    </x:row>
    <x:row r="789">
      <x:c r="A789" s="20" t="str">
        <x:v>M11-SHAYIN-0024-V1.0</x:v>
      </x:c>
      <x:c r="B789" s="20" t="str">
        <x:v>规则</x:v>
      </x:c>
      <x:c r="C789" s="20" t="str">
        <x:v>M11</x:v>
      </x:c>
      <x:c r="D789" s="20" t="str">
        <x:v>11_十神组合成立</x:v>
      </x:c>
      <x:c r="E789" s="20" t="str">
        <x:v>SHAYIN</x:v>
      </x:c>
      <x:c r="F789" s="20" t="n">
        <x:v>24</x:v>
      </x:c>
      <x:c r="G789" s="20" t="str">
        <x:v>V1.0</x:v>
      </x:c>
      <x:c r="H789" s="20" t="str">
        <x:v>杀弱印旺时不以化杀为主要功能</x:v>
      </x:c>
      <x:c r="I789" s="20" t="str">
        <x:v>结构层</x:v>
      </x:c>
      <x:c r="J789" s="20" t="str">
        <x:v>杀印相生_杀弱</x:v>
      </x:c>
      <x:c r="K789" s="20" t="str">
        <x:v>杀印相生：当主体、客体、路径与力量匹配满足最低标准时，判“弱成立”；是否上升为格局转M14/M15。</x:v>
      </x:c>
      <x:c r="L789" s="20" t="str">
        <x:v>较高</x:v>
      </x:c>
      <x:c r="M789" s="20" t="str">
        <x:v>采用</x:v>
      </x:c>
      <x:c r="N789" s="20" t="str">
        <x:v>初审</x:v>
      </x:c>
      <x:c r="O789" s="22" t="n">
        <x:v>46255</x:v>
      </x:c>
      <x:c r="P789" s="20" t="str">
        <x:v>https://zh.wikisource.org/zh-hans/%E6%B7%B5%E6%B5%B7%E5%AD%90%E5%B9%B3 ; https://zh.wikisource.org/wiki/%E6%BB%B4%E5%A4%A9%E9%AB%93%E9%97%A1%E5%BE%AE</x:v>
      </x:c>
    </x:row>
    <x:row r="790">
      <x:c r="A790" s="20" t="str">
        <x:v>M11-SHAYIN-0025-V1.0</x:v>
      </x:c>
      <x:c r="B790" s="20" t="str">
        <x:v>规则</x:v>
      </x:c>
      <x:c r="C790" s="20" t="str">
        <x:v>M11</x:v>
      </x:c>
      <x:c r="D790" s="20" t="str">
        <x:v>11_十神组合成立</x:v>
      </x:c>
      <x:c r="E790" s="20" t="str">
        <x:v>SHAYIN</x:v>
      </x:c>
      <x:c r="F790" s="20" t="n">
        <x:v>25</x:v>
      </x:c>
      <x:c r="G790" s="20" t="str">
        <x:v>V1.0</x:v>
      </x:c>
      <x:c r="H790" s="20" t="str">
        <x:v>财坏印会切断杀印相生链</x:v>
      </x:c>
      <x:c r="I790" s="20" t="str">
        <x:v>结构层</x:v>
      </x:c>
      <x:c r="J790" s="20" t="str">
        <x:v>杀印相生_财坏印</x:v>
      </x:c>
      <x:c r="K790" s="20" t="str">
        <x:v>杀印相生：当主体、客体、路径与力量匹配满足最低标准时，判“不成立”；是否上升为格局转M14/M15。</x:v>
      </x:c>
      <x:c r="L790" s="20" t="str">
        <x:v>较高</x:v>
      </x:c>
      <x:c r="M790" s="20" t="str">
        <x:v>采用</x:v>
      </x:c>
      <x:c r="N790" s="20" t="str">
        <x:v>初审</x:v>
      </x:c>
      <x:c r="O790" s="22" t="n">
        <x:v>46255</x:v>
      </x:c>
      <x:c r="P790" s="20" t="str">
        <x:v>https://zh.wikisource.org/zh-hans/%E6%B7%B5%E6%B5%B7%E5%AD%90%E5%B9%B3 ; https://zh.wikisource.org/wiki/%E6%BB%B4%E5%A4%A9%E9%AB%93%E9%97%A1%E5%BE%AE</x:v>
      </x:c>
    </x:row>
    <x:row r="791">
      <x:c r="A791" s="20" t="str">
        <x:v>M11-SHAYIN-0026-V1.0</x:v>
      </x:c>
      <x:c r="B791" s="20" t="str">
        <x:v>规则</x:v>
      </x:c>
      <x:c r="C791" s="20" t="str">
        <x:v>M11</x:v>
      </x:c>
      <x:c r="D791" s="20" t="str">
        <x:v>11_十神组合成立</x:v>
      </x:c>
      <x:c r="E791" s="20" t="str">
        <x:v>SHAYIN</x:v>
      </x:c>
      <x:c r="F791" s="20" t="n">
        <x:v>26</x:v>
      </x:c>
      <x:c r="G791" s="20" t="str">
        <x:v>V1.0</x:v>
      </x:c>
      <x:c r="H791" s="20" t="str">
        <x:v>比劫可增强印生身后的承载</x:v>
      </x:c>
      <x:c r="I791" s="20" t="str">
        <x:v>结构层</x:v>
      </x:c>
      <x:c r="J791" s="20" t="str">
        <x:v>杀印相生_印比增强</x:v>
      </x:c>
      <x:c r="K791" s="20" t="str">
        <x:v>杀印相生：当主体、客体、路径与力量匹配满足最低标准时，判“明显成立”；是否上升为格局转M14/M15。</x:v>
      </x:c>
      <x:c r="L791" s="20" t="str">
        <x:v>较高</x:v>
      </x:c>
      <x:c r="M791" s="20" t="str">
        <x:v>采用</x:v>
      </x:c>
      <x:c r="N791" s="20" t="str">
        <x:v>初审</x:v>
      </x:c>
      <x:c r="O791" s="22" t="n">
        <x:v>46255</x:v>
      </x:c>
      <x:c r="P791" s="20" t="str">
        <x:v>https://zh.wikisource.org/zh-hans/%E6%B7%B5%E6%B5%B7%E5%AD%90%E5%B9%B3 ; https://zh.wikisource.org/wiki/%E6%BB%B4%E5%A4%A9%E9%AB%93%E9%97%A1%E5%BE%AE</x:v>
      </x:c>
    </x:row>
    <x:row r="792">
      <x:c r="A792" s="20" t="str">
        <x:v>M11-SHAYIN-0027-V1.0</x:v>
      </x:c>
      <x:c r="B792" s="20" t="str">
        <x:v>规则</x:v>
      </x:c>
      <x:c r="C792" s="20" t="str">
        <x:v>M11</x:v>
      </x:c>
      <x:c r="D792" s="20" t="str">
        <x:v>11_十神组合成立</x:v>
      </x:c>
      <x:c r="E792" s="20" t="str">
        <x:v>SHAYIN</x:v>
      </x:c>
      <x:c r="F792" s="20" t="n">
        <x:v>27</x:v>
      </x:c>
      <x:c r="G792" s="20" t="str">
        <x:v>V1.0</x:v>
      </x:c>
      <x:c r="H792" s="20" t="str">
        <x:v>食神强制杀会与印化杀形成路线竞争</x:v>
      </x:c>
      <x:c r="I792" s="20" t="str">
        <x:v>结构层</x:v>
      </x:c>
      <x:c r="J792" s="20" t="str">
        <x:v>杀印相生_制化并见</x:v>
      </x:c>
      <x:c r="K792" s="20" t="str">
        <x:v>杀印相生：当主体、客体、路径与力量匹配满足最低标准时，判“基本成立”；是否上升为格局转M14/M15。</x:v>
      </x:c>
      <x:c r="L792" s="20" t="str">
        <x:v>较高</x:v>
      </x:c>
      <x:c r="M792" s="20" t="str">
        <x:v>采用</x:v>
      </x:c>
      <x:c r="N792" s="20" t="str">
        <x:v>初审</x:v>
      </x:c>
      <x:c r="O792" s="22" t="n">
        <x:v>46255</x:v>
      </x:c>
      <x:c r="P792" s="20" t="str">
        <x:v>https://zh.wikisource.org/zh-hans/%E6%B7%B5%E6%B5%B7%E5%AD%90%E5%B9%B3 ; https://zh.wikisource.org/wiki/%E6%BB%B4%E5%A4%A9%E9%AB%93%E9%97%A1%E5%BE%AE</x:v>
      </x:c>
    </x:row>
    <x:row r="793">
      <x:c r="A793" s="20" t="str">
        <x:v>M11-SHAYIN-0028-V1.0</x:v>
      </x:c>
      <x:c r="B793" s="20" t="str">
        <x:v>规则</x:v>
      </x:c>
      <x:c r="C793" s="20" t="str">
        <x:v>M11</x:v>
      </x:c>
      <x:c r="D793" s="20" t="str">
        <x:v>11_十神组合成立</x:v>
      </x:c>
      <x:c r="E793" s="20" t="str">
        <x:v>SHAYIN</x:v>
      </x:c>
      <x:c r="F793" s="20" t="n">
        <x:v>28</x:v>
      </x:c>
      <x:c r="G793" s="20" t="str">
        <x:v>V1.0</x:v>
      </x:c>
      <x:c r="H793" s="20" t="str">
        <x:v>杀印链连续且比例协调可判明显成立</x:v>
      </x:c>
      <x:c r="I793" s="20" t="str">
        <x:v>结构层</x:v>
      </x:c>
      <x:c r="J793" s="20" t="str">
        <x:v>杀印相生_明显成立</x:v>
      </x:c>
      <x:c r="K793" s="20" t="str">
        <x:v>杀印相生：当主体、客体、路径与力量匹配满足最低标准时，判“明显成立”；是否上升为格局转M14/M15。</x:v>
      </x:c>
      <x:c r="L793" s="20" t="str">
        <x:v>较高</x:v>
      </x:c>
      <x:c r="M793" s="20" t="str">
        <x:v>采用</x:v>
      </x:c>
      <x:c r="N793" s="20" t="str">
        <x:v>初审</x:v>
      </x:c>
      <x:c r="O793" s="22" t="n">
        <x:v>46255</x:v>
      </x:c>
      <x:c r="P793" s="20" t="str">
        <x:v>https://zh.wikisource.org/zh-hans/%E6%B7%B5%E6%B5%B7%E5%AD%90%E5%B9%B3 ; https://zh.wikisource.org/wiki/%E6%BB%B4%E5%A4%A9%E9%AB%93%E9%97%A1%E5%BE%AE</x:v>
      </x:c>
    </x:row>
    <x:row r="794">
      <x:c r="A794" s="20" t="str">
        <x:v>M11-GUANYIN-0029-V1.0</x:v>
      </x:c>
      <x:c r="B794" s="20" t="str">
        <x:v>规则</x:v>
      </x:c>
      <x:c r="C794" s="20" t="str">
        <x:v>M11</x:v>
      </x:c>
      <x:c r="D794" s="20" t="str">
        <x:v>11_十神组合成立</x:v>
      </x:c>
      <x:c r="E794" s="20" t="str">
        <x:v>GUANYIN</x:v>
      </x:c>
      <x:c r="F794" s="20" t="n">
        <x:v>29</x:v>
      </x:c>
      <x:c r="G794" s="20" t="str">
        <x:v>V1.0</x:v>
      </x:c>
      <x:c r="H794" s="20" t="str">
        <x:v>正官应真实有效并能够生印</x:v>
      </x:c>
      <x:c r="I794" s="20" t="str">
        <x:v>结构层</x:v>
      </x:c>
      <x:c r="J794" s="20" t="str">
        <x:v>官印相生_成立条件</x:v>
      </x:c>
      <x:c r="K794" s="20" t="str">
        <x:v>官印相生：当主体、客体、路径与力量匹配满足最低标准时，判“基本成立”；是否上升为格局转M14/M15。</x:v>
      </x:c>
      <x:c r="L794" s="20" t="str">
        <x:v>较高</x:v>
      </x:c>
      <x:c r="M794" s="20" t="str">
        <x:v>采用</x:v>
      </x:c>
      <x:c r="N794" s="20" t="str">
        <x:v>初审</x:v>
      </x:c>
      <x:c r="O794" s="22" t="n">
        <x:v>46255</x:v>
      </x:c>
      <x:c r="P794" s="20" t="str">
        <x:v>https://zh.wikisource.org/zh-hans/%E6%B7%B5%E6%B5%B7%E5%AD%90%E5%B9%B3 ; https://zh.wikisource.org/wiki/%E6%BB%B4%E5%A4%A9%E9%AB%93%E9%97%A1%E5%BE%AE</x:v>
      </x:c>
    </x:row>
    <x:row r="795">
      <x:c r="A795" s="20" t="str">
        <x:v>M11-GUANYIN-0030-V1.0</x:v>
      </x:c>
      <x:c r="B795" s="20" t="str">
        <x:v>规则</x:v>
      </x:c>
      <x:c r="C795" s="20" t="str">
        <x:v>M11</x:v>
      </x:c>
      <x:c r="D795" s="20" t="str">
        <x:v>11_十神组合成立</x:v>
      </x:c>
      <x:c r="E795" s="20" t="str">
        <x:v>GUANYIN</x:v>
      </x:c>
      <x:c r="F795" s="20" t="n">
        <x:v>30</x:v>
      </x:c>
      <x:c r="G795" s="20" t="str">
        <x:v>V1.0</x:v>
      </x:c>
      <x:c r="H795" s="20" t="str">
        <x:v>印星必须继续生日主形成完整链</x:v>
      </x:c>
      <x:c r="I795" s="20" t="str">
        <x:v>结构层</x:v>
      </x:c>
      <x:c r="J795" s="20" t="str">
        <x:v>官印相生_完整链</x:v>
      </x:c>
      <x:c r="K795" s="20" t="str">
        <x:v>官印相生：当主体、客体、路径与力量匹配满足最低标准时，判“基本成立”；是否上升为格局转M14/M15。</x:v>
      </x:c>
      <x:c r="L795" s="20" t="str">
        <x:v>较高</x:v>
      </x:c>
      <x:c r="M795" s="20" t="str">
        <x:v>采用</x:v>
      </x:c>
      <x:c r="N795" s="20" t="str">
        <x:v>初审</x:v>
      </x:c>
      <x:c r="O795" s="22" t="n">
        <x:v>46255</x:v>
      </x:c>
      <x:c r="P795" s="20" t="str">
        <x:v>https://zh.wikisource.org/zh-hans/%E6%B7%B5%E6%B5%B7%E5%AD%90%E5%B9%B3 ; https://zh.wikisource.org/wiki/%E6%BB%B4%E5%A4%A9%E9%AB%93%E9%97%A1%E5%BE%AE</x:v>
      </x:c>
    </x:row>
    <x:row r="796">
      <x:c r="A796" s="20" t="str">
        <x:v>M11-GUANYIN-0031-V1.0</x:v>
      </x:c>
      <x:c r="B796" s="20" t="str">
        <x:v>规则</x:v>
      </x:c>
      <x:c r="C796" s="20" t="str">
        <x:v>M11</x:v>
      </x:c>
      <x:c r="D796" s="20" t="str">
        <x:v>11_十神组合成立</x:v>
      </x:c>
      <x:c r="E796" s="20" t="str">
        <x:v>GUANYIN</x:v>
      </x:c>
      <x:c r="F796" s="20" t="n">
        <x:v>31</x:v>
      </x:c>
      <x:c r="G796" s="20" t="str">
        <x:v>V1.0</x:v>
      </x:c>
      <x:c r="H796" s="20" t="str">
        <x:v>官弱无根时相生功能有限</x:v>
      </x:c>
      <x:c r="I796" s="20" t="str">
        <x:v>结构层</x:v>
      </x:c>
      <x:c r="J796" s="20" t="str">
        <x:v>官印相生_官弱</x:v>
      </x:c>
      <x:c r="K796" s="20" t="str">
        <x:v>官印相生：当主体、客体、路径与力量匹配满足最低标准时，判“弱成立”；是否上升为格局转M14/M15。</x:v>
      </x:c>
      <x:c r="L796" s="20" t="str">
        <x:v>较高</x:v>
      </x:c>
      <x:c r="M796" s="20" t="str">
        <x:v>采用</x:v>
      </x:c>
      <x:c r="N796" s="20" t="str">
        <x:v>初审</x:v>
      </x:c>
      <x:c r="O796" s="22" t="n">
        <x:v>46255</x:v>
      </x:c>
      <x:c r="P796" s="20" t="str">
        <x:v>https://zh.wikisource.org/zh-hans/%E6%B7%B5%E6%B5%B7%E5%AD%90%E5%B9%B3 ; https://zh.wikisource.org/wiki/%E6%BB%B4%E5%A4%A9%E9%AB%93%E9%97%A1%E5%BE%AE</x:v>
      </x:c>
    </x:row>
    <x:row r="797">
      <x:c r="A797" s="20" t="str">
        <x:v>M11-GUANYIN-0032-V1.0</x:v>
      </x:c>
      <x:c r="B797" s="20" t="str">
        <x:v>规则</x:v>
      </x:c>
      <x:c r="C797" s="20" t="str">
        <x:v>M11</x:v>
      </x:c>
      <x:c r="D797" s="20" t="str">
        <x:v>11_十神组合成立</x:v>
      </x:c>
      <x:c r="E797" s="20" t="str">
        <x:v>GUANYIN</x:v>
      </x:c>
      <x:c r="F797" s="20" t="n">
        <x:v>32</x:v>
      </x:c>
      <x:c r="G797" s="20" t="str">
        <x:v>V1.0</x:v>
      </x:c>
      <x:c r="H797" s="20" t="str">
        <x:v>印弱受损时官印链中断</x:v>
      </x:c>
      <x:c r="I797" s="20" t="str">
        <x:v>结构层</x:v>
      </x:c>
      <x:c r="J797" s="20" t="str">
        <x:v>官印相生_印弱</x:v>
      </x:c>
      <x:c r="K797" s="20" t="str">
        <x:v>官印相生：当主体、客体、路径与力量匹配满足最低标准时，判“不成立”；是否上升为格局转M14/M15。</x:v>
      </x:c>
      <x:c r="L797" s="20" t="str">
        <x:v>较高</x:v>
      </x:c>
      <x:c r="M797" s="20" t="str">
        <x:v>采用</x:v>
      </x:c>
      <x:c r="N797" s="20" t="str">
        <x:v>初审</x:v>
      </x:c>
      <x:c r="O797" s="22" t="n">
        <x:v>46255</x:v>
      </x:c>
      <x:c r="P797" s="20" t="str">
        <x:v>https://zh.wikisource.org/zh-hans/%E6%B7%B5%E6%B5%B7%E5%AD%90%E5%B9%B3 ; https://zh.wikisource.org/wiki/%E6%BB%B4%E5%A4%A9%E9%AB%93%E9%97%A1%E5%BE%AE</x:v>
      </x:c>
    </x:row>
    <x:row r="798">
      <x:c r="A798" s="20" t="str">
        <x:v>M11-GUANYIN-0033-V1.0</x:v>
      </x:c>
      <x:c r="B798" s="20" t="str">
        <x:v>规则</x:v>
      </x:c>
      <x:c r="C798" s="20" t="str">
        <x:v>M11</x:v>
      </x:c>
      <x:c r="D798" s="20" t="str">
        <x:v>11_十神组合成立</x:v>
      </x:c>
      <x:c r="E798" s="20" t="str">
        <x:v>GUANYIN</x:v>
      </x:c>
      <x:c r="F798" s="20" t="n">
        <x:v>33</x:v>
      </x:c>
      <x:c r="G798" s="20" t="str">
        <x:v>V1.0</x:v>
      </x:c>
      <x:c r="H798" s="20" t="str">
        <x:v>伤官克官会破坏官印源头</x:v>
      </x:c>
      <x:c r="I798" s="20" t="str">
        <x:v>结构层</x:v>
      </x:c>
      <x:c r="J798" s="20" t="str">
        <x:v>官印相生_伤官破官</x:v>
      </x:c>
      <x:c r="K798" s="20" t="str">
        <x:v>官印相生：当主体、客体、路径与力量匹配满足最低标准时，判“不成立”；是否上升为格局转M14/M15。</x:v>
      </x:c>
      <x:c r="L798" s="20" t="str">
        <x:v>较高</x:v>
      </x:c>
      <x:c r="M798" s="20" t="str">
        <x:v>采用</x:v>
      </x:c>
      <x:c r="N798" s="20" t="str">
        <x:v>初审</x:v>
      </x:c>
      <x:c r="O798" s="22" t="n">
        <x:v>46255</x:v>
      </x:c>
      <x:c r="P798" s="20" t="str">
        <x:v>https://zh.wikisource.org/zh-hans/%E6%B7%B5%E6%B5%B7%E5%AD%90%E5%B9%B3 ; https://zh.wikisource.org/wiki/%E6%BB%B4%E5%A4%A9%E9%AB%93%E9%97%A1%E5%BE%AE</x:v>
      </x:c>
    </x:row>
    <x:row r="799">
      <x:c r="A799" s="20" t="str">
        <x:v>M11-GUANYIN-0034-V1.0</x:v>
      </x:c>
      <x:c r="B799" s="20" t="str">
        <x:v>规则</x:v>
      </x:c>
      <x:c r="C799" s="20" t="str">
        <x:v>M11</x:v>
      </x:c>
      <x:c r="D799" s="20" t="str">
        <x:v>11_十神组合成立</x:v>
      </x:c>
      <x:c r="E799" s="20" t="str">
        <x:v>GUANYIN</x:v>
      </x:c>
      <x:c r="F799" s="20" t="n">
        <x:v>34</x:v>
      </x:c>
      <x:c r="G799" s="20" t="str">
        <x:v>V1.0</x:v>
      </x:c>
      <x:c r="H799" s="20" t="str">
        <x:v>财星既可生官又可能破印需比较净效应</x:v>
      </x:c>
      <x:c r="I799" s="20" t="str">
        <x:v>结构层</x:v>
      </x:c>
      <x:c r="J799" s="20" t="str">
        <x:v>官印相生_财星双效</x:v>
      </x:c>
      <x:c r="K799" s="20" t="str">
        <x:v>官印相生：当主体、客体、路径与力量匹配满足最低标准时，判“基本成立”；是否上升为格局转M14/M15。</x:v>
      </x:c>
      <x:c r="L799" s="20" t="str">
        <x:v>较高</x:v>
      </x:c>
      <x:c r="M799" s="20" t="str">
        <x:v>采用</x:v>
      </x:c>
      <x:c r="N799" s="20" t="str">
        <x:v>初审</x:v>
      </x:c>
      <x:c r="O799" s="22" t="n">
        <x:v>46255</x:v>
      </x:c>
      <x:c r="P799" s="20" t="str">
        <x:v>https://zh.wikisource.org/zh-hans/%E6%B7%B5%E6%B5%B7%E5%AD%90%E5%B9%B3 ; https://zh.wikisource.org/wiki/%E6%BB%B4%E5%A4%A9%E9%AB%93%E9%97%A1%E5%BE%AE</x:v>
      </x:c>
    </x:row>
    <x:row r="800">
      <x:c r="A800" s="20" t="str">
        <x:v>M11-GUANYIN-0035-V1.0</x:v>
      </x:c>
      <x:c r="B800" s="20" t="str">
        <x:v>规则</x:v>
      </x:c>
      <x:c r="C800" s="20" t="str">
        <x:v>M11</x:v>
      </x:c>
      <x:c r="D800" s="20" t="str">
        <x:v>11_十神组合成立</x:v>
      </x:c>
      <x:c r="E800" s="20" t="str">
        <x:v>GUANYIN</x:v>
      </x:c>
      <x:c r="F800" s="20" t="n">
        <x:v>35</x:v>
      </x:c>
      <x:c r="G800" s="20" t="str">
        <x:v>V1.0</x:v>
      </x:c>
      <x:c r="H800" s="20" t="str">
        <x:v>官印清纯且链路稳定时组合增强</x:v>
      </x:c>
      <x:c r="I800" s="20" t="str">
        <x:v>结构层</x:v>
      </x:c>
      <x:c r="J800" s="20" t="str">
        <x:v>官印相生_清纯增强</x:v>
      </x:c>
      <x:c r="K800" s="20" t="str">
        <x:v>官印相生：当主体、客体、路径与力量匹配满足最低标准时，判“明显成立”；是否上升为格局转M14/M15。</x:v>
      </x:c>
      <x:c r="L800" s="20" t="str">
        <x:v>较高</x:v>
      </x:c>
      <x:c r="M800" s="20" t="str">
        <x:v>采用</x:v>
      </x:c>
      <x:c r="N800" s="20" t="str">
        <x:v>初审</x:v>
      </x:c>
      <x:c r="O800" s="22" t="n">
        <x:v>46255</x:v>
      </x:c>
      <x:c r="P800" s="20" t="str">
        <x:v>https://zh.wikisource.org/zh-hans/%E6%B7%B5%E6%B5%B7%E5%AD%90%E5%B9%B3 ; https://zh.wikisource.org/wiki/%E6%BB%B4%E5%A4%A9%E9%AB%93%E9%97%A1%E5%BE%AE</x:v>
      </x:c>
    </x:row>
    <x:row r="801">
      <x:c r="A801" s="20" t="str">
        <x:v>M11-GUANYIN-0036-V1.0</x:v>
      </x:c>
      <x:c r="B801" s="20" t="str">
        <x:v>规则</x:v>
      </x:c>
      <x:c r="C801" s="20" t="str">
        <x:v>M11</x:v>
      </x:c>
      <x:c r="D801" s="20" t="str">
        <x:v>11_十神组合成立</x:v>
      </x:c>
      <x:c r="E801" s="20" t="str">
        <x:v>GUANYIN</x:v>
      </x:c>
      <x:c r="F801" s="20" t="n">
        <x:v>36</x:v>
      </x:c>
      <x:c r="G801" s="20" t="str">
        <x:v>V1.0</x:v>
      </x:c>
      <x:c r="H801" s="20" t="str">
        <x:v>官印相生不等于正官格成立</x:v>
      </x:c>
      <x:c r="I801" s="20" t="str">
        <x:v>结构层</x:v>
      </x:c>
      <x:c r="J801" s="20" t="str">
        <x:v>官印相生_格局边界</x:v>
      </x:c>
      <x:c r="K801" s="20" t="str">
        <x:v>官印相生：当主体、客体、路径与力量匹配满足最低标准时，判“明显成立”；是否上升为格局转M14/M15。</x:v>
      </x:c>
      <x:c r="L801" s="20" t="str">
        <x:v>较高</x:v>
      </x:c>
      <x:c r="M801" s="20" t="str">
        <x:v>采用</x:v>
      </x:c>
      <x:c r="N801" s="20" t="str">
        <x:v>初审</x:v>
      </x:c>
      <x:c r="O801" s="22" t="n">
        <x:v>46255</x:v>
      </x:c>
      <x:c r="P801" s="20" t="str">
        <x:v>https://zh.wikisource.org/zh-hans/%E6%B7%B5%E6%B5%B7%E5%AD%90%E5%B9%B3 ; https://zh.wikisource.org/wiki/%E6%BB%B4%E5%A4%A9%E9%AB%93%E9%97%A1%E5%BE%AE</x:v>
      </x:c>
    </x:row>
    <x:row r="802">
      <x:c r="A802" s="20" t="str">
        <x:v>M11-SHANGYIN-0037-V1.0</x:v>
      </x:c>
      <x:c r="B802" s="20" t="str">
        <x:v>规则</x:v>
      </x:c>
      <x:c r="C802" s="20" t="str">
        <x:v>M11</x:v>
      </x:c>
      <x:c r="D802" s="20" t="str">
        <x:v>11_十神组合成立</x:v>
      </x:c>
      <x:c r="E802" s="20" t="str">
        <x:v>SHANGYIN</x:v>
      </x:c>
      <x:c r="F802" s="20" t="n">
        <x:v>37</x:v>
      </x:c>
      <x:c r="G802" s="20" t="str">
        <x:v>V1.0</x:v>
      </x:c>
      <x:c r="H802" s="20" t="str">
        <x:v>伤官必须真实有力且存在需要制化的输出</x:v>
      </x:c>
      <x:c r="I802" s="20" t="str">
        <x:v>结构层</x:v>
      </x:c>
      <x:c r="J802" s="20" t="str">
        <x:v>伤官配印_成立条件</x:v>
      </x:c>
      <x:c r="K802" s="20" t="str">
        <x:v>伤官配印：当主体、客体、路径与力量匹配满足最低标准时，判“基本成立”；是否上升为格局转M14/M15。</x:v>
      </x:c>
      <x:c r="L802" s="20" t="str">
        <x:v>较高</x:v>
      </x:c>
      <x:c r="M802" s="20" t="str">
        <x:v>采用</x:v>
      </x:c>
      <x:c r="N802" s="20" t="str">
        <x:v>初审</x:v>
      </x:c>
      <x:c r="O802" s="22" t="n">
        <x:v>46255</x:v>
      </x:c>
      <x:c r="P802" s="20" t="str">
        <x:v>https://zh.wikisource.org/zh-hans/%E6%B7%B5%E6%B5%B7%E5%AD%90%E5%B9%B3 ; https://zh.wikisource.org/wiki/%E6%BB%B4%E5%A4%A9%E9%AB%93%E9%97%A1%E5%BE%AE</x:v>
      </x:c>
    </x:row>
    <x:row r="803">
      <x:c r="A803" s="20" t="str">
        <x:v>M11-SHANGYIN-0038-V1.0</x:v>
      </x:c>
      <x:c r="B803" s="20" t="str">
        <x:v>规则</x:v>
      </x:c>
      <x:c r="C803" s="20" t="str">
        <x:v>M11</x:v>
      </x:c>
      <x:c r="D803" s="20" t="str">
        <x:v>11_十神组合成立</x:v>
      </x:c>
      <x:c r="E803" s="20" t="str">
        <x:v>SHANGYIN</x:v>
      </x:c>
      <x:c r="F803" s="20" t="n">
        <x:v>38</x:v>
      </x:c>
      <x:c r="G803" s="20" t="str">
        <x:v>V1.0</x:v>
      </x:c>
      <x:c r="H803" s="20" t="str">
        <x:v>印星必须有足够力量制约伤官</x:v>
      </x:c>
      <x:c r="I803" s="20" t="str">
        <x:v>结构层</x:v>
      </x:c>
      <x:c r="J803" s="20" t="str">
        <x:v>伤官配印_印有力</x:v>
      </x:c>
      <x:c r="K803" s="20" t="str">
        <x:v>伤官配印：当主体、客体、路径与力量匹配满足最低标准时，判“基本成立”；是否上升为格局转M14/M15。</x:v>
      </x:c>
      <x:c r="L803" s="20" t="str">
        <x:v>较高</x:v>
      </x:c>
      <x:c r="M803" s="20" t="str">
        <x:v>采用</x:v>
      </x:c>
      <x:c r="N803" s="20" t="str">
        <x:v>初审</x:v>
      </x:c>
      <x:c r="O803" s="22" t="n">
        <x:v>46255</x:v>
      </x:c>
      <x:c r="P803" s="20" t="str">
        <x:v>https://zh.wikisource.org/zh-hans/%E6%B7%B5%E6%B5%B7%E5%AD%90%E5%B9%B3 ; https://zh.wikisource.org/wiki/%E6%BB%B4%E5%A4%A9%E9%AB%93%E9%97%A1%E5%BE%AE</x:v>
      </x:c>
    </x:row>
    <x:row r="804">
      <x:c r="A804" s="20" t="str">
        <x:v>M11-SHANGYIN-0039-V1.0</x:v>
      </x:c>
      <x:c r="B804" s="20" t="str">
        <x:v>规则</x:v>
      </x:c>
      <x:c r="C804" s="20" t="str">
        <x:v>M11</x:v>
      </x:c>
      <x:c r="D804" s="20" t="str">
        <x:v>11_十神组合成立</x:v>
      </x:c>
      <x:c r="E804" s="20" t="str">
        <x:v>SHANGYIN</x:v>
      </x:c>
      <x:c r="F804" s="20" t="n">
        <x:v>39</x:v>
      </x:c>
      <x:c r="G804" s="20" t="str">
        <x:v>V1.0</x:v>
      </x:c>
      <x:c r="H804" s="20" t="str">
        <x:v>伤官太弱无须配印时组合降级</x:v>
      </x:c>
      <x:c r="I804" s="20" t="str">
        <x:v>结构层</x:v>
      </x:c>
      <x:c r="J804" s="20" t="str">
        <x:v>伤官配印_伤弱</x:v>
      </x:c>
      <x:c r="K804" s="20" t="str">
        <x:v>伤官配印：当主体、客体、路径与力量匹配满足最低标准时，判“不成立”；是否上升为格局转M14/M15。</x:v>
      </x:c>
      <x:c r="L804" s="20" t="str">
        <x:v>较高</x:v>
      </x:c>
      <x:c r="M804" s="20" t="str">
        <x:v>采用</x:v>
      </x:c>
      <x:c r="N804" s="20" t="str">
        <x:v>初审</x:v>
      </x:c>
      <x:c r="O804" s="22" t="n">
        <x:v>46255</x:v>
      </x:c>
      <x:c r="P804" s="20" t="str">
        <x:v>https://zh.wikisource.org/zh-hans/%E6%B7%B5%E6%B5%B7%E5%AD%90%E5%B9%B3 ; https://zh.wikisource.org/wiki/%E6%BB%B4%E5%A4%A9%E9%AB%93%E9%97%A1%E5%BE%AE</x:v>
      </x:c>
    </x:row>
    <x:row r="805">
      <x:c r="A805" s="20" t="str">
        <x:v>M11-SHANGYIN-0040-V1.0</x:v>
      </x:c>
      <x:c r="B805" s="20" t="str">
        <x:v>规则</x:v>
      </x:c>
      <x:c r="C805" s="20" t="str">
        <x:v>M11</x:v>
      </x:c>
      <x:c r="D805" s="20" t="str">
        <x:v>11_十神组合成立</x:v>
      </x:c>
      <x:c r="E805" s="20" t="str">
        <x:v>SHANGYIN</x:v>
      </x:c>
      <x:c r="F805" s="20" t="n">
        <x:v>40</x:v>
      </x:c>
      <x:c r="G805" s="20" t="str">
        <x:v>V1.0</x:v>
      </x:c>
      <x:c r="H805" s="20" t="str">
        <x:v>印过强将伤官完全压制时属于制化过度</x:v>
      </x:c>
      <x:c r="I805" s="20" t="str">
        <x:v>结构层</x:v>
      </x:c>
      <x:c r="J805" s="20" t="str">
        <x:v>伤官配印_印制太过</x:v>
      </x:c>
      <x:c r="K805" s="20" t="str">
        <x:v>伤官配印：当主体、客体、路径与力量匹配满足最低标准时，判“弱成立”；是否上升为格局转M14/M15。</x:v>
      </x:c>
      <x:c r="L805" s="20" t="str">
        <x:v>较高</x:v>
      </x:c>
      <x:c r="M805" s="20" t="str">
        <x:v>采用</x:v>
      </x:c>
      <x:c r="N805" s="20" t="str">
        <x:v>初审</x:v>
      </x:c>
      <x:c r="O805" s="22" t="n">
        <x:v>46255</x:v>
      </x:c>
      <x:c r="P805" s="20" t="str">
        <x:v>https://zh.wikisource.org/zh-hans/%E6%B7%B5%E6%B5%B7%E5%AD%90%E5%B9%B3 ; https://zh.wikisource.org/wiki/%E6%BB%B4%E5%A4%A9%E9%AB%93%E9%97%A1%E5%BE%AE</x:v>
      </x:c>
    </x:row>
    <x:row r="806">
      <x:c r="A806" s="20" t="str">
        <x:v>M11-SHANGYIN-0041-V1.0</x:v>
      </x:c>
      <x:c r="B806" s="20" t="str">
        <x:v>规则</x:v>
      </x:c>
      <x:c r="C806" s="20" t="str">
        <x:v>M11</x:v>
      </x:c>
      <x:c r="D806" s="20" t="str">
        <x:v>11_十神组合成立</x:v>
      </x:c>
      <x:c r="E806" s="20" t="str">
        <x:v>SHANGYIN</x:v>
      </x:c>
      <x:c r="F806" s="20" t="n">
        <x:v>41</x:v>
      </x:c>
      <x:c r="G806" s="20" t="str">
        <x:v>V1.0</x:v>
      </x:c>
      <x:c r="H806" s="20" t="str">
        <x:v>财星强制印会破坏配印</x:v>
      </x:c>
      <x:c r="I806" s="20" t="str">
        <x:v>结构层</x:v>
      </x:c>
      <x:c r="J806" s="20" t="str">
        <x:v>伤官配印_财坏印</x:v>
      </x:c>
      <x:c r="K806" s="20" t="str">
        <x:v>伤官配印：当主体、客体、路径与力量匹配满足最低标准时，判“不成立”；是否上升为格局转M14/M15。</x:v>
      </x:c>
      <x:c r="L806" s="20" t="str">
        <x:v>较高</x:v>
      </x:c>
      <x:c r="M806" s="20" t="str">
        <x:v>采用</x:v>
      </x:c>
      <x:c r="N806" s="20" t="str">
        <x:v>初审</x:v>
      </x:c>
      <x:c r="O806" s="22" t="n">
        <x:v>46255</x:v>
      </x:c>
      <x:c r="P806" s="20" t="str">
        <x:v>https://zh.wikisource.org/zh-hans/%E6%B7%B5%E6%B5%B7%E5%AD%90%E5%B9%B3 ; https://zh.wikisource.org/wiki/%E6%BB%B4%E5%A4%A9%E9%AB%93%E9%97%A1%E5%BE%AE</x:v>
      </x:c>
    </x:row>
    <x:row r="807">
      <x:c r="A807" s="20" t="str">
        <x:v>M11-SHANGYIN-0042-V1.0</x:v>
      </x:c>
      <x:c r="B807" s="20" t="str">
        <x:v>规则</x:v>
      </x:c>
      <x:c r="C807" s="20" t="str">
        <x:v>M11</x:v>
      </x:c>
      <x:c r="D807" s="20" t="str">
        <x:v>11_十神组合成立</x:v>
      </x:c>
      <x:c r="E807" s="20" t="str">
        <x:v>SHANGYIN</x:v>
      </x:c>
      <x:c r="F807" s="20" t="n">
        <x:v>42</x:v>
      </x:c>
      <x:c r="G807" s="20" t="str">
        <x:v>V1.0</x:v>
      </x:c>
      <x:c r="H807" s="20" t="str">
        <x:v>伤官已强克官时配印可作为救应</x:v>
      </x:c>
      <x:c r="I807" s="20" t="str">
        <x:v>结构层</x:v>
      </x:c>
      <x:c r="J807" s="20" t="str">
        <x:v>伤官配印_救官</x:v>
      </x:c>
      <x:c r="K807" s="20" t="str">
        <x:v>伤官配印：当主体、客体、路径与力量匹配满足最低标准时，判“基本成立”；是否上升为格局转M14/M15。</x:v>
      </x:c>
      <x:c r="L807" s="20" t="str">
        <x:v>较高</x:v>
      </x:c>
      <x:c r="M807" s="20" t="str">
        <x:v>采用</x:v>
      </x:c>
      <x:c r="N807" s="20" t="str">
        <x:v>初审</x:v>
      </x:c>
      <x:c r="O807" s="22" t="n">
        <x:v>46255</x:v>
      </x:c>
      <x:c r="P807" s="20" t="str">
        <x:v>https://zh.wikisource.org/zh-hans/%E6%B7%B5%E6%B5%B7%E5%AD%90%E5%B9%B3 ; https://zh.wikisource.org/wiki/%E6%BB%B4%E5%A4%A9%E9%AB%93%E9%97%A1%E5%BE%AE</x:v>
      </x:c>
    </x:row>
    <x:row r="808">
      <x:c r="A808" s="20" t="str">
        <x:v>M11-SHANGYIN-0043-V1.0</x:v>
      </x:c>
      <x:c r="B808" s="20" t="str">
        <x:v>规则</x:v>
      </x:c>
      <x:c r="C808" s="20" t="str">
        <x:v>M11</x:v>
      </x:c>
      <x:c r="D808" s="20" t="str">
        <x:v>11_十神组合成立</x:v>
      </x:c>
      <x:c r="E808" s="20" t="str">
        <x:v>SHANGYIN</x:v>
      </x:c>
      <x:c r="F808" s="20" t="n">
        <x:v>43</x:v>
      </x:c>
      <x:c r="G808" s="20" t="str">
        <x:v>V1.0</x:v>
      </x:c>
      <x:c r="H808" s="20" t="str">
        <x:v>身弱时印星兼具生身与制伤双重收益</x:v>
      </x:c>
      <x:c r="I808" s="20" t="str">
        <x:v>结构层</x:v>
      </x:c>
      <x:c r="J808" s="20" t="str">
        <x:v>伤官配印_身弱增强</x:v>
      </x:c>
      <x:c r="K808" s="20" t="str">
        <x:v>伤官配印：当主体、客体、路径与力量匹配满足最低标准时，判“明显成立”；是否上升为格局转M14/M15。</x:v>
      </x:c>
      <x:c r="L808" s="20" t="str">
        <x:v>较高</x:v>
      </x:c>
      <x:c r="M808" s="20" t="str">
        <x:v>采用</x:v>
      </x:c>
      <x:c r="N808" s="20" t="str">
        <x:v>初审</x:v>
      </x:c>
      <x:c r="O808" s="22" t="n">
        <x:v>46255</x:v>
      </x:c>
      <x:c r="P808" s="20" t="str">
        <x:v>https://zh.wikisource.org/zh-hans/%E6%B7%B5%E6%B5%B7%E5%AD%90%E5%B9%B3 ; https://zh.wikisource.org/wiki/%E6%BB%B4%E5%A4%A9%E9%AB%93%E9%97%A1%E5%BE%AE</x:v>
      </x:c>
    </x:row>
    <x:row r="809">
      <x:c r="A809" s="20" t="str">
        <x:v>M11-SHANGYIN-0044-V1.0</x:v>
      </x:c>
      <x:c r="B809" s="20" t="str">
        <x:v>规则</x:v>
      </x:c>
      <x:c r="C809" s="20" t="str">
        <x:v>M11</x:v>
      </x:c>
      <x:c r="D809" s="20" t="str">
        <x:v>11_十神组合成立</x:v>
      </x:c>
      <x:c r="E809" s="20" t="str">
        <x:v>SHANGYIN</x:v>
      </x:c>
      <x:c r="F809" s="20" t="n">
        <x:v>44</x:v>
      </x:c>
      <x:c r="G809" s="20" t="str">
        <x:v>V1.0</x:v>
      </x:c>
      <x:c r="H809" s="20" t="str">
        <x:v>身旺印旺再配印可能加重身势</x:v>
      </x:c>
      <x:c r="I809" s="20" t="str">
        <x:v>结构层</x:v>
      </x:c>
      <x:c r="J809" s="20" t="str">
        <x:v>伤官配印_身旺副作用</x:v>
      </x:c>
      <x:c r="K809" s="20" t="str">
        <x:v>伤官配印：当主体、客体、路径与力量匹配满足最低标准时，判“弱成立”；是否上升为格局转M14/M15。</x:v>
      </x:c>
      <x:c r="L809" s="20" t="str">
        <x:v>较高</x:v>
      </x:c>
      <x:c r="M809" s="20" t="str">
        <x:v>采用</x:v>
      </x:c>
      <x:c r="N809" s="20" t="str">
        <x:v>初审</x:v>
      </x:c>
      <x:c r="O809" s="22" t="n">
        <x:v>46255</x:v>
      </x:c>
      <x:c r="P809" s="20" t="str">
        <x:v>https://zh.wikisource.org/zh-hans/%E6%B7%B5%E6%B5%B7%E5%AD%90%E5%B9%B3 ; https://zh.wikisource.org/wiki/%E6%BB%B4%E5%A4%A9%E9%AB%93%E9%97%A1%E5%BE%AE</x:v>
      </x:c>
    </x:row>
    <x:row r="810">
      <x:c r="A810" s="20" t="str">
        <x:v>M11-SHANGYIN-0045-V1.0</x:v>
      </x:c>
      <x:c r="B810" s="20" t="str">
        <x:v>规则</x:v>
      </x:c>
      <x:c r="C810" s="20" t="str">
        <x:v>M11</x:v>
      </x:c>
      <x:c r="D810" s="20" t="str">
        <x:v>11_十神组合成立</x:v>
      </x:c>
      <x:c r="E810" s="20" t="str">
        <x:v>SHANGYIN</x:v>
      </x:c>
      <x:c r="F810" s="20" t="n">
        <x:v>45</x:v>
      </x:c>
      <x:c r="G810" s="20" t="str">
        <x:v>V1.0</x:v>
      </x:c>
      <x:c r="H810" s="20" t="str">
        <x:v>伤印力量协调且无财破印可判明显成立</x:v>
      </x:c>
      <x:c r="I810" s="20" t="str">
        <x:v>结构层</x:v>
      </x:c>
      <x:c r="J810" s="20" t="str">
        <x:v>伤官配印_明显成立</x:v>
      </x:c>
      <x:c r="K810" s="20" t="str">
        <x:v>伤官配印：当主体、客体、路径与力量匹配满足最低标准时，判“明显成立”；是否上升为格局转M14/M15。</x:v>
      </x:c>
      <x:c r="L810" s="20" t="str">
        <x:v>较高</x:v>
      </x:c>
      <x:c r="M810" s="20" t="str">
        <x:v>采用</x:v>
      </x:c>
      <x:c r="N810" s="20" t="str">
        <x:v>初审</x:v>
      </x:c>
      <x:c r="O810" s="22" t="n">
        <x:v>46255</x:v>
      </x:c>
      <x:c r="P810" s="20" t="str">
        <x:v>https://zh.wikisource.org/zh-hans/%E6%B7%B5%E6%B5%B7%E5%AD%90%E5%B9%B3 ; https://zh.wikisource.org/wiki/%E6%BB%B4%E5%A4%A9%E9%AB%93%E9%97%A1%E5%BE%AE</x:v>
      </x:c>
    </x:row>
    <x:row r="811">
      <x:c r="A811" s="20" t="str">
        <x:v>M11-SHANGYIN-0046-V1.0</x:v>
      </x:c>
      <x:c r="B811" s="20" t="str">
        <x:v>规则</x:v>
      </x:c>
      <x:c r="C811" s="20" t="str">
        <x:v>M11</x:v>
      </x:c>
      <x:c r="D811" s="20" t="str">
        <x:v>11_十神组合成立</x:v>
      </x:c>
      <x:c r="E811" s="20" t="str">
        <x:v>SHANGYIN</x:v>
      </x:c>
      <x:c r="F811" s="20" t="n">
        <x:v>46</x:v>
      </x:c>
      <x:c r="G811" s="20" t="str">
        <x:v>V1.0</x:v>
      </x:c>
      <x:c r="H811" s="20" t="str">
        <x:v>伤官配印与枭神夺食必须区分对象</x:v>
      </x:c>
      <x:c r="I811" s="20" t="str">
        <x:v>结构层</x:v>
      </x:c>
      <x:c r="J811" s="20" t="str">
        <x:v>伤官配印_对象边界</x:v>
      </x:c>
      <x:c r="K811" s="20" t="str">
        <x:v>伤官配印：当主体、客体、路径与力量匹配满足最低标准时，判“待定”；是否上升为格局转M14/M15。</x:v>
      </x:c>
      <x:c r="L811" s="20" t="str">
        <x:v>较高</x:v>
      </x:c>
      <x:c r="M811" s="20" t="str">
        <x:v>采用</x:v>
      </x:c>
      <x:c r="N811" s="20" t="str">
        <x:v>初审</x:v>
      </x:c>
      <x:c r="O811" s="22" t="n">
        <x:v>46255</x:v>
      </x:c>
      <x:c r="P811" s="20" t="str">
        <x:v>https://zh.wikisource.org/zh-hans/%E6%B7%B5%E6%B5%B7%E5%AD%90%E5%B9%B3 ; https://zh.wikisource.org/wiki/%E6%BB%B4%E5%A4%A9%E9%AB%93%E9%97%A1%E5%BE%AE</x:v>
      </x:c>
    </x:row>
    <x:row r="812">
      <x:c r="A812" s="20" t="str">
        <x:v>M11-SHENGCAI-0047-V1.0</x:v>
      </x:c>
      <x:c r="B812" s="20" t="str">
        <x:v>规则</x:v>
      </x:c>
      <x:c r="C812" s="20" t="str">
        <x:v>M11</x:v>
      </x:c>
      <x:c r="D812" s="20" t="str">
        <x:v>11_十神组合成立</x:v>
      </x:c>
      <x:c r="E812" s="20" t="str">
        <x:v>SHENGCAI</x:v>
      </x:c>
      <x:c r="F812" s="20" t="n">
        <x:v>47</x:v>
      </x:c>
      <x:c r="G812" s="20" t="str">
        <x:v>V1.0</x:v>
      </x:c>
      <x:c r="H812" s="20" t="str">
        <x:v>食神必须有效且能够向财星输送</x:v>
      </x:c>
      <x:c r="I812" s="20" t="str">
        <x:v>结构层</x:v>
      </x:c>
      <x:c r="J812" s="20" t="str">
        <x:v>食神生财_成立条件</x:v>
      </x:c>
      <x:c r="K812" s="20" t="str">
        <x:v>食神生财：当主体、客体、路径与力量匹配满足最低标准时，判“基本成立”；是否上升为格局转M14/M15。</x:v>
      </x:c>
      <x:c r="L812" s="20" t="str">
        <x:v>较高</x:v>
      </x:c>
      <x:c r="M812" s="20" t="str">
        <x:v>采用</x:v>
      </x:c>
      <x:c r="N812" s="20" t="str">
        <x:v>初审</x:v>
      </x:c>
      <x:c r="O812" s="22" t="n">
        <x:v>46255</x:v>
      </x:c>
      <x:c r="P812" s="20" t="str">
        <x:v>https://zh.wikisource.org/zh-hans/%E6%B7%B5%E6%B5%B7%E5%AD%90%E5%B9%B3 ; https://zh.wikisource.org/wiki/%E6%BB%B4%E5%A4%A9%E9%AB%93%E9%97%A1%E5%BE%AE</x:v>
      </x:c>
    </x:row>
    <x:row r="813">
      <x:c r="A813" s="20" t="str">
        <x:v>M11-SHENGCAI-0048-V1.0</x:v>
      </x:c>
      <x:c r="B813" s="20" t="str">
        <x:v>规则</x:v>
      </x:c>
      <x:c r="C813" s="20" t="str">
        <x:v>M11</x:v>
      </x:c>
      <x:c r="D813" s="20" t="str">
        <x:v>11_十神组合成立</x:v>
      </x:c>
      <x:c r="E813" s="20" t="str">
        <x:v>SHENGCAI</x:v>
      </x:c>
      <x:c r="F813" s="20" t="n">
        <x:v>48</x:v>
      </x:c>
      <x:c r="G813" s="20" t="str">
        <x:v>V1.0</x:v>
      </x:c>
      <x:c r="H813" s="20" t="str">
        <x:v>伤官必须有效且财星能够承接</x:v>
      </x:c>
      <x:c r="I813" s="20" t="str">
        <x:v>结构层</x:v>
      </x:c>
      <x:c r="J813" s="20" t="str">
        <x:v>伤官生财_成立条件</x:v>
      </x:c>
      <x:c r="K813" s="20" t="str">
        <x:v>伤官生财：当主体、客体、路径与力量匹配满足最低标准时，判“基本成立”；是否上升为格局转M14/M15。</x:v>
      </x:c>
      <x:c r="L813" s="20" t="str">
        <x:v>较高</x:v>
      </x:c>
      <x:c r="M813" s="20" t="str">
        <x:v>采用</x:v>
      </x:c>
      <x:c r="N813" s="20" t="str">
        <x:v>初审</x:v>
      </x:c>
      <x:c r="O813" s="22" t="n">
        <x:v>46255</x:v>
      </x:c>
      <x:c r="P813" s="20" t="str">
        <x:v>https://zh.wikisource.org/zh-hans/%E6%B7%B5%E6%B5%B7%E5%AD%90%E5%B9%B3 ; https://zh.wikisource.org/wiki/%E6%BB%B4%E5%A4%A9%E9%AB%93%E9%97%A1%E5%BE%AE</x:v>
      </x:c>
    </x:row>
    <x:row r="814">
      <x:c r="A814" s="20" t="str">
        <x:v>M11-SHENGCAI-0049-V1.0</x:v>
      </x:c>
      <x:c r="B814" s="20" t="str">
        <x:v>规则</x:v>
      </x:c>
      <x:c r="C814" s="20" t="str">
        <x:v>M11</x:v>
      </x:c>
      <x:c r="D814" s="20" t="str">
        <x:v>11_十神组合成立</x:v>
      </x:c>
      <x:c r="E814" s="20" t="str">
        <x:v>SHENGCAI</x:v>
      </x:c>
      <x:c r="F814" s="20" t="n">
        <x:v>49</x:v>
      </x:c>
      <x:c r="G814" s="20" t="str">
        <x:v>V1.0</x:v>
      </x:c>
      <x:c r="H814" s="20" t="str">
        <x:v>财星过弱不能充分承接食伤输出</x:v>
      </x:c>
      <x:c r="I814" s="20" t="str">
        <x:v>结构层</x:v>
      </x:c>
      <x:c r="J814" s="20" t="str">
        <x:v>食伤生财_财弱</x:v>
      </x:c>
      <x:c r="K814" s="20" t="str">
        <x:v>食伤生财：当主体、客体、路径与力量匹配满足最低标准时，判“弱成立”；是否上升为格局转M14/M15。</x:v>
      </x:c>
      <x:c r="L814" s="20" t="str">
        <x:v>较高</x:v>
      </x:c>
      <x:c r="M814" s="20" t="str">
        <x:v>采用</x:v>
      </x:c>
      <x:c r="N814" s="20" t="str">
        <x:v>初审</x:v>
      </x:c>
      <x:c r="O814" s="22" t="n">
        <x:v>46255</x:v>
      </x:c>
      <x:c r="P814" s="20" t="str">
        <x:v>https://zh.wikisource.org/zh-hans/%E6%B7%B5%E6%B5%B7%E5%AD%90%E5%B9%B3 ; https://zh.wikisource.org/wiki/%E6%BB%B4%E5%A4%A9%E9%AB%93%E9%97%A1%E5%BE%AE</x:v>
      </x:c>
    </x:row>
    <x:row r="815">
      <x:c r="A815" s="20" t="str">
        <x:v>M11-SHENGCAI-0050-V1.0</x:v>
      </x:c>
      <x:c r="B815" s="20" t="str">
        <x:v>规则</x:v>
      </x:c>
      <x:c r="C815" s="20" t="str">
        <x:v>M11</x:v>
      </x:c>
      <x:c r="D815" s="20" t="str">
        <x:v>11_十神组合成立</x:v>
      </x:c>
      <x:c r="E815" s="20" t="str">
        <x:v>SHENGCAI</x:v>
      </x:c>
      <x:c r="F815" s="20" t="n">
        <x:v>50</x:v>
      </x:c>
      <x:c r="G815" s="20" t="str">
        <x:v>V1.0</x:v>
      </x:c>
      <x:c r="H815" s="20" t="str">
        <x:v>食伤过弱时财星缺少稳定生源</x:v>
      </x:c>
      <x:c r="I815" s="20" t="str">
        <x:v>结构层</x:v>
      </x:c>
      <x:c r="J815" s="20" t="str">
        <x:v>食伤生财_食伤弱</x:v>
      </x:c>
      <x:c r="K815" s="20" t="str">
        <x:v>食伤生财：当主体、客体、路径与力量匹配满足最低标准时，判“弱成立”；是否上升为格局转M14/M15。</x:v>
      </x:c>
      <x:c r="L815" s="20" t="str">
        <x:v>较高</x:v>
      </x:c>
      <x:c r="M815" s="20" t="str">
        <x:v>采用</x:v>
      </x:c>
      <x:c r="N815" s="20" t="str">
        <x:v>初审</x:v>
      </x:c>
      <x:c r="O815" s="22" t="n">
        <x:v>46255</x:v>
      </x:c>
      <x:c r="P815" s="20" t="str">
        <x:v>https://zh.wikisource.org/zh-hans/%E6%B7%B5%E6%B5%B7%E5%AD%90%E5%B9%B3 ; https://zh.wikisource.org/wiki/%E6%BB%B4%E5%A4%A9%E9%AB%93%E9%97%A1%E5%BE%AE</x:v>
      </x:c>
    </x:row>
    <x:row r="816">
      <x:c r="A816" s="20" t="str">
        <x:v>M11-SHENGCAI-0051-V1.0</x:v>
      </x:c>
      <x:c r="B816" s="20" t="str">
        <x:v>规则</x:v>
      </x:c>
      <x:c r="C816" s="20" t="str">
        <x:v>M11</x:v>
      </x:c>
      <x:c r="D816" s="20" t="str">
        <x:v>11_十神组合成立</x:v>
      </x:c>
      <x:c r="E816" s="20" t="str">
        <x:v>SHENGCAI</x:v>
      </x:c>
      <x:c r="F816" s="20" t="n">
        <x:v>51</x:v>
      </x:c>
      <x:c r="G816" s="20" t="str">
        <x:v>V1.0</x:v>
      </x:c>
      <x:c r="H816" s="20" t="str">
        <x:v>比劫强制财会破坏生财终点</x:v>
      </x:c>
      <x:c r="I816" s="20" t="str">
        <x:v>结构层</x:v>
      </x:c>
      <x:c r="J816" s="20" t="str">
        <x:v>食伤生财_比劫破财</x:v>
      </x:c>
      <x:c r="K816" s="20" t="str">
        <x:v>食伤生财：当主体、客体、路径与力量匹配满足最低标准时，判“弱成立”；是否上升为格局转M14/M15。</x:v>
      </x:c>
      <x:c r="L816" s="20" t="str">
        <x:v>较高</x:v>
      </x:c>
      <x:c r="M816" s="20" t="str">
        <x:v>采用</x:v>
      </x:c>
      <x:c r="N816" s="20" t="str">
        <x:v>初审</x:v>
      </x:c>
      <x:c r="O816" s="22" t="n">
        <x:v>46255</x:v>
      </x:c>
      <x:c r="P816" s="20" t="str">
        <x:v>https://zh.wikisource.org/zh-hans/%E6%B7%B5%E6%B5%B7%E5%AD%90%E5%B9%B3 ; https://zh.wikisource.org/wiki/%E6%BB%B4%E5%A4%A9%E9%AB%93%E9%97%A1%E5%BE%AE</x:v>
      </x:c>
    </x:row>
    <x:row r="817">
      <x:c r="A817" s="20" t="str">
        <x:v>M11-SHENGCAI-0052-V1.0</x:v>
      </x:c>
      <x:c r="B817" s="20" t="str">
        <x:v>规则</x:v>
      </x:c>
      <x:c r="C817" s="20" t="str">
        <x:v>M11</x:v>
      </x:c>
      <x:c r="D817" s="20" t="str">
        <x:v>11_十神组合成立</x:v>
      </x:c>
      <x:c r="E817" s="20" t="str">
        <x:v>SHENGCAI</x:v>
      </x:c>
      <x:c r="F817" s="20" t="n">
        <x:v>52</x:v>
      </x:c>
      <x:c r="G817" s="20" t="str">
        <x:v>V1.0</x:v>
      </x:c>
      <x:c r="H817" s="20" t="str">
        <x:v>印星强制食伤会切断生财源头</x:v>
      </x:c>
      <x:c r="I817" s="20" t="str">
        <x:v>结构层</x:v>
      </x:c>
      <x:c r="J817" s="20" t="str">
        <x:v>食伤生财_印制食伤</x:v>
      </x:c>
      <x:c r="K817" s="20" t="str">
        <x:v>食伤生财：当主体、客体、路径与力量匹配满足最低标准时，判“不成立”；是否上升为格局转M14/M15。</x:v>
      </x:c>
      <x:c r="L817" s="20" t="str">
        <x:v>较高</x:v>
      </x:c>
      <x:c r="M817" s="20" t="str">
        <x:v>采用</x:v>
      </x:c>
      <x:c r="N817" s="20" t="str">
        <x:v>初审</x:v>
      </x:c>
      <x:c r="O817" s="22" t="n">
        <x:v>46255</x:v>
      </x:c>
      <x:c r="P817" s="20" t="str">
        <x:v>https://zh.wikisource.org/zh-hans/%E6%B7%B5%E6%B5%B7%E5%AD%90%E5%B9%B3 ; https://zh.wikisource.org/wiki/%E6%BB%B4%E5%A4%A9%E9%AB%93%E9%97%A1%E5%BE%AE</x:v>
      </x:c>
    </x:row>
    <x:row r="818">
      <x:c r="A818" s="20" t="str">
        <x:v>M11-SHENGCAI-0053-V1.0</x:v>
      </x:c>
      <x:c r="B818" s="20" t="str">
        <x:v>规则</x:v>
      </x:c>
      <x:c r="C818" s="20" t="str">
        <x:v>M11</x:v>
      </x:c>
      <x:c r="D818" s="20" t="str">
        <x:v>11_十神组合成立</x:v>
      </x:c>
      <x:c r="E818" s="20" t="str">
        <x:v>SHENGCAI</x:v>
      </x:c>
      <x:c r="F818" s="20" t="n">
        <x:v>53</x:v>
      </x:c>
      <x:c r="G818" s="20" t="str">
        <x:v>V1.0</x:v>
      </x:c>
      <x:c r="H818" s="20" t="str">
        <x:v>身弱时连续泄耗可能超过日主承载</x:v>
      </x:c>
      <x:c r="I818" s="20" t="str">
        <x:v>结构层</x:v>
      </x:c>
      <x:c r="J818" s="20" t="str">
        <x:v>食伤生财_身弱负荷</x:v>
      </x:c>
      <x:c r="K818" s="20" t="str">
        <x:v>食伤生财：当主体、客体、路径与力量匹配满足最低标准时，判“基本成立”；是否上升为格局转M14/M15。</x:v>
      </x:c>
      <x:c r="L818" s="20" t="str">
        <x:v>较高</x:v>
      </x:c>
      <x:c r="M818" s="20" t="str">
        <x:v>采用</x:v>
      </x:c>
      <x:c r="N818" s="20" t="str">
        <x:v>初审</x:v>
      </x:c>
      <x:c r="O818" s="22" t="n">
        <x:v>46255</x:v>
      </x:c>
      <x:c r="P818" s="20" t="str">
        <x:v>https://zh.wikisource.org/zh-hans/%E6%B7%B5%E6%B5%B7%E5%AD%90%E5%B9%B3 ; https://zh.wikisource.org/wiki/%E6%BB%B4%E5%A4%A9%E9%AB%93%E9%97%A1%E5%BE%AE</x:v>
      </x:c>
    </x:row>
    <x:row r="819">
      <x:c r="A819" s="20" t="str">
        <x:v>M11-SHENGCAI-0054-V1.0</x:v>
      </x:c>
      <x:c r="B819" s="20" t="str">
        <x:v>规则</x:v>
      </x:c>
      <x:c r="C819" s="20" t="str">
        <x:v>M11</x:v>
      </x:c>
      <x:c r="D819" s="20" t="str">
        <x:v>11_十神组合成立</x:v>
      </x:c>
      <x:c r="E819" s="20" t="str">
        <x:v>SHENGCAI</x:v>
      </x:c>
      <x:c r="F819" s="20" t="n">
        <x:v>54</x:v>
      </x:c>
      <x:c r="G819" s="20" t="str">
        <x:v>V1.0</x:v>
      </x:c>
      <x:c r="H819" s="20" t="str">
        <x:v>身旺有食伤生财时通道通常更可持续</x:v>
      </x:c>
      <x:c r="I819" s="20" t="str">
        <x:v>结构层</x:v>
      </x:c>
      <x:c r="J819" s="20" t="str">
        <x:v>食伤生财_身旺增强</x:v>
      </x:c>
      <x:c r="K819" s="20" t="str">
        <x:v>食伤生财：当主体、客体、路径与力量匹配满足最低标准时，判“明显成立”；是否上升为格局转M14/M15。</x:v>
      </x:c>
      <x:c r="L819" s="20" t="str">
        <x:v>较高</x:v>
      </x:c>
      <x:c r="M819" s="20" t="str">
        <x:v>采用</x:v>
      </x:c>
      <x:c r="N819" s="20" t="str">
        <x:v>初审</x:v>
      </x:c>
      <x:c r="O819" s="22" t="n">
        <x:v>46255</x:v>
      </x:c>
      <x:c r="P819" s="20" t="str">
        <x:v>https://zh.wikisource.org/zh-hans/%E6%B7%B5%E6%B5%B7%E5%AD%90%E5%B9%B3 ; https://zh.wikisource.org/wiki/%E6%BB%B4%E5%A4%A9%E9%AB%93%E9%97%A1%E5%BE%AE</x:v>
      </x:c>
    </x:row>
    <x:row r="820">
      <x:c r="A820" s="20" t="str">
        <x:v>M11-SHENGCAI-0055-V1.0</x:v>
      </x:c>
      <x:c r="B820" s="20" t="str">
        <x:v>规则</x:v>
      </x:c>
      <x:c r="C820" s="20" t="str">
        <x:v>M11</x:v>
      </x:c>
      <x:c r="D820" s="20" t="str">
        <x:v>11_十神组合成立</x:v>
      </x:c>
      <x:c r="E820" s="20" t="str">
        <x:v>SHENGCAI</x:v>
      </x:c>
      <x:c r="F820" s="20" t="n">
        <x:v>55</x:v>
      </x:c>
      <x:c r="G820" s="20" t="str">
        <x:v>V1.0</x:v>
      </x:c>
      <x:c r="H820" s="20" t="str">
        <x:v>食伤混杂时先判断主导输出者</x:v>
      </x:c>
      <x:c r="I820" s="20" t="str">
        <x:v>结构层</x:v>
      </x:c>
      <x:c r="J820" s="20" t="str">
        <x:v>食伤生财_食伤混杂</x:v>
      </x:c>
      <x:c r="K820" s="20" t="str">
        <x:v>食伤生财：当主体、客体、路径与力量匹配满足最低标准时，判“基本成立”；是否上升为格局转M14/M15。</x:v>
      </x:c>
      <x:c r="L820" s="20" t="str">
        <x:v>较高</x:v>
      </x:c>
      <x:c r="M820" s="20" t="str">
        <x:v>采用</x:v>
      </x:c>
      <x:c r="N820" s="20" t="str">
        <x:v>初审</x:v>
      </x:c>
      <x:c r="O820" s="22" t="n">
        <x:v>46255</x:v>
      </x:c>
      <x:c r="P820" s="20" t="str">
        <x:v>https://zh.wikisource.org/zh-hans/%E6%B7%B5%E6%B5%B7%E5%AD%90%E5%B9%B3 ; https://zh.wikisource.org/wiki/%E6%BB%B4%E5%A4%A9%E9%AB%93%E9%97%A1%E5%BE%AE</x:v>
      </x:c>
    </x:row>
    <x:row r="821">
      <x:c r="A821" s="20" t="str">
        <x:v>M11-SHENGCAI-0056-V1.0</x:v>
      </x:c>
      <x:c r="B821" s="20" t="str">
        <x:v>规则</x:v>
      </x:c>
      <x:c r="C821" s="20" t="str">
        <x:v>M11</x:v>
      </x:c>
      <x:c r="D821" s="20" t="str">
        <x:v>11_十神组合成立</x:v>
      </x:c>
      <x:c r="E821" s="20" t="str">
        <x:v>SHENGCAI</x:v>
      </x:c>
      <x:c r="F821" s="20" t="n">
        <x:v>56</x:v>
      </x:c>
      <x:c r="G821" s="20" t="str">
        <x:v>V1.0</x:v>
      </x:c>
      <x:c r="H821" s="20" t="str">
        <x:v>链路稳定且供给承载匹配时可明显成立</x:v>
      </x:c>
      <x:c r="I821" s="20" t="str">
        <x:v>结构层</x:v>
      </x:c>
      <x:c r="J821" s="20" t="str">
        <x:v>食伤生财_明显成立</x:v>
      </x:c>
      <x:c r="K821" s="20" t="str">
        <x:v>食伤生财：当主体、客体、路径与力量匹配满足最低标准时，判“明显成立”；是否上升为格局转M14/M15。</x:v>
      </x:c>
      <x:c r="L821" s="20" t="str">
        <x:v>较高</x:v>
      </x:c>
      <x:c r="M821" s="20" t="str">
        <x:v>采用</x:v>
      </x:c>
      <x:c r="N821" s="20" t="str">
        <x:v>初审</x:v>
      </x:c>
      <x:c r="O821" s="22" t="n">
        <x:v>46255</x:v>
      </x:c>
      <x:c r="P821" s="20" t="str">
        <x:v>https://zh.wikisource.org/zh-hans/%E6%B7%B5%E6%B5%B7%E5%AD%90%E5%B9%B3 ; https://zh.wikisource.org/wiki/%E6%BB%B4%E5%A4%A9%E9%AB%93%E9%97%A1%E5%BE%AE</x:v>
      </x:c>
    </x:row>
    <x:row r="822">
      <x:c r="A822" s="20" t="str">
        <x:v>M11-CAIGUAN-0057-V1.0</x:v>
      </x:c>
      <x:c r="B822" s="20" t="str">
        <x:v>规则</x:v>
      </x:c>
      <x:c r="C822" s="20" t="str">
        <x:v>M11</x:v>
      </x:c>
      <x:c r="D822" s="20" t="str">
        <x:v>11_十神组合成立</x:v>
      </x:c>
      <x:c r="E822" s="20" t="str">
        <x:v>CAIGUAN</x:v>
      </x:c>
      <x:c r="F822" s="20" t="n">
        <x:v>57</x:v>
      </x:c>
      <x:c r="G822" s="20" t="str">
        <x:v>V1.0</x:v>
      </x:c>
      <x:c r="H822" s="20" t="str">
        <x:v>财星必须有效且能生正官</x:v>
      </x:c>
      <x:c r="I822" s="20" t="str">
        <x:v>结构层</x:v>
      </x:c>
      <x:c r="J822" s="20" t="str">
        <x:v>财生官_成立条件</x:v>
      </x:c>
      <x:c r="K822" s="20" t="str">
        <x:v>财生官：当主体、客体、路径与力量匹配满足最低标准时，判“基本成立”；是否上升为格局转M14/M15。</x:v>
      </x:c>
      <x:c r="L822" s="20" t="str">
        <x:v>较高</x:v>
      </x:c>
      <x:c r="M822" s="20" t="str">
        <x:v>采用</x:v>
      </x:c>
      <x:c r="N822" s="20" t="str">
        <x:v>初审</x:v>
      </x:c>
      <x:c r="O822" s="22" t="n">
        <x:v>46255</x:v>
      </x:c>
      <x:c r="P822" s="20" t="str">
        <x:v>https://zh.wikisource.org/zh-hans/%E6%B7%B5%E6%B5%B7%E5%AD%90%E5%B9%B3 ; https://zh.wikisource.org/wiki/%E6%BB%B4%E5%A4%A9%E9%AB%93%E9%97%A1%E5%BE%AE</x:v>
      </x:c>
    </x:row>
    <x:row r="823">
      <x:c r="A823" s="20" t="str">
        <x:v>M11-CAIGUAN-0058-V1.0</x:v>
      </x:c>
      <x:c r="B823" s="20" t="str">
        <x:v>规则</x:v>
      </x:c>
      <x:c r="C823" s="20" t="str">
        <x:v>M11</x:v>
      </x:c>
      <x:c r="D823" s="20" t="str">
        <x:v>11_十神组合成立</x:v>
      </x:c>
      <x:c r="E823" s="20" t="str">
        <x:v>CAIGUAN</x:v>
      </x:c>
      <x:c r="F823" s="20" t="n">
        <x:v>58</x:v>
      </x:c>
      <x:c r="G823" s="20" t="str">
        <x:v>V1.0</x:v>
      </x:c>
      <x:c r="H823" s="20" t="str">
        <x:v>财星有效生七杀时形成生杀链</x:v>
      </x:c>
      <x:c r="I823" s="20" t="str">
        <x:v>结构层</x:v>
      </x:c>
      <x:c r="J823" s="20" t="str">
        <x:v>财生杀_成立条件</x:v>
      </x:c>
      <x:c r="K823" s="20" t="str">
        <x:v>财生杀：当主体、客体、路径与力量匹配满足最低标准时，判“基本成立”；是否上升为格局转M14/M15。</x:v>
      </x:c>
      <x:c r="L823" s="20" t="str">
        <x:v>较高</x:v>
      </x:c>
      <x:c r="M823" s="20" t="str">
        <x:v>采用</x:v>
      </x:c>
      <x:c r="N823" s="20" t="str">
        <x:v>初审</x:v>
      </x:c>
      <x:c r="O823" s="22" t="n">
        <x:v>46255</x:v>
      </x:c>
      <x:c r="P823" s="20" t="str">
        <x:v>https://zh.wikisource.org/zh-hans/%E6%B7%B5%E6%B5%B7%E5%AD%90%E5%B9%B3 ; https://zh.wikisource.org/wiki/%E6%BB%B4%E5%A4%A9%E9%AB%93%E9%97%A1%E5%BE%AE</x:v>
      </x:c>
    </x:row>
    <x:row r="824">
      <x:c r="A824" s="20" t="str">
        <x:v>M11-CAIGUAN-0059-V1.0</x:v>
      </x:c>
      <x:c r="B824" s="20" t="str">
        <x:v>规则</x:v>
      </x:c>
      <x:c r="C824" s="20" t="str">
        <x:v>M11</x:v>
      </x:c>
      <x:c r="D824" s="20" t="str">
        <x:v>11_十神组合成立</x:v>
      </x:c>
      <x:c r="E824" s="20" t="str">
        <x:v>CAIGUAN</x:v>
      </x:c>
      <x:c r="F824" s="20" t="n">
        <x:v>59</x:v>
      </x:c>
      <x:c r="G824" s="20" t="str">
        <x:v>V1.0</x:v>
      </x:c>
      <x:c r="H824" s="20" t="str">
        <x:v>财官印连续链必须三段有效</x:v>
      </x:c>
      <x:c r="I824" s="20" t="str">
        <x:v>结构层</x:v>
      </x:c>
      <x:c r="J824" s="20" t="str">
        <x:v>财官印相生_成立条件</x:v>
      </x:c>
      <x:c r="K824" s="20" t="str">
        <x:v>财官印相生：当主体、客体、路径与力量匹配满足最低标准时，判“明显成立”；是否上升为格局转M14/M15。</x:v>
      </x:c>
      <x:c r="L824" s="20" t="str">
        <x:v>较高</x:v>
      </x:c>
      <x:c r="M824" s="20" t="str">
        <x:v>采用</x:v>
      </x:c>
      <x:c r="N824" s="20" t="str">
        <x:v>初审</x:v>
      </x:c>
      <x:c r="O824" s="22" t="n">
        <x:v>46255</x:v>
      </x:c>
      <x:c r="P824" s="20" t="str">
        <x:v>https://zh.wikisource.org/zh-hans/%E6%B7%B5%E6%B5%B7%E5%AD%90%E5%B9%B3 ; https://zh.wikisource.org/wiki/%E6%BB%B4%E5%A4%A9%E9%AB%93%E9%97%A1%E5%BE%AE</x:v>
      </x:c>
    </x:row>
    <x:row r="825">
      <x:c r="A825" s="20" t="str">
        <x:v>M11-CAIGUAN-0060-V1.0</x:v>
      </x:c>
      <x:c r="B825" s="20" t="str">
        <x:v>规则</x:v>
      </x:c>
      <x:c r="C825" s="20" t="str">
        <x:v>M11</x:v>
      </x:c>
      <x:c r="D825" s="20" t="str">
        <x:v>11_十神组合成立</x:v>
      </x:c>
      <x:c r="E825" s="20" t="str">
        <x:v>CAIGUAN</x:v>
      </x:c>
      <x:c r="F825" s="20" t="n">
        <x:v>60</x:v>
      </x:c>
      <x:c r="G825" s="20" t="str">
        <x:v>V1.0</x:v>
      </x:c>
      <x:c r="H825" s="20" t="str">
        <x:v>官弱无根时财生官效果有限</x:v>
      </x:c>
      <x:c r="I825" s="20" t="str">
        <x:v>结构层</x:v>
      </x:c>
      <x:c r="J825" s="20" t="str">
        <x:v>财官相生_官弱</x:v>
      </x:c>
      <x:c r="K825" s="20" t="str">
        <x:v>财官相生：当主体、客体、路径与力量匹配满足最低标准时，判“弱成立”；是否上升为格局转M14/M15。</x:v>
      </x:c>
      <x:c r="L825" s="20" t="str">
        <x:v>较高</x:v>
      </x:c>
      <x:c r="M825" s="20" t="str">
        <x:v>采用</x:v>
      </x:c>
      <x:c r="N825" s="20" t="str">
        <x:v>初审</x:v>
      </x:c>
      <x:c r="O825" s="22" t="n">
        <x:v>46255</x:v>
      </x:c>
      <x:c r="P825" s="20" t="str">
        <x:v>https://zh.wikisource.org/zh-hans/%E6%B7%B5%E6%B5%B7%E5%AD%90%E5%B9%B3 ; https://zh.wikisource.org/wiki/%E6%BB%B4%E5%A4%A9%E9%AB%93%E9%97%A1%E5%BE%AE</x:v>
      </x:c>
    </x:row>
    <x:row r="826">
      <x:c r="A826" s="20" t="str">
        <x:v>M11-CAIGUAN-0061-V1.0</x:v>
      </x:c>
      <x:c r="B826" s="20" t="str">
        <x:v>规则</x:v>
      </x:c>
      <x:c r="C826" s="20" t="str">
        <x:v>M11</x:v>
      </x:c>
      <x:c r="D826" s="20" t="str">
        <x:v>11_十神组合成立</x:v>
      </x:c>
      <x:c r="E826" s="20" t="str">
        <x:v>CAIGUAN</x:v>
      </x:c>
      <x:c r="F826" s="20" t="n">
        <x:v>61</x:v>
      </x:c>
      <x:c r="G826" s="20" t="str">
        <x:v>V1.0</x:v>
      </x:c>
      <x:c r="H826" s="20" t="str">
        <x:v>身弱时财生杀可能加重双重负荷</x:v>
      </x:c>
      <x:c r="I826" s="20" t="str">
        <x:v>结构层</x:v>
      </x:c>
      <x:c r="J826" s="20" t="str">
        <x:v>财生杀_身弱压力</x:v>
      </x:c>
      <x:c r="K826" s="20" t="str">
        <x:v>财生杀：当主体、客体、路径与力量匹配满足最低标准时，判“基本成立”；是否上升为格局转M14/M15。</x:v>
      </x:c>
      <x:c r="L826" s="20" t="str">
        <x:v>较高</x:v>
      </x:c>
      <x:c r="M826" s="20" t="str">
        <x:v>采用</x:v>
      </x:c>
      <x:c r="N826" s="20" t="str">
        <x:v>初审</x:v>
      </x:c>
      <x:c r="O826" s="22" t="n">
        <x:v>46255</x:v>
      </x:c>
      <x:c r="P826" s="20" t="str">
        <x:v>https://zh.wikisource.org/zh-hans/%E6%B7%B5%E6%B5%B7%E5%AD%90%E5%B9%B3 ; https://zh.wikisource.org/wiki/%E6%BB%B4%E5%A4%A9%E9%AB%93%E9%97%A1%E5%BE%AE</x:v>
      </x:c>
    </x:row>
    <x:row r="827">
      <x:c r="A827" s="20" t="str">
        <x:v>M11-CAIGUAN-0062-V1.0</x:v>
      </x:c>
      <x:c r="B827" s="20" t="str">
        <x:v>规则</x:v>
      </x:c>
      <x:c r="C827" s="20" t="str">
        <x:v>M11</x:v>
      </x:c>
      <x:c r="D827" s="20" t="str">
        <x:v>11_十神组合成立</x:v>
      </x:c>
      <x:c r="E827" s="20" t="str">
        <x:v>CAIGUAN</x:v>
      </x:c>
      <x:c r="F827" s="20" t="n">
        <x:v>62</x:v>
      </x:c>
      <x:c r="G827" s="20" t="str">
        <x:v>V1.0</x:v>
      </x:c>
      <x:c r="H827" s="20" t="str">
        <x:v>财旺破印会破坏财官印连续链</x:v>
      </x:c>
      <x:c r="I827" s="20" t="str">
        <x:v>结构层</x:v>
      </x:c>
      <x:c r="J827" s="20" t="str">
        <x:v>财官印_财破印</x:v>
      </x:c>
      <x:c r="K827" s="20" t="str">
        <x:v>财官印相生：当主体、客体、路径与力量匹配满足最低标准时，判“弱成立”；是否上升为格局转M14/M15。</x:v>
      </x:c>
      <x:c r="L827" s="20" t="str">
        <x:v>较高</x:v>
      </x:c>
      <x:c r="M827" s="20" t="str">
        <x:v>采用</x:v>
      </x:c>
      <x:c r="N827" s="20" t="str">
        <x:v>初审</x:v>
      </x:c>
      <x:c r="O827" s="22" t="n">
        <x:v>46255</x:v>
      </x:c>
      <x:c r="P827" s="20" t="str">
        <x:v>https://zh.wikisource.org/zh-hans/%E6%B7%B5%E6%B5%B7%E5%AD%90%E5%B9%B3 ; https://zh.wikisource.org/wiki/%E6%BB%B4%E5%A4%A9%E9%AB%93%E9%97%A1%E5%BE%AE</x:v>
      </x:c>
    </x:row>
    <x:row r="828">
      <x:c r="A828" s="20" t="str">
        <x:v>M11-CAIGUAN-0063-V1.0</x:v>
      </x:c>
      <x:c r="B828" s="20" t="str">
        <x:v>规则</x:v>
      </x:c>
      <x:c r="C828" s="20" t="str">
        <x:v>M11</x:v>
      </x:c>
      <x:c r="D828" s="20" t="str">
        <x:v>11_十神组合成立</x:v>
      </x:c>
      <x:c r="E828" s="20" t="str">
        <x:v>CAIGUAN</x:v>
      </x:c>
      <x:c r="F828" s="20" t="n">
        <x:v>63</x:v>
      </x:c>
      <x:c r="G828" s="20" t="str">
        <x:v>V1.0</x:v>
      </x:c>
      <x:c r="H828" s="20" t="str">
        <x:v>身旺任财官时组合承载增强</x:v>
      </x:c>
      <x:c r="I828" s="20" t="str">
        <x:v>结构层</x:v>
      </x:c>
      <x:c r="J828" s="20" t="str">
        <x:v>财官相生_身旺承载</x:v>
      </x:c>
      <x:c r="K828" s="20" t="str">
        <x:v>财官相生：当主体、客体、路径与力量匹配满足最低标准时，判“明显成立”；是否上升为格局转M14/M15。</x:v>
      </x:c>
      <x:c r="L828" s="20" t="str">
        <x:v>较高</x:v>
      </x:c>
      <x:c r="M828" s="20" t="str">
        <x:v>采用</x:v>
      </x:c>
      <x:c r="N828" s="20" t="str">
        <x:v>初审</x:v>
      </x:c>
      <x:c r="O828" s="22" t="n">
        <x:v>46255</x:v>
      </x:c>
      <x:c r="P828" s="20" t="str">
        <x:v>https://zh.wikisource.org/zh-hans/%E6%B7%B5%E6%B5%B7%E5%AD%90%E5%B9%B3 ; https://zh.wikisource.org/wiki/%E6%BB%B4%E5%A4%A9%E9%AB%93%E9%97%A1%E5%BE%AE</x:v>
      </x:c>
    </x:row>
    <x:row r="829">
      <x:c r="A829" s="20" t="str">
        <x:v>M11-CAIGUAN-0064-V1.0</x:v>
      </x:c>
      <x:c r="B829" s="20" t="str">
        <x:v>规则</x:v>
      </x:c>
      <x:c r="C829" s="20" t="str">
        <x:v>M11</x:v>
      </x:c>
      <x:c r="D829" s="20" t="str">
        <x:v>11_十神组合成立</x:v>
      </x:c>
      <x:c r="E829" s="20" t="str">
        <x:v>CAIGUAN</x:v>
      </x:c>
      <x:c r="F829" s="20" t="n">
        <x:v>64</x:v>
      </x:c>
      <x:c r="G829" s="20" t="str">
        <x:v>V1.0</x:v>
      </x:c>
      <x:c r="H829" s="20" t="str">
        <x:v>财官相生只是组合，不直接等同富贵</x:v>
      </x:c>
      <x:c r="I829" s="20" t="str">
        <x:v>结构层</x:v>
      </x:c>
      <x:c r="J829" s="20" t="str">
        <x:v>财官相生_价值边界</x:v>
      </x:c>
      <x:c r="K829" s="20" t="str">
        <x:v>财官相生：当主体、客体、路径与力量匹配满足最低标准时，判“基本成立”；是否上升为格局转M14/M15。</x:v>
      </x:c>
      <x:c r="L829" s="20" t="str">
        <x:v>较高</x:v>
      </x:c>
      <x:c r="M829" s="20" t="str">
        <x:v>采用</x:v>
      </x:c>
      <x:c r="N829" s="20" t="str">
        <x:v>初审</x:v>
      </x:c>
      <x:c r="O829" s="22" t="n">
        <x:v>46255</x:v>
      </x:c>
      <x:c r="P829" s="20" t="str">
        <x:v>https://zh.wikisource.org/zh-hans/%E6%B7%B5%E6%B5%B7%E5%AD%90%E5%B9%B3 ; https://zh.wikisource.org/wiki/%E6%BB%B4%E5%A4%A9%E9%AB%93%E9%97%A1%E5%BE%AE</x:v>
      </x:c>
    </x:row>
    <x:row r="830">
      <x:c r="A830" s="20" t="str">
        <x:v>M11-BALANCE-0065-V1.0</x:v>
      </x:c>
      <x:c r="B830" s="20" t="str">
        <x:v>规则</x:v>
      </x:c>
      <x:c r="C830" s="20" t="str">
        <x:v>M11</x:v>
      </x:c>
      <x:c r="D830" s="20" t="str">
        <x:v>11_十神组合成立</x:v>
      </x:c>
      <x:c r="E830" s="20" t="str">
        <x:v>BALANCE</x:v>
      </x:c>
      <x:c r="F830" s="20" t="n">
        <x:v>65</x:v>
      </x:c>
      <x:c r="G830" s="20" t="str">
        <x:v>V1.0</x:v>
      </x:c>
      <x:c r="H830" s="20" t="str">
        <x:v>日主与财星有效力量大体匹配</x:v>
      </x:c>
      <x:c r="I830" s="20" t="str">
        <x:v>结构层</x:v>
      </x:c>
      <x:c r="J830" s="20" t="str">
        <x:v>身财两停_成立条件</x:v>
      </x:c>
      <x:c r="K830" s="20" t="str">
        <x:v>身财两停：当主体、客体、路径与力量匹配满足最低标准时，判“基本成立”；是否上升为格局转M14/M15。</x:v>
      </x:c>
      <x:c r="L830" s="20" t="str">
        <x:v>较高</x:v>
      </x:c>
      <x:c r="M830" s="20" t="str">
        <x:v>采用</x:v>
      </x:c>
      <x:c r="N830" s="20" t="str">
        <x:v>初审</x:v>
      </x:c>
      <x:c r="O830" s="22" t="n">
        <x:v>46255</x:v>
      </x:c>
      <x:c r="P830" s="20" t="str">
        <x:v>https://zh.wikisource.org/zh-hans/%E6%B7%B5%E6%B5%B7%E5%AD%90%E5%B9%B3 ; https://zh.wikisource.org/wiki/%E6%BB%B4%E5%A4%A9%E9%AB%93%E9%97%A1%E5%BE%AE</x:v>
      </x:c>
    </x:row>
    <x:row r="831">
      <x:c r="A831" s="20" t="str">
        <x:v>M11-BALANCE-0066-V1.0</x:v>
      </x:c>
      <x:c r="B831" s="20" t="str">
        <x:v>规则</x:v>
      </x:c>
      <x:c r="C831" s="20" t="str">
        <x:v>M11</x:v>
      </x:c>
      <x:c r="D831" s="20" t="str">
        <x:v>11_十神组合成立</x:v>
      </x:c>
      <x:c r="E831" s="20" t="str">
        <x:v>BALANCE</x:v>
      </x:c>
      <x:c r="F831" s="20" t="n">
        <x:v>66</x:v>
      </x:c>
      <x:c r="G831" s="20" t="str">
        <x:v>V1.0</x:v>
      </x:c>
      <x:c r="H831" s="20" t="str">
        <x:v>日主与正官制衡匹配</x:v>
      </x:c>
      <x:c r="I831" s="20" t="str">
        <x:v>结构层</x:v>
      </x:c>
      <x:c r="J831" s="20" t="str">
        <x:v>身官两停_成立条件</x:v>
      </x:c>
      <x:c r="K831" s="20" t="str">
        <x:v>身官两停：当主体、客体、路径与力量匹配满足最低标准时，判“基本成立”；是否上升为格局转M14/M15。</x:v>
      </x:c>
      <x:c r="L831" s="20" t="str">
        <x:v>较高</x:v>
      </x:c>
      <x:c r="M831" s="20" t="str">
        <x:v>采用</x:v>
      </x:c>
      <x:c r="N831" s="20" t="str">
        <x:v>初审</x:v>
      </x:c>
      <x:c r="O831" s="22" t="n">
        <x:v>46255</x:v>
      </x:c>
      <x:c r="P831" s="20" t="str">
        <x:v>https://zh.wikisource.org/zh-hans/%E6%B7%B5%E6%B5%B7%E5%AD%90%E5%B9%B3 ; https://zh.wikisource.org/wiki/%E6%BB%B4%E5%A4%A9%E9%AB%93%E9%97%A1%E5%BE%AE</x:v>
      </x:c>
    </x:row>
    <x:row r="832">
      <x:c r="A832" s="20" t="str">
        <x:v>M11-BALANCE-0067-V1.0</x:v>
      </x:c>
      <x:c r="B832" s="20" t="str">
        <x:v>规则</x:v>
      </x:c>
      <x:c r="C832" s="20" t="str">
        <x:v>M11</x:v>
      </x:c>
      <x:c r="D832" s="20" t="str">
        <x:v>11_十神组合成立</x:v>
      </x:c>
      <x:c r="E832" s="20" t="str">
        <x:v>BALANCE</x:v>
      </x:c>
      <x:c r="F832" s="20" t="n">
        <x:v>67</x:v>
      </x:c>
      <x:c r="G832" s="20" t="str">
        <x:v>V1.0</x:v>
      </x:c>
      <x:c r="H832" s="20" t="str">
        <x:v>日主与七杀压力匹配</x:v>
      </x:c>
      <x:c r="I832" s="20" t="str">
        <x:v>结构层</x:v>
      </x:c>
      <x:c r="J832" s="20" t="str">
        <x:v>身杀两停_成立条件</x:v>
      </x:c>
      <x:c r="K832" s="20" t="str">
        <x:v>身杀两停：当主体、客体、路径与力量匹配满足最低标准时，判“基本成立”；是否上升为格局转M14/M15。</x:v>
      </x:c>
      <x:c r="L832" s="20" t="str">
        <x:v>较高</x:v>
      </x:c>
      <x:c r="M832" s="20" t="str">
        <x:v>采用</x:v>
      </x:c>
      <x:c r="N832" s="20" t="str">
        <x:v>初审</x:v>
      </x:c>
      <x:c r="O832" s="22" t="n">
        <x:v>46255</x:v>
      </x:c>
      <x:c r="P832" s="20" t="str">
        <x:v>https://zh.wikisource.org/zh-hans/%E6%B7%B5%E6%B5%B7%E5%AD%90%E5%B9%B3 ; https://zh.wikisource.org/wiki/%E6%BB%B4%E5%A4%A9%E9%AB%93%E9%97%A1%E5%BE%AE</x:v>
      </x:c>
    </x:row>
    <x:row r="833">
      <x:c r="A833" s="20" t="str">
        <x:v>M11-BALANCE-0068-V1.0</x:v>
      </x:c>
      <x:c r="B833" s="20" t="str">
        <x:v>规则</x:v>
      </x:c>
      <x:c r="C833" s="20" t="str">
        <x:v>M11</x:v>
      </x:c>
      <x:c r="D833" s="20" t="str">
        <x:v>11_十神组合成立</x:v>
      </x:c>
      <x:c r="E833" s="20" t="str">
        <x:v>BALANCE</x:v>
      </x:c>
      <x:c r="F833" s="20" t="n">
        <x:v>68</x:v>
      </x:c>
      <x:c r="G833" s="20" t="str">
        <x:v>V1.0</x:v>
      </x:c>
      <x:c r="H833" s="20" t="str">
        <x:v>身旺是任财条件而非任财结论</x:v>
      </x:c>
      <x:c r="I833" s="20" t="str">
        <x:v>结构层</x:v>
      </x:c>
      <x:c r="J833" s="20" t="str">
        <x:v>身旺任财_成立</x:v>
      </x:c>
      <x:c r="K833" s="20" t="str">
        <x:v>身旺任财：当主体、客体、路径与力量匹配满足最低标准时，判“基本成立”；是否上升为格局转M14/M15。</x:v>
      </x:c>
      <x:c r="L833" s="20" t="str">
        <x:v>较高</x:v>
      </x:c>
      <x:c r="M833" s="20" t="str">
        <x:v>采用</x:v>
      </x:c>
      <x:c r="N833" s="20" t="str">
        <x:v>初审</x:v>
      </x:c>
      <x:c r="O833" s="22" t="n">
        <x:v>46255</x:v>
      </x:c>
      <x:c r="P833" s="20" t="str">
        <x:v>https://zh.wikisource.org/zh-hans/%E6%B7%B5%E6%B5%B7%E5%AD%90%E5%B9%B3 ; https://zh.wikisource.org/wiki/%E6%BB%B4%E5%A4%A9%E9%AB%93%E9%97%A1%E5%BE%AE</x:v>
      </x:c>
    </x:row>
    <x:row r="834">
      <x:c r="A834" s="20" t="str">
        <x:v>M11-BALANCE-0069-V1.0</x:v>
      </x:c>
      <x:c r="B834" s="20" t="str">
        <x:v>规则</x:v>
      </x:c>
      <x:c r="C834" s="20" t="str">
        <x:v>M11</x:v>
      </x:c>
      <x:c r="D834" s="20" t="str">
        <x:v>11_十神组合成立</x:v>
      </x:c>
      <x:c r="E834" s="20" t="str">
        <x:v>BALANCE</x:v>
      </x:c>
      <x:c r="F834" s="20" t="n">
        <x:v>69</x:v>
      </x:c>
      <x:c r="G834" s="20" t="str">
        <x:v>V1.0</x:v>
      </x:c>
      <x:c r="H834" s="20" t="str">
        <x:v>身旺可提高承官杀能力</x:v>
      </x:c>
      <x:c r="I834" s="20" t="str">
        <x:v>结构层</x:v>
      </x:c>
      <x:c r="J834" s="20" t="str">
        <x:v>身旺任官杀_成立</x:v>
      </x:c>
      <x:c r="K834" s="20" t="str">
        <x:v>身旺任官杀：当主体、客体、路径与力量匹配满足最低标准时，判“基本成立”；是否上升为格局转M14/M15。</x:v>
      </x:c>
      <x:c r="L834" s="20" t="str">
        <x:v>较高</x:v>
      </x:c>
      <x:c r="M834" s="20" t="str">
        <x:v>采用</x:v>
      </x:c>
      <x:c r="N834" s="20" t="str">
        <x:v>初审</x:v>
      </x:c>
      <x:c r="O834" s="22" t="n">
        <x:v>46255</x:v>
      </x:c>
      <x:c r="P834" s="20" t="str">
        <x:v>https://zh.wikisource.org/zh-hans/%E6%B7%B5%E6%B5%B7%E5%AD%90%E5%B9%B3 ; https://zh.wikisource.org/wiki/%E6%BB%B4%E5%A4%A9%E9%AB%93%E9%97%A1%E5%BE%AE</x:v>
      </x:c>
    </x:row>
    <x:row r="835">
      <x:c r="A835" s="20" t="str">
        <x:v>M11-BALANCE-0070-V1.0</x:v>
      </x:c>
      <x:c r="B835" s="20" t="str">
        <x:v>规则</x:v>
      </x:c>
      <x:c r="C835" s="20" t="str">
        <x:v>M11</x:v>
      </x:c>
      <x:c r="D835" s="20" t="str">
        <x:v>11_十神组合成立</x:v>
      </x:c>
      <x:c r="E835" s="20" t="str">
        <x:v>BALANCE</x:v>
      </x:c>
      <x:c r="F835" s="20" t="n">
        <x:v>70</x:v>
      </x:c>
      <x:c r="G835" s="20" t="str">
        <x:v>V1.0</x:v>
      </x:c>
      <x:c r="H835" s="20" t="str">
        <x:v>身弱需印比真实有效才能改善承载</x:v>
      </x:c>
      <x:c r="I835" s="20" t="str">
        <x:v>结构层</x:v>
      </x:c>
      <x:c r="J835" s="20" t="str">
        <x:v>身弱印比承载</x:v>
      </x:c>
      <x:c r="K835" s="20" t="str">
        <x:v>身弱得印比承载：当主体、客体、路径与力量匹配满足最低标准时，判“基本成立”；是否上升为格局转M14/M15。</x:v>
      </x:c>
      <x:c r="L835" s="20" t="str">
        <x:v>较高</x:v>
      </x:c>
      <x:c r="M835" s="20" t="str">
        <x:v>采用</x:v>
      </x:c>
      <x:c r="N835" s="20" t="str">
        <x:v>初审</x:v>
      </x:c>
      <x:c r="O835" s="22" t="n">
        <x:v>46255</x:v>
      </x:c>
      <x:c r="P835" s="20" t="str">
        <x:v>https://zh.wikisource.org/zh-hans/%E6%B7%B5%E6%B5%B7%E5%AD%90%E5%B9%B3 ; https://zh.wikisource.org/wiki/%E6%BB%B4%E5%A4%A9%E9%AB%93%E9%97%A1%E5%BE%AE</x:v>
      </x:c>
    </x:row>
    <x:row r="836">
      <x:c r="A836" s="20" t="str">
        <x:v>M11-BALANCE-0071-V1.0</x:v>
      </x:c>
      <x:c r="B836" s="20" t="str">
        <x:v>规则</x:v>
      </x:c>
      <x:c r="C836" s="20" t="str">
        <x:v>M11</x:v>
      </x:c>
      <x:c r="D836" s="20" t="str">
        <x:v>11_十神组合成立</x:v>
      </x:c>
      <x:c r="E836" s="20" t="str">
        <x:v>BALANCE</x:v>
      </x:c>
      <x:c r="F836" s="20" t="n">
        <x:v>71</x:v>
      </x:c>
      <x:c r="G836" s="20" t="str">
        <x:v>V1.0</x:v>
      </x:c>
      <x:c r="H836" s="20" t="str">
        <x:v>财过旺会破坏身财两停</x:v>
      </x:c>
      <x:c r="I836" s="20" t="str">
        <x:v>结构层</x:v>
      </x:c>
      <x:c r="J836" s="20" t="str">
        <x:v>身财两停_财过旺否决</x:v>
      </x:c>
      <x:c r="K836" s="20" t="str">
        <x:v>身财两停：当主体、客体、路径与力量匹配满足最低标准时，判“不成立”；是否上升为格局转M14/M15。</x:v>
      </x:c>
      <x:c r="L836" s="20" t="str">
        <x:v>较高</x:v>
      </x:c>
      <x:c r="M836" s="20" t="str">
        <x:v>采用</x:v>
      </x:c>
      <x:c r="N836" s="20" t="str">
        <x:v>初审</x:v>
      </x:c>
      <x:c r="O836" s="22" t="n">
        <x:v>46255</x:v>
      </x:c>
      <x:c r="P836" s="20" t="str">
        <x:v>https://zh.wikisource.org/zh-hans/%E6%B7%B5%E6%B5%B7%E5%AD%90%E5%B9%B3 ; https://zh.wikisource.org/wiki/%E6%BB%B4%E5%A4%A9%E9%AB%93%E9%97%A1%E5%BE%AE</x:v>
      </x:c>
    </x:row>
    <x:row r="837">
      <x:c r="A837" s="20" t="str">
        <x:v>M11-BALANCE-0072-V1.0</x:v>
      </x:c>
      <x:c r="B837" s="20" t="str">
        <x:v>规则</x:v>
      </x:c>
      <x:c r="C837" s="20" t="str">
        <x:v>M11</x:v>
      </x:c>
      <x:c r="D837" s="20" t="str">
        <x:v>11_十神组合成立</x:v>
      </x:c>
      <x:c r="E837" s="20" t="str">
        <x:v>BALANCE</x:v>
      </x:c>
      <x:c r="F837" s="20" t="n">
        <x:v>72</x:v>
      </x:c>
      <x:c r="G837" s="20" t="str">
        <x:v>V1.0</x:v>
      </x:c>
      <x:c r="H837" s="20" t="str">
        <x:v>官过旺且无印比救应时两停不成立</x:v>
      </x:c>
      <x:c r="I837" s="20" t="str">
        <x:v>结构层</x:v>
      </x:c>
      <x:c r="J837" s="20" t="str">
        <x:v>身官两停_官过旺否决</x:v>
      </x:c>
      <x:c r="K837" s="20" t="str">
        <x:v>身官两停：当主体、客体、路径与力量匹配满足最低标准时，判“不成立”；是否上升为格局转M14/M15。</x:v>
      </x:c>
      <x:c r="L837" s="20" t="str">
        <x:v>较高</x:v>
      </x:c>
      <x:c r="M837" s="20" t="str">
        <x:v>采用</x:v>
      </x:c>
      <x:c r="N837" s="20" t="str">
        <x:v>初审</x:v>
      </x:c>
      <x:c r="O837" s="22" t="n">
        <x:v>46255</x:v>
      </x:c>
      <x:c r="P837" s="20" t="str">
        <x:v>https://zh.wikisource.org/zh-hans/%E6%B7%B5%E6%B5%B7%E5%AD%90%E5%B9%B3 ; https://zh.wikisource.org/wiki/%E6%BB%B4%E5%A4%A9%E9%AB%93%E9%97%A1%E5%BE%AE</x:v>
      </x:c>
    </x:row>
    <x:row r="838">
      <x:c r="A838" s="20" t="str">
        <x:v>M11-BALANCE-0073-V1.0</x:v>
      </x:c>
      <x:c r="B838" s="20" t="str">
        <x:v>规则</x:v>
      </x:c>
      <x:c r="C838" s="20" t="str">
        <x:v>M11</x:v>
      </x:c>
      <x:c r="D838" s="20" t="str">
        <x:v>11_十神组合成立</x:v>
      </x:c>
      <x:c r="E838" s="20" t="str">
        <x:v>BALANCE</x:v>
      </x:c>
      <x:c r="F838" s="20" t="n">
        <x:v>73</x:v>
      </x:c>
      <x:c r="G838" s="20" t="str">
        <x:v>V1.0</x:v>
      </x:c>
      <x:c r="H838" s="20" t="str">
        <x:v>杀过旺无制化时两停不成立</x:v>
      </x:c>
      <x:c r="I838" s="20" t="str">
        <x:v>结构层</x:v>
      </x:c>
      <x:c r="J838" s="20" t="str">
        <x:v>身杀两停_杀过旺否决</x:v>
      </x:c>
      <x:c r="K838" s="20" t="str">
        <x:v>身杀两停：当主体、客体、路径与力量匹配满足最低标准时，判“不成立”；是否上升为格局转M14/M15。</x:v>
      </x:c>
      <x:c r="L838" s="20" t="str">
        <x:v>较高</x:v>
      </x:c>
      <x:c r="M838" s="20" t="str">
        <x:v>采用</x:v>
      </x:c>
      <x:c r="N838" s="20" t="str">
        <x:v>初审</x:v>
      </x:c>
      <x:c r="O838" s="22" t="n">
        <x:v>46255</x:v>
      </x:c>
      <x:c r="P838" s="20" t="str">
        <x:v>https://zh.wikisource.org/zh-hans/%E6%B7%B5%E6%B5%B7%E5%AD%90%E5%B9%B3 ; https://zh.wikisource.org/wiki/%E6%BB%B4%E5%A4%A9%E9%AB%93%E9%97%A1%E5%BE%AE</x:v>
      </x:c>
    </x:row>
    <x:row r="839">
      <x:c r="A839" s="20" t="str">
        <x:v>M11-BALANCE-0074-V1.0</x:v>
      </x:c>
      <x:c r="B839" s="20" t="str">
        <x:v>规则</x:v>
      </x:c>
      <x:c r="C839" s="20" t="str">
        <x:v>M11</x:v>
      </x:c>
      <x:c r="D839" s="20" t="str">
        <x:v>11_十神组合成立</x:v>
      </x:c>
      <x:c r="E839" s="20" t="str">
        <x:v>BALANCE</x:v>
      </x:c>
      <x:c r="F839" s="20" t="n">
        <x:v>74</x:v>
      </x:c>
      <x:c r="G839" s="20" t="str">
        <x:v>V1.0</x:v>
      </x:c>
      <x:c r="H839" s="20" t="str">
        <x:v>两停必须基于有效力量而非数量对半</x:v>
      </x:c>
      <x:c r="I839" s="20" t="str">
        <x:v>结构层</x:v>
      </x:c>
      <x:c r="J839" s="20" t="str">
        <x:v>平衡承载_非数量模型</x:v>
      </x:c>
      <x:c r="K839" s="20" t="str">
        <x:v>平衡承载通用：当主体、客体、路径与力量匹配满足最低标准时，判“待定”；是否上升为格局转M14/M15。</x:v>
      </x:c>
      <x:c r="L839" s="20" t="str">
        <x:v>较高</x:v>
      </x:c>
      <x:c r="M839" s="20" t="str">
        <x:v>采用</x:v>
      </x:c>
      <x:c r="N839" s="20" t="str">
        <x:v>初审</x:v>
      </x:c>
      <x:c r="O839" s="22" t="n">
        <x:v>46255</x:v>
      </x:c>
      <x:c r="P839" s="20" t="str">
        <x:v>https://zh.wikisource.org/zh-hans/%E6%B7%B5%E6%B5%B7%E5%AD%90%E5%B9%B3 ; https://zh.wikisource.org/wiki/%E6%BB%B4%E5%A4%A9%E9%AB%93%E9%97%A1%E5%BE%AE</x:v>
      </x:c>
    </x:row>
    <x:row r="840">
      <x:c r="A840" s="20" t="str">
        <x:v>M11-PATH-0075-V1.0</x:v>
      </x:c>
      <x:c r="B840" s="20" t="str">
        <x:v>规则</x:v>
      </x:c>
      <x:c r="C840" s="20" t="str">
        <x:v>M11</x:v>
      </x:c>
      <x:c r="D840" s="20" t="str">
        <x:v>11_十神组合成立</x:v>
      </x:c>
      <x:c r="E840" s="20" t="str">
        <x:v>PATH</x:v>
      </x:c>
      <x:c r="F840" s="20" t="n">
        <x:v>75</x:v>
      </x:c>
      <x:c r="G840" s="20" t="str">
        <x:v>V1.0</x:v>
      </x:c>
      <x:c r="H840" s="20" t="str">
        <x:v>身弱财旺时比劫可通过制财减轻耗身</x:v>
      </x:c>
      <x:c r="I840" s="20" t="str">
        <x:v>结构层</x:v>
      </x:c>
      <x:c r="J840" s="20" t="str">
        <x:v>比劫制财护身_成立条件</x:v>
      </x:c>
      <x:c r="K840" s="20" t="str">
        <x:v>比劫制财护身：当主体、客体、路径与力量匹配满足最低标准时，判“基本成立”；是否上升为格局转M14/M15。</x:v>
      </x:c>
      <x:c r="L840" s="20" t="str">
        <x:v>较高</x:v>
      </x:c>
      <x:c r="M840" s="20" t="str">
        <x:v>采用</x:v>
      </x:c>
      <x:c r="N840" s="20" t="str">
        <x:v>初审</x:v>
      </x:c>
      <x:c r="O840" s="22" t="n">
        <x:v>46255</x:v>
      </x:c>
      <x:c r="P840" s="20" t="str">
        <x:v>https://zh.wikisource.org/zh-hans/%E6%B7%B5%E6%B5%B7%E5%AD%90%E5%B9%B3 ; https://zh.wikisource.org/wiki/%E6%BB%B4%E5%A4%A9%E9%AB%93%E9%97%A1%E5%BE%AE</x:v>
      </x:c>
    </x:row>
    <x:row r="841">
      <x:c r="A841" s="20" t="str">
        <x:v>M11-PATH-0076-V1.0</x:v>
      </x:c>
      <x:c r="B841" s="20" t="str">
        <x:v>规则</x:v>
      </x:c>
      <x:c r="C841" s="20" t="str">
        <x:v>M11</x:v>
      </x:c>
      <x:c r="D841" s="20" t="str">
        <x:v>11_十神组合成立</x:v>
      </x:c>
      <x:c r="E841" s="20" t="str">
        <x:v>PATH</x:v>
      </x:c>
      <x:c r="F841" s="20" t="n">
        <x:v>76</x:v>
      </x:c>
      <x:c r="G841" s="20" t="str">
        <x:v>V1.0</x:v>
      </x:c>
      <x:c r="H841" s="20" t="str">
        <x:v>比劫过强会由护身转为夺财过度</x:v>
      </x:c>
      <x:c r="I841" s="20" t="str">
        <x:v>结构层</x:v>
      </x:c>
      <x:c r="J841" s="20" t="str">
        <x:v>比劫制财_过度</x:v>
      </x:c>
      <x:c r="K841" s="20" t="str">
        <x:v>比劫制财护身：当主体、客体、路径与力量匹配满足最低标准时，判“弱成立”；是否上升为格局转M14/M15。</x:v>
      </x:c>
      <x:c r="L841" s="20" t="str">
        <x:v>较高</x:v>
      </x:c>
      <x:c r="M841" s="20" t="str">
        <x:v>采用</x:v>
      </x:c>
      <x:c r="N841" s="20" t="str">
        <x:v>初审</x:v>
      </x:c>
      <x:c r="O841" s="22" t="n">
        <x:v>46255</x:v>
      </x:c>
      <x:c r="P841" s="20" t="str">
        <x:v>https://zh.wikisource.org/zh-hans/%E6%B7%B5%E6%B5%B7%E5%AD%90%E5%B9%B3 ; https://zh.wikisource.org/wiki/%E6%BB%B4%E5%A4%A9%E9%AB%93%E9%97%A1%E5%BE%AE</x:v>
      </x:c>
    </x:row>
    <x:row r="842">
      <x:c r="A842" s="20" t="str">
        <x:v>M11-PATH-0077-V1.0</x:v>
      </x:c>
      <x:c r="B842" s="20" t="str">
        <x:v>规则</x:v>
      </x:c>
      <x:c r="C842" s="20" t="str">
        <x:v>M11</x:v>
      </x:c>
      <x:c r="D842" s="20" t="str">
        <x:v>11_十神组合成立</x:v>
      </x:c>
      <x:c r="E842" s="20" t="str">
        <x:v>PATH</x:v>
      </x:c>
      <x:c r="F842" s="20" t="n">
        <x:v>77</x:v>
      </x:c>
      <x:c r="G842" s="20" t="str">
        <x:v>V1.0</x:v>
      </x:c>
      <x:c r="H842" s="20" t="str">
        <x:v>强比劫或羊刃类承载需有七杀制衡</x:v>
      </x:c>
      <x:c r="I842" s="20" t="str">
        <x:v>结构层</x:v>
      </x:c>
      <x:c r="J842" s="20" t="str">
        <x:v>羊刃驾杀_成立条件</x:v>
      </x:c>
      <x:c r="K842" s="20" t="str">
        <x:v>羊刃驾杀：当主体、客体、路径与力量匹配满足最低标准时，判“基本成立”；是否上升为格局转M14/M15。</x:v>
      </x:c>
      <x:c r="L842" s="20" t="str">
        <x:v>较高</x:v>
      </x:c>
      <x:c r="M842" s="20" t="str">
        <x:v>采用</x:v>
      </x:c>
      <x:c r="N842" s="20" t="str">
        <x:v>初审</x:v>
      </x:c>
      <x:c r="O842" s="22" t="n">
        <x:v>46255</x:v>
      </x:c>
      <x:c r="P842" s="20" t="str">
        <x:v>https://zh.wikisource.org/zh-hans/%E6%B7%B5%E6%B5%B7%E5%AD%90%E5%B9%B3 ; https://zh.wikisource.org/wiki/%E6%BB%B4%E5%A4%A9%E9%AB%93%E9%97%A1%E5%BE%AE</x:v>
      </x:c>
    </x:row>
    <x:row r="843">
      <x:c r="A843" s="20" t="str">
        <x:v>M11-PATH-0078-V1.0</x:v>
      </x:c>
      <x:c r="B843" s="20" t="str">
        <x:v>规则</x:v>
      </x:c>
      <x:c r="C843" s="20" t="str">
        <x:v>M11</x:v>
      </x:c>
      <x:c r="D843" s="20" t="str">
        <x:v>11_十神组合成立</x:v>
      </x:c>
      <x:c r="E843" s="20" t="str">
        <x:v>PATH</x:v>
      </x:c>
      <x:c r="F843" s="20" t="n">
        <x:v>78</x:v>
      </x:c>
      <x:c r="G843" s="20" t="str">
        <x:v>V1.0</x:v>
      </x:c>
      <x:c r="H843" s="20" t="str">
        <x:v>杀弱无根不足以驾强刃</x:v>
      </x:c>
      <x:c r="I843" s="20" t="str">
        <x:v>结构层</x:v>
      </x:c>
      <x:c r="J843" s="20" t="str">
        <x:v>羊刃驾杀_杀弱</x:v>
      </x:c>
      <x:c r="K843" s="20" t="str">
        <x:v>羊刃驾杀：当主体、客体、路径与力量匹配满足最低标准时，判“不成立”；是否上升为格局转M14/M15。</x:v>
      </x:c>
      <x:c r="L843" s="20" t="str">
        <x:v>较高</x:v>
      </x:c>
      <x:c r="M843" s="20" t="str">
        <x:v>采用</x:v>
      </x:c>
      <x:c r="N843" s="20" t="str">
        <x:v>初审</x:v>
      </x:c>
      <x:c r="O843" s="22" t="n">
        <x:v>46255</x:v>
      </x:c>
      <x:c r="P843" s="20" t="str">
        <x:v>https://zh.wikisource.org/zh-hans/%E6%B7%B5%E6%B5%B7%E5%AD%90%E5%B9%B3 ; https://zh.wikisource.org/wiki/%E6%BB%B4%E5%A4%A9%E9%AB%93%E9%97%A1%E5%BE%AE</x:v>
      </x:c>
    </x:row>
    <x:row r="844">
      <x:c r="A844" s="20" t="str">
        <x:v>M11-PATH-0079-V1.0</x:v>
      </x:c>
      <x:c r="B844" s="20" t="str">
        <x:v>规则</x:v>
      </x:c>
      <x:c r="C844" s="20" t="str">
        <x:v>M11</x:v>
      </x:c>
      <x:c r="D844" s="20" t="str">
        <x:v>11_十神组合成立</x:v>
      </x:c>
      <x:c r="E844" s="20" t="str">
        <x:v>PATH</x:v>
      </x:c>
      <x:c r="F844" s="20" t="n">
        <x:v>79</x:v>
      </x:c>
      <x:c r="G844" s="20" t="str">
        <x:v>V1.0</x:v>
      </x:c>
      <x:c r="H844" s="20" t="str">
        <x:v>印星承接官杀可形成通关化压力</x:v>
      </x:c>
      <x:c r="I844" s="20" t="str">
        <x:v>结构层</x:v>
      </x:c>
      <x:c r="J844" s="20" t="str">
        <x:v>印化官杀_成立条件</x:v>
      </x:c>
      <x:c r="K844" s="20" t="str">
        <x:v>印化官杀：当主体、客体、路径与力量匹配满足最低标准时，判“基本成立”；是否上升为格局转M14/M15。</x:v>
      </x:c>
      <x:c r="L844" s="20" t="str">
        <x:v>较高</x:v>
      </x:c>
      <x:c r="M844" s="20" t="str">
        <x:v>采用</x:v>
      </x:c>
      <x:c r="N844" s="20" t="str">
        <x:v>初审</x:v>
      </x:c>
      <x:c r="O844" s="22" t="n">
        <x:v>46255</x:v>
      </x:c>
      <x:c r="P844" s="20" t="str">
        <x:v>https://zh.wikisource.org/zh-hans/%E6%B7%B5%E6%B5%B7%E5%AD%90%E5%B9%B3 ; https://zh.wikisource.org/wiki/%E6%BB%B4%E5%A4%A9%E9%AB%93%E9%97%A1%E5%BE%AE</x:v>
      </x:c>
    </x:row>
    <x:row r="845">
      <x:c r="A845" s="20" t="str">
        <x:v>M11-PATH-0080-V1.0</x:v>
      </x:c>
      <x:c r="B845" s="20" t="str">
        <x:v>规则</x:v>
      </x:c>
      <x:c r="C845" s="20" t="str">
        <x:v>M11</x:v>
      </x:c>
      <x:c r="D845" s="20" t="str">
        <x:v>11_十神组合成立</x:v>
      </x:c>
      <x:c r="E845" s="20" t="str">
        <x:v>PATH</x:v>
      </x:c>
      <x:c r="F845" s="20" t="n">
        <x:v>80</x:v>
      </x:c>
      <x:c r="G845" s="20" t="str">
        <x:v>V1.0</x:v>
      </x:c>
      <x:c r="H845" s="20" t="str">
        <x:v>财坏印会破坏化官杀</x:v>
      </x:c>
      <x:c r="I845" s="20" t="str">
        <x:v>结构层</x:v>
      </x:c>
      <x:c r="J845" s="20" t="str">
        <x:v>印化官杀_财破</x:v>
      </x:c>
      <x:c r="K845" s="20" t="str">
        <x:v>印化官杀：当主体、客体、路径与力量匹配满足最低标准时，判“不成立”；是否上升为格局转M14/M15。</x:v>
      </x:c>
      <x:c r="L845" s="20" t="str">
        <x:v>较高</x:v>
      </x:c>
      <x:c r="M845" s="20" t="str">
        <x:v>采用</x:v>
      </x:c>
      <x:c r="N845" s="20" t="str">
        <x:v>初审</x:v>
      </x:c>
      <x:c r="O845" s="22" t="n">
        <x:v>46255</x:v>
      </x:c>
      <x:c r="P845" s="20" t="str">
        <x:v>https://zh.wikisource.org/zh-hans/%E6%B7%B5%E6%B5%B7%E5%AD%90%E5%B9%B3 ; https://zh.wikisource.org/wiki/%E6%BB%B4%E5%A4%A9%E9%AB%93%E9%97%A1%E5%BE%AE</x:v>
      </x:c>
    </x:row>
    <x:row r="846">
      <x:c r="A846" s="20" t="str">
        <x:v>M11-PATH-0081-V1.0</x:v>
      </x:c>
      <x:c r="B846" s="20" t="str">
        <x:v>规则</x:v>
      </x:c>
      <x:c r="C846" s="20" t="str">
        <x:v>M11</x:v>
      </x:c>
      <x:c r="D846" s="20" t="str">
        <x:v>11_十神组合成立</x:v>
      </x:c>
      <x:c r="E846" s="20" t="str">
        <x:v>PATH</x:v>
      </x:c>
      <x:c r="F846" s="20" t="n">
        <x:v>81</x:v>
      </x:c>
      <x:c r="G846" s="20" t="str">
        <x:v>V1.0</x:v>
      </x:c>
      <x:c r="H846" s="20" t="str">
        <x:v>身旺食伤有效且输出顺畅时可形成泄秀</x:v>
      </x:c>
      <x:c r="I846" s="20" t="str">
        <x:v>结构层</x:v>
      </x:c>
      <x:c r="J846" s="20" t="str">
        <x:v>食伤泄秀_成立条件</x:v>
      </x:c>
      <x:c r="K846" s="20" t="str">
        <x:v>食伤泄秀：当主体、客体、路径与力量匹配满足最低标准时，判“基本成立”；是否上升为格局转M14/M15。</x:v>
      </x:c>
      <x:c r="L846" s="20" t="str">
        <x:v>较高</x:v>
      </x:c>
      <x:c r="M846" s="20" t="str">
        <x:v>采用</x:v>
      </x:c>
      <x:c r="N846" s="20" t="str">
        <x:v>初审</x:v>
      </x:c>
      <x:c r="O846" s="22" t="n">
        <x:v>46255</x:v>
      </x:c>
      <x:c r="P846" s="20" t="str">
        <x:v>https://zh.wikisource.org/zh-hans/%E6%B7%B5%E6%B5%B7%E5%AD%90%E5%B9%B3 ; https://zh.wikisource.org/wiki/%E6%BB%B4%E5%A4%A9%E9%AB%93%E9%97%A1%E5%BE%AE</x:v>
      </x:c>
    </x:row>
    <x:row r="847">
      <x:c r="A847" s="20" t="str">
        <x:v>M11-PATH-0082-V1.0</x:v>
      </x:c>
      <x:c r="B847" s="20" t="str">
        <x:v>规则</x:v>
      </x:c>
      <x:c r="C847" s="20" t="str">
        <x:v>M11</x:v>
      </x:c>
      <x:c r="D847" s="20" t="str">
        <x:v>11_十神组合成立</x:v>
      </x:c>
      <x:c r="E847" s="20" t="str">
        <x:v>PATH</x:v>
      </x:c>
      <x:c r="F847" s="20" t="n">
        <x:v>82</x:v>
      </x:c>
      <x:c r="G847" s="20" t="str">
        <x:v>V1.0</x:v>
      </x:c>
      <x:c r="H847" s="20" t="str">
        <x:v>身弱不具备稳定泄秀条件</x:v>
      </x:c>
      <x:c r="I847" s="20" t="str">
        <x:v>结构层</x:v>
      </x:c>
      <x:c r="J847" s="20" t="str">
        <x:v>食伤泄秀_身弱否决</x:v>
      </x:c>
      <x:c r="K847" s="20" t="str">
        <x:v>食伤泄秀：当主体、客体、路径与力量匹配满足最低标准时，判“不成立”；是否上升为格局转M14/M15。</x:v>
      </x:c>
      <x:c r="L847" s="20" t="str">
        <x:v>较高</x:v>
      </x:c>
      <x:c r="M847" s="20" t="str">
        <x:v>采用</x:v>
      </x:c>
      <x:c r="N847" s="20" t="str">
        <x:v>初审</x:v>
      </x:c>
      <x:c r="O847" s="22" t="n">
        <x:v>46255</x:v>
      </x:c>
      <x:c r="P847" s="20" t="str">
        <x:v>https://zh.wikisource.org/zh-hans/%E6%B7%B5%E6%B5%B7%E5%AD%90%E5%B9%B3 ; https://zh.wikisource.org/wiki/%E6%BB%B4%E5%A4%A9%E9%AB%93%E9%97%A1%E5%BE%AE</x:v>
      </x:c>
    </x:row>
    <x:row r="848">
      <x:c r="A848" s="20" t="str">
        <x:v>M11-CONFLICT-0083-V1.0</x:v>
      </x:c>
      <x:c r="B848" s="20" t="str">
        <x:v>规则</x:v>
      </x:c>
      <x:c r="C848" s="20" t="str">
        <x:v>M11</x:v>
      </x:c>
      <x:c r="D848" s="20" t="str">
        <x:v>11_十神组合成立</x:v>
      </x:c>
      <x:c r="E848" s="20" t="str">
        <x:v>CONFLICT</x:v>
      </x:c>
      <x:c r="F848" s="20" t="n">
        <x:v>83</x:v>
      </x:c>
      <x:c r="G848" s="20" t="str">
        <x:v>V1.0</x:v>
      </x:c>
      <x:c r="H848" s="20" t="str">
        <x:v>伤官与正官均有效且形成直接克制才构成冲突</x:v>
      </x:c>
      <x:c r="I848" s="20" t="str">
        <x:v>结构层</x:v>
      </x:c>
      <x:c r="J848" s="20" t="str">
        <x:v>伤官见官_成立条件</x:v>
      </x:c>
      <x:c r="K848" s="20" t="str">
        <x:v>伤官见官：当主体、客体、路径与力量匹配满足最低标准时，判“基本成立”；是否上升为格局转M14/M15。</x:v>
      </x:c>
      <x:c r="L848" s="20" t="str">
        <x:v>较高</x:v>
      </x:c>
      <x:c r="M848" s="20" t="str">
        <x:v>采用</x:v>
      </x:c>
      <x:c r="N848" s="20" t="str">
        <x:v>初审</x:v>
      </x:c>
      <x:c r="O848" s="22" t="n">
        <x:v>46255</x:v>
      </x:c>
      <x:c r="P848" s="20" t="str">
        <x:v>https://zh.wikisource.org/zh-hans/%E6%B7%B5%E6%B5%B7%E5%AD%90%E5%B9%B3 ; https://zh.wikisource.org/wiki/%E6%BB%B4%E5%A4%A9%E9%AB%93%E9%97%A1%E5%BE%AE</x:v>
      </x:c>
    </x:row>
    <x:row r="849">
      <x:c r="A849" s="20" t="str">
        <x:v>M11-CONFLICT-0084-V1.0</x:v>
      </x:c>
      <x:c r="B849" s="20" t="str">
        <x:v>规则</x:v>
      </x:c>
      <x:c r="C849" s="20" t="str">
        <x:v>M11</x:v>
      </x:c>
      <x:c r="D849" s="20" t="str">
        <x:v>11_十神组合成立</x:v>
      </x:c>
      <x:c r="E849" s="20" t="str">
        <x:v>CONFLICT</x:v>
      </x:c>
      <x:c r="F849" s="20" t="n">
        <x:v>84</x:v>
      </x:c>
      <x:c r="G849" s="20" t="str">
        <x:v>V1.0</x:v>
      </x:c>
      <x:c r="H849" s="20" t="str">
        <x:v>印制伤官可降低伤官见官冲突</x:v>
      </x:c>
      <x:c r="I849" s="20" t="str">
        <x:v>结构层</x:v>
      </x:c>
      <x:c r="J849" s="20" t="str">
        <x:v>伤官见官_印救</x:v>
      </x:c>
      <x:c r="K849" s="20" t="str">
        <x:v>伤官见官：当主体、客体、路径与力量匹配满足最低标准时，判“弱成立”；是否上升为格局转M14/M15。</x:v>
      </x:c>
      <x:c r="L849" s="20" t="str">
        <x:v>较高</x:v>
      </x:c>
      <x:c r="M849" s="20" t="str">
        <x:v>采用</x:v>
      </x:c>
      <x:c r="N849" s="20" t="str">
        <x:v>初审</x:v>
      </x:c>
      <x:c r="O849" s="22" t="n">
        <x:v>46255</x:v>
      </x:c>
      <x:c r="P849" s="20" t="str">
        <x:v>https://zh.wikisource.org/zh-hans/%E6%B7%B5%E6%B5%B7%E5%AD%90%E5%B9%B3 ; https://zh.wikisource.org/wiki/%E6%BB%B4%E5%A4%A9%E9%AB%93%E9%97%A1%E5%BE%AE</x:v>
      </x:c>
    </x:row>
    <x:row r="850">
      <x:c r="A850" s="20" t="str">
        <x:v>M11-CONFLICT-0085-V1.0</x:v>
      </x:c>
      <x:c r="B850" s="20" t="str">
        <x:v>规则</x:v>
      </x:c>
      <x:c r="C850" s="20" t="str">
        <x:v>M11</x:v>
      </x:c>
      <x:c r="D850" s="20" t="str">
        <x:v>11_十神组合成立</x:v>
      </x:c>
      <x:c r="E850" s="20" t="str">
        <x:v>CONFLICT</x:v>
      </x:c>
      <x:c r="F850" s="20" t="n">
        <x:v>85</x:v>
      </x:c>
      <x:c r="G850" s="20" t="str">
        <x:v>V1.0</x:v>
      </x:c>
      <x:c r="H850" s="20" t="str">
        <x:v>财通伤官生官路径可改变直接冲突</x:v>
      </x:c>
      <x:c r="I850" s="20" t="str">
        <x:v>结构层</x:v>
      </x:c>
      <x:c r="J850" s="20" t="str">
        <x:v>伤官见官_财通关</x:v>
      </x:c>
      <x:c r="K850" s="20" t="str">
        <x:v>伤官见官：当主体、客体、路径与力量匹配满足最低标准时，判“弱成立”；是否上升为格局转M14/M15。</x:v>
      </x:c>
      <x:c r="L850" s="20" t="str">
        <x:v>较高</x:v>
      </x:c>
      <x:c r="M850" s="20" t="str">
        <x:v>采用</x:v>
      </x:c>
      <x:c r="N850" s="20" t="str">
        <x:v>初审</x:v>
      </x:c>
      <x:c r="O850" s="22" t="n">
        <x:v>46255</x:v>
      </x:c>
      <x:c r="P850" s="20" t="str">
        <x:v>https://zh.wikisource.org/zh-hans/%E6%B7%B5%E6%B5%B7%E5%AD%90%E5%B9%B3 ; https://zh.wikisource.org/wiki/%E6%BB%B4%E5%A4%A9%E9%AB%93%E9%97%A1%E5%BE%AE</x:v>
      </x:c>
    </x:row>
    <x:row r="851">
      <x:c r="A851" s="20" t="str">
        <x:v>M11-CONFLICT-0086-V1.0</x:v>
      </x:c>
      <x:c r="B851" s="20" t="str">
        <x:v>规则</x:v>
      </x:c>
      <x:c r="C851" s="20" t="str">
        <x:v>M11</x:v>
      </x:c>
      <x:c r="D851" s="20" t="str">
        <x:v>11_十神组合成立</x:v>
      </x:c>
      <x:c r="E851" s="20" t="str">
        <x:v>CONFLICT</x:v>
      </x:c>
      <x:c r="F851" s="20" t="n">
        <x:v>86</x:v>
      </x:c>
      <x:c r="G851" s="20" t="str">
        <x:v>V1.0</x:v>
      </x:c>
      <x:c r="H851" s="20" t="str">
        <x:v>偏印必须真实克制关键食神才成立</x:v>
      </x:c>
      <x:c r="I851" s="20" t="str">
        <x:v>结构层</x:v>
      </x:c>
      <x:c r="J851" s="20" t="str">
        <x:v>枭神夺食_成立条件</x:v>
      </x:c>
      <x:c r="K851" s="20" t="str">
        <x:v>枭神夺食：当主体、客体、路径与力量匹配满足最低标准时，判“基本成立”；是否上升为格局转M14/M15。</x:v>
      </x:c>
      <x:c r="L851" s="20" t="str">
        <x:v>较高</x:v>
      </x:c>
      <x:c r="M851" s="20" t="str">
        <x:v>采用</x:v>
      </x:c>
      <x:c r="N851" s="20" t="str">
        <x:v>初审</x:v>
      </x:c>
      <x:c r="O851" s="22" t="n">
        <x:v>46255</x:v>
      </x:c>
      <x:c r="P851" s="20" t="str">
        <x:v>https://zh.wikisource.org/zh-hans/%E6%B7%B5%E6%B5%B7%E5%AD%90%E5%B9%B3 ; https://zh.wikisource.org/wiki/%E6%BB%B4%E5%A4%A9%E9%AB%93%E9%97%A1%E5%BE%AE</x:v>
      </x:c>
    </x:row>
    <x:row r="852">
      <x:c r="A852" s="20" t="str">
        <x:v>M11-CONFLICT-0087-V1.0</x:v>
      </x:c>
      <x:c r="B852" s="20" t="str">
        <x:v>规则</x:v>
      </x:c>
      <x:c r="C852" s="20" t="str">
        <x:v>M11</x:v>
      </x:c>
      <x:c r="D852" s="20" t="str">
        <x:v>11_十神组合成立</x:v>
      </x:c>
      <x:c r="E852" s="20" t="str">
        <x:v>CONFLICT</x:v>
      </x:c>
      <x:c r="F852" s="20" t="n">
        <x:v>87</x:v>
      </x:c>
      <x:c r="G852" s="20" t="str">
        <x:v>V1.0</x:v>
      </x:c>
      <x:c r="H852" s="20" t="str">
        <x:v>财制枭可救食</x:v>
      </x:c>
      <x:c r="I852" s="20" t="str">
        <x:v>结构层</x:v>
      </x:c>
      <x:c r="J852" s="20" t="str">
        <x:v>枭神夺食_财救</x:v>
      </x:c>
      <x:c r="K852" s="20" t="str">
        <x:v>枭神夺食：当主体、客体、路径与力量匹配满足最低标准时，判“弱成立”；是否上升为格局转M14/M15。</x:v>
      </x:c>
      <x:c r="L852" s="20" t="str">
        <x:v>较高</x:v>
      </x:c>
      <x:c r="M852" s="20" t="str">
        <x:v>采用</x:v>
      </x:c>
      <x:c r="N852" s="20" t="str">
        <x:v>初审</x:v>
      </x:c>
      <x:c r="O852" s="22" t="n">
        <x:v>46255</x:v>
      </x:c>
      <x:c r="P852" s="20" t="str">
        <x:v>https://zh.wikisource.org/zh-hans/%E6%B7%B5%E6%B5%B7%E5%AD%90%E5%B9%B3 ; https://zh.wikisource.org/wiki/%E6%BB%B4%E5%A4%A9%E9%AB%93%E9%97%A1%E5%BE%AE</x:v>
      </x:c>
    </x:row>
    <x:row r="853">
      <x:c r="A853" s="20" t="str">
        <x:v>M11-CONFLICT-0088-V1.0</x:v>
      </x:c>
      <x:c r="B853" s="20" t="str">
        <x:v>规则</x:v>
      </x:c>
      <x:c r="C853" s="20" t="str">
        <x:v>M11</x:v>
      </x:c>
      <x:c r="D853" s="20" t="str">
        <x:v>11_十神组合成立</x:v>
      </x:c>
      <x:c r="E853" s="20" t="str">
        <x:v>CONFLICT</x:v>
      </x:c>
      <x:c r="F853" s="20" t="n">
        <x:v>88</x:v>
      </x:c>
      <x:c r="G853" s="20" t="str">
        <x:v>V1.0</x:v>
      </x:c>
      <x:c r="H853" s="20" t="str">
        <x:v>比劫对财星形成实质强制才构成夺财结构</x:v>
      </x:c>
      <x:c r="I853" s="20" t="str">
        <x:v>结构层</x:v>
      </x:c>
      <x:c r="J853" s="20" t="str">
        <x:v>比劫夺财_成立条件</x:v>
      </x:c>
      <x:c r="K853" s="20" t="str">
        <x:v>比劫夺财：当主体、客体、路径与力量匹配满足最低标准时，判“基本成立”；是否上升为格局转M14/M15。</x:v>
      </x:c>
      <x:c r="L853" s="20" t="str">
        <x:v>较高</x:v>
      </x:c>
      <x:c r="M853" s="20" t="str">
        <x:v>采用</x:v>
      </x:c>
      <x:c r="N853" s="20" t="str">
        <x:v>初审</x:v>
      </x:c>
      <x:c r="O853" s="22" t="n">
        <x:v>46255</x:v>
      </x:c>
      <x:c r="P853" s="20" t="str">
        <x:v>https://zh.wikisource.org/zh-hans/%E6%B7%B5%E6%B5%B7%E5%AD%90%E5%B9%B3 ; https://zh.wikisource.org/wiki/%E6%BB%B4%E5%A4%A9%E9%AB%93%E9%97%A1%E5%BE%AE</x:v>
      </x:c>
    </x:row>
    <x:row r="854">
      <x:c r="A854" s="20" t="str">
        <x:v>M11-CONFLICT-0089-V1.0</x:v>
      </x:c>
      <x:c r="B854" s="20" t="str">
        <x:v>规则</x:v>
      </x:c>
      <x:c r="C854" s="20" t="str">
        <x:v>M11</x:v>
      </x:c>
      <x:c r="D854" s="20" t="str">
        <x:v>11_十神组合成立</x:v>
      </x:c>
      <x:c r="E854" s="20" t="str">
        <x:v>CONFLICT</x:v>
      </x:c>
      <x:c r="F854" s="20" t="n">
        <x:v>89</x:v>
      </x:c>
      <x:c r="G854" s="20" t="str">
        <x:v>V1.0</x:v>
      </x:c>
      <x:c r="H854" s="20" t="str">
        <x:v>财星强制关键印星才构成财坏印</x:v>
      </x:c>
      <x:c r="I854" s="20" t="str">
        <x:v>结构层</x:v>
      </x:c>
      <x:c r="J854" s="20" t="str">
        <x:v>财坏印_成立条件</x:v>
      </x:c>
      <x:c r="K854" s="20" t="str">
        <x:v>财坏印：当主体、客体、路径与力量匹配满足最低标准时，判“基本成立”；是否上升为格局转M14/M15。</x:v>
      </x:c>
      <x:c r="L854" s="20" t="str">
        <x:v>较高</x:v>
      </x:c>
      <x:c r="M854" s="20" t="str">
        <x:v>采用</x:v>
      </x:c>
      <x:c r="N854" s="20" t="str">
        <x:v>初审</x:v>
      </x:c>
      <x:c r="O854" s="22" t="n">
        <x:v>46255</x:v>
      </x:c>
      <x:c r="P854" s="20" t="str">
        <x:v>https://zh.wikisource.org/zh-hans/%E6%B7%B5%E6%B5%B7%E5%AD%90%E5%B9%B3 ; https://zh.wikisource.org/wiki/%E6%BB%B4%E5%A4%A9%E9%AB%93%E9%97%A1%E5%BE%AE</x:v>
      </x:c>
    </x:row>
    <x:row r="855">
      <x:c r="A855" s="20" t="str">
        <x:v>M11-CONFLICT-0090-V1.0</x:v>
      </x:c>
      <x:c r="B855" s="20" t="str">
        <x:v>规则</x:v>
      </x:c>
      <x:c r="C855" s="20" t="str">
        <x:v>M11</x:v>
      </x:c>
      <x:c r="D855" s="20" t="str">
        <x:v>11_十神组合成立</x:v>
      </x:c>
      <x:c r="E855" s="20" t="str">
        <x:v>CONFLICT</x:v>
      </x:c>
      <x:c r="F855" s="20" t="n">
        <x:v>90</x:v>
      </x:c>
      <x:c r="G855" s="20" t="str">
        <x:v>V1.0</x:v>
      </x:c>
      <x:c r="H855" s="20" t="str">
        <x:v>官杀同时有效且主从不清才判混杂</x:v>
      </x:c>
      <x:c r="I855" s="20" t="str">
        <x:v>结构层</x:v>
      </x:c>
      <x:c r="J855" s="20" t="str">
        <x:v>官杀混杂_成立条件</x:v>
      </x:c>
      <x:c r="K855" s="20" t="str">
        <x:v>官杀混杂：当主体、客体、路径与力量匹配满足最低标准时，判“基本成立”；是否上升为格局转M14/M15。</x:v>
      </x:c>
      <x:c r="L855" s="20" t="str">
        <x:v>较高</x:v>
      </x:c>
      <x:c r="M855" s="20" t="str">
        <x:v>采用</x:v>
      </x:c>
      <x:c r="N855" s="20" t="str">
        <x:v>初审</x:v>
      </x:c>
      <x:c r="O855" s="22" t="n">
        <x:v>46255</x:v>
      </x:c>
      <x:c r="P855" s="20" t="str">
        <x:v>https://zh.wikisource.org/zh-hans/%E6%B7%B5%E6%B5%B7%E5%AD%90%E5%B9%B3 ; https://zh.wikisource.org/wiki/%E6%BB%B4%E5%A4%A9%E9%AB%93%E9%97%A1%E5%BE%AE</x:v>
      </x:c>
    </x:row>
    <x:row r="856">
      <x:c r="A856" s="20" t="str">
        <x:v>M11-CONFLICT-0091-V1.0</x:v>
      </x:c>
      <x:c r="B856" s="20" t="str">
        <x:v>规则</x:v>
      </x:c>
      <x:c r="C856" s="20" t="str">
        <x:v>M11</x:v>
      </x:c>
      <x:c r="D856" s="20" t="str">
        <x:v>11_十神组合成立</x:v>
      </x:c>
      <x:c r="E856" s="20" t="str">
        <x:v>CONFLICT</x:v>
      </x:c>
      <x:c r="F856" s="20" t="n">
        <x:v>91</x:v>
      </x:c>
      <x:c r="G856" s="20" t="str">
        <x:v>V1.0</x:v>
      </x:c>
      <x:c r="H856" s="20" t="str">
        <x:v>一方弱而从强方时可不按严重混杂</x:v>
      </x:c>
      <x:c r="I856" s="20" t="str">
        <x:v>结构层</x:v>
      </x:c>
      <x:c r="J856" s="20" t="str">
        <x:v>官杀混杂_主从清晰</x:v>
      </x:c>
      <x:c r="K856" s="20" t="str">
        <x:v>官杀混杂：当主体、客体、路径与力量匹配满足最低标准时，判“弱成立”；是否上升为格局转M14/M15。</x:v>
      </x:c>
      <x:c r="L856" s="20" t="str">
        <x:v>较高</x:v>
      </x:c>
      <x:c r="M856" s="20" t="str">
        <x:v>采用</x:v>
      </x:c>
      <x:c r="N856" s="20" t="str">
        <x:v>初审</x:v>
      </x:c>
      <x:c r="O856" s="22" t="n">
        <x:v>46255</x:v>
      </x:c>
      <x:c r="P856" s="20" t="str">
        <x:v>https://zh.wikisource.org/zh-hans/%E6%B7%B5%E6%B5%B7%E5%AD%90%E5%B9%B3 ; https://zh.wikisource.org/wiki/%E6%BB%B4%E5%A4%A9%E9%AB%93%E9%97%A1%E5%BE%AE</x:v>
      </x:c>
    </x:row>
    <x:row r="857">
      <x:c r="A857" s="20" t="str">
        <x:v>M11-CONFLICT-0092-V1.0</x:v>
      </x:c>
      <x:c r="B857" s="20" t="str">
        <x:v>规则</x:v>
      </x:c>
      <x:c r="C857" s="20" t="str">
        <x:v>M11</x:v>
      </x:c>
      <x:c r="D857" s="20" t="str">
        <x:v>11_十神组合成立</x:v>
      </x:c>
      <x:c r="E857" s="20" t="str">
        <x:v>CONFLICT</x:v>
      </x:c>
      <x:c r="F857" s="20" t="n">
        <x:v>92</x:v>
      </x:c>
      <x:c r="G857" s="20" t="str">
        <x:v>V1.0</x:v>
      </x:c>
      <x:c r="H857" s="20" t="str">
        <x:v>合去或制去一方可形成清化</x:v>
      </x:c>
      <x:c r="I857" s="20" t="str">
        <x:v>结构层</x:v>
      </x:c>
      <x:c r="J857" s="20" t="str">
        <x:v>官杀混杂_清化</x:v>
      </x:c>
      <x:c r="K857" s="20" t="str">
        <x:v>官杀混杂：当主体、客体、路径与力量匹配满足最低标准时，判“弱成立”；是否上升为格局转M14/M15。</x:v>
      </x:c>
      <x:c r="L857" s="20" t="str">
        <x:v>较高</x:v>
      </x:c>
      <x:c r="M857" s="20" t="str">
        <x:v>采用</x:v>
      </x:c>
      <x:c r="N857" s="20" t="str">
        <x:v>初审</x:v>
      </x:c>
      <x:c r="O857" s="22" t="n">
        <x:v>46255</x:v>
      </x:c>
      <x:c r="P857" s="20" t="str">
        <x:v>https://zh.wikisource.org/zh-hans/%E6%B7%B5%E6%B5%B7%E5%AD%90%E5%B9%B3 ; https://zh.wikisource.org/wiki/%E6%BB%B4%E5%A4%A9%E9%AB%93%E9%97%A1%E5%BE%AE</x:v>
      </x:c>
    </x:row>
    <x:row r="858">
      <x:c r="A858" s="20" t="str">
        <x:v>M11-CONFLICT-0093-V1.0</x:v>
      </x:c>
      <x:c r="B858" s="20" t="str">
        <x:v>规则</x:v>
      </x:c>
      <x:c r="C858" s="20" t="str">
        <x:v>M11</x:v>
      </x:c>
      <x:c r="D858" s="20" t="str">
        <x:v>11_十神组合成立</x:v>
      </x:c>
      <x:c r="E858" s="20" t="str">
        <x:v>CONFLICT</x:v>
      </x:c>
      <x:c r="F858" s="20" t="n">
        <x:v>93</x:v>
      </x:c>
      <x:c r="G858" s="20" t="str">
        <x:v>V1.0</x:v>
      </x:c>
      <x:c r="H858" s="20" t="str">
        <x:v>食伤均有效且主从不清才判明显混杂</x:v>
      </x:c>
      <x:c r="I858" s="20" t="str">
        <x:v>结构层</x:v>
      </x:c>
      <x:c r="J858" s="20" t="str">
        <x:v>食伤混杂_成立</x:v>
      </x:c>
      <x:c r="K858" s="20" t="str">
        <x:v>食伤混杂：当主体、客体、路径与力量匹配满足最低标准时，判“基本成立”；是否上升为格局转M14/M15。</x:v>
      </x:c>
      <x:c r="L858" s="20" t="str">
        <x:v>较高</x:v>
      </x:c>
      <x:c r="M858" s="20" t="str">
        <x:v>采用</x:v>
      </x:c>
      <x:c r="N858" s="20" t="str">
        <x:v>初审</x:v>
      </x:c>
      <x:c r="O858" s="22" t="n">
        <x:v>46255</x:v>
      </x:c>
      <x:c r="P858" s="20" t="str">
        <x:v>https://zh.wikisource.org/zh-hans/%E6%B7%B5%E6%B5%B7%E5%AD%90%E5%B9%B3 ; https://zh.wikisource.org/wiki/%E6%BB%B4%E5%A4%A9%E9%AB%93%E9%97%A1%E5%BE%AE</x:v>
      </x:c>
    </x:row>
    <x:row r="859">
      <x:c r="A859" s="20" t="str">
        <x:v>M11-CONFLICT-0094-V1.0</x:v>
      </x:c>
      <x:c r="B859" s="20" t="str">
        <x:v>规则</x:v>
      </x:c>
      <x:c r="C859" s="20" t="str">
        <x:v>M11</x:v>
      </x:c>
      <x:c r="D859" s="20" t="str">
        <x:v>11_十神组合成立</x:v>
      </x:c>
      <x:c r="E859" s="20" t="str">
        <x:v>CONFLICT</x:v>
      </x:c>
      <x:c r="F859" s="20" t="n">
        <x:v>94</x:v>
      </x:c>
      <x:c r="G859" s="20" t="str">
        <x:v>V1.0</x:v>
      </x:c>
      <x:c r="H859" s="20" t="str">
        <x:v>正偏印均有效且功能主从不清时形成混杂</x:v>
      </x:c>
      <x:c r="I859" s="20" t="str">
        <x:v>结构层</x:v>
      </x:c>
      <x:c r="J859" s="20" t="str">
        <x:v>印枭混杂_成立</x:v>
      </x:c>
      <x:c r="K859" s="20" t="str">
        <x:v>印枭混杂：当主体、客体、路径与力量匹配满足最低标准时，判“基本成立”；是否上升为格局转M14/M15。</x:v>
      </x:c>
      <x:c r="L859" s="20" t="str">
        <x:v>较高</x:v>
      </x:c>
      <x:c r="M859" s="20" t="str">
        <x:v>采用</x:v>
      </x:c>
      <x:c r="N859" s="20" t="str">
        <x:v>初审</x:v>
      </x:c>
      <x:c r="O859" s="22" t="n">
        <x:v>46255</x:v>
      </x:c>
      <x:c r="P859" s="20" t="str">
        <x:v>https://zh.wikisource.org/zh-hans/%E6%B7%B5%E6%B5%B7%E5%AD%90%E5%B9%B3 ; https://zh.wikisource.org/wiki/%E6%BB%B4%E5%A4%A9%E9%AB%93%E9%97%A1%E5%BE%AE</x:v>
      </x:c>
    </x:row>
    <x:row r="860">
      <x:c r="A860" s="20" t="str">
        <x:v>M11-CONFLICT-0095-V1.0</x:v>
      </x:c>
      <x:c r="B860" s="20" t="str">
        <x:v>规则</x:v>
      </x:c>
      <x:c r="C860" s="20" t="str">
        <x:v>M11</x:v>
      </x:c>
      <x:c r="D860" s="20" t="str">
        <x:v>11_十神组合成立</x:v>
      </x:c>
      <x:c r="E860" s="20" t="str">
        <x:v>CONFLICT</x:v>
      </x:c>
      <x:c r="F860" s="20" t="n">
        <x:v>95</x:v>
      </x:c>
      <x:c r="G860" s="20" t="str">
        <x:v>V1.0</x:v>
      </x:c>
      <x:c r="H860" s="20" t="str">
        <x:v>食伤将七杀制至明显失去平衡功能时成立</x:v>
      </x:c>
      <x:c r="I860" s="20" t="str">
        <x:v>结构层</x:v>
      </x:c>
      <x:c r="J860" s="20" t="str">
        <x:v>制杀太过_成立</x:v>
      </x:c>
      <x:c r="K860" s="20" t="str">
        <x:v>制杀太过：当主体、客体、路径与力量匹配满足最低标准时，判“基本成立”；是否上升为格局转M14/M15。</x:v>
      </x:c>
      <x:c r="L860" s="20" t="str">
        <x:v>较高</x:v>
      </x:c>
      <x:c r="M860" s="20" t="str">
        <x:v>采用</x:v>
      </x:c>
      <x:c r="N860" s="20" t="str">
        <x:v>初审</x:v>
      </x:c>
      <x:c r="O860" s="22" t="n">
        <x:v>46255</x:v>
      </x:c>
      <x:c r="P860" s="20" t="str">
        <x:v>https://zh.wikisource.org/zh-hans/%E6%B7%B5%E6%B5%B7%E5%AD%90%E5%B9%B3 ; https://zh.wikisource.org/wiki/%E6%BB%B4%E5%A4%A9%E9%AB%93%E9%97%A1%E5%BE%AE</x:v>
      </x:c>
    </x:row>
    <x:row r="861">
      <x:c r="A861" s="20" t="str">
        <x:v>M11-CONFLICT-0096-V1.0</x:v>
      </x:c>
      <x:c r="B861" s="20" t="str">
        <x:v>规则</x:v>
      </x:c>
      <x:c r="C861" s="20" t="str">
        <x:v>M11</x:v>
      </x:c>
      <x:c r="D861" s="20" t="str">
        <x:v>11_十神组合成立</x:v>
      </x:c>
      <x:c r="E861" s="20" t="str">
        <x:v>CONFLICT</x:v>
      </x:c>
      <x:c r="F861" s="20" t="n">
        <x:v>96</x:v>
      </x:c>
      <x:c r="G861" s="20" t="str">
        <x:v>V1.0</x:v>
      </x:c>
      <x:c r="H861" s="20" t="str">
        <x:v>杀旺而印弱无法承接时成立</x:v>
      </x:c>
      <x:c r="I861" s="20" t="str">
        <x:v>结构层</x:v>
      </x:c>
      <x:c r="J861" s="20" t="str">
        <x:v>化杀不及_成立</x:v>
      </x:c>
      <x:c r="K861" s="20" t="str">
        <x:v>化杀不及：当主体、客体、路径与力量匹配满足最低标准时，判“基本成立”；是否上升为格局转M14/M15。</x:v>
      </x:c>
      <x:c r="L861" s="20" t="str">
        <x:v>较高</x:v>
      </x:c>
      <x:c r="M861" s="20" t="str">
        <x:v>采用</x:v>
      </x:c>
      <x:c r="N861" s="20" t="str">
        <x:v>初审</x:v>
      </x:c>
      <x:c r="O861" s="22" t="n">
        <x:v>46255</x:v>
      </x:c>
      <x:c r="P861" s="20" t="str">
        <x:v>https://zh.wikisource.org/zh-hans/%E6%B7%B5%E6%B5%B7%E5%AD%90%E5%B9%B3 ; https://zh.wikisource.org/wiki/%E6%BB%B4%E5%A4%A9%E9%AB%93%E9%97%A1%E5%BE%AE</x:v>
      </x:c>
    </x:row>
    <x:row r="862">
      <x:c r="A862" s="20" t="str">
        <x:v>M11-CONFLICT-0097-V1.0</x:v>
      </x:c>
      <x:c r="B862" s="20" t="str">
        <x:v>规则</x:v>
      </x:c>
      <x:c r="C862" s="20" t="str">
        <x:v>M11</x:v>
      </x:c>
      <x:c r="D862" s="20" t="str">
        <x:v>11_十神组合成立</x:v>
      </x:c>
      <x:c r="E862" s="20" t="str">
        <x:v>CONFLICT</x:v>
      </x:c>
      <x:c r="F862" s="20" t="n">
        <x:v>97</x:v>
      </x:c>
      <x:c r="G862" s="20" t="str">
        <x:v>V1.0</x:v>
      </x:c>
      <x:c r="H862" s="20" t="str">
        <x:v>财旺且日主承载明显不足时成立</x:v>
      </x:c>
      <x:c r="I862" s="20" t="str">
        <x:v>结构层</x:v>
      </x:c>
      <x:c r="J862" s="20" t="str">
        <x:v>财多身弱_成立</x:v>
      </x:c>
      <x:c r="K862" s="20" t="str">
        <x:v>财多身弱：当主体、客体、路径与力量匹配满足最低标准时，判“明显成立”；是否上升为格局转M14/M15。</x:v>
      </x:c>
      <x:c r="L862" s="20" t="str">
        <x:v>较高</x:v>
      </x:c>
      <x:c r="M862" s="20" t="str">
        <x:v>采用</x:v>
      </x:c>
      <x:c r="N862" s="20" t="str">
        <x:v>初审</x:v>
      </x:c>
      <x:c r="O862" s="22" t="n">
        <x:v>46255</x:v>
      </x:c>
      <x:c r="P862" s="20" t="str">
        <x:v>https://zh.wikisource.org/zh-hans/%E6%B7%B5%E6%B5%B7%E5%AD%90%E5%B9%B3 ; https://zh.wikisource.org/wiki/%E6%BB%B4%E5%A4%A9%E9%AB%93%E9%97%A1%E5%BE%AE</x:v>
      </x:c>
    </x:row>
    <x:row r="863">
      <x:c r="A863" s="20" t="str">
        <x:v>M11-CONFLICT-0098-V1.0</x:v>
      </x:c>
      <x:c r="B863" s="20" t="str">
        <x:v>规则</x:v>
      </x:c>
      <x:c r="C863" s="20" t="str">
        <x:v>M11</x:v>
      </x:c>
      <x:c r="D863" s="20" t="str">
        <x:v>11_十神组合成立</x:v>
      </x:c>
      <x:c r="E863" s="20" t="str">
        <x:v>CONFLICT</x:v>
      </x:c>
      <x:c r="F863" s="20" t="n">
        <x:v>98</x:v>
      </x:c>
      <x:c r="G863" s="20" t="str">
        <x:v>V1.0</x:v>
      </x:c>
      <x:c r="H863" s="20" t="str">
        <x:v>印过旺并阻碍必要输出时才形成身滞候选</x:v>
      </x:c>
      <x:c r="I863" s="20" t="str">
        <x:v>结构层</x:v>
      </x:c>
      <x:c r="J863" s="20" t="str">
        <x:v>印多身滞_成立</x:v>
      </x:c>
      <x:c r="K863" s="20" t="str">
        <x:v>印多身滞：当主体、客体、路径与力量匹配满足最低标准时，判“基本成立”；是否上升为格局转M14/M15。</x:v>
      </x:c>
      <x:c r="L863" s="20" t="str">
        <x:v>较高</x:v>
      </x:c>
      <x:c r="M863" s="20" t="str">
        <x:v>采用</x:v>
      </x:c>
      <x:c r="N863" s="20" t="str">
        <x:v>初审</x:v>
      </x:c>
      <x:c r="O863" s="22" t="n">
        <x:v>46255</x:v>
      </x:c>
      <x:c r="P863" s="20" t="str">
        <x:v>https://zh.wikisource.org/zh-hans/%E6%B7%B5%E6%B5%B7%E5%AD%90%E5%B9%B3 ; https://zh.wikisource.org/wiki/%E6%BB%B4%E5%A4%A9%E9%AB%93%E9%97%A1%E5%BE%AE</x:v>
      </x:c>
    </x:row>
    <x:row r="864">
      <x:c r="A864" s="20" t="str">
        <x:v>M11-CONFLICT-0099-V1.0</x:v>
      </x:c>
      <x:c r="B864" s="20" t="str">
        <x:v>规则</x:v>
      </x:c>
      <x:c r="C864" s="20" t="str">
        <x:v>M11</x:v>
      </x:c>
      <x:c r="D864" s="20" t="str">
        <x:v>11_十神组合成立</x:v>
      </x:c>
      <x:c r="E864" s="20" t="str">
        <x:v>CONFLICT</x:v>
      </x:c>
      <x:c r="F864" s="20" t="n">
        <x:v>99</x:v>
      </x:c>
      <x:c r="G864" s="20" t="str">
        <x:v>V1.0</x:v>
      </x:c>
      <x:c r="H864" s="20" t="str">
        <x:v>两条制化路线争夺同一核心节点时需做容量裁决</x:v>
      </x:c>
      <x:c r="I864" s="20" t="str">
        <x:v>结构层</x:v>
      </x:c>
      <x:c r="J864" s="20" t="str">
        <x:v>制化两立_成立</x:v>
      </x:c>
      <x:c r="K864" s="20" t="str">
        <x:v>制化两立：当主体、客体、路径与力量匹配满足最低标准时，判“基本成立”；是否上升为格局转M14/M15。</x:v>
      </x:c>
      <x:c r="L864" s="20" t="str">
        <x:v>较高</x:v>
      </x:c>
      <x:c r="M864" s="20" t="str">
        <x:v>采用</x:v>
      </x:c>
      <x:c r="N864" s="20" t="str">
        <x:v>初审</x:v>
      </x:c>
      <x:c r="O864" s="22" t="n">
        <x:v>46255</x:v>
      </x:c>
      <x:c r="P864" s="20" t="str">
        <x:v>https://zh.wikisource.org/zh-hans/%E6%B7%B5%E6%B5%B7%E5%AD%90%E5%B9%B3 ; https://zh.wikisource.org/wiki/%E6%BB%B4%E5%A4%A9%E9%AB%93%E9%97%A1%E5%BE%AE</x:v>
      </x:c>
    </x:row>
    <x:row r="865">
      <x:c r="A865" s="20" t="str">
        <x:v>M11-CONFLICT-0100-V1.0</x:v>
      </x:c>
      <x:c r="B865" s="20" t="str">
        <x:v>规则</x:v>
      </x:c>
      <x:c r="C865" s="20" t="str">
        <x:v>M11</x:v>
      </x:c>
      <x:c r="D865" s="20" t="str">
        <x:v>11_十神组合成立</x:v>
      </x:c>
      <x:c r="E865" s="20" t="str">
        <x:v>CONFLICT</x:v>
      </x:c>
      <x:c r="F865" s="20" t="n">
        <x:v>100</x:v>
      </x:c>
      <x:c r="G865" s="20" t="str">
        <x:v>V1.0</x:v>
      </x:c>
      <x:c r="H865" s="20" t="str">
        <x:v>多个病态组合同时成立时不得简单叠加吉凶</x:v>
      </x:c>
      <x:c r="I865" s="20" t="str">
        <x:v>结构层</x:v>
      </x:c>
      <x:c r="J865" s="20" t="str">
        <x:v>复合冲突_转综合</x:v>
      </x:c>
      <x:c r="K865" s="20" t="str">
        <x:v>复合冲突：当主体、客体、路径与力量匹配满足最低标准时，判“基本成立”；是否上升为格局转M14/M15。</x:v>
      </x:c>
      <x:c r="L865" s="20" t="str">
        <x:v>较高</x:v>
      </x:c>
      <x:c r="M865" s="20" t="str">
        <x:v>采用</x:v>
      </x:c>
      <x:c r="N865" s="20" t="str">
        <x:v>初审</x:v>
      </x:c>
      <x:c r="O865" s="22" t="n">
        <x:v>46255</x:v>
      </x:c>
      <x:c r="P865" s="20" t="str">
        <x:v>https://zh.wikisource.org/zh-hans/%E6%B7%B5%E6%B5%B7%E5%AD%90%E5%B9%B3 ; https://zh.wikisource.org/wiki/%E6%BB%B4%E5%A4%A9%E9%AB%93%E9%97%A1%E5%BE%AE</x:v>
      </x:c>
    </x:row>
    <x:row r="866">
      <x:c r="A866" s="20" t="str">
        <x:v>M11-BOUND-0101-V1.0</x:v>
      </x:c>
      <x:c r="B866" s="20" t="str">
        <x:v>规则</x:v>
      </x:c>
      <x:c r="C866" s="20" t="str">
        <x:v>M11</x:v>
      </x:c>
      <x:c r="D866" s="20" t="str">
        <x:v>11_十神组合成立</x:v>
      </x:c>
      <x:c r="E866" s="20" t="str">
        <x:v>BOUND</x:v>
      </x:c>
      <x:c r="F866" s="20" t="n">
        <x:v>101</x:v>
      </x:c>
      <x:c r="G866" s="20" t="str">
        <x:v>V1.0</x:v>
      </x:c>
      <x:c r="H866" s="20" t="str">
        <x:v>组合名称不得替代实际功能判断</x:v>
      </x:c>
      <x:c r="I866" s="20" t="str">
        <x:v>结构层</x:v>
      </x:c>
      <x:c r="J866" s="20" t="str">
        <x:v>组合命名边界</x:v>
      </x:c>
      <x:c r="K866" s="20" t="str">
        <x:v>十神组合边界：当主体、客体、路径与力量匹配满足最低标准时，判“待定”；是否上升为格局转M14/M15。</x:v>
      </x:c>
      <x:c r="L866" s="20" t="str">
        <x:v>较高</x:v>
      </x:c>
      <x:c r="M866" s="20" t="str">
        <x:v>采用</x:v>
      </x:c>
      <x:c r="N866" s="20" t="str">
        <x:v>初审</x:v>
      </x:c>
      <x:c r="O866" s="22" t="n">
        <x:v>46255</x:v>
      </x:c>
      <x:c r="P866" s="20" t="str">
        <x:v>https://zh.wikisource.org/zh-hans/%E6%B7%B5%E6%B5%B7%E5%AD%90%E5%B9%B3 ; https://zh.wikisource.org/wiki/%E6%BB%B4%E5%A4%A9%E9%AB%93%E9%97%A1%E5%BE%AE</x:v>
      </x:c>
    </x:row>
    <x:row r="867">
      <x:c r="A867" s="20" t="str">
        <x:v>M11-BOUND-0102-V1.0</x:v>
      </x:c>
      <x:c r="B867" s="20" t="str">
        <x:v>规则</x:v>
      </x:c>
      <x:c r="C867" s="20" t="str">
        <x:v>M11</x:v>
      </x:c>
      <x:c r="D867" s="20" t="str">
        <x:v>11_十神组合成立</x:v>
      </x:c>
      <x:c r="E867" s="20" t="str">
        <x:v>BOUND</x:v>
      </x:c>
      <x:c r="F867" s="20" t="n">
        <x:v>102</x:v>
      </x:c>
      <x:c r="G867" s="20" t="str">
        <x:v>V1.0</x:v>
      </x:c>
      <x:c r="H867" s="20" t="str">
        <x:v>位置远近只影响路径强弱不作绝对否决</x:v>
      </x:c>
      <x:c r="I867" s="20" t="str">
        <x:v>结构层</x:v>
      </x:c>
      <x:c r="J867" s="20" t="str">
        <x:v>组合位置边界</x:v>
      </x:c>
      <x:c r="K867" s="20" t="str">
        <x:v>十神组合边界：当主体、客体、路径与力量匹配满足最低标准时，判“待定”；是否上升为格局转M14/M15。</x:v>
      </x:c>
      <x:c r="L867" s="20" t="str">
        <x:v>较高</x:v>
      </x:c>
      <x:c r="M867" s="20" t="str">
        <x:v>采用</x:v>
      </x:c>
      <x:c r="N867" s="20" t="str">
        <x:v>初审</x:v>
      </x:c>
      <x:c r="O867" s="22" t="n">
        <x:v>46255</x:v>
      </x:c>
      <x:c r="P867" s="20" t="str">
        <x:v>https://zh.wikisource.org/zh-hans/%E6%B7%B5%E6%B5%B7%E5%AD%90%E5%B9%B3 ; https://zh.wikisource.org/wiki/%E6%BB%B4%E5%A4%A9%E9%AB%93%E9%97%A1%E5%BE%AE</x:v>
      </x:c>
    </x:row>
    <x:row r="868">
      <x:c r="A868" s="20" t="str">
        <x:v>M11-BOUND-0103-V1.0</x:v>
      </x:c>
      <x:c r="B868" s="20" t="str">
        <x:v>规则</x:v>
      </x:c>
      <x:c r="C868" s="20" t="str">
        <x:v>M11</x:v>
      </x:c>
      <x:c r="D868" s="20" t="str">
        <x:v>11_十神组合成立</x:v>
      </x:c>
      <x:c r="E868" s="20" t="str">
        <x:v>BOUND</x:v>
      </x:c>
      <x:c r="F868" s="20" t="n">
        <x:v>103</x:v>
      </x:c>
      <x:c r="G868" s="20" t="str">
        <x:v>V1.0</x:v>
      </x:c>
      <x:c r="H868" s="20" t="str">
        <x:v>藏干组合需要更严格验证透达和可调用性</x:v>
      </x:c>
      <x:c r="I868" s="20" t="str">
        <x:v>结构层</x:v>
      </x:c>
      <x:c r="J868" s="20" t="str">
        <x:v>藏干组合边界</x:v>
      </x:c>
      <x:c r="K868" s="20" t="str">
        <x:v>十神组合边界：当主体、客体、路径与力量匹配满足最低标准时，判“弱成立”；是否上升为格局转M14/M15。</x:v>
      </x:c>
      <x:c r="L868" s="20" t="str">
        <x:v>较高</x:v>
      </x:c>
      <x:c r="M868" s="20" t="str">
        <x:v>采用</x:v>
      </x:c>
      <x:c r="N868" s="20" t="str">
        <x:v>初审</x:v>
      </x:c>
      <x:c r="O868" s="22" t="n">
        <x:v>46255</x:v>
      </x:c>
      <x:c r="P868" s="20" t="str">
        <x:v>https://zh.wikisource.org/zh-hans/%E6%B7%B5%E6%B5%B7%E5%AD%90%E5%B9%B3 ; https://zh.wikisource.org/wiki/%E6%BB%B4%E5%A4%A9%E9%AB%93%E9%97%A1%E5%BE%AE</x:v>
      </x:c>
    </x:row>
    <x:row r="869">
      <x:c r="A869" s="20" t="str">
        <x:v>M11-BOUND-0104-V1.0</x:v>
      </x:c>
      <x:c r="B869" s="20" t="str">
        <x:v>规则</x:v>
      </x:c>
      <x:c r="C869" s="20" t="str">
        <x:v>M11</x:v>
      </x:c>
      <x:c r="D869" s="20" t="str">
        <x:v>11_十神组合成立</x:v>
      </x:c>
      <x:c r="E869" s="20" t="str">
        <x:v>BOUND</x:v>
      </x:c>
      <x:c r="F869" s="20" t="n">
        <x:v>104</x:v>
      </x:c>
      <x:c r="G869" s="20" t="str">
        <x:v>V1.0</x:v>
      </x:c>
      <x:c r="H869" s="20" t="str">
        <x:v>同一十神可参加多个组合但不得重复全额计力</x:v>
      </x:c>
      <x:c r="I869" s="20" t="str">
        <x:v>结构层</x:v>
      </x:c>
      <x:c r="J869" s="20" t="str">
        <x:v>组合共享节点边界</x:v>
      </x:c>
      <x:c r="K869" s="20" t="str">
        <x:v>十神组合边界：当主体、客体、路径与力量匹配满足最低标准时，判“待定”；是否上升为格局转M14/M15。</x:v>
      </x:c>
      <x:c r="L869" s="20" t="str">
        <x:v>较高</x:v>
      </x:c>
      <x:c r="M869" s="20" t="str">
        <x:v>采用</x:v>
      </x:c>
      <x:c r="N869" s="20" t="str">
        <x:v>初审</x:v>
      </x:c>
      <x:c r="O869" s="22" t="n">
        <x:v>46255</x:v>
      </x:c>
      <x:c r="P869" s="20" t="str">
        <x:v>https://zh.wikisource.org/zh-hans/%E6%B7%B5%E6%B5%B7%E5%AD%90%E5%B9%B3 ; https://zh.wikisource.org/wiki/%E6%BB%B4%E5%A4%A9%E9%AB%93%E9%97%A1%E5%BE%AE</x:v>
      </x:c>
    </x:row>
    <x:row r="870">
      <x:c r="A870" s="20" t="str">
        <x:v>M11-BOUND-0105-V1.0</x:v>
      </x:c>
      <x:c r="B870" s="20" t="str">
        <x:v>规则</x:v>
      </x:c>
      <x:c r="C870" s="20" t="str">
        <x:v>M11</x:v>
      </x:c>
      <x:c r="D870" s="20" t="str">
        <x:v>11_十神组合成立</x:v>
      </x:c>
      <x:c r="E870" s="20" t="str">
        <x:v>BOUND</x:v>
      </x:c>
      <x:c r="F870" s="20" t="n">
        <x:v>105</x:v>
      </x:c>
      <x:c r="G870" s="20" t="str">
        <x:v>V1.0</x:v>
      </x:c>
      <x:c r="H870" s="20" t="str">
        <x:v>原局组合与岁运补成组合必须分开</x:v>
      </x:c>
      <x:c r="I870" s="20" t="str">
        <x:v>结构层</x:v>
      </x:c>
      <x:c r="J870" s="20" t="str">
        <x:v>组合静动态边界</x:v>
      </x:c>
      <x:c r="K870" s="20" t="str">
        <x:v>十神组合边界：当主体、客体、路径与力量匹配满足最低标准时，判“不成立”；是否上升为格局转M14/M15。</x:v>
      </x:c>
      <x:c r="L870" s="20" t="str">
        <x:v>较高</x:v>
      </x:c>
      <x:c r="M870" s="20" t="str">
        <x:v>采用</x:v>
      </x:c>
      <x:c r="N870" s="20" t="str">
        <x:v>初审</x:v>
      </x:c>
      <x:c r="O870" s="22" t="n">
        <x:v>46255</x:v>
      </x:c>
      <x:c r="P870" s="20" t="str">
        <x:v>https://zh.wikisource.org/zh-hans/%E6%B7%B5%E6%B5%B7%E5%AD%90%E5%B9%B3 ; https://zh.wikisource.org/wiki/%E6%BB%B4%E5%A4%A9%E9%AB%93%E9%97%A1%E5%BE%AE</x:v>
      </x:c>
    </x:row>
    <x:row r="871">
      <x:c r="A871" s="20" t="str">
        <x:v>M11-BOUND-0106-V1.0</x:v>
      </x:c>
      <x:c r="B871" s="20" t="str">
        <x:v>规则</x:v>
      </x:c>
      <x:c r="C871" s="20" t="str">
        <x:v>M11</x:v>
      </x:c>
      <x:c r="D871" s="20" t="str">
        <x:v>11_十神组合成立</x:v>
      </x:c>
      <x:c r="E871" s="20" t="str">
        <x:v>BOUND</x:v>
      </x:c>
      <x:c r="F871" s="20" t="n">
        <x:v>106</x:v>
      </x:c>
      <x:c r="G871" s="20" t="str">
        <x:v>V1.0</x:v>
      </x:c>
      <x:c r="H871" s="20" t="str">
        <x:v>组合成立不得直接推出吉凶与具体事件</x:v>
      </x:c>
      <x:c r="I871" s="20" t="str">
        <x:v>结构层</x:v>
      </x:c>
      <x:c r="J871" s="20" t="str">
        <x:v>组合事件边界</x:v>
      </x:c>
      <x:c r="K871" s="20" t="str">
        <x:v>十神组合边界：当主体、客体、路径与力量匹配满足最低标准时，判“待定”；是否上升为格局转M14/M15。</x:v>
      </x:c>
      <x:c r="L871" s="20" t="str">
        <x:v>较高</x:v>
      </x:c>
      <x:c r="M871" s="20" t="str">
        <x:v>采用</x:v>
      </x:c>
      <x:c r="N871" s="20" t="str">
        <x:v>初审</x:v>
      </x:c>
      <x:c r="O871" s="22" t="n">
        <x:v>46255</x:v>
      </x:c>
      <x:c r="P871" s="20" t="str">
        <x:v>https://zh.wikisource.org/zh-hans/%E6%B7%B5%E6%B5%B7%E5%AD%90%E5%B9%B3 ; https://zh.wikisource.org/wiki/%E6%BB%B4%E5%A4%A9%E9%AB%93%E9%97%A1%E5%BE%AE</x:v>
      </x:c>
    </x:row>
    <x:row r="872">
      <x:c r="A872" s="20" t="str">
        <x:v>M11-BOUND-0107-V1.0</x:v>
      </x:c>
      <x:c r="B872" s="20" t="str">
        <x:v>规则</x:v>
      </x:c>
      <x:c r="C872" s="20" t="str">
        <x:v>M11</x:v>
      </x:c>
      <x:c r="D872" s="20" t="str">
        <x:v>11_十神组合成立</x:v>
      </x:c>
      <x:c r="E872" s="20" t="str">
        <x:v>BOUND</x:v>
      </x:c>
      <x:c r="F872" s="20" t="n">
        <x:v>107</x:v>
      </x:c>
      <x:c r="G872" s="20" t="str">
        <x:v>V1.0</x:v>
      </x:c>
      <x:c r="H872" s="20" t="str">
        <x:v>病态组合也可能有救应不能只看名称</x:v>
      </x:c>
      <x:c r="I872" s="20" t="str">
        <x:v>结构层</x:v>
      </x:c>
      <x:c r="J872" s="20" t="str">
        <x:v>病态组合救应边界</x:v>
      </x:c>
      <x:c r="K872" s="20" t="str">
        <x:v>十神组合边界：当主体、客体、路径与力量匹配满足最低标准时，判“待定”；是否上升为格局转M14/M15。</x:v>
      </x:c>
      <x:c r="L872" s="20" t="str">
        <x:v>较高</x:v>
      </x:c>
      <x:c r="M872" s="20" t="str">
        <x:v>采用</x:v>
      </x:c>
      <x:c r="N872" s="20" t="str">
        <x:v>初审</x:v>
      </x:c>
      <x:c r="O872" s="22" t="n">
        <x:v>46255</x:v>
      </x:c>
      <x:c r="P872" s="20" t="str">
        <x:v>https://zh.wikisource.org/zh-hans/%E6%B7%B5%E6%B5%B7%E5%AD%90%E5%B9%B3 ; https://zh.wikisource.org/wiki/%E6%BB%B4%E5%A4%A9%E9%AB%93%E9%97%A1%E5%BE%AE</x:v>
      </x:c>
    </x:row>
    <x:row r="873">
      <x:c r="A873" s="20" t="str">
        <x:v>M11-BOUND-0108-V1.0</x:v>
      </x:c>
      <x:c r="B873" s="20" t="str">
        <x:v>规则</x:v>
      </x:c>
      <x:c r="C873" s="20" t="str">
        <x:v>M11</x:v>
      </x:c>
      <x:c r="D873" s="20" t="str">
        <x:v>11_十神组合成立</x:v>
      </x:c>
      <x:c r="E873" s="20" t="str">
        <x:v>BOUND</x:v>
      </x:c>
      <x:c r="F873" s="20" t="n">
        <x:v>108</x:v>
      </x:c>
      <x:c r="G873" s="20" t="str">
        <x:v>V1.0</x:v>
      </x:c>
      <x:c r="H873" s="20" t="str">
        <x:v>传统口诀必须条件化落地</x:v>
      </x:c>
      <x:c r="I873" s="20" t="str">
        <x:v>结构层</x:v>
      </x:c>
      <x:c r="J873" s="20" t="str">
        <x:v>口诀条件化治理</x:v>
      </x:c>
      <x:c r="K873" s="20" t="str">
        <x:v>十神组合边界：当主体、客体、路径与力量匹配满足最低标准时，判“基本成立”；是否上升为格局转M14/M15。</x:v>
      </x:c>
      <x:c r="L873" s="20" t="str">
        <x:v>中等</x:v>
      </x:c>
      <x:c r="M873" s="20" t="str">
        <x:v>待验证</x:v>
      </x:c>
      <x:c r="N873" s="20" t="str">
        <x:v>初审</x:v>
      </x:c>
      <x:c r="O873" s="22" t="n">
        <x:v>46255</x:v>
      </x:c>
      <x:c r="P873" s="20" t="str">
        <x:v>https://zh.wikisource.org/zh-hans/%E6%B7%B5%E6%B5%B7%E5%AD%90%E5%B9%B3 ; https://zh.wikisource.org/wiki/%E6%BB%B4%E5%A4%A9%E9%AB%93%E9%97%A1%E5%BE%AE</x:v>
      </x:c>
    </x:row>
    <x:row r="874">
      <x:c r="A874" s="20" t="str">
        <x:v>M11-BOUND-0109-V1.0</x:v>
      </x:c>
      <x:c r="B874" s="20" t="str">
        <x:v>规则</x:v>
      </x:c>
      <x:c r="C874" s="20" t="str">
        <x:v>M11</x:v>
      </x:c>
      <x:c r="D874" s="20" t="str">
        <x:v>11_十神组合成立</x:v>
      </x:c>
      <x:c r="E874" s="20" t="str">
        <x:v>BOUND</x:v>
      </x:c>
      <x:c r="F874" s="20" t="n">
        <x:v>109</x:v>
      </x:c>
      <x:c r="G874" s="20" t="str">
        <x:v>V1.0</x:v>
      </x:c>
      <x:c r="H874" s="20" t="str">
        <x:v>流派分歧组合进入M21治理</x:v>
      </x:c>
      <x:c r="I874" s="20" t="str">
        <x:v>结构层</x:v>
      </x:c>
      <x:c r="J874" s="20" t="str">
        <x:v>组合流派治理</x:v>
      </x:c>
      <x:c r="K874" s="20" t="str">
        <x:v>十神组合边界：当主体、客体、路径与力量匹配满足最低标准时，判“待定”；是否上升为格局转M14/M15。</x:v>
      </x:c>
      <x:c r="L874" s="20" t="str">
        <x:v>中等</x:v>
      </x:c>
      <x:c r="M874" s="20" t="str">
        <x:v>待验证</x:v>
      </x:c>
      <x:c r="N874" s="20" t="str">
        <x:v>初审</x:v>
      </x:c>
      <x:c r="O874" s="22" t="n">
        <x:v>46255</x:v>
      </x:c>
      <x:c r="P874" s="20" t="str">
        <x:v>https://zh.wikisource.org/zh-hans/%E6%B7%B5%E6%B5%B7%E5%AD%90%E5%B9%B3 ; https://zh.wikisource.org/wiki/%E6%BB%B4%E5%A4%A9%E9%AB%93%E9%97%A1%E5%BE%AE</x:v>
      </x:c>
    </x:row>
    <x:row r="875">
      <x:c r="A875" s="20" t="str">
        <x:v>M11-BOUND-0110-V1.0</x:v>
      </x:c>
      <x:c r="B875" s="20" t="str">
        <x:v>规则</x:v>
      </x:c>
      <x:c r="C875" s="20" t="str">
        <x:v>M11</x:v>
      </x:c>
      <x:c r="D875" s="20" t="str">
        <x:v>11_十神组合成立</x:v>
      </x:c>
      <x:c r="E875" s="20" t="str">
        <x:v>BOUND</x:v>
      </x:c>
      <x:c r="F875" s="20" t="n">
        <x:v>110</x:v>
      </x:c>
      <x:c r="G875" s="20" t="str">
        <x:v>V1.0</x:v>
      </x:c>
      <x:c r="H875" s="20" t="str">
        <x:v>M11标准输出必须给出成立等级与否决理由</x:v>
      </x:c>
      <x:c r="I875" s="20" t="str">
        <x:v>结构层</x:v>
      </x:c>
      <x:c r="J875" s="20" t="str">
        <x:v>组合标准输出</x:v>
      </x:c>
      <x:c r="K875" s="20" t="str">
        <x:v>M11最终输出：组合名称、核心十神、作用路径、力量匹配、日主承载、成立等级、实际功能、主要破坏、救应、否决理由、格局候选资格和置信度。</x:v>
      </x:c>
      <x:c r="L875" s="20" t="str">
        <x:v>较高</x:v>
      </x:c>
      <x:c r="M875" s="20" t="str">
        <x:v>采用</x:v>
      </x:c>
      <x:c r="N875" s="20" t="str">
        <x:v>初审</x:v>
      </x:c>
      <x:c r="O875" s="22" t="n">
        <x:v>46255</x:v>
      </x:c>
      <x:c r="P875" s="20" t="str">
        <x:v>https://zh.wikisource.org/zh-hans/%E6%B7%B5%E6%B5%B7%E5%AD%90%E5%B9%B3 ; https://zh.wikisource.org/wiki/%E6%BB%B4%E5%A4%A9%E9%AB%93%E9%97%A1%E5%BE%AE</x:v>
      </x:c>
    </x:row>
    <x:row r="876">
      <x:c r="A876" s="20" t="str">
        <x:v>M12-GEN-0001-V1.0</x:v>
      </x:c>
      <x:c r="B876" s="20" t="str">
        <x:v>规则</x:v>
      </x:c>
      <x:c r="C876" s="20" t="str">
        <x:v>M12</x:v>
      </x:c>
      <x:c r="D876" s="20" t="str">
        <x:v>12_五行流通卡点</x:v>
      </x:c>
      <x:c r="E876" s="20" t="str">
        <x:v>GEN</x:v>
      </x:c>
      <x:c r="F876" s="20" t="n">
        <x:v>1</x:v>
      </x:c>
      <x:c r="G876" s="20" t="str">
        <x:v>V1.0</x:v>
      </x:c>
      <x:c r="H876" s="20" t="str">
        <x:v>所有流通判断统一使用起点—桥梁—终点模型</x:v>
      </x:c>
      <x:c r="I876" s="20" t="str">
        <x:v>结构层</x:v>
      </x:c>
      <x:c r="J876" s="20" t="str">
        <x:v>流通三节点模型</x:v>
      </x:c>
      <x:c r="K876" s="20" t="str">
        <x:v>所有流通判断统一使用起点—桥梁—终点模型：按起点—桥梁—终点检查有效力量、连续性与承载；卡点为“其他”时，仅生成通关候选，不直接定用神。</x:v>
      </x:c>
      <x:c r="L876" s="20" t="str">
        <x:v>较高</x:v>
      </x:c>
      <x:c r="M876" s="20" t="str">
        <x:v>采用</x:v>
      </x:c>
      <x:c r="N876" s="20" t="str">
        <x:v>初审</x:v>
      </x:c>
      <x:c r="O876" s="22" t="n">
        <x:v>46255</x:v>
      </x:c>
      <x:c r="P876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877">
      <x:c r="A877" s="20" t="str">
        <x:v>M12-GEN-0002-V1.0</x:v>
      </x:c>
      <x:c r="B877" s="20" t="str">
        <x:v>规则</x:v>
      </x:c>
      <x:c r="C877" s="20" t="str">
        <x:v>M12</x:v>
      </x:c>
      <x:c r="D877" s="20" t="str">
        <x:v>12_五行流通卡点</x:v>
      </x:c>
      <x:c r="E877" s="20" t="str">
        <x:v>GEN</x:v>
      </x:c>
      <x:c r="F877" s="20" t="n">
        <x:v>2</x:v>
      </x:c>
      <x:c r="G877" s="20" t="str">
        <x:v>V1.0</x:v>
      </x:c>
      <x:c r="H877" s="20" t="str">
        <x:v>五行齐全不等于流通通畅</x:v>
      </x:c>
      <x:c r="I877" s="20" t="str">
        <x:v>结构层</x:v>
      </x:c>
      <x:c r="J877" s="20" t="str">
        <x:v>五行齐全非充分条件</x:v>
      </x:c>
      <x:c r="K877" s="20" t="str">
        <x:v>五行齐全不等于流通通畅：按起点—桥梁—终点检查有效力量、连续性与承载；卡点为“其他”时，仅生成通关候选，不直接定用神。</x:v>
      </x:c>
      <x:c r="L877" s="20" t="str">
        <x:v>较高</x:v>
      </x:c>
      <x:c r="M877" s="20" t="str">
        <x:v>采用</x:v>
      </x:c>
      <x:c r="N877" s="20" t="str">
        <x:v>初审</x:v>
      </x:c>
      <x:c r="O877" s="22" t="n">
        <x:v>46255</x:v>
      </x:c>
      <x:c r="P877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878">
      <x:c r="A878" s="20" t="str">
        <x:v>M12-GEN-0003-V1.0</x:v>
      </x:c>
      <x:c r="B878" s="20" t="str">
        <x:v>规则</x:v>
      </x:c>
      <x:c r="C878" s="20" t="str">
        <x:v>M12</x:v>
      </x:c>
      <x:c r="D878" s="20" t="str">
        <x:v>12_五行流通卡点</x:v>
      </x:c>
      <x:c r="E878" s="20" t="str">
        <x:v>GEN</x:v>
      </x:c>
      <x:c r="F878" s="20" t="n">
        <x:v>3</x:v>
      </x:c>
      <x:c r="G878" s="20" t="str">
        <x:v>V1.0</x:v>
      </x:c>
      <x:c r="H878" s="20" t="str">
        <x:v>五行缺失不等于必然形成卡点</x:v>
      </x:c>
      <x:c r="I878" s="20" t="str">
        <x:v>结构层</x:v>
      </x:c>
      <x:c r="J878" s="20" t="str">
        <x:v>五行缺失非卡点充分条件</x:v>
      </x:c>
      <x:c r="K878" s="20" t="str">
        <x:v>五行缺失不等于必然形成卡点：按起点—桥梁—终点检查有效力量、连续性与承载；卡点为“缺桥”时，仅生成通关候选，不直接定用神。</x:v>
      </x:c>
      <x:c r="L878" s="20" t="str">
        <x:v>较高</x:v>
      </x:c>
      <x:c r="M878" s="20" t="str">
        <x:v>采用</x:v>
      </x:c>
      <x:c r="N878" s="20" t="str">
        <x:v>初审</x:v>
      </x:c>
      <x:c r="O878" s="22" t="n">
        <x:v>46255</x:v>
      </x:c>
      <x:c r="P878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879">
      <x:c r="A879" s="20" t="str">
        <x:v>M12-GEN-0004-V1.0</x:v>
      </x:c>
      <x:c r="B879" s="20" t="str">
        <x:v>规则</x:v>
      </x:c>
      <x:c r="C879" s="20" t="str">
        <x:v>M12</x:v>
      </x:c>
      <x:c r="D879" s="20" t="str">
        <x:v>12_五行流通卡点</x:v>
      </x:c>
      <x:c r="E879" s="20" t="str">
        <x:v>GEN</x:v>
      </x:c>
      <x:c r="F879" s="20" t="n">
        <x:v>4</x:v>
      </x:c>
      <x:c r="G879" s="20" t="str">
        <x:v>V1.0</x:v>
      </x:c>
      <x:c r="H879" s="20" t="str">
        <x:v>流通只读取有效力量而不读取名义存在</x:v>
      </x:c>
      <x:c r="I879" s="20" t="str">
        <x:v>结构层</x:v>
      </x:c>
      <x:c r="J879" s="20" t="str">
        <x:v>有效力量优先</x:v>
      </x:c>
      <x:c r="K879" s="20" t="str">
        <x:v>流通只读取有效力量而不读取名义存在：按起点—桥梁—终点检查有效力量、连续性与承载；卡点为“桥梁太弱”时，仅生成通关候选，不直接定用神。</x:v>
      </x:c>
      <x:c r="L879" s="20" t="str">
        <x:v>较高</x:v>
      </x:c>
      <x:c r="M879" s="20" t="str">
        <x:v>采用</x:v>
      </x:c>
      <x:c r="N879" s="20" t="str">
        <x:v>初审</x:v>
      </x:c>
      <x:c r="O879" s="22" t="n">
        <x:v>46255</x:v>
      </x:c>
      <x:c r="P879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880">
      <x:c r="A880" s="20" t="str">
        <x:v>M12-GEN-0005-V1.0</x:v>
      </x:c>
      <x:c r="B880" s="20" t="str">
        <x:v>规则</x:v>
      </x:c>
      <x:c r="C880" s="20" t="str">
        <x:v>M12</x:v>
      </x:c>
      <x:c r="D880" s="20" t="str">
        <x:v>12_五行流通卡点</x:v>
      </x:c>
      <x:c r="E880" s="20" t="str">
        <x:v>GEN</x:v>
      </x:c>
      <x:c r="F880" s="20" t="n">
        <x:v>5</x:v>
      </x:c>
      <x:c r="G880" s="20" t="str">
        <x:v>V1.0</x:v>
      </x:c>
      <x:c r="H880" s="20" t="str">
        <x:v>路径长度增加会降低末端有效传递</x:v>
      </x:c>
      <x:c r="I880" s="20" t="str">
        <x:v>结构层</x:v>
      </x:c>
      <x:c r="J880" s="20" t="str">
        <x:v>链路长度衰减</x:v>
      </x:c>
      <x:c r="K880" s="20" t="str">
        <x:v>路径长度增加会降低末端有效传递：按起点—桥梁—终点检查有效力量、连续性与承载；卡点为“链路过长”时，仅生成通关候选，不直接定用神。</x:v>
      </x:c>
      <x:c r="L880" s="20" t="str">
        <x:v>较高</x:v>
      </x:c>
      <x:c r="M880" s="20" t="str">
        <x:v>采用</x:v>
      </x:c>
      <x:c r="N880" s="20" t="str">
        <x:v>初审</x:v>
      </x:c>
      <x:c r="O880" s="22" t="n">
        <x:v>46255</x:v>
      </x:c>
      <x:c r="P880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881">
      <x:c r="A881" s="20" t="str">
        <x:v>M12-GEN-0006-V1.0</x:v>
      </x:c>
      <x:c r="B881" s="20" t="str">
        <x:v>规则</x:v>
      </x:c>
      <x:c r="C881" s="20" t="str">
        <x:v>M12</x:v>
      </x:c>
      <x:c r="D881" s="20" t="str">
        <x:v>12_五行流通卡点</x:v>
      </x:c>
      <x:c r="E881" s="20" t="str">
        <x:v>GEN</x:v>
      </x:c>
      <x:c r="F881" s="20" t="n">
        <x:v>6</x:v>
      </x:c>
      <x:c r="G881" s="20" t="str">
        <x:v>V1.0</x:v>
      </x:c>
      <x:c r="H881" s="20" t="str">
        <x:v>同一节点参与多条路径必须进行容量去重</x:v>
      </x:c>
      <x:c r="I881" s="20" t="str">
        <x:v>结构层</x:v>
      </x:c>
      <x:c r="J881" s="20" t="str">
        <x:v>路径容量去重</x:v>
      </x:c>
      <x:c r="K881" s="20" t="str">
        <x:v>同一节点参与多条路径必须进行容量去重：按起点—桥梁—终点检查有效力量、连续性与承载；卡点为“其他”时，仅生成通关候选，不直接定用神。</x:v>
      </x:c>
      <x:c r="L881" s="20" t="str">
        <x:v>较高</x:v>
      </x:c>
      <x:c r="M881" s="20" t="str">
        <x:v>采用</x:v>
      </x:c>
      <x:c r="N881" s="20" t="str">
        <x:v>初审</x:v>
      </x:c>
      <x:c r="O881" s="22" t="n">
        <x:v>46255</x:v>
      </x:c>
      <x:c r="P881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882">
      <x:c r="A882" s="20" t="str">
        <x:v>M12-GEN-0007-V1.0</x:v>
      </x:c>
      <x:c r="B882" s="20" t="str">
        <x:v>规则</x:v>
      </x:c>
      <x:c r="C882" s="20" t="str">
        <x:v>M12</x:v>
      </x:c>
      <x:c r="D882" s="20" t="str">
        <x:v>12_五行流通卡点</x:v>
      </x:c>
      <x:c r="E882" s="20" t="str">
        <x:v>GEN</x:v>
      </x:c>
      <x:c r="F882" s="20" t="n">
        <x:v>7</x:v>
      </x:c>
      <x:c r="G882" s="20" t="str">
        <x:v>V1.0</x:v>
      </x:c>
      <x:c r="H882" s="20" t="str">
        <x:v>流通路径应优先保留更短更稳定的主路径</x:v>
      </x:c>
      <x:c r="I882" s="20" t="str">
        <x:v>结构层</x:v>
      </x:c>
      <x:c r="J882" s="20" t="str">
        <x:v>主路径优选</x:v>
      </x:c>
      <x:c r="K882" s="20" t="str">
        <x:v>流通路径应优先保留更短更稳定的主路径：按起点—桥梁—终点检查有效力量、连续性与承载；卡点为“其他”时，仅生成通关候选，不直接定用神。</x:v>
      </x:c>
      <x:c r="L882" s="20" t="str">
        <x:v>较高</x:v>
      </x:c>
      <x:c r="M882" s="20" t="str">
        <x:v>采用</x:v>
      </x:c>
      <x:c r="N882" s="20" t="str">
        <x:v>初审</x:v>
      </x:c>
      <x:c r="O882" s="22" t="n">
        <x:v>46255</x:v>
      </x:c>
      <x:c r="P882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883">
      <x:c r="A883" s="20" t="str">
        <x:v>M12-GEN-0008-V1.0</x:v>
      </x:c>
      <x:c r="B883" s="20" t="str">
        <x:v>规则</x:v>
      </x:c>
      <x:c r="C883" s="20" t="str">
        <x:v>M12</x:v>
      </x:c>
      <x:c r="D883" s="20" t="str">
        <x:v>12_五行流通卡点</x:v>
      </x:c>
      <x:c r="E883" s="20" t="str">
        <x:v>GEN</x:v>
      </x:c>
      <x:c r="F883" s="20" t="n">
        <x:v>8</x:v>
      </x:c>
      <x:c r="G883" s="20" t="str">
        <x:v>V1.0</x:v>
      </x:c>
      <x:c r="H883" s="20" t="str">
        <x:v>局部通畅不等于全局通畅</x:v>
      </x:c>
      <x:c r="I883" s="20" t="str">
        <x:v>结构层</x:v>
      </x:c>
      <x:c r="J883" s="20" t="str">
        <x:v>局部全局分离</x:v>
      </x:c>
      <x:c r="K883" s="20" t="str">
        <x:v>局部通畅不等于全局通畅：按起点—桥梁—终点检查有效力量、连续性与承载；卡点为“其他”时，仅生成通关候选，不直接定用神。</x:v>
      </x:c>
      <x:c r="L883" s="20" t="str">
        <x:v>较高</x:v>
      </x:c>
      <x:c r="M883" s="20" t="str">
        <x:v>采用</x:v>
      </x:c>
      <x:c r="N883" s="20" t="str">
        <x:v>初审</x:v>
      </x:c>
      <x:c r="O883" s="22" t="n">
        <x:v>46255</x:v>
      </x:c>
      <x:c r="P883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884">
      <x:c r="A884" s="20" t="str">
        <x:v>M12-GEN-0009-V1.0</x:v>
      </x:c>
      <x:c r="B884" s="20" t="str">
        <x:v>规则</x:v>
      </x:c>
      <x:c r="C884" s="20" t="str">
        <x:v>M12</x:v>
      </x:c>
      <x:c r="D884" s="20" t="str">
        <x:v>12_五行流通卡点</x:v>
      </x:c>
      <x:c r="E884" s="20" t="str">
        <x:v>GEN</x:v>
      </x:c>
      <x:c r="F884" s="20" t="n">
        <x:v>9</x:v>
      </x:c>
      <x:c r="G884" s="20" t="str">
        <x:v>V1.0</x:v>
      </x:c>
      <x:c r="H884" s="20" t="str">
        <x:v>流通状态必须区分通畅、基本通畅、局部阻塞、明显阻断和无有效路径</x:v>
      </x:c>
      <x:c r="I884" s="20" t="str">
        <x:v>结构层</x:v>
      </x:c>
      <x:c r="J884" s="20" t="str">
        <x:v>流通五级状态</x:v>
      </x:c>
      <x:c r="K884" s="20" t="str">
        <x:v>流通状态必须区分通畅、基本通畅、局部阻塞、明显阻断和无有效路径：按起点—桥梁—终点检查有效力量、连续性与承载；卡点为“其他”时，仅生成通关候选，不直接定用神。</x:v>
      </x:c>
      <x:c r="L884" s="20" t="str">
        <x:v>较高</x:v>
      </x:c>
      <x:c r="M884" s="20" t="str">
        <x:v>采用</x:v>
      </x:c>
      <x:c r="N884" s="20" t="str">
        <x:v>初审</x:v>
      </x:c>
      <x:c r="O884" s="22" t="n">
        <x:v>46255</x:v>
      </x:c>
      <x:c r="P884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885">
      <x:c r="A885" s="20" t="str">
        <x:v>M12-GEN-0010-V1.0</x:v>
      </x:c>
      <x:c r="B885" s="20" t="str">
        <x:v>规则</x:v>
      </x:c>
      <x:c r="C885" s="20" t="str">
        <x:v>M12</x:v>
      </x:c>
      <x:c r="D885" s="20" t="str">
        <x:v>12_五行流通卡点</x:v>
      </x:c>
      <x:c r="E885" s="20" t="str">
        <x:v>GEN</x:v>
      </x:c>
      <x:c r="F885" s="20" t="n">
        <x:v>10</x:v>
      </x:c>
      <x:c r="G885" s="20" t="str">
        <x:v>V1.0</x:v>
      </x:c>
      <x:c r="H885" s="20" t="str">
        <x:v>通关候选不等于喜神或用神</x:v>
      </x:c>
      <x:c r="I885" s="20" t="str">
        <x:v>结构层</x:v>
      </x:c>
      <x:c r="J885" s="20" t="str">
        <x:v>通关与喜忌分离</x:v>
      </x:c>
      <x:c r="K885" s="20" t="str">
        <x:v>通关候选不等于喜神或用神：按起点—桥梁—终点检查有效力量、连续性与承载；卡点为“其他”时，仅生成通关候选，不直接定用神。</x:v>
      </x:c>
      <x:c r="L885" s="20" t="str">
        <x:v>较高</x:v>
      </x:c>
      <x:c r="M885" s="20" t="str">
        <x:v>采用</x:v>
      </x:c>
      <x:c r="N885" s="20" t="str">
        <x:v>初审</x:v>
      </x:c>
      <x:c r="O885" s="22" t="n">
        <x:v>46255</x:v>
      </x:c>
      <x:c r="P885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886">
      <x:c r="A886" s="20" t="str">
        <x:v>M12-SOURCE-0011-V1.0</x:v>
      </x:c>
      <x:c r="B886" s="20" t="str">
        <x:v>规则</x:v>
      </x:c>
      <x:c r="C886" s="20" t="str">
        <x:v>M12</x:v>
      </x:c>
      <x:c r="D886" s="20" t="str">
        <x:v>12_五行流通卡点</x:v>
      </x:c>
      <x:c r="E886" s="20" t="str">
        <x:v>SOURCE</x:v>
      </x:c>
      <x:c r="F886" s="20" t="n">
        <x:v>11</x:v>
      </x:c>
      <x:c r="G886" s="20" t="str">
        <x:v>V1.0</x:v>
      </x:c>
      <x:c r="H886" s="20" t="str">
        <x:v>强源头必须有可持续输出路径</x:v>
      </x:c>
      <x:c r="I886" s="20" t="str">
        <x:v>结构层</x:v>
      </x:c>
      <x:c r="J886" s="20" t="str">
        <x:v>M12_SOURCE_流通判定</x:v>
      </x:c>
      <x:c r="K886" s="20" t="str">
        <x:v>强源头必须有可持续输出路径：按起点—桥梁—终点检查有效力量、连续性与承载；卡点为“源头过旺无泄”时，仅生成通关候选，不直接定用神。</x:v>
      </x:c>
      <x:c r="L886" s="20" t="str">
        <x:v>较高</x:v>
      </x:c>
      <x:c r="M886" s="20" t="str">
        <x:v>采用</x:v>
      </x:c>
      <x:c r="N886" s="20" t="str">
        <x:v>初审</x:v>
      </x:c>
      <x:c r="O886" s="22" t="n">
        <x:v>46255</x:v>
      </x:c>
      <x:c r="P886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887">
      <x:c r="A887" s="20" t="str">
        <x:v>M12-SOURCE-0012-V1.0</x:v>
      </x:c>
      <x:c r="B887" s="20" t="str">
        <x:v>规则</x:v>
      </x:c>
      <x:c r="C887" s="20" t="str">
        <x:v>M12</x:v>
      </x:c>
      <x:c r="D887" s="20" t="str">
        <x:v>12_五行流通卡点</x:v>
      </x:c>
      <x:c r="E887" s="20" t="str">
        <x:v>SOURCE</x:v>
      </x:c>
      <x:c r="F887" s="20" t="n">
        <x:v>12</x:v>
      </x:c>
      <x:c r="G887" s="20" t="str">
        <x:v>V1.0</x:v>
      </x:c>
      <x:c r="H887" s="20" t="str">
        <x:v>极旺源头无泄时优先标记壅塞风险</x:v>
      </x:c>
      <x:c r="I887" s="20" t="str">
        <x:v>结构层</x:v>
      </x:c>
      <x:c r="J887" s="20" t="str">
        <x:v>M12_SOURCE_流通判定</x:v>
      </x:c>
      <x:c r="K887" s="20" t="str">
        <x:v>极旺源头无泄时优先标记壅塞风险：按起点—桥梁—终点检查有效力量、连续性与承载；卡点为“源头过旺无泄”时，仅生成通关候选，不直接定用神。</x:v>
      </x:c>
      <x:c r="L887" s="20" t="str">
        <x:v>较高</x:v>
      </x:c>
      <x:c r="M887" s="20" t="str">
        <x:v>采用</x:v>
      </x:c>
      <x:c r="N887" s="20" t="str">
        <x:v>初审</x:v>
      </x:c>
      <x:c r="O887" s="22" t="n">
        <x:v>46255</x:v>
      </x:c>
      <x:c r="P887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888">
      <x:c r="A888" s="20" t="str">
        <x:v>M12-SOURCE-0013-V1.0</x:v>
      </x:c>
      <x:c r="B888" s="20" t="str">
        <x:v>规则</x:v>
      </x:c>
      <x:c r="C888" s="20" t="str">
        <x:v>M12</x:v>
      </x:c>
      <x:c r="D888" s="20" t="str">
        <x:v>12_五行流通卡点</x:v>
      </x:c>
      <x:c r="E888" s="20" t="str">
        <x:v>SOURCE</x:v>
      </x:c>
      <x:c r="F888" s="20" t="n">
        <x:v>13</x:v>
      </x:c>
      <x:c r="G888" s="20" t="str">
        <x:v>V1.0</x:v>
      </x:c>
      <x:c r="H888" s="20" t="str">
        <x:v>弱源头不足以支撑长链流通</x:v>
      </x:c>
      <x:c r="I888" s="20" t="str">
        <x:v>结构层</x:v>
      </x:c>
      <x:c r="J888" s="20" t="str">
        <x:v>M12_SOURCE_流通判定</x:v>
      </x:c>
      <x:c r="K888" s="20" t="str">
        <x:v>弱源头不足以支撑长链流通：按起点—桥梁—终点检查有效力量、连续性与承载；卡点为“链路过长”时，仅生成通关候选，不直接定用神。</x:v>
      </x:c>
      <x:c r="L888" s="20" t="str">
        <x:v>较高</x:v>
      </x:c>
      <x:c r="M888" s="20" t="str">
        <x:v>采用</x:v>
      </x:c>
      <x:c r="N888" s="20" t="str">
        <x:v>初审</x:v>
      </x:c>
      <x:c r="O888" s="22" t="n">
        <x:v>46255</x:v>
      </x:c>
      <x:c r="P888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889">
      <x:c r="A889" s="20" t="str">
        <x:v>M12-SOURCE-0014-V1.0</x:v>
      </x:c>
      <x:c r="B889" s="20" t="str">
        <x:v>规则</x:v>
      </x:c>
      <x:c r="C889" s="20" t="str">
        <x:v>M12</x:v>
      </x:c>
      <x:c r="D889" s="20" t="str">
        <x:v>12_五行流通卡点</x:v>
      </x:c>
      <x:c r="E889" s="20" t="str">
        <x:v>SOURCE</x:v>
      </x:c>
      <x:c r="F889" s="20" t="n">
        <x:v>14</x:v>
      </x:c>
      <x:c r="G889" s="20" t="str">
        <x:v>V1.0</x:v>
      </x:c>
      <x:c r="H889" s="20" t="str">
        <x:v>名义源头失效时不得建立流通链</x:v>
      </x:c>
      <x:c r="I889" s="20" t="str">
        <x:v>结构层</x:v>
      </x:c>
      <x:c r="J889" s="20" t="str">
        <x:v>M12_SOURCE_流通判定</x:v>
      </x:c>
      <x:c r="K889" s="20" t="str">
        <x:v>名义源头失效时不得建立流通链：按起点—桥梁—终点检查有效力量、连续性与承载；卡点为“其他”时，仅生成通关候选，不直接定用神。</x:v>
      </x:c>
      <x:c r="L889" s="20" t="str">
        <x:v>较高</x:v>
      </x:c>
      <x:c r="M889" s="20" t="str">
        <x:v>采用</x:v>
      </x:c>
      <x:c r="N889" s="20" t="str">
        <x:v>初审</x:v>
      </x:c>
      <x:c r="O889" s="22" t="n">
        <x:v>46255</x:v>
      </x:c>
      <x:c r="P889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890">
      <x:c r="A890" s="20" t="str">
        <x:v>M12-SOURCE-0015-V1.0</x:v>
      </x:c>
      <x:c r="B890" s="20" t="str">
        <x:v>规则</x:v>
      </x:c>
      <x:c r="C890" s="20" t="str">
        <x:v>M12</x:v>
      </x:c>
      <x:c r="D890" s="20" t="str">
        <x:v>12_五行流通卡点</x:v>
      </x:c>
      <x:c r="E890" s="20" t="str">
        <x:v>SOURCE</x:v>
      </x:c>
      <x:c r="F890" s="20" t="n">
        <x:v>15</x:v>
      </x:c>
      <x:c r="G890" s="20" t="str">
        <x:v>V1.0</x:v>
      </x:c>
      <x:c r="H890" s="20" t="str">
        <x:v>源头被合绊会降低向下游输出效率</x:v>
      </x:c>
      <x:c r="I890" s="20" t="str">
        <x:v>结构层</x:v>
      </x:c>
      <x:c r="J890" s="20" t="str">
        <x:v>M12_SOURCE_流通判定</x:v>
      </x:c>
      <x:c r="K890" s="20" t="str">
        <x:v>源头被合绊会降低向下游输出效率：按起点—桥梁—终点检查有效力量、连续性与承载；卡点为“其他”时，仅生成通关候选，不直接定用神。</x:v>
      </x:c>
      <x:c r="L890" s="20" t="str">
        <x:v>较高</x:v>
      </x:c>
      <x:c r="M890" s="20" t="str">
        <x:v>采用</x:v>
      </x:c>
      <x:c r="N890" s="20" t="str">
        <x:v>初审</x:v>
      </x:c>
      <x:c r="O890" s="22" t="n">
        <x:v>46255</x:v>
      </x:c>
      <x:c r="P890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891">
      <x:c r="A891" s="20" t="str">
        <x:v>M12-SOURCE-0016-V1.0</x:v>
      </x:c>
      <x:c r="B891" s="20" t="str">
        <x:v>规则</x:v>
      </x:c>
      <x:c r="C891" s="20" t="str">
        <x:v>M12</x:v>
      </x:c>
      <x:c r="D891" s="20" t="str">
        <x:v>12_五行流通卡点</x:v>
      </x:c>
      <x:c r="E891" s="20" t="str">
        <x:v>SOURCE</x:v>
      </x:c>
      <x:c r="F891" s="20" t="n">
        <x:v>16</x:v>
      </x:c>
      <x:c r="G891" s="20" t="str">
        <x:v>V1.0</x:v>
      </x:c>
      <x:c r="H891" s="20" t="str">
        <x:v>源头被强克时需先判断是否仍有余力输出</x:v>
      </x:c>
      <x:c r="I891" s="20" t="str">
        <x:v>结构层</x:v>
      </x:c>
      <x:c r="J891" s="20" t="str">
        <x:v>M12_SOURCE_流通判定</x:v>
      </x:c>
      <x:c r="K891" s="20" t="str">
        <x:v>源头被强克时需先判断是否仍有余力输出：按起点—桥梁—终点检查有效力量、连续性与承载；卡点为“其他”时，仅生成通关候选，不直接定用神。</x:v>
      </x:c>
      <x:c r="L891" s="20" t="str">
        <x:v>较高</x:v>
      </x:c>
      <x:c r="M891" s="20" t="str">
        <x:v>采用</x:v>
      </x:c>
      <x:c r="N891" s="20" t="str">
        <x:v>初审</x:v>
      </x:c>
      <x:c r="O891" s="22" t="n">
        <x:v>46255</x:v>
      </x:c>
      <x:c r="P891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892">
      <x:c r="A892" s="20" t="str">
        <x:v>M12-SOURCE-0017-V1.0</x:v>
      </x:c>
      <x:c r="B892" s="20" t="str">
        <x:v>规则</x:v>
      </x:c>
      <x:c r="C892" s="20" t="str">
        <x:v>M12</x:v>
      </x:c>
      <x:c r="D892" s="20" t="str">
        <x:v>12_五行流通卡点</x:v>
      </x:c>
      <x:c r="E892" s="20" t="str">
        <x:v>SOURCE</x:v>
      </x:c>
      <x:c r="F892" s="20" t="n">
        <x:v>17</x:v>
      </x:c>
      <x:c r="G892" s="20" t="str">
        <x:v>V1.0</x:v>
      </x:c>
      <x:c r="H892" s="20" t="str">
        <x:v>多个独立源头可提高同一桥梁的供给稳定性</x:v>
      </x:c>
      <x:c r="I892" s="20" t="str">
        <x:v>结构层</x:v>
      </x:c>
      <x:c r="J892" s="20" t="str">
        <x:v>多源供给增强</x:v>
      </x:c>
      <x:c r="K892" s="20" t="str">
        <x:v>多个独立源头可提高同一桥梁的供给稳定性：按起点—桥梁—终点检查有效力量、连续性与承载；卡点为“其他”时，仅生成通关候选，不直接定用神。</x:v>
      </x:c>
      <x:c r="L892" s="20" t="str">
        <x:v>较高</x:v>
      </x:c>
      <x:c r="M892" s="20" t="str">
        <x:v>采用</x:v>
      </x:c>
      <x:c r="N892" s="20" t="str">
        <x:v>初审</x:v>
      </x:c>
      <x:c r="O892" s="22" t="n">
        <x:v>46255</x:v>
      </x:c>
      <x:c r="P892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893">
      <x:c r="A893" s="20" t="str">
        <x:v>M12-SOURCE-0018-V1.0</x:v>
      </x:c>
      <x:c r="B893" s="20" t="str">
        <x:v>规则</x:v>
      </x:c>
      <x:c r="C893" s="20" t="str">
        <x:v>M12</x:v>
      </x:c>
      <x:c r="D893" s="20" t="str">
        <x:v>12_五行流通卡点</x:v>
      </x:c>
      <x:c r="E893" s="20" t="str">
        <x:v>SOURCE</x:v>
      </x:c>
      <x:c r="F893" s="20" t="n">
        <x:v>18</x:v>
      </x:c>
      <x:c r="G893" s="20" t="str">
        <x:v>V1.0</x:v>
      </x:c>
      <x:c r="H893" s="20" t="str">
        <x:v>源头过多但集中向单一弱桥梁时会形成入口拥堵</x:v>
      </x:c>
      <x:c r="I893" s="20" t="str">
        <x:v>结构层</x:v>
      </x:c>
      <x:c r="J893" s="20" t="str">
        <x:v>M12_SOURCE_流通判定</x:v>
      </x:c>
      <x:c r="K893" s="20" t="str">
        <x:v>源头过多但集中向单一弱桥梁时会形成入口拥堵：按起点—桥梁—终点检查有效力量、连续性与承载；卡点为“桥梁太弱”时，仅生成通关候选，不直接定用神。</x:v>
      </x:c>
      <x:c r="L893" s="20" t="str">
        <x:v>较高</x:v>
      </x:c>
      <x:c r="M893" s="20" t="str">
        <x:v>采用</x:v>
      </x:c>
      <x:c r="N893" s="20" t="str">
        <x:v>初审</x:v>
      </x:c>
      <x:c r="O893" s="22" t="n">
        <x:v>46255</x:v>
      </x:c>
      <x:c r="P893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894">
      <x:c r="A894" s="20" t="str">
        <x:v>M12-BRIDGE-0019-V1.0</x:v>
      </x:c>
      <x:c r="B894" s="20" t="str">
        <x:v>规则</x:v>
      </x:c>
      <x:c r="C894" s="20" t="str">
        <x:v>M12</x:v>
      </x:c>
      <x:c r="D894" s="20" t="str">
        <x:v>12_五行流通卡点</x:v>
      </x:c>
      <x:c r="E894" s="20" t="str">
        <x:v>BRIDGE</x:v>
      </x:c>
      <x:c r="F894" s="20" t="n">
        <x:v>19</x:v>
      </x:c>
      <x:c r="G894" s="20" t="str">
        <x:v>V1.0</x:v>
      </x:c>
      <x:c r="H894" s="20" t="str">
        <x:v>桥梁必须自身有效才能承担通关</x:v>
      </x:c>
      <x:c r="I894" s="20" t="str">
        <x:v>结构层</x:v>
      </x:c>
      <x:c r="J894" s="20" t="str">
        <x:v>M12_BRIDGE_流通判定</x:v>
      </x:c>
      <x:c r="K894" s="20" t="str">
        <x:v>桥梁必须自身有效才能承担通关：按起点—桥梁—终点检查有效力量、连续性与承载；卡点为“桥梁太弱”时，仅生成通关候选，不直接定用神。</x:v>
      </x:c>
      <x:c r="L894" s="20" t="str">
        <x:v>较高</x:v>
      </x:c>
      <x:c r="M894" s="20" t="str">
        <x:v>采用</x:v>
      </x:c>
      <x:c r="N894" s="20" t="str">
        <x:v>初审</x:v>
      </x:c>
      <x:c r="O894" s="22" t="n">
        <x:v>46255</x:v>
      </x:c>
      <x:c r="P894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895">
      <x:c r="A895" s="20" t="str">
        <x:v>M12-BRIDGE-0020-V1.0</x:v>
      </x:c>
      <x:c r="B895" s="20" t="str">
        <x:v>规则</x:v>
      </x:c>
      <x:c r="C895" s="20" t="str">
        <x:v>M12</x:v>
      </x:c>
      <x:c r="D895" s="20" t="str">
        <x:v>12_五行流通卡点</x:v>
      </x:c>
      <x:c r="E895" s="20" t="str">
        <x:v>BRIDGE</x:v>
      </x:c>
      <x:c r="F895" s="20" t="n">
        <x:v>20</x:v>
      </x:c>
      <x:c r="G895" s="20" t="str">
        <x:v>V1.0</x:v>
      </x:c>
      <x:c r="H895" s="20" t="str">
        <x:v>桥梁达到中和以上通常具备稳定传递能力</x:v>
      </x:c>
      <x:c r="I895" s="20" t="str">
        <x:v>结构层</x:v>
      </x:c>
      <x:c r="J895" s="20" t="str">
        <x:v>桥梁稳定</x:v>
      </x:c>
      <x:c r="K895" s="20" t="str">
        <x:v>桥梁达到中和以上通常具备稳定传递能力：按起点—桥梁—终点检查有效力量、连续性与承载；卡点为“其他”时，仅生成通关候选，不直接定用神。</x:v>
      </x:c>
      <x:c r="L895" s="20" t="str">
        <x:v>较高</x:v>
      </x:c>
      <x:c r="M895" s="20" t="str">
        <x:v>采用</x:v>
      </x:c>
      <x:c r="N895" s="20" t="str">
        <x:v>初审</x:v>
      </x:c>
      <x:c r="O895" s="22" t="n">
        <x:v>46255</x:v>
      </x:c>
      <x:c r="P895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896">
      <x:c r="A896" s="20" t="str">
        <x:v>M12-BRIDGE-0021-V1.0</x:v>
      </x:c>
      <x:c r="B896" s="20" t="str">
        <x:v>规则</x:v>
      </x:c>
      <x:c r="C896" s="20" t="str">
        <x:v>M12</x:v>
      </x:c>
      <x:c r="D896" s="20" t="str">
        <x:v>12_五行流通卡点</x:v>
      </x:c>
      <x:c r="E896" s="20" t="str">
        <x:v>BRIDGE</x:v>
      </x:c>
      <x:c r="F896" s="20" t="n">
        <x:v>21</x:v>
      </x:c>
      <x:c r="G896" s="20" t="str">
        <x:v>V1.0</x:v>
      </x:c>
      <x:c r="H896" s="20" t="str">
        <x:v>桥梁仅微弱存在时只能形成弱通路</x:v>
      </x:c>
      <x:c r="I896" s="20" t="str">
        <x:v>结构层</x:v>
      </x:c>
      <x:c r="J896" s="20" t="str">
        <x:v>M12_BRIDGE_流通判定</x:v>
      </x:c>
      <x:c r="K896" s="20" t="str">
        <x:v>桥梁仅微弱存在时只能形成弱通路：按起点—桥梁—终点检查有效力量、连续性与承载；卡点为“桥梁太弱”时，仅生成通关候选，不直接定用神。</x:v>
      </x:c>
      <x:c r="L896" s="20" t="str">
        <x:v>较高</x:v>
      </x:c>
      <x:c r="M896" s="20" t="str">
        <x:v>采用</x:v>
      </x:c>
      <x:c r="N896" s="20" t="str">
        <x:v>初审</x:v>
      </x:c>
      <x:c r="O896" s="22" t="n">
        <x:v>46255</x:v>
      </x:c>
      <x:c r="P896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897">
      <x:c r="A897" s="20" t="str">
        <x:v>M12-BRIDGE-0022-V1.0</x:v>
      </x:c>
      <x:c r="B897" s="20" t="str">
        <x:v>规则</x:v>
      </x:c>
      <x:c r="C897" s="20" t="str">
        <x:v>M12</x:v>
      </x:c>
      <x:c r="D897" s="20" t="str">
        <x:v>12_五行流通卡点</x:v>
      </x:c>
      <x:c r="E897" s="20" t="str">
        <x:v>BRIDGE</x:v>
      </x:c>
      <x:c r="F897" s="20" t="n">
        <x:v>22</x:v>
      </x:c>
      <x:c r="G897" s="20" t="str">
        <x:v>V1.0</x:v>
      </x:c>
      <x:c r="H897" s="20" t="str">
        <x:v>桥梁被直接强克时流通效率下降</x:v>
      </x:c>
      <x:c r="I897" s="20" t="str">
        <x:v>结构层</x:v>
      </x:c>
      <x:c r="J897" s="20" t="str">
        <x:v>M12_BRIDGE_流通判定</x:v>
      </x:c>
      <x:c r="K897" s="20" t="str">
        <x:v>桥梁被直接强克时流通效率下降：按起点—桥梁—终点检查有效力量、连续性与承载；卡点为“桥梁被克”时，仅生成通关候选，不直接定用神。</x:v>
      </x:c>
      <x:c r="L897" s="20" t="str">
        <x:v>较高</x:v>
      </x:c>
      <x:c r="M897" s="20" t="str">
        <x:v>采用</x:v>
      </x:c>
      <x:c r="N897" s="20" t="str">
        <x:v>初审</x:v>
      </x:c>
      <x:c r="O897" s="22" t="n">
        <x:v>46255</x:v>
      </x:c>
      <x:c r="P897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898">
      <x:c r="A898" s="20" t="str">
        <x:v>M12-BRIDGE-0023-V1.0</x:v>
      </x:c>
      <x:c r="B898" s="20" t="str">
        <x:v>规则</x:v>
      </x:c>
      <x:c r="C898" s="20" t="str">
        <x:v>M12</x:v>
      </x:c>
      <x:c r="D898" s="20" t="str">
        <x:v>12_五行流通卡点</x:v>
      </x:c>
      <x:c r="E898" s="20" t="str">
        <x:v>BRIDGE</x:v>
      </x:c>
      <x:c r="F898" s="20" t="n">
        <x:v>23</x:v>
      </x:c>
      <x:c r="G898" s="20" t="str">
        <x:v>V1.0</x:v>
      </x:c>
      <x:c r="H898" s="20" t="str">
        <x:v>桥梁被合绊但未失效时属于受限通路</x:v>
      </x:c>
      <x:c r="I898" s="20" t="str">
        <x:v>结构层</x:v>
      </x:c>
      <x:c r="J898" s="20" t="str">
        <x:v>M12_BRIDGE_流通判定</x:v>
      </x:c>
      <x:c r="K898" s="20" t="str">
        <x:v>桥梁被合绊但未失效时属于受限通路：按起点—桥梁—终点检查有效力量、连续性与承载；卡点为“桥梁被合绊”时，仅生成通关候选，不直接定用神。</x:v>
      </x:c>
      <x:c r="L898" s="20" t="str">
        <x:v>较高</x:v>
      </x:c>
      <x:c r="M898" s="20" t="str">
        <x:v>采用</x:v>
      </x:c>
      <x:c r="N898" s="20" t="str">
        <x:v>初审</x:v>
      </x:c>
      <x:c r="O898" s="22" t="n">
        <x:v>46255</x:v>
      </x:c>
      <x:c r="P898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899">
      <x:c r="A899" s="20" t="str">
        <x:v>M12-BRIDGE-0024-V1.0</x:v>
      </x:c>
      <x:c r="B899" s="20" t="str">
        <x:v>规则</x:v>
      </x:c>
      <x:c r="C899" s="20" t="str">
        <x:v>M12</x:v>
      </x:c>
      <x:c r="D899" s="20" t="str">
        <x:v>12_五行流通卡点</x:v>
      </x:c>
      <x:c r="E899" s="20" t="str">
        <x:v>BRIDGE</x:v>
      </x:c>
      <x:c r="F899" s="20" t="n">
        <x:v>24</x:v>
      </x:c>
      <x:c r="G899" s="20" t="str">
        <x:v>V1.0</x:v>
      </x:c>
      <x:c r="H899" s="20" t="str">
        <x:v>桥梁实质合化后必须按新五行重建路径</x:v>
      </x:c>
      <x:c r="I899" s="20" t="str">
        <x:v>结构层</x:v>
      </x:c>
      <x:c r="J899" s="20" t="str">
        <x:v>M12_BRIDGE_流通判定</x:v>
      </x:c>
      <x:c r="K899" s="20" t="str">
        <x:v>桥梁实质合化后必须按新五行重建路径：按起点—桥梁—终点检查有效力量、连续性与承载；卡点为“其他”时，仅生成通关候选，不直接定用神。</x:v>
      </x:c>
      <x:c r="L899" s="20" t="str">
        <x:v>较高</x:v>
      </x:c>
      <x:c r="M899" s="20" t="str">
        <x:v>采用</x:v>
      </x:c>
      <x:c r="N899" s="20" t="str">
        <x:v>初审</x:v>
      </x:c>
      <x:c r="O899" s="22" t="n">
        <x:v>46255</x:v>
      </x:c>
      <x:c r="P899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00">
      <x:c r="A900" s="20" t="str">
        <x:v>M12-BRIDGE-0025-V1.0</x:v>
      </x:c>
      <x:c r="B900" s="20" t="str">
        <x:v>规则</x:v>
      </x:c>
      <x:c r="C900" s="20" t="str">
        <x:v>M12</x:v>
      </x:c>
      <x:c r="D900" s="20" t="str">
        <x:v>12_五行流通卡点</x:v>
      </x:c>
      <x:c r="E900" s="20" t="str">
        <x:v>BRIDGE</x:v>
      </x:c>
      <x:c r="F900" s="20" t="n">
        <x:v>25</x:v>
      </x:c>
      <x:c r="G900" s="20" t="str">
        <x:v>V1.0</x:v>
      </x:c>
      <x:c r="H900" s="20" t="str">
        <x:v>桥梁同时被多个路径调用时需降低单路容量</x:v>
      </x:c>
      <x:c r="I900" s="20" t="str">
        <x:v>结构层</x:v>
      </x:c>
      <x:c r="J900" s="20" t="str">
        <x:v>M12_BRIDGE_流通判定</x:v>
      </x:c>
      <x:c r="K900" s="20" t="str">
        <x:v>桥梁同时被多个路径调用时需降低单路容量：按起点—桥梁—终点检查有效力量、连续性与承载；卡点为“其他”时，仅生成通关候选，不直接定用神。</x:v>
      </x:c>
      <x:c r="L900" s="20" t="str">
        <x:v>较高</x:v>
      </x:c>
      <x:c r="M900" s="20" t="str">
        <x:v>采用</x:v>
      </x:c>
      <x:c r="N900" s="20" t="str">
        <x:v>初审</x:v>
      </x:c>
      <x:c r="O900" s="22" t="n">
        <x:v>46255</x:v>
      </x:c>
      <x:c r="P900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01">
      <x:c r="A901" s="20" t="str">
        <x:v>M12-BRIDGE-0026-V1.0</x:v>
      </x:c>
      <x:c r="B901" s="20" t="str">
        <x:v>规则</x:v>
      </x:c>
      <x:c r="C901" s="20" t="str">
        <x:v>M12</x:v>
      </x:c>
      <x:c r="D901" s="20" t="str">
        <x:v>12_五行流通卡点</x:v>
      </x:c>
      <x:c r="E901" s="20" t="str">
        <x:v>BRIDGE</x:v>
      </x:c>
      <x:c r="F901" s="20" t="n">
        <x:v>26</x:v>
      </x:c>
      <x:c r="G901" s="20" t="str">
        <x:v>V1.0</x:v>
      </x:c>
      <x:c r="H901" s="20" t="str">
        <x:v>桥梁得令有根有源可显著提高通关稳定性</x:v>
      </x:c>
      <x:c r="I901" s="20" t="str">
        <x:v>结构层</x:v>
      </x:c>
      <x:c r="J901" s="20" t="str">
        <x:v>强桥梁通关</x:v>
      </x:c>
      <x:c r="K901" s="20" t="str">
        <x:v>桥梁得令有根有源可显著提高通关稳定性：按起点—桥梁—终点检查有效力量、连续性与承载；卡点为“其他”时，仅生成通关候选，不直接定用神。</x:v>
      </x:c>
      <x:c r="L901" s="20" t="str">
        <x:v>较高</x:v>
      </x:c>
      <x:c r="M901" s="20" t="str">
        <x:v>采用</x:v>
      </x:c>
      <x:c r="N901" s="20" t="str">
        <x:v>初审</x:v>
      </x:c>
      <x:c r="O901" s="22" t="n">
        <x:v>46255</x:v>
      </x:c>
      <x:c r="P901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02">
      <x:c r="A902" s="20" t="str">
        <x:v>M12-BRIDGE-0027-V1.0</x:v>
      </x:c>
      <x:c r="B902" s="20" t="str">
        <x:v>规则</x:v>
      </x:c>
      <x:c r="C902" s="20" t="str">
        <x:v>M12</x:v>
      </x:c>
      <x:c r="D902" s="20" t="str">
        <x:v>12_五行流通卡点</x:v>
      </x:c>
      <x:c r="E902" s="20" t="str">
        <x:v>BRIDGE</x:v>
      </x:c>
      <x:c r="F902" s="20" t="n">
        <x:v>27</x:v>
      </x:c>
      <x:c r="G902" s="20" t="str">
        <x:v>V1.0</x:v>
      </x:c>
      <x:c r="H902" s="20" t="str">
        <x:v>桥梁受寒凝时存在但流动性下降</x:v>
      </x:c>
      <x:c r="I902" s="20" t="str">
        <x:v>结构层</x:v>
      </x:c>
      <x:c r="J902" s="20" t="str">
        <x:v>M12_BRIDGE_流通判定</x:v>
      </x:c>
      <x:c r="K902" s="20" t="str">
        <x:v>桥梁受寒凝时存在但流动性下降：按起点—桥梁—终点检查有效力量、连续性与承载；卡点为“寒凝”时，仅生成通关候选，不直接定用神。</x:v>
      </x:c>
      <x:c r="L902" s="20" t="str">
        <x:v>较高</x:v>
      </x:c>
      <x:c r="M902" s="20" t="str">
        <x:v>采用</x:v>
      </x:c>
      <x:c r="N902" s="20" t="str">
        <x:v>初审</x:v>
      </x:c>
      <x:c r="O902" s="22" t="n">
        <x:v>46255</x:v>
      </x:c>
      <x:c r="P902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03">
      <x:c r="A903" s="20" t="str">
        <x:v>M12-BRIDGE-0028-V1.0</x:v>
      </x:c>
      <x:c r="B903" s="20" t="str">
        <x:v>规则</x:v>
      </x:c>
      <x:c r="C903" s="20" t="str">
        <x:v>M12</x:v>
      </x:c>
      <x:c r="D903" s="20" t="str">
        <x:v>12_五行流通卡点</x:v>
      </x:c>
      <x:c r="E903" s="20" t="str">
        <x:v>BRIDGE</x:v>
      </x:c>
      <x:c r="F903" s="20" t="n">
        <x:v>28</x:v>
      </x:c>
      <x:c r="G903" s="20" t="str">
        <x:v>V1.0</x:v>
      </x:c>
      <x:c r="H903" s="20" t="str">
        <x:v>桥梁受燥枯时连续生化能力下降</x:v>
      </x:c>
      <x:c r="I903" s="20" t="str">
        <x:v>结构层</x:v>
      </x:c>
      <x:c r="J903" s="20" t="str">
        <x:v>M12_BRIDGE_流通判定</x:v>
      </x:c>
      <x:c r="K903" s="20" t="str">
        <x:v>桥梁受燥枯时连续生化能力下降：按起点—桥梁—终点检查有效力量、连续性与承载；卡点为“燥枯”时，仅生成通关候选，不直接定用神。</x:v>
      </x:c>
      <x:c r="L903" s="20" t="str">
        <x:v>较高</x:v>
      </x:c>
      <x:c r="M903" s="20" t="str">
        <x:v>采用</x:v>
      </x:c>
      <x:c r="N903" s="20" t="str">
        <x:v>初审</x:v>
      </x:c>
      <x:c r="O903" s="22" t="n">
        <x:v>46255</x:v>
      </x:c>
      <x:c r="P903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04">
      <x:c r="A904" s="20" t="str">
        <x:v>M12-BRIDGE-0029-V1.0</x:v>
      </x:c>
      <x:c r="B904" s="20" t="str">
        <x:v>规则</x:v>
      </x:c>
      <x:c r="C904" s="20" t="str">
        <x:v>M12</x:v>
      </x:c>
      <x:c r="D904" s="20" t="str">
        <x:v>12_五行流通卡点</x:v>
      </x:c>
      <x:c r="E904" s="20" t="str">
        <x:v>BRIDGE</x:v>
      </x:c>
      <x:c r="F904" s="20" t="n">
        <x:v>29</x:v>
      </x:c>
      <x:c r="G904" s="20" t="str">
        <x:v>V1.0</x:v>
      </x:c>
      <x:c r="H904" s="20" t="str">
        <x:v>桥梁过旺也可能截留上游力量形成壅塞</x:v>
      </x:c>
      <x:c r="I904" s="20" t="str">
        <x:v>结构层</x:v>
      </x:c>
      <x:c r="J904" s="20" t="str">
        <x:v>M12_BRIDGE_流通判定</x:v>
      </x:c>
      <x:c r="K904" s="20" t="str">
        <x:v>桥梁过旺也可能截留上游力量形成壅塞：按起点—桥梁—终点检查有效力量、连续性与承载；卡点为“回流壅塞”时，仅生成通关候选，不直接定用神。</x:v>
      </x:c>
      <x:c r="L904" s="20" t="str">
        <x:v>较高</x:v>
      </x:c>
      <x:c r="M904" s="20" t="str">
        <x:v>采用</x:v>
      </x:c>
      <x:c r="N904" s="20" t="str">
        <x:v>初审</x:v>
      </x:c>
      <x:c r="O904" s="22" t="n">
        <x:v>46255</x:v>
      </x:c>
      <x:c r="P904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05">
      <x:c r="A905" s="20" t="str">
        <x:v>M12-BRIDGE-0030-V1.0</x:v>
      </x:c>
      <x:c r="B905" s="20" t="str">
        <x:v>规则</x:v>
      </x:c>
      <x:c r="C905" s="20" t="str">
        <x:v>M12</x:v>
      </x:c>
      <x:c r="D905" s="20" t="str">
        <x:v>12_五行流通卡点</x:v>
      </x:c>
      <x:c r="E905" s="20" t="str">
        <x:v>BRIDGE</x:v>
      </x:c>
      <x:c r="F905" s="20" t="n">
        <x:v>30</x:v>
      </x:c>
      <x:c r="G905" s="20" t="str">
        <x:v>V1.0</x:v>
      </x:c>
      <x:c r="H905" s="20" t="str">
        <x:v>桥梁被冲动不等于流通必然中断</x:v>
      </x:c>
      <x:c r="I905" s="20" t="str">
        <x:v>结构层</x:v>
      </x:c>
      <x:c r="J905" s="20" t="str">
        <x:v>冲动桥梁非自动失效</x:v>
      </x:c>
      <x:c r="K905" s="20" t="str">
        <x:v>桥梁被冲动不等于流通必然中断：按起点—桥梁—终点检查有效力量、连续性与承载；卡点为“其他”时，仅生成通关候选，不直接定用神。</x:v>
      </x:c>
      <x:c r="L905" s="20" t="str">
        <x:v>较高</x:v>
      </x:c>
      <x:c r="M905" s="20" t="str">
        <x:v>采用</x:v>
      </x:c>
      <x:c r="N905" s="20" t="str">
        <x:v>初审</x:v>
      </x:c>
      <x:c r="O905" s="22" t="n">
        <x:v>46255</x:v>
      </x:c>
      <x:c r="P905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06">
      <x:c r="A906" s="20" t="str">
        <x:v>M12-END-0031-V1.0</x:v>
      </x:c>
      <x:c r="B906" s="20" t="str">
        <x:v>规则</x:v>
      </x:c>
      <x:c r="C906" s="20" t="str">
        <x:v>M12</x:v>
      </x:c>
      <x:c r="D906" s="20" t="str">
        <x:v>12_五行流通卡点</x:v>
      </x:c>
      <x:c r="E906" s="20" t="str">
        <x:v>END</x:v>
      </x:c>
      <x:c r="F906" s="20" t="n">
        <x:v>31</x:v>
      </x:c>
      <x:c r="G906" s="20" t="str">
        <x:v>V1.0</x:v>
      </x:c>
      <x:c r="H906" s="20" t="str">
        <x:v>终点必须具备最低承载能力</x:v>
      </x:c>
      <x:c r="I906" s="20" t="str">
        <x:v>结构层</x:v>
      </x:c>
      <x:c r="J906" s="20" t="str">
        <x:v>M12_END_流通判定</x:v>
      </x:c>
      <x:c r="K906" s="20" t="str">
        <x:v>终点必须具备最低承载能力：按起点—桥梁—终点检查有效力量、连续性与承载；卡点为“终点过弱不能承载”时，仅生成通关候选，不直接定用神。</x:v>
      </x:c>
      <x:c r="L906" s="20" t="str">
        <x:v>较高</x:v>
      </x:c>
      <x:c r="M906" s="20" t="str">
        <x:v>采用</x:v>
      </x:c>
      <x:c r="N906" s="20" t="str">
        <x:v>初审</x:v>
      </x:c>
      <x:c r="O906" s="22" t="n">
        <x:v>46255</x:v>
      </x:c>
      <x:c r="P906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07">
      <x:c r="A907" s="20" t="str">
        <x:v>M12-END-0032-V1.0</x:v>
      </x:c>
      <x:c r="B907" s="20" t="str">
        <x:v>规则</x:v>
      </x:c>
      <x:c r="C907" s="20" t="str">
        <x:v>M12</x:v>
      </x:c>
      <x:c r="D907" s="20" t="str">
        <x:v>12_五行流通卡点</x:v>
      </x:c>
      <x:c r="E907" s="20" t="str">
        <x:v>END</x:v>
      </x:c>
      <x:c r="F907" s="20" t="n">
        <x:v>32</x:v>
      </x:c>
      <x:c r="G907" s="20" t="str">
        <x:v>V1.0</x:v>
      </x:c>
      <x:c r="H907" s="20" t="str">
        <x:v>终点极弱或失效时路径可判无有效落点</x:v>
      </x:c>
      <x:c r="I907" s="20" t="str">
        <x:v>结构层</x:v>
      </x:c>
      <x:c r="J907" s="20" t="str">
        <x:v>M12_END_流通判定</x:v>
      </x:c>
      <x:c r="K907" s="20" t="str">
        <x:v>终点极弱或失效时路径可判无有效落点：按起点—桥梁—终点检查有效力量、连续性与承载；卡点为“终点过弱不能承载”时，仅生成通关候选，不直接定用神。</x:v>
      </x:c>
      <x:c r="L907" s="20" t="str">
        <x:v>较高</x:v>
      </x:c>
      <x:c r="M907" s="20" t="str">
        <x:v>采用</x:v>
      </x:c>
      <x:c r="N907" s="20" t="str">
        <x:v>初审</x:v>
      </x:c>
      <x:c r="O907" s="22" t="n">
        <x:v>46255</x:v>
      </x:c>
      <x:c r="P907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08">
      <x:c r="A908" s="20" t="str">
        <x:v>M12-END-0033-V1.0</x:v>
      </x:c>
      <x:c r="B908" s="20" t="str">
        <x:v>规则</x:v>
      </x:c>
      <x:c r="C908" s="20" t="str">
        <x:v>M12</x:v>
      </x:c>
      <x:c r="D908" s="20" t="str">
        <x:v>12_五行流通卡点</x:v>
      </x:c>
      <x:c r="E908" s="20" t="str">
        <x:v>END</x:v>
      </x:c>
      <x:c r="F908" s="20" t="n">
        <x:v>33</x:v>
      </x:c>
      <x:c r="G908" s="20" t="str">
        <x:v>V1.0</x:v>
      </x:c>
      <x:c r="H908" s="20" t="str">
        <x:v>终点中和以上通常可形成稳定落点</x:v>
      </x:c>
      <x:c r="I908" s="20" t="str">
        <x:v>结构层</x:v>
      </x:c>
      <x:c r="J908" s="20" t="str">
        <x:v>终点稳定承载</x:v>
      </x:c>
      <x:c r="K908" s="20" t="str">
        <x:v>终点中和以上通常可形成稳定落点：按起点—桥梁—终点检查有效力量、连续性与承载；卡点为“其他”时，仅生成通关候选，不直接定用神。</x:v>
      </x:c>
      <x:c r="L908" s="20" t="str">
        <x:v>较高</x:v>
      </x:c>
      <x:c r="M908" s="20" t="str">
        <x:v>采用</x:v>
      </x:c>
      <x:c r="N908" s="20" t="str">
        <x:v>初审</x:v>
      </x:c>
      <x:c r="O908" s="22" t="n">
        <x:v>46255</x:v>
      </x:c>
      <x:c r="P908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09">
      <x:c r="A909" s="20" t="str">
        <x:v>M12-END-0034-V1.0</x:v>
      </x:c>
      <x:c r="B909" s="20" t="str">
        <x:v>规则</x:v>
      </x:c>
      <x:c r="C909" s="20" t="str">
        <x:v>M12</x:v>
      </x:c>
      <x:c r="D909" s="20" t="str">
        <x:v>12_五行流通卡点</x:v>
      </x:c>
      <x:c r="E909" s="20" t="str">
        <x:v>END</x:v>
      </x:c>
      <x:c r="F909" s="20" t="n">
        <x:v>34</x:v>
      </x:c>
      <x:c r="G909" s="20" t="str">
        <x:v>V1.0</x:v>
      </x:c>
      <x:c r="H909" s="20" t="str">
        <x:v>终点过旺可能反向压制上游或桥梁</x:v>
      </x:c>
      <x:c r="I909" s="20" t="str">
        <x:v>结构层</x:v>
      </x:c>
      <x:c r="J909" s="20" t="str">
        <x:v>M12_END_流通判定</x:v>
      </x:c>
      <x:c r="K909" s="20" t="str">
        <x:v>终点过旺可能反向压制上游或桥梁：按起点—桥梁—终点检查有效力量、连续性与承载；卡点为“终点过旺反制”时，仅生成通关候选，不直接定用神。</x:v>
      </x:c>
      <x:c r="L909" s="20" t="str">
        <x:v>较高</x:v>
      </x:c>
      <x:c r="M909" s="20" t="str">
        <x:v>采用</x:v>
      </x:c>
      <x:c r="N909" s="20" t="str">
        <x:v>初审</x:v>
      </x:c>
      <x:c r="O909" s="22" t="n">
        <x:v>46255</x:v>
      </x:c>
      <x:c r="P909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10">
      <x:c r="A910" s="20" t="str">
        <x:v>M12-END-0035-V1.0</x:v>
      </x:c>
      <x:c r="B910" s="20" t="str">
        <x:v>规则</x:v>
      </x:c>
      <x:c r="C910" s="20" t="str">
        <x:v>M12</x:v>
      </x:c>
      <x:c r="D910" s="20" t="str">
        <x:v>12_五行流通卡点</x:v>
      </x:c>
      <x:c r="E910" s="20" t="str">
        <x:v>END</x:v>
      </x:c>
      <x:c r="F910" s="20" t="n">
        <x:v>35</x:v>
      </x:c>
      <x:c r="G910" s="20" t="str">
        <x:v>V1.0</x:v>
      </x:c>
      <x:c r="H910" s="20" t="str">
        <x:v>终点被强克时承载能力需下调</x:v>
      </x:c>
      <x:c r="I910" s="20" t="str">
        <x:v>结构层</x:v>
      </x:c>
      <x:c r="J910" s="20" t="str">
        <x:v>M12_END_流通判定</x:v>
      </x:c>
      <x:c r="K910" s="20" t="str">
        <x:v>终点被强克时承载能力需下调：按起点—桥梁—终点检查有效力量、连续性与承载；卡点为“终点过弱不能承载”时，仅生成通关候选，不直接定用神。</x:v>
      </x:c>
      <x:c r="L910" s="20" t="str">
        <x:v>较高</x:v>
      </x:c>
      <x:c r="M910" s="20" t="str">
        <x:v>采用</x:v>
      </x:c>
      <x:c r="N910" s="20" t="str">
        <x:v>初审</x:v>
      </x:c>
      <x:c r="O910" s="22" t="n">
        <x:v>46255</x:v>
      </x:c>
      <x:c r="P910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11">
      <x:c r="A911" s="20" t="str">
        <x:v>M12-END-0036-V1.0</x:v>
      </x:c>
      <x:c r="B911" s="20" t="str">
        <x:v>规则</x:v>
      </x:c>
      <x:c r="C911" s="20" t="str">
        <x:v>M12</x:v>
      </x:c>
      <x:c r="D911" s="20" t="str">
        <x:v>12_五行流通卡点</x:v>
      </x:c>
      <x:c r="E911" s="20" t="str">
        <x:v>END</x:v>
      </x:c>
      <x:c r="F911" s="20" t="n">
        <x:v>36</x:v>
      </x:c>
      <x:c r="G911" s="20" t="str">
        <x:v>V1.0</x:v>
      </x:c>
      <x:c r="H911" s="20" t="str">
        <x:v>终点被合化后必须按新功能重判承载</x:v>
      </x:c>
      <x:c r="I911" s="20" t="str">
        <x:v>结构层</x:v>
      </x:c>
      <x:c r="J911" s="20" t="str">
        <x:v>M12_END_流通判定</x:v>
      </x:c>
      <x:c r="K911" s="20" t="str">
        <x:v>终点被合化后必须按新功能重判承载：按起点—桥梁—终点检查有效力量、连续性与承载；卡点为“其他”时，仅生成通关候选，不直接定用神。</x:v>
      </x:c>
      <x:c r="L911" s="20" t="str">
        <x:v>较高</x:v>
      </x:c>
      <x:c r="M911" s="20" t="str">
        <x:v>采用</x:v>
      </x:c>
      <x:c r="N911" s="20" t="str">
        <x:v>初审</x:v>
      </x:c>
      <x:c r="O911" s="22" t="n">
        <x:v>46255</x:v>
      </x:c>
      <x:c r="P911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12">
      <x:c r="A912" s="20" t="str">
        <x:v>M12-END-0037-V1.0</x:v>
      </x:c>
      <x:c r="B912" s="20" t="str">
        <x:v>规则</x:v>
      </x:c>
      <x:c r="C912" s="20" t="str">
        <x:v>M12</x:v>
      </x:c>
      <x:c r="D912" s="20" t="str">
        <x:v>12_五行流通卡点</x:v>
      </x:c>
      <x:c r="E912" s="20" t="str">
        <x:v>END</x:v>
      </x:c>
      <x:c r="F912" s="20" t="n">
        <x:v>37</x:v>
      </x:c>
      <x:c r="G912" s="20" t="str">
        <x:v>V1.0</x:v>
      </x:c>
      <x:c r="H912" s="20" t="str">
        <x:v>一个终点接收多个强源时可能超载</x:v>
      </x:c>
      <x:c r="I912" s="20" t="str">
        <x:v>结构层</x:v>
      </x:c>
      <x:c r="J912" s="20" t="str">
        <x:v>M12_END_流通判定</x:v>
      </x:c>
      <x:c r="K912" s="20" t="str">
        <x:v>一个终点接收多个强源时可能超载：按起点—桥梁—终点检查有效力量、连续性与承载；卡点为“终点过旺反制”时，仅生成通关候选，不直接定用神。</x:v>
      </x:c>
      <x:c r="L912" s="20" t="str">
        <x:v>较高</x:v>
      </x:c>
      <x:c r="M912" s="20" t="str">
        <x:v>采用</x:v>
      </x:c>
      <x:c r="N912" s="20" t="str">
        <x:v>初审</x:v>
      </x:c>
      <x:c r="O912" s="22" t="n">
        <x:v>46255</x:v>
      </x:c>
      <x:c r="P912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13">
      <x:c r="A913" s="20" t="str">
        <x:v>M12-END-0038-V1.0</x:v>
      </x:c>
      <x:c r="B913" s="20" t="str">
        <x:v>规则</x:v>
      </x:c>
      <x:c r="C913" s="20" t="str">
        <x:v>M12</x:v>
      </x:c>
      <x:c r="D913" s="20" t="str">
        <x:v>12_五行流通卡点</x:v>
      </x:c>
      <x:c r="E913" s="20" t="str">
        <x:v>END</x:v>
      </x:c>
      <x:c r="F913" s="20" t="n">
        <x:v>38</x:v>
      </x:c>
      <x:c r="G913" s="20" t="str">
        <x:v>V1.0</x:v>
      </x:c>
      <x:c r="H913" s="20" t="str">
        <x:v>终点承载评价必须结合其后续是否仍需继续输出</x:v>
      </x:c>
      <x:c r="I913" s="20" t="str">
        <x:v>结构层</x:v>
      </x:c>
      <x:c r="J913" s="20" t="str">
        <x:v>M12_END_流通判定</x:v>
      </x:c>
      <x:c r="K913" s="20" t="str">
        <x:v>终点承载评价必须结合其后续是否仍需继续输出：按起点—桥梁—终点检查有效力量、连续性与承载；卡点为“链路过长”时，仅生成通关候选，不直接定用神。</x:v>
      </x:c>
      <x:c r="L913" s="20" t="str">
        <x:v>较高</x:v>
      </x:c>
      <x:c r="M913" s="20" t="str">
        <x:v>采用</x:v>
      </x:c>
      <x:c r="N913" s="20" t="str">
        <x:v>初审</x:v>
      </x:c>
      <x:c r="O913" s="22" t="n">
        <x:v>46255</x:v>
      </x:c>
      <x:c r="P913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14">
      <x:c r="A914" s="20" t="str">
        <x:v>M12-BLOCK-0039-V1.0</x:v>
      </x:c>
      <x:c r="B914" s="20" t="str">
        <x:v>规则</x:v>
      </x:c>
      <x:c r="C914" s="20" t="str">
        <x:v>M12</x:v>
      </x:c>
      <x:c r="D914" s="20" t="str">
        <x:v>12_五行流通卡点</x:v>
      </x:c>
      <x:c r="E914" s="20" t="str">
        <x:v>BLOCK</x:v>
      </x:c>
      <x:c r="F914" s="20" t="n">
        <x:v>39</x:v>
      </x:c>
      <x:c r="G914" s="20" t="str">
        <x:v>V1.0</x:v>
      </x:c>
      <x:c r="H914" s="20" t="str">
        <x:v>缺少必要桥梁形成真正缺桥</x:v>
      </x:c>
      <x:c r="I914" s="20" t="str">
        <x:v>结构层</x:v>
      </x:c>
      <x:c r="J914" s="20" t="str">
        <x:v>M12_BLOCK_流通判定</x:v>
      </x:c>
      <x:c r="K914" s="20" t="str">
        <x:v>缺少必要桥梁形成真正缺桥：按起点—桥梁—终点检查有效力量、连续性与承载；卡点为“缺桥”时，仅生成通关候选，不直接定用神。</x:v>
      </x:c>
      <x:c r="L914" s="20" t="str">
        <x:v>较高</x:v>
      </x:c>
      <x:c r="M914" s="20" t="str">
        <x:v>采用</x:v>
      </x:c>
      <x:c r="N914" s="20" t="str">
        <x:v>初审</x:v>
      </x:c>
      <x:c r="O914" s="22" t="n">
        <x:v>46255</x:v>
      </x:c>
      <x:c r="P914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15">
      <x:c r="A915" s="20" t="str">
        <x:v>M12-BLOCK-0040-V1.0</x:v>
      </x:c>
      <x:c r="B915" s="20" t="str">
        <x:v>规则</x:v>
      </x:c>
      <x:c r="C915" s="20" t="str">
        <x:v>M12</x:v>
      </x:c>
      <x:c r="D915" s="20" t="str">
        <x:v>12_五行流通卡点</x:v>
      </x:c>
      <x:c r="E915" s="20" t="str">
        <x:v>BLOCK</x:v>
      </x:c>
      <x:c r="F915" s="20" t="n">
        <x:v>40</x:v>
      </x:c>
      <x:c r="G915" s="20" t="str">
        <x:v>V1.0</x:v>
      </x:c>
      <x:c r="H915" s="20" t="str">
        <x:v>桥梁太弱是最常见的局部阻塞</x:v>
      </x:c>
      <x:c r="I915" s="20" t="str">
        <x:v>结构层</x:v>
      </x:c>
      <x:c r="J915" s="20" t="str">
        <x:v>M12_BLOCK_流通判定</x:v>
      </x:c>
      <x:c r="K915" s="20" t="str">
        <x:v>桥梁太弱是最常见的局部阻塞：按起点—桥梁—终点检查有效力量、连续性与承载；卡点为“桥梁太弱”时，仅生成通关候选，不直接定用神。</x:v>
      </x:c>
      <x:c r="L915" s="20" t="str">
        <x:v>较高</x:v>
      </x:c>
      <x:c r="M915" s="20" t="str">
        <x:v>采用</x:v>
      </x:c>
      <x:c r="N915" s="20" t="str">
        <x:v>初审</x:v>
      </x:c>
      <x:c r="O915" s="22" t="n">
        <x:v>46255</x:v>
      </x:c>
      <x:c r="P915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16">
      <x:c r="A916" s="20" t="str">
        <x:v>M12-BLOCK-0041-V1.0</x:v>
      </x:c>
      <x:c r="B916" s="20" t="str">
        <x:v>规则</x:v>
      </x:c>
      <x:c r="C916" s="20" t="str">
        <x:v>M12</x:v>
      </x:c>
      <x:c r="D916" s="20" t="str">
        <x:v>12_五行流通卡点</x:v>
      </x:c>
      <x:c r="E916" s="20" t="str">
        <x:v>BLOCK</x:v>
      </x:c>
      <x:c r="F916" s="20" t="n">
        <x:v>41</x:v>
      </x:c>
      <x:c r="G916" s="20" t="str">
        <x:v>V1.0</x:v>
      </x:c>
      <x:c r="H916" s="20" t="str">
        <x:v>桥梁被克形成外部截断</x:v>
      </x:c>
      <x:c r="I916" s="20" t="str">
        <x:v>结构层</x:v>
      </x:c>
      <x:c r="J916" s="20" t="str">
        <x:v>M12_BLOCK_流通判定</x:v>
      </x:c>
      <x:c r="K916" s="20" t="str">
        <x:v>桥梁被克形成外部截断：按起点—桥梁—终点检查有效力量、连续性与承载；卡点为“桥梁被克”时，仅生成通关候选，不直接定用神。</x:v>
      </x:c>
      <x:c r="L916" s="20" t="str">
        <x:v>较高</x:v>
      </x:c>
      <x:c r="M916" s="20" t="str">
        <x:v>采用</x:v>
      </x:c>
      <x:c r="N916" s="20" t="str">
        <x:v>初审</x:v>
      </x:c>
      <x:c r="O916" s="22" t="n">
        <x:v>46255</x:v>
      </x:c>
      <x:c r="P916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17">
      <x:c r="A917" s="20" t="str">
        <x:v>M12-BLOCK-0042-V1.0</x:v>
      </x:c>
      <x:c r="B917" s="20" t="str">
        <x:v>规则</x:v>
      </x:c>
      <x:c r="C917" s="20" t="str">
        <x:v>M12</x:v>
      </x:c>
      <x:c r="D917" s="20" t="str">
        <x:v>12_五行流通卡点</x:v>
      </x:c>
      <x:c r="E917" s="20" t="str">
        <x:v>BLOCK</x:v>
      </x:c>
      <x:c r="F917" s="20" t="n">
        <x:v>42</x:v>
      </x:c>
      <x:c r="G917" s="20" t="str">
        <x:v>V1.0</x:v>
      </x:c>
      <x:c r="H917" s="20" t="str">
        <x:v>桥梁被合绊形成牵制型阻塞</x:v>
      </x:c>
      <x:c r="I917" s="20" t="str">
        <x:v>结构层</x:v>
      </x:c>
      <x:c r="J917" s="20" t="str">
        <x:v>M12_BLOCK_流通判定</x:v>
      </x:c>
      <x:c r="K917" s="20" t="str">
        <x:v>桥梁被合绊形成牵制型阻塞：按起点—桥梁—终点检查有效力量、连续性与承载；卡点为“桥梁被合绊”时，仅生成通关候选，不直接定用神。</x:v>
      </x:c>
      <x:c r="L917" s="20" t="str">
        <x:v>较高</x:v>
      </x:c>
      <x:c r="M917" s="20" t="str">
        <x:v>采用</x:v>
      </x:c>
      <x:c r="N917" s="20" t="str">
        <x:v>初审</x:v>
      </x:c>
      <x:c r="O917" s="22" t="n">
        <x:v>46255</x:v>
      </x:c>
      <x:c r="P917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18">
      <x:c r="A918" s="20" t="str">
        <x:v>M12-BLOCK-0043-V1.0</x:v>
      </x:c>
      <x:c r="B918" s="20" t="str">
        <x:v>规则</x:v>
      </x:c>
      <x:c r="C918" s="20" t="str">
        <x:v>M12</x:v>
      </x:c>
      <x:c r="D918" s="20" t="str">
        <x:v>12_五行流通卡点</x:v>
      </x:c>
      <x:c r="E918" s="20" t="str">
        <x:v>BLOCK</x:v>
      </x:c>
      <x:c r="F918" s="20" t="n">
        <x:v>43</x:v>
      </x:c>
      <x:c r="G918" s="20" t="str">
        <x:v>V1.0</x:v>
      </x:c>
      <x:c r="H918" s="20" t="str">
        <x:v>源头过旺无泄形成上游壅塞</x:v>
      </x:c>
      <x:c r="I918" s="20" t="str">
        <x:v>结构层</x:v>
      </x:c>
      <x:c r="J918" s="20" t="str">
        <x:v>M12_BLOCK_流通判定</x:v>
      </x:c>
      <x:c r="K918" s="20" t="str">
        <x:v>源头过旺无泄形成上游壅塞：按起点—桥梁—终点检查有效力量、连续性与承载；卡点为“源头过旺无泄”时，仅生成通关候选，不直接定用神。</x:v>
      </x:c>
      <x:c r="L918" s="20" t="str">
        <x:v>较高</x:v>
      </x:c>
      <x:c r="M918" s="20" t="str">
        <x:v>采用</x:v>
      </x:c>
      <x:c r="N918" s="20" t="str">
        <x:v>初审</x:v>
      </x:c>
      <x:c r="O918" s="22" t="n">
        <x:v>46255</x:v>
      </x:c>
      <x:c r="P918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19">
      <x:c r="A919" s="20" t="str">
        <x:v>M12-BLOCK-0044-V1.0</x:v>
      </x:c>
      <x:c r="B919" s="20" t="str">
        <x:v>规则</x:v>
      </x:c>
      <x:c r="C919" s="20" t="str">
        <x:v>M12</x:v>
      </x:c>
      <x:c r="D919" s="20" t="str">
        <x:v>12_五行流通卡点</x:v>
      </x:c>
      <x:c r="E919" s="20" t="str">
        <x:v>BLOCK</x:v>
      </x:c>
      <x:c r="F919" s="20" t="n">
        <x:v>44</x:v>
      </x:c>
      <x:c r="G919" s="20" t="str">
        <x:v>V1.0</x:v>
      </x:c>
      <x:c r="H919" s="20" t="str">
        <x:v>终点过弱导致力量无处落脚</x:v>
      </x:c>
      <x:c r="I919" s="20" t="str">
        <x:v>结构层</x:v>
      </x:c>
      <x:c r="J919" s="20" t="str">
        <x:v>M12_BLOCK_流通判定</x:v>
      </x:c>
      <x:c r="K919" s="20" t="str">
        <x:v>终点过弱导致力量无处落脚：按起点—桥梁—终点检查有效力量、连续性与承载；卡点为“终点过弱不能承载”时，仅生成通关候选，不直接定用神。</x:v>
      </x:c>
      <x:c r="L919" s="20" t="str">
        <x:v>较高</x:v>
      </x:c>
      <x:c r="M919" s="20" t="str">
        <x:v>采用</x:v>
      </x:c>
      <x:c r="N919" s="20" t="str">
        <x:v>初审</x:v>
      </x:c>
      <x:c r="O919" s="22" t="n">
        <x:v>46255</x:v>
      </x:c>
      <x:c r="P919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20">
      <x:c r="A920" s="20" t="str">
        <x:v>M12-BLOCK-0045-V1.0</x:v>
      </x:c>
      <x:c r="B920" s="20" t="str">
        <x:v>规则</x:v>
      </x:c>
      <x:c r="C920" s="20" t="str">
        <x:v>M12</x:v>
      </x:c>
      <x:c r="D920" s="20" t="str">
        <x:v>12_五行流通卡点</x:v>
      </x:c>
      <x:c r="E920" s="20" t="str">
        <x:v>BLOCK</x:v>
      </x:c>
      <x:c r="F920" s="20" t="n">
        <x:v>45</x:v>
      </x:c>
      <x:c r="G920" s="20" t="str">
        <x:v>V1.0</x:v>
      </x:c>
      <x:c r="H920" s="20" t="str">
        <x:v>终点过旺反制形成逆向阻塞</x:v>
      </x:c>
      <x:c r="I920" s="20" t="str">
        <x:v>结构层</x:v>
      </x:c>
      <x:c r="J920" s="20" t="str">
        <x:v>M12_BLOCK_流通判定</x:v>
      </x:c>
      <x:c r="K920" s="20" t="str">
        <x:v>终点过旺反制形成逆向阻塞：按起点—桥梁—终点检查有效力量、连续性与承载；卡点为“终点过旺反制”时，仅生成通关候选，不直接定用神。</x:v>
      </x:c>
      <x:c r="L920" s="20" t="str">
        <x:v>较高</x:v>
      </x:c>
      <x:c r="M920" s="20" t="str">
        <x:v>采用</x:v>
      </x:c>
      <x:c r="N920" s="20" t="str">
        <x:v>初审</x:v>
      </x:c>
      <x:c r="O920" s="22" t="n">
        <x:v>46255</x:v>
      </x:c>
      <x:c r="P920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21">
      <x:c r="A921" s="20" t="str">
        <x:v>M12-BLOCK-0046-V1.0</x:v>
      </x:c>
      <x:c r="B921" s="20" t="str">
        <x:v>规则</x:v>
      </x:c>
      <x:c r="C921" s="20" t="str">
        <x:v>M12</x:v>
      </x:c>
      <x:c r="D921" s="20" t="str">
        <x:v>12_五行流通卡点</x:v>
      </x:c>
      <x:c r="E921" s="20" t="str">
        <x:v>BLOCK</x:v>
      </x:c>
      <x:c r="F921" s="20" t="n">
        <x:v>46</x:v>
      </x:c>
      <x:c r="G921" s="20" t="str">
        <x:v>V1.0</x:v>
      </x:c>
      <x:c r="H921" s="20" t="str">
        <x:v>两强相战且无桥梁时形成直接冲突</x:v>
      </x:c>
      <x:c r="I921" s="20" t="str">
        <x:v>结构层</x:v>
      </x:c>
      <x:c r="J921" s="20" t="str">
        <x:v>M12_BLOCK_流通判定</x:v>
      </x:c>
      <x:c r="K921" s="20" t="str">
        <x:v>两强相战且无桥梁时形成直接冲突：按起点—桥梁—终点检查有效力量、连续性与承载；卡点为“两强相战”时，仅生成通关候选，不直接定用神。</x:v>
      </x:c>
      <x:c r="L921" s="20" t="str">
        <x:v>较高</x:v>
      </x:c>
      <x:c r="M921" s="20" t="str">
        <x:v>采用</x:v>
      </x:c>
      <x:c r="N921" s="20" t="str">
        <x:v>初审</x:v>
      </x:c>
      <x:c r="O921" s="22" t="n">
        <x:v>46255</x:v>
      </x:c>
      <x:c r="P921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22">
      <x:c r="A922" s="20" t="str">
        <x:v>M12-BLOCK-0047-V1.0</x:v>
      </x:c>
      <x:c r="B922" s="20" t="str">
        <x:v>规则</x:v>
      </x:c>
      <x:c r="C922" s="20" t="str">
        <x:v>M12</x:v>
      </x:c>
      <x:c r="D922" s="20" t="str">
        <x:v>12_五行流通卡点</x:v>
      </x:c>
      <x:c r="E922" s="20" t="str">
        <x:v>BLOCK</x:v>
      </x:c>
      <x:c r="F922" s="20" t="n">
        <x:v>47</x:v>
      </x:c>
      <x:c r="G922" s="20" t="str">
        <x:v>V1.0</x:v>
      </x:c>
      <x:c r="H922" s="20" t="str">
        <x:v>寒凝会使原本存在的生化链效率下降</x:v>
      </x:c>
      <x:c r="I922" s="20" t="str">
        <x:v>结构层</x:v>
      </x:c>
      <x:c r="J922" s="20" t="str">
        <x:v>M12_BLOCK_流通判定</x:v>
      </x:c>
      <x:c r="K922" s="20" t="str">
        <x:v>寒凝会使原本存在的生化链效率下降：按起点—桥梁—终点检查有效力量、连续性与承载；卡点为“寒凝”时，仅生成通关候选，不直接定用神。</x:v>
      </x:c>
      <x:c r="L922" s="20" t="str">
        <x:v>较高</x:v>
      </x:c>
      <x:c r="M922" s="20" t="str">
        <x:v>采用</x:v>
      </x:c>
      <x:c r="N922" s="20" t="str">
        <x:v>初审</x:v>
      </x:c>
      <x:c r="O922" s="22" t="n">
        <x:v>46255</x:v>
      </x:c>
      <x:c r="P922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23">
      <x:c r="A923" s="20" t="str">
        <x:v>M12-BLOCK-0048-V1.0</x:v>
      </x:c>
      <x:c r="B923" s="20" t="str">
        <x:v>规则</x:v>
      </x:c>
      <x:c r="C923" s="20" t="str">
        <x:v>M12</x:v>
      </x:c>
      <x:c r="D923" s="20" t="str">
        <x:v>12_五行流通卡点</x:v>
      </x:c>
      <x:c r="E923" s="20" t="str">
        <x:v>BLOCK</x:v>
      </x:c>
      <x:c r="F923" s="20" t="n">
        <x:v>48</x:v>
      </x:c>
      <x:c r="G923" s="20" t="str">
        <x:v>V1.0</x:v>
      </x:c>
      <x:c r="H923" s="20" t="str">
        <x:v>燥枯会使原本存在的生化链失去润泽</x:v>
      </x:c>
      <x:c r="I923" s="20" t="str">
        <x:v>结构层</x:v>
      </x:c>
      <x:c r="J923" s="20" t="str">
        <x:v>M12_BLOCK_流通判定</x:v>
      </x:c>
      <x:c r="K923" s="20" t="str">
        <x:v>燥枯会使原本存在的生化链失去润泽：按起点—桥梁—终点检查有效力量、连续性与承载；卡点为“燥枯”时，仅生成通关候选，不直接定用神。</x:v>
      </x:c>
      <x:c r="L923" s="20" t="str">
        <x:v>较高</x:v>
      </x:c>
      <x:c r="M923" s="20" t="str">
        <x:v>采用</x:v>
      </x:c>
      <x:c r="N923" s="20" t="str">
        <x:v>初审</x:v>
      </x:c>
      <x:c r="O923" s="22" t="n">
        <x:v>46255</x:v>
      </x:c>
      <x:c r="P923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24">
      <x:c r="A924" s="20" t="str">
        <x:v>M12-BLOCK-0049-V1.0</x:v>
      </x:c>
      <x:c r="B924" s="20" t="str">
        <x:v>规则</x:v>
      </x:c>
      <x:c r="C924" s="20" t="str">
        <x:v>M12</x:v>
      </x:c>
      <x:c r="D924" s="20" t="str">
        <x:v>12_五行流通卡点</x:v>
      </x:c>
      <x:c r="E924" s="20" t="str">
        <x:v>BLOCK</x:v>
      </x:c>
      <x:c r="F924" s="20" t="n">
        <x:v>49</x:v>
      </x:c>
      <x:c r="G924" s="20" t="str">
        <x:v>V1.0</x:v>
      </x:c>
      <x:c r="H924" s="20" t="str">
        <x:v>链路过长会导致末端获得的有效力量递减</x:v>
      </x:c>
      <x:c r="I924" s="20" t="str">
        <x:v>结构层</x:v>
      </x:c>
      <x:c r="J924" s="20" t="str">
        <x:v>M12_BLOCK_流通判定</x:v>
      </x:c>
      <x:c r="K924" s="20" t="str">
        <x:v>链路过长会导致末端获得的有效力量递减：按起点—桥梁—终点检查有效力量、连续性与承载；卡点为“链路过长”时，仅生成通关候选，不直接定用神。</x:v>
      </x:c>
      <x:c r="L924" s="20" t="str">
        <x:v>较高</x:v>
      </x:c>
      <x:c r="M924" s="20" t="str">
        <x:v>采用</x:v>
      </x:c>
      <x:c r="N924" s="20" t="str">
        <x:v>初审</x:v>
      </x:c>
      <x:c r="O924" s="22" t="n">
        <x:v>46255</x:v>
      </x:c>
      <x:c r="P924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25">
      <x:c r="A925" s="20" t="str">
        <x:v>M12-BLOCK-0050-V1.0</x:v>
      </x:c>
      <x:c r="B925" s="20" t="str">
        <x:v>规则</x:v>
      </x:c>
      <x:c r="C925" s="20" t="str">
        <x:v>M12</x:v>
      </x:c>
      <x:c r="D925" s="20" t="str">
        <x:v>12_五行流通卡点</x:v>
      </x:c>
      <x:c r="E925" s="20" t="str">
        <x:v>BLOCK</x:v>
      </x:c>
      <x:c r="F925" s="20" t="n">
        <x:v>50</x:v>
      </x:c>
      <x:c r="G925" s="20" t="str">
        <x:v>V1.0</x:v>
      </x:c>
      <x:c r="H925" s="20" t="str">
        <x:v>回流壅塞表现为力量在局部反复循环而不能外泄</x:v>
      </x:c>
      <x:c r="I925" s="20" t="str">
        <x:v>结构层</x:v>
      </x:c>
      <x:c r="J925" s="20" t="str">
        <x:v>M12_BLOCK_流通判定</x:v>
      </x:c>
      <x:c r="K925" s="20" t="str">
        <x:v>回流壅塞表现为力量在局部反复循环而不能外泄：按起点—桥梁—终点检查有效力量、连续性与承载；卡点为“回流壅塞”时，仅生成通关候选，不直接定用神。</x:v>
      </x:c>
      <x:c r="L925" s="20" t="str">
        <x:v>较高</x:v>
      </x:c>
      <x:c r="M925" s="20" t="str">
        <x:v>采用</x:v>
      </x:c>
      <x:c r="N925" s="20" t="str">
        <x:v>初审</x:v>
      </x:c>
      <x:c r="O925" s="22" t="n">
        <x:v>46255</x:v>
      </x:c>
      <x:c r="P925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26">
      <x:c r="A926" s="20" t="str">
        <x:v>M12-BLOCK-0051-V1.0</x:v>
      </x:c>
      <x:c r="B926" s="20" t="str">
        <x:v>规则</x:v>
      </x:c>
      <x:c r="C926" s="20" t="str">
        <x:v>M12</x:v>
      </x:c>
      <x:c r="D926" s="20" t="str">
        <x:v>12_五行流通卡点</x:v>
      </x:c>
      <x:c r="E926" s="20" t="str">
        <x:v>BLOCK</x:v>
      </x:c>
      <x:c r="F926" s="20" t="n">
        <x:v>51</x:v>
      </x:c>
      <x:c r="G926" s="20" t="str">
        <x:v>V1.0</x:v>
      </x:c>
      <x:c r="H926" s="20" t="str">
        <x:v>桥梁被改性会造成路径方向突变</x:v>
      </x:c>
      <x:c r="I926" s="20" t="str">
        <x:v>结构层</x:v>
      </x:c>
      <x:c r="J926" s="20" t="str">
        <x:v>M12_BLOCK_流通判定</x:v>
      </x:c>
      <x:c r="K926" s="20" t="str">
        <x:v>桥梁被改性会造成路径方向突变：按起点—桥梁—终点检查有效力量、连续性与承载；卡点为“其他”时，仅生成通关候选，不直接定用神。</x:v>
      </x:c>
      <x:c r="L926" s="20" t="str">
        <x:v>较高</x:v>
      </x:c>
      <x:c r="M926" s="20" t="str">
        <x:v>采用</x:v>
      </x:c>
      <x:c r="N926" s="20" t="str">
        <x:v>初审</x:v>
      </x:c>
      <x:c r="O926" s="22" t="n">
        <x:v>46255</x:v>
      </x:c>
      <x:c r="P926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27">
      <x:c r="A927" s="20" t="str">
        <x:v>M12-BLOCK-0052-V1.0</x:v>
      </x:c>
      <x:c r="B927" s="20" t="str">
        <x:v>规则</x:v>
      </x:c>
      <x:c r="C927" s="20" t="str">
        <x:v>M12</x:v>
      </x:c>
      <x:c r="D927" s="20" t="str">
        <x:v>12_五行流通卡点</x:v>
      </x:c>
      <x:c r="E927" s="20" t="str">
        <x:v>BLOCK</x:v>
      </x:c>
      <x:c r="F927" s="20" t="n">
        <x:v>52</x:v>
      </x:c>
      <x:c r="G927" s="20" t="str">
        <x:v>V1.0</x:v>
      </x:c>
      <x:c r="H927" s="20" t="str">
        <x:v>共享桥梁过载会形成路径竞争</x:v>
      </x:c>
      <x:c r="I927" s="20" t="str">
        <x:v>结构层</x:v>
      </x:c>
      <x:c r="J927" s="20" t="str">
        <x:v>M12_BLOCK_流通判定</x:v>
      </x:c>
      <x:c r="K927" s="20" t="str">
        <x:v>共享桥梁过载会形成路径竞争：按起点—桥梁—终点检查有效力量、连续性与承载；卡点为“桥梁太弱”时，仅生成通关候选，不直接定用神。</x:v>
      </x:c>
      <x:c r="L927" s="20" t="str">
        <x:v>较高</x:v>
      </x:c>
      <x:c r="M927" s="20" t="str">
        <x:v>采用</x:v>
      </x:c>
      <x:c r="N927" s="20" t="str">
        <x:v>初审</x:v>
      </x:c>
      <x:c r="O927" s="22" t="n">
        <x:v>46255</x:v>
      </x:c>
      <x:c r="P927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28">
      <x:c r="A928" s="20" t="str">
        <x:v>M12-BLOCK-0053-V1.0</x:v>
      </x:c>
      <x:c r="B928" s="20" t="str">
        <x:v>规则</x:v>
      </x:c>
      <x:c r="C928" s="20" t="str">
        <x:v>M12</x:v>
      </x:c>
      <x:c r="D928" s="20" t="str">
        <x:v>12_五行流通卡点</x:v>
      </x:c>
      <x:c r="E928" s="20" t="str">
        <x:v>BLOCK</x:v>
      </x:c>
      <x:c r="F928" s="20" t="n">
        <x:v>53</x:v>
      </x:c>
      <x:c r="G928" s="20" t="str">
        <x:v>V1.0</x:v>
      </x:c>
      <x:c r="H928" s="20" t="str">
        <x:v>一处卡点被修复后可能暴露下一处次级卡点</x:v>
      </x:c>
      <x:c r="I928" s="20" t="str">
        <x:v>结构层</x:v>
      </x:c>
      <x:c r="J928" s="20" t="str">
        <x:v>卡点递进</x:v>
      </x:c>
      <x:c r="K928" s="20" t="str">
        <x:v>一处卡点被修复后可能暴露下一处次级卡点：按起点—桥梁—终点检查有效力量、连续性与承载；卡点为“其他”时，仅生成通关候选，不直接定用神。</x:v>
      </x:c>
      <x:c r="L928" s="20" t="str">
        <x:v>较高</x:v>
      </x:c>
      <x:c r="M928" s="20" t="str">
        <x:v>采用</x:v>
      </x:c>
      <x:c r="N928" s="20" t="str">
        <x:v>初审</x:v>
      </x:c>
      <x:c r="O928" s="22" t="n">
        <x:v>46255</x:v>
      </x:c>
      <x:c r="P928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29">
      <x:c r="A929" s="20" t="str">
        <x:v>M12-BLOCK-0054-V1.0</x:v>
      </x:c>
      <x:c r="B929" s="20" t="str">
        <x:v>规则</x:v>
      </x:c>
      <x:c r="C929" s="20" t="str">
        <x:v>M12</x:v>
      </x:c>
      <x:c r="D929" s="20" t="str">
        <x:v>12_五行流通卡点</x:v>
      </x:c>
      <x:c r="E929" s="20" t="str">
        <x:v>BLOCK</x:v>
      </x:c>
      <x:c r="F929" s="20" t="n">
        <x:v>54</x:v>
      </x:c>
      <x:c r="G929" s="20" t="str">
        <x:v>V1.0</x:v>
      </x:c>
      <x:c r="H929" s="20" t="str">
        <x:v>同一原局可同时存在多个卡点但需排序主次</x:v>
      </x:c>
      <x:c r="I929" s="20" t="str">
        <x:v>结构层</x:v>
      </x:c>
      <x:c r="J929" s="20" t="str">
        <x:v>多卡点排序</x:v>
      </x:c>
      <x:c r="K929" s="20" t="str">
        <x:v>存在多个卡点时，应按影响范围、阻断强度、是否涉及主导组合及可修复性排序为主卡点、次卡点，不做简单数量相加。</x:v>
      </x:c>
      <x:c r="L929" s="20" t="str">
        <x:v>较高</x:v>
      </x:c>
      <x:c r="M929" s="20" t="str">
        <x:v>采用</x:v>
      </x:c>
      <x:c r="N929" s="20" t="str">
        <x:v>初审</x:v>
      </x:c>
      <x:c r="O929" s="22" t="n">
        <x:v>46255</x:v>
      </x:c>
      <x:c r="P929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30">
      <x:c r="A930" s="20" t="str">
        <x:v>M12-WUXING-0055-V1.0</x:v>
      </x:c>
      <x:c r="B930" s="20" t="str">
        <x:v>规则</x:v>
      </x:c>
      <x:c r="C930" s="20" t="str">
        <x:v>M12</x:v>
      </x:c>
      <x:c r="D930" s="20" t="str">
        <x:v>12_五行流通卡点</x:v>
      </x:c>
      <x:c r="E930" s="20" t="str">
        <x:v>WUXING</x:v>
      </x:c>
      <x:c r="F930" s="20" t="n">
        <x:v>55</x:v>
      </x:c>
      <x:c r="G930" s="20" t="str">
        <x:v>V1.0</x:v>
      </x:c>
      <x:c r="H930" s="20" t="str">
        <x:v>金水木连续生化</x:v>
      </x:c>
      <x:c r="I930" s="20" t="str">
        <x:v>结构层</x:v>
      </x:c>
      <x:c r="J930" s="20" t="str">
        <x:v>金水木_生化链</x:v>
      </x:c>
      <x:c r="K930" s="20" t="str">
        <x:v>金水木连续生化：按起点—桥梁—终点检查有效力量、连续性与承载；卡点为“其他”时，仅生成通关候选，不直接定用神。</x:v>
      </x:c>
      <x:c r="L930" s="20" t="str">
        <x:v>较高</x:v>
      </x:c>
      <x:c r="M930" s="20" t="str">
        <x:v>采用</x:v>
      </x:c>
      <x:c r="N930" s="20" t="str">
        <x:v>初审</x:v>
      </x:c>
      <x:c r="O930" s="22" t="n">
        <x:v>46255</x:v>
      </x:c>
      <x:c r="P930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31">
      <x:c r="A931" s="20" t="str">
        <x:v>M12-WUXING-0056-V1.0</x:v>
      </x:c>
      <x:c r="B931" s="20" t="str">
        <x:v>规则</x:v>
      </x:c>
      <x:c r="C931" s="20" t="str">
        <x:v>M12</x:v>
      </x:c>
      <x:c r="D931" s="20" t="str">
        <x:v>12_五行流通卡点</x:v>
      </x:c>
      <x:c r="E931" s="20" t="str">
        <x:v>WUXING</x:v>
      </x:c>
      <x:c r="F931" s="20" t="n">
        <x:v>56</x:v>
      </x:c>
      <x:c r="G931" s="20" t="str">
        <x:v>V1.0</x:v>
      </x:c>
      <x:c r="H931" s="20" t="str">
        <x:v>水木火连续生化</x:v>
      </x:c>
      <x:c r="I931" s="20" t="str">
        <x:v>结构层</x:v>
      </x:c>
      <x:c r="J931" s="20" t="str">
        <x:v>水木火_生化链</x:v>
      </x:c>
      <x:c r="K931" s="20" t="str">
        <x:v>水木火连续生化：按起点—桥梁—终点检查有效力量、连续性与承载；卡点为“其他”时，仅生成通关候选，不直接定用神。</x:v>
      </x:c>
      <x:c r="L931" s="20" t="str">
        <x:v>较高</x:v>
      </x:c>
      <x:c r="M931" s="20" t="str">
        <x:v>采用</x:v>
      </x:c>
      <x:c r="N931" s="20" t="str">
        <x:v>初审</x:v>
      </x:c>
      <x:c r="O931" s="22" t="n">
        <x:v>46255</x:v>
      </x:c>
      <x:c r="P931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32">
      <x:c r="A932" s="20" t="str">
        <x:v>M12-WUXING-0057-V1.0</x:v>
      </x:c>
      <x:c r="B932" s="20" t="str">
        <x:v>规则</x:v>
      </x:c>
      <x:c r="C932" s="20" t="str">
        <x:v>M12</x:v>
      </x:c>
      <x:c r="D932" s="20" t="str">
        <x:v>12_五行流通卡点</x:v>
      </x:c>
      <x:c r="E932" s="20" t="str">
        <x:v>WUXING</x:v>
      </x:c>
      <x:c r="F932" s="20" t="n">
        <x:v>57</x:v>
      </x:c>
      <x:c r="G932" s="20" t="str">
        <x:v>V1.0</x:v>
      </x:c>
      <x:c r="H932" s="20" t="str">
        <x:v>木火土连续生化</x:v>
      </x:c>
      <x:c r="I932" s="20" t="str">
        <x:v>结构层</x:v>
      </x:c>
      <x:c r="J932" s="20" t="str">
        <x:v>木火土_生化链</x:v>
      </x:c>
      <x:c r="K932" s="20" t="str">
        <x:v>木火土连续生化：按起点—桥梁—终点检查有效力量、连续性与承载；卡点为“其他”时，仅生成通关候选，不直接定用神。</x:v>
      </x:c>
      <x:c r="L932" s="20" t="str">
        <x:v>较高</x:v>
      </x:c>
      <x:c r="M932" s="20" t="str">
        <x:v>采用</x:v>
      </x:c>
      <x:c r="N932" s="20" t="str">
        <x:v>初审</x:v>
      </x:c>
      <x:c r="O932" s="22" t="n">
        <x:v>46255</x:v>
      </x:c>
      <x:c r="P932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33">
      <x:c r="A933" s="20" t="str">
        <x:v>M12-WUXING-0058-V1.0</x:v>
      </x:c>
      <x:c r="B933" s="20" t="str">
        <x:v>规则</x:v>
      </x:c>
      <x:c r="C933" s="20" t="str">
        <x:v>M12</x:v>
      </x:c>
      <x:c r="D933" s="20" t="str">
        <x:v>12_五行流通卡点</x:v>
      </x:c>
      <x:c r="E933" s="20" t="str">
        <x:v>WUXING</x:v>
      </x:c>
      <x:c r="F933" s="20" t="n">
        <x:v>58</x:v>
      </x:c>
      <x:c r="G933" s="20" t="str">
        <x:v>V1.0</x:v>
      </x:c>
      <x:c r="H933" s="20" t="str">
        <x:v>火土金连续生化</x:v>
      </x:c>
      <x:c r="I933" s="20" t="str">
        <x:v>结构层</x:v>
      </x:c>
      <x:c r="J933" s="20" t="str">
        <x:v>火土金_生化链</x:v>
      </x:c>
      <x:c r="K933" s="20" t="str">
        <x:v>火土金连续生化：按起点—桥梁—终点检查有效力量、连续性与承载；卡点为“其他”时，仅生成通关候选，不直接定用神。</x:v>
      </x:c>
      <x:c r="L933" s="20" t="str">
        <x:v>较高</x:v>
      </x:c>
      <x:c r="M933" s="20" t="str">
        <x:v>采用</x:v>
      </x:c>
      <x:c r="N933" s="20" t="str">
        <x:v>初审</x:v>
      </x:c>
      <x:c r="O933" s="22" t="n">
        <x:v>46255</x:v>
      </x:c>
      <x:c r="P933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34">
      <x:c r="A934" s="20" t="str">
        <x:v>M12-WUXING-0059-V1.0</x:v>
      </x:c>
      <x:c r="B934" s="20" t="str">
        <x:v>规则</x:v>
      </x:c>
      <x:c r="C934" s="20" t="str">
        <x:v>M12</x:v>
      </x:c>
      <x:c r="D934" s="20" t="str">
        <x:v>12_五行流通卡点</x:v>
      </x:c>
      <x:c r="E934" s="20" t="str">
        <x:v>WUXING</x:v>
      </x:c>
      <x:c r="F934" s="20" t="n">
        <x:v>59</x:v>
      </x:c>
      <x:c r="G934" s="20" t="str">
        <x:v>V1.0</x:v>
      </x:c>
      <x:c r="H934" s="20" t="str">
        <x:v>土金水连续生化</x:v>
      </x:c>
      <x:c r="I934" s="20" t="str">
        <x:v>结构层</x:v>
      </x:c>
      <x:c r="J934" s="20" t="str">
        <x:v>土金水_生化链</x:v>
      </x:c>
      <x:c r="K934" s="20" t="str">
        <x:v>土金水连续生化：按起点—桥梁—终点检查有效力量、连续性与承载；卡点为“其他”时，仅生成通关候选，不直接定用神。</x:v>
      </x:c>
      <x:c r="L934" s="20" t="str">
        <x:v>较高</x:v>
      </x:c>
      <x:c r="M934" s="20" t="str">
        <x:v>采用</x:v>
      </x:c>
      <x:c r="N934" s="20" t="str">
        <x:v>初审</x:v>
      </x:c>
      <x:c r="O934" s="22" t="n">
        <x:v>46255</x:v>
      </x:c>
      <x:c r="P934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35">
      <x:c r="A935" s="20" t="str">
        <x:v>M12-WUXING-0060-V1.0</x:v>
      </x:c>
      <x:c r="B935" s="20" t="str">
        <x:v>规则</x:v>
      </x:c>
      <x:c r="C935" s="20" t="str">
        <x:v>M12</x:v>
      </x:c>
      <x:c r="D935" s="20" t="str">
        <x:v>12_五行流通卡点</x:v>
      </x:c>
      <x:c r="E935" s="20" t="str">
        <x:v>WUXING</x:v>
      </x:c>
      <x:c r="F935" s="20" t="n">
        <x:v>60</x:v>
      </x:c>
      <x:c r="G935" s="20" t="str">
        <x:v>V1.0</x:v>
      </x:c>
      <x:c r="H935" s="20" t="str">
        <x:v>金木相战以水通关</x:v>
      </x:c>
      <x:c r="I935" s="20" t="str">
        <x:v>结构层</x:v>
      </x:c>
      <x:c r="J935" s="20" t="str">
        <x:v>金克木_水通关</x:v>
      </x:c>
      <x:c r="K935" s="20" t="str">
        <x:v>金木相战以水通关：按起点—桥梁—终点检查有效力量、连续性与承载；卡点为“两强相战”时，仅生成通关候选，不直接定用神。</x:v>
      </x:c>
      <x:c r="L935" s="20" t="str">
        <x:v>较高</x:v>
      </x:c>
      <x:c r="M935" s="20" t="str">
        <x:v>采用</x:v>
      </x:c>
      <x:c r="N935" s="20" t="str">
        <x:v>初审</x:v>
      </x:c>
      <x:c r="O935" s="22" t="n">
        <x:v>46255</x:v>
      </x:c>
      <x:c r="P935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36">
      <x:c r="A936" s="20" t="str">
        <x:v>M12-WUXING-0061-V1.0</x:v>
      </x:c>
      <x:c r="B936" s="20" t="str">
        <x:v>规则</x:v>
      </x:c>
      <x:c r="C936" s="20" t="str">
        <x:v>M12</x:v>
      </x:c>
      <x:c r="D936" s="20" t="str">
        <x:v>12_五行流通卡点</x:v>
      </x:c>
      <x:c r="E936" s="20" t="str">
        <x:v>WUXING</x:v>
      </x:c>
      <x:c r="F936" s="20" t="n">
        <x:v>61</x:v>
      </x:c>
      <x:c r="G936" s="20" t="str">
        <x:v>V1.0</x:v>
      </x:c>
      <x:c r="H936" s="20" t="str">
        <x:v>木土相战以火通关</x:v>
      </x:c>
      <x:c r="I936" s="20" t="str">
        <x:v>结构层</x:v>
      </x:c>
      <x:c r="J936" s="20" t="str">
        <x:v>木克土_火通关</x:v>
      </x:c>
      <x:c r="K936" s="20" t="str">
        <x:v>木土相战以火通关：按起点—桥梁—终点检查有效力量、连续性与承载；卡点为“两强相战”时，仅生成通关候选，不直接定用神。</x:v>
      </x:c>
      <x:c r="L936" s="20" t="str">
        <x:v>较高</x:v>
      </x:c>
      <x:c r="M936" s="20" t="str">
        <x:v>采用</x:v>
      </x:c>
      <x:c r="N936" s="20" t="str">
        <x:v>初审</x:v>
      </x:c>
      <x:c r="O936" s="22" t="n">
        <x:v>46255</x:v>
      </x:c>
      <x:c r="P936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37">
      <x:c r="A937" s="20" t="str">
        <x:v>M12-WUXING-0062-V1.0</x:v>
      </x:c>
      <x:c r="B937" s="20" t="str">
        <x:v>规则</x:v>
      </x:c>
      <x:c r="C937" s="20" t="str">
        <x:v>M12</x:v>
      </x:c>
      <x:c r="D937" s="20" t="str">
        <x:v>12_五行流通卡点</x:v>
      </x:c>
      <x:c r="E937" s="20" t="str">
        <x:v>WUXING</x:v>
      </x:c>
      <x:c r="F937" s="20" t="n">
        <x:v>62</x:v>
      </x:c>
      <x:c r="G937" s="20" t="str">
        <x:v>V1.0</x:v>
      </x:c>
      <x:c r="H937" s="20" t="str">
        <x:v>土水相战以金通关</x:v>
      </x:c>
      <x:c r="I937" s="20" t="str">
        <x:v>结构层</x:v>
      </x:c>
      <x:c r="J937" s="20" t="str">
        <x:v>土克水_金通关</x:v>
      </x:c>
      <x:c r="K937" s="20" t="str">
        <x:v>土水相战以金通关：按起点—桥梁—终点检查有效力量、连续性与承载；卡点为“两强相战”时，仅生成通关候选，不直接定用神。</x:v>
      </x:c>
      <x:c r="L937" s="20" t="str">
        <x:v>较高</x:v>
      </x:c>
      <x:c r="M937" s="20" t="str">
        <x:v>采用</x:v>
      </x:c>
      <x:c r="N937" s="20" t="str">
        <x:v>初审</x:v>
      </x:c>
      <x:c r="O937" s="22" t="n">
        <x:v>46255</x:v>
      </x:c>
      <x:c r="P937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38">
      <x:c r="A938" s="20" t="str">
        <x:v>M12-WUXING-0063-V1.0</x:v>
      </x:c>
      <x:c r="B938" s="20" t="str">
        <x:v>规则</x:v>
      </x:c>
      <x:c r="C938" s="20" t="str">
        <x:v>M12</x:v>
      </x:c>
      <x:c r="D938" s="20" t="str">
        <x:v>12_五行流通卡点</x:v>
      </x:c>
      <x:c r="E938" s="20" t="str">
        <x:v>WUXING</x:v>
      </x:c>
      <x:c r="F938" s="20" t="n">
        <x:v>63</x:v>
      </x:c>
      <x:c r="G938" s="20" t="str">
        <x:v>V1.0</x:v>
      </x:c>
      <x:c r="H938" s="20" t="str">
        <x:v>水火相战以木通关</x:v>
      </x:c>
      <x:c r="I938" s="20" t="str">
        <x:v>结构层</x:v>
      </x:c>
      <x:c r="J938" s="20" t="str">
        <x:v>水克火_木通关</x:v>
      </x:c>
      <x:c r="K938" s="20" t="str">
        <x:v>水火相战以木通关：按起点—桥梁—终点检查有效力量、连续性与承载；卡点为“两强相战”时，仅生成通关候选，不直接定用神。</x:v>
      </x:c>
      <x:c r="L938" s="20" t="str">
        <x:v>较高</x:v>
      </x:c>
      <x:c r="M938" s="20" t="str">
        <x:v>采用</x:v>
      </x:c>
      <x:c r="N938" s="20" t="str">
        <x:v>初审</x:v>
      </x:c>
      <x:c r="O938" s="22" t="n">
        <x:v>46255</x:v>
      </x:c>
      <x:c r="P938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39">
      <x:c r="A939" s="20" t="str">
        <x:v>M12-WUXING-0064-V1.0</x:v>
      </x:c>
      <x:c r="B939" s="20" t="str">
        <x:v>规则</x:v>
      </x:c>
      <x:c r="C939" s="20" t="str">
        <x:v>M12</x:v>
      </x:c>
      <x:c r="D939" s="20" t="str">
        <x:v>12_五行流通卡点</x:v>
      </x:c>
      <x:c r="E939" s="20" t="str">
        <x:v>WUXING</x:v>
      </x:c>
      <x:c r="F939" s="20" t="n">
        <x:v>64</x:v>
      </x:c>
      <x:c r="G939" s="20" t="str">
        <x:v>V1.0</x:v>
      </x:c>
      <x:c r="H939" s="20" t="str">
        <x:v>火金相战以土通关</x:v>
      </x:c>
      <x:c r="I939" s="20" t="str">
        <x:v>结构层</x:v>
      </x:c>
      <x:c r="J939" s="20" t="str">
        <x:v>火克金_土通关</x:v>
      </x:c>
      <x:c r="K939" s="20" t="str">
        <x:v>火金相战以土通关：按起点—桥梁—终点检查有效力量、连续性与承载；卡点为“两强相战”时，仅生成通关候选，不直接定用神。</x:v>
      </x:c>
      <x:c r="L939" s="20" t="str">
        <x:v>较高</x:v>
      </x:c>
      <x:c r="M939" s="20" t="str">
        <x:v>采用</x:v>
      </x:c>
      <x:c r="N939" s="20" t="str">
        <x:v>初审</x:v>
      </x:c>
      <x:c r="O939" s="22" t="n">
        <x:v>46255</x:v>
      </x:c>
      <x:c r="P939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40">
      <x:c r="A940" s="20" t="str">
        <x:v>M12-TENGOD-0065-V1.0</x:v>
      </x:c>
      <x:c r="B940" s="20" t="str">
        <x:v>规则</x:v>
      </x:c>
      <x:c r="C940" s="20" t="str">
        <x:v>M12</x:v>
      </x:c>
      <x:c r="D940" s="20" t="str">
        <x:v>12_五行流通卡点</x:v>
      </x:c>
      <x:c r="E940" s="20" t="str">
        <x:v>TENGOD</x:v>
      </x:c>
      <x:c r="F940" s="20" t="n">
        <x:v>65</x:v>
      </x:c>
      <x:c r="G940" s="20" t="str">
        <x:v>V1.0</x:v>
      </x:c>
      <x:c r="H940" s="20" t="str">
        <x:v>官杀→印→身</x:v>
      </x:c>
      <x:c r="I940" s="20" t="str">
        <x:v>结构层</x:v>
      </x:c>
      <x:c r="J940" s="20" t="str">
        <x:v>官杀_印_身</x:v>
      </x:c>
      <x:c r="K940" s="20" t="str">
        <x:v>官杀→印→身：按起点—桥梁—终点检查有效力量、连续性与承载；卡点为“其他”时，仅生成通关候选，不直接定用神。</x:v>
      </x:c>
      <x:c r="L940" s="20" t="str">
        <x:v>较高</x:v>
      </x:c>
      <x:c r="M940" s="20" t="str">
        <x:v>采用</x:v>
      </x:c>
      <x:c r="N940" s="20" t="str">
        <x:v>初审</x:v>
      </x:c>
      <x:c r="O940" s="22" t="n">
        <x:v>46255</x:v>
      </x:c>
      <x:c r="P940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41">
      <x:c r="A941" s="20" t="str">
        <x:v>M12-TENGOD-0066-V1.0</x:v>
      </x:c>
      <x:c r="B941" s="20" t="str">
        <x:v>规则</x:v>
      </x:c>
      <x:c r="C941" s="20" t="str">
        <x:v>M12</x:v>
      </x:c>
      <x:c r="D941" s="20" t="str">
        <x:v>12_五行流通卡点</x:v>
      </x:c>
      <x:c r="E941" s="20" t="str">
        <x:v>TENGOD</x:v>
      </x:c>
      <x:c r="F941" s="20" t="n">
        <x:v>66</x:v>
      </x:c>
      <x:c r="G941" s="20" t="str">
        <x:v>V1.0</x:v>
      </x:c>
      <x:c r="H941" s="20" t="str">
        <x:v>身→食伤→财</x:v>
      </x:c>
      <x:c r="I941" s="20" t="str">
        <x:v>结构层</x:v>
      </x:c>
      <x:c r="J941" s="20" t="str">
        <x:v>身_食伤_财</x:v>
      </x:c>
      <x:c r="K941" s="20" t="str">
        <x:v>身→食伤→财：按起点—桥梁—终点检查有效力量、连续性与承载；卡点为“其他”时，仅生成通关候选，不直接定用神。</x:v>
      </x:c>
      <x:c r="L941" s="20" t="str">
        <x:v>较高</x:v>
      </x:c>
      <x:c r="M941" s="20" t="str">
        <x:v>采用</x:v>
      </x:c>
      <x:c r="N941" s="20" t="str">
        <x:v>初审</x:v>
      </x:c>
      <x:c r="O941" s="22" t="n">
        <x:v>46255</x:v>
      </x:c>
      <x:c r="P941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42">
      <x:c r="A942" s="20" t="str">
        <x:v>M12-TENGOD-0067-V1.0</x:v>
      </x:c>
      <x:c r="B942" s="20" t="str">
        <x:v>规则</x:v>
      </x:c>
      <x:c r="C942" s="20" t="str">
        <x:v>M12</x:v>
      </x:c>
      <x:c r="D942" s="20" t="str">
        <x:v>12_五行流通卡点</x:v>
      </x:c>
      <x:c r="E942" s="20" t="str">
        <x:v>TENGOD</x:v>
      </x:c>
      <x:c r="F942" s="20" t="n">
        <x:v>67</x:v>
      </x:c>
      <x:c r="G942" s="20" t="str">
        <x:v>V1.0</x:v>
      </x:c>
      <x:c r="H942" s="20" t="str">
        <x:v>食伤→财→官杀</x:v>
      </x:c>
      <x:c r="I942" s="20" t="str">
        <x:v>结构层</x:v>
      </x:c>
      <x:c r="J942" s="20" t="str">
        <x:v>食伤_财_官杀</x:v>
      </x:c>
      <x:c r="K942" s="20" t="str">
        <x:v>食伤→财→官杀：按起点—桥梁—终点检查有效力量、连续性与承载；卡点为“其他”时，仅生成通关候选，不直接定用神。</x:v>
      </x:c>
      <x:c r="L942" s="20" t="str">
        <x:v>较高</x:v>
      </x:c>
      <x:c r="M942" s="20" t="str">
        <x:v>采用</x:v>
      </x:c>
      <x:c r="N942" s="20" t="str">
        <x:v>初审</x:v>
      </x:c>
      <x:c r="O942" s="22" t="n">
        <x:v>46255</x:v>
      </x:c>
      <x:c r="P942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43">
      <x:c r="A943" s="20" t="str">
        <x:v>M12-TENGOD-0068-V1.0</x:v>
      </x:c>
      <x:c r="B943" s="20" t="str">
        <x:v>规则</x:v>
      </x:c>
      <x:c r="C943" s="20" t="str">
        <x:v>M12</x:v>
      </x:c>
      <x:c r="D943" s="20" t="str">
        <x:v>12_五行流通卡点</x:v>
      </x:c>
      <x:c r="E943" s="20" t="str">
        <x:v>TENGOD</x:v>
      </x:c>
      <x:c r="F943" s="20" t="n">
        <x:v>68</x:v>
      </x:c>
      <x:c r="G943" s="20" t="str">
        <x:v>V1.0</x:v>
      </x:c>
      <x:c r="H943" s="20" t="str">
        <x:v>财→官杀→印</x:v>
      </x:c>
      <x:c r="I943" s="20" t="str">
        <x:v>结构层</x:v>
      </x:c>
      <x:c r="J943" s="20" t="str">
        <x:v>财_官杀_印</x:v>
      </x:c>
      <x:c r="K943" s="20" t="str">
        <x:v>财→官杀→印：按起点—桥梁—终点检查有效力量、连续性与承载；卡点为“其他”时，仅生成通关候选，不直接定用神。</x:v>
      </x:c>
      <x:c r="L943" s="20" t="str">
        <x:v>较高</x:v>
      </x:c>
      <x:c r="M943" s="20" t="str">
        <x:v>采用</x:v>
      </x:c>
      <x:c r="N943" s="20" t="str">
        <x:v>初审</x:v>
      </x:c>
      <x:c r="O943" s="22" t="n">
        <x:v>46255</x:v>
      </x:c>
      <x:c r="P943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44">
      <x:c r="A944" s="20" t="str">
        <x:v>M12-TENGOD-0069-V1.0</x:v>
      </x:c>
      <x:c r="B944" s="20" t="str">
        <x:v>规则</x:v>
      </x:c>
      <x:c r="C944" s="20" t="str">
        <x:v>M12</x:v>
      </x:c>
      <x:c r="D944" s="20" t="str">
        <x:v>12_五行流通卡点</x:v>
      </x:c>
      <x:c r="E944" s="20" t="str">
        <x:v>TENGOD</x:v>
      </x:c>
      <x:c r="F944" s="20" t="n">
        <x:v>69</x:v>
      </x:c>
      <x:c r="G944" s="20" t="str">
        <x:v>V1.0</x:v>
      </x:c>
      <x:c r="H944" s="20" t="str">
        <x:v>印→身→食伤</x:v>
      </x:c>
      <x:c r="I944" s="20" t="str">
        <x:v>结构层</x:v>
      </x:c>
      <x:c r="J944" s="20" t="str">
        <x:v>印_身_食伤</x:v>
      </x:c>
      <x:c r="K944" s="20" t="str">
        <x:v>印→身→食伤：按起点—桥梁—终点检查有效力量、连续性与承载；卡点为“其他”时，仅生成通关候选，不直接定用神。</x:v>
      </x:c>
      <x:c r="L944" s="20" t="str">
        <x:v>较高</x:v>
      </x:c>
      <x:c r="M944" s="20" t="str">
        <x:v>采用</x:v>
      </x:c>
      <x:c r="N944" s="20" t="str">
        <x:v>初审</x:v>
      </x:c>
      <x:c r="O944" s="22" t="n">
        <x:v>46255</x:v>
      </x:c>
      <x:c r="P944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45">
      <x:c r="A945" s="20" t="str">
        <x:v>M12-TENGOD-0070-V1.0</x:v>
      </x:c>
      <x:c r="B945" s="20" t="str">
        <x:v>规则</x:v>
      </x:c>
      <x:c r="C945" s="20" t="str">
        <x:v>M12</x:v>
      </x:c>
      <x:c r="D945" s="20" t="str">
        <x:v>12_五行流通卡点</x:v>
      </x:c>
      <x:c r="E945" s="20" t="str">
        <x:v>TENGOD</x:v>
      </x:c>
      <x:c r="F945" s="20" t="n">
        <x:v>70</x:v>
      </x:c>
      <x:c r="G945" s="20" t="str">
        <x:v>V1.0</x:v>
      </x:c>
      <x:c r="H945" s="20" t="str">
        <x:v>比劫→食伤→财</x:v>
      </x:c>
      <x:c r="I945" s="20" t="str">
        <x:v>结构层</x:v>
      </x:c>
      <x:c r="J945" s="20" t="str">
        <x:v>比劫_食伤_财</x:v>
      </x:c>
      <x:c r="K945" s="20" t="str">
        <x:v>比劫→食伤→财：按起点—桥梁—终点检查有效力量、连续性与承载；卡点为“其他”时，仅生成通关候选，不直接定用神。</x:v>
      </x:c>
      <x:c r="L945" s="20" t="str">
        <x:v>较高</x:v>
      </x:c>
      <x:c r="M945" s="20" t="str">
        <x:v>采用</x:v>
      </x:c>
      <x:c r="N945" s="20" t="str">
        <x:v>初审</x:v>
      </x:c>
      <x:c r="O945" s="22" t="n">
        <x:v>46255</x:v>
      </x:c>
      <x:c r="P945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46">
      <x:c r="A946" s="20" t="str">
        <x:v>M12-TENGOD-0071-V1.0</x:v>
      </x:c>
      <x:c r="B946" s="20" t="str">
        <x:v>规则</x:v>
      </x:c>
      <x:c r="C946" s="20" t="str">
        <x:v>M12</x:v>
      </x:c>
      <x:c r="D946" s="20" t="str">
        <x:v>12_五行流通卡点</x:v>
      </x:c>
      <x:c r="E946" s="20" t="str">
        <x:v>TENGOD</x:v>
      </x:c>
      <x:c r="F946" s="20" t="n">
        <x:v>71</x:v>
      </x:c>
      <x:c r="G946" s="20" t="str">
        <x:v>V1.0</x:v>
      </x:c>
      <x:c r="H946" s="20" t="str">
        <x:v>杀→印→比劫</x:v>
      </x:c>
      <x:c r="I946" s="20" t="str">
        <x:v>结构层</x:v>
      </x:c>
      <x:c r="J946" s="20" t="str">
        <x:v>杀_印_比劫</x:v>
      </x:c>
      <x:c r="K946" s="20" t="str">
        <x:v>杀→印→比劫：按起点—桥梁—终点检查有效力量、连续性与承载；卡点为“其他”时，仅生成通关候选，不直接定用神。</x:v>
      </x:c>
      <x:c r="L946" s="20" t="str">
        <x:v>较高</x:v>
      </x:c>
      <x:c r="M946" s="20" t="str">
        <x:v>采用</x:v>
      </x:c>
      <x:c r="N946" s="20" t="str">
        <x:v>初审</x:v>
      </x:c>
      <x:c r="O946" s="22" t="n">
        <x:v>46255</x:v>
      </x:c>
      <x:c r="P946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47">
      <x:c r="A947" s="20" t="str">
        <x:v>M12-TENGOD-0072-V1.0</x:v>
      </x:c>
      <x:c r="B947" s="20" t="str">
        <x:v>规则</x:v>
      </x:c>
      <x:c r="C947" s="20" t="str">
        <x:v>M12</x:v>
      </x:c>
      <x:c r="D947" s="20" t="str">
        <x:v>12_五行流通卡点</x:v>
      </x:c>
      <x:c r="E947" s="20" t="str">
        <x:v>TENGOD</x:v>
      </x:c>
      <x:c r="F947" s="20" t="n">
        <x:v>72</x:v>
      </x:c>
      <x:c r="G947" s="20" t="str">
        <x:v>V1.0</x:v>
      </x:c>
      <x:c r="H947" s="20" t="str">
        <x:v>食神→财→官</x:v>
      </x:c>
      <x:c r="I947" s="20" t="str">
        <x:v>结构层</x:v>
      </x:c>
      <x:c r="J947" s="20" t="str">
        <x:v>食神_财_官</x:v>
      </x:c>
      <x:c r="K947" s="20" t="str">
        <x:v>食神→财→官：按起点—桥梁—终点检查有效力量、连续性与承载；卡点为“其他”时，仅生成通关候选，不直接定用神。</x:v>
      </x:c>
      <x:c r="L947" s="20" t="str">
        <x:v>较高</x:v>
      </x:c>
      <x:c r="M947" s="20" t="str">
        <x:v>采用</x:v>
      </x:c>
      <x:c r="N947" s="20" t="str">
        <x:v>初审</x:v>
      </x:c>
      <x:c r="O947" s="22" t="n">
        <x:v>46255</x:v>
      </x:c>
      <x:c r="P947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48">
      <x:c r="A948" s="20" t="str">
        <x:v>M12-TENGOD-0073-V1.0</x:v>
      </x:c>
      <x:c r="B948" s="20" t="str">
        <x:v>规则</x:v>
      </x:c>
      <x:c r="C948" s="20" t="str">
        <x:v>M12</x:v>
      </x:c>
      <x:c r="D948" s="20" t="str">
        <x:v>12_五行流通卡点</x:v>
      </x:c>
      <x:c r="E948" s="20" t="str">
        <x:v>TENGOD</x:v>
      </x:c>
      <x:c r="F948" s="20" t="n">
        <x:v>73</x:v>
      </x:c>
      <x:c r="G948" s="20" t="str">
        <x:v>V1.0</x:v>
      </x:c>
      <x:c r="H948" s="20" t="str">
        <x:v>伤官→财→官</x:v>
      </x:c>
      <x:c r="I948" s="20" t="str">
        <x:v>结构层</x:v>
      </x:c>
      <x:c r="J948" s="20" t="str">
        <x:v>伤官_财_官</x:v>
      </x:c>
      <x:c r="K948" s="20" t="str">
        <x:v>伤官→财→官：按起点—桥梁—终点检查有效力量、连续性与承载；卡点为“其他”时，仅生成通关候选，不直接定用神。</x:v>
      </x:c>
      <x:c r="L948" s="20" t="str">
        <x:v>较高</x:v>
      </x:c>
      <x:c r="M948" s="20" t="str">
        <x:v>采用</x:v>
      </x:c>
      <x:c r="N948" s="20" t="str">
        <x:v>初审</x:v>
      </x:c>
      <x:c r="O948" s="22" t="n">
        <x:v>46255</x:v>
      </x:c>
      <x:c r="P948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49">
      <x:c r="A949" s="20" t="str">
        <x:v>M12-TENGOD-0074-V1.0</x:v>
      </x:c>
      <x:c r="B949" s="20" t="str">
        <x:v>规则</x:v>
      </x:c>
      <x:c r="C949" s="20" t="str">
        <x:v>M12</x:v>
      </x:c>
      <x:c r="D949" s="20" t="str">
        <x:v>12_五行流通卡点</x:v>
      </x:c>
      <x:c r="E949" s="20" t="str">
        <x:v>TENGOD</x:v>
      </x:c>
      <x:c r="F949" s="20" t="n">
        <x:v>74</x:v>
      </x:c>
      <x:c r="G949" s="20" t="str">
        <x:v>V1.0</x:v>
      </x:c>
      <x:c r="H949" s="20" t="str">
        <x:v>官杀→印→身→食伤</x:v>
      </x:c>
      <x:c r="I949" s="20" t="str">
        <x:v>结构层</x:v>
      </x:c>
      <x:c r="J949" s="20" t="str">
        <x:v>官杀_印_身_食伤</x:v>
      </x:c>
      <x:c r="K949" s="20" t="str">
        <x:v>官杀→印→身→食伤：按起点—桥梁—终点检查有效力量、连续性与承载；卡点为“其他”时，仅生成通关候选，不直接定用神。</x:v>
      </x:c>
      <x:c r="L949" s="20" t="str">
        <x:v>较高</x:v>
      </x:c>
      <x:c r="M949" s="20" t="str">
        <x:v>采用</x:v>
      </x:c>
      <x:c r="N949" s="20" t="str">
        <x:v>初审</x:v>
      </x:c>
      <x:c r="O949" s="22" t="n">
        <x:v>46255</x:v>
      </x:c>
      <x:c r="P949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50">
      <x:c r="A950" s="20" t="str">
        <x:v>M12-TONGGUAN-0075-V1.0</x:v>
      </x:c>
      <x:c r="B950" s="20" t="str">
        <x:v>规则</x:v>
      </x:c>
      <x:c r="C950" s="20" t="str">
        <x:v>M12</x:v>
      </x:c>
      <x:c r="D950" s="20" t="str">
        <x:v>12_五行流通卡点</x:v>
      </x:c>
      <x:c r="E950" s="20" t="str">
        <x:v>TONGGUAN</x:v>
      </x:c>
      <x:c r="F950" s="20" t="n">
        <x:v>75</x:v>
      </x:c>
      <x:c r="G950" s="20" t="str">
        <x:v>V1.0</x:v>
      </x:c>
      <x:c r="H950" s="20" t="str">
        <x:v>通关五行必须同时具备泄上游与生下游双重能力</x:v>
      </x:c>
      <x:c r="I950" s="20" t="str">
        <x:v>结构层</x:v>
      </x:c>
      <x:c r="J950" s="20" t="str">
        <x:v>通关双向条件</x:v>
      </x:c>
      <x:c r="K950" s="20" t="str">
        <x:v>通关五行必须同时具备泄上游与生下游双重能力：按起点—桥梁—终点检查有效力量、连续性与承载；卡点为“两强相战”时，仅生成通关候选，不直接定用神。</x:v>
      </x:c>
      <x:c r="L950" s="20" t="str">
        <x:v>较高</x:v>
      </x:c>
      <x:c r="M950" s="20" t="str">
        <x:v>采用</x:v>
      </x:c>
      <x:c r="N950" s="20" t="str">
        <x:v>初审</x:v>
      </x:c>
      <x:c r="O950" s="22" t="n">
        <x:v>46255</x:v>
      </x:c>
      <x:c r="P950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51">
      <x:c r="A951" s="20" t="str">
        <x:v>M12-TONGGUAN-0076-V1.0</x:v>
      </x:c>
      <x:c r="B951" s="20" t="str">
        <x:v>规则</x:v>
      </x:c>
      <x:c r="C951" s="20" t="str">
        <x:v>M12</x:v>
      </x:c>
      <x:c r="D951" s="20" t="str">
        <x:v>12_五行流通卡点</x:v>
      </x:c>
      <x:c r="E951" s="20" t="str">
        <x:v>TONGGUAN</x:v>
      </x:c>
      <x:c r="F951" s="20" t="n">
        <x:v>76</x:v>
      </x:c>
      <x:c r="G951" s="20" t="str">
        <x:v>V1.0</x:v>
      </x:c>
      <x:c r="H951" s="20" t="str">
        <x:v>通关五行无根无源时不能承担主通关</x:v>
      </x:c>
      <x:c r="I951" s="20" t="str">
        <x:v>结构层</x:v>
      </x:c>
      <x:c r="J951" s="20" t="str">
        <x:v>通关力量门槛</x:v>
      </x:c>
      <x:c r="K951" s="20" t="str">
        <x:v>通关五行无根无源时不能承担主通关：按起点—桥梁—终点检查有效力量、连续性与承载；卡点为“桥梁太弱”时，仅生成通关候选，不直接定用神。</x:v>
      </x:c>
      <x:c r="L951" s="20" t="str">
        <x:v>较高</x:v>
      </x:c>
      <x:c r="M951" s="20" t="str">
        <x:v>采用</x:v>
      </x:c>
      <x:c r="N951" s="20" t="str">
        <x:v>初审</x:v>
      </x:c>
      <x:c r="O951" s="22" t="n">
        <x:v>46255</x:v>
      </x:c>
      <x:c r="P951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52">
      <x:c r="A952" s="20" t="str">
        <x:v>M12-TONGGUAN-0077-V1.0</x:v>
      </x:c>
      <x:c r="B952" s="20" t="str">
        <x:v>规则</x:v>
      </x:c>
      <x:c r="C952" s="20" t="str">
        <x:v>M12</x:v>
      </x:c>
      <x:c r="D952" s="20" t="str">
        <x:v>12_五行流通卡点</x:v>
      </x:c>
      <x:c r="E952" s="20" t="str">
        <x:v>TONGGUAN</x:v>
      </x:c>
      <x:c r="F952" s="20" t="n">
        <x:v>77</x:v>
      </x:c>
      <x:c r="G952" s="20" t="str">
        <x:v>V1.0</x:v>
      </x:c>
      <x:c r="H952" s="20" t="str">
        <x:v>通关五行被强克时不得视为稳定桥梁</x:v>
      </x:c>
      <x:c r="I952" s="20" t="str">
        <x:v>结构层</x:v>
      </x:c>
      <x:c r="J952" s="20" t="str">
        <x:v>通关被克</x:v>
      </x:c>
      <x:c r="K952" s="20" t="str">
        <x:v>通关五行被强克时不得视为稳定桥梁：按起点—桥梁—终点检查有效力量、连续性与承载；卡点为“桥梁被克”时，仅生成通关候选，不直接定用神。</x:v>
      </x:c>
      <x:c r="L952" s="20" t="str">
        <x:v>较高</x:v>
      </x:c>
      <x:c r="M952" s="20" t="str">
        <x:v>采用</x:v>
      </x:c>
      <x:c r="N952" s="20" t="str">
        <x:v>初审</x:v>
      </x:c>
      <x:c r="O952" s="22" t="n">
        <x:v>46255</x:v>
      </x:c>
      <x:c r="P952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53">
      <x:c r="A953" s="20" t="str">
        <x:v>M12-TONGGUAN-0078-V1.0</x:v>
      </x:c>
      <x:c r="B953" s="20" t="str">
        <x:v>规则</x:v>
      </x:c>
      <x:c r="C953" s="20" t="str">
        <x:v>M12</x:v>
      </x:c>
      <x:c r="D953" s="20" t="str">
        <x:v>12_五行流通卡点</x:v>
      </x:c>
      <x:c r="E953" s="20" t="str">
        <x:v>TONGGUAN</x:v>
      </x:c>
      <x:c r="F953" s="20" t="n">
        <x:v>78</x:v>
      </x:c>
      <x:c r="G953" s="20" t="str">
        <x:v>V1.0</x:v>
      </x:c>
      <x:c r="H953" s="20" t="str">
        <x:v>通关五行被合绊时需下调通关等级</x:v>
      </x:c>
      <x:c r="I953" s="20" t="str">
        <x:v>结构层</x:v>
      </x:c>
      <x:c r="J953" s="20" t="str">
        <x:v>通关合绊</x:v>
      </x:c>
      <x:c r="K953" s="20" t="str">
        <x:v>通关五行被合绊时需下调通关等级：按起点—桥梁—终点检查有效力量、连续性与承载；卡点为“桥梁被合绊”时，仅生成通关候选，不直接定用神。</x:v>
      </x:c>
      <x:c r="L953" s="20" t="str">
        <x:v>较高</x:v>
      </x:c>
      <x:c r="M953" s="20" t="str">
        <x:v>采用</x:v>
      </x:c>
      <x:c r="N953" s="20" t="str">
        <x:v>初审</x:v>
      </x:c>
      <x:c r="O953" s="22" t="n">
        <x:v>46255</x:v>
      </x:c>
      <x:c r="P953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54">
      <x:c r="A954" s="20" t="str">
        <x:v>M12-TONGGUAN-0079-V1.0</x:v>
      </x:c>
      <x:c r="B954" s="20" t="str">
        <x:v>规则</x:v>
      </x:c>
      <x:c r="C954" s="20" t="str">
        <x:v>M12</x:v>
      </x:c>
      <x:c r="D954" s="20" t="str">
        <x:v>12_五行流通卡点</x:v>
      </x:c>
      <x:c r="E954" s="20" t="str">
        <x:v>TONGGUAN</x:v>
      </x:c>
      <x:c r="F954" s="20" t="n">
        <x:v>79</x:v>
      </x:c>
      <x:c r="G954" s="20" t="str">
        <x:v>V1.0</x:v>
      </x:c>
      <x:c r="H954" s="20" t="str">
        <x:v>通关虽然有效但加重寒湿时只能列条件性候选</x:v>
      </x:c>
      <x:c r="I954" s="20" t="str">
        <x:v>结构层</x:v>
      </x:c>
      <x:c r="J954" s="20" t="str">
        <x:v>通关寒湿副作用</x:v>
      </x:c>
      <x:c r="K954" s="20" t="str">
        <x:v>通关虽然有效但加重寒湿时只能列条件性候选：按起点—桥梁—终点检查有效力量、连续性与承载；卡点为“其他”时，仅生成通关候选，不直接定用神。</x:v>
      </x:c>
      <x:c r="L954" s="20" t="str">
        <x:v>较高</x:v>
      </x:c>
      <x:c r="M954" s="20" t="str">
        <x:v>采用</x:v>
      </x:c>
      <x:c r="N954" s="20" t="str">
        <x:v>初审</x:v>
      </x:c>
      <x:c r="O954" s="22" t="n">
        <x:v>46255</x:v>
      </x:c>
      <x:c r="P954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55">
      <x:c r="A955" s="20" t="str">
        <x:v>M12-TONGGUAN-0080-V1.0</x:v>
      </x:c>
      <x:c r="B955" s="20" t="str">
        <x:v>规则</x:v>
      </x:c>
      <x:c r="C955" s="20" t="str">
        <x:v>M12</x:v>
      </x:c>
      <x:c r="D955" s="20" t="str">
        <x:v>12_五行流通卡点</x:v>
      </x:c>
      <x:c r="E955" s="20" t="str">
        <x:v>TONGGUAN</x:v>
      </x:c>
      <x:c r="F955" s="20" t="n">
        <x:v>80</x:v>
      </x:c>
      <x:c r="G955" s="20" t="str">
        <x:v>V1.0</x:v>
      </x:c>
      <x:c r="H955" s="20" t="str">
        <x:v>通关虽然有效但加重燥热时只能列条件性候选</x:v>
      </x:c>
      <x:c r="I955" s="20" t="str">
        <x:v>结构层</x:v>
      </x:c>
      <x:c r="J955" s="20" t="str">
        <x:v>通关燥热副作用</x:v>
      </x:c>
      <x:c r="K955" s="20" t="str">
        <x:v>通关虽然有效但加重燥热时只能列条件性候选：按起点—桥梁—终点检查有效力量、连续性与承载；卡点为“其他”时，仅生成通关候选，不直接定用神。</x:v>
      </x:c>
      <x:c r="L955" s="20" t="str">
        <x:v>较高</x:v>
      </x:c>
      <x:c r="M955" s="20" t="str">
        <x:v>采用</x:v>
      </x:c>
      <x:c r="N955" s="20" t="str">
        <x:v>初审</x:v>
      </x:c>
      <x:c r="O955" s="22" t="n">
        <x:v>46255</x:v>
      </x:c>
      <x:c r="P955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56">
      <x:c r="A956" s="20" t="str">
        <x:v>M12-TONGGUAN-0081-V1.0</x:v>
      </x:c>
      <x:c r="B956" s="20" t="str">
        <x:v>规则</x:v>
      </x:c>
      <x:c r="C956" s="20" t="str">
        <x:v>M12</x:v>
      </x:c>
      <x:c r="D956" s="20" t="str">
        <x:v>12_五行流通卡点</x:v>
      </x:c>
      <x:c r="E956" s="20" t="str">
        <x:v>TONGGUAN</x:v>
      </x:c>
      <x:c r="F956" s="20" t="n">
        <x:v>81</x:v>
      </x:c>
      <x:c r="G956" s="20" t="str">
        <x:v>V1.0</x:v>
      </x:c>
      <x:c r="H956" s="20" t="str">
        <x:v>通关五行若破坏已成立核心组合需降低优先级</x:v>
      </x:c>
      <x:c r="I956" s="20" t="str">
        <x:v>结构层</x:v>
      </x:c>
      <x:c r="J956" s="20" t="str">
        <x:v>通关破结构副作用</x:v>
      </x:c>
      <x:c r="K956" s="20" t="str">
        <x:v>通关五行若破坏已成立核心组合需降低优先级：按起点—桥梁—终点检查有效力量、连续性与承载；卡点为“其他”时，仅生成通关候选，不直接定用神。</x:v>
      </x:c>
      <x:c r="L956" s="20" t="str">
        <x:v>较高</x:v>
      </x:c>
      <x:c r="M956" s="20" t="str">
        <x:v>采用</x:v>
      </x:c>
      <x:c r="N956" s="20" t="str">
        <x:v>初审</x:v>
      </x:c>
      <x:c r="O956" s="22" t="n">
        <x:v>46255</x:v>
      </x:c>
      <x:c r="P956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57">
      <x:c r="A957" s="20" t="str">
        <x:v>M12-TONGGUAN-0082-V1.0</x:v>
      </x:c>
      <x:c r="B957" s="20" t="str">
        <x:v>规则</x:v>
      </x:c>
      <x:c r="C957" s="20" t="str">
        <x:v>M12</x:v>
      </x:c>
      <x:c r="D957" s="20" t="str">
        <x:v>12_五行流通卡点</x:v>
      </x:c>
      <x:c r="E957" s="20" t="str">
        <x:v>TONGGUAN</x:v>
      </x:c>
      <x:c r="F957" s="20" t="n">
        <x:v>82</x:v>
      </x:c>
      <x:c r="G957" s="20" t="str">
        <x:v>V1.0</x:v>
      </x:c>
      <x:c r="H957" s="20" t="str">
        <x:v>多个通关候选并存时优先副作用更小者</x:v>
      </x:c>
      <x:c r="I957" s="20" t="str">
        <x:v>结构层</x:v>
      </x:c>
      <x:c r="J957" s="20" t="str">
        <x:v>通关候选排序</x:v>
      </x:c>
      <x:c r="K957" s="20" t="str">
        <x:v>多个通关候选并存时，M12仅排序“通路效率＋副作用”；最终主次由M17/M18裁决。</x:v>
      </x:c>
      <x:c r="L957" s="20" t="str">
        <x:v>较高</x:v>
      </x:c>
      <x:c r="M957" s="20" t="str">
        <x:v>采用</x:v>
      </x:c>
      <x:c r="N957" s="20" t="str">
        <x:v>初审</x:v>
      </x:c>
      <x:c r="O957" s="22" t="n">
        <x:v>46255</x:v>
      </x:c>
      <x:c r="P957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58">
      <x:c r="A958" s="20" t="str">
        <x:v>M12-AGG-0083-V1.0</x:v>
      </x:c>
      <x:c r="B958" s="20" t="str">
        <x:v>规则</x:v>
      </x:c>
      <x:c r="C958" s="20" t="str">
        <x:v>M12</x:v>
      </x:c>
      <x:c r="D958" s="20" t="str">
        <x:v>12_五行流通卡点</x:v>
      </x:c>
      <x:c r="E958" s="20" t="str">
        <x:v>AGG</x:v>
      </x:c>
      <x:c r="F958" s="20" t="n">
        <x:v>83</x:v>
      </x:c>
      <x:c r="G958" s="20" t="str">
        <x:v>V1.0</x:v>
      </x:c>
      <x:c r="H958" s="20" t="str">
        <x:v>主流通路径按覆盖范围和稳定性排序</x:v>
      </x:c>
      <x:c r="I958" s="20" t="str">
        <x:v>结构层</x:v>
      </x:c>
      <x:c r="J958" s="20" t="str">
        <x:v>主流通路径排序</x:v>
      </x:c>
      <x:c r="K958" s="20" t="str">
        <x:v>优先输出覆盖核心五行/十神最多、桥梁最稳定、路径更短且副作用较小的1—3条主流通路径。</x:v>
      </x:c>
      <x:c r="L958" s="20" t="str">
        <x:v>较高</x:v>
      </x:c>
      <x:c r="M958" s="20" t="str">
        <x:v>采用</x:v>
      </x:c>
      <x:c r="N958" s="20" t="str">
        <x:v>初审</x:v>
      </x:c>
      <x:c r="O958" s="22" t="n">
        <x:v>46255</x:v>
      </x:c>
      <x:c r="P958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59">
      <x:c r="A959" s="20" t="str">
        <x:v>M12-AGG-0084-V1.0</x:v>
      </x:c>
      <x:c r="B959" s="20" t="str">
        <x:v>规则</x:v>
      </x:c>
      <x:c r="C959" s="20" t="str">
        <x:v>M12</x:v>
      </x:c>
      <x:c r="D959" s="20" t="str">
        <x:v>12_五行流通卡点</x:v>
      </x:c>
      <x:c r="E959" s="20" t="str">
        <x:v>AGG</x:v>
      </x:c>
      <x:c r="F959" s="20" t="n">
        <x:v>84</x:v>
      </x:c>
      <x:c r="G959" s="20" t="str">
        <x:v>V1.0</x:v>
      </x:c>
      <x:c r="H959" s="20" t="str">
        <x:v>主卡点按阻断强度和影响范围排序</x:v>
      </x:c>
      <x:c r="I959" s="20" t="str">
        <x:v>结构层</x:v>
      </x:c>
      <x:c r="J959" s="20" t="str">
        <x:v>主卡点排序</x:v>
      </x:c>
      <x:c r="K959" s="20" t="str">
        <x:v>卡点排序至少考虑：是否切断主路径、涉及核心组合、阻断强度、可替代性和后续副作用。</x:v>
      </x:c>
      <x:c r="L959" s="20" t="str">
        <x:v>较高</x:v>
      </x:c>
      <x:c r="M959" s="20" t="str">
        <x:v>采用</x:v>
      </x:c>
      <x:c r="N959" s="20" t="str">
        <x:v>初审</x:v>
      </x:c>
      <x:c r="O959" s="22" t="n">
        <x:v>46255</x:v>
      </x:c>
      <x:c r="P959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60">
      <x:c r="A960" s="20" t="str">
        <x:v>M12-AGG-0085-V1.0</x:v>
      </x:c>
      <x:c r="B960" s="20" t="str">
        <x:v>规则</x:v>
      </x:c>
      <x:c r="C960" s="20" t="str">
        <x:v>M12</x:v>
      </x:c>
      <x:c r="D960" s="20" t="str">
        <x:v>12_五行流通卡点</x:v>
      </x:c>
      <x:c r="E960" s="20" t="str">
        <x:v>AGG</x:v>
      </x:c>
      <x:c r="F960" s="20" t="n">
        <x:v>85</x:v>
      </x:c>
      <x:c r="G960" s="20" t="str">
        <x:v>V1.0</x:v>
      </x:c>
      <x:c r="H960" s="20" t="str">
        <x:v>流通结论必须保留反向证据</x:v>
      </x:c>
      <x:c r="I960" s="20" t="str">
        <x:v>结构层</x:v>
      </x:c>
      <x:c r="J960" s="20" t="str">
        <x:v>流通反证输出</x:v>
      </x:c>
      <x:c r="K960" s="20" t="str">
        <x:v>每个主路径/卡点同时记录支持证据、反向证据、替代路径与置信度；争议大时降低置信度。</x:v>
      </x:c>
      <x:c r="L960" s="20" t="str">
        <x:v>较高</x:v>
      </x:c>
      <x:c r="M960" s="20" t="str">
        <x:v>采用</x:v>
      </x:c>
      <x:c r="N960" s="20" t="str">
        <x:v>初审</x:v>
      </x:c>
      <x:c r="O960" s="22" t="n">
        <x:v>46255</x:v>
      </x:c>
      <x:c r="P960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61">
      <x:c r="A961" s="20" t="str">
        <x:v>M12-AGG-0086-V1.0</x:v>
      </x:c>
      <x:c r="B961" s="20" t="str">
        <x:v>规则</x:v>
      </x:c>
      <x:c r="C961" s="20" t="str">
        <x:v>M12</x:v>
      </x:c>
      <x:c r="D961" s="20" t="str">
        <x:v>12_五行流通卡点</x:v>
      </x:c>
      <x:c r="E961" s="20" t="str">
        <x:v>AGG</x:v>
      </x:c>
      <x:c r="F961" s="20" t="n">
        <x:v>86</x:v>
      </x:c>
      <x:c r="G961" s="20" t="str">
        <x:v>V1.0</x:v>
      </x:c>
      <x:c r="H961" s="20" t="str">
        <x:v>M12最终输出统一包含路径、卡点、通关和副作用</x:v>
      </x:c>
      <x:c r="I961" s="20" t="str">
        <x:v>结构层</x:v>
      </x:c>
      <x:c r="J961" s="20" t="str">
        <x:v>M12标准输出</x:v>
      </x:c>
      <x:c r="K961" s="20" t="str">
        <x:v>M12最终至少输出：主流通路径、起点强度、关键桥梁及状态、终点承载、流通状态、主卡点、卡点原因、通关候选、成立条件、副作用、替代路径与置信度。</x:v>
      </x:c>
      <x:c r="L961" s="20" t="str">
        <x:v>较高</x:v>
      </x:c>
      <x:c r="M961" s="20" t="str">
        <x:v>采用</x:v>
      </x:c>
      <x:c r="N961" s="20" t="str">
        <x:v>初审</x:v>
      </x:c>
      <x:c r="O961" s="22" t="n">
        <x:v>46255</x:v>
      </x:c>
      <x:c r="P961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62">
      <x:c r="A962" s="20" t="str">
        <x:v>M12-BOUND-0087-V1.0</x:v>
      </x:c>
      <x:c r="B962" s="20" t="str">
        <x:v>规则</x:v>
      </x:c>
      <x:c r="C962" s="20" t="str">
        <x:v>M12</x:v>
      </x:c>
      <x:c r="D962" s="20" t="str">
        <x:v>12_五行流通卡点</x:v>
      </x:c>
      <x:c r="E962" s="20" t="str">
        <x:v>BOUND</x:v>
      </x:c>
      <x:c r="F962" s="20" t="n">
        <x:v>87</x:v>
      </x:c>
      <x:c r="G962" s="20" t="str">
        <x:v>V1.0</x:v>
      </x:c>
      <x:c r="H962" s="20" t="str">
        <x:v>缺什么补什么不属于M12规则</x:v>
      </x:c>
      <x:c r="I962" s="20" t="str">
        <x:v>结构层</x:v>
      </x:c>
      <x:c r="J962" s="20" t="str">
        <x:v>禁止缺啥补啥</x:v>
      </x:c>
      <x:c r="K962" s="20" t="str">
        <x:v>缺什么补什么不属于M12规则：按起点—桥梁—终点检查有效力量、连续性与承载；卡点为“缺桥”时，仅生成通关候选，不直接定用神。</x:v>
      </x:c>
      <x:c r="L962" s="20" t="str">
        <x:v>较高</x:v>
      </x:c>
      <x:c r="M962" s="20" t="str">
        <x:v>采用</x:v>
      </x:c>
      <x:c r="N962" s="20" t="str">
        <x:v>初审</x:v>
      </x:c>
      <x:c r="O962" s="22" t="n">
        <x:v>46255</x:v>
      </x:c>
      <x:c r="P962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63">
      <x:c r="A963" s="20" t="str">
        <x:v>M12-BOUND-0088-V1.0</x:v>
      </x:c>
      <x:c r="B963" s="20" t="str">
        <x:v>规则</x:v>
      </x:c>
      <x:c r="C963" s="20" t="str">
        <x:v>M12</x:v>
      </x:c>
      <x:c r="D963" s="20" t="str">
        <x:v>12_五行流通卡点</x:v>
      </x:c>
      <x:c r="E963" s="20" t="str">
        <x:v>BOUND</x:v>
      </x:c>
      <x:c r="F963" s="20" t="n">
        <x:v>88</x:v>
      </x:c>
      <x:c r="G963" s="20" t="str">
        <x:v>V1.0</x:v>
      </x:c>
      <x:c r="H963" s="20" t="str">
        <x:v>旺而不流通与力量弱必须区分</x:v>
      </x:c>
      <x:c r="I963" s="20" t="str">
        <x:v>结构层</x:v>
      </x:c>
      <x:c r="J963" s="20" t="str">
        <x:v>力量与流通分离</x:v>
      </x:c>
      <x:c r="K963" s="20" t="str">
        <x:v>旺而不流通仍判该五行旺；流通问题记录为功能壅塞，不得因此把五行旺衰下调为弱。</x:v>
      </x:c>
      <x:c r="L963" s="20" t="str">
        <x:v>较高</x:v>
      </x:c>
      <x:c r="M963" s="20" t="str">
        <x:v>采用</x:v>
      </x:c>
      <x:c r="N963" s="20" t="str">
        <x:v>初审</x:v>
      </x:c>
      <x:c r="O963" s="22" t="n">
        <x:v>46255</x:v>
      </x:c>
      <x:c r="P963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64">
      <x:c r="A964" s="20" t="str">
        <x:v>M12-BOUND-0089-V1.0</x:v>
      </x:c>
      <x:c r="B964" s="20" t="str">
        <x:v>规则</x:v>
      </x:c>
      <x:c r="C964" s="20" t="str">
        <x:v>M12</x:v>
      </x:c>
      <x:c r="D964" s="20" t="str">
        <x:v>12_五行流通卡点</x:v>
      </x:c>
      <x:c r="E964" s="20" t="str">
        <x:v>BOUND</x:v>
      </x:c>
      <x:c r="F964" s="20" t="n">
        <x:v>89</x:v>
      </x:c>
      <x:c r="G964" s="20" t="str">
        <x:v>V1.0</x:v>
      </x:c>
      <x:c r="H964" s="20" t="str">
        <x:v>流通通畅不等于该路径一定为喜</x:v>
      </x:c>
      <x:c r="I964" s="20" t="str">
        <x:v>结构层</x:v>
      </x:c>
      <x:c r="J964" s="20" t="str">
        <x:v>流通与喜忌分离</x:v>
      </x:c>
      <x:c r="K964" s="20" t="str">
        <x:v>流通通畅不等于该路径一定为喜：按起点—桥梁—终点检查有效力量、连续性与承载；卡点为“其他”时，仅生成通关候选，不直接定用神。</x:v>
      </x:c>
      <x:c r="L964" s="20" t="str">
        <x:v>较高</x:v>
      </x:c>
      <x:c r="M964" s="20" t="str">
        <x:v>采用</x:v>
      </x:c>
      <x:c r="N964" s="20" t="str">
        <x:v>初审</x:v>
      </x:c>
      <x:c r="O964" s="22" t="n">
        <x:v>46255</x:v>
      </x:c>
      <x:c r="P964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65">
      <x:c r="A965" s="20" t="str">
        <x:v>M12-BOUND-0090-V1.0</x:v>
      </x:c>
      <x:c r="B965" s="20" t="str">
        <x:v>规则</x:v>
      </x:c>
      <x:c r="C965" s="20" t="str">
        <x:v>M12</x:v>
      </x:c>
      <x:c r="D965" s="20" t="str">
        <x:v>12_五行流通卡点</x:v>
      </x:c>
      <x:c r="E965" s="20" t="str">
        <x:v>BOUND</x:v>
      </x:c>
      <x:c r="F965" s="20" t="n">
        <x:v>90</x:v>
      </x:c>
      <x:c r="G965" s="20" t="str">
        <x:v>V1.0</x:v>
      </x:c>
      <x:c r="H965" s="20" t="str">
        <x:v>M12不直接输出具体事件或岁运时间</x:v>
      </x:c>
      <x:c r="I965" s="20" t="str">
        <x:v>结构层</x:v>
      </x:c>
      <x:c r="J965" s="20" t="str">
        <x:v>流通静动态边界</x:v>
      </x:c>
      <x:c r="K965" s="20" t="str">
        <x:v>M12只输出原局路径与卡点，不直接断某年某事。</x:v>
      </x:c>
      <x:c r="L965" s="20" t="str">
        <x:v>较高</x:v>
      </x:c>
      <x:c r="M965" s="20" t="str">
        <x:v>采用</x:v>
      </x:c>
      <x:c r="N965" s="20" t="str">
        <x:v>初审</x:v>
      </x:c>
      <x:c r="O965" s="22" t="n">
        <x:v>46255</x:v>
      </x:c>
      <x:c r="P965" s="20" t="str">
        <x:v>流通判断以五行有效力量、生克顺序与十神功能为核心；古典依据可参照《滴天髓》《渊海子平》。 https://zh.wikisource.org/wiki/%E6%BB%B4%E5%A4%A9%E9%AB%93%E9%97%A1%E5%BE%AE https://zh.wikisource.org/zh-hans/%E6%B7%B5%E6%B5%B7%E5%AD%90%E5%B9%B3</x:v>
      </x:c>
    </x:row>
    <x:row r="966">
      <x:c r="A966" s="20" t="str">
        <x:v>M13-GEN-0001-V1.0</x:v>
      </x:c>
      <x:c r="B966" s="20" t="str">
        <x:v>规则</x:v>
      </x:c>
      <x:c r="C966" s="20" t="str">
        <x:v>M13</x:v>
      </x:c>
      <x:c r="D966" s="20" t="str">
        <x:v>13_寒暖燥湿</x:v>
      </x:c>
      <x:c r="E966" s="20" t="str">
        <x:v>GEN</x:v>
      </x:c>
      <x:c r="F966" s="20" t="n">
        <x:v>1</x:v>
      </x:c>
      <x:c r="G966" s="20" t="str">
        <x:v>V1.0</x:v>
      </x:c>
      <x:c r="H966" s="20" t="str">
        <x:v>寒暖与燥湿必须分成两个独立坐标</x:v>
      </x:c>
      <x:c r="I966" s="20" t="str">
        <x:v>结构层</x:v>
      </x:c>
      <x:c r="J966" s="20" t="str">
        <x:v>调候双轴模型</x:v>
      </x:c>
      <x:c r="K966" s="20" t="str">
        <x:v>寒暖与燥湿必须分成两个独立坐标：温度轴判“待定”，湿度轴判“待定”；调候候选为“待定”，是否成为最终用神仍转M16—M18。</x:v>
      </x:c>
      <x:c r="L966" s="20" t="str">
        <x:v>较高</x:v>
      </x:c>
      <x:c r="M966" s="20" t="str">
        <x:v>采用</x:v>
      </x:c>
      <x:c r="N966" s="20" t="str">
        <x:v>初审</x:v>
      </x:c>
      <x:c r="O966" s="22" t="n">
        <x:v>46255</x:v>
      </x:c>
      <x:c r="P966" s="20" t="str">
        <x:v>调候以月令气候为起点，但必须结合M08五行有效力量与M12流通状态修正；寒暖与燥湿分轴判断，调候候选不自动等于全局主用神。</x:v>
      </x:c>
    </x:row>
    <x:row r="967">
      <x:c r="A967" s="20" t="str">
        <x:v>M13-GEN-0002-V1.0</x:v>
      </x:c>
      <x:c r="B967" s="20" t="str">
        <x:v>规则</x:v>
      </x:c>
      <x:c r="C967" s="20" t="str">
        <x:v>M13</x:v>
      </x:c>
      <x:c r="D967" s="20" t="str">
        <x:v>13_寒暖燥湿</x:v>
      </x:c>
      <x:c r="E967" s="20" t="str">
        <x:v>GEN</x:v>
      </x:c>
      <x:c r="F967" s="20" t="n">
        <x:v>2</x:v>
      </x:c>
      <x:c r="G967" s="20" t="str">
        <x:v>V1.0</x:v>
      </x:c>
      <x:c r="H967" s="20" t="str">
        <x:v>月令只提供气候基准而非最终结论</x:v>
      </x:c>
      <x:c r="I967" s="20" t="str">
        <x:v>结构层</x:v>
      </x:c>
      <x:c r="J967" s="20" t="str">
        <x:v>月令气候基准</x:v>
      </x:c>
      <x:c r="K967" s="20" t="str">
        <x:v>月令只提供气候基准而非最终结论：温度轴判“待定”，湿度轴判“待定”；调候候选为“待定”，是否成为最终用神仍转M16—M18。</x:v>
      </x:c>
      <x:c r="L967" s="20" t="str">
        <x:v>较高</x:v>
      </x:c>
      <x:c r="M967" s="20" t="str">
        <x:v>采用</x:v>
      </x:c>
      <x:c r="N967" s="20" t="str">
        <x:v>初审</x:v>
      </x:c>
      <x:c r="O967" s="22" t="n">
        <x:v>46255</x:v>
      </x:c>
      <x:c r="P967" s="20" t="str">
        <x:v>调候以月令气候为起点，但必须结合M08五行有效力量与M12流通状态修正；寒暖与燥湿分轴判断，调候候选不自动等于全局主用神。</x:v>
      </x:c>
    </x:row>
    <x:row r="968">
      <x:c r="A968" s="20" t="str">
        <x:v>M13-GEN-0003-V1.0</x:v>
      </x:c>
      <x:c r="B968" s="20" t="str">
        <x:v>规则</x:v>
      </x:c>
      <x:c r="C968" s="20" t="str">
        <x:v>M13</x:v>
      </x:c>
      <x:c r="D968" s="20" t="str">
        <x:v>13_寒暖燥湿</x:v>
      </x:c>
      <x:c r="E968" s="20" t="str">
        <x:v>GEN</x:v>
      </x:c>
      <x:c r="F968" s="20" t="n">
        <x:v>3</x:v>
      </x:c>
      <x:c r="G968" s="20" t="str">
        <x:v>V1.0</x:v>
      </x:c>
      <x:c r="H968" s="20" t="str">
        <x:v>寒暖采用极寒至极热五级制</x:v>
      </x:c>
      <x:c r="I968" s="20" t="str">
        <x:v>结构层</x:v>
      </x:c>
      <x:c r="J968" s="20" t="str">
        <x:v>温度五级制</x:v>
      </x:c>
      <x:c r="K968" s="20" t="str">
        <x:v>寒暖采用极寒至极热五级制：温度轴判“待定”，湿度轴判“待定”；调候候选为“待定”，是否成为最终用神仍转M16—M18。</x:v>
      </x:c>
      <x:c r="L968" s="20" t="str">
        <x:v>较高</x:v>
      </x:c>
      <x:c r="M968" s="20" t="str">
        <x:v>采用</x:v>
      </x:c>
      <x:c r="N968" s="20" t="str">
        <x:v>初审</x:v>
      </x:c>
      <x:c r="O968" s="22" t="n">
        <x:v>46255</x:v>
      </x:c>
      <x:c r="P968" s="20" t="str">
        <x:v>调候以月令气候为起点，但必须结合M08五行有效力量与M12流通状态修正；寒暖与燥湿分轴判断，调候候选不自动等于全局主用神。</x:v>
      </x:c>
    </x:row>
    <x:row r="969">
      <x:c r="A969" s="20" t="str">
        <x:v>M13-GEN-0004-V1.0</x:v>
      </x:c>
      <x:c r="B969" s="20" t="str">
        <x:v>规则</x:v>
      </x:c>
      <x:c r="C969" s="20" t="str">
        <x:v>M13</x:v>
      </x:c>
      <x:c r="D969" s="20" t="str">
        <x:v>13_寒暖燥湿</x:v>
      </x:c>
      <x:c r="E969" s="20" t="str">
        <x:v>GEN</x:v>
      </x:c>
      <x:c r="F969" s="20" t="n">
        <x:v>4</x:v>
      </x:c>
      <x:c r="G969" s="20" t="str">
        <x:v>V1.0</x:v>
      </x:c>
      <x:c r="H969" s="20" t="str">
        <x:v>燥湿采用极湿至极燥五级制</x:v>
      </x:c>
      <x:c r="I969" s="20" t="str">
        <x:v>结构层</x:v>
      </x:c>
      <x:c r="J969" s="20" t="str">
        <x:v>湿度五级制</x:v>
      </x:c>
      <x:c r="K969" s="20" t="str">
        <x:v>燥湿采用极湿至极燥五级制：温度轴判“待定”，湿度轴判“待定”；调候候选为“待定”，是否成为最终用神仍转M16—M18。</x:v>
      </x:c>
      <x:c r="L969" s="20" t="str">
        <x:v>较高</x:v>
      </x:c>
      <x:c r="M969" s="20" t="str">
        <x:v>采用</x:v>
      </x:c>
      <x:c r="N969" s="20" t="str">
        <x:v>初审</x:v>
      </x:c>
      <x:c r="O969" s="22" t="n">
        <x:v>46255</x:v>
      </x:c>
      <x:c r="P969" s="20" t="str">
        <x:v>调候以月令气候为起点，但必须结合M08五行有效力量与M12流通状态修正；寒暖与燥湿分轴判断，调候候选不自动等于全局主用神。</x:v>
      </x:c>
    </x:row>
    <x:row r="970">
      <x:c r="A970" s="20" t="str">
        <x:v>M13-GEN-0005-V1.0</x:v>
      </x:c>
      <x:c r="B970" s="20" t="str">
        <x:v>规则</x:v>
      </x:c>
      <x:c r="C970" s="20" t="str">
        <x:v>M13</x:v>
      </x:c>
      <x:c r="D970" s="20" t="str">
        <x:v>13_寒暖燥湿</x:v>
      </x:c>
      <x:c r="E970" s="20" t="str">
        <x:v>GEN</x:v>
      </x:c>
      <x:c r="F970" s="20" t="n">
        <x:v>5</x:v>
      </x:c>
      <x:c r="G970" s="20" t="str">
        <x:v>V1.0</x:v>
      </x:c>
      <x:c r="H970" s="20" t="str">
        <x:v>调候判断只读取有效五行而非名义存在</x:v>
      </x:c>
      <x:c r="I970" s="20" t="str">
        <x:v>结构层</x:v>
      </x:c>
      <x:c r="J970" s="20" t="str">
        <x:v>调候有效力量优先</x:v>
      </x:c>
      <x:c r="K970" s="20" t="str">
        <x:v>调候判断只读取有效五行而非名义存在：温度轴判“待定”，湿度轴判“待定”；调候候选为“待定”，是否成为最终用神仍转M16—M18。</x:v>
      </x:c>
      <x:c r="L970" s="20" t="str">
        <x:v>较高</x:v>
      </x:c>
      <x:c r="M970" s="20" t="str">
        <x:v>采用</x:v>
      </x:c>
      <x:c r="N970" s="20" t="str">
        <x:v>初审</x:v>
      </x:c>
      <x:c r="O970" s="22" t="n">
        <x:v>46255</x:v>
      </x:c>
      <x:c r="P970" s="20" t="str">
        <x:v>调候以月令气候为起点，但必须结合M08五行有效力量与M12流通状态修正；寒暖与燥湿分轴判断，调候候选不自动等于全局主用神。</x:v>
      </x:c>
    </x:row>
    <x:row r="971">
      <x:c r="A971" s="20" t="str">
        <x:v>M13-GEN-0006-V1.0</x:v>
      </x:c>
      <x:c r="B971" s="20" t="str">
        <x:v>规则</x:v>
      </x:c>
      <x:c r="C971" s="20" t="str">
        <x:v>M13</x:v>
      </x:c>
      <x:c r="D971" s="20" t="str">
        <x:v>13_寒暖燥湿</x:v>
      </x:c>
      <x:c r="E971" s="20" t="str">
        <x:v>GEN</x:v>
      </x:c>
      <x:c r="F971" s="20" t="n">
        <x:v>6</x:v>
      </x:c>
      <x:c r="G971" s="20" t="str">
        <x:v>V1.0</x:v>
      </x:c>
      <x:c r="H971" s="20" t="str">
        <x:v>气候平衡不等于五行力量平衡</x:v>
      </x:c>
      <x:c r="I971" s="20" t="str">
        <x:v>结构层</x:v>
      </x:c>
      <x:c r="J971" s="20" t="str">
        <x:v>调候扶抑分离</x:v>
      </x:c>
      <x:c r="K971" s="20" t="str">
        <x:v>气候平衡不等于五行力量平衡：温度轴判“平衡”，湿度轴判“平衡”；调候候选为“待定”，是否成为最终用神仍转M16—M18。</x:v>
      </x:c>
      <x:c r="L971" s="20" t="str">
        <x:v>较高</x:v>
      </x:c>
      <x:c r="M971" s="20" t="str">
        <x:v>采用</x:v>
      </x:c>
      <x:c r="N971" s="20" t="str">
        <x:v>初审</x:v>
      </x:c>
      <x:c r="O971" s="22" t="n">
        <x:v>46255</x:v>
      </x:c>
      <x:c r="P971" s="20" t="str">
        <x:v>调候以月令气候为起点，但必须结合M08五行有效力量与M12流通状态修正；寒暖与燥湿分轴判断，调候候选不自动等于全局主用神。</x:v>
      </x:c>
    </x:row>
    <x:row r="972">
      <x:c r="A972" s="20" t="str">
        <x:v>M13-GEN-0007-V1.0</x:v>
      </x:c>
      <x:c r="B972" s="20" t="str">
        <x:v>规则</x:v>
      </x:c>
      <x:c r="C972" s="20" t="str">
        <x:v>M13</x:v>
      </x:c>
      <x:c r="D972" s="20" t="str">
        <x:v>13_寒暖燥湿</x:v>
      </x:c>
      <x:c r="E972" s="20" t="str">
        <x:v>GEN</x:v>
      </x:c>
      <x:c r="F972" s="20" t="n">
        <x:v>7</x:v>
      </x:c>
      <x:c r="G972" s="20" t="str">
        <x:v>V1.0</x:v>
      </x:c>
      <x:c r="H972" s="20" t="str">
        <x:v>调候候选不等于主用神</x:v>
      </x:c>
      <x:c r="I972" s="20" t="str">
        <x:v>结构层</x:v>
      </x:c>
      <x:c r="J972" s="20" t="str">
        <x:v>调候候选与用神分离</x:v>
      </x:c>
      <x:c r="K972" s="20" t="str">
        <x:v>调候候选不等于主用神：温度轴判“待定”，湿度轴判“待定”；调候候选为“待定”，是否成为最终用神仍转M16—M18。</x:v>
      </x:c>
      <x:c r="L972" s="20" t="str">
        <x:v>较高</x:v>
      </x:c>
      <x:c r="M972" s="20" t="str">
        <x:v>采用</x:v>
      </x:c>
      <x:c r="N972" s="20" t="str">
        <x:v>初审</x:v>
      </x:c>
      <x:c r="O972" s="22" t="n">
        <x:v>46255</x:v>
      </x:c>
      <x:c r="P972" s="20" t="str">
        <x:v>调候以月令气候为起点，但必须结合M08五行有效力量与M12流通状态修正；寒暖与燥湿分轴判断，调候候选不自动等于全局主用神。</x:v>
      </x:c>
    </x:row>
    <x:row r="973">
      <x:c r="A973" s="20" t="str">
        <x:v>M13-GEN-0008-V1.0</x:v>
      </x:c>
      <x:c r="B973" s="20" t="str">
        <x:v>规则</x:v>
      </x:c>
      <x:c r="C973" s="20" t="str">
        <x:v>M13</x:v>
      </x:c>
      <x:c r="D973" s="20" t="str">
        <x:v>13_寒暖燥湿</x:v>
      </x:c>
      <x:c r="E973" s="20" t="str">
        <x:v>GEN</x:v>
      </x:c>
      <x:c r="F973" s="20" t="n">
        <x:v>8</x:v>
      </x:c>
      <x:c r="G973" s="20" t="str">
        <x:v>V1.0</x:v>
      </x:c>
      <x:c r="H973" s="20" t="str">
        <x:v>极端气候达到功能阻断时调候优先级上升</x:v>
      </x:c>
      <x:c r="I973" s="20" t="str">
        <x:v>结构层</x:v>
      </x:c>
      <x:c r="J973" s="20" t="str">
        <x:v>极端调候优先级</x:v>
      </x:c>
      <x:c r="K973" s="20" t="str">
        <x:v>极端气候达到功能阻断时调候优先级上升：温度轴判“待定”，湿度轴判“待定”；调候候选为“待定”，是否成为最终用神仍转M16—M18。</x:v>
      </x:c>
      <x:c r="L973" s="20" t="str">
        <x:v>较高</x:v>
      </x:c>
      <x:c r="M973" s="20" t="str">
        <x:v>采用</x:v>
      </x:c>
      <x:c r="N973" s="20" t="str">
        <x:v>初审</x:v>
      </x:c>
      <x:c r="O973" s="22" t="n">
        <x:v>46255</x:v>
      </x:c>
      <x:c r="P973" s="20" t="str">
        <x:v>调候以月令气候为起点，但必须结合M08五行有效力量与M12流通状态修正；寒暖与燥湿分轴判断，调候候选不自动等于全局主用神。</x:v>
      </x:c>
    </x:row>
    <x:row r="974">
      <x:c r="A974" s="20" t="str">
        <x:v>M13-SEASON-0009-V1.0</x:v>
      </x:c>
      <x:c r="B974" s="20" t="str">
        <x:v>规则</x:v>
      </x:c>
      <x:c r="C974" s="20" t="str">
        <x:v>M13</x:v>
      </x:c>
      <x:c r="D974" s="20" t="str">
        <x:v>13_寒暖燥湿</x:v>
      </x:c>
      <x:c r="E974" s="20" t="str">
        <x:v>SEASON</x:v>
      </x:c>
      <x:c r="F974" s="20" t="n">
        <x:v>9</x:v>
      </x:c>
      <x:c r="G974" s="20" t="str">
        <x:v>V1.0</x:v>
      </x:c>
      <x:c r="H974" s="20" t="str">
        <x:v>寅月气候基准</x:v>
      </x:c>
      <x:c r="I974" s="20" t="str">
        <x:v>结构层</x:v>
      </x:c>
      <x:c r="J974" s="20" t="str">
        <x:v>寅月_气候基准</x:v>
      </x:c>
      <x:c r="K974" s="20" t="str">
        <x:v>寅月气候基准：温度轴判“偏暖”，湿度轴判“平衡”；调候候选为“火”，是否成为最终用神仍转M16—M18。</x:v>
      </x:c>
      <x:c r="L974" s="20" t="str">
        <x:v>中等</x:v>
      </x:c>
      <x:c r="M974" s="20" t="str">
        <x:v>采用</x:v>
      </x:c>
      <x:c r="N974" s="20" t="str">
        <x:v>初审</x:v>
      </x:c>
      <x:c r="O974" s="22" t="n">
        <x:v>46255</x:v>
      </x:c>
      <x:c r="P974" s="20" t="str">
        <x:v>调候以月令气候为起点，但必须结合M08五行有效力量与M12流通状态修正；寒暖与燥湿分轴判断，调候候选不自动等于全局主用神。</x:v>
      </x:c>
    </x:row>
    <x:row r="975">
      <x:c r="A975" s="20" t="str">
        <x:v>M13-SEASON-0010-V1.0</x:v>
      </x:c>
      <x:c r="B975" s="20" t="str">
        <x:v>规则</x:v>
      </x:c>
      <x:c r="C975" s="20" t="str">
        <x:v>M13</x:v>
      </x:c>
      <x:c r="D975" s="20" t="str">
        <x:v>13_寒暖燥湿</x:v>
      </x:c>
      <x:c r="E975" s="20" t="str">
        <x:v>SEASON</x:v>
      </x:c>
      <x:c r="F975" s="20" t="n">
        <x:v>10</x:v>
      </x:c>
      <x:c r="G975" s="20" t="str">
        <x:v>V1.0</x:v>
      </x:c>
      <x:c r="H975" s="20" t="str">
        <x:v>卯月气候基准</x:v>
      </x:c>
      <x:c r="I975" s="20" t="str">
        <x:v>结构层</x:v>
      </x:c>
      <x:c r="J975" s="20" t="str">
        <x:v>卯月_气候基准</x:v>
      </x:c>
      <x:c r="K975" s="20" t="str">
        <x:v>卯月气候基准：温度轴判“偏暖”，湿度轴判“平衡”；调候候选为“待定”，是否成为最终用神仍转M16—M18。</x:v>
      </x:c>
      <x:c r="L975" s="20" t="str">
        <x:v>中等</x:v>
      </x:c>
      <x:c r="M975" s="20" t="str">
        <x:v>采用</x:v>
      </x:c>
      <x:c r="N975" s="20" t="str">
        <x:v>初审</x:v>
      </x:c>
      <x:c r="O975" s="22" t="n">
        <x:v>46255</x:v>
      </x:c>
      <x:c r="P975" s="20" t="str">
        <x:v>调候以月令气候为起点，但必须结合M08五行有效力量与M12流通状态修正；寒暖与燥湿分轴判断，调候候选不自动等于全局主用神。</x:v>
      </x:c>
    </x:row>
    <x:row r="976">
      <x:c r="A976" s="20" t="str">
        <x:v>M13-SEASON-0011-V1.0</x:v>
      </x:c>
      <x:c r="B976" s="20" t="str">
        <x:v>规则</x:v>
      </x:c>
      <x:c r="C976" s="20" t="str">
        <x:v>M13</x:v>
      </x:c>
      <x:c r="D976" s="20" t="str">
        <x:v>13_寒暖燥湿</x:v>
      </x:c>
      <x:c r="E976" s="20" t="str">
        <x:v>SEASON</x:v>
      </x:c>
      <x:c r="F976" s="20" t="n">
        <x:v>11</x:v>
      </x:c>
      <x:c r="G976" s="20" t="str">
        <x:v>V1.0</x:v>
      </x:c>
      <x:c r="H976" s="20" t="str">
        <x:v>辰月气候基准</x:v>
      </x:c>
      <x:c r="I976" s="20" t="str">
        <x:v>结构层</x:v>
      </x:c>
      <x:c r="J976" s="20" t="str">
        <x:v>辰月_气候基准</x:v>
      </x:c>
      <x:c r="K976" s="20" t="str">
        <x:v>辰月气候基准：温度轴判“偏暖”，湿度轴判“偏湿”；调候候选为“火/木”，是否成为最终用神仍转M16—M18。</x:v>
      </x:c>
      <x:c r="L976" s="20" t="str">
        <x:v>中等</x:v>
      </x:c>
      <x:c r="M976" s="20" t="str">
        <x:v>采用</x:v>
      </x:c>
      <x:c r="N976" s="20" t="str">
        <x:v>初审</x:v>
      </x:c>
      <x:c r="O976" s="22" t="n">
        <x:v>46255</x:v>
      </x:c>
      <x:c r="P976" s="20" t="str">
        <x:v>调候以月令气候为起点，但必须结合M08五行有效力量与M12流通状态修正；寒暖与燥湿分轴判断，调候候选不自动等于全局主用神。</x:v>
      </x:c>
    </x:row>
    <x:row r="977">
      <x:c r="A977" s="20" t="str">
        <x:v>M13-SEASON-0012-V1.0</x:v>
      </x:c>
      <x:c r="B977" s="20" t="str">
        <x:v>规则</x:v>
      </x:c>
      <x:c r="C977" s="20" t="str">
        <x:v>M13</x:v>
      </x:c>
      <x:c r="D977" s="20" t="str">
        <x:v>13_寒暖燥湿</x:v>
      </x:c>
      <x:c r="E977" s="20" t="str">
        <x:v>SEASON</x:v>
      </x:c>
      <x:c r="F977" s="20" t="n">
        <x:v>12</x:v>
      </x:c>
      <x:c r="G977" s="20" t="str">
        <x:v>V1.0</x:v>
      </x:c>
      <x:c r="H977" s="20" t="str">
        <x:v>巳月气候基准</x:v>
      </x:c>
      <x:c r="I977" s="20" t="str">
        <x:v>结构层</x:v>
      </x:c>
      <x:c r="J977" s="20" t="str">
        <x:v>巳月_气候基准</x:v>
      </x:c>
      <x:c r="K977" s="20" t="str">
        <x:v>巳月气候基准：温度轴判“偏暖”，湿度轴判“偏燥”；调候候选为“水”，是否成为最终用神仍转M16—M18。</x:v>
      </x:c>
      <x:c r="L977" s="20" t="str">
        <x:v>中等</x:v>
      </x:c>
      <x:c r="M977" s="20" t="str">
        <x:v>采用</x:v>
      </x:c>
      <x:c r="N977" s="20" t="str">
        <x:v>初审</x:v>
      </x:c>
      <x:c r="O977" s="22" t="n">
        <x:v>46255</x:v>
      </x:c>
      <x:c r="P977" s="20" t="str">
        <x:v>调候以月令气候为起点，但必须结合M08五行有效力量与M12流通状态修正；寒暖与燥湿分轴判断，调候候选不自动等于全局主用神。</x:v>
      </x:c>
    </x:row>
    <x:row r="978">
      <x:c r="A978" s="20" t="str">
        <x:v>M13-SEASON-0013-V1.0</x:v>
      </x:c>
      <x:c r="B978" s="20" t="str">
        <x:v>规则</x:v>
      </x:c>
      <x:c r="C978" s="20" t="str">
        <x:v>M13</x:v>
      </x:c>
      <x:c r="D978" s="20" t="str">
        <x:v>13_寒暖燥湿</x:v>
      </x:c>
      <x:c r="E978" s="20" t="str">
        <x:v>SEASON</x:v>
      </x:c>
      <x:c r="F978" s="20" t="n">
        <x:v>13</x:v>
      </x:c>
      <x:c r="G978" s="20" t="str">
        <x:v>V1.0</x:v>
      </x:c>
      <x:c r="H978" s="20" t="str">
        <x:v>午月气候基准</x:v>
      </x:c>
      <x:c r="I978" s="20" t="str">
        <x:v>结构层</x:v>
      </x:c>
      <x:c r="J978" s="20" t="str">
        <x:v>午月_气候基准</x:v>
      </x:c>
      <x:c r="K978" s="20" t="str">
        <x:v>午月气候基准：温度轴判“极热”，湿度轴判“偏燥”；调候候选为“水”，是否成为最终用神仍转M16—M18。</x:v>
      </x:c>
      <x:c r="L978" s="20" t="str">
        <x:v>中等</x:v>
      </x:c>
      <x:c r="M978" s="20" t="str">
        <x:v>采用</x:v>
      </x:c>
      <x:c r="N978" s="20" t="str">
        <x:v>初审</x:v>
      </x:c>
      <x:c r="O978" s="22" t="n">
        <x:v>46255</x:v>
      </x:c>
      <x:c r="P978" s="20" t="str">
        <x:v>调候以月令气候为起点，但必须结合M08五行有效力量与M12流通状态修正；寒暖与燥湿分轴判断，调候候选不自动等于全局主用神。</x:v>
      </x:c>
    </x:row>
    <x:row r="979">
      <x:c r="A979" s="20" t="str">
        <x:v>M13-SEASON-0014-V1.0</x:v>
      </x:c>
      <x:c r="B979" s="20" t="str">
        <x:v>规则</x:v>
      </x:c>
      <x:c r="C979" s="20" t="str">
        <x:v>M13</x:v>
      </x:c>
      <x:c r="D979" s="20" t="str">
        <x:v>13_寒暖燥湿</x:v>
      </x:c>
      <x:c r="E979" s="20" t="str">
        <x:v>SEASON</x:v>
      </x:c>
      <x:c r="F979" s="20" t="n">
        <x:v>14</x:v>
      </x:c>
      <x:c r="G979" s="20" t="str">
        <x:v>V1.0</x:v>
      </x:c>
      <x:c r="H979" s="20" t="str">
        <x:v>未月气候基准</x:v>
      </x:c>
      <x:c r="I979" s="20" t="str">
        <x:v>结构层</x:v>
      </x:c>
      <x:c r="J979" s="20" t="str">
        <x:v>未月_气候基准</x:v>
      </x:c>
      <x:c r="K979" s="20" t="str">
        <x:v>未月气候基准：温度轴判“偏暖”，湿度轴判“偏燥”；调候候选为“水”，是否成为最终用神仍转M16—M18。</x:v>
      </x:c>
      <x:c r="L979" s="20" t="str">
        <x:v>中等</x:v>
      </x:c>
      <x:c r="M979" s="20" t="str">
        <x:v>采用</x:v>
      </x:c>
      <x:c r="N979" s="20" t="str">
        <x:v>初审</x:v>
      </x:c>
      <x:c r="O979" s="22" t="n">
        <x:v>46255</x:v>
      </x:c>
      <x:c r="P979" s="20" t="str">
        <x:v>调候以月令气候为起点，但必须结合M08五行有效力量与M12流通状态修正；寒暖与燥湿分轴判断，调候候选不自动等于全局主用神。</x:v>
      </x:c>
    </x:row>
    <x:row r="980">
      <x:c r="A980" s="20" t="str">
        <x:v>M13-SEASON-0015-V1.0</x:v>
      </x:c>
      <x:c r="B980" s="20" t="str">
        <x:v>规则</x:v>
      </x:c>
      <x:c r="C980" s="20" t="str">
        <x:v>M13</x:v>
      </x:c>
      <x:c r="D980" s="20" t="str">
        <x:v>13_寒暖燥湿</x:v>
      </x:c>
      <x:c r="E980" s="20" t="str">
        <x:v>SEASON</x:v>
      </x:c>
      <x:c r="F980" s="20" t="n">
        <x:v>15</x:v>
      </x:c>
      <x:c r="G980" s="20" t="str">
        <x:v>V1.0</x:v>
      </x:c>
      <x:c r="H980" s="20" t="str">
        <x:v>申月气候基准</x:v>
      </x:c>
      <x:c r="I980" s="20" t="str">
        <x:v>结构层</x:v>
      </x:c>
      <x:c r="J980" s="20" t="str">
        <x:v>申月_气候基准</x:v>
      </x:c>
      <x:c r="K980" s="20" t="str">
        <x:v>申月气候基准：温度轴判“平衡”，湿度轴判“偏燥”；调候候选为“水”，是否成为最终用神仍转M16—M18。</x:v>
      </x:c>
      <x:c r="L980" s="20" t="str">
        <x:v>中等</x:v>
      </x:c>
      <x:c r="M980" s="20" t="str">
        <x:v>采用</x:v>
      </x:c>
      <x:c r="N980" s="20" t="str">
        <x:v>初审</x:v>
      </x:c>
      <x:c r="O980" s="22" t="n">
        <x:v>46255</x:v>
      </x:c>
      <x:c r="P980" s="20" t="str">
        <x:v>调候以月令气候为起点，但必须结合M08五行有效力量与M12流通状态修正；寒暖与燥湿分轴判断，调候候选不自动等于全局主用神。</x:v>
      </x:c>
    </x:row>
    <x:row r="981">
      <x:c r="A981" s="20" t="str">
        <x:v>M13-SEASON-0016-V1.0</x:v>
      </x:c>
      <x:c r="B981" s="20" t="str">
        <x:v>规则</x:v>
      </x:c>
      <x:c r="C981" s="20" t="str">
        <x:v>M13</x:v>
      </x:c>
      <x:c r="D981" s="20" t="str">
        <x:v>13_寒暖燥湿</x:v>
      </x:c>
      <x:c r="E981" s="20" t="str">
        <x:v>SEASON</x:v>
      </x:c>
      <x:c r="F981" s="20" t="n">
        <x:v>16</x:v>
      </x:c>
      <x:c r="G981" s="20" t="str">
        <x:v>V1.0</x:v>
      </x:c>
      <x:c r="H981" s="20" t="str">
        <x:v>酉月气候基准</x:v>
      </x:c>
      <x:c r="I981" s="20" t="str">
        <x:v>结构层</x:v>
      </x:c>
      <x:c r="J981" s="20" t="str">
        <x:v>酉月_气候基准</x:v>
      </x:c>
      <x:c r="K981" s="20" t="str">
        <x:v>酉月气候基准：温度轴判“偏寒”，湿度轴判“偏燥”；调候候选为“水/火”，是否成为最终用神仍转M16—M18。</x:v>
      </x:c>
      <x:c r="L981" s="20" t="str">
        <x:v>中等</x:v>
      </x:c>
      <x:c r="M981" s="20" t="str">
        <x:v>采用</x:v>
      </x:c>
      <x:c r="N981" s="20" t="str">
        <x:v>初审</x:v>
      </x:c>
      <x:c r="O981" s="22" t="n">
        <x:v>46255</x:v>
      </x:c>
      <x:c r="P981" s="20" t="str">
        <x:v>调候以月令气候为起点，但必须结合M08五行有效力量与M12流通状态修正；寒暖与燥湿分轴判断，调候候选不自动等于全局主用神。</x:v>
      </x:c>
    </x:row>
    <x:row r="982">
      <x:c r="A982" s="20" t="str">
        <x:v>M13-SEASON-0017-V1.0</x:v>
      </x:c>
      <x:c r="B982" s="20" t="str">
        <x:v>规则</x:v>
      </x:c>
      <x:c r="C982" s="20" t="str">
        <x:v>M13</x:v>
      </x:c>
      <x:c r="D982" s="20" t="str">
        <x:v>13_寒暖燥湿</x:v>
      </x:c>
      <x:c r="E982" s="20" t="str">
        <x:v>SEASON</x:v>
      </x:c>
      <x:c r="F982" s="20" t="n">
        <x:v>17</x:v>
      </x:c>
      <x:c r="G982" s="20" t="str">
        <x:v>V1.0</x:v>
      </x:c>
      <x:c r="H982" s="20" t="str">
        <x:v>戌月气候基准</x:v>
      </x:c>
      <x:c r="I982" s="20" t="str">
        <x:v>结构层</x:v>
      </x:c>
      <x:c r="J982" s="20" t="str">
        <x:v>戌月_气候基准</x:v>
      </x:c>
      <x:c r="K982" s="20" t="str">
        <x:v>戌月气候基准：温度轴判“偏寒”，湿度轴判“偏燥”；调候候选为“水/火”，是否成为最终用神仍转M16—M18。</x:v>
      </x:c>
      <x:c r="L982" s="20" t="str">
        <x:v>中等</x:v>
      </x:c>
      <x:c r="M982" s="20" t="str">
        <x:v>采用</x:v>
      </x:c>
      <x:c r="N982" s="20" t="str">
        <x:v>初审</x:v>
      </x:c>
      <x:c r="O982" s="22" t="n">
        <x:v>46255</x:v>
      </x:c>
      <x:c r="P982" s="20" t="str">
        <x:v>调候以月令气候为起点，但必须结合M08五行有效力量与M12流通状态修正；寒暖与燥湿分轴判断，调候候选不自动等于全局主用神。</x:v>
      </x:c>
    </x:row>
    <x:row r="983">
      <x:c r="A983" s="20" t="str">
        <x:v>M13-SEASON-0018-V1.0</x:v>
      </x:c>
      <x:c r="B983" s="20" t="str">
        <x:v>规则</x:v>
      </x:c>
      <x:c r="C983" s="20" t="str">
        <x:v>M13</x:v>
      </x:c>
      <x:c r="D983" s="20" t="str">
        <x:v>13_寒暖燥湿</x:v>
      </x:c>
      <x:c r="E983" s="20" t="str">
        <x:v>SEASON</x:v>
      </x:c>
      <x:c r="F983" s="20" t="n">
        <x:v>18</x:v>
      </x:c>
      <x:c r="G983" s="20" t="str">
        <x:v>V1.0</x:v>
      </x:c>
      <x:c r="H983" s="20" t="str">
        <x:v>亥月气候基准</x:v>
      </x:c>
      <x:c r="I983" s="20" t="str">
        <x:v>结构层</x:v>
      </x:c>
      <x:c r="J983" s="20" t="str">
        <x:v>亥月_气候基准</x:v>
      </x:c>
      <x:c r="K983" s="20" t="str">
        <x:v>亥月气候基准：温度轴判“偏寒”，湿度轴判“偏湿”；调候候选为“火”，是否成为最终用神仍转M16—M18。</x:v>
      </x:c>
      <x:c r="L983" s="20" t="str">
        <x:v>中等</x:v>
      </x:c>
      <x:c r="M983" s="20" t="str">
        <x:v>采用</x:v>
      </x:c>
      <x:c r="N983" s="20" t="str">
        <x:v>初审</x:v>
      </x:c>
      <x:c r="O983" s="22" t="n">
        <x:v>46255</x:v>
      </x:c>
      <x:c r="P983" s="20" t="str">
        <x:v>调候以月令气候为起点，但必须结合M08五行有效力量与M12流通状态修正；寒暖与燥湿分轴判断，调候候选不自动等于全局主用神。</x:v>
      </x:c>
    </x:row>
    <x:row r="984">
      <x:c r="A984" s="20" t="str">
        <x:v>M13-SEASON-0019-V1.0</x:v>
      </x:c>
      <x:c r="B984" s="20" t="str">
        <x:v>规则</x:v>
      </x:c>
      <x:c r="C984" s="20" t="str">
        <x:v>M13</x:v>
      </x:c>
      <x:c r="D984" s="20" t="str">
        <x:v>13_寒暖燥湿</x:v>
      </x:c>
      <x:c r="E984" s="20" t="str">
        <x:v>SEASON</x:v>
      </x:c>
      <x:c r="F984" s="20" t="n">
        <x:v>19</x:v>
      </x:c>
      <x:c r="G984" s="20" t="str">
        <x:v>V1.0</x:v>
      </x:c>
      <x:c r="H984" s="20" t="str">
        <x:v>子月气候基准</x:v>
      </x:c>
      <x:c r="I984" s="20" t="str">
        <x:v>结构层</x:v>
      </x:c>
      <x:c r="J984" s="20" t="str">
        <x:v>子月_气候基准</x:v>
      </x:c>
      <x:c r="K984" s="20" t="str">
        <x:v>子月气候基准：温度轴判“极寒”，湿度轴判“偏湿”；调候候选为“火”，是否成为最终用神仍转M16—M18。</x:v>
      </x:c>
      <x:c r="L984" s="20" t="str">
        <x:v>中等</x:v>
      </x:c>
      <x:c r="M984" s="20" t="str">
        <x:v>采用</x:v>
      </x:c>
      <x:c r="N984" s="20" t="str">
        <x:v>初审</x:v>
      </x:c>
      <x:c r="O984" s="22" t="n">
        <x:v>46255</x:v>
      </x:c>
      <x:c r="P984" s="20" t="str">
        <x:v>调候以月令气候为起点，但必须结合M08五行有效力量与M12流通状态修正；寒暖与燥湿分轴判断，调候候选不自动等于全局主用神。</x:v>
      </x:c>
    </x:row>
    <x:row r="985">
      <x:c r="A985" s="20" t="str">
        <x:v>M13-SEASON-0020-V1.0</x:v>
      </x:c>
      <x:c r="B985" s="20" t="str">
        <x:v>规则</x:v>
      </x:c>
      <x:c r="C985" s="20" t="str">
        <x:v>M13</x:v>
      </x:c>
      <x:c r="D985" s="20" t="str">
        <x:v>13_寒暖燥湿</x:v>
      </x:c>
      <x:c r="E985" s="20" t="str">
        <x:v>SEASON</x:v>
      </x:c>
      <x:c r="F985" s="20" t="n">
        <x:v>20</x:v>
      </x:c>
      <x:c r="G985" s="20" t="str">
        <x:v>V1.0</x:v>
      </x:c>
      <x:c r="H985" s="20" t="str">
        <x:v>丑月气候基准</x:v>
      </x:c>
      <x:c r="I985" s="20" t="str">
        <x:v>结构层</x:v>
      </x:c>
      <x:c r="J985" s="20" t="str">
        <x:v>丑月_气候基准</x:v>
      </x:c>
      <x:c r="K985" s="20" t="str">
        <x:v>丑月气候基准：温度轴判“极寒”，湿度轴判“偏湿”；调候候选为“火”，是否成为最终用神仍转M16—M18。</x:v>
      </x:c>
      <x:c r="L985" s="20" t="str">
        <x:v>中等</x:v>
      </x:c>
      <x:c r="M985" s="20" t="str">
        <x:v>采用</x:v>
      </x:c>
      <x:c r="N985" s="20" t="str">
        <x:v>初审</x:v>
      </x:c>
      <x:c r="O985" s="22" t="n">
        <x:v>46255</x:v>
      </x:c>
      <x:c r="P985" s="20" t="str">
        <x:v>调候以月令气候为起点，但必须结合M08五行有效力量与M12流通状态修正；寒暖与燥湿分轴判断，调候候选不自动等于全局主用神。</x:v>
      </x:c>
    </x:row>
    <x:row r="986">
      <x:c r="A986" s="20" t="str">
        <x:v>M13-TEMP-0021-V1.0</x:v>
      </x:c>
      <x:c r="B986" s="20" t="str">
        <x:v>规则</x:v>
      </x:c>
      <x:c r="C986" s="20" t="str">
        <x:v>M13</x:v>
      </x:c>
      <x:c r="D986" s="20" t="str">
        <x:v>13_寒暖燥湿</x:v>
      </x:c>
      <x:c r="E986" s="20" t="str">
        <x:v>TEMP</x:v>
      </x:c>
      <x:c r="F986" s="20" t="n">
        <x:v>21</x:v>
      </x:c>
      <x:c r="G986" s="20" t="str">
        <x:v>V1.0</x:v>
      </x:c>
      <x:c r="H986" s="20" t="str">
        <x:v>强火成势可将偏寒局向平衡或偏暖修正</x:v>
      </x:c>
      <x:c r="I986" s="20" t="str">
        <x:v>结构层</x:v>
      </x:c>
      <x:c r="J986" s="20" t="str">
        <x:v>强火升温修正</x:v>
      </x:c>
      <x:c r="K986" s="20" t="str">
        <x:v>强火成势可将偏寒局向平衡或偏暖修正：温度轴判“待定”，湿度轴判“待定”；调候候选为“火”，是否成为最终用神仍转M16—M18。</x:v>
      </x:c>
      <x:c r="L986" s="20" t="str">
        <x:v>较高</x:v>
      </x:c>
      <x:c r="M986" s="20" t="str">
        <x:v>采用</x:v>
      </x:c>
      <x:c r="N986" s="20" t="str">
        <x:v>初审</x:v>
      </x:c>
      <x:c r="O986" s="22" t="n">
        <x:v>46255</x:v>
      </x:c>
      <x:c r="P986" s="20" t="str">
        <x:v>调候以月令气候为起点，但必须结合M08五行有效力量与M12流通状态修正；寒暖与燥湿分轴判断，调候候选不自动等于全局主用神。</x:v>
      </x:c>
    </x:row>
    <x:row r="987">
      <x:c r="A987" s="20" t="str">
        <x:v>M13-TEMP-0022-V1.0</x:v>
      </x:c>
      <x:c r="B987" s="20" t="str">
        <x:v>规则</x:v>
      </x:c>
      <x:c r="C987" s="20" t="str">
        <x:v>M13</x:v>
      </x:c>
      <x:c r="D987" s="20" t="str">
        <x:v>13_寒暖燥湿</x:v>
      </x:c>
      <x:c r="E987" s="20" t="str">
        <x:v>TEMP</x:v>
      </x:c>
      <x:c r="F987" s="20" t="n">
        <x:v>22</x:v>
      </x:c>
      <x:c r="G987" s="20" t="str">
        <x:v>V1.0</x:v>
      </x:c>
      <x:c r="H987" s="20" t="str">
        <x:v>弱火无根不足以改变极寒基准</x:v>
      </x:c>
      <x:c r="I987" s="20" t="str">
        <x:v>结构层</x:v>
      </x:c>
      <x:c r="J987" s="20" t="str">
        <x:v>弱火不足暖局</x:v>
      </x:c>
      <x:c r="K987" s="20" t="str">
        <x:v>弱火无根不足以改变极寒基准：温度轴判“极寒”，湿度轴判“待定”；调候候选为“火”，是否成为最终用神仍转M16—M18。</x:v>
      </x:c>
      <x:c r="L987" s="20" t="str">
        <x:v>较高</x:v>
      </x:c>
      <x:c r="M987" s="20" t="str">
        <x:v>采用</x:v>
      </x:c>
      <x:c r="N987" s="20" t="str">
        <x:v>初审</x:v>
      </x:c>
      <x:c r="O987" s="22" t="n">
        <x:v>46255</x:v>
      </x:c>
      <x:c r="P987" s="20" t="str">
        <x:v>调候以月令气候为起点，但必须结合M08五行有效力量与M12流通状态修正；寒暖与燥湿分轴判断，调候候选不自动等于全局主用神。</x:v>
      </x:c>
    </x:row>
    <x:row r="988">
      <x:c r="A988" s="20" t="str">
        <x:v>M13-TEMP-0023-V1.0</x:v>
      </x:c>
      <x:c r="B988" s="20" t="str">
        <x:v>规则</x:v>
      </x:c>
      <x:c r="C988" s="20" t="str">
        <x:v>M13</x:v>
      </x:c>
      <x:c r="D988" s="20" t="str">
        <x:v>13_寒暖燥湿</x:v>
      </x:c>
      <x:c r="E988" s="20" t="str">
        <x:v>TEMP</x:v>
      </x:c>
      <x:c r="F988" s="20" t="n">
        <x:v>23</x:v>
      </x:c>
      <x:c r="G988" s="20" t="str">
        <x:v>V1.0</x:v>
      </x:c>
      <x:c r="H988" s="20" t="str">
        <x:v>强水成势可将偏暖局向平衡或偏寒修正</x:v>
      </x:c>
      <x:c r="I988" s="20" t="str">
        <x:v>结构层</x:v>
      </x:c>
      <x:c r="J988" s="20" t="str">
        <x:v>强水降温修正</x:v>
      </x:c>
      <x:c r="K988" s="20" t="str">
        <x:v>强水成势可将偏暖局向平衡或偏寒修正：温度轴判“待定”，湿度轴判“待定”；调候候选为“待定”，是否成为最终用神仍转M16—M18。</x:v>
      </x:c>
      <x:c r="L988" s="20" t="str">
        <x:v>较高</x:v>
      </x:c>
      <x:c r="M988" s="20" t="str">
        <x:v>采用</x:v>
      </x:c>
      <x:c r="N988" s="20" t="str">
        <x:v>初审</x:v>
      </x:c>
      <x:c r="O988" s="22" t="n">
        <x:v>46255</x:v>
      </x:c>
      <x:c r="P988" s="20" t="str">
        <x:v>调候以月令气候为起点，但必须结合M08五行有效力量与M12流通状态修正；寒暖与燥湿分轴判断，调候候选不自动等于全局主用神。</x:v>
      </x:c>
    </x:row>
    <x:row r="989">
      <x:c r="A989" s="20" t="str">
        <x:v>M13-TEMP-0024-V1.0</x:v>
      </x:c>
      <x:c r="B989" s="20" t="str">
        <x:v>规则</x:v>
      </x:c>
      <x:c r="C989" s="20" t="str">
        <x:v>M13</x:v>
      </x:c>
      <x:c r="D989" s="20" t="str">
        <x:v>13_寒暖燥湿</x:v>
      </x:c>
      <x:c r="E989" s="20" t="str">
        <x:v>TEMP</x:v>
      </x:c>
      <x:c r="F989" s="20" t="n">
        <x:v>24</x:v>
      </x:c>
      <x:c r="G989" s="20" t="str">
        <x:v>V1.0</x:v>
      </x:c>
      <x:c r="H989" s="20" t="str">
        <x:v>夏局弱水无根不足以解除极热</x:v>
      </x:c>
      <x:c r="I989" s="20" t="str">
        <x:v>结构层</x:v>
      </x:c>
      <x:c r="J989" s="20" t="str">
        <x:v>弱水不足制热</x:v>
      </x:c>
      <x:c r="K989" s="20" t="str">
        <x:v>夏局弱水无根不足以解除极热：温度轴判“极热”，湿度轴判“待定”；调候候选为“水”，是否成为最终用神仍转M16—M18。</x:v>
      </x:c>
      <x:c r="L989" s="20" t="str">
        <x:v>较高</x:v>
      </x:c>
      <x:c r="M989" s="20" t="str">
        <x:v>采用</x:v>
      </x:c>
      <x:c r="N989" s="20" t="str">
        <x:v>初审</x:v>
      </x:c>
      <x:c r="O989" s="22" t="n">
        <x:v>46255</x:v>
      </x:c>
      <x:c r="P989" s="20" t="str">
        <x:v>调候以月令气候为起点，但必须结合M08五行有效力量与M12流通状态修正；寒暖与燥湿分轴判断，调候候选不自动等于全局主用神。</x:v>
      </x:c>
    </x:row>
    <x:row r="990">
      <x:c r="A990" s="20" t="str">
        <x:v>M13-TEMP-0025-V1.0</x:v>
      </x:c>
      <x:c r="B990" s="20" t="str">
        <x:v>规则</x:v>
      </x:c>
      <x:c r="C990" s="20" t="str">
        <x:v>M13</x:v>
      </x:c>
      <x:c r="D990" s="20" t="str">
        <x:v>13_寒暖燥湿</x:v>
      </x:c>
      <x:c r="E990" s="20" t="str">
        <x:v>TEMP</x:v>
      </x:c>
      <x:c r="F990" s="20" t="n">
        <x:v>25</x:v>
      </x:c>
      <x:c r="G990" s="20" t="str">
        <x:v>V1.0</x:v>
      </x:c>
      <x:c r="H990" s="20" t="str">
        <x:v>木旺可通过生火间接提高温度</x:v>
      </x:c>
      <x:c r="I990" s="20" t="str">
        <x:v>结构层</x:v>
      </x:c>
      <x:c r="J990" s="20" t="str">
        <x:v>木生火升温</x:v>
      </x:c>
      <x:c r="K990" s="20" t="str">
        <x:v>木旺可通过生火间接提高温度：温度轴判“待定”，湿度轴判“待定”；调候候选为“待定”，是否成为最终用神仍转M16—M18。</x:v>
      </x:c>
      <x:c r="L990" s="20" t="str">
        <x:v>较高</x:v>
      </x:c>
      <x:c r="M990" s="20" t="str">
        <x:v>采用</x:v>
      </x:c>
      <x:c r="N990" s="20" t="str">
        <x:v>初审</x:v>
      </x:c>
      <x:c r="O990" s="22" t="n">
        <x:v>46255</x:v>
      </x:c>
      <x:c r="P990" s="20" t="str">
        <x:v>调候以月令气候为起点，但必须结合M08五行有效力量与M12流通状态修正；寒暖与燥湿分轴判断，调候候选不自动等于全局主用神。</x:v>
      </x:c>
    </x:row>
    <x:row r="991">
      <x:c r="A991" s="20" t="str">
        <x:v>M13-TEMP-0026-V1.0</x:v>
      </x:c>
      <x:c r="B991" s="20" t="str">
        <x:v>规则</x:v>
      </x:c>
      <x:c r="C991" s="20" t="str">
        <x:v>M13</x:v>
      </x:c>
      <x:c r="D991" s="20" t="str">
        <x:v>13_寒暖燥湿</x:v>
      </x:c>
      <x:c r="E991" s="20" t="str">
        <x:v>TEMP</x:v>
      </x:c>
      <x:c r="F991" s="20" t="n">
        <x:v>26</x:v>
      </x:c>
      <x:c r="G991" s="20" t="str">
        <x:v>V1.0</x:v>
      </x:c>
      <x:c r="H991" s="20" t="str">
        <x:v>湿土重可晦火并降低实际暖局效率</x:v>
      </x:c>
      <x:c r="I991" s="20" t="str">
        <x:v>结构层</x:v>
      </x:c>
      <x:c r="J991" s="20" t="str">
        <x:v>湿土晦火</x:v>
      </x:c>
      <x:c r="K991" s="20" t="str">
        <x:v>湿土重可晦火并降低实际暖局效率：温度轴判“待定”，湿度轴判“偏湿”；调候候选为“火/木”，是否成为最终用神仍转M16—M18。</x:v>
      </x:c>
      <x:c r="L991" s="20" t="str">
        <x:v>较高</x:v>
      </x:c>
      <x:c r="M991" s="20" t="str">
        <x:v>采用</x:v>
      </x:c>
      <x:c r="N991" s="20" t="str">
        <x:v>初审</x:v>
      </x:c>
      <x:c r="O991" s="22" t="n">
        <x:v>46255</x:v>
      </x:c>
      <x:c r="P991" s="20" t="str">
        <x:v>调候以月令气候为起点，但必须结合M08五行有效力量与M12流通状态修正；寒暖与燥湿分轴判断，调候候选不自动等于全局主用神。</x:v>
      </x:c>
    </x:row>
    <x:row r="992">
      <x:c r="A992" s="20" t="str">
        <x:v>M13-TEMP-0027-V1.0</x:v>
      </x:c>
      <x:c r="B992" s="20" t="str">
        <x:v>规则</x:v>
      </x:c>
      <x:c r="C992" s="20" t="str">
        <x:v>M13</x:v>
      </x:c>
      <x:c r="D992" s="20" t="str">
        <x:v>13_寒暖燥湿</x:v>
      </x:c>
      <x:c r="E992" s="20" t="str">
        <x:v>TEMP</x:v>
      </x:c>
      <x:c r="F992" s="20" t="n">
        <x:v>27</x:v>
      </x:c>
      <x:c r="G992" s="20" t="str">
        <x:v>V1.0</x:v>
      </x:c>
      <x:c r="H992" s="20" t="str">
        <x:v>燥土与强火并见会放大热势</x:v>
      </x:c>
      <x:c r="I992" s="20" t="str">
        <x:v>结构层</x:v>
      </x:c>
      <x:c r="J992" s="20" t="str">
        <x:v>火燥土增热</x:v>
      </x:c>
      <x:c r="K992" s="20" t="str">
        <x:v>燥土与强火并见会放大热势：温度轴判“极热”，湿度轴判“偏燥”；调候候选为“水”，是否成为最终用神仍转M16—M18。</x:v>
      </x:c>
      <x:c r="L992" s="20" t="str">
        <x:v>较高</x:v>
      </x:c>
      <x:c r="M992" s="20" t="str">
        <x:v>采用</x:v>
      </x:c>
      <x:c r="N992" s="20" t="str">
        <x:v>初审</x:v>
      </x:c>
      <x:c r="O992" s="22" t="n">
        <x:v>46255</x:v>
      </x:c>
      <x:c r="P992" s="20" t="str">
        <x:v>调候以月令气候为起点，但必须结合M08五行有效力量与M12流通状态修正；寒暖与燥湿分轴判断，调候候选不自动等于全局主用神。</x:v>
      </x:c>
    </x:row>
    <x:row r="993">
      <x:c r="A993" s="20" t="str">
        <x:v>M13-TEMP-0028-V1.0</x:v>
      </x:c>
      <x:c r="B993" s="20" t="str">
        <x:v>规则</x:v>
      </x:c>
      <x:c r="C993" s="20" t="str">
        <x:v>M13</x:v>
      </x:c>
      <x:c r="D993" s="20" t="str">
        <x:v>13_寒暖燥湿</x:v>
      </x:c>
      <x:c r="E993" s="20" t="str">
        <x:v>TEMP</x:v>
      </x:c>
      <x:c r="F993" s="20" t="n">
        <x:v>28</x:v>
      </x:c>
      <x:c r="G993" s="20" t="str">
        <x:v>V1.0</x:v>
      </x:c>
      <x:c r="H993" s="20" t="str">
        <x:v>金旺本身不直接等同寒但秋令可增强凉性</x:v>
      </x:c>
      <x:c r="I993" s="20" t="str">
        <x:v>结构层</x:v>
      </x:c>
      <x:c r="J993" s="20" t="str">
        <x:v>秋金凉性条件化</x:v>
      </x:c>
      <x:c r="K993" s="20" t="str">
        <x:v>金旺本身不直接等同寒但秋令可增强凉性：温度轴判“偏寒”，湿度轴判“待定”；调候候选为“火”，是否成为最终用神仍转M16—M18。</x:v>
      </x:c>
      <x:c r="L993" s="20" t="str">
        <x:v>较高</x:v>
      </x:c>
      <x:c r="M993" s="20" t="str">
        <x:v>采用</x:v>
      </x:c>
      <x:c r="N993" s="20" t="str">
        <x:v>初审</x:v>
      </x:c>
      <x:c r="O993" s="22" t="n">
        <x:v>46255</x:v>
      </x:c>
      <x:c r="P993" s="20" t="str">
        <x:v>调候以月令气候为起点，但必须结合M08五行有效力量与M12流通状态修正；寒暖与燥湿分轴判断，调候候选不自动等于全局主用神。</x:v>
      </x:c>
    </x:row>
    <x:row r="994">
      <x:c r="A994" s="20" t="str">
        <x:v>M13-TEMP-0029-V1.0</x:v>
      </x:c>
      <x:c r="B994" s="20" t="str">
        <x:v>规则</x:v>
      </x:c>
      <x:c r="C994" s="20" t="str">
        <x:v>M13</x:v>
      </x:c>
      <x:c r="D994" s="20" t="str">
        <x:v>13_寒暖燥湿</x:v>
      </x:c>
      <x:c r="E994" s="20" t="str">
        <x:v>TEMP</x:v>
      </x:c>
      <x:c r="F994" s="20" t="n">
        <x:v>29</x:v>
      </x:c>
      <x:c r="G994" s="20" t="str">
        <x:v>V1.0</x:v>
      </x:c>
      <x:c r="H994" s="20" t="str">
        <x:v>寒暖平衡必须同时排除极端火水集团</x:v>
      </x:c>
      <x:c r="I994" s="20" t="str">
        <x:v>结构层</x:v>
      </x:c>
      <x:c r="J994" s="20" t="str">
        <x:v>寒暖平衡</x:v>
      </x:c>
      <x:c r="K994" s="20" t="str">
        <x:v>寒暖平衡必须同时排除极端火水集团：温度轴判“平衡”，湿度轴判“待定”；调候候选为“待定”，是否成为最终用神仍转M16—M18。</x:v>
      </x:c>
      <x:c r="L994" s="20" t="str">
        <x:v>较高</x:v>
      </x:c>
      <x:c r="M994" s="20" t="str">
        <x:v>采用</x:v>
      </x:c>
      <x:c r="N994" s="20" t="str">
        <x:v>初审</x:v>
      </x:c>
      <x:c r="O994" s="22" t="n">
        <x:v>46255</x:v>
      </x:c>
      <x:c r="P994" s="20" t="str">
        <x:v>调候以月令气候为起点，但必须结合M08五行有效力量与M12流通状态修正；寒暖与燥湿分轴判断，调候候选不自动等于全局主用神。</x:v>
      </x:c>
    </x:row>
    <x:row r="995">
      <x:c r="A995" s="20" t="str">
        <x:v>M13-TEMP-0030-V1.0</x:v>
      </x:c>
      <x:c r="B995" s="20" t="str">
        <x:v>规则</x:v>
      </x:c>
      <x:c r="C995" s="20" t="str">
        <x:v>M13</x:v>
      </x:c>
      <x:c r="D995" s="20" t="str">
        <x:v>13_寒暖燥湿</x:v>
      </x:c>
      <x:c r="E995" s="20" t="str">
        <x:v>TEMP</x:v>
      </x:c>
      <x:c r="F995" s="20" t="n">
        <x:v>30</x:v>
      </x:c>
      <x:c r="G995" s="20" t="str">
        <x:v>V1.0</x:v>
      </x:c>
      <x:c r="H995" s="20" t="str">
        <x:v>温度极端只有影响功能时才升格为首要病</x:v>
      </x:c>
      <x:c r="I995" s="20" t="str">
        <x:v>结构层</x:v>
      </x:c>
      <x:c r="J995" s="20" t="str">
        <x:v>温度极端功能化</x:v>
      </x:c>
      <x:c r="K995" s="20" t="str">
        <x:v>温度极端只有影响功能时才升格为首要病：温度轴判“待定”，湿度轴判“待定”；调候候选为“火/水”，是否成为最终用神仍转M16—M18。</x:v>
      </x:c>
      <x:c r="L995" s="20" t="str">
        <x:v>较高</x:v>
      </x:c>
      <x:c r="M995" s="20" t="str">
        <x:v>采用</x:v>
      </x:c>
      <x:c r="N995" s="20" t="str">
        <x:v>初审</x:v>
      </x:c>
      <x:c r="O995" s="22" t="n">
        <x:v>46255</x:v>
      </x:c>
      <x:c r="P995" s="20" t="str">
        <x:v>调候以月令气候为起点，但必须结合M08五行有效力量与M12流通状态修正；寒暖与燥湿分轴判断，调候候选不自动等于全局主用神。</x:v>
      </x:c>
    </x:row>
    <x:row r="996">
      <x:c r="A996" s="20" t="str">
        <x:v>M13-HUMID-0031-V1.0</x:v>
      </x:c>
      <x:c r="B996" s="20" t="str">
        <x:v>规则</x:v>
      </x:c>
      <x:c r="C996" s="20" t="str">
        <x:v>M13</x:v>
      </x:c>
      <x:c r="D996" s="20" t="str">
        <x:v>13_寒暖燥湿</x:v>
      </x:c>
      <x:c r="E996" s="20" t="str">
        <x:v>HUMID</x:v>
      </x:c>
      <x:c r="F996" s="20" t="n">
        <x:v>31</x:v>
      </x:c>
      <x:c r="G996" s="20" t="str">
        <x:v>V1.0</x:v>
      </x:c>
      <x:c r="H996" s="20" t="str">
        <x:v>强水与湿土同势会显著提高湿度</x:v>
      </x:c>
      <x:c r="I996" s="20" t="str">
        <x:v>结构层</x:v>
      </x:c>
      <x:c r="J996" s="20" t="str">
        <x:v>水湿同势</x:v>
      </x:c>
      <x:c r="K996" s="20" t="str">
        <x:v>强水与湿土同势会显著提高湿度：温度轴判“待定”，湿度轴判“极湿”；调候候选为“火/木”，是否成为最终用神仍转M16—M18。</x:v>
      </x:c>
      <x:c r="L996" s="20" t="str">
        <x:v>较高</x:v>
      </x:c>
      <x:c r="M996" s="20" t="str">
        <x:v>采用</x:v>
      </x:c>
      <x:c r="N996" s="20" t="str">
        <x:v>初审</x:v>
      </x:c>
      <x:c r="O996" s="22" t="n">
        <x:v>46255</x:v>
      </x:c>
      <x:c r="P996" s="20" t="str">
        <x:v>调候以月令气候为起点，但必须结合M08五行有效力量与M12流通状态修正；寒暖与燥湿分轴判断，调候候选不自动等于全局主用神。</x:v>
      </x:c>
    </x:row>
    <x:row r="997">
      <x:c r="A997" s="20" t="str">
        <x:v>M13-HUMID-0032-V1.0</x:v>
      </x:c>
      <x:c r="B997" s="20" t="str">
        <x:v>规则</x:v>
      </x:c>
      <x:c r="C997" s="20" t="str">
        <x:v>M13</x:v>
      </x:c>
      <x:c r="D997" s="20" t="str">
        <x:v>13_寒暖燥湿</x:v>
      </x:c>
      <x:c r="E997" s="20" t="str">
        <x:v>HUMID</x:v>
      </x:c>
      <x:c r="F997" s="20" t="n">
        <x:v>32</x:v>
      </x:c>
      <x:c r="G997" s="20" t="str">
        <x:v>V1.0</x:v>
      </x:c>
      <x:c r="H997" s="20" t="str">
        <x:v>水旺但土不湿未必达到极湿</x:v>
      </x:c>
      <x:c r="I997" s="20" t="str">
        <x:v>结构层</x:v>
      </x:c>
      <x:c r="J997" s="20" t="str">
        <x:v>水旺非极湿</x:v>
      </x:c>
      <x:c r="K997" s="20" t="str">
        <x:v>水旺但土不湿未必达到极湿：温度轴判“待定”，湿度轴判“偏湿”；调候候选为“待定”，是否成为最终用神仍转M16—M18。</x:v>
      </x:c>
      <x:c r="L997" s="20" t="str">
        <x:v>较高</x:v>
      </x:c>
      <x:c r="M997" s="20" t="str">
        <x:v>采用</x:v>
      </x:c>
      <x:c r="N997" s="20" t="str">
        <x:v>初审</x:v>
      </x:c>
      <x:c r="O997" s="22" t="n">
        <x:v>46255</x:v>
      </x:c>
      <x:c r="P997" s="20" t="str">
        <x:v>调候以月令气候为起点，但必须结合M08五行有效力量与M12流通状态修正；寒暖与燥湿分轴判断，调候候选不自动等于全局主用神。</x:v>
      </x:c>
    </x:row>
    <x:row r="998">
      <x:c r="A998" s="20" t="str">
        <x:v>M13-HUMID-0033-V1.0</x:v>
      </x:c>
      <x:c r="B998" s="20" t="str">
        <x:v>规则</x:v>
      </x:c>
      <x:c r="C998" s="20" t="str">
        <x:v>M13</x:v>
      </x:c>
      <x:c r="D998" s="20" t="str">
        <x:v>13_寒暖燥湿</x:v>
      </x:c>
      <x:c r="E998" s="20" t="str">
        <x:v>HUMID</x:v>
      </x:c>
      <x:c r="F998" s="20" t="n">
        <x:v>33</x:v>
      </x:c>
      <x:c r="G998" s="20" t="str">
        <x:v>V1.0</x:v>
      </x:c>
      <x:c r="H998" s="20" t="str">
        <x:v>辰丑湿土成势属于增湿的重要证据</x:v>
      </x:c>
      <x:c r="I998" s="20" t="str">
        <x:v>结构层</x:v>
      </x:c>
      <x:c r="J998" s="20" t="str">
        <x:v>辰丑湿土</x:v>
      </x:c>
      <x:c r="K998" s="20" t="str">
        <x:v>辰丑湿土成势属于增湿的重要证据：温度轴判“待定”，湿度轴判“偏湿”；调候候选为“火/木”，是否成为最终用神仍转M16—M18。</x:v>
      </x:c>
      <x:c r="L998" s="20" t="str">
        <x:v>较高</x:v>
      </x:c>
      <x:c r="M998" s="20" t="str">
        <x:v>采用</x:v>
      </x:c>
      <x:c r="N998" s="20" t="str">
        <x:v>初审</x:v>
      </x:c>
      <x:c r="O998" s="22" t="n">
        <x:v>46255</x:v>
      </x:c>
      <x:c r="P998" s="20" t="str">
        <x:v>调候以月令气候为起点，但必须结合M08五行有效力量与M12流通状态修正；寒暖与燥湿分轴判断，调候候选不自动等于全局主用神。</x:v>
      </x:c>
    </x:row>
    <x:row r="999">
      <x:c r="A999" s="20" t="str">
        <x:v>M13-HUMID-0034-V1.0</x:v>
      </x:c>
      <x:c r="B999" s="20" t="str">
        <x:v>规则</x:v>
      </x:c>
      <x:c r="C999" s="20" t="str">
        <x:v>M13</x:v>
      </x:c>
      <x:c r="D999" s="20" t="str">
        <x:v>13_寒暖燥湿</x:v>
      </x:c>
      <x:c r="E999" s="20" t="str">
        <x:v>HUMID</x:v>
      </x:c>
      <x:c r="F999" s="20" t="n">
        <x:v>34</x:v>
      </x:c>
      <x:c r="G999" s="20" t="str">
        <x:v>V1.0</x:v>
      </x:c>
      <x:c r="H999" s="20" t="str">
        <x:v>未戌燥土成势属于增燥的重要证据</x:v>
      </x:c>
      <x:c r="I999" s="20" t="str">
        <x:v>结构层</x:v>
      </x:c>
      <x:c r="J999" s="20" t="str">
        <x:v>未戌燥土</x:v>
      </x:c>
      <x:c r="K999" s="20" t="str">
        <x:v>未戌燥土成势属于增燥的重要证据：温度轴判“待定”，湿度轴判“偏燥”；调候候选为“水”，是否成为最终用神仍转M16—M18。</x:v>
      </x:c>
      <x:c r="L999" s="20" t="str">
        <x:v>较高</x:v>
      </x:c>
      <x:c r="M999" s="20" t="str">
        <x:v>采用</x:v>
      </x:c>
      <x:c r="N999" s="20" t="str">
        <x:v>初审</x:v>
      </x:c>
      <x:c r="O999" s="22" t="n">
        <x:v>46255</x:v>
      </x:c>
      <x:c r="P999" s="20" t="str">
        <x:v>调候以月令气候为起点，但必须结合M08五行有效力量与M12流通状态修正；寒暖与燥湿分轴判断，调候候选不自动等于全局主用神。</x:v>
      </x:c>
    </x:row>
    <x:row r="1000">
      <x:c r="A1000" s="20" t="str">
        <x:v>M13-HUMID-0035-V1.0</x:v>
      </x:c>
      <x:c r="B1000" s="20" t="str">
        <x:v>规则</x:v>
      </x:c>
      <x:c r="C1000" s="20" t="str">
        <x:v>M13</x:v>
      </x:c>
      <x:c r="D1000" s="20" t="str">
        <x:v>13_寒暖燥湿</x:v>
      </x:c>
      <x:c r="E1000" s="20" t="str">
        <x:v>HUMID</x:v>
      </x:c>
      <x:c r="F1000" s="20" t="n">
        <x:v>35</x:v>
      </x:c>
      <x:c r="G1000" s="20" t="str">
        <x:v>V1.0</x:v>
      </x:c>
      <x:c r="H1000" s="20" t="str">
        <x:v>强火会蒸耗水分并提高燥度</x:v>
      </x:c>
      <x:c r="I1000" s="20" t="str">
        <x:v>结构层</x:v>
      </x:c>
      <x:c r="J1000" s="20" t="str">
        <x:v>强火增燥</x:v>
      </x:c>
      <x:c r="K1000" s="20" t="str">
        <x:v>强火会蒸耗水分并提高燥度：温度轴判“待定”，湿度轴判“偏燥”；调候候选为“水”，是否成为最终用神仍转M16—M18。</x:v>
      </x:c>
      <x:c r="L1000" s="20" t="str">
        <x:v>较高</x:v>
      </x:c>
      <x:c r="M1000" s="20" t="str">
        <x:v>采用</x:v>
      </x:c>
      <x:c r="N1000" s="20" t="str">
        <x:v>初审</x:v>
      </x:c>
      <x:c r="O1000" s="22" t="n">
        <x:v>46255</x:v>
      </x:c>
      <x:c r="P1000" s="20" t="str">
        <x:v>调候以月令气候为起点，但必须结合M08五行有效力量与M12流通状态修正；寒暖与燥湿分轴判断，调候候选不自动等于全局主用神。</x:v>
      </x:c>
    </x:row>
    <x:row r="1001">
      <x:c r="A1001" s="20" t="str">
        <x:v>M13-HUMID-0036-V1.0</x:v>
      </x:c>
      <x:c r="B1001" s="20" t="str">
        <x:v>规则</x:v>
      </x:c>
      <x:c r="C1001" s="20" t="str">
        <x:v>M13</x:v>
      </x:c>
      <x:c r="D1001" s="20" t="str">
        <x:v>13_寒暖燥湿</x:v>
      </x:c>
      <x:c r="E1001" s="20" t="str">
        <x:v>HUMID</x:v>
      </x:c>
      <x:c r="F1001" s="20" t="n">
        <x:v>36</x:v>
      </x:c>
      <x:c r="G1001" s="20" t="str">
        <x:v>V1.0</x:v>
      </x:c>
      <x:c r="H1001" s="20" t="str">
        <x:v>有效水可缓解燥局但过量会转为湿病</x:v>
      </x:c>
      <x:c r="I1001" s="20" t="str">
        <x:v>结构层</x:v>
      </x:c>
      <x:c r="J1001" s="20" t="str">
        <x:v>水润燥适量</x:v>
      </x:c>
      <x:c r="K1001" s="20" t="str">
        <x:v>有效水可缓解燥局但过量会转为湿病：温度轴判“待定”，湿度轴判“平衡”；调候候选为“水”，是否成为最终用神仍转M16—M18。</x:v>
      </x:c>
      <x:c r="L1001" s="20" t="str">
        <x:v>较高</x:v>
      </x:c>
      <x:c r="M1001" s="20" t="str">
        <x:v>采用</x:v>
      </x:c>
      <x:c r="N1001" s="20" t="str">
        <x:v>初审</x:v>
      </x:c>
      <x:c r="O1001" s="22" t="n">
        <x:v>46255</x:v>
      </x:c>
      <x:c r="P1001" s="20" t="str">
        <x:v>调候以月令气候为起点，但必须结合M08五行有效力量与M12流通状态修正；寒暖与燥湿分轴判断，调候候选不自动等于全局主用神。</x:v>
      </x:c>
    </x:row>
    <x:row r="1002">
      <x:c r="A1002" s="20" t="str">
        <x:v>M13-HUMID-0037-V1.0</x:v>
      </x:c>
      <x:c r="B1002" s="20" t="str">
        <x:v>规则</x:v>
      </x:c>
      <x:c r="C1002" s="20" t="str">
        <x:v>M13</x:v>
      </x:c>
      <x:c r="D1002" s="20" t="str">
        <x:v>13_寒暖燥湿</x:v>
      </x:c>
      <x:c r="E1002" s="20" t="str">
        <x:v>HUMID</x:v>
      </x:c>
      <x:c r="F1002" s="20" t="n">
        <x:v>37</x:v>
      </x:c>
      <x:c r="G1002" s="20" t="str">
        <x:v>V1.0</x:v>
      </x:c>
      <x:c r="H1002" s="20" t="str">
        <x:v>有效火可化湿但过量会由湿转燥</x:v>
      </x:c>
      <x:c r="I1002" s="20" t="str">
        <x:v>结构层</x:v>
      </x:c>
      <x:c r="J1002" s="20" t="str">
        <x:v>火化湿适量</x:v>
      </x:c>
      <x:c r="K1002" s="20" t="str">
        <x:v>有效火可化湿但过量会由湿转燥：温度轴判“待定”，湿度轴判“平衡”；调候候选为“火”，是否成为最终用神仍转M16—M18。</x:v>
      </x:c>
      <x:c r="L1002" s="20" t="str">
        <x:v>较高</x:v>
      </x:c>
      <x:c r="M1002" s="20" t="str">
        <x:v>采用</x:v>
      </x:c>
      <x:c r="N1002" s="20" t="str">
        <x:v>初审</x:v>
      </x:c>
      <x:c r="O1002" s="22" t="n">
        <x:v>46255</x:v>
      </x:c>
      <x:c r="P1002" s="20" t="str">
        <x:v>调候以月令气候为起点，但必须结合M08五行有效力量与M12流通状态修正；寒暖与燥湿分轴判断，调候候选不自动等于全局主用神。</x:v>
      </x:c>
    </x:row>
    <x:row r="1003">
      <x:c r="A1003" s="20" t="str">
        <x:v>M13-HUMID-0038-V1.0</x:v>
      </x:c>
      <x:c r="B1003" s="20" t="str">
        <x:v>规则</x:v>
      </x:c>
      <x:c r="C1003" s="20" t="str">
        <x:v>M13</x:v>
      </x:c>
      <x:c r="D1003" s="20" t="str">
        <x:v>13_寒暖燥湿</x:v>
      </x:c>
      <x:c r="E1003" s="20" t="str">
        <x:v>HUMID</x:v>
      </x:c>
      <x:c r="F1003" s="20" t="n">
        <x:v>38</x:v>
      </x:c>
      <x:c r="G1003" s="20" t="str">
        <x:v>V1.0</x:v>
      </x:c>
      <x:c r="H1003" s="20" t="str">
        <x:v>木可疏湿土但必须自身有生发条件</x:v>
      </x:c>
      <x:c r="I1003" s="20" t="str">
        <x:v>结构层</x:v>
      </x:c>
      <x:c r="J1003" s="20" t="str">
        <x:v>木疏湿土</x:v>
      </x:c>
      <x:c r="K1003" s="20" t="str">
        <x:v>木可疏湿土但必须自身有生发条件：温度轴判“待定”，湿度轴判“待定”；调候候选为“木”，是否成为最终用神仍转M16—M18。</x:v>
      </x:c>
      <x:c r="L1003" s="20" t="str">
        <x:v>较高</x:v>
      </x:c>
      <x:c r="M1003" s="20" t="str">
        <x:v>采用</x:v>
      </x:c>
      <x:c r="N1003" s="20" t="str">
        <x:v>初审</x:v>
      </x:c>
      <x:c r="O1003" s="22" t="n">
        <x:v>46255</x:v>
      </x:c>
      <x:c r="P1003" s="20" t="str">
        <x:v>调候以月令气候为起点，但必须结合M08五行有效力量与M12流通状态修正；寒暖与燥湿分轴判断，调候候选不自动等于全局主用神。</x:v>
      </x:c>
    </x:row>
    <x:row r="1004">
      <x:c r="A1004" s="20" t="str">
        <x:v>M13-HUMID-0039-V1.0</x:v>
      </x:c>
      <x:c r="B1004" s="20" t="str">
        <x:v>规则</x:v>
      </x:c>
      <x:c r="C1004" s="20" t="str">
        <x:v>M13</x:v>
      </x:c>
      <x:c r="D1004" s="20" t="str">
        <x:v>13_寒暖燥湿</x:v>
      </x:c>
      <x:c r="E1004" s="20" t="str">
        <x:v>HUMID</x:v>
      </x:c>
      <x:c r="F1004" s="20" t="n">
        <x:v>39</x:v>
      </x:c>
      <x:c r="G1004" s="20" t="str">
        <x:v>V1.0</x:v>
      </x:c>
      <x:c r="H1004" s="20" t="str">
        <x:v>燥湿平衡必须排除局部湿库或燥土集团</x:v>
      </x:c>
      <x:c r="I1004" s="20" t="str">
        <x:v>结构层</x:v>
      </x:c>
      <x:c r="J1004" s="20" t="str">
        <x:v>燥湿平衡</x:v>
      </x:c>
      <x:c r="K1004" s="20" t="str">
        <x:v>燥湿平衡必须排除局部湿库或燥土集团：温度轴判“待定”，湿度轴判“平衡”；调候候选为“待定”，是否成为最终用神仍转M16—M18。</x:v>
      </x:c>
      <x:c r="L1004" s="20" t="str">
        <x:v>较高</x:v>
      </x:c>
      <x:c r="M1004" s="20" t="str">
        <x:v>采用</x:v>
      </x:c>
      <x:c r="N1004" s="20" t="str">
        <x:v>初审</x:v>
      </x:c>
      <x:c r="O1004" s="22" t="n">
        <x:v>46255</x:v>
      </x:c>
      <x:c r="P1004" s="20" t="str">
        <x:v>调候以月令气候为起点，但必须结合M08五行有效力量与M12流通状态修正；寒暖与燥湿分轴判断，调候候选不自动等于全局主用神。</x:v>
      </x:c>
    </x:row>
    <x:row r="1005">
      <x:c r="A1005" s="20" t="str">
        <x:v>M13-HUMID-0040-V1.0</x:v>
      </x:c>
      <x:c r="B1005" s="20" t="str">
        <x:v>规则</x:v>
      </x:c>
      <x:c r="C1005" s="20" t="str">
        <x:v>M13</x:v>
      </x:c>
      <x:c r="D1005" s="20" t="str">
        <x:v>13_寒暖燥湿</x:v>
      </x:c>
      <x:c r="E1005" s="20" t="str">
        <x:v>HUMID</x:v>
      </x:c>
      <x:c r="F1005" s="20" t="n">
        <x:v>40</x:v>
      </x:c>
      <x:c r="G1005" s="20" t="str">
        <x:v>V1.0</x:v>
      </x:c>
      <x:c r="H1005" s="20" t="str">
        <x:v>极湿极燥只有影响流通时才提高紧急度</x:v>
      </x:c>
      <x:c r="I1005" s="20" t="str">
        <x:v>结构层</x:v>
      </x:c>
      <x:c r="J1005" s="20" t="str">
        <x:v>湿度极端功能化</x:v>
      </x:c>
      <x:c r="K1005" s="20" t="str">
        <x:v>极湿极燥只有影响流通时才提高紧急度：温度轴判“待定”，湿度轴判“待定”；调候候选为“火/水/木”，是否成为最终用神仍转M16—M18。</x:v>
      </x:c>
      <x:c r="L1005" s="20" t="str">
        <x:v>较高</x:v>
      </x:c>
      <x:c r="M1005" s="20" t="str">
        <x:v>采用</x:v>
      </x:c>
      <x:c r="N1005" s="20" t="str">
        <x:v>初审</x:v>
      </x:c>
      <x:c r="O1005" s="22" t="n">
        <x:v>46255</x:v>
      </x:c>
      <x:c r="P1005" s="20" t="str">
        <x:v>调候以月令气候为起点，但必须结合M08五行有效力量与M12流通状态修正；寒暖与燥湿分轴判断，调候候选不自动等于全局主用神。</x:v>
      </x:c>
    </x:row>
    <x:row r="1006">
      <x:c r="A1006" s="20" t="str">
        <x:v>M13-COMBO-0041-V1.0</x:v>
      </x:c>
      <x:c r="B1006" s="20" t="str">
        <x:v>规则</x:v>
      </x:c>
      <x:c r="C1006" s="20" t="str">
        <x:v>M13</x:v>
      </x:c>
      <x:c r="D1006" s="20" t="str">
        <x:v>13_寒暖燥湿</x:v>
      </x:c>
      <x:c r="E1006" s="20" t="str">
        <x:v>COMBO</x:v>
      </x:c>
      <x:c r="F1006" s="20" t="n">
        <x:v>41</x:v>
      </x:c>
      <x:c r="G1006" s="20" t="str">
        <x:v>V1.0</x:v>
      </x:c>
      <x:c r="H1006" s="20" t="str">
        <x:v>寒湿状态识别</x:v>
      </x:c>
      <x:c r="I1006" s="20" t="str">
        <x:v>结构层</x:v>
      </x:c>
      <x:c r="J1006" s="20" t="str">
        <x:v>寒湿_双轴状态</x:v>
      </x:c>
      <x:c r="K1006" s="20" t="str">
        <x:v>寒湿状态识别：温度轴判“偏寒”，湿度轴判“偏湿”；调候候选为“火/木”，是否成为最终用神仍转M16—M18。</x:v>
      </x:c>
      <x:c r="L1006" s="20" t="str">
        <x:v>较高</x:v>
      </x:c>
      <x:c r="M1006" s="20" t="str">
        <x:v>采用</x:v>
      </x:c>
      <x:c r="N1006" s="20" t="str">
        <x:v>初审</x:v>
      </x:c>
      <x:c r="O1006" s="22" t="n">
        <x:v>46255</x:v>
      </x:c>
      <x:c r="P1006" s="20" t="str">
        <x:v>调候以月令气候为起点，但必须结合M08五行有效力量与M12流通状态修正；寒暖与燥湿分轴判断，调候候选不自动等于全局主用神。</x:v>
      </x:c>
    </x:row>
    <x:row r="1007">
      <x:c r="A1007" s="20" t="str">
        <x:v>M13-COMBO-0042-V1.0</x:v>
      </x:c>
      <x:c r="B1007" s="20" t="str">
        <x:v>规则</x:v>
      </x:c>
      <x:c r="C1007" s="20" t="str">
        <x:v>M13</x:v>
      </x:c>
      <x:c r="D1007" s="20" t="str">
        <x:v>13_寒暖燥湿</x:v>
      </x:c>
      <x:c r="E1007" s="20" t="str">
        <x:v>COMBO</x:v>
      </x:c>
      <x:c r="F1007" s="20" t="n">
        <x:v>42</x:v>
      </x:c>
      <x:c r="G1007" s="20" t="str">
        <x:v>V1.0</x:v>
      </x:c>
      <x:c r="H1007" s="20" t="str">
        <x:v>寒燥状态识别</x:v>
      </x:c>
      <x:c r="I1007" s="20" t="str">
        <x:v>结构层</x:v>
      </x:c>
      <x:c r="J1007" s="20" t="str">
        <x:v>寒燥_双轴状态</x:v>
      </x:c>
      <x:c r="K1007" s="20" t="str">
        <x:v>寒燥状态识别：温度轴判“偏寒”，湿度轴判“偏燥”；调候候选为“火/水”，是否成为最终用神仍转M16—M18。</x:v>
      </x:c>
      <x:c r="L1007" s="20" t="str">
        <x:v>较高</x:v>
      </x:c>
      <x:c r="M1007" s="20" t="str">
        <x:v>采用</x:v>
      </x:c>
      <x:c r="N1007" s="20" t="str">
        <x:v>初审</x:v>
      </x:c>
      <x:c r="O1007" s="22" t="n">
        <x:v>46255</x:v>
      </x:c>
      <x:c r="P1007" s="20" t="str">
        <x:v>调候以月令气候为起点，但必须结合M08五行有效力量与M12流通状态修正；寒暖与燥湿分轴判断，调候候选不自动等于全局主用神。</x:v>
      </x:c>
    </x:row>
    <x:row r="1008">
      <x:c r="A1008" s="20" t="str">
        <x:v>M13-COMBO-0043-V1.0</x:v>
      </x:c>
      <x:c r="B1008" s="20" t="str">
        <x:v>规则</x:v>
      </x:c>
      <x:c r="C1008" s="20" t="str">
        <x:v>M13</x:v>
      </x:c>
      <x:c r="D1008" s="20" t="str">
        <x:v>13_寒暖燥湿</x:v>
      </x:c>
      <x:c r="E1008" s="20" t="str">
        <x:v>COMBO</x:v>
      </x:c>
      <x:c r="F1008" s="20" t="n">
        <x:v>43</x:v>
      </x:c>
      <x:c r="G1008" s="20" t="str">
        <x:v>V1.0</x:v>
      </x:c>
      <x:c r="H1008" s="20" t="str">
        <x:v>暖湿状态识别</x:v>
      </x:c>
      <x:c r="I1008" s="20" t="str">
        <x:v>结构层</x:v>
      </x:c>
      <x:c r="J1008" s="20" t="str">
        <x:v>暖湿_双轴状态</x:v>
      </x:c>
      <x:c r="K1008" s="20" t="str">
        <x:v>暖湿状态识别：温度轴判“偏暖”，湿度轴判“偏湿”；调候候选为“木/土性调节/适度火”，是否成为最终用神仍转M16—M18。</x:v>
      </x:c>
      <x:c r="L1008" s="20" t="str">
        <x:v>较高</x:v>
      </x:c>
      <x:c r="M1008" s="20" t="str">
        <x:v>采用</x:v>
      </x:c>
      <x:c r="N1008" s="20" t="str">
        <x:v>初审</x:v>
      </x:c>
      <x:c r="O1008" s="22" t="n">
        <x:v>46255</x:v>
      </x:c>
      <x:c r="P1008" s="20" t="str">
        <x:v>调候以月令气候为起点，但必须结合M08五行有效力量与M12流通状态修正；寒暖与燥湿分轴判断，调候候选不自动等于全局主用神。</x:v>
      </x:c>
    </x:row>
    <x:row r="1009">
      <x:c r="A1009" s="20" t="str">
        <x:v>M13-COMBO-0044-V1.0</x:v>
      </x:c>
      <x:c r="B1009" s="20" t="str">
        <x:v>规则</x:v>
      </x:c>
      <x:c r="C1009" s="20" t="str">
        <x:v>M13</x:v>
      </x:c>
      <x:c r="D1009" s="20" t="str">
        <x:v>13_寒暖燥湿</x:v>
      </x:c>
      <x:c r="E1009" s="20" t="str">
        <x:v>COMBO</x:v>
      </x:c>
      <x:c r="F1009" s="20" t="n">
        <x:v>44</x:v>
      </x:c>
      <x:c r="G1009" s="20" t="str">
        <x:v>V1.0</x:v>
      </x:c>
      <x:c r="H1009" s="20" t="str">
        <x:v>暖燥状态识别</x:v>
      </x:c>
      <x:c r="I1009" s="20" t="str">
        <x:v>结构层</x:v>
      </x:c>
      <x:c r="J1009" s="20" t="str">
        <x:v>暖燥_双轴状态</x:v>
      </x:c>
      <x:c r="K1009" s="20" t="str">
        <x:v>暖燥状态识别：温度轴判“偏暖”，湿度轴判“偏燥”；调候候选为“水”，是否成为最终用神仍转M16—M18。</x:v>
      </x:c>
      <x:c r="L1009" s="20" t="str">
        <x:v>较高</x:v>
      </x:c>
      <x:c r="M1009" s="20" t="str">
        <x:v>采用</x:v>
      </x:c>
      <x:c r="N1009" s="20" t="str">
        <x:v>初审</x:v>
      </x:c>
      <x:c r="O1009" s="22" t="n">
        <x:v>46255</x:v>
      </x:c>
      <x:c r="P1009" s="20" t="str">
        <x:v>调候以月令气候为起点，但必须结合M08五行有效力量与M12流通状态修正；寒暖与燥湿分轴判断，调候候选不自动等于全局主用神。</x:v>
      </x:c>
    </x:row>
    <x:row r="1010">
      <x:c r="A1010" s="20" t="str">
        <x:v>M13-COMBO-0045-V1.0</x:v>
      </x:c>
      <x:c r="B1010" s="20" t="str">
        <x:v>规则</x:v>
      </x:c>
      <x:c r="C1010" s="20" t="str">
        <x:v>M13</x:v>
      </x:c>
      <x:c r="D1010" s="20" t="str">
        <x:v>13_寒暖燥湿</x:v>
      </x:c>
      <x:c r="E1010" s="20" t="str">
        <x:v>COMBO</x:v>
      </x:c>
      <x:c r="F1010" s="20" t="n">
        <x:v>45</x:v>
      </x:c>
      <x:c r="G1010" s="20" t="str">
        <x:v>V1.0</x:v>
      </x:c>
      <x:c r="H1010" s="20" t="str">
        <x:v>极寒湿状态识别</x:v>
      </x:c>
      <x:c r="I1010" s="20" t="str">
        <x:v>结构层</x:v>
      </x:c>
      <x:c r="J1010" s="20" t="str">
        <x:v>极寒湿_双轴状态</x:v>
      </x:c>
      <x:c r="K1010" s="20" t="str">
        <x:v>极寒湿状态识别：温度轴判“极寒”，湿度轴判“极湿”；调候候选为“火”，是否成为最终用神仍转M16—M18。</x:v>
      </x:c>
      <x:c r="L1010" s="20" t="str">
        <x:v>较高</x:v>
      </x:c>
      <x:c r="M1010" s="20" t="str">
        <x:v>采用</x:v>
      </x:c>
      <x:c r="N1010" s="20" t="str">
        <x:v>初审</x:v>
      </x:c>
      <x:c r="O1010" s="22" t="n">
        <x:v>46255</x:v>
      </x:c>
      <x:c r="P1010" s="20" t="str">
        <x:v>调候以月令气候为起点，但必须结合M08五行有效力量与M12流通状态修正；寒暖与燥湿分轴判断，调候候选不自动等于全局主用神。</x:v>
      </x:c>
    </x:row>
    <x:row r="1011">
      <x:c r="A1011" s="20" t="str">
        <x:v>M13-COMBO-0046-V1.0</x:v>
      </x:c>
      <x:c r="B1011" s="20" t="str">
        <x:v>规则</x:v>
      </x:c>
      <x:c r="C1011" s="20" t="str">
        <x:v>M13</x:v>
      </x:c>
      <x:c r="D1011" s="20" t="str">
        <x:v>13_寒暖燥湿</x:v>
      </x:c>
      <x:c r="E1011" s="20" t="str">
        <x:v>COMBO</x:v>
      </x:c>
      <x:c r="F1011" s="20" t="n">
        <x:v>46</x:v>
      </x:c>
      <x:c r="G1011" s="20" t="str">
        <x:v>V1.0</x:v>
      </x:c>
      <x:c r="H1011" s="20" t="str">
        <x:v>极热燥状态识别</x:v>
      </x:c>
      <x:c r="I1011" s="20" t="str">
        <x:v>结构层</x:v>
      </x:c>
      <x:c r="J1011" s="20" t="str">
        <x:v>极热燥_双轴状态</x:v>
      </x:c>
      <x:c r="K1011" s="20" t="str">
        <x:v>极热燥状态识别：温度轴判“极热”，湿度轴判“极燥”；调候候选为“水”，是否成为最终用神仍转M16—M18。</x:v>
      </x:c>
      <x:c r="L1011" s="20" t="str">
        <x:v>较高</x:v>
      </x:c>
      <x:c r="M1011" s="20" t="str">
        <x:v>采用</x:v>
      </x:c>
      <x:c r="N1011" s="20" t="str">
        <x:v>初审</x:v>
      </x:c>
      <x:c r="O1011" s="22" t="n">
        <x:v>46255</x:v>
      </x:c>
      <x:c r="P1011" s="20" t="str">
        <x:v>调候以月令气候为起点，但必须结合M08五行有效力量与M12流通状态修正；寒暖与燥湿分轴判断，调候候选不自动等于全局主用神。</x:v>
      </x:c>
    </x:row>
    <x:row r="1012">
      <x:c r="A1012" s="20" t="str">
        <x:v>M13-COMBO-0047-V1.0</x:v>
      </x:c>
      <x:c r="B1012" s="20" t="str">
        <x:v>规则</x:v>
      </x:c>
      <x:c r="C1012" s="20" t="str">
        <x:v>M13</x:v>
      </x:c>
      <x:c r="D1012" s="20" t="str">
        <x:v>13_寒暖燥湿</x:v>
      </x:c>
      <x:c r="E1012" s="20" t="str">
        <x:v>COMBO</x:v>
      </x:c>
      <x:c r="F1012" s="20" t="n">
        <x:v>47</x:v>
      </x:c>
      <x:c r="G1012" s="20" t="str">
        <x:v>V1.0</x:v>
      </x:c>
      <x:c r="H1012" s="20" t="str">
        <x:v>寒暖平衡偏湿状态识别</x:v>
      </x:c>
      <x:c r="I1012" s="20" t="str">
        <x:v>结构层</x:v>
      </x:c>
      <x:c r="J1012" s="20" t="str">
        <x:v>寒暖平衡偏湿_双轴状态</x:v>
      </x:c>
      <x:c r="K1012" s="20" t="str">
        <x:v>寒暖平衡偏湿状态识别：温度轴判“平衡”，湿度轴判“偏湿”；调候候选为“木/火”，是否成为最终用神仍转M16—M18。</x:v>
      </x:c>
      <x:c r="L1012" s="20" t="str">
        <x:v>较高</x:v>
      </x:c>
      <x:c r="M1012" s="20" t="str">
        <x:v>采用</x:v>
      </x:c>
      <x:c r="N1012" s="20" t="str">
        <x:v>初审</x:v>
      </x:c>
      <x:c r="O1012" s="22" t="n">
        <x:v>46255</x:v>
      </x:c>
      <x:c r="P1012" s="20" t="str">
        <x:v>调候以月令气候为起点，但必须结合M08五行有效力量与M12流通状态修正；寒暖与燥湿分轴判断，调候候选不自动等于全局主用神。</x:v>
      </x:c>
    </x:row>
    <x:row r="1013">
      <x:c r="A1013" s="20" t="str">
        <x:v>M13-COMBO-0048-V1.0</x:v>
      </x:c>
      <x:c r="B1013" s="20" t="str">
        <x:v>规则</x:v>
      </x:c>
      <x:c r="C1013" s="20" t="str">
        <x:v>M13</x:v>
      </x:c>
      <x:c r="D1013" s="20" t="str">
        <x:v>13_寒暖燥湿</x:v>
      </x:c>
      <x:c r="E1013" s="20" t="str">
        <x:v>COMBO</x:v>
      </x:c>
      <x:c r="F1013" s="20" t="n">
        <x:v>48</x:v>
      </x:c>
      <x:c r="G1013" s="20" t="str">
        <x:v>V1.0</x:v>
      </x:c>
      <x:c r="H1013" s="20" t="str">
        <x:v>寒暖平衡偏燥状态识别</x:v>
      </x:c>
      <x:c r="I1013" s="20" t="str">
        <x:v>结构层</x:v>
      </x:c>
      <x:c r="J1013" s="20" t="str">
        <x:v>寒暖平衡偏燥_双轴状态</x:v>
      </x:c>
      <x:c r="K1013" s="20" t="str">
        <x:v>寒暖平衡偏燥状态识别：温度轴判“平衡”，湿度轴判“偏燥”；调候候选为“水”，是否成为最终用神仍转M16—M18。</x:v>
      </x:c>
      <x:c r="L1013" s="20" t="str">
        <x:v>较高</x:v>
      </x:c>
      <x:c r="M1013" s="20" t="str">
        <x:v>采用</x:v>
      </x:c>
      <x:c r="N1013" s="20" t="str">
        <x:v>初审</x:v>
      </x:c>
      <x:c r="O1013" s="22" t="n">
        <x:v>46255</x:v>
      </x:c>
      <x:c r="P1013" s="20" t="str">
        <x:v>调候以月令气候为起点，但必须结合M08五行有效力量与M12流通状态修正；寒暖与燥湿分轴判断，调候候选不自动等于全局主用神。</x:v>
      </x:c>
    </x:row>
    <x:row r="1014">
      <x:c r="A1014" s="20" t="str">
        <x:v>M13-EFFECT-0049-V1.0</x:v>
      </x:c>
      <x:c r="B1014" s="20" t="str">
        <x:v>规则</x:v>
      </x:c>
      <x:c r="C1014" s="20" t="str">
        <x:v>M13</x:v>
      </x:c>
      <x:c r="D1014" s="20" t="str">
        <x:v>13_寒暖燥湿</x:v>
      </x:c>
      <x:c r="E1014" s="20" t="str">
        <x:v>EFFECT</x:v>
      </x:c>
      <x:c r="F1014" s="20" t="n">
        <x:v>49</x:v>
      </x:c>
      <x:c r="G1014" s="20" t="str">
        <x:v>V1.0</x:v>
      </x:c>
      <x:c r="H1014" s="20" t="str">
        <x:v>调候五行完全不现只表示原局无现成调候资源</x:v>
      </x:c>
      <x:c r="I1014" s="20" t="str">
        <x:v>结构层</x:v>
      </x:c>
      <x:c r="J1014" s="20" t="str">
        <x:v>调候五行不现</x:v>
      </x:c>
      <x:c r="K1014" s="20" t="str">
        <x:v>调候五行完全不现只表示原局无现成调候资源：温度轴判“待定”，湿度轴判“待定”；调候候选为“对应调候五行”，是否成为最终用神仍转M16—M18。</x:v>
      </x:c>
      <x:c r="L1014" s="20" t="str">
        <x:v>较高</x:v>
      </x:c>
      <x:c r="M1014" s="20" t="str">
        <x:v>采用</x:v>
      </x:c>
      <x:c r="N1014" s="20" t="str">
        <x:v>初审</x:v>
      </x:c>
      <x:c r="O1014" s="22" t="n">
        <x:v>46255</x:v>
      </x:c>
      <x:c r="P1014" s="20" t="str">
        <x:v>调候以月令气候为起点，但必须结合M08五行有效力量与M12流通状态修正；寒暖与燥湿分轴判断，调候候选不自动等于全局主用神。</x:v>
      </x:c>
    </x:row>
    <x:row r="1015">
      <x:c r="A1015" s="20" t="str">
        <x:v>M13-EFFECT-0050-V1.0</x:v>
      </x:c>
      <x:c r="B1015" s="20" t="str">
        <x:v>规则</x:v>
      </x:c>
      <x:c r="C1015" s="20" t="str">
        <x:v>M13</x:v>
      </x:c>
      <x:c r="D1015" s="20" t="str">
        <x:v>13_寒暖燥湿</x:v>
      </x:c>
      <x:c r="E1015" s="20" t="str">
        <x:v>EFFECT</x:v>
      </x:c>
      <x:c r="F1015" s="20" t="n">
        <x:v>50</x:v>
      </x:c>
      <x:c r="G1015" s="20" t="str">
        <x:v>V1.0</x:v>
      </x:c>
      <x:c r="H1015" s="20" t="str">
        <x:v>调候五行存在但无根时有效性偏低</x:v>
      </x:c>
      <x:c r="I1015" s="20" t="str">
        <x:v>结构层</x:v>
      </x:c>
      <x:c r="J1015" s="20" t="str">
        <x:v>调候五行无根</x:v>
      </x:c>
      <x:c r="K1015" s="20" t="str">
        <x:v>调候五行存在但无根时有效性偏低：温度轴判“待定”，湿度轴判“待定”；调候候选为“对应调候五行”，是否成为最终用神仍转M16—M18。</x:v>
      </x:c>
      <x:c r="L1015" s="20" t="str">
        <x:v>较高</x:v>
      </x:c>
      <x:c r="M1015" s="20" t="str">
        <x:v>采用</x:v>
      </x:c>
      <x:c r="N1015" s="20" t="str">
        <x:v>初审</x:v>
      </x:c>
      <x:c r="O1015" s="22" t="n">
        <x:v>46255</x:v>
      </x:c>
      <x:c r="P1015" s="20" t="str">
        <x:v>调候以月令气候为起点，但必须结合M08五行有效力量与M12流通状态修正；寒暖与燥湿分轴判断，调候候选不自动等于全局主用神。</x:v>
      </x:c>
    </x:row>
    <x:row r="1016">
      <x:c r="A1016" s="20" t="str">
        <x:v>M13-EFFECT-0051-V1.0</x:v>
      </x:c>
      <x:c r="B1016" s="20" t="str">
        <x:v>规则</x:v>
      </x:c>
      <x:c r="C1016" s="20" t="str">
        <x:v>M13</x:v>
      </x:c>
      <x:c r="D1016" s="20" t="str">
        <x:v>13_寒暖燥湿</x:v>
      </x:c>
      <x:c r="E1016" s="20" t="str">
        <x:v>EFFECT</x:v>
      </x:c>
      <x:c r="F1016" s="20" t="n">
        <x:v>51</x:v>
      </x:c>
      <x:c r="G1016" s="20" t="str">
        <x:v>V1.0</x:v>
      </x:c>
      <x:c r="H1016" s="20" t="str">
        <x:v>调候五行有根有源且透达时有效性高</x:v>
      </x:c>
      <x:c r="I1016" s="20" t="str">
        <x:v>结构层</x:v>
      </x:c>
      <x:c r="J1016" s="20" t="str">
        <x:v>调候五行有效</x:v>
      </x:c>
      <x:c r="K1016" s="20" t="str">
        <x:v>调候五行有根有源且透达时有效性高：温度轴判“待定”，湿度轴判“待定”；调候候选为“对应调候五行”，是否成为最终用神仍转M16—M18。</x:v>
      </x:c>
      <x:c r="L1016" s="20" t="str">
        <x:v>较高</x:v>
      </x:c>
      <x:c r="M1016" s="20" t="str">
        <x:v>采用</x:v>
      </x:c>
      <x:c r="N1016" s="20" t="str">
        <x:v>初审</x:v>
      </x:c>
      <x:c r="O1016" s="22" t="n">
        <x:v>46255</x:v>
      </x:c>
      <x:c r="P1016" s="20" t="str">
        <x:v>调候以月令气候为起点，但必须结合M08五行有效力量与M12流通状态修正；寒暖与燥湿分轴判断，调候候选不自动等于全局主用神。</x:v>
      </x:c>
    </x:row>
    <x:row r="1017">
      <x:c r="A1017" s="20" t="str">
        <x:v>M13-EFFECT-0052-V1.0</x:v>
      </x:c>
      <x:c r="B1017" s="20" t="str">
        <x:v>规则</x:v>
      </x:c>
      <x:c r="C1017" s="20" t="str">
        <x:v>M13</x:v>
      </x:c>
      <x:c r="D1017" s="20" t="str">
        <x:v>13_寒暖燥湿</x:v>
      </x:c>
      <x:c r="E1017" s="20" t="str">
        <x:v>EFFECT</x:v>
      </x:c>
      <x:c r="F1017" s="20" t="n">
        <x:v>52</x:v>
      </x:c>
      <x:c r="G1017" s="20" t="str">
        <x:v>V1.0</x:v>
      </x:c>
      <x:c r="H1017" s="20" t="str">
        <x:v>调候五行被强克时需降低有效性</x:v>
      </x:c>
      <x:c r="I1017" s="20" t="str">
        <x:v>结构层</x:v>
      </x:c>
      <x:c r="J1017" s="20" t="str">
        <x:v>调候五行受克</x:v>
      </x:c>
      <x:c r="K1017" s="20" t="str">
        <x:v>调候五行被强克时需降低有效性：温度轴判“待定”，湿度轴判“待定”；调候候选为“对应调候五行”，是否成为最终用神仍转M16—M18。</x:v>
      </x:c>
      <x:c r="L1017" s="20" t="str">
        <x:v>较高</x:v>
      </x:c>
      <x:c r="M1017" s="20" t="str">
        <x:v>采用</x:v>
      </x:c>
      <x:c r="N1017" s="20" t="str">
        <x:v>初审</x:v>
      </x:c>
      <x:c r="O1017" s="22" t="n">
        <x:v>46255</x:v>
      </x:c>
      <x:c r="P1017" s="20" t="str">
        <x:v>调候以月令气候为起点，但必须结合M08五行有效力量与M12流通状态修正；寒暖与燥湿分轴判断，调候候选不自动等于全局主用神。</x:v>
      </x:c>
    </x:row>
    <x:row r="1018">
      <x:c r="A1018" s="20" t="str">
        <x:v>M13-EFFECT-0053-V1.0</x:v>
      </x:c>
      <x:c r="B1018" s="20" t="str">
        <x:v>规则</x:v>
      </x:c>
      <x:c r="C1018" s="20" t="str">
        <x:v>M13</x:v>
      </x:c>
      <x:c r="D1018" s="20" t="str">
        <x:v>13_寒暖燥湿</x:v>
      </x:c>
      <x:c r="E1018" s="20" t="str">
        <x:v>EFFECT</x:v>
      </x:c>
      <x:c r="F1018" s="20" t="n">
        <x:v>53</x:v>
      </x:c>
      <x:c r="G1018" s="20" t="str">
        <x:v>V1.0</x:v>
      </x:c>
      <x:c r="H1018" s="20" t="str">
        <x:v>调候五行被合绊时功能受限但不等于消失</x:v>
      </x:c>
      <x:c r="I1018" s="20" t="str">
        <x:v>结构层</x:v>
      </x:c>
      <x:c r="J1018" s="20" t="str">
        <x:v>调候五行合绊</x:v>
      </x:c>
      <x:c r="K1018" s="20" t="str">
        <x:v>调候五行被合绊时功能受限但不等于消失：温度轴判“待定”，湿度轴判“待定”；调候候选为“对应调候五行”，是否成为最终用神仍转M16—M18。</x:v>
      </x:c>
      <x:c r="L1018" s="20" t="str">
        <x:v>较高</x:v>
      </x:c>
      <x:c r="M1018" s="20" t="str">
        <x:v>采用</x:v>
      </x:c>
      <x:c r="N1018" s="20" t="str">
        <x:v>初审</x:v>
      </x:c>
      <x:c r="O1018" s="22" t="n">
        <x:v>46255</x:v>
      </x:c>
      <x:c r="P1018" s="20" t="str">
        <x:v>调候以月令气候为起点，但必须结合M08五行有效力量与M12流通状态修正；寒暖与燥湿分轴判断，调候候选不自动等于全局主用神。</x:v>
      </x:c>
    </x:row>
    <x:row r="1019">
      <x:c r="A1019" s="20" t="str">
        <x:v>M13-EFFECT-0054-V1.0</x:v>
      </x:c>
      <x:c r="B1019" s="20" t="str">
        <x:v>规则</x:v>
      </x:c>
      <x:c r="C1019" s="20" t="str">
        <x:v>M13</x:v>
      </x:c>
      <x:c r="D1019" s="20" t="str">
        <x:v>13_寒暖燥湿</x:v>
      </x:c>
      <x:c r="E1019" s="20" t="str">
        <x:v>EFFECT</x:v>
      </x:c>
      <x:c r="F1019" s="20" t="n">
        <x:v>54</x:v>
      </x:c>
      <x:c r="G1019" s="20" t="str">
        <x:v>V1.0</x:v>
      </x:c>
      <x:c r="H1019" s="20" t="str">
        <x:v>调候五行实质合化后必须按新五行重判</x:v>
      </x:c>
      <x:c r="I1019" s="20" t="str">
        <x:v>结构层</x:v>
      </x:c>
      <x:c r="J1019" s="20" t="str">
        <x:v>调候五行改性</x:v>
      </x:c>
      <x:c r="K1019" s="20" t="str">
        <x:v>调候五行实质合化后必须按新五行重判：温度轴判“待定”，湿度轴判“待定”；调候候选为“按化神重算”，是否成为最终用神仍转M16—M18。</x:v>
      </x:c>
      <x:c r="L1019" s="20" t="str">
        <x:v>较高</x:v>
      </x:c>
      <x:c r="M1019" s="20" t="str">
        <x:v>采用</x:v>
      </x:c>
      <x:c r="N1019" s="20" t="str">
        <x:v>初审</x:v>
      </x:c>
      <x:c r="O1019" s="22" t="n">
        <x:v>46255</x:v>
      </x:c>
      <x:c r="P1019" s="20" t="str">
        <x:v>调候以月令气候为起点，但必须结合M08五行有效力量与M12流通状态修正；寒暖与燥湿分轴判断，调候候选不自动等于全局主用神。</x:v>
      </x:c>
    </x:row>
    <x:row r="1020">
      <x:c r="A1020" s="20" t="str">
        <x:v>M13-EFFECT-0055-V1.0</x:v>
      </x:c>
      <x:c r="B1020" s="20" t="str">
        <x:v>规则</x:v>
      </x:c>
      <x:c r="C1020" s="20" t="str">
        <x:v>M13</x:v>
      </x:c>
      <x:c r="D1020" s="20" t="str">
        <x:v>13_寒暖燥湿</x:v>
      </x:c>
      <x:c r="E1020" s="20" t="str">
        <x:v>EFFECT</x:v>
      </x:c>
      <x:c r="F1020" s="20" t="n">
        <x:v>55</x:v>
      </x:c>
      <x:c r="G1020" s="20" t="str">
        <x:v>V1.0</x:v>
      </x:c>
      <x:c r="H1020" s="20" t="str">
        <x:v>调候五行过强可制造反向气候新病</x:v>
      </x:c>
      <x:c r="I1020" s="20" t="str">
        <x:v>结构层</x:v>
      </x:c>
      <x:c r="J1020" s="20" t="str">
        <x:v>调候过度</x:v>
      </x:c>
      <x:c r="K1020" s="20" t="str">
        <x:v>调候五行过强可制造反向气候新病：温度轴判“待定”，湿度轴判“待定”；调候候选为“原调候五行”，是否成为最终用神仍转M16—M18。</x:v>
      </x:c>
      <x:c r="L1020" s="20" t="str">
        <x:v>较高</x:v>
      </x:c>
      <x:c r="M1020" s="20" t="str">
        <x:v>采用</x:v>
      </x:c>
      <x:c r="N1020" s="20" t="str">
        <x:v>初审</x:v>
      </x:c>
      <x:c r="O1020" s="22" t="n">
        <x:v>46255</x:v>
      </x:c>
      <x:c r="P1020" s="20" t="str">
        <x:v>调候以月令气候为起点，但必须结合M08五行有效力量与M12流通状态修正；寒暖与燥湿分轴判断，调候候选不自动等于全局主用神。</x:v>
      </x:c>
    </x:row>
    <x:row r="1021">
      <x:c r="A1021" s="20" t="str">
        <x:v>M13-EFFECT-0056-V1.0</x:v>
      </x:c>
      <x:c r="B1021" s="20" t="str">
        <x:v>规则</x:v>
      </x:c>
      <x:c r="C1021" s="20" t="str">
        <x:v>M13</x:v>
      </x:c>
      <x:c r="D1021" s="20" t="str">
        <x:v>13_寒暖燥湿</x:v>
      </x:c>
      <x:c r="E1021" s="20" t="str">
        <x:v>EFFECT</x:v>
      </x:c>
      <x:c r="F1021" s="20" t="n">
        <x:v>56</x:v>
      </x:c>
      <x:c r="G1021" s="20" t="str">
        <x:v>V1.0</x:v>
      </x:c>
      <x:c r="H1021" s="20" t="str">
        <x:v>调候元素必须作用于关键卡点才算功能有效</x:v>
      </x:c>
      <x:c r="I1021" s="20" t="str">
        <x:v>结构层</x:v>
      </x:c>
      <x:c r="J1021" s="20" t="str">
        <x:v>调候作用路径要求</x:v>
      </x:c>
      <x:c r="K1021" s="20" t="str">
        <x:v>调候元素必须作用于关键卡点才算功能有效：温度轴判“待定”，湿度轴判“待定”；调候候选为“候选五行”，是否成为最终用神仍转M16—M18。</x:v>
      </x:c>
      <x:c r="L1021" s="20" t="str">
        <x:v>较高</x:v>
      </x:c>
      <x:c r="M1021" s="20" t="str">
        <x:v>采用</x:v>
      </x:c>
      <x:c r="N1021" s="20" t="str">
        <x:v>初审</x:v>
      </x:c>
      <x:c r="O1021" s="22" t="n">
        <x:v>46255</x:v>
      </x:c>
      <x:c r="P1021" s="20" t="str">
        <x:v>调候以月令气候为起点，但必须结合M08五行有效力量与M12流通状态修正；寒暖与燥湿分轴判断，调候候选不自动等于全局主用神。</x:v>
      </x:c>
    </x:row>
    <x:row r="1022">
      <x:c r="A1022" s="20" t="str">
        <x:v>M13-CONFLICT-0057-V1.0</x:v>
      </x:c>
      <x:c r="B1022" s="20" t="str">
        <x:v>规则</x:v>
      </x:c>
      <x:c r="C1022" s="20" t="str">
        <x:v>M13</x:v>
      </x:c>
      <x:c r="D1022" s="20" t="str">
        <x:v>13_寒暖燥湿</x:v>
      </x:c>
      <x:c r="E1022" s="20" t="str">
        <x:v>CONFLICT</x:v>
      </x:c>
      <x:c r="F1022" s="20" t="n">
        <x:v>57</x:v>
      </x:c>
      <x:c r="G1022" s="20" t="str">
        <x:v>V1.0</x:v>
      </x:c>
      <x:c r="H1022" s="20" t="str">
        <x:v>调候候选与扶抑方向一致时优先级提高</x:v>
      </x:c>
      <x:c r="I1022" s="20" t="str">
        <x:v>结构层</x:v>
      </x:c>
      <x:c r="J1022" s="20" t="str">
        <x:v>调候扶抑一致</x:v>
      </x:c>
      <x:c r="K1022" s="20" t="str">
        <x:v>调候候选与扶抑方向一致时优先级提高：温度轴判“待定”，湿度轴判“待定”；调候候选为“同一五行”，是否成为最终用神仍转M16—M18。</x:v>
      </x:c>
      <x:c r="L1022" s="20" t="str">
        <x:v>较高</x:v>
      </x:c>
      <x:c r="M1022" s="20" t="str">
        <x:v>采用</x:v>
      </x:c>
      <x:c r="N1022" s="20" t="str">
        <x:v>初审</x:v>
      </x:c>
      <x:c r="O1022" s="22" t="n">
        <x:v>46255</x:v>
      </x:c>
      <x:c r="P1022" s="20" t="str">
        <x:v>调候以月令气候为起点，但必须结合M08五行有效力量与M12流通状态修正；寒暖与燥湿分轴判断，调候候选不自动等于全局主用神。</x:v>
      </x:c>
    </x:row>
    <x:row r="1023">
      <x:c r="A1023" s="20" t="str">
        <x:v>M13-CONFLICT-0058-V1.0</x:v>
      </x:c>
      <x:c r="B1023" s="20" t="str">
        <x:v>规则</x:v>
      </x:c>
      <x:c r="C1023" s="20" t="str">
        <x:v>M13</x:v>
      </x:c>
      <x:c r="D1023" s="20" t="str">
        <x:v>13_寒暖燥湿</x:v>
      </x:c>
      <x:c r="E1023" s="20" t="str">
        <x:v>CONFLICT</x:v>
      </x:c>
      <x:c r="F1023" s="20" t="n">
        <x:v>58</x:v>
      </x:c>
      <x:c r="G1023" s="20" t="str">
        <x:v>V1.0</x:v>
      </x:c>
      <x:c r="H1023" s="20" t="str">
        <x:v>调候候选与扶抑方向冲突时必须条件化</x:v>
      </x:c>
      <x:c r="I1023" s="20" t="str">
        <x:v>结构层</x:v>
      </x:c>
      <x:c r="J1023" s="20" t="str">
        <x:v>调候扶抑冲突</x:v>
      </x:c>
      <x:c r="K1023" s="20" t="str">
        <x:v>调候候选与扶抑方向冲突时必须条件化：温度轴判“待定”，湿度轴判“待定”；调候候选为“调候五行”，是否成为最终用神仍转M16—M18。</x:v>
      </x:c>
      <x:c r="L1023" s="20" t="str">
        <x:v>较高</x:v>
      </x:c>
      <x:c r="M1023" s="20" t="str">
        <x:v>采用</x:v>
      </x:c>
      <x:c r="N1023" s="20" t="str">
        <x:v>初审</x:v>
      </x:c>
      <x:c r="O1023" s="22" t="n">
        <x:v>46255</x:v>
      </x:c>
      <x:c r="P1023" s="20" t="str">
        <x:v>调候以月令气候为起点，但必须结合M08五行有效力量与M12流通状态修正；寒暖与燥湿分轴判断，调候候选不自动等于全局主用神。</x:v>
      </x:c>
    </x:row>
    <x:row r="1024">
      <x:c r="A1024" s="20" t="str">
        <x:v>M13-CONFLICT-0059-V1.0</x:v>
      </x:c>
      <x:c r="B1024" s="20" t="str">
        <x:v>规则</x:v>
      </x:c>
      <x:c r="C1024" s="20" t="str">
        <x:v>M13</x:v>
      </x:c>
      <x:c r="D1024" s="20" t="str">
        <x:v>13_寒暖燥湿</x:v>
      </x:c>
      <x:c r="E1024" s="20" t="str">
        <x:v>CONFLICT</x:v>
      </x:c>
      <x:c r="F1024" s="20" t="n">
        <x:v>59</x:v>
      </x:c>
      <x:c r="G1024" s="20" t="str">
        <x:v>V1.0</x:v>
      </x:c>
      <x:c r="H1024" s="20" t="str">
        <x:v>调候候选维护格局时可提高优先级</x:v>
      </x:c>
      <x:c r="I1024" s="20" t="str">
        <x:v>结构层</x:v>
      </x:c>
      <x:c r="J1024" s="20" t="str">
        <x:v>调候格局一致</x:v>
      </x:c>
      <x:c r="K1024" s="20" t="str">
        <x:v>调候候选维护格局时可提高优先级：温度轴判“待定”，湿度轴判“待定”；调候候选为“调候五行”，是否成为最终用神仍转M16—M18。</x:v>
      </x:c>
      <x:c r="L1024" s="20" t="str">
        <x:v>较高</x:v>
      </x:c>
      <x:c r="M1024" s="20" t="str">
        <x:v>采用</x:v>
      </x:c>
      <x:c r="N1024" s="20" t="str">
        <x:v>初审</x:v>
      </x:c>
      <x:c r="O1024" s="22" t="n">
        <x:v>46255</x:v>
      </x:c>
      <x:c r="P1024" s="20" t="str">
        <x:v>调候以月令气候为起点，但必须结合M08五行有效力量与M12流通状态修正；寒暖与燥湿分轴判断，调候候选不自动等于全局主用神。</x:v>
      </x:c>
    </x:row>
    <x:row r="1025">
      <x:c r="A1025" s="20" t="str">
        <x:v>M13-CONFLICT-0060-V1.0</x:v>
      </x:c>
      <x:c r="B1025" s="20" t="str">
        <x:v>规则</x:v>
      </x:c>
      <x:c r="C1025" s="20" t="str">
        <x:v>M13</x:v>
      </x:c>
      <x:c r="D1025" s="20" t="str">
        <x:v>13_寒暖燥湿</x:v>
      </x:c>
      <x:c r="E1025" s="20" t="str">
        <x:v>CONFLICT</x:v>
      </x:c>
      <x:c r="F1025" s="20" t="n">
        <x:v>60</x:v>
      </x:c>
      <x:c r="G1025" s="20" t="str">
        <x:v>V1.0</x:v>
      </x:c>
      <x:c r="H1025" s="20" t="str">
        <x:v>调候候选破坏核心格局时不得直接作为主用</x:v>
      </x:c>
      <x:c r="I1025" s="20" t="str">
        <x:v>结构层</x:v>
      </x:c>
      <x:c r="J1025" s="20" t="str">
        <x:v>调候破格冲突</x:v>
      </x:c>
      <x:c r="K1025" s="20" t="str">
        <x:v>调候候选破坏核心格局时不得直接作为主用：温度轴判“待定”，湿度轴判“待定”；调候候选为“调候五行”，是否成为最终用神仍转M16—M18。</x:v>
      </x:c>
      <x:c r="L1025" s="20" t="str">
        <x:v>较高</x:v>
      </x:c>
      <x:c r="M1025" s="20" t="str">
        <x:v>采用</x:v>
      </x:c>
      <x:c r="N1025" s="20" t="str">
        <x:v>初审</x:v>
      </x:c>
      <x:c r="O1025" s="22" t="n">
        <x:v>46255</x:v>
      </x:c>
      <x:c r="P1025" s="20" t="str">
        <x:v>调候以月令气候为起点，但必须结合M08五行有效力量与M12流通状态修正；寒暖与燥湿分轴判断，调候候选不自动等于全局主用神。</x:v>
      </x:c>
    </x:row>
    <x:row r="1026">
      <x:c r="A1026" s="20" t="str">
        <x:v>M13-CONFLICT-0061-V1.0</x:v>
      </x:c>
      <x:c r="B1026" s="20" t="str">
        <x:v>规则</x:v>
      </x:c>
      <x:c r="C1026" s="20" t="str">
        <x:v>M13</x:v>
      </x:c>
      <x:c r="D1026" s="20" t="str">
        <x:v>13_寒暖燥湿</x:v>
      </x:c>
      <x:c r="E1026" s="20" t="str">
        <x:v>CONFLICT</x:v>
      </x:c>
      <x:c r="F1026" s="20" t="n">
        <x:v>61</x:v>
      </x:c>
      <x:c r="G1026" s="20" t="str">
        <x:v>V1.0</x:v>
      </x:c>
      <x:c r="H1026" s="20" t="str">
        <x:v>特殊格局严格成立时调候接受格局硬约束</x:v>
      </x:c>
      <x:c r="I1026" s="20" t="str">
        <x:v>结构层</x:v>
      </x:c>
      <x:c r="J1026" s="20" t="str">
        <x:v>特殊格局调候约束</x:v>
      </x:c>
      <x:c r="K1026" s="20" t="str">
        <x:v>特殊格局严格成立时调候接受格局硬约束：温度轴判“待定”，湿度轴判“待定”；调候候选为“待定”，是否成为最终用神仍转M16—M18。</x:v>
      </x:c>
      <x:c r="L1026" s="20" t="str">
        <x:v>较高</x:v>
      </x:c>
      <x:c r="M1026" s="20" t="str">
        <x:v>采用</x:v>
      </x:c>
      <x:c r="N1026" s="20" t="str">
        <x:v>初审</x:v>
      </x:c>
      <x:c r="O1026" s="22" t="n">
        <x:v>46255</x:v>
      </x:c>
      <x:c r="P1026" s="20" t="str">
        <x:v>调候以月令气候为起点，但必须结合M08五行有效力量与M12流通状态修正；寒暖与燥湿分轴判断，调候候选不自动等于全局主用神。</x:v>
      </x:c>
    </x:row>
    <x:row r="1027">
      <x:c r="A1027" s="20" t="str">
        <x:v>M13-CONFLICT-0062-V1.0</x:v>
      </x:c>
      <x:c r="B1027" s="20" t="str">
        <x:v>规则</x:v>
      </x:c>
      <x:c r="C1027" s="20" t="str">
        <x:v>M13</x:v>
      </x:c>
      <x:c r="D1027" s="20" t="str">
        <x:v>13_寒暖燥湿</x:v>
      </x:c>
      <x:c r="E1027" s="20" t="str">
        <x:v>CONFLICT</x:v>
      </x:c>
      <x:c r="F1027" s="20" t="n">
        <x:v>62</x:v>
      </x:c>
      <x:c r="G1027" s="20" t="str">
        <x:v>V1.0</x:v>
      </x:c>
      <x:c r="H1027" s="20" t="str">
        <x:v>通关与调候同一五行时形成高价值复合候选</x:v>
      </x:c>
      <x:c r="I1027" s="20" t="str">
        <x:v>结构层</x:v>
      </x:c>
      <x:c r="J1027" s="20" t="str">
        <x:v>通关调候一致</x:v>
      </x:c>
      <x:c r="K1027" s="20" t="str">
        <x:v>通关与调候同一五行时形成高价值复合候选：温度轴判“待定”，湿度轴判“待定”；调候候选为“同一五行”，是否成为最终用神仍转M16—M18。</x:v>
      </x:c>
      <x:c r="L1027" s="20" t="str">
        <x:v>较高</x:v>
      </x:c>
      <x:c r="M1027" s="20" t="str">
        <x:v>采用</x:v>
      </x:c>
      <x:c r="N1027" s="20" t="str">
        <x:v>初审</x:v>
      </x:c>
      <x:c r="O1027" s="22" t="n">
        <x:v>46255</x:v>
      </x:c>
      <x:c r="P1027" s="20" t="str">
        <x:v>调候以月令气候为起点，但必须结合M08五行有效力量与M12流通状态修正；寒暖与燥湿分轴判断，调候候选不自动等于全局主用神。</x:v>
      </x:c>
    </x:row>
    <x:row r="1028">
      <x:c r="A1028" s="20" t="str">
        <x:v>M13-CONFLICT-0063-V1.0</x:v>
      </x:c>
      <x:c r="B1028" s="20" t="str">
        <x:v>规则</x:v>
      </x:c>
      <x:c r="C1028" s="20" t="str">
        <x:v>M13</x:v>
      </x:c>
      <x:c r="D1028" s="20" t="str">
        <x:v>13_寒暖燥湿</x:v>
      </x:c>
      <x:c r="E1028" s="20" t="str">
        <x:v>CONFLICT</x:v>
      </x:c>
      <x:c r="F1028" s="20" t="n">
        <x:v>63</x:v>
      </x:c>
      <x:c r="G1028" s="20" t="str">
        <x:v>V1.0</x:v>
      </x:c>
      <x:c r="H1028" s="20" t="str">
        <x:v>通关有效但会恶化气候时必须降级</x:v>
      </x:c>
      <x:c r="I1028" s="20" t="str">
        <x:v>结构层</x:v>
      </x:c>
      <x:c r="J1028" s="20" t="str">
        <x:v>通关调候冲突</x:v>
      </x:c>
      <x:c r="K1028" s="20" t="str">
        <x:v>通关有效但会恶化气候时必须降级：温度轴判“待定”，湿度轴判“待定”；调候候选为“通关五行”，是否成为最终用神仍转M16—M18。</x:v>
      </x:c>
      <x:c r="L1028" s="20" t="str">
        <x:v>较高</x:v>
      </x:c>
      <x:c r="M1028" s="20" t="str">
        <x:v>采用</x:v>
      </x:c>
      <x:c r="N1028" s="20" t="str">
        <x:v>初审</x:v>
      </x:c>
      <x:c r="O1028" s="22" t="n">
        <x:v>46255</x:v>
      </x:c>
      <x:c r="P1028" s="20" t="str">
        <x:v>调候以月令气候为起点，但必须结合M08五行有效力量与M12流通状态修正；寒暖与燥湿分轴判断，调候候选不自动等于全局主用神。</x:v>
      </x:c>
    </x:row>
    <x:row r="1029">
      <x:c r="A1029" s="20" t="str">
        <x:v>M13-CONFLICT-0064-V1.0</x:v>
      </x:c>
      <x:c r="B1029" s="20" t="str">
        <x:v>规则</x:v>
      </x:c>
      <x:c r="C1029" s="20" t="str">
        <x:v>M13</x:v>
      </x:c>
      <x:c r="D1029" s="20" t="str">
        <x:v>13_寒暖燥湿</x:v>
      </x:c>
      <x:c r="E1029" s="20" t="str">
        <x:v>CONFLICT</x:v>
      </x:c>
      <x:c r="F1029" s="20" t="n">
        <x:v>64</x:v>
      </x:c>
      <x:c r="G1029" s="20" t="str">
        <x:v>V1.0</x:v>
      </x:c>
      <x:c r="H1029" s="20" t="str">
        <x:v>调候优先级只在气候成为根本病时上升到首要</x:v>
      </x:c>
      <x:c r="I1029" s="20" t="str">
        <x:v>结构层</x:v>
      </x:c>
      <x:c r="J1029" s="20" t="str">
        <x:v>调候根本病升级</x:v>
      </x:c>
      <x:c r="K1029" s="20" t="str">
        <x:v>调候优先级只在气候成为根本病时上升到首要：温度轴判“待定”，湿度轴判“待定”；调候候选为“对应调候五行”，是否成为最终用神仍转M16—M18。</x:v>
      </x:c>
      <x:c r="L1029" s="20" t="str">
        <x:v>较高</x:v>
      </x:c>
      <x:c r="M1029" s="20" t="str">
        <x:v>采用</x:v>
      </x:c>
      <x:c r="N1029" s="20" t="str">
        <x:v>初审</x:v>
      </x:c>
      <x:c r="O1029" s="22" t="n">
        <x:v>46255</x:v>
      </x:c>
      <x:c r="P1029" s="20" t="str">
        <x:v>调候以月令气候为起点，但必须结合M08五行有效力量与M12流通状态修正；寒暖与燥湿分轴判断，调候候选不自动等于全局主用神。</x:v>
      </x:c>
    </x:row>
    <x:row r="1030">
      <x:c r="A1030" s="20" t="str">
        <x:v>M13-BOUND-0065-V1.0</x:v>
      </x:c>
      <x:c r="B1030" s="20" t="str">
        <x:v>规则</x:v>
      </x:c>
      <x:c r="C1030" s="20" t="str">
        <x:v>M13</x:v>
      </x:c>
      <x:c r="D1030" s="20" t="str">
        <x:v>13_寒暖燥湿</x:v>
      </x:c>
      <x:c r="E1030" s="20" t="str">
        <x:v>BOUND</x:v>
      </x:c>
      <x:c r="F1030" s="20" t="n">
        <x:v>65</x:v>
      </x:c>
      <x:c r="G1030" s="20" t="str">
        <x:v>V1.0</x:v>
      </x:c>
      <x:c r="H1030" s="20" t="str">
        <x:v>冬月不自动判极寒</x:v>
      </x:c>
      <x:c r="I1030" s="20" t="str">
        <x:v>结构层</x:v>
      </x:c>
      <x:c r="J1030" s="20" t="str">
        <x:v>冬月非自动极寒</x:v>
      </x:c>
      <x:c r="K1030" s="20" t="str">
        <x:v>冬月不自动判极寒：温度轴判“待定”，湿度轴判“待定”；调候候选为“待定”，是否成为最终用神仍转M16—M18。</x:v>
      </x:c>
      <x:c r="L1030" s="20" t="str">
        <x:v>较高</x:v>
      </x:c>
      <x:c r="M1030" s="20" t="str">
        <x:v>采用</x:v>
      </x:c>
      <x:c r="N1030" s="20" t="str">
        <x:v>初审</x:v>
      </x:c>
      <x:c r="O1030" s="22" t="n">
        <x:v>46255</x:v>
      </x:c>
      <x:c r="P1030" s="20" t="str">
        <x:v>调候以月令气候为起点，但必须结合M08五行有效力量与M12流通状态修正；寒暖与燥湿分轴判断，调候候选不自动等于全局主用神。</x:v>
      </x:c>
    </x:row>
    <x:row r="1031">
      <x:c r="A1031" s="20" t="str">
        <x:v>M13-BOUND-0066-V1.0</x:v>
      </x:c>
      <x:c r="B1031" s="20" t="str">
        <x:v>规则</x:v>
      </x:c>
      <x:c r="C1031" s="20" t="str">
        <x:v>M13</x:v>
      </x:c>
      <x:c r="D1031" s="20" t="str">
        <x:v>13_寒暖燥湿</x:v>
      </x:c>
      <x:c r="E1031" s="20" t="str">
        <x:v>BOUND</x:v>
      </x:c>
      <x:c r="F1031" s="20" t="n">
        <x:v>66</x:v>
      </x:c>
      <x:c r="G1031" s="20" t="str">
        <x:v>V1.0</x:v>
      </x:c>
      <x:c r="H1031" s="20" t="str">
        <x:v>夏月不自动判极热</x:v>
      </x:c>
      <x:c r="I1031" s="20" t="str">
        <x:v>结构层</x:v>
      </x:c>
      <x:c r="J1031" s="20" t="str">
        <x:v>夏月非自动极热</x:v>
      </x:c>
      <x:c r="K1031" s="20" t="str">
        <x:v>夏月不自动判极热：温度轴判“待定”，湿度轴判“待定”；调候候选为“待定”，是否成为最终用神仍转M16—M18。</x:v>
      </x:c>
      <x:c r="L1031" s="20" t="str">
        <x:v>较高</x:v>
      </x:c>
      <x:c r="M1031" s="20" t="str">
        <x:v>采用</x:v>
      </x:c>
      <x:c r="N1031" s="20" t="str">
        <x:v>初审</x:v>
      </x:c>
      <x:c r="O1031" s="22" t="n">
        <x:v>46255</x:v>
      </x:c>
      <x:c r="P1031" s="20" t="str">
        <x:v>调候以月令气候为起点，但必须结合M08五行有效力量与M12流通状态修正；寒暖与燥湿分轴判断，调候候选不自动等于全局主用神。</x:v>
      </x:c>
    </x:row>
    <x:row r="1032">
      <x:c r="A1032" s="20" t="str">
        <x:v>M13-BOUND-0067-V1.0</x:v>
      </x:c>
      <x:c r="B1032" s="20" t="str">
        <x:v>规则</x:v>
      </x:c>
      <x:c r="C1032" s="20" t="str">
        <x:v>M13</x:v>
      </x:c>
      <x:c r="D1032" s="20" t="str">
        <x:v>13_寒暖燥湿</x:v>
      </x:c>
      <x:c r="E1032" s="20" t="str">
        <x:v>BOUND</x:v>
      </x:c>
      <x:c r="F1032" s="20" t="n">
        <x:v>67</x:v>
      </x:c>
      <x:c r="G1032" s="20" t="str">
        <x:v>V1.0</x:v>
      </x:c>
      <x:c r="H1032" s="20" t="str">
        <x:v>调候需要某五行不等于越多越好</x:v>
      </x:c>
      <x:c r="I1032" s="20" t="str">
        <x:v>结构层</x:v>
      </x:c>
      <x:c r="J1032" s="20" t="str">
        <x:v>调候剂量边界</x:v>
      </x:c>
      <x:c r="K1032" s="20" t="str">
        <x:v>调候需要某五行不等于越多越好：温度轴判“待定”，湿度轴判“待定”；调候候选为“调候五行”，是否成为最终用神仍转M16—M18。</x:v>
      </x:c>
      <x:c r="L1032" s="20" t="str">
        <x:v>较高</x:v>
      </x:c>
      <x:c r="M1032" s="20" t="str">
        <x:v>采用</x:v>
      </x:c>
      <x:c r="N1032" s="20" t="str">
        <x:v>初审</x:v>
      </x:c>
      <x:c r="O1032" s="22" t="n">
        <x:v>46255</x:v>
      </x:c>
      <x:c r="P1032" s="20" t="str">
        <x:v>调候以月令气候为起点，但必须结合M08五行有效力量与M12流通状态修正；寒暖与燥湿分轴判断，调候候选不自动等于全局主用神。</x:v>
      </x:c>
    </x:row>
    <x:row r="1033">
      <x:c r="A1033" s="20" t="str">
        <x:v>M13-BOUND-0068-V1.0</x:v>
      </x:c>
      <x:c r="B1033" s="20" t="str">
        <x:v>规则</x:v>
      </x:c>
      <x:c r="C1033" s="20" t="str">
        <x:v>M13</x:v>
      </x:c>
      <x:c r="D1033" s="20" t="str">
        <x:v>13_寒暖燥湿</x:v>
      </x:c>
      <x:c r="E1033" s="20" t="str">
        <x:v>BOUND</x:v>
      </x:c>
      <x:c r="F1033" s="20" t="n">
        <x:v>68</x:v>
      </x:c>
      <x:c r="G1033" s="20" t="str">
        <x:v>V1.0</x:v>
      </x:c>
      <x:c r="H1033" s="20" t="str">
        <x:v>湿土与燥土标签不得脱离全局使用</x:v>
      </x:c>
      <x:c r="I1033" s="20" t="str">
        <x:v>结构层</x:v>
      </x:c>
      <x:c r="J1033" s="20" t="str">
        <x:v>土性条件化</x:v>
      </x:c>
      <x:c r="K1033" s="20" t="str">
        <x:v>湿土与燥土标签不得脱离全局使用：温度轴判“待定”，湿度轴判“待定”；调候候选为“待定”，是否成为最终用神仍转M16—M18。</x:v>
      </x:c>
      <x:c r="L1033" s="20" t="str">
        <x:v>中等</x:v>
      </x:c>
      <x:c r="M1033" s="20" t="str">
        <x:v>采用</x:v>
      </x:c>
      <x:c r="N1033" s="20" t="str">
        <x:v>初审</x:v>
      </x:c>
      <x:c r="O1033" s="22" t="n">
        <x:v>46255</x:v>
      </x:c>
      <x:c r="P1033" s="20" t="str">
        <x:v>调候以月令气候为起点，但必须结合M08五行有效力量与M12流通状态修正；寒暖与燥湿分轴判断，调候候选不自动等于全局主用神。</x:v>
      </x:c>
    </x:row>
    <x:row r="1034">
      <x:c r="A1034" s="20" t="str">
        <x:v>M13-BOUND-0069-V1.0</x:v>
      </x:c>
      <x:c r="B1034" s="20" t="str">
        <x:v>规则</x:v>
      </x:c>
      <x:c r="C1034" s="20" t="str">
        <x:v>M13</x:v>
      </x:c>
      <x:c r="D1034" s="20" t="str">
        <x:v>13_寒暖燥湿</x:v>
      </x:c>
      <x:c r="E1034" s="20" t="str">
        <x:v>BOUND</x:v>
      </x:c>
      <x:c r="F1034" s="20" t="n">
        <x:v>69</x:v>
      </x:c>
      <x:c r="G1034" s="20" t="str">
        <x:v>V1.0</x:v>
      </x:c>
      <x:c r="H1034" s="20" t="str">
        <x:v>寒暖燥湿不能直接推出身体疾病或现实事件</x:v>
      </x:c>
      <x:c r="I1034" s="20" t="str">
        <x:v>结构层</x:v>
      </x:c>
      <x:c r="J1034" s="20" t="str">
        <x:v>调候事件边界</x:v>
      </x:c>
      <x:c r="K1034" s="20" t="str">
        <x:v>M13只输出结构性寒暖燥湿与调候需求，不直接断疾病、婚恋、财富或具体事件。</x:v>
      </x:c>
      <x:c r="L1034" s="20" t="str">
        <x:v>较高</x:v>
      </x:c>
      <x:c r="M1034" s="20" t="str">
        <x:v>采用</x:v>
      </x:c>
      <x:c r="N1034" s="20" t="str">
        <x:v>初审</x:v>
      </x:c>
      <x:c r="O1034" s="22" t="n">
        <x:v>46255</x:v>
      </x:c>
      <x:c r="P1034" s="20" t="str">
        <x:v>调候以月令气候为起点，但必须结合M08五行有效力量与M12流通状态修正；寒暖与燥湿分轴判断，调候候选不自动等于全局主用神。</x:v>
      </x:c>
    </x:row>
    <x:row r="1035">
      <x:c r="A1035" s="20" t="str">
        <x:v>M13-BOUND-0070-V1.0</x:v>
      </x:c>
      <x:c r="B1035" s="20" t="str">
        <x:v>规则</x:v>
      </x:c>
      <x:c r="C1035" s="20" t="str">
        <x:v>M13</x:v>
      </x:c>
      <x:c r="D1035" s="20" t="str">
        <x:v>13_寒暖燥湿</x:v>
      </x:c>
      <x:c r="E1035" s="20" t="str">
        <x:v>BOUND</x:v>
      </x:c>
      <x:c r="F1035" s="20" t="n">
        <x:v>70</x:v>
      </x:c>
      <x:c r="G1035" s="20" t="str">
        <x:v>V1.0</x:v>
      </x:c>
      <x:c r="H1035" s="20" t="str">
        <x:v>M13标准输出必须同时给出双轴、候选及冲突</x:v>
      </x:c>
      <x:c r="I1035" s="20" t="str">
        <x:v>结构层</x:v>
      </x:c>
      <x:c r="J1035" s="20" t="str">
        <x:v>M13标准输出</x:v>
      </x:c>
      <x:c r="K1035" s="20" t="str">
        <x:v>M13最终输出：温度状态、湿度状态、主要气候问题、调候候选五行、存在性、有效性、调候机制、紧急度、与扶抑冲突、与格局冲突、反向证据与置信度。</x:v>
      </x:c>
      <x:c r="L1035" s="20" t="str">
        <x:v>较高</x:v>
      </x:c>
      <x:c r="M1035" s="20" t="str">
        <x:v>采用</x:v>
      </x:c>
      <x:c r="N1035" s="20" t="str">
        <x:v>初审</x:v>
      </x:c>
      <x:c r="O1035" s="22" t="n">
        <x:v>46255</x:v>
      </x:c>
      <x:c r="P1035" s="20" t="str">
        <x:v>调候以月令气候为起点，但必须结合M08五行有效力量与M12流通状态修正；寒暖与燥湿分轴判断，调候候选不自动等于全局主用神。</x:v>
      </x:c>
    </x:row>
    <x:row r="1036">
      <x:c r="A1036" s="20" t="str">
        <x:v>M14-GEN-0001-V1.0</x:v>
      </x:c>
      <x:c r="B1036" s="20" t="str">
        <x:v>规则</x:v>
      </x:c>
      <x:c r="C1036" s="20" t="str">
        <x:v>M14</x:v>
      </x:c>
      <x:c r="D1036" s="20" t="str">
        <x:v>14_格局候选判断</x:v>
      </x:c>
      <x:c r="E1036" s="20" t="str">
        <x:v>GEN</x:v>
      </x:c>
      <x:c r="F1036" s="20" t="n">
        <x:v>1</x:v>
      </x:c>
      <x:c r="G1036" s="20" t="str">
        <x:v>V1.0</x:v>
      </x:c>
      <x:c r="H1036" s="20" t="str">
        <x:v>格局必须先生成候选清单再逐项淘汰</x:v>
      </x:c>
      <x:c r="I1036" s="20" t="str">
        <x:v>综合层</x:v>
      </x:c>
      <x:c r="J1036" s="20" t="str">
        <x:v>多候选生成</x:v>
      </x:c>
      <x:c r="K1036" s="20" t="str">
        <x:v>先列出全部合格候选，再按月令、格神有效性、主导性和严格门槛淘汰；禁止先定一个格再倒推证据。</x:v>
      </x:c>
      <x:c r="L1036" s="20" t="str">
        <x:v>较高</x:v>
      </x:c>
      <x:c r="M1036" s="20" t="str">
        <x:v>采用</x:v>
      </x:c>
      <x:c r="N1036" s="20" t="str">
        <x:v>初审</x:v>
      </x:c>
      <x:c r="O1036" s="22" t="n">
        <x:v>46260</x:v>
      </x:c>
      <x:c r="P1036" s="20" t="str">
        <x:v>https://zh.wikisource.org/zh-hans/%E6%B7%B5%E6%B5%B7%E5%AD%90%E5%B9%B3 ; https://zh.wikisource.org/wiki/%E6%BB%B4%E5%A4%A9%E9%AB%93%E9%97%A1%E5%BE%AE</x:v>
      </x:c>
    </x:row>
    <x:row r="1037">
      <x:c r="A1037" s="20" t="str">
        <x:v>M14-GEN-0002-V1.0</x:v>
      </x:c>
      <x:c r="B1037" s="20" t="str">
        <x:v>规则</x:v>
      </x:c>
      <x:c r="C1037" s="20" t="str">
        <x:v>M14</x:v>
      </x:c>
      <x:c r="D1037" s="20" t="str">
        <x:v>14_格局候选判断</x:v>
      </x:c>
      <x:c r="E1037" s="20" t="str">
        <x:v>GEN</x:v>
      </x:c>
      <x:c r="F1037" s="20" t="n">
        <x:v>2</x:v>
      </x:c>
      <x:c r="G1037" s="20" t="str">
        <x:v>V1.0</x:v>
      </x:c>
      <x:c r="H1037" s="20" t="str">
        <x:v>月令主气是普通格局的首要候选来源</x:v>
      </x:c>
      <x:c r="I1037" s="20" t="str">
        <x:v>综合层</x:v>
      </x:c>
      <x:c r="J1037" s="20" t="str">
        <x:v>月令主气取候选</x:v>
      </x:c>
      <x:c r="K1037" s="20" t="str">
        <x:v>格局候选通用列为“候选”：主要依据为月令与格神有效性；仍需M15检验成格、破格、救应与层次。</x:v>
      </x:c>
      <x:c r="L1037" s="20" t="str">
        <x:v>较高</x:v>
      </x:c>
      <x:c r="M1037" s="20" t="str">
        <x:v>采用</x:v>
      </x:c>
      <x:c r="N1037" s="20" t="str">
        <x:v>初审</x:v>
      </x:c>
      <x:c r="O1037" s="22" t="n">
        <x:v>46260</x:v>
      </x:c>
      <x:c r="P1037" s="20" t="str">
        <x:v>https://zh.wikisource.org/zh-hans/%E6%B7%B5%E6%B5%B7%E5%AD%90%E5%B9%B3 ; https://zh.wikisource.org/wiki/%E6%BB%B4%E5%A4%A9%E9%AB%93%E9%97%A1%E5%BE%AE</x:v>
      </x:c>
    </x:row>
    <x:row r="1038">
      <x:c r="A1038" s="20" t="str">
        <x:v>M14-GEN-0003-V1.0</x:v>
      </x:c>
      <x:c r="B1038" s="20" t="str">
        <x:v>规则</x:v>
      </x:c>
      <x:c r="C1038" s="20" t="str">
        <x:v>M14</x:v>
      </x:c>
      <x:c r="D1038" s="20" t="str">
        <x:v>14_格局候选判断</x:v>
      </x:c>
      <x:c r="E1038" s="20" t="str">
        <x:v>GEN</x:v>
      </x:c>
      <x:c r="F1038" s="20" t="n">
        <x:v>3</x:v>
      </x:c>
      <x:c r="G1038" s="20" t="str">
        <x:v>V1.0</x:v>
      </x:c>
      <x:c r="H1038" s="20" t="str">
        <x:v>月令中气余气透干可生成次级候选</x:v>
      </x:c>
      <x:c r="I1038" s="20" t="str">
        <x:v>综合层</x:v>
      </x:c>
      <x:c r="J1038" s="20" t="str">
        <x:v>月令中余气候选</x:v>
      </x:c>
      <x:c r="K1038" s="20" t="str">
        <x:v>格局候选通用列为“候选”：主要依据为月令与格神有效性；仍需M15检验成格、破格、救应与层次。</x:v>
      </x:c>
      <x:c r="L1038" s="20" t="str">
        <x:v>较高</x:v>
      </x:c>
      <x:c r="M1038" s="20" t="str">
        <x:v>采用</x:v>
      </x:c>
      <x:c r="N1038" s="20" t="str">
        <x:v>初审</x:v>
      </x:c>
      <x:c r="O1038" s="22" t="n">
        <x:v>46260</x:v>
      </x:c>
      <x:c r="P1038" s="20" t="str">
        <x:v>https://zh.wikisource.org/zh-hans/%E6%B7%B5%E6%B5%B7%E5%AD%90%E5%B9%B3 ; https://zh.wikisource.org/wiki/%E6%BB%B4%E5%A4%A9%E9%AB%93%E9%97%A1%E5%BE%AE</x:v>
      </x:c>
    </x:row>
    <x:row r="1039">
      <x:c r="A1039" s="20" t="str">
        <x:v>M14-GEN-0004-V1.0</x:v>
      </x:c>
      <x:c r="B1039" s="20" t="str">
        <x:v>规则</x:v>
      </x:c>
      <x:c r="C1039" s="20" t="str">
        <x:v>M14</x:v>
      </x:c>
      <x:c r="D1039" s="20" t="str">
        <x:v>14_格局候选判断</x:v>
      </x:c>
      <x:c r="E1039" s="20" t="str">
        <x:v>GEN</x:v>
      </x:c>
      <x:c r="F1039" s="20" t="n">
        <x:v>4</x:v>
      </x:c>
      <x:c r="G1039" s="20" t="str">
        <x:v>V1.0</x:v>
      </x:c>
      <x:c r="H1039" s="20" t="str">
        <x:v>透干增强格神显性但不自动成格</x:v>
      </x:c>
      <x:c r="I1039" s="20" t="str">
        <x:v>综合层</x:v>
      </x:c>
      <x:c r="J1039" s="20" t="str">
        <x:v>透干非充分条件</x:v>
      </x:c>
      <x:c r="K1039" s="20" t="str">
        <x:v>格局候选通用列为“候选”：主要依据为月令与格神有效性；仍需M15检验成格、破格、救应与层次。</x:v>
      </x:c>
      <x:c r="L1039" s="20" t="str">
        <x:v>较高</x:v>
      </x:c>
      <x:c r="M1039" s="20" t="str">
        <x:v>采用</x:v>
      </x:c>
      <x:c r="N1039" s="20" t="str">
        <x:v>初审</x:v>
      </x:c>
      <x:c r="O1039" s="22" t="n">
        <x:v>46260</x:v>
      </x:c>
      <x:c r="P1039" s="20" t="str">
        <x:v>https://zh.wikisource.org/zh-hans/%E6%B7%B5%E6%B5%B7%E5%AD%90%E5%B9%B3 ; https://zh.wikisource.org/wiki/%E6%BB%B4%E5%A4%A9%E9%AB%93%E9%97%A1%E5%BE%AE</x:v>
      </x:c>
    </x:row>
    <x:row r="1040">
      <x:c r="A1040" s="20" t="str">
        <x:v>M14-GEN-0005-V1.0</x:v>
      </x:c>
      <x:c r="B1040" s="20" t="str">
        <x:v>规则</x:v>
      </x:c>
      <x:c r="C1040" s="20" t="str">
        <x:v>M14</x:v>
      </x:c>
      <x:c r="D1040" s="20" t="str">
        <x:v>14_格局候选判断</x:v>
      </x:c>
      <x:c r="E1040" s="20" t="str">
        <x:v>GEN</x:v>
      </x:c>
      <x:c r="F1040" s="20" t="n">
        <x:v>5</x:v>
      </x:c>
      <x:c r="G1040" s="20" t="str">
        <x:v>V1.0</x:v>
      </x:c>
      <x:c r="H1040" s="20" t="str">
        <x:v>格神有根有力是候选稳定性的核心</x:v>
      </x:c>
      <x:c r="I1040" s="20" t="str">
        <x:v>综合层</x:v>
      </x:c>
      <x:c r="J1040" s="20" t="str">
        <x:v>格神有效性门槛</x:v>
      </x:c>
      <x:c r="K1040" s="20" t="str">
        <x:v>格局候选通用列为“基本成立”：主要依据为月令与格神有效性；仍需M15检验成格、破格、救应与层次。</x:v>
      </x:c>
      <x:c r="L1040" s="20" t="str">
        <x:v>较高</x:v>
      </x:c>
      <x:c r="M1040" s="20" t="str">
        <x:v>采用</x:v>
      </x:c>
      <x:c r="N1040" s="20" t="str">
        <x:v>初审</x:v>
      </x:c>
      <x:c r="O1040" s="22" t="n">
        <x:v>46260</x:v>
      </x:c>
      <x:c r="P1040" s="20" t="str">
        <x:v>https://zh.wikisource.org/zh-hans/%E6%B7%B5%E6%B5%B7%E5%AD%90%E5%B9%B3 ; https://zh.wikisource.org/wiki/%E6%BB%B4%E5%A4%A9%E9%AB%93%E9%97%A1%E5%BE%AE</x:v>
      </x:c>
    </x:row>
    <x:row r="1041">
      <x:c r="A1041" s="20" t="str">
        <x:v>M14-GEN-0006-V1.0</x:v>
      </x:c>
      <x:c r="B1041" s="20" t="str">
        <x:v>规则</x:v>
      </x:c>
      <x:c r="C1041" s="20" t="str">
        <x:v>M14</x:v>
      </x:c>
      <x:c r="D1041" s="20" t="str">
        <x:v>14_格局候选判断</x:v>
      </x:c>
      <x:c r="E1041" s="20" t="str">
        <x:v>GEN</x:v>
      </x:c>
      <x:c r="F1041" s="20" t="n">
        <x:v>6</x:v>
      </x:c>
      <x:c r="G1041" s="20" t="str">
        <x:v>V1.0</x:v>
      </x:c>
      <x:c r="H1041" s="20" t="str">
        <x:v>日主配合决定候选能否运行但不单独决定取格</x:v>
      </x:c>
      <x:c r="I1041" s="20" t="str">
        <x:v>综合层</x:v>
      </x:c>
      <x:c r="J1041" s="20" t="str">
        <x:v>日主配合门槛</x:v>
      </x:c>
      <x:c r="K1041" s="20" t="str">
        <x:v>格局候选通用列为“候选”：主要依据为月令与格神有效性；仍需M15检验成格、破格、救应与层次。</x:v>
      </x:c>
      <x:c r="L1041" s="20" t="str">
        <x:v>较高</x:v>
      </x:c>
      <x:c r="M1041" s="20" t="str">
        <x:v>采用</x:v>
      </x:c>
      <x:c r="N1041" s="20" t="str">
        <x:v>初审</x:v>
      </x:c>
      <x:c r="O1041" s="22" t="n">
        <x:v>46260</x:v>
      </x:c>
      <x:c r="P1041" s="20" t="str">
        <x:v>https://zh.wikisource.org/zh-hans/%E6%B7%B5%E6%B5%B7%E5%AD%90%E5%B9%B3 ; https://zh.wikisource.org/wiki/%E6%BB%B4%E5%A4%A9%E9%AB%93%E9%97%A1%E5%BE%AE</x:v>
      </x:c>
    </x:row>
    <x:row r="1042">
      <x:c r="A1042" s="20" t="str">
        <x:v>M14-GEN-0007-V1.0</x:v>
      </x:c>
      <x:c r="B1042" s="20" t="str">
        <x:v>规则</x:v>
      </x:c>
      <x:c r="C1042" s="20" t="str">
        <x:v>M14</x:v>
      </x:c>
      <x:c r="D1042" s="20" t="str">
        <x:v>14_格局候选判断</x:v>
      </x:c>
      <x:c r="E1042" s="20" t="str">
        <x:v>GEN</x:v>
      </x:c>
      <x:c r="F1042" s="20" t="n">
        <x:v>7</x:v>
      </x:c>
      <x:c r="G1042" s="20" t="str">
        <x:v>V1.0</x:v>
      </x:c>
      <x:c r="H1042" s="20" t="str">
        <x:v>主气清纯度用于候选排序而非单项否决</x:v>
      </x:c>
      <x:c r="I1042" s="20" t="str">
        <x:v>综合层</x:v>
      </x:c>
      <x:c r="J1042" s="20" t="str">
        <x:v>清纯度排序</x:v>
      </x:c>
      <x:c r="K1042" s="20" t="str">
        <x:v>格局候选通用列为“候选”：主要依据为月令与格神有效性；仍需M15检验成格、破格、救应与层次。</x:v>
      </x:c>
      <x:c r="L1042" s="20" t="str">
        <x:v>较高</x:v>
      </x:c>
      <x:c r="M1042" s="20" t="str">
        <x:v>采用</x:v>
      </x:c>
      <x:c r="N1042" s="20" t="str">
        <x:v>初审</x:v>
      </x:c>
      <x:c r="O1042" s="22" t="n">
        <x:v>46260</x:v>
      </x:c>
      <x:c r="P1042" s="20" t="str">
        <x:v>https://zh.wikisource.org/zh-hans/%E6%B7%B5%E6%B5%B7%E5%AD%90%E5%B9%B3 ; https://zh.wikisource.org/wiki/%E6%BB%B4%E5%A4%A9%E9%AB%93%E9%97%A1%E5%BE%AE</x:v>
      </x:c>
    </x:row>
    <x:row r="1043">
      <x:c r="A1043" s="20" t="str">
        <x:v>M14-GEN-0008-V1.0</x:v>
      </x:c>
      <x:c r="B1043" s="20" t="str">
        <x:v>规则</x:v>
      </x:c>
      <x:c r="C1043" s="20" t="str">
        <x:v>M14</x:v>
      </x:c>
      <x:c r="D1043" s="20" t="str">
        <x:v>14_格局候选判断</x:v>
      </x:c>
      <x:c r="E1043" s="20" t="str">
        <x:v>GEN</x:v>
      </x:c>
      <x:c r="F1043" s="20" t="n">
        <x:v>8</x:v>
      </x:c>
      <x:c r="G1043" s="20" t="str">
        <x:v>V1.0</x:v>
      </x:c>
      <x:c r="H1043" s="20" t="str">
        <x:v>组合成立只为格局提供支持不能替代月令取格</x:v>
      </x:c>
      <x:c r="I1043" s="20" t="str">
        <x:v>综合层</x:v>
      </x:c>
      <x:c r="J1043" s="20" t="str">
        <x:v>组合与格局分层</x:v>
      </x:c>
      <x:c r="K1043" s="20" t="str">
        <x:v>M11组合可增强格局候选，但不能直接把局部食神制杀、官印相生等组合升级为最终格局。</x:v>
      </x:c>
      <x:c r="L1043" s="20" t="str">
        <x:v>较高</x:v>
      </x:c>
      <x:c r="M1043" s="20" t="str">
        <x:v>采用</x:v>
      </x:c>
      <x:c r="N1043" s="20" t="str">
        <x:v>初审</x:v>
      </x:c>
      <x:c r="O1043" s="22" t="n">
        <x:v>46260</x:v>
      </x:c>
      <x:c r="P1043" s="20" t="str">
        <x:v>https://zh.wikisource.org/zh-hans/%E6%B7%B5%E6%B5%B7%E5%AD%90%E5%B9%B3 ; https://zh.wikisource.org/wiki/%E6%BB%B4%E5%A4%A9%E9%AB%93%E9%97%A1%E5%BE%AE</x:v>
      </x:c>
    </x:row>
    <x:row r="1044">
      <x:c r="A1044" s="20" t="str">
        <x:v>M14-GUAN-0009-V1.0</x:v>
      </x:c>
      <x:c r="B1044" s="20" t="str">
        <x:v>规则</x:v>
      </x:c>
      <x:c r="C1044" s="20" t="str">
        <x:v>M14</x:v>
      </x:c>
      <x:c r="D1044" s="20" t="str">
        <x:v>14_格局候选判断</x:v>
      </x:c>
      <x:c r="E1044" s="20" t="str">
        <x:v>GUAN</x:v>
      </x:c>
      <x:c r="F1044" s="20" t="n">
        <x:v>9</x:v>
      </x:c>
      <x:c r="G1044" s="20" t="str">
        <x:v>V1.0</x:v>
      </x:c>
      <x:c r="H1044" s="20" t="str">
        <x:v>月令正官主气生成正官格候选</x:v>
      </x:c>
      <x:c r="I1044" s="20" t="str">
        <x:v>综合层</x:v>
      </x:c>
      <x:c r="J1044" s="20" t="str">
        <x:v>正官格候选_候选</x:v>
      </x:c>
      <x:c r="K1044" s="20" t="str">
        <x:v>正官格候选列为“候选”：主要依据为月令与格神有效性；仍需M15检验成格、破格、救应与层次。</x:v>
      </x:c>
      <x:c r="L1044" s="20" t="str">
        <x:v>较高</x:v>
      </x:c>
      <x:c r="M1044" s="20" t="str">
        <x:v>采用</x:v>
      </x:c>
      <x:c r="N1044" s="20" t="str">
        <x:v>初审</x:v>
      </x:c>
      <x:c r="O1044" s="22" t="n">
        <x:v>46260</x:v>
      </x:c>
      <x:c r="P1044" s="20" t="str">
        <x:v>https://zh.wikisource.org/zh-hans/%E6%B7%B5%E6%B5%B7%E5%AD%90%E5%B9%B3 ; https://zh.wikisource.org/wiki/%E6%BB%B4%E5%A4%A9%E9%AB%93%E9%97%A1%E5%BE%AE</x:v>
      </x:c>
    </x:row>
    <x:row r="1045">
      <x:c r="A1045" s="20" t="str">
        <x:v>M14-GUAN-0010-V1.0</x:v>
      </x:c>
      <x:c r="B1045" s="20" t="str">
        <x:v>规则</x:v>
      </x:c>
      <x:c r="C1045" s="20" t="str">
        <x:v>M14</x:v>
      </x:c>
      <x:c r="D1045" s="20" t="str">
        <x:v>14_格局候选判断</x:v>
      </x:c>
      <x:c r="E1045" s="20" t="str">
        <x:v>GUAN</x:v>
      </x:c>
      <x:c r="F1045" s="20" t="n">
        <x:v>10</x:v>
      </x:c>
      <x:c r="G1045" s="20" t="str">
        <x:v>V1.0</x:v>
      </x:c>
      <x:c r="H1045" s="20" t="str">
        <x:v>月令藏官透干可生成正官格次候选</x:v>
      </x:c>
      <x:c r="I1045" s="20" t="str">
        <x:v>综合层</x:v>
      </x:c>
      <x:c r="J1045" s="20" t="str">
        <x:v>正官格候选_候选</x:v>
      </x:c>
      <x:c r="K1045" s="20" t="str">
        <x:v>正官格候选列为“候选”：主要依据为月令与格神有效性；仍需M15检验成格、破格、救应与层次。</x:v>
      </x:c>
      <x:c r="L1045" s="20" t="str">
        <x:v>较高</x:v>
      </x:c>
      <x:c r="M1045" s="20" t="str">
        <x:v>采用</x:v>
      </x:c>
      <x:c r="N1045" s="20" t="str">
        <x:v>初审</x:v>
      </x:c>
      <x:c r="O1045" s="22" t="n">
        <x:v>46260</x:v>
      </x:c>
      <x:c r="P1045" s="20" t="str">
        <x:v>https://zh.wikisource.org/zh-hans/%E6%B7%B5%E6%B5%B7%E5%AD%90%E5%B9%B3 ; https://zh.wikisource.org/wiki/%E6%BB%B4%E5%A4%A9%E9%AB%93%E9%97%A1%E5%BE%AE</x:v>
      </x:c>
    </x:row>
    <x:row r="1046">
      <x:c r="A1046" s="20" t="str">
        <x:v>M14-GUAN-0011-V1.0</x:v>
      </x:c>
      <x:c r="B1046" s="20" t="str">
        <x:v>规则</x:v>
      </x:c>
      <x:c r="C1046" s="20" t="str">
        <x:v>M14</x:v>
      </x:c>
      <x:c r="D1046" s="20" t="str">
        <x:v>14_格局候选判断</x:v>
      </x:c>
      <x:c r="E1046" s="20" t="str">
        <x:v>GUAN</x:v>
      </x:c>
      <x:c r="F1046" s="20" t="n">
        <x:v>11</x:v>
      </x:c>
      <x:c r="G1046" s="20" t="str">
        <x:v>V1.0</x:v>
      </x:c>
      <x:c r="H1046" s="20" t="str">
        <x:v>官印相生可增强正官格候选</x:v>
      </x:c>
      <x:c r="I1046" s="20" t="str">
        <x:v>综合层</x:v>
      </x:c>
      <x:c r="J1046" s="20" t="str">
        <x:v>正官格候选_候选</x:v>
      </x:c>
      <x:c r="K1046" s="20" t="str">
        <x:v>正官格候选列为“基本成立”：主要依据为月令与格神有效性；仍需M15检验成格、破格、救应与层次。</x:v>
      </x:c>
      <x:c r="L1046" s="20" t="str">
        <x:v>较高</x:v>
      </x:c>
      <x:c r="M1046" s="20" t="str">
        <x:v>采用</x:v>
      </x:c>
      <x:c r="N1046" s="20" t="str">
        <x:v>初审</x:v>
      </x:c>
      <x:c r="O1046" s="22" t="n">
        <x:v>46260</x:v>
      </x:c>
      <x:c r="P1046" s="20" t="str">
        <x:v>https://zh.wikisource.org/zh-hans/%E6%B7%B5%E6%B5%B7%E5%AD%90%E5%B9%B3 ; https://zh.wikisource.org/wiki/%E6%BB%B4%E5%A4%A9%E9%AB%93%E9%97%A1%E5%BE%AE</x:v>
      </x:c>
    </x:row>
    <x:row r="1047">
      <x:c r="A1047" s="20" t="str">
        <x:v>M14-GUAN-0012-V1.0</x:v>
      </x:c>
      <x:c r="B1047" s="20" t="str">
        <x:v>规则</x:v>
      </x:c>
      <x:c r="C1047" s="20" t="str">
        <x:v>M14</x:v>
      </x:c>
      <x:c r="D1047" s="20" t="str">
        <x:v>14_格局候选判断</x:v>
      </x:c>
      <x:c r="E1047" s="20" t="str">
        <x:v>GUAN</x:v>
      </x:c>
      <x:c r="F1047" s="20" t="n">
        <x:v>12</x:v>
      </x:c>
      <x:c r="G1047" s="20" t="str">
        <x:v>V1.0</x:v>
      </x:c>
      <x:c r="H1047" s="20" t="str">
        <x:v>财生官可增强正官格候选但须防财坏印</x:v>
      </x:c>
      <x:c r="I1047" s="20" t="str">
        <x:v>综合层</x:v>
      </x:c>
      <x:c r="J1047" s="20" t="str">
        <x:v>正官格_财官增强</x:v>
      </x:c>
      <x:c r="K1047" s="20" t="str">
        <x:v>正官格候选列为“基本成立”：主要依据为月令与格神有效性；仍需M15检验成格、破格、救应与层次。</x:v>
      </x:c>
      <x:c r="L1047" s="20" t="str">
        <x:v>较高</x:v>
      </x:c>
      <x:c r="M1047" s="20" t="str">
        <x:v>采用</x:v>
      </x:c>
      <x:c r="N1047" s="20" t="str">
        <x:v>初审</x:v>
      </x:c>
      <x:c r="O1047" s="22" t="n">
        <x:v>46260</x:v>
      </x:c>
      <x:c r="P1047" s="20" t="str">
        <x:v>https://zh.wikisource.org/zh-hans/%E6%B7%B5%E6%B5%B7%E5%AD%90%E5%B9%B3 ; https://zh.wikisource.org/wiki/%E6%BB%B4%E5%A4%A9%E9%AB%93%E9%97%A1%E5%BE%AE</x:v>
      </x:c>
    </x:row>
    <x:row r="1048">
      <x:c r="A1048" s="20" t="str">
        <x:v>M14-GUAN-0013-V1.0</x:v>
      </x:c>
      <x:c r="B1048" s="20" t="str">
        <x:v>规则</x:v>
      </x:c>
      <x:c r="C1048" s="20" t="str">
        <x:v>M14</x:v>
      </x:c>
      <x:c r="D1048" s="20" t="str">
        <x:v>14_格局候选判断</x:v>
      </x:c>
      <x:c r="E1048" s="20" t="str">
        <x:v>GUAN</x:v>
      </x:c>
      <x:c r="F1048" s="20" t="n">
        <x:v>13</x:v>
      </x:c>
      <x:c r="G1048" s="20" t="str">
        <x:v>V1.0</x:v>
      </x:c>
      <x:c r="H1048" s="20" t="str">
        <x:v>伤官强制官会降低或排除正官格候选</x:v>
      </x:c>
      <x:c r="I1048" s="20" t="str">
        <x:v>综合层</x:v>
      </x:c>
      <x:c r="J1048" s="20" t="str">
        <x:v>正官格_伤官破官</x:v>
      </x:c>
      <x:c r="K1048" s="20" t="str">
        <x:v>正官格候选列为“不成立”：主要依据为月令与格神有效性；仍需M15检验成格、破格、救应与层次。</x:v>
      </x:c>
      <x:c r="L1048" s="20" t="str">
        <x:v>较高</x:v>
      </x:c>
      <x:c r="M1048" s="20" t="str">
        <x:v>采用</x:v>
      </x:c>
      <x:c r="N1048" s="20" t="str">
        <x:v>初审</x:v>
      </x:c>
      <x:c r="O1048" s="22" t="n">
        <x:v>46260</x:v>
      </x:c>
      <x:c r="P1048" s="20" t="str">
        <x:v>https://zh.wikisource.org/zh-hans/%E6%B7%B5%E6%B5%B7%E5%AD%90%E5%B9%B3 ; https://zh.wikisource.org/wiki/%E6%BB%B4%E5%A4%A9%E9%AB%93%E9%97%A1%E5%BE%AE</x:v>
      </x:c>
    </x:row>
    <x:row r="1049">
      <x:c r="A1049" s="20" t="str">
        <x:v>M14-GUAN-0014-V1.0</x:v>
      </x:c>
      <x:c r="B1049" s="20" t="str">
        <x:v>规则</x:v>
      </x:c>
      <x:c r="C1049" s="20" t="str">
        <x:v>M14</x:v>
      </x:c>
      <x:c r="D1049" s="20" t="str">
        <x:v>14_格局候选判断</x:v>
      </x:c>
      <x:c r="E1049" s="20" t="str">
        <x:v>GUAN</x:v>
      </x:c>
      <x:c r="F1049" s="20" t="n">
        <x:v>14</x:v>
      </x:c>
      <x:c r="G1049" s="20" t="str">
        <x:v>V1.0</x:v>
      </x:c>
      <x:c r="H1049" s="20" t="str">
        <x:v>官杀混杂主从不清时正官格降级</x:v>
      </x:c>
      <x:c r="I1049" s="20" t="str">
        <x:v>综合层</x:v>
      </x:c>
      <x:c r="J1049" s="20" t="str">
        <x:v>正官格_官杀混杂</x:v>
      </x:c>
      <x:c r="K1049" s="20" t="str">
        <x:v>正官格候选列为“候选”：主要依据为月令与格神有效性；仍需M15检验成格、破格、救应与层次。</x:v>
      </x:c>
      <x:c r="L1049" s="20" t="str">
        <x:v>较高</x:v>
      </x:c>
      <x:c r="M1049" s="20" t="str">
        <x:v>采用</x:v>
      </x:c>
      <x:c r="N1049" s="20" t="str">
        <x:v>初审</x:v>
      </x:c>
      <x:c r="O1049" s="22" t="n">
        <x:v>46260</x:v>
      </x:c>
      <x:c r="P1049" s="20" t="str">
        <x:v>https://zh.wikisource.org/zh-hans/%E6%B7%B5%E6%B5%B7%E5%AD%90%E5%B9%B3 ; https://zh.wikisource.org/wiki/%E6%BB%B4%E5%A4%A9%E9%AB%93%E9%97%A1%E5%BE%AE</x:v>
      </x:c>
    </x:row>
    <x:row r="1050">
      <x:c r="A1050" s="20" t="str">
        <x:v>M14-SHA-0015-V1.0</x:v>
      </x:c>
      <x:c r="B1050" s="20" t="str">
        <x:v>规则</x:v>
      </x:c>
      <x:c r="C1050" s="20" t="str">
        <x:v>M14</x:v>
      </x:c>
      <x:c r="D1050" s="20" t="str">
        <x:v>14_格局候选判断</x:v>
      </x:c>
      <x:c r="E1050" s="20" t="str">
        <x:v>SHA</x:v>
      </x:c>
      <x:c r="F1050" s="20" t="n">
        <x:v>15</x:v>
      </x:c>
      <x:c r="G1050" s="20" t="str">
        <x:v>V1.0</x:v>
      </x:c>
      <x:c r="H1050" s="20" t="str">
        <x:v>月令七杀主气生成七杀格候选</x:v>
      </x:c>
      <x:c r="I1050" s="20" t="str">
        <x:v>综合层</x:v>
      </x:c>
      <x:c r="J1050" s="20" t="str">
        <x:v>七杀格候选_候选</x:v>
      </x:c>
      <x:c r="K1050" s="20" t="str">
        <x:v>七杀格候选列为“候选”：主要依据为月令与格神有效性；仍需M15检验成格、破格、救应与层次。</x:v>
      </x:c>
      <x:c r="L1050" s="20" t="str">
        <x:v>较高</x:v>
      </x:c>
      <x:c r="M1050" s="20" t="str">
        <x:v>采用</x:v>
      </x:c>
      <x:c r="N1050" s="20" t="str">
        <x:v>初审</x:v>
      </x:c>
      <x:c r="O1050" s="22" t="n">
        <x:v>46260</x:v>
      </x:c>
      <x:c r="P1050" s="20" t="str">
        <x:v>https://zh.wikisource.org/zh-hans/%E6%B7%B5%E6%B5%B7%E5%AD%90%E5%B9%B3 ; https://zh.wikisource.org/wiki/%E6%BB%B4%E5%A4%A9%E9%AB%93%E9%97%A1%E5%BE%AE</x:v>
      </x:c>
    </x:row>
    <x:row r="1051">
      <x:c r="A1051" s="20" t="str">
        <x:v>M14-SHA-0016-V1.0</x:v>
      </x:c>
      <x:c r="B1051" s="20" t="str">
        <x:v>规则</x:v>
      </x:c>
      <x:c r="C1051" s="20" t="str">
        <x:v>M14</x:v>
      </x:c>
      <x:c r="D1051" s="20" t="str">
        <x:v>14_格局候选判断</x:v>
      </x:c>
      <x:c r="E1051" s="20" t="str">
        <x:v>SHA</x:v>
      </x:c>
      <x:c r="F1051" s="20" t="n">
        <x:v>16</x:v>
      </x:c>
      <x:c r="G1051" s="20" t="str">
        <x:v>V1.0</x:v>
      </x:c>
      <x:c r="H1051" s="20" t="str">
        <x:v>月令藏杀透干可生成七杀格次候选</x:v>
      </x:c>
      <x:c r="I1051" s="20" t="str">
        <x:v>综合层</x:v>
      </x:c>
      <x:c r="J1051" s="20" t="str">
        <x:v>七杀格候选_候选</x:v>
      </x:c>
      <x:c r="K1051" s="20" t="str">
        <x:v>七杀格候选列为“候选”：主要依据为月令与格神有效性；仍需M15检验成格、破格、救应与层次。</x:v>
      </x:c>
      <x:c r="L1051" s="20" t="str">
        <x:v>较高</x:v>
      </x:c>
      <x:c r="M1051" s="20" t="str">
        <x:v>采用</x:v>
      </x:c>
      <x:c r="N1051" s="20" t="str">
        <x:v>初审</x:v>
      </x:c>
      <x:c r="O1051" s="22" t="n">
        <x:v>46260</x:v>
      </x:c>
      <x:c r="P1051" s="20" t="str">
        <x:v>https://zh.wikisource.org/zh-hans/%E6%B7%B5%E6%B5%B7%E5%AD%90%E5%B9%B3 ; https://zh.wikisource.org/wiki/%E6%BB%B4%E5%A4%A9%E9%AB%93%E9%97%A1%E5%BE%AE</x:v>
      </x:c>
    </x:row>
    <x:row r="1052">
      <x:c r="A1052" s="20" t="str">
        <x:v>M14-SHA-0017-V1.0</x:v>
      </x:c>
      <x:c r="B1052" s="20" t="str">
        <x:v>规则</x:v>
      </x:c>
      <x:c r="C1052" s="20" t="str">
        <x:v>M14</x:v>
      </x:c>
      <x:c r="D1052" s="20" t="str">
        <x:v>14_格局候选判断</x:v>
      </x:c>
      <x:c r="E1052" s="20" t="str">
        <x:v>SHA</x:v>
      </x:c>
      <x:c r="F1052" s="20" t="n">
        <x:v>17</x:v>
      </x:c>
      <x:c r="G1052" s="20" t="str">
        <x:v>V1.0</x:v>
      </x:c>
      <x:c r="H1052" s="20" t="str">
        <x:v>食神制杀可增强七杀格候选</x:v>
      </x:c>
      <x:c r="I1052" s="20" t="str">
        <x:v>综合层</x:v>
      </x:c>
      <x:c r="J1052" s="20" t="str">
        <x:v>七杀格_食制增强</x:v>
      </x:c>
      <x:c r="K1052" s="20" t="str">
        <x:v>七杀格候选列为“基本成立”：主要依据为月令与格神有效性；仍需M15检验成格、破格、救应与层次。</x:v>
      </x:c>
      <x:c r="L1052" s="20" t="str">
        <x:v>较高</x:v>
      </x:c>
      <x:c r="M1052" s="20" t="str">
        <x:v>采用</x:v>
      </x:c>
      <x:c r="N1052" s="20" t="str">
        <x:v>初审</x:v>
      </x:c>
      <x:c r="O1052" s="22" t="n">
        <x:v>46260</x:v>
      </x:c>
      <x:c r="P1052" s="20" t="str">
        <x:v>https://zh.wikisource.org/zh-hans/%E6%B7%B5%E6%B5%B7%E5%AD%90%E5%B9%B3 ; https://zh.wikisource.org/wiki/%E6%BB%B4%E5%A4%A9%E9%AB%93%E9%97%A1%E5%BE%AE</x:v>
      </x:c>
    </x:row>
    <x:row r="1053">
      <x:c r="A1053" s="20" t="str">
        <x:v>M14-SHA-0018-V1.0</x:v>
      </x:c>
      <x:c r="B1053" s="20" t="str">
        <x:v>规则</x:v>
      </x:c>
      <x:c r="C1053" s="20" t="str">
        <x:v>M14</x:v>
      </x:c>
      <x:c r="D1053" s="20" t="str">
        <x:v>14_格局候选判断</x:v>
      </x:c>
      <x:c r="E1053" s="20" t="str">
        <x:v>SHA</x:v>
      </x:c>
      <x:c r="F1053" s="20" t="n">
        <x:v>18</x:v>
      </x:c>
      <x:c r="G1053" s="20" t="str">
        <x:v>V1.0</x:v>
      </x:c>
      <x:c r="H1053" s="20" t="str">
        <x:v>杀印相生可增强七杀格候选</x:v>
      </x:c>
      <x:c r="I1053" s="20" t="str">
        <x:v>综合层</x:v>
      </x:c>
      <x:c r="J1053" s="20" t="str">
        <x:v>七杀格_杀印增强</x:v>
      </x:c>
      <x:c r="K1053" s="20" t="str">
        <x:v>七杀格候选列为“基本成立”：主要依据为月令与格神有效性；仍需M15检验成格、破格、救应与层次。</x:v>
      </x:c>
      <x:c r="L1053" s="20" t="str">
        <x:v>较高</x:v>
      </x:c>
      <x:c r="M1053" s="20" t="str">
        <x:v>采用</x:v>
      </x:c>
      <x:c r="N1053" s="20" t="str">
        <x:v>初审</x:v>
      </x:c>
      <x:c r="O1053" s="22" t="n">
        <x:v>46260</x:v>
      </x:c>
      <x:c r="P1053" s="20" t="str">
        <x:v>https://zh.wikisource.org/zh-hans/%E6%B7%B5%E6%B5%B7%E5%AD%90%E5%B9%B3 ; https://zh.wikisource.org/wiki/%E6%BB%B4%E5%A4%A9%E9%AB%93%E9%97%A1%E5%BE%AE</x:v>
      </x:c>
    </x:row>
    <x:row r="1054">
      <x:c r="A1054" s="20" t="str">
        <x:v>M14-SHA-0019-V1.0</x:v>
      </x:c>
      <x:c r="B1054" s="20" t="str">
        <x:v>规则</x:v>
      </x:c>
      <x:c r="C1054" s="20" t="str">
        <x:v>M14</x:v>
      </x:c>
      <x:c r="D1054" s="20" t="str">
        <x:v>14_格局候选判断</x:v>
      </x:c>
      <x:c r="E1054" s="20" t="str">
        <x:v>SHA</x:v>
      </x:c>
      <x:c r="F1054" s="20" t="n">
        <x:v>19</x:v>
      </x:c>
      <x:c r="G1054" s="20" t="str">
        <x:v>V1.0</x:v>
      </x:c>
      <x:c r="H1054" s="20" t="str">
        <x:v>七杀弱无根且不形成压力时排除七杀格</x:v>
      </x:c>
      <x:c r="I1054" s="20" t="str">
        <x:v>综合层</x:v>
      </x:c>
      <x:c r="J1054" s="20" t="str">
        <x:v>七杀格_杀弱否决</x:v>
      </x:c>
      <x:c r="K1054" s="20" t="str">
        <x:v>七杀格候选列为“不成立”：主要依据为月令与格神有效性；仍需M15检验成格、破格、救应与层次。</x:v>
      </x:c>
      <x:c r="L1054" s="20" t="str">
        <x:v>较高</x:v>
      </x:c>
      <x:c r="M1054" s="20" t="str">
        <x:v>采用</x:v>
      </x:c>
      <x:c r="N1054" s="20" t="str">
        <x:v>初审</x:v>
      </x:c>
      <x:c r="O1054" s="22" t="n">
        <x:v>46260</x:v>
      </x:c>
      <x:c r="P1054" s="20" t="str">
        <x:v>https://zh.wikisource.org/zh-hans/%E6%B7%B5%E6%B5%B7%E5%AD%90%E5%B9%B3 ; https://zh.wikisource.org/wiki/%E6%BB%B4%E5%A4%A9%E9%AB%93%E9%97%A1%E5%BE%AE</x:v>
      </x:c>
    </x:row>
    <x:row r="1055">
      <x:c r="A1055" s="20" t="str">
        <x:v>M14-SHA-0020-V1.0</x:v>
      </x:c>
      <x:c r="B1055" s="20" t="str">
        <x:v>规则</x:v>
      </x:c>
      <x:c r="C1055" s="20" t="str">
        <x:v>M14</x:v>
      </x:c>
      <x:c r="D1055" s="20" t="str">
        <x:v>14_格局候选判断</x:v>
      </x:c>
      <x:c r="E1055" s="20" t="str">
        <x:v>SHA</x:v>
      </x:c>
      <x:c r="F1055" s="20" t="n">
        <x:v>20</x:v>
      </x:c>
      <x:c r="G1055" s="20" t="str">
        <x:v>V1.0</x:v>
      </x:c>
      <x:c r="H1055" s="20" t="str">
        <x:v>官杀混杂无清化时七杀格候选降级</x:v>
      </x:c>
      <x:c r="I1055" s="20" t="str">
        <x:v>综合层</x:v>
      </x:c>
      <x:c r="J1055" s="20" t="str">
        <x:v>七杀格_官杀混杂</x:v>
      </x:c>
      <x:c r="K1055" s="20" t="str">
        <x:v>七杀格候选列为“候选”：主要依据为月令与格神有效性；仍需M15检验成格、破格、救应与层次。</x:v>
      </x:c>
      <x:c r="L1055" s="20" t="str">
        <x:v>较高</x:v>
      </x:c>
      <x:c r="M1055" s="20" t="str">
        <x:v>采用</x:v>
      </x:c>
      <x:c r="N1055" s="20" t="str">
        <x:v>初审</x:v>
      </x:c>
      <x:c r="O1055" s="22" t="n">
        <x:v>46260</x:v>
      </x:c>
      <x:c r="P1055" s="20" t="str">
        <x:v>https://zh.wikisource.org/zh-hans/%E6%B7%B5%E6%B5%B7%E5%AD%90%E5%B9%B3 ; https://zh.wikisource.org/wiki/%E6%BB%B4%E5%A4%A9%E9%AB%93%E9%97%A1%E5%BE%AE</x:v>
      </x:c>
    </x:row>
    <x:row r="1056">
      <x:c r="A1056" s="20" t="str">
        <x:v>M14-YIN-0021-V1.0</x:v>
      </x:c>
      <x:c r="B1056" s="20" t="str">
        <x:v>规则</x:v>
      </x:c>
      <x:c r="C1056" s="20" t="str">
        <x:v>M14</x:v>
      </x:c>
      <x:c r="D1056" s="20" t="str">
        <x:v>14_格局候选判断</x:v>
      </x:c>
      <x:c r="E1056" s="20" t="str">
        <x:v>YIN</x:v>
      </x:c>
      <x:c r="F1056" s="20" t="n">
        <x:v>21</x:v>
      </x:c>
      <x:c r="G1056" s="20" t="str">
        <x:v>V1.0</x:v>
      </x:c>
      <x:c r="H1056" s="20" t="str">
        <x:v>月令正印主气生成正印格候选</x:v>
      </x:c>
      <x:c r="I1056" s="20" t="str">
        <x:v>综合层</x:v>
      </x:c>
      <x:c r="J1056" s="20" t="str">
        <x:v>正印格候选_候选</x:v>
      </x:c>
      <x:c r="K1056" s="20" t="str">
        <x:v>正印格候选列为“候选”：主要依据为月令与格神有效性；仍需M15检验成格、破格、救应与层次。</x:v>
      </x:c>
      <x:c r="L1056" s="20" t="str">
        <x:v>较高</x:v>
      </x:c>
      <x:c r="M1056" s="20" t="str">
        <x:v>采用</x:v>
      </x:c>
      <x:c r="N1056" s="20" t="str">
        <x:v>初审</x:v>
      </x:c>
      <x:c r="O1056" s="22" t="n">
        <x:v>46260</x:v>
      </x:c>
      <x:c r="P1056" s="20" t="str">
        <x:v>https://zh.wikisource.org/zh-hans/%E6%B7%B5%E6%B5%B7%E5%AD%90%E5%B9%B3 ; https://zh.wikisource.org/wiki/%E6%BB%B4%E5%A4%A9%E9%AB%93%E9%97%A1%E5%BE%AE</x:v>
      </x:c>
    </x:row>
    <x:row r="1057">
      <x:c r="A1057" s="20" t="str">
        <x:v>M14-YIN-0022-V1.0</x:v>
      </x:c>
      <x:c r="B1057" s="20" t="str">
        <x:v>规则</x:v>
      </x:c>
      <x:c r="C1057" s="20" t="str">
        <x:v>M14</x:v>
      </x:c>
      <x:c r="D1057" s="20" t="str">
        <x:v>14_格局候选判断</x:v>
      </x:c>
      <x:c r="E1057" s="20" t="str">
        <x:v>YIN</x:v>
      </x:c>
      <x:c r="F1057" s="20" t="n">
        <x:v>22</x:v>
      </x:c>
      <x:c r="G1057" s="20" t="str">
        <x:v>V1.0</x:v>
      </x:c>
      <x:c r="H1057" s="20" t="str">
        <x:v>月令偏印主气生成偏印格候选</x:v>
      </x:c>
      <x:c r="I1057" s="20" t="str">
        <x:v>综合层</x:v>
      </x:c>
      <x:c r="J1057" s="20" t="str">
        <x:v>偏印格候选_候选</x:v>
      </x:c>
      <x:c r="K1057" s="20" t="str">
        <x:v>偏印格候选列为“候选”：主要依据为月令与格神有效性；仍需M15检验成格、破格、救应与层次。</x:v>
      </x:c>
      <x:c r="L1057" s="20" t="str">
        <x:v>较高</x:v>
      </x:c>
      <x:c r="M1057" s="20" t="str">
        <x:v>采用</x:v>
      </x:c>
      <x:c r="N1057" s="20" t="str">
        <x:v>初审</x:v>
      </x:c>
      <x:c r="O1057" s="22" t="n">
        <x:v>46260</x:v>
      </x:c>
      <x:c r="P1057" s="20" t="str">
        <x:v>https://zh.wikisource.org/zh-hans/%E6%B7%B5%E6%B5%B7%E5%AD%90%E5%B9%B3 ; https://zh.wikisource.org/wiki/%E6%BB%B4%E5%A4%A9%E9%AB%93%E9%97%A1%E5%BE%AE</x:v>
      </x:c>
    </x:row>
    <x:row r="1058">
      <x:c r="A1058" s="20" t="str">
        <x:v>M14-YIN-0023-V1.0</x:v>
      </x:c>
      <x:c r="B1058" s="20" t="str">
        <x:v>规则</x:v>
      </x:c>
      <x:c r="C1058" s="20" t="str">
        <x:v>M14</x:v>
      </x:c>
      <x:c r="D1058" s="20" t="str">
        <x:v>14_格局候选判断</x:v>
      </x:c>
      <x:c r="E1058" s="20" t="str">
        <x:v>YIN</x:v>
      </x:c>
      <x:c r="F1058" s="20" t="n">
        <x:v>23</x:v>
      </x:c>
      <x:c r="G1058" s="20" t="str">
        <x:v>V1.0</x:v>
      </x:c>
      <x:c r="H1058" s="20" t="str">
        <x:v>官印相生增强正印格候选</x:v>
      </x:c>
      <x:c r="I1058" s="20" t="str">
        <x:v>综合层</x:v>
      </x:c>
      <x:c r="J1058" s="20" t="str">
        <x:v>正印格_官印增强</x:v>
      </x:c>
      <x:c r="K1058" s="20" t="str">
        <x:v>正印格候选列为“基本成立”：主要依据为月令与格神有效性；仍需M15检验成格、破格、救应与层次。</x:v>
      </x:c>
      <x:c r="L1058" s="20" t="str">
        <x:v>较高</x:v>
      </x:c>
      <x:c r="M1058" s="20" t="str">
        <x:v>采用</x:v>
      </x:c>
      <x:c r="N1058" s="20" t="str">
        <x:v>初审</x:v>
      </x:c>
      <x:c r="O1058" s="22" t="n">
        <x:v>46260</x:v>
      </x:c>
      <x:c r="P1058" s="20" t="str">
        <x:v>https://zh.wikisource.org/zh-hans/%E6%B7%B5%E6%B5%B7%E5%AD%90%E5%B9%B3 ; https://zh.wikisource.org/wiki/%E6%BB%B4%E5%A4%A9%E9%AB%93%E9%97%A1%E5%BE%AE</x:v>
      </x:c>
    </x:row>
    <x:row r="1059">
      <x:c r="A1059" s="20" t="str">
        <x:v>M14-YIN-0024-V1.0</x:v>
      </x:c>
      <x:c r="B1059" s="20" t="str">
        <x:v>规则</x:v>
      </x:c>
      <x:c r="C1059" s="20" t="str">
        <x:v>M14</x:v>
      </x:c>
      <x:c r="D1059" s="20" t="str">
        <x:v>14_格局候选判断</x:v>
      </x:c>
      <x:c r="E1059" s="20" t="str">
        <x:v>YIN</x:v>
      </x:c>
      <x:c r="F1059" s="20" t="n">
        <x:v>24</x:v>
      </x:c>
      <x:c r="G1059" s="20" t="str">
        <x:v>V1.0</x:v>
      </x:c>
      <x:c r="H1059" s="20" t="str">
        <x:v>杀印相生增强偏印格候选</x:v>
      </x:c>
      <x:c r="I1059" s="20" t="str">
        <x:v>综合层</x:v>
      </x:c>
      <x:c r="J1059" s="20" t="str">
        <x:v>偏印格_杀印增强</x:v>
      </x:c>
      <x:c r="K1059" s="20" t="str">
        <x:v>偏印格候选列为“基本成立”：主要依据为月令与格神有效性；仍需M15检验成格、破格、救应与层次。</x:v>
      </x:c>
      <x:c r="L1059" s="20" t="str">
        <x:v>较高</x:v>
      </x:c>
      <x:c r="M1059" s="20" t="str">
        <x:v>采用</x:v>
      </x:c>
      <x:c r="N1059" s="20" t="str">
        <x:v>初审</x:v>
      </x:c>
      <x:c r="O1059" s="22" t="n">
        <x:v>46260</x:v>
      </x:c>
      <x:c r="P1059" s="20" t="str">
        <x:v>https://zh.wikisource.org/zh-hans/%E6%B7%B5%E6%B5%B7%E5%AD%90%E5%B9%B3 ; https://zh.wikisource.org/wiki/%E6%BB%B4%E5%A4%A9%E9%AB%93%E9%97%A1%E5%BE%AE</x:v>
      </x:c>
    </x:row>
    <x:row r="1060">
      <x:c r="A1060" s="20" t="str">
        <x:v>M14-YIN-0025-V1.0</x:v>
      </x:c>
      <x:c r="B1060" s="20" t="str">
        <x:v>规则</x:v>
      </x:c>
      <x:c r="C1060" s="20" t="str">
        <x:v>M14</x:v>
      </x:c>
      <x:c r="D1060" s="20" t="str">
        <x:v>14_格局候选判断</x:v>
      </x:c>
      <x:c r="E1060" s="20" t="str">
        <x:v>YIN</x:v>
      </x:c>
      <x:c r="F1060" s="20" t="n">
        <x:v>25</x:v>
      </x:c>
      <x:c r="G1060" s="20" t="str">
        <x:v>V1.0</x:v>
      </x:c>
      <x:c r="H1060" s="20" t="str">
        <x:v>财星强制关键印星会排除印格候选</x:v>
      </x:c>
      <x:c r="I1060" s="20" t="str">
        <x:v>综合层</x:v>
      </x:c>
      <x:c r="J1060" s="20" t="str">
        <x:v>印格_财破否决</x:v>
      </x:c>
      <x:c r="K1060" s="20" t="str">
        <x:v>印格候选列为“不成立”：主要依据为月令与格神有效性；仍需M15检验成格、破格、救应与层次。</x:v>
      </x:c>
      <x:c r="L1060" s="20" t="str">
        <x:v>较高</x:v>
      </x:c>
      <x:c r="M1060" s="20" t="str">
        <x:v>采用</x:v>
      </x:c>
      <x:c r="N1060" s="20" t="str">
        <x:v>初审</x:v>
      </x:c>
      <x:c r="O1060" s="22" t="n">
        <x:v>46260</x:v>
      </x:c>
      <x:c r="P1060" s="20" t="str">
        <x:v>https://zh.wikisource.org/zh-hans/%E6%B7%B5%E6%B5%B7%E5%AD%90%E5%B9%B3 ; https://zh.wikisource.org/wiki/%E6%BB%B4%E5%A4%A9%E9%AB%93%E9%97%A1%E5%BE%AE</x:v>
      </x:c>
    </x:row>
    <x:row r="1061">
      <x:c r="A1061" s="20" t="str">
        <x:v>M14-YIN-0026-V1.0</x:v>
      </x:c>
      <x:c r="B1061" s="20" t="str">
        <x:v>规则</x:v>
      </x:c>
      <x:c r="C1061" s="20" t="str">
        <x:v>M14</x:v>
      </x:c>
      <x:c r="D1061" s="20" t="str">
        <x:v>14_格局候选判断</x:v>
      </x:c>
      <x:c r="E1061" s="20" t="str">
        <x:v>YIN</x:v>
      </x:c>
      <x:c r="F1061" s="20" t="n">
        <x:v>26</x:v>
      </x:c>
      <x:c r="G1061" s="20" t="str">
        <x:v>V1.0</x:v>
      </x:c>
      <x:c r="H1061" s="20" t="str">
        <x:v>正偏印并见需判断主从和枭夺食</x:v>
      </x:c>
      <x:c r="I1061" s="20" t="str">
        <x:v>综合层</x:v>
      </x:c>
      <x:c r="J1061" s="20" t="str">
        <x:v>印格_印枭混杂</x:v>
      </x:c>
      <x:c r="K1061" s="20" t="str">
        <x:v>印格候选列为“候选”：主要依据为月令与格神有效性；仍需M15检验成格、破格、救应与层次。</x:v>
      </x:c>
      <x:c r="L1061" s="20" t="str">
        <x:v>较高</x:v>
      </x:c>
      <x:c r="M1061" s="20" t="str">
        <x:v>采用</x:v>
      </x:c>
      <x:c r="N1061" s="20" t="str">
        <x:v>初审</x:v>
      </x:c>
      <x:c r="O1061" s="22" t="n">
        <x:v>46260</x:v>
      </x:c>
      <x:c r="P1061" s="20" t="str">
        <x:v>https://zh.wikisource.org/zh-hans/%E6%B7%B5%E6%B5%B7%E5%AD%90%E5%B9%B3 ; https://zh.wikisource.org/wiki/%E6%BB%B4%E5%A4%A9%E9%AB%93%E9%97%A1%E5%BE%AE</x:v>
      </x:c>
    </x:row>
    <x:row r="1062">
      <x:c r="A1062" s="20" t="str">
        <x:v>M14-CAI-0027-V1.0</x:v>
      </x:c>
      <x:c r="B1062" s="20" t="str">
        <x:v>规则</x:v>
      </x:c>
      <x:c r="C1062" s="20" t="str">
        <x:v>M14</x:v>
      </x:c>
      <x:c r="D1062" s="20" t="str">
        <x:v>14_格局候选判断</x:v>
      </x:c>
      <x:c r="E1062" s="20" t="str">
        <x:v>CAI</x:v>
      </x:c>
      <x:c r="F1062" s="20" t="n">
        <x:v>27</x:v>
      </x:c>
      <x:c r="G1062" s="20" t="str">
        <x:v>V1.0</x:v>
      </x:c>
      <x:c r="H1062" s="20" t="str">
        <x:v>月令正财主气生成正财格候选</x:v>
      </x:c>
      <x:c r="I1062" s="20" t="str">
        <x:v>综合层</x:v>
      </x:c>
      <x:c r="J1062" s="20" t="str">
        <x:v>正财格候选_候选</x:v>
      </x:c>
      <x:c r="K1062" s="20" t="str">
        <x:v>正财格候选列为“候选”：主要依据为月令与格神有效性；仍需M15检验成格、破格、救应与层次。</x:v>
      </x:c>
      <x:c r="L1062" s="20" t="str">
        <x:v>较高</x:v>
      </x:c>
      <x:c r="M1062" s="20" t="str">
        <x:v>采用</x:v>
      </x:c>
      <x:c r="N1062" s="20" t="str">
        <x:v>初审</x:v>
      </x:c>
      <x:c r="O1062" s="22" t="n">
        <x:v>46260</x:v>
      </x:c>
      <x:c r="P1062" s="20" t="str">
        <x:v>https://zh.wikisource.org/zh-hans/%E6%B7%B5%E6%B5%B7%E5%AD%90%E5%B9%B3 ; https://zh.wikisource.org/wiki/%E6%BB%B4%E5%A4%A9%E9%AB%93%E9%97%A1%E5%BE%AE</x:v>
      </x:c>
    </x:row>
    <x:row r="1063">
      <x:c r="A1063" s="20" t="str">
        <x:v>M14-CAI-0028-V1.0</x:v>
      </x:c>
      <x:c r="B1063" s="20" t="str">
        <x:v>规则</x:v>
      </x:c>
      <x:c r="C1063" s="20" t="str">
        <x:v>M14</x:v>
      </x:c>
      <x:c r="D1063" s="20" t="str">
        <x:v>14_格局候选判断</x:v>
      </x:c>
      <x:c r="E1063" s="20" t="str">
        <x:v>CAI</x:v>
      </x:c>
      <x:c r="F1063" s="20" t="n">
        <x:v>28</x:v>
      </x:c>
      <x:c r="G1063" s="20" t="str">
        <x:v>V1.0</x:v>
      </x:c>
      <x:c r="H1063" s="20" t="str">
        <x:v>月令偏财主气生成偏财格候选</x:v>
      </x:c>
      <x:c r="I1063" s="20" t="str">
        <x:v>综合层</x:v>
      </x:c>
      <x:c r="J1063" s="20" t="str">
        <x:v>偏财格候选_候选</x:v>
      </x:c>
      <x:c r="K1063" s="20" t="str">
        <x:v>偏财格候选列为“候选”：主要依据为月令与格神有效性；仍需M15检验成格、破格、救应与层次。</x:v>
      </x:c>
      <x:c r="L1063" s="20" t="str">
        <x:v>较高</x:v>
      </x:c>
      <x:c r="M1063" s="20" t="str">
        <x:v>采用</x:v>
      </x:c>
      <x:c r="N1063" s="20" t="str">
        <x:v>初审</x:v>
      </x:c>
      <x:c r="O1063" s="22" t="n">
        <x:v>46260</x:v>
      </x:c>
      <x:c r="P1063" s="20" t="str">
        <x:v>https://zh.wikisource.org/zh-hans/%E6%B7%B5%E6%B5%B7%E5%AD%90%E5%B9%B3 ; https://zh.wikisource.org/wiki/%E6%BB%B4%E5%A4%A9%E9%AB%93%E9%97%A1%E5%BE%AE</x:v>
      </x:c>
    </x:row>
    <x:row r="1064">
      <x:c r="A1064" s="20" t="str">
        <x:v>M14-CAI-0029-V1.0</x:v>
      </x:c>
      <x:c r="B1064" s="20" t="str">
        <x:v>规则</x:v>
      </x:c>
      <x:c r="C1064" s="20" t="str">
        <x:v>M14</x:v>
      </x:c>
      <x:c r="D1064" s="20" t="str">
        <x:v>14_格局候选判断</x:v>
      </x:c>
      <x:c r="E1064" s="20" t="str">
        <x:v>CAI</x:v>
      </x:c>
      <x:c r="F1064" s="20" t="n">
        <x:v>29</x:v>
      </x:c>
      <x:c r="G1064" s="20" t="str">
        <x:v>V1.0</x:v>
      </x:c>
      <x:c r="H1064" s="20" t="str">
        <x:v>食伤生财增强财格候选</x:v>
      </x:c>
      <x:c r="I1064" s="20" t="str">
        <x:v>综合层</x:v>
      </x:c>
      <x:c r="J1064" s="20" t="str">
        <x:v>财格_食伤生财增强</x:v>
      </x:c>
      <x:c r="K1064" s="20" t="str">
        <x:v>财格候选列为“基本成立”：主要依据为月令与格神有效性；仍需M15检验成格、破格、救应与层次。</x:v>
      </x:c>
      <x:c r="L1064" s="20" t="str">
        <x:v>较高</x:v>
      </x:c>
      <x:c r="M1064" s="20" t="str">
        <x:v>采用</x:v>
      </x:c>
      <x:c r="N1064" s="20" t="str">
        <x:v>初审</x:v>
      </x:c>
      <x:c r="O1064" s="22" t="n">
        <x:v>46260</x:v>
      </x:c>
      <x:c r="P1064" s="20" t="str">
        <x:v>https://zh.wikisource.org/zh-hans/%E6%B7%B5%E6%B5%B7%E5%AD%90%E5%B9%B3 ; https://zh.wikisource.org/wiki/%E6%BB%B4%E5%A4%A9%E9%AB%93%E9%97%A1%E5%BE%AE</x:v>
      </x:c>
    </x:row>
    <x:row r="1065">
      <x:c r="A1065" s="20" t="str">
        <x:v>M14-CAI-0030-V1.0</x:v>
      </x:c>
      <x:c r="B1065" s="20" t="str">
        <x:v>规则</x:v>
      </x:c>
      <x:c r="C1065" s="20" t="str">
        <x:v>M14</x:v>
      </x:c>
      <x:c r="D1065" s="20" t="str">
        <x:v>14_格局候选判断</x:v>
      </x:c>
      <x:c r="E1065" s="20" t="str">
        <x:v>CAI</x:v>
      </x:c>
      <x:c r="F1065" s="20" t="n">
        <x:v>30</x:v>
      </x:c>
      <x:c r="G1065" s="20" t="str">
        <x:v>V1.0</x:v>
      </x:c>
      <x:c r="H1065" s="20" t="str">
        <x:v>财官相生可增强财格候选</x:v>
      </x:c>
      <x:c r="I1065" s="20" t="str">
        <x:v>综合层</x:v>
      </x:c>
      <x:c r="J1065" s="20" t="str">
        <x:v>财格_财官增强</x:v>
      </x:c>
      <x:c r="K1065" s="20" t="str">
        <x:v>财格候选列为“基本成立”：主要依据为月令与格神有效性；仍需M15检验成格、破格、救应与层次。</x:v>
      </x:c>
      <x:c r="L1065" s="20" t="str">
        <x:v>较高</x:v>
      </x:c>
      <x:c r="M1065" s="20" t="str">
        <x:v>采用</x:v>
      </x:c>
      <x:c r="N1065" s="20" t="str">
        <x:v>初审</x:v>
      </x:c>
      <x:c r="O1065" s="22" t="n">
        <x:v>46260</x:v>
      </x:c>
      <x:c r="P1065" s="20" t="str">
        <x:v>https://zh.wikisource.org/zh-hans/%E6%B7%B5%E6%B5%B7%E5%AD%90%E5%B9%B3 ; https://zh.wikisource.org/wiki/%E6%BB%B4%E5%A4%A9%E9%AB%93%E9%97%A1%E5%BE%AE</x:v>
      </x:c>
    </x:row>
    <x:row r="1066">
      <x:c r="A1066" s="20" t="str">
        <x:v>M14-CAI-0031-V1.0</x:v>
      </x:c>
      <x:c r="B1066" s="20" t="str">
        <x:v>规则</x:v>
      </x:c>
      <x:c r="C1066" s="20" t="str">
        <x:v>M14</x:v>
      </x:c>
      <x:c r="D1066" s="20" t="str">
        <x:v>14_格局候选判断</x:v>
      </x:c>
      <x:c r="E1066" s="20" t="str">
        <x:v>CAI</x:v>
      </x:c>
      <x:c r="F1066" s="20" t="n">
        <x:v>31</x:v>
      </x:c>
      <x:c r="G1066" s="20" t="str">
        <x:v>V1.0</x:v>
      </x:c>
      <x:c r="H1066" s="20" t="str">
        <x:v>比劫强制财会降低或排除财格候选</x:v>
      </x:c>
      <x:c r="I1066" s="20" t="str">
        <x:v>综合层</x:v>
      </x:c>
      <x:c r="J1066" s="20" t="str">
        <x:v>财格_比劫破财</x:v>
      </x:c>
      <x:c r="K1066" s="20" t="str">
        <x:v>财格候选列为“不成立”：主要依据为月令与格神有效性；仍需M15检验成格、破格、救应与层次。</x:v>
      </x:c>
      <x:c r="L1066" s="20" t="str">
        <x:v>较高</x:v>
      </x:c>
      <x:c r="M1066" s="20" t="str">
        <x:v>采用</x:v>
      </x:c>
      <x:c r="N1066" s="20" t="str">
        <x:v>初审</x:v>
      </x:c>
      <x:c r="O1066" s="22" t="n">
        <x:v>46260</x:v>
      </x:c>
      <x:c r="P1066" s="20" t="str">
        <x:v>https://zh.wikisource.org/zh-hans/%E6%B7%B5%E6%B5%B7%E5%AD%90%E5%B9%B3 ; https://zh.wikisource.org/wiki/%E6%BB%B4%E5%A4%A9%E9%AB%93%E9%97%A1%E5%BE%AE</x:v>
      </x:c>
    </x:row>
    <x:row r="1067">
      <x:c r="A1067" s="20" t="str">
        <x:v>M14-CAI-0032-V1.0</x:v>
      </x:c>
      <x:c r="B1067" s="20" t="str">
        <x:v>规则</x:v>
      </x:c>
      <x:c r="C1067" s="20" t="str">
        <x:v>M14</x:v>
      </x:c>
      <x:c r="D1067" s="20" t="str">
        <x:v>14_格局候选判断</x:v>
      </x:c>
      <x:c r="E1067" s="20" t="str">
        <x:v>CAI</x:v>
      </x:c>
      <x:c r="F1067" s="20" t="n">
        <x:v>32</x:v>
      </x:c>
      <x:c r="G1067" s="20" t="str">
        <x:v>V1.0</x:v>
      </x:c>
      <x:c r="H1067" s="20" t="str">
        <x:v>财旺身弱无承载时财格候选降级</x:v>
      </x:c>
      <x:c r="I1067" s="20" t="str">
        <x:v>综合层</x:v>
      </x:c>
      <x:c r="J1067" s="20" t="str">
        <x:v>财格_身弱承载不足</x:v>
      </x:c>
      <x:c r="K1067" s="20" t="str">
        <x:v>财格候选列为“候选”：主要依据为月令与格神有效性；仍需M15检验成格、破格、救应与层次。</x:v>
      </x:c>
      <x:c r="L1067" s="20" t="str">
        <x:v>较高</x:v>
      </x:c>
      <x:c r="M1067" s="20" t="str">
        <x:v>采用</x:v>
      </x:c>
      <x:c r="N1067" s="20" t="str">
        <x:v>初审</x:v>
      </x:c>
      <x:c r="O1067" s="22" t="n">
        <x:v>46260</x:v>
      </x:c>
      <x:c r="P1067" s="20" t="str">
        <x:v>https://zh.wikisource.org/zh-hans/%E6%B7%B5%E6%B5%B7%E5%AD%90%E5%B9%B3 ; https://zh.wikisource.org/wiki/%E6%BB%B4%E5%A4%A9%E9%AB%93%E9%97%A1%E5%BE%AE</x:v>
      </x:c>
    </x:row>
    <x:row r="1068">
      <x:c r="A1068" s="20" t="str">
        <x:v>M14-SHISHANG-0033-V1.0</x:v>
      </x:c>
      <x:c r="B1068" s="20" t="str">
        <x:v>规则</x:v>
      </x:c>
      <x:c r="C1068" s="20" t="str">
        <x:v>M14</x:v>
      </x:c>
      <x:c r="D1068" s="20" t="str">
        <x:v>14_格局候选判断</x:v>
      </x:c>
      <x:c r="E1068" s="20" t="str">
        <x:v>SHISHANG</x:v>
      </x:c>
      <x:c r="F1068" s="20" t="n">
        <x:v>33</x:v>
      </x:c>
      <x:c r="G1068" s="20" t="str">
        <x:v>V1.0</x:v>
      </x:c>
      <x:c r="H1068" s="20" t="str">
        <x:v>月令食神主气生成食神格候选</x:v>
      </x:c>
      <x:c r="I1068" s="20" t="str">
        <x:v>综合层</x:v>
      </x:c>
      <x:c r="J1068" s="20" t="str">
        <x:v>食神格候选_候选</x:v>
      </x:c>
      <x:c r="K1068" s="20" t="str">
        <x:v>食神格候选列为“候选”：主要依据为月令与格神有效性；仍需M15检验成格、破格、救应与层次。</x:v>
      </x:c>
      <x:c r="L1068" s="20" t="str">
        <x:v>较高</x:v>
      </x:c>
      <x:c r="M1068" s="20" t="str">
        <x:v>采用</x:v>
      </x:c>
      <x:c r="N1068" s="20" t="str">
        <x:v>初审</x:v>
      </x:c>
      <x:c r="O1068" s="22" t="n">
        <x:v>46260</x:v>
      </x:c>
      <x:c r="P1068" s="20" t="str">
        <x:v>https://zh.wikisource.org/zh-hans/%E6%B7%B5%E6%B5%B7%E5%AD%90%E5%B9%B3 ; https://zh.wikisource.org/wiki/%E6%BB%B4%E5%A4%A9%E9%AB%93%E9%97%A1%E5%BE%AE</x:v>
      </x:c>
    </x:row>
    <x:row r="1069">
      <x:c r="A1069" s="20" t="str">
        <x:v>M14-SHISHANG-0034-V1.0</x:v>
      </x:c>
      <x:c r="B1069" s="20" t="str">
        <x:v>规则</x:v>
      </x:c>
      <x:c r="C1069" s="20" t="str">
        <x:v>M14</x:v>
      </x:c>
      <x:c r="D1069" s="20" t="str">
        <x:v>14_格局候选判断</x:v>
      </x:c>
      <x:c r="E1069" s="20" t="str">
        <x:v>SHISHANG</x:v>
      </x:c>
      <x:c r="F1069" s="20" t="n">
        <x:v>34</x:v>
      </x:c>
      <x:c r="G1069" s="20" t="str">
        <x:v>V1.0</x:v>
      </x:c>
      <x:c r="H1069" s="20" t="str">
        <x:v>食神生财增强食神格候选</x:v>
      </x:c>
      <x:c r="I1069" s="20" t="str">
        <x:v>综合层</x:v>
      </x:c>
      <x:c r="J1069" s="20" t="str">
        <x:v>食神格_生财增强</x:v>
      </x:c>
      <x:c r="K1069" s="20" t="str">
        <x:v>食神格候选列为“基本成立”：主要依据为月令与格神有效性；仍需M15检验成格、破格、救应与层次。</x:v>
      </x:c>
      <x:c r="L1069" s="20" t="str">
        <x:v>较高</x:v>
      </x:c>
      <x:c r="M1069" s="20" t="str">
        <x:v>采用</x:v>
      </x:c>
      <x:c r="N1069" s="20" t="str">
        <x:v>初审</x:v>
      </x:c>
      <x:c r="O1069" s="22" t="n">
        <x:v>46260</x:v>
      </x:c>
      <x:c r="P1069" s="20" t="str">
        <x:v>https://zh.wikisource.org/zh-hans/%E6%B7%B5%E6%B5%B7%E5%AD%90%E5%B9%B3 ; https://zh.wikisource.org/wiki/%E6%BB%B4%E5%A4%A9%E9%AB%93%E9%97%A1%E5%BE%AE</x:v>
      </x:c>
    </x:row>
    <x:row r="1070">
      <x:c r="A1070" s="20" t="str">
        <x:v>M14-SHISHANG-0035-V1.0</x:v>
      </x:c>
      <x:c r="B1070" s="20" t="str">
        <x:v>规则</x:v>
      </x:c>
      <x:c r="C1070" s="20" t="str">
        <x:v>M14</x:v>
      </x:c>
      <x:c r="D1070" s="20" t="str">
        <x:v>14_格局候选判断</x:v>
      </x:c>
      <x:c r="E1070" s="20" t="str">
        <x:v>SHISHANG</x:v>
      </x:c>
      <x:c r="F1070" s="20" t="n">
        <x:v>35</x:v>
      </x:c>
      <x:c r="G1070" s="20" t="str">
        <x:v>V1.0</x:v>
      </x:c>
      <x:c r="H1070" s="20" t="str">
        <x:v>枭神夺食会降低或排除食神格候选</x:v>
      </x:c>
      <x:c r="I1070" s="20" t="str">
        <x:v>综合层</x:v>
      </x:c>
      <x:c r="J1070" s="20" t="str">
        <x:v>食神格_枭夺食否决</x:v>
      </x:c>
      <x:c r="K1070" s="20" t="str">
        <x:v>食神格候选列为“不成立”：主要依据为月令与格神有效性；仍需M15检验成格、破格、救应与层次。</x:v>
      </x:c>
      <x:c r="L1070" s="20" t="str">
        <x:v>较高</x:v>
      </x:c>
      <x:c r="M1070" s="20" t="str">
        <x:v>采用</x:v>
      </x:c>
      <x:c r="N1070" s="20" t="str">
        <x:v>初审</x:v>
      </x:c>
      <x:c r="O1070" s="22" t="n">
        <x:v>46260</x:v>
      </x:c>
      <x:c r="P1070" s="20" t="str">
        <x:v>https://zh.wikisource.org/zh-hans/%E6%B7%B5%E6%B5%B7%E5%AD%90%E5%B9%B3 ; https://zh.wikisource.org/wiki/%E6%BB%B4%E5%A4%A9%E9%AB%93%E9%97%A1%E5%BE%AE</x:v>
      </x:c>
    </x:row>
    <x:row r="1071">
      <x:c r="A1071" s="20" t="str">
        <x:v>M14-SHISHANG-0036-V1.0</x:v>
      </x:c>
      <x:c r="B1071" s="20" t="str">
        <x:v>规则</x:v>
      </x:c>
      <x:c r="C1071" s="20" t="str">
        <x:v>M14</x:v>
      </x:c>
      <x:c r="D1071" s="20" t="str">
        <x:v>14_格局候选判断</x:v>
      </x:c>
      <x:c r="E1071" s="20" t="str">
        <x:v>SHISHANG</x:v>
      </x:c>
      <x:c r="F1071" s="20" t="n">
        <x:v>36</x:v>
      </x:c>
      <x:c r="G1071" s="20" t="str">
        <x:v>V1.0</x:v>
      </x:c>
      <x:c r="H1071" s="20" t="str">
        <x:v>食伤混杂主从不清时食神格降级</x:v>
      </x:c>
      <x:c r="I1071" s="20" t="str">
        <x:v>综合层</x:v>
      </x:c>
      <x:c r="J1071" s="20" t="str">
        <x:v>食神格_食伤混杂</x:v>
      </x:c>
      <x:c r="K1071" s="20" t="str">
        <x:v>食神格候选列为“候选”：主要依据为月令与格神有效性；仍需M15检验成格、破格、救应与层次。</x:v>
      </x:c>
      <x:c r="L1071" s="20" t="str">
        <x:v>较高</x:v>
      </x:c>
      <x:c r="M1071" s="20" t="str">
        <x:v>采用</x:v>
      </x:c>
      <x:c r="N1071" s="20" t="str">
        <x:v>初审</x:v>
      </x:c>
      <x:c r="O1071" s="22" t="n">
        <x:v>46260</x:v>
      </x:c>
      <x:c r="P1071" s="20" t="str">
        <x:v>https://zh.wikisource.org/zh-hans/%E6%B7%B5%E6%B5%B7%E5%AD%90%E5%B9%B3 ; https://zh.wikisource.org/wiki/%E6%BB%B4%E5%A4%A9%E9%AB%93%E9%97%A1%E5%BE%AE</x:v>
      </x:c>
    </x:row>
    <x:row r="1072">
      <x:c r="A1072" s="20" t="str">
        <x:v>M14-SHISHANG-0037-V1.0</x:v>
      </x:c>
      <x:c r="B1072" s="20" t="str">
        <x:v>规则</x:v>
      </x:c>
      <x:c r="C1072" s="20" t="str">
        <x:v>M14</x:v>
      </x:c>
      <x:c r="D1072" s="20" t="str">
        <x:v>14_格局候选判断</x:v>
      </x:c>
      <x:c r="E1072" s="20" t="str">
        <x:v>SHISHANG</x:v>
      </x:c>
      <x:c r="F1072" s="20" t="n">
        <x:v>37</x:v>
      </x:c>
      <x:c r="G1072" s="20" t="str">
        <x:v>V1.0</x:v>
      </x:c>
      <x:c r="H1072" s="20" t="str">
        <x:v>月令伤官主气生成伤官格候选</x:v>
      </x:c>
      <x:c r="I1072" s="20" t="str">
        <x:v>综合层</x:v>
      </x:c>
      <x:c r="J1072" s="20" t="str">
        <x:v>伤官格候选_候选</x:v>
      </x:c>
      <x:c r="K1072" s="20" t="str">
        <x:v>伤官格候选列为“候选”：主要依据为月令与格神有效性；仍需M15检验成格、破格、救应与层次。</x:v>
      </x:c>
      <x:c r="L1072" s="20" t="str">
        <x:v>较高</x:v>
      </x:c>
      <x:c r="M1072" s="20" t="str">
        <x:v>采用</x:v>
      </x:c>
      <x:c r="N1072" s="20" t="str">
        <x:v>初审</x:v>
      </x:c>
      <x:c r="O1072" s="22" t="n">
        <x:v>46260</x:v>
      </x:c>
      <x:c r="P1072" s="20" t="str">
        <x:v>https://zh.wikisource.org/zh-hans/%E6%B7%B5%E6%B5%B7%E5%AD%90%E5%B9%B3 ; https://zh.wikisource.org/wiki/%E6%BB%B4%E5%A4%A9%E9%AB%93%E9%97%A1%E5%BE%AE</x:v>
      </x:c>
    </x:row>
    <x:row r="1073">
      <x:c r="A1073" s="20" t="str">
        <x:v>M14-SHISHANG-0038-V1.0</x:v>
      </x:c>
      <x:c r="B1073" s="20" t="str">
        <x:v>规则</x:v>
      </x:c>
      <x:c r="C1073" s="20" t="str">
        <x:v>M14</x:v>
      </x:c>
      <x:c r="D1073" s="20" t="str">
        <x:v>14_格局候选判断</x:v>
      </x:c>
      <x:c r="E1073" s="20" t="str">
        <x:v>SHISHANG</x:v>
      </x:c>
      <x:c r="F1073" s="20" t="n">
        <x:v>38</x:v>
      </x:c>
      <x:c r="G1073" s="20" t="str">
        <x:v>V1.0</x:v>
      </x:c>
      <x:c r="H1073" s="20" t="str">
        <x:v>伤官生财可增强伤官格候选</x:v>
      </x:c>
      <x:c r="I1073" s="20" t="str">
        <x:v>综合层</x:v>
      </x:c>
      <x:c r="J1073" s="20" t="str">
        <x:v>伤官格_生财增强</x:v>
      </x:c>
      <x:c r="K1073" s="20" t="str">
        <x:v>伤官格候选列为“基本成立”：主要依据为月令与格神有效性；仍需M15检验成格、破格、救应与层次。</x:v>
      </x:c>
      <x:c r="L1073" s="20" t="str">
        <x:v>较高</x:v>
      </x:c>
      <x:c r="M1073" s="20" t="str">
        <x:v>采用</x:v>
      </x:c>
      <x:c r="N1073" s="20" t="str">
        <x:v>初审</x:v>
      </x:c>
      <x:c r="O1073" s="22" t="n">
        <x:v>46260</x:v>
      </x:c>
      <x:c r="P1073" s="20" t="str">
        <x:v>https://zh.wikisource.org/zh-hans/%E6%B7%B5%E6%B5%B7%E5%AD%90%E5%B9%B3 ; https://zh.wikisource.org/wiki/%E6%BB%B4%E5%A4%A9%E9%AB%93%E9%97%A1%E5%BE%AE</x:v>
      </x:c>
    </x:row>
    <x:row r="1074">
      <x:c r="A1074" s="20" t="str">
        <x:v>M14-SHISHANG-0039-V1.0</x:v>
      </x:c>
      <x:c r="B1074" s="20" t="str">
        <x:v>规则</x:v>
      </x:c>
      <x:c r="C1074" s="20" t="str">
        <x:v>M14</x:v>
      </x:c>
      <x:c r="D1074" s="20" t="str">
        <x:v>14_格局候选判断</x:v>
      </x:c>
      <x:c r="E1074" s="20" t="str">
        <x:v>SHISHANG</x:v>
      </x:c>
      <x:c r="F1074" s="20" t="n">
        <x:v>39</x:v>
      </x:c>
      <x:c r="G1074" s="20" t="str">
        <x:v>V1.0</x:v>
      </x:c>
      <x:c r="H1074" s="20" t="str">
        <x:v>伤官配印可增强并稳定伤官格候选</x:v>
      </x:c>
      <x:c r="I1074" s="20" t="str">
        <x:v>综合层</x:v>
      </x:c>
      <x:c r="J1074" s="20" t="str">
        <x:v>伤官格_配印增强</x:v>
      </x:c>
      <x:c r="K1074" s="20" t="str">
        <x:v>伤官格候选列为“基本成立”：主要依据为月令与格神有效性；仍需M15检验成格、破格、救应与层次。</x:v>
      </x:c>
      <x:c r="L1074" s="20" t="str">
        <x:v>较高</x:v>
      </x:c>
      <x:c r="M1074" s="20" t="str">
        <x:v>采用</x:v>
      </x:c>
      <x:c r="N1074" s="20" t="str">
        <x:v>初审</x:v>
      </x:c>
      <x:c r="O1074" s="22" t="n">
        <x:v>46260</x:v>
      </x:c>
      <x:c r="P1074" s="20" t="str">
        <x:v>https://zh.wikisource.org/zh-hans/%E6%B7%B5%E6%B5%B7%E5%AD%90%E5%B9%B3 ; https://zh.wikisource.org/wiki/%E6%BB%B4%E5%A4%A9%E9%AB%93%E9%97%A1%E5%BE%AE</x:v>
      </x:c>
    </x:row>
    <x:row r="1075">
      <x:c r="A1075" s="20" t="str">
        <x:v>M14-SHISHANG-0040-V1.0</x:v>
      </x:c>
      <x:c r="B1075" s="20" t="str">
        <x:v>规则</x:v>
      </x:c>
      <x:c r="C1075" s="20" t="str">
        <x:v>M14</x:v>
      </x:c>
      <x:c r="D1075" s="20" t="str">
        <x:v>14_格局候选判断</x:v>
      </x:c>
      <x:c r="E1075" s="20" t="str">
        <x:v>SHISHANG</x:v>
      </x:c>
      <x:c r="F1075" s="20" t="n">
        <x:v>40</x:v>
      </x:c>
      <x:c r="G1075" s="20" t="str">
        <x:v>V1.0</x:v>
      </x:c>
      <x:c r="H1075" s="20" t="str">
        <x:v>伤官见官无救应时伤官格候选带破</x:v>
      </x:c>
      <x:c r="I1075" s="20" t="str">
        <x:v>综合层</x:v>
      </x:c>
      <x:c r="J1075" s="20" t="str">
        <x:v>伤官格_见官有破</x:v>
      </x:c>
      <x:c r="K1075" s="20" t="str">
        <x:v>伤官格候选列为“成立但有破”：主要依据为月令与格神有效性；仍需M15检验成格、破格、救应与层次。</x:v>
      </x:c>
      <x:c r="L1075" s="20" t="str">
        <x:v>较高</x:v>
      </x:c>
      <x:c r="M1075" s="20" t="str">
        <x:v>采用</x:v>
      </x:c>
      <x:c r="N1075" s="20" t="str">
        <x:v>初审</x:v>
      </x:c>
      <x:c r="O1075" s="22" t="n">
        <x:v>46260</x:v>
      </x:c>
      <x:c r="P1075" s="20" t="str">
        <x:v>https://zh.wikisource.org/zh-hans/%E6%B7%B5%E6%B5%B7%E5%AD%90%E5%B9%B3 ; https://zh.wikisource.org/wiki/%E6%BB%B4%E5%A4%A9%E9%AB%93%E9%97%A1%E5%BE%AE</x:v>
      </x:c>
    </x:row>
    <x:row r="1076">
      <x:c r="A1076" s="20" t="str">
        <x:v>M14-JIANREN-0041-V1.0</x:v>
      </x:c>
      <x:c r="B1076" s="20" t="str">
        <x:v>规则</x:v>
      </x:c>
      <x:c r="C1076" s="20" t="str">
        <x:v>M14</x:v>
      </x:c>
      <x:c r="D1076" s="20" t="str">
        <x:v>14_格局候选判断</x:v>
      </x:c>
      <x:c r="E1076" s="20" t="str">
        <x:v>JIANREN</x:v>
      </x:c>
      <x:c r="F1076" s="20" t="n">
        <x:v>41</x:v>
      </x:c>
      <x:c r="G1076" s="20" t="str">
        <x:v>V1.0</x:v>
      </x:c>
      <x:c r="H1076" s="20" t="str">
        <x:v>日主临月令禄地生成建禄候选</x:v>
      </x:c>
      <x:c r="I1076" s="20" t="str">
        <x:v>综合层</x:v>
      </x:c>
      <x:c r="J1076" s="20" t="str">
        <x:v>建禄格候选_候选</x:v>
      </x:c>
      <x:c r="K1076" s="20" t="str">
        <x:v>建禄格候选列为“候选”：主要依据为月令与格神有效性；仍需M15检验成格、破格、救应与层次。</x:v>
      </x:c>
      <x:c r="L1076" s="20" t="str">
        <x:v>较高</x:v>
      </x:c>
      <x:c r="M1076" s="20" t="str">
        <x:v>采用</x:v>
      </x:c>
      <x:c r="N1076" s="20" t="str">
        <x:v>初审</x:v>
      </x:c>
      <x:c r="O1076" s="22" t="n">
        <x:v>46260</x:v>
      </x:c>
      <x:c r="P1076" s="20" t="str">
        <x:v>https://zh.wikisource.org/zh-hans/%E6%B7%B5%E6%B5%B7%E5%AD%90%E5%B9%B3 ; https://zh.wikisource.org/wiki/%E6%BB%B4%E5%A4%A9%E9%AB%93%E9%97%A1%E5%BE%AE</x:v>
      </x:c>
    </x:row>
    <x:row r="1077">
      <x:c r="A1077" s="20" t="str">
        <x:v>M14-JIANREN-0042-V1.0</x:v>
      </x:c>
      <x:c r="B1077" s="20" t="str">
        <x:v>规则</x:v>
      </x:c>
      <x:c r="C1077" s="20" t="str">
        <x:v>M14</x:v>
      </x:c>
      <x:c r="D1077" s="20" t="str">
        <x:v>14_格局候选判断</x:v>
      </x:c>
      <x:c r="E1077" s="20" t="str">
        <x:v>JIANREN</x:v>
      </x:c>
      <x:c r="F1077" s="20" t="n">
        <x:v>42</x:v>
      </x:c>
      <x:c r="G1077" s="20" t="str">
        <x:v>V1.0</x:v>
      </x:c>
      <x:c r="H1077" s="20" t="str">
        <x:v>建禄不等于最终身旺无疑</x:v>
      </x:c>
      <x:c r="I1077" s="20" t="str">
        <x:v>综合层</x:v>
      </x:c>
      <x:c r="J1077" s="20" t="str">
        <x:v>建禄_旺衰边界</x:v>
      </x:c>
      <x:c r="K1077" s="20" t="str">
        <x:v>建禄可列候选，但日主最终旺衰与格局运行仍需结合全局制泄耗，不得仅凭月令禄地定旺或定格。</x:v>
      </x:c>
      <x:c r="L1077" s="20" t="str">
        <x:v>较高</x:v>
      </x:c>
      <x:c r="M1077" s="20" t="str">
        <x:v>采用</x:v>
      </x:c>
      <x:c r="N1077" s="20" t="str">
        <x:v>初审</x:v>
      </x:c>
      <x:c r="O1077" s="22" t="n">
        <x:v>46260</x:v>
      </x:c>
      <x:c r="P1077" s="20" t="str">
        <x:v>https://zh.wikisource.org/zh-hans/%E6%B7%B5%E6%B5%B7%E5%AD%90%E5%B9%B3 ; https://zh.wikisource.org/wiki/%E6%BB%B4%E5%A4%A9%E9%AB%93%E9%97%A1%E5%BE%AE</x:v>
      </x:c>
    </x:row>
    <x:row r="1078">
      <x:c r="A1078" s="20" t="str">
        <x:v>M14-JIANREN-0043-V1.0</x:v>
      </x:c>
      <x:c r="B1078" s="20" t="str">
        <x:v>规则</x:v>
      </x:c>
      <x:c r="C1078" s="20" t="str">
        <x:v>M14</x:v>
      </x:c>
      <x:c r="D1078" s="20" t="str">
        <x:v>14_格局候选判断</x:v>
      </x:c>
      <x:c r="E1078" s="20" t="str">
        <x:v>JIANREN</x:v>
      </x:c>
      <x:c r="F1078" s="20" t="n">
        <x:v>43</x:v>
      </x:c>
      <x:c r="G1078" s="20" t="str">
        <x:v>V1.0</x:v>
      </x:c>
      <x:c r="H1078" s="20" t="str">
        <x:v>建禄遇财官食伤有效时形成主要替代结构</x:v>
      </x:c>
      <x:c r="I1078" s="20" t="str">
        <x:v>综合层</x:v>
      </x:c>
      <x:c r="J1078" s="20" t="str">
        <x:v>建禄_取用方向</x:v>
      </x:c>
      <x:c r="K1078" s="20" t="str">
        <x:v>建禄格候选列为“候选”：主要依据为月令与格神有效性；仍需M15检验成格、破格、救应与层次。</x:v>
      </x:c>
      <x:c r="L1078" s="20" t="str">
        <x:v>较高</x:v>
      </x:c>
      <x:c r="M1078" s="20" t="str">
        <x:v>采用</x:v>
      </x:c>
      <x:c r="N1078" s="20" t="str">
        <x:v>初审</x:v>
      </x:c>
      <x:c r="O1078" s="22" t="n">
        <x:v>46260</x:v>
      </x:c>
      <x:c r="P1078" s="20" t="str">
        <x:v>https://zh.wikisource.org/zh-hans/%E6%B7%B5%E6%B5%B7%E5%AD%90%E5%B9%B3 ; https://zh.wikisource.org/wiki/%E6%BB%B4%E5%A4%A9%E9%AB%93%E9%97%A1%E5%BE%AE</x:v>
      </x:c>
    </x:row>
    <x:row r="1079">
      <x:c r="A1079" s="20" t="str">
        <x:v>M14-JIANREN-0044-V1.0</x:v>
      </x:c>
      <x:c r="B1079" s="20" t="str">
        <x:v>规则</x:v>
      </x:c>
      <x:c r="C1079" s="20" t="str">
        <x:v>M14</x:v>
      </x:c>
      <x:c r="D1079" s="20" t="str">
        <x:v>14_格局候选判断</x:v>
      </x:c>
      <x:c r="E1079" s="20" t="str">
        <x:v>JIANREN</x:v>
      </x:c>
      <x:c r="F1079" s="20" t="n">
        <x:v>44</x:v>
      </x:c>
      <x:c r="G1079" s="20" t="str">
        <x:v>V1.0</x:v>
      </x:c>
      <x:c r="H1079" s="20" t="str">
        <x:v>比劫过旺无泄时建禄候选带壅塞</x:v>
      </x:c>
      <x:c r="I1079" s="20" t="str">
        <x:v>综合层</x:v>
      </x:c>
      <x:c r="J1079" s="20" t="str">
        <x:v>建禄_比劫壅塞</x:v>
      </x:c>
      <x:c r="K1079" s="20" t="str">
        <x:v>建禄格候选列为“成立但有破”：主要依据为月令与格神有效性；仍需M15检验成格、破格、救应与层次。</x:v>
      </x:c>
      <x:c r="L1079" s="20" t="str">
        <x:v>较高</x:v>
      </x:c>
      <x:c r="M1079" s="20" t="str">
        <x:v>采用</x:v>
      </x:c>
      <x:c r="N1079" s="20" t="str">
        <x:v>初审</x:v>
      </x:c>
      <x:c r="O1079" s="22" t="n">
        <x:v>46260</x:v>
      </x:c>
      <x:c r="P1079" s="20" t="str">
        <x:v>https://zh.wikisource.org/zh-hans/%E6%B7%B5%E6%B5%B7%E5%AD%90%E5%B9%B3 ; https://zh.wikisource.org/wiki/%E6%BB%B4%E5%A4%A9%E9%AB%93%E9%97%A1%E5%BE%AE</x:v>
      </x:c>
    </x:row>
    <x:row r="1080">
      <x:c r="A1080" s="20" t="str">
        <x:v>M14-JIANREN-0045-V1.0</x:v>
      </x:c>
      <x:c r="B1080" s="20" t="str">
        <x:v>规则</x:v>
      </x:c>
      <x:c r="C1080" s="20" t="str">
        <x:v>M14</x:v>
      </x:c>
      <x:c r="D1080" s="20" t="str">
        <x:v>14_格局候选判断</x:v>
      </x:c>
      <x:c r="E1080" s="20" t="str">
        <x:v>JIANREN</x:v>
      </x:c>
      <x:c r="F1080" s="20" t="n">
        <x:v>45</x:v>
      </x:c>
      <x:c r="G1080" s="20" t="str">
        <x:v>V1.0</x:v>
      </x:c>
      <x:c r="H1080" s="20" t="str">
        <x:v>月令为日主羊刃地生成羊刃候选</x:v>
      </x:c>
      <x:c r="I1080" s="20" t="str">
        <x:v>综合层</x:v>
      </x:c>
      <x:c r="J1080" s="20" t="str">
        <x:v>羊刃格候选_候选</x:v>
      </x:c>
      <x:c r="K1080" s="20" t="str">
        <x:v>羊刃格候选列为“候选”：主要依据为月令与格神有效性；仍需M15检验成格、破格、救应与层次。</x:v>
      </x:c>
      <x:c r="L1080" s="20" t="str">
        <x:v>较高</x:v>
      </x:c>
      <x:c r="M1080" s="20" t="str">
        <x:v>采用</x:v>
      </x:c>
      <x:c r="N1080" s="20" t="str">
        <x:v>初审</x:v>
      </x:c>
      <x:c r="O1080" s="22" t="n">
        <x:v>46260</x:v>
      </x:c>
      <x:c r="P1080" s="20" t="str">
        <x:v>https://zh.wikisource.org/zh-hans/%E6%B7%B5%E6%B5%B7%E5%AD%90%E5%B9%B3 ; https://zh.wikisource.org/wiki/%E6%BB%B4%E5%A4%A9%E9%AB%93%E9%97%A1%E5%BE%AE</x:v>
      </x:c>
    </x:row>
    <x:row r="1081">
      <x:c r="A1081" s="20" t="str">
        <x:v>M14-JIANREN-0046-V1.0</x:v>
      </x:c>
      <x:c r="B1081" s="20" t="str">
        <x:v>规则</x:v>
      </x:c>
      <x:c r="C1081" s="20" t="str">
        <x:v>M14</x:v>
      </x:c>
      <x:c r="D1081" s="20" t="str">
        <x:v>14_格局候选判断</x:v>
      </x:c>
      <x:c r="E1081" s="20" t="str">
        <x:v>JIANREN</x:v>
      </x:c>
      <x:c r="F1081" s="20" t="n">
        <x:v>46</x:v>
      </x:c>
      <x:c r="G1081" s="20" t="str">
        <x:v>V1.0</x:v>
      </x:c>
      <x:c r="H1081" s="20" t="str">
        <x:v>羊刃驾杀成立可增强羊刃候选</x:v>
      </x:c>
      <x:c r="I1081" s="20" t="str">
        <x:v>综合层</x:v>
      </x:c>
      <x:c r="J1081" s="20" t="str">
        <x:v>羊刃_驾杀增强</x:v>
      </x:c>
      <x:c r="K1081" s="20" t="str">
        <x:v>羊刃格候选列为“基本成立”：主要依据为月令与格神有效性；仍需M15检验成格、破格、救应与层次。</x:v>
      </x:c>
      <x:c r="L1081" s="20" t="str">
        <x:v>较高</x:v>
      </x:c>
      <x:c r="M1081" s="20" t="str">
        <x:v>采用</x:v>
      </x:c>
      <x:c r="N1081" s="20" t="str">
        <x:v>初审</x:v>
      </x:c>
      <x:c r="O1081" s="22" t="n">
        <x:v>46260</x:v>
      </x:c>
      <x:c r="P1081" s="20" t="str">
        <x:v>https://zh.wikisource.org/zh-hans/%E6%B7%B5%E6%B5%B7%E5%AD%90%E5%B9%B3 ; https://zh.wikisource.org/wiki/%E6%BB%B4%E5%A4%A9%E9%AB%93%E9%97%A1%E5%BE%AE</x:v>
      </x:c>
    </x:row>
    <x:row r="1082">
      <x:c r="A1082" s="20" t="str">
        <x:v>M14-JIANREN-0047-V1.0</x:v>
      </x:c>
      <x:c r="B1082" s="20" t="str">
        <x:v>规则</x:v>
      </x:c>
      <x:c r="C1082" s="20" t="str">
        <x:v>M14</x:v>
      </x:c>
      <x:c r="D1082" s="20" t="str">
        <x:v>14_格局候选判断</x:v>
      </x:c>
      <x:c r="E1082" s="20" t="str">
        <x:v>JIANREN</x:v>
      </x:c>
      <x:c r="F1082" s="20" t="n">
        <x:v>47</x:v>
      </x:c>
      <x:c r="G1082" s="20" t="str">
        <x:v>V1.0</x:v>
      </x:c>
      <x:c r="H1082" s="20" t="str">
        <x:v>杀弱无根不足以驾刃时羊刃驾杀候选排除</x:v>
      </x:c>
      <x:c r="I1082" s="20" t="str">
        <x:v>综合层</x:v>
      </x:c>
      <x:c r="J1082" s="20" t="str">
        <x:v>羊刃_杀弱</x:v>
      </x:c>
      <x:c r="K1082" s="20" t="str">
        <x:v>羊刃格候选列为“候选”：主要依据为月令与格神有效性；仍需M15检验成格、破格、救应与层次。</x:v>
      </x:c>
      <x:c r="L1082" s="20" t="str">
        <x:v>较高</x:v>
      </x:c>
      <x:c r="M1082" s="20" t="str">
        <x:v>采用</x:v>
      </x:c>
      <x:c r="N1082" s="20" t="str">
        <x:v>初审</x:v>
      </x:c>
      <x:c r="O1082" s="22" t="n">
        <x:v>46260</x:v>
      </x:c>
      <x:c r="P1082" s="20" t="str">
        <x:v>https://zh.wikisource.org/zh-hans/%E6%B7%B5%E6%B5%B7%E5%AD%90%E5%B9%B3 ; https://zh.wikisource.org/wiki/%E6%BB%B4%E5%A4%A9%E9%AB%93%E9%97%A1%E5%BE%AE</x:v>
      </x:c>
    </x:row>
    <x:row r="1083">
      <x:c r="A1083" s="20" t="str">
        <x:v>M14-JIANREN-0048-V1.0</x:v>
      </x:c>
      <x:c r="B1083" s="20" t="str">
        <x:v>规则</x:v>
      </x:c>
      <x:c r="C1083" s="20" t="str">
        <x:v>M14</x:v>
      </x:c>
      <x:c r="D1083" s="20" t="str">
        <x:v>14_格局候选判断</x:v>
      </x:c>
      <x:c r="E1083" s="20" t="str">
        <x:v>JIANREN</x:v>
      </x:c>
      <x:c r="F1083" s="20" t="n">
        <x:v>48</x:v>
      </x:c>
      <x:c r="G1083" s="20" t="str">
        <x:v>V1.0</x:v>
      </x:c>
      <x:c r="H1083" s="20" t="str">
        <x:v>阴干羊刃映射应作为争议规则管理</x:v>
      </x:c>
      <x:c r="I1083" s="20" t="str">
        <x:v>综合层</x:v>
      </x:c>
      <x:c r="J1083" s="20" t="str">
        <x:v>阴干羊刃_流派争议</x:v>
      </x:c>
      <x:c r="K1083" s="20" t="str">
        <x:v>羊刃格候选列为“待定”：主要依据为月令与格神有效性；仍需M15检验成格、破格、救应与层次。</x:v>
      </x:c>
      <x:c r="L1083" s="20" t="str">
        <x:v>待验证</x:v>
      </x:c>
      <x:c r="M1083" s="20" t="str">
        <x:v>待验证</x:v>
      </x:c>
      <x:c r="N1083" s="20" t="str">
        <x:v>初审</x:v>
      </x:c>
      <x:c r="O1083" s="22" t="n">
        <x:v>46260</x:v>
      </x:c>
      <x:c r="P1083" s="20" t="str">
        <x:v>https://zh.wikisource.org/wiki/%E6%BB%B4%E5%A4%A9%E9%AB%93%E9%97%A1%E5%BE%AE ; https://zh.wikisource.org/zh-hans/%E6%BB%B4%E5%A4%A9%E9%AB%93</x:v>
      </x:c>
    </x:row>
    <x:row r="1084">
      <x:c r="A1084" s="20" t="str">
        <x:v>M14-CONG-0049-V1.0</x:v>
      </x:c>
      <x:c r="B1084" s="20" t="str">
        <x:v>规则</x:v>
      </x:c>
      <x:c r="C1084" s="20" t="str">
        <x:v>M14</x:v>
      </x:c>
      <x:c r="D1084" s="20" t="str">
        <x:v>14_格局候选判断</x:v>
      </x:c>
      <x:c r="E1084" s="20" t="str">
        <x:v>CONG</x:v>
      </x:c>
      <x:c r="F1084" s="20" t="n">
        <x:v>49</x:v>
      </x:c>
      <x:c r="G1084" s="20" t="str">
        <x:v>V1.0</x:v>
      </x:c>
      <x:c r="H1084" s="20" t="str">
        <x:v>日主孤立无气是从格核心门槛</x:v>
      </x:c>
      <x:c r="I1084" s="20" t="str">
        <x:v>综合层</x:v>
      </x:c>
      <x:c r="J1084" s="20" t="str">
        <x:v>从格_通用硬门槛</x:v>
      </x:c>
      <x:c r="K1084" s="20" t="str">
        <x:v>从格通用候选列为“候选”：主要依据为月令与格神有效性；仍需M15检验成格、破格、救应与层次。</x:v>
      </x:c>
      <x:c r="L1084" s="20" t="str">
        <x:v>较高</x:v>
      </x:c>
      <x:c r="M1084" s="20" t="str">
        <x:v>采用</x:v>
      </x:c>
      <x:c r="N1084" s="20" t="str">
        <x:v>初审</x:v>
      </x:c>
      <x:c r="O1084" s="22" t="n">
        <x:v>46260</x:v>
      </x:c>
      <x:c r="P1084" s="20" t="str">
        <x:v>https://zh.wikisource.org/wiki/%E6%BB%B4%E5%A4%A9%E9%AB%93%E9%97%A1%E5%BE%AE ; https://zh.wikisource.org/zh-hans/%E6%BB%B4%E5%A4%A9%E9%AB%93</x:v>
      </x:c>
    </x:row>
    <x:row r="1085">
      <x:c r="A1085" s="20" t="str">
        <x:v>M14-CONG-0050-V1.0</x:v>
      </x:c>
      <x:c r="B1085" s="20" t="str">
        <x:v>规则</x:v>
      </x:c>
      <x:c r="C1085" s="20" t="str">
        <x:v>M14</x:v>
      </x:c>
      <x:c r="D1085" s="20" t="str">
        <x:v>14_格局候选判断</x:v>
      </x:c>
      <x:c r="E1085" s="20" t="str">
        <x:v>CONG</x:v>
      </x:c>
      <x:c r="F1085" s="20" t="n">
        <x:v>50</x:v>
      </x:c>
      <x:c r="G1085" s="20" t="str">
        <x:v>V1.0</x:v>
      </x:c>
      <x:c r="H1085" s="20" t="str">
        <x:v>财星成势且日主无依生成从财候选</x:v>
      </x:c>
      <x:c r="I1085" s="20" t="str">
        <x:v>综合层</x:v>
      </x:c>
      <x:c r="J1085" s="20" t="str">
        <x:v>从财格候选_候选</x:v>
      </x:c>
      <x:c r="K1085" s="20" t="str">
        <x:v>从财格候选列为“候选”：主要依据为月令与格神有效性；仍需M15检验成格、破格、救应与层次。</x:v>
      </x:c>
      <x:c r="L1085" s="20" t="str">
        <x:v>较高</x:v>
      </x:c>
      <x:c r="M1085" s="20" t="str">
        <x:v>采用</x:v>
      </x:c>
      <x:c r="N1085" s="20" t="str">
        <x:v>初审</x:v>
      </x:c>
      <x:c r="O1085" s="22" t="n">
        <x:v>46260</x:v>
      </x:c>
      <x:c r="P1085" s="20" t="str">
        <x:v>https://zh.wikisource.org/wiki/%E6%BB%B4%E5%A4%A9%E9%AB%93%E9%97%A1%E5%BE%AE ; https://zh.wikisource.org/zh-hans/%E6%BB%B4%E5%A4%A9%E9%AB%93</x:v>
      </x:c>
    </x:row>
    <x:row r="1086">
      <x:c r="A1086" s="20" t="str">
        <x:v>M14-CONG-0051-V1.0</x:v>
      </x:c>
      <x:c r="B1086" s="20" t="str">
        <x:v>规则</x:v>
      </x:c>
      <x:c r="C1086" s="20" t="str">
        <x:v>M14</x:v>
      </x:c>
      <x:c r="D1086" s="20" t="str">
        <x:v>14_格局候选判断</x:v>
      </x:c>
      <x:c r="E1086" s="20" t="str">
        <x:v>CONG</x:v>
      </x:c>
      <x:c r="F1086" s="20" t="n">
        <x:v>51</x:v>
      </x:c>
      <x:c r="G1086" s="20" t="str">
        <x:v>V1.0</x:v>
      </x:c>
      <x:c r="H1086" s="20" t="str">
        <x:v>官杀成势且日主无依生成从官杀候选</x:v>
      </x:c>
      <x:c r="I1086" s="20" t="str">
        <x:v>综合层</x:v>
      </x:c>
      <x:c r="J1086" s="20" t="str">
        <x:v>从官杀格候选_候选</x:v>
      </x:c>
      <x:c r="K1086" s="20" t="str">
        <x:v>从官杀格候选列为“候选”：主要依据为月令与格神有效性；仍需M15检验成格、破格、救应与层次。</x:v>
      </x:c>
      <x:c r="L1086" s="20" t="str">
        <x:v>较高</x:v>
      </x:c>
      <x:c r="M1086" s="20" t="str">
        <x:v>采用</x:v>
      </x:c>
      <x:c r="N1086" s="20" t="str">
        <x:v>初审</x:v>
      </x:c>
      <x:c r="O1086" s="22" t="n">
        <x:v>46260</x:v>
      </x:c>
      <x:c r="P1086" s="20" t="str">
        <x:v>https://zh.wikisource.org/wiki/%E6%BB%B4%E5%A4%A9%E9%AB%93%E9%97%A1%E5%BE%AE ; https://zh.wikisource.org/zh-hans/%E6%BB%B4%E5%A4%A9%E9%AB%93</x:v>
      </x:c>
    </x:row>
    <x:row r="1087">
      <x:c r="A1087" s="20" t="str">
        <x:v>M14-CONG-0052-V1.0</x:v>
      </x:c>
      <x:c r="B1087" s="20" t="str">
        <x:v>规则</x:v>
      </x:c>
      <x:c r="C1087" s="20" t="str">
        <x:v>M14</x:v>
      </x:c>
      <x:c r="D1087" s="20" t="str">
        <x:v>14_格局候选判断</x:v>
      </x:c>
      <x:c r="E1087" s="20" t="str">
        <x:v>CONG</x:v>
      </x:c>
      <x:c r="F1087" s="20" t="n">
        <x:v>52</x:v>
      </x:c>
      <x:c r="G1087" s="20" t="str">
        <x:v>V1.0</x:v>
      </x:c>
      <x:c r="H1087" s="20" t="str">
        <x:v>食伤成势并有财承接生成从儿候选</x:v>
      </x:c>
      <x:c r="I1087" s="20" t="str">
        <x:v>综合层</x:v>
      </x:c>
      <x:c r="J1087" s="20" t="str">
        <x:v>从儿格候选_候选</x:v>
      </x:c>
      <x:c r="K1087" s="20" t="str">
        <x:v>从儿格候选列为“候选”：主要依据为月令与格神有效性；仍需M15检验成格、破格、救应与层次。</x:v>
      </x:c>
      <x:c r="L1087" s="20" t="str">
        <x:v>较高</x:v>
      </x:c>
      <x:c r="M1087" s="20" t="str">
        <x:v>采用</x:v>
      </x:c>
      <x:c r="N1087" s="20" t="str">
        <x:v>初审</x:v>
      </x:c>
      <x:c r="O1087" s="22" t="n">
        <x:v>46260</x:v>
      </x:c>
      <x:c r="P1087" s="20" t="str">
        <x:v>https://zh.wikisource.org/wiki/%E6%BB%B4%E5%A4%A9%E9%AB%93%E9%97%A1%E5%BE%AE ; https://zh.wikisource.org/zh-hans/%E6%BB%B4%E5%A4%A9%E9%AB%93</x:v>
      </x:c>
    </x:row>
    <x:row r="1088">
      <x:c r="A1088" s="20" t="str">
        <x:v>M14-CONG-0053-V1.0</x:v>
      </x:c>
      <x:c r="B1088" s="20" t="str">
        <x:v>规则</x:v>
      </x:c>
      <x:c r="C1088" s="20" t="str">
        <x:v>M14</x:v>
      </x:c>
      <x:c r="D1088" s="20" t="str">
        <x:v>14_格局候选判断</x:v>
      </x:c>
      <x:c r="E1088" s="20" t="str">
        <x:v>CONG</x:v>
      </x:c>
      <x:c r="F1088" s="20" t="n">
        <x:v>53</x:v>
      </x:c>
      <x:c r="G1088" s="20" t="str">
        <x:v>V1.0</x:v>
      </x:c>
      <x:c r="H1088" s="20" t="str">
        <x:v>比劫一气旺极生成从旺候选</x:v>
      </x:c>
      <x:c r="I1088" s="20" t="str">
        <x:v>综合层</x:v>
      </x:c>
      <x:c r="J1088" s="20" t="str">
        <x:v>从旺格候选_候选</x:v>
      </x:c>
      <x:c r="K1088" s="20" t="str">
        <x:v>从旺格候选列为“候选”：主要依据为月令与格神有效性；仍需M15检验成格、破格、救应与层次。</x:v>
      </x:c>
      <x:c r="L1088" s="20" t="str">
        <x:v>较高</x:v>
      </x:c>
      <x:c r="M1088" s="20" t="str">
        <x:v>采用</x:v>
      </x:c>
      <x:c r="N1088" s="20" t="str">
        <x:v>初审</x:v>
      </x:c>
      <x:c r="O1088" s="22" t="n">
        <x:v>46260</x:v>
      </x:c>
      <x:c r="P1088" s="20" t="str">
        <x:v>https://zh.wikisource.org/wiki/%E6%BB%B4%E5%A4%A9%E9%AB%93%E9%97%A1%E5%BE%AE ; https://zh.wikisource.org/zh-hans/%E6%BB%B4%E5%A4%A9%E9%AB%93</x:v>
      </x:c>
    </x:row>
    <x:row r="1089">
      <x:c r="A1089" s="20" t="str">
        <x:v>M14-CONG-0054-V1.0</x:v>
      </x:c>
      <x:c r="B1089" s="20" t="str">
        <x:v>规则</x:v>
      </x:c>
      <x:c r="C1089" s="20" t="str">
        <x:v>M14</x:v>
      </x:c>
      <x:c r="D1089" s="20" t="str">
        <x:v>14_格局候选判断</x:v>
      </x:c>
      <x:c r="E1089" s="20" t="str">
        <x:v>CONG</x:v>
      </x:c>
      <x:c r="F1089" s="20" t="n">
        <x:v>54</x:v>
      </x:c>
      <x:c r="G1089" s="20" t="str">
        <x:v>V1.0</x:v>
      </x:c>
      <x:c r="H1089" s="20" t="str">
        <x:v>印比重重且日主当令生成从强候选</x:v>
      </x:c>
      <x:c r="I1089" s="20" t="str">
        <x:v>综合层</x:v>
      </x:c>
      <x:c r="J1089" s="20" t="str">
        <x:v>从强格候选_候选</x:v>
      </x:c>
      <x:c r="K1089" s="20" t="str">
        <x:v>从强格候选列为“候选”：主要依据为月令与格神有效性；仍需M15检验成格、破格、救应与层次。</x:v>
      </x:c>
      <x:c r="L1089" s="20" t="str">
        <x:v>较高</x:v>
      </x:c>
      <x:c r="M1089" s="20" t="str">
        <x:v>采用</x:v>
      </x:c>
      <x:c r="N1089" s="20" t="str">
        <x:v>初审</x:v>
      </x:c>
      <x:c r="O1089" s="22" t="n">
        <x:v>46260</x:v>
      </x:c>
      <x:c r="P1089" s="20" t="str">
        <x:v>https://zh.wikisource.org/wiki/%E6%BB%B4%E5%A4%A9%E9%AB%93%E9%97%A1%E5%BE%AE ; https://zh.wikisource.org/zh-hans/%E6%BB%B4%E5%A4%A9%E9%AB%93</x:v>
      </x:c>
    </x:row>
    <x:row r="1090">
      <x:c r="A1090" s="20" t="str">
        <x:v>M14-CONG-0055-V1.0</x:v>
      </x:c>
      <x:c r="B1090" s="20" t="str">
        <x:v>规则</x:v>
      </x:c>
      <x:c r="C1090" s="20" t="str">
        <x:v>M14</x:v>
      </x:c>
      <x:c r="D1090" s="20" t="str">
        <x:v>14_格局候选判断</x:v>
      </x:c>
      <x:c r="E1090" s="20" t="str">
        <x:v>CONG</x:v>
      </x:c>
      <x:c r="F1090" s="20" t="n">
        <x:v>55</x:v>
      </x:c>
      <x:c r="G1090" s="20" t="str">
        <x:v>V1.0</x:v>
      </x:c>
      <x:c r="H1090" s="20" t="str">
        <x:v>财官食伤混合成势而日主无根可生成从势候选</x:v>
      </x:c>
      <x:c r="I1090" s="20" t="str">
        <x:v>综合层</x:v>
      </x:c>
      <x:c r="J1090" s="20" t="str">
        <x:v>从势格候选_候选</x:v>
      </x:c>
      <x:c r="K1090" s="20" t="str">
        <x:v>从势格候选列为“候选”：主要依据为月令与格神有效性；仍需M15检验成格、破格、救应与层次。</x:v>
      </x:c>
      <x:c r="L1090" s="20" t="str">
        <x:v>较高</x:v>
      </x:c>
      <x:c r="M1090" s="20" t="str">
        <x:v>采用</x:v>
      </x:c>
      <x:c r="N1090" s="20" t="str">
        <x:v>初审</x:v>
      </x:c>
      <x:c r="O1090" s="22" t="n">
        <x:v>46260</x:v>
      </x:c>
      <x:c r="P1090" s="20" t="str">
        <x:v>https://zh.wikisource.org/wiki/%E6%BB%B4%E5%A4%A9%E9%AB%93%E9%97%A1%E5%BE%AE ; https://zh.wikisource.org/zh-hans/%E6%BB%B4%E5%A4%A9%E9%AB%93</x:v>
      </x:c>
    </x:row>
    <x:row r="1091">
      <x:c r="A1091" s="20" t="str">
        <x:v>M14-CONG-0056-V1.0</x:v>
      </x:c>
      <x:c r="B1091" s="20" t="str">
        <x:v>规则</x:v>
      </x:c>
      <x:c r="C1091" s="20" t="str">
        <x:v>M14</x:v>
      </x:c>
      <x:c r="D1091" s="20" t="str">
        <x:v>14_格局候选判断</x:v>
      </x:c>
      <x:c r="E1091" s="20" t="str">
        <x:v>CONG</x:v>
      </x:c>
      <x:c r="F1091" s="20" t="n">
        <x:v>56</x:v>
      </x:c>
      <x:c r="G1091" s="20" t="str">
        <x:v>V1.0</x:v>
      </x:c>
      <x:c r="H1091" s="20" t="str">
        <x:v>残根或微弱印比存在时只能生成假从候选</x:v>
      </x:c>
      <x:c r="I1091" s="20" t="str">
        <x:v>综合层</x:v>
      </x:c>
      <x:c r="J1091" s="20" t="str">
        <x:v>假从_候选</x:v>
      </x:c>
      <x:c r="K1091" s="20" t="str">
        <x:v>假从候选列为“候选”：主要依据为月令与格神有效性；仍需M15检验成格、破格、救应与层次。</x:v>
      </x:c>
      <x:c r="L1091" s="20" t="str">
        <x:v>中等</x:v>
      </x:c>
      <x:c r="M1091" s="20" t="str">
        <x:v>待验证</x:v>
      </x:c>
      <x:c r="N1091" s="20" t="str">
        <x:v>初审</x:v>
      </x:c>
      <x:c r="O1091" s="22" t="n">
        <x:v>46260</x:v>
      </x:c>
      <x:c r="P1091" s="20" t="str">
        <x:v>https://zh.wikisource.org/wiki/%E6%BB%B4%E5%A4%A9%E9%AB%93%E9%97%A1%E5%BE%AE ; https://zh.wikisource.org/zh-hans/%E6%BB%B4%E5%A4%A9%E9%AB%93</x:v>
      </x:c>
    </x:row>
    <x:row r="1092">
      <x:c r="A1092" s="20" t="str">
        <x:v>M14-CONG-0057-V1.0</x:v>
      </x:c>
      <x:c r="B1092" s="20" t="str">
        <x:v>规则</x:v>
      </x:c>
      <x:c r="C1092" s="20" t="str">
        <x:v>M14</x:v>
      </x:c>
      <x:c r="D1092" s="20" t="str">
        <x:v>14_格局候选判断</x:v>
      </x:c>
      <x:c r="E1092" s="20" t="str">
        <x:v>CONG</x:v>
      </x:c>
      <x:c r="F1092" s="20" t="n">
        <x:v>57</x:v>
      </x:c>
      <x:c r="G1092" s="20" t="str">
        <x:v>V1.0</x:v>
      </x:c>
      <x:c r="H1092" s="20" t="str">
        <x:v>一枚有效强根或有力印比可否决真从候选</x:v>
      </x:c>
      <x:c r="I1092" s="20" t="str">
        <x:v>综合层</x:v>
      </x:c>
      <x:c r="J1092" s="20" t="str">
        <x:v>真从_强根否决</x:v>
      </x:c>
      <x:c r="K1092" s="20" t="str">
        <x:v>从格通用候选列为“不成立”：主要依据为月令与格神有效性；仍需M15检验成格、破格、救应与层次。</x:v>
      </x:c>
      <x:c r="L1092" s="20" t="str">
        <x:v>较高</x:v>
      </x:c>
      <x:c r="M1092" s="20" t="str">
        <x:v>采用</x:v>
      </x:c>
      <x:c r="N1092" s="20" t="str">
        <x:v>初审</x:v>
      </x:c>
      <x:c r="O1092" s="22" t="n">
        <x:v>46260</x:v>
      </x:c>
      <x:c r="P1092" s="20" t="str">
        <x:v>https://zh.wikisource.org/wiki/%E6%BB%B4%E5%A4%A9%E9%AB%93%E9%97%A1%E5%BE%AE ; https://zh.wikisource.org/zh-hans/%E6%BB%B4%E5%A4%A9%E9%AB%93</x:v>
      </x:c>
    </x:row>
    <x:row r="1093">
      <x:c r="A1093" s="20" t="str">
        <x:v>M14-CONG-0058-V1.0</x:v>
      </x:c>
      <x:c r="B1093" s="20" t="str">
        <x:v>规则</x:v>
      </x:c>
      <x:c r="C1093" s="20" t="str">
        <x:v>M14</x:v>
      </x:c>
      <x:c r="D1093" s="20" t="str">
        <x:v>14_格局候选判断</x:v>
      </x:c>
      <x:c r="E1093" s="20" t="str">
        <x:v>CONG</x:v>
      </x:c>
      <x:c r="F1093" s="20" t="n">
        <x:v>58</x:v>
      </x:c>
      <x:c r="G1093" s="20" t="str">
        <x:v>V1.0</x:v>
      </x:c>
      <x:c r="H1093" s="20" t="str">
        <x:v>身弱不等于从格</x:v>
      </x:c>
      <x:c r="I1093" s="20" t="str">
        <x:v>综合层</x:v>
      </x:c>
      <x:c r="J1093" s="20" t="str">
        <x:v>身弱非从格</x:v>
      </x:c>
      <x:c r="K1093" s="20" t="str">
        <x:v>从格通用候选列为“不成立”：主要依据为月令与格神有效性；仍需M15检验成格、破格、救应与层次。</x:v>
      </x:c>
      <x:c r="L1093" s="20" t="str">
        <x:v>较高</x:v>
      </x:c>
      <x:c r="M1093" s="20" t="str">
        <x:v>采用</x:v>
      </x:c>
      <x:c r="N1093" s="20" t="str">
        <x:v>初审</x:v>
      </x:c>
      <x:c r="O1093" s="22" t="n">
        <x:v>46260</x:v>
      </x:c>
      <x:c r="P1093" s="20" t="str">
        <x:v>https://zh.wikisource.org/wiki/%E6%BB%B4%E5%A4%A9%E9%AB%93%E9%97%A1%E5%BE%AE ; https://zh.wikisource.org/zh-hans/%E6%BB%B4%E5%A4%A9%E9%AB%93</x:v>
      </x:c>
    </x:row>
    <x:row r="1094">
      <x:c r="A1094" s="20" t="str">
        <x:v>M14-HUAQI-0059-V1.0</x:v>
      </x:c>
      <x:c r="B1094" s="20" t="str">
        <x:v>规则</x:v>
      </x:c>
      <x:c r="C1094" s="20" t="str">
        <x:v>M14</x:v>
      </x:c>
      <x:c r="D1094" s="20" t="str">
        <x:v>14_格局候选判断</x:v>
      </x:c>
      <x:c r="E1094" s="20" t="str">
        <x:v>HUAQI</x:v>
      </x:c>
      <x:c r="F1094" s="20" t="n">
        <x:v>59</x:v>
      </x:c>
      <x:c r="G1094" s="20" t="str">
        <x:v>V1.0</x:v>
      </x:c>
      <x:c r="H1094" s="20" t="str">
        <x:v>日主参与天干五合并满足化神主导才生成化气候选</x:v>
      </x:c>
      <x:c r="I1094" s="20" t="str">
        <x:v>综合层</x:v>
      </x:c>
      <x:c r="J1094" s="20" t="str">
        <x:v>化气格_通用硬门槛</x:v>
      </x:c>
      <x:c r="K1094" s="20" t="str">
        <x:v>化气格通用候选列为“候选”：主要依据为月令与格神有效性；仍需M15检验成格、破格、救应与层次。</x:v>
      </x:c>
      <x:c r="L1094" s="20" t="str">
        <x:v>较高</x:v>
      </x:c>
      <x:c r="M1094" s="20" t="str">
        <x:v>采用</x:v>
      </x:c>
      <x:c r="N1094" s="20" t="str">
        <x:v>初审</x:v>
      </x:c>
      <x:c r="O1094" s="22" t="n">
        <x:v>46260</x:v>
      </x:c>
      <x:c r="P1094" s="20" t="str">
        <x:v>https://zh.wikisource.org/wiki/%E6%BB%B4%E5%A4%A9%E9%AB%93%E9%97%A1%E5%BE%AE ; https://zh.wikisource.org/zh-hans/%E6%BB%B4%E5%A4%A9%E9%AB%93</x:v>
      </x:c>
    </x:row>
    <x:row r="1095">
      <x:c r="A1095" s="20" t="str">
        <x:v>M14-HUAQI-0060-V1.0</x:v>
      </x:c>
      <x:c r="B1095" s="20" t="str">
        <x:v>规则</x:v>
      </x:c>
      <x:c r="C1095" s="20" t="str">
        <x:v>M14</x:v>
      </x:c>
      <x:c r="D1095" s="20" t="str">
        <x:v>14_格局候选判断</x:v>
      </x:c>
      <x:c r="E1095" s="20" t="str">
        <x:v>HUAQI</x:v>
      </x:c>
      <x:c r="F1095" s="20" t="n">
        <x:v>60</x:v>
      </x:c>
      <x:c r="G1095" s="20" t="str">
        <x:v>V1.0</x:v>
      </x:c>
      <x:c r="H1095" s="20" t="str">
        <x:v>甲己相合生成化土候选</x:v>
      </x:c>
      <x:c r="I1095" s="20" t="str">
        <x:v>综合层</x:v>
      </x:c>
      <x:c r="J1095" s="20" t="str">
        <x:v>甲己化土_候选</x:v>
      </x:c>
      <x:c r="K1095" s="20" t="str">
        <x:v>甲己化土格候选列为“候选”：主要依据为月令与格神有效性；仍需M15检验成格、破格、救应与层次。</x:v>
      </x:c>
      <x:c r="L1095" s="20" t="str">
        <x:v>中等</x:v>
      </x:c>
      <x:c r="M1095" s="20" t="str">
        <x:v>采用</x:v>
      </x:c>
      <x:c r="N1095" s="20" t="str">
        <x:v>初审</x:v>
      </x:c>
      <x:c r="O1095" s="22" t="n">
        <x:v>46260</x:v>
      </x:c>
      <x:c r="P1095" s="20" t="str">
        <x:v>https://zh.wikisource.org/wiki/%E6%BB%B4%E5%A4%A9%E9%AB%93%E9%97%A1%E5%BE%AE ; https://zh.wikisource.org/zh-hans/%E6%BB%B4%E5%A4%A9%E9%AB%93</x:v>
      </x:c>
    </x:row>
    <x:row r="1096">
      <x:c r="A1096" s="20" t="str">
        <x:v>M14-HUAQI-0061-V1.0</x:v>
      </x:c>
      <x:c r="B1096" s="20" t="str">
        <x:v>规则</x:v>
      </x:c>
      <x:c r="C1096" s="20" t="str">
        <x:v>M14</x:v>
      </x:c>
      <x:c r="D1096" s="20" t="str">
        <x:v>14_格局候选判断</x:v>
      </x:c>
      <x:c r="E1096" s="20" t="str">
        <x:v>HUAQI</x:v>
      </x:c>
      <x:c r="F1096" s="20" t="n">
        <x:v>61</x:v>
      </x:c>
      <x:c r="G1096" s="20" t="str">
        <x:v>V1.0</x:v>
      </x:c>
      <x:c r="H1096" s="20" t="str">
        <x:v>乙庚相合生成化金候选</x:v>
      </x:c>
      <x:c r="I1096" s="20" t="str">
        <x:v>综合层</x:v>
      </x:c>
      <x:c r="J1096" s="20" t="str">
        <x:v>乙庚化金_候选</x:v>
      </x:c>
      <x:c r="K1096" s="20" t="str">
        <x:v>乙庚化金格候选列为“候选”：主要依据为月令与格神有效性；仍需M15检验成格、破格、救应与层次。</x:v>
      </x:c>
      <x:c r="L1096" s="20" t="str">
        <x:v>中等</x:v>
      </x:c>
      <x:c r="M1096" s="20" t="str">
        <x:v>采用</x:v>
      </x:c>
      <x:c r="N1096" s="20" t="str">
        <x:v>初审</x:v>
      </x:c>
      <x:c r="O1096" s="22" t="n">
        <x:v>46260</x:v>
      </x:c>
      <x:c r="P1096" s="20" t="str">
        <x:v>https://zh.wikisource.org/wiki/%E6%BB%B4%E5%A4%A9%E9%AB%93%E9%97%A1%E5%BE%AE ; https://zh.wikisource.org/zh-hans/%E6%BB%B4%E5%A4%A9%E9%AB%93</x:v>
      </x:c>
    </x:row>
    <x:row r="1097">
      <x:c r="A1097" s="20" t="str">
        <x:v>M14-HUAQI-0062-V1.0</x:v>
      </x:c>
      <x:c r="B1097" s="20" t="str">
        <x:v>规则</x:v>
      </x:c>
      <x:c r="C1097" s="20" t="str">
        <x:v>M14</x:v>
      </x:c>
      <x:c r="D1097" s="20" t="str">
        <x:v>14_格局候选判断</x:v>
      </x:c>
      <x:c r="E1097" s="20" t="str">
        <x:v>HUAQI</x:v>
      </x:c>
      <x:c r="F1097" s="20" t="n">
        <x:v>62</x:v>
      </x:c>
      <x:c r="G1097" s="20" t="str">
        <x:v>V1.0</x:v>
      </x:c>
      <x:c r="H1097" s="20" t="str">
        <x:v>丙辛相合生成化水候选</x:v>
      </x:c>
      <x:c r="I1097" s="20" t="str">
        <x:v>综合层</x:v>
      </x:c>
      <x:c r="J1097" s="20" t="str">
        <x:v>丙辛化水_候选</x:v>
      </x:c>
      <x:c r="K1097" s="20" t="str">
        <x:v>丙辛化水格候选列为“候选”：主要依据为月令与格神有效性；仍需M15检验成格、破格、救应与层次。</x:v>
      </x:c>
      <x:c r="L1097" s="20" t="str">
        <x:v>中等</x:v>
      </x:c>
      <x:c r="M1097" s="20" t="str">
        <x:v>采用</x:v>
      </x:c>
      <x:c r="N1097" s="20" t="str">
        <x:v>初审</x:v>
      </x:c>
      <x:c r="O1097" s="22" t="n">
        <x:v>46260</x:v>
      </x:c>
      <x:c r="P1097" s="20" t="str">
        <x:v>https://zh.wikisource.org/wiki/%E6%BB%B4%E5%A4%A9%E9%AB%93%E9%97%A1%E5%BE%AE ; https://zh.wikisource.org/zh-hans/%E6%BB%B4%E5%A4%A9%E9%AB%93</x:v>
      </x:c>
    </x:row>
    <x:row r="1098">
      <x:c r="A1098" s="20" t="str">
        <x:v>M14-HUAQI-0063-V1.0</x:v>
      </x:c>
      <x:c r="B1098" s="20" t="str">
        <x:v>规则</x:v>
      </x:c>
      <x:c r="C1098" s="20" t="str">
        <x:v>M14</x:v>
      </x:c>
      <x:c r="D1098" s="20" t="str">
        <x:v>14_格局候选判断</x:v>
      </x:c>
      <x:c r="E1098" s="20" t="str">
        <x:v>HUAQI</x:v>
      </x:c>
      <x:c r="F1098" s="20" t="n">
        <x:v>63</x:v>
      </x:c>
      <x:c r="G1098" s="20" t="str">
        <x:v>V1.0</x:v>
      </x:c>
      <x:c r="H1098" s="20" t="str">
        <x:v>丁壬相合生成化木候选</x:v>
      </x:c>
      <x:c r="I1098" s="20" t="str">
        <x:v>综合层</x:v>
      </x:c>
      <x:c r="J1098" s="20" t="str">
        <x:v>丁壬化木_候选</x:v>
      </x:c>
      <x:c r="K1098" s="20" t="str">
        <x:v>丁壬化木格候选列为“候选”：主要依据为月令与格神有效性；仍需M15检验成格、破格、救应与层次。</x:v>
      </x:c>
      <x:c r="L1098" s="20" t="str">
        <x:v>中等</x:v>
      </x:c>
      <x:c r="M1098" s="20" t="str">
        <x:v>采用</x:v>
      </x:c>
      <x:c r="N1098" s="20" t="str">
        <x:v>初审</x:v>
      </x:c>
      <x:c r="O1098" s="22" t="n">
        <x:v>46260</x:v>
      </x:c>
      <x:c r="P1098" s="20" t="str">
        <x:v>https://zh.wikisource.org/wiki/%E6%BB%B4%E5%A4%A9%E9%AB%93%E9%97%A1%E5%BE%AE ; https://zh.wikisource.org/zh-hans/%E6%BB%B4%E5%A4%A9%E9%AB%93</x:v>
      </x:c>
    </x:row>
    <x:row r="1099">
      <x:c r="A1099" s="20" t="str">
        <x:v>M14-HUAQI-0064-V1.0</x:v>
      </x:c>
      <x:c r="B1099" s="20" t="str">
        <x:v>规则</x:v>
      </x:c>
      <x:c r="C1099" s="20" t="str">
        <x:v>M14</x:v>
      </x:c>
      <x:c r="D1099" s="20" t="str">
        <x:v>14_格局候选判断</x:v>
      </x:c>
      <x:c r="E1099" s="20" t="str">
        <x:v>HUAQI</x:v>
      </x:c>
      <x:c r="F1099" s="20" t="n">
        <x:v>64</x:v>
      </x:c>
      <x:c r="G1099" s="20" t="str">
        <x:v>V1.0</x:v>
      </x:c>
      <x:c r="H1099" s="20" t="str">
        <x:v>戊癸相合生成化火候选</x:v>
      </x:c>
      <x:c r="I1099" s="20" t="str">
        <x:v>综合层</x:v>
      </x:c>
      <x:c r="J1099" s="20" t="str">
        <x:v>戊癸化火_候选</x:v>
      </x:c>
      <x:c r="K1099" s="20" t="str">
        <x:v>戊癸化火格候选列为“候选”：主要依据为月令与格神有效性；仍需M15检验成格、破格、救应与层次。</x:v>
      </x:c>
      <x:c r="L1099" s="20" t="str">
        <x:v>中等</x:v>
      </x:c>
      <x:c r="M1099" s="20" t="str">
        <x:v>采用</x:v>
      </x:c>
      <x:c r="N1099" s="20" t="str">
        <x:v>初审</x:v>
      </x:c>
      <x:c r="O1099" s="22" t="n">
        <x:v>46260</x:v>
      </x:c>
      <x:c r="P1099" s="20" t="str">
        <x:v>https://zh.wikisource.org/wiki/%E6%BB%B4%E5%A4%A9%E9%AB%93%E9%97%A1%E5%BE%AE ; https://zh.wikisource.org/zh-hans/%E6%BB%B4%E5%A4%A9%E9%AB%93</x:v>
      </x:c>
    </x:row>
    <x:row r="1100">
      <x:c r="A1100" s="20" t="str">
        <x:v>M14-ZHUAN-0065-V1.0</x:v>
      </x:c>
      <x:c r="B1100" s="20" t="str">
        <x:v>规则</x:v>
      </x:c>
      <x:c r="C1100" s="20" t="str">
        <x:v>M14</x:v>
      </x:c>
      <x:c r="D1100" s="20" t="str">
        <x:v>14_格局候选判断</x:v>
      </x:c>
      <x:c r="E1100" s="20" t="str">
        <x:v>ZHUAN</x:v>
      </x:c>
      <x:c r="F1100" s="20" t="n">
        <x:v>65</x:v>
      </x:c>
      <x:c r="G1100" s="20" t="str">
        <x:v>V1.0</x:v>
      </x:c>
      <x:c r="H1100" s="20" t="str">
        <x:v>单一五行一气成势可生成专旺候选</x:v>
      </x:c>
      <x:c r="I1100" s="20" t="str">
        <x:v>综合层</x:v>
      </x:c>
      <x:c r="J1100" s="20" t="str">
        <x:v>专旺_通用候选</x:v>
      </x:c>
      <x:c r="K1100" s="20" t="str">
        <x:v>专旺格通用候选列为“候选”：主要依据为月令与格神有效性；仍需M15检验成格、破格、救应与层次。</x:v>
      </x:c>
      <x:c r="L1100" s="20" t="str">
        <x:v>较高</x:v>
      </x:c>
      <x:c r="M1100" s="20" t="str">
        <x:v>采用</x:v>
      </x:c>
      <x:c r="N1100" s="20" t="str">
        <x:v>初审</x:v>
      </x:c>
      <x:c r="O1100" s="22" t="n">
        <x:v>46260</x:v>
      </x:c>
      <x:c r="P1100" s="20" t="str">
        <x:v>https://zh.wikisource.org/wiki/%E6%BB%B4%E5%A4%A9%E9%AB%93%E9%97%A1%E5%BE%AE ; https://zh.wikisource.org/zh-hans/%E6%BB%B4%E5%A4%A9%E9%AB%93</x:v>
      </x:c>
    </x:row>
    <x:row r="1101">
      <x:c r="A1101" s="20" t="str">
        <x:v>M14-ZHUAN-0066-V1.0</x:v>
      </x:c>
      <x:c r="B1101" s="20" t="str">
        <x:v>规则</x:v>
      </x:c>
      <x:c r="C1101" s="20" t="str">
        <x:v>M14</x:v>
      </x:c>
      <x:c r="D1101" s="20" t="str">
        <x:v>14_格局候选判断</x:v>
      </x:c>
      <x:c r="E1101" s="20" t="str">
        <x:v>ZHUAN</x:v>
      </x:c>
      <x:c r="F1101" s="20" t="n">
        <x:v>66</x:v>
      </x:c>
      <x:c r="G1101" s="20" t="str">
        <x:v>V1.0</x:v>
      </x:c>
      <x:c r="H1101" s="20" t="str">
        <x:v>木一气成势生成曲直格候选</x:v>
      </x:c>
      <x:c r="I1101" s="20" t="str">
        <x:v>综合层</x:v>
      </x:c>
      <x:c r="J1101" s="20" t="str">
        <x:v>曲直格候选_候选</x:v>
      </x:c>
      <x:c r="K1101" s="20" t="str">
        <x:v>曲直格候选列为“候选”：主要依据为月令与格神有效性；仍需M15检验成格、破格、救应与层次。</x:v>
      </x:c>
      <x:c r="L1101" s="20" t="str">
        <x:v>较高</x:v>
      </x:c>
      <x:c r="M1101" s="20" t="str">
        <x:v>采用</x:v>
      </x:c>
      <x:c r="N1101" s="20" t="str">
        <x:v>初审</x:v>
      </x:c>
      <x:c r="O1101" s="22" t="n">
        <x:v>46260</x:v>
      </x:c>
      <x:c r="P1101" s="20" t="str">
        <x:v>https://zh.wikisource.org/wiki/%E6%BB%B4%E5%A4%A9%E9%AB%93%E9%97%A1%E5%BE%AE ; https://zh.wikisource.org/zh-hans/%E6%BB%B4%E5%A4%A9%E9%AB%93</x:v>
      </x:c>
    </x:row>
    <x:row r="1102">
      <x:c r="A1102" s="20" t="str">
        <x:v>M14-ZHUAN-0067-V1.0</x:v>
      </x:c>
      <x:c r="B1102" s="20" t="str">
        <x:v>规则</x:v>
      </x:c>
      <x:c r="C1102" s="20" t="str">
        <x:v>M14</x:v>
      </x:c>
      <x:c r="D1102" s="20" t="str">
        <x:v>14_格局候选判断</x:v>
      </x:c>
      <x:c r="E1102" s="20" t="str">
        <x:v>ZHUAN</x:v>
      </x:c>
      <x:c r="F1102" s="20" t="n">
        <x:v>67</x:v>
      </x:c>
      <x:c r="G1102" s="20" t="str">
        <x:v>V1.0</x:v>
      </x:c>
      <x:c r="H1102" s="20" t="str">
        <x:v>火一气成势生成炎上格候选</x:v>
      </x:c>
      <x:c r="I1102" s="20" t="str">
        <x:v>综合层</x:v>
      </x:c>
      <x:c r="J1102" s="20" t="str">
        <x:v>炎上格候选_候选</x:v>
      </x:c>
      <x:c r="K1102" s="20" t="str">
        <x:v>炎上格候选列为“候选”：主要依据为月令与格神有效性；仍需M15检验成格、破格、救应与层次。</x:v>
      </x:c>
      <x:c r="L1102" s="20" t="str">
        <x:v>较高</x:v>
      </x:c>
      <x:c r="M1102" s="20" t="str">
        <x:v>采用</x:v>
      </x:c>
      <x:c r="N1102" s="20" t="str">
        <x:v>初审</x:v>
      </x:c>
      <x:c r="O1102" s="22" t="n">
        <x:v>46260</x:v>
      </x:c>
      <x:c r="P1102" s="20" t="str">
        <x:v>https://zh.wikisource.org/wiki/%E6%BB%B4%E5%A4%A9%E9%AB%93%E9%97%A1%E5%BE%AE ; https://zh.wikisource.org/zh-hans/%E6%BB%B4%E5%A4%A9%E9%AB%93</x:v>
      </x:c>
    </x:row>
    <x:row r="1103">
      <x:c r="A1103" s="20" t="str">
        <x:v>M14-ZHUAN-0068-V1.0</x:v>
      </x:c>
      <x:c r="B1103" s="20" t="str">
        <x:v>规则</x:v>
      </x:c>
      <x:c r="C1103" s="20" t="str">
        <x:v>M14</x:v>
      </x:c>
      <x:c r="D1103" s="20" t="str">
        <x:v>14_格局候选判断</x:v>
      </x:c>
      <x:c r="E1103" s="20" t="str">
        <x:v>ZHUAN</x:v>
      </x:c>
      <x:c r="F1103" s="20" t="n">
        <x:v>68</x:v>
      </x:c>
      <x:c r="G1103" s="20" t="str">
        <x:v>V1.0</x:v>
      </x:c>
      <x:c r="H1103" s="20" t="str">
        <x:v>土一气成势生成稼穑格候选</x:v>
      </x:c>
      <x:c r="I1103" s="20" t="str">
        <x:v>综合层</x:v>
      </x:c>
      <x:c r="J1103" s="20" t="str">
        <x:v>稼穑格候选_候选</x:v>
      </x:c>
      <x:c r="K1103" s="20" t="str">
        <x:v>稼穑格候选列为“候选”：主要依据为月令与格神有效性；仍需M15检验成格、破格、救应与层次。</x:v>
      </x:c>
      <x:c r="L1103" s="20" t="str">
        <x:v>较高</x:v>
      </x:c>
      <x:c r="M1103" s="20" t="str">
        <x:v>采用</x:v>
      </x:c>
      <x:c r="N1103" s="20" t="str">
        <x:v>初审</x:v>
      </x:c>
      <x:c r="O1103" s="22" t="n">
        <x:v>46260</x:v>
      </x:c>
      <x:c r="P1103" s="20" t="str">
        <x:v>https://zh.wikisource.org/wiki/%E6%BB%B4%E5%A4%A9%E9%AB%93%E9%97%A1%E5%BE%AE ; https://zh.wikisource.org/zh-hans/%E6%BB%B4%E5%A4%A9%E9%AB%93</x:v>
      </x:c>
    </x:row>
    <x:row r="1104">
      <x:c r="A1104" s="20" t="str">
        <x:v>M14-ZHUAN-0069-V1.0</x:v>
      </x:c>
      <x:c r="B1104" s="20" t="str">
        <x:v>规则</x:v>
      </x:c>
      <x:c r="C1104" s="20" t="str">
        <x:v>M14</x:v>
      </x:c>
      <x:c r="D1104" s="20" t="str">
        <x:v>14_格局候选判断</x:v>
      </x:c>
      <x:c r="E1104" s="20" t="str">
        <x:v>ZHUAN</x:v>
      </x:c>
      <x:c r="F1104" s="20" t="n">
        <x:v>69</x:v>
      </x:c>
      <x:c r="G1104" s="20" t="str">
        <x:v>V1.0</x:v>
      </x:c>
      <x:c r="H1104" s="20" t="str">
        <x:v>金一气成势生成从革格候选</x:v>
      </x:c>
      <x:c r="I1104" s="20" t="str">
        <x:v>综合层</x:v>
      </x:c>
      <x:c r="J1104" s="20" t="str">
        <x:v>从革格候选_候选</x:v>
      </x:c>
      <x:c r="K1104" s="20" t="str">
        <x:v>从革格候选列为“候选”：主要依据为月令与格神有效性；仍需M15检验成格、破格、救应与层次。</x:v>
      </x:c>
      <x:c r="L1104" s="20" t="str">
        <x:v>较高</x:v>
      </x:c>
      <x:c r="M1104" s="20" t="str">
        <x:v>采用</x:v>
      </x:c>
      <x:c r="N1104" s="20" t="str">
        <x:v>初审</x:v>
      </x:c>
      <x:c r="O1104" s="22" t="n">
        <x:v>46260</x:v>
      </x:c>
      <x:c r="P1104" s="20" t="str">
        <x:v>https://zh.wikisource.org/wiki/%E6%BB%B4%E5%A4%A9%E9%AB%93%E9%97%A1%E5%BE%AE ; https://zh.wikisource.org/zh-hans/%E6%BB%B4%E5%A4%A9%E9%AB%93</x:v>
      </x:c>
    </x:row>
    <x:row r="1105">
      <x:c r="A1105" s="20" t="str">
        <x:v>M14-ZHUAN-0070-V1.0</x:v>
      </x:c>
      <x:c r="B1105" s="20" t="str">
        <x:v>规则</x:v>
      </x:c>
      <x:c r="C1105" s="20" t="str">
        <x:v>M14</x:v>
      </x:c>
      <x:c r="D1105" s="20" t="str">
        <x:v>14_格局候选判断</x:v>
      </x:c>
      <x:c r="E1105" s="20" t="str">
        <x:v>ZHUAN</x:v>
      </x:c>
      <x:c r="F1105" s="20" t="n">
        <x:v>70</x:v>
      </x:c>
      <x:c r="G1105" s="20" t="str">
        <x:v>V1.0</x:v>
      </x:c>
      <x:c r="H1105" s="20" t="str">
        <x:v>水一气成势生成润下格候选</x:v>
      </x:c>
      <x:c r="I1105" s="20" t="str">
        <x:v>综合层</x:v>
      </x:c>
      <x:c r="J1105" s="20" t="str">
        <x:v>润下格候选_候选</x:v>
      </x:c>
      <x:c r="K1105" s="20" t="str">
        <x:v>润下格候选列为“候选”：主要依据为月令与格神有效性；仍需M15检验成格、破格、救应与层次。</x:v>
      </x:c>
      <x:c r="L1105" s="20" t="str">
        <x:v>较高</x:v>
      </x:c>
      <x:c r="M1105" s="20" t="str">
        <x:v>采用</x:v>
      </x:c>
      <x:c r="N1105" s="20" t="str">
        <x:v>初审</x:v>
      </x:c>
      <x:c r="O1105" s="22" t="n">
        <x:v>46260</x:v>
      </x:c>
      <x:c r="P1105" s="20" t="str">
        <x:v>https://zh.wikisource.org/wiki/%E6%BB%B4%E5%A4%A9%E9%AB%93%E9%97%A1%E5%BE%AE ; https://zh.wikisource.org/zh-hans/%E6%BB%B4%E5%A4%A9%E9%AB%93</x:v>
      </x:c>
    </x:row>
    <x:row r="1106">
      <x:c r="A1106" s="20" t="str">
        <x:v>M14-RANK-0071-V1.0</x:v>
      </x:c>
      <x:c r="B1106" s="20" t="str">
        <x:v>规则</x:v>
      </x:c>
      <x:c r="C1106" s="20" t="str">
        <x:v>M14</x:v>
      </x:c>
      <x:c r="D1106" s="20" t="str">
        <x:v>14_格局候选判断</x:v>
      </x:c>
      <x:c r="E1106" s="20" t="str">
        <x:v>RANK</x:v>
      </x:c>
      <x:c r="F1106" s="20" t="n">
        <x:v>71</x:v>
      </x:c>
      <x:c r="G1106" s="20" t="str">
        <x:v>V1.0</x:v>
      </x:c>
      <x:c r="H1106" s="20" t="str">
        <x:v>月令主气候选通常高于非月令局部组合候选</x:v>
      </x:c>
      <x:c r="I1106" s="20" t="str">
        <x:v>综合层</x:v>
      </x:c>
      <x:c r="J1106" s="20" t="str">
        <x:v>候选排序_月令优先</x:v>
      </x:c>
      <x:c r="K1106" s="20" t="str">
        <x:v>月令主气格神有效时通常列第一候选；局部组合保留为结构支持，不越级替代。</x:v>
      </x:c>
      <x:c r="L1106" s="20" t="str">
        <x:v>较高</x:v>
      </x:c>
      <x:c r="M1106" s="20" t="str">
        <x:v>采用</x:v>
      </x:c>
      <x:c r="N1106" s="20" t="str">
        <x:v>初审</x:v>
      </x:c>
      <x:c r="O1106" s="22" t="n">
        <x:v>46260</x:v>
      </x:c>
      <x:c r="P1106" s="20" t="str">
        <x:v>https://zh.wikisource.org/zh-hans/%E6%B7%B5%E6%B5%B7%E5%AD%90%E5%B9%B3 ; https://zh.wikisource.org/wiki/%E6%BB%B4%E5%A4%A9%E9%AB%93%E9%97%A1%E5%BE%AE</x:v>
      </x:c>
    </x:row>
    <x:row r="1107">
      <x:c r="A1107" s="20" t="str">
        <x:v>M14-RANK-0072-V1.0</x:v>
      </x:c>
      <x:c r="B1107" s="20" t="str">
        <x:v>规则</x:v>
      </x:c>
      <x:c r="C1107" s="20" t="str">
        <x:v>M14</x:v>
      </x:c>
      <x:c r="D1107" s="20" t="str">
        <x:v>14_格局候选判断</x:v>
      </x:c>
      <x:c r="E1107" s="20" t="str">
        <x:v>RANK</x:v>
      </x:c>
      <x:c r="F1107" s="20" t="n">
        <x:v>72</x:v>
      </x:c>
      <x:c r="G1107" s="20" t="str">
        <x:v>V1.0</x:v>
      </x:c>
      <x:c r="H1107" s="20" t="str">
        <x:v>特殊格局必须凭严格门槛而非优先级自动覆盖普通格</x:v>
      </x:c>
      <x:c r="I1107" s="20" t="str">
        <x:v>综合层</x:v>
      </x:c>
      <x:c r="J1107" s="20" t="str">
        <x:v>候选排序_特殊格严格</x:v>
      </x:c>
      <x:c r="K1107" s="20" t="str">
        <x:v>格局候选排序列为“候选”：主要依据为月令与格神有效性；仍需M15检验成格、破格、救应与层次。</x:v>
      </x:c>
      <x:c r="L1107" s="20" t="str">
        <x:v>较高</x:v>
      </x:c>
      <x:c r="M1107" s="20" t="str">
        <x:v>采用</x:v>
      </x:c>
      <x:c r="N1107" s="20" t="str">
        <x:v>初审</x:v>
      </x:c>
      <x:c r="O1107" s="22" t="n">
        <x:v>46260</x:v>
      </x:c>
      <x:c r="P1107" s="20" t="str">
        <x:v>https://zh.wikisource.org/zh-hans/%E6%B7%B5%E6%B5%B7%E5%AD%90%E5%B9%B3 ; https://zh.wikisource.org/wiki/%E6%BB%B4%E5%A4%A9%E9%AB%93%E9%97%A1%E5%BE%AE</x:v>
      </x:c>
    </x:row>
    <x:row r="1108">
      <x:c r="A1108" s="20" t="str">
        <x:v>M14-RANK-0073-V1.0</x:v>
      </x:c>
      <x:c r="B1108" s="20" t="str">
        <x:v>规则</x:v>
      </x:c>
      <x:c r="C1108" s="20" t="str">
        <x:v>M14</x:v>
      </x:c>
      <x:c r="D1108" s="20" t="str">
        <x:v>14_格局候选判断</x:v>
      </x:c>
      <x:c r="E1108" s="20" t="str">
        <x:v>RANK</x:v>
      </x:c>
      <x:c r="F1108" s="20" t="n">
        <x:v>73</x:v>
      </x:c>
      <x:c r="G1108" s="20" t="str">
        <x:v>V1.0</x:v>
      </x:c>
      <x:c r="H1108" s="20" t="str">
        <x:v>格神有效力量高于名义月令标签</x:v>
      </x:c>
      <x:c r="I1108" s="20" t="str">
        <x:v>综合层</x:v>
      </x:c>
      <x:c r="J1108" s="20" t="str">
        <x:v>候选排序_有效性优先</x:v>
      </x:c>
      <x:c r="K1108" s="20" t="str">
        <x:v>格局候选排序列为“候选”：主要依据为月令与格神有效性；仍需M15检验成格、破格、救应与层次。</x:v>
      </x:c>
      <x:c r="L1108" s="20" t="str">
        <x:v>较高</x:v>
      </x:c>
      <x:c r="M1108" s="20" t="str">
        <x:v>采用</x:v>
      </x:c>
      <x:c r="N1108" s="20" t="str">
        <x:v>初审</x:v>
      </x:c>
      <x:c r="O1108" s="22" t="n">
        <x:v>46260</x:v>
      </x:c>
      <x:c r="P1108" s="20" t="str">
        <x:v>https://zh.wikisource.org/zh-hans/%E6%B7%B5%E6%B5%B7%E5%AD%90%E5%B9%B3 ; https://zh.wikisource.org/wiki/%E6%BB%B4%E5%A4%A9%E9%AB%93%E9%97%A1%E5%BE%AE</x:v>
      </x:c>
    </x:row>
    <x:row r="1109">
      <x:c r="A1109" s="20" t="str">
        <x:v>M14-RANK-0074-V1.0</x:v>
      </x:c>
      <x:c r="B1109" s="20" t="str">
        <x:v>规则</x:v>
      </x:c>
      <x:c r="C1109" s="20" t="str">
        <x:v>M14</x:v>
      </x:c>
      <x:c r="D1109" s="20" t="str">
        <x:v>14_格局候选判断</x:v>
      </x:c>
      <x:c r="E1109" s="20" t="str">
        <x:v>RANK</x:v>
      </x:c>
      <x:c r="F1109" s="20" t="n">
        <x:v>74</x:v>
      </x:c>
      <x:c r="G1109" s="20" t="str">
        <x:v>V1.0</x:v>
      </x:c>
      <x:c r="H1109" s="20" t="str">
        <x:v>全局主导性用于区分第一候选和备选</x:v>
      </x:c>
      <x:c r="I1109" s="20" t="str">
        <x:v>综合层</x:v>
      </x:c>
      <x:c r="J1109" s="20" t="str">
        <x:v>候选排序_全局主导</x:v>
      </x:c>
      <x:c r="K1109" s="20" t="str">
        <x:v>格局候选排序列为“基本成立”：主要依据为月令与格神有效性；仍需M15检验成格、破格、救应与层次。</x:v>
      </x:c>
      <x:c r="L1109" s="20" t="str">
        <x:v>较高</x:v>
      </x:c>
      <x:c r="M1109" s="20" t="str">
        <x:v>采用</x:v>
      </x:c>
      <x:c r="N1109" s="20" t="str">
        <x:v>初审</x:v>
      </x:c>
      <x:c r="O1109" s="22" t="n">
        <x:v>46260</x:v>
      </x:c>
      <x:c r="P1109" s="20" t="str">
        <x:v>https://zh.wikisource.org/zh-hans/%E6%B7%B5%E6%B5%B7%E5%AD%90%E5%B9%B3 ; https://zh.wikisource.org/wiki/%E6%BB%B4%E5%A4%A9%E9%AB%93%E9%97%A1%E5%BE%AE</x:v>
      </x:c>
    </x:row>
    <x:row r="1110">
      <x:c r="A1110" s="20" t="str">
        <x:v>M14-RANK-0075-V1.0</x:v>
      </x:c>
      <x:c r="B1110" s="20" t="str">
        <x:v>规则</x:v>
      </x:c>
      <x:c r="C1110" s="20" t="str">
        <x:v>M14</x:v>
      </x:c>
      <x:c r="D1110" s="20" t="str">
        <x:v>14_格局候选判断</x:v>
      </x:c>
      <x:c r="E1110" s="20" t="str">
        <x:v>RANK</x:v>
      </x:c>
      <x:c r="F1110" s="20" t="n">
        <x:v>75</x:v>
      </x:c>
      <x:c r="G1110" s="20" t="str">
        <x:v>V1.0</x:v>
      </x:c>
      <x:c r="H1110" s="20" t="str">
        <x:v>主候选与替代候选都必须保留排除理由</x:v>
      </x:c>
      <x:c r="I1110" s="20" t="str">
        <x:v>综合层</x:v>
      </x:c>
      <x:c r="J1110" s="20" t="str">
        <x:v>候选排序_并列保留</x:v>
      </x:c>
      <x:c r="K1110" s="20" t="str">
        <x:v>证据接近时保留第一候选、第二候选及各自支持/反向证据，不得强行唯一化。</x:v>
      </x:c>
      <x:c r="L1110" s="20" t="str">
        <x:v>中等</x:v>
      </x:c>
      <x:c r="M1110" s="20" t="str">
        <x:v>采用</x:v>
      </x:c>
      <x:c r="N1110" s="20" t="str">
        <x:v>初审</x:v>
      </x:c>
      <x:c r="O1110" s="22" t="n">
        <x:v>46260</x:v>
      </x:c>
      <x:c r="P1110" s="20" t="str">
        <x:v>https://zh.wikisource.org/zh-hans/%E6%B7%B5%E6%B5%B7%E5%AD%90%E5%B9%B3 ; https://zh.wikisource.org/wiki/%E6%BB%B4%E5%A4%A9%E9%AB%93%E9%97%A1%E5%BE%AE</x:v>
      </x:c>
    </x:row>
    <x:row r="1111">
      <x:c r="A1111" s="20" t="str">
        <x:v>M14-RANK-0076-V1.0</x:v>
      </x:c>
      <x:c r="B1111" s="20" t="str">
        <x:v>规则</x:v>
      </x:c>
      <x:c r="C1111" s="20" t="str">
        <x:v>M14</x:v>
      </x:c>
      <x:c r="D1111" s="20" t="str">
        <x:v>14_格局候选判断</x:v>
      </x:c>
      <x:c r="E1111" s="20" t="str">
        <x:v>RANK</x:v>
      </x:c>
      <x:c r="F1111" s="20" t="n">
        <x:v>76</x:v>
      </x:c>
      <x:c r="G1111" s="20" t="str">
        <x:v>V1.0</x:v>
      </x:c>
      <x:c r="H1111" s="20" t="str">
        <x:v>M14最终最多输出一至三个核心候选</x:v>
      </x:c>
      <x:c r="I1111" s="20" t="str">
        <x:v>综合层</x:v>
      </x:c>
      <x:c r="J1111" s="20" t="str">
        <x:v>M14候选输出</x:v>
      </x:c>
      <x:c r="K1111" s="20" t="str">
        <x:v>M14最终输出1—3个核心候选：候选名称、类别、月令依据、格神有效性、日主配合、增强、排除、替代候选、状态与置信度。</x:v>
      </x:c>
      <x:c r="L1111" s="20" t="str">
        <x:v>较高</x:v>
      </x:c>
      <x:c r="M1111" s="20" t="str">
        <x:v>采用</x:v>
      </x:c>
      <x:c r="N1111" s="20" t="str">
        <x:v>初审</x:v>
      </x:c>
      <x:c r="O1111" s="22" t="n">
        <x:v>46260</x:v>
      </x:c>
      <x:c r="P1111" s="20" t="str">
        <x:v>https://zh.wikisource.org/zh-hans/%E6%B7%B5%E6%B5%B7%E5%AD%90%E5%B9%B3 ; https://zh.wikisource.org/wiki/%E6%BB%B4%E5%A4%A9%E9%AB%93%E9%97%A1%E5%BE%AE</x:v>
      </x:c>
    </x:row>
    <x:row r="1112">
      <x:c r="A1112" s="20" t="str">
        <x:v>M14-BOUND-0077-V1.0</x:v>
      </x:c>
      <x:c r="B1112" s="20" t="str">
        <x:v>规则</x:v>
      </x:c>
      <x:c r="C1112" s="20" t="str">
        <x:v>M14</x:v>
      </x:c>
      <x:c r="D1112" s="20" t="str">
        <x:v>14_格局候选判断</x:v>
      </x:c>
      <x:c r="E1112" s="20" t="str">
        <x:v>BOUND</x:v>
      </x:c>
      <x:c r="F1112" s="20" t="n">
        <x:v>77</x:v>
      </x:c>
      <x:c r="G1112" s="20" t="str">
        <x:v>V1.0</x:v>
      </x:c>
      <x:c r="H1112" s="20" t="str">
        <x:v>候选状态不等于最终成格</x:v>
      </x:c>
      <x:c r="I1112" s="20" t="str">
        <x:v>综合层</x:v>
      </x:c>
      <x:c r="J1112" s="20" t="str">
        <x:v>候选成格分离</x:v>
      </x:c>
      <x:c r="K1112" s="20" t="str">
        <x:v>M14只说明值得进入M15审查；不得直接写成最终格局、清纯成立或层次高低。</x:v>
      </x:c>
      <x:c r="L1112" s="20" t="str">
        <x:v>较高</x:v>
      </x:c>
      <x:c r="M1112" s="20" t="str">
        <x:v>采用</x:v>
      </x:c>
      <x:c r="N1112" s="20" t="str">
        <x:v>初审</x:v>
      </x:c>
      <x:c r="O1112" s="22" t="n">
        <x:v>46260</x:v>
      </x:c>
      <x:c r="P1112" s="20" t="str">
        <x:v>https://zh.wikisource.org/zh-hans/%E6%B7%B5%E6%B5%B7%E5%AD%90%E5%B9%B3 ; https://zh.wikisource.org/wiki/%E6%BB%B4%E5%A4%A9%E9%AB%93%E9%97%A1%E5%BE%AE</x:v>
      </x:c>
    </x:row>
    <x:row r="1113">
      <x:c r="A1113" s="20" t="str">
        <x:v>M14-BOUND-0078-V1.0</x:v>
      </x:c>
      <x:c r="B1113" s="20" t="str">
        <x:v>规则</x:v>
      </x:c>
      <x:c r="C1113" s="20" t="str">
        <x:v>M14</x:v>
      </x:c>
      <x:c r="D1113" s="20" t="str">
        <x:v>14_格局候选判断</x:v>
      </x:c>
      <x:c r="E1113" s="20" t="str">
        <x:v>BOUND</x:v>
      </x:c>
      <x:c r="F1113" s="20" t="n">
        <x:v>78</x:v>
      </x:c>
      <x:c r="G1113" s="20" t="str">
        <x:v>V1.0</x:v>
      </x:c>
      <x:c r="H1113" s="20" t="str">
        <x:v>不能只凭月令一个字机械定格</x:v>
      </x:c>
      <x:c r="I1113" s="20" t="str">
        <x:v>综合层</x:v>
      </x:c>
      <x:c r="J1113" s="20" t="str">
        <x:v>禁止月令一字定格</x:v>
      </x:c>
      <x:c r="K1113" s="20" t="str">
        <x:v>格局判断边界列为“不成立”：主要依据为月令与格神有效性；仍需M15检验成格、破格、救应与层次。</x:v>
      </x:c>
      <x:c r="L1113" s="20" t="str">
        <x:v>较高</x:v>
      </x:c>
      <x:c r="M1113" s="20" t="str">
        <x:v>采用</x:v>
      </x:c>
      <x:c r="N1113" s="20" t="str">
        <x:v>初审</x:v>
      </x:c>
      <x:c r="O1113" s="22" t="n">
        <x:v>46260</x:v>
      </x:c>
      <x:c r="P1113" s="20" t="str">
        <x:v>https://zh.wikisource.org/zh-hans/%E6%B7%B5%E6%B5%B7%E5%AD%90%E5%B9%B3 ; https://zh.wikisource.org/wiki/%E6%BB%B4%E5%A4%A9%E9%AB%93%E9%97%A1%E5%BE%AE</x:v>
      </x:c>
    </x:row>
    <x:row r="1114">
      <x:c r="A1114" s="20" t="str">
        <x:v>M14-BOUND-0079-V1.0</x:v>
      </x:c>
      <x:c r="B1114" s="20" t="str">
        <x:v>规则</x:v>
      </x:c>
      <x:c r="C1114" s="20" t="str">
        <x:v>M14</x:v>
      </x:c>
      <x:c r="D1114" s="20" t="str">
        <x:v>14_格局候选判断</x:v>
      </x:c>
      <x:c r="E1114" s="20" t="str">
        <x:v>BOUND</x:v>
      </x:c>
      <x:c r="F1114" s="20" t="n">
        <x:v>79</x:v>
      </x:c>
      <x:c r="G1114" s="20" t="str">
        <x:v>V1.0</x:v>
      </x:c>
      <x:c r="H1114" s="20" t="str">
        <x:v>格局候选不能直接推出富贵贫贱或具体事件</x:v>
      </x:c>
      <x:c r="I1114" s="20" t="str">
        <x:v>综合层</x:v>
      </x:c>
      <x:c r="J1114" s="20" t="str">
        <x:v>格局事件边界</x:v>
      </x:c>
      <x:c r="K1114" s="20" t="str">
        <x:v>格局候选仅为结构分类，不直接推出财富、职位、婚姻、健康或具体人生事件。</x:v>
      </x:c>
      <x:c r="L1114" s="20" t="str">
        <x:v>较高</x:v>
      </x:c>
      <x:c r="M1114" s="20" t="str">
        <x:v>采用</x:v>
      </x:c>
      <x:c r="N1114" s="20" t="str">
        <x:v>初审</x:v>
      </x:c>
      <x:c r="O1114" s="22" t="n">
        <x:v>46260</x:v>
      </x:c>
      <x:c r="P1114" s="20" t="str">
        <x:v>https://zh.wikisource.org/zh-hans/%E6%B7%B5%E6%B5%B7%E5%AD%90%E5%B9%B3 ; https://zh.wikisource.org/wiki/%E6%BB%B4%E5%A4%A9%E9%AB%93%E9%97%A1%E5%BE%AE</x:v>
      </x:c>
    </x:row>
    <x:row r="1115">
      <x:c r="A1115" s="20" t="str">
        <x:v>M14-BOUND-0080-V1.0</x:v>
      </x:c>
      <x:c r="B1115" s="20" t="str">
        <x:v>规则</x:v>
      </x:c>
      <x:c r="C1115" s="20" t="str">
        <x:v>M14</x:v>
      </x:c>
      <x:c r="D1115" s="20" t="str">
        <x:v>14_格局候选判断</x:v>
      </x:c>
      <x:c r="E1115" s="20" t="str">
        <x:v>BOUND</x:v>
      </x:c>
      <x:c r="F1115" s="20" t="n">
        <x:v>80</x:v>
      </x:c>
      <x:c r="G1115" s="20" t="str">
        <x:v>V1.0</x:v>
      </x:c>
      <x:c r="H1115" s="20" t="str">
        <x:v>原局候选与岁运成格必须分开</x:v>
      </x:c>
      <x:c r="I1115" s="20" t="str">
        <x:v>综合层</x:v>
      </x:c>
      <x:c r="J1115" s="20" t="str">
        <x:v>格局静动态边界</x:v>
      </x:c>
      <x:c r="K1115" s="20" t="str">
        <x:v>原局未满足候选门槛时不得用未来岁运提前认定原局成格。</x:v>
      </x:c>
      <x:c r="L1115" s="20" t="str">
        <x:v>较高</x:v>
      </x:c>
      <x:c r="M1115" s="20" t="str">
        <x:v>采用</x:v>
      </x:c>
      <x:c r="N1115" s="20" t="str">
        <x:v>初审</x:v>
      </x:c>
      <x:c r="O1115" s="22" t="n">
        <x:v>46260</x:v>
      </x:c>
      <x:c r="P1115" s="20" t="str">
        <x:v>https://zh.wikisource.org/zh-hans/%E6%B7%B5%E6%B5%B7%E5%AD%90%E5%B9%B3 ; https://zh.wikisource.org/wiki/%E6%BB%B4%E5%A4%A9%E9%AB%93%E9%97%A1%E5%BE%AE</x:v>
      </x:c>
    </x:row>
    <x:row r="1116">
      <x:c r="A1116" s="20" t="str">
        <x:v>M15-GEN-0001-V1.0</x:v>
      </x:c>
      <x:c r="B1116" s="20" t="str">
        <x:v>规则</x:v>
      </x:c>
      <x:c r="C1116" s="20" t="str">
        <x:v>M15</x:v>
      </x:c>
      <x:c r="D1116" s="20" t="str">
        <x:v>15_格局成败救应</x:v>
      </x:c>
      <x:c r="E1116" s="20" t="str">
        <x:v>GEN</x:v>
      </x:c>
      <x:c r="F1116" s="20" t="n">
        <x:v>1</x:v>
      </x:c>
      <x:c r="G1116" s="20" t="str">
        <x:v>V1.0</x:v>
      </x:c>
      <x:c r="H1116" s="20" t="str">
        <x:v>候选只有满足核心成格条件才进入基本成立</x:v>
      </x:c>
      <x:c r="I1116" s="20" t="str">
        <x:v>综合层</x:v>
      </x:c>
      <x:c r="J1116" s="20" t="str">
        <x:v>格局最低成立门槛</x:v>
      </x:c>
      <x:c r="K1116" s="20" t="str">
        <x:v>所有M14候选判为“基本成立”：破格等级为“无破”，救应为“无救应”，清纯度为“待定”；层次需结合全局继续评估。</x:v>
      </x:c>
      <x:c r="L1116" s="20" t="str">
        <x:v>较高</x:v>
      </x:c>
      <x:c r="M1116" s="20" t="str">
        <x:v>采用</x:v>
      </x:c>
      <x:c r="N1116" s="20" t="str">
        <x:v>初审</x:v>
      </x:c>
      <x:c r="O1116" s="22" t="n">
        <x:v>46260</x:v>
      </x:c>
      <x:c r="P1116" s="20" t="str">
        <x:v>https://zh.wikisource.org/zh-hans/%E6%B7%B5%E6%B5%B7%E5%AD%90%E5%B9%B3 ; https://zh.wikisource.org/wiki/%E6%BB%B4%E5%A4%A9%E9%AB%93%E9%97%A1%E5%BE%AE</x:v>
      </x:c>
    </x:row>
    <x:row r="1117">
      <x:c r="A1117" s="20" t="str">
        <x:v>M15-GEN-0002-V1.0</x:v>
      </x:c>
      <x:c r="B1117" s="20" t="str">
        <x:v>规则</x:v>
      </x:c>
      <x:c r="C1117" s="20" t="str">
        <x:v>M15</x:v>
      </x:c>
      <x:c r="D1117" s="20" t="str">
        <x:v>15_格局成败救应</x:v>
      </x:c>
      <x:c r="E1117" s="20" t="str">
        <x:v>GEN</x:v>
      </x:c>
      <x:c r="F1117" s="20" t="n">
        <x:v>2</x:v>
      </x:c>
      <x:c r="G1117" s="20" t="str">
        <x:v>V1.0</x:v>
      </x:c>
      <x:c r="H1117" s="20" t="str">
        <x:v>格神清纯且无实质破坏可判清纯成立</x:v>
      </x:c>
      <x:c r="I1117" s="20" t="str">
        <x:v>综合层</x:v>
      </x:c>
      <x:c r="J1117" s="20" t="str">
        <x:v>清纯成立</x:v>
      </x:c>
      <x:c r="K1117" s="20" t="str">
        <x:v>所有M14候选判为“清纯成立”：破格等级为“无破”，救应为“无救应”，清纯度为“清纯”；层次需结合全局继续评估。</x:v>
      </x:c>
      <x:c r="L1117" s="20" t="str">
        <x:v>较高</x:v>
      </x:c>
      <x:c r="M1117" s="20" t="str">
        <x:v>采用</x:v>
      </x:c>
      <x:c r="N1117" s="20" t="str">
        <x:v>初审</x:v>
      </x:c>
      <x:c r="O1117" s="22" t="n">
        <x:v>46260</x:v>
      </x:c>
      <x:c r="P1117" s="20" t="str">
        <x:v>https://zh.wikisource.org/zh-hans/%E6%B7%B5%E6%B5%B7%E5%AD%90%E5%B9%B3 ; https://zh.wikisource.org/wiki/%E6%BB%B4%E5%A4%A9%E9%AB%93%E9%97%A1%E5%BE%AE</x:v>
      </x:c>
    </x:row>
    <x:row r="1118">
      <x:c r="A1118" s="20" t="str">
        <x:v>M15-GEN-0003-V1.0</x:v>
      </x:c>
      <x:c r="B1118" s="20" t="str">
        <x:v>规则</x:v>
      </x:c>
      <x:c r="C1118" s="20" t="str">
        <x:v>M15</x:v>
      </x:c>
      <x:c r="D1118" s="20" t="str">
        <x:v>15_格局成败救应</x:v>
      </x:c>
      <x:c r="E1118" s="20" t="str">
        <x:v>GEN</x:v>
      </x:c>
      <x:c r="F1118" s="20" t="n">
        <x:v>3</x:v>
      </x:c>
      <x:c r="G1118" s="20" t="str">
        <x:v>V1.0</x:v>
      </x:c>
      <x:c r="H1118" s="20" t="str">
        <x:v>轻微破损不否决格局但降低稳定性</x:v>
      </x:c>
      <x:c r="I1118" s="20" t="str">
        <x:v>综合层</x:v>
      </x:c>
      <x:c r="J1118" s="20" t="str">
        <x:v>轻微破格</x:v>
      </x:c>
      <x:c r="K1118" s="20" t="str">
        <x:v>所有M14候选判为“成立但有破”：破格等级为“轻微”，救应为“无救应”，清纯度为“有杂”；层次需结合全局继续评估。</x:v>
      </x:c>
      <x:c r="L1118" s="20" t="str">
        <x:v>较高</x:v>
      </x:c>
      <x:c r="M1118" s="20" t="str">
        <x:v>采用</x:v>
      </x:c>
      <x:c r="N1118" s="20" t="str">
        <x:v>初审</x:v>
      </x:c>
      <x:c r="O1118" s="22" t="n">
        <x:v>46260</x:v>
      </x:c>
      <x:c r="P1118" s="20" t="str">
        <x:v>https://zh.wikisource.org/zh-hans/%E6%B7%B5%E6%B5%B7%E5%AD%90%E5%B9%B3 ; https://zh.wikisource.org/wiki/%E6%BB%B4%E5%A4%A9%E9%AB%93%E9%97%A1%E5%BE%AE</x:v>
      </x:c>
    </x:row>
    <x:row r="1119">
      <x:c r="A1119" s="20" t="str">
        <x:v>M15-GEN-0004-V1.0</x:v>
      </x:c>
      <x:c r="B1119" s="20" t="str">
        <x:v>规则</x:v>
      </x:c>
      <x:c r="C1119" s="20" t="str">
        <x:v>M15</x:v>
      </x:c>
      <x:c r="D1119" s="20" t="str">
        <x:v>15_格局成败救应</x:v>
      </x:c>
      <x:c r="E1119" s="20" t="str">
        <x:v>GEN</x:v>
      </x:c>
      <x:c r="F1119" s="20" t="n">
        <x:v>4</x:v>
      </x:c>
      <x:c r="G1119" s="20" t="str">
        <x:v>V1.0</x:v>
      </x:c>
      <x:c r="H1119" s="20" t="str">
        <x:v>一般破格会明显降低格局层次</x:v>
      </x:c>
      <x:c r="I1119" s="20" t="str">
        <x:v>综合层</x:v>
      </x:c>
      <x:c r="J1119" s="20" t="str">
        <x:v>一般破格</x:v>
      </x:c>
      <x:c r="K1119" s="20" t="str">
        <x:v>所有M14候选判为“成立但有破”：破格等级为“一般”，救应为“无救应”，清纯度为“混杂”；层次需结合全局继续评估。</x:v>
      </x:c>
      <x:c r="L1119" s="20" t="str">
        <x:v>较高</x:v>
      </x:c>
      <x:c r="M1119" s="20" t="str">
        <x:v>采用</x:v>
      </x:c>
      <x:c r="N1119" s="20" t="str">
        <x:v>初审</x:v>
      </x:c>
      <x:c r="O1119" s="22" t="n">
        <x:v>46260</x:v>
      </x:c>
      <x:c r="P1119" s="20" t="str">
        <x:v>https://zh.wikisource.org/zh-hans/%E6%B7%B5%E6%B5%B7%E5%AD%90%E5%B9%B3 ; https://zh.wikisource.org/wiki/%E6%BB%B4%E5%A4%A9%E9%AB%93%E9%97%A1%E5%BE%AE</x:v>
      </x:c>
    </x:row>
    <x:row r="1120">
      <x:c r="A1120" s="20" t="str">
        <x:v>M15-GEN-0005-V1.0</x:v>
      </x:c>
      <x:c r="B1120" s="20" t="str">
        <x:v>规则</x:v>
      </x:c>
      <x:c r="C1120" s="20" t="str">
        <x:v>M15</x:v>
      </x:c>
      <x:c r="D1120" s="20" t="str">
        <x:v>15_格局成败救应</x:v>
      </x:c>
      <x:c r="E1120" s="20" t="str">
        <x:v>GEN</x:v>
      </x:c>
      <x:c r="F1120" s="20" t="n">
        <x:v>5</x:v>
      </x:c>
      <x:c r="G1120" s="20" t="str">
        <x:v>V1.0</x:v>
      </x:c>
      <x:c r="H1120" s="20" t="str">
        <x:v>严重破格使格局接近失去主导性</x:v>
      </x:c>
      <x:c r="I1120" s="20" t="str">
        <x:v>综合层</x:v>
      </x:c>
      <x:c r="J1120" s="20" t="str">
        <x:v>严重破格</x:v>
      </x:c>
      <x:c r="K1120" s="20" t="str">
        <x:v>所有M14候选判为“成立但有破”：破格等级为“严重”，救应为“无救应”，清纯度为“严重混杂”；层次需结合全局继续评估。</x:v>
      </x:c>
      <x:c r="L1120" s="20" t="str">
        <x:v>较高</x:v>
      </x:c>
      <x:c r="M1120" s="20" t="str">
        <x:v>采用</x:v>
      </x:c>
      <x:c r="N1120" s="20" t="str">
        <x:v>初审</x:v>
      </x:c>
      <x:c r="O1120" s="22" t="n">
        <x:v>46260</x:v>
      </x:c>
      <x:c r="P1120" s="20" t="str">
        <x:v>https://zh.wikisource.org/zh-hans/%E6%B7%B5%E6%B5%B7%E5%AD%90%E5%B9%B3 ; https://zh.wikisource.org/wiki/%E6%BB%B4%E5%A4%A9%E9%AB%93%E9%97%A1%E5%BE%AE</x:v>
      </x:c>
    </x:row>
    <x:row r="1121">
      <x:c r="A1121" s="20" t="str">
        <x:v>M15-GEN-0006-V1.0</x:v>
      </x:c>
      <x:c r="B1121" s="20" t="str">
        <x:v>规则</x:v>
      </x:c>
      <x:c r="C1121" s="20" t="str">
        <x:v>M15</x:v>
      </x:c>
      <x:c r="D1121" s="20" t="str">
        <x:v>15_格局成败救应</x:v>
      </x:c>
      <x:c r="E1121" s="20" t="str">
        <x:v>GEN</x:v>
      </x:c>
      <x:c r="F1121" s="20" t="n">
        <x:v>6</x:v>
      </x:c>
      <x:c r="G1121" s="20" t="str">
        <x:v>V1.0</x:v>
      </x:c>
      <x:c r="H1121" s="20" t="str">
        <x:v>根本破格应判格局不成立</x:v>
      </x:c>
      <x:c r="I1121" s="20" t="str">
        <x:v>综合层</x:v>
      </x:c>
      <x:c r="J1121" s="20" t="str">
        <x:v>根本破格否决</x:v>
      </x:c>
      <x:c r="K1121" s="20" t="str">
        <x:v>所有M14候选判为“不成立”：破格等级为“根本破格”，救应为“无救应”，清纯度为“待定”；层次需结合全局继续评估。</x:v>
      </x:c>
      <x:c r="L1121" s="20" t="str">
        <x:v>较高</x:v>
      </x:c>
      <x:c r="M1121" s="20" t="str">
        <x:v>采用</x:v>
      </x:c>
      <x:c r="N1121" s="20" t="str">
        <x:v>初审</x:v>
      </x:c>
      <x:c r="O1121" s="22" t="n">
        <x:v>46260</x:v>
      </x:c>
      <x:c r="P1121" s="20" t="str">
        <x:v>https://zh.wikisource.org/zh-hans/%E6%B7%B5%E6%B5%B7%E5%AD%90%E5%B9%B3 ; https://zh.wikisource.org/wiki/%E6%BB%B4%E5%A4%A9%E9%AB%93%E9%97%A1%E5%BE%AE</x:v>
      </x:c>
    </x:row>
    <x:row r="1122">
      <x:c r="A1122" s="20" t="str">
        <x:v>M15-GEN-0007-V1.0</x:v>
      </x:c>
      <x:c r="B1122" s="20" t="str">
        <x:v>规则</x:v>
      </x:c>
      <x:c r="C1122" s="20" t="str">
        <x:v>M15</x:v>
      </x:c>
      <x:c r="D1122" s="20" t="str">
        <x:v>15_格局成败救应</x:v>
      </x:c>
      <x:c r="E1122" s="20" t="str">
        <x:v>GEN</x:v>
      </x:c>
      <x:c r="F1122" s="20" t="n">
        <x:v>7</x:v>
      </x:c>
      <x:c r="G1122" s="20" t="str">
        <x:v>V1.0</x:v>
      </x:c>
      <x:c r="H1122" s="20" t="str">
        <x:v>救应必须直接修复破格机制</x:v>
      </x:c>
      <x:c r="I1122" s="20" t="str">
        <x:v>综合层</x:v>
      </x:c>
      <x:c r="J1122" s="20" t="str">
        <x:v>救应直接性</x:v>
      </x:c>
      <x:c r="K1122" s="20" t="str">
        <x:v>所有M14候选判为“有破有救”：破格等级为“一般”，救应为“部分有效”，清纯度为“有杂”；层次需结合全局继续评估。</x:v>
      </x:c>
      <x:c r="L1122" s="20" t="str">
        <x:v>较高</x:v>
      </x:c>
      <x:c r="M1122" s="20" t="str">
        <x:v>采用</x:v>
      </x:c>
      <x:c r="N1122" s="20" t="str">
        <x:v>初审</x:v>
      </x:c>
      <x:c r="O1122" s="22" t="n">
        <x:v>46260</x:v>
      </x:c>
      <x:c r="P1122" s="20" t="str">
        <x:v>https://zh.wikisource.org/zh-hans/%E6%B7%B5%E6%B5%B7%E5%AD%90%E5%B9%B3 ; https://zh.wikisource.org/wiki/%E6%BB%B4%E5%A4%A9%E9%AB%93%E9%97%A1%E5%BE%AE</x:v>
      </x:c>
    </x:row>
    <x:row r="1123">
      <x:c r="A1123" s="20" t="str">
        <x:v>M15-GEN-0008-V1.0</x:v>
      </x:c>
      <x:c r="B1123" s="20" t="str">
        <x:v>规则</x:v>
      </x:c>
      <x:c r="C1123" s="20" t="str">
        <x:v>M15</x:v>
      </x:c>
      <x:c r="D1123" s="20" t="str">
        <x:v>15_格局成败救应</x:v>
      </x:c>
      <x:c r="E1123" s="20" t="str">
        <x:v>GEN</x:v>
      </x:c>
      <x:c r="F1123" s="20" t="n">
        <x:v>8</x:v>
      </x:c>
      <x:c r="G1123" s="20" t="str">
        <x:v>V1.0</x:v>
      </x:c>
      <x:c r="H1123" s="20" t="str">
        <x:v>救应强弱决定格局恢复程度</x:v>
      </x:c>
      <x:c r="I1123" s="20" t="str">
        <x:v>综合层</x:v>
      </x:c>
      <x:c r="J1123" s="20" t="str">
        <x:v>救应强度分级</x:v>
      </x:c>
      <x:c r="K1123" s="20" t="str">
        <x:v>所有M14候选判为“有破有救”：破格等级为“一般”，救应为“明显有效”，清纯度为“有杂”；层次需结合全局继续评估。</x:v>
      </x:c>
      <x:c r="L1123" s="20" t="str">
        <x:v>较高</x:v>
      </x:c>
      <x:c r="M1123" s="20" t="str">
        <x:v>采用</x:v>
      </x:c>
      <x:c r="N1123" s="20" t="str">
        <x:v>初审</x:v>
      </x:c>
      <x:c r="O1123" s="22" t="n">
        <x:v>46260</x:v>
      </x:c>
      <x:c r="P1123" s="20" t="str">
        <x:v>https://zh.wikisource.org/zh-hans/%E6%B7%B5%E6%B5%B7%E5%AD%90%E5%B9%B3 ; https://zh.wikisource.org/wiki/%E6%BB%B4%E5%A4%A9%E9%AB%93%E9%97%A1%E5%BE%AE</x:v>
      </x:c>
    </x:row>
    <x:row r="1124">
      <x:c r="A1124" s="20" t="str">
        <x:v>M15-GEN-0009-V1.0</x:v>
      </x:c>
      <x:c r="B1124" s="20" t="str">
        <x:v>规则</x:v>
      </x:c>
      <x:c r="C1124" s="20" t="str">
        <x:v>M15</x:v>
      </x:c>
      <x:c r="D1124" s="20" t="str">
        <x:v>15_格局成败救应</x:v>
      </x:c>
      <x:c r="E1124" s="20" t="str">
        <x:v>GEN</x:v>
      </x:c>
      <x:c r="F1124" s="20" t="n">
        <x:v>9</x:v>
      </x:c>
      <x:c r="G1124" s="20" t="str">
        <x:v>V1.0</x:v>
      </x:c>
      <x:c r="H1124" s="20" t="str">
        <x:v>格局成立与格局层次必须分开</x:v>
      </x:c>
      <x:c r="I1124" s="20" t="str">
        <x:v>综合层</x:v>
      </x:c>
      <x:c r="J1124" s="20" t="str">
        <x:v>成立层次分离</x:v>
      </x:c>
      <x:c r="K1124" s="20" t="str">
        <x:v>所有M14候选判为“基本成立”：破格等级为“待定”，救应为“待定”，清纯度为“待定”；层次需结合全局继续评估。</x:v>
      </x:c>
      <x:c r="L1124" s="20" t="str">
        <x:v>较高</x:v>
      </x:c>
      <x:c r="M1124" s="20" t="str">
        <x:v>采用</x:v>
      </x:c>
      <x:c r="N1124" s="20" t="str">
        <x:v>初审</x:v>
      </x:c>
      <x:c r="O1124" s="22" t="n">
        <x:v>46260</x:v>
      </x:c>
      <x:c r="P1124" s="20" t="str">
        <x:v>https://zh.wikisource.org/zh-hans/%E6%B7%B5%E6%B5%B7%E5%AD%90%E5%B9%B3 ; https://zh.wikisource.org/wiki/%E6%BB%B4%E5%A4%A9%E9%AB%93%E9%97%A1%E5%BE%AE</x:v>
      </x:c>
    </x:row>
    <x:row r="1125">
      <x:c r="A1125" s="20" t="str">
        <x:v>M15-GEN-0010-V1.0</x:v>
      </x:c>
      <x:c r="B1125" s="20" t="str">
        <x:v>规则</x:v>
      </x:c>
      <x:c r="C1125" s="20" t="str">
        <x:v>M15</x:v>
      </x:c>
      <x:c r="D1125" s="20" t="str">
        <x:v>15_格局成败救应</x:v>
      </x:c>
      <x:c r="E1125" s="20" t="str">
        <x:v>GEN</x:v>
      </x:c>
      <x:c r="F1125" s="20" t="n">
        <x:v>10</x:v>
      </x:c>
      <x:c r="G1125" s="20" t="str">
        <x:v>V1.0</x:v>
      </x:c>
      <x:c r="H1125" s="20" t="str">
        <x:v>多个破格因素不得机械按数量叠加</x:v>
      </x:c>
      <x:c r="I1125" s="20" t="str">
        <x:v>综合层</x:v>
      </x:c>
      <x:c r="J1125" s="20" t="str">
        <x:v>多重破格净效应</x:v>
      </x:c>
      <x:c r="K1125" s="20" t="str">
        <x:v>所有M14候选判为“待定”：破格等级为“待定”，救应为“待定”，清纯度为“待定”；层次需结合全局继续评估。</x:v>
      </x:c>
      <x:c r="L1125" s="20" t="str">
        <x:v>较高</x:v>
      </x:c>
      <x:c r="M1125" s="20" t="str">
        <x:v>采用</x:v>
      </x:c>
      <x:c r="N1125" s="20" t="str">
        <x:v>初审</x:v>
      </x:c>
      <x:c r="O1125" s="22" t="n">
        <x:v>46260</x:v>
      </x:c>
      <x:c r="P1125" s="20" t="str">
        <x:v>https://zh.wikisource.org/zh-hans/%E6%B7%B5%E6%B5%B7%E5%AD%90%E5%B9%B3 ; https://zh.wikisource.org/wiki/%E6%BB%B4%E5%A4%A9%E9%AB%93%E9%97%A1%E5%BE%AE</x:v>
      </x:c>
    </x:row>
    <x:row r="1126">
      <x:c r="A1126" s="20" t="str">
        <x:v>M15-GUAN-0011-V1.0</x:v>
      </x:c>
      <x:c r="B1126" s="20" t="str">
        <x:v>规则</x:v>
      </x:c>
      <x:c r="C1126" s="20" t="str">
        <x:v>M15</x:v>
      </x:c>
      <x:c r="D1126" s="20" t="str">
        <x:v>15_格局成败救应</x:v>
      </x:c>
      <x:c r="E1126" s="20" t="str">
        <x:v>GUAN</x:v>
      </x:c>
      <x:c r="F1126" s="20" t="n">
        <x:v>11</x:v>
      </x:c>
      <x:c r="G1126" s="20" t="str">
        <x:v>V1.0</x:v>
      </x:c>
      <x:c r="H1126" s="20" t="str">
        <x:v>正官格的基本成格条件</x:v>
      </x:c>
      <x:c r="I1126" s="20" t="str">
        <x:v>综合层</x:v>
      </x:c>
      <x:c r="J1126" s="20" t="str">
        <x:v>正官格候选_成败救应</x:v>
      </x:c>
      <x:c r="K1126" s="20" t="str">
        <x:v>正官格候选判为“基本成立”：破格等级为“无破”，救应为“无救应”，清纯度为“较清”；层次需结合全局继续评估。</x:v>
      </x:c>
      <x:c r="L1126" s="20" t="str">
        <x:v>较高</x:v>
      </x:c>
      <x:c r="M1126" s="20" t="str">
        <x:v>采用</x:v>
      </x:c>
      <x:c r="N1126" s="20" t="str">
        <x:v>初审</x:v>
      </x:c>
      <x:c r="O1126" s="22" t="n">
        <x:v>46260</x:v>
      </x:c>
      <x:c r="P1126" s="20" t="str">
        <x:v>https://zh.wikisource.org/zh-hans/%E6%B7%B5%E6%B5%B7%E5%AD%90%E5%B9%B3 ; https://zh.wikisource.org/wiki/%E6%BB%B4%E5%A4%A9%E9%AB%93%E9%97%A1%E5%BE%AE</x:v>
      </x:c>
    </x:row>
    <x:row r="1127">
      <x:c r="A1127" s="20" t="str">
        <x:v>M15-GUAN-0012-V1.0</x:v>
      </x:c>
      <x:c r="B1127" s="20" t="str">
        <x:v>规则</x:v>
      </x:c>
      <x:c r="C1127" s="20" t="str">
        <x:v>M15</x:v>
      </x:c>
      <x:c r="D1127" s="20" t="str">
        <x:v>15_格局成败救应</x:v>
      </x:c>
      <x:c r="E1127" s="20" t="str">
        <x:v>GUAN</x:v>
      </x:c>
      <x:c r="F1127" s="20" t="n">
        <x:v>12</x:v>
      </x:c>
      <x:c r="G1127" s="20" t="str">
        <x:v>V1.0</x:v>
      </x:c>
      <x:c r="H1127" s="20" t="str">
        <x:v>官印相生完整可判正官格清纯增强</x:v>
      </x:c>
      <x:c r="I1127" s="20" t="str">
        <x:v>综合层</x:v>
      </x:c>
      <x:c r="J1127" s="20" t="str">
        <x:v>正官格_官印清纯</x:v>
      </x:c>
      <x:c r="K1127" s="20" t="str">
        <x:v>正官格候选判为“清纯成立”：破格等级为“无破”，救应为“无救应”，清纯度为“清纯”；层次需结合全局继续评估。</x:v>
      </x:c>
      <x:c r="L1127" s="20" t="str">
        <x:v>较高</x:v>
      </x:c>
      <x:c r="M1127" s="20" t="str">
        <x:v>采用</x:v>
      </x:c>
      <x:c r="N1127" s="20" t="str">
        <x:v>初审</x:v>
      </x:c>
      <x:c r="O1127" s="22" t="n">
        <x:v>46260</x:v>
      </x:c>
      <x:c r="P1127" s="20" t="str">
        <x:v>https://zh.wikisource.org/zh-hans/%E6%B7%B5%E6%B5%B7%E5%AD%90%E5%B9%B3 ; https://zh.wikisource.org/wiki/%E6%BB%B4%E5%A4%A9%E9%AB%93%E9%97%A1%E5%BE%AE</x:v>
      </x:c>
    </x:row>
    <x:row r="1128">
      <x:c r="A1128" s="20" t="str">
        <x:v>M15-GUAN-0013-V1.0</x:v>
      </x:c>
      <x:c r="B1128" s="20" t="str">
        <x:v>规则</x:v>
      </x:c>
      <x:c r="C1128" s="20" t="str">
        <x:v>M15</x:v>
      </x:c>
      <x:c r="D1128" s="20" t="str">
        <x:v>15_格局成败救应</x:v>
      </x:c>
      <x:c r="E1128" s="20" t="str">
        <x:v>GUAN</x:v>
      </x:c>
      <x:c r="F1128" s="20" t="n">
        <x:v>13</x:v>
      </x:c>
      <x:c r="G1128" s="20" t="str">
        <x:v>V1.0</x:v>
      </x:c>
      <x:c r="H1128" s="20" t="str">
        <x:v>财官相生可提高正官格运行层次</x:v>
      </x:c>
      <x:c r="I1128" s="20" t="str">
        <x:v>综合层</x:v>
      </x:c>
      <x:c r="J1128" s="20" t="str">
        <x:v>正官格_财官相生</x:v>
      </x:c>
      <x:c r="K1128" s="20" t="str">
        <x:v>正官格候选判为“清纯成立”：破格等级为“无破”，救应为“无救应”，清纯度为“较清”；层次需结合全局继续评估。</x:v>
      </x:c>
      <x:c r="L1128" s="20" t="str">
        <x:v>较高</x:v>
      </x:c>
      <x:c r="M1128" s="20" t="str">
        <x:v>采用</x:v>
      </x:c>
      <x:c r="N1128" s="20" t="str">
        <x:v>初审</x:v>
      </x:c>
      <x:c r="O1128" s="22" t="n">
        <x:v>46260</x:v>
      </x:c>
      <x:c r="P1128" s="20" t="str">
        <x:v>https://zh.wikisource.org/zh-hans/%E6%B7%B5%E6%B5%B7%E5%AD%90%E5%B9%B3 ; https://zh.wikisource.org/wiki/%E6%BB%B4%E5%A4%A9%E9%AB%93%E9%97%A1%E5%BE%AE</x:v>
      </x:c>
    </x:row>
    <x:row r="1129">
      <x:c r="A1129" s="20" t="str">
        <x:v>M15-GUAN-0014-V1.0</x:v>
      </x:c>
      <x:c r="B1129" s="20" t="str">
        <x:v>规则</x:v>
      </x:c>
      <x:c r="C1129" s="20" t="str">
        <x:v>M15</x:v>
      </x:c>
      <x:c r="D1129" s="20" t="str">
        <x:v>15_格局成败救应</x:v>
      </x:c>
      <x:c r="E1129" s="20" t="str">
        <x:v>GUAN</x:v>
      </x:c>
      <x:c r="F1129" s="20" t="n">
        <x:v>14</x:v>
      </x:c>
      <x:c r="G1129" s="20" t="str">
        <x:v>V1.0</x:v>
      </x:c>
      <x:c r="H1129" s="20" t="str">
        <x:v>伤官见官无救应构成严重破格</x:v>
      </x:c>
      <x:c r="I1129" s="20" t="str">
        <x:v>综合层</x:v>
      </x:c>
      <x:c r="J1129" s="20" t="str">
        <x:v>正官格_伤官破格</x:v>
      </x:c>
      <x:c r="K1129" s="20" t="str">
        <x:v>正官格候选判为“成立但有破”：破格等级为“严重”，救应为“无救应”，清纯度为“混杂”；层次需结合全局继续评估。</x:v>
      </x:c>
      <x:c r="L1129" s="20" t="str">
        <x:v>较高</x:v>
      </x:c>
      <x:c r="M1129" s="20" t="str">
        <x:v>采用</x:v>
      </x:c>
      <x:c r="N1129" s="20" t="str">
        <x:v>初审</x:v>
      </x:c>
      <x:c r="O1129" s="22" t="n">
        <x:v>46260</x:v>
      </x:c>
      <x:c r="P1129" s="20" t="str">
        <x:v>https://zh.wikisource.org/zh-hans/%E6%B7%B5%E6%B5%B7%E5%AD%90%E5%B9%B3 ; https://zh.wikisource.org/wiki/%E6%BB%B4%E5%A4%A9%E9%AB%93%E9%97%A1%E5%BE%AE</x:v>
      </x:c>
    </x:row>
    <x:row r="1130">
      <x:c r="A1130" s="20" t="str">
        <x:v>M15-GUAN-0015-V1.0</x:v>
      </x:c>
      <x:c r="B1130" s="20" t="str">
        <x:v>规则</x:v>
      </x:c>
      <x:c r="C1130" s="20" t="str">
        <x:v>M15</x:v>
      </x:c>
      <x:c r="D1130" s="20" t="str">
        <x:v>15_格局成败救应</x:v>
      </x:c>
      <x:c r="E1130" s="20" t="str">
        <x:v>GUAN</x:v>
      </x:c>
      <x:c r="F1130" s="20" t="n">
        <x:v>15</x:v>
      </x:c>
      <x:c r="G1130" s="20" t="str">
        <x:v>V1.0</x:v>
      </x:c>
      <x:c r="H1130" s="20" t="str">
        <x:v>印制伤官可救正官格</x:v>
      </x:c>
      <x:c r="I1130" s="20" t="str">
        <x:v>综合层</x:v>
      </x:c>
      <x:c r="J1130" s="20" t="str">
        <x:v>正官格_印制伤救应</x:v>
      </x:c>
      <x:c r="K1130" s="20" t="str">
        <x:v>正官格候选判为“有破有救”：破格等级为“一般”，救应为“明显有效”，清纯度为“有杂”；层次需结合全局继续评估。</x:v>
      </x:c>
      <x:c r="L1130" s="20" t="str">
        <x:v>较高</x:v>
      </x:c>
      <x:c r="M1130" s="20" t="str">
        <x:v>采用</x:v>
      </x:c>
      <x:c r="N1130" s="20" t="str">
        <x:v>初审</x:v>
      </x:c>
      <x:c r="O1130" s="22" t="n">
        <x:v>46260</x:v>
      </x:c>
      <x:c r="P1130" s="20" t="str">
        <x:v>https://zh.wikisource.org/zh-hans/%E6%B7%B5%E6%B5%B7%E5%AD%90%E5%B9%B3 ; https://zh.wikisource.org/wiki/%E6%BB%B4%E5%A4%A9%E9%AB%93%E9%97%A1%E5%BE%AE</x:v>
      </x:c>
    </x:row>
    <x:row r="1131">
      <x:c r="A1131" s="20" t="str">
        <x:v>M15-GUAN-0016-V1.0</x:v>
      </x:c>
      <x:c r="B1131" s="20" t="str">
        <x:v>规则</x:v>
      </x:c>
      <x:c r="C1131" s="20" t="str">
        <x:v>M15</x:v>
      </x:c>
      <x:c r="D1131" s="20" t="str">
        <x:v>15_格局成败救应</x:v>
      </x:c>
      <x:c r="E1131" s="20" t="str">
        <x:v>GUAN</x:v>
      </x:c>
      <x:c r="F1131" s="20" t="n">
        <x:v>16</x:v>
      </x:c>
      <x:c r="G1131" s="20" t="str">
        <x:v>V1.0</x:v>
      </x:c>
      <x:c r="H1131" s="20" t="str">
        <x:v>财通伤官生官可形成条件性救应</x:v>
      </x:c>
      <x:c r="I1131" s="20" t="str">
        <x:v>综合层</x:v>
      </x:c>
      <x:c r="J1131" s="20" t="str">
        <x:v>正官格_财通关救应</x:v>
      </x:c>
      <x:c r="K1131" s="20" t="str">
        <x:v>正官格候选判为“有破有救”：破格等级为“一般”，救应为“部分有效”，清纯度为“有杂”；层次需结合全局继续评估。</x:v>
      </x:c>
      <x:c r="L1131" s="20" t="str">
        <x:v>较高</x:v>
      </x:c>
      <x:c r="M1131" s="20" t="str">
        <x:v>采用</x:v>
      </x:c>
      <x:c r="N1131" s="20" t="str">
        <x:v>初审</x:v>
      </x:c>
      <x:c r="O1131" s="22" t="n">
        <x:v>46260</x:v>
      </x:c>
      <x:c r="P1131" s="20" t="str">
        <x:v>https://zh.wikisource.org/zh-hans/%E6%B7%B5%E6%B5%B7%E5%AD%90%E5%B9%B3 ; https://zh.wikisource.org/wiki/%E6%BB%B4%E5%A4%A9%E9%AB%93%E9%97%A1%E5%BE%AE</x:v>
      </x:c>
    </x:row>
    <x:row r="1132">
      <x:c r="A1132" s="20" t="str">
        <x:v>M15-GUAN-0017-V1.0</x:v>
      </x:c>
      <x:c r="B1132" s="20" t="str">
        <x:v>规则</x:v>
      </x:c>
      <x:c r="C1132" s="20" t="str">
        <x:v>M15</x:v>
      </x:c>
      <x:c r="D1132" s="20" t="str">
        <x:v>15_格局成败救应</x:v>
      </x:c>
      <x:c r="E1132" s="20" t="str">
        <x:v>GUAN</x:v>
      </x:c>
      <x:c r="F1132" s="20" t="n">
        <x:v>17</x:v>
      </x:c>
      <x:c r="G1132" s="20" t="str">
        <x:v>V1.0</x:v>
      </x:c>
      <x:c r="H1132" s="20" t="str">
        <x:v>官杀混杂无清化降低正官格层次</x:v>
      </x:c>
      <x:c r="I1132" s="20" t="str">
        <x:v>综合层</x:v>
      </x:c>
      <x:c r="J1132" s="20" t="str">
        <x:v>正官格_官杀混杂</x:v>
      </x:c>
      <x:c r="K1132" s="20" t="str">
        <x:v>正官格候选判为“成立但有破”：破格等级为“一般”，救应为“待定”，清纯度为“混杂”；层次需结合全局继续评估。</x:v>
      </x:c>
      <x:c r="L1132" s="20" t="str">
        <x:v>较高</x:v>
      </x:c>
      <x:c r="M1132" s="20" t="str">
        <x:v>采用</x:v>
      </x:c>
      <x:c r="N1132" s="20" t="str">
        <x:v>初审</x:v>
      </x:c>
      <x:c r="O1132" s="22" t="n">
        <x:v>46260</x:v>
      </x:c>
      <x:c r="P1132" s="20" t="str">
        <x:v>https://zh.wikisource.org/zh-hans/%E6%B7%B5%E6%B5%B7%E5%AD%90%E5%B9%B3 ; https://zh.wikisource.org/wiki/%E6%BB%B4%E5%A4%A9%E9%AB%93%E9%97%A1%E5%BE%AE</x:v>
      </x:c>
    </x:row>
    <x:row r="1133">
      <x:c r="A1133" s="20" t="str">
        <x:v>M15-GUAN-0018-V1.0</x:v>
      </x:c>
      <x:c r="B1133" s="20" t="str">
        <x:v>规则</x:v>
      </x:c>
      <x:c r="C1133" s="20" t="str">
        <x:v>M15</x:v>
      </x:c>
      <x:c r="D1133" s="20" t="str">
        <x:v>15_格局成败救应</x:v>
      </x:c>
      <x:c r="E1133" s="20" t="str">
        <x:v>GUAN</x:v>
      </x:c>
      <x:c r="F1133" s="20" t="n">
        <x:v>18</x:v>
      </x:c>
      <x:c r="G1133" s="20" t="str">
        <x:v>V1.0</x:v>
      </x:c>
      <x:c r="H1133" s="20" t="str">
        <x:v>去杀留官可恢复正官格清纯度</x:v>
      </x:c>
      <x:c r="I1133" s="20" t="str">
        <x:v>综合层</x:v>
      </x:c>
      <x:c r="J1133" s="20" t="str">
        <x:v>正官格_去杀留官</x:v>
      </x:c>
      <x:c r="K1133" s="20" t="str">
        <x:v>正官格候选判为“有破有救”：破格等级为“轻微”，救应为“完全救应”，清纯度为“较清”；层次需结合全局继续评估。</x:v>
      </x:c>
      <x:c r="L1133" s="20" t="str">
        <x:v>较高</x:v>
      </x:c>
      <x:c r="M1133" s="20" t="str">
        <x:v>采用</x:v>
      </x:c>
      <x:c r="N1133" s="20" t="str">
        <x:v>初审</x:v>
      </x:c>
      <x:c r="O1133" s="22" t="n">
        <x:v>46260</x:v>
      </x:c>
      <x:c r="P1133" s="20" t="str">
        <x:v>https://zh.wikisource.org/zh-hans/%E6%B7%B5%E6%B5%B7%E5%AD%90%E5%B9%B3 ; https://zh.wikisource.org/wiki/%E6%BB%B4%E5%A4%A9%E9%AB%93%E9%97%A1%E5%BE%AE</x:v>
      </x:c>
    </x:row>
    <x:row r="1134">
      <x:c r="A1134" s="20" t="str">
        <x:v>M15-SHA-0019-V1.0</x:v>
      </x:c>
      <x:c r="B1134" s="20" t="str">
        <x:v>规则</x:v>
      </x:c>
      <x:c r="C1134" s="20" t="str">
        <x:v>M15</x:v>
      </x:c>
      <x:c r="D1134" s="20" t="str">
        <x:v>15_格局成败救应</x:v>
      </x:c>
      <x:c r="E1134" s="20" t="str">
        <x:v>SHA</x:v>
      </x:c>
      <x:c r="F1134" s="20" t="n">
        <x:v>19</x:v>
      </x:c>
      <x:c r="G1134" s="20" t="str">
        <x:v>V1.0</x:v>
      </x:c>
      <x:c r="H1134" s="20" t="str">
        <x:v>七杀格必须具备承载或制化才能稳定成格</x:v>
      </x:c>
      <x:c r="I1134" s="20" t="str">
        <x:v>综合层</x:v>
      </x:c>
      <x:c r="J1134" s="20" t="str">
        <x:v>七杀格候选_成败救应</x:v>
      </x:c>
      <x:c r="K1134" s="20" t="str">
        <x:v>七杀格候选判为“基本成立”：破格等级为“无破”，救应为“无救应”，清纯度为“较清”；层次需结合全局继续评估。</x:v>
      </x:c>
      <x:c r="L1134" s="20" t="str">
        <x:v>较高</x:v>
      </x:c>
      <x:c r="M1134" s="20" t="str">
        <x:v>采用</x:v>
      </x:c>
      <x:c r="N1134" s="20" t="str">
        <x:v>初审</x:v>
      </x:c>
      <x:c r="O1134" s="22" t="n">
        <x:v>46260</x:v>
      </x:c>
      <x:c r="P1134" s="20" t="str">
        <x:v>https://zh.wikisource.org/zh-hans/%E6%B7%B5%E6%B5%B7%E5%AD%90%E5%B9%B3 ; https://zh.wikisource.org/wiki/%E6%BB%B4%E5%A4%A9%E9%AB%93%E9%97%A1%E5%BE%AE</x:v>
      </x:c>
    </x:row>
    <x:row r="1135">
      <x:c r="A1135" s="20" t="str">
        <x:v>M15-SHA-0020-V1.0</x:v>
      </x:c>
      <x:c r="B1135" s="20" t="str">
        <x:v>规则</x:v>
      </x:c>
      <x:c r="C1135" s="20" t="str">
        <x:v>M15</x:v>
      </x:c>
      <x:c r="D1135" s="20" t="str">
        <x:v>15_格局成败救应</x:v>
      </x:c>
      <x:c r="E1135" s="20" t="str">
        <x:v>SHA</x:v>
      </x:c>
      <x:c r="F1135" s="20" t="n">
        <x:v>20</x:v>
      </x:c>
      <x:c r="G1135" s="20" t="str">
        <x:v>V1.0</x:v>
      </x:c>
      <x:c r="H1135" s="20" t="str">
        <x:v>食神制杀比例适中可判七杀格清纯成立</x:v>
      </x:c>
      <x:c r="I1135" s="20" t="str">
        <x:v>综合层</x:v>
      </x:c>
      <x:c r="J1135" s="20" t="str">
        <x:v>七杀格_食神制杀清纯</x:v>
      </x:c>
      <x:c r="K1135" s="20" t="str">
        <x:v>七杀格候选判为“清纯成立”：破格等级为“无破”，救应为“无救应”，清纯度为“清纯”；层次需结合全局继续评估。</x:v>
      </x:c>
      <x:c r="L1135" s="20" t="str">
        <x:v>较高</x:v>
      </x:c>
      <x:c r="M1135" s="20" t="str">
        <x:v>采用</x:v>
      </x:c>
      <x:c r="N1135" s="20" t="str">
        <x:v>初审</x:v>
      </x:c>
      <x:c r="O1135" s="22" t="n">
        <x:v>46260</x:v>
      </x:c>
      <x:c r="P1135" s="20" t="str">
        <x:v>https://zh.wikisource.org/zh-hans/%E6%B7%B5%E6%B5%B7%E5%AD%90%E5%B9%B3 ; https://zh.wikisource.org/wiki/%E6%BB%B4%E5%A4%A9%E9%AB%93%E9%97%A1%E5%BE%AE</x:v>
      </x:c>
    </x:row>
    <x:row r="1136">
      <x:c r="A1136" s="20" t="str">
        <x:v>M15-SHA-0021-V1.0</x:v>
      </x:c>
      <x:c r="B1136" s="20" t="str">
        <x:v>规则</x:v>
      </x:c>
      <x:c r="C1136" s="20" t="str">
        <x:v>M15</x:v>
      </x:c>
      <x:c r="D1136" s="20" t="str">
        <x:v>15_格局成败救应</x:v>
      </x:c>
      <x:c r="E1136" s="20" t="str">
        <x:v>SHA</x:v>
      </x:c>
      <x:c r="F1136" s="20" t="n">
        <x:v>21</x:v>
      </x:c>
      <x:c r="G1136" s="20" t="str">
        <x:v>V1.0</x:v>
      </x:c>
      <x:c r="H1136" s="20" t="str">
        <x:v>杀印相生完整可判七杀格清纯成立</x:v>
      </x:c>
      <x:c r="I1136" s="20" t="str">
        <x:v>综合层</x:v>
      </x:c>
      <x:c r="J1136" s="20" t="str">
        <x:v>七杀格_杀印相生清纯</x:v>
      </x:c>
      <x:c r="K1136" s="20" t="str">
        <x:v>七杀格候选判为“清纯成立”：破格等级为“无破”，救应为“无救应”，清纯度为“较清”；层次需结合全局继续评估。</x:v>
      </x:c>
      <x:c r="L1136" s="20" t="str">
        <x:v>较高</x:v>
      </x:c>
      <x:c r="M1136" s="20" t="str">
        <x:v>采用</x:v>
      </x:c>
      <x:c r="N1136" s="20" t="str">
        <x:v>初审</x:v>
      </x:c>
      <x:c r="O1136" s="22" t="n">
        <x:v>46260</x:v>
      </x:c>
      <x:c r="P1136" s="20" t="str">
        <x:v>https://zh.wikisource.org/zh-hans/%E6%B7%B5%E6%B5%B7%E5%AD%90%E5%B9%B3 ; https://zh.wikisource.org/wiki/%E6%BB%B4%E5%A4%A9%E9%AB%93%E9%97%A1%E5%BE%AE</x:v>
      </x:c>
    </x:row>
    <x:row r="1137">
      <x:c r="A1137" s="20" t="str">
        <x:v>M15-SHA-0022-V1.0</x:v>
      </x:c>
      <x:c r="B1137" s="20" t="str">
        <x:v>规则</x:v>
      </x:c>
      <x:c r="C1137" s="20" t="str">
        <x:v>M15</x:v>
      </x:c>
      <x:c r="D1137" s="20" t="str">
        <x:v>15_格局成败救应</x:v>
      </x:c>
      <x:c r="E1137" s="20" t="str">
        <x:v>SHA</x:v>
      </x:c>
      <x:c r="F1137" s="20" t="n">
        <x:v>22</x:v>
      </x:c>
      <x:c r="G1137" s="20" t="str">
        <x:v>V1.0</x:v>
      </x:c>
      <x:c r="H1137" s="20" t="str">
        <x:v>七杀无制无化且日主弱构成严重破格</x:v>
      </x:c>
      <x:c r="I1137" s="20" t="str">
        <x:v>综合层</x:v>
      </x:c>
      <x:c r="J1137" s="20" t="str">
        <x:v>七杀格_无制无化</x:v>
      </x:c>
      <x:c r="K1137" s="20" t="str">
        <x:v>七杀格候选判为“成立但有破”：破格等级为“严重”，救应为“无救应”，清纯度为“较清”；层次需结合全局继续评估。</x:v>
      </x:c>
      <x:c r="L1137" s="20" t="str">
        <x:v>较高</x:v>
      </x:c>
      <x:c r="M1137" s="20" t="str">
        <x:v>采用</x:v>
      </x:c>
      <x:c r="N1137" s="20" t="str">
        <x:v>初审</x:v>
      </x:c>
      <x:c r="O1137" s="22" t="n">
        <x:v>46260</x:v>
      </x:c>
      <x:c r="P1137" s="20" t="str">
        <x:v>https://zh.wikisource.org/zh-hans/%E6%B7%B5%E6%B5%B7%E5%AD%90%E5%B9%B3 ; https://zh.wikisource.org/wiki/%E6%BB%B4%E5%A4%A9%E9%AB%93%E9%97%A1%E5%BE%AE</x:v>
      </x:c>
    </x:row>
    <x:row r="1138">
      <x:c r="A1138" s="20" t="str">
        <x:v>M15-SHA-0023-V1.0</x:v>
      </x:c>
      <x:c r="B1138" s="20" t="str">
        <x:v>规则</x:v>
      </x:c>
      <x:c r="C1138" s="20" t="str">
        <x:v>M15</x:v>
      </x:c>
      <x:c r="D1138" s="20" t="str">
        <x:v>15_格局成败救应</x:v>
      </x:c>
      <x:c r="E1138" s="20" t="str">
        <x:v>SHA</x:v>
      </x:c>
      <x:c r="F1138" s="20" t="n">
        <x:v>23</x:v>
      </x:c>
      <x:c r="G1138" s="20" t="str">
        <x:v>V1.0</x:v>
      </x:c>
      <x:c r="H1138" s="20" t="str">
        <x:v>制杀太过会破坏七杀格平衡</x:v>
      </x:c>
      <x:c r="I1138" s="20" t="str">
        <x:v>综合层</x:v>
      </x:c>
      <x:c r="J1138" s="20" t="str">
        <x:v>七杀格_制杀太过</x:v>
      </x:c>
      <x:c r="K1138" s="20" t="str">
        <x:v>七杀格候选判为“成立但有破”：破格等级为“一般”，救应为“待定”，清纯度为“有杂”；层次需结合全局继续评估。</x:v>
      </x:c>
      <x:c r="L1138" s="20" t="str">
        <x:v>较高</x:v>
      </x:c>
      <x:c r="M1138" s="20" t="str">
        <x:v>采用</x:v>
      </x:c>
      <x:c r="N1138" s="20" t="str">
        <x:v>初审</x:v>
      </x:c>
      <x:c r="O1138" s="22" t="n">
        <x:v>46260</x:v>
      </x:c>
      <x:c r="P1138" s="20" t="str">
        <x:v>https://zh.wikisource.org/zh-hans/%E6%B7%B5%E6%B5%B7%E5%AD%90%E5%B9%B3 ; https://zh.wikisource.org/wiki/%E6%BB%B4%E5%A4%A9%E9%AB%93%E9%97%A1%E5%BE%AE</x:v>
      </x:c>
    </x:row>
    <x:row r="1139">
      <x:c r="A1139" s="20" t="str">
        <x:v>M15-SHA-0024-V1.0</x:v>
      </x:c>
      <x:c r="B1139" s="20" t="str">
        <x:v>规则</x:v>
      </x:c>
      <x:c r="C1139" s="20" t="str">
        <x:v>M15</x:v>
      </x:c>
      <x:c r="D1139" s="20" t="str">
        <x:v>15_格局成败救应</x:v>
      </x:c>
      <x:c r="E1139" s="20" t="str">
        <x:v>SHA</x:v>
      </x:c>
      <x:c r="F1139" s="20" t="n">
        <x:v>24</x:v>
      </x:c>
      <x:c r="G1139" s="20" t="str">
        <x:v>V1.0</x:v>
      </x:c>
      <x:c r="H1139" s="20" t="str">
        <x:v>枭夺食会破坏食神制杀型七杀格</x:v>
      </x:c>
      <x:c r="I1139" s="20" t="str">
        <x:v>综合层</x:v>
      </x:c>
      <x:c r="J1139" s="20" t="str">
        <x:v>七杀格_枭夺食破格</x:v>
      </x:c>
      <x:c r="K1139" s="20" t="str">
        <x:v>七杀格候选判为“成立但有破”：破格等级为“严重”，救应为“待定”，清纯度为“混杂”；层次需结合全局继续评估。</x:v>
      </x:c>
      <x:c r="L1139" s="20" t="str">
        <x:v>较高</x:v>
      </x:c>
      <x:c r="M1139" s="20" t="str">
        <x:v>采用</x:v>
      </x:c>
      <x:c r="N1139" s="20" t="str">
        <x:v>初审</x:v>
      </x:c>
      <x:c r="O1139" s="22" t="n">
        <x:v>46260</x:v>
      </x:c>
      <x:c r="P1139" s="20" t="str">
        <x:v>https://zh.wikisource.org/zh-hans/%E6%B7%B5%E6%B5%B7%E5%AD%90%E5%B9%B3 ; https://zh.wikisource.org/wiki/%E6%BB%B4%E5%A4%A9%E9%AB%93%E9%97%A1%E5%BE%AE</x:v>
      </x:c>
    </x:row>
    <x:row r="1140">
      <x:c r="A1140" s="20" t="str">
        <x:v>M15-SHA-0025-V1.0</x:v>
      </x:c>
      <x:c r="B1140" s="20" t="str">
        <x:v>规则</x:v>
      </x:c>
      <x:c r="C1140" s="20" t="str">
        <x:v>M15</x:v>
      </x:c>
      <x:c r="D1140" s="20" t="str">
        <x:v>15_格局成败救应</x:v>
      </x:c>
      <x:c r="E1140" s="20" t="str">
        <x:v>SHA</x:v>
      </x:c>
      <x:c r="F1140" s="20" t="n">
        <x:v>25</x:v>
      </x:c>
      <x:c r="G1140" s="20" t="str">
        <x:v>V1.0</x:v>
      </x:c>
      <x:c r="H1140" s="20" t="str">
        <x:v>财制枭护食可救食神制杀型七杀格</x:v>
      </x:c>
      <x:c r="I1140" s="20" t="str">
        <x:v>综合层</x:v>
      </x:c>
      <x:c r="J1140" s="20" t="str">
        <x:v>七杀格_财制枭救应</x:v>
      </x:c>
      <x:c r="K1140" s="20" t="str">
        <x:v>七杀格候选判为“有破有救”：破格等级为“一般”，救应为“明显有效”，清纯度为“有杂”；层次需结合全局继续评估。</x:v>
      </x:c>
      <x:c r="L1140" s="20" t="str">
        <x:v>较高</x:v>
      </x:c>
      <x:c r="M1140" s="20" t="str">
        <x:v>采用</x:v>
      </x:c>
      <x:c r="N1140" s="20" t="str">
        <x:v>初审</x:v>
      </x:c>
      <x:c r="O1140" s="22" t="n">
        <x:v>46260</x:v>
      </x:c>
      <x:c r="P1140" s="20" t="str">
        <x:v>https://zh.wikisource.org/zh-hans/%E6%B7%B5%E6%B5%B7%E5%AD%90%E5%B9%B3 ; https://zh.wikisource.org/wiki/%E6%BB%B4%E5%A4%A9%E9%AB%93%E9%97%A1%E5%BE%AE</x:v>
      </x:c>
    </x:row>
    <x:row r="1141">
      <x:c r="A1141" s="20" t="str">
        <x:v>M15-SHA-0026-V1.0</x:v>
      </x:c>
      <x:c r="B1141" s="20" t="str">
        <x:v>规则</x:v>
      </x:c>
      <x:c r="C1141" s="20" t="str">
        <x:v>M15</x:v>
      </x:c>
      <x:c r="D1141" s="20" t="str">
        <x:v>15_格局成败救应</x:v>
      </x:c>
      <x:c r="E1141" s="20" t="str">
        <x:v>SHA</x:v>
      </x:c>
      <x:c r="F1141" s="20" t="n">
        <x:v>26</x:v>
      </x:c>
      <x:c r="G1141" s="20" t="str">
        <x:v>V1.0</x:v>
      </x:c>
      <x:c r="H1141" s="20" t="str">
        <x:v>印化杀可救无食制的七杀格</x:v>
      </x:c>
      <x:c r="I1141" s="20" t="str">
        <x:v>综合层</x:v>
      </x:c>
      <x:c r="J1141" s="20" t="str">
        <x:v>七杀格_印化杀救应</x:v>
      </x:c>
      <x:c r="K1141" s="20" t="str">
        <x:v>七杀格候选判为“有破有救”：破格等级为“一般”，救应为“明显有效”，清纯度为“较清”；层次需结合全局继续评估。</x:v>
      </x:c>
      <x:c r="L1141" s="20" t="str">
        <x:v>较高</x:v>
      </x:c>
      <x:c r="M1141" s="20" t="str">
        <x:v>采用</x:v>
      </x:c>
      <x:c r="N1141" s="20" t="str">
        <x:v>初审</x:v>
      </x:c>
      <x:c r="O1141" s="22" t="n">
        <x:v>46260</x:v>
      </x:c>
      <x:c r="P1141" s="20" t="str">
        <x:v>https://zh.wikisource.org/zh-hans/%E6%B7%B5%E6%B5%B7%E5%AD%90%E5%B9%B3 ; https://zh.wikisource.org/wiki/%E6%BB%B4%E5%A4%A9%E9%AB%93%E9%97%A1%E5%BE%AE</x:v>
      </x:c>
    </x:row>
    <x:row r="1142">
      <x:c r="A1142" s="20" t="str">
        <x:v>M15-YIN-0027-V1.0</x:v>
      </x:c>
      <x:c r="B1142" s="20" t="str">
        <x:v>规则</x:v>
      </x:c>
      <x:c r="C1142" s="20" t="str">
        <x:v>M15</x:v>
      </x:c>
      <x:c r="D1142" s="20" t="str">
        <x:v>15_格局成败救应</x:v>
      </x:c>
      <x:c r="E1142" s="20" t="str">
        <x:v>YIN</x:v>
      </x:c>
      <x:c r="F1142" s="20" t="n">
        <x:v>27</x:v>
      </x:c>
      <x:c r="G1142" s="20" t="str">
        <x:v>V1.0</x:v>
      </x:c>
      <x:c r="H1142" s="20" t="str">
        <x:v>印格基本成格要求印星真实生身并不过度</x:v>
      </x:c>
      <x:c r="I1142" s="20" t="str">
        <x:v>综合层</x:v>
      </x:c>
      <x:c r="J1142" s="20" t="str">
        <x:v>正印格/偏印格候选_成败救应</x:v>
      </x:c>
      <x:c r="K1142" s="20" t="str">
        <x:v>正印格/偏印格候选判为“基本成立”：破格等级为“无破”，救应为“无救应”，清纯度为“较清”；层次需结合全局继续评估。</x:v>
      </x:c>
      <x:c r="L1142" s="20" t="str">
        <x:v>较高</x:v>
      </x:c>
      <x:c r="M1142" s="20" t="str">
        <x:v>采用</x:v>
      </x:c>
      <x:c r="N1142" s="20" t="str">
        <x:v>初审</x:v>
      </x:c>
      <x:c r="O1142" s="22" t="n">
        <x:v>46260</x:v>
      </x:c>
      <x:c r="P1142" s="20" t="str">
        <x:v>https://zh.wikisource.org/zh-hans/%E6%B7%B5%E6%B5%B7%E5%AD%90%E5%B9%B3 ; https://zh.wikisource.org/wiki/%E6%BB%B4%E5%A4%A9%E9%AB%93%E9%97%A1%E5%BE%AE</x:v>
      </x:c>
    </x:row>
    <x:row r="1143">
      <x:c r="A1143" s="20" t="str">
        <x:v>M15-YIN-0028-V1.0</x:v>
      </x:c>
      <x:c r="B1143" s="20" t="str">
        <x:v>规则</x:v>
      </x:c>
      <x:c r="C1143" s="20" t="str">
        <x:v>M15</x:v>
      </x:c>
      <x:c r="D1143" s="20" t="str">
        <x:v>15_格局成败救应</x:v>
      </x:c>
      <x:c r="E1143" s="20" t="str">
        <x:v>YIN</x:v>
      </x:c>
      <x:c r="F1143" s="20" t="n">
        <x:v>28</x:v>
      </x:c>
      <x:c r="G1143" s="20" t="str">
        <x:v>V1.0</x:v>
      </x:c>
      <x:c r="H1143" s="20" t="str">
        <x:v>官印相生清晰可提高正印格层次</x:v>
      </x:c>
      <x:c r="I1143" s="20" t="str">
        <x:v>综合层</x:v>
      </x:c>
      <x:c r="J1143" s="20" t="str">
        <x:v>正印格_官印相生</x:v>
      </x:c>
      <x:c r="K1143" s="20" t="str">
        <x:v>正印格候选判为“清纯成立”：破格等级为“无破”，救应为“无救应”，清纯度为“清纯”；层次需结合全局继续评估。</x:v>
      </x:c>
      <x:c r="L1143" s="20" t="str">
        <x:v>较高</x:v>
      </x:c>
      <x:c r="M1143" s="20" t="str">
        <x:v>采用</x:v>
      </x:c>
      <x:c r="N1143" s="20" t="str">
        <x:v>初审</x:v>
      </x:c>
      <x:c r="O1143" s="22" t="n">
        <x:v>46260</x:v>
      </x:c>
      <x:c r="P1143" s="20" t="str">
        <x:v>https://zh.wikisource.org/zh-hans/%E6%B7%B5%E6%B5%B7%E5%AD%90%E5%B9%B3 ; https://zh.wikisource.org/wiki/%E6%BB%B4%E5%A4%A9%E9%AB%93%E9%97%A1%E5%BE%AE</x:v>
      </x:c>
    </x:row>
    <x:row r="1144">
      <x:c r="A1144" s="20" t="str">
        <x:v>M15-YIN-0029-V1.0</x:v>
      </x:c>
      <x:c r="B1144" s="20" t="str">
        <x:v>规则</x:v>
      </x:c>
      <x:c r="C1144" s="20" t="str">
        <x:v>M15</x:v>
      </x:c>
      <x:c r="D1144" s="20" t="str">
        <x:v>15_格局成败救应</x:v>
      </x:c>
      <x:c r="E1144" s="20" t="str">
        <x:v>YIN</x:v>
      </x:c>
      <x:c r="F1144" s="20" t="n">
        <x:v>29</x:v>
      </x:c>
      <x:c r="G1144" s="20" t="str">
        <x:v>V1.0</x:v>
      </x:c>
      <x:c r="H1144" s="20" t="str">
        <x:v>杀印相生清晰可提高偏印格层次</x:v>
      </x:c>
      <x:c r="I1144" s="20" t="str">
        <x:v>综合层</x:v>
      </x:c>
      <x:c r="J1144" s="20" t="str">
        <x:v>偏印格_杀印相生</x:v>
      </x:c>
      <x:c r="K1144" s="20" t="str">
        <x:v>偏印格候选判为“清纯成立”：破格等级为“无破”，救应为“无救应”，清纯度为“较清”；层次需结合全局继续评估。</x:v>
      </x:c>
      <x:c r="L1144" s="20" t="str">
        <x:v>较高</x:v>
      </x:c>
      <x:c r="M1144" s="20" t="str">
        <x:v>采用</x:v>
      </x:c>
      <x:c r="N1144" s="20" t="str">
        <x:v>初审</x:v>
      </x:c>
      <x:c r="O1144" s="22" t="n">
        <x:v>46260</x:v>
      </x:c>
      <x:c r="P1144" s="20" t="str">
        <x:v>https://zh.wikisource.org/zh-hans/%E6%B7%B5%E6%B5%B7%E5%AD%90%E5%B9%B3 ; https://zh.wikisource.org/wiki/%E6%BB%B4%E5%A4%A9%E9%AB%93%E9%97%A1%E5%BE%AE</x:v>
      </x:c>
    </x:row>
    <x:row r="1145">
      <x:c r="A1145" s="20" t="str">
        <x:v>M15-YIN-0030-V1.0</x:v>
      </x:c>
      <x:c r="B1145" s="20" t="str">
        <x:v>规则</x:v>
      </x:c>
      <x:c r="C1145" s="20" t="str">
        <x:v>M15</x:v>
      </x:c>
      <x:c r="D1145" s="20" t="str">
        <x:v>15_格局成败救应</x:v>
      </x:c>
      <x:c r="E1145" s="20" t="str">
        <x:v>YIN</x:v>
      </x:c>
      <x:c r="F1145" s="20" t="n">
        <x:v>30</x:v>
      </x:c>
      <x:c r="G1145" s="20" t="str">
        <x:v>V1.0</x:v>
      </x:c>
      <x:c r="H1145" s="20" t="str">
        <x:v>财坏关键印星构成严重破格</x:v>
      </x:c>
      <x:c r="I1145" s="20" t="str">
        <x:v>综合层</x:v>
      </x:c>
      <x:c r="J1145" s="20" t="str">
        <x:v>印格_财坏印</x:v>
      </x:c>
      <x:c r="K1145" s="20" t="str">
        <x:v>印格候选判为“成立但有破”：破格等级为“严重”，救应为“待定”，清纯度为“有杂”；层次需结合全局继续评估。</x:v>
      </x:c>
      <x:c r="L1145" s="20" t="str">
        <x:v>较高</x:v>
      </x:c>
      <x:c r="M1145" s="20" t="str">
        <x:v>采用</x:v>
      </x:c>
      <x:c r="N1145" s="20" t="str">
        <x:v>初审</x:v>
      </x:c>
      <x:c r="O1145" s="22" t="n">
        <x:v>46260</x:v>
      </x:c>
      <x:c r="P1145" s="20" t="str">
        <x:v>https://zh.wikisource.org/zh-hans/%E6%B7%B5%E6%B5%B7%E5%AD%90%E5%B9%B3 ; https://zh.wikisource.org/wiki/%E6%BB%B4%E5%A4%A9%E9%AB%93%E9%97%A1%E5%BE%AE</x:v>
      </x:c>
    </x:row>
    <x:row r="1146">
      <x:c r="A1146" s="20" t="str">
        <x:v>M15-YIN-0031-V1.0</x:v>
      </x:c>
      <x:c r="B1146" s="20" t="str">
        <x:v>规则</x:v>
      </x:c>
      <x:c r="C1146" s="20" t="str">
        <x:v>M15</x:v>
      </x:c>
      <x:c r="D1146" s="20" t="str">
        <x:v>15_格局成败救应</x:v>
      </x:c>
      <x:c r="E1146" s="20" t="str">
        <x:v>YIN</x:v>
      </x:c>
      <x:c r="F1146" s="20" t="n">
        <x:v>31</x:v>
      </x:c>
      <x:c r="G1146" s="20" t="str">
        <x:v>V1.0</x:v>
      </x:c>
      <x:c r="H1146" s="20" t="str">
        <x:v>比劫制财可救财坏印</x:v>
      </x:c>
      <x:c r="I1146" s="20" t="str">
        <x:v>综合层</x:v>
      </x:c>
      <x:c r="J1146" s="20" t="str">
        <x:v>印格_比劫制财救应</x:v>
      </x:c>
      <x:c r="K1146" s="20" t="str">
        <x:v>印格候选判为“有破有救”：破格等级为“一般”，救应为“明显有效”，清纯度为“有杂”；层次需结合全局继续评估。</x:v>
      </x:c>
      <x:c r="L1146" s="20" t="str">
        <x:v>较高</x:v>
      </x:c>
      <x:c r="M1146" s="20" t="str">
        <x:v>采用</x:v>
      </x:c>
      <x:c r="N1146" s="20" t="str">
        <x:v>初审</x:v>
      </x:c>
      <x:c r="O1146" s="22" t="n">
        <x:v>46260</x:v>
      </x:c>
      <x:c r="P1146" s="20" t="str">
        <x:v>https://zh.wikisource.org/zh-hans/%E6%B7%B5%E6%B5%B7%E5%AD%90%E5%B9%B3 ; https://zh.wikisource.org/wiki/%E6%BB%B4%E5%A4%A9%E9%AB%93%E9%97%A1%E5%BE%AE</x:v>
      </x:c>
    </x:row>
    <x:row r="1147">
      <x:c r="A1147" s="20" t="str">
        <x:v>M15-YIN-0032-V1.0</x:v>
      </x:c>
      <x:c r="B1147" s="20" t="str">
        <x:v>规则</x:v>
      </x:c>
      <x:c r="C1147" s="20" t="str">
        <x:v>M15</x:v>
      </x:c>
      <x:c r="D1147" s="20" t="str">
        <x:v>15_格局成败救应</x:v>
      </x:c>
      <x:c r="E1147" s="20" t="str">
        <x:v>YIN</x:v>
      </x:c>
      <x:c r="F1147" s="20" t="n">
        <x:v>32</x:v>
      </x:c>
      <x:c r="G1147" s="20" t="str">
        <x:v>V1.0</x:v>
      </x:c>
      <x:c r="H1147" s="20" t="str">
        <x:v>印多身滞会降低印格层次</x:v>
      </x:c>
      <x:c r="I1147" s="20" t="str">
        <x:v>综合层</x:v>
      </x:c>
      <x:c r="J1147" s="20" t="str">
        <x:v>印格_印多身滞</x:v>
      </x:c>
      <x:c r="K1147" s="20" t="str">
        <x:v>印格候选判为“成立但有破”：破格等级为“一般”，救应为“待定”，清纯度为“较清”；层次需结合全局继续评估。</x:v>
      </x:c>
      <x:c r="L1147" s="20" t="str">
        <x:v>较高</x:v>
      </x:c>
      <x:c r="M1147" s="20" t="str">
        <x:v>采用</x:v>
      </x:c>
      <x:c r="N1147" s="20" t="str">
        <x:v>初审</x:v>
      </x:c>
      <x:c r="O1147" s="22" t="n">
        <x:v>46260</x:v>
      </x:c>
      <x:c r="P1147" s="20" t="str">
        <x:v>https://zh.wikisource.org/zh-hans/%E6%B7%B5%E6%B5%B7%E5%AD%90%E5%B9%B3 ; https://zh.wikisource.org/wiki/%E6%BB%B4%E5%A4%A9%E9%AB%93%E9%97%A1%E5%BE%AE</x:v>
      </x:c>
    </x:row>
    <x:row r="1148">
      <x:c r="A1148" s="20" t="str">
        <x:v>M15-YIN-0033-V1.0</x:v>
      </x:c>
      <x:c r="B1148" s="20" t="str">
        <x:v>规则</x:v>
      </x:c>
      <x:c r="C1148" s="20" t="str">
        <x:v>M15</x:v>
      </x:c>
      <x:c r="D1148" s="20" t="str">
        <x:v>15_格局成败救应</x:v>
      </x:c>
      <x:c r="E1148" s="20" t="str">
        <x:v>YIN</x:v>
      </x:c>
      <x:c r="F1148" s="20" t="n">
        <x:v>33</x:v>
      </x:c>
      <x:c r="G1148" s="20" t="str">
        <x:v>V1.0</x:v>
      </x:c>
      <x:c r="H1148" s="20" t="str">
        <x:v>枭神夺食会使偏印格带明显副作用</x:v>
      </x:c>
      <x:c r="I1148" s="20" t="str">
        <x:v>综合层</x:v>
      </x:c>
      <x:c r="J1148" s="20" t="str">
        <x:v>偏印格_枭夺食</x:v>
      </x:c>
      <x:c r="K1148" s="20" t="str">
        <x:v>偏印格候选判为“成立但有破”：破格等级为“一般”，救应为“待定”，清纯度为“有杂”；层次需结合全局继续评估。</x:v>
      </x:c>
      <x:c r="L1148" s="20" t="str">
        <x:v>较高</x:v>
      </x:c>
      <x:c r="M1148" s="20" t="str">
        <x:v>采用</x:v>
      </x:c>
      <x:c r="N1148" s="20" t="str">
        <x:v>初审</x:v>
      </x:c>
      <x:c r="O1148" s="22" t="n">
        <x:v>46260</x:v>
      </x:c>
      <x:c r="P1148" s="20" t="str">
        <x:v>https://zh.wikisource.org/zh-hans/%E6%B7%B5%E6%B5%B7%E5%AD%90%E5%B9%B3 ; https://zh.wikisource.org/wiki/%E6%BB%B4%E5%A4%A9%E9%AB%93%E9%97%A1%E5%BE%AE</x:v>
      </x:c>
    </x:row>
    <x:row r="1149">
      <x:c r="A1149" s="20" t="str">
        <x:v>M15-YIN-0034-V1.0</x:v>
      </x:c>
      <x:c r="B1149" s="20" t="str">
        <x:v>规则</x:v>
      </x:c>
      <x:c r="C1149" s="20" t="str">
        <x:v>M15</x:v>
      </x:c>
      <x:c r="D1149" s="20" t="str">
        <x:v>15_格局成败救应</x:v>
      </x:c>
      <x:c r="E1149" s="20" t="str">
        <x:v>YIN</x:v>
      </x:c>
      <x:c r="F1149" s="20" t="n">
        <x:v>34</x:v>
      </x:c>
      <x:c r="G1149" s="20" t="str">
        <x:v>V1.0</x:v>
      </x:c>
      <x:c r="H1149" s="20" t="str">
        <x:v>印枭混杂主从不清时格局降级</x:v>
      </x:c>
      <x:c r="I1149" s="20" t="str">
        <x:v>综合层</x:v>
      </x:c>
      <x:c r="J1149" s="20" t="str">
        <x:v>印格_印枭混杂</x:v>
      </x:c>
      <x:c r="K1149" s="20" t="str">
        <x:v>印格候选判为“成立但有破”：破格等级为“轻微”，救应为“待定”，清纯度为“混杂”；层次需结合全局继续评估。</x:v>
      </x:c>
      <x:c r="L1149" s="20" t="str">
        <x:v>较高</x:v>
      </x:c>
      <x:c r="M1149" s="20" t="str">
        <x:v>采用</x:v>
      </x:c>
      <x:c r="N1149" s="20" t="str">
        <x:v>初审</x:v>
      </x:c>
      <x:c r="O1149" s="22" t="n">
        <x:v>46260</x:v>
      </x:c>
      <x:c r="P1149" s="20" t="str">
        <x:v>https://zh.wikisource.org/zh-hans/%E6%B7%B5%E6%B5%B7%E5%AD%90%E5%B9%B3 ; https://zh.wikisource.org/wiki/%E6%BB%B4%E5%A4%A9%E9%AB%93%E9%97%A1%E5%BE%AE</x:v>
      </x:c>
    </x:row>
    <x:row r="1150">
      <x:c r="A1150" s="20" t="str">
        <x:v>M15-CAI-0035-V1.0</x:v>
      </x:c>
      <x:c r="B1150" s="20" t="str">
        <x:v>规则</x:v>
      </x:c>
      <x:c r="C1150" s="20" t="str">
        <x:v>M15</x:v>
      </x:c>
      <x:c r="D1150" s="20" t="str">
        <x:v>15_格局成败救应</x:v>
      </x:c>
      <x:c r="E1150" s="20" t="str">
        <x:v>CAI</x:v>
      </x:c>
      <x:c r="F1150" s="20" t="n">
        <x:v>35</x:v>
      </x:c>
      <x:c r="G1150" s="20" t="str">
        <x:v>V1.0</x:v>
      </x:c>
      <x:c r="H1150" s="20" t="str">
        <x:v>财格基本成格要求财星有力且日主能任</x:v>
      </x:c>
      <x:c r="I1150" s="20" t="str">
        <x:v>综合层</x:v>
      </x:c>
      <x:c r="J1150" s="20" t="str">
        <x:v>正财格/偏财格候选_成败救应</x:v>
      </x:c>
      <x:c r="K1150" s="20" t="str">
        <x:v>正财格/偏财格候选判为“基本成立”：破格等级为“无破”，救应为“无救应”，清纯度为“较清”；层次需结合全局继续评估。</x:v>
      </x:c>
      <x:c r="L1150" s="20" t="str">
        <x:v>较高</x:v>
      </x:c>
      <x:c r="M1150" s="20" t="str">
        <x:v>采用</x:v>
      </x:c>
      <x:c r="N1150" s="20" t="str">
        <x:v>初审</x:v>
      </x:c>
      <x:c r="O1150" s="22" t="n">
        <x:v>46260</x:v>
      </x:c>
      <x:c r="P1150" s="20" t="str">
        <x:v>https://zh.wikisource.org/zh-hans/%E6%B7%B5%E6%B5%B7%E5%AD%90%E5%B9%B3 ; https://zh.wikisource.org/wiki/%E6%BB%B4%E5%A4%A9%E9%AB%93%E9%97%A1%E5%BE%AE</x:v>
      </x:c>
    </x:row>
    <x:row r="1151">
      <x:c r="A1151" s="20" t="str">
        <x:v>M15-CAI-0036-V1.0</x:v>
      </x:c>
      <x:c r="B1151" s="20" t="str">
        <x:v>规则</x:v>
      </x:c>
      <x:c r="C1151" s="20" t="str">
        <x:v>M15</x:v>
      </x:c>
      <x:c r="D1151" s="20" t="str">
        <x:v>15_格局成败救应</x:v>
      </x:c>
      <x:c r="E1151" s="20" t="str">
        <x:v>CAI</x:v>
      </x:c>
      <x:c r="F1151" s="20" t="n">
        <x:v>36</x:v>
      </x:c>
      <x:c r="G1151" s="20" t="str">
        <x:v>V1.0</x:v>
      </x:c>
      <x:c r="H1151" s="20" t="str">
        <x:v>食伤生财完整可提高财格层次</x:v>
      </x:c>
      <x:c r="I1151" s="20" t="str">
        <x:v>综合层</x:v>
      </x:c>
      <x:c r="J1151" s="20" t="str">
        <x:v>财格_食伤生财</x:v>
      </x:c>
      <x:c r="K1151" s="20" t="str">
        <x:v>财格候选判为“清纯成立”：破格等级为“无破”，救应为“无救应”，清纯度为“较清”；层次需结合全局继续评估。</x:v>
      </x:c>
      <x:c r="L1151" s="20" t="str">
        <x:v>较高</x:v>
      </x:c>
      <x:c r="M1151" s="20" t="str">
        <x:v>采用</x:v>
      </x:c>
      <x:c r="N1151" s="20" t="str">
        <x:v>初审</x:v>
      </x:c>
      <x:c r="O1151" s="22" t="n">
        <x:v>46260</x:v>
      </x:c>
      <x:c r="P1151" s="20" t="str">
        <x:v>https://zh.wikisource.org/zh-hans/%E6%B7%B5%E6%B5%B7%E5%AD%90%E5%B9%B3 ; https://zh.wikisource.org/wiki/%E6%BB%B4%E5%A4%A9%E9%AB%93%E9%97%A1%E5%BE%AE</x:v>
      </x:c>
    </x:row>
    <x:row r="1152">
      <x:c r="A1152" s="20" t="str">
        <x:v>M15-CAI-0037-V1.0</x:v>
      </x:c>
      <x:c r="B1152" s="20" t="str">
        <x:v>规则</x:v>
      </x:c>
      <x:c r="C1152" s="20" t="str">
        <x:v>M15</x:v>
      </x:c>
      <x:c r="D1152" s="20" t="str">
        <x:v>15_格局成败救应</x:v>
      </x:c>
      <x:c r="E1152" s="20" t="str">
        <x:v>CAI</x:v>
      </x:c>
      <x:c r="F1152" s="20" t="n">
        <x:v>37</x:v>
      </x:c>
      <x:c r="G1152" s="20" t="str">
        <x:v>V1.0</x:v>
      </x:c>
      <x:c r="H1152" s="20" t="str">
        <x:v>财官相生完整可提高财格层次</x:v>
      </x:c>
      <x:c r="I1152" s="20" t="str">
        <x:v>综合层</x:v>
      </x:c>
      <x:c r="J1152" s="20" t="str">
        <x:v>财格_财官相生</x:v>
      </x:c>
      <x:c r="K1152" s="20" t="str">
        <x:v>财格候选判为“清纯成立”：破格等级为“无破”，救应为“无救应”，清纯度为“较清”；层次需结合全局继续评估。</x:v>
      </x:c>
      <x:c r="L1152" s="20" t="str">
        <x:v>较高</x:v>
      </x:c>
      <x:c r="M1152" s="20" t="str">
        <x:v>采用</x:v>
      </x:c>
      <x:c r="N1152" s="20" t="str">
        <x:v>初审</x:v>
      </x:c>
      <x:c r="O1152" s="22" t="n">
        <x:v>46260</x:v>
      </x:c>
      <x:c r="P1152" s="20" t="str">
        <x:v>https://zh.wikisource.org/zh-hans/%E6%B7%B5%E6%B5%B7%E5%AD%90%E5%B9%B3 ; https://zh.wikisource.org/wiki/%E6%BB%B4%E5%A4%A9%E9%AB%93%E9%97%A1%E5%BE%AE</x:v>
      </x:c>
    </x:row>
    <x:row r="1153">
      <x:c r="A1153" s="20" t="str">
        <x:v>M15-CAI-0038-V1.0</x:v>
      </x:c>
      <x:c r="B1153" s="20" t="str">
        <x:v>规则</x:v>
      </x:c>
      <x:c r="C1153" s="20" t="str">
        <x:v>M15</x:v>
      </x:c>
      <x:c r="D1153" s="20" t="str">
        <x:v>15_格局成败救应</x:v>
      </x:c>
      <x:c r="E1153" s="20" t="str">
        <x:v>CAI</x:v>
      </x:c>
      <x:c r="F1153" s="20" t="n">
        <x:v>38</x:v>
      </x:c>
      <x:c r="G1153" s="20" t="str">
        <x:v>V1.0</x:v>
      </x:c>
      <x:c r="H1153" s="20" t="str">
        <x:v>财旺身弱不能任财构成严重破格</x:v>
      </x:c>
      <x:c r="I1153" s="20" t="str">
        <x:v>综合层</x:v>
      </x:c>
      <x:c r="J1153" s="20" t="str">
        <x:v>财格_身弱不任</x:v>
      </x:c>
      <x:c r="K1153" s="20" t="str">
        <x:v>财格候选判为“成立但有破”：破格等级为“严重”，救应为“待定”，清纯度为“较清”；层次需结合全局继续评估。</x:v>
      </x:c>
      <x:c r="L1153" s="20" t="str">
        <x:v>较高</x:v>
      </x:c>
      <x:c r="M1153" s="20" t="str">
        <x:v>采用</x:v>
      </x:c>
      <x:c r="N1153" s="20" t="str">
        <x:v>初审</x:v>
      </x:c>
      <x:c r="O1153" s="22" t="n">
        <x:v>46260</x:v>
      </x:c>
      <x:c r="P1153" s="20" t="str">
        <x:v>https://zh.wikisource.org/zh-hans/%E6%B7%B5%E6%B5%B7%E5%AD%90%E5%B9%B3 ; https://zh.wikisource.org/wiki/%E6%BB%B4%E5%A4%A9%E9%AB%93%E9%97%A1%E5%BE%AE</x:v>
      </x:c>
    </x:row>
    <x:row r="1154">
      <x:c r="A1154" s="20" t="str">
        <x:v>M15-CAI-0039-V1.0</x:v>
      </x:c>
      <x:c r="B1154" s="20" t="str">
        <x:v>规则</x:v>
      </x:c>
      <x:c r="C1154" s="20" t="str">
        <x:v>M15</x:v>
      </x:c>
      <x:c r="D1154" s="20" t="str">
        <x:v>15_格局成败救应</x:v>
      </x:c>
      <x:c r="E1154" s="20" t="str">
        <x:v>CAI</x:v>
      </x:c>
      <x:c r="F1154" s="20" t="n">
        <x:v>39</x:v>
      </x:c>
      <x:c r="G1154" s="20" t="str">
        <x:v>V1.0</x:v>
      </x:c>
      <x:c r="H1154" s="20" t="str">
        <x:v>比劫夺财会破坏财格核心</x:v>
      </x:c>
      <x:c r="I1154" s="20" t="str">
        <x:v>综合层</x:v>
      </x:c>
      <x:c r="J1154" s="20" t="str">
        <x:v>财格_比劫夺财</x:v>
      </x:c>
      <x:c r="K1154" s="20" t="str">
        <x:v>财格候选判为“成立但有破”：破格等级为“严重”，救应为“待定”，清纯度为“有杂”；层次需结合全局继续评估。</x:v>
      </x:c>
      <x:c r="L1154" s="20" t="str">
        <x:v>较高</x:v>
      </x:c>
      <x:c r="M1154" s="20" t="str">
        <x:v>采用</x:v>
      </x:c>
      <x:c r="N1154" s="20" t="str">
        <x:v>初审</x:v>
      </x:c>
      <x:c r="O1154" s="22" t="n">
        <x:v>46260</x:v>
      </x:c>
      <x:c r="P1154" s="20" t="str">
        <x:v>https://zh.wikisource.org/zh-hans/%E6%B7%B5%E6%B5%B7%E5%AD%90%E5%B9%B3 ; https://zh.wikisource.org/wiki/%E6%BB%B4%E5%A4%A9%E9%AB%93%E9%97%A1%E5%BE%AE</x:v>
      </x:c>
    </x:row>
    <x:row r="1155">
      <x:c r="A1155" s="20" t="str">
        <x:v>M15-CAI-0040-V1.0</x:v>
      </x:c>
      <x:c r="B1155" s="20" t="str">
        <x:v>规则</x:v>
      </x:c>
      <x:c r="C1155" s="20" t="str">
        <x:v>M15</x:v>
      </x:c>
      <x:c r="D1155" s="20" t="str">
        <x:v>15_格局成败救应</x:v>
      </x:c>
      <x:c r="E1155" s="20" t="str">
        <x:v>CAI</x:v>
      </x:c>
      <x:c r="F1155" s="20" t="n">
        <x:v>40</x:v>
      </x:c>
      <x:c r="G1155" s="20" t="str">
        <x:v>V1.0</x:v>
      </x:c>
      <x:c r="H1155" s="20" t="str">
        <x:v>官杀制比可救比劫夺财</x:v>
      </x:c>
      <x:c r="I1155" s="20" t="str">
        <x:v>综合层</x:v>
      </x:c>
      <x:c r="J1155" s="20" t="str">
        <x:v>财格_官杀制比救应</x:v>
      </x:c>
      <x:c r="K1155" s="20" t="str">
        <x:v>财格候选判为“有破有救”：破格等级为“一般”，救应为“明显有效”，清纯度为“有杂”；层次需结合全局继续评估。</x:v>
      </x:c>
      <x:c r="L1155" s="20" t="str">
        <x:v>较高</x:v>
      </x:c>
      <x:c r="M1155" s="20" t="str">
        <x:v>采用</x:v>
      </x:c>
      <x:c r="N1155" s="20" t="str">
        <x:v>初审</x:v>
      </x:c>
      <x:c r="O1155" s="22" t="n">
        <x:v>46260</x:v>
      </x:c>
      <x:c r="P1155" s="20" t="str">
        <x:v>https://zh.wikisource.org/zh-hans/%E6%B7%B5%E6%B5%B7%E5%AD%90%E5%B9%B3 ; https://zh.wikisource.org/wiki/%E6%BB%B4%E5%A4%A9%E9%AB%93%E9%97%A1%E5%BE%AE</x:v>
      </x:c>
    </x:row>
    <x:row r="1156">
      <x:c r="A1156" s="20" t="str">
        <x:v>M15-CAI-0041-V1.0</x:v>
      </x:c>
      <x:c r="B1156" s="20" t="str">
        <x:v>规则</x:v>
      </x:c>
      <x:c r="C1156" s="20" t="str">
        <x:v>M15</x:v>
      </x:c>
      <x:c r="D1156" s="20" t="str">
        <x:v>15_格局成败救应</x:v>
      </x:c>
      <x:c r="E1156" s="20" t="str">
        <x:v>CAI</x:v>
      </x:c>
      <x:c r="F1156" s="20" t="n">
        <x:v>41</x:v>
      </x:c>
      <x:c r="G1156" s="20" t="str">
        <x:v>V1.0</x:v>
      </x:c>
      <x:c r="H1156" s="20" t="str">
        <x:v>食伤持续生财可部分修复财星受损</x:v>
      </x:c>
      <x:c r="I1156" s="20" t="str">
        <x:v>综合层</x:v>
      </x:c>
      <x:c r="J1156" s="20" t="str">
        <x:v>财格_食伤补财救应</x:v>
      </x:c>
      <x:c r="K1156" s="20" t="str">
        <x:v>财格候选判为“有破有救”：破格等级为“一般”，救应为“部分有效”，清纯度为“有杂”；层次需结合全局继续评估。</x:v>
      </x:c>
      <x:c r="L1156" s="20" t="str">
        <x:v>较高</x:v>
      </x:c>
      <x:c r="M1156" s="20" t="str">
        <x:v>采用</x:v>
      </x:c>
      <x:c r="N1156" s="20" t="str">
        <x:v>初审</x:v>
      </x:c>
      <x:c r="O1156" s="22" t="n">
        <x:v>46260</x:v>
      </x:c>
      <x:c r="P1156" s="20" t="str">
        <x:v>https://zh.wikisource.org/zh-hans/%E6%B7%B5%E6%B5%B7%E5%AD%90%E5%B9%B3 ; https://zh.wikisource.org/wiki/%E6%BB%B4%E5%A4%A9%E9%AB%93%E9%97%A1%E5%BE%AE</x:v>
      </x:c>
    </x:row>
    <x:row r="1157">
      <x:c r="A1157" s="20" t="str">
        <x:v>M15-CAI-0042-V1.0</x:v>
      </x:c>
      <x:c r="B1157" s="20" t="str">
        <x:v>规则</x:v>
      </x:c>
      <x:c r="C1157" s="20" t="str">
        <x:v>M15</x:v>
      </x:c>
      <x:c r="D1157" s="20" t="str">
        <x:v>15_格局成败救应</x:v>
      </x:c>
      <x:c r="E1157" s="20" t="str">
        <x:v>CAI</x:v>
      </x:c>
      <x:c r="F1157" s="20" t="n">
        <x:v>42</x:v>
      </x:c>
      <x:c r="G1157" s="20" t="str">
        <x:v>V1.0</x:v>
      </x:c>
      <x:c r="H1157" s="20" t="str">
        <x:v>财星坏印并破坏关键配合时财格层次下降</x:v>
      </x:c>
      <x:c r="I1157" s="20" t="str">
        <x:v>综合层</x:v>
      </x:c>
      <x:c r="J1157" s="20" t="str">
        <x:v>财格_财坏印副作用</x:v>
      </x:c>
      <x:c r="K1157" s="20" t="str">
        <x:v>财格候选判为“成立但有破”：破格等级为“一般”，救应为“待定”，清纯度为“有杂”；层次需结合全局继续评估。</x:v>
      </x:c>
      <x:c r="L1157" s="20" t="str">
        <x:v>较高</x:v>
      </x:c>
      <x:c r="M1157" s="20" t="str">
        <x:v>采用</x:v>
      </x:c>
      <x:c r="N1157" s="20" t="str">
        <x:v>初审</x:v>
      </x:c>
      <x:c r="O1157" s="22" t="n">
        <x:v>46260</x:v>
      </x:c>
      <x:c r="P1157" s="20" t="str">
        <x:v>https://zh.wikisource.org/zh-hans/%E6%B7%B5%E6%B5%B7%E5%AD%90%E5%B9%B3 ; https://zh.wikisource.org/wiki/%E6%BB%B4%E5%A4%A9%E9%AB%93%E9%97%A1%E5%BE%AE</x:v>
      </x:c>
    </x:row>
    <x:row r="1158">
      <x:c r="A1158" s="20" t="str">
        <x:v>M15-SHISHANG-0043-V1.0</x:v>
      </x:c>
      <x:c r="B1158" s="20" t="str">
        <x:v>规则</x:v>
      </x:c>
      <x:c r="C1158" s="20" t="str">
        <x:v>M15</x:v>
      </x:c>
      <x:c r="D1158" s="20" t="str">
        <x:v>15_格局成败救应</x:v>
      </x:c>
      <x:c r="E1158" s="20" t="str">
        <x:v>SHISHANG</x:v>
      </x:c>
      <x:c r="F1158" s="20" t="n">
        <x:v>43</x:v>
      </x:c>
      <x:c r="G1158" s="20" t="str">
        <x:v>V1.0</x:v>
      </x:c>
      <x:c r="H1158" s="20" t="str">
        <x:v>食神格基本成格要求食神有力且日主可泄</x:v>
      </x:c>
      <x:c r="I1158" s="20" t="str">
        <x:v>综合层</x:v>
      </x:c>
      <x:c r="J1158" s="20" t="str">
        <x:v>食神格候选_成败救应</x:v>
      </x:c>
      <x:c r="K1158" s="20" t="str">
        <x:v>食神格候选判为“基本成立”：破格等级为“无破”，救应为“无救应”，清纯度为“较清”；层次需结合全局继续评估。</x:v>
      </x:c>
      <x:c r="L1158" s="20" t="str">
        <x:v>较高</x:v>
      </x:c>
      <x:c r="M1158" s="20" t="str">
        <x:v>采用</x:v>
      </x:c>
      <x:c r="N1158" s="20" t="str">
        <x:v>初审</x:v>
      </x:c>
      <x:c r="O1158" s="22" t="n">
        <x:v>46260</x:v>
      </x:c>
      <x:c r="P1158" s="20" t="str">
        <x:v>https://zh.wikisource.org/zh-hans/%E6%B7%B5%E6%B5%B7%E5%AD%90%E5%B9%B3 ; https://zh.wikisource.org/wiki/%E6%BB%B4%E5%A4%A9%E9%AB%93%E9%97%A1%E5%BE%AE</x:v>
      </x:c>
    </x:row>
    <x:row r="1159">
      <x:c r="A1159" s="20" t="str">
        <x:v>M15-SHISHANG-0044-V1.0</x:v>
      </x:c>
      <x:c r="B1159" s="20" t="str">
        <x:v>规则</x:v>
      </x:c>
      <x:c r="C1159" s="20" t="str">
        <x:v>M15</x:v>
      </x:c>
      <x:c r="D1159" s="20" t="str">
        <x:v>15_格局成败救应</x:v>
      </x:c>
      <x:c r="E1159" s="20" t="str">
        <x:v>SHISHANG</x:v>
      </x:c>
      <x:c r="F1159" s="20" t="n">
        <x:v>44</x:v>
      </x:c>
      <x:c r="G1159" s="20" t="str">
        <x:v>V1.0</x:v>
      </x:c>
      <x:c r="H1159" s="20" t="str">
        <x:v>食神生财完整可判食神格清纯增强</x:v>
      </x:c>
      <x:c r="I1159" s="20" t="str">
        <x:v>综合层</x:v>
      </x:c>
      <x:c r="J1159" s="20" t="str">
        <x:v>食神格_生财清纯</x:v>
      </x:c>
      <x:c r="K1159" s="20" t="str">
        <x:v>食神格候选判为“清纯成立”：破格等级为“无破”，救应为“无救应”，清纯度为“清纯”；层次需结合全局继续评估。</x:v>
      </x:c>
      <x:c r="L1159" s="20" t="str">
        <x:v>较高</x:v>
      </x:c>
      <x:c r="M1159" s="20" t="str">
        <x:v>采用</x:v>
      </x:c>
      <x:c r="N1159" s="20" t="str">
        <x:v>初审</x:v>
      </x:c>
      <x:c r="O1159" s="22" t="n">
        <x:v>46260</x:v>
      </x:c>
      <x:c r="P1159" s="20" t="str">
        <x:v>https://zh.wikisource.org/zh-hans/%E6%B7%B5%E6%B5%B7%E5%AD%90%E5%B9%B3 ; https://zh.wikisource.org/wiki/%E6%BB%B4%E5%A4%A9%E9%AB%93%E9%97%A1%E5%BE%AE</x:v>
      </x:c>
    </x:row>
    <x:row r="1160">
      <x:c r="A1160" s="20" t="str">
        <x:v>M15-SHISHANG-0045-V1.0</x:v>
      </x:c>
      <x:c r="B1160" s="20" t="str">
        <x:v>规则</x:v>
      </x:c>
      <x:c r="C1160" s="20" t="str">
        <x:v>M15</x:v>
      </x:c>
      <x:c r="D1160" s="20" t="str">
        <x:v>15_格局成败救应</x:v>
      </x:c>
      <x:c r="E1160" s="20" t="str">
        <x:v>SHISHANG</x:v>
      </x:c>
      <x:c r="F1160" s="20" t="n">
        <x:v>45</x:v>
      </x:c>
      <x:c r="G1160" s="20" t="str">
        <x:v>V1.0</x:v>
      </x:c>
      <x:c r="H1160" s="20" t="str">
        <x:v>食神制杀比例适中可提高食神格层次</x:v>
      </x:c>
      <x:c r="I1160" s="20" t="str">
        <x:v>综合层</x:v>
      </x:c>
      <x:c r="J1160" s="20" t="str">
        <x:v>食神格_制杀清纯</x:v>
      </x:c>
      <x:c r="K1160" s="20" t="str">
        <x:v>食神格候选判为“清纯成立”：破格等级为“无破”，救应为“无救应”，清纯度为“较清”；层次需结合全局继续评估。</x:v>
      </x:c>
      <x:c r="L1160" s="20" t="str">
        <x:v>较高</x:v>
      </x:c>
      <x:c r="M1160" s="20" t="str">
        <x:v>采用</x:v>
      </x:c>
      <x:c r="N1160" s="20" t="str">
        <x:v>初审</x:v>
      </x:c>
      <x:c r="O1160" s="22" t="n">
        <x:v>46260</x:v>
      </x:c>
      <x:c r="P1160" s="20" t="str">
        <x:v>https://zh.wikisource.org/zh-hans/%E6%B7%B5%E6%B5%B7%E5%AD%90%E5%B9%B3 ; https://zh.wikisource.org/wiki/%E6%BB%B4%E5%A4%A9%E9%AB%93%E9%97%A1%E5%BE%AE</x:v>
      </x:c>
    </x:row>
    <x:row r="1161">
      <x:c r="A1161" s="20" t="str">
        <x:v>M15-SHISHANG-0046-V1.0</x:v>
      </x:c>
      <x:c r="B1161" s="20" t="str">
        <x:v>规则</x:v>
      </x:c>
      <x:c r="C1161" s="20" t="str">
        <x:v>M15</x:v>
      </x:c>
      <x:c r="D1161" s="20" t="str">
        <x:v>15_格局成败救应</x:v>
      </x:c>
      <x:c r="E1161" s="20" t="str">
        <x:v>SHISHANG</x:v>
      </x:c>
      <x:c r="F1161" s="20" t="n">
        <x:v>46</x:v>
      </x:c>
      <x:c r="G1161" s="20" t="str">
        <x:v>V1.0</x:v>
      </x:c>
      <x:c r="H1161" s="20" t="str">
        <x:v>枭神夺食构成食神格严重破格</x:v>
      </x:c>
      <x:c r="I1161" s="20" t="str">
        <x:v>综合层</x:v>
      </x:c>
      <x:c r="J1161" s="20" t="str">
        <x:v>食神格_枭夺食</x:v>
      </x:c>
      <x:c r="K1161" s="20" t="str">
        <x:v>食神格候选判为“成立但有破”：破格等级为“严重”，救应为“待定”，清纯度为“有杂”；层次需结合全局继续评估。</x:v>
      </x:c>
      <x:c r="L1161" s="20" t="str">
        <x:v>较高</x:v>
      </x:c>
      <x:c r="M1161" s="20" t="str">
        <x:v>采用</x:v>
      </x:c>
      <x:c r="N1161" s="20" t="str">
        <x:v>初审</x:v>
      </x:c>
      <x:c r="O1161" s="22" t="n">
        <x:v>46260</x:v>
      </x:c>
      <x:c r="P1161" s="20" t="str">
        <x:v>https://zh.wikisource.org/zh-hans/%E6%B7%B5%E6%B5%B7%E5%AD%90%E5%B9%B3 ; https://zh.wikisource.org/wiki/%E6%BB%B4%E5%A4%A9%E9%AB%93%E9%97%A1%E5%BE%AE</x:v>
      </x:c>
    </x:row>
    <x:row r="1162">
      <x:c r="A1162" s="20" t="str">
        <x:v>M15-SHISHANG-0047-V1.0</x:v>
      </x:c>
      <x:c r="B1162" s="20" t="str">
        <x:v>规则</x:v>
      </x:c>
      <x:c r="C1162" s="20" t="str">
        <x:v>M15</x:v>
      </x:c>
      <x:c r="D1162" s="20" t="str">
        <x:v>15_格局成败救应</x:v>
      </x:c>
      <x:c r="E1162" s="20" t="str">
        <x:v>SHISHANG</x:v>
      </x:c>
      <x:c r="F1162" s="20" t="n">
        <x:v>47</x:v>
      </x:c>
      <x:c r="G1162" s="20" t="str">
        <x:v>V1.0</x:v>
      </x:c>
      <x:c r="H1162" s="20" t="str">
        <x:v>财制枭可救食神格</x:v>
      </x:c>
      <x:c r="I1162" s="20" t="str">
        <x:v>综合层</x:v>
      </x:c>
      <x:c r="J1162" s="20" t="str">
        <x:v>食神格_财制枭救应</x:v>
      </x:c>
      <x:c r="K1162" s="20" t="str">
        <x:v>食神格候选判为“有破有救”：破格等级为“一般”，救应为“明显有效”，清纯度为“有杂”；层次需结合全局继续评估。</x:v>
      </x:c>
      <x:c r="L1162" s="20" t="str">
        <x:v>较高</x:v>
      </x:c>
      <x:c r="M1162" s="20" t="str">
        <x:v>采用</x:v>
      </x:c>
      <x:c r="N1162" s="20" t="str">
        <x:v>初审</x:v>
      </x:c>
      <x:c r="O1162" s="22" t="n">
        <x:v>46260</x:v>
      </x:c>
      <x:c r="P1162" s="20" t="str">
        <x:v>https://zh.wikisource.org/zh-hans/%E6%B7%B5%E6%B5%B7%E5%AD%90%E5%B9%B3 ; https://zh.wikisource.org/wiki/%E6%BB%B4%E5%A4%A9%E9%AB%93%E9%97%A1%E5%BE%AE</x:v>
      </x:c>
    </x:row>
    <x:row r="1163">
      <x:c r="A1163" s="20" t="str">
        <x:v>M15-SHISHANG-0048-V1.0</x:v>
      </x:c>
      <x:c r="B1163" s="20" t="str">
        <x:v>规则</x:v>
      </x:c>
      <x:c r="C1163" s="20" t="str">
        <x:v>M15</x:v>
      </x:c>
      <x:c r="D1163" s="20" t="str">
        <x:v>15_格局成败救应</x:v>
      </x:c>
      <x:c r="E1163" s="20" t="str">
        <x:v>SHISHANG</x:v>
      </x:c>
      <x:c r="F1163" s="20" t="n">
        <x:v>48</x:v>
      </x:c>
      <x:c r="G1163" s="20" t="str">
        <x:v>V1.0</x:v>
      </x:c>
      <x:c r="H1163" s="20" t="str">
        <x:v>伤官格基本成格要求伤官有合理出口</x:v>
      </x:c>
      <x:c r="I1163" s="20" t="str">
        <x:v>综合层</x:v>
      </x:c>
      <x:c r="J1163" s="20" t="str">
        <x:v>伤官格候选_成败救应</x:v>
      </x:c>
      <x:c r="K1163" s="20" t="str">
        <x:v>伤官格候选判为“基本成立”：破格等级为“无破”，救应为“无救应”，清纯度为“较清”；层次需结合全局继续评估。</x:v>
      </x:c>
      <x:c r="L1163" s="20" t="str">
        <x:v>较高</x:v>
      </x:c>
      <x:c r="M1163" s="20" t="str">
        <x:v>采用</x:v>
      </x:c>
      <x:c r="N1163" s="20" t="str">
        <x:v>初审</x:v>
      </x:c>
      <x:c r="O1163" s="22" t="n">
        <x:v>46260</x:v>
      </x:c>
      <x:c r="P1163" s="20" t="str">
        <x:v>https://zh.wikisource.org/zh-hans/%E6%B7%B5%E6%B5%B7%E5%AD%90%E5%B9%B3 ; https://zh.wikisource.org/wiki/%E6%BB%B4%E5%A4%A9%E9%AB%93%E9%97%A1%E5%BE%AE</x:v>
      </x:c>
    </x:row>
    <x:row r="1164">
      <x:c r="A1164" s="20" t="str">
        <x:v>M15-SHISHANG-0049-V1.0</x:v>
      </x:c>
      <x:c r="B1164" s="20" t="str">
        <x:v>规则</x:v>
      </x:c>
      <x:c r="C1164" s="20" t="str">
        <x:v>M15</x:v>
      </x:c>
      <x:c r="D1164" s="20" t="str">
        <x:v>15_格局成败救应</x:v>
      </x:c>
      <x:c r="E1164" s="20" t="str">
        <x:v>SHISHANG</x:v>
      </x:c>
      <x:c r="F1164" s="20" t="n">
        <x:v>49</x:v>
      </x:c>
      <x:c r="G1164" s="20" t="str">
        <x:v>V1.0</x:v>
      </x:c>
      <x:c r="H1164" s="20" t="str">
        <x:v>伤官生财完整可判伤官格清纯增强</x:v>
      </x:c>
      <x:c r="I1164" s="20" t="str">
        <x:v>综合层</x:v>
      </x:c>
      <x:c r="J1164" s="20" t="str">
        <x:v>伤官格_生财清纯</x:v>
      </x:c>
      <x:c r="K1164" s="20" t="str">
        <x:v>伤官格候选判为“清纯成立”：破格等级为“无破”，救应为“无救应”，清纯度为“较清”；层次需结合全局继续评估。</x:v>
      </x:c>
      <x:c r="L1164" s="20" t="str">
        <x:v>较高</x:v>
      </x:c>
      <x:c r="M1164" s="20" t="str">
        <x:v>采用</x:v>
      </x:c>
      <x:c r="N1164" s="20" t="str">
        <x:v>初审</x:v>
      </x:c>
      <x:c r="O1164" s="22" t="n">
        <x:v>46260</x:v>
      </x:c>
      <x:c r="P1164" s="20" t="str">
        <x:v>https://zh.wikisource.org/zh-hans/%E6%B7%B5%E6%B5%B7%E5%AD%90%E5%B9%B3 ; https://zh.wikisource.org/wiki/%E6%BB%B4%E5%A4%A9%E9%AB%93%E9%97%A1%E5%BE%AE</x:v>
      </x:c>
    </x:row>
    <x:row r="1165">
      <x:c r="A1165" s="20" t="str">
        <x:v>M15-SHISHANG-0050-V1.0</x:v>
      </x:c>
      <x:c r="B1165" s="20" t="str">
        <x:v>规则</x:v>
      </x:c>
      <x:c r="C1165" s="20" t="str">
        <x:v>M15</x:v>
      </x:c>
      <x:c r="D1165" s="20" t="str">
        <x:v>15_格局成败救应</x:v>
      </x:c>
      <x:c r="E1165" s="20" t="str">
        <x:v>SHISHANG</x:v>
      </x:c>
      <x:c r="F1165" s="20" t="n">
        <x:v>50</x:v>
      </x:c>
      <x:c r="G1165" s="20" t="str">
        <x:v>V1.0</x:v>
      </x:c>
      <x:c r="H1165" s="20" t="str">
        <x:v>伤官配印比例适中可判伤官格清纯增强</x:v>
      </x:c>
      <x:c r="I1165" s="20" t="str">
        <x:v>综合层</x:v>
      </x:c>
      <x:c r="J1165" s="20" t="str">
        <x:v>伤官格_配印清纯</x:v>
      </x:c>
      <x:c r="K1165" s="20" t="str">
        <x:v>伤官格候选判为“清纯成立”：破格等级为“无破”，救应为“无救应”，清纯度为“较清”；层次需结合全局继续评估。</x:v>
      </x:c>
      <x:c r="L1165" s="20" t="str">
        <x:v>较高</x:v>
      </x:c>
      <x:c r="M1165" s="20" t="str">
        <x:v>采用</x:v>
      </x:c>
      <x:c r="N1165" s="20" t="str">
        <x:v>初审</x:v>
      </x:c>
      <x:c r="O1165" s="22" t="n">
        <x:v>46260</x:v>
      </x:c>
      <x:c r="P1165" s="20" t="str">
        <x:v>https://zh.wikisource.org/zh-hans/%E6%B7%B5%E6%B5%B7%E5%AD%90%E5%B9%B3 ; https://zh.wikisource.org/wiki/%E6%BB%B4%E5%A4%A9%E9%AB%93%E9%97%A1%E5%BE%AE</x:v>
      </x:c>
    </x:row>
    <x:row r="1166">
      <x:c r="A1166" s="20" t="str">
        <x:v>M15-SHISHANG-0051-V1.0</x:v>
      </x:c>
      <x:c r="B1166" s="20" t="str">
        <x:v>规则</x:v>
      </x:c>
      <x:c r="C1166" s="20" t="str">
        <x:v>M15</x:v>
      </x:c>
      <x:c r="D1166" s="20" t="str">
        <x:v>15_格局成败救应</x:v>
      </x:c>
      <x:c r="E1166" s="20" t="str">
        <x:v>SHISHANG</x:v>
      </x:c>
      <x:c r="F1166" s="20" t="n">
        <x:v>51</x:v>
      </x:c>
      <x:c r="G1166" s="20" t="str">
        <x:v>V1.0</x:v>
      </x:c>
      <x:c r="H1166" s="20" t="str">
        <x:v>伤官见官无救应构成严重破格</x:v>
      </x:c>
      <x:c r="I1166" s="20" t="str">
        <x:v>综合层</x:v>
      </x:c>
      <x:c r="J1166" s="20" t="str">
        <x:v>伤官格_见官破格</x:v>
      </x:c>
      <x:c r="K1166" s="20" t="str">
        <x:v>伤官格候选判为“成立但有破”：破格等级为“严重”，救应为“待定”，清纯度为“混杂”；层次需结合全局继续评估。</x:v>
      </x:c>
      <x:c r="L1166" s="20" t="str">
        <x:v>较高</x:v>
      </x:c>
      <x:c r="M1166" s="20" t="str">
        <x:v>采用</x:v>
      </x:c>
      <x:c r="N1166" s="20" t="str">
        <x:v>初审</x:v>
      </x:c>
      <x:c r="O1166" s="22" t="n">
        <x:v>46260</x:v>
      </x:c>
      <x:c r="P1166" s="20" t="str">
        <x:v>https://zh.wikisource.org/zh-hans/%E6%B7%B5%E6%B5%B7%E5%AD%90%E5%B9%B3 ; https://zh.wikisource.org/wiki/%E6%BB%B4%E5%A4%A9%E9%AB%93%E9%97%A1%E5%BE%AE</x:v>
      </x:c>
    </x:row>
    <x:row r="1167">
      <x:c r="A1167" s="20" t="str">
        <x:v>M15-SHISHANG-0052-V1.0</x:v>
      </x:c>
      <x:c r="B1167" s="20" t="str">
        <x:v>规则</x:v>
      </x:c>
      <x:c r="C1167" s="20" t="str">
        <x:v>M15</x:v>
      </x:c>
      <x:c r="D1167" s="20" t="str">
        <x:v>15_格局成败救应</x:v>
      </x:c>
      <x:c r="E1167" s="20" t="str">
        <x:v>SHISHANG</x:v>
      </x:c>
      <x:c r="F1167" s="20" t="n">
        <x:v>52</x:v>
      </x:c>
      <x:c r="G1167" s="20" t="str">
        <x:v>V1.0</x:v>
      </x:c>
      <x:c r="H1167" s="20" t="str">
        <x:v>印制伤或财通关可救伤官见官</x:v>
      </x:c>
      <x:c r="I1167" s="20" t="str">
        <x:v>综合层</x:v>
      </x:c>
      <x:c r="J1167" s="20" t="str">
        <x:v>伤官格_见官救应</x:v>
      </x:c>
      <x:c r="K1167" s="20" t="str">
        <x:v>伤官格候选判为“有破有救”：破格等级为“一般”，救应为“明显有效”，清纯度为“有杂”；层次需结合全局继续评估。</x:v>
      </x:c>
      <x:c r="L1167" s="20" t="str">
        <x:v>较高</x:v>
      </x:c>
      <x:c r="M1167" s="20" t="str">
        <x:v>采用</x:v>
      </x:c>
      <x:c r="N1167" s="20" t="str">
        <x:v>初审</x:v>
      </x:c>
      <x:c r="O1167" s="22" t="n">
        <x:v>46260</x:v>
      </x:c>
      <x:c r="P1167" s="20" t="str">
        <x:v>https://zh.wikisource.org/zh-hans/%E6%B7%B5%E6%B5%B7%E5%AD%90%E5%B9%B3 ; https://zh.wikisource.org/wiki/%E6%BB%B4%E5%A4%A9%E9%AB%93%E9%97%A1%E5%BE%AE</x:v>
      </x:c>
    </x:row>
    <x:row r="1168">
      <x:c r="A1168" s="20" t="str">
        <x:v>M15-JIANREN-0053-V1.0</x:v>
      </x:c>
      <x:c r="B1168" s="20" t="str">
        <x:v>规则</x:v>
      </x:c>
      <x:c r="C1168" s="20" t="str">
        <x:v>M15</x:v>
      </x:c>
      <x:c r="D1168" s="20" t="str">
        <x:v>15_格局成败救应</x:v>
      </x:c>
      <x:c r="E1168" s="20" t="str">
        <x:v>JIANREN</x:v>
      </x:c>
      <x:c r="F1168" s="20" t="n">
        <x:v>53</x:v>
      </x:c>
      <x:c r="G1168" s="20" t="str">
        <x:v>V1.0</x:v>
      </x:c>
      <x:c r="H1168" s="20" t="str">
        <x:v>建禄格需有财官食伤出口才能形成较完整结构</x:v>
      </x:c>
      <x:c r="I1168" s="20" t="str">
        <x:v>综合层</x:v>
      </x:c>
      <x:c r="J1168" s="20" t="str">
        <x:v>建禄格_基本成格</x:v>
      </x:c>
      <x:c r="K1168" s="20" t="str">
        <x:v>建禄格候选判为“基本成立”：破格等级为“无破”，救应为“无救应”，清纯度为“待定”；层次需结合全局继续评估。</x:v>
      </x:c>
      <x:c r="L1168" s="20" t="str">
        <x:v>较高</x:v>
      </x:c>
      <x:c r="M1168" s="20" t="str">
        <x:v>采用</x:v>
      </x:c>
      <x:c r="N1168" s="20" t="str">
        <x:v>初审</x:v>
      </x:c>
      <x:c r="O1168" s="22" t="n">
        <x:v>46260</x:v>
      </x:c>
      <x:c r="P1168" s="20" t="str">
        <x:v>https://zh.wikisource.org/zh-hans/%E6%B7%B5%E6%B5%B7%E5%AD%90%E5%B9%B3 ; https://zh.wikisource.org/wiki/%E6%BB%B4%E5%A4%A9%E9%AB%93%E9%97%A1%E5%BE%AE</x:v>
      </x:c>
    </x:row>
    <x:row r="1169">
      <x:c r="A1169" s="20" t="str">
        <x:v>M15-JIANREN-0054-V1.0</x:v>
      </x:c>
      <x:c r="B1169" s="20" t="str">
        <x:v>规则</x:v>
      </x:c>
      <x:c r="C1169" s="20" t="str">
        <x:v>M15</x:v>
      </x:c>
      <x:c r="D1169" s="20" t="str">
        <x:v>15_格局成败救应</x:v>
      </x:c>
      <x:c r="E1169" s="20" t="str">
        <x:v>JIANREN</x:v>
      </x:c>
      <x:c r="F1169" s="20" t="n">
        <x:v>54</x:v>
      </x:c>
      <x:c r="G1169" s="20" t="str">
        <x:v>V1.0</x:v>
      </x:c>
      <x:c r="H1169" s="20" t="str">
        <x:v>食伤泄秀可提高建禄格层次</x:v>
      </x:c>
      <x:c r="I1169" s="20" t="str">
        <x:v>综合层</x:v>
      </x:c>
      <x:c r="J1169" s="20" t="str">
        <x:v>建禄格_食伤泄秀</x:v>
      </x:c>
      <x:c r="K1169" s="20" t="str">
        <x:v>建禄格候选判为“清纯成立”：破格等级为“无破”，救应为“无救应”，清纯度为“较清”；层次需结合全局继续评估。</x:v>
      </x:c>
      <x:c r="L1169" s="20" t="str">
        <x:v>较高</x:v>
      </x:c>
      <x:c r="M1169" s="20" t="str">
        <x:v>采用</x:v>
      </x:c>
      <x:c r="N1169" s="20" t="str">
        <x:v>初审</x:v>
      </x:c>
      <x:c r="O1169" s="22" t="n">
        <x:v>46260</x:v>
      </x:c>
      <x:c r="P1169" s="20" t="str">
        <x:v>https://zh.wikisource.org/zh-hans/%E6%B7%B5%E6%B5%B7%E5%AD%90%E5%B9%B3 ; https://zh.wikisource.org/wiki/%E6%BB%B4%E5%A4%A9%E9%AB%93%E9%97%A1%E5%BE%AE</x:v>
      </x:c>
    </x:row>
    <x:row r="1170">
      <x:c r="A1170" s="20" t="str">
        <x:v>M15-JIANREN-0055-V1.0</x:v>
      </x:c>
      <x:c r="B1170" s="20" t="str">
        <x:v>规则</x:v>
      </x:c>
      <x:c r="C1170" s="20" t="str">
        <x:v>M15</x:v>
      </x:c>
      <x:c r="D1170" s="20" t="str">
        <x:v>15_格局成败救应</x:v>
      </x:c>
      <x:c r="E1170" s="20" t="str">
        <x:v>JIANREN</x:v>
      </x:c>
      <x:c r="F1170" s="20" t="n">
        <x:v>55</x:v>
      </x:c>
      <x:c r="G1170" s="20" t="str">
        <x:v>V1.0</x:v>
      </x:c>
      <x:c r="H1170" s="20" t="str">
        <x:v>官杀有力制衡可提高建禄格层次</x:v>
      </x:c>
      <x:c r="I1170" s="20" t="str">
        <x:v>综合层</x:v>
      </x:c>
      <x:c r="J1170" s="20" t="str">
        <x:v>建禄格_官杀制衡</x:v>
      </x:c>
      <x:c r="K1170" s="20" t="str">
        <x:v>建禄格候选判为“清纯成立”：破格等级为“无破”，救应为“无救应”，清纯度为“较清”；层次需结合全局继续评估。</x:v>
      </x:c>
      <x:c r="L1170" s="20" t="str">
        <x:v>较高</x:v>
      </x:c>
      <x:c r="M1170" s="20" t="str">
        <x:v>采用</x:v>
      </x:c>
      <x:c r="N1170" s="20" t="str">
        <x:v>初审</x:v>
      </x:c>
      <x:c r="O1170" s="22" t="n">
        <x:v>46260</x:v>
      </x:c>
      <x:c r="P1170" s="20" t="str">
        <x:v>https://zh.wikisource.org/zh-hans/%E6%B7%B5%E6%B5%B7%E5%AD%90%E5%B9%B3 ; https://zh.wikisource.org/wiki/%E6%BB%B4%E5%A4%A9%E9%AB%93%E9%97%A1%E5%BE%AE</x:v>
      </x:c>
    </x:row>
    <x:row r="1171">
      <x:c r="A1171" s="20" t="str">
        <x:v>M15-JIANREN-0056-V1.0</x:v>
      </x:c>
      <x:c r="B1171" s="20" t="str">
        <x:v>规则</x:v>
      </x:c>
      <x:c r="C1171" s="20" t="str">
        <x:v>M15</x:v>
      </x:c>
      <x:c r="D1171" s="20" t="str">
        <x:v>15_格局成败救应</x:v>
      </x:c>
      <x:c r="E1171" s="20" t="str">
        <x:v>JIANREN</x:v>
      </x:c>
      <x:c r="F1171" s="20" t="n">
        <x:v>56</x:v>
      </x:c>
      <x:c r="G1171" s="20" t="str">
        <x:v>V1.0</x:v>
      </x:c>
      <x:c r="H1171" s="20" t="str">
        <x:v>比劫壅塞无泄构成建禄格一般破格</x:v>
      </x:c>
      <x:c r="I1171" s="20" t="str">
        <x:v>综合层</x:v>
      </x:c>
      <x:c r="J1171" s="20" t="str">
        <x:v>建禄格_比劫壅塞</x:v>
      </x:c>
      <x:c r="K1171" s="20" t="str">
        <x:v>建禄格候选判为“成立但有破”：破格等级为“一般”，救应为“待定”，清纯度为“较清”；层次需结合全局继续评估。</x:v>
      </x:c>
      <x:c r="L1171" s="20" t="str">
        <x:v>较高</x:v>
      </x:c>
      <x:c r="M1171" s="20" t="str">
        <x:v>采用</x:v>
      </x:c>
      <x:c r="N1171" s="20" t="str">
        <x:v>初审</x:v>
      </x:c>
      <x:c r="O1171" s="22" t="n">
        <x:v>46260</x:v>
      </x:c>
      <x:c r="P1171" s="20" t="str">
        <x:v>https://zh.wikisource.org/zh-hans/%E6%B7%B5%E6%B5%B7%E5%AD%90%E5%B9%B3 ; https://zh.wikisource.org/wiki/%E6%BB%B4%E5%A4%A9%E9%AB%93%E9%97%A1%E5%BE%AE</x:v>
      </x:c>
    </x:row>
    <x:row r="1172">
      <x:c r="A1172" s="20" t="str">
        <x:v>M15-JIANREN-0057-V1.0</x:v>
      </x:c>
      <x:c r="B1172" s="20" t="str">
        <x:v>规则</x:v>
      </x:c>
      <x:c r="C1172" s="20" t="str">
        <x:v>M15</x:v>
      </x:c>
      <x:c r="D1172" s="20" t="str">
        <x:v>15_格局成败救应</x:v>
      </x:c>
      <x:c r="E1172" s="20" t="str">
        <x:v>JIANREN</x:v>
      </x:c>
      <x:c r="F1172" s="20" t="n">
        <x:v>57</x:v>
      </x:c>
      <x:c r="G1172" s="20" t="str">
        <x:v>V1.0</x:v>
      </x:c>
      <x:c r="H1172" s="20" t="str">
        <x:v>羊刃格必须有有效制化才能稳定运行</x:v>
      </x:c>
      <x:c r="I1172" s="20" t="str">
        <x:v>综合层</x:v>
      </x:c>
      <x:c r="J1172" s="20" t="str">
        <x:v>羊刃格候选_成败救应</x:v>
      </x:c>
      <x:c r="K1172" s="20" t="str">
        <x:v>羊刃格候选判为“基本成立”：破格等级为“无破”，救应为“无救应”，清纯度为“待定”；层次需结合全局继续评估。</x:v>
      </x:c>
      <x:c r="L1172" s="20" t="str">
        <x:v>较高</x:v>
      </x:c>
      <x:c r="M1172" s="20" t="str">
        <x:v>采用</x:v>
      </x:c>
      <x:c r="N1172" s="20" t="str">
        <x:v>初审</x:v>
      </x:c>
      <x:c r="O1172" s="22" t="n">
        <x:v>46260</x:v>
      </x:c>
      <x:c r="P1172" s="20" t="str">
        <x:v>https://zh.wikisource.org/zh-hans/%E6%B7%B5%E6%B5%B7%E5%AD%90%E5%B9%B3 ; https://zh.wikisource.org/wiki/%E6%BB%B4%E5%A4%A9%E9%AB%93%E9%97%A1%E5%BE%AE</x:v>
      </x:c>
    </x:row>
    <x:row r="1173">
      <x:c r="A1173" s="20" t="str">
        <x:v>M15-JIANREN-0058-V1.0</x:v>
      </x:c>
      <x:c r="B1173" s="20" t="str">
        <x:v>规则</x:v>
      </x:c>
      <x:c r="C1173" s="20" t="str">
        <x:v>M15</x:v>
      </x:c>
      <x:c r="D1173" s="20" t="str">
        <x:v>15_格局成败救应</x:v>
      </x:c>
      <x:c r="E1173" s="20" t="str">
        <x:v>JIANREN</x:v>
      </x:c>
      <x:c r="F1173" s="20" t="n">
        <x:v>58</x:v>
      </x:c>
      <x:c r="G1173" s="20" t="str">
        <x:v>V1.0</x:v>
      </x:c>
      <x:c r="H1173" s="20" t="str">
        <x:v>羊刃驾杀比例适中可判清纯增强</x:v>
      </x:c>
      <x:c r="I1173" s="20" t="str">
        <x:v>综合层</x:v>
      </x:c>
      <x:c r="J1173" s="20" t="str">
        <x:v>羊刃格_驾杀清纯</x:v>
      </x:c>
      <x:c r="K1173" s="20" t="str">
        <x:v>羊刃格候选判为“清纯成立”：破格等级为“无破”，救应为“无救应”，清纯度为“较清”；层次需结合全局继续评估。</x:v>
      </x:c>
      <x:c r="L1173" s="20" t="str">
        <x:v>较高</x:v>
      </x:c>
      <x:c r="M1173" s="20" t="str">
        <x:v>采用</x:v>
      </x:c>
      <x:c r="N1173" s="20" t="str">
        <x:v>初审</x:v>
      </x:c>
      <x:c r="O1173" s="22" t="n">
        <x:v>46260</x:v>
      </x:c>
      <x:c r="P1173" s="20" t="str">
        <x:v>https://zh.wikisource.org/zh-hans/%E6%B7%B5%E6%B5%B7%E5%AD%90%E5%B9%B3 ; https://zh.wikisource.org/wiki/%E6%BB%B4%E5%A4%A9%E9%AB%93%E9%97%A1%E5%BE%AE</x:v>
      </x:c>
    </x:row>
    <x:row r="1174">
      <x:c r="A1174" s="20" t="str">
        <x:v>M15-JIANREN-0059-V1.0</x:v>
      </x:c>
      <x:c r="B1174" s="20" t="str">
        <x:v>规则</x:v>
      </x:c>
      <x:c r="C1174" s="20" t="str">
        <x:v>M15</x:v>
      </x:c>
      <x:c r="D1174" s="20" t="str">
        <x:v>15_格局成败救应</x:v>
      </x:c>
      <x:c r="E1174" s="20" t="str">
        <x:v>JIANREN</x:v>
      </x:c>
      <x:c r="F1174" s="20" t="n">
        <x:v>59</x:v>
      </x:c>
      <x:c r="G1174" s="20" t="str">
        <x:v>V1.0</x:v>
      </x:c>
      <x:c r="H1174" s="20" t="str">
        <x:v>杀弱不能驾刃会降低羊刃格层次</x:v>
      </x:c>
      <x:c r="I1174" s="20" t="str">
        <x:v>综合层</x:v>
      </x:c>
      <x:c r="J1174" s="20" t="str">
        <x:v>羊刃格_杀弱</x:v>
      </x:c>
      <x:c r="K1174" s="20" t="str">
        <x:v>羊刃格候选判为“成立但有破”：破格等级为“一般”，救应为“待定”，清纯度为“较清”；层次需结合全局继续评估。</x:v>
      </x:c>
      <x:c r="L1174" s="20" t="str">
        <x:v>较高</x:v>
      </x:c>
      <x:c r="M1174" s="20" t="str">
        <x:v>采用</x:v>
      </x:c>
      <x:c r="N1174" s="20" t="str">
        <x:v>初审</x:v>
      </x:c>
      <x:c r="O1174" s="22" t="n">
        <x:v>46260</x:v>
      </x:c>
      <x:c r="P1174" s="20" t="str">
        <x:v>https://zh.wikisource.org/zh-hans/%E6%B7%B5%E6%B5%B7%E5%AD%90%E5%B9%B3 ; https://zh.wikisource.org/wiki/%E6%BB%B4%E5%A4%A9%E9%AB%93%E9%97%A1%E5%BE%AE</x:v>
      </x:c>
    </x:row>
    <x:row r="1175">
      <x:c r="A1175" s="20" t="str">
        <x:v>M15-JIANREN-0060-V1.0</x:v>
      </x:c>
      <x:c r="B1175" s="20" t="str">
        <x:v>规则</x:v>
      </x:c>
      <x:c r="C1175" s="20" t="str">
        <x:v>M15</x:v>
      </x:c>
      <x:c r="D1175" s="20" t="str">
        <x:v>15_格局成败救应</x:v>
      </x:c>
      <x:c r="E1175" s="20" t="str">
        <x:v>JIANREN</x:v>
      </x:c>
      <x:c r="F1175" s="20" t="n">
        <x:v>60</x:v>
      </x:c>
      <x:c r="G1175" s="20" t="str">
        <x:v>V1.0</x:v>
      </x:c>
      <x:c r="H1175" s="20" t="str">
        <x:v>制刃太过会使平衡结构失效</x:v>
      </x:c>
      <x:c r="I1175" s="20" t="str">
        <x:v>综合层</x:v>
      </x:c>
      <x:c r="J1175" s="20" t="str">
        <x:v>羊刃格_制刃太过</x:v>
      </x:c>
      <x:c r="K1175" s="20" t="str">
        <x:v>羊刃格候选判为“成立但有破”：破格等级为“一般”，救应为“待定”，清纯度为“有杂”；层次需结合全局继续评估。</x:v>
      </x:c>
      <x:c r="L1175" s="20" t="str">
        <x:v>较高</x:v>
      </x:c>
      <x:c r="M1175" s="20" t="str">
        <x:v>采用</x:v>
      </x:c>
      <x:c r="N1175" s="20" t="str">
        <x:v>初审</x:v>
      </x:c>
      <x:c r="O1175" s="22" t="n">
        <x:v>46260</x:v>
      </x:c>
      <x:c r="P1175" s="20" t="str">
        <x:v>https://zh.wikisource.org/zh-hans/%E6%B7%B5%E6%B5%B7%E5%AD%90%E5%B9%B3 ; https://zh.wikisource.org/wiki/%E6%BB%B4%E5%A4%A9%E9%AB%93%E9%97%A1%E5%BE%AE</x:v>
      </x:c>
    </x:row>
    <x:row r="1176">
      <x:c r="A1176" s="20" t="str">
        <x:v>M15-CONG-0061-V1.0</x:v>
      </x:c>
      <x:c r="B1176" s="20" t="str">
        <x:v>规则</x:v>
      </x:c>
      <x:c r="C1176" s="20" t="str">
        <x:v>M15</x:v>
      </x:c>
      <x:c r="D1176" s="20" t="str">
        <x:v>15_格局成败救应</x:v>
      </x:c>
      <x:c r="E1176" s="20" t="str">
        <x:v>CONG</x:v>
      </x:c>
      <x:c r="F1176" s="20" t="n">
        <x:v>61</x:v>
      </x:c>
      <x:c r="G1176" s="20" t="str">
        <x:v>V1.0</x:v>
      </x:c>
      <x:c r="H1176" s="20" t="str">
        <x:v>真从必须全部通过无依与主势集中硬门槛</x:v>
      </x:c>
      <x:c r="I1176" s="20" t="str">
        <x:v>综合层</x:v>
      </x:c>
      <x:c r="J1176" s="20" t="str">
        <x:v>真从严格成立</x:v>
      </x:c>
      <x:c r="K1176" s="20" t="str">
        <x:v>从格候选判为“特殊格局严格成立”：破格等级为“无破”，救应为“无救应”，清纯度为“清纯”；层次需结合全局继续评估。</x:v>
      </x:c>
      <x:c r="L1176" s="20" t="str">
        <x:v>较高</x:v>
      </x:c>
      <x:c r="M1176" s="20" t="str">
        <x:v>采用</x:v>
      </x:c>
      <x:c r="N1176" s="20" t="str">
        <x:v>初审</x:v>
      </x:c>
      <x:c r="O1176" s="22" t="n">
        <x:v>46260</x:v>
      </x:c>
      <x:c r="P1176" s="20" t="str">
        <x:v>https://zh.wikisource.org/wiki/%E6%BB%B4%E5%A4%A9%E9%AB%93%E9%97%A1%E5%BE%AE ; https://zh.wikisource.org/zh-hans/%E6%BB%B4%E5%A4%A9%E9%AB%93</x:v>
      </x:c>
    </x:row>
    <x:row r="1177">
      <x:c r="A1177" s="20" t="str">
        <x:v>M15-CONG-0062-V1.0</x:v>
      </x:c>
      <x:c r="B1177" s="20" t="str">
        <x:v>规则</x:v>
      </x:c>
      <x:c r="C1177" s="20" t="str">
        <x:v>M15</x:v>
      </x:c>
      <x:c r="D1177" s="20" t="str">
        <x:v>15_格局成败救应</x:v>
      </x:c>
      <x:c r="E1177" s="20" t="str">
        <x:v>CONG</x:v>
      </x:c>
      <x:c r="F1177" s="20" t="n">
        <x:v>62</x:v>
      </x:c>
      <x:c r="G1177" s="20" t="str">
        <x:v>V1.0</x:v>
      </x:c>
      <x:c r="H1177" s="20" t="str">
        <x:v>从财格严格成立要求财势绝对主导</x:v>
      </x:c>
      <x:c r="I1177" s="20" t="str">
        <x:v>综合层</x:v>
      </x:c>
      <x:c r="J1177" s="20" t="str">
        <x:v>从财格_严格成立</x:v>
      </x:c>
      <x:c r="K1177" s="20" t="str">
        <x:v>从财格候选判为“特殊格局严格成立”：破格等级为“无破”，救应为“无救应”，清纯度为“较清”；层次需结合全局继续评估。</x:v>
      </x:c>
      <x:c r="L1177" s="20" t="str">
        <x:v>较高</x:v>
      </x:c>
      <x:c r="M1177" s="20" t="str">
        <x:v>采用</x:v>
      </x:c>
      <x:c r="N1177" s="20" t="str">
        <x:v>初审</x:v>
      </x:c>
      <x:c r="O1177" s="22" t="n">
        <x:v>46260</x:v>
      </x:c>
      <x:c r="P1177" s="20" t="str">
        <x:v>https://zh.wikisource.org/wiki/%E6%BB%B4%E5%A4%A9%E9%AB%93%E9%97%A1%E5%BE%AE ; https://zh.wikisource.org/zh-hans/%E6%BB%B4%E5%A4%A9%E9%AB%93</x:v>
      </x:c>
    </x:row>
    <x:row r="1178">
      <x:c r="A1178" s="20" t="str">
        <x:v>M15-CONG-0063-V1.0</x:v>
      </x:c>
      <x:c r="B1178" s="20" t="str">
        <x:v>规则</x:v>
      </x:c>
      <x:c r="C1178" s="20" t="str">
        <x:v>M15</x:v>
      </x:c>
      <x:c r="D1178" s="20" t="str">
        <x:v>15_格局成败救应</x:v>
      </x:c>
      <x:c r="E1178" s="20" t="str">
        <x:v>CONG</x:v>
      </x:c>
      <x:c r="F1178" s="20" t="n">
        <x:v>63</x:v>
      </x:c>
      <x:c r="G1178" s="20" t="str">
        <x:v>V1.0</x:v>
      </x:c>
      <x:c r="H1178" s="20" t="str">
        <x:v>从官杀格严格成立要求官杀绝对主导</x:v>
      </x:c>
      <x:c r="I1178" s="20" t="str">
        <x:v>综合层</x:v>
      </x:c>
      <x:c r="J1178" s="20" t="str">
        <x:v>从官杀格_严格成立</x:v>
      </x:c>
      <x:c r="K1178" s="20" t="str">
        <x:v>从官杀格候选判为“特殊格局严格成立”：破格等级为“无破”，救应为“无救应”，清纯度为“较清”；层次需结合全局继续评估。</x:v>
      </x:c>
      <x:c r="L1178" s="20" t="str">
        <x:v>较高</x:v>
      </x:c>
      <x:c r="M1178" s="20" t="str">
        <x:v>采用</x:v>
      </x:c>
      <x:c r="N1178" s="20" t="str">
        <x:v>初审</x:v>
      </x:c>
      <x:c r="O1178" s="22" t="n">
        <x:v>46260</x:v>
      </x:c>
      <x:c r="P1178" s="20" t="str">
        <x:v>https://zh.wikisource.org/wiki/%E6%BB%B4%E5%A4%A9%E9%AB%93%E9%97%A1%E5%BE%AE ; https://zh.wikisource.org/zh-hans/%E6%BB%B4%E5%A4%A9%E9%AB%93</x:v>
      </x:c>
    </x:row>
    <x:row r="1179">
      <x:c r="A1179" s="20" t="str">
        <x:v>M15-CONG-0064-V1.0</x:v>
      </x:c>
      <x:c r="B1179" s="20" t="str">
        <x:v>规则</x:v>
      </x:c>
      <x:c r="C1179" s="20" t="str">
        <x:v>M15</x:v>
      </x:c>
      <x:c r="D1179" s="20" t="str">
        <x:v>15_格局成败救应</x:v>
      </x:c>
      <x:c r="E1179" s="20" t="str">
        <x:v>CONG</x:v>
      </x:c>
      <x:c r="F1179" s="20" t="n">
        <x:v>64</x:v>
      </x:c>
      <x:c r="G1179" s="20" t="str">
        <x:v>V1.0</x:v>
      </x:c>
      <x:c r="H1179" s="20" t="str">
        <x:v>从儿格严格成立要求食伤主导且印不夺食</x:v>
      </x:c>
      <x:c r="I1179" s="20" t="str">
        <x:v>综合层</x:v>
      </x:c>
      <x:c r="J1179" s="20" t="str">
        <x:v>从儿格_严格成立</x:v>
      </x:c>
      <x:c r="K1179" s="20" t="str">
        <x:v>从儿格候选判为“特殊格局严格成立”：破格等级为“无破”，救应为“无救应”，清纯度为“较清”；层次需结合全局继续评估。</x:v>
      </x:c>
      <x:c r="L1179" s="20" t="str">
        <x:v>较高</x:v>
      </x:c>
      <x:c r="M1179" s="20" t="str">
        <x:v>采用</x:v>
      </x:c>
      <x:c r="N1179" s="20" t="str">
        <x:v>初审</x:v>
      </x:c>
      <x:c r="O1179" s="22" t="n">
        <x:v>46260</x:v>
      </x:c>
      <x:c r="P1179" s="20" t="str">
        <x:v>https://zh.wikisource.org/wiki/%E6%BB%B4%E5%A4%A9%E9%AB%93%E9%97%A1%E5%BE%AE ; https://zh.wikisource.org/zh-hans/%E6%BB%B4%E5%A4%A9%E9%AB%93</x:v>
      </x:c>
    </x:row>
    <x:row r="1180">
      <x:c r="A1180" s="20" t="str">
        <x:v>M15-CONG-0065-V1.0</x:v>
      </x:c>
      <x:c r="B1180" s="20" t="str">
        <x:v>规则</x:v>
      </x:c>
      <x:c r="C1180" s="20" t="str">
        <x:v>M15</x:v>
      </x:c>
      <x:c r="D1180" s="20" t="str">
        <x:v>15_格局成败救应</x:v>
      </x:c>
      <x:c r="E1180" s="20" t="str">
        <x:v>CONG</x:v>
      </x:c>
      <x:c r="F1180" s="20" t="n">
        <x:v>65</x:v>
      </x:c>
      <x:c r="G1180" s="20" t="str">
        <x:v>V1.0</x:v>
      </x:c>
      <x:c r="H1180" s="20" t="str">
        <x:v>从旺格严格成立要求比劫一气且无有效制约</x:v>
      </x:c>
      <x:c r="I1180" s="20" t="str">
        <x:v>综合层</x:v>
      </x:c>
      <x:c r="J1180" s="20" t="str">
        <x:v>从旺格_严格成立</x:v>
      </x:c>
      <x:c r="K1180" s="20" t="str">
        <x:v>从旺格候选判为“特殊格局严格成立”：破格等级为“无破”，救应为“无救应”，清纯度为“较清”；层次需结合全局继续评估。</x:v>
      </x:c>
      <x:c r="L1180" s="20" t="str">
        <x:v>较高</x:v>
      </x:c>
      <x:c r="M1180" s="20" t="str">
        <x:v>采用</x:v>
      </x:c>
      <x:c r="N1180" s="20" t="str">
        <x:v>初审</x:v>
      </x:c>
      <x:c r="O1180" s="22" t="n">
        <x:v>46260</x:v>
      </x:c>
      <x:c r="P1180" s="20" t="str">
        <x:v>https://zh.wikisource.org/wiki/%E6%BB%B4%E5%A4%A9%E9%AB%93%E9%97%A1%E5%BE%AE ; https://zh.wikisource.org/zh-hans/%E6%BB%B4%E5%A4%A9%E9%AB%93</x:v>
      </x:c>
    </x:row>
    <x:row r="1181">
      <x:c r="A1181" s="20" t="str">
        <x:v>M15-CONG-0066-V1.0</x:v>
      </x:c>
      <x:c r="B1181" s="20" t="str">
        <x:v>规则</x:v>
      </x:c>
      <x:c r="C1181" s="20" t="str">
        <x:v>M15</x:v>
      </x:c>
      <x:c r="D1181" s="20" t="str">
        <x:v>15_格局成败救应</x:v>
      </x:c>
      <x:c r="E1181" s="20" t="str">
        <x:v>CONG</x:v>
      </x:c>
      <x:c r="F1181" s="20" t="n">
        <x:v>66</x:v>
      </x:c>
      <x:c r="G1181" s="20" t="str">
        <x:v>V1.0</x:v>
      </x:c>
      <x:c r="H1181" s="20" t="str">
        <x:v>从强格严格成立要求印比成为绝对主势</x:v>
      </x:c>
      <x:c r="I1181" s="20" t="str">
        <x:v>综合层</x:v>
      </x:c>
      <x:c r="J1181" s="20" t="str">
        <x:v>从强格_严格成立</x:v>
      </x:c>
      <x:c r="K1181" s="20" t="str">
        <x:v>从强格候选判为“特殊格局严格成立”：破格等级为“无破”，救应为“无救应”，清纯度为“较清”；层次需结合全局继续评估。</x:v>
      </x:c>
      <x:c r="L1181" s="20" t="str">
        <x:v>较高</x:v>
      </x:c>
      <x:c r="M1181" s="20" t="str">
        <x:v>采用</x:v>
      </x:c>
      <x:c r="N1181" s="20" t="str">
        <x:v>初审</x:v>
      </x:c>
      <x:c r="O1181" s="22" t="n">
        <x:v>46260</x:v>
      </x:c>
      <x:c r="P1181" s="20" t="str">
        <x:v>https://zh.wikisource.org/wiki/%E6%BB%B4%E5%A4%A9%E9%AB%93%E9%97%A1%E5%BE%AE ; https://zh.wikisource.org/zh-hans/%E6%BB%B4%E5%A4%A9%E9%AB%93</x:v>
      </x:c>
    </x:row>
    <x:row r="1182">
      <x:c r="A1182" s="20" t="str">
        <x:v>M15-CONG-0067-V1.0</x:v>
      </x:c>
      <x:c r="B1182" s="20" t="str">
        <x:v>规则</x:v>
      </x:c>
      <x:c r="C1182" s="20" t="str">
        <x:v>M15</x:v>
      </x:c>
      <x:c r="D1182" s="20" t="str">
        <x:v>15_格局成败救应</x:v>
      </x:c>
      <x:c r="E1182" s="20" t="str">
        <x:v>CONG</x:v>
      </x:c>
      <x:c r="F1182" s="20" t="n">
        <x:v>67</x:v>
      </x:c>
      <x:c r="G1182" s="20" t="str">
        <x:v>V1.0</x:v>
      </x:c>
      <x:c r="H1182" s="20" t="str">
        <x:v>从势格严格成立要求异党整体同向而日主无依</x:v>
      </x:c>
      <x:c r="I1182" s="20" t="str">
        <x:v>综合层</x:v>
      </x:c>
      <x:c r="J1182" s="20" t="str">
        <x:v>从势格_严格成立</x:v>
      </x:c>
      <x:c r="K1182" s="20" t="str">
        <x:v>从势格候选判为“特殊格局严格成立”：破格等级为“无破”，救应为“无救应”，清纯度为“有杂”；层次需结合全局继续评估。</x:v>
      </x:c>
      <x:c r="L1182" s="20" t="str">
        <x:v>较高</x:v>
      </x:c>
      <x:c r="M1182" s="20" t="str">
        <x:v>采用</x:v>
      </x:c>
      <x:c r="N1182" s="20" t="str">
        <x:v>初审</x:v>
      </x:c>
      <x:c r="O1182" s="22" t="n">
        <x:v>46260</x:v>
      </x:c>
      <x:c r="P1182" s="20" t="str">
        <x:v>https://zh.wikisource.org/wiki/%E6%BB%B4%E5%A4%A9%E9%AB%93%E9%97%A1%E5%BE%AE ; https://zh.wikisource.org/zh-hans/%E6%BB%B4%E5%A4%A9%E9%AB%93</x:v>
      </x:c>
    </x:row>
    <x:row r="1183">
      <x:c r="A1183" s="20" t="str">
        <x:v>M15-CONG-0068-V1.0</x:v>
      </x:c>
      <x:c r="B1183" s="20" t="str">
        <x:v>规则</x:v>
      </x:c>
      <x:c r="C1183" s="20" t="str">
        <x:v>M15</x:v>
      </x:c>
      <x:c r="D1183" s="20" t="str">
        <x:v>15_格局成败救应</x:v>
      </x:c>
      <x:c r="E1183" s="20" t="str">
        <x:v>CONG</x:v>
      </x:c>
      <x:c r="F1183" s="20" t="n">
        <x:v>68</x:v>
      </x:c>
      <x:c r="G1183" s="20" t="str">
        <x:v>V1.0</x:v>
      </x:c>
      <x:c r="H1183" s="20" t="str">
        <x:v>有效强根或有力印比构成真从根本破格</x:v>
      </x:c>
      <x:c r="I1183" s="20" t="str">
        <x:v>综合层</x:v>
      </x:c>
      <x:c r="J1183" s="20" t="str">
        <x:v>从格_强根破格</x:v>
      </x:c>
      <x:c r="K1183" s="20" t="str">
        <x:v>从格候选判为“不成立”：破格等级为“根本破格”，救应为“无救应”，清纯度为“待定”；层次需结合全局继续评估。</x:v>
      </x:c>
      <x:c r="L1183" s="20" t="str">
        <x:v>较高</x:v>
      </x:c>
      <x:c r="M1183" s="20" t="str">
        <x:v>采用</x:v>
      </x:c>
      <x:c r="N1183" s="20" t="str">
        <x:v>初审</x:v>
      </x:c>
      <x:c r="O1183" s="22" t="n">
        <x:v>46260</x:v>
      </x:c>
      <x:c r="P1183" s="20" t="str">
        <x:v>https://zh.wikisource.org/wiki/%E6%BB%B4%E5%A4%A9%E9%AB%93%E9%97%A1%E5%BE%AE ; https://zh.wikisource.org/zh-hans/%E6%BB%B4%E5%A4%A9%E9%AB%93</x:v>
      </x:c>
    </x:row>
    <x:row r="1184">
      <x:c r="A1184" s="20" t="str">
        <x:v>M15-CONG-0069-V1.0</x:v>
      </x:c>
      <x:c r="B1184" s="20" t="str">
        <x:v>规则</x:v>
      </x:c>
      <x:c r="C1184" s="20" t="str">
        <x:v>M15</x:v>
      </x:c>
      <x:c r="D1184" s="20" t="str">
        <x:v>15_格局成败救应</x:v>
      </x:c>
      <x:c r="E1184" s="20" t="str">
        <x:v>CONG</x:v>
      </x:c>
      <x:c r="F1184" s="20" t="n">
        <x:v>69</x:v>
      </x:c>
      <x:c r="G1184" s="20" t="str">
        <x:v>V1.0</x:v>
      </x:c>
      <x:c r="H1184" s="20" t="str">
        <x:v>假从只能判成立但有破或待定</x:v>
      </x:c>
      <x:c r="I1184" s="20" t="str">
        <x:v>综合层</x:v>
      </x:c>
      <x:c r="J1184" s="20" t="str">
        <x:v>假从_成立但有破</x:v>
      </x:c>
      <x:c r="K1184" s="20" t="str">
        <x:v>假从候选判为“成立但有破”：破格等级为“一般”，救应为“无救应”，清纯度为“有杂”；层次需结合全局继续评估。</x:v>
      </x:c>
      <x:c r="L1184" s="20" t="str">
        <x:v>中等</x:v>
      </x:c>
      <x:c r="M1184" s="20" t="str">
        <x:v>待验证</x:v>
      </x:c>
      <x:c r="N1184" s="20" t="str">
        <x:v>初审</x:v>
      </x:c>
      <x:c r="O1184" s="22" t="n">
        <x:v>46260</x:v>
      </x:c>
      <x:c r="P1184" s="20" t="str">
        <x:v>https://zh.wikisource.org/wiki/%E6%BB%B4%E5%A4%A9%E9%AB%93%E9%97%A1%E5%BE%AE ; https://zh.wikisource.org/zh-hans/%E6%BB%B4%E5%A4%A9%E9%AB%93</x:v>
      </x:c>
    </x:row>
    <x:row r="1185">
      <x:c r="A1185" s="20" t="str">
        <x:v>M15-CONG-0070-V1.0</x:v>
      </x:c>
      <x:c r="B1185" s="20" t="str">
        <x:v>规则</x:v>
      </x:c>
      <x:c r="C1185" s="20" t="str">
        <x:v>M15</x:v>
      </x:c>
      <x:c r="D1185" s="20" t="str">
        <x:v>15_格局成败救应</x:v>
      </x:c>
      <x:c r="E1185" s="20" t="str">
        <x:v>CONG</x:v>
      </x:c>
      <x:c r="F1185" s="20" t="n">
        <x:v>70</x:v>
      </x:c>
      <x:c r="G1185" s="20" t="str">
        <x:v>V1.0</x:v>
      </x:c>
      <x:c r="H1185" s="20" t="str">
        <x:v>逆势五行虽弱但作用关键时可严重破从</x:v>
      </x:c>
      <x:c r="I1185" s="20" t="str">
        <x:v>综合层</x:v>
      </x:c>
      <x:c r="J1185" s="20" t="str">
        <x:v>从格_有效逆神破格</x:v>
      </x:c>
      <x:c r="K1185" s="20" t="str">
        <x:v>从格候选判为“成立但有破”：破格等级为“严重”，救应为“待定”，清纯度为“有杂”；层次需结合全局继续评估。</x:v>
      </x:c>
      <x:c r="L1185" s="20" t="str">
        <x:v>较高</x:v>
      </x:c>
      <x:c r="M1185" s="20" t="str">
        <x:v>采用</x:v>
      </x:c>
      <x:c r="N1185" s="20" t="str">
        <x:v>初审</x:v>
      </x:c>
      <x:c r="O1185" s="22" t="n">
        <x:v>46260</x:v>
      </x:c>
      <x:c r="P1185" s="20" t="str">
        <x:v>https://zh.wikisource.org/wiki/%E6%BB%B4%E5%A4%A9%E9%AB%93%E9%97%A1%E5%BE%AE ; https://zh.wikisource.org/zh-hans/%E6%BB%B4%E5%A4%A9%E9%AB%93</x:v>
      </x:c>
    </x:row>
    <x:row r="1186">
      <x:c r="A1186" s="20" t="str">
        <x:v>M15-HUAQI-0071-V1.0</x:v>
      </x:c>
      <x:c r="B1186" s="20" t="str">
        <x:v>规则</x:v>
      </x:c>
      <x:c r="C1186" s="20" t="str">
        <x:v>M15</x:v>
      </x:c>
      <x:c r="D1186" s="20" t="str">
        <x:v>15_格局成败救应</x:v>
      </x:c>
      <x:c r="E1186" s="20" t="str">
        <x:v>HUAQI</x:v>
      </x:c>
      <x:c r="F1186" s="20" t="n">
        <x:v>71</x:v>
      </x:c>
      <x:c r="G1186" s="20" t="str">
        <x:v>V1.0</x:v>
      </x:c>
      <x:c r="H1186" s="20" t="str">
        <x:v>真化必须通过化神得势与原气不自立的全部硬门槛</x:v>
      </x:c>
      <x:c r="I1186" s="20" t="str">
        <x:v>综合层</x:v>
      </x:c>
      <x:c r="J1186" s="20" t="str">
        <x:v>化气格_真化严格成立</x:v>
      </x:c>
      <x:c r="K1186" s="20" t="str">
        <x:v>化气格候选判为“特殊格局严格成立”：破格等级为“无破”，救应为“无救应”，清纯度为“清纯”；层次需结合全局继续评估。</x:v>
      </x:c>
      <x:c r="L1186" s="20" t="str">
        <x:v>较高</x:v>
      </x:c>
      <x:c r="M1186" s="20" t="str">
        <x:v>采用</x:v>
      </x:c>
      <x:c r="N1186" s="20" t="str">
        <x:v>初审</x:v>
      </x:c>
      <x:c r="O1186" s="22" t="n">
        <x:v>46260</x:v>
      </x:c>
      <x:c r="P1186" s="20" t="str">
        <x:v>https://zh.wikisource.org/wiki/%E6%BB%B4%E5%A4%A9%E9%AB%93%E9%97%A1%E5%BE%AE ; https://zh.wikisource.org/zh-hans/%E6%BB%B4%E5%A4%A9%E9%AB%93</x:v>
      </x:c>
    </x:row>
    <x:row r="1187">
      <x:c r="A1187" s="20" t="str">
        <x:v>M15-HUAQI-0072-V1.0</x:v>
      </x:c>
      <x:c r="B1187" s="20" t="str">
        <x:v>规则</x:v>
      </x:c>
      <x:c r="C1187" s="20" t="str">
        <x:v>M15</x:v>
      </x:c>
      <x:c r="D1187" s="20" t="str">
        <x:v>15_格局成败救应</x:v>
      </x:c>
      <x:c r="E1187" s="20" t="str">
        <x:v>HUAQI</x:v>
      </x:c>
      <x:c r="F1187" s="20" t="n">
        <x:v>72</x:v>
      </x:c>
      <x:c r="G1187" s="20" t="str">
        <x:v>V1.0</x:v>
      </x:c>
      <x:c r="H1187" s="20" t="str">
        <x:v>化神得令有根有源是化气格核心成格证据</x:v>
      </x:c>
      <x:c r="I1187" s="20" t="str">
        <x:v>综合层</x:v>
      </x:c>
      <x:c r="J1187" s="20" t="str">
        <x:v>化气格_化神有权</x:v>
      </x:c>
      <x:c r="K1187" s="20" t="str">
        <x:v>化气格候选判为“基本成立”：破格等级为“无破”，救应为“无救应”，清纯度为“较清”；层次需结合全局继续评估。</x:v>
      </x:c>
      <x:c r="L1187" s="20" t="str">
        <x:v>较高</x:v>
      </x:c>
      <x:c r="M1187" s="20" t="str">
        <x:v>采用</x:v>
      </x:c>
      <x:c r="N1187" s="20" t="str">
        <x:v>初审</x:v>
      </x:c>
      <x:c r="O1187" s="22" t="n">
        <x:v>46260</x:v>
      </x:c>
      <x:c r="P1187" s="20" t="str">
        <x:v>https://zh.wikisource.org/wiki/%E6%BB%B4%E5%A4%A9%E9%AB%93%E9%97%A1%E5%BE%AE ; https://zh.wikisource.org/zh-hans/%E6%BB%B4%E5%A4%A9%E9%AB%93</x:v>
      </x:c>
    </x:row>
    <x:row r="1188">
      <x:c r="A1188" s="20" t="str">
        <x:v>M15-HUAQI-0073-V1.0</x:v>
      </x:c>
      <x:c r="B1188" s="20" t="str">
        <x:v>规则</x:v>
      </x:c>
      <x:c r="C1188" s="20" t="str">
        <x:v>M15</x:v>
      </x:c>
      <x:c r="D1188" s="20" t="str">
        <x:v>15_格局成败救应</x:v>
      </x:c>
      <x:c r="E1188" s="20" t="str">
        <x:v>HUAQI</x:v>
      </x:c>
      <x:c r="F1188" s="20" t="n">
        <x:v>73</x:v>
      </x:c>
      <x:c r="G1188" s="20" t="str">
        <x:v>V1.0</x:v>
      </x:c>
      <x:c r="H1188" s="20" t="str">
        <x:v>日主原气强根会构成化气根本破格</x:v>
      </x:c>
      <x:c r="I1188" s="20" t="str">
        <x:v>综合层</x:v>
      </x:c>
      <x:c r="J1188" s="20" t="str">
        <x:v>化气格_原气强根否决</x:v>
      </x:c>
      <x:c r="K1188" s="20" t="str">
        <x:v>化气格候选判为“不成立”：破格等级为“根本破格”，救应为“无救应”，清纯度为“待定”；层次需结合全局继续评估。</x:v>
      </x:c>
      <x:c r="L1188" s="20" t="str">
        <x:v>较高</x:v>
      </x:c>
      <x:c r="M1188" s="20" t="str">
        <x:v>采用</x:v>
      </x:c>
      <x:c r="N1188" s="20" t="str">
        <x:v>初审</x:v>
      </x:c>
      <x:c r="O1188" s="22" t="n">
        <x:v>46260</x:v>
      </x:c>
      <x:c r="P1188" s="20" t="str">
        <x:v>https://zh.wikisource.org/wiki/%E6%BB%B4%E5%A4%A9%E9%AB%93%E9%97%A1%E5%BE%AE ; https://zh.wikisource.org/zh-hans/%E6%BB%B4%E5%A4%A9%E9%AB%93</x:v>
      </x:c>
    </x:row>
    <x:row r="1189">
      <x:c r="A1189" s="20" t="str">
        <x:v>M15-HUAQI-0074-V1.0</x:v>
      </x:c>
      <x:c r="B1189" s="20" t="str">
        <x:v>规则</x:v>
      </x:c>
      <x:c r="C1189" s="20" t="str">
        <x:v>M15</x:v>
      </x:c>
      <x:c r="D1189" s="20" t="str">
        <x:v>15_格局成败救应</x:v>
      </x:c>
      <x:c r="E1189" s="20" t="str">
        <x:v>HUAQI</x:v>
      </x:c>
      <x:c r="F1189" s="20" t="n">
        <x:v>74</x:v>
      </x:c>
      <x:c r="G1189" s="20" t="str">
        <x:v>V1.0</x:v>
      </x:c>
      <x:c r="H1189" s="20" t="str">
        <x:v>争合妒合会降低或破坏化气纯度</x:v>
      </x:c>
      <x:c r="I1189" s="20" t="str">
        <x:v>综合层</x:v>
      </x:c>
      <x:c r="J1189" s="20" t="str">
        <x:v>化气格_争合破化</x:v>
      </x:c>
      <x:c r="K1189" s="20" t="str">
        <x:v>化气格候选判为“成立但有破”：破格等级为“严重”，救应为“待定”，清纯度为“混杂”；层次需结合全局继续评估。</x:v>
      </x:c>
      <x:c r="L1189" s="20" t="str">
        <x:v>较高</x:v>
      </x:c>
      <x:c r="M1189" s="20" t="str">
        <x:v>采用</x:v>
      </x:c>
      <x:c r="N1189" s="20" t="str">
        <x:v>初审</x:v>
      </x:c>
      <x:c r="O1189" s="22" t="n">
        <x:v>46260</x:v>
      </x:c>
      <x:c r="P1189" s="20" t="str">
        <x:v>https://zh.wikisource.org/wiki/%E6%BB%B4%E5%A4%A9%E9%AB%93%E9%97%A1%E5%BE%AE ; https://zh.wikisource.org/zh-hans/%E6%BB%B4%E5%A4%A9%E9%AB%93</x:v>
      </x:c>
    </x:row>
    <x:row r="1190">
      <x:c r="A1190" s="20" t="str">
        <x:v>M15-HUAQI-0075-V1.0</x:v>
      </x:c>
      <x:c r="B1190" s="20" t="str">
        <x:v>规则</x:v>
      </x:c>
      <x:c r="C1190" s="20" t="str">
        <x:v>M15</x:v>
      </x:c>
      <x:c r="D1190" s="20" t="str">
        <x:v>15_格局成败救应</x:v>
      </x:c>
      <x:c r="E1190" s="20" t="str">
        <x:v>HUAQI</x:v>
      </x:c>
      <x:c r="F1190" s="20" t="n">
        <x:v>75</x:v>
      </x:c>
      <x:c r="G1190" s="20" t="str">
        <x:v>V1.0</x:v>
      </x:c>
      <x:c r="H1190" s="20" t="str">
        <x:v>强克冲破化神会构成严重破化</x:v>
      </x:c>
      <x:c r="I1190" s="20" t="str">
        <x:v>综合层</x:v>
      </x:c>
      <x:c r="J1190" s="20" t="str">
        <x:v>化气格_化神受损</x:v>
      </x:c>
      <x:c r="K1190" s="20" t="str">
        <x:v>化气格候选判为“成立但有破”：破格等级为“严重”，救应为“待定”，清纯度为“有杂”；层次需结合全局继续评估。</x:v>
      </x:c>
      <x:c r="L1190" s="20" t="str">
        <x:v>较高</x:v>
      </x:c>
      <x:c r="M1190" s="20" t="str">
        <x:v>采用</x:v>
      </x:c>
      <x:c r="N1190" s="20" t="str">
        <x:v>初审</x:v>
      </x:c>
      <x:c r="O1190" s="22" t="n">
        <x:v>46260</x:v>
      </x:c>
      <x:c r="P1190" s="20" t="str">
        <x:v>https://zh.wikisource.org/wiki/%E6%BB%B4%E5%A4%A9%E9%AB%93%E9%97%A1%E5%BE%AE ; https://zh.wikisource.org/zh-hans/%E6%BB%B4%E5%A4%A9%E9%AB%93</x:v>
      </x:c>
    </x:row>
    <x:row r="1191">
      <x:c r="A1191" s="20" t="str">
        <x:v>M15-HUAQI-0076-V1.0</x:v>
      </x:c>
      <x:c r="B1191" s="20" t="str">
        <x:v>规则</x:v>
      </x:c>
      <x:c r="C1191" s="20" t="str">
        <x:v>M15</x:v>
      </x:c>
      <x:c r="D1191" s="20" t="str">
        <x:v>15_格局成败救应</x:v>
      </x:c>
      <x:c r="E1191" s="20" t="str">
        <x:v>HUAQI</x:v>
      </x:c>
      <x:c r="F1191" s="20" t="n">
        <x:v>76</x:v>
      </x:c>
      <x:c r="G1191" s="20" t="str">
        <x:v>V1.0</x:v>
      </x:c>
      <x:c r="H1191" s="20" t="str">
        <x:v>化神有势但原气未尽时只能判假化</x:v>
      </x:c>
      <x:c r="I1191" s="20" t="str">
        <x:v>综合层</x:v>
      </x:c>
      <x:c r="J1191" s="20" t="str">
        <x:v>化气格_假化</x:v>
      </x:c>
      <x:c r="K1191" s="20" t="str">
        <x:v>假化候选判为“成立但有破”：破格等级为“一般”，救应为“无救应”，清纯度为“有杂”；层次需结合全局继续评估。</x:v>
      </x:c>
      <x:c r="L1191" s="20" t="str">
        <x:v>中等</x:v>
      </x:c>
      <x:c r="M1191" s="20" t="str">
        <x:v>待验证</x:v>
      </x:c>
      <x:c r="N1191" s="20" t="str">
        <x:v>初审</x:v>
      </x:c>
      <x:c r="O1191" s="22" t="n">
        <x:v>46260</x:v>
      </x:c>
      <x:c r="P1191" s="20" t="str">
        <x:v>https://zh.wikisource.org/wiki/%E6%BB%B4%E5%A4%A9%E9%AB%93%E9%97%A1%E5%BE%AE ; https://zh.wikisource.org/zh-hans/%E6%BB%B4%E5%A4%A9%E9%AB%93</x:v>
      </x:c>
    </x:row>
    <x:row r="1192">
      <x:c r="A1192" s="20" t="str">
        <x:v>M15-HUAQI-0077-V1.0</x:v>
      </x:c>
      <x:c r="B1192" s="20" t="str">
        <x:v>规则</x:v>
      </x:c>
      <x:c r="C1192" s="20" t="str">
        <x:v>M15</x:v>
      </x:c>
      <x:c r="D1192" s="20" t="str">
        <x:v>15_格局成败救应</x:v>
      </x:c>
      <x:c r="E1192" s="20" t="str">
        <x:v>HUAQI</x:v>
      </x:c>
      <x:c r="F1192" s="20" t="n">
        <x:v>77</x:v>
      </x:c>
      <x:c r="G1192" s="20" t="str">
        <x:v>V1.0</x:v>
      </x:c>
      <x:c r="H1192" s="20" t="str">
        <x:v>生扶化神并制去逆神可形成有破有救</x:v>
      </x:c>
      <x:c r="I1192" s="20" t="str">
        <x:v>综合层</x:v>
      </x:c>
      <x:c r="J1192" s="20" t="str">
        <x:v>化气格_救化</x:v>
      </x:c>
      <x:c r="K1192" s="20" t="str">
        <x:v>化气格候选判为“有破有救”：破格等级为“一般”，救应为“明显有效”，清纯度为“有杂”；层次需结合全局继续评估。</x:v>
      </x:c>
      <x:c r="L1192" s="20" t="str">
        <x:v>较高</x:v>
      </x:c>
      <x:c r="M1192" s="20" t="str">
        <x:v>采用</x:v>
      </x:c>
      <x:c r="N1192" s="20" t="str">
        <x:v>初审</x:v>
      </x:c>
      <x:c r="O1192" s="22" t="n">
        <x:v>46260</x:v>
      </x:c>
      <x:c r="P1192" s="20" t="str">
        <x:v>https://zh.wikisource.org/wiki/%E6%BB%B4%E5%A4%A9%E9%AB%93%E9%97%A1%E5%BE%AE ; https://zh.wikisource.org/zh-hans/%E6%BB%B4%E5%A4%A9%E9%AB%93</x:v>
      </x:c>
    </x:row>
    <x:row r="1193">
      <x:c r="A1193" s="20" t="str">
        <x:v>M15-HUAQI-0078-V1.0</x:v>
      </x:c>
      <x:c r="B1193" s="20" t="str">
        <x:v>规则</x:v>
      </x:c>
      <x:c r="C1193" s="20" t="str">
        <x:v>M15</x:v>
      </x:c>
      <x:c r="D1193" s="20" t="str">
        <x:v>15_格局成败救应</x:v>
      </x:c>
      <x:c r="E1193" s="20" t="str">
        <x:v>HUAQI</x:v>
      </x:c>
      <x:c r="F1193" s="20" t="n">
        <x:v>78</x:v>
      </x:c>
      <x:c r="G1193" s="20" t="str">
        <x:v>V1.0</x:v>
      </x:c>
      <x:c r="H1193" s="20" t="str">
        <x:v>化气格清纯度取决于全局是否顺化神</x:v>
      </x:c>
      <x:c r="I1193" s="20" t="str">
        <x:v>综合层</x:v>
      </x:c>
      <x:c r="J1193" s="20" t="str">
        <x:v>化气格_全局顺化</x:v>
      </x:c>
      <x:c r="K1193" s="20" t="str">
        <x:v>化气格候选判为“待定”：破格等级为“待定”，救应为“待定”，清纯度为“待定”；层次需结合全局继续评估。</x:v>
      </x:c>
      <x:c r="L1193" s="20" t="str">
        <x:v>较高</x:v>
      </x:c>
      <x:c r="M1193" s="20" t="str">
        <x:v>采用</x:v>
      </x:c>
      <x:c r="N1193" s="20" t="str">
        <x:v>初审</x:v>
      </x:c>
      <x:c r="O1193" s="22" t="n">
        <x:v>46260</x:v>
      </x:c>
      <x:c r="P1193" s="20" t="str">
        <x:v>https://zh.wikisource.org/wiki/%E6%BB%B4%E5%A4%A9%E9%AB%93%E9%97%A1%E5%BE%AE ; https://zh.wikisource.org/zh-hans/%E6%BB%B4%E5%A4%A9%E9%AB%93</x:v>
      </x:c>
    </x:row>
    <x:row r="1194">
      <x:c r="A1194" s="20" t="str">
        <x:v>M15-ZHUAN-0079-V1.0</x:v>
      </x:c>
      <x:c r="B1194" s="20" t="str">
        <x:v>规则</x:v>
      </x:c>
      <x:c r="C1194" s="20" t="str">
        <x:v>M15</x:v>
      </x:c>
      <x:c r="D1194" s="20" t="str">
        <x:v>15_格局成败救应</x:v>
      </x:c>
      <x:c r="E1194" s="20" t="str">
        <x:v>ZHUAN</x:v>
      </x:c>
      <x:c r="F1194" s="20" t="n">
        <x:v>79</x:v>
      </x:c>
      <x:c r="G1194" s="20" t="str">
        <x:v>V1.0</x:v>
      </x:c>
      <x:c r="H1194" s="20" t="str">
        <x:v>专旺格严格成立要求一气独旺且逆神无效</x:v>
      </x:c>
      <x:c r="I1194" s="20" t="str">
        <x:v>综合层</x:v>
      </x:c>
      <x:c r="J1194" s="20" t="str">
        <x:v>专旺格_严格成立</x:v>
      </x:c>
      <x:c r="K1194" s="20" t="str">
        <x:v>专旺候选判为“特殊格局严格成立”：破格等级为“无破”，救应为“无救应”，清纯度为“清纯”；层次需结合全局继续评估。</x:v>
      </x:c>
      <x:c r="L1194" s="20" t="str">
        <x:v>较高</x:v>
      </x:c>
      <x:c r="M1194" s="20" t="str">
        <x:v>采用</x:v>
      </x:c>
      <x:c r="N1194" s="20" t="str">
        <x:v>初审</x:v>
      </x:c>
      <x:c r="O1194" s="22" t="n">
        <x:v>46260</x:v>
      </x:c>
      <x:c r="P1194" s="20" t="str">
        <x:v>https://zh.wikisource.org/wiki/%E6%BB%B4%E5%A4%A9%E9%AB%93%E9%97%A1%E5%BE%AE ; https://zh.wikisource.org/zh-hans/%E6%BB%B4%E5%A4%A9%E9%AB%93</x:v>
      </x:c>
    </x:row>
    <x:row r="1195">
      <x:c r="A1195" s="20" t="str">
        <x:v>M15-ZHUAN-0080-V1.0</x:v>
      </x:c>
      <x:c r="B1195" s="20" t="str">
        <x:v>规则</x:v>
      </x:c>
      <x:c r="C1195" s="20" t="str">
        <x:v>M15</x:v>
      </x:c>
      <x:c r="D1195" s="20" t="str">
        <x:v>15_格局成败救应</x:v>
      </x:c>
      <x:c r="E1195" s="20" t="str">
        <x:v>ZHUAN</x:v>
      </x:c>
      <x:c r="F1195" s="20" t="n">
        <x:v>80</x:v>
      </x:c>
      <x:c r="G1195" s="20" t="str">
        <x:v>V1.0</x:v>
      </x:c>
      <x:c r="H1195" s="20" t="str">
        <x:v>曲直格候选严格成立条件</x:v>
      </x:c>
      <x:c r="I1195" s="20" t="str">
        <x:v>综合层</x:v>
      </x:c>
      <x:c r="J1195" s="20" t="str">
        <x:v>曲直格候选_严格成立</x:v>
      </x:c>
      <x:c r="K1195" s="20" t="str">
        <x:v>曲直格候选判为“特殊格局严格成立”：破格等级为“无破”，救应为“无救应”，清纯度为“清纯”；层次需结合全局继续评估。</x:v>
      </x:c>
      <x:c r="L1195" s="20" t="str">
        <x:v>较高</x:v>
      </x:c>
      <x:c r="M1195" s="20" t="str">
        <x:v>采用</x:v>
      </x:c>
      <x:c r="N1195" s="20" t="str">
        <x:v>初审</x:v>
      </x:c>
      <x:c r="O1195" s="22" t="n">
        <x:v>46260</x:v>
      </x:c>
      <x:c r="P1195" s="20" t="str">
        <x:v>https://zh.wikisource.org/wiki/%E6%BB%B4%E5%A4%A9%E9%AB%93%E9%97%A1%E5%BE%AE ; https://zh.wikisource.org/zh-hans/%E6%BB%B4%E5%A4%A9%E9%AB%93</x:v>
      </x:c>
    </x:row>
    <x:row r="1196">
      <x:c r="A1196" s="20" t="str">
        <x:v>M15-ZHUAN-0081-V1.0</x:v>
      </x:c>
      <x:c r="B1196" s="20" t="str">
        <x:v>规则</x:v>
      </x:c>
      <x:c r="C1196" s="20" t="str">
        <x:v>M15</x:v>
      </x:c>
      <x:c r="D1196" s="20" t="str">
        <x:v>15_格局成败救应</x:v>
      </x:c>
      <x:c r="E1196" s="20" t="str">
        <x:v>ZHUAN</x:v>
      </x:c>
      <x:c r="F1196" s="20" t="n">
        <x:v>81</x:v>
      </x:c>
      <x:c r="G1196" s="20" t="str">
        <x:v>V1.0</x:v>
      </x:c>
      <x:c r="H1196" s="20" t="str">
        <x:v>炎上格候选严格成立条件</x:v>
      </x:c>
      <x:c r="I1196" s="20" t="str">
        <x:v>综合层</x:v>
      </x:c>
      <x:c r="J1196" s="20" t="str">
        <x:v>炎上格候选_严格成立</x:v>
      </x:c>
      <x:c r="K1196" s="20" t="str">
        <x:v>炎上格候选判为“特殊格局严格成立”：破格等级为“无破”，救应为“无救应”，清纯度为“清纯”；层次需结合全局继续评估。</x:v>
      </x:c>
      <x:c r="L1196" s="20" t="str">
        <x:v>较高</x:v>
      </x:c>
      <x:c r="M1196" s="20" t="str">
        <x:v>采用</x:v>
      </x:c>
      <x:c r="N1196" s="20" t="str">
        <x:v>初审</x:v>
      </x:c>
      <x:c r="O1196" s="22" t="n">
        <x:v>46260</x:v>
      </x:c>
      <x:c r="P1196" s="20" t="str">
        <x:v>https://zh.wikisource.org/wiki/%E6%BB%B4%E5%A4%A9%E9%AB%93%E9%97%A1%E5%BE%AE ; https://zh.wikisource.org/zh-hans/%E6%BB%B4%E5%A4%A9%E9%AB%93</x:v>
      </x:c>
    </x:row>
    <x:row r="1197">
      <x:c r="A1197" s="20" t="str">
        <x:v>M15-ZHUAN-0082-V1.0</x:v>
      </x:c>
      <x:c r="B1197" s="20" t="str">
        <x:v>规则</x:v>
      </x:c>
      <x:c r="C1197" s="20" t="str">
        <x:v>M15</x:v>
      </x:c>
      <x:c r="D1197" s="20" t="str">
        <x:v>15_格局成败救应</x:v>
      </x:c>
      <x:c r="E1197" s="20" t="str">
        <x:v>ZHUAN</x:v>
      </x:c>
      <x:c r="F1197" s="20" t="n">
        <x:v>82</x:v>
      </x:c>
      <x:c r="G1197" s="20" t="str">
        <x:v>V1.0</x:v>
      </x:c>
      <x:c r="H1197" s="20" t="str">
        <x:v>稼穑格候选严格成立条件</x:v>
      </x:c>
      <x:c r="I1197" s="20" t="str">
        <x:v>综合层</x:v>
      </x:c>
      <x:c r="J1197" s="20" t="str">
        <x:v>稼穑格候选_严格成立</x:v>
      </x:c>
      <x:c r="K1197" s="20" t="str">
        <x:v>稼穑格候选判为“特殊格局严格成立”：破格等级为“无破”，救应为“无救应”，清纯度为“清纯”；层次需结合全局继续评估。</x:v>
      </x:c>
      <x:c r="L1197" s="20" t="str">
        <x:v>较高</x:v>
      </x:c>
      <x:c r="M1197" s="20" t="str">
        <x:v>采用</x:v>
      </x:c>
      <x:c r="N1197" s="20" t="str">
        <x:v>初审</x:v>
      </x:c>
      <x:c r="O1197" s="22" t="n">
        <x:v>46260</x:v>
      </x:c>
      <x:c r="P1197" s="20" t="str">
        <x:v>https://zh.wikisource.org/wiki/%E6%BB%B4%E5%A4%A9%E9%AB%93%E9%97%A1%E5%BE%AE ; https://zh.wikisource.org/zh-hans/%E6%BB%B4%E5%A4%A9%E9%AB%93</x:v>
      </x:c>
    </x:row>
    <x:row r="1198">
      <x:c r="A1198" s="20" t="str">
        <x:v>M15-ZHUAN-0083-V1.0</x:v>
      </x:c>
      <x:c r="B1198" s="20" t="str">
        <x:v>规则</x:v>
      </x:c>
      <x:c r="C1198" s="20" t="str">
        <x:v>M15</x:v>
      </x:c>
      <x:c r="D1198" s="20" t="str">
        <x:v>15_格局成败救应</x:v>
      </x:c>
      <x:c r="E1198" s="20" t="str">
        <x:v>ZHUAN</x:v>
      </x:c>
      <x:c r="F1198" s="20" t="n">
        <x:v>83</x:v>
      </x:c>
      <x:c r="G1198" s="20" t="str">
        <x:v>V1.0</x:v>
      </x:c>
      <x:c r="H1198" s="20" t="str">
        <x:v>从革格候选严格成立条件</x:v>
      </x:c>
      <x:c r="I1198" s="20" t="str">
        <x:v>综合层</x:v>
      </x:c>
      <x:c r="J1198" s="20" t="str">
        <x:v>从革格候选_严格成立</x:v>
      </x:c>
      <x:c r="K1198" s="20" t="str">
        <x:v>从革格候选判为“特殊格局严格成立”：破格等级为“无破”，救应为“无救应”，清纯度为“清纯”；层次需结合全局继续评估。</x:v>
      </x:c>
      <x:c r="L1198" s="20" t="str">
        <x:v>较高</x:v>
      </x:c>
      <x:c r="M1198" s="20" t="str">
        <x:v>采用</x:v>
      </x:c>
      <x:c r="N1198" s="20" t="str">
        <x:v>初审</x:v>
      </x:c>
      <x:c r="O1198" s="22" t="n">
        <x:v>46260</x:v>
      </x:c>
      <x:c r="P1198" s="20" t="str">
        <x:v>https://zh.wikisource.org/wiki/%E6%BB%B4%E5%A4%A9%E9%AB%93%E9%97%A1%E5%BE%AE ; https://zh.wikisource.org/zh-hans/%E6%BB%B4%E5%A4%A9%E9%AB%93</x:v>
      </x:c>
    </x:row>
    <x:row r="1199">
      <x:c r="A1199" s="20" t="str">
        <x:v>M15-ZHUAN-0084-V1.0</x:v>
      </x:c>
      <x:c r="B1199" s="20" t="str">
        <x:v>规则</x:v>
      </x:c>
      <x:c r="C1199" s="20" t="str">
        <x:v>M15</x:v>
      </x:c>
      <x:c r="D1199" s="20" t="str">
        <x:v>15_格局成败救应</x:v>
      </x:c>
      <x:c r="E1199" s="20" t="str">
        <x:v>ZHUAN</x:v>
      </x:c>
      <x:c r="F1199" s="20" t="n">
        <x:v>84</x:v>
      </x:c>
      <x:c r="G1199" s="20" t="str">
        <x:v>V1.0</x:v>
      </x:c>
      <x:c r="H1199" s="20" t="str">
        <x:v>润下格候选严格成立条件</x:v>
      </x:c>
      <x:c r="I1199" s="20" t="str">
        <x:v>综合层</x:v>
      </x:c>
      <x:c r="J1199" s="20" t="str">
        <x:v>润下格候选_严格成立</x:v>
      </x:c>
      <x:c r="K1199" s="20" t="str">
        <x:v>润下格候选判为“特殊格局严格成立”：破格等级为“无破”，救应为“无救应”，清纯度为“清纯”；层次需结合全局继续评估。</x:v>
      </x:c>
      <x:c r="L1199" s="20" t="str">
        <x:v>较高</x:v>
      </x:c>
      <x:c r="M1199" s="20" t="str">
        <x:v>采用</x:v>
      </x:c>
      <x:c r="N1199" s="20" t="str">
        <x:v>初审</x:v>
      </x:c>
      <x:c r="O1199" s="22" t="n">
        <x:v>46260</x:v>
      </x:c>
      <x:c r="P1199" s="20" t="str">
        <x:v>https://zh.wikisource.org/wiki/%E6%BB%B4%E5%A4%A9%E9%AB%93%E9%97%A1%E5%BE%AE ; https://zh.wikisource.org/zh-hans/%E6%BB%B4%E5%A4%A9%E9%AB%93</x:v>
      </x:c>
    </x:row>
    <x:row r="1200">
      <x:c r="A1200" s="20" t="str">
        <x:v>M15-ZHUAN-0085-V1.0</x:v>
      </x:c>
      <x:c r="B1200" s="20" t="str">
        <x:v>规则</x:v>
      </x:c>
      <x:c r="C1200" s="20" t="str">
        <x:v>M15</x:v>
      </x:c>
      <x:c r="D1200" s="20" t="str">
        <x:v>15_格局成败救应</x:v>
      </x:c>
      <x:c r="E1200" s="20" t="str">
        <x:v>ZHUAN</x:v>
      </x:c>
      <x:c r="F1200" s="20" t="n">
        <x:v>85</x:v>
      </x:c>
      <x:c r="G1200" s="20" t="str">
        <x:v>V1.0</x:v>
      </x:c>
      <x:c r="H1200" s="20" t="str">
        <x:v>有效逆克力量会严重破坏专旺</x:v>
      </x:c>
      <x:c r="I1200" s="20" t="str">
        <x:v>综合层</x:v>
      </x:c>
      <x:c r="J1200" s="20" t="str">
        <x:v>专旺格_逆克破格</x:v>
      </x:c>
      <x:c r="K1200" s="20" t="str">
        <x:v>专旺候选判为“成立但有破”：破格等级为“严重”，救应为“待定”，清纯度为“有杂”；层次需结合全局继续评估。</x:v>
      </x:c>
      <x:c r="L1200" s="20" t="str">
        <x:v>较高</x:v>
      </x:c>
      <x:c r="M1200" s="20" t="str">
        <x:v>采用</x:v>
      </x:c>
      <x:c r="N1200" s="20" t="str">
        <x:v>初审</x:v>
      </x:c>
      <x:c r="O1200" s="22" t="n">
        <x:v>46260</x:v>
      </x:c>
      <x:c r="P1200" s="20" t="str">
        <x:v>https://zh.wikisource.org/wiki/%E6%BB%B4%E5%A4%A9%E9%AB%93%E9%97%A1%E5%BE%AE ; https://zh.wikisource.org/zh-hans/%E6%BB%B4%E5%A4%A9%E9%AB%93</x:v>
      </x:c>
    </x:row>
    <x:row r="1201">
      <x:c r="A1201" s="20" t="str">
        <x:v>M15-ZHUAN-0086-V1.0</x:v>
      </x:c>
      <x:c r="B1201" s="20" t="str">
        <x:v>规则</x:v>
      </x:c>
      <x:c r="C1201" s="20" t="str">
        <x:v>M15</x:v>
      </x:c>
      <x:c r="D1201" s="20" t="str">
        <x:v>15_格局成败救应</x:v>
      </x:c>
      <x:c r="E1201" s="20" t="str">
        <x:v>ZHUAN</x:v>
      </x:c>
      <x:c r="F1201" s="20" t="n">
        <x:v>86</x:v>
      </x:c>
      <x:c r="G1201" s="20" t="str">
        <x:v>V1.0</x:v>
      </x:c>
      <x:c r="H1201" s="20" t="str">
        <x:v>杂气虽少但能改变主路径时不可忽略</x:v>
      </x:c>
      <x:c r="I1201" s="20" t="str">
        <x:v>综合层</x:v>
      </x:c>
      <x:c r="J1201" s="20" t="str">
        <x:v>专旺格_关键杂气</x:v>
      </x:c>
      <x:c r="K1201" s="20" t="str">
        <x:v>专旺候选判为“成立但有破”：破格等级为“一般”，救应为“待定”，清纯度为“有杂”；层次需结合全局继续评估。</x:v>
      </x:c>
      <x:c r="L1201" s="20" t="str">
        <x:v>较高</x:v>
      </x:c>
      <x:c r="M1201" s="20" t="str">
        <x:v>采用</x:v>
      </x:c>
      <x:c r="N1201" s="20" t="str">
        <x:v>初审</x:v>
      </x:c>
      <x:c r="O1201" s="22" t="n">
        <x:v>46260</x:v>
      </x:c>
      <x:c r="P1201" s="20" t="str">
        <x:v>https://zh.wikisource.org/wiki/%E6%BB%B4%E5%A4%A9%E9%AB%93%E9%97%A1%E5%BE%AE ; https://zh.wikisource.org/zh-hans/%E6%BB%B4%E5%A4%A9%E9%AB%93</x:v>
      </x:c>
    </x:row>
    <x:row r="1202">
      <x:c r="A1202" s="20" t="str">
        <x:v>M15-RESCUE-0087-V1.0</x:v>
      </x:c>
      <x:c r="B1202" s="20" t="str">
        <x:v>规则</x:v>
      </x:c>
      <x:c r="C1202" s="20" t="str">
        <x:v>M15</x:v>
      </x:c>
      <x:c r="D1202" s="20" t="str">
        <x:v>15_格局成败救应</x:v>
      </x:c>
      <x:c r="E1202" s="20" t="str">
        <x:v>RESCUE</x:v>
      </x:c>
      <x:c r="F1202" s="20" t="n">
        <x:v>87</x:v>
      </x:c>
      <x:c r="G1202" s="20" t="str">
        <x:v>V1.0</x:v>
      </x:c>
      <x:c r="H1202" s="20" t="str">
        <x:v>无救应表示破格机制未被任何有效力量修复</x:v>
      </x:c>
      <x:c r="I1202" s="20" t="str">
        <x:v>综合层</x:v>
      </x:c>
      <x:c r="J1202" s="20" t="str">
        <x:v>救应_无救应</x:v>
      </x:c>
      <x:c r="K1202" s="20" t="str">
        <x:v>所有破格候选判为“成立但有破”：破格等级为“待定”，救应为“无救应”，清纯度为“待定”；层次需结合全局继续评估。</x:v>
      </x:c>
      <x:c r="L1202" s="20" t="str">
        <x:v>较高</x:v>
      </x:c>
      <x:c r="M1202" s="20" t="str">
        <x:v>采用</x:v>
      </x:c>
      <x:c r="N1202" s="20" t="str">
        <x:v>初审</x:v>
      </x:c>
      <x:c r="O1202" s="22" t="n">
        <x:v>46260</x:v>
      </x:c>
      <x:c r="P1202" s="20" t="str">
        <x:v>https://zh.wikisource.org/zh-hans/%E6%B7%B5%E6%B5%B7%E5%AD%90%E5%B9%B3 ; https://zh.wikisource.org/wiki/%E6%BB%B4%E5%A4%A9%E9%AB%93%E9%97%A1%E5%BE%AE</x:v>
      </x:c>
    </x:row>
    <x:row r="1203">
      <x:c r="A1203" s="20" t="str">
        <x:v>M15-RESCUE-0088-V1.0</x:v>
      </x:c>
      <x:c r="B1203" s="20" t="str">
        <x:v>规则</x:v>
      </x:c>
      <x:c r="C1203" s="20" t="str">
        <x:v>M15</x:v>
      </x:c>
      <x:c r="D1203" s="20" t="str">
        <x:v>15_格局成败救应</x:v>
      </x:c>
      <x:c r="E1203" s="20" t="str">
        <x:v>RESCUE</x:v>
      </x:c>
      <x:c r="F1203" s="20" t="n">
        <x:v>88</x:v>
      </x:c>
      <x:c r="G1203" s="20" t="str">
        <x:v>V1.0</x:v>
      </x:c>
      <x:c r="H1203" s="20" t="str">
        <x:v>弱救应只能轻微缓解破格</x:v>
      </x:c>
      <x:c r="I1203" s="20" t="str">
        <x:v>综合层</x:v>
      </x:c>
      <x:c r="J1203" s="20" t="str">
        <x:v>救应_弱救应</x:v>
      </x:c>
      <x:c r="K1203" s="20" t="str">
        <x:v>所有破格候选判为“有破有救”：破格等级为“一般”，救应为“弱救应”，清纯度为“有杂”；层次需结合全局继续评估。</x:v>
      </x:c>
      <x:c r="L1203" s="20" t="str">
        <x:v>较高</x:v>
      </x:c>
      <x:c r="M1203" s="20" t="str">
        <x:v>采用</x:v>
      </x:c>
      <x:c r="N1203" s="20" t="str">
        <x:v>初审</x:v>
      </x:c>
      <x:c r="O1203" s="22" t="n">
        <x:v>46260</x:v>
      </x:c>
      <x:c r="P1203" s="20" t="str">
        <x:v>https://zh.wikisource.org/zh-hans/%E6%B7%B5%E6%B5%B7%E5%AD%90%E5%B9%B3 ; https://zh.wikisource.org/wiki/%E6%BB%B4%E5%A4%A9%E9%AB%93%E9%97%A1%E5%BE%AE</x:v>
      </x:c>
    </x:row>
    <x:row r="1204">
      <x:c r="A1204" s="20" t="str">
        <x:v>M15-RESCUE-0089-V1.0</x:v>
      </x:c>
      <x:c r="B1204" s="20" t="str">
        <x:v>规则</x:v>
      </x:c>
      <x:c r="C1204" s="20" t="str">
        <x:v>M15</x:v>
      </x:c>
      <x:c r="D1204" s="20" t="str">
        <x:v>15_格局成败救应</x:v>
      </x:c>
      <x:c r="E1204" s="20" t="str">
        <x:v>RESCUE</x:v>
      </x:c>
      <x:c r="F1204" s="20" t="n">
        <x:v>89</x:v>
      </x:c>
      <x:c r="G1204" s="20" t="str">
        <x:v>V1.0</x:v>
      </x:c>
      <x:c r="H1204" s="20" t="str">
        <x:v>部分有效救应可恢复局部功能</x:v>
      </x:c>
      <x:c r="I1204" s="20" t="str">
        <x:v>综合层</x:v>
      </x:c>
      <x:c r="J1204" s="20" t="str">
        <x:v>救应_部分有效</x:v>
      </x:c>
      <x:c r="K1204" s="20" t="str">
        <x:v>所有破格候选判为“有破有救”：破格等级为“一般”，救应为“部分有效”，清纯度为“有杂”；层次需结合全局继续评估。</x:v>
      </x:c>
      <x:c r="L1204" s="20" t="str">
        <x:v>较高</x:v>
      </x:c>
      <x:c r="M1204" s="20" t="str">
        <x:v>采用</x:v>
      </x:c>
      <x:c r="N1204" s="20" t="str">
        <x:v>初审</x:v>
      </x:c>
      <x:c r="O1204" s="22" t="n">
        <x:v>46260</x:v>
      </x:c>
      <x:c r="P1204" s="20" t="str">
        <x:v>https://zh.wikisource.org/zh-hans/%E6%B7%B5%E6%B5%B7%E5%AD%90%E5%B9%B3 ; https://zh.wikisource.org/wiki/%E6%BB%B4%E5%A4%A9%E9%AB%93%E9%97%A1%E5%BE%AE</x:v>
      </x:c>
    </x:row>
    <x:row r="1205">
      <x:c r="A1205" s="20" t="str">
        <x:v>M15-RESCUE-0090-V1.0</x:v>
      </x:c>
      <x:c r="B1205" s="20" t="str">
        <x:v>规则</x:v>
      </x:c>
      <x:c r="C1205" s="20" t="str">
        <x:v>M15</x:v>
      </x:c>
      <x:c r="D1205" s="20" t="str">
        <x:v>15_格局成败救应</x:v>
      </x:c>
      <x:c r="E1205" s="20" t="str">
        <x:v>RESCUE</x:v>
      </x:c>
      <x:c r="F1205" s="20" t="n">
        <x:v>90</x:v>
      </x:c>
      <x:c r="G1205" s="20" t="str">
        <x:v>V1.0</x:v>
      </x:c>
      <x:c r="H1205" s="20" t="str">
        <x:v>明显有效救应可恢复格局主要功能</x:v>
      </x:c>
      <x:c r="I1205" s="20" t="str">
        <x:v>综合层</x:v>
      </x:c>
      <x:c r="J1205" s="20" t="str">
        <x:v>救应_明显有效</x:v>
      </x:c>
      <x:c r="K1205" s="20" t="str">
        <x:v>所有破格候选判为“有破有救”：破格等级为“轻微”，救应为“明显有效”，清纯度为“较清”；层次需结合全局继续评估。</x:v>
      </x:c>
      <x:c r="L1205" s="20" t="str">
        <x:v>较高</x:v>
      </x:c>
      <x:c r="M1205" s="20" t="str">
        <x:v>采用</x:v>
      </x:c>
      <x:c r="N1205" s="20" t="str">
        <x:v>初审</x:v>
      </x:c>
      <x:c r="O1205" s="22" t="n">
        <x:v>46260</x:v>
      </x:c>
      <x:c r="P1205" s="20" t="str">
        <x:v>https://zh.wikisource.org/zh-hans/%E6%B7%B5%E6%B5%B7%E5%AD%90%E5%B9%B3 ; https://zh.wikisource.org/wiki/%E6%BB%B4%E5%A4%A9%E9%AB%93%E9%97%A1%E5%BE%AE</x:v>
      </x:c>
    </x:row>
    <x:row r="1206">
      <x:c r="A1206" s="20" t="str">
        <x:v>M15-RESCUE-0091-V1.0</x:v>
      </x:c>
      <x:c r="B1206" s="20" t="str">
        <x:v>规则</x:v>
      </x:c>
      <x:c r="C1206" s="20" t="str">
        <x:v>M15</x:v>
      </x:c>
      <x:c r="D1206" s="20" t="str">
        <x:v>15_格局成败救应</x:v>
      </x:c>
      <x:c r="E1206" s="20" t="str">
        <x:v>RESCUE</x:v>
      </x:c>
      <x:c r="F1206" s="20" t="n">
        <x:v>91</x:v>
      </x:c>
      <x:c r="G1206" s="20" t="str">
        <x:v>V1.0</x:v>
      </x:c>
      <x:c r="H1206" s="20" t="str">
        <x:v>完全救应要求破格因素功能基本消失</x:v>
      </x:c>
      <x:c r="I1206" s="20" t="str">
        <x:v>综合层</x:v>
      </x:c>
      <x:c r="J1206" s="20" t="str">
        <x:v>救应_完全救应</x:v>
      </x:c>
      <x:c r="K1206" s="20" t="str">
        <x:v>所有破格候选判为“有破有救”：破格等级为“轻微”，救应为“完全救应”，清纯度为“较清”；层次需结合全局继续评估。</x:v>
      </x:c>
      <x:c r="L1206" s="20" t="str">
        <x:v>较高</x:v>
      </x:c>
      <x:c r="M1206" s="20" t="str">
        <x:v>采用</x:v>
      </x:c>
      <x:c r="N1206" s="20" t="str">
        <x:v>初审</x:v>
      </x:c>
      <x:c r="O1206" s="22" t="n">
        <x:v>46260</x:v>
      </x:c>
      <x:c r="P1206" s="20" t="str">
        <x:v>https://zh.wikisource.org/zh-hans/%E6%B7%B5%E6%B5%B7%E5%AD%90%E5%B9%B3 ; https://zh.wikisource.org/wiki/%E6%BB%B4%E5%A4%A9%E9%AB%93%E9%97%A1%E5%BE%AE</x:v>
      </x:c>
    </x:row>
    <x:row r="1207">
      <x:c r="A1207" s="20" t="str">
        <x:v>M15-RESCUE-0092-V1.0</x:v>
      </x:c>
      <x:c r="B1207" s="20" t="str">
        <x:v>规则</x:v>
      </x:c>
      <x:c r="C1207" s="20" t="str">
        <x:v>M15</x:v>
      </x:c>
      <x:c r="D1207" s="20" t="str">
        <x:v>15_格局成败救应</x:v>
      </x:c>
      <x:c r="E1207" s="20" t="str">
        <x:v>RESCUE</x:v>
      </x:c>
      <x:c r="F1207" s="20" t="n">
        <x:v>92</x:v>
      </x:c>
      <x:c r="G1207" s="20" t="str">
        <x:v>V1.0</x:v>
      </x:c>
      <x:c r="H1207" s="20" t="str">
        <x:v>救应产生更大副作用时不得升格</x:v>
      </x:c>
      <x:c r="I1207" s="20" t="str">
        <x:v>综合层</x:v>
      </x:c>
      <x:c r="J1207" s="20" t="str">
        <x:v>救应_副作用限制</x:v>
      </x:c>
      <x:c r="K1207" s="20" t="str">
        <x:v>所有破格候选判为“有破有救”：破格等级为“待定”，救应为“部分有效”，清纯度为“有杂”；层次需结合全局继续评估。</x:v>
      </x:c>
      <x:c r="L1207" s="20" t="str">
        <x:v>较高</x:v>
      </x:c>
      <x:c r="M1207" s="20" t="str">
        <x:v>采用</x:v>
      </x:c>
      <x:c r="N1207" s="20" t="str">
        <x:v>初审</x:v>
      </x:c>
      <x:c r="O1207" s="22" t="n">
        <x:v>46260</x:v>
      </x:c>
      <x:c r="P1207" s="20" t="str">
        <x:v>https://zh.wikisource.org/zh-hans/%E6%B7%B5%E6%B5%B7%E5%AD%90%E5%B9%B3 ; https://zh.wikisource.org/wiki/%E6%BB%B4%E5%A4%A9%E9%AB%93%E9%97%A1%E5%BE%AE</x:v>
      </x:c>
    </x:row>
    <x:row r="1208">
      <x:c r="A1208" s="20" t="str">
        <x:v>M15-RESCUE-0093-V1.0</x:v>
      </x:c>
      <x:c r="B1208" s="20" t="str">
        <x:v>规则</x:v>
      </x:c>
      <x:c r="C1208" s="20" t="str">
        <x:v>M15</x:v>
      </x:c>
      <x:c r="D1208" s="20" t="str">
        <x:v>15_格局成败救应</x:v>
      </x:c>
      <x:c r="E1208" s="20" t="str">
        <x:v>RESCUE</x:v>
      </x:c>
      <x:c r="F1208" s="20" t="n">
        <x:v>93</x:v>
      </x:c>
      <x:c r="G1208" s="20" t="str">
        <x:v>V1.0</x:v>
      </x:c>
      <x:c r="H1208" s="20" t="str">
        <x:v>救应必须有足够作用容量</x:v>
      </x:c>
      <x:c r="I1208" s="20" t="str">
        <x:v>综合层</x:v>
      </x:c>
      <x:c r="J1208" s="20" t="str">
        <x:v>救应_容量去重</x:v>
      </x:c>
      <x:c r="K1208" s="20" t="str">
        <x:v>所有破格候选判为“待定”：破格等级为“待定”，救应为“待定”，清纯度为“待定”；层次需结合全局继续评估。</x:v>
      </x:c>
      <x:c r="L1208" s="20" t="str">
        <x:v>较高</x:v>
      </x:c>
      <x:c r="M1208" s="20" t="str">
        <x:v>采用</x:v>
      </x:c>
      <x:c r="N1208" s="20" t="str">
        <x:v>初审</x:v>
      </x:c>
      <x:c r="O1208" s="22" t="n">
        <x:v>46260</x:v>
      </x:c>
      <x:c r="P1208" s="20" t="str">
        <x:v>https://zh.wikisource.org/zh-hans/%E6%B7%B5%E6%B5%B7%E5%AD%90%E5%B9%B3 ; https://zh.wikisource.org/wiki/%E6%BB%B4%E5%A4%A9%E9%AB%93%E9%97%A1%E5%BE%AE</x:v>
      </x:c>
    </x:row>
    <x:row r="1209">
      <x:c r="A1209" s="20" t="str">
        <x:v>M15-RESCUE-0094-V1.0</x:v>
      </x:c>
      <x:c r="B1209" s="20" t="str">
        <x:v>规则</x:v>
      </x:c>
      <x:c r="C1209" s="20" t="str">
        <x:v>M15</x:v>
      </x:c>
      <x:c r="D1209" s="20" t="str">
        <x:v>15_格局成败救应</x:v>
      </x:c>
      <x:c r="E1209" s="20" t="str">
        <x:v>RESCUE</x:v>
      </x:c>
      <x:c r="F1209" s="20" t="n">
        <x:v>94</x:v>
      </x:c>
      <x:c r="G1209" s="20" t="str">
        <x:v>V1.0</x:v>
      </x:c>
      <x:c r="H1209" s="20" t="str">
        <x:v>多重救应需要判断是否相互协同</x:v>
      </x:c>
      <x:c r="I1209" s="20" t="str">
        <x:v>综合层</x:v>
      </x:c>
      <x:c r="J1209" s="20" t="str">
        <x:v>救应_多救应协同</x:v>
      </x:c>
      <x:c r="K1209" s="20" t="str">
        <x:v>所有破格候选判为“待定”：破格等级为“待定”，救应为“待定”，清纯度为“待定”；层次需结合全局继续评估。</x:v>
      </x:c>
      <x:c r="L1209" s="20" t="str">
        <x:v>较高</x:v>
      </x:c>
      <x:c r="M1209" s="20" t="str">
        <x:v>采用</x:v>
      </x:c>
      <x:c r="N1209" s="20" t="str">
        <x:v>初审</x:v>
      </x:c>
      <x:c r="O1209" s="22" t="n">
        <x:v>46260</x:v>
      </x:c>
      <x:c r="P1209" s="20" t="str">
        <x:v>https://zh.wikisource.org/zh-hans/%E6%B7%B5%E6%B5%B7%E5%AD%90%E5%B9%B3 ; https://zh.wikisource.org/wiki/%E6%BB%B4%E5%A4%A9%E9%AB%93%E9%97%A1%E5%BE%AE</x:v>
      </x:c>
    </x:row>
    <x:row r="1210">
      <x:c r="A1210" s="20" t="str">
        <x:v>M15-RESCUE-0095-V1.0</x:v>
      </x:c>
      <x:c r="B1210" s="20" t="str">
        <x:v>规则</x:v>
      </x:c>
      <x:c r="C1210" s="20" t="str">
        <x:v>M15</x:v>
      </x:c>
      <x:c r="D1210" s="20" t="str">
        <x:v>15_格局成败救应</x:v>
      </x:c>
      <x:c r="E1210" s="20" t="str">
        <x:v>RESCUE</x:v>
      </x:c>
      <x:c r="F1210" s="20" t="n">
        <x:v>95</x:v>
      </x:c>
      <x:c r="G1210" s="20" t="str">
        <x:v>V1.0</x:v>
      </x:c>
      <x:c r="H1210" s="20" t="str">
        <x:v>救应只能修复其对应的破格对象</x:v>
      </x:c>
      <x:c r="I1210" s="20" t="str">
        <x:v>综合层</x:v>
      </x:c>
      <x:c r="J1210" s="20" t="str">
        <x:v>救应_对象限定</x:v>
      </x:c>
      <x:c r="K1210" s="20" t="str">
        <x:v>所有破格候选判为“待定”：破格等级为“待定”，救应为“待定”，清纯度为“待定”；层次需结合全局继续评估。</x:v>
      </x:c>
      <x:c r="L1210" s="20" t="str">
        <x:v>较高</x:v>
      </x:c>
      <x:c r="M1210" s="20" t="str">
        <x:v>采用</x:v>
      </x:c>
      <x:c r="N1210" s="20" t="str">
        <x:v>初审</x:v>
      </x:c>
      <x:c r="O1210" s="22" t="n">
        <x:v>46260</x:v>
      </x:c>
      <x:c r="P1210" s="20" t="str">
        <x:v>https://zh.wikisource.org/zh-hans/%E6%B7%B5%E6%B5%B7%E5%AD%90%E5%B9%B3 ; https://zh.wikisource.org/wiki/%E6%BB%B4%E5%A4%A9%E9%AB%93%E9%97%A1%E5%BE%AE</x:v>
      </x:c>
    </x:row>
    <x:row r="1211">
      <x:c r="A1211" s="20" t="str">
        <x:v>M15-RESCUE-0096-V1.0</x:v>
      </x:c>
      <x:c r="B1211" s="20" t="str">
        <x:v>规则</x:v>
      </x:c>
      <x:c r="C1211" s="20" t="str">
        <x:v>M15</x:v>
      </x:c>
      <x:c r="D1211" s="20" t="str">
        <x:v>15_格局成败救应</x:v>
      </x:c>
      <x:c r="E1211" s="20" t="str">
        <x:v>RESCUE</x:v>
      </x:c>
      <x:c r="F1211" s="20" t="n">
        <x:v>96</x:v>
      </x:c>
      <x:c r="G1211" s="20" t="str">
        <x:v>V1.0</x:v>
      </x:c>
      <x:c r="H1211" s="20" t="str">
        <x:v>救应有效性应进入格局层次而非改变原始事实</x:v>
      </x:c>
      <x:c r="I1211" s="20" t="str">
        <x:v>综合层</x:v>
      </x:c>
      <x:c r="J1211" s="20" t="str">
        <x:v>救应_事实保留</x:v>
      </x:c>
      <x:c r="K1211" s="20" t="str">
        <x:v>最终表述必须同时保留破格机制和救应机制，并说明净结果与层次，不把有破有救伪装成天然清纯无破。</x:v>
      </x:c>
      <x:c r="L1211" s="20" t="str">
        <x:v>较高</x:v>
      </x:c>
      <x:c r="M1211" s="20" t="str">
        <x:v>采用</x:v>
      </x:c>
      <x:c r="N1211" s="20" t="str">
        <x:v>初审</x:v>
      </x:c>
      <x:c r="O1211" s="22" t="n">
        <x:v>46260</x:v>
      </x:c>
      <x:c r="P1211" s="20" t="str">
        <x:v>https://zh.wikisource.org/zh-hans/%E6%B7%B5%E6%B5%B7%E5%AD%90%E5%B9%B3 ; https://zh.wikisource.org/wiki/%E6%BB%B4%E5%A4%A9%E9%AB%93%E9%97%A1%E5%BE%AE</x:v>
      </x:c>
    </x:row>
    <x:row r="1212">
      <x:c r="A1212" s="20" t="str">
        <x:v>M15-BOUND-0097-V1.0</x:v>
      </x:c>
      <x:c r="B1212" s="20" t="str">
        <x:v>规则</x:v>
      </x:c>
      <x:c r="C1212" s="20" t="str">
        <x:v>M15</x:v>
      </x:c>
      <x:c r="D1212" s="20" t="str">
        <x:v>15_格局成败救应</x:v>
      </x:c>
      <x:c r="E1212" s="20" t="str">
        <x:v>BOUND</x:v>
      </x:c>
      <x:c r="F1212" s="20" t="n">
        <x:v>97</x:v>
      </x:c>
      <x:c r="G1212" s="20" t="str">
        <x:v>V1.0</x:v>
      </x:c>
      <x:c r="H1212" s="20" t="str">
        <x:v>格局成立不等于格局层次高</x:v>
      </x:c>
      <x:c r="I1212" s="20" t="str">
        <x:v>综合层</x:v>
      </x:c>
      <x:c r="J1212" s="20" t="str">
        <x:v>格局成立层次边界</x:v>
      </x:c>
      <x:c r="K1212" s="20" t="str">
        <x:v>所有格局判为“基本成立”：破格等级为“待定”，救应为“待定”，清纯度为“待定”；层次需结合全局继续评估。</x:v>
      </x:c>
      <x:c r="L1212" s="20" t="str">
        <x:v>较高</x:v>
      </x:c>
      <x:c r="M1212" s="20" t="str">
        <x:v>采用</x:v>
      </x:c>
      <x:c r="N1212" s="20" t="str">
        <x:v>初审</x:v>
      </x:c>
      <x:c r="O1212" s="22" t="n">
        <x:v>46260</x:v>
      </x:c>
      <x:c r="P1212" s="20" t="str">
        <x:v>https://zh.wikisource.org/zh-hans/%E6%B7%B5%E6%B5%B7%E5%AD%90%E5%B9%B3 ; https://zh.wikisource.org/wiki/%E6%BB%B4%E5%A4%A9%E9%AB%93%E9%97%A1%E5%BE%AE</x:v>
      </x:c>
    </x:row>
    <x:row r="1213">
      <x:c r="A1213" s="20" t="str">
        <x:v>M15-BOUND-0098-V1.0</x:v>
      </x:c>
      <x:c r="B1213" s="20" t="str">
        <x:v>规则</x:v>
      </x:c>
      <x:c r="C1213" s="20" t="str">
        <x:v>M15</x:v>
      </x:c>
      <x:c r="D1213" s="20" t="str">
        <x:v>15_格局成败救应</x:v>
      </x:c>
      <x:c r="E1213" s="20" t="str">
        <x:v>BOUND</x:v>
      </x:c>
      <x:c r="F1213" s="20" t="n">
        <x:v>98</x:v>
      </x:c>
      <x:c r="G1213" s="20" t="str">
        <x:v>V1.0</x:v>
      </x:c>
      <x:c r="H1213" s="20" t="str">
        <x:v>格局有破不等于必然完全不成立</x:v>
      </x:c>
      <x:c r="I1213" s="20" t="str">
        <x:v>综合层</x:v>
      </x:c>
      <x:c r="J1213" s="20" t="str">
        <x:v>有破非自动否决</x:v>
      </x:c>
      <x:c r="K1213" s="20" t="str">
        <x:v>所有格局判为“成立但有破”：破格等级为“待定”，救应为“待定”，清纯度为“待定”；层次需结合全局继续评估。</x:v>
      </x:c>
      <x:c r="L1213" s="20" t="str">
        <x:v>较高</x:v>
      </x:c>
      <x:c r="M1213" s="20" t="str">
        <x:v>采用</x:v>
      </x:c>
      <x:c r="N1213" s="20" t="str">
        <x:v>初审</x:v>
      </x:c>
      <x:c r="O1213" s="22" t="n">
        <x:v>46260</x:v>
      </x:c>
      <x:c r="P1213" s="20" t="str">
        <x:v>https://zh.wikisource.org/zh-hans/%E6%B7%B5%E6%B5%B7%E5%AD%90%E5%B9%B3 ; https://zh.wikisource.org/wiki/%E6%BB%B4%E5%A4%A9%E9%AB%93%E9%97%A1%E5%BE%AE</x:v>
      </x:c>
    </x:row>
    <x:row r="1214">
      <x:c r="A1214" s="20" t="str">
        <x:v>M15-BOUND-0099-V1.0</x:v>
      </x:c>
      <x:c r="B1214" s="20" t="str">
        <x:v>规则</x:v>
      </x:c>
      <x:c r="C1214" s="20" t="str">
        <x:v>M15</x:v>
      </x:c>
      <x:c r="D1214" s="20" t="str">
        <x:v>15_格局成败救应</x:v>
      </x:c>
      <x:c r="E1214" s="20" t="str">
        <x:v>BOUND</x:v>
      </x:c>
      <x:c r="F1214" s="20" t="n">
        <x:v>99</x:v>
      </x:c>
      <x:c r="G1214" s="20" t="str">
        <x:v>V1.0</x:v>
      </x:c>
      <x:c r="H1214" s="20" t="str">
        <x:v>格局成败不能直接推出富贵贫贱与具体事件</x:v>
      </x:c>
      <x:c r="I1214" s="20" t="str">
        <x:v>综合层</x:v>
      </x:c>
      <x:c r="J1214" s="20" t="str">
        <x:v>格局事件边界</x:v>
      </x:c>
      <x:c r="K1214" s="20" t="str">
        <x:v>M15只输出格局成立、破格、救应、清纯度与层次，不直接断财富、职位、婚姻、疾病或具体人生事件。</x:v>
      </x:c>
      <x:c r="L1214" s="20" t="str">
        <x:v>较高</x:v>
      </x:c>
      <x:c r="M1214" s="20" t="str">
        <x:v>采用</x:v>
      </x:c>
      <x:c r="N1214" s="20" t="str">
        <x:v>初审</x:v>
      </x:c>
      <x:c r="O1214" s="22" t="n">
        <x:v>46260</x:v>
      </x:c>
      <x:c r="P1214" s="20" t="str">
        <x:v>https://zh.wikisource.org/zh-hans/%E6%B7%B5%E6%B5%B7%E5%AD%90%E5%B9%B3 ; https://zh.wikisource.org/wiki/%E6%BB%B4%E5%A4%A9%E9%AB%93%E9%97%A1%E5%BE%AE</x:v>
      </x:c>
    </x:row>
    <x:row r="1215">
      <x:c r="A1215" s="20" t="str">
        <x:v>M15-BOUND-0100-V1.0</x:v>
      </x:c>
      <x:c r="B1215" s="20" t="str">
        <x:v>规则</x:v>
      </x:c>
      <x:c r="C1215" s="20" t="str">
        <x:v>M15</x:v>
      </x:c>
      <x:c r="D1215" s="20" t="str">
        <x:v>15_格局成败救应</x:v>
      </x:c>
      <x:c r="E1215" s="20" t="str">
        <x:v>BOUND</x:v>
      </x:c>
      <x:c r="F1215" s="20" t="n">
        <x:v>100</x:v>
      </x:c>
      <x:c r="G1215" s="20" t="str">
        <x:v>V1.0</x:v>
      </x:c>
      <x:c r="H1215" s="20" t="str">
        <x:v>原局成败与岁运救格必须分开</x:v>
      </x:c>
      <x:c r="I1215" s="20" t="str">
        <x:v>综合层</x:v>
      </x:c>
      <x:c r="J1215" s="20" t="str">
        <x:v>格局静动态边界</x:v>
      </x:c>
      <x:c r="K1215" s="20" t="str">
        <x:v>不得用未来岁运的潜在救应提前把原局写成有破有救或清纯成立。</x:v>
      </x:c>
      <x:c r="L1215" s="20" t="str">
        <x:v>较高</x:v>
      </x:c>
      <x:c r="M1215" s="20" t="str">
        <x:v>采用</x:v>
      </x:c>
      <x:c r="N1215" s="20" t="str">
        <x:v>初审</x:v>
      </x:c>
      <x:c r="O1215" s="22" t="n">
        <x:v>46260</x:v>
      </x:c>
      <x:c r="P1215" s="20" t="str">
        <x:v>https://zh.wikisource.org/zh-hans/%E6%B7%B5%E6%B5%B7%E5%AD%90%E5%B9%B3 ; https://zh.wikisource.org/wiki/%E6%BB%B4%E5%A4%A9%E9%AB%93%E9%97%A1%E5%BE%AE</x:v>
      </x:c>
    </x:row>
    <x:row r="1216">
      <x:c r="A1216" s="20" t="str">
        <x:v>M16-GEN-0001-V1.0</x:v>
      </x:c>
      <x:c r="B1216" s="20" t="str">
        <x:v>规则</x:v>
      </x:c>
      <x:c r="C1216" s="20" t="str">
        <x:v>M16</x:v>
      </x:c>
      <x:c r="D1216" s="20" t="str">
        <x:v>16_病药模型</x:v>
      </x:c>
      <x:c r="E1216" s="20" t="str">
        <x:v>GEN</x:v>
      </x:c>
      <x:c r="F1216" s="20" t="n">
        <x:v>1</x:v>
      </x:c>
      <x:c r="G1216" s="20" t="str">
        <x:v>V1.0</x:v>
      </x:c>
      <x:c r="H1216" s="20" t="str">
        <x:v>根本之病优先于表层症状</x:v>
      </x:c>
      <x:c r="I1216" s="20" t="str">
        <x:v>综合层</x:v>
      </x:c>
      <x:c r="J1216" s="20" t="str">
        <x:v>根本病优先</x:v>
      </x:c>
      <x:c r="K1216" s="20" t="str">
        <x:v>根本之病在“根因—表象链”：同一表象背后的承载、流通、制化、格局或调候机制失效；表层表现为“某五行过旺、官杀压力、财耗、寒湿等表面现象”。主药候选为“直接修复根因的五行/十神”，药理为“复合药理”；最终喜忌与主次仍转M17/M18裁决。</x:v>
      </x:c>
      <x:c r="L1216" s="20" t="str">
        <x:v>较高</x:v>
      </x:c>
      <x:c r="M1216" s="20" t="str">
        <x:v>采用</x:v>
      </x:c>
      <x:c r="N1216" s="20" t="str">
        <x:v>初审</x:v>
      </x:c>
      <x:c r="O1216" s="22" t="n">
        <x:v>46260</x:v>
      </x:c>
      <x:c r="P1216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17">
      <x:c r="A1217" s="20" t="str">
        <x:v>M16-GEN-0002-V1.0</x:v>
      </x:c>
      <x:c r="B1217" s="20" t="str">
        <x:v>规则</x:v>
      </x:c>
      <x:c r="C1217" s="20" t="str">
        <x:v>M16</x:v>
      </x:c>
      <x:c r="D1217" s="20" t="str">
        <x:v>16_病药模型</x:v>
      </x:c>
      <x:c r="E1217" s="20" t="str">
        <x:v>GEN</x:v>
      </x:c>
      <x:c r="F1217" s="20" t="n">
        <x:v>2</x:v>
      </x:c>
      <x:c r="G1217" s="20" t="str">
        <x:v>V1.0</x:v>
      </x:c>
      <x:c r="H1217" s="20" t="str">
        <x:v>病必须以实际功能障碍为成立门槛</x:v>
      </x:c>
      <x:c r="I1217" s="20" t="str">
        <x:v>综合层</x:v>
      </x:c>
      <x:c r="J1217" s="20" t="str">
        <x:v>功能障碍立病</x:v>
      </x:c>
      <x:c r="K1217" s="20" t="str">
        <x:v>根本之病在“受损功能节点”：结构失衡已经造成生、克、制、化、泄、承载或调候功能受阻；表层表现为“力量存在但功能失效、流通中断或格局破损”。主药候选为“恢复受损功能的直接药神”，药理为“救应”；最终喜忌与主次仍转M17/M18裁决。</x:v>
      </x:c>
      <x:c r="L1217" s="20" t="str">
        <x:v>较高</x:v>
      </x:c>
      <x:c r="M1217" s="20" t="str">
        <x:v>采用</x:v>
      </x:c>
      <x:c r="N1217" s="20" t="str">
        <x:v>初审</x:v>
      </x:c>
      <x:c r="O1217" s="22" t="n">
        <x:v>46260</x:v>
      </x:c>
      <x:c r="P1217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18">
      <x:c r="A1218" s="20" t="str">
        <x:v>M16-GEN-0003-V1.0</x:v>
      </x:c>
      <x:c r="B1218" s="20" t="str">
        <x:v>规则</x:v>
      </x:c>
      <x:c r="C1218" s="20" t="str">
        <x:v>M16</x:v>
      </x:c>
      <x:c r="D1218" s="20" t="str">
        <x:v>16_病药模型</x:v>
      </x:c>
      <x:c r="E1218" s="20" t="str">
        <x:v>GEN</x:v>
      </x:c>
      <x:c r="F1218" s="20" t="n">
        <x:v>3</x:v>
      </x:c>
      <x:c r="G1218" s="20" t="str">
        <x:v>V1.0</x:v>
      </x:c>
      <x:c r="H1218" s="20" t="str">
        <x:v>五行旺弱本身不自动构成病</x:v>
      </x:c>
      <x:c r="I1218" s="20" t="str">
        <x:v>综合层</x:v>
      </x:c>
      <x:c r="J1218" s="20" t="str">
        <x:v>旺弱非自动为病</x:v>
      </x:c>
      <x:c r="K1218" s="20" t="str">
        <x:v>该五行存在旺弱事实，但尚未形成结构性病位；M16不立病、不指定药神。</x:v>
      </x:c>
      <x:c r="L1218" s="20" t="str">
        <x:v>较高</x:v>
      </x:c>
      <x:c r="M1218" s="20" t="str">
        <x:v>采用</x:v>
      </x:c>
      <x:c r="N1218" s="20" t="str">
        <x:v>初审</x:v>
      </x:c>
      <x:c r="O1218" s="22" t="n">
        <x:v>46260</x:v>
      </x:c>
      <x:c r="P1218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19">
      <x:c r="A1219" s="20" t="str">
        <x:v>M16-GEN-0004-V1.0</x:v>
      </x:c>
      <x:c r="B1219" s="20" t="str">
        <x:v>规则</x:v>
      </x:c>
      <x:c r="C1219" s="20" t="str">
        <x:v>M16</x:v>
      </x:c>
      <x:c r="D1219" s="20" t="str">
        <x:v>16_病药模型</x:v>
      </x:c>
      <x:c r="E1219" s="20" t="str">
        <x:v>GEN</x:v>
      </x:c>
      <x:c r="F1219" s="20" t="n">
        <x:v>4</x:v>
      </x:c>
      <x:c r="G1219" s="20" t="str">
        <x:v>V1.0</x:v>
      </x:c>
      <x:c r="H1219" s="20" t="str">
        <x:v>五行缺失本身不自动构成病</x:v>
      </x:c>
      <x:c r="I1219" s="20" t="str">
        <x:v>综合层</x:v>
      </x:c>
      <x:c r="J1219" s="20" t="str">
        <x:v>缺失非自动为病</x:v>
      </x:c>
      <x:c r="K1219" s="20" t="str">
        <x:v>该五行虽不现，但未构成关键卡点；不因缺失直接指定药神。</x:v>
      </x:c>
      <x:c r="L1219" s="20" t="str">
        <x:v>较高</x:v>
      </x:c>
      <x:c r="M1219" s="20" t="str">
        <x:v>采用</x:v>
      </x:c>
      <x:c r="N1219" s="20" t="str">
        <x:v>初审</x:v>
      </x:c>
      <x:c r="O1219" s="22" t="n">
        <x:v>46260</x:v>
      </x:c>
      <x:c r="P1219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20">
      <x:c r="A1220" s="20" t="str">
        <x:v>M16-GEN-0005-V1.0</x:v>
      </x:c>
      <x:c r="B1220" s="20" t="str">
        <x:v>规则</x:v>
      </x:c>
      <x:c r="C1220" s="20" t="str">
        <x:v>M16</x:v>
      </x:c>
      <x:c r="D1220" s="20" t="str">
        <x:v>16_病药模型</x:v>
      </x:c>
      <x:c r="E1220" s="20" t="str">
        <x:v>GEN</x:v>
      </x:c>
      <x:c r="F1220" s="20" t="n">
        <x:v>5</x:v>
      </x:c>
      <x:c r="G1220" s="20" t="str">
        <x:v>V1.0</x:v>
      </x:c>
      <x:c r="H1220" s="20" t="str">
        <x:v>同一表象可以对应不同根因和不同药神</x:v>
      </x:c>
      <x:c r="I1220" s="20" t="str">
        <x:v>综合层</x:v>
      </x:c>
      <x:c r="J1220" s="20" t="str">
        <x:v>同象异因</x:v>
      </x:c>
      <x:c r="K1220" s="20" t="str">
        <x:v>根本之病在“诊断分叉点”：表象相同但底层可能分别来自旺衰、流通、制化、格局或调候；表层表现为“例如官杀压力、财星受损或食神功能下降”。主药候选为“按根因分别选择印、食、比、财或通关五行”，药理为“复合药理”；最终喜忌与主次仍转M17/M18裁决。</x:v>
      </x:c>
      <x:c r="L1220" s="20" t="str">
        <x:v>较高</x:v>
      </x:c>
      <x:c r="M1220" s="20" t="str">
        <x:v>采用</x:v>
      </x:c>
      <x:c r="N1220" s="20" t="str">
        <x:v>初审</x:v>
      </x:c>
      <x:c r="O1220" s="22" t="n">
        <x:v>46260</x:v>
      </x:c>
      <x:c r="P1220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21">
      <x:c r="A1221" s="20" t="str">
        <x:v>M16-GEN-0006-V1.0</x:v>
      </x:c>
      <x:c r="B1221" s="20" t="str">
        <x:v>规则</x:v>
      </x:c>
      <x:c r="C1221" s="20" t="str">
        <x:v>M16</x:v>
      </x:c>
      <x:c r="D1221" s="20" t="str">
        <x:v>16_病药模型</x:v>
      </x:c>
      <x:c r="E1221" s="20" t="str">
        <x:v>GEN</x:v>
      </x:c>
      <x:c r="F1221" s="20" t="n">
        <x:v>6</x:v>
      </x:c>
      <x:c r="G1221" s="20" t="str">
        <x:v>V1.0</x:v>
      </x:c>
      <x:c r="H1221" s="20" t="str">
        <x:v>病药关系是相对的而非固定五行标签</x:v>
      </x:c>
      <x:c r="I1221" s="20" t="str">
        <x:v>综合层</x:v>
      </x:c>
      <x:c r="J1221" s="20" t="str">
        <x:v>病药相对性</x:v>
      </x:c>
      <x:c r="K1221" s="20" t="str">
        <x:v>根本之病在“全局主要矛盾”：同一五行在不同命局中可能治病，也可能加重另一病位；表层表现为“某五行同时具备收益与副作用”。主药候选为“条件性药神”，药理为“复合药理”；最终喜忌与主次仍转M17/M18裁决。</x:v>
      </x:c>
      <x:c r="L1221" s="20" t="str">
        <x:v>较高</x:v>
      </x:c>
      <x:c r="M1221" s="20" t="str">
        <x:v>采用</x:v>
      </x:c>
      <x:c r="N1221" s="20" t="str">
        <x:v>初审</x:v>
      </x:c>
      <x:c r="O1221" s="22" t="n">
        <x:v>46260</x:v>
      </x:c>
      <x:c r="P1221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22">
      <x:c r="A1222" s="20" t="str">
        <x:v>M16-GEN-0007-V1.0</x:v>
      </x:c>
      <x:c r="B1222" s="20" t="str">
        <x:v>规则</x:v>
      </x:c>
      <x:c r="C1222" s="20" t="str">
        <x:v>M16</x:v>
      </x:c>
      <x:c r="D1222" s="20" t="str">
        <x:v>16_病药模型</x:v>
      </x:c>
      <x:c r="E1222" s="20" t="str">
        <x:v>GEN</x:v>
      </x:c>
      <x:c r="F1222" s="20" t="n">
        <x:v>7</x:v>
      </x:c>
      <x:c r="G1222" s="20" t="str">
        <x:v>V1.0</x:v>
      </x:c>
      <x:c r="H1222" s="20" t="str">
        <x:v>主药必须直接作用根本病位</x:v>
      </x:c>
      <x:c r="I1222" s="20" t="str">
        <x:v>综合层</x:v>
      </x:c>
      <x:c r="J1222" s="20" t="str">
        <x:v>主药直接性</x:v>
      </x:c>
      <x:c r="K1222" s="20" t="str">
        <x:v>根本之病在“根本病位”：原局最主要的功能失效机制；表层表现为“多个表层问题同时出现”。主药候选为“能直接修复根因者”，药理为“救应”；最终喜忌与主次仍转M17/M18裁决。</x:v>
      </x:c>
      <x:c r="L1222" s="20" t="str">
        <x:v>较高</x:v>
      </x:c>
      <x:c r="M1222" s="20" t="str">
        <x:v>采用</x:v>
      </x:c>
      <x:c r="N1222" s="20" t="str">
        <x:v>初审</x:v>
      </x:c>
      <x:c r="O1222" s="22" t="n">
        <x:v>46260</x:v>
      </x:c>
      <x:c r="P1222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23">
      <x:c r="A1223" s="20" t="str">
        <x:v>M16-GEN-0008-V1.0</x:v>
      </x:c>
      <x:c r="B1223" s="20" t="str">
        <x:v>规则</x:v>
      </x:c>
      <x:c r="C1223" s="20" t="str">
        <x:v>M16</x:v>
      </x:c>
      <x:c r="D1223" s="20" t="str">
        <x:v>16_病药模型</x:v>
      </x:c>
      <x:c r="E1223" s="20" t="str">
        <x:v>GEN</x:v>
      </x:c>
      <x:c r="F1223" s="20" t="n">
        <x:v>8</x:v>
      </x:c>
      <x:c r="G1223" s="20" t="str">
        <x:v>V1.0</x:v>
      </x:c>
      <x:c r="H1223" s="20" t="str">
        <x:v>病药结论必须保留反向证据与副作用</x:v>
      </x:c>
      <x:c r="I1223" s="20" t="str">
        <x:v>综合层</x:v>
      </x:c>
      <x:c r="J1223" s="20" t="str">
        <x:v>病药标准证据链</x:v>
      </x:c>
      <x:c r="K1223" s="20" t="str">
        <x:v>每个病药结论必须同时输出根因、表象、病位、严重度、主药、辅助药、作用路径、禁忌、药力不足、药力过度、格局伤害、新病风险与置信度。</x:v>
      </x:c>
      <x:c r="L1223" s="20" t="str">
        <x:v>较高</x:v>
      </x:c>
      <x:c r="M1223" s="20" t="str">
        <x:v>采用</x:v>
      </x:c>
      <x:c r="N1223" s="20" t="str">
        <x:v>初审</x:v>
      </x:c>
      <x:c r="O1223" s="22" t="n">
        <x:v>46260</x:v>
      </x:c>
      <x:c r="P1223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24">
      <x:c r="A1224" s="20" t="str">
        <x:v>M16-WEAK-0009-V1.0</x:v>
      </x:c>
      <x:c r="B1224" s="20" t="str">
        <x:v>规则</x:v>
      </x:c>
      <x:c r="C1224" s="20" t="str">
        <x:v>M16</x:v>
      </x:c>
      <x:c r="D1224" s="20" t="str">
        <x:v>16_病药模型</x:v>
      </x:c>
      <x:c r="E1224" s="20" t="str">
        <x:v>WEAK</x:v>
      </x:c>
      <x:c r="F1224" s="20" t="n">
        <x:v>9</x:v>
      </x:c>
      <x:c r="G1224" s="20" t="str">
        <x:v>V1.0</x:v>
      </x:c>
      <x:c r="H1224" s="20" t="str">
        <x:v>日主无有效根导致基础承载不足</x:v>
      </x:c>
      <x:c r="I1224" s="20" t="str">
        <x:v>综合层</x:v>
      </x:c>
      <x:c r="J1224" s="20" t="str">
        <x:v>身弱无根</x:v>
      </x:c>
      <x:c r="K1224" s="20" t="str">
        <x:v>根本之病在“日主根气与承载”：日主失令或弱，且无有效根、比劫与印星持续生扶；表层表现为“财官食伤任一负荷都容易超过承载”。主药候选为“印星或比劫，按原局副作用择一”，药理为“扶”；最终喜忌与主次仍转M17/M18裁决。</x:v>
      </x:c>
      <x:c r="L1224" s="20" t="str">
        <x:v>较高</x:v>
      </x:c>
      <x:c r="M1224" s="20" t="str">
        <x:v>采用</x:v>
      </x:c>
      <x:c r="N1224" s="20" t="str">
        <x:v>初审</x:v>
      </x:c>
      <x:c r="O1224" s="22" t="n">
        <x:v>46260</x:v>
      </x:c>
      <x:c r="P1224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25">
      <x:c r="A1225" s="20" t="str">
        <x:v>M16-WEAK-0010-V1.0</x:v>
      </x:c>
      <x:c r="B1225" s="20" t="str">
        <x:v>规则</x:v>
      </x:c>
      <x:c r="C1225" s="20" t="str">
        <x:v>M16</x:v>
      </x:c>
      <x:c r="D1225" s="20" t="str">
        <x:v>16_病药模型</x:v>
      </x:c>
      <x:c r="E1225" s="20" t="str">
        <x:v>WEAK</x:v>
      </x:c>
      <x:c r="F1225" s="20" t="n">
        <x:v>10</x:v>
      </x:c>
      <x:c r="G1225" s="20" t="str">
        <x:v>V1.0</x:v>
      </x:c>
      <x:c r="H1225" s="20" t="str">
        <x:v>日主根气被实质破坏形成承载病</x:v>
      </x:c>
      <x:c r="I1225" s="20" t="str">
        <x:v>综合层</x:v>
      </x:c>
      <x:c r="J1225" s="20" t="str">
        <x:v>有效根受损</x:v>
      </x:c>
      <x:c r="K1225" s="20" t="str">
        <x:v>根本之病在“日主有效根”：原有根气被M06/M08确认冲散、合化、强制或失去可调用性；表层表现为“日主由原有承载转为不稳定或偏弱”。主药候选为“恢复根源的印比或制去破根之神”，药理为“扶”；最终喜忌与主次仍转M17/M18裁决。</x:v>
      </x:c>
      <x:c r="L1225" s="20" t="str">
        <x:v>较高</x:v>
      </x:c>
      <x:c r="M1225" s="20" t="str">
        <x:v>采用</x:v>
      </x:c>
      <x:c r="N1225" s="20" t="str">
        <x:v>初审</x:v>
      </x:c>
      <x:c r="O1225" s="22" t="n">
        <x:v>46260</x:v>
      </x:c>
      <x:c r="P1225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26">
      <x:c r="A1226" s="20" t="str">
        <x:v>M16-WEAK-0011-V1.0</x:v>
      </x:c>
      <x:c r="B1226" s="20" t="str">
        <x:v>规则</x:v>
      </x:c>
      <x:c r="C1226" s="20" t="str">
        <x:v>M16</x:v>
      </x:c>
      <x:c r="D1226" s="20" t="str">
        <x:v>16_病药模型</x:v>
      </x:c>
      <x:c r="E1226" s="20" t="str">
        <x:v>WEAK</x:v>
      </x:c>
      <x:c r="F1226" s="20" t="n">
        <x:v>11</x:v>
      </x:c>
      <x:c r="G1226" s="20" t="str">
        <x:v>V1.0</x:v>
      </x:c>
      <x:c r="H1226" s="20" t="str">
        <x:v>食伤过旺导致日主持续过泄</x:v>
      </x:c>
      <x:c r="I1226" s="20" t="str">
        <x:v>综合层</x:v>
      </x:c>
      <x:c r="J1226" s="20" t="str">
        <x:v>食伤过泄</x:v>
      </x:c>
      <x:c r="K1226" s="20" t="str">
        <x:v>根本之病在“日主→食伤泄出链”：食伤旺强且持续泄身，日主根气和印比不足；表层表现为“日主承载下降，食伤虽旺但源头难续”。主药候选为“印星制食伤或比劫补身，依组合选择”，药理为“扶”；最终喜忌与主次仍转M17/M18裁决。</x:v>
      </x:c>
      <x:c r="L1226" s="20" t="str">
        <x:v>较高</x:v>
      </x:c>
      <x:c r="M1226" s="20" t="str">
        <x:v>采用</x:v>
      </x:c>
      <x:c r="N1226" s="20" t="str">
        <x:v>初审</x:v>
      </x:c>
      <x:c r="O1226" s="22" t="n">
        <x:v>46260</x:v>
      </x:c>
      <x:c r="P1226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27">
      <x:c r="A1227" s="20" t="str">
        <x:v>M16-WEAK-0012-V1.0</x:v>
      </x:c>
      <x:c r="B1227" s="20" t="str">
        <x:v>规则</x:v>
      </x:c>
      <x:c r="C1227" s="20" t="str">
        <x:v>M16</x:v>
      </x:c>
      <x:c r="D1227" s="20" t="str">
        <x:v>16_病药模型</x:v>
      </x:c>
      <x:c r="E1227" s="20" t="str">
        <x:v>WEAK</x:v>
      </x:c>
      <x:c r="F1227" s="20" t="n">
        <x:v>12</x:v>
      </x:c>
      <x:c r="G1227" s="20" t="str">
        <x:v>V1.0</x:v>
      </x:c>
      <x:c r="H1227" s="20" t="str">
        <x:v>财星过旺导致日主持续受耗</x:v>
      </x:c>
      <x:c r="I1227" s="20" t="str">
        <x:v>综合层</x:v>
      </x:c>
      <x:c r="J1227" s="20" t="str">
        <x:v>财多身弱</x:v>
      </x:c>
      <x:c r="K1227" s="20" t="str">
        <x:v>根本之病在“日主→财星耗力链”：财星旺强，日主弱且无足够印比承载；表层表现为“财星有权但日主不能任财”。主药候选为“比劫分担制财或印星生身”，药理为“扶”；最终喜忌与主次仍转M17/M18裁决。</x:v>
      </x:c>
      <x:c r="L1227" s="20" t="str">
        <x:v>较高</x:v>
      </x:c>
      <x:c r="M1227" s="20" t="str">
        <x:v>采用</x:v>
      </x:c>
      <x:c r="N1227" s="20" t="str">
        <x:v>初审</x:v>
      </x:c>
      <x:c r="O1227" s="22" t="n">
        <x:v>46260</x:v>
      </x:c>
      <x:c r="P1227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28">
      <x:c r="A1228" s="20" t="str">
        <x:v>M16-WEAK-0013-V1.0</x:v>
      </x:c>
      <x:c r="B1228" s="20" t="str">
        <x:v>规则</x:v>
      </x:c>
      <x:c r="C1228" s="20" t="str">
        <x:v>M16</x:v>
      </x:c>
      <x:c r="D1228" s="20" t="str">
        <x:v>16_病药模型</x:v>
      </x:c>
      <x:c r="E1228" s="20" t="str">
        <x:v>WEAK</x:v>
      </x:c>
      <x:c r="F1228" s="20" t="n">
        <x:v>13</x:v>
      </x:c>
      <x:c r="G1228" s="20" t="str">
        <x:v>V1.0</x:v>
      </x:c>
      <x:c r="H1228" s="20" t="str">
        <x:v>官杀压力超过日主承载形成身弱制身病</x:v>
      </x:c>
      <x:c r="I1228" s="20" t="str">
        <x:v>综合层</x:v>
      </x:c>
      <x:c r="J1228" s="20" t="str">
        <x:v>官杀超承载</x:v>
      </x:c>
      <x:c r="K1228" s="20" t="str">
        <x:v>根本之病在“官杀→日主制身链”：日主承载不足，官杀有效压力直接落身，现有制化不能分流；表层表现为“官杀旺或不一定极旺但制身净效应过强”。主药候选为“印星化官杀或比劫扶身；若食神有条件则转制化药”，药理为“复合药理”；最终喜忌与主次仍转M17/M18裁决。</x:v>
      </x:c>
      <x:c r="L1228" s="20" t="str">
        <x:v>较高</x:v>
      </x:c>
      <x:c r="M1228" s="20" t="str">
        <x:v>采用</x:v>
      </x:c>
      <x:c r="N1228" s="20" t="str">
        <x:v>初审</x:v>
      </x:c>
      <x:c r="O1228" s="22" t="n">
        <x:v>46260</x:v>
      </x:c>
      <x:c r="P1228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29">
      <x:c r="A1229" s="20" t="str">
        <x:v>M16-WEAK-0014-V1.0</x:v>
      </x:c>
      <x:c r="B1229" s="20" t="str">
        <x:v>规则</x:v>
      </x:c>
      <x:c r="C1229" s="20" t="str">
        <x:v>M16</x:v>
      </x:c>
      <x:c r="D1229" s="20" t="str">
        <x:v>16_病药模型</x:v>
      </x:c>
      <x:c r="E1229" s="20" t="str">
        <x:v>WEAK</x:v>
      </x:c>
      <x:c r="F1229" s="20" t="n">
        <x:v>14</x:v>
      </x:c>
      <x:c r="G1229" s="20" t="str">
        <x:v>V1.0</x:v>
      </x:c>
      <x:c r="H1229" s="20" t="str">
        <x:v>关键五行过弱且承担桥梁功能时形成弱病</x:v>
      </x:c>
      <x:c r="I1229" s="20" t="str">
        <x:v>综合层</x:v>
      </x:c>
      <x:c r="J1229" s="20" t="str">
        <x:v>关键桥梁弱病</x:v>
      </x:c>
      <x:c r="K1229" s="20" t="str">
        <x:v>根本之病在“关键桥梁五行”：该五行本身弱，并因此无法完成M12必要通关或生化任务；表层表现为“五行存在但桥梁失效”。主药候选为“生扶该桥梁的上游五行或直接增强桥梁”，药理为“生”；最终喜忌与主次仍转M17/M18裁决。</x:v>
      </x:c>
      <x:c r="L1229" s="20" t="str">
        <x:v>较高</x:v>
      </x:c>
      <x:c r="M1229" s="20" t="str">
        <x:v>采用</x:v>
      </x:c>
      <x:c r="N1229" s="20" t="str">
        <x:v>初审</x:v>
      </x:c>
      <x:c r="O1229" s="22" t="n">
        <x:v>46260</x:v>
      </x:c>
      <x:c r="P1229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30">
      <x:c r="A1230" s="20" t="str">
        <x:v>M16-WEAK-0015-V1.0</x:v>
      </x:c>
      <x:c r="B1230" s="20" t="str">
        <x:v>规则</x:v>
      </x:c>
      <x:c r="C1230" s="20" t="str">
        <x:v>M16</x:v>
      </x:c>
      <x:c r="D1230" s="20" t="str">
        <x:v>16_病药模型</x:v>
      </x:c>
      <x:c r="E1230" s="20" t="str">
        <x:v>WEAK</x:v>
      </x:c>
      <x:c r="F1230" s="20" t="n">
        <x:v>15</x:v>
      </x:c>
      <x:c r="G1230" s="20" t="str">
        <x:v>V1.0</x:v>
      </x:c>
      <x:c r="H1230" s="20" t="str">
        <x:v>关键十神无根无源导致组合功能失效</x:v>
      </x:c>
      <x:c r="I1230" s="20" t="str">
        <x:v>综合层</x:v>
      </x:c>
      <x:c r="J1230" s="20" t="str">
        <x:v>关键十神弱病</x:v>
      </x:c>
      <x:c r="K1230" s="20" t="str">
        <x:v>根本之病在“十神功能节点”：承担制化、护格或生化任务的十神仅名义存在，缺根缺源；表层表现为“组合表面齐全但实际不能运行”。主药候选为“生扶该十神的五行或保护其根源”，药理为“生”；最终喜忌与主次仍转M17/M18裁决。</x:v>
      </x:c>
      <x:c r="L1230" s="20" t="str">
        <x:v>较高</x:v>
      </x:c>
      <x:c r="M1230" s="20" t="str">
        <x:v>采用</x:v>
      </x:c>
      <x:c r="N1230" s="20" t="str">
        <x:v>初审</x:v>
      </x:c>
      <x:c r="O1230" s="22" t="n">
        <x:v>46260</x:v>
      </x:c>
      <x:c r="P1230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31">
      <x:c r="A1231" s="20" t="str">
        <x:v>M16-WEAK-0016-V1.0</x:v>
      </x:c>
      <x:c r="B1231" s="20" t="str">
        <x:v>规则</x:v>
      </x:c>
      <x:c r="C1231" s="20" t="str">
        <x:v>M16</x:v>
      </x:c>
      <x:c r="D1231" s="20" t="str">
        <x:v>16_病药模型</x:v>
      </x:c>
      <x:c r="E1231" s="20" t="str">
        <x:v>WEAK</x:v>
      </x:c>
      <x:c r="F1231" s="20" t="n">
        <x:v>16</x:v>
      </x:c>
      <x:c r="G1231" s="20" t="str">
        <x:v>V1.0</x:v>
      </x:c>
      <x:c r="H1231" s="20" t="str">
        <x:v>真从格中的日主极弱不按普通身弱立病</x:v>
      </x:c>
      <x:c r="I1231" s="20" t="str">
        <x:v>综合层</x:v>
      </x:c>
      <x:c r="J1231" s="20" t="str">
        <x:v>从格弱非病</x:v>
      </x:c>
      <x:c r="K1231" s="20" t="str">
        <x:v>日主极弱在真从结构中属于成格条件，不按普通身弱立病；药神方向须顺势护格。</x:v>
      </x:c>
      <x:c r="L1231" s="20" t="str">
        <x:v>较高</x:v>
      </x:c>
      <x:c r="M1231" s="20" t="str">
        <x:v>采用</x:v>
      </x:c>
      <x:c r="N1231" s="20" t="str">
        <x:v>初审</x:v>
      </x:c>
      <x:c r="O1231" s="22" t="n">
        <x:v>46260</x:v>
      </x:c>
      <x:c r="P1231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32">
      <x:c r="A1232" s="20" t="str">
        <x:v>M16-STRONG-0017-V1.0</x:v>
      </x:c>
      <x:c r="B1232" s="20" t="str">
        <x:v>规则</x:v>
      </x:c>
      <x:c r="C1232" s="20" t="str">
        <x:v>M16</x:v>
      </x:c>
      <x:c r="D1232" s="20" t="str">
        <x:v>16_病药模型</x:v>
      </x:c>
      <x:c r="E1232" s="20" t="str">
        <x:v>STRONG</x:v>
      </x:c>
      <x:c r="F1232" s="20" t="n">
        <x:v>17</x:v>
      </x:c>
      <x:c r="G1232" s="20" t="str">
        <x:v>V1.0</x:v>
      </x:c>
      <x:c r="H1232" s="20" t="str">
        <x:v>比劫成势导致日主过旺且无合理出口</x:v>
      </x:c>
      <x:c r="I1232" s="20" t="str">
        <x:v>综合层</x:v>
      </x:c>
      <x:c r="J1232" s="20" t="str">
        <x:v>比劫旺无出口</x:v>
      </x:c>
      <x:c r="K1232" s="20" t="str">
        <x:v>根本之病在“日主—比劫集团”：日主与比劫旺强，财官食伤均弱或受阻；表层表现为“身势强但制、泄、耗路径不足”。主药候选为“食伤泄秀或官杀制衡，按格局选择”，药理为“泄”；最终喜忌与主次仍转M17/M18裁决。</x:v>
      </x:c>
      <x:c r="L1232" s="20" t="str">
        <x:v>较高</x:v>
      </x:c>
      <x:c r="M1232" s="20" t="str">
        <x:v>采用</x:v>
      </x:c>
      <x:c r="N1232" s="20" t="str">
        <x:v>初审</x:v>
      </x:c>
      <x:c r="O1232" s="22" t="n">
        <x:v>46260</x:v>
      </x:c>
      <x:c r="P1232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33">
      <x:c r="A1233" s="20" t="str">
        <x:v>M16-STRONG-0018-V1.0</x:v>
      </x:c>
      <x:c r="B1233" s="20" t="str">
        <x:v>规则</x:v>
      </x:c>
      <x:c r="C1233" s="20" t="str">
        <x:v>M16</x:v>
      </x:c>
      <x:c r="D1233" s="20" t="str">
        <x:v>16_病药模型</x:v>
      </x:c>
      <x:c r="E1233" s="20" t="str">
        <x:v>STRONG</x:v>
      </x:c>
      <x:c r="F1233" s="20" t="n">
        <x:v>18</x:v>
      </x:c>
      <x:c r="G1233" s="20" t="str">
        <x:v>V1.0</x:v>
      </x:c>
      <x:c r="H1233" s="20" t="str">
        <x:v>印星过旺持续生身形成印多身滞</x:v>
      </x:c>
      <x:c r="I1233" s="20" t="str">
        <x:v>综合层</x:v>
      </x:c>
      <x:c r="J1233" s="20" t="str">
        <x:v>印多身滞</x:v>
      </x:c>
      <x:c r="K1233" s="20" t="str">
        <x:v>根本之病在“印→日主生扶链”：印星旺强，日主已旺，食伤输出又被印制；表层表现为“身势壅滞、输出链受阻”。主药候选为“食伤泄秀或财星适度制印”，药理为“泄”；最终喜忌与主次仍转M17/M18裁决。</x:v>
      </x:c>
      <x:c r="L1233" s="20" t="str">
        <x:v>较高</x:v>
      </x:c>
      <x:c r="M1233" s="20" t="str">
        <x:v>采用</x:v>
      </x:c>
      <x:c r="N1233" s="20" t="str">
        <x:v>初审</x:v>
      </x:c>
      <x:c r="O1233" s="22" t="n">
        <x:v>46260</x:v>
      </x:c>
      <x:c r="P1233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34">
      <x:c r="A1234" s="20" t="str">
        <x:v>M16-STRONG-0019-V1.0</x:v>
      </x:c>
      <x:c r="B1234" s="20" t="str">
        <x:v>规则</x:v>
      </x:c>
      <x:c r="C1234" s="20" t="str">
        <x:v>M16</x:v>
      </x:c>
      <x:c r="D1234" s="20" t="str">
        <x:v>16_病药模型</x:v>
      </x:c>
      <x:c r="E1234" s="20" t="str">
        <x:v>STRONG</x:v>
      </x:c>
      <x:c r="F1234" s="20" t="n">
        <x:v>19</x:v>
      </x:c>
      <x:c r="G1234" s="20" t="str">
        <x:v>V1.0</x:v>
      </x:c>
      <x:c r="H1234" s="20" t="str">
        <x:v>单一五行极旺且无泄形成源头过旺病</x:v>
      </x:c>
      <x:c r="I1234" s="20" t="str">
        <x:v>综合层</x:v>
      </x:c>
      <x:c r="J1234" s="20" t="str">
        <x:v>极旺源头无泄</x:v>
      </x:c>
      <x:c r="K1234" s="20" t="str">
        <x:v>根本之病在“极旺五行源头”：某五行旺极并聚集，M12未找到有效输出或转化路径；表层表现为“力量强但功能壅塞”。主药候选为“该五行所生之五行作为泄神”，药理为“泄”；最终喜忌与主次仍转M17/M18裁决。</x:v>
      </x:c>
      <x:c r="L1234" s="20" t="str">
        <x:v>较高</x:v>
      </x:c>
      <x:c r="M1234" s="20" t="str">
        <x:v>采用</x:v>
      </x:c>
      <x:c r="N1234" s="20" t="str">
        <x:v>初审</x:v>
      </x:c>
      <x:c r="O1234" s="22" t="n">
        <x:v>46260</x:v>
      </x:c>
      <x:c r="P1234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35">
      <x:c r="A1235" s="20" t="str">
        <x:v>M16-STRONG-0020-V1.0</x:v>
      </x:c>
      <x:c r="B1235" s="20" t="str">
        <x:v>规则</x:v>
      </x:c>
      <x:c r="C1235" s="20" t="str">
        <x:v>M16</x:v>
      </x:c>
      <x:c r="D1235" s="20" t="str">
        <x:v>16_病药模型</x:v>
      </x:c>
      <x:c r="E1235" s="20" t="str">
        <x:v>STRONG</x:v>
      </x:c>
      <x:c r="F1235" s="20" t="n">
        <x:v>20</x:v>
      </x:c>
      <x:c r="G1235" s="20" t="str">
        <x:v>V1.0</x:v>
      </x:c>
      <x:c r="H1235" s="20" t="str">
        <x:v>财官食伤任一负荷端过旺可形成局部过强病</x:v>
      </x:c>
      <x:c r="I1235" s="20" t="str">
        <x:v>综合层</x:v>
      </x:c>
      <x:c r="J1235" s="20" t="str">
        <x:v>十神功能过旺</x:v>
      </x:c>
      <x:c r="K1235" s="20" t="str">
        <x:v>根本之病在“过旺十神集团”：某十神有效力量远超日主或其制化对象承载；表层表现为“耗、制或泄功能超量”。主药候选为“制约该十神或增强承载的一方”，药理为“抑”；最终喜忌与主次仍转M17/M18裁决。</x:v>
      </x:c>
      <x:c r="L1235" s="20" t="str">
        <x:v>较高</x:v>
      </x:c>
      <x:c r="M1235" s="20" t="str">
        <x:v>采用</x:v>
      </x:c>
      <x:c r="N1235" s="20" t="str">
        <x:v>初审</x:v>
      </x:c>
      <x:c r="O1235" s="22" t="n">
        <x:v>46260</x:v>
      </x:c>
      <x:c r="P1235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36">
      <x:c r="A1236" s="20" t="str">
        <x:v>M16-STRONG-0021-V1.0</x:v>
      </x:c>
      <x:c r="B1236" s="20" t="str">
        <x:v>规则</x:v>
      </x:c>
      <x:c r="C1236" s="20" t="str">
        <x:v>M16</x:v>
      </x:c>
      <x:c r="D1236" s="20" t="str">
        <x:v>16_病药模型</x:v>
      </x:c>
      <x:c r="E1236" s="20" t="str">
        <x:v>STRONG</x:v>
      </x:c>
      <x:c r="F1236" s="20" t="n">
        <x:v>21</x:v>
      </x:c>
      <x:c r="G1236" s="20" t="str">
        <x:v>V1.0</x:v>
      </x:c>
      <x:c r="H1236" s="20" t="str">
        <x:v>旺而流通良好且承担格局功能时不立旺病</x:v>
      </x:c>
      <x:c r="I1236" s="20" t="str">
        <x:v>综合层</x:v>
      </x:c>
      <x:c r="J1236" s="20" t="str">
        <x:v>旺而有用非病</x:v>
      </x:c>
      <x:c r="K1236" s="20" t="str">
        <x:v>该五行虽旺，但流通和格局功能正常，不作为旺病处理。</x:v>
      </x:c>
      <x:c r="L1236" s="20" t="str">
        <x:v>较高</x:v>
      </x:c>
      <x:c r="M1236" s="20" t="str">
        <x:v>采用</x:v>
      </x:c>
      <x:c r="N1236" s="20" t="str">
        <x:v>初审</x:v>
      </x:c>
      <x:c r="O1236" s="22" t="n">
        <x:v>46260</x:v>
      </x:c>
      <x:c r="P1236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37">
      <x:c r="A1237" s="20" t="str">
        <x:v>M16-STRONG-0022-V1.0</x:v>
      </x:c>
      <x:c r="B1237" s="20" t="str">
        <x:v>规则</x:v>
      </x:c>
      <x:c r="C1237" s="20" t="str">
        <x:v>M16</x:v>
      </x:c>
      <x:c r="D1237" s="20" t="str">
        <x:v>16_病药模型</x:v>
      </x:c>
      <x:c r="E1237" s="20" t="str">
        <x:v>STRONG</x:v>
      </x:c>
      <x:c r="F1237" s="20" t="n">
        <x:v>22</x:v>
      </x:c>
      <x:c r="G1237" s="20" t="str">
        <x:v>V1.0</x:v>
      </x:c>
      <x:c r="H1237" s="20" t="str">
        <x:v>从旺从强或专旺中的极旺属于顺势条件</x:v>
      </x:c>
      <x:c r="I1237" s="20" t="str">
        <x:v>综合层</x:v>
      </x:c>
      <x:c r="J1237" s="20" t="str">
        <x:v>特殊旺势非病</x:v>
      </x:c>
      <x:c r="K1237" s="20" t="str">
        <x:v>根本之病在“特殊格局主势”：M15确认从旺、从强或专旺严格成立；表层表现为“日主或同类五行极旺”。主药候选为“顺势生助或合理泄秀者”，药理为“护格”；最终喜忌与主次仍转M17/M18裁决。</x:v>
      </x:c>
      <x:c r="L1237" s="20" t="str">
        <x:v>较高</x:v>
      </x:c>
      <x:c r="M1237" s="20" t="str">
        <x:v>采用</x:v>
      </x:c>
      <x:c r="N1237" s="20" t="str">
        <x:v>初审</x:v>
      </x:c>
      <x:c r="O1237" s="22" t="n">
        <x:v>46260</x:v>
      </x:c>
      <x:c r="P1237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38">
      <x:c r="A1238" s="20" t="str">
        <x:v>M16-STRONG-0023-V1.0</x:v>
      </x:c>
      <x:c r="B1238" s="20" t="str">
        <x:v>规则</x:v>
      </x:c>
      <x:c r="C1238" s="20" t="str">
        <x:v>M16</x:v>
      </x:c>
      <x:c r="D1238" s="20" t="str">
        <x:v>16_病药模型</x:v>
      </x:c>
      <x:c r="E1238" s="20" t="str">
        <x:v>STRONG</x:v>
      </x:c>
      <x:c r="F1238" s="20" t="n">
        <x:v>23</x:v>
      </x:c>
      <x:c r="G1238" s="20" t="str">
        <x:v>V1.0</x:v>
      </x:c>
      <x:c r="H1238" s="20" t="str">
        <x:v>过旺宜泄还是宜制须服从格局和流通</x:v>
      </x:c>
      <x:c r="I1238" s="20" t="str">
        <x:v>综合层</x:v>
      </x:c>
      <x:c r="J1238" s="20" t="str">
        <x:v>旺病药理择路</x:v>
      </x:c>
      <x:c r="K1238" s="20" t="str">
        <x:v>根本之病在“过旺主势的出口”：同一过旺问题可以通过泄、制或耗处理，但结构成本不同；表层表现为“强身、强印比或强五行无平衡”。主药候选为“泄神或制神二选一”，药理为“复合药理”；最终喜忌与主次仍转M17/M18裁决。</x:v>
      </x:c>
      <x:c r="L1238" s="20" t="str">
        <x:v>较高</x:v>
      </x:c>
      <x:c r="M1238" s="20" t="str">
        <x:v>采用</x:v>
      </x:c>
      <x:c r="N1238" s="20" t="str">
        <x:v>初审</x:v>
      </x:c>
      <x:c r="O1238" s="22" t="n">
        <x:v>46260</x:v>
      </x:c>
      <x:c r="P1238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39">
      <x:c r="A1239" s="20" t="str">
        <x:v>M16-STRONG-0024-V1.0</x:v>
      </x:c>
      <x:c r="B1239" s="20" t="str">
        <x:v>规则</x:v>
      </x:c>
      <x:c r="C1239" s="20" t="str">
        <x:v>M16</x:v>
      </x:c>
      <x:c r="D1239" s="20" t="str">
        <x:v>16_病药模型</x:v>
      </x:c>
      <x:c r="E1239" s="20" t="str">
        <x:v>STRONG</x:v>
      </x:c>
      <x:c r="F1239" s="20" t="n">
        <x:v>24</x:v>
      </x:c>
      <x:c r="G1239" s="20" t="str">
        <x:v>V1.0</x:v>
      </x:c>
      <x:c r="H1239" s="20" t="str">
        <x:v>抑制药过量会把旺病转成弱病</x:v>
      </x:c>
      <x:c r="I1239" s="20" t="str">
        <x:v>综合层</x:v>
      </x:c>
      <x:c r="J1239" s="20" t="str">
        <x:v>抑旺过度成新病</x:v>
      </x:c>
      <x:c r="K1239" s="20" t="str">
        <x:v>根本之病在“被抑制主势”：制、泄、耗药神强度超过原旺势可承受范围；表层表现为“原旺神由有余转为受损或失效”。主药候选为“降低原药强度并恢复承载”，药理为“救应”；最终喜忌与主次仍转M17/M18裁决。</x:v>
      </x:c>
      <x:c r="L1239" s="20" t="str">
        <x:v>较高</x:v>
      </x:c>
      <x:c r="M1239" s="20" t="str">
        <x:v>采用</x:v>
      </x:c>
      <x:c r="N1239" s="20" t="str">
        <x:v>初审</x:v>
      </x:c>
      <x:c r="O1239" s="22" t="n">
        <x:v>46260</x:v>
      </x:c>
      <x:c r="P1239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40">
      <x:c r="A1240" s="20" t="str">
        <x:v>M16-FLOW-0025-V1.0</x:v>
      </x:c>
      <x:c r="B1240" s="20" t="str">
        <x:v>规则</x:v>
      </x:c>
      <x:c r="C1240" s="20" t="str">
        <x:v>M16</x:v>
      </x:c>
      <x:c r="D1240" s="20" t="str">
        <x:v>16_病药模型</x:v>
      </x:c>
      <x:c r="E1240" s="20" t="str">
        <x:v>FLOW</x:v>
      </x:c>
      <x:c r="F1240" s="20" t="n">
        <x:v>25</x:v>
      </x:c>
      <x:c r="G1240" s="20" t="str">
        <x:v>V1.0</x:v>
      </x:c>
      <x:c r="H1240" s="20" t="str">
        <x:v>缺少不可替代桥梁形成缺桥病</x:v>
      </x:c>
      <x:c r="I1240" s="20" t="str">
        <x:v>综合层</x:v>
      </x:c>
      <x:c r="J1240" s="20" t="str">
        <x:v>缺桥病</x:v>
      </x:c>
      <x:c r="K1240" s="20" t="str">
        <x:v>根本之病在“起点—终点之间的缺失桥梁”：M12确认主路径必须经过某五行，而该五行不现或全部失效；表层表现为“两端力量无法生化或通关”。主药候选为“缺失的关键桥梁五行”，药理为“通”；最终喜忌与主次仍转M17/M18裁决。</x:v>
      </x:c>
      <x:c r="L1240" s="20" t="str">
        <x:v>较高</x:v>
      </x:c>
      <x:c r="M1240" s="20" t="str">
        <x:v>采用</x:v>
      </x:c>
      <x:c r="N1240" s="20" t="str">
        <x:v>初审</x:v>
      </x:c>
      <x:c r="O1240" s="22" t="n">
        <x:v>46260</x:v>
      </x:c>
      <x:c r="P1240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41">
      <x:c r="A1241" s="20" t="str">
        <x:v>M16-FLOW-0026-V1.0</x:v>
      </x:c>
      <x:c r="B1241" s="20" t="str">
        <x:v>规则</x:v>
      </x:c>
      <x:c r="C1241" s="20" t="str">
        <x:v>M16</x:v>
      </x:c>
      <x:c r="D1241" s="20" t="str">
        <x:v>16_病药模型</x:v>
      </x:c>
      <x:c r="E1241" s="20" t="str">
        <x:v>FLOW</x:v>
      </x:c>
      <x:c r="F1241" s="20" t="n">
        <x:v>26</x:v>
      </x:c>
      <x:c r="G1241" s="20" t="str">
        <x:v>V1.0</x:v>
      </x:c>
      <x:c r="H1241" s="20" t="str">
        <x:v>桥梁有而太弱形成传递不足</x:v>
      </x:c>
      <x:c r="I1241" s="20" t="str">
        <x:v>综合层</x:v>
      </x:c>
      <x:c r="J1241" s="20" t="str">
        <x:v>桥弱病</x:v>
      </x:c>
      <x:c r="K1241" s="20" t="str">
        <x:v>根本之病在“弱桥梁”：桥梁存在但有效力量不足以承接上游并作用下游；表层表现为“路径局部阻塞、力量传递中断”。主药候选为“直接增强桥梁或生扶桥梁之神”，药理为“生”；最终喜忌与主次仍转M17/M18裁决。</x:v>
      </x:c>
      <x:c r="L1241" s="20" t="str">
        <x:v>较高</x:v>
      </x:c>
      <x:c r="M1241" s="20" t="str">
        <x:v>采用</x:v>
      </x:c>
      <x:c r="N1241" s="20" t="str">
        <x:v>初审</x:v>
      </x:c>
      <x:c r="O1241" s="22" t="n">
        <x:v>46260</x:v>
      </x:c>
      <x:c r="P1241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42">
      <x:c r="A1242" s="20" t="str">
        <x:v>M16-FLOW-0027-V1.0</x:v>
      </x:c>
      <x:c r="B1242" s="20" t="str">
        <x:v>规则</x:v>
      </x:c>
      <x:c r="C1242" s="20" t="str">
        <x:v>M16</x:v>
      </x:c>
      <x:c r="D1242" s="20" t="str">
        <x:v>16_病药模型</x:v>
      </x:c>
      <x:c r="E1242" s="20" t="str">
        <x:v>FLOW</x:v>
      </x:c>
      <x:c r="F1242" s="20" t="n">
        <x:v>27</x:v>
      </x:c>
      <x:c r="G1242" s="20" t="str">
        <x:v>V1.0</x:v>
      </x:c>
      <x:c r="H1242" s="20" t="str">
        <x:v>桥梁被强克形成外部截断病</x:v>
      </x:c>
      <x:c r="I1242" s="20" t="str">
        <x:v>综合层</x:v>
      </x:c>
      <x:c r="J1242" s="20" t="str">
        <x:v>桥梁受克病</x:v>
      </x:c>
      <x:c r="K1242" s="20" t="str">
        <x:v>根本之病在“受克桥梁”：第三方强克桥梁，使其有效传递能力显著下降；表层表现为“原本存在的生化链变成明显阻断”。主药候选为“制去克桥梁之神或通关五行”，药理为“制”；最终喜忌与主次仍转M17/M18裁决。</x:v>
      </x:c>
      <x:c r="L1242" s="20" t="str">
        <x:v>较高</x:v>
      </x:c>
      <x:c r="M1242" s="20" t="str">
        <x:v>采用</x:v>
      </x:c>
      <x:c r="N1242" s="20" t="str">
        <x:v>初审</x:v>
      </x:c>
      <x:c r="O1242" s="22" t="n">
        <x:v>46260</x:v>
      </x:c>
      <x:c r="P1242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43">
      <x:c r="A1243" s="20" t="str">
        <x:v>M16-FLOW-0028-V1.0</x:v>
      </x:c>
      <x:c r="B1243" s="20" t="str">
        <x:v>规则</x:v>
      </x:c>
      <x:c r="C1243" s="20" t="str">
        <x:v>M16</x:v>
      </x:c>
      <x:c r="D1243" s="20" t="str">
        <x:v>16_病药模型</x:v>
      </x:c>
      <x:c r="E1243" s="20" t="str">
        <x:v>FLOW</x:v>
      </x:c>
      <x:c r="F1243" s="20" t="n">
        <x:v>28</x:v>
      </x:c>
      <x:c r="G1243" s="20" t="str">
        <x:v>V1.0</x:v>
      </x:c>
      <x:c r="H1243" s="20" t="str">
        <x:v>桥梁被合绊形成占用型阻塞</x:v>
      </x:c>
      <x:c r="I1243" s="20" t="str">
        <x:v>综合层</x:v>
      </x:c>
      <x:c r="J1243" s="20" t="str">
        <x:v>桥梁合绊病</x:v>
      </x:c>
      <x:c r="K1243" s="20" t="str">
        <x:v>根本之病在“被合绊桥梁”：桥梁被其他关系占用或冻结，不能全额完成传递；表层表现为“路径仍有但效率明显下降”。主药候选为“解合、增强独立桥梁或启用替代路径”，药理为“通”；最终喜忌与主次仍转M17/M18裁决。</x:v>
      </x:c>
      <x:c r="L1243" s="20" t="str">
        <x:v>较高</x:v>
      </x:c>
      <x:c r="M1243" s="20" t="str">
        <x:v>采用</x:v>
      </x:c>
      <x:c r="N1243" s="20" t="str">
        <x:v>初审</x:v>
      </x:c>
      <x:c r="O1243" s="22" t="n">
        <x:v>46260</x:v>
      </x:c>
      <x:c r="P1243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44">
      <x:c r="A1244" s="20" t="str">
        <x:v>M16-FLOW-0029-V1.0</x:v>
      </x:c>
      <x:c r="B1244" s="20" t="str">
        <x:v>规则</x:v>
      </x:c>
      <x:c r="C1244" s="20" t="str">
        <x:v>M16</x:v>
      </x:c>
      <x:c r="D1244" s="20" t="str">
        <x:v>16_病药模型</x:v>
      </x:c>
      <x:c r="E1244" s="20" t="str">
        <x:v>FLOW</x:v>
      </x:c>
      <x:c r="F1244" s="20" t="n">
        <x:v>29</x:v>
      </x:c>
      <x:c r="G1244" s="20" t="str">
        <x:v>V1.0</x:v>
      </x:c>
      <x:c r="H1244" s="20" t="str">
        <x:v>源头过旺无泄形成上游壅塞病</x:v>
      </x:c>
      <x:c r="I1244" s="20" t="str">
        <x:v>综合层</x:v>
      </x:c>
      <x:c r="J1244" s="20" t="str">
        <x:v>源头壅塞病</x:v>
      </x:c>
      <x:c r="K1244" s="20" t="str">
        <x:v>根本之病在“旺强源头”：源头强势聚集，缺少有效泄神或下游承载；表层表现为“力量旺而不流通、局部反复聚集”。主药候选为“源头所生之泄神”，药理为“泄”；最终喜忌与主次仍转M17/M18裁决。</x:v>
      </x:c>
      <x:c r="L1244" s="20" t="str">
        <x:v>较高</x:v>
      </x:c>
      <x:c r="M1244" s="20" t="str">
        <x:v>采用</x:v>
      </x:c>
      <x:c r="N1244" s="20" t="str">
        <x:v>初审</x:v>
      </x:c>
      <x:c r="O1244" s="22" t="n">
        <x:v>46260</x:v>
      </x:c>
      <x:c r="P1244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45">
      <x:c r="A1245" s="20" t="str">
        <x:v>M16-FLOW-0030-V1.0</x:v>
      </x:c>
      <x:c r="B1245" s="20" t="str">
        <x:v>规则</x:v>
      </x:c>
      <x:c r="C1245" s="20" t="str">
        <x:v>M16</x:v>
      </x:c>
      <x:c r="D1245" s="20" t="str">
        <x:v>16_病药模型</x:v>
      </x:c>
      <x:c r="E1245" s="20" t="str">
        <x:v>FLOW</x:v>
      </x:c>
      <x:c r="F1245" s="20" t="n">
        <x:v>30</x:v>
      </x:c>
      <x:c r="G1245" s="20" t="str">
        <x:v>V1.0</x:v>
      </x:c>
      <x:c r="H1245" s="20" t="str">
        <x:v>终点过弱不能承载形成无落点病</x:v>
      </x:c>
      <x:c r="I1245" s="20" t="str">
        <x:v>综合层</x:v>
      </x:c>
      <x:c r="J1245" s="20" t="str">
        <x:v>终点弱病</x:v>
      </x:c>
      <x:c r="K1245" s="20" t="str">
        <x:v>根本之病在“流通终点”：上游与桥梁有效，但终点无根无源或受强制；表层表现为“力量送达后无法稳定落脚或转化”。主药候选为“生扶终点或恢复终点根气”，药理为“生”；最终喜忌与主次仍转M17/M18裁决。</x:v>
      </x:c>
      <x:c r="L1245" s="20" t="str">
        <x:v>较高</x:v>
      </x:c>
      <x:c r="M1245" s="20" t="str">
        <x:v>采用</x:v>
      </x:c>
      <x:c r="N1245" s="20" t="str">
        <x:v>初审</x:v>
      </x:c>
      <x:c r="O1245" s="22" t="n">
        <x:v>46260</x:v>
      </x:c>
      <x:c r="P1245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46">
      <x:c r="A1246" s="20" t="str">
        <x:v>M16-FLOW-0031-V1.0</x:v>
      </x:c>
      <x:c r="B1246" s="20" t="str">
        <x:v>规则</x:v>
      </x:c>
      <x:c r="C1246" s="20" t="str">
        <x:v>M16</x:v>
      </x:c>
      <x:c r="D1246" s="20" t="str">
        <x:v>16_病药模型</x:v>
      </x:c>
      <x:c r="E1246" s="20" t="str">
        <x:v>FLOW</x:v>
      </x:c>
      <x:c r="F1246" s="20" t="n">
        <x:v>31</x:v>
      </x:c>
      <x:c r="G1246" s="20" t="str">
        <x:v>V1.0</x:v>
      </x:c>
      <x:c r="H1246" s="20" t="str">
        <x:v>终点过旺反制形成逆向阻塞</x:v>
      </x:c>
      <x:c r="I1246" s="20" t="str">
        <x:v>综合层</x:v>
      </x:c>
      <x:c r="J1246" s="20" t="str">
        <x:v>终点反制病</x:v>
      </x:c>
      <x:c r="K1246" s="20" t="str">
        <x:v>根本之病在“过旺终点”：终点集团过强，反向克制桥梁或上游，导致预期流向失真；表层表现为“力量在终点聚集并反噬上游”。主药候选为“泄终点或制约终点之神”，药理为“泄”；最终喜忌与主次仍转M17/M18裁决。</x:v>
      </x:c>
      <x:c r="L1246" s="20" t="str">
        <x:v>较高</x:v>
      </x:c>
      <x:c r="M1246" s="20" t="str">
        <x:v>采用</x:v>
      </x:c>
      <x:c r="N1246" s="20" t="str">
        <x:v>初审</x:v>
      </x:c>
      <x:c r="O1246" s="22" t="n">
        <x:v>46260</x:v>
      </x:c>
      <x:c r="P1246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47">
      <x:c r="A1247" s="20" t="str">
        <x:v>M16-FLOW-0032-V1.0</x:v>
      </x:c>
      <x:c r="B1247" s="20" t="str">
        <x:v>规则</x:v>
      </x:c>
      <x:c r="C1247" s="20" t="str">
        <x:v>M16</x:v>
      </x:c>
      <x:c r="D1247" s="20" t="str">
        <x:v>16_病药模型</x:v>
      </x:c>
      <x:c r="E1247" s="20" t="str">
        <x:v>FLOW</x:v>
      </x:c>
      <x:c r="F1247" s="20" t="n">
        <x:v>32</x:v>
      </x:c>
      <x:c r="G1247" s="20" t="str">
        <x:v>V1.0</x:v>
      </x:c>
      <x:c r="H1247" s="20" t="str">
        <x:v>两强相战且无桥梁形成克战病</x:v>
      </x:c>
      <x:c r="I1247" s="20" t="str">
        <x:v>综合层</x:v>
      </x:c>
      <x:c r="J1247" s="20" t="str">
        <x:v>两强相战病</x:v>
      </x:c>
      <x:c r="K1247" s="20" t="str">
        <x:v>根本之病在“相克两端之间”：克方与被克方均有力，中间没有有效泄化桥梁；表层表现为“持续对战、双方被引动、流通明显阻断”。主药候选为“既能泄上游又能生下游的通关五行”，药理为“通”；最终喜忌与主次仍转M17/M18裁决。</x:v>
      </x:c>
      <x:c r="L1247" s="20" t="str">
        <x:v>较高</x:v>
      </x:c>
      <x:c r="M1247" s="20" t="str">
        <x:v>采用</x:v>
      </x:c>
      <x:c r="N1247" s="20" t="str">
        <x:v>初审</x:v>
      </x:c>
      <x:c r="O1247" s="22" t="n">
        <x:v>46260</x:v>
      </x:c>
      <x:c r="P1247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48">
      <x:c r="A1248" s="20" t="str">
        <x:v>M16-FLOW-0033-V1.0</x:v>
      </x:c>
      <x:c r="B1248" s="20" t="str">
        <x:v>规则</x:v>
      </x:c>
      <x:c r="C1248" s="20" t="str">
        <x:v>M16</x:v>
      </x:c>
      <x:c r="D1248" s="20" t="str">
        <x:v>16_病药模型</x:v>
      </x:c>
      <x:c r="E1248" s="20" t="str">
        <x:v>FLOW</x:v>
      </x:c>
      <x:c r="F1248" s="20" t="n">
        <x:v>33</x:v>
      </x:c>
      <x:c r="G1248" s="20" t="str">
        <x:v>V1.0</x:v>
      </x:c>
      <x:c r="H1248" s="20" t="str">
        <x:v>链路过长导致末端力量衰减</x:v>
      </x:c>
      <x:c r="I1248" s="20" t="str">
        <x:v>综合层</x:v>
      </x:c>
      <x:c r="J1248" s="20" t="str">
        <x:v>长链衰减病</x:v>
      </x:c>
      <x:c r="K1248" s="20" t="str">
        <x:v>根本之病在“多层生化链”：力量需跨越多个中间节点，每层均承担容量与耗散成本；表层表现为“名义链完整但末端实际获得力量不足”。主药候选为“缩短路径或增强最弱关键桥梁”，药理为“通”；最终喜忌与主次仍转M17/M18裁决。</x:v>
      </x:c>
      <x:c r="L1248" s="20" t="str">
        <x:v>较高</x:v>
      </x:c>
      <x:c r="M1248" s="20" t="str">
        <x:v>采用</x:v>
      </x:c>
      <x:c r="N1248" s="20" t="str">
        <x:v>初审</x:v>
      </x:c>
      <x:c r="O1248" s="22" t="n">
        <x:v>46260</x:v>
      </x:c>
      <x:c r="P1248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49">
      <x:c r="A1249" s="20" t="str">
        <x:v>M16-FLOW-0034-V1.0</x:v>
      </x:c>
      <x:c r="B1249" s="20" t="str">
        <x:v>规则</x:v>
      </x:c>
      <x:c r="C1249" s="20" t="str">
        <x:v>M16</x:v>
      </x:c>
      <x:c r="D1249" s="20" t="str">
        <x:v>16_病药模型</x:v>
      </x:c>
      <x:c r="E1249" s="20" t="str">
        <x:v>FLOW</x:v>
      </x:c>
      <x:c r="F1249" s="20" t="n">
        <x:v>34</x:v>
      </x:c>
      <x:c r="G1249" s="20" t="str">
        <x:v>V1.0</x:v>
      </x:c>
      <x:c r="H1249" s="20" t="str">
        <x:v>回流壅塞形成内部循环病</x:v>
      </x:c>
      <x:c r="I1249" s="20" t="str">
        <x:v>综合层</x:v>
      </x:c>
      <x:c r="J1249" s="20" t="str">
        <x:v>回流壅塞病</x:v>
      </x:c>
      <x:c r="K1249" s="20" t="str">
        <x:v>根本之病在“循环生化节点”：力量在局部集团反复相生而缺乏外泄终点；表层表现为“内部很旺但外部功能不足”。主药候选为“建立外泄终点的食伤、财或相应五行”，药理为“泄”；最终喜忌与主次仍转M17/M18裁决。</x:v>
      </x:c>
      <x:c r="L1249" s="20" t="str">
        <x:v>较高</x:v>
      </x:c>
      <x:c r="M1249" s="20" t="str">
        <x:v>采用</x:v>
      </x:c>
      <x:c r="N1249" s="20" t="str">
        <x:v>初审</x:v>
      </x:c>
      <x:c r="O1249" s="22" t="n">
        <x:v>46260</x:v>
      </x:c>
      <x:c r="P1249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50">
      <x:c r="A1250" s="20" t="str">
        <x:v>M16-FLOW-0035-V1.0</x:v>
      </x:c>
      <x:c r="B1250" s="20" t="str">
        <x:v>规则</x:v>
      </x:c>
      <x:c r="C1250" s="20" t="str">
        <x:v>M16</x:v>
      </x:c>
      <x:c r="D1250" s="20" t="str">
        <x:v>16_病药模型</x:v>
      </x:c>
      <x:c r="E1250" s="20" t="str">
        <x:v>FLOW</x:v>
      </x:c>
      <x:c r="F1250" s="20" t="n">
        <x:v>35</x:v>
      </x:c>
      <x:c r="G1250" s="20" t="str">
        <x:v>V1.0</x:v>
      </x:c>
      <x:c r="H1250" s="20" t="str">
        <x:v>寒凝导致桥梁存在但不流动</x:v>
      </x:c>
      <x:c r="I1250" s="20" t="str">
        <x:v>综合层</x:v>
      </x:c>
      <x:c r="J1250" s="20" t="str">
        <x:v>寒凝流通病</x:v>
      </x:c>
      <x:c r="K1250" s="20" t="str">
        <x:v>根本之病在“受寒关键桥梁”：M13偏寒/极寒使木火生发、蒸腾或水流转化效率不足；表层表现为“M12路径因寒凝局部阻塞”。主药候选为“火”，药理为“暖”；最终喜忌与主次仍转M17/M18裁决。</x:v>
      </x:c>
      <x:c r="L1250" s="20" t="str">
        <x:v>较高</x:v>
      </x:c>
      <x:c r="M1250" s="20" t="str">
        <x:v>采用</x:v>
      </x:c>
      <x:c r="N1250" s="20" t="str">
        <x:v>初审</x:v>
      </x:c>
      <x:c r="O1250" s="22" t="n">
        <x:v>46260</x:v>
      </x:c>
      <x:c r="P1250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51">
      <x:c r="A1251" s="20" t="str">
        <x:v>M16-FLOW-0036-V1.0</x:v>
      </x:c>
      <x:c r="B1251" s="20" t="str">
        <x:v>规则</x:v>
      </x:c>
      <x:c r="C1251" s="20" t="str">
        <x:v>M16</x:v>
      </x:c>
      <x:c r="D1251" s="20" t="str">
        <x:v>16_病药模型</x:v>
      </x:c>
      <x:c r="E1251" s="20" t="str">
        <x:v>FLOW</x:v>
      </x:c>
      <x:c r="F1251" s="20" t="n">
        <x:v>36</x:v>
      </x:c>
      <x:c r="G1251" s="20" t="str">
        <x:v>V1.0</x:v>
      </x:c>
      <x:c r="H1251" s="20" t="str">
        <x:v>燥枯导致桥梁失去持续生化能力</x:v>
      </x:c>
      <x:c r="I1251" s="20" t="str">
        <x:v>综合层</x:v>
      </x:c>
      <x:c r="J1251" s="20" t="str">
        <x:v>燥枯流通病</x:v>
      </x:c>
      <x:c r="K1251" s="20" t="str">
        <x:v>根本之病在“受燥关键桥梁”：M13偏燥/极燥使木、水或土失去润泽和承接条件；表层表现为“路径存在但不能持续运行”。主药候选为“水”，药理为“润”；最终喜忌与主次仍转M17/M18裁决。</x:v>
      </x:c>
      <x:c r="L1251" s="20" t="str">
        <x:v>较高</x:v>
      </x:c>
      <x:c r="M1251" s="20" t="str">
        <x:v>采用</x:v>
      </x:c>
      <x:c r="N1251" s="20" t="str">
        <x:v>初审</x:v>
      </x:c>
      <x:c r="O1251" s="22" t="n">
        <x:v>46260</x:v>
      </x:c>
      <x:c r="P1251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52">
      <x:c r="A1252" s="20" t="str">
        <x:v>M16-FLOW-0037-V1.0</x:v>
      </x:c>
      <x:c r="B1252" s="20" t="str">
        <x:v>规则</x:v>
      </x:c>
      <x:c r="C1252" s="20" t="str">
        <x:v>M16</x:v>
      </x:c>
      <x:c r="D1252" s="20" t="str">
        <x:v>16_病药模型</x:v>
      </x:c>
      <x:c r="E1252" s="20" t="str">
        <x:v>FLOW</x:v>
      </x:c>
      <x:c r="F1252" s="20" t="n">
        <x:v>37</x:v>
      </x:c>
      <x:c r="G1252" s="20" t="str">
        <x:v>V1.0</x:v>
      </x:c>
      <x:c r="H1252" s="20" t="str">
        <x:v>共享桥梁过载形成容量竞争病</x:v>
      </x:c>
      <x:c r="I1252" s="20" t="str">
        <x:v>综合层</x:v>
      </x:c>
      <x:c r="J1252" s="20" t="str">
        <x:v>共享桥梁过载</x:v>
      </x:c>
      <x:c r="K1252" s="20" t="str">
        <x:v>根本之病在“多路径共享桥梁”：同一桥梁被多个强源和多个组合同时调用，实际容量不足；表层表现为“每条路径表面成立但均只能部分运行”。主药候选为“增强桥梁或减少次级路径竞争”，药理为“通”；最终喜忌与主次仍转M17/M18裁决。</x:v>
      </x:c>
      <x:c r="L1252" s="20" t="str">
        <x:v>较高</x:v>
      </x:c>
      <x:c r="M1252" s="20" t="str">
        <x:v>采用</x:v>
      </x:c>
      <x:c r="N1252" s="20" t="str">
        <x:v>初审</x:v>
      </x:c>
      <x:c r="O1252" s="22" t="n">
        <x:v>46260</x:v>
      </x:c>
      <x:c r="P1252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53">
      <x:c r="A1253" s="20" t="str">
        <x:v>M16-FLOW-0038-V1.0</x:v>
      </x:c>
      <x:c r="B1253" s="20" t="str">
        <x:v>规则</x:v>
      </x:c>
      <x:c r="C1253" s="20" t="str">
        <x:v>M16</x:v>
      </x:c>
      <x:c r="D1253" s="20" t="str">
        <x:v>16_病药模型</x:v>
      </x:c>
      <x:c r="E1253" s="20" t="str">
        <x:v>FLOW</x:v>
      </x:c>
      <x:c r="F1253" s="20" t="n">
        <x:v>38</x:v>
      </x:c>
      <x:c r="G1253" s="20" t="str">
        <x:v>V1.0</x:v>
      </x:c>
      <x:c r="H1253" s="20" t="str">
        <x:v>多个通路并存时主药应优先修复主路径卡点</x:v>
      </x:c>
      <x:c r="I1253" s="20" t="str">
        <x:v>综合层</x:v>
      </x:c>
      <x:c r="J1253" s="20" t="str">
        <x:v>流通病主次择药</x:v>
      </x:c>
      <x:c r="K1253" s="20" t="str">
        <x:v>根本之病在“主路径首要卡点”：多条路径分别有卡点，但对全局影响范围不同；表层表现为“多个候选通关五行并存”。主药候选为“修复覆盖范围最大且副作用最小的主卡点者”，药理为“通”；最终喜忌与主次仍转M17/M18裁决。</x:v>
      </x:c>
      <x:c r="L1253" s="20" t="str">
        <x:v>较高</x:v>
      </x:c>
      <x:c r="M1253" s="20" t="str">
        <x:v>采用</x:v>
      </x:c>
      <x:c r="N1253" s="20" t="str">
        <x:v>初审</x:v>
      </x:c>
      <x:c r="O1253" s="22" t="n">
        <x:v>46260</x:v>
      </x:c>
      <x:c r="P1253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54">
      <x:c r="A1254" s="20" t="str">
        <x:v>M16-CONTROL-0039-V1.0</x:v>
      </x:c>
      <x:c r="B1254" s="20" t="str">
        <x:v>规则</x:v>
      </x:c>
      <x:c r="C1254" s="20" t="str">
        <x:v>M16</x:v>
      </x:c>
      <x:c r="D1254" s="20" t="str">
        <x:v>16_病药模型</x:v>
      </x:c>
      <x:c r="E1254" s="20" t="str">
        <x:v>CONTROL</x:v>
      </x:c>
      <x:c r="F1254" s="20" t="n">
        <x:v>39</x:v>
      </x:c>
      <x:c r="G1254" s="20" t="str">
        <x:v>V1.0</x:v>
      </x:c>
      <x:c r="H1254" s="20" t="str">
        <x:v>七杀无制无化形成直接攻身病</x:v>
      </x:c>
      <x:c r="I1254" s="20" t="str">
        <x:v>综合层</x:v>
      </x:c>
      <x:c r="J1254" s="20" t="str">
        <x:v>杀无制化病</x:v>
      </x:c>
      <x:c r="K1254" s="20" t="str">
        <x:v>根本之病在“七杀—日主作用链”：七杀有力，日主承载不足，食神制杀与印化杀均不能运行；表层表现为“杀压直接落身”。主药候选为“印星或食神，按承载与格局择一”，药理为“化”；最终喜忌与主次仍转M17/M18裁决。</x:v>
      </x:c>
      <x:c r="L1254" s="20" t="str">
        <x:v>较高</x:v>
      </x:c>
      <x:c r="M1254" s="20" t="str">
        <x:v>采用</x:v>
      </x:c>
      <x:c r="N1254" s="20" t="str">
        <x:v>初审</x:v>
      </x:c>
      <x:c r="O1254" s="22" t="n">
        <x:v>46260</x:v>
      </x:c>
      <x:c r="P1254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55">
      <x:c r="A1255" s="20" t="str">
        <x:v>M16-CONTROL-0040-V1.0</x:v>
      </x:c>
      <x:c r="B1255" s="20" t="str">
        <x:v>规则</x:v>
      </x:c>
      <x:c r="C1255" s="20" t="str">
        <x:v>M16</x:v>
      </x:c>
      <x:c r="D1255" s="20" t="str">
        <x:v>16_病药模型</x:v>
      </x:c>
      <x:c r="E1255" s="20" t="str">
        <x:v>CONTROL</x:v>
      </x:c>
      <x:c r="F1255" s="20" t="n">
        <x:v>40</x:v>
      </x:c>
      <x:c r="G1255" s="20" t="str">
        <x:v>V1.0</x:v>
      </x:c>
      <x:c r="H1255" s="20" t="str">
        <x:v>食神制杀不足形成制杀不及病</x:v>
      </x:c>
      <x:c r="I1255" s="20" t="str">
        <x:v>综合层</x:v>
      </x:c>
      <x:c r="J1255" s="20" t="str">
        <x:v>制杀不及</x:v>
      </x:c>
      <x:c r="K1255" s="20" t="str">
        <x:v>根本之病在“食神→七杀制约链”：七杀强而食神弱、受制或路径不稳；表层表现为“杀压仍有较大部分直接落身”。主药候选为“增强食神或解除枭制”，药理为“制”；最终喜忌与主次仍转M17/M18裁决。</x:v>
      </x:c>
      <x:c r="L1255" s="20" t="str">
        <x:v>较高</x:v>
      </x:c>
      <x:c r="M1255" s="20" t="str">
        <x:v>采用</x:v>
      </x:c>
      <x:c r="N1255" s="20" t="str">
        <x:v>初审</x:v>
      </x:c>
      <x:c r="O1255" s="22" t="n">
        <x:v>46260</x:v>
      </x:c>
      <x:c r="P1255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56">
      <x:c r="A1256" s="20" t="str">
        <x:v>M16-CONTROL-0041-V1.0</x:v>
      </x:c>
      <x:c r="B1256" s="20" t="str">
        <x:v>规则</x:v>
      </x:c>
      <x:c r="C1256" s="20" t="str">
        <x:v>M16</x:v>
      </x:c>
      <x:c r="D1256" s="20" t="str">
        <x:v>16_病药模型</x:v>
      </x:c>
      <x:c r="E1256" s="20" t="str">
        <x:v>CONTROL</x:v>
      </x:c>
      <x:c r="F1256" s="20" t="n">
        <x:v>41</x:v>
      </x:c>
      <x:c r="G1256" s="20" t="str">
        <x:v>V1.0</x:v>
      </x:c>
      <x:c r="H1256" s="20" t="str">
        <x:v>制杀太过使七杀失去必要制衡功能</x:v>
      </x:c>
      <x:c r="I1256" s="20" t="str">
        <x:v>综合层</x:v>
      </x:c>
      <x:c r="J1256" s="20" t="str">
        <x:v>制杀太过病</x:v>
      </x:c>
      <x:c r="K1256" s="20" t="str">
        <x:v>根本之病在“食伤—七杀比例”：食伤远强于七杀，将七杀制至残弱或失效；表层表现为“原本平衡结构转为食伤独旺”。主药候选为“适度生扶七杀或制约过旺食伤”，药理为“生”；最终喜忌与主次仍转M17/M18裁决。</x:v>
      </x:c>
      <x:c r="L1256" s="20" t="str">
        <x:v>较高</x:v>
      </x:c>
      <x:c r="M1256" s="20" t="str">
        <x:v>采用</x:v>
      </x:c>
      <x:c r="N1256" s="20" t="str">
        <x:v>初审</x:v>
      </x:c>
      <x:c r="O1256" s="22" t="n">
        <x:v>46260</x:v>
      </x:c>
      <x:c r="P1256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57">
      <x:c r="A1257" s="20" t="str">
        <x:v>M16-CONTROL-0042-V1.0</x:v>
      </x:c>
      <x:c r="B1257" s="20" t="str">
        <x:v>规则</x:v>
      </x:c>
      <x:c r="C1257" s="20" t="str">
        <x:v>M16</x:v>
      </x:c>
      <x:c r="D1257" s="20" t="str">
        <x:v>16_病药模型</x:v>
      </x:c>
      <x:c r="E1257" s="20" t="str">
        <x:v>CONTROL</x:v>
      </x:c>
      <x:c r="F1257" s="20" t="n">
        <x:v>42</x:v>
      </x:c>
      <x:c r="G1257" s="20" t="str">
        <x:v>V1.0</x:v>
      </x:c>
      <x:c r="H1257" s="20" t="str">
        <x:v>杀印相生链中印弱形成化杀不及</x:v>
      </x:c>
      <x:c r="I1257" s="20" t="str">
        <x:v>综合层</x:v>
      </x:c>
      <x:c r="J1257" s="20" t="str">
        <x:v>化杀不及</x:v>
      </x:c>
      <x:c r="K1257" s="20" t="str">
        <x:v>根本之病在“七杀→印→日主链”：七杀有力而印星弱、无根或被财制，无法承接杀气；表层表现为“杀印相生表面存在但杀压未被转化”。主药候选为“生扶印星或制财护印”，药理为“化”；最终喜忌与主次仍转M17/M18裁决。</x:v>
      </x:c>
      <x:c r="L1257" s="20" t="str">
        <x:v>较高</x:v>
      </x:c>
      <x:c r="M1257" s="20" t="str">
        <x:v>采用</x:v>
      </x:c>
      <x:c r="N1257" s="20" t="str">
        <x:v>初审</x:v>
      </x:c>
      <x:c r="O1257" s="22" t="n">
        <x:v>46260</x:v>
      </x:c>
      <x:c r="P1257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58">
      <x:c r="A1258" s="20" t="str">
        <x:v>M16-CONTROL-0043-V1.0</x:v>
      </x:c>
      <x:c r="B1258" s="20" t="str">
        <x:v>规则</x:v>
      </x:c>
      <x:c r="C1258" s="20" t="str">
        <x:v>M16</x:v>
      </x:c>
      <x:c r="D1258" s="20" t="str">
        <x:v>16_病药模型</x:v>
      </x:c>
      <x:c r="E1258" s="20" t="str">
        <x:v>CONTROL</x:v>
      </x:c>
      <x:c r="F1258" s="20" t="n">
        <x:v>43</x:v>
      </x:c>
      <x:c r="G1258" s="20" t="str">
        <x:v>V1.0</x:v>
      </x:c>
      <x:c r="H1258" s="20" t="str">
        <x:v>伤官见官形成直接功能冲突病</x:v>
      </x:c>
      <x:c r="I1258" s="20" t="str">
        <x:v>综合层</x:v>
      </x:c>
      <x:c r="J1258" s="20" t="str">
        <x:v>伤官见官病</x:v>
      </x:c>
      <x:c r="K1258" s="20" t="str">
        <x:v>根本之病在“伤官—正官冲突链”：伤官与正官均有效，伤官直接损害关键官星功能；表层表现为“官格、官印或财官结构不稳定”。主药候选为“印星制伤或财星通关，择一为主”，药理为“制”；最终喜忌与主次仍转M17/M18裁决。</x:v>
      </x:c>
      <x:c r="L1258" s="20" t="str">
        <x:v>较高</x:v>
      </x:c>
      <x:c r="M1258" s="20" t="str">
        <x:v>采用</x:v>
      </x:c>
      <x:c r="N1258" s="20" t="str">
        <x:v>初审</x:v>
      </x:c>
      <x:c r="O1258" s="22" t="n">
        <x:v>46260</x:v>
      </x:c>
      <x:c r="P1258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59">
      <x:c r="A1259" s="20" t="str">
        <x:v>M16-CONTROL-0044-V1.0</x:v>
      </x:c>
      <x:c r="B1259" s="20" t="str">
        <x:v>规则</x:v>
      </x:c>
      <x:c r="C1259" s="20" t="str">
        <x:v>M16</x:v>
      </x:c>
      <x:c r="D1259" s="20" t="str">
        <x:v>16_病药模型</x:v>
      </x:c>
      <x:c r="E1259" s="20" t="str">
        <x:v>CONTROL</x:v>
      </x:c>
      <x:c r="F1259" s="20" t="n">
        <x:v>44</x:v>
      </x:c>
      <x:c r="G1259" s="20" t="str">
        <x:v>V1.0</x:v>
      </x:c>
      <x:c r="H1259" s="20" t="str">
        <x:v>伤官配印中印弱形成配印不足</x:v>
      </x:c>
      <x:c r="I1259" s="20" t="str">
        <x:v>综合层</x:v>
      </x:c>
      <x:c r="J1259" s="20" t="str">
        <x:v>配印不足</x:v>
      </x:c>
      <x:c r="K1259" s="20" t="str">
        <x:v>根本之病在“印星→伤官制约链”：伤官有力而印星弱、受财克或不能直接制伤；表层表现为“伤官仍过泄或克官”。主药候选为“增强印星或制财护印”，药理为“制”；最终喜忌与主次仍转M17/M18裁决。</x:v>
      </x:c>
      <x:c r="L1259" s="20" t="str">
        <x:v>较高</x:v>
      </x:c>
      <x:c r="M1259" s="20" t="str">
        <x:v>采用</x:v>
      </x:c>
      <x:c r="N1259" s="20" t="str">
        <x:v>初审</x:v>
      </x:c>
      <x:c r="O1259" s="22" t="n">
        <x:v>46260</x:v>
      </x:c>
      <x:c r="P1259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60">
      <x:c r="A1260" s="20" t="str">
        <x:v>M16-CONTROL-0045-V1.0</x:v>
      </x:c>
      <x:c r="B1260" s="20" t="str">
        <x:v>规则</x:v>
      </x:c>
      <x:c r="C1260" s="20" t="str">
        <x:v>M16</x:v>
      </x:c>
      <x:c r="D1260" s="20" t="str">
        <x:v>16_病药模型</x:v>
      </x:c>
      <x:c r="E1260" s="20" t="str">
        <x:v>CONTROL</x:v>
      </x:c>
      <x:c r="F1260" s="20" t="n">
        <x:v>45</x:v>
      </x:c>
      <x:c r="G1260" s="20" t="str">
        <x:v>V1.0</x:v>
      </x:c>
      <x:c r="H1260" s="20" t="str">
        <x:v>枭神夺食破坏关键食神功能</x:v>
      </x:c>
      <x:c r="I1260" s="20" t="str">
        <x:v>综合层</x:v>
      </x:c>
      <x:c r="J1260" s="20" t="str">
        <x:v>枭神夺食病</x:v>
      </x:c>
      <x:c r="K1260" s="20" t="str">
        <x:v>根本之病在“偏印→食神克制链”：偏印有力，直接克制承担生财、制杀或泄秀功能的食神；表层表现为“食神功能受限或失效”。主药候选为“财星制枭”，药理为“制”；最终喜忌与主次仍转M17/M18裁决。</x:v>
      </x:c>
      <x:c r="L1260" s="20" t="str">
        <x:v>较高</x:v>
      </x:c>
      <x:c r="M1260" s="20" t="str">
        <x:v>采用</x:v>
      </x:c>
      <x:c r="N1260" s="20" t="str">
        <x:v>初审</x:v>
      </x:c>
      <x:c r="O1260" s="22" t="n">
        <x:v>46260</x:v>
      </x:c>
      <x:c r="P1260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61">
      <x:c r="A1261" s="20" t="str">
        <x:v>M16-CONTROL-0046-V1.0</x:v>
      </x:c>
      <x:c r="B1261" s="20" t="str">
        <x:v>规则</x:v>
      </x:c>
      <x:c r="C1261" s="20" t="str">
        <x:v>M16</x:v>
      </x:c>
      <x:c r="D1261" s="20" t="str">
        <x:v>16_病药模型</x:v>
      </x:c>
      <x:c r="E1261" s="20" t="str">
        <x:v>CONTROL</x:v>
      </x:c>
      <x:c r="F1261" s="20" t="n">
        <x:v>46</x:v>
      </x:c>
      <x:c r="G1261" s="20" t="str">
        <x:v>V1.0</x:v>
      </x:c>
      <x:c r="H1261" s="20" t="str">
        <x:v>财坏印破坏生身或化杀功能</x:v>
      </x:c>
      <x:c r="I1261" s="20" t="str">
        <x:v>综合层</x:v>
      </x:c>
      <x:c r="J1261" s="20" t="str">
        <x:v>财坏印病</x:v>
      </x:c>
      <x:c r="K1261" s="20" t="str">
        <x:v>根本之病在“财星→印星克制链”：财星有力并制约关键印星，印承担生身、化杀或配印功能；表层表现为“日主承载下降、杀印或伤官配印链断裂”。主药候选为“比劫制财护印或官杀泄财生印的替代路径”，药理为“护格”；最终喜忌与主次仍转M17/M18裁决。</x:v>
      </x:c>
      <x:c r="L1261" s="20" t="str">
        <x:v>较高</x:v>
      </x:c>
      <x:c r="M1261" s="20" t="str">
        <x:v>采用</x:v>
      </x:c>
      <x:c r="N1261" s="20" t="str">
        <x:v>初审</x:v>
      </x:c>
      <x:c r="O1261" s="22" t="n">
        <x:v>46260</x:v>
      </x:c>
      <x:c r="P1261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62">
      <x:c r="A1262" s="20" t="str">
        <x:v>M16-CONTROL-0047-V1.0</x:v>
      </x:c>
      <x:c r="B1262" s="20" t="str">
        <x:v>规则</x:v>
      </x:c>
      <x:c r="C1262" s="20" t="str">
        <x:v>M16</x:v>
      </x:c>
      <x:c r="D1262" s="20" t="str">
        <x:v>16_病药模型</x:v>
      </x:c>
      <x:c r="E1262" s="20" t="str">
        <x:v>CONTROL</x:v>
      </x:c>
      <x:c r="F1262" s="20" t="n">
        <x:v>47</x:v>
      </x:c>
      <x:c r="G1262" s="20" t="str">
        <x:v>V1.0</x:v>
      </x:c>
      <x:c r="H1262" s="20" t="str">
        <x:v>比劫夺财破坏财星承载功能</x:v>
      </x:c>
      <x:c r="I1262" s="20" t="str">
        <x:v>综合层</x:v>
      </x:c>
      <x:c r="J1262" s="20" t="str">
        <x:v>比劫夺财病</x:v>
      </x:c>
      <x:c r="K1262" s="20" t="str">
        <x:v>根本之病在“比劫→财星克制链”：比劫有力并直接制财，财为格神或主要流通终点；表层表现为“财星受损，食伤生财链无稳定落点”。主药候选为“官杀制比或食伤通关生财”，药理为“制”；最终喜忌与主次仍转M17/M18裁决。</x:v>
      </x:c>
      <x:c r="L1262" s="20" t="str">
        <x:v>较高</x:v>
      </x:c>
      <x:c r="M1262" s="20" t="str">
        <x:v>采用</x:v>
      </x:c>
      <x:c r="N1262" s="20" t="str">
        <x:v>初审</x:v>
      </x:c>
      <x:c r="O1262" s="22" t="n">
        <x:v>46260</x:v>
      </x:c>
      <x:c r="P1262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63">
      <x:c r="A1263" s="20" t="str">
        <x:v>M16-CONTROL-0048-V1.0</x:v>
      </x:c>
      <x:c r="B1263" s="20" t="str">
        <x:v>规则</x:v>
      </x:c>
      <x:c r="C1263" s="20" t="str">
        <x:v>M16</x:v>
      </x:c>
      <x:c r="D1263" s="20" t="str">
        <x:v>16_病药模型</x:v>
      </x:c>
      <x:c r="E1263" s="20" t="str">
        <x:v>CONTROL</x:v>
      </x:c>
      <x:c r="F1263" s="20" t="n">
        <x:v>48</x:v>
      </x:c>
      <x:c r="G1263" s="20" t="str">
        <x:v>V1.0</x:v>
      </x:c>
      <x:c r="H1263" s="20" t="str">
        <x:v>官杀混杂主从不清形成多路制身病</x:v>
      </x:c>
      <x:c r="I1263" s="20" t="str">
        <x:v>综合层</x:v>
      </x:c>
      <x:c r="J1263" s="20" t="str">
        <x:v>官杀混杂病</x:v>
      </x:c>
      <x:c r="K1263" s="20" t="str">
        <x:v>根本之病在“正官、七杀—日主双路径”：官杀均有效且同时制身，主从不清，无去留清化；表层表现为“制身压力复杂，格局清纯度下降”。主药候选为“合制一方以清杂，或印化主要官杀”，药理为“清杂”；最终喜忌与主次仍转M17/M18裁决。</x:v>
      </x:c>
      <x:c r="L1263" s="20" t="str">
        <x:v>较高</x:v>
      </x:c>
      <x:c r="M1263" s="20" t="str">
        <x:v>采用</x:v>
      </x:c>
      <x:c r="N1263" s="20" t="str">
        <x:v>初审</x:v>
      </x:c>
      <x:c r="O1263" s="22" t="n">
        <x:v>46260</x:v>
      </x:c>
      <x:c r="P1263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64">
      <x:c r="A1264" s="20" t="str">
        <x:v>M16-CONTROL-0049-V1.0</x:v>
      </x:c>
      <x:c r="B1264" s="20" t="str">
        <x:v>规则</x:v>
      </x:c>
      <x:c r="C1264" s="20" t="str">
        <x:v>M16</x:v>
      </x:c>
      <x:c r="D1264" s="20" t="str">
        <x:v>16_病药模型</x:v>
      </x:c>
      <x:c r="E1264" s="20" t="str">
        <x:v>CONTROL</x:v>
      </x:c>
      <x:c r="F1264" s="20" t="n">
        <x:v>49</x:v>
      </x:c>
      <x:c r="G1264" s="20" t="str">
        <x:v>V1.0</x:v>
      </x:c>
      <x:c r="H1264" s="20" t="str">
        <x:v>食伤混杂主从不清导致输出功能分散</x:v>
      </x:c>
      <x:c r="I1264" s="20" t="str">
        <x:v>综合层</x:v>
      </x:c>
      <x:c r="J1264" s="20" t="str">
        <x:v>食伤混杂病</x:v>
      </x:c>
      <x:c r="K1264" s="20" t="str">
        <x:v>根本之病在“食神、伤官输出集团”：食神与伤官均有效、主从不清，分别承担不同方向功能；表层表现为“泄秀、生财、制杀、克官路径相互竞争”。主药候选为“清一留一或通过财星统一承接”，药理为“清杂”；最终喜忌与主次仍转M17/M18裁决。</x:v>
      </x:c>
      <x:c r="L1264" s="20" t="str">
        <x:v>较高</x:v>
      </x:c>
      <x:c r="M1264" s="20" t="str">
        <x:v>采用</x:v>
      </x:c>
      <x:c r="N1264" s="20" t="str">
        <x:v>初审</x:v>
      </x:c>
      <x:c r="O1264" s="22" t="n">
        <x:v>46260</x:v>
      </x:c>
      <x:c r="P1264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65">
      <x:c r="A1265" s="20" t="str">
        <x:v>M16-CONTROL-0050-V1.0</x:v>
      </x:c>
      <x:c r="B1265" s="20" t="str">
        <x:v>规则</x:v>
      </x:c>
      <x:c r="C1265" s="20" t="str">
        <x:v>M16</x:v>
      </x:c>
      <x:c r="D1265" s="20" t="str">
        <x:v>16_病药模型</x:v>
      </x:c>
      <x:c r="E1265" s="20" t="str">
        <x:v>CONTROL</x:v>
      </x:c>
      <x:c r="F1265" s="20" t="n">
        <x:v>50</x:v>
      </x:c>
      <x:c r="G1265" s="20" t="str">
        <x:v>V1.0</x:v>
      </x:c>
      <x:c r="H1265" s="20" t="str">
        <x:v>印枭混杂使生身与制食功能主次不清</x:v>
      </x:c>
      <x:c r="I1265" s="20" t="str">
        <x:v>综合层</x:v>
      </x:c>
      <x:c r="J1265" s="20" t="str">
        <x:v>印枭混杂病</x:v>
      </x:c>
      <x:c r="K1265" s="20" t="str">
        <x:v>根本之病在“正印、偏印集团”：正偏印均有效，既生身又制食伤，功能方向和清纯度下降；表层表现为“印格或食伤结构不稳定”。主药候选为“清一留一或财星适度制偏印”，药理为“清杂”；最终喜忌与主次仍转M17/M18裁决。</x:v>
      </x:c>
      <x:c r="L1265" s="20" t="str">
        <x:v>较高</x:v>
      </x:c>
      <x:c r="M1265" s="20" t="str">
        <x:v>采用</x:v>
      </x:c>
      <x:c r="N1265" s="20" t="str">
        <x:v>初审</x:v>
      </x:c>
      <x:c r="O1265" s="22" t="n">
        <x:v>46260</x:v>
      </x:c>
      <x:c r="P1265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66">
      <x:c r="A1266" s="20" t="str">
        <x:v>M16-CONTROL-0051-V1.0</x:v>
      </x:c>
      <x:c r="B1266" s="20" t="str">
        <x:v>规则</x:v>
      </x:c>
      <x:c r="C1266" s="20" t="str">
        <x:v>M16</x:v>
      </x:c>
      <x:c r="D1266" s="20" t="str">
        <x:v>16_病药模型</x:v>
      </x:c>
      <x:c r="E1266" s="20" t="str">
        <x:v>CONTROL</x:v>
      </x:c>
      <x:c r="F1266" s="20" t="n">
        <x:v>51</x:v>
      </x:c>
      <x:c r="G1266" s="20" t="str">
        <x:v>V1.0</x:v>
      </x:c>
      <x:c r="H1266" s="20" t="str">
        <x:v>财星持续生杀放大七杀压力</x:v>
      </x:c>
      <x:c r="I1266" s="20" t="str">
        <x:v>综合层</x:v>
      </x:c>
      <x:c r="J1266" s="20" t="str">
        <x:v>财滋杀病</x:v>
      </x:c>
      <x:c r="K1266" s="20" t="str">
        <x:v>根本之病在“财→七杀→日主链”：财星旺强并持续生七杀，七杀制化不足；表层表现为“日主同时承受财耗与杀制”。主药候选为“制财、化杀或建立食制杀路线”，药理为“复合药理”；最终喜忌与主次仍转M17/M18裁决。</x:v>
      </x:c>
      <x:c r="L1266" s="20" t="str">
        <x:v>较高</x:v>
      </x:c>
      <x:c r="M1266" s="20" t="str">
        <x:v>采用</x:v>
      </x:c>
      <x:c r="N1266" s="20" t="str">
        <x:v>初审</x:v>
      </x:c>
      <x:c r="O1266" s="22" t="n">
        <x:v>46260</x:v>
      </x:c>
      <x:c r="P1266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67">
      <x:c r="A1267" s="20" t="str">
        <x:v>M16-CONTROL-0052-V1.0</x:v>
      </x:c>
      <x:c r="B1267" s="20" t="str">
        <x:v>规则</x:v>
      </x:c>
      <x:c r="C1267" s="20" t="str">
        <x:v>M16</x:v>
      </x:c>
      <x:c r="D1267" s="20" t="str">
        <x:v>16_病药模型</x:v>
      </x:c>
      <x:c r="E1267" s="20" t="str">
        <x:v>CONTROL</x:v>
      </x:c>
      <x:c r="F1267" s="20" t="n">
        <x:v>52</x:v>
      </x:c>
      <x:c r="G1267" s="20" t="str">
        <x:v>V1.0</x:v>
      </x:c>
      <x:c r="H1267" s="20" t="str">
        <x:v>制化两立造成路线竞争</x:v>
      </x:c>
      <x:c r="I1267" s="20" t="str">
        <x:v>综合层</x:v>
      </x:c>
      <x:c r="J1267" s="20" t="str">
        <x:v>制化两立病</x:v>
      </x:c>
      <x:c r="K1267" s="20" t="str">
        <x:v>根本之病在“同一官杀或食伤共享节点”：食神制杀与印化杀、印制伤与财通关等多路线同时争夺同一力量；表层表现为“每条路线表面成立但容量不足或互相破坏”。主药候选为“选择主导且副作用较小的一条制化路线”，药理为“清杂”；最终喜忌与主次仍转M17/M18裁决。</x:v>
      </x:c>
      <x:c r="L1267" s="20" t="str">
        <x:v>较高</x:v>
      </x:c>
      <x:c r="M1267" s="20" t="str">
        <x:v>采用</x:v>
      </x:c>
      <x:c r="N1267" s="20" t="str">
        <x:v>初审</x:v>
      </x:c>
      <x:c r="O1267" s="22" t="n">
        <x:v>46260</x:v>
      </x:c>
      <x:c r="P1267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68">
      <x:c r="A1268" s="20" t="str">
        <x:v>M16-CONTROL-0053-V1.0</x:v>
      </x:c>
      <x:c r="B1268" s="20" t="str">
        <x:v>规则</x:v>
      </x:c>
      <x:c r="C1268" s="20" t="str">
        <x:v>M16</x:v>
      </x:c>
      <x:c r="D1268" s="20" t="str">
        <x:v>16_病药模型</x:v>
      </x:c>
      <x:c r="E1268" s="20" t="str">
        <x:v>CONTROL</x:v>
      </x:c>
      <x:c r="F1268" s="20" t="n">
        <x:v>53</x:v>
      </x:c>
      <x:c r="G1268" s="20" t="str">
        <x:v>V1.0</x:v>
      </x:c>
      <x:c r="H1268" s="20" t="str">
        <x:v>羊刃强而无制形成刃势失控</x:v>
      </x:c>
      <x:c r="I1268" s="20" t="str">
        <x:v>综合层</x:v>
      </x:c>
      <x:c r="J1268" s="20" t="str">
        <x:v>羊刃无制病</x:v>
      </x:c>
      <x:c r="K1268" s="20" t="str">
        <x:v>根本之病在“羊刃/比劫集团”：刃势得令成势，官杀弱，食伤财星也不能有效泄耗；表层表现为“强身集团缺乏制衡”。主药候选为“有根官杀制刃或食伤泄刃”，药理为“制”；最终喜忌与主次仍转M17/M18裁决。</x:v>
      </x:c>
      <x:c r="L1268" s="20" t="str">
        <x:v>较高</x:v>
      </x:c>
      <x:c r="M1268" s="20" t="str">
        <x:v>采用</x:v>
      </x:c>
      <x:c r="N1268" s="20" t="str">
        <x:v>初审</x:v>
      </x:c>
      <x:c r="O1268" s="22" t="n">
        <x:v>46260</x:v>
      </x:c>
      <x:c r="P1268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69">
      <x:c r="A1269" s="20" t="str">
        <x:v>M16-CONTROL-0054-V1.0</x:v>
      </x:c>
      <x:c r="B1269" s="20" t="str">
        <x:v>规则</x:v>
      </x:c>
      <x:c r="C1269" s="20" t="str">
        <x:v>M16</x:v>
      </x:c>
      <x:c r="D1269" s="20" t="str">
        <x:v>16_病药模型</x:v>
      </x:c>
      <x:c r="E1269" s="20" t="str">
        <x:v>CONTROL</x:v>
      </x:c>
      <x:c r="F1269" s="20" t="n">
        <x:v>54</x:v>
      </x:c>
      <x:c r="G1269" s="20" t="str">
        <x:v>V1.0</x:v>
      </x:c>
      <x:c r="H1269" s="20" t="str">
        <x:v>制刃太过使日主承载转弱</x:v>
      </x:c>
      <x:c r="I1269" s="20" t="str">
        <x:v>综合层</x:v>
      </x:c>
      <x:c r="J1269" s="20" t="str">
        <x:v>制刃太过病</x:v>
      </x:c>
      <x:c r="K1269" s="20" t="str">
        <x:v>根本之病在“官杀→羊刃制约链”：官杀远强于刃势与日主承载，原制衡转为压身；表层表现为“羊刃驾杀结构失去平衡”。主药候选为“印星化杀或比劫补充承载”，药理为“化”；最终喜忌与主次仍转M17/M18裁决。</x:v>
      </x:c>
      <x:c r="L1269" s="20" t="str">
        <x:v>较高</x:v>
      </x:c>
      <x:c r="M1269" s="20" t="str">
        <x:v>采用</x:v>
      </x:c>
      <x:c r="N1269" s="20" t="str">
        <x:v>初审</x:v>
      </x:c>
      <x:c r="O1269" s="22" t="n">
        <x:v>46260</x:v>
      </x:c>
      <x:c r="P1269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70">
      <x:c r="A1270" s="20" t="str">
        <x:v>M16-PATTERN-0055-V1.0</x:v>
      </x:c>
      <x:c r="B1270" s="20" t="str">
        <x:v>规则</x:v>
      </x:c>
      <x:c r="C1270" s="20" t="str">
        <x:v>M16</x:v>
      </x:c>
      <x:c r="D1270" s="20" t="str">
        <x:v>16_病药模型</x:v>
      </x:c>
      <x:c r="E1270" s="20" t="str">
        <x:v>PATTERN</x:v>
      </x:c>
      <x:c r="F1270" s="20" t="n">
        <x:v>55</x:v>
      </x:c>
      <x:c r="G1270" s="20" t="str">
        <x:v>V1.0</x:v>
      </x:c>
      <x:c r="H1270" s="20" t="str">
        <x:v>格神受损但尚未失效形成格局病</x:v>
      </x:c>
      <x:c r="I1270" s="20" t="str">
        <x:v>综合层</x:v>
      </x:c>
      <x:c r="J1270" s="20" t="str">
        <x:v>格神受损病</x:v>
      </x:c>
      <x:c r="K1270" s="20" t="str">
        <x:v>根本之病在“核心格神”：格神被克、合绊、混杂或根源受伤，主要功能下降；表层表现为“格局成立但有破”。主药候选为“护持格神或制去破格之神”，药理为“护格”；最终喜忌与主次仍转M17/M18裁决。</x:v>
      </x:c>
      <x:c r="L1270" s="20" t="str">
        <x:v>较高</x:v>
      </x:c>
      <x:c r="M1270" s="20" t="str">
        <x:v>采用</x:v>
      </x:c>
      <x:c r="N1270" s="20" t="str">
        <x:v>初审</x:v>
      </x:c>
      <x:c r="O1270" s="22" t="n">
        <x:v>46260</x:v>
      </x:c>
      <x:c r="P1270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71">
      <x:c r="A1271" s="20" t="str">
        <x:v>M16-PATTERN-0056-V1.0</x:v>
      </x:c>
      <x:c r="B1271" s="20" t="str">
        <x:v>规则</x:v>
      </x:c>
      <x:c r="C1271" s="20" t="str">
        <x:v>M16</x:v>
      </x:c>
      <x:c r="D1271" s="20" t="str">
        <x:v>16_病药模型</x:v>
      </x:c>
      <x:c r="E1271" s="20" t="str">
        <x:v>PATTERN</x:v>
      </x:c>
      <x:c r="F1271" s="20" t="n">
        <x:v>56</x:v>
      </x:c>
      <x:c r="G1271" s="20" t="str">
        <x:v>V1.0</x:v>
      </x:c>
      <x:c r="H1271" s="20" t="str">
        <x:v>格神失效构成根本格局病</x:v>
      </x:c>
      <x:c r="I1271" s="20" t="str">
        <x:v>综合层</x:v>
      </x:c>
      <x:c r="J1271" s="20" t="str">
        <x:v>根本破格病</x:v>
      </x:c>
      <x:c r="K1271" s="20" t="str">
        <x:v>根本之病在“核心格神与主路径”：格神失效或核心作用路径完全中断；表层表现为“M14候选无法在M15成格”。主药候选为“若可修复则恢复格神；否则转用替代格局的药理”，药理为“救应”；最终喜忌与主次仍转M17/M18裁决。</x:v>
      </x:c>
      <x:c r="L1271" s="20" t="str">
        <x:v>较高</x:v>
      </x:c>
      <x:c r="M1271" s="20" t="str">
        <x:v>采用</x:v>
      </x:c>
      <x:c r="N1271" s="20" t="str">
        <x:v>初审</x:v>
      </x:c>
      <x:c r="O1271" s="22" t="n">
        <x:v>46260</x:v>
      </x:c>
      <x:c r="P1271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72">
      <x:c r="A1272" s="20" t="str">
        <x:v>M16-PATTERN-0057-V1.0</x:v>
      </x:c>
      <x:c r="B1272" s="20" t="str">
        <x:v>规则</x:v>
      </x:c>
      <x:c r="C1272" s="20" t="str">
        <x:v>M16</x:v>
      </x:c>
      <x:c r="D1272" s="20" t="str">
        <x:v>16_病药模型</x:v>
      </x:c>
      <x:c r="E1272" s="20" t="str">
        <x:v>PATTERN</x:v>
      </x:c>
      <x:c r="F1272" s="20" t="n">
        <x:v>57</x:v>
      </x:c>
      <x:c r="G1272" s="20" t="str">
        <x:v>V1.0</x:v>
      </x:c>
      <x:c r="H1272" s="20" t="str">
        <x:v>格神混杂主从不清形成清纯度病</x:v>
      </x:c>
      <x:c r="I1272" s="20" t="str">
        <x:v>综合层</x:v>
      </x:c>
      <x:c r="J1272" s="20" t="str">
        <x:v>格神混杂病</x:v>
      </x:c>
      <x:c r="K1272" s="20" t="str">
        <x:v>根本之病在“格神与同类异类竞争节点”：官杀、食伤、印枭或正偏财双强并见，主次不清；表层表现为“格局有杂、混杂或严重混杂”。主药候选为“清一留一或建立明确主从”，药理为“清杂”；最终喜忌与主次仍转M17/M18裁决。</x:v>
      </x:c>
      <x:c r="L1272" s="20" t="str">
        <x:v>较高</x:v>
      </x:c>
      <x:c r="M1272" s="20" t="str">
        <x:v>采用</x:v>
      </x:c>
      <x:c r="N1272" s="20" t="str">
        <x:v>初审</x:v>
      </x:c>
      <x:c r="O1272" s="22" t="n">
        <x:v>46260</x:v>
      </x:c>
      <x:c r="P1272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73">
      <x:c r="A1273" s="20" t="str">
        <x:v>M16-PATTERN-0058-V1.0</x:v>
      </x:c>
      <x:c r="B1273" s="20" t="str">
        <x:v>规则</x:v>
      </x:c>
      <x:c r="C1273" s="20" t="str">
        <x:v>M16</x:v>
      </x:c>
      <x:c r="D1273" s="20" t="str">
        <x:v>16_病药模型</x:v>
      </x:c>
      <x:c r="E1273" s="20" t="str">
        <x:v>PATTERN</x:v>
      </x:c>
      <x:c r="F1273" s="20" t="n">
        <x:v>58</x:v>
      </x:c>
      <x:c r="G1273" s="20" t="str">
        <x:v>V1.0</x:v>
      </x:c>
      <x:c r="H1273" s="20" t="str">
        <x:v>格局所需用神无力形成运行不足</x:v>
      </x:c>
      <x:c r="I1273" s="20" t="str">
        <x:v>综合层</x:v>
      </x:c>
      <x:c r="J1273" s="20" t="str">
        <x:v>格局配合神无力</x:v>
      </x:c>
      <x:c r="K1273" s="20" t="str">
        <x:v>根本之病在“格局关键配合神”：格神虽有力，但完成成格所需的印、食、财、官或通关者偏弱；表层表现为“格局基本成立但层次低、运行不稳”。主药候选为“生扶格局关键配合神”，药理为“生”；最终喜忌与主次仍转M17/M18裁决。</x:v>
      </x:c>
      <x:c r="L1273" s="20" t="str">
        <x:v>较高</x:v>
      </x:c>
      <x:c r="M1273" s="20" t="str">
        <x:v>采用</x:v>
      </x:c>
      <x:c r="N1273" s="20" t="str">
        <x:v>初审</x:v>
      </x:c>
      <x:c r="O1273" s="22" t="n">
        <x:v>46260</x:v>
      </x:c>
      <x:c r="P1273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74">
      <x:c r="A1274" s="20" t="str">
        <x:v>M16-PATTERN-0059-V1.0</x:v>
      </x:c>
      <x:c r="B1274" s="20" t="str">
        <x:v>规则</x:v>
      </x:c>
      <x:c r="C1274" s="20" t="str">
        <x:v>M16</x:v>
      </x:c>
      <x:c r="D1274" s="20" t="str">
        <x:v>16_病药模型</x:v>
      </x:c>
      <x:c r="E1274" s="20" t="str">
        <x:v>PATTERN</x:v>
      </x:c>
      <x:c r="F1274" s="20" t="n">
        <x:v>59</x:v>
      </x:c>
      <x:c r="G1274" s="20" t="str">
        <x:v>V1.0</x:v>
      </x:c>
      <x:c r="H1274" s="20" t="str">
        <x:v>忌神直接破格形成格局病</x:v>
      </x:c>
      <x:c r="I1274" s="20" t="str">
        <x:v>综合层</x:v>
      </x:c>
      <x:c r="J1274" s="20" t="str">
        <x:v>忌神破格病</x:v>
      </x:c>
      <x:c r="K1274" s="20" t="str">
        <x:v>根本之病在“破格神→格神作用链”：某五行/十神直接克、合、冲或截断核心格神；表层表现为“成立但有破或有破有救”。主药候选为“制去、合住或通关破格神”，药理为“制”；最终喜忌与主次仍转M17/M18裁决。</x:v>
      </x:c>
      <x:c r="L1274" s="20" t="str">
        <x:v>较高</x:v>
      </x:c>
      <x:c r="M1274" s="20" t="str">
        <x:v>采用</x:v>
      </x:c>
      <x:c r="N1274" s="20" t="str">
        <x:v>初审</x:v>
      </x:c>
      <x:c r="O1274" s="22" t="n">
        <x:v>46260</x:v>
      </x:c>
      <x:c r="P1274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75">
      <x:c r="A1275" s="20" t="str">
        <x:v>M16-PATTERN-0060-V1.0</x:v>
      </x:c>
      <x:c r="B1275" s="20" t="str">
        <x:v>规则</x:v>
      </x:c>
      <x:c r="C1275" s="20" t="str">
        <x:v>M16</x:v>
      </x:c>
      <x:c r="D1275" s="20" t="str">
        <x:v>16_病药模型</x:v>
      </x:c>
      <x:c r="E1275" s="20" t="str">
        <x:v>PATTERN</x:v>
      </x:c>
      <x:c r="F1275" s="20" t="n">
        <x:v>60</x:v>
      </x:c>
      <x:c r="G1275" s="20" t="str">
        <x:v>V1.0</x:v>
      </x:c>
      <x:c r="H1275" s="20" t="str">
        <x:v>救应不足导致格局只能部分恢复</x:v>
      </x:c>
      <x:c r="I1275" s="20" t="str">
        <x:v>综合层</x:v>
      </x:c>
      <x:c r="J1275" s="20" t="str">
        <x:v>救应不足病</x:v>
      </x:c>
      <x:c r="K1275" s="20" t="str">
        <x:v>根本之病在“救应—破格作用链”：救应存在但无根、力量弱、遥隔或只能修复局部；表层表现为“格局有破有救但救应仅弱/部分有效”。主药候选为“增强原救应或建立更直接救应”，药理为“救应”；最终喜忌与主次仍转M17/M18裁决。</x:v>
      </x:c>
      <x:c r="L1275" s="20" t="str">
        <x:v>较高</x:v>
      </x:c>
      <x:c r="M1275" s="20" t="str">
        <x:v>采用</x:v>
      </x:c>
      <x:c r="N1275" s="20" t="str">
        <x:v>初审</x:v>
      </x:c>
      <x:c r="O1275" s="22" t="n">
        <x:v>46260</x:v>
      </x:c>
      <x:c r="P1275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76">
      <x:c r="A1276" s="20" t="str">
        <x:v>M16-PATTERN-0061-V1.0</x:v>
      </x:c>
      <x:c r="B1276" s="20" t="str">
        <x:v>规则</x:v>
      </x:c>
      <x:c r="C1276" s="20" t="str">
        <x:v>M16</x:v>
      </x:c>
      <x:c r="D1276" s="20" t="str">
        <x:v>16_病药模型</x:v>
      </x:c>
      <x:c r="E1276" s="20" t="str">
        <x:v>PATTERN</x:v>
      </x:c>
      <x:c r="F1276" s="20" t="n">
        <x:v>61</x:v>
      </x:c>
      <x:c r="G1276" s="20" t="str">
        <x:v>V1.0</x:v>
      </x:c>
      <x:c r="H1276" s="20" t="str">
        <x:v>救应过度反而破坏格局比例</x:v>
      </x:c>
      <x:c r="I1276" s="20" t="str">
        <x:v>综合层</x:v>
      </x:c>
      <x:c r="J1276" s="20" t="str">
        <x:v>救应过度病</x:v>
      </x:c>
      <x:c r="K1276" s="20" t="str">
        <x:v>根本之病在“过强救应节点”：原救应强度超过修复所需，压制格神或关键配合神；表层表现为“有破有救转为新的制化失衡”。主药候选为“降低救应强度并恢复格神比例”，药理为“救应”；最终喜忌与主次仍转M17/M18裁决。</x:v>
      </x:c>
      <x:c r="L1276" s="20" t="str">
        <x:v>较高</x:v>
      </x:c>
      <x:c r="M1276" s="20" t="str">
        <x:v>采用</x:v>
      </x:c>
      <x:c r="N1276" s="20" t="str">
        <x:v>初审</x:v>
      </x:c>
      <x:c r="O1276" s="22" t="n">
        <x:v>46260</x:v>
      </x:c>
      <x:c r="P1276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77">
      <x:c r="A1277" s="20" t="str">
        <x:v>M16-PATTERN-0062-V1.0</x:v>
      </x:c>
      <x:c r="B1277" s="20" t="str">
        <x:v>规则</x:v>
      </x:c>
      <x:c r="C1277" s="20" t="str">
        <x:v>M16</x:v>
      </x:c>
      <x:c r="D1277" s="20" t="str">
        <x:v>16_病药模型</x:v>
      </x:c>
      <x:c r="E1277" s="20" t="str">
        <x:v>PATTERN</x:v>
      </x:c>
      <x:c r="F1277" s="20" t="n">
        <x:v>62</x:v>
      </x:c>
      <x:c r="G1277" s="20" t="str">
        <x:v>V1.0</x:v>
      </x:c>
      <x:c r="H1277" s="20" t="str">
        <x:v>真从格被有效强根或印比破坏</x:v>
      </x:c>
      <x:c r="I1277" s="20" t="str">
        <x:v>综合层</x:v>
      </x:c>
      <x:c r="J1277" s="20" t="str">
        <x:v>从格破格病</x:v>
      </x:c>
      <x:c r="K1277" s="20" t="str">
        <x:v>有效强根/印比属于真从硬否决；原局应重定格局，而不是简单指定药神“消除”事实。</x:v>
      </x:c>
      <x:c r="L1277" s="20" t="str">
        <x:v>较高</x:v>
      </x:c>
      <x:c r="M1277" s="20" t="str">
        <x:v>采用</x:v>
      </x:c>
      <x:c r="N1277" s="20" t="str">
        <x:v>初审</x:v>
      </x:c>
      <x:c r="O1277" s="22" t="n">
        <x:v>46260</x:v>
      </x:c>
      <x:c r="P1277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78">
      <x:c r="A1278" s="20" t="str">
        <x:v>M16-PATTERN-0063-V1.0</x:v>
      </x:c>
      <x:c r="B1278" s="20" t="str">
        <x:v>规则</x:v>
      </x:c>
      <x:c r="C1278" s="20" t="str">
        <x:v>M16</x:v>
      </x:c>
      <x:c r="D1278" s="20" t="str">
        <x:v>16_病药模型</x:v>
      </x:c>
      <x:c r="E1278" s="20" t="str">
        <x:v>PATTERN</x:v>
      </x:c>
      <x:c r="F1278" s="20" t="n">
        <x:v>63</x:v>
      </x:c>
      <x:c r="G1278" s="20" t="str">
        <x:v>V1.0</x:v>
      </x:c>
      <x:c r="H1278" s="20" t="str">
        <x:v>化气格中原气强根或争合形成破化</x:v>
      </x:c>
      <x:c r="I1278" s="20" t="str">
        <x:v>综合层</x:v>
      </x:c>
      <x:c r="J1278" s="20" t="str">
        <x:v>化气破化病</x:v>
      </x:c>
      <x:c r="K1278" s="20" t="str">
        <x:v>根本之病在“原气根与化神主势”：日主原五行仍能自立，或争合、强克、冲破使化势不专；表层表现为“真化降为假化、合绊或合而不化”。主药候选为“生扶化神并制逆神；若硬门槛失败则重定格局”，药理为“护格”；最终喜忌与主次仍转M17/M18裁决。</x:v>
      </x:c>
      <x:c r="L1278" s="20" t="str">
        <x:v>较高</x:v>
      </x:c>
      <x:c r="M1278" s="20" t="str">
        <x:v>采用</x:v>
      </x:c>
      <x:c r="N1278" s="20" t="str">
        <x:v>初审</x:v>
      </x:c>
      <x:c r="O1278" s="22" t="n">
        <x:v>46260</x:v>
      </x:c>
      <x:c r="P1278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79">
      <x:c r="A1279" s="20" t="str">
        <x:v>M16-PATTERN-0064-V1.0</x:v>
      </x:c>
      <x:c r="B1279" s="20" t="str">
        <x:v>规则</x:v>
      </x:c>
      <x:c r="C1279" s="20" t="str">
        <x:v>M16</x:v>
      </x:c>
      <x:c r="D1279" s="20" t="str">
        <x:v>16_病药模型</x:v>
      </x:c>
      <x:c r="E1279" s="20" t="str">
        <x:v>PATTERN</x:v>
      </x:c>
      <x:c r="F1279" s="20" t="n">
        <x:v>64</x:v>
      </x:c>
      <x:c r="G1279" s="20" t="str">
        <x:v>V1.0</x:v>
      </x:c>
      <x:c r="H1279" s="20" t="str">
        <x:v>专旺格中有效逆神形成破格</x:v>
      </x:c>
      <x:c r="I1279" s="20" t="str">
        <x:v>综合层</x:v>
      </x:c>
      <x:c r="J1279" s="20" t="str">
        <x:v>专旺逆神病</x:v>
      </x:c>
      <x:c r="K1279" s="20" t="str">
        <x:v>根本之病在“专旺主势—逆克神”：克制主气的五行有根有源并形成真实逆势；表层表现为“专旺清纯度下降或不成立”。主药候选为“使逆神失效或顺势转化；硬门槛失败则重定格局”，药理为“护格”；最终喜忌与主次仍转M17/M18裁决。</x:v>
      </x:c>
      <x:c r="L1279" s="20" t="str">
        <x:v>较高</x:v>
      </x:c>
      <x:c r="M1279" s="20" t="str">
        <x:v>采用</x:v>
      </x:c>
      <x:c r="N1279" s="20" t="str">
        <x:v>初审</x:v>
      </x:c>
      <x:c r="O1279" s="22" t="n">
        <x:v>46260</x:v>
      </x:c>
      <x:c r="P1279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80">
      <x:c r="A1280" s="20" t="str">
        <x:v>M16-PATTERN-0065-V1.0</x:v>
      </x:c>
      <x:c r="B1280" s="20" t="str">
        <x:v>规则</x:v>
      </x:c>
      <x:c r="C1280" s="20" t="str">
        <x:v>M16</x:v>
      </x:c>
      <x:c r="D1280" s="20" t="str">
        <x:v>16_病药模型</x:v>
      </x:c>
      <x:c r="E1280" s="20" t="str">
        <x:v>PATTERN</x:v>
      </x:c>
      <x:c r="F1280" s="20" t="n">
        <x:v>65</x:v>
      </x:c>
      <x:c r="G1280" s="20" t="str">
        <x:v>V1.0</x:v>
      </x:c>
      <x:c r="H1280" s="20" t="str">
        <x:v>建禄比劫壅塞形成格局运行病</x:v>
      </x:c>
      <x:c r="I1280" s="20" t="str">
        <x:v>综合层</x:v>
      </x:c>
      <x:c r="J1280" s="20" t="str">
        <x:v>建禄壅塞病</x:v>
      </x:c>
      <x:c r="K1280" s="20" t="str">
        <x:v>根本之病在“建禄强身集团的输出端”：建禄身旺，比劫成势，财官食伤均不能形成有效出口；表层表现为“建禄格成立但有破、层次受限”。主药候选为“食伤泄秀或官杀制衡”，药理为“泄”；最终喜忌与主次仍转M17/M18裁决。</x:v>
      </x:c>
      <x:c r="L1280" s="20" t="str">
        <x:v>较高</x:v>
      </x:c>
      <x:c r="M1280" s="20" t="str">
        <x:v>采用</x:v>
      </x:c>
      <x:c r="N1280" s="20" t="str">
        <x:v>初审</x:v>
      </x:c>
      <x:c r="O1280" s="22" t="n">
        <x:v>46260</x:v>
      </x:c>
      <x:c r="P1280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81">
      <x:c r="A1281" s="20" t="str">
        <x:v>M16-PATTERN-0066-V1.0</x:v>
      </x:c>
      <x:c r="B1281" s="20" t="str">
        <x:v>规则</x:v>
      </x:c>
      <x:c r="C1281" s="20" t="str">
        <x:v>M16</x:v>
      </x:c>
      <x:c r="D1281" s="20" t="str">
        <x:v>16_病药模型</x:v>
      </x:c>
      <x:c r="E1281" s="20" t="str">
        <x:v>PATTERN</x:v>
      </x:c>
      <x:c r="F1281" s="20" t="n">
        <x:v>66</x:v>
      </x:c>
      <x:c r="G1281" s="20" t="str">
        <x:v>V1.0</x:v>
      </x:c>
      <x:c r="H1281" s="20" t="str">
        <x:v>格局清纯成立且运行正常时不立格局病</x:v>
      </x:c>
      <x:c r="I1281" s="20" t="str">
        <x:v>综合层</x:v>
      </x:c>
      <x:c r="J1281" s="20" t="str">
        <x:v>清纯格局无病</x:v>
      </x:c>
      <x:c r="K1281" s="20" t="str">
        <x:v>格局运行正常，不另立格局病；只保留维护条件和可能的外部风险。</x:v>
      </x:c>
      <x:c r="L1281" s="20" t="str">
        <x:v>较高</x:v>
      </x:c>
      <x:c r="M1281" s="20" t="str">
        <x:v>采用</x:v>
      </x:c>
      <x:c r="N1281" s="20" t="str">
        <x:v>初审</x:v>
      </x:c>
      <x:c r="O1281" s="22" t="n">
        <x:v>46260</x:v>
      </x:c>
      <x:c r="P1281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82">
      <x:c r="A1282" s="20" t="str">
        <x:v>M16-CLIMATE-0067-V1.0</x:v>
      </x:c>
      <x:c r="B1282" s="20" t="str">
        <x:v>规则</x:v>
      </x:c>
      <x:c r="C1282" s="20" t="str">
        <x:v>M16</x:v>
      </x:c>
      <x:c r="D1282" s="20" t="str">
        <x:v>16_病药模型</x:v>
      </x:c>
      <x:c r="E1282" s="20" t="str">
        <x:v>CLIMATE</x:v>
      </x:c>
      <x:c r="F1282" s="20" t="n">
        <x:v>67</x:v>
      </x:c>
      <x:c r="G1282" s="20" t="str">
        <x:v>V1.0</x:v>
      </x:c>
      <x:c r="H1282" s="20" t="str">
        <x:v>极寒导致全局生化停滞</x:v>
      </x:c>
      <x:c r="I1282" s="20" t="str">
        <x:v>综合层</x:v>
      </x:c>
      <x:c r="J1282" s="20" t="str">
        <x:v>极寒病</x:v>
      </x:c>
      <x:c r="K1282" s="20" t="str">
        <x:v>根本之病在“全局温度轴与木火生化节点”：M13极寒，火弱无效，寒凝已阻断M12关键路径；表层表现为“木火不生、湿土不化或水寒凝滞”。主药候选为“火”，药理为“暖”；最终喜忌与主次仍转M17/M18裁决。</x:v>
      </x:c>
      <x:c r="L1282" s="20" t="str">
        <x:v>较高</x:v>
      </x:c>
      <x:c r="M1282" s="20" t="str">
        <x:v>采用</x:v>
      </x:c>
      <x:c r="N1282" s="20" t="str">
        <x:v>初审</x:v>
      </x:c>
      <x:c r="O1282" s="22" t="n">
        <x:v>46260</x:v>
      </x:c>
      <x:c r="P1282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83">
      <x:c r="A1283" s="20" t="str">
        <x:v>M16-CLIMATE-0068-V1.0</x:v>
      </x:c>
      <x:c r="B1283" s="20" t="str">
        <x:v>规则</x:v>
      </x:c>
      <x:c r="C1283" s="20" t="str">
        <x:v>M16</x:v>
      </x:c>
      <x:c r="D1283" s="20" t="str">
        <x:v>16_病药模型</x:v>
      </x:c>
      <x:c r="E1283" s="20" t="str">
        <x:v>CLIMATE</x:v>
      </x:c>
      <x:c r="F1283" s="20" t="n">
        <x:v>68</x:v>
      </x:c>
      <x:c r="G1283" s="20" t="str">
        <x:v>V1.0</x:v>
      </x:c>
      <x:c r="H1283" s="20" t="str">
        <x:v>寒湿并重形成暖局化湿病</x:v>
      </x:c>
      <x:c r="I1283" s="20" t="str">
        <x:v>综合层</x:v>
      </x:c>
      <x:c r="J1283" s="20" t="str">
        <x:v>寒湿病</x:v>
      </x:c>
      <x:c r="K1283" s="20" t="str">
        <x:v>根本之病在“温度与湿度双轴”：偏寒/极寒与偏湿/极湿共同造成流通壅滞；表层表现为“湿土晦火、木火生化不足、水湿停聚”。主药候选为“火”，药理为“燥湿”；最终喜忌与主次仍转M17/M18裁决。</x:v>
      </x:c>
      <x:c r="L1283" s="20" t="str">
        <x:v>较高</x:v>
      </x:c>
      <x:c r="M1283" s="20" t="str">
        <x:v>采用</x:v>
      </x:c>
      <x:c r="N1283" s="20" t="str">
        <x:v>初审</x:v>
      </x:c>
      <x:c r="O1283" s="22" t="n">
        <x:v>46260</x:v>
      </x:c>
      <x:c r="P1283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84">
      <x:c r="A1284" s="20" t="str">
        <x:v>M16-CLIMATE-0069-V1.0</x:v>
      </x:c>
      <x:c r="B1284" s="20" t="str">
        <x:v>规则</x:v>
      </x:c>
      <x:c r="C1284" s="20" t="str">
        <x:v>M16</x:v>
      </x:c>
      <x:c r="D1284" s="20" t="str">
        <x:v>16_病药模型</x:v>
      </x:c>
      <x:c r="E1284" s="20" t="str">
        <x:v>CLIMATE</x:v>
      </x:c>
      <x:c r="F1284" s="20" t="n">
        <x:v>69</x:v>
      </x:c>
      <x:c r="G1284" s="20" t="str">
        <x:v>V1.0</x:v>
      </x:c>
      <x:c r="H1284" s="20" t="str">
        <x:v>寒燥需要兼顾暖与润</x:v>
      </x:c>
      <x:c r="I1284" s="20" t="str">
        <x:v>综合层</x:v>
      </x:c>
      <x:c r="J1284" s="20" t="str">
        <x:v>寒燥病</x:v>
      </x:c>
      <x:c r="K1284" s="20" t="str">
        <x:v>根本之病在“温度与湿度双轴”：温度偏寒而湿度偏燥，单纯加火会进一步燥枯；表层表现为“既寒凝又失润”。主药候选为“火与水择主辅并控制比例”，药理为“复合药理”；最终喜忌与主次仍转M17/M18裁决。</x:v>
      </x:c>
      <x:c r="L1284" s="20" t="str">
        <x:v>较高</x:v>
      </x:c>
      <x:c r="M1284" s="20" t="str">
        <x:v>采用</x:v>
      </x:c>
      <x:c r="N1284" s="20" t="str">
        <x:v>初审</x:v>
      </x:c>
      <x:c r="O1284" s="22" t="n">
        <x:v>46260</x:v>
      </x:c>
      <x:c r="P1284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85">
      <x:c r="A1285" s="20" t="str">
        <x:v>M16-CLIMATE-0070-V1.0</x:v>
      </x:c>
      <x:c r="B1285" s="20" t="str">
        <x:v>规则</x:v>
      </x:c>
      <x:c r="C1285" s="20" t="str">
        <x:v>M16</x:v>
      </x:c>
      <x:c r="D1285" s="20" t="str">
        <x:v>16_病药模型</x:v>
      </x:c>
      <x:c r="E1285" s="20" t="str">
        <x:v>CLIMATE</x:v>
      </x:c>
      <x:c r="F1285" s="20" t="n">
        <x:v>70</x:v>
      </x:c>
      <x:c r="G1285" s="20" t="str">
        <x:v>V1.0</x:v>
      </x:c>
      <x:c r="H1285" s="20" t="str">
        <x:v>极热导致水木失养和火炎无制</x:v>
      </x:c>
      <x:c r="I1285" s="20" t="str">
        <x:v>综合层</x:v>
      </x:c>
      <x:c r="J1285" s="20" t="str">
        <x:v>极热病</x:v>
      </x:c>
      <x:c r="K1285" s="20" t="str">
        <x:v>根本之病在“全局温度轴与水木节点”：M13极热，水弱无效，热势已影响流通与五行功能；表层表现为“水涸、木燥、土焦或金受热制”。主药候选为“水”，药理为“润”；最终喜忌与主次仍转M17/M18裁决。</x:v>
      </x:c>
      <x:c r="L1285" s="20" t="str">
        <x:v>较高</x:v>
      </x:c>
      <x:c r="M1285" s="20" t="str">
        <x:v>采用</x:v>
      </x:c>
      <x:c r="N1285" s="20" t="str">
        <x:v>初审</x:v>
      </x:c>
      <x:c r="O1285" s="22" t="n">
        <x:v>46260</x:v>
      </x:c>
      <x:c r="P1285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86">
      <x:c r="A1286" s="20" t="str">
        <x:v>M16-CLIMATE-0071-V1.0</x:v>
      </x:c>
      <x:c r="B1286" s="20" t="str">
        <x:v>规则</x:v>
      </x:c>
      <x:c r="C1286" s="20" t="str">
        <x:v>M16</x:v>
      </x:c>
      <x:c r="D1286" s="20" t="str">
        <x:v>16_病药模型</x:v>
      </x:c>
      <x:c r="E1286" s="20" t="str">
        <x:v>CLIMATE</x:v>
      </x:c>
      <x:c r="F1286" s="20" t="n">
        <x:v>71</x:v>
      </x:c>
      <x:c r="G1286" s="20" t="str">
        <x:v>V1.0</x:v>
      </x:c>
      <x:c r="H1286" s="20" t="str">
        <x:v>暖燥并重需要降温润燥</x:v>
      </x:c>
      <x:c r="I1286" s="20" t="str">
        <x:v>综合层</x:v>
      </x:c>
      <x:c r="J1286" s="20" t="str">
        <x:v>暖燥病</x:v>
      </x:c>
      <x:c r="K1286" s="20" t="str">
        <x:v>根本之病在“温度与湿度双轴”：偏暖/极热与偏燥/极燥叠加；表层表现为“木水失养、火土燥烈、流通燥枯”。主药候选为“水”，药理为“润”；最终喜忌与主次仍转M17/M18裁决。</x:v>
      </x:c>
      <x:c r="L1286" s="20" t="str">
        <x:v>较高</x:v>
      </x:c>
      <x:c r="M1286" s="20" t="str">
        <x:v>采用</x:v>
      </x:c>
      <x:c r="N1286" s="20" t="str">
        <x:v>初审</x:v>
      </x:c>
      <x:c r="O1286" s="22" t="n">
        <x:v>46260</x:v>
      </x:c>
      <x:c r="P1286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87">
      <x:c r="A1287" s="20" t="str">
        <x:v>M16-CLIMATE-0072-V1.0</x:v>
      </x:c>
      <x:c r="B1287" s="20" t="str">
        <x:v>规则</x:v>
      </x:c>
      <x:c r="C1287" s="20" t="str">
        <x:v>M16</x:v>
      </x:c>
      <x:c r="D1287" s="20" t="str">
        <x:v>16_病药模型</x:v>
      </x:c>
      <x:c r="E1287" s="20" t="str">
        <x:v>CLIMATE</x:v>
      </x:c>
      <x:c r="F1287" s="20" t="n">
        <x:v>72</x:v>
      </x:c>
      <x:c r="G1287" s="20" t="str">
        <x:v>V1.0</x:v>
      </x:c>
      <x:c r="H1287" s="20" t="str">
        <x:v>暖湿应以疏湿为主而非继续升温</x:v>
      </x:c>
      <x:c r="I1287" s="20" t="str">
        <x:v>综合层</x:v>
      </x:c>
      <x:c r="J1287" s="20" t="str">
        <x:v>暖湿病</x:v>
      </x:c>
      <x:c r="K1287" s="20" t="str">
        <x:v>根本之病在“湿度轴与湿土节点”：温度已偏暖，但湿气壅滞，继续加火可能过热；表层表现为“湿土滞气、流通不畅”。主药候选为“木疏湿或适度土性调节”，药理为“燥湿”；最终喜忌与主次仍转M17/M18裁决。</x:v>
      </x:c>
      <x:c r="L1287" s="20" t="str">
        <x:v>较高</x:v>
      </x:c>
      <x:c r="M1287" s="20" t="str">
        <x:v>采用</x:v>
      </x:c>
      <x:c r="N1287" s="20" t="str">
        <x:v>初审</x:v>
      </x:c>
      <x:c r="O1287" s="22" t="n">
        <x:v>46260</x:v>
      </x:c>
      <x:c r="P1287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88">
      <x:c r="A1288" s="20" t="str">
        <x:v>M16-CLIMATE-0073-V1.0</x:v>
      </x:c>
      <x:c r="B1288" s="20" t="str">
        <x:v>规则</x:v>
      </x:c>
      <x:c r="C1288" s="20" t="str">
        <x:v>M16</x:v>
      </x:c>
      <x:c r="D1288" s="20" t="str">
        <x:v>16_病药模型</x:v>
      </x:c>
      <x:c r="E1288" s="20" t="str">
        <x:v>CLIMATE</x:v>
      </x:c>
      <x:c r="F1288" s="20" t="n">
        <x:v>73</x:v>
      </x:c>
      <x:c r="G1288" s="20" t="str">
        <x:v>V1.0</x:v>
      </x:c>
      <x:c r="H1288" s="20" t="str">
        <x:v>极湿形成湿滞和桥梁失效</x:v>
      </x:c>
      <x:c r="I1288" s="20" t="str">
        <x:v>综合层</x:v>
      </x:c>
      <x:c r="J1288" s="20" t="str">
        <x:v>极湿病</x:v>
      </x:c>
      <x:c r="K1288" s="20" t="str">
        <x:v>根本之病在“湿度轴、湿土与水势”：水与湿土成势，火木不足，湿度极端阻断生化；表层表现为“桥梁沉滞、火受晦、终点不能承载”。主药候选为“火化湿”，药理为“燥湿”；最终喜忌与主次仍转M17/M18裁决。</x:v>
      </x:c>
      <x:c r="L1288" s="20" t="str">
        <x:v>较高</x:v>
      </x:c>
      <x:c r="M1288" s="20" t="str">
        <x:v>采用</x:v>
      </x:c>
      <x:c r="N1288" s="20" t="str">
        <x:v>初审</x:v>
      </x:c>
      <x:c r="O1288" s="22" t="n">
        <x:v>46260</x:v>
      </x:c>
      <x:c r="P1288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89">
      <x:c r="A1289" s="20" t="str">
        <x:v>M16-CLIMATE-0074-V1.0</x:v>
      </x:c>
      <x:c r="B1289" s="20" t="str">
        <x:v>规则</x:v>
      </x:c>
      <x:c r="C1289" s="20" t="str">
        <x:v>M16</x:v>
      </x:c>
      <x:c r="D1289" s="20" t="str">
        <x:v>16_病药模型</x:v>
      </x:c>
      <x:c r="E1289" s="20" t="str">
        <x:v>CLIMATE</x:v>
      </x:c>
      <x:c r="F1289" s="20" t="n">
        <x:v>74</x:v>
      </x:c>
      <x:c r="G1289" s="20" t="str">
        <x:v>V1.0</x:v>
      </x:c>
      <x:c r="H1289" s="20" t="str">
        <x:v>极燥形成燥枯和承接失败</x:v>
      </x:c>
      <x:c r="I1289" s="20" t="str">
        <x:v>综合层</x:v>
      </x:c>
      <x:c r="J1289" s="20" t="str">
        <x:v>极燥病</x:v>
      </x:c>
      <x:c r="K1289" s="20" t="str">
        <x:v>根本之病在“湿度轴与水木节点”：火燥土成势，水弱，关键五行失润；表层表现为“木枯、水涸、土燥、链路难续”。主药候选为“水润燥”，药理为“润”；最终喜忌与主次仍转M17/M18裁决。</x:v>
      </x:c>
      <x:c r="L1289" s="20" t="str">
        <x:v>较高</x:v>
      </x:c>
      <x:c r="M1289" s="20" t="str">
        <x:v>采用</x:v>
      </x:c>
      <x:c r="N1289" s="20" t="str">
        <x:v>初审</x:v>
      </x:c>
      <x:c r="O1289" s="22" t="n">
        <x:v>46260</x:v>
      </x:c>
      <x:c r="P1289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90">
      <x:c r="A1290" s="20" t="str">
        <x:v>M16-CLIMATE-0075-V1.0</x:v>
      </x:c>
      <x:c r="B1290" s="20" t="str">
        <x:v>规则</x:v>
      </x:c>
      <x:c r="C1290" s="20" t="str">
        <x:v>M16</x:v>
      </x:c>
      <x:c r="D1290" s="20" t="str">
        <x:v>16_病药模型</x:v>
      </x:c>
      <x:c r="E1290" s="20" t="str">
        <x:v>CLIMATE</x:v>
      </x:c>
      <x:c r="F1290" s="20" t="n">
        <x:v>75</x:v>
      </x:c>
      <x:c r="G1290" s="20" t="str">
        <x:v>V1.0</x:v>
      </x:c>
      <x:c r="H1290" s="20" t="str">
        <x:v>调候五行存在但无效形成名义有药无药力</x:v>
      </x:c>
      <x:c r="I1290" s="20" t="str">
        <x:v>综合层</x:v>
      </x:c>
      <x:c r="J1290" s="20" t="str">
        <x:v>调候有形无力</x:v>
      </x:c>
      <x:c r="K1290" s="20" t="str">
        <x:v>根本之病在“调候药神节点”：所需火、水、木等虽出现，但无根无源、受克、合绊或不能触达病位；表层表现为“命局看似有调候五行，实际寒热燥湿仍未改善”。主药候选为“恢复调候五行有效性”，药理为“生”；最终喜忌与主次仍转M17/M18裁决。</x:v>
      </x:c>
      <x:c r="L1290" s="20" t="str">
        <x:v>较高</x:v>
      </x:c>
      <x:c r="M1290" s="20" t="str">
        <x:v>采用</x:v>
      </x:c>
      <x:c r="N1290" s="20" t="str">
        <x:v>初审</x:v>
      </x:c>
      <x:c r="O1290" s="22" t="n">
        <x:v>46260</x:v>
      </x:c>
      <x:c r="P1290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91">
      <x:c r="A1291" s="20" t="str">
        <x:v>M16-CLIMATE-0076-V1.0</x:v>
      </x:c>
      <x:c r="B1291" s="20" t="str">
        <x:v>规则</x:v>
      </x:c>
      <x:c r="C1291" s="20" t="str">
        <x:v>M16</x:v>
      </x:c>
      <x:c r="D1291" s="20" t="str">
        <x:v>16_病药模型</x:v>
      </x:c>
      <x:c r="E1291" s="20" t="str">
        <x:v>CLIMATE</x:v>
      </x:c>
      <x:c r="F1291" s="20" t="n">
        <x:v>76</x:v>
      </x:c>
      <x:c r="G1291" s="20" t="str">
        <x:v>V1.0</x:v>
      </x:c>
      <x:c r="H1291" s="20" t="str">
        <x:v>寒暖燥湿平衡时不立调候病</x:v>
      </x:c>
      <x:c r="I1291" s="20" t="str">
        <x:v>综合层</x:v>
      </x:c>
      <x:c r="J1291" s="20" t="str">
        <x:v>调候平衡无病</x:v>
      </x:c>
      <x:c r="K1291" s="20" t="str">
        <x:v>寒暖燥湿已平衡，不另立调候病；调候不应成为主用神来源。</x:v>
      </x:c>
      <x:c r="L1291" s="20" t="str">
        <x:v>较高</x:v>
      </x:c>
      <x:c r="M1291" s="20" t="str">
        <x:v>采用</x:v>
      </x:c>
      <x:c r="N1291" s="20" t="str">
        <x:v>初审</x:v>
      </x:c>
      <x:c r="O1291" s="22" t="n">
        <x:v>46260</x:v>
      </x:c>
      <x:c r="P1291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92">
      <x:c r="A1292" s="20" t="str">
        <x:v>M16-MED-0077-V1.0</x:v>
      </x:c>
      <x:c r="B1292" s="20" t="str">
        <x:v>规则</x:v>
      </x:c>
      <x:c r="C1292" s="20" t="str">
        <x:v>M16</x:v>
      </x:c>
      <x:c r="D1292" s="20" t="str">
        <x:v>16_病药模型</x:v>
      </x:c>
      <x:c r="E1292" s="20" t="str">
        <x:v>MED</x:v>
      </x:c>
      <x:c r="F1292" s="20" t="n">
        <x:v>77</x:v>
      </x:c>
      <x:c r="G1292" s="20" t="str">
        <x:v>V1.0</x:v>
      </x:c>
      <x:c r="H1292" s="20" t="str">
        <x:v>主药按根本病位而非最显眼五行选择</x:v>
      </x:c>
      <x:c r="I1292" s="20" t="str">
        <x:v>综合层</x:v>
      </x:c>
      <x:c r="J1292" s="20" t="str">
        <x:v>根因择主药</x:v>
      </x:c>
      <x:c r="K1292" s="20" t="str">
        <x:v>根本之病在“根本病位”：表层最旺或最弱者未必是导致全局失衡的根因；表层表现为“显眼五行与根本病位不一致”。主药候选为“直接修复根因者”，药理为“复合药理”；最终喜忌与主次仍转M17/M18裁决。</x:v>
      </x:c>
      <x:c r="L1292" s="20" t="str">
        <x:v>较高</x:v>
      </x:c>
      <x:c r="M1292" s="20" t="str">
        <x:v>采用</x:v>
      </x:c>
      <x:c r="N1292" s="20" t="str">
        <x:v>初审</x:v>
      </x:c>
      <x:c r="O1292" s="22" t="n">
        <x:v>46260</x:v>
      </x:c>
      <x:c r="P1292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93">
      <x:c r="A1293" s="20" t="str">
        <x:v>M16-MED-0078-V1.0</x:v>
      </x:c>
      <x:c r="B1293" s="20" t="str">
        <x:v>规则</x:v>
      </x:c>
      <x:c r="C1293" s="20" t="str">
        <x:v>M16</x:v>
      </x:c>
      <x:c r="D1293" s="20" t="str">
        <x:v>16_病药模型</x:v>
      </x:c>
      <x:c r="E1293" s="20" t="str">
        <x:v>MED</x:v>
      </x:c>
      <x:c r="F1293" s="20" t="n">
        <x:v>78</x:v>
      </x:c>
      <x:c r="G1293" s="20" t="str">
        <x:v>V1.0</x:v>
      </x:c>
      <x:c r="H1293" s="20" t="str">
        <x:v>一药能够同时解决多个主问题时优先级提高</x:v>
      </x:c>
      <x:c r="I1293" s="20" t="str">
        <x:v>综合层</x:v>
      </x:c>
      <x:c r="J1293" s="20" t="str">
        <x:v>一药多效优先</x:v>
      </x:c>
      <x:c r="K1293" s="20" t="str">
        <x:v>根本之病在“多个同源病位”：同一五行可同时扶抑、通关、调候、护格或救应；表层表现为“多个模块给出同向候选”。主药候选为“复合收益最高且副作用可控者”，药理为“复合药理”；最终喜忌与主次仍转M17/M18裁决。</x:v>
      </x:c>
      <x:c r="L1293" s="20" t="str">
        <x:v>较高</x:v>
      </x:c>
      <x:c r="M1293" s="20" t="str">
        <x:v>采用</x:v>
      </x:c>
      <x:c r="N1293" s="20" t="str">
        <x:v>初审</x:v>
      </x:c>
      <x:c r="O1293" s="22" t="n">
        <x:v>46260</x:v>
      </x:c>
      <x:c r="P1293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94">
      <x:c r="A1294" s="20" t="str">
        <x:v>M16-MED-0079-V1.0</x:v>
      </x:c>
      <x:c r="B1294" s="20" t="str">
        <x:v>规则</x:v>
      </x:c>
      <x:c r="C1294" s="20" t="str">
        <x:v>M16</x:v>
      </x:c>
      <x:c r="D1294" s="20" t="str">
        <x:v>16_病药模型</x:v>
      </x:c>
      <x:c r="E1294" s="20" t="str">
        <x:v>MED</x:v>
      </x:c>
      <x:c r="F1294" s="20" t="n">
        <x:v>79</x:v>
      </x:c>
      <x:c r="G1294" s="20" t="str">
        <x:v>V1.0</x:v>
      </x:c>
      <x:c r="H1294" s="20" t="str">
        <x:v>辅助药应保护主药或完成主药无法独立完成的环节</x:v>
      </x:c>
      <x:c r="I1294" s="20" t="str">
        <x:v>综合层</x:v>
      </x:c>
      <x:c r="J1294" s="20" t="str">
        <x:v>辅助药配伍</x:v>
      </x:c>
      <x:c r="K1294" s="20" t="str">
        <x:v>根本之病在“主药相邻节点”：主药虽正确，但自身无根、受制或需要终点承载；表层表现为“主药候选存在但单独使用药力不足”。主药候选为“直接药神”，药理为“救应”；最终喜忌与主次仍转M17/M18裁决。</x:v>
      </x:c>
      <x:c r="L1294" s="20" t="str">
        <x:v>较高</x:v>
      </x:c>
      <x:c r="M1294" s="20" t="str">
        <x:v>采用</x:v>
      </x:c>
      <x:c r="N1294" s="20" t="str">
        <x:v>初审</x:v>
      </x:c>
      <x:c r="O1294" s="22" t="n">
        <x:v>46260</x:v>
      </x:c>
      <x:c r="P1294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95">
      <x:c r="A1295" s="20" t="str">
        <x:v>M16-MED-0080-V1.0</x:v>
      </x:c>
      <x:c r="B1295" s="20" t="str">
        <x:v>规则</x:v>
      </x:c>
      <x:c r="C1295" s="20" t="str">
        <x:v>M16</x:v>
      </x:c>
      <x:c r="D1295" s="20" t="str">
        <x:v>16_病药模型</x:v>
      </x:c>
      <x:c r="E1295" s="20" t="str">
        <x:v>MED</x:v>
      </x:c>
      <x:c r="F1295" s="20" t="n">
        <x:v>80</x:v>
      </x:c>
      <x:c r="G1295" s="20" t="str">
        <x:v>V1.0</x:v>
      </x:c>
      <x:c r="H1295" s="20" t="str">
        <x:v>药神自身必须有根有源并能够进入病位</x:v>
      </x:c>
      <x:c r="I1295" s="20" t="str">
        <x:v>综合层</x:v>
      </x:c>
      <x:c r="J1295" s="20" t="str">
        <x:v>药神有效性门槛</x:v>
      </x:c>
      <x:c r="K1295" s="20" t="str">
        <x:v>根本之病在“药神作用路径”：候选药神名义存在但无有效力量或路径；表层表现为“有药名、无药力”。主药候选为“有实际作用能力的药神”，药理为“生”；最终喜忌与主次仍转M17/M18裁决。</x:v>
      </x:c>
      <x:c r="L1295" s="20" t="str">
        <x:v>较高</x:v>
      </x:c>
      <x:c r="M1295" s="20" t="str">
        <x:v>采用</x:v>
      </x:c>
      <x:c r="N1295" s="20" t="str">
        <x:v>初审</x:v>
      </x:c>
      <x:c r="O1295" s="22" t="n">
        <x:v>46260</x:v>
      </x:c>
      <x:c r="P1295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96">
      <x:c r="A1296" s="20" t="str">
        <x:v>M16-MED-0081-V1.0</x:v>
      </x:c>
      <x:c r="B1296" s="20" t="str">
        <x:v>规则</x:v>
      </x:c>
      <x:c r="C1296" s="20" t="str">
        <x:v>M16</x:v>
      </x:c>
      <x:c r="D1296" s="20" t="str">
        <x:v>16_病药模型</x:v>
      </x:c>
      <x:c r="E1296" s="20" t="str">
        <x:v>MED</x:v>
      </x:c>
      <x:c r="F1296" s="20" t="n">
        <x:v>81</x:v>
      </x:c>
      <x:c r="G1296" s="20" t="str">
        <x:v>V1.0</x:v>
      </x:c>
      <x:c r="H1296" s="20" t="str">
        <x:v>药神作用路径越直接越适合作为主药</x:v>
      </x:c>
      <x:c r="I1296" s="20" t="str">
        <x:v>综合层</x:v>
      </x:c>
      <x:c r="J1296" s="20" t="str">
        <x:v>药路直接优先</x:v>
      </x:c>
      <x:c r="K1296" s="20" t="str">
        <x:v>根本之病在“病位—药神路径”：多个候选都能改善问题，但距离、桥梁和容量不同；表层表现为“多个可用药神候选”。主药候选为“路径更短、桥梁更稳者”，药理为“复合药理”；最终喜忌与主次仍转M17/M18裁决。</x:v>
      </x:c>
      <x:c r="L1296" s="20" t="str">
        <x:v>较高</x:v>
      </x:c>
      <x:c r="M1296" s="20" t="str">
        <x:v>采用</x:v>
      </x:c>
      <x:c r="N1296" s="20" t="str">
        <x:v>初审</x:v>
      </x:c>
      <x:c r="O1296" s="22" t="n">
        <x:v>46260</x:v>
      </x:c>
      <x:c r="P1296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97">
      <x:c r="A1297" s="20" t="str">
        <x:v>M16-MED-0082-V1.0</x:v>
      </x:c>
      <x:c r="B1297" s="20" t="str">
        <x:v>规则</x:v>
      </x:c>
      <x:c r="C1297" s="20" t="str">
        <x:v>M16</x:v>
      </x:c>
      <x:c r="D1297" s="20" t="str">
        <x:v>16_病药模型</x:v>
      </x:c>
      <x:c r="E1297" s="20" t="str">
        <x:v>MED</x:v>
      </x:c>
      <x:c r="F1297" s="20" t="n">
        <x:v>82</x:v>
      </x:c>
      <x:c r="G1297" s="20" t="str">
        <x:v>V1.0</x:v>
      </x:c>
      <x:c r="H1297" s="20" t="str">
        <x:v>制杀宜印还是宜食须按日主承载与格局择路</x:v>
      </x:c>
      <x:c r="I1297" s="20" t="str">
        <x:v>综合层</x:v>
      </x:c>
      <x:c r="J1297" s="20" t="str">
        <x:v>制杀药路选择</x:v>
      </x:c>
      <x:c r="K1297" s="20" t="str">
        <x:v>根本之病在“七杀制化路线”：印化杀与食制杀均可能有效，但对日主和格局副作用不同；表层表现为“七杀压力”。主药候选为“印星或食神择优”，药理为“复合药理”；最终喜忌与主次仍转M17/M18裁决。</x:v>
      </x:c>
      <x:c r="L1297" s="20" t="str">
        <x:v>较高</x:v>
      </x:c>
      <x:c r="M1297" s="20" t="str">
        <x:v>采用</x:v>
      </x:c>
      <x:c r="N1297" s="20" t="str">
        <x:v>初审</x:v>
      </x:c>
      <x:c r="O1297" s="22" t="n">
        <x:v>46260</x:v>
      </x:c>
      <x:c r="P1297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98">
      <x:c r="A1298" s="20" t="str">
        <x:v>M16-MED-0083-V1.0</x:v>
      </x:c>
      <x:c r="B1298" s="20" t="str">
        <x:v>规则</x:v>
      </x:c>
      <x:c r="C1298" s="20" t="str">
        <x:v>M16</x:v>
      </x:c>
      <x:c r="D1298" s="20" t="str">
        <x:v>16_病药模型</x:v>
      </x:c>
      <x:c r="E1298" s="20" t="str">
        <x:v>MED</x:v>
      </x:c>
      <x:c r="F1298" s="20" t="n">
        <x:v>83</x:v>
      </x:c>
      <x:c r="G1298" s="20" t="str">
        <x:v>V1.0</x:v>
      </x:c>
      <x:c r="H1298" s="20" t="str">
        <x:v>先修复桥梁再增强终点适用于流通型病</x:v>
      </x:c>
      <x:c r="I1298" s="20" t="str">
        <x:v>综合层</x:v>
      </x:c>
      <x:c r="J1298" s="20" t="str">
        <x:v>先桥后终点</x:v>
      </x:c>
      <x:c r="K1298" s="20" t="str">
        <x:v>根本之病在“桥梁→终点”：终点弱是由上游桥梁失效造成，直接补终点无法建立持续来源；表层表现为“终点承载不足”。主药候选为“先恢复关键桥梁”，药理为“通”；最终喜忌与主次仍转M17/M18裁决。</x:v>
      </x:c>
      <x:c r="L1298" s="20" t="str">
        <x:v>较高</x:v>
      </x:c>
      <x:c r="M1298" s="20" t="str">
        <x:v>采用</x:v>
      </x:c>
      <x:c r="N1298" s="20" t="str">
        <x:v>初审</x:v>
      </x:c>
      <x:c r="O1298" s="22" t="n">
        <x:v>46260</x:v>
      </x:c>
      <x:c r="P1298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299">
      <x:c r="A1299" s="20" t="str">
        <x:v>M16-MED-0084-V1.0</x:v>
      </x:c>
      <x:c r="B1299" s="20" t="str">
        <x:v>规则</x:v>
      </x:c>
      <x:c r="C1299" s="20" t="str">
        <x:v>M16</x:v>
      </x:c>
      <x:c r="D1299" s="20" t="str">
        <x:v>16_病药模型</x:v>
      </x:c>
      <x:c r="E1299" s="20" t="str">
        <x:v>MED</x:v>
      </x:c>
      <x:c r="F1299" s="20" t="n">
        <x:v>84</x:v>
      </x:c>
      <x:c r="G1299" s="20" t="str">
        <x:v>V1.0</x:v>
      </x:c>
      <x:c r="H1299" s="20" t="str">
        <x:v>先保护格神再处理次级旺衰适用于格局型病</x:v>
      </x:c>
      <x:c r="I1299" s="20" t="str">
        <x:v>综合层</x:v>
      </x:c>
      <x:c r="J1299" s="20" t="str">
        <x:v>护格优先</x:v>
      </x:c>
      <x:c r="K1299" s="20" t="str">
        <x:v>根本之病在“格神与次级失衡”：格神正在受损，而次级旺衰问题不影响核心运行；表层表现为“格局破损并伴随一般旺衰偏差”。主药候选为“护格或救格之神”，药理为“护格”；最终喜忌与主次仍转M17/M18裁决。</x:v>
      </x:c>
      <x:c r="L1299" s="20" t="str">
        <x:v>较高</x:v>
      </x:c>
      <x:c r="M1299" s="20" t="str">
        <x:v>采用</x:v>
      </x:c>
      <x:c r="N1299" s="20" t="str">
        <x:v>初审</x:v>
      </x:c>
      <x:c r="O1299" s="22" t="n">
        <x:v>46260</x:v>
      </x:c>
      <x:c r="P1299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300">
      <x:c r="A1300" s="20" t="str">
        <x:v>M16-MED-0085-V1.0</x:v>
      </x:c>
      <x:c r="B1300" s="20" t="str">
        <x:v>规则</x:v>
      </x:c>
      <x:c r="C1300" s="20" t="str">
        <x:v>M16</x:v>
      </x:c>
      <x:c r="D1300" s="20" t="str">
        <x:v>16_病药模型</x:v>
      </x:c>
      <x:c r="E1300" s="20" t="str">
        <x:v>MED</x:v>
      </x:c>
      <x:c r="F1300" s="20" t="n">
        <x:v>85</x:v>
      </x:c>
      <x:c r="G1300" s="20" t="str">
        <x:v>V1.0</x:v>
      </x:c>
      <x:c r="H1300" s="20" t="str">
        <x:v>调候药只有触达功能卡点才可升为主药</x:v>
      </x:c>
      <x:c r="I1300" s="20" t="str">
        <x:v>综合层</x:v>
      </x:c>
      <x:c r="J1300" s="20" t="str">
        <x:v>调候药主药门槛</x:v>
      </x:c>
      <x:c r="K1300" s="20" t="str">
        <x:v>根本之病在“气候根因与流通卡点”：寒暖燥湿不仅偏离平衡，而且是多个功能障碍共同根因；表层表现为“寒凝、燥枯、湿滞或火炎”。主药候选为“相应火、水、木等调候药”，药理为“暖”；最终喜忌与主次仍转M17/M18裁决。</x:v>
      </x:c>
      <x:c r="L1300" s="20" t="str">
        <x:v>较高</x:v>
      </x:c>
      <x:c r="M1300" s="20" t="str">
        <x:v>采用</x:v>
      </x:c>
      <x:c r="N1300" s="20" t="str">
        <x:v>初审</x:v>
      </x:c>
      <x:c r="O1300" s="22" t="n">
        <x:v>46260</x:v>
      </x:c>
      <x:c r="P1300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301">
      <x:c r="A1301" s="20" t="str">
        <x:v>M16-MED-0086-V1.0</x:v>
      </x:c>
      <x:c r="B1301" s="20" t="str">
        <x:v>规则</x:v>
      </x:c>
      <x:c r="C1301" s="20" t="str">
        <x:v>M16</x:v>
      </x:c>
      <x:c r="D1301" s="20" t="str">
        <x:v>16_病药模型</x:v>
      </x:c>
      <x:c r="E1301" s="20" t="str">
        <x:v>MED</x:v>
      </x:c>
      <x:c r="F1301" s="20" t="n">
        <x:v>86</x:v>
      </x:c>
      <x:c r="G1301" s="20" t="str">
        <x:v>V1.0</x:v>
      </x:c>
      <x:c r="H1301" s="20" t="str">
        <x:v>病药候选必须转M17矩阵而不能在M16直接定最终用神</x:v>
      </x:c>
      <x:c r="I1301" s="20" t="str">
        <x:v>综合层</x:v>
      </x:c>
      <x:c r="J1301" s="20" t="str">
        <x:v>病药非最终用神</x:v>
      </x:c>
      <x:c r="K1301" s="20" t="str">
        <x:v>M16只生成主药、辅助药和风险；最终主用、喜忌与条件性定位必须进入M17/M18。</x:v>
      </x:c>
      <x:c r="L1301" s="20" t="str">
        <x:v>较高</x:v>
      </x:c>
      <x:c r="M1301" s="20" t="str">
        <x:v>采用</x:v>
      </x:c>
      <x:c r="N1301" s="20" t="str">
        <x:v>初审</x:v>
      </x:c>
      <x:c r="O1301" s="22" t="n">
        <x:v>46260</x:v>
      </x:c>
      <x:c r="P1301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302">
      <x:c r="A1302" s="20" t="str">
        <x:v>M16-DOSE-0087-V1.0</x:v>
      </x:c>
      <x:c r="B1302" s="20" t="str">
        <x:v>规则</x:v>
      </x:c>
      <x:c r="C1302" s="20" t="str">
        <x:v>M16</x:v>
      </x:c>
      <x:c r="D1302" s="20" t="str">
        <x:v>16_病药模型</x:v>
      </x:c>
      <x:c r="E1302" s="20" t="str">
        <x:v>DOSE</x:v>
      </x:c>
      <x:c r="F1302" s="20" t="n">
        <x:v>87</x:v>
      </x:c>
      <x:c r="G1302" s="20" t="str">
        <x:v>V1.0</x:v>
      </x:c>
      <x:c r="H1302" s="20" t="str">
        <x:v>药神无根无源时只能形成名义药力</x:v>
      </x:c>
      <x:c r="I1302" s="20" t="str">
        <x:v>综合层</x:v>
      </x:c>
      <x:c r="J1302" s="20" t="str">
        <x:v>药神无根药力不足</x:v>
      </x:c>
      <x:c r="K1302" s="20" t="str">
        <x:v>根本之病在“药神根源”：药神存在但无有效根、生源或透达；表层表现为“理论能治病，实际修复有限”。主药候选为“增强药神根源”，药理为“生”；最终喜忌与主次仍转M17/M18裁决。</x:v>
      </x:c>
      <x:c r="L1302" s="20" t="str">
        <x:v>较高</x:v>
      </x:c>
      <x:c r="M1302" s="20" t="str">
        <x:v>采用</x:v>
      </x:c>
      <x:c r="N1302" s="20" t="str">
        <x:v>初审</x:v>
      </x:c>
      <x:c r="O1302" s="22" t="n">
        <x:v>46260</x:v>
      </x:c>
      <x:c r="P1302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303">
      <x:c r="A1303" s="20" t="str">
        <x:v>M16-DOSE-0088-V1.0</x:v>
      </x:c>
      <x:c r="B1303" s="20" t="str">
        <x:v>规则</x:v>
      </x:c>
      <x:c r="C1303" s="20" t="str">
        <x:v>M16</x:v>
      </x:c>
      <x:c r="D1303" s="20" t="str">
        <x:v>16_病药模型</x:v>
      </x:c>
      <x:c r="E1303" s="20" t="str">
        <x:v>DOSE</x:v>
      </x:c>
      <x:c r="F1303" s="20" t="n">
        <x:v>88</x:v>
      </x:c>
      <x:c r="G1303" s="20" t="str">
        <x:v>V1.0</x:v>
      </x:c>
      <x:c r="H1303" s="20" t="str">
        <x:v>药神被强克时药力会被截断</x:v>
      </x:c>
      <x:c r="I1303" s="20" t="str">
        <x:v>综合层</x:v>
      </x:c>
      <x:c r="J1303" s="20" t="str">
        <x:v>药神受克</x:v>
      </x:c>
      <x:c r="K1303" s="20" t="str">
        <x:v>根本之病在“药神受克节点”：克药之神有效力量高于药神；表层表现为“药神进入病位前已经被制”。主药候选为“制去克药者或改用替代药路”，药理为“制”；最终喜忌与主次仍转M17/M18裁决。</x:v>
      </x:c>
      <x:c r="L1303" s="20" t="str">
        <x:v>较高</x:v>
      </x:c>
      <x:c r="M1303" s="20" t="str">
        <x:v>采用</x:v>
      </x:c>
      <x:c r="N1303" s="20" t="str">
        <x:v>初审</x:v>
      </x:c>
      <x:c r="O1303" s="22" t="n">
        <x:v>46260</x:v>
      </x:c>
      <x:c r="P1303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304">
      <x:c r="A1304" s="20" t="str">
        <x:v>M16-DOSE-0089-V1.0</x:v>
      </x:c>
      <x:c r="B1304" s="20" t="str">
        <x:v>规则</x:v>
      </x:c>
      <x:c r="C1304" s="20" t="str">
        <x:v>M16</x:v>
      </x:c>
      <x:c r="D1304" s="20" t="str">
        <x:v>16_病药模型</x:v>
      </x:c>
      <x:c r="E1304" s="20" t="str">
        <x:v>DOSE</x:v>
      </x:c>
      <x:c r="F1304" s="20" t="n">
        <x:v>89</x:v>
      </x:c>
      <x:c r="G1304" s="20" t="str">
        <x:v>V1.0</x:v>
      </x:c>
      <x:c r="H1304" s="20" t="str">
        <x:v>药神被合绊时药力只能部分调用</x:v>
      </x:c>
      <x:c r="I1304" s="20" t="str">
        <x:v>综合层</x:v>
      </x:c>
      <x:c r="J1304" s="20" t="str">
        <x:v>药神合绊</x:v>
      </x:c>
      <x:c r="K1304" s="20" t="str">
        <x:v>根本之病在“药神被合绊节点”：药神被其他关系牵制或合住；表层表现为“药神存在但作用不稳定”。主药候选为“解合、增强独立药源或改用替代药”，药理为“救应”；最终喜忌与主次仍转M17/M18裁决。</x:v>
      </x:c>
      <x:c r="L1304" s="20" t="str">
        <x:v>较高</x:v>
      </x:c>
      <x:c r="M1304" s="20" t="str">
        <x:v>采用</x:v>
      </x:c>
      <x:c r="N1304" s="20" t="str">
        <x:v>初审</x:v>
      </x:c>
      <x:c r="O1304" s="22" t="n">
        <x:v>46260</x:v>
      </x:c>
      <x:c r="P1304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305">
      <x:c r="A1305" s="20" t="str">
        <x:v>M16-DOSE-0090-V1.0</x:v>
      </x:c>
      <x:c r="B1305" s="20" t="str">
        <x:v>规则</x:v>
      </x:c>
      <x:c r="C1305" s="20" t="str">
        <x:v>M16</x:v>
      </x:c>
      <x:c r="D1305" s="20" t="str">
        <x:v>16_病药模型</x:v>
      </x:c>
      <x:c r="E1305" s="20" t="str">
        <x:v>DOSE</x:v>
      </x:c>
      <x:c r="F1305" s="20" t="n">
        <x:v>90</x:v>
      </x:c>
      <x:c r="G1305" s="20" t="str">
        <x:v>V1.0</x:v>
      </x:c>
      <x:c r="H1305" s="20" t="str">
        <x:v>药力不足时主病会持续并转移到下游</x:v>
      </x:c>
      <x:c r="I1305" s="20" t="str">
        <x:v>综合层</x:v>
      </x:c>
      <x:c r="J1305" s="20" t="str">
        <x:v>药力不足后果</x:v>
      </x:c>
      <x:c r="K1305" s="20" t="str">
        <x:v>根本之病在“病位及下游链”：主药方向正确但力量、路径或持续性不足；表层表现为“原病部分缓解，次级卡点仍然暴露”。主药候选为“增强主药有效性”，药理为“救应”；最终喜忌与主次仍转M17/M18裁决。</x:v>
      </x:c>
      <x:c r="L1305" s="20" t="str">
        <x:v>较高</x:v>
      </x:c>
      <x:c r="M1305" s="20" t="str">
        <x:v>采用</x:v>
      </x:c>
      <x:c r="N1305" s="20" t="str">
        <x:v>初审</x:v>
      </x:c>
      <x:c r="O1305" s="22" t="n">
        <x:v>46260</x:v>
      </x:c>
      <x:c r="P1305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306">
      <x:c r="A1306" s="20" t="str">
        <x:v>M16-DOSE-0091-V1.0</x:v>
      </x:c>
      <x:c r="B1306" s="20" t="str">
        <x:v>规则</x:v>
      </x:c>
      <x:c r="C1306" s="20" t="str">
        <x:v>M16</x:v>
      </x:c>
      <x:c r="D1306" s="20" t="str">
        <x:v>16_病药模型</x:v>
      </x:c>
      <x:c r="E1306" s="20" t="str">
        <x:v>DOSE</x:v>
      </x:c>
      <x:c r="F1306" s="20" t="n">
        <x:v>91</x:v>
      </x:c>
      <x:c r="G1306" s="20" t="str">
        <x:v>V1.0</x:v>
      </x:c>
      <x:c r="H1306" s="20" t="str">
        <x:v>药力过量会跨越平衡形成反向病</x:v>
      </x:c>
      <x:c r="I1306" s="20" t="str">
        <x:v>综合层</x:v>
      </x:c>
      <x:c r="J1306" s="20" t="str">
        <x:v>药过成反病</x:v>
      </x:c>
      <x:c r="K1306" s="20" t="str">
        <x:v>根本之病在“被治疗的力量轴”：药神强度超过修复所需，使原偏差反向越界；表层表现为“由寒转热、由湿转燥、由旺转弱或由弱转旺”。主药候选为“降低药量、恢复被过度抑制一方”，药理为“救应”；最终喜忌与主次仍转M17/M18裁决。</x:v>
      </x:c>
      <x:c r="L1306" s="20" t="str">
        <x:v>较高</x:v>
      </x:c>
      <x:c r="M1306" s="20" t="str">
        <x:v>采用</x:v>
      </x:c>
      <x:c r="N1306" s="20" t="str">
        <x:v>初审</x:v>
      </x:c>
      <x:c r="O1306" s="22" t="n">
        <x:v>46260</x:v>
      </x:c>
      <x:c r="P1306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307">
      <x:c r="A1307" s="20" t="str">
        <x:v>M16-DOSE-0092-V1.0</x:v>
      </x:c>
      <x:c r="B1307" s="20" t="str">
        <x:v>规则</x:v>
      </x:c>
      <x:c r="C1307" s="20" t="str">
        <x:v>M16</x:v>
      </x:c>
      <x:c r="D1307" s="20" t="str">
        <x:v>16_病药模型</x:v>
      </x:c>
      <x:c r="E1307" s="20" t="str">
        <x:v>DOSE</x:v>
      </x:c>
      <x:c r="F1307" s="20" t="n">
        <x:v>92</x:v>
      </x:c>
      <x:c r="G1307" s="20" t="str">
        <x:v>V1.0</x:v>
      </x:c>
      <x:c r="H1307" s="20" t="str">
        <x:v>药神伤害核心格局时必须降级为条件性</x:v>
      </x:c>
      <x:c r="I1307" s="20" t="str">
        <x:v>综合层</x:v>
      </x:c>
      <x:c r="J1307" s="20" t="str">
        <x:v>药伤格局</x:v>
      </x:c>
      <x:c r="K1307" s="20" t="str">
        <x:v>根本之病在“药神—格神冲突链”：药神能治某一病，但会克、合、泄损核心格神或破坏特殊格局；表层表现为“局部病改善、格局主轴受损”。主药候选为“寻找替代药路或限量使用”，药理为“护格”；最终喜忌与主次仍转M17/M18裁决。</x:v>
      </x:c>
      <x:c r="L1307" s="20" t="str">
        <x:v>较高</x:v>
      </x:c>
      <x:c r="M1307" s="20" t="str">
        <x:v>采用</x:v>
      </x:c>
      <x:c r="N1307" s="20" t="str">
        <x:v>初审</x:v>
      </x:c>
      <x:c r="O1307" s="22" t="n">
        <x:v>46260</x:v>
      </x:c>
      <x:c r="P1307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308">
      <x:c r="A1308" s="20" t="str">
        <x:v>M16-DOSE-0093-V1.0</x:v>
      </x:c>
      <x:c r="B1308" s="20" t="str">
        <x:v>规则</x:v>
      </x:c>
      <x:c r="C1308" s="20" t="str">
        <x:v>M16</x:v>
      </x:c>
      <x:c r="D1308" s="20" t="str">
        <x:v>16_病药模型</x:v>
      </x:c>
      <x:c r="E1308" s="20" t="str">
        <x:v>DOSE</x:v>
      </x:c>
      <x:c r="F1308" s="20" t="n">
        <x:v>93</x:v>
      </x:c>
      <x:c r="G1308" s="20" t="str">
        <x:v>V1.0</x:v>
      </x:c>
      <x:c r="H1308" s="20" t="str">
        <x:v>药神解决流通却恶化调候时形成新病</x:v>
      </x:c>
      <x:c r="I1308" s="20" t="str">
        <x:v>综合层</x:v>
      </x:c>
      <x:c r="J1308" s="20" t="str">
        <x:v>通关药生调候新病</x:v>
      </x:c>
      <x:c r="K1308" s="20" t="str">
        <x:v>根本之病在“通关—调候冲突”：通关药能连接两端，但会把全局推向极寒湿或极热燥；表层表现为“流通改善、气候恶化”。主药候选为“替代通关五行或条件性限量”，药理为“复合药理”；最终喜忌与主次仍转M17/M18裁决。</x:v>
      </x:c>
      <x:c r="L1308" s="20" t="str">
        <x:v>较高</x:v>
      </x:c>
      <x:c r="M1308" s="20" t="str">
        <x:v>采用</x:v>
      </x:c>
      <x:c r="N1308" s="20" t="str">
        <x:v>初审</x:v>
      </x:c>
      <x:c r="O1308" s="22" t="n">
        <x:v>46260</x:v>
      </x:c>
      <x:c r="P1308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309">
      <x:c r="A1309" s="20" t="str">
        <x:v>M16-DOSE-0094-V1.0</x:v>
      </x:c>
      <x:c r="B1309" s="20" t="str">
        <x:v>规则</x:v>
      </x:c>
      <x:c r="C1309" s="20" t="str">
        <x:v>M16</x:v>
      </x:c>
      <x:c r="D1309" s="20" t="str">
        <x:v>16_病药模型</x:v>
      </x:c>
      <x:c r="E1309" s="20" t="str">
        <x:v>DOSE</x:v>
      </x:c>
      <x:c r="F1309" s="20" t="n">
        <x:v>94</x:v>
      </x:c>
      <x:c r="G1309" s="20" t="str">
        <x:v>V1.0</x:v>
      </x:c>
      <x:c r="H1309" s="20" t="str">
        <x:v>药神改善调候却加重日主失衡时形成新病</x:v>
      </x:c>
      <x:c r="I1309" s="20" t="str">
        <x:v>综合层</x:v>
      </x:c>
      <x:c r="J1309" s="20" t="str">
        <x:v>调候药生旺衰新病</x:v>
      </x:c>
      <x:c r="K1309" s="20" t="str">
        <x:v>根本之病在“调候—扶抑冲突”：调候五行改善寒暖燥湿，但明显增加日主过旺或过弱；表层表现为“气候改善、承载恶化”。主药候选为“限量调候或寻找间接调候路径”，药理为“复合药理”；最终喜忌与主次仍转M17/M18裁决。</x:v>
      </x:c>
      <x:c r="L1309" s="20" t="str">
        <x:v>较高</x:v>
      </x:c>
      <x:c r="M1309" s="20" t="str">
        <x:v>采用</x:v>
      </x:c>
      <x:c r="N1309" s="20" t="str">
        <x:v>初审</x:v>
      </x:c>
      <x:c r="O1309" s="22" t="n">
        <x:v>46260</x:v>
      </x:c>
      <x:c r="P1309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310">
      <x:c r="A1310" s="20" t="str">
        <x:v>M16-DOSE-0095-V1.0</x:v>
      </x:c>
      <x:c r="B1310" s="20" t="str">
        <x:v>规则</x:v>
      </x:c>
      <x:c r="C1310" s="20" t="str">
        <x:v>M16</x:v>
      </x:c>
      <x:c r="D1310" s="20" t="str">
        <x:v>16_病药模型</x:v>
      </x:c>
      <x:c r="E1310" s="20" t="str">
        <x:v>DOSE</x:v>
      </x:c>
      <x:c r="F1310" s="20" t="n">
        <x:v>95</x:v>
      </x:c>
      <x:c r="G1310" s="20" t="str">
        <x:v>V1.0</x:v>
      </x:c>
      <x:c r="H1310" s="20" t="str">
        <x:v>多药同时作用同一节点会发生容量竞争</x:v>
      </x:c>
      <x:c r="I1310" s="20" t="str">
        <x:v>综合层</x:v>
      </x:c>
      <x:c r="J1310" s="20" t="str">
        <x:v>多药容量竞争</x:v>
      </x:c>
      <x:c r="K1310" s="20" t="str">
        <x:v>根本之病在“共享药效节点”：多个药神或药理同时争夺同一五行/十神的有限作用容量；表层表现为“每个药神理论有效，合用后实际效果低于预期”。主药候选为“确定主药，次药降级”，药理为“清杂”；最终喜忌与主次仍转M17/M18裁决。</x:v>
      </x:c>
      <x:c r="L1310" s="20" t="str">
        <x:v>较高</x:v>
      </x:c>
      <x:c r="M1310" s="20" t="str">
        <x:v>采用</x:v>
      </x:c>
      <x:c r="N1310" s="20" t="str">
        <x:v>初审</x:v>
      </x:c>
      <x:c r="O1310" s="22" t="n">
        <x:v>46260</x:v>
      </x:c>
      <x:c r="P1310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311">
      <x:c r="A1311" s="20" t="str">
        <x:v>M16-DOSE-0096-V1.0</x:v>
      </x:c>
      <x:c r="B1311" s="20" t="str">
        <x:v>规则</x:v>
      </x:c>
      <x:c r="C1311" s="20" t="str">
        <x:v>M16</x:v>
      </x:c>
      <x:c r="D1311" s="20" t="str">
        <x:v>16_病药模型</x:v>
      </x:c>
      <x:c r="E1311" s="20" t="str">
        <x:v>DOSE</x:v>
      </x:c>
      <x:c r="F1311" s="20" t="n">
        <x:v>96</x:v>
      </x:c>
      <x:c r="G1311" s="20" t="str">
        <x:v>V1.0</x:v>
      </x:c>
      <x:c r="H1311" s="20" t="str">
        <x:v>药神依赖单一共享桥梁时需评估桥梁过载</x:v>
      </x:c>
      <x:c r="I1311" s="20" t="str">
        <x:v>综合层</x:v>
      </x:c>
      <x:c r="J1311" s="20" t="str">
        <x:v>药路桥梁过载</x:v>
      </x:c>
      <x:c r="K1311" s="20" t="str">
        <x:v>根本之病在“药神共享桥梁”：主药与辅助药都需经过同一中等或偏弱桥梁；表层表现为“药物组合完整但实际传递不足”。主药候选为“优先增强桥梁或简化药路”，药理为“通”；最终喜忌与主次仍转M17/M18裁决。</x:v>
      </x:c>
      <x:c r="L1311" s="20" t="str">
        <x:v>较高</x:v>
      </x:c>
      <x:c r="M1311" s="20" t="str">
        <x:v>采用</x:v>
      </x:c>
      <x:c r="N1311" s="20" t="str">
        <x:v>初审</x:v>
      </x:c>
      <x:c r="O1311" s="22" t="n">
        <x:v>46260</x:v>
      </x:c>
      <x:c r="P1311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312">
      <x:c r="A1312" s="20" t="str">
        <x:v>M16-RANK-0097-V1.0</x:v>
      </x:c>
      <x:c r="B1312" s="20" t="str">
        <x:v>规则</x:v>
      </x:c>
      <x:c r="C1312" s="20" t="str">
        <x:v>M16</x:v>
      </x:c>
      <x:c r="D1312" s="20" t="str">
        <x:v>16_病药模型</x:v>
      </x:c>
      <x:c r="E1312" s="20" t="str">
        <x:v>RANK</x:v>
      </x:c>
      <x:c r="F1312" s="20" t="n">
        <x:v>97</x:v>
      </x:c>
      <x:c r="G1312" s="20" t="str">
        <x:v>V1.0</x:v>
      </x:c>
      <x:c r="H1312" s="20" t="str">
        <x:v>共同根因能够解释多个模块问题时列根本病</x:v>
      </x:c>
      <x:c r="I1312" s="20" t="str">
        <x:v>综合层</x:v>
      </x:c>
      <x:c r="J1312" s="20" t="str">
        <x:v>共同根因优先</x:v>
      </x:c>
      <x:c r="K1312" s="20" t="str">
        <x:v>根本之病在“跨模块共同根因”：同一失衡同时导致旺衰、流通、制化、格局或调候中的多个问题；表层表现为“多个表层病并存”。主药候选为“直接修复共同根因者”，药理为“复合药理”；最终喜忌与主次仍转M17/M18裁决。</x:v>
      </x:c>
      <x:c r="L1312" s="20" t="str">
        <x:v>较高</x:v>
      </x:c>
      <x:c r="M1312" s="20" t="str">
        <x:v>采用</x:v>
      </x:c>
      <x:c r="N1312" s="20" t="str">
        <x:v>初审</x:v>
      </x:c>
      <x:c r="O1312" s="22" t="n">
        <x:v>46260</x:v>
      </x:c>
      <x:c r="P1312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313">
      <x:c r="A1313" s="20" t="str">
        <x:v>M16-RANK-0098-V1.0</x:v>
      </x:c>
      <x:c r="B1313" s="20" t="str">
        <x:v>规则</x:v>
      </x:c>
      <x:c r="C1313" s="20" t="str">
        <x:v>M16</x:v>
      </x:c>
      <x:c r="D1313" s="20" t="str">
        <x:v>16_病药模型</x:v>
      </x:c>
      <x:c r="E1313" s="20" t="str">
        <x:v>RANK</x:v>
      </x:c>
      <x:c r="F1313" s="20" t="n">
        <x:v>98</x:v>
      </x:c>
      <x:c r="G1313" s="20" t="str">
        <x:v>V1.0</x:v>
      </x:c>
      <x:c r="H1313" s="20" t="str">
        <x:v>严重度高且影响核心路径者优先于轻微偏差</x:v>
      </x:c>
      <x:c r="I1313" s="20" t="str">
        <x:v>综合层</x:v>
      </x:c>
      <x:c r="J1313" s="20" t="str">
        <x:v>严重核心病优先</x:v>
      </x:c>
      <x:c r="K1313" s="20" t="str">
        <x:v>根本之病在“主卡点/核心格神/日主承载”：多个病位严重程度不同；表层表现为“轻微旺衰偏差与严重格局/流通破坏并存”。主药候选为“优先治疗严重核心病位”，药理为“复合药理”；最终喜忌与主次仍转M17/M18裁决。</x:v>
      </x:c>
      <x:c r="L1313" s="20" t="str">
        <x:v>较高</x:v>
      </x:c>
      <x:c r="M1313" s="20" t="str">
        <x:v>采用</x:v>
      </x:c>
      <x:c r="N1313" s="20" t="str">
        <x:v>初审</x:v>
      </x:c>
      <x:c r="O1313" s="22" t="n">
        <x:v>46260</x:v>
      </x:c>
      <x:c r="P1313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314">
      <x:c r="A1314" s="20" t="str">
        <x:v>M16-RANK-0099-V1.0</x:v>
      </x:c>
      <x:c r="B1314" s="20" t="str">
        <x:v>规则</x:v>
      </x:c>
      <x:c r="C1314" s="20" t="str">
        <x:v>M16</x:v>
      </x:c>
      <x:c r="D1314" s="20" t="str">
        <x:v>16_病药模型</x:v>
      </x:c>
      <x:c r="E1314" s="20" t="str">
        <x:v>RANK</x:v>
      </x:c>
      <x:c r="F1314" s="20" t="n">
        <x:v>99</x:v>
      </x:c>
      <x:c r="G1314" s="20" t="str">
        <x:v>V1.0</x:v>
      </x:c>
      <x:c r="H1314" s="20" t="str">
        <x:v>特殊格局硬约束优先于普通扶抑病药</x:v>
      </x:c>
      <x:c r="I1314" s="20" t="str">
        <x:v>综合层</x:v>
      </x:c>
      <x:c r="J1314" s="20" t="str">
        <x:v>特殊格局病药优先</x:v>
      </x:c>
      <x:c r="K1314" s="20" t="str">
        <x:v>根本之病在“特殊格局主势”：从格、化气、专旺严格成立时普通扶抑药可能破格；表层表现为“普通旺衰与特殊格局方向冲突”。主药候选为“护持特殊格局者”，药理为“护格”；最终喜忌与主次仍转M17/M18裁决。</x:v>
      </x:c>
      <x:c r="L1314" s="20" t="str">
        <x:v>较高</x:v>
      </x:c>
      <x:c r="M1314" s="20" t="str">
        <x:v>采用</x:v>
      </x:c>
      <x:c r="N1314" s="20" t="str">
        <x:v>初审</x:v>
      </x:c>
      <x:c r="O1314" s="22" t="n">
        <x:v>46260</x:v>
      </x:c>
      <x:c r="P1314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315">
      <x:c r="A1315" s="20" t="str">
        <x:v>M16-RANK-0100-V1.0</x:v>
      </x:c>
      <x:c r="B1315" s="20" t="str">
        <x:v>规则</x:v>
      </x:c>
      <x:c r="C1315" s="20" t="str">
        <x:v>M16</x:v>
      </x:c>
      <x:c r="D1315" s="20" t="str">
        <x:v>16_病药模型</x:v>
      </x:c>
      <x:c r="E1315" s="20" t="str">
        <x:v>RANK</x:v>
      </x:c>
      <x:c r="F1315" s="20" t="n">
        <x:v>100</x:v>
      </x:c>
      <x:c r="G1315" s="20" t="str">
        <x:v>V1.0</x:v>
      </x:c>
      <x:c r="H1315" s="20" t="str">
        <x:v>表层病若由根本病自动引发应降为次级病</x:v>
      </x:c>
      <x:c r="I1315" s="20" t="str">
        <x:v>综合层</x:v>
      </x:c>
      <x:c r="J1315" s="20" t="str">
        <x:v>表层病降级</x:v>
      </x:c>
      <x:c r="K1315" s="20" t="str">
        <x:v>根本之病在“根因下游表象”：表层问题会在根因修复后自然缓解；表层表现为“例如终点弱源于桥梁断、官杀压力源于印被财坏”。主药候选为“根本病主药”，药理为“复合药理”；最终喜忌与主次仍转M17/M18裁决。</x:v>
      </x:c>
      <x:c r="L1315" s="20" t="str">
        <x:v>较高</x:v>
      </x:c>
      <x:c r="M1315" s="20" t="str">
        <x:v>采用</x:v>
      </x:c>
      <x:c r="N1315" s="20" t="str">
        <x:v>初审</x:v>
      </x:c>
      <x:c r="O1315" s="22" t="n">
        <x:v>46260</x:v>
      </x:c>
      <x:c r="P1315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316">
      <x:c r="A1316" s="20" t="str">
        <x:v>M16-RANK-0101-V1.0</x:v>
      </x:c>
      <x:c r="B1316" s="20" t="str">
        <x:v>规则</x:v>
      </x:c>
      <x:c r="C1316" s="20" t="str">
        <x:v>M16</x:v>
      </x:c>
      <x:c r="D1316" s="20" t="str">
        <x:v>16_病药模型</x:v>
      </x:c>
      <x:c r="E1316" s="20" t="str">
        <x:v>RANK</x:v>
      </x:c>
      <x:c r="F1316" s="20" t="n">
        <x:v>101</x:v>
      </x:c>
      <x:c r="G1316" s="20" t="str">
        <x:v>V1.0</x:v>
      </x:c>
      <x:c r="H1316" s="20" t="str">
        <x:v>同一原局原则上输出一个主病和一至三个次病</x:v>
      </x:c>
      <x:c r="I1316" s="20" t="str">
        <x:v>综合层</x:v>
      </x:c>
      <x:c r="J1316" s="20" t="str">
        <x:v>病位主次输出</x:v>
      </x:c>
      <x:c r="K1316" s="20" t="str">
        <x:v>M16原则上输出1个根本主病、1—3个次级病；每个病位说明与主病关系，避免把所有旺弱、刑冲和缺失都列为病。</x:v>
      </x:c>
      <x:c r="L1316" s="20" t="str">
        <x:v>较高</x:v>
      </x:c>
      <x:c r="M1316" s="20" t="str">
        <x:v>采用</x:v>
      </x:c>
      <x:c r="N1316" s="20" t="str">
        <x:v>初审</x:v>
      </x:c>
      <x:c r="O1316" s="22" t="n">
        <x:v>46260</x:v>
      </x:c>
      <x:c r="P1316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317">
      <x:c r="A1317" s="20" t="str">
        <x:v>M16-RANK-0102-V1.0</x:v>
      </x:c>
      <x:c r="B1317" s="20" t="str">
        <x:v>规则</x:v>
      </x:c>
      <x:c r="C1317" s="20" t="str">
        <x:v>M16</x:v>
      </x:c>
      <x:c r="D1317" s="20" t="str">
        <x:v>16_病药模型</x:v>
      </x:c>
      <x:c r="E1317" s="20" t="str">
        <x:v>RANK</x:v>
      </x:c>
      <x:c r="F1317" s="20" t="n">
        <x:v>102</x:v>
      </x:c>
      <x:c r="G1317" s="20" t="str">
        <x:v>V1.0</x:v>
      </x:c>
      <x:c r="H1317" s="20" t="str">
        <x:v>证据冲突大时降低置信度而不强行唯一化</x:v>
      </x:c>
      <x:c r="I1317" s="20" t="str">
        <x:v>综合层</x:v>
      </x:c>
      <x:c r="J1317" s="20" t="str">
        <x:v>病药争议降置信</x:v>
      </x:c>
      <x:c r="K1317" s="20" t="str">
        <x:v>证据接近时保留主候选与替代候选、各自成立条件和反证，不凭感觉强行唯一化。</x:v>
      </x:c>
      <x:c r="L1317" s="20" t="str">
        <x:v>中等</x:v>
      </x:c>
      <x:c r="M1317" s="20" t="str">
        <x:v>待验证</x:v>
      </x:c>
      <x:c r="N1317" s="20" t="str">
        <x:v>初审</x:v>
      </x:c>
      <x:c r="O1317" s="22" t="n">
        <x:v>46260</x:v>
      </x:c>
      <x:c r="P1317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318">
      <x:c r="A1318" s="20" t="str">
        <x:v>M16-COMPOSITE-0103-V1.0</x:v>
      </x:c>
      <x:c r="B1318" s="20" t="str">
        <x:v>规则</x:v>
      </x:c>
      <x:c r="C1318" s="20" t="str">
        <x:v>M16</x:v>
      </x:c>
      <x:c r="D1318" s="20" t="str">
        <x:v>16_病药模型</x:v>
      </x:c>
      <x:c r="E1318" s="20" t="str">
        <x:v>COMPOSITE</x:v>
      </x:c>
      <x:c r="F1318" s="20" t="n">
        <x:v>103</x:v>
      </x:c>
      <x:c r="G1318" s="20" t="str">
        <x:v>V1.0</x:v>
      </x:c>
      <x:c r="H1318" s="20" t="str">
        <x:v>旺衰病与流通病同源时以流通根因优先</x:v>
      </x:c>
      <x:c r="I1318" s="20" t="str">
        <x:v>综合层</x:v>
      </x:c>
      <x:c r="J1318" s="20" t="str">
        <x:v>旺衰流通复合病</x:v>
      </x:c>
      <x:c r="K1318" s="20" t="str">
        <x:v>根本之病在“旺强源头—失效桥梁”：某五行之所以过旺，是因下游桥梁失效而无泄；表层表现为“五行旺、源头壅塞、终点弱”。主药候选为“修复泄出桥梁”，药理为“通”；最终喜忌与主次仍转M17/M18裁决。</x:v>
      </x:c>
      <x:c r="L1318" s="20" t="str">
        <x:v>较高</x:v>
      </x:c>
      <x:c r="M1318" s="20" t="str">
        <x:v>采用</x:v>
      </x:c>
      <x:c r="N1318" s="20" t="str">
        <x:v>初审</x:v>
      </x:c>
      <x:c r="O1318" s="22" t="n">
        <x:v>46260</x:v>
      </x:c>
      <x:c r="P1318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319">
      <x:c r="A1319" s="20" t="str">
        <x:v>M16-COMPOSITE-0104-V1.0</x:v>
      </x:c>
      <x:c r="B1319" s="20" t="str">
        <x:v>规则</x:v>
      </x:c>
      <x:c r="C1319" s="20" t="str">
        <x:v>M16</x:v>
      </x:c>
      <x:c r="D1319" s="20" t="str">
        <x:v>16_病药模型</x:v>
      </x:c>
      <x:c r="E1319" s="20" t="str">
        <x:v>COMPOSITE</x:v>
      </x:c>
      <x:c r="F1319" s="20" t="n">
        <x:v>104</x:v>
      </x:c>
      <x:c r="G1319" s="20" t="str">
        <x:v>V1.0</x:v>
      </x:c>
      <x:c r="H1319" s="20" t="str">
        <x:v>制化病与格局病同源时优先保护核心制化链</x:v>
      </x:c>
      <x:c r="I1319" s="20" t="str">
        <x:v>综合层</x:v>
      </x:c>
      <x:c r="J1319" s="20" t="str">
        <x:v>制化格局复合病</x:v>
      </x:c>
      <x:c r="K1319" s="20" t="str">
        <x:v>根本之病在“格局核心制化节点”：格局破损源于食制、印化、配印或官印等核心链失效；表层表现为“制化失衡与格局成立但有破同时出现”。主药候选为“恢复核心制化节点”，药理为“护格”；最终喜忌与主次仍转M17/M18裁决。</x:v>
      </x:c>
      <x:c r="L1319" s="20" t="str">
        <x:v>较高</x:v>
      </x:c>
      <x:c r="M1319" s="20" t="str">
        <x:v>采用</x:v>
      </x:c>
      <x:c r="N1319" s="20" t="str">
        <x:v>初审</x:v>
      </x:c>
      <x:c r="O1319" s="22" t="n">
        <x:v>46260</x:v>
      </x:c>
      <x:c r="P1319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320">
      <x:c r="A1320" s="20" t="str">
        <x:v>M16-COMPOSITE-0105-V1.0</x:v>
      </x:c>
      <x:c r="B1320" s="20" t="str">
        <x:v>规则</x:v>
      </x:c>
      <x:c r="C1320" s="20" t="str">
        <x:v>M16</x:v>
      </x:c>
      <x:c r="D1320" s="20" t="str">
        <x:v>16_病药模型</x:v>
      </x:c>
      <x:c r="E1320" s="20" t="str">
        <x:v>COMPOSITE</x:v>
      </x:c>
      <x:c r="F1320" s="20" t="n">
        <x:v>105</x:v>
      </x:c>
      <x:c r="G1320" s="20" t="str">
        <x:v>V1.0</x:v>
      </x:c>
      <x:c r="H1320" s="20" t="str">
        <x:v>调候病与流通病同源时调候可上升为主药</x:v>
      </x:c>
      <x:c r="I1320" s="20" t="str">
        <x:v>综合层</x:v>
      </x:c>
      <x:c r="J1320" s="20" t="str">
        <x:v>调候流通复合病</x:v>
      </x:c>
      <x:c r="K1320" s="20" t="str">
        <x:v>根本之病在“气候根因—多个桥梁卡点”：寒凝、燥枯或湿滞同时导致多个流通节点失效；表层表现为“M13极端气候与M12多个同源卡点”。主药候选为“对应调候五行”，药理为“复合药理”；最终喜忌与主次仍转M17/M18裁决。</x:v>
      </x:c>
      <x:c r="L1320" s="20" t="str">
        <x:v>较高</x:v>
      </x:c>
      <x:c r="M1320" s="20" t="str">
        <x:v>采用</x:v>
      </x:c>
      <x:c r="N1320" s="20" t="str">
        <x:v>初审</x:v>
      </x:c>
      <x:c r="O1320" s="22" t="n">
        <x:v>46260</x:v>
      </x:c>
      <x:c r="P1320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321">
      <x:c r="A1321" s="20" t="str">
        <x:v>M16-COMPOSITE-0106-V1.0</x:v>
      </x:c>
      <x:c r="B1321" s="20" t="str">
        <x:v>规则</x:v>
      </x:c>
      <x:c r="C1321" s="20" t="str">
        <x:v>M16</x:v>
      </x:c>
      <x:c r="D1321" s="20" t="str">
        <x:v>16_病药模型</x:v>
      </x:c>
      <x:c r="E1321" s="20" t="str">
        <x:v>COMPOSITE</x:v>
      </x:c>
      <x:c r="F1321" s="20" t="n">
        <x:v>106</x:v>
      </x:c>
      <x:c r="G1321" s="20" t="str">
        <x:v>V1.0</x:v>
      </x:c>
      <x:c r="H1321" s="20" t="str">
        <x:v>多病多药冲突时必须比较净收益</x:v>
      </x:c>
      <x:c r="I1321" s="20" t="str">
        <x:v>综合层</x:v>
      </x:c>
      <x:c r="J1321" s="20" t="str">
        <x:v>多病药冲突</x:v>
      </x:c>
      <x:c r="K1321" s="20" t="str">
        <x:v>多病多药冲突时，M16只输出各药收益与风险；最终硬约束、主次和条件性由M18裁决。</x:v>
      </x:c>
      <x:c r="L1321" s="20" t="str">
        <x:v>较高</x:v>
      </x:c>
      <x:c r="M1321" s="20" t="str">
        <x:v>采用</x:v>
      </x:c>
      <x:c r="N1321" s="20" t="str">
        <x:v>初审</x:v>
      </x:c>
      <x:c r="O1321" s="22" t="n">
        <x:v>46260</x:v>
      </x:c>
      <x:c r="P1321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322">
      <x:c r="A1322" s="20" t="str">
        <x:v>M16-BOUND-0107-V1.0</x:v>
      </x:c>
      <x:c r="B1322" s="20" t="str">
        <x:v>规则</x:v>
      </x:c>
      <x:c r="C1322" s="20" t="str">
        <x:v>M16</x:v>
      </x:c>
      <x:c r="D1322" s="20" t="str">
        <x:v>16_病药模型</x:v>
      </x:c>
      <x:c r="E1322" s="20" t="str">
        <x:v>BOUND</x:v>
      </x:c>
      <x:c r="F1322" s="20" t="n">
        <x:v>107</x:v>
      </x:c>
      <x:c r="G1322" s="20" t="str">
        <x:v>V1.0</x:v>
      </x:c>
      <x:c r="H1322" s="20" t="str">
        <x:v>病药模型不能直接等同医学诊断</x:v>
      </x:c>
      <x:c r="I1322" s="20" t="str">
        <x:v>综合层</x:v>
      </x:c>
      <x:c r="J1322" s="20" t="str">
        <x:v>病药医学边界</x:v>
      </x:c>
      <x:c r="K1322" s="20" t="str">
        <x:v>M16中的“病”“药”仅指命局结构失衡与修复机制，不构成医学诊断或治疗建议。</x:v>
      </x:c>
      <x:c r="L1322" s="20" t="str">
        <x:v>较高</x:v>
      </x:c>
      <x:c r="M1322" s="20" t="str">
        <x:v>采用</x:v>
      </x:c>
      <x:c r="N1322" s="20" t="str">
        <x:v>初审</x:v>
      </x:c>
      <x:c r="O1322" s="22" t="n">
        <x:v>46260</x:v>
      </x:c>
      <x:c r="P1322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323">
      <x:c r="A1323" s="20" t="str">
        <x:v>M16-BOUND-0108-V1.0</x:v>
      </x:c>
      <x:c r="B1323" s="20" t="str">
        <x:v>规则</x:v>
      </x:c>
      <x:c r="C1323" s="20" t="str">
        <x:v>M16</x:v>
      </x:c>
      <x:c r="D1323" s="20" t="str">
        <x:v>16_病药模型</x:v>
      </x:c>
      <x:c r="E1323" s="20" t="str">
        <x:v>BOUND</x:v>
      </x:c>
      <x:c r="F1323" s="20" t="n">
        <x:v>108</x:v>
      </x:c>
      <x:c r="G1323" s="20" t="str">
        <x:v>V1.0</x:v>
      </x:c>
      <x:c r="H1323" s="20" t="str">
        <x:v>原局静态病药与岁运触发必须分开</x:v>
      </x:c>
      <x:c r="I1323" s="20" t="str">
        <x:v>综合层</x:v>
      </x:c>
      <x:c r="J1323" s="20" t="str">
        <x:v>病药静动态边界</x:v>
      </x:c>
      <x:c r="K1323" s="20" t="str">
        <x:v>M16只判断原局已有病位和药神需求；不得用未来岁运潜在补药提前改写原局结论。</x:v>
      </x:c>
      <x:c r="L1323" s="20" t="str">
        <x:v>较高</x:v>
      </x:c>
      <x:c r="M1323" s="20" t="str">
        <x:v>采用</x:v>
      </x:c>
      <x:c r="N1323" s="20" t="str">
        <x:v>初审</x:v>
      </x:c>
      <x:c r="O1323" s="22" t="n">
        <x:v>46260</x:v>
      </x:c>
      <x:c r="P1323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324">
      <x:c r="A1324" s="20" t="str">
        <x:v>M16-BOUND-0109-V1.0</x:v>
      </x:c>
      <x:c r="B1324" s="20" t="str">
        <x:v>规则</x:v>
      </x:c>
      <x:c r="C1324" s="20" t="str">
        <x:v>M16</x:v>
      </x:c>
      <x:c r="D1324" s="20" t="str">
        <x:v>16_病药模型</x:v>
      </x:c>
      <x:c r="E1324" s="20" t="str">
        <x:v>BOUND</x:v>
      </x:c>
      <x:c r="F1324" s="20" t="n">
        <x:v>109</x:v>
      </x:c>
      <x:c r="G1324" s="20" t="str">
        <x:v>V1.0</x:v>
      </x:c>
      <x:c r="H1324" s="20" t="str">
        <x:v>病药不使用固定百分比或机械总分</x:v>
      </x:c>
      <x:c r="I1324" s="20" t="str">
        <x:v>综合层</x:v>
      </x:c>
      <x:c r="J1324" s="20" t="str">
        <x:v>病药非机械计分</x:v>
      </x:c>
      <x:c r="K1324" s="20" t="str">
        <x:v>根本之病在“综合证据”：病位严重度取决于核心节点、作用路径和净效应，不是规则数量相加；表层表现为“多个证据标签并存”。主药候选为“按强证据和根因选择”，药理为“复合药理”；最终喜忌与主次仍转M17/M18裁决。</x:v>
      </x:c>
      <x:c r="L1324" s="20" t="str">
        <x:v>较高</x:v>
      </x:c>
      <x:c r="M1324" s="20" t="str">
        <x:v>采用</x:v>
      </x:c>
      <x:c r="N1324" s="20" t="str">
        <x:v>初审</x:v>
      </x:c>
      <x:c r="O1324" s="22" t="n">
        <x:v>46260</x:v>
      </x:c>
      <x:c r="P1324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325">
      <x:c r="A1325" s="20" t="str">
        <x:v>M16-BOUND-0110-V1.0</x:v>
      </x:c>
      <x:c r="B1325" s="20" t="str">
        <x:v>规则</x:v>
      </x:c>
      <x:c r="C1325" s="20" t="str">
        <x:v>M16</x:v>
      </x:c>
      <x:c r="D1325" s="20" t="str">
        <x:v>16_病药模型</x:v>
      </x:c>
      <x:c r="E1325" s="20" t="str">
        <x:v>BOUND</x:v>
      </x:c>
      <x:c r="F1325" s="20" t="n">
        <x:v>110</x:v>
      </x:c>
      <x:c r="G1325" s="20" t="str">
        <x:v>V1.0</x:v>
      </x:c>
      <x:c r="H1325" s="20" t="str">
        <x:v>M16标准输出必须说明主病、次病、主药与风险</x:v>
      </x:c>
      <x:c r="I1325" s="20" t="str">
        <x:v>综合层</x:v>
      </x:c>
      <x:c r="J1325" s="20" t="str">
        <x:v>M16标准输出</x:v>
      </x:c>
      <x:c r="K1325" s="20" t="str">
        <x:v>M16最终输出：根本主病、1—3个次病、病位、病性、根因、表层表现、严重度、主药、辅助药、药理、成立条件、禁忌、药力不足、药力过度、格局伤害、新病风险、替代药路、反向证据与置信度。</x:v>
      </x:c>
      <x:c r="L1325" s="20" t="str">
        <x:v>较高</x:v>
      </x:c>
      <x:c r="M1325" s="20" t="str">
        <x:v>采用</x:v>
      </x:c>
      <x:c r="N1325" s="20" t="str">
        <x:v>初审</x:v>
      </x:c>
      <x:c r="O1325" s="22" t="n">
        <x:v>46260</x:v>
      </x:c>
      <x:c r="P1325" s="20" t="str">
        <x:v>病药判断须把根本原因、表层表现、病位和药理分开；只有当结构失衡造成真实功能障碍时才立病。药神必须能够直接作用病位，并同时评估不足、过量、格局冲突和新病风险。参照：https://zh.wikisource.org/wiki/%E6%BB%B4%E5%A4%A9%E9%AB%93%E9%97%A1%E5%BE%AE ；https://zh.wikisource.org/zh-hans/%E6%B7%B5%E6%B5%B7%E5%AD%90%E5%B9%B3</x:v>
      </x:c>
    </x:row>
    <x:row r="1326">
      <x:c r="A1326" s="20" t="str">
        <x:v>M17-GEN-0001-V1.0</x:v>
      </x:c>
      <x:c r="B1326" s="20" t="str">
        <x:v>规则</x:v>
      </x:c>
      <x:c r="C1326" s="20" t="str">
        <x:v>M17</x:v>
      </x:c>
      <x:c r="D1326" s="20" t="str">
        <x:v>17_喜忌用神矩阵</x:v>
      </x:c>
      <x:c r="E1326" s="20" t="str">
        <x:v>GEN</x:v>
      </x:c>
      <x:c r="F1326" s="20" t="n">
        <x:v>1</x:v>
      </x:c>
      <x:c r="G1326" s="20" t="str">
        <x:v>V1.0</x:v>
      </x:c>
      <x:c r="H1326" s="20" t="str">
        <x:v>所有候选五行必须进入五维矩阵</x:v>
      </x:c>
      <x:c r="I1326" s="20" t="str">
        <x:v>综合层</x:v>
      </x:c>
      <x:c r="J1326" s="20" t="str">
        <x:v>五维矩阵前置</x:v>
      </x:c>
      <x:c r="K1326" s="20" t="str">
        <x:v>该候选五行综合定位为“待定”，优先级为“待定”。主要收益：避免单维度越级定用神；主要副作用：若证据不足则保持待定；必须逐维填写收益、冲突与副作用。</x:v>
      </x:c>
      <x:c r="L1326" s="20" t="str">
        <x:v>较高</x:v>
      </x:c>
      <x:c r="M1326" s="20" t="str">
        <x:v>采用</x:v>
      </x:c>
      <x:c r="N1326" s="20" t="str">
        <x:v>初审</x:v>
      </x:c>
      <x:c r="O1326" s="22" t="n">
        <x:v>46260</x:v>
      </x:c>
      <x:c r="P1326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27">
      <x:c r="A1327" s="20" t="str">
        <x:v>M17-GEN-0002-V1.0</x:v>
      </x:c>
      <x:c r="B1327" s="20" t="str">
        <x:v>规则</x:v>
      </x:c>
      <x:c r="C1327" s="20" t="str">
        <x:v>M17</x:v>
      </x:c>
      <x:c r="D1327" s="20" t="str">
        <x:v>17_喜忌用神矩阵</x:v>
      </x:c>
      <x:c r="E1327" s="20" t="str">
        <x:v>GEN</x:v>
      </x:c>
      <x:c r="F1327" s="20" t="n">
        <x:v>2</x:v>
      </x:c>
      <x:c r="G1327" s="20" t="str">
        <x:v>V1.0</x:v>
      </x:c>
      <x:c r="H1327" s="20" t="str">
        <x:v>单一维度有利只能生成候选</x:v>
      </x:c>
      <x:c r="I1327" s="20" t="str">
        <x:v>综合层</x:v>
      </x:c>
      <x:c r="J1327" s="20" t="str">
        <x:v>单维有利不升主用</x:v>
      </x:c>
      <x:c r="K1327" s="20" t="str">
        <x:v>该候选五行综合定位为“条件性喜神”，优先级为“条件顺位”。主要收益：保留该维度的正向价值；主要副作用：其他维度可能否定或降级；仅在其他四维无重大反对时方可采用时成立。</x:v>
      </x:c>
      <x:c r="L1327" s="20" t="str">
        <x:v>较高</x:v>
      </x:c>
      <x:c r="M1327" s="20" t="str">
        <x:v>采用</x:v>
      </x:c>
      <x:c r="N1327" s="20" t="str">
        <x:v>初审</x:v>
      </x:c>
      <x:c r="O1327" s="22" t="n">
        <x:v>46260</x:v>
      </x:c>
      <x:c r="P1327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28">
      <x:c r="A1328" s="20" t="str">
        <x:v>M17-GEN-0003-V1.0</x:v>
      </x:c>
      <x:c r="B1328" s="20" t="str">
        <x:v>规则</x:v>
      </x:c>
      <x:c r="C1328" s="20" t="str">
        <x:v>M17</x:v>
      </x:c>
      <x:c r="D1328" s="20" t="str">
        <x:v>17_喜忌用神矩阵</x:v>
      </x:c>
      <x:c r="E1328" s="20" t="str">
        <x:v>GEN</x:v>
      </x:c>
      <x:c r="F1328" s="20" t="n">
        <x:v>3</x:v>
      </x:c>
      <x:c r="G1328" s="20" t="str">
        <x:v>V1.0</x:v>
      </x:c>
      <x:c r="H1328" s="20" t="str">
        <x:v>两个以上关键维度同向可提高定位</x:v>
      </x:c>
      <x:c r="I1328" s="20" t="str">
        <x:v>综合层</x:v>
      </x:c>
      <x:c r="J1328" s="20" t="str">
        <x:v>多维同向升级</x:v>
      </x:c>
      <x:c r="K1328" s="20" t="str">
        <x:v>该候选五行综合定位为“喜神”，优先级为“第三顺位”。主要收益：一神多效，减少多药冲突；主要副作用：仍需检查是否触犯硬约束；仅在独立证据成立且无严重副作用时成立。</x:v>
      </x:c>
      <x:c r="L1328" s="20" t="str">
        <x:v>较高</x:v>
      </x:c>
      <x:c r="M1328" s="20" t="str">
        <x:v>采用</x:v>
      </x:c>
      <x:c r="N1328" s="20" t="str">
        <x:v>初审</x:v>
      </x:c>
      <x:c r="O1328" s="22" t="n">
        <x:v>46260</x:v>
      </x:c>
      <x:c r="P1328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29">
      <x:c r="A1329" s="20" t="str">
        <x:v>M17-GEN-0004-V1.0</x:v>
      </x:c>
      <x:c r="B1329" s="20" t="str">
        <x:v>规则</x:v>
      </x:c>
      <x:c r="C1329" s="20" t="str">
        <x:v>M17</x:v>
      </x:c>
      <x:c r="D1329" s="20" t="str">
        <x:v>17_喜忌用神矩阵</x:v>
      </x:c>
      <x:c r="E1329" s="20" t="str">
        <x:v>GEN</x:v>
      </x:c>
      <x:c r="F1329" s="20" t="n">
        <x:v>4</x:v>
      </x:c>
      <x:c r="G1329" s="20" t="str">
        <x:v>V1.0</x:v>
      </x:c>
      <x:c r="H1329" s="20" t="str">
        <x:v>根本病药与格局需求同向时可列主用候选</x:v>
      </x:c>
      <x:c r="I1329" s="20" t="str">
        <x:v>综合层</x:v>
      </x:c>
      <x:c r="J1329" s="20" t="str">
        <x:v>病格同向主用候选</x:v>
      </x:c>
      <x:c r="K1329" s="20" t="str">
        <x:v>该候选五行综合定位为“主用神”，优先级为“第一顺位”。主要收益：同时治根本病并维护格局；主要副作用：需控制药力过量；仅在药力可达且其他维度无硬否决时成立。</x:v>
      </x:c>
      <x:c r="L1329" s="20" t="str">
        <x:v>较高</x:v>
      </x:c>
      <x:c r="M1329" s="20" t="str">
        <x:v>采用</x:v>
      </x:c>
      <x:c r="N1329" s="20" t="str">
        <x:v>初审</x:v>
      </x:c>
      <x:c r="O1329" s="22" t="n">
        <x:v>46260</x:v>
      </x:c>
      <x:c r="P1329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30">
      <x:c r="A1330" s="20" t="str">
        <x:v>M17-GEN-0005-V1.0</x:v>
      </x:c>
      <x:c r="B1330" s="20" t="str">
        <x:v>规则</x:v>
      </x:c>
      <x:c r="C1330" s="20" t="str">
        <x:v>M17</x:v>
      </x:c>
      <x:c r="D1330" s="20" t="str">
        <x:v>17_喜忌用神矩阵</x:v>
      </x:c>
      <x:c r="E1330" s="20" t="str">
        <x:v>GEN</x:v>
      </x:c>
      <x:c r="F1330" s="20" t="n">
        <x:v>5</x:v>
      </x:c>
      <x:c r="G1330" s="20" t="str">
        <x:v>V1.0</x:v>
      </x:c>
      <x:c r="H1330" s="20" t="str">
        <x:v>特殊格局严格成立时维护主势属于硬约束</x:v>
      </x:c>
      <x:c r="I1330" s="20" t="str">
        <x:v>综合层</x:v>
      </x:c>
      <x:c r="J1330" s="20" t="str">
        <x:v>特殊格局硬约束</x:v>
      </x:c>
      <x:c r="K1330" s="20" t="str">
        <x:v>该候选五行综合定位为“主用神”，优先级为“第一顺位”。主要收益：保护特殊格局成立条件；主要副作用：可能无法完全解决普通旺衰或调候偏差；仅限严格成立的特殊格局。</x:v>
      </x:c>
      <x:c r="L1330" s="20" t="str">
        <x:v>较高</x:v>
      </x:c>
      <x:c r="M1330" s="20" t="str">
        <x:v>采用</x:v>
      </x:c>
      <x:c r="N1330" s="20" t="str">
        <x:v>初审</x:v>
      </x:c>
      <x:c r="O1330" s="22" t="n">
        <x:v>46260</x:v>
      </x:c>
      <x:c r="P1330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31">
      <x:c r="A1331" s="20" t="str">
        <x:v>M17-GEN-0006-V1.0</x:v>
      </x:c>
      <x:c r="B1331" s="20" t="str">
        <x:v>规则</x:v>
      </x:c>
      <x:c r="C1331" s="20" t="str">
        <x:v>M17</x:v>
      </x:c>
      <x:c r="D1331" s="20" t="str">
        <x:v>17_喜忌用神矩阵</x:v>
      </x:c>
      <x:c r="E1331" s="20" t="str">
        <x:v>GEN</x:v>
      </x:c>
      <x:c r="F1331" s="20" t="n">
        <x:v>6</x:v>
      </x:c>
      <x:c r="G1331" s="20" t="str">
        <x:v>V1.0</x:v>
      </x:c>
      <x:c r="H1331" s="20" t="str">
        <x:v>有利但伤害核心格局时必须降级</x:v>
      </x:c>
      <x:c r="I1331" s="20" t="str">
        <x:v>综合层</x:v>
      </x:c>
      <x:c r="J1331" s="20" t="str">
        <x:v>伤格降级</x:v>
      </x:c>
      <x:c r="K1331" s="20" t="str">
        <x:v>该候选五行综合定位为“条件性喜神”，优先级为“条件顺位”。主要收益：解决局部旺衰、流通或调候问题；主要副作用：制造更高优先级格局病。仅在不破格或存在替代保护机制时采用。</x:v>
      </x:c>
      <x:c r="L1331" s="20" t="str">
        <x:v>较高</x:v>
      </x:c>
      <x:c r="M1331" s="20" t="str">
        <x:v>采用</x:v>
      </x:c>
      <x:c r="N1331" s="20" t="str">
        <x:v>初审</x:v>
      </x:c>
      <x:c r="O1331" s="22" t="n">
        <x:v>46260</x:v>
      </x:c>
      <x:c r="P1331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32">
      <x:c r="A1332" s="20" t="str">
        <x:v>M17-GEN-0007-V1.0</x:v>
      </x:c>
      <x:c r="B1332" s="20" t="str">
        <x:v>规则</x:v>
      </x:c>
      <x:c r="C1332" s="20" t="str">
        <x:v>M17</x:v>
      </x:c>
      <x:c r="D1332" s="20" t="str">
        <x:v>17_喜忌用神矩阵</x:v>
      </x:c>
      <x:c r="E1332" s="20" t="str">
        <x:v>GEN</x:v>
      </x:c>
      <x:c r="F1332" s="20" t="n">
        <x:v>7</x:v>
      </x:c>
      <x:c r="G1332" s="20" t="str">
        <x:v>V1.0</x:v>
      </x:c>
      <x:c r="H1332" s="20" t="str">
        <x:v>能够治病但制造同级新病时保持条件性</x:v>
      </x:c>
      <x:c r="I1332" s="20" t="str">
        <x:v>综合层</x:v>
      </x:c>
      <x:c r="J1332" s="20" t="str">
        <x:v>治病生病条件化</x:v>
      </x:c>
      <x:c r="K1332" s="20" t="str">
        <x:v>该候选五行综合定位为“条件性喜神”，优先级为“条件顺位”。主要收益：缓解原根本病；主要副作用：生成同等严重的新旺衰、格局、流通或调候病；仅在净收益为正且新病风险可控时成立。</x:v>
      </x:c>
      <x:c r="L1332" s="20" t="str">
        <x:v>较高</x:v>
      </x:c>
      <x:c r="M1332" s="20" t="str">
        <x:v>采用</x:v>
      </x:c>
      <x:c r="N1332" s="20" t="str">
        <x:v>初审</x:v>
      </x:c>
      <x:c r="O1332" s="22" t="n">
        <x:v>46260</x:v>
      </x:c>
      <x:c r="P1332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33">
      <x:c r="A1333" s="20" t="str">
        <x:v>M17-GEN-0008-V1.0</x:v>
      </x:c>
      <x:c r="B1333" s="20" t="str">
        <x:v>规则</x:v>
      </x:c>
      <x:c r="C1333" s="20" t="str">
        <x:v>M17</x:v>
      </x:c>
      <x:c r="D1333" s="20" t="str">
        <x:v>17_喜忌用神矩阵</x:v>
      </x:c>
      <x:c r="E1333" s="20" t="str">
        <x:v>GEN</x:v>
      </x:c>
      <x:c r="F1333" s="20" t="n">
        <x:v>8</x:v>
      </x:c>
      <x:c r="G1333" s="20" t="str">
        <x:v>V1.0</x:v>
      </x:c>
      <x:c r="H1333" s="20" t="str">
        <x:v>无明显收益也无明显伤害时定位中性</x:v>
      </x:c>
      <x:c r="I1333" s="20" t="str">
        <x:v>综合层</x:v>
      </x:c>
      <x:c r="J1333" s="20" t="str">
        <x:v>五维中性</x:v>
      </x:c>
      <x:c r="K1333" s="20" t="str">
        <x:v>该候选五行综合定位为“中性”，优先级为“不采用”。主要收益：不明显改变主要结构；主要副作用：占用判断资源但无核心价值；不列入主要喜忌排序。</x:v>
      </x:c>
      <x:c r="L1333" s="20" t="str">
        <x:v>较高</x:v>
      </x:c>
      <x:c r="M1333" s="20" t="str">
        <x:v>采用</x:v>
      </x:c>
      <x:c r="N1333" s="20" t="str">
        <x:v>初审</x:v>
      </x:c>
      <x:c r="O1333" s="22" t="n">
        <x:v>46260</x:v>
      </x:c>
      <x:c r="P1333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34">
      <x:c r="A1334" s="20" t="str">
        <x:v>M17-GEN-0009-V1.0</x:v>
      </x:c>
      <x:c r="B1334" s="20" t="str">
        <x:v>规则</x:v>
      </x:c>
      <x:c r="C1334" s="20" t="str">
        <x:v>M17</x:v>
      </x:c>
      <x:c r="D1334" s="20" t="str">
        <x:v>17_喜忌用神矩阵</x:v>
      </x:c>
      <x:c r="E1334" s="20" t="str">
        <x:v>GEN</x:v>
      </x:c>
      <x:c r="F1334" s="20" t="n">
        <x:v>9</x:v>
      </x:c>
      <x:c r="G1334" s="20" t="str">
        <x:v>V1.0</x:v>
      </x:c>
      <x:c r="H1334" s="20" t="str">
        <x:v>收益证据与伤害证据接近时保持待定</x:v>
      </x:c>
      <x:c r="I1334" s="20" t="str">
        <x:v>综合层</x:v>
      </x:c>
      <x:c r="J1334" s="20" t="str">
        <x:v>证据接近待定</x:v>
      </x:c>
      <x:c r="K1334" s="20" t="str">
        <x:v>该候选五行综合定位为“待定”，优先级为“待定”。主要收益：可能解决一个主要问题；主要副作用：可能造成同等严重的另一问题；保留替代候选与反向证据，待M18裁决。</x:v>
      </x:c>
      <x:c r="L1334" s="20" t="str">
        <x:v>中等</x:v>
      </x:c>
      <x:c r="M1334" s="20" t="str">
        <x:v>待验证</x:v>
      </x:c>
      <x:c r="N1334" s="20" t="str">
        <x:v>初审</x:v>
      </x:c>
      <x:c r="O1334" s="22" t="n">
        <x:v>46260</x:v>
      </x:c>
      <x:c r="P1334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35">
      <x:c r="A1335" s="20" t="str">
        <x:v>M17-GEN-0010-V1.0</x:v>
      </x:c>
      <x:c r="B1335" s="20" t="str">
        <x:v>规则</x:v>
      </x:c>
      <x:c r="C1335" s="20" t="str">
        <x:v>M17</x:v>
      </x:c>
      <x:c r="D1335" s="20" t="str">
        <x:v>17_喜忌用神矩阵</x:v>
      </x:c>
      <x:c r="E1335" s="20" t="str">
        <x:v>GEN</x:v>
      </x:c>
      <x:c r="F1335" s="20" t="n">
        <x:v>10</x:v>
      </x:c>
      <x:c r="G1335" s="20" t="str">
        <x:v>V1.0</x:v>
      </x:c>
      <x:c r="H1335" s="20" t="str">
        <x:v>最终用神定位不得使用固定总分</x:v>
      </x:c>
      <x:c r="I1335" s="20" t="str">
        <x:v>综合层</x:v>
      </x:c>
      <x:c r="J1335" s="20" t="str">
        <x:v>用神非机械计分</x:v>
      </x:c>
      <x:c r="K1335" s="20" t="str">
        <x:v>该候选五行综合定位为“待定”，优先级为“待定”。主要收益：避免弱证据堆叠压过决定性条件；主要副作用：需要保留判断过程；按硬约束、根本病、主路径和副作用裁决。</x:v>
      </x:c>
      <x:c r="L1335" s="20" t="str">
        <x:v>较高</x:v>
      </x:c>
      <x:c r="M1335" s="20" t="str">
        <x:v>采用</x:v>
      </x:c>
      <x:c r="N1335" s="20" t="str">
        <x:v>初审</x:v>
      </x:c>
      <x:c r="O1335" s="22" t="n">
        <x:v>46260</x:v>
      </x:c>
      <x:c r="P1335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36">
      <x:c r="A1336" s="20" t="str">
        <x:v>M17-FUYI-0011-V1.0</x:v>
      </x:c>
      <x:c r="B1336" s="20" t="str">
        <x:v>规则</x:v>
      </x:c>
      <x:c r="C1336" s="20" t="str">
        <x:v>M17</x:v>
      </x:c>
      <x:c r="D1336" s="20" t="str">
        <x:v>17_喜忌用神矩阵</x:v>
      </x:c>
      <x:c r="E1336" s="20" t="str">
        <x:v>FUYI</x:v>
      </x:c>
      <x:c r="F1336" s="20" t="n">
        <x:v>11</x:v>
      </x:c>
      <x:c r="G1336" s="20" t="str">
        <x:v>V1.0</x:v>
      </x:c>
      <x:c r="H1336" s="20" t="str">
        <x:v>身弱无依时正印可列扶身候选</x:v>
      </x:c>
      <x:c r="I1336" s="20" t="str">
        <x:v>综合层</x:v>
      </x:c>
      <x:c r="J1336" s="20" t="str">
        <x:v>身弱正印候选</x:v>
      </x:c>
      <x:c r="K1336" s="20" t="str">
        <x:v>该候选五行综合定位为“喜神”，优先级为“第二顺位”。主要收益：补充日主根源与承载；主要副作用：印过旺可能身滞、制食伤或坏财格；仅在印不过量且不破坏关键食伤财星时成立。</x:v>
      </x:c>
      <x:c r="L1336" s="20" t="str">
        <x:v>较高</x:v>
      </x:c>
      <x:c r="M1336" s="20" t="str">
        <x:v>采用</x:v>
      </x:c>
      <x:c r="N1336" s="20" t="str">
        <x:v>初审</x:v>
      </x:c>
      <x:c r="O1336" s="22" t="n">
        <x:v>46260</x:v>
      </x:c>
      <x:c r="P1336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37">
      <x:c r="A1337" s="20" t="str">
        <x:v>M17-FUYI-0012-V1.0</x:v>
      </x:c>
      <x:c r="B1337" s="20" t="str">
        <x:v>规则</x:v>
      </x:c>
      <x:c r="C1337" s="20" t="str">
        <x:v>M17</x:v>
      </x:c>
      <x:c r="D1337" s="20" t="str">
        <x:v>17_喜忌用神矩阵</x:v>
      </x:c>
      <x:c r="E1337" s="20" t="str">
        <x:v>FUYI</x:v>
      </x:c>
      <x:c r="F1337" s="20" t="n">
        <x:v>12</x:v>
      </x:c>
      <x:c r="G1337" s="20" t="str">
        <x:v>V1.0</x:v>
      </x:c>
      <x:c r="H1337" s="20" t="str">
        <x:v>身弱且杀旺时偏印可列化杀扶身候选</x:v>
      </x:c>
      <x:c r="I1337" s="20" t="str">
        <x:v>综合层</x:v>
      </x:c>
      <x:c r="J1337" s="20" t="str">
        <x:v>身弱偏印化杀</x:v>
      </x:c>
      <x:c r="K1337" s="20" t="str">
        <x:v>该候选五行综合定位为“主用神”，优先级为“第一顺位”。主要收益：同时缓解杀压和身弱；主要副作用：可能枭夺食、压制食神制杀；仅在选择印化杀主路线且偏印不夺关键食神时成立。</x:v>
      </x:c>
      <x:c r="L1337" s="20" t="str">
        <x:v>较高</x:v>
      </x:c>
      <x:c r="M1337" s="20" t="str">
        <x:v>采用</x:v>
      </x:c>
      <x:c r="N1337" s="20" t="str">
        <x:v>初审</x:v>
      </x:c>
      <x:c r="O1337" s="22" t="n">
        <x:v>46260</x:v>
      </x:c>
      <x:c r="P1337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38">
      <x:c r="A1338" s="20" t="str">
        <x:v>M17-FUYI-0013-V1.0</x:v>
      </x:c>
      <x:c r="B1338" s="20" t="str">
        <x:v>规则</x:v>
      </x:c>
      <x:c r="C1338" s="20" t="str">
        <x:v>M17</x:v>
      </x:c>
      <x:c r="D1338" s="20" t="str">
        <x:v>17_喜忌用神矩阵</x:v>
      </x:c>
      <x:c r="E1338" s="20" t="str">
        <x:v>FUYI</x:v>
      </x:c>
      <x:c r="F1338" s="20" t="n">
        <x:v>13</x:v>
      </x:c>
      <x:c r="G1338" s="20" t="str">
        <x:v>V1.0</x:v>
      </x:c>
      <x:c r="H1338" s="20" t="str">
        <x:v>身弱财旺时比肩可列承财候选</x:v>
      </x:c>
      <x:c r="I1338" s="20" t="str">
        <x:v>综合层</x:v>
      </x:c>
      <x:c r="J1338" s="20" t="str">
        <x:v>身弱比肩承财</x:v>
      </x:c>
      <x:c r="K1338" s="20" t="str">
        <x:v>该候选五行综合定位为“喜神”，优先级为“第二顺位”。主要收益：分担财耗并稳固日主；主要副作用：比肩过旺可能争财、壅塞或破财格；仅在扶身收益大于对财星的克制副作用时成立。</x:v>
      </x:c>
      <x:c r="L1338" s="20" t="str">
        <x:v>较高</x:v>
      </x:c>
      <x:c r="M1338" s="20" t="str">
        <x:v>采用</x:v>
      </x:c>
      <x:c r="N1338" s="20" t="str">
        <x:v>初审</x:v>
      </x:c>
      <x:c r="O1338" s="22" t="n">
        <x:v>46260</x:v>
      </x:c>
      <x:c r="P1338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39">
      <x:c r="A1339" s="20" t="str">
        <x:v>M17-FUYI-0014-V1.0</x:v>
      </x:c>
      <x:c r="B1339" s="20" t="str">
        <x:v>规则</x:v>
      </x:c>
      <x:c r="C1339" s="20" t="str">
        <x:v>M17</x:v>
      </x:c>
      <x:c r="D1339" s="20" t="str">
        <x:v>17_喜忌用神矩阵</x:v>
      </x:c>
      <x:c r="E1339" s="20" t="str">
        <x:v>FUYI</x:v>
      </x:c>
      <x:c r="F1339" s="20" t="n">
        <x:v>14</x:v>
      </x:c>
      <x:c r="G1339" s="20" t="str">
        <x:v>V1.0</x:v>
      </x:c>
      <x:c r="H1339" s="20" t="str">
        <x:v>身弱财旺时劫财只能条件性护身</x:v>
      </x:c>
      <x:c r="I1339" s="20" t="str">
        <x:v>综合层</x:v>
      </x:c>
      <x:c r="J1339" s="20" t="str">
        <x:v>劫财护身条件化</x:v>
      </x:c>
      <x:c r="K1339" s="20" t="str">
        <x:v>该候选五行综合定位为“条件性喜神”，优先级为“条件顺位”。主要收益：减轻财耗、提高日主承载；主要副作用：夺财、破财格或阻断财官链；仅在只在护身需求高于护财需求时采用时成立。</x:v>
      </x:c>
      <x:c r="L1339" s="20" t="str">
        <x:v>较高</x:v>
      </x:c>
      <x:c r="M1339" s="20" t="str">
        <x:v>采用</x:v>
      </x:c>
      <x:c r="N1339" s="20" t="str">
        <x:v>初审</x:v>
      </x:c>
      <x:c r="O1339" s="22" t="n">
        <x:v>46260</x:v>
      </x:c>
      <x:c r="P1339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40">
      <x:c r="A1340" s="20" t="str">
        <x:v>M17-FUYI-0015-V1.0</x:v>
      </x:c>
      <x:c r="B1340" s="20" t="str">
        <x:v>规则</x:v>
      </x:c>
      <x:c r="C1340" s="20" t="str">
        <x:v>M17</x:v>
      </x:c>
      <x:c r="D1340" s="20" t="str">
        <x:v>17_喜忌用神矩阵</x:v>
      </x:c>
      <x:c r="E1340" s="20" t="str">
        <x:v>FUYI</x:v>
      </x:c>
      <x:c r="F1340" s="20" t="n">
        <x:v>15</x:v>
      </x:c>
      <x:c r="G1340" s="20" t="str">
        <x:v>V1.0</x:v>
      </x:c>
      <x:c r="H1340" s="20" t="str">
        <x:v>身旺无泄时食神可列泄秀候选</x:v>
      </x:c>
      <x:c r="I1340" s="20" t="str">
        <x:v>综合层</x:v>
      </x:c>
      <x:c r="J1340" s="20" t="str">
        <x:v>身旺食神泄秀</x:v>
      </x:c>
      <x:c r="K1340" s="20" t="str">
        <x:v>该候选五行综合定位为“喜神”，优先级为“第二顺位”。主要收益：提供温和持续的输出出口；主要副作用：身弱时过泄；可能受枭夺食；仅在日主有足够源头且食神不破格时成立。</x:v>
      </x:c>
      <x:c r="L1340" s="20" t="str">
        <x:v>较高</x:v>
      </x:c>
      <x:c r="M1340" s="20" t="str">
        <x:v>采用</x:v>
      </x:c>
      <x:c r="N1340" s="20" t="str">
        <x:v>初审</x:v>
      </x:c>
      <x:c r="O1340" s="22" t="n">
        <x:v>46260</x:v>
      </x:c>
      <x:c r="P1340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41">
      <x:c r="A1341" s="20" t="str">
        <x:v>M17-FUYI-0016-V1.0</x:v>
      </x:c>
      <x:c r="B1341" s="20" t="str">
        <x:v>规则</x:v>
      </x:c>
      <x:c r="C1341" s="20" t="str">
        <x:v>M17</x:v>
      </x:c>
      <x:c r="D1341" s="20" t="str">
        <x:v>17_喜忌用神矩阵</x:v>
      </x:c>
      <x:c r="E1341" s="20" t="str">
        <x:v>FUYI</x:v>
      </x:c>
      <x:c r="F1341" s="20" t="n">
        <x:v>16</x:v>
      </x:c>
      <x:c r="G1341" s="20" t="str">
        <x:v>V1.0</x:v>
      </x:c>
      <x:c r="H1341" s="20" t="str">
        <x:v>身旺且需强力输出时伤官可列泄身候选</x:v>
      </x:c>
      <x:c r="I1341" s="20" t="str">
        <x:v>综合层</x:v>
      </x:c>
      <x:c r="J1341" s="20" t="str">
        <x:v>伤官泄身条件化</x:v>
      </x:c>
      <x:c r="K1341" s="20" t="str">
        <x:v>该候选五行综合定位为“条件性喜神”，优先级为“条件顺位”。主要收益：迅速释放过强身势；主要副作用：克官、过泄或破正官格；仅在必须有生财或配印机制且不重伤官星时成立。</x:v>
      </x:c>
      <x:c r="L1341" s="20" t="str">
        <x:v>较高</x:v>
      </x:c>
      <x:c r="M1341" s="20" t="str">
        <x:v>采用</x:v>
      </x:c>
      <x:c r="N1341" s="20" t="str">
        <x:v>初审</x:v>
      </x:c>
      <x:c r="O1341" s="22" t="n">
        <x:v>46260</x:v>
      </x:c>
      <x:c r="P1341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42">
      <x:c r="A1342" s="20" t="str">
        <x:v>M17-FUYI-0017-V1.0</x:v>
      </x:c>
      <x:c r="B1342" s="20" t="str">
        <x:v>规则</x:v>
      </x:c>
      <x:c r="C1342" s="20" t="str">
        <x:v>M17</x:v>
      </x:c>
      <x:c r="D1342" s="20" t="str">
        <x:v>17_喜忌用神矩阵</x:v>
      </x:c>
      <x:c r="E1342" s="20" t="str">
        <x:v>FUYI</x:v>
      </x:c>
      <x:c r="F1342" s="20" t="n">
        <x:v>17</x:v>
      </x:c>
      <x:c r="G1342" s="20" t="str">
        <x:v>V1.0</x:v>
      </x:c>
      <x:c r="H1342" s="20" t="str">
        <x:v>身旺能任财时正财可列耗身候选</x:v>
      </x:c>
      <x:c r="I1342" s="20" t="str">
        <x:v>综合层</x:v>
      </x:c>
      <x:c r="J1342" s="20" t="str">
        <x:v>身旺正财耗身</x:v>
      </x:c>
      <x:c r="K1342" s="20" t="str">
        <x:v>该候选五行综合定位为“喜神”，优先级为“第三顺位”。主要收益：为强身提供稳定耗用终点；主要副作用：财过旺会坏印、加重身弱或生官杀；仅在日主能任且财不过度破印时成立。</x:v>
      </x:c>
      <x:c r="L1342" s="20" t="str">
        <x:v>较高</x:v>
      </x:c>
      <x:c r="M1342" s="20" t="str">
        <x:v>采用</x:v>
      </x:c>
      <x:c r="N1342" s="20" t="str">
        <x:v>初审</x:v>
      </x:c>
      <x:c r="O1342" s="22" t="n">
        <x:v>46260</x:v>
      </x:c>
      <x:c r="P1342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43">
      <x:c r="A1343" s="20" t="str">
        <x:v>M17-FUYI-0018-V1.0</x:v>
      </x:c>
      <x:c r="B1343" s="20" t="str">
        <x:v>规则</x:v>
      </x:c>
      <x:c r="C1343" s="20" t="str">
        <x:v>M17</x:v>
      </x:c>
      <x:c r="D1343" s="20" t="str">
        <x:v>17_喜忌用神矩阵</x:v>
      </x:c>
      <x:c r="E1343" s="20" t="str">
        <x:v>FUYI</x:v>
      </x:c>
      <x:c r="F1343" s="20" t="n">
        <x:v>18</x:v>
      </x:c>
      <x:c r="G1343" s="20" t="str">
        <x:v>V1.0</x:v>
      </x:c>
      <x:c r="H1343" s="20" t="str">
        <x:v>身旺时偏财可列条件性耗身候选</x:v>
      </x:c>
      <x:c r="I1343" s="20" t="str">
        <x:v>综合层</x:v>
      </x:c>
      <x:c r="J1343" s="20" t="str">
        <x:v>偏财耗身条件化</x:v>
      </x:c>
      <x:c r="K1343" s="20" t="str">
        <x:v>该候选五行综合定位为“条件性喜神”，优先级为“条件顺位”。主要收益：降低印比过旺、建立财官出口；主要副作用：可能财坏印、财滋杀或耗身过度；仅在财的净耗用收益大于坏印生杀副作用时成立。</x:v>
      </x:c>
      <x:c r="L1343" s="20" t="str">
        <x:v>较高</x:v>
      </x:c>
      <x:c r="M1343" s="20" t="str">
        <x:v>采用</x:v>
      </x:c>
      <x:c r="N1343" s="20" t="str">
        <x:v>初审</x:v>
      </x:c>
      <x:c r="O1343" s="22" t="n">
        <x:v>46260</x:v>
      </x:c>
      <x:c r="P1343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44">
      <x:c r="A1344" s="20" t="str">
        <x:v>M17-FUYI-0019-V1.0</x:v>
      </x:c>
      <x:c r="B1344" s="20" t="str">
        <x:v>规则</x:v>
      </x:c>
      <x:c r="C1344" s="20" t="str">
        <x:v>M17</x:v>
      </x:c>
      <x:c r="D1344" s="20" t="str">
        <x:v>17_喜忌用神矩阵</x:v>
      </x:c>
      <x:c r="E1344" s="20" t="str">
        <x:v>FUYI</x:v>
      </x:c>
      <x:c r="F1344" s="20" t="n">
        <x:v>19</x:v>
      </x:c>
      <x:c r="G1344" s="20" t="str">
        <x:v>V1.0</x:v>
      </x:c>
      <x:c r="H1344" s="20" t="str">
        <x:v>身旺有承载时正官可列制衡候选</x:v>
      </x:c>
      <x:c r="I1344" s="20" t="str">
        <x:v>综合层</x:v>
      </x:c>
      <x:c r="J1344" s="20" t="str">
        <x:v>身旺正官制衡</x:v>
      </x:c>
      <x:c r="K1344" s="20" t="str">
        <x:v>该候选五行综合定位为“喜神”，优先级为“第二顺位”。主要收益：约束旺身与比劫集团；主要副作用：官过旺会压身；伤官见官会冲突；仅在制身适中且官星不被重伤时成立。</x:v>
      </x:c>
      <x:c r="L1344" s="20" t="str">
        <x:v>较高</x:v>
      </x:c>
      <x:c r="M1344" s="20" t="str">
        <x:v>采用</x:v>
      </x:c>
      <x:c r="N1344" s="20" t="str">
        <x:v>初审</x:v>
      </x:c>
      <x:c r="O1344" s="22" t="n">
        <x:v>46260</x:v>
      </x:c>
      <x:c r="P1344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45">
      <x:c r="A1345" s="20" t="str">
        <x:v>M17-FUYI-0020-V1.0</x:v>
      </x:c>
      <x:c r="B1345" s="20" t="str">
        <x:v>规则</x:v>
      </x:c>
      <x:c r="C1345" s="20" t="str">
        <x:v>M17</x:v>
      </x:c>
      <x:c r="D1345" s="20" t="str">
        <x:v>17_喜忌用神矩阵</x:v>
      </x:c>
      <x:c r="E1345" s="20" t="str">
        <x:v>FUYI</x:v>
      </x:c>
      <x:c r="F1345" s="20" t="n">
        <x:v>20</x:v>
      </x:c>
      <x:c r="G1345" s="20" t="str">
        <x:v>V1.0</x:v>
      </x:c>
      <x:c r="H1345" s="20" t="str">
        <x:v>身旺刃强时七杀可列制衡候选</x:v>
      </x:c>
      <x:c r="I1345" s="20" t="str">
        <x:v>综合层</x:v>
      </x:c>
      <x:c r="J1345" s="20" t="str">
        <x:v>七杀制旺条件化</x:v>
      </x:c>
      <x:c r="K1345" s="20" t="str">
        <x:v>该候选五行综合定位为“条件性喜神”，优先级为“条件顺位”。主要收益：提供强制衡力量；主要副作用：杀过旺会攻身，需制化承载；仅在身杀匹配或有印食制化时成立。</x:v>
      </x:c>
      <x:c r="L1345" s="20" t="str">
        <x:v>较高</x:v>
      </x:c>
      <x:c r="M1345" s="20" t="str">
        <x:v>采用</x:v>
      </x:c>
      <x:c r="N1345" s="20" t="str">
        <x:v>初审</x:v>
      </x:c>
      <x:c r="O1345" s="22" t="n">
        <x:v>46260</x:v>
      </x:c>
      <x:c r="P1345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46">
      <x:c r="A1346" s="20" t="str">
        <x:v>M17-FUYI-0021-V1.0</x:v>
      </x:c>
      <x:c r="B1346" s="20" t="str">
        <x:v>规则</x:v>
      </x:c>
      <x:c r="C1346" s="20" t="str">
        <x:v>M17</x:v>
      </x:c>
      <x:c r="D1346" s="20" t="str">
        <x:v>17_喜忌用神矩阵</x:v>
      </x:c>
      <x:c r="E1346" s="20" t="str">
        <x:v>FUYI</x:v>
      </x:c>
      <x:c r="F1346" s="20" t="n">
        <x:v>21</x:v>
      </x:c>
      <x:c r="G1346" s="20" t="str">
        <x:v>V1.0</x:v>
      </x:c>
      <x:c r="H1346" s="20" t="str">
        <x:v>身弱时财官食伤通常降为负荷候选</x:v>
      </x:c>
      <x:c r="I1346" s="20" t="str">
        <x:v>综合层</x:v>
      </x:c>
      <x:c r="J1346" s="20" t="str">
        <x:v>身弱负荷端降级</x:v>
      </x:c>
      <x:c r="K1346" s="20" t="str">
        <x:v>该候选五行综合定位为“条件性忌神”，优先级为“条件顺位”。主要收益：若格局严格需要可保留局部功能；主要副作用：加重身弱与承载不足；仅在除非格局/病药有更高优先级需求时成立。</x:v>
      </x:c>
      <x:c r="L1346" s="20" t="str">
        <x:v>较高</x:v>
      </x:c>
      <x:c r="M1346" s="20" t="str">
        <x:v>采用</x:v>
      </x:c>
      <x:c r="N1346" s="20" t="str">
        <x:v>初审</x:v>
      </x:c>
      <x:c r="O1346" s="22" t="n">
        <x:v>46260</x:v>
      </x:c>
      <x:c r="P1346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47">
      <x:c r="A1347" s="20" t="str">
        <x:v>M17-FUYI-0022-V1.0</x:v>
      </x:c>
      <x:c r="B1347" s="20" t="str">
        <x:v>规则</x:v>
      </x:c>
      <x:c r="C1347" s="20" t="str">
        <x:v>M17</x:v>
      </x:c>
      <x:c r="D1347" s="20" t="str">
        <x:v>17_喜忌用神矩阵</x:v>
      </x:c>
      <x:c r="E1347" s="20" t="str">
        <x:v>FUYI</x:v>
      </x:c>
      <x:c r="F1347" s="20" t="n">
        <x:v>22</x:v>
      </x:c>
      <x:c r="G1347" s="20" t="str">
        <x:v>V1.0</x:v>
      </x:c>
      <x:c r="H1347" s="20" t="str">
        <x:v>日主中和时扶抑维度不应独占用神判断</x:v>
      </x:c>
      <x:c r="I1347" s="20" t="str">
        <x:v>综合层</x:v>
      </x:c>
      <x:c r="J1347" s="20" t="str">
        <x:v>中和扶抑降权</x:v>
      </x:c>
      <x:c r="K1347" s="20" t="str">
        <x:v>该候选五行综合定位为“中性”，优先级为“不采用”。主要收益：避免为了扶抑而人为打破中和；主要副作用：单纯扶或抑都可能制造偏差；以格局、流通、调候和病药为主要依据。</x:v>
      </x:c>
      <x:c r="L1347" s="20" t="str">
        <x:v>较高</x:v>
      </x:c>
      <x:c r="M1347" s="20" t="str">
        <x:v>采用</x:v>
      </x:c>
      <x:c r="N1347" s="20" t="str">
        <x:v>初审</x:v>
      </x:c>
      <x:c r="O1347" s="22" t="n">
        <x:v>46260</x:v>
      </x:c>
      <x:c r="P1347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48">
      <x:c r="A1348" s="20" t="str">
        <x:v>M17-GEJU-0023-V1.0</x:v>
      </x:c>
      <x:c r="B1348" s="20" t="str">
        <x:v>规则</x:v>
      </x:c>
      <x:c r="C1348" s="20" t="str">
        <x:v>M17</x:v>
      </x:c>
      <x:c r="D1348" s="20" t="str">
        <x:v>17_喜忌用神矩阵</x:v>
      </x:c>
      <x:c r="E1348" s="20" t="str">
        <x:v>GEJU</x:v>
      </x:c>
      <x:c r="F1348" s="20" t="n">
        <x:v>23</x:v>
      </x:c>
      <x:c r="G1348" s="20" t="str">
        <x:v>V1.0</x:v>
      </x:c>
      <x:c r="H1348" s="20" t="str">
        <x:v>正官格以护官和维持官印/财官链为格局用神方向</x:v>
      </x:c>
      <x:c r="I1348" s="20" t="str">
        <x:v>综合层</x:v>
      </x:c>
      <x:c r="J1348" s="20" t="str">
        <x:v>正官格护格用神</x:v>
      </x:c>
      <x:c r="K1348" s="20" t="str">
        <x:v>该候选五行综合定位为“主用神”，优先级为“第一顺位”。主要收益：维护正官格主轴；主要副作用：官过旺会压身，护官药可能伤伤官格；仅在日主能承官且护官不造成官杀过重时成立。</x:v>
      </x:c>
      <x:c r="L1348" s="20" t="str">
        <x:v>较高</x:v>
      </x:c>
      <x:c r="M1348" s="20" t="str">
        <x:v>采用</x:v>
      </x:c>
      <x:c r="N1348" s="20" t="str">
        <x:v>初审</x:v>
      </x:c>
      <x:c r="O1348" s="22" t="n">
        <x:v>46260</x:v>
      </x:c>
      <x:c r="P1348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49">
      <x:c r="A1349" s="20" t="str">
        <x:v>M17-GEJU-0024-V1.0</x:v>
      </x:c>
      <x:c r="B1349" s="20" t="str">
        <x:v>规则</x:v>
      </x:c>
      <x:c r="C1349" s="20" t="str">
        <x:v>M17</x:v>
      </x:c>
      <x:c r="D1349" s="20" t="str">
        <x:v>17_喜忌用神矩阵</x:v>
      </x:c>
      <x:c r="E1349" s="20" t="str">
        <x:v>GEJU</x:v>
      </x:c>
      <x:c r="F1349" s="20" t="n">
        <x:v>24</x:v>
      </x:c>
      <x:c r="G1349" s="20" t="str">
        <x:v>V1.0</x:v>
      </x:c>
      <x:c r="H1349" s="20" t="str">
        <x:v>七杀格以制杀或化杀的主路线为格局用神</x:v>
      </x:c>
      <x:c r="I1349" s="20" t="str">
        <x:v>综合层</x:v>
      </x:c>
      <x:c r="J1349" s="20" t="str">
        <x:v>七杀格制化用神</x:v>
      </x:c>
      <x:c r="K1349" s="20" t="str">
        <x:v>该候选五行综合定位为“主用神”，优先级为“第一顺位”。主要收益：建立稳定七杀制化结构；主要副作用：路线选择错误会泄身、夺食或印多；仅在只选净收益更高的一条主制化路线时成立。</x:v>
      </x:c>
      <x:c r="L1349" s="20" t="str">
        <x:v>较高</x:v>
      </x:c>
      <x:c r="M1349" s="20" t="str">
        <x:v>采用</x:v>
      </x:c>
      <x:c r="N1349" s="20" t="str">
        <x:v>初审</x:v>
      </x:c>
      <x:c r="O1349" s="22" t="n">
        <x:v>46260</x:v>
      </x:c>
      <x:c r="P1349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50">
      <x:c r="A1350" s="20" t="str">
        <x:v>M17-GEJU-0025-V1.0</x:v>
      </x:c>
      <x:c r="B1350" s="20" t="str">
        <x:v>规则</x:v>
      </x:c>
      <x:c r="C1350" s="20" t="str">
        <x:v>M17</x:v>
      </x:c>
      <x:c r="D1350" s="20" t="str">
        <x:v>17_喜忌用神矩阵</x:v>
      </x:c>
      <x:c r="E1350" s="20" t="str">
        <x:v>GEJU</x:v>
      </x:c>
      <x:c r="F1350" s="20" t="n">
        <x:v>25</x:v>
      </x:c>
      <x:c r="G1350" s="20" t="str">
        <x:v>V1.0</x:v>
      </x:c>
      <x:c r="H1350" s="20" t="str">
        <x:v>印格以保护印星功能并防生身过度为用神方向</x:v>
      </x:c>
      <x:c r="I1350" s="20" t="str">
        <x:v>综合层</x:v>
      </x:c>
      <x:c r="J1350" s="20" t="str">
        <x:v>印格护印用神</x:v>
      </x:c>
      <x:c r="K1350" s="20" t="str">
        <x:v>该候选五行综合定位为“主用神”，优先级为“第一顺位”。主要收益：维持生身、化杀和配印功能；主要副作用：护印过度会印多身滞、枭夺食；仅在只护持印的必要功能，不使印生过度时成立。</x:v>
      </x:c>
      <x:c r="L1350" s="20" t="str">
        <x:v>较高</x:v>
      </x:c>
      <x:c r="M1350" s="20" t="str">
        <x:v>采用</x:v>
      </x:c>
      <x:c r="N1350" s="20" t="str">
        <x:v>初审</x:v>
      </x:c>
      <x:c r="O1350" s="22" t="n">
        <x:v>46260</x:v>
      </x:c>
      <x:c r="P1350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51">
      <x:c r="A1351" s="20" t="str">
        <x:v>M17-GEJU-0026-V1.0</x:v>
      </x:c>
      <x:c r="B1351" s="20" t="str">
        <x:v>规则</x:v>
      </x:c>
      <x:c r="C1351" s="20" t="str">
        <x:v>M17</x:v>
      </x:c>
      <x:c r="D1351" s="20" t="str">
        <x:v>17_喜忌用神矩阵</x:v>
      </x:c>
      <x:c r="E1351" s="20" t="str">
        <x:v>GEJU</x:v>
      </x:c>
      <x:c r="F1351" s="20" t="n">
        <x:v>26</x:v>
      </x:c>
      <x:c r="G1351" s="20" t="str">
        <x:v>V1.0</x:v>
      </x:c>
      <x:c r="H1351" s="20" t="str">
        <x:v>财格以保护财星与日主任财能力为用神方向</x:v>
      </x:c>
      <x:c r="I1351" s="20" t="str">
        <x:v>综合层</x:v>
      </x:c>
      <x:c r="J1351" s="20" t="str">
        <x:v>财格护财用神</x:v>
      </x:c>
      <x:c r="K1351" s="20" t="str">
        <x:v>该候选五行综合定位为“主用神”，优先级为“第一顺位”。主要收益：保持财星终点与资源链；主要副作用：护财过度会财多身弱、财坏印或财滋杀；仅在财星不过度耗身、坏印或生杀时成立。</x:v>
      </x:c>
      <x:c r="L1351" s="20" t="str">
        <x:v>较高</x:v>
      </x:c>
      <x:c r="M1351" s="20" t="str">
        <x:v>采用</x:v>
      </x:c>
      <x:c r="N1351" s="20" t="str">
        <x:v>初审</x:v>
      </x:c>
      <x:c r="O1351" s="22" t="n">
        <x:v>46260</x:v>
      </x:c>
      <x:c r="P1351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52">
      <x:c r="A1352" s="20" t="str">
        <x:v>M17-GEJU-0027-V1.0</x:v>
      </x:c>
      <x:c r="B1352" s="20" t="str">
        <x:v>规则</x:v>
      </x:c>
      <x:c r="C1352" s="20" t="str">
        <x:v>M17</x:v>
      </x:c>
      <x:c r="D1352" s="20" t="str">
        <x:v>17_喜忌用神矩阵</x:v>
      </x:c>
      <x:c r="E1352" s="20" t="str">
        <x:v>GEJU</x:v>
      </x:c>
      <x:c r="F1352" s="20" t="n">
        <x:v>27</x:v>
      </x:c>
      <x:c r="G1352" s="20" t="str">
        <x:v>V1.0</x:v>
      </x:c>
      <x:c r="H1352" s="20" t="str">
        <x:v>食神格以保护食神并维持生财或制杀功能为用神方向</x:v>
      </x:c>
      <x:c r="I1352" s="20" t="str">
        <x:v>综合层</x:v>
      </x:c>
      <x:c r="J1352" s="20" t="str">
        <x:v>食神格护食用神</x:v>
      </x:c>
      <x:c r="K1352" s="20" t="str">
        <x:v>该候选五行综合定位为“主用神”，优先级为“第一顺位”。主要收益：维持温和输出与关键制化；主要副作用：日主弱时过泄，护食可能与印格冲突；仅在食神有源且不因护食而失去必要印星时成立。</x:v>
      </x:c>
      <x:c r="L1352" s="20" t="str">
        <x:v>较高</x:v>
      </x:c>
      <x:c r="M1352" s="20" t="str">
        <x:v>采用</x:v>
      </x:c>
      <x:c r="N1352" s="20" t="str">
        <x:v>初审</x:v>
      </x:c>
      <x:c r="O1352" s="22" t="n">
        <x:v>46260</x:v>
      </x:c>
      <x:c r="P1352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53">
      <x:c r="A1353" s="20" t="str">
        <x:v>M17-GEJU-0028-V1.0</x:v>
      </x:c>
      <x:c r="B1353" s="20" t="str">
        <x:v>规则</x:v>
      </x:c>
      <x:c r="C1353" s="20" t="str">
        <x:v>M17</x:v>
      </x:c>
      <x:c r="D1353" s="20" t="str">
        <x:v>17_喜忌用神矩阵</x:v>
      </x:c>
      <x:c r="E1353" s="20" t="str">
        <x:v>GEJU</x:v>
      </x:c>
      <x:c r="F1353" s="20" t="n">
        <x:v>28</x:v>
      </x:c>
      <x:c r="G1353" s="20" t="str">
        <x:v>V1.0</x:v>
      </x:c>
      <x:c r="H1353" s="20" t="str">
        <x:v>伤官格以生财或配印的稳定路线为格局用神</x:v>
      </x:c>
      <x:c r="I1353" s="20" t="str">
        <x:v>综合层</x:v>
      </x:c>
      <x:c r="J1353" s="20" t="str">
        <x:v>伤官格路线用神</x:v>
      </x:c>
      <x:c r="K1353" s="20" t="str">
        <x:v>该候选五行综合定位为“主用神”，优先级为“第一顺位”。主要收益：为伤官提供出口或约束；主要副作用：生财会耗身，配印会增身并可能制伤过度；仅在选择生财或配印中更符合日主承载的一条路线时成立。</x:v>
      </x:c>
      <x:c r="L1353" s="20" t="str">
        <x:v>较高</x:v>
      </x:c>
      <x:c r="M1353" s="20" t="str">
        <x:v>采用</x:v>
      </x:c>
      <x:c r="N1353" s="20" t="str">
        <x:v>初审</x:v>
      </x:c>
      <x:c r="O1353" s="22" t="n">
        <x:v>46260</x:v>
      </x:c>
      <x:c r="P1353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54">
      <x:c r="A1354" s="20" t="str">
        <x:v>M17-GEJU-0029-V1.0</x:v>
      </x:c>
      <x:c r="B1354" s="20" t="str">
        <x:v>规则</x:v>
      </x:c>
      <x:c r="C1354" s="20" t="str">
        <x:v>M17</x:v>
      </x:c>
      <x:c r="D1354" s="20" t="str">
        <x:v>17_喜忌用神矩阵</x:v>
      </x:c>
      <x:c r="E1354" s="20" t="str">
        <x:v>GEJU</x:v>
      </x:c>
      <x:c r="F1354" s="20" t="n">
        <x:v>29</x:v>
      </x:c>
      <x:c r="G1354" s="20" t="str">
        <x:v>V1.0</x:v>
      </x:c>
      <x:c r="H1354" s="20" t="str">
        <x:v>建禄格以建立制泄耗出口为格局用神方向</x:v>
      </x:c>
      <x:c r="I1354" s="20" t="str">
        <x:v>综合层</x:v>
      </x:c>
      <x:c r="J1354" s="20" t="str">
        <x:v>建禄格出口用神</x:v>
      </x:c>
      <x:c r="K1354" s="20" t="str">
        <x:v>该候选五行综合定位为“主用神”，优先级为“第一顺位”。主要收益：让强身有出口或制衡；主要副作用：制泄过度会由旺转弱，财官食伤各有格局风险；仅在按主路径选择食伤、官杀或财星之一为主时成立。</x:v>
      </x:c>
      <x:c r="L1354" s="20" t="str">
        <x:v>较高</x:v>
      </x:c>
      <x:c r="M1354" s="20" t="str">
        <x:v>采用</x:v>
      </x:c>
      <x:c r="N1354" s="20" t="str">
        <x:v>初审</x:v>
      </x:c>
      <x:c r="O1354" s="22" t="n">
        <x:v>46260</x:v>
      </x:c>
      <x:c r="P1354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55">
      <x:c r="A1355" s="20" t="str">
        <x:v>M17-GEJU-0030-V1.0</x:v>
      </x:c>
      <x:c r="B1355" s="20" t="str">
        <x:v>规则</x:v>
      </x:c>
      <x:c r="C1355" s="20" t="str">
        <x:v>M17</x:v>
      </x:c>
      <x:c r="D1355" s="20" t="str">
        <x:v>17_喜忌用神矩阵</x:v>
      </x:c>
      <x:c r="E1355" s="20" t="str">
        <x:v>GEJU</x:v>
      </x:c>
      <x:c r="F1355" s="20" t="n">
        <x:v>30</x:v>
      </x:c>
      <x:c r="G1355" s="20" t="str">
        <x:v>V1.0</x:v>
      </x:c>
      <x:c r="H1355" s="20" t="str">
        <x:v>羊刃格以有效制刃或泄刃为格局用神方向</x:v>
      </x:c>
      <x:c r="I1355" s="20" t="str">
        <x:v>综合层</x:v>
      </x:c>
      <x:c r="J1355" s="20" t="str">
        <x:v>羊刃格制泄用神</x:v>
      </x:c>
      <x:c r="K1355" s="20" t="str">
        <x:v>该候选五行综合定位为“主用神”，优先级为“第一顺位”。主要收益：约束强刃并保持格局运行；主要副作用：制刃太过会压身，泄刃太过会伤承载；仅在制刃或泄刃比例适中时成立。</x:v>
      </x:c>
      <x:c r="L1355" s="20" t="str">
        <x:v>较高</x:v>
      </x:c>
      <x:c r="M1355" s="20" t="str">
        <x:v>采用</x:v>
      </x:c>
      <x:c r="N1355" s="20" t="str">
        <x:v>初审</x:v>
      </x:c>
      <x:c r="O1355" s="22" t="n">
        <x:v>46260</x:v>
      </x:c>
      <x:c r="P1355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56">
      <x:c r="A1356" s="20" t="str">
        <x:v>M17-GEJU-0031-V1.0</x:v>
      </x:c>
      <x:c r="B1356" s="20" t="str">
        <x:v>规则</x:v>
      </x:c>
      <x:c r="C1356" s="20" t="str">
        <x:v>M17</x:v>
      </x:c>
      <x:c r="D1356" s="20" t="str">
        <x:v>17_喜忌用神矩阵</x:v>
      </x:c>
      <x:c r="E1356" s="20" t="str">
        <x:v>GEJU</x:v>
      </x:c>
      <x:c r="F1356" s="20" t="n">
        <x:v>31</x:v>
      </x:c>
      <x:c r="G1356" s="20" t="str">
        <x:v>V1.0</x:v>
      </x:c>
      <x:c r="H1356" s="20" t="str">
        <x:v>真从格以顺从主势者为格局用神</x:v>
      </x:c>
      <x:c r="I1356" s="20" t="str">
        <x:v>综合层</x:v>
      </x:c>
      <x:c r="J1356" s="20" t="str">
        <x:v>真从顺势用神</x:v>
      </x:c>
      <x:c r="K1356" s="20" t="str">
        <x:v>该候选五行综合定位为“主用神”，优先级为“第一顺位”。主要收益：保持特殊格局严格成立；主要副作用：可能保留一般调候或局部流通偏差；严格顺从已确认主势。</x:v>
      </x:c>
      <x:c r="L1356" s="20" t="str">
        <x:v>较高</x:v>
      </x:c>
      <x:c r="M1356" s="20" t="str">
        <x:v>采用</x:v>
      </x:c>
      <x:c r="N1356" s="20" t="str">
        <x:v>初审</x:v>
      </x:c>
      <x:c r="O1356" s="22" t="n">
        <x:v>46260</x:v>
      </x:c>
      <x:c r="P1356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57">
      <x:c r="A1357" s="20" t="str">
        <x:v>M17-GEJU-0032-V1.0</x:v>
      </x:c>
      <x:c r="B1357" s="20" t="str">
        <x:v>规则</x:v>
      </x:c>
      <x:c r="C1357" s="20" t="str">
        <x:v>M17</x:v>
      </x:c>
      <x:c r="D1357" s="20" t="str">
        <x:v>17_喜忌用神矩阵</x:v>
      </x:c>
      <x:c r="E1357" s="20" t="str">
        <x:v>GEJU</x:v>
      </x:c>
      <x:c r="F1357" s="20" t="n">
        <x:v>32</x:v>
      </x:c>
      <x:c r="G1357" s="20" t="str">
        <x:v>V1.0</x:v>
      </x:c>
      <x:c r="H1357" s="20" t="str">
        <x:v>真化格以生扶化神和清除破化因素为用神方向</x:v>
      </x:c>
      <x:c r="I1357" s="20" t="str">
        <x:v>综合层</x:v>
      </x:c>
      <x:c r="J1357" s="20" t="str">
        <x:v>真化护化神用神</x:v>
      </x:c>
      <x:c r="K1357" s="20" t="str">
        <x:v>该候选五行综合定位为“主用神”，优先级为“第一顺位”。主要收益：保护真化成立；主要副作用：若原气仍自立，强扶化神会加剧双重结构冲突；仅限真化严格成立。</x:v>
      </x:c>
      <x:c r="L1357" s="20" t="str">
        <x:v>较高</x:v>
      </x:c>
      <x:c r="M1357" s="20" t="str">
        <x:v>采用</x:v>
      </x:c>
      <x:c r="N1357" s="20" t="str">
        <x:v>初审</x:v>
      </x:c>
      <x:c r="O1357" s="22" t="n">
        <x:v>46260</x:v>
      </x:c>
      <x:c r="P1357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58">
      <x:c r="A1358" s="20" t="str">
        <x:v>M17-GEJU-0033-V1.0</x:v>
      </x:c>
      <x:c r="B1358" s="20" t="str">
        <x:v>规则</x:v>
      </x:c>
      <x:c r="C1358" s="20" t="str">
        <x:v>M17</x:v>
      </x:c>
      <x:c r="D1358" s="20" t="str">
        <x:v>17_喜忌用神矩阵</x:v>
      </x:c>
      <x:c r="E1358" s="20" t="str">
        <x:v>GEJU</x:v>
      </x:c>
      <x:c r="F1358" s="20" t="n">
        <x:v>33</x:v>
      </x:c>
      <x:c r="G1358" s="20" t="str">
        <x:v>V1.0</x:v>
      </x:c>
      <x:c r="H1358" s="20" t="str">
        <x:v>专旺格以顺一气并防有效逆神为用神方向</x:v>
      </x:c>
      <x:c r="I1358" s="20" t="str">
        <x:v>综合层</x:v>
      </x:c>
      <x:c r="J1358" s="20" t="str">
        <x:v>专旺顺势用神</x:v>
      </x:c>
      <x:c r="K1358" s="20" t="str">
        <x:v>该候选五行综合定位为“主用神”，优先级为“第一顺位”。主要收益：维持一气成象；主要副作用：顺势过度可能加剧极端调候或终点壅塞；以不破一气主势为硬条件。</x:v>
      </x:c>
      <x:c r="L1358" s="20" t="str">
        <x:v>较高</x:v>
      </x:c>
      <x:c r="M1358" s="20" t="str">
        <x:v>采用</x:v>
      </x:c>
      <x:c r="N1358" s="20" t="str">
        <x:v>初审</x:v>
      </x:c>
      <x:c r="O1358" s="22" t="n">
        <x:v>46260</x:v>
      </x:c>
      <x:c r="P1358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59">
      <x:c r="A1359" s="20" t="str">
        <x:v>M17-GEJU-0034-V1.0</x:v>
      </x:c>
      <x:c r="B1359" s="20" t="str">
        <x:v>规则</x:v>
      </x:c>
      <x:c r="C1359" s="20" t="str">
        <x:v>M17</x:v>
      </x:c>
      <x:c r="D1359" s="20" t="str">
        <x:v>17_喜忌用神矩阵</x:v>
      </x:c>
      <x:c r="E1359" s="20" t="str">
        <x:v>GEJU</x:v>
      </x:c>
      <x:c r="F1359" s="20" t="n">
        <x:v>34</x:v>
      </x:c>
      <x:c r="G1359" s="20" t="str">
        <x:v>V1.0</x:v>
      </x:c>
      <x:c r="H1359" s="20" t="str">
        <x:v>有破有救格局中的救应五行通常列辅助用神</x:v>
      </x:c>
      <x:c r="I1359" s="20" t="str">
        <x:v>综合层</x:v>
      </x:c>
      <x:c r="J1359" s="20" t="str">
        <x:v>救格辅助用神</x:v>
      </x:c>
      <x:c r="K1359" s="20" t="str">
        <x:v>该候选五行综合定位为“辅助用神”，优先级为“第二顺位”。主要收益：恢复格局主要功能；主要副作用：救应可能过度、伤害另一维度或只局部有效；仅在救应直接、有效且不过量时成立。</x:v>
      </x:c>
      <x:c r="L1359" s="20" t="str">
        <x:v>较高</x:v>
      </x:c>
      <x:c r="M1359" s="20" t="str">
        <x:v>采用</x:v>
      </x:c>
      <x:c r="N1359" s="20" t="str">
        <x:v>初审</x:v>
      </x:c>
      <x:c r="O1359" s="22" t="n">
        <x:v>46260</x:v>
      </x:c>
      <x:c r="P1359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60">
      <x:c r="A1360" s="20" t="str">
        <x:v>M17-TONGGUAN-0035-V1.0</x:v>
      </x:c>
      <x:c r="B1360" s="20" t="str">
        <x:v>规则</x:v>
      </x:c>
      <x:c r="C1360" s="20" t="str">
        <x:v>M17</x:v>
      </x:c>
      <x:c r="D1360" s="20" t="str">
        <x:v>17_喜忌用神矩阵</x:v>
      </x:c>
      <x:c r="E1360" s="20" t="str">
        <x:v>TONGGUAN</x:v>
      </x:c>
      <x:c r="F1360" s="20" t="n">
        <x:v>35</x:v>
      </x:c>
      <x:c r="G1360" s="20" t="str">
        <x:v>V1.0</x:v>
      </x:c>
      <x:c r="H1360" s="20" t="str">
        <x:v>金木相战以水通关</x:v>
      </x:c>
      <x:c r="I1360" s="20" t="str">
        <x:v>综合层</x:v>
      </x:c>
      <x:c r="J1360" s="20" t="str">
        <x:v>金木_水通关</x:v>
      </x:c>
      <x:c r="K1360" s="20" t="str">
        <x:v>水综合定位为“条件性喜神”，优先级为“条件顺位”。主要收益：泄金并生木，缓解金木两强相战；主要副作用：水过强可能寒湿、灭火或使土水冲突加重；仅在水有根有源、能同时完成双向通关且副作用可控时成立。</x:v>
      </x:c>
      <x:c r="L1360" s="20" t="str">
        <x:v>较高</x:v>
      </x:c>
      <x:c r="M1360" s="20" t="str">
        <x:v>采用</x:v>
      </x:c>
      <x:c r="N1360" s="20" t="str">
        <x:v>初审</x:v>
      </x:c>
      <x:c r="O1360" s="22" t="n">
        <x:v>46260</x:v>
      </x:c>
      <x:c r="P1360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61">
      <x:c r="A1361" s="20" t="str">
        <x:v>M17-TONGGUAN-0036-V1.0</x:v>
      </x:c>
      <x:c r="B1361" s="20" t="str">
        <x:v>规则</x:v>
      </x:c>
      <x:c r="C1361" s="20" t="str">
        <x:v>M17</x:v>
      </x:c>
      <x:c r="D1361" s="20" t="str">
        <x:v>17_喜忌用神矩阵</x:v>
      </x:c>
      <x:c r="E1361" s="20" t="str">
        <x:v>TONGGUAN</x:v>
      </x:c>
      <x:c r="F1361" s="20" t="n">
        <x:v>36</x:v>
      </x:c>
      <x:c r="G1361" s="20" t="str">
        <x:v>V1.0</x:v>
      </x:c>
      <x:c r="H1361" s="20" t="str">
        <x:v>木土相战以火通关</x:v>
      </x:c>
      <x:c r="I1361" s="20" t="str">
        <x:v>综合层</x:v>
      </x:c>
      <x:c r="J1361" s="20" t="str">
        <x:v>木土_火通关</x:v>
      </x:c>
      <x:c r="K1361" s="20" t="str">
        <x:v>火综合定位为“条件性喜神”，优先级为“条件顺位”。主要收益：泄木并生土，缓解木土两强相战；主要副作用：火过强可能热燥、耗水或破坏金格；仅在火有根有源、能同时完成双向通关且副作用可控时成立。</x:v>
      </x:c>
      <x:c r="L1361" s="20" t="str">
        <x:v>较高</x:v>
      </x:c>
      <x:c r="M1361" s="20" t="str">
        <x:v>采用</x:v>
      </x:c>
      <x:c r="N1361" s="20" t="str">
        <x:v>初审</x:v>
      </x:c>
      <x:c r="O1361" s="22" t="n">
        <x:v>46260</x:v>
      </x:c>
      <x:c r="P1361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62">
      <x:c r="A1362" s="20" t="str">
        <x:v>M17-TONGGUAN-0037-V1.0</x:v>
      </x:c>
      <x:c r="B1362" s="20" t="str">
        <x:v>规则</x:v>
      </x:c>
      <x:c r="C1362" s="20" t="str">
        <x:v>M17</x:v>
      </x:c>
      <x:c r="D1362" s="20" t="str">
        <x:v>17_喜忌用神矩阵</x:v>
      </x:c>
      <x:c r="E1362" s="20" t="str">
        <x:v>TONGGUAN</x:v>
      </x:c>
      <x:c r="F1362" s="20" t="n">
        <x:v>37</x:v>
      </x:c>
      <x:c r="G1362" s="20" t="str">
        <x:v>V1.0</x:v>
      </x:c>
      <x:c r="H1362" s="20" t="str">
        <x:v>土水相战以金通关</x:v>
      </x:c>
      <x:c r="I1362" s="20" t="str">
        <x:v>综合层</x:v>
      </x:c>
      <x:c r="J1362" s="20" t="str">
        <x:v>土水_金通关</x:v>
      </x:c>
      <x:c r="K1362" s="20" t="str">
        <x:v>金综合定位为“条件性喜神”，优先级为“条件顺位”。主要收益：泄土并生水，缓解土水两强相战；主要副作用：金过强可能克木、助水寒或破坏木格；仅在金有根有源、能同时完成双向通关且副作用可控时成立。</x:v>
      </x:c>
      <x:c r="L1362" s="20" t="str">
        <x:v>较高</x:v>
      </x:c>
      <x:c r="M1362" s="20" t="str">
        <x:v>采用</x:v>
      </x:c>
      <x:c r="N1362" s="20" t="str">
        <x:v>初审</x:v>
      </x:c>
      <x:c r="O1362" s="22" t="n">
        <x:v>46260</x:v>
      </x:c>
      <x:c r="P1362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63">
      <x:c r="A1363" s="20" t="str">
        <x:v>M17-TONGGUAN-0038-V1.0</x:v>
      </x:c>
      <x:c r="B1363" s="20" t="str">
        <x:v>规则</x:v>
      </x:c>
      <x:c r="C1363" s="20" t="str">
        <x:v>M17</x:v>
      </x:c>
      <x:c r="D1363" s="20" t="str">
        <x:v>17_喜忌用神矩阵</x:v>
      </x:c>
      <x:c r="E1363" s="20" t="str">
        <x:v>TONGGUAN</x:v>
      </x:c>
      <x:c r="F1363" s="20" t="n">
        <x:v>38</x:v>
      </x:c>
      <x:c r="G1363" s="20" t="str">
        <x:v>V1.0</x:v>
      </x:c>
      <x:c r="H1363" s="20" t="str">
        <x:v>水火相战以木通关</x:v>
      </x:c>
      <x:c r="I1363" s="20" t="str">
        <x:v>综合层</x:v>
      </x:c>
      <x:c r="J1363" s="20" t="str">
        <x:v>水火_木通关</x:v>
      </x:c>
      <x:c r="K1363" s="20" t="str">
        <x:v>木综合定位为“条件性喜神”，优先级为“条件顺位”。主要收益：泄水并生火，缓解水火两强相战；主要副作用：木过强可能生火过度、克土或加重木旺；仅在木有根有源、能同时完成双向通关且副作用可控时成立。</x:v>
      </x:c>
      <x:c r="L1363" s="20" t="str">
        <x:v>较高</x:v>
      </x:c>
      <x:c r="M1363" s="20" t="str">
        <x:v>采用</x:v>
      </x:c>
      <x:c r="N1363" s="20" t="str">
        <x:v>初审</x:v>
      </x:c>
      <x:c r="O1363" s="22" t="n">
        <x:v>46260</x:v>
      </x:c>
      <x:c r="P1363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64">
      <x:c r="A1364" s="20" t="str">
        <x:v>M17-TONGGUAN-0039-V1.0</x:v>
      </x:c>
      <x:c r="B1364" s="20" t="str">
        <x:v>规则</x:v>
      </x:c>
      <x:c r="C1364" s="20" t="str">
        <x:v>M17</x:v>
      </x:c>
      <x:c r="D1364" s="20" t="str">
        <x:v>17_喜忌用神矩阵</x:v>
      </x:c>
      <x:c r="E1364" s="20" t="str">
        <x:v>TONGGUAN</x:v>
      </x:c>
      <x:c r="F1364" s="20" t="n">
        <x:v>39</x:v>
      </x:c>
      <x:c r="G1364" s="20" t="str">
        <x:v>V1.0</x:v>
      </x:c>
      <x:c r="H1364" s="20" t="str">
        <x:v>火金相战以土通关</x:v>
      </x:c>
      <x:c r="I1364" s="20" t="str">
        <x:v>综合层</x:v>
      </x:c>
      <x:c r="J1364" s="20" t="str">
        <x:v>火金_土通关</x:v>
      </x:c>
      <x:c r="K1364" s="20" t="str">
        <x:v>土综合定位为“条件性喜神”，优先级为“条件顺位”。主要收益：泄火并生金，缓解火金两强相战；主要副作用：土过强可能晦火、克水或形成湿燥土壅塞；仅在土有根有源、能同时完成双向通关且副作用可控时成立。</x:v>
      </x:c>
      <x:c r="L1364" s="20" t="str">
        <x:v>较高</x:v>
      </x:c>
      <x:c r="M1364" s="20" t="str">
        <x:v>采用</x:v>
      </x:c>
      <x:c r="N1364" s="20" t="str">
        <x:v>初审</x:v>
      </x:c>
      <x:c r="O1364" s="22" t="n">
        <x:v>46260</x:v>
      </x:c>
      <x:c r="P1364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65">
      <x:c r="A1365" s="20" t="str">
        <x:v>M17-TONGGUAN-0040-V1.0</x:v>
      </x:c>
      <x:c r="B1365" s="20" t="str">
        <x:v>规则</x:v>
      </x:c>
      <x:c r="C1365" s="20" t="str">
        <x:v>M17</x:v>
      </x:c>
      <x:c r="D1365" s="20" t="str">
        <x:v>17_喜忌用神矩阵</x:v>
      </x:c>
      <x:c r="E1365" s="20" t="str">
        <x:v>TONGGUAN</x:v>
      </x:c>
      <x:c r="F1365" s="20" t="n">
        <x:v>40</x:v>
      </x:c>
      <x:c r="G1365" s="20" t="str">
        <x:v>V1.0</x:v>
      </x:c>
      <x:c r="H1365" s="20" t="str">
        <x:v>通关五行有根有源且兼治主病时可升级</x:v>
      </x:c>
      <x:c r="I1365" s="20" t="str">
        <x:v>综合层</x:v>
      </x:c>
      <x:c r="J1365" s="20" t="str">
        <x:v>通关病药同向升级</x:v>
      </x:c>
      <x:c r="K1365" s="20" t="str">
        <x:v>该候选五行综合定位为“主用神”，优先级为“第一顺位”。主要收益：通关与病药一神多效；主要副作用：仍需防药力过量；仅在通关解决根本主病且无硬冲突时成立。</x:v>
      </x:c>
      <x:c r="L1365" s="20" t="str">
        <x:v>较高</x:v>
      </x:c>
      <x:c r="M1365" s="20" t="str">
        <x:v>采用</x:v>
      </x:c>
      <x:c r="N1365" s="20" t="str">
        <x:v>初审</x:v>
      </x:c>
      <x:c r="O1365" s="22" t="n">
        <x:v>46260</x:v>
      </x:c>
      <x:c r="P1365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66">
      <x:c r="A1366" s="20" t="str">
        <x:v>M17-TONGGUAN-0041-V1.0</x:v>
      </x:c>
      <x:c r="B1366" s="20" t="str">
        <x:v>规则</x:v>
      </x:c>
      <x:c r="C1366" s="20" t="str">
        <x:v>M17</x:v>
      </x:c>
      <x:c r="D1366" s="20" t="str">
        <x:v>17_喜忌用神矩阵</x:v>
      </x:c>
      <x:c r="E1366" s="20" t="str">
        <x:v>TONGGUAN</x:v>
      </x:c>
      <x:c r="F1366" s="20" t="n">
        <x:v>41</x:v>
      </x:c>
      <x:c r="G1366" s="20" t="str">
        <x:v>V1.0</x:v>
      </x:c>
      <x:c r="H1366" s="20" t="str">
        <x:v>通关五行无根无源时只列弱候选</x:v>
      </x:c>
      <x:c r="I1366" s="20" t="str">
        <x:v>综合层</x:v>
      </x:c>
      <x:c r="J1366" s="20" t="str">
        <x:v>弱通关候选</x:v>
      </x:c>
      <x:c r="K1366" s="20" t="str">
        <x:v>该候选五行综合定位为“条件性喜神”，优先级为“条件顺位”。主要收益：提供潜在路径方向；主要副作用：无力时不能承担主用，增强后又可能制造副作用；仅在先满足有根有源和可达病位的条件时成立。</x:v>
      </x:c>
      <x:c r="L1366" s="20" t="str">
        <x:v>较高</x:v>
      </x:c>
      <x:c r="M1366" s="20" t="str">
        <x:v>采用</x:v>
      </x:c>
      <x:c r="N1366" s="20" t="str">
        <x:v>初审</x:v>
      </x:c>
      <x:c r="O1366" s="22" t="n">
        <x:v>46260</x:v>
      </x:c>
      <x:c r="P1366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67">
      <x:c r="A1367" s="20" t="str">
        <x:v>M17-TONGGUAN-0042-V1.0</x:v>
      </x:c>
      <x:c r="B1367" s="20" t="str">
        <x:v>规则</x:v>
      </x:c>
      <x:c r="C1367" s="20" t="str">
        <x:v>M17</x:v>
      </x:c>
      <x:c r="D1367" s="20" t="str">
        <x:v>17_喜忌用神矩阵</x:v>
      </x:c>
      <x:c r="E1367" s="20" t="str">
        <x:v>TONGGUAN</x:v>
      </x:c>
      <x:c r="F1367" s="20" t="n">
        <x:v>42</x:v>
      </x:c>
      <x:c r="G1367" s="20" t="str">
        <x:v>V1.0</x:v>
      </x:c>
      <x:c r="H1367" s="20" t="str">
        <x:v>通关五行破坏核心格局时降为条件性或不采用</x:v>
      </x:c>
      <x:c r="I1367" s="20" t="str">
        <x:v>综合层</x:v>
      </x:c>
      <x:c r="J1367" s="20" t="str">
        <x:v>通关伤格降级</x:v>
      </x:c>
      <x:c r="K1367" s="20" t="str">
        <x:v>该候选五行综合定位为“条件性喜神”，优先级为“条件顺位”。主要收益：缓解两强相战或缺桥；主要副作用：制造更高优先级格局病；仅在不破格或净收益经M18确认时成立。</x:v>
      </x:c>
      <x:c r="L1367" s="20" t="str">
        <x:v>较高</x:v>
      </x:c>
      <x:c r="M1367" s="20" t="str">
        <x:v>采用</x:v>
      </x:c>
      <x:c r="N1367" s="20" t="str">
        <x:v>初审</x:v>
      </x:c>
      <x:c r="O1367" s="22" t="n">
        <x:v>46260</x:v>
      </x:c>
      <x:c r="P1367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68">
      <x:c r="A1368" s="20" t="str">
        <x:v>M17-TONGGUAN-0043-V1.0</x:v>
      </x:c>
      <x:c r="B1368" s="20" t="str">
        <x:v>规则</x:v>
      </x:c>
      <x:c r="C1368" s="20" t="str">
        <x:v>M17</x:v>
      </x:c>
      <x:c r="D1368" s="20" t="str">
        <x:v>17_喜忌用神矩阵</x:v>
      </x:c>
      <x:c r="E1368" s="20" t="str">
        <x:v>TONGGUAN</x:v>
      </x:c>
      <x:c r="F1368" s="20" t="n">
        <x:v>43</x:v>
      </x:c>
      <x:c r="G1368" s="20" t="str">
        <x:v>V1.0</x:v>
      </x:c>
      <x:c r="H1368" s="20" t="str">
        <x:v>通关五行恶化极端气候时不得列无条件喜用</x:v>
      </x:c>
      <x:c r="I1368" s="20" t="str">
        <x:v>综合层</x:v>
      </x:c>
      <x:c r="J1368" s="20" t="str">
        <x:v>通关调候冲突</x:v>
      </x:c>
      <x:c r="K1368" s="20" t="str">
        <x:v>该候选五行综合定位为“条件性喜神”，优先级为“条件顺位”。主要收益：修复流通卡点；主要副作用：形成首要调候病；仅在通关净收益高于调候损害时成立。</x:v>
      </x:c>
      <x:c r="L1368" s="20" t="str">
        <x:v>较高</x:v>
      </x:c>
      <x:c r="M1368" s="20" t="str">
        <x:v>采用</x:v>
      </x:c>
      <x:c r="N1368" s="20" t="str">
        <x:v>初审</x:v>
      </x:c>
      <x:c r="O1368" s="22" t="n">
        <x:v>46260</x:v>
      </x:c>
      <x:c r="P1368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69">
      <x:c r="A1369" s="20" t="str">
        <x:v>M17-TONGGUAN-0044-V1.0</x:v>
      </x:c>
      <x:c r="B1369" s="20" t="str">
        <x:v>规则</x:v>
      </x:c>
      <x:c r="C1369" s="20" t="str">
        <x:v>M17</x:v>
      </x:c>
      <x:c r="D1369" s="20" t="str">
        <x:v>17_喜忌用神矩阵</x:v>
      </x:c>
      <x:c r="E1369" s="20" t="str">
        <x:v>TONGGUAN</x:v>
      </x:c>
      <x:c r="F1369" s="20" t="n">
        <x:v>44</x:v>
      </x:c>
      <x:c r="G1369" s="20" t="str">
        <x:v>V1.0</x:v>
      </x:c>
      <x:c r="H1369" s="20" t="str">
        <x:v>两端并非都强时不立两强通关用神</x:v>
      </x:c>
      <x:c r="I1369" s="20" t="str">
        <x:v>综合层</x:v>
      </x:c>
      <x:c r="J1369" s="20" t="str">
        <x:v>非两强不通关</x:v>
      </x:c>
      <x:c r="K1369" s="20" t="str">
        <x:v>两端未形成真实两强相战，不生成专门通关用神；候选五行按其他维度另评。</x:v>
      </x:c>
      <x:c r="L1369" s="20" t="str">
        <x:v>较高</x:v>
      </x:c>
      <x:c r="M1369" s="20" t="str">
        <x:v>采用</x:v>
      </x:c>
      <x:c r="N1369" s="20" t="str">
        <x:v>初审</x:v>
      </x:c>
      <x:c r="O1369" s="22" t="n">
        <x:v>46260</x:v>
      </x:c>
      <x:c r="P1369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70">
      <x:c r="A1370" s="20" t="str">
        <x:v>M17-TIAOHOU-0045-V1.0</x:v>
      </x:c>
      <x:c r="B1370" s="20" t="str">
        <x:v>规则</x:v>
      </x:c>
      <x:c r="C1370" s="20" t="str">
        <x:v>M17</x:v>
      </x:c>
      <x:c r="D1370" s="20" t="str">
        <x:v>17_喜忌用神矩阵</x:v>
      </x:c>
      <x:c r="E1370" s="20" t="str">
        <x:v>TIAOHOU</x:v>
      </x:c>
      <x:c r="F1370" s="20" t="n">
        <x:v>45</x:v>
      </x:c>
      <x:c r="G1370" s="20" t="str">
        <x:v>V1.0</x:v>
      </x:c>
      <x:c r="H1370" s="20" t="str">
        <x:v>偏寒或极寒时火可列暖局候选</x:v>
      </x:c>
      <x:c r="I1370" s="20" t="str">
        <x:v>综合层</x:v>
      </x:c>
      <x:c r="J1370" s="20" t="str">
        <x:v>火暖寒局</x:v>
      </x:c>
      <x:c r="K1370" s="20" t="str">
        <x:v>火综合定位为“条件性喜神”，优先级为“条件顺位”。主要收益：恢复基础温度与生化活性；主要副作用：火过量会热燥、耗水、伤金或破特殊格局；仅在火有根有源、不过量且不破格时成立。</x:v>
      </x:c>
      <x:c r="L1370" s="20" t="str">
        <x:v>较高</x:v>
      </x:c>
      <x:c r="M1370" s="20" t="str">
        <x:v>采用</x:v>
      </x:c>
      <x:c r="N1370" s="20" t="str">
        <x:v>初审</x:v>
      </x:c>
      <x:c r="O1370" s="22" t="n">
        <x:v>46260</x:v>
      </x:c>
      <x:c r="P1370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71">
      <x:c r="A1371" s="20" t="str">
        <x:v>M17-TIAOHOU-0046-V1.0</x:v>
      </x:c>
      <x:c r="B1371" s="20" t="str">
        <x:v>规则</x:v>
      </x:c>
      <x:c r="C1371" s="20" t="str">
        <x:v>M17</x:v>
      </x:c>
      <x:c r="D1371" s="20" t="str">
        <x:v>17_喜忌用神矩阵</x:v>
      </x:c>
      <x:c r="E1371" s="20" t="str">
        <x:v>TIAOHOU</x:v>
      </x:c>
      <x:c r="F1371" s="20" t="n">
        <x:v>46</x:v>
      </x:c>
      <x:c r="G1371" s="20" t="str">
        <x:v>V1.0</x:v>
      </x:c>
      <x:c r="H1371" s="20" t="str">
        <x:v>寒湿并重时火可由调候候选升级为主药候选</x:v>
      </x:c>
      <x:c r="I1371" s="20" t="str">
        <x:v>综合层</x:v>
      </x:c>
      <x:c r="J1371" s="20" t="str">
        <x:v>火治寒湿主药</x:v>
      </x:c>
      <x:c r="K1371" s="20" t="str">
        <x:v>火综合定位为“主用神”，优先级为“第一顺位”。主要收益：同时改善温度、湿度和多个流通卡点；主要副作用：火太强转暖燥，可能耗水或伤金格；仅在寒湿为根本主病且火的格局副作用可控时成立。</x:v>
      </x:c>
      <x:c r="L1371" s="20" t="str">
        <x:v>较高</x:v>
      </x:c>
      <x:c r="M1371" s="20" t="str">
        <x:v>采用</x:v>
      </x:c>
      <x:c r="N1371" s="20" t="str">
        <x:v>初审</x:v>
      </x:c>
      <x:c r="O1371" s="22" t="n">
        <x:v>46260</x:v>
      </x:c>
      <x:c r="P1371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72">
      <x:c r="A1372" s="20" t="str">
        <x:v>M17-TIAOHOU-0047-V1.0</x:v>
      </x:c>
      <x:c r="B1372" s="20" t="str">
        <x:v>规则</x:v>
      </x:c>
      <x:c r="C1372" s="20" t="str">
        <x:v>M17</x:v>
      </x:c>
      <x:c r="D1372" s="20" t="str">
        <x:v>17_喜忌用神矩阵</x:v>
      </x:c>
      <x:c r="E1372" s="20" t="str">
        <x:v>TIAOHOU</x:v>
      </x:c>
      <x:c r="F1372" s="20" t="n">
        <x:v>47</x:v>
      </x:c>
      <x:c r="G1372" s="20" t="str">
        <x:v>V1.0</x:v>
      </x:c>
      <x:c r="H1372" s="20" t="str">
        <x:v>偏热或极热时水可列降温候选</x:v>
      </x:c>
      <x:c r="I1372" s="20" t="str">
        <x:v>综合层</x:v>
      </x:c>
      <x:c r="J1372" s="20" t="str">
        <x:v>水降热局</x:v>
      </x:c>
      <x:c r="K1372" s="20" t="str">
        <x:v>水综合定位为“条件性喜神”，优先级为“条件顺位”。主要收益：降低过热、保护水木与金；主要副作用：水过量会寒湿、克火、冲坏火格或令土水相战；仅在水有效可达且不根本破坏火势格局时成立。</x:v>
      </x:c>
      <x:c r="L1372" s="20" t="str">
        <x:v>较高</x:v>
      </x:c>
      <x:c r="M1372" s="20" t="str">
        <x:v>采用</x:v>
      </x:c>
      <x:c r="N1372" s="20" t="str">
        <x:v>初审</x:v>
      </x:c>
      <x:c r="O1372" s="22" t="n">
        <x:v>46260</x:v>
      </x:c>
      <x:c r="P1372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73">
      <x:c r="A1373" s="20" t="str">
        <x:v>M17-TIAOHOU-0048-V1.0</x:v>
      </x:c>
      <x:c r="B1373" s="20" t="str">
        <x:v>规则</x:v>
      </x:c>
      <x:c r="C1373" s="20" t="str">
        <x:v>M17</x:v>
      </x:c>
      <x:c r="D1373" s="20" t="str">
        <x:v>17_喜忌用神矩阵</x:v>
      </x:c>
      <x:c r="E1373" s="20" t="str">
        <x:v>TIAOHOU</x:v>
      </x:c>
      <x:c r="F1373" s="20" t="n">
        <x:v>48</x:v>
      </x:c>
      <x:c r="G1373" s="20" t="str">
        <x:v>V1.0</x:v>
      </x:c>
      <x:c r="H1373" s="20" t="str">
        <x:v>偏燥或极燥时水可列润燥候选</x:v>
      </x:c>
      <x:c r="I1373" s="20" t="str">
        <x:v>综合层</x:v>
      </x:c>
      <x:c r="J1373" s="20" t="str">
        <x:v>水润燥</x:v>
      </x:c>
      <x:c r="K1373" s="20" t="str">
        <x:v>水综合定位为“喜神”，优先级为“第二顺位”。主要收益：恢复木、水、土的润泽与连续生化；主要副作用：水过量会转寒湿或终点过旺；仅在水量适度、能触达燥枯病位且不转寒湿时成立。</x:v>
      </x:c>
      <x:c r="L1373" s="20" t="str">
        <x:v>较高</x:v>
      </x:c>
      <x:c r="M1373" s="20" t="str">
        <x:v>采用</x:v>
      </x:c>
      <x:c r="N1373" s="20" t="str">
        <x:v>初审</x:v>
      </x:c>
      <x:c r="O1373" s="22" t="n">
        <x:v>46260</x:v>
      </x:c>
      <x:c r="P1373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74">
      <x:c r="A1374" s="20" t="str">
        <x:v>M17-TIAOHOU-0049-V1.0</x:v>
      </x:c>
      <x:c r="B1374" s="20" t="str">
        <x:v>规则</x:v>
      </x:c>
      <x:c r="C1374" s="20" t="str">
        <x:v>M17</x:v>
      </x:c>
      <x:c r="D1374" s="20" t="str">
        <x:v>17_喜忌用神矩阵</x:v>
      </x:c>
      <x:c r="E1374" s="20" t="str">
        <x:v>TIAOHOU</x:v>
      </x:c>
      <x:c r="F1374" s="20" t="n">
        <x:v>49</x:v>
      </x:c>
      <x:c r="G1374" s="20" t="str">
        <x:v>V1.0</x:v>
      </x:c>
      <x:c r="H1374" s="20" t="str">
        <x:v>寒燥并见时火水必须分主辅而非同时无条件增强</x:v>
      </x:c>
      <x:c r="I1374" s="20" t="str">
        <x:v>综合层</x:v>
      </x:c>
      <x:c r="J1374" s="20" t="str">
        <x:v>寒燥火水主辅</x:v>
      </x:c>
      <x:c r="K1374" s="20" t="str">
        <x:v>该候选五行综合定位为“辅助用神”，优先级为“第二顺位”。主要收益：同时处理温度低与湿度不足；主要副作用：火过燥、水过寒，二者无序并用会形成相战；仅在根据根本病确定火或水为主，另一方仅作辅助时成立。</x:v>
      </x:c>
      <x:c r="L1374" s="20" t="str">
        <x:v>较高</x:v>
      </x:c>
      <x:c r="M1374" s="20" t="str">
        <x:v>采用</x:v>
      </x:c>
      <x:c r="N1374" s="20" t="str">
        <x:v>初审</x:v>
      </x:c>
      <x:c r="O1374" s="22" t="n">
        <x:v>46260</x:v>
      </x:c>
      <x:c r="P1374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75">
      <x:c r="A1375" s="20" t="str">
        <x:v>M17-TIAOHOU-0050-V1.0</x:v>
      </x:c>
      <x:c r="B1375" s="20" t="str">
        <x:v>规则</x:v>
      </x:c>
      <x:c r="C1375" s="20" t="str">
        <x:v>M17</x:v>
      </x:c>
      <x:c r="D1375" s="20" t="str">
        <x:v>17_喜忌用神矩阵</x:v>
      </x:c>
      <x:c r="E1375" s="20" t="str">
        <x:v>TIAOHOU</x:v>
      </x:c>
      <x:c r="F1375" s="20" t="n">
        <x:v>50</x:v>
      </x:c>
      <x:c r="G1375" s="20" t="str">
        <x:v>V1.0</x:v>
      </x:c>
      <x:c r="H1375" s="20" t="str">
        <x:v>暖湿时木可列疏湿而不过度升温的候选</x:v>
      </x:c>
      <x:c r="I1375" s="20" t="str">
        <x:v>综合层</x:v>
      </x:c>
      <x:c r="J1375" s="20" t="str">
        <x:v>木疏暖湿</x:v>
      </x:c>
      <x:c r="K1375" s="20" t="str">
        <x:v>木综合定位为“条件性喜神”，优先级为“条件顺位”。主要收益：在不明显加热的情况下疏湿；主要副作用：木过旺会克土、生火或加重木势；仅在木有效且疏湿收益大于克土生火副作用时成立。</x:v>
      </x:c>
      <x:c r="L1375" s="20" t="str">
        <x:v>较高</x:v>
      </x:c>
      <x:c r="M1375" s="20" t="str">
        <x:v>采用</x:v>
      </x:c>
      <x:c r="N1375" s="20" t="str">
        <x:v>初审</x:v>
      </x:c>
      <x:c r="O1375" s="22" t="n">
        <x:v>46260</x:v>
      </x:c>
      <x:c r="P1375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76">
      <x:c r="A1376" s="20" t="str">
        <x:v>M17-TIAOHOU-0051-V1.0</x:v>
      </x:c>
      <x:c r="B1376" s="20" t="str">
        <x:v>规则</x:v>
      </x:c>
      <x:c r="C1376" s="20" t="str">
        <x:v>M17</x:v>
      </x:c>
      <x:c r="D1376" s="20" t="str">
        <x:v>17_喜忌用神矩阵</x:v>
      </x:c>
      <x:c r="E1376" s="20" t="str">
        <x:v>TIAOHOU</x:v>
      </x:c>
      <x:c r="F1376" s="20" t="n">
        <x:v>51</x:v>
      </x:c>
      <x:c r="G1376" s="20" t="str">
        <x:v>V1.0</x:v>
      </x:c>
      <x:c r="H1376" s="20" t="str">
        <x:v>寒湿时木可作为引火疏湿的辅助用神</x:v>
      </x:c>
      <x:c r="I1376" s="20" t="str">
        <x:v>综合层</x:v>
      </x:c>
      <x:c r="J1376" s="20" t="str">
        <x:v>木助火化寒湿</x:v>
      </x:c>
      <x:c r="K1376" s="20" t="str">
        <x:v>木综合定位为“辅助用神”，优先级为“第二顺位”。主要收益：为火提供生源并疏导湿土；主要副作用：木太旺会耗水、生火过度或克土；仅在木只作为火的生源和疏湿辅助时成立。</x:v>
      </x:c>
      <x:c r="L1376" s="20" t="str">
        <x:v>较高</x:v>
      </x:c>
      <x:c r="M1376" s="20" t="str">
        <x:v>采用</x:v>
      </x:c>
      <x:c r="N1376" s="20" t="str">
        <x:v>初审</x:v>
      </x:c>
      <x:c r="O1376" s="22" t="n">
        <x:v>46260</x:v>
      </x:c>
      <x:c r="P1376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77">
      <x:c r="A1377" s="20" t="str">
        <x:v>M17-TIAOHOU-0052-V1.0</x:v>
      </x:c>
      <x:c r="B1377" s="20" t="str">
        <x:v>规则</x:v>
      </x:c>
      <x:c r="C1377" s="20" t="str">
        <x:v>M17</x:v>
      </x:c>
      <x:c r="D1377" s="20" t="str">
        <x:v>17_喜忌用神矩阵</x:v>
      </x:c>
      <x:c r="E1377" s="20" t="str">
        <x:v>TIAOHOU</x:v>
      </x:c>
      <x:c r="F1377" s="20" t="n">
        <x:v>52</x:v>
      </x:c>
      <x:c r="G1377" s="20" t="str">
        <x:v>V1.0</x:v>
      </x:c>
      <x:c r="H1377" s="20" t="str">
        <x:v>极热燥且水源不足时金可列生水辅助候选</x:v>
      </x:c>
      <x:c r="I1377" s="20" t="str">
        <x:v>综合层</x:v>
      </x:c>
      <x:c r="J1377" s="20" t="str">
        <x:v>金生水辅助调候</x:v>
      </x:c>
      <x:c r="K1377" s="20" t="str">
        <x:v>金综合定位为“辅助用神”，优先级为“第二顺位”。主要收益：为弱水提供持续生源；主要副作用：金过旺克木、助寒或改变金格结构；仅在金能真实生水且不造成更大克木问题时成立。</x:v>
      </x:c>
      <x:c r="L1377" s="20" t="str">
        <x:v>较高</x:v>
      </x:c>
      <x:c r="M1377" s="20" t="str">
        <x:v>采用</x:v>
      </x:c>
      <x:c r="N1377" s="20" t="str">
        <x:v>初审</x:v>
      </x:c>
      <x:c r="O1377" s="22" t="n">
        <x:v>46260</x:v>
      </x:c>
      <x:c r="P1377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78">
      <x:c r="A1378" s="20" t="str">
        <x:v>M17-TIAOHOU-0053-V1.0</x:v>
      </x:c>
      <x:c r="B1378" s="20" t="str">
        <x:v>规则</x:v>
      </x:c>
      <x:c r="C1378" s="20" t="str">
        <x:v>M17</x:v>
      </x:c>
      <x:c r="D1378" s="20" t="str">
        <x:v>17_喜忌用神矩阵</x:v>
      </x:c>
      <x:c r="E1378" s="20" t="str">
        <x:v>TIAOHOU</x:v>
      </x:c>
      <x:c r="F1378" s="20" t="n">
        <x:v>53</x:v>
      </x:c>
      <x:c r="G1378" s="20" t="str">
        <x:v>V1.0</x:v>
      </x:c>
      <x:c r="H1378" s="20" t="str">
        <x:v>湿气过重时燥土只能作为条件性吸纳与承载候选</x:v>
      </x:c>
      <x:c r="I1378" s="20" t="str">
        <x:v>综合层</x:v>
      </x:c>
      <x:c r="J1378" s="20" t="str">
        <x:v>土承湿条件化</x:v>
      </x:c>
      <x:c r="K1378" s="20" t="str">
        <x:v>土综合定位为“条件性喜神”，优先级为“条件顺位”。主要收益：提供承载并节制过量水湿；主要副作用：土过旺会克水、埋金、湿滞或燥烈；仅在使用的是适度有效土，不得把湿土继续叠加时成立。</x:v>
      </x:c>
      <x:c r="L1378" s="20" t="str">
        <x:v>较高</x:v>
      </x:c>
      <x:c r="M1378" s="20" t="str">
        <x:v>采用</x:v>
      </x:c>
      <x:c r="N1378" s="20" t="str">
        <x:v>初审</x:v>
      </x:c>
      <x:c r="O1378" s="22" t="n">
        <x:v>46260</x:v>
      </x:c>
      <x:c r="P1378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79">
      <x:c r="A1379" s="20" t="str">
        <x:v>M17-TIAOHOU-0054-V1.0</x:v>
      </x:c>
      <x:c r="B1379" s="20" t="str">
        <x:v>规则</x:v>
      </x:c>
      <x:c r="C1379" s="20" t="str">
        <x:v>M17</x:v>
      </x:c>
      <x:c r="D1379" s="20" t="str">
        <x:v>17_喜忌用神矩阵</x:v>
      </x:c>
      <x:c r="E1379" s="20" t="str">
        <x:v>TIAOHOU</x:v>
      </x:c>
      <x:c r="F1379" s="20" t="n">
        <x:v>54</x:v>
      </x:c>
      <x:c r="G1379" s="20" t="str">
        <x:v>V1.0</x:v>
      </x:c>
      <x:c r="H1379" s="20" t="str">
        <x:v>双轴平衡时调候维度应退出主用排序</x:v>
      </x:c>
      <x:c r="I1379" s="20" t="str">
        <x:v>综合层</x:v>
      </x:c>
      <x:c r="J1379" s="20" t="str">
        <x:v>调候平衡退出</x:v>
      </x:c>
      <x:c r="K1379" s="20" t="str">
        <x:v>该候选五行综合定位为“中性”，优先级为“不采用”。主要收益：避免无必要改变气候平衡；主要副作用：错误调候会制造寒热燥湿新病；调候不作为该命局主用来源。</x:v>
      </x:c>
      <x:c r="L1379" s="20" t="str">
        <x:v>较高</x:v>
      </x:c>
      <x:c r="M1379" s="20" t="str">
        <x:v>采用</x:v>
      </x:c>
      <x:c r="N1379" s="20" t="str">
        <x:v>初审</x:v>
      </x:c>
      <x:c r="O1379" s="22" t="n">
        <x:v>46260</x:v>
      </x:c>
      <x:c r="P1379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80">
      <x:c r="A1380" s="20" t="str">
        <x:v>M17-BINGYAO-0055-V1.0</x:v>
      </x:c>
      <x:c r="B1380" s="20" t="str">
        <x:v>规则</x:v>
      </x:c>
      <x:c r="C1380" s="20" t="str">
        <x:v>M17</x:v>
      </x:c>
      <x:c r="D1380" s="20" t="str">
        <x:v>17_喜忌用神矩阵</x:v>
      </x:c>
      <x:c r="E1380" s="20" t="str">
        <x:v>BINGYAO</x:v>
      </x:c>
      <x:c r="F1380" s="20" t="n">
        <x:v>55</x:v>
      </x:c>
      <x:c r="G1380" s="20" t="str">
        <x:v>V1.0</x:v>
      </x:c>
      <x:c r="H1380" s="20" t="str">
        <x:v>M16根本主病对应的直接主药优先进入主用候选</x:v>
      </x:c>
      <x:c r="I1380" s="20" t="str">
        <x:v>综合层</x:v>
      </x:c>
      <x:c r="J1380" s="20" t="str">
        <x:v>根本病主药入主用</x:v>
      </x:c>
      <x:c r="K1380" s="20" t="str">
        <x:v>该候选五行综合定位为“主用神”，优先级为“第一顺位”。主要收益：优先解决解释力最强的共同根因；主要副作用：药过、药伤格或新病风险；仅在主药有效且净收益最高时成立。</x:v>
      </x:c>
      <x:c r="L1380" s="20" t="str">
        <x:v>较高</x:v>
      </x:c>
      <x:c r="M1380" s="20" t="str">
        <x:v>采用</x:v>
      </x:c>
      <x:c r="N1380" s="20" t="str">
        <x:v>初审</x:v>
      </x:c>
      <x:c r="O1380" s="22" t="n">
        <x:v>46260</x:v>
      </x:c>
      <x:c r="P1380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81">
      <x:c r="A1381" s="20" t="str">
        <x:v>M17-BINGYAO-0056-V1.0</x:v>
      </x:c>
      <x:c r="B1381" s="20" t="str">
        <x:v>规则</x:v>
      </x:c>
      <x:c r="C1381" s="20" t="str">
        <x:v>M17</x:v>
      </x:c>
      <x:c r="D1381" s="20" t="str">
        <x:v>17_喜忌用神矩阵</x:v>
      </x:c>
      <x:c r="E1381" s="20" t="str">
        <x:v>BINGYAO</x:v>
      </x:c>
      <x:c r="F1381" s="20" t="n">
        <x:v>56</x:v>
      </x:c>
      <x:c r="G1381" s="20" t="str">
        <x:v>V1.0</x:v>
      </x:c>
      <x:c r="H1381" s="20" t="str">
        <x:v>辅助药只解决主药药力或配伍问题时列辅助用神</x:v>
      </x:c>
      <x:c r="I1381" s="20" t="str">
        <x:v>综合层</x:v>
      </x:c>
      <x:c r="J1381" s="20" t="str">
        <x:v>病药辅助用神</x:v>
      </x:c>
      <x:c r="K1381" s="20" t="str">
        <x:v>该候选五行综合定位为“辅助用神”，优先级为“第二顺位”。主要收益：使主药能够稳定到达病位；主要副作用：辅助药过强可能反客为主；仅在仅服务主药或次病，不替代根本主药时成立。</x:v>
      </x:c>
      <x:c r="L1381" s="20" t="str">
        <x:v>较高</x:v>
      </x:c>
      <x:c r="M1381" s="20" t="str">
        <x:v>采用</x:v>
      </x:c>
      <x:c r="N1381" s="20" t="str">
        <x:v>初审</x:v>
      </x:c>
      <x:c r="O1381" s="22" t="n">
        <x:v>46260</x:v>
      </x:c>
      <x:c r="P1381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82">
      <x:c r="A1382" s="20" t="str">
        <x:v>M17-BINGYAO-0057-V1.0</x:v>
      </x:c>
      <x:c r="B1382" s="20" t="str">
        <x:v>规则</x:v>
      </x:c>
      <x:c r="C1382" s="20" t="str">
        <x:v>M17</x:v>
      </x:c>
      <x:c r="D1382" s="20" t="str">
        <x:v>17_喜忌用神矩阵</x:v>
      </x:c>
      <x:c r="E1382" s="20" t="str">
        <x:v>BINGYAO</x:v>
      </x:c>
      <x:c r="F1382" s="20" t="n">
        <x:v>57</x:v>
      </x:c>
      <x:c r="G1382" s="20" t="str">
        <x:v>V1.0</x:v>
      </x:c>
      <x:c r="H1382" s="20" t="str">
        <x:v>药神无根无源时不得列无条件主用</x:v>
      </x:c>
      <x:c r="I1382" s="20" t="str">
        <x:v>综合层</x:v>
      </x:c>
      <x:c r="J1382" s="20" t="str">
        <x:v>无根药神降级</x:v>
      </x:c>
      <x:c r="K1382" s="20" t="str">
        <x:v>该候选五行综合定位为“条件性喜神”，优先级为“条件顺位”。主要收益：提供治疗方向；主要副作用：名义有药而实际无药力；仅在必须先具备有效根源和作用路径时成立。</x:v>
      </x:c>
      <x:c r="L1382" s="20" t="str">
        <x:v>较高</x:v>
      </x:c>
      <x:c r="M1382" s="20" t="str">
        <x:v>采用</x:v>
      </x:c>
      <x:c r="N1382" s="20" t="str">
        <x:v>初审</x:v>
      </x:c>
      <x:c r="O1382" s="22" t="n">
        <x:v>46260</x:v>
      </x:c>
      <x:c r="P1382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83">
      <x:c r="A1383" s="20" t="str">
        <x:v>M17-BINGYAO-0058-V1.0</x:v>
      </x:c>
      <x:c r="B1383" s="20" t="str">
        <x:v>规则</x:v>
      </x:c>
      <x:c r="C1383" s="20" t="str">
        <x:v>M17</x:v>
      </x:c>
      <x:c r="D1383" s="20" t="str">
        <x:v>17_喜忌用神矩阵</x:v>
      </x:c>
      <x:c r="E1383" s="20" t="str">
        <x:v>BINGYAO</x:v>
      </x:c>
      <x:c r="F1383" s="20" t="n">
        <x:v>58</x:v>
      </x:c>
      <x:c r="G1383" s="20" t="str">
        <x:v>V1.0</x:v>
      </x:c>
      <x:c r="H1383" s="20" t="str">
        <x:v>药神被强克或合绊时应下调定位</x:v>
      </x:c>
      <x:c r="I1383" s="20" t="str">
        <x:v>综合层</x:v>
      </x:c>
      <x:c r="J1383" s="20" t="str">
        <x:v>受制药神降级</x:v>
      </x:c>
      <x:c r="K1383" s="20" t="str">
        <x:v>该候选五行综合定位为“条件性喜神”，优先级为“条件顺位”。主要收益：仍可能提供局部修复；主要副作用：药力不稳定，强行解克解合可能破格；仅在药神功能恢复后方可提高定位时成立。</x:v>
      </x:c>
      <x:c r="L1383" s="20" t="str">
        <x:v>较高</x:v>
      </x:c>
      <x:c r="M1383" s="20" t="str">
        <x:v>采用</x:v>
      </x:c>
      <x:c r="N1383" s="20" t="str">
        <x:v>初审</x:v>
      </x:c>
      <x:c r="O1383" s="22" t="n">
        <x:v>46260</x:v>
      </x:c>
      <x:c r="P1383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84">
      <x:c r="A1384" s="20" t="str">
        <x:v>M17-BINGYAO-0059-V1.0</x:v>
      </x:c>
      <x:c r="B1384" s="20" t="str">
        <x:v>规则</x:v>
      </x:c>
      <x:c r="C1384" s="20" t="str">
        <x:v>M17</x:v>
      </x:c>
      <x:c r="D1384" s="20" t="str">
        <x:v>17_喜忌用神矩阵</x:v>
      </x:c>
      <x:c r="E1384" s="20" t="str">
        <x:v>BINGYAO</x:v>
      </x:c>
      <x:c r="F1384" s="20" t="n">
        <x:v>59</x:v>
      </x:c>
      <x:c r="G1384" s="20" t="str">
        <x:v>V1.0</x:v>
      </x:c>
      <x:c r="H1384" s="20" t="str">
        <x:v>一药多效且无硬冲突时可由喜神升级为主用</x:v>
      </x:c>
      <x:c r="I1384" s="20" t="str">
        <x:v>综合层</x:v>
      </x:c>
      <x:c r="J1384" s="20" t="str">
        <x:v>一药多效升级主用</x:v>
      </x:c>
      <x:c r="K1384" s="20" t="str">
        <x:v>该候选五行综合定位为“主用神”，优先级为“第一顺位”。主要收益：同时覆盖多个主要问题，减少药神数量与冲突；主要副作用：需防药力集中后过量；仅在多个独立维度真实同向且药量可控时成立。</x:v>
      </x:c>
      <x:c r="L1384" s="20" t="str">
        <x:v>较高</x:v>
      </x:c>
      <x:c r="M1384" s="20" t="str">
        <x:v>采用</x:v>
      </x:c>
      <x:c r="N1384" s="20" t="str">
        <x:v>初审</x:v>
      </x:c>
      <x:c r="O1384" s="22" t="n">
        <x:v>46260</x:v>
      </x:c>
      <x:c r="P1384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85">
      <x:c r="A1385" s="20" t="str">
        <x:v>M17-BINGYAO-0060-V1.0</x:v>
      </x:c>
      <x:c r="B1385" s="20" t="str">
        <x:v>规则</x:v>
      </x:c>
      <x:c r="C1385" s="20" t="str">
        <x:v>M17</x:v>
      </x:c>
      <x:c r="D1385" s="20" t="str">
        <x:v>17_喜忌用神矩阵</x:v>
      </x:c>
      <x:c r="E1385" s="20" t="str">
        <x:v>BINGYAO</x:v>
      </x:c>
      <x:c r="F1385" s="20" t="n">
        <x:v>60</x:v>
      </x:c>
      <x:c r="G1385" s="20" t="str">
        <x:v>V1.0</x:v>
      </x:c>
      <x:c r="H1385" s="20" t="str">
        <x:v>药神能治次病但不能触达主病时仅列喜神或辅助</x:v>
      </x:c>
      <x:c r="I1385" s="20" t="str">
        <x:v>综合层</x:v>
      </x:c>
      <x:c r="J1385" s="20" t="str">
        <x:v>次病药降级</x:v>
      </x:c>
      <x:c r="K1385" s="20" t="str">
        <x:v>该候选五行综合定位为“喜神”，优先级为“第三顺位”。主要收益：改善局部功能；主要副作用：不能替代根本主药，可能分散药力；仅在只在主病已得到控制后作为次级改善时成立。</x:v>
      </x:c>
      <x:c r="L1385" s="20" t="str">
        <x:v>较高</x:v>
      </x:c>
      <x:c r="M1385" s="20" t="str">
        <x:v>采用</x:v>
      </x:c>
      <x:c r="N1385" s="20" t="str">
        <x:v>初审</x:v>
      </x:c>
      <x:c r="O1385" s="22" t="n">
        <x:v>46260</x:v>
      </x:c>
      <x:c r="P1385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86">
      <x:c r="A1386" s="20" t="str">
        <x:v>M17-BINGYAO-0061-V1.0</x:v>
      </x:c>
      <x:c r="B1386" s="20" t="str">
        <x:v>规则</x:v>
      </x:c>
      <x:c r="C1386" s="20" t="str">
        <x:v>M17</x:v>
      </x:c>
      <x:c r="D1386" s="20" t="str">
        <x:v>17_喜忌用神矩阵</x:v>
      </x:c>
      <x:c r="E1386" s="20" t="str">
        <x:v>BINGYAO</x:v>
      </x:c>
      <x:c r="F1386" s="20" t="n">
        <x:v>61</x:v>
      </x:c>
      <x:c r="G1386" s="20" t="str">
        <x:v>V1.0</x:v>
      </x:c>
      <x:c r="H1386" s="20" t="str">
        <x:v>药过会形成反向病时应标记条件性而非无条件喜</x:v>
      </x:c>
      <x:c r="I1386" s="20" t="str">
        <x:v>综合层</x:v>
      </x:c>
      <x:c r="J1386" s="20" t="str">
        <x:v>药量边界条件化</x:v>
      </x:c>
      <x:c r="K1386" s="20" t="str">
        <x:v>该候选五行综合定位为“条件性喜神”，优先级为“条件顺位”。主要收益：在合适强度下修复主病；主要副作用：跨越平衡形成新病；仅在只取适量，不宜继续增强时成立。</x:v>
      </x:c>
      <x:c r="L1386" s="20" t="str">
        <x:v>较高</x:v>
      </x:c>
      <x:c r="M1386" s="20" t="str">
        <x:v>采用</x:v>
      </x:c>
      <x:c r="N1386" s="20" t="str">
        <x:v>初审</x:v>
      </x:c>
      <x:c r="O1386" s="22" t="n">
        <x:v>46260</x:v>
      </x:c>
      <x:c r="P1386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87">
      <x:c r="A1387" s="20" t="str">
        <x:v>M17-BINGYAO-0062-V1.0</x:v>
      </x:c>
      <x:c r="B1387" s="20" t="str">
        <x:v>规则</x:v>
      </x:c>
      <x:c r="C1387" s="20" t="str">
        <x:v>M17</x:v>
      </x:c>
      <x:c r="D1387" s="20" t="str">
        <x:v>17_喜忌用神矩阵</x:v>
      </x:c>
      <x:c r="E1387" s="20" t="str">
        <x:v>BINGYAO</x:v>
      </x:c>
      <x:c r="F1387" s="20" t="n">
        <x:v>62</x:v>
      </x:c>
      <x:c r="G1387" s="20" t="str">
        <x:v>V1.0</x:v>
      </x:c>
      <x:c r="H1387" s="20" t="str">
        <x:v>主药伤格且无替代保护时可转为条件性忌神</x:v>
      </x:c>
      <x:c r="I1387" s="20" t="str">
        <x:v>综合层</x:v>
      </x:c>
      <x:c r="J1387" s="20" t="str">
        <x:v>药伤格转忌</x:v>
      </x:c>
      <x:c r="K1387" s="20" t="str">
        <x:v>该候选五行综合定位为“条件性忌神”，优先级为“不采用”。主要收益：局部治病；主要副作用：制造更高优先级根本格局病；仅在原则上不采用，除非格局本身已经失效并重定时成立。</x:v>
      </x:c>
      <x:c r="L1387" s="20" t="str">
        <x:v>较高</x:v>
      </x:c>
      <x:c r="M1387" s="20" t="str">
        <x:v>采用</x:v>
      </x:c>
      <x:c r="N1387" s="20" t="str">
        <x:v>初审</x:v>
      </x:c>
      <x:c r="O1387" s="22" t="n">
        <x:v>46260</x:v>
      </x:c>
      <x:c r="P1387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88">
      <x:c r="A1388" s="20" t="str">
        <x:v>M17-BINGYAO-0063-V1.0</x:v>
      </x:c>
      <x:c r="B1388" s="20" t="str">
        <x:v>规则</x:v>
      </x:c>
      <x:c r="C1388" s="20" t="str">
        <x:v>M17</x:v>
      </x:c>
      <x:c r="D1388" s="20" t="str">
        <x:v>17_喜忌用神矩阵</x:v>
      </x:c>
      <x:c r="E1388" s="20" t="str">
        <x:v>BINGYAO</x:v>
      </x:c>
      <x:c r="F1388" s="20" t="n">
        <x:v>63</x:v>
      </x:c>
      <x:c r="G1388" s="20" t="str">
        <x:v>V1.0</x:v>
      </x:c>
      <x:c r="H1388" s="20" t="str">
        <x:v>无病位时不应为了完整矩阵强行指定病药用神</x:v>
      </x:c>
      <x:c r="I1388" s="20" t="str">
        <x:v>综合层</x:v>
      </x:c>
      <x:c r="J1388" s="20" t="str">
        <x:v>无病不设药</x:v>
      </x:c>
      <x:c r="K1388" s="20" t="str">
        <x:v>该候选五行综合定位为“中性”，优先级为“不采用”。主要收益：避免人为制造用神；主要副作用：无必要用药会打破原局平衡；病药维度退出，但其他维度继续评估。</x:v>
      </x:c>
      <x:c r="L1388" s="20" t="str">
        <x:v>较高</x:v>
      </x:c>
      <x:c r="M1388" s="20" t="str">
        <x:v>采用</x:v>
      </x:c>
      <x:c r="N1388" s="20" t="str">
        <x:v>初审</x:v>
      </x:c>
      <x:c r="O1388" s="22" t="n">
        <x:v>46260</x:v>
      </x:c>
      <x:c r="P1388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89">
      <x:c r="A1389" s="20" t="str">
        <x:v>M17-BINGYAO-0064-V1.0</x:v>
      </x:c>
      <x:c r="B1389" s="20" t="str">
        <x:v>规则</x:v>
      </x:c>
      <x:c r="C1389" s="20" t="str">
        <x:v>M17</x:v>
      </x:c>
      <x:c r="D1389" s="20" t="str">
        <x:v>17_喜忌用神矩阵</x:v>
      </x:c>
      <x:c r="E1389" s="20" t="str">
        <x:v>BINGYAO</x:v>
      </x:c>
      <x:c r="F1389" s="20" t="n">
        <x:v>64</x:v>
      </x:c>
      <x:c r="G1389" s="20" t="str">
        <x:v>V1.0</x:v>
      </x:c>
      <x:c r="H1389" s="20" t="str">
        <x:v>多个主药候选相反时保持并列并转M18</x:v>
      </x:c>
      <x:c r="I1389" s="20" t="str">
        <x:v>综合层</x:v>
      </x:c>
      <x:c r="J1389" s="20" t="str">
        <x:v>相反主药并列待裁决</x:v>
      </x:c>
      <x:c r="K1389" s="20" t="str">
        <x:v>该候选五行综合定位为“待定”，优先级为“待定”。主要收益：完整保留不同诊断路径；主要副作用：同时采用会冲突或相战；保留主候选、替代候选及各自成立条件。</x:v>
      </x:c>
      <x:c r="L1389" s="20" t="str">
        <x:v>中等</x:v>
      </x:c>
      <x:c r="M1389" s="20" t="str">
        <x:v>待验证</x:v>
      </x:c>
      <x:c r="N1389" s="20" t="str">
        <x:v>初审</x:v>
      </x:c>
      <x:c r="O1389" s="22" t="n">
        <x:v>46260</x:v>
      </x:c>
      <x:c r="P1389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90">
      <x:c r="A1390" s="20" t="str">
        <x:v>M17-WUXING-0065-V1.0</x:v>
      </x:c>
      <x:c r="B1390" s="20" t="str">
        <x:v>规则</x:v>
      </x:c>
      <x:c r="C1390" s="20" t="str">
        <x:v>M17</x:v>
      </x:c>
      <x:c r="D1390" s="20" t="str">
        <x:v>17_喜忌用神矩阵</x:v>
      </x:c>
      <x:c r="E1390" s="20" t="str">
        <x:v>WUXING</x:v>
      </x:c>
      <x:c r="F1390" s="20" t="n">
        <x:v>65</x:v>
      </x:c>
      <x:c r="G1390" s="20" t="str">
        <x:v>V1.0</x:v>
      </x:c>
      <x:c r="H1390" s="20" t="str">
        <x:v>木作为生火与疏土之神的正向候选</x:v>
      </x:c>
      <x:c r="I1390" s="20" t="str">
        <x:v>综合层</x:v>
      </x:c>
      <x:c r="J1390" s="20" t="str">
        <x:v>木生火疏土候选</x:v>
      </x:c>
      <x:c r="K1390" s="20" t="str">
        <x:v>木综合定位为“条件性喜神”，优先级为“条件顺位”。主要收益：提供生发、桥梁和疏导功能；主要副作用：木过旺会克土、耗水、生火过度；仅在木有根有源且不造成克土、生火过度时成立。</x:v>
      </x:c>
      <x:c r="L1390" s="20" t="str">
        <x:v>较高</x:v>
      </x:c>
      <x:c r="M1390" s="20" t="str">
        <x:v>采用</x:v>
      </x:c>
      <x:c r="N1390" s="20" t="str">
        <x:v>初审</x:v>
      </x:c>
      <x:c r="O1390" s="22" t="n">
        <x:v>46260</x:v>
      </x:c>
      <x:c r="P1390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91">
      <x:c r="A1391" s="20" t="str">
        <x:v>M17-WUXING-0066-V1.0</x:v>
      </x:c>
      <x:c r="B1391" s="20" t="str">
        <x:v>规则</x:v>
      </x:c>
      <x:c r="C1391" s="20" t="str">
        <x:v>M17</x:v>
      </x:c>
      <x:c r="D1391" s="20" t="str">
        <x:v>17_喜忌用神矩阵</x:v>
      </x:c>
      <x:c r="E1391" s="20" t="str">
        <x:v>WUXING</x:v>
      </x:c>
      <x:c r="F1391" s="20" t="n">
        <x:v>66</x:v>
      </x:c>
      <x:c r="G1391" s="20" t="str">
        <x:v>V1.0</x:v>
      </x:c>
      <x:c r="H1391" s="20" t="str">
        <x:v>木在水火相战中可承担通关桥梁</x:v>
      </x:c>
      <x:c r="I1391" s="20" t="str">
        <x:v>综合层</x:v>
      </x:c>
      <x:c r="J1391" s="20" t="str">
        <x:v>木通水火</x:v>
      </x:c>
      <x:c r="K1391" s="20" t="str">
        <x:v>木综合定位为“条件性喜神”，优先级为“条件顺位”。主要收益：把水势导向火，缓解直接相克；主要副作用：木无根则通关不足，木过旺则生火太过或克土；仅在木能同时泄水生火且药力适中时成立。</x:v>
      </x:c>
      <x:c r="L1391" s="20" t="str">
        <x:v>较高</x:v>
      </x:c>
      <x:c r="M1391" s="20" t="str">
        <x:v>采用</x:v>
      </x:c>
      <x:c r="N1391" s="20" t="str">
        <x:v>初审</x:v>
      </x:c>
      <x:c r="O1391" s="22" t="n">
        <x:v>46260</x:v>
      </x:c>
      <x:c r="P1391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92">
      <x:c r="A1392" s="20" t="str">
        <x:v>M17-WUXING-0067-V1.0</x:v>
      </x:c>
      <x:c r="B1392" s="20" t="str">
        <x:v>规则</x:v>
      </x:c>
      <x:c r="C1392" s="20" t="str">
        <x:v>M17</x:v>
      </x:c>
      <x:c r="D1392" s="20" t="str">
        <x:v>17_喜忌用神矩阵</x:v>
      </x:c>
      <x:c r="E1392" s="20" t="str">
        <x:v>WUXING</x:v>
      </x:c>
      <x:c r="F1392" s="20" t="n">
        <x:v>67</x:v>
      </x:c>
      <x:c r="G1392" s="20" t="str">
        <x:v>V1.0</x:v>
      </x:c>
      <x:c r="H1392" s="20" t="str">
        <x:v>木过旺时可能转为条件性忌神</x:v>
      </x:c>
      <x:c r="I1392" s="20" t="str">
        <x:v>综合层</x:v>
      </x:c>
      <x:c r="J1392" s="20" t="str">
        <x:v>木过旺转忌</x:v>
      </x:c>
      <x:c r="K1392" s="20" t="str">
        <x:v>木综合定位为“条件性忌神”，优先级为“不采用”。主要收益：仍可能维持必要生发；主要副作用：克土、耗水、火炎、木势壅塞。仅在继续增木会加重根本病时定忌。</x:v>
      </x:c>
      <x:c r="L1392" s="20" t="str">
        <x:v>较高</x:v>
      </x:c>
      <x:c r="M1392" s="20" t="str">
        <x:v>采用</x:v>
      </x:c>
      <x:c r="N1392" s="20" t="str">
        <x:v>初审</x:v>
      </x:c>
      <x:c r="O1392" s="22" t="n">
        <x:v>46260</x:v>
      </x:c>
      <x:c r="P1392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93">
      <x:c r="A1393" s="20" t="str">
        <x:v>M17-WUXING-0068-V1.0</x:v>
      </x:c>
      <x:c r="B1393" s="20" t="str">
        <x:v>规则</x:v>
      </x:c>
      <x:c r="C1393" s="20" t="str">
        <x:v>M17</x:v>
      </x:c>
      <x:c r="D1393" s="20" t="str">
        <x:v>17_喜忌用神矩阵</x:v>
      </x:c>
      <x:c r="E1393" s="20" t="str">
        <x:v>WUXING</x:v>
      </x:c>
      <x:c r="F1393" s="20" t="n">
        <x:v>68</x:v>
      </x:c>
      <x:c r="G1393" s="20" t="str">
        <x:v>V1.0</x:v>
      </x:c>
      <x:c r="H1393" s="20" t="str">
        <x:v>木弱但非关键桥梁时不因弱自动列喜</x:v>
      </x:c>
      <x:c r="I1393" s="20" t="str">
        <x:v>综合层</x:v>
      </x:c>
      <x:c r="J1393" s="20" t="str">
        <x:v>木弱非自动喜</x:v>
      </x:c>
      <x:c r="K1393" s="20" t="str">
        <x:v>木综合定位为“中性”，优先级为“不采用”。主要收益：无明确核心收益；主要副作用：补木可能克土、生火或耗水；弱不等于喜，保持中性。</x:v>
      </x:c>
      <x:c r="L1393" s="20" t="str">
        <x:v>较高</x:v>
      </x:c>
      <x:c r="M1393" s="20" t="str">
        <x:v>采用</x:v>
      </x:c>
      <x:c r="N1393" s="20" t="str">
        <x:v>初审</x:v>
      </x:c>
      <x:c r="O1393" s="22" t="n">
        <x:v>46260</x:v>
      </x:c>
      <x:c r="P1393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94">
      <x:c r="A1394" s="20" t="str">
        <x:v>M17-WUXING-0069-V1.0</x:v>
      </x:c>
      <x:c r="B1394" s="20" t="str">
        <x:v>规则</x:v>
      </x:c>
      <x:c r="C1394" s="20" t="str">
        <x:v>M17</x:v>
      </x:c>
      <x:c r="D1394" s="20" t="str">
        <x:v>17_喜忌用神矩阵</x:v>
      </x:c>
      <x:c r="E1394" s="20" t="str">
        <x:v>WUXING</x:v>
      </x:c>
      <x:c r="F1394" s="20" t="n">
        <x:v>69</x:v>
      </x:c>
      <x:c r="G1394" s="20" t="str">
        <x:v>V1.0</x:v>
      </x:c>
      <x:c r="H1394" s="20" t="str">
        <x:v>火作为暖局、化湿和泄木之神的正向候选</x:v>
      </x:c>
      <x:c r="I1394" s="20" t="str">
        <x:v>综合层</x:v>
      </x:c>
      <x:c r="J1394" s="20" t="str">
        <x:v>火暖局化湿候选</x:v>
      </x:c>
      <x:c r="K1394" s="20" t="str">
        <x:v>火综合定位为“条件性喜神”，优先级为“条件顺位”。主要收益：暖局、推动生化、化湿并泄木；主要副作用：火过旺会热燥、耗水、克金、焦土；仅在火量适中且不破格、不耗尽水源时成立。</x:v>
      </x:c>
      <x:c r="L1394" s="20" t="str">
        <x:v>较高</x:v>
      </x:c>
      <x:c r="M1394" s="20" t="str">
        <x:v>采用</x:v>
      </x:c>
      <x:c r="N1394" s="20" t="str">
        <x:v>初审</x:v>
      </x:c>
      <x:c r="O1394" s="22" t="n">
        <x:v>46260</x:v>
      </x:c>
      <x:c r="P1394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95">
      <x:c r="A1395" s="20" t="str">
        <x:v>M17-WUXING-0070-V1.0</x:v>
      </x:c>
      <x:c r="B1395" s="20" t="str">
        <x:v>规则</x:v>
      </x:c>
      <x:c r="C1395" s="20" t="str">
        <x:v>M17</x:v>
      </x:c>
      <x:c r="D1395" s="20" t="str">
        <x:v>17_喜忌用神矩阵</x:v>
      </x:c>
      <x:c r="E1395" s="20" t="str">
        <x:v>WUXING</x:v>
      </x:c>
      <x:c r="F1395" s="20" t="n">
        <x:v>70</x:v>
      </x:c>
      <x:c r="G1395" s="20" t="str">
        <x:v>V1.0</x:v>
      </x:c>
      <x:c r="H1395" s="20" t="str">
        <x:v>火在木土相战中可承担通关桥梁</x:v>
      </x:c>
      <x:c r="I1395" s="20" t="str">
        <x:v>综合层</x:v>
      </x:c>
      <x:c r="J1395" s="20" t="str">
        <x:v>火通木土</x:v>
      </x:c>
      <x:c r="K1395" s="20" t="str">
        <x:v>火综合定位为“条件性喜神”，优先级为“条件顺位”。主要收益：缓解木克土并使木气有出口；主要副作用：火过旺会使土燥、耗水或形成热病；仅在火能泄木生土且不使土燥火炎时成立。</x:v>
      </x:c>
      <x:c r="L1395" s="20" t="str">
        <x:v>较高</x:v>
      </x:c>
      <x:c r="M1395" s="20" t="str">
        <x:v>采用</x:v>
      </x:c>
      <x:c r="N1395" s="20" t="str">
        <x:v>初审</x:v>
      </x:c>
      <x:c r="O1395" s="22" t="n">
        <x:v>46260</x:v>
      </x:c>
      <x:c r="P1395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96">
      <x:c r="A1396" s="20" t="str">
        <x:v>M17-WUXING-0071-V1.0</x:v>
      </x:c>
      <x:c r="B1396" s="20" t="str">
        <x:v>规则</x:v>
      </x:c>
      <x:c r="C1396" s="20" t="str">
        <x:v>M17</x:v>
      </x:c>
      <x:c r="D1396" s="20" t="str">
        <x:v>17_喜忌用神矩阵</x:v>
      </x:c>
      <x:c r="E1396" s="20" t="str">
        <x:v>WUXING</x:v>
      </x:c>
      <x:c r="F1396" s="20" t="n">
        <x:v>71</x:v>
      </x:c>
      <x:c r="G1396" s="20" t="str">
        <x:v>V1.0</x:v>
      </x:c>
      <x:c r="H1396" s="20" t="str">
        <x:v>火过旺时可能成为忌神或仇神</x:v>
      </x:c>
      <x:c r="I1396" s="20" t="str">
        <x:v>综合层</x:v>
      </x:c>
      <x:c r="J1396" s="20" t="str">
        <x:v>火旺转忌</x:v>
      </x:c>
      <x:c r="K1396" s="20" t="str">
        <x:v>火综合定位为“忌神”，优先级为“不采用”。主要收益：仅保留必要暖局/格局功能；主要副作用：耗水、克金、土焦、木燥、格局受损；仅在若火继续生助忌神或破坏主用，则可升级为仇神时成立。</x:v>
      </x:c>
      <x:c r="L1396" s="20" t="str">
        <x:v>较高</x:v>
      </x:c>
      <x:c r="M1396" s="20" t="str">
        <x:v>采用</x:v>
      </x:c>
      <x:c r="N1396" s="20" t="str">
        <x:v>初审</x:v>
      </x:c>
      <x:c r="O1396" s="22" t="n">
        <x:v>46260</x:v>
      </x:c>
      <x:c r="P1396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97">
      <x:c r="A1397" s="20" t="str">
        <x:v>M17-WUXING-0072-V1.0</x:v>
      </x:c>
      <x:c r="B1397" s="20" t="str">
        <x:v>规则</x:v>
      </x:c>
      <x:c r="C1397" s="20" t="str">
        <x:v>M17</x:v>
      </x:c>
      <x:c r="D1397" s="20" t="str">
        <x:v>17_喜忌用神矩阵</x:v>
      </x:c>
      <x:c r="E1397" s="20" t="str">
        <x:v>WUXING</x:v>
      </x:c>
      <x:c r="F1397" s="20" t="n">
        <x:v>72</x:v>
      </x:c>
      <x:c r="G1397" s="20" t="str">
        <x:v>V1.0</x:v>
      </x:c>
      <x:c r="H1397" s="20" t="str">
        <x:v>火弱但寒暖平衡时不因弱自动列喜</x:v>
      </x:c>
      <x:c r="I1397" s="20" t="str">
        <x:v>综合层</x:v>
      </x:c>
      <x:c r="J1397" s="20" t="str">
        <x:v>火弱非自动喜</x:v>
      </x:c>
      <x:c r="K1397" s="20" t="str">
        <x:v>火综合定位为“中性”，优先级为“不采用”。主要收益：无明确主问题可治；主要副作用：补火可能制造热燥、耗水或克金；火弱不等于需要火。</x:v>
      </x:c>
      <x:c r="L1397" s="20" t="str">
        <x:v>较高</x:v>
      </x:c>
      <x:c r="M1397" s="20" t="str">
        <x:v>采用</x:v>
      </x:c>
      <x:c r="N1397" s="20" t="str">
        <x:v>初审</x:v>
      </x:c>
      <x:c r="O1397" s="22" t="n">
        <x:v>46260</x:v>
      </x:c>
      <x:c r="P1397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98">
      <x:c r="A1398" s="20" t="str">
        <x:v>M17-WUXING-0073-V1.0</x:v>
      </x:c>
      <x:c r="B1398" s="20" t="str">
        <x:v>规则</x:v>
      </x:c>
      <x:c r="C1398" s="20" t="str">
        <x:v>M17</x:v>
      </x:c>
      <x:c r="D1398" s="20" t="str">
        <x:v>17_喜忌用神矩阵</x:v>
      </x:c>
      <x:c r="E1398" s="20" t="str">
        <x:v>WUXING</x:v>
      </x:c>
      <x:c r="F1398" s="20" t="n">
        <x:v>73</x:v>
      </x:c>
      <x:c r="G1398" s="20" t="str">
        <x:v>V1.0</x:v>
      </x:c>
      <x:c r="H1398" s="20" t="str">
        <x:v>土作为承载、制水和生金之神的正向候选</x:v>
      </x:c>
      <x:c r="I1398" s="20" t="str">
        <x:v>综合层</x:v>
      </x:c>
      <x:c r="J1398" s="20" t="str">
        <x:v>土承载候选</x:v>
      </x:c>
      <x:c r="K1398" s="20" t="str">
        <x:v>土综合定位为“条件性喜神”，优先级为“条件顺位”。主要收益：承载、稳定、制水并生金；主要副作用：土过旺会克水、埋金、晦火、湿滞或燥烈；仅在必须区分湿土/燥土并控制土量时成立。</x:v>
      </x:c>
      <x:c r="L1398" s="20" t="str">
        <x:v>较高</x:v>
      </x:c>
      <x:c r="M1398" s="20" t="str">
        <x:v>采用</x:v>
      </x:c>
      <x:c r="N1398" s="20" t="str">
        <x:v>初审</x:v>
      </x:c>
      <x:c r="O1398" s="22" t="n">
        <x:v>46260</x:v>
      </x:c>
      <x:c r="P1398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399">
      <x:c r="A1399" s="20" t="str">
        <x:v>M17-WUXING-0074-V1.0</x:v>
      </x:c>
      <x:c r="B1399" s="20" t="str">
        <x:v>规则</x:v>
      </x:c>
      <x:c r="C1399" s="20" t="str">
        <x:v>M17</x:v>
      </x:c>
      <x:c r="D1399" s="20" t="str">
        <x:v>17_喜忌用神矩阵</x:v>
      </x:c>
      <x:c r="E1399" s="20" t="str">
        <x:v>WUXING</x:v>
      </x:c>
      <x:c r="F1399" s="20" t="n">
        <x:v>74</x:v>
      </x:c>
      <x:c r="G1399" s="20" t="str">
        <x:v>V1.0</x:v>
      </x:c>
      <x:c r="H1399" s="20" t="str">
        <x:v>土在火金相战中可承担通关桥梁</x:v>
      </x:c>
      <x:c r="I1399" s="20" t="str">
        <x:v>综合层</x:v>
      </x:c>
      <x:c r="J1399" s="20" t="str">
        <x:v>土通火金</x:v>
      </x:c>
      <x:c r="K1399" s="20" t="str">
        <x:v>土综合定位为“条件性喜神”，优先级为“条件顺位”。主要收益：缓解火克金并提供中介承载；主要副作用：土过旺会埋金、克水或形成土壅；仅在土能泄火生金且不埋金克水过度时成立。</x:v>
      </x:c>
      <x:c r="L1399" s="20" t="str">
        <x:v>较高</x:v>
      </x:c>
      <x:c r="M1399" s="20" t="str">
        <x:v>采用</x:v>
      </x:c>
      <x:c r="N1399" s="20" t="str">
        <x:v>初审</x:v>
      </x:c>
      <x:c r="O1399" s="22" t="n">
        <x:v>46260</x:v>
      </x:c>
      <x:c r="P1399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400">
      <x:c r="A1400" s="20" t="str">
        <x:v>M17-WUXING-0075-V1.0</x:v>
      </x:c>
      <x:c r="B1400" s="20" t="str">
        <x:v>规则</x:v>
      </x:c>
      <x:c r="C1400" s="20" t="str">
        <x:v>M17</x:v>
      </x:c>
      <x:c r="D1400" s="20" t="str">
        <x:v>17_喜忌用神矩阵</x:v>
      </x:c>
      <x:c r="E1400" s="20" t="str">
        <x:v>WUXING</x:v>
      </x:c>
      <x:c r="F1400" s="20" t="n">
        <x:v>75</x:v>
      </x:c>
      <x:c r="G1400" s="20" t="str">
        <x:v>V1.0</x:v>
      </x:c>
      <x:c r="H1400" s="20" t="str">
        <x:v>土过旺时可能转为忌神</x:v>
      </x:c>
      <x:c r="I1400" s="20" t="str">
        <x:v>综合层</x:v>
      </x:c>
      <x:c r="J1400" s="20" t="str">
        <x:v>土旺转忌</x:v>
      </x:c>
      <x:c r="K1400" s="20" t="str">
        <x:v>土综合定位为“忌神”，优先级为“不采用”。主要收益：仅保留必要承载功能；主要副作用：水路受阻、金被埋、木受克、火被晦；仅在继续增土会直接加重主病或破主用时成立。</x:v>
      </x:c>
      <x:c r="L1400" s="20" t="str">
        <x:v>较高</x:v>
      </x:c>
      <x:c r="M1400" s="20" t="str">
        <x:v>采用</x:v>
      </x:c>
      <x:c r="N1400" s="20" t="str">
        <x:v>初审</x:v>
      </x:c>
      <x:c r="O1400" s="22" t="n">
        <x:v>46260</x:v>
      </x:c>
      <x:c r="P1400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401">
      <x:c r="A1401" s="20" t="str">
        <x:v>M17-WUXING-0076-V1.0</x:v>
      </x:c>
      <x:c r="B1401" s="20" t="str">
        <x:v>规则</x:v>
      </x:c>
      <x:c r="C1401" s="20" t="str">
        <x:v>M17</x:v>
      </x:c>
      <x:c r="D1401" s="20" t="str">
        <x:v>17_喜忌用神矩阵</x:v>
      </x:c>
      <x:c r="E1401" s="20" t="str">
        <x:v>WUXING</x:v>
      </x:c>
      <x:c r="F1401" s="20" t="n">
        <x:v>76</x:v>
      </x:c>
      <x:c r="G1401" s="20" t="str">
        <x:v>V1.0</x:v>
      </x:c>
      <x:c r="H1401" s="20" t="str">
        <x:v>土的喜忌必须区分湿土与燥土功能</x:v>
      </x:c>
      <x:c r="I1401" s="20" t="str">
        <x:v>综合层</x:v>
      </x:c>
      <x:c r="J1401" s="20" t="str">
        <x:v>土性分型定位</x:v>
      </x:c>
      <x:c r="K1401" s="20" t="str">
        <x:v>土综合定位为“待定”，优先级为“待定”。主要收益：精确选择承载、化湿或润燥方向；主要副作用：忽略土性会用药相反；先由M13确认实际湿燥属性再定位。</x:v>
      </x:c>
      <x:c r="L1401" s="20" t="str">
        <x:v>中等</x:v>
      </x:c>
      <x:c r="M1401" s="20" t="str">
        <x:v>待验证</x:v>
      </x:c>
      <x:c r="N1401" s="20" t="str">
        <x:v>初审</x:v>
      </x:c>
      <x:c r="O1401" s="22" t="n">
        <x:v>46260</x:v>
      </x:c>
      <x:c r="P1401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402">
      <x:c r="A1402" s="20" t="str">
        <x:v>M17-WUXING-0077-V1.0</x:v>
      </x:c>
      <x:c r="B1402" s="20" t="str">
        <x:v>规则</x:v>
      </x:c>
      <x:c r="C1402" s="20" t="str">
        <x:v>M17</x:v>
      </x:c>
      <x:c r="D1402" s="20" t="str">
        <x:v>17_喜忌用神矩阵</x:v>
      </x:c>
      <x:c r="E1402" s="20" t="str">
        <x:v>WUXING</x:v>
      </x:c>
      <x:c r="F1402" s="20" t="n">
        <x:v>77</x:v>
      </x:c>
      <x:c r="G1402" s="20" t="str">
        <x:v>V1.0</x:v>
      </x:c>
      <x:c r="H1402" s="20" t="str">
        <x:v>金作为生水、制木与泄土之神的正向候选</x:v>
      </x:c>
      <x:c r="I1402" s="20" t="str">
        <x:v>综合层</x:v>
      </x:c>
      <x:c r="J1402" s="20" t="str">
        <x:v>金生水泄土候选</x:v>
      </x:c>
      <x:c r="K1402" s="20" t="str">
        <x:v>金综合定位为“条件性喜神”，优先级为“条件顺位”。主要收益：生水、泄土、制木并建立土水桥梁；主要副作用：金过旺克木、助水寒、伤火或形成金木相战；仅在金有根有源且不重克木、不加重寒局时成立。</x:v>
      </x:c>
      <x:c r="L1402" s="20" t="str">
        <x:v>较高</x:v>
      </x:c>
      <x:c r="M1402" s="20" t="str">
        <x:v>采用</x:v>
      </x:c>
      <x:c r="N1402" s="20" t="str">
        <x:v>初审</x:v>
      </x:c>
      <x:c r="O1402" s="22" t="n">
        <x:v>46260</x:v>
      </x:c>
      <x:c r="P1402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403">
      <x:c r="A1403" s="20" t="str">
        <x:v>M17-WUXING-0078-V1.0</x:v>
      </x:c>
      <x:c r="B1403" s="20" t="str">
        <x:v>规则</x:v>
      </x:c>
      <x:c r="C1403" s="20" t="str">
        <x:v>M17</x:v>
      </x:c>
      <x:c r="D1403" s="20" t="str">
        <x:v>17_喜忌用神矩阵</x:v>
      </x:c>
      <x:c r="E1403" s="20" t="str">
        <x:v>WUXING</x:v>
      </x:c>
      <x:c r="F1403" s="20" t="n">
        <x:v>78</x:v>
      </x:c>
      <x:c r="G1403" s="20" t="str">
        <x:v>V1.0</x:v>
      </x:c>
      <x:c r="H1403" s="20" t="str">
        <x:v>金在土水相战中可承担通关桥梁</x:v>
      </x:c>
      <x:c r="I1403" s="20" t="str">
        <x:v>综合层</x:v>
      </x:c>
      <x:c r="J1403" s="20" t="str">
        <x:v>金通土水</x:v>
      </x:c>
      <x:c r="K1403" s="20" t="str">
        <x:v>金综合定位为“条件性喜神”，优先级为“条件顺位”。主要收益：缓解土克水并使土气有出口；主要副作用：金过旺克木、助水过度或受火重制；仅在金能泄土生水且不使水寒湿过度时成立。</x:v>
      </x:c>
      <x:c r="L1403" s="20" t="str">
        <x:v>较高</x:v>
      </x:c>
      <x:c r="M1403" s="20" t="str">
        <x:v>采用</x:v>
      </x:c>
      <x:c r="N1403" s="20" t="str">
        <x:v>初审</x:v>
      </x:c>
      <x:c r="O1403" s="22" t="n">
        <x:v>46260</x:v>
      </x:c>
      <x:c r="P1403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404">
      <x:c r="A1404" s="20" t="str">
        <x:v>M17-WUXING-0079-V1.0</x:v>
      </x:c>
      <x:c r="B1404" s="20" t="str">
        <x:v>规则</x:v>
      </x:c>
      <x:c r="C1404" s="20" t="str">
        <x:v>M17</x:v>
      </x:c>
      <x:c r="D1404" s="20" t="str">
        <x:v>17_喜忌用神矩阵</x:v>
      </x:c>
      <x:c r="E1404" s="20" t="str">
        <x:v>WUXING</x:v>
      </x:c>
      <x:c r="F1404" s="20" t="n">
        <x:v>79</x:v>
      </x:c>
      <x:c r="G1404" s="20" t="str">
        <x:v>V1.0</x:v>
      </x:c>
      <x:c r="H1404" s="20" t="str">
        <x:v>金过旺时可能转为忌神</x:v>
      </x:c>
      <x:c r="I1404" s="20" t="str">
        <x:v>综合层</x:v>
      </x:c>
      <x:c r="J1404" s="20" t="str">
        <x:v>金旺转忌</x:v>
      </x:c>
      <x:c r="K1404" s="20" t="str">
        <x:v>金综合定位为“忌神”，优先级为“不采用”。主要收益：仅保留必要制木、生水功能；主要副作用：木受损、火受耗、水过旺、金木相战；仅在继续增金会克关键木、助忌水或破格时成立。</x:v>
      </x:c>
      <x:c r="L1404" s="20" t="str">
        <x:v>较高</x:v>
      </x:c>
      <x:c r="M1404" s="20" t="str">
        <x:v>采用</x:v>
      </x:c>
      <x:c r="N1404" s="20" t="str">
        <x:v>初审</x:v>
      </x:c>
      <x:c r="O1404" s="22" t="n">
        <x:v>46260</x:v>
      </x:c>
      <x:c r="P1404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405">
      <x:c r="A1405" s="20" t="str">
        <x:v>M17-WUXING-0080-V1.0</x:v>
      </x:c>
      <x:c r="B1405" s="20" t="str">
        <x:v>规则</x:v>
      </x:c>
      <x:c r="C1405" s="20" t="str">
        <x:v>M17</x:v>
      </x:c>
      <x:c r="D1405" s="20" t="str">
        <x:v>17_喜忌用神矩阵</x:v>
      </x:c>
      <x:c r="E1405" s="20" t="str">
        <x:v>WUXING</x:v>
      </x:c>
      <x:c r="F1405" s="20" t="n">
        <x:v>80</x:v>
      </x:c>
      <x:c r="G1405" s="20" t="str">
        <x:v>V1.0</x:v>
      </x:c>
      <x:c r="H1405" s="20" t="str">
        <x:v>金弱但不承担生水通关或格神功能时不自动列喜</x:v>
      </x:c>
      <x:c r="I1405" s="20" t="str">
        <x:v>综合层</x:v>
      </x:c>
      <x:c r="J1405" s="20" t="str">
        <x:v>金弱非自动喜</x:v>
      </x:c>
      <x:c r="K1405" s="20" t="str">
        <x:v>金综合定位为“中性”，优先级为“不采用”。主要收益：无明确主问题可治；主要副作用：补金可能克木、助水寒或伤火；金弱不等于喜金。</x:v>
      </x:c>
      <x:c r="L1405" s="20" t="str">
        <x:v>较高</x:v>
      </x:c>
      <x:c r="M1405" s="20" t="str">
        <x:v>采用</x:v>
      </x:c>
      <x:c r="N1405" s="20" t="str">
        <x:v>初审</x:v>
      </x:c>
      <x:c r="O1405" s="22" t="n">
        <x:v>46260</x:v>
      </x:c>
      <x:c r="P1405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406">
      <x:c r="A1406" s="20" t="str">
        <x:v>M17-WUXING-0081-V1.0</x:v>
      </x:c>
      <x:c r="B1406" s="20" t="str">
        <x:v>规则</x:v>
      </x:c>
      <x:c r="C1406" s="20" t="str">
        <x:v>M17</x:v>
      </x:c>
      <x:c r="D1406" s="20" t="str">
        <x:v>17_喜忌用神矩阵</x:v>
      </x:c>
      <x:c r="E1406" s="20" t="str">
        <x:v>WUXING</x:v>
      </x:c>
      <x:c r="F1406" s="20" t="n">
        <x:v>81</x:v>
      </x:c>
      <x:c r="G1406" s="20" t="str">
        <x:v>V1.0</x:v>
      </x:c>
      <x:c r="H1406" s="20" t="str">
        <x:v>水作为润燥、降温、生木与泄金之神的正向候选</x:v>
      </x:c>
      <x:c r="I1406" s="20" t="str">
        <x:v>综合层</x:v>
      </x:c>
      <x:c r="J1406" s="20" t="str">
        <x:v>水润燥生木候选</x:v>
      </x:c>
      <x:c r="K1406" s="20" t="str">
        <x:v>水综合定位为“条件性喜神”，优先级为“条件顺位”。主要收益：润燥、降热、生木并泄金；主要副作用：水过旺会寒湿、灭火、冲土或形成水火相战；仅在水有根有源、适量且不破火土格局时成立。</x:v>
      </x:c>
      <x:c r="L1406" s="20" t="str">
        <x:v>较高</x:v>
      </x:c>
      <x:c r="M1406" s="20" t="str">
        <x:v>采用</x:v>
      </x:c>
      <x:c r="N1406" s="20" t="str">
        <x:v>初审</x:v>
      </x:c>
      <x:c r="O1406" s="22" t="n">
        <x:v>46260</x:v>
      </x:c>
      <x:c r="P1406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407">
      <x:c r="A1407" s="20" t="str">
        <x:v>M17-WUXING-0082-V1.0</x:v>
      </x:c>
      <x:c r="B1407" s="20" t="str">
        <x:v>规则</x:v>
      </x:c>
      <x:c r="C1407" s="20" t="str">
        <x:v>M17</x:v>
      </x:c>
      <x:c r="D1407" s="20" t="str">
        <x:v>17_喜忌用神矩阵</x:v>
      </x:c>
      <x:c r="E1407" s="20" t="str">
        <x:v>WUXING</x:v>
      </x:c>
      <x:c r="F1407" s="20" t="n">
        <x:v>82</x:v>
      </x:c>
      <x:c r="G1407" s="20" t="str">
        <x:v>V1.0</x:v>
      </x:c>
      <x:c r="H1407" s="20" t="str">
        <x:v>水在金木相战中可承担通关桥梁</x:v>
      </x:c>
      <x:c r="I1407" s="20" t="str">
        <x:v>综合层</x:v>
      </x:c>
      <x:c r="J1407" s="20" t="str">
        <x:v>水通金木</x:v>
      </x:c>
      <x:c r="K1407" s="20" t="str">
        <x:v>水综合定位为“条件性喜神”，优先级为“条件顺位”。主要收益：缓解金克木并为木提供生源；主要副作用：水过旺寒湿、灭火或克土；仅在水能泄金生木且不使全局寒湿时成立。</x:v>
      </x:c>
      <x:c r="L1407" s="20" t="str">
        <x:v>较高</x:v>
      </x:c>
      <x:c r="M1407" s="20" t="str">
        <x:v>采用</x:v>
      </x:c>
      <x:c r="N1407" s="20" t="str">
        <x:v>初审</x:v>
      </x:c>
      <x:c r="O1407" s="22" t="n">
        <x:v>46260</x:v>
      </x:c>
      <x:c r="P1407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408">
      <x:c r="A1408" s="20" t="str">
        <x:v>M17-WUXING-0083-V1.0</x:v>
      </x:c>
      <x:c r="B1408" s="20" t="str">
        <x:v>规则</x:v>
      </x:c>
      <x:c r="C1408" s="20" t="str">
        <x:v>M17</x:v>
      </x:c>
      <x:c r="D1408" s="20" t="str">
        <x:v>17_喜忌用神矩阵</x:v>
      </x:c>
      <x:c r="E1408" s="20" t="str">
        <x:v>WUXING</x:v>
      </x:c>
      <x:c r="F1408" s="20" t="n">
        <x:v>83</x:v>
      </x:c>
      <x:c r="G1408" s="20" t="str">
        <x:v>V1.0</x:v>
      </x:c>
      <x:c r="H1408" s="20" t="str">
        <x:v>水过旺时可能转为忌神</x:v>
      </x:c>
      <x:c r="I1408" s="20" t="str">
        <x:v>综合层</x:v>
      </x:c>
      <x:c r="J1408" s="20" t="str">
        <x:v>水旺转忌</x:v>
      </x:c>
      <x:c r="K1408" s="20" t="str">
        <x:v>水综合定位为“忌神”，优先级为“不采用”。主要收益：仅保留必要润燥、生木、通关功能；主要副作用：寒凝、湿滞、火熄、土受克、木漂；仅在继续增水会加重寒湿或破火土主轴时成立。</x:v>
      </x:c>
      <x:c r="L1408" s="20" t="str">
        <x:v>较高</x:v>
      </x:c>
      <x:c r="M1408" s="20" t="str">
        <x:v>采用</x:v>
      </x:c>
      <x:c r="N1408" s="20" t="str">
        <x:v>初审</x:v>
      </x:c>
      <x:c r="O1408" s="22" t="n">
        <x:v>46260</x:v>
      </x:c>
      <x:c r="P1408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409">
      <x:c r="A1409" s="20" t="str">
        <x:v>M17-WUXING-0084-V1.0</x:v>
      </x:c>
      <x:c r="B1409" s="20" t="str">
        <x:v>规则</x:v>
      </x:c>
      <x:c r="C1409" s="20" t="str">
        <x:v>M17</x:v>
      </x:c>
      <x:c r="D1409" s="20" t="str">
        <x:v>17_喜忌用神矩阵</x:v>
      </x:c>
      <x:c r="E1409" s="20" t="str">
        <x:v>WUXING</x:v>
      </x:c>
      <x:c r="F1409" s="20" t="n">
        <x:v>84</x:v>
      </x:c>
      <x:c r="G1409" s="20" t="str">
        <x:v>V1.0</x:v>
      </x:c>
      <x:c r="H1409" s="20" t="str">
        <x:v>水弱但双轴不燥且非关键生源时不自动列喜</x:v>
      </x:c>
      <x:c r="I1409" s="20" t="str">
        <x:v>综合层</x:v>
      </x:c>
      <x:c r="J1409" s="20" t="str">
        <x:v>水弱非自动喜</x:v>
      </x:c>
      <x:c r="K1409" s="20" t="str">
        <x:v>水综合定位为“中性”，优先级为“不采用”。主要收益：无明确主问题可治；主要副作用：补水可能寒湿、灭火、克土；水弱不等于喜水。</x:v>
      </x:c>
      <x:c r="L1409" s="20" t="str">
        <x:v>较高</x:v>
      </x:c>
      <x:c r="M1409" s="20" t="str">
        <x:v>采用</x:v>
      </x:c>
      <x:c r="N1409" s="20" t="str">
        <x:v>初审</x:v>
      </x:c>
      <x:c r="O1409" s="22" t="n">
        <x:v>46260</x:v>
      </x:c>
      <x:c r="P1409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410">
      <x:c r="A1410" s="20" t="str">
        <x:v>M17-RANK-0085-V1.0</x:v>
      </x:c>
      <x:c r="B1410" s="20" t="str">
        <x:v>规则</x:v>
      </x:c>
      <x:c r="C1410" s="20" t="str">
        <x:v>M17</x:v>
      </x:c>
      <x:c r="D1410" s="20" t="str">
        <x:v>17_喜忌用神矩阵</x:v>
      </x:c>
      <x:c r="E1410" s="20" t="str">
        <x:v>RANK</x:v>
      </x:c>
      <x:c r="F1410" s="20" t="n">
        <x:v>85</x:v>
      </x:c>
      <x:c r="G1410" s="20" t="str">
        <x:v>V1.0</x:v>
      </x:c>
      <x:c r="H1410" s="20" t="str">
        <x:v>主用神必须解决根本主病或维护最高优先级硬约束</x:v>
      </x:c>
      <x:c r="I1410" s="20" t="str">
        <x:v>综合层</x:v>
      </x:c>
      <x:c r="J1410" s="20" t="str">
        <x:v>主用神定义</x:v>
      </x:c>
      <x:c r="K1410" s="20" t="str">
        <x:v>该候选五行综合定位为“主用神”，优先级为“第一顺位”。主要收益：决定全局主要矛盾能否被修复；主要副作用：允许有可控次级副作用，但不得有硬否决；仅在必须说明主用解决的根本问题、作用路径与副作用控制时成立。</x:v>
      </x:c>
      <x:c r="L1410" s="20" t="str">
        <x:v>较高</x:v>
      </x:c>
      <x:c r="M1410" s="20" t="str">
        <x:v>采用</x:v>
      </x:c>
      <x:c r="N1410" s="20" t="str">
        <x:v>初审</x:v>
      </x:c>
      <x:c r="O1410" s="22" t="n">
        <x:v>46260</x:v>
      </x:c>
      <x:c r="P1410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411">
      <x:c r="A1411" s="20" t="str">
        <x:v>M17-RANK-0086-V1.0</x:v>
      </x:c>
      <x:c r="B1411" s="20" t="str">
        <x:v>规则</x:v>
      </x:c>
      <x:c r="C1411" s="20" t="str">
        <x:v>M17</x:v>
      </x:c>
      <x:c r="D1411" s="20" t="str">
        <x:v>17_喜忌用神矩阵</x:v>
      </x:c>
      <x:c r="E1411" s="20" t="str">
        <x:v>RANK</x:v>
      </x:c>
      <x:c r="F1411" s="20" t="n">
        <x:v>86</x:v>
      </x:c>
      <x:c r="G1411" s="20" t="str">
        <x:v>V1.0</x:v>
      </x:c>
      <x:c r="H1411" s="20" t="str">
        <x:v>辅助用神必须服务主用或修复次级关键环节</x:v>
      </x:c>
      <x:c r="I1411" s="20" t="str">
        <x:v>综合层</x:v>
      </x:c>
      <x:c r="J1411" s="20" t="str">
        <x:v>辅助用神定义</x:v>
      </x:c>
      <x:c r="K1411" s="20" t="str">
        <x:v>该候选五行综合定位为“辅助用神”，优先级为“第二顺位”。主要收益：使主用能够稳定发挥；主要副作用：辅助过强可能反客为主或制造新病；仅在辅助神不得替代主用，也不得破坏主用主轴时成立。</x:v>
      </x:c>
      <x:c r="L1411" s="20" t="str">
        <x:v>较高</x:v>
      </x:c>
      <x:c r="M1411" s="20" t="str">
        <x:v>采用</x:v>
      </x:c>
      <x:c r="N1411" s="20" t="str">
        <x:v>初审</x:v>
      </x:c>
      <x:c r="O1411" s="22" t="n">
        <x:v>46260</x:v>
      </x:c>
      <x:c r="P1411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412">
      <x:c r="A1412" s="20" t="str">
        <x:v>M17-RANK-0087-V1.0</x:v>
      </x:c>
      <x:c r="B1412" s="20" t="str">
        <x:v>规则</x:v>
      </x:c>
      <x:c r="C1412" s="20" t="str">
        <x:v>M17</x:v>
      </x:c>
      <x:c r="D1412" s="20" t="str">
        <x:v>17_喜忌用神矩阵</x:v>
      </x:c>
      <x:c r="E1412" s="20" t="str">
        <x:v>RANK</x:v>
      </x:c>
      <x:c r="F1412" s="20" t="n">
        <x:v>87</x:v>
      </x:c>
      <x:c r="G1412" s="20" t="str">
        <x:v>V1.0</x:v>
      </x:c>
      <x:c r="H1412" s="20" t="str">
        <x:v>喜神是净收益明确但不承担根本主药职责的五行</x:v>
      </x:c>
      <x:c r="I1412" s="20" t="str">
        <x:v>综合层</x:v>
      </x:c>
      <x:c r="J1412" s="20" t="str">
        <x:v>喜神定义</x:v>
      </x:c>
      <x:c r="K1412" s="20" t="str">
        <x:v>该候选五行综合定位为“喜神”，优先级为“第三顺位”。主要收益：提高结构运行质量；主要副作用：存在但较小或可控；仅在对全局有稳定正收益但不是不可替代核心时成立。</x:v>
      </x:c>
      <x:c r="L1412" s="20" t="str">
        <x:v>较高</x:v>
      </x:c>
      <x:c r="M1412" s="20" t="str">
        <x:v>采用</x:v>
      </x:c>
      <x:c r="N1412" s="20" t="str">
        <x:v>初审</x:v>
      </x:c>
      <x:c r="O1412" s="22" t="n">
        <x:v>46260</x:v>
      </x:c>
      <x:c r="P1412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413">
      <x:c r="A1413" s="20" t="str">
        <x:v>M17-RANK-0088-V1.0</x:v>
      </x:c>
      <x:c r="B1413" s="20" t="str">
        <x:v>规则</x:v>
      </x:c>
      <x:c r="C1413" s="20" t="str">
        <x:v>M17</x:v>
      </x:c>
      <x:c r="D1413" s="20" t="str">
        <x:v>17_喜忌用神矩阵</x:v>
      </x:c>
      <x:c r="E1413" s="20" t="str">
        <x:v>RANK</x:v>
      </x:c>
      <x:c r="F1413" s="20" t="n">
        <x:v>88</x:v>
      </x:c>
      <x:c r="G1413" s="20" t="str">
        <x:v>V1.0</x:v>
      </x:c>
      <x:c r="H1413" s="20" t="str">
        <x:v>条件性喜神只有在限定结构和剂量下才有利</x:v>
      </x:c>
      <x:c r="I1413" s="20" t="str">
        <x:v>综合层</x:v>
      </x:c>
      <x:c r="J1413" s="20" t="str">
        <x:v>条件性喜神定义</x:v>
      </x:c>
      <x:c r="K1413" s="20" t="str">
        <x:v>该候选五行综合定位为“条件性喜神”，优先级为“条件顺位”。主要收益：在限定条件下解决重要问题；主要副作用：条件不满足即无效或转害；仅在必须同步输出“何时有利、何时转忌”时成立。</x:v>
      </x:c>
      <x:c r="L1413" s="20" t="str">
        <x:v>较高</x:v>
      </x:c>
      <x:c r="M1413" s="20" t="str">
        <x:v>采用</x:v>
      </x:c>
      <x:c r="N1413" s="20" t="str">
        <x:v>初审</x:v>
      </x:c>
      <x:c r="O1413" s="22" t="n">
        <x:v>46260</x:v>
      </x:c>
      <x:c r="P1413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414">
      <x:c r="A1414" s="20" t="str">
        <x:v>M17-RANK-0089-V1.0</x:v>
      </x:c>
      <x:c r="B1414" s="20" t="str">
        <x:v>规则</x:v>
      </x:c>
      <x:c r="C1414" s="20" t="str">
        <x:v>M17</x:v>
      </x:c>
      <x:c r="D1414" s="20" t="str">
        <x:v>17_喜忌用神矩阵</x:v>
      </x:c>
      <x:c r="E1414" s="20" t="str">
        <x:v>RANK</x:v>
      </x:c>
      <x:c r="F1414" s="20" t="n">
        <x:v>89</x:v>
      </x:c>
      <x:c r="G1414" s="20" t="str">
        <x:v>V1.0</x:v>
      </x:c>
      <x:c r="H1414" s="20" t="str">
        <x:v>中性五行不进入主要喜忌与用神排序</x:v>
      </x:c>
      <x:c r="I1414" s="20" t="str">
        <x:v>综合层</x:v>
      </x:c>
      <x:c r="J1414" s="20" t="str">
        <x:v>中性定义</x:v>
      </x:c>
      <x:c r="K1414" s="20" t="str">
        <x:v>该候选五行综合定位为“中性”，优先级为“不采用”。主要收益：维持现状；主要副作用：无明显结构价值；只记录存在，不纳入主要用神喜忌。</x:v>
      </x:c>
      <x:c r="L1414" s="20" t="str">
        <x:v>较高</x:v>
      </x:c>
      <x:c r="M1414" s="20" t="str">
        <x:v>采用</x:v>
      </x:c>
      <x:c r="N1414" s="20" t="str">
        <x:v>初审</x:v>
      </x:c>
      <x:c r="O1414" s="22" t="n">
        <x:v>46260</x:v>
      </x:c>
      <x:c r="P1414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415">
      <x:c r="A1415" s="20" t="str">
        <x:v>M17-RANK-0090-V1.0</x:v>
      </x:c>
      <x:c r="B1415" s="20" t="str">
        <x:v>规则</x:v>
      </x:c>
      <x:c r="C1415" s="20" t="str">
        <x:v>M17</x:v>
      </x:c>
      <x:c r="D1415" s="20" t="str">
        <x:v>17_喜忌用神矩阵</x:v>
      </x:c>
      <x:c r="E1415" s="20" t="str">
        <x:v>RANK</x:v>
      </x:c>
      <x:c r="F1415" s="20" t="n">
        <x:v>90</x:v>
      </x:c>
      <x:c r="G1415" s="20" t="str">
        <x:v>V1.0</x:v>
      </x:c>
      <x:c r="H1415" s="20" t="str">
        <x:v>条件性忌神在特定情况下会加重主要矛盾</x:v>
      </x:c>
      <x:c r="I1415" s="20" t="str">
        <x:v>综合层</x:v>
      </x:c>
      <x:c r="J1415" s="20" t="str">
        <x:v>条件性忌神定义</x:v>
      </x:c>
      <x:c r="K1415" s="20" t="str">
        <x:v>该候选五行综合定位为“条件性忌神”，优先级为“不采用”。主要收益：在少数结构中仍可能有局部用途；主要副作用：条件触发时加重根本病或伤主用；仅在必须说明触发忌性的条件以及例外用途时成立。</x:v>
      </x:c>
      <x:c r="L1415" s="20" t="str">
        <x:v>较高</x:v>
      </x:c>
      <x:c r="M1415" s="20" t="str">
        <x:v>采用</x:v>
      </x:c>
      <x:c r="N1415" s="20" t="str">
        <x:v>初审</x:v>
      </x:c>
      <x:c r="O1415" s="22" t="n">
        <x:v>46260</x:v>
      </x:c>
      <x:c r="P1415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416">
      <x:c r="A1416" s="20" t="str">
        <x:v>M17-RANK-0091-V1.0</x:v>
      </x:c>
      <x:c r="B1416" s="20" t="str">
        <x:v>规则</x:v>
      </x:c>
      <x:c r="C1416" s="20" t="str">
        <x:v>M17</x:v>
      </x:c>
      <x:c r="D1416" s="20" t="str">
        <x:v>17_喜忌用神矩阵</x:v>
      </x:c>
      <x:c r="E1416" s="20" t="str">
        <x:v>RANK</x:v>
      </x:c>
      <x:c r="F1416" s="20" t="n">
        <x:v>91</x:v>
      </x:c>
      <x:c r="G1416" s="20" t="str">
        <x:v>V1.0</x:v>
      </x:c>
      <x:c r="H1416" s="20" t="str">
        <x:v>忌神是稳定加重根本病或直接破坏核心结构的五行</x:v>
      </x:c>
      <x:c r="I1416" s="20" t="str">
        <x:v>综合层</x:v>
      </x:c>
      <x:c r="J1416" s="20" t="str">
        <x:v>忌神定义</x:v>
      </x:c>
      <x:c r="K1416" s="20" t="str">
        <x:v>该候选五行综合定位为“忌神”，优先级为“不采用”。主要收益：局部收益不足以抵消主要伤害；主要副作用：稳定扩大主要矛盾；明确其伤害对象、作用路径和严重度。</x:v>
      </x:c>
      <x:c r="L1416" s="20" t="str">
        <x:v>较高</x:v>
      </x:c>
      <x:c r="M1416" s="20" t="str">
        <x:v>采用</x:v>
      </x:c>
      <x:c r="N1416" s="20" t="str">
        <x:v>初审</x:v>
      </x:c>
      <x:c r="O1416" s="22" t="n">
        <x:v>46260</x:v>
      </x:c>
      <x:c r="P1416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417">
      <x:c r="A1417" s="20" t="str">
        <x:v>M17-RANK-0092-V1.0</x:v>
      </x:c>
      <x:c r="B1417" s="20" t="str">
        <x:v>规则</x:v>
      </x:c>
      <x:c r="C1417" s="20" t="str">
        <x:v>M17</x:v>
      </x:c>
      <x:c r="D1417" s="20" t="str">
        <x:v>17_喜忌用神矩阵</x:v>
      </x:c>
      <x:c r="E1417" s="20" t="str">
        <x:v>RANK</x:v>
      </x:c>
      <x:c r="F1417" s="20" t="n">
        <x:v>92</x:v>
      </x:c>
      <x:c r="G1417" s="20" t="str">
        <x:v>V1.0</x:v>
      </x:c>
      <x:c r="H1417" s="20" t="str">
        <x:v>仇神是生助忌神、克制主用或破坏救应的次级有害五行</x:v>
      </x:c>
      <x:c r="I1417" s="20" t="str">
        <x:v>综合层</x:v>
      </x:c>
      <x:c r="J1417" s="20" t="str">
        <x:v>仇神定义</x:v>
      </x:c>
      <x:c r="K1417" s="20" t="str">
        <x:v>该候选五行综合定位为“仇神”，优先级为“不采用”。主要收益：通常没有独立重要正向价值；主要副作用：强化忌神并削弱用神；仅在必须明确其通过哪条生克链助忌伤用时成立。</x:v>
      </x:c>
      <x:c r="L1417" s="20" t="str">
        <x:v>较高</x:v>
      </x:c>
      <x:c r="M1417" s="20" t="str">
        <x:v>采用</x:v>
      </x:c>
      <x:c r="N1417" s="20" t="str">
        <x:v>初审</x:v>
      </x:c>
      <x:c r="O1417" s="22" t="n">
        <x:v>46260</x:v>
      </x:c>
      <x:c r="P1417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418">
      <x:c r="A1418" s="20" t="str">
        <x:v>M17-BOUND-0093-V1.0</x:v>
      </x:c>
      <x:c r="B1418" s="20" t="str">
        <x:v>规则</x:v>
      </x:c>
      <x:c r="C1418" s="20" t="str">
        <x:v>M17</x:v>
      </x:c>
      <x:c r="D1418" s="20" t="str">
        <x:v>17_喜忌用神矩阵</x:v>
      </x:c>
      <x:c r="E1418" s="20" t="str">
        <x:v>BOUND</x:v>
      </x:c>
      <x:c r="F1418" s="20" t="n">
        <x:v>93</x:v>
      </x:c>
      <x:c r="G1418" s="20" t="str">
        <x:v>V1.0</x:v>
      </x:c>
      <x:c r="H1418" s="20" t="str">
        <x:v>五行旺衰与喜忌定位必须分离</x:v>
      </x:c>
      <x:c r="I1418" s="20" t="str">
        <x:v>综合层</x:v>
      </x:c>
      <x:c r="J1418" s="20" t="str">
        <x:v>旺衰喜忌分离</x:v>
      </x:c>
      <x:c r="K1418" s="20" t="str">
        <x:v>五行旺弱不直接决定喜忌；必须通过五维矩阵判断其净作用。</x:v>
      </x:c>
      <x:c r="L1418" s="20" t="str">
        <x:v>较高</x:v>
      </x:c>
      <x:c r="M1418" s="20" t="str">
        <x:v>采用</x:v>
      </x:c>
      <x:c r="N1418" s="20" t="str">
        <x:v>初审</x:v>
      </x:c>
      <x:c r="O1418" s="22" t="n">
        <x:v>46260</x:v>
      </x:c>
      <x:c r="P1418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419">
      <x:c r="A1419" s="20" t="str">
        <x:v>M17-BOUND-0094-V1.0</x:v>
      </x:c>
      <x:c r="B1419" s="20" t="str">
        <x:v>规则</x:v>
      </x:c>
      <x:c r="C1419" s="20" t="str">
        <x:v>M17</x:v>
      </x:c>
      <x:c r="D1419" s="20" t="str">
        <x:v>17_喜忌用神矩阵</x:v>
      </x:c>
      <x:c r="E1419" s="20" t="str">
        <x:v>BOUND</x:v>
      </x:c>
      <x:c r="F1419" s="20" t="n">
        <x:v>94</x:v>
      </x:c>
      <x:c r="G1419" s="20" t="str">
        <x:v>V1.0</x:v>
      </x:c>
      <x:c r="H1419" s="20" t="str">
        <x:v>五行缺失与用神需求必须分离</x:v>
      </x:c>
      <x:c r="I1419" s="20" t="str">
        <x:v>综合层</x:v>
      </x:c>
      <x:c r="J1419" s="20" t="str">
        <x:v>缺失用神分离</x:v>
      </x:c>
      <x:c r="K1419" s="20" t="str">
        <x:v>该候选五行综合定位为“中性”，优先级为“不采用”。主要收益：防止缺什么补什么；主要副作用：补入无关五行可能破格成病；缺失只记录事实，不自动进入喜用排序。</x:v>
      </x:c>
      <x:c r="L1419" s="20" t="str">
        <x:v>较高</x:v>
      </x:c>
      <x:c r="M1419" s="20" t="str">
        <x:v>采用</x:v>
      </x:c>
      <x:c r="N1419" s="20" t="str">
        <x:v>初审</x:v>
      </x:c>
      <x:c r="O1419" s="22" t="n">
        <x:v>46260</x:v>
      </x:c>
      <x:c r="P1419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420">
      <x:c r="A1420" s="20" t="str">
        <x:v>M17-BOUND-0095-V1.0</x:v>
      </x:c>
      <x:c r="B1420" s="20" t="str">
        <x:v>规则</x:v>
      </x:c>
      <x:c r="C1420" s="20" t="str">
        <x:v>M17</x:v>
      </x:c>
      <x:c r="D1420" s="20" t="str">
        <x:v>17_喜忌用神矩阵</x:v>
      </x:c>
      <x:c r="E1420" s="20" t="str">
        <x:v>BOUND</x:v>
      </x:c>
      <x:c r="F1420" s="20" t="n">
        <x:v>95</x:v>
      </x:c>
      <x:c r="G1420" s="20" t="str">
        <x:v>V1.0</x:v>
      </x:c>
      <x:c r="H1420" s="20" t="str">
        <x:v>候选五行对应十神必须随日主重新映射</x:v>
      </x:c>
      <x:c r="I1420" s="20" t="str">
        <x:v>综合层</x:v>
      </x:c>
      <x:c r="J1420" s="20" t="str">
        <x:v>五行十神相对映射</x:v>
      </x:c>
      <x:c r="K1420" s="20" t="str">
        <x:v>M17的“候选五行”与“对应十神”必须按具体日主映射，不能固定绑定。</x:v>
      </x:c>
      <x:c r="L1420" s="20" t="str">
        <x:v>较高</x:v>
      </x:c>
      <x:c r="M1420" s="20" t="str">
        <x:v>采用</x:v>
      </x:c>
      <x:c r="N1420" s="20" t="str">
        <x:v>初审</x:v>
      </x:c>
      <x:c r="O1420" s="22" t="n">
        <x:v>46260</x:v>
      </x:c>
      <x:c r="P1420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421">
      <x:c r="A1421" s="20" t="str">
        <x:v>M17-BOUND-0096-V1.0</x:v>
      </x:c>
      <x:c r="B1421" s="20" t="str">
        <x:v>规则</x:v>
      </x:c>
      <x:c r="C1421" s="20" t="str">
        <x:v>M17</x:v>
      </x:c>
      <x:c r="D1421" s="20" t="str">
        <x:v>17_喜忌用神矩阵</x:v>
      </x:c>
      <x:c r="E1421" s="20" t="str">
        <x:v>BOUND</x:v>
      </x:c>
      <x:c r="F1421" s="20" t="n">
        <x:v>96</x:v>
      </x:c>
      <x:c r="G1421" s="20" t="str">
        <x:v>V1.0</x:v>
      </x:c>
      <x:c r="H1421" s="20" t="str">
        <x:v>同一五行可以同时有收益与副作用，最终取净定位</x:v>
      </x:c>
      <x:c r="I1421" s="20" t="str">
        <x:v>综合层</x:v>
      </x:c>
      <x:c r="J1421" s="20" t="str">
        <x:v>一行多效净定位</x:v>
      </x:c>
      <x:c r="K1421" s="20" t="str">
        <x:v>该候选五行综合定位为“待定”，优先级为“待定”。主要收益：完整保留多重功能；主要副作用：不能因一个正向标签忽略其他伤害；最终按根本病、硬约束和副作用确定净定位。</x:v>
      </x:c>
      <x:c r="L1421" s="20" t="str">
        <x:v>较高</x:v>
      </x:c>
      <x:c r="M1421" s="20" t="str">
        <x:v>采用</x:v>
      </x:c>
      <x:c r="N1421" s="20" t="str">
        <x:v>初审</x:v>
      </x:c>
      <x:c r="O1421" s="22" t="n">
        <x:v>46260</x:v>
      </x:c>
      <x:c r="P1421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422">
      <x:c r="A1422" s="20" t="str">
        <x:v>M17-BOUND-0097-V1.0</x:v>
      </x:c>
      <x:c r="B1422" s="20" t="str">
        <x:v>规则</x:v>
      </x:c>
      <x:c r="C1422" s="20" t="str">
        <x:v>M17</x:v>
      </x:c>
      <x:c r="D1422" s="20" t="str">
        <x:v>17_喜忌用神矩阵</x:v>
      </x:c>
      <x:c r="E1422" s="20" t="str">
        <x:v>BOUND</x:v>
      </x:c>
      <x:c r="F1422" s="20" t="n">
        <x:v>97</x:v>
      </x:c>
      <x:c r="G1422" s="20" t="str">
        <x:v>V1.0</x:v>
      </x:c>
      <x:c r="H1422" s="20" t="str">
        <x:v>喜用神结论不直接等同现实中的物质补充建议</x:v>
      </x:c>
      <x:c r="I1422" s="20" t="str">
        <x:v>综合层</x:v>
      </x:c>
      <x:c r="J1422" s="20" t="str">
        <x:v>用神应用边界</x:v>
      </x:c>
      <x:c r="K1422" s="20" t="str">
        <x:v>喜用神是命局结构中的作用方向，不自动等同于佩戴、颜色、方位、行业或物质补充建议。</x:v>
      </x:c>
      <x:c r="L1422" s="20" t="str">
        <x:v>较高</x:v>
      </x:c>
      <x:c r="M1422" s="20" t="str">
        <x:v>采用</x:v>
      </x:c>
      <x:c r="N1422" s="20" t="str">
        <x:v>初审</x:v>
      </x:c>
      <x:c r="O1422" s="22" t="n">
        <x:v>46260</x:v>
      </x:c>
      <x:c r="P1422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423">
      <x:c r="A1423" s="20" t="str">
        <x:v>M17-BOUND-0098-V1.0</x:v>
      </x:c>
      <x:c r="B1423" s="20" t="str">
        <x:v>规则</x:v>
      </x:c>
      <x:c r="C1423" s="20" t="str">
        <x:v>M17</x:v>
      </x:c>
      <x:c r="D1423" s="20" t="str">
        <x:v>17_喜忌用神矩阵</x:v>
      </x:c>
      <x:c r="E1423" s="20" t="str">
        <x:v>BOUND</x:v>
      </x:c>
      <x:c r="F1423" s="20" t="n">
        <x:v>98</x:v>
      </x:c>
      <x:c r="G1423" s="20" t="str">
        <x:v>V1.0</x:v>
      </x:c>
      <x:c r="H1423" s="20" t="str">
        <x:v>原局喜忌与岁运中的实际吉凶必须分开</x:v>
      </x:c>
      <x:c r="I1423" s="20" t="str">
        <x:v>综合层</x:v>
      </x:c>
      <x:c r="J1423" s="20" t="str">
        <x:v>喜忌静动态边界</x:v>
      </x:c>
      <x:c r="K1423" s="20" t="str">
        <x:v>M17只判断原局静态喜忌；某五行在具体岁运中是否吉利，需结合引动方式、强度和原局承载重新判断。</x:v>
      </x:c>
      <x:c r="L1423" s="20" t="str">
        <x:v>较高</x:v>
      </x:c>
      <x:c r="M1423" s="20" t="str">
        <x:v>采用</x:v>
      </x:c>
      <x:c r="N1423" s="20" t="str">
        <x:v>初审</x:v>
      </x:c>
      <x:c r="O1423" s="22" t="n">
        <x:v>46260</x:v>
      </x:c>
      <x:c r="P1423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424">
      <x:c r="A1424" s="20" t="str">
        <x:v>M17-BOUND-0099-V1.0</x:v>
      </x:c>
      <x:c r="B1424" s="20" t="str">
        <x:v>规则</x:v>
      </x:c>
      <x:c r="C1424" s="20" t="str">
        <x:v>M17</x:v>
      </x:c>
      <x:c r="D1424" s="20" t="str">
        <x:v>17_喜忌用神矩阵</x:v>
      </x:c>
      <x:c r="E1424" s="20" t="str">
        <x:v>BOUND</x:v>
      </x:c>
      <x:c r="F1424" s="20" t="n">
        <x:v>99</x:v>
      </x:c>
      <x:c r="G1424" s="20" t="str">
        <x:v>V1.0</x:v>
      </x:c>
      <x:c r="H1424" s="20" t="str">
        <x:v>用神喜忌不能直接推出财富婚姻职业健康事件</x:v>
      </x:c>
      <x:c r="I1424" s="20" t="str">
        <x:v>综合层</x:v>
      </x:c>
      <x:c r="J1424" s="20" t="str">
        <x:v>用神事件边界</x:v>
      </x:c>
      <x:c r="K1424" s="20" t="str">
        <x:v>M17不得直接由喜木、忌火等结论推出财富、婚恋、职业、疾病或具体人生事件。</x:v>
      </x:c>
      <x:c r="L1424" s="20" t="str">
        <x:v>较高</x:v>
      </x:c>
      <x:c r="M1424" s="20" t="str">
        <x:v>采用</x:v>
      </x:c>
      <x:c r="N1424" s="20" t="str">
        <x:v>初审</x:v>
      </x:c>
      <x:c r="O1424" s="22" t="n">
        <x:v>46260</x:v>
      </x:c>
      <x:c r="P1424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425">
      <x:c r="A1425" s="20" t="str">
        <x:v>M17-BOUND-0100-V1.0</x:v>
      </x:c>
      <x:c r="B1425" s="20" t="str">
        <x:v>规则</x:v>
      </x:c>
      <x:c r="C1425" s="20" t="str">
        <x:v>M17</x:v>
      </x:c>
      <x:c r="D1425" s="20" t="str">
        <x:v>17_喜忌用神矩阵</x:v>
      </x:c>
      <x:c r="E1425" s="20" t="str">
        <x:v>BOUND</x:v>
      </x:c>
      <x:c r="F1425" s="20" t="n">
        <x:v>100</x:v>
      </x:c>
      <x:c r="G1425" s="20" t="str">
        <x:v>V1.0</x:v>
      </x:c>
      <x:c r="H1425" s="20" t="str">
        <x:v>M17标准输出必须给出五行全表和主次依据</x:v>
      </x:c>
      <x:c r="I1425" s="20" t="str">
        <x:v>综合层</x:v>
      </x:c>
      <x:c r="J1425" s="20" t="str">
        <x:v>M17标准输出</x:v>
      </x:c>
      <x:c r="K1425" s="20" t="str">
        <x:v>M17最终必须输出木、火、土、金、水五行矩阵：五维作用、主要收益、副作用、适用/不适用条件、冲突、综合定位、主次优先级、条件性说明、反向证据与置信度。</x:v>
      </x:c>
      <x:c r="L1425" s="20" t="str">
        <x:v>较高</x:v>
      </x:c>
      <x:c r="M1425" s="20" t="str">
        <x:v>采用</x:v>
      </x:c>
      <x:c r="N1425" s="20" t="str">
        <x:v>初审</x:v>
      </x:c>
      <x:c r="O1425" s="22" t="n">
        <x:v>46260</x:v>
      </x:c>
      <x:c r="P1425" s="20" t="str">
        <x:v>喜忌用神必须同时读取扶抑、格局、通关、调候和病药五个维度。单一维度有利不足以自动成为主用；最终定位取决于是否解决根本问题、是否触犯格局硬约束、药力是否可达以及副作用是否可控。</x:v>
      </x:c>
    </x:row>
    <x:row r="1426">
      <x:c r="A1426" s="20" t="str">
        <x:v>M18-GEN-0001-V1.0</x:v>
      </x:c>
      <x:c r="B1426" s="20" t="str">
        <x:v>规则</x:v>
      </x:c>
      <x:c r="C1426" s="20" t="str">
        <x:v>M18</x:v>
      </x:c>
      <x:c r="D1426" s="20" t="str">
        <x:v>18_冲突裁决规则</x:v>
      </x:c>
      <x:c r="E1426" s="20" t="str">
        <x:v>GEN</x:v>
      </x:c>
      <x:c r="F1426" s="20" t="n">
        <x:v>1</x:v>
      </x:c>
      <x:c r="G1426" s="20" t="str">
        <x:v>V1.0</x:v>
      </x:c>
      <x:c r="H1426" s="20" t="str">
        <x:v>硬约束优先于一般收益</x:v>
      </x:c>
      <x:c r="I1426" s="20" t="str">
        <x:v>综合层</x:v>
      </x:c>
      <x:c r="J1426" s="20" t="str">
        <x:v>硬约束优先</x:v>
      </x:c>
      <x:c r="K1426" s="20" t="str">
        <x:v>冲突主题：硬约束与软收益冲突。裁决结果为“硬约束优先”；优先采用：先保留不触发根本破格的方案；降级处理：有一般收益但触犯硬约束者降为条件性忌神或不采用。同时控制副作用：寻找能够解决同一问题而不触犯硬约束的替代路径。</x:v>
      </x:c>
      <x:c r="L1426" s="20" t="str">
        <x:v>较高</x:v>
      </x:c>
      <x:c r="M1426" s="20" t="str">
        <x:v>采用</x:v>
      </x:c>
      <x:c r="N1426" s="20" t="str">
        <x:v>初审</x:v>
      </x:c>
      <x:c r="O1426" s="22" t="n">
        <x:v>46260</x:v>
      </x:c>
      <x:c r="P1426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27">
      <x:c r="A1427" s="20" t="str">
        <x:v>M18-GEN-0002-V1.0</x:v>
      </x:c>
      <x:c r="B1427" s="20" t="str">
        <x:v>规则</x:v>
      </x:c>
      <x:c r="C1427" s="20" t="str">
        <x:v>M18</x:v>
      </x:c>
      <x:c r="D1427" s="20" t="str">
        <x:v>18_冲突裁决规则</x:v>
      </x:c>
      <x:c r="E1427" s="20" t="str">
        <x:v>GEN</x:v>
      </x:c>
      <x:c r="F1427" s="20" t="n">
        <x:v>2</x:v>
      </x:c>
      <x:c r="G1427" s="20" t="str">
        <x:v>V1.0</x:v>
      </x:c>
      <x:c r="H1427" s="20" t="str">
        <x:v>只有严格成立的条件才能成为硬约束</x:v>
      </x:c>
      <x:c r="I1427" s="20" t="str">
        <x:v>综合层</x:v>
      </x:c>
      <x:c r="J1427" s="20" t="str">
        <x:v>硬约束资格</x:v>
      </x:c>
      <x:c r="K1427" s="20" t="str">
        <x:v>冲突主题：候选结论与硬约束资格冲突。裁决结果为“先验资格审查”；优先采用：未严格成立时退回普通格局、旺衰、流通和病药综合；降级处理：仅为候选、假从、假化或证据不足者不得享有硬约束优先级。同时控制副作用：保留特殊格局候选的反向证据，避免一刀切否决普通用神。</x:v>
      </x:c>
      <x:c r="L1427" s="20" t="str">
        <x:v>较高</x:v>
      </x:c>
      <x:c r="M1427" s="20" t="str">
        <x:v>采用</x:v>
      </x:c>
      <x:c r="N1427" s="20" t="str">
        <x:v>初审</x:v>
      </x:c>
      <x:c r="O1427" s="22" t="n">
        <x:v>46260</x:v>
      </x:c>
      <x:c r="P1427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28">
      <x:c r="A1428" s="20" t="str">
        <x:v>M18-GEN-0003-V1.0</x:v>
      </x:c>
      <x:c r="B1428" s="20" t="str">
        <x:v>规则</x:v>
      </x:c>
      <x:c r="C1428" s="20" t="str">
        <x:v>M18</x:v>
      </x:c>
      <x:c r="D1428" s="20" t="str">
        <x:v>18_冲突裁决规则</x:v>
      </x:c>
      <x:c r="E1428" s="20" t="str">
        <x:v>GEN</x:v>
      </x:c>
      <x:c r="F1428" s="20" t="n">
        <x:v>3</x:v>
      </x:c>
      <x:c r="G1428" s="20" t="str">
        <x:v>V1.0</x:v>
      </x:c>
      <x:c r="H1428" s="20" t="str">
        <x:v>根本主病优先于表层旺弱收益</x:v>
      </x:c>
      <x:c r="I1428" s="20" t="str">
        <x:v>综合层</x:v>
      </x:c>
      <x:c r="J1428" s="20" t="str">
        <x:v>根本病优先</x:v>
      </x:c>
      <x:c r="K1428" s="20" t="str">
        <x:v>冲突主题：根本病与表层扶抑冲突。裁决结果为“根因优先”；优先采用：直接作用根本病位的药神优先；降级处理：只缓解表象者降为辅助用神、喜神或不采用。同时控制副作用：防止表层扶抑掩盖桥梁失效、财坏印或制化中断。</x:v>
      </x:c>
      <x:c r="L1428" s="20" t="str">
        <x:v>较高</x:v>
      </x:c>
      <x:c r="M1428" s="20" t="str">
        <x:v>采用</x:v>
      </x:c>
      <x:c r="N1428" s="20" t="str">
        <x:v>初审</x:v>
      </x:c>
      <x:c r="O1428" s="22" t="n">
        <x:v>46260</x:v>
      </x:c>
      <x:c r="P1428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29">
      <x:c r="A1429" s="20" t="str">
        <x:v>M18-GEN-0004-V1.0</x:v>
      </x:c>
      <x:c r="B1429" s="20" t="str">
        <x:v>规则</x:v>
      </x:c>
      <x:c r="C1429" s="20" t="str">
        <x:v>M18</x:v>
      </x:c>
      <x:c r="D1429" s="20" t="str">
        <x:v>18_冲突裁决规则</x:v>
      </x:c>
      <x:c r="E1429" s="20" t="str">
        <x:v>GEN</x:v>
      </x:c>
      <x:c r="F1429" s="20" t="n">
        <x:v>4</x:v>
      </x:c>
      <x:c r="G1429" s="20" t="str">
        <x:v>V1.0</x:v>
      </x:c>
      <x:c r="H1429" s="20" t="str">
        <x:v>主路径优先于次级路径</x:v>
      </x:c>
      <x:c r="I1429" s="20" t="str">
        <x:v>综合层</x:v>
      </x:c>
      <x:c r="J1429" s="20" t="str">
        <x:v>主路径优先</x:v>
      </x:c>
      <x:c r="K1429" s="20" t="str">
        <x:v>冲突主题：主流通路径与次级改善冲突。裁决结果为“主路径优先”；优先采用：覆盖核心节点最多且直接修复主卡点者优先；降级处理：只改善次级路径者降为第三顺位喜神或条件性辅助。同时控制副作用：避免多药分散导致主卡点仍未修复。</x:v>
      </x:c>
      <x:c r="L1429" s="20" t="str">
        <x:v>较高</x:v>
      </x:c>
      <x:c r="M1429" s="20" t="str">
        <x:v>采用</x:v>
      </x:c>
      <x:c r="N1429" s="20" t="str">
        <x:v>初审</x:v>
      </x:c>
      <x:c r="O1429" s="22" t="n">
        <x:v>46260</x:v>
      </x:c>
      <x:c r="P1429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30">
      <x:c r="A1430" s="20" t="str">
        <x:v>M18-GEN-0005-V1.0</x:v>
      </x:c>
      <x:c r="B1430" s="20" t="str">
        <x:v>规则</x:v>
      </x:c>
      <x:c r="C1430" s="20" t="str">
        <x:v>M18</x:v>
      </x:c>
      <x:c r="D1430" s="20" t="str">
        <x:v>18_冲突裁决规则</x:v>
      </x:c>
      <x:c r="E1430" s="20" t="str">
        <x:v>GEN</x:v>
      </x:c>
      <x:c r="F1430" s="20" t="n">
        <x:v>5</x:v>
      </x:c>
      <x:c r="G1430" s="20" t="str">
        <x:v>V1.0</x:v>
      </x:c>
      <x:c r="H1430" s="20" t="str">
        <x:v>局部收益不能抵消更严重的新病</x:v>
      </x:c>
      <x:c r="I1430" s="20" t="str">
        <x:v>综合层</x:v>
      </x:c>
      <x:c r="J1430" s="20" t="str">
        <x:v>更重新病否决</x:v>
      </x:c>
      <x:c r="K1430" s="20" t="str">
        <x:v>冲突主题：局部收益与更高严重度伤害冲突。裁决结果为“净伤害否决”；优先采用：不产生更严重新病的替代方案优先；降级处理：治一病而生更重病者定为不采用、忌神或条件性忌神。同时控制副作用：明确记录原收益与新病路径，防止将其误写为无条件喜神。</x:v>
      </x:c>
      <x:c r="L1430" s="20" t="str">
        <x:v>较高</x:v>
      </x:c>
      <x:c r="M1430" s="20" t="str">
        <x:v>采用</x:v>
      </x:c>
      <x:c r="N1430" s="20" t="str">
        <x:v>初审</x:v>
      </x:c>
      <x:c r="O1430" s="22" t="n">
        <x:v>46260</x:v>
      </x:c>
      <x:c r="P1430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31">
      <x:c r="A1431" s="20" t="str">
        <x:v>M18-GEN-0006-V1.0</x:v>
      </x:c>
      <x:c r="B1431" s="20" t="str">
        <x:v>规则</x:v>
      </x:c>
      <x:c r="C1431" s="20" t="str">
        <x:v>M18</x:v>
      </x:c>
      <x:c r="D1431" s="20" t="str">
        <x:v>18_冲突裁决规则</x:v>
      </x:c>
      <x:c r="E1431" s="20" t="str">
        <x:v>GEN</x:v>
      </x:c>
      <x:c r="F1431" s="20" t="n">
        <x:v>6</x:v>
      </x:c>
      <x:c r="G1431" s="20" t="str">
        <x:v>V1.0</x:v>
      </x:c>
      <x:c r="H1431" s="20" t="str">
        <x:v>同源证据不得重复叠加提高优先级</x:v>
      </x:c>
      <x:c r="I1431" s="20" t="str">
        <x:v>综合层</x:v>
      </x:c>
      <x:c r="J1431" s="20" t="str">
        <x:v>同源证据去重</x:v>
      </x:c>
      <x:c r="K1431" s="20" t="str">
        <x:v>冲突主题：证据去重与多维同向冲突。裁决结果为“证据去重”；优先采用：独立强证据优先于重复标签数量；降级处理：重复计数所得的主用或喜神结论降回原始单维等级。同时控制副作用：在标准输出中注明哪些证据同源、哪些真正独立。</x:v>
      </x:c>
      <x:c r="L1431" s="20" t="str">
        <x:v>较高</x:v>
      </x:c>
      <x:c r="M1431" s="20" t="str">
        <x:v>采用</x:v>
      </x:c>
      <x:c r="N1431" s="20" t="str">
        <x:v>初审</x:v>
      </x:c>
      <x:c r="O1431" s="22" t="n">
        <x:v>46260</x:v>
      </x:c>
      <x:c r="P1431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32">
      <x:c r="A1432" s="20" t="str">
        <x:v>M18-GEN-0007-V1.0</x:v>
      </x:c>
      <x:c r="B1432" s="20" t="str">
        <x:v>规则</x:v>
      </x:c>
      <x:c r="C1432" s="20" t="str">
        <x:v>M18</x:v>
      </x:c>
      <x:c r="D1432" s="20" t="str">
        <x:v>18_冲突裁决规则</x:v>
      </x:c>
      <x:c r="E1432" s="20" t="str">
        <x:v>GEN</x:v>
      </x:c>
      <x:c r="F1432" s="20" t="n">
        <x:v>7</x:v>
      </x:c>
      <x:c r="G1432" s="20" t="str">
        <x:v>V1.0</x:v>
      </x:c>
      <x:c r="H1432" s="20" t="str">
        <x:v>直接作用路径优先于间接长链路径</x:v>
      </x:c>
      <x:c r="I1432" s="20" t="str">
        <x:v>综合层</x:v>
      </x:c>
      <x:c r="J1432" s="20" t="str">
        <x:v>直接路径优先</x:v>
      </x:c>
      <x:c r="K1432" s="20" t="str">
        <x:v>冲突主题：直接药路与间接药路冲突。裁决结果为“直接路径优先”；优先采用：直接进入病位且桥梁最少者优先；降级处理：长链候选降为辅助、替代方案或条件性喜神。同时控制副作用：直接药路若副作用更大，仍需转净收益裁决而非机械优先。</x:v>
      </x:c>
      <x:c r="L1432" s="20" t="str">
        <x:v>较高</x:v>
      </x:c>
      <x:c r="M1432" s="20" t="str">
        <x:v>采用</x:v>
      </x:c>
      <x:c r="N1432" s="20" t="str">
        <x:v>初审</x:v>
      </x:c>
      <x:c r="O1432" s="22" t="n">
        <x:v>46260</x:v>
      </x:c>
      <x:c r="P1432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33">
      <x:c r="A1433" s="20" t="str">
        <x:v>M18-GEN-0008-V1.0</x:v>
      </x:c>
      <x:c r="B1433" s="20" t="str">
        <x:v>规则</x:v>
      </x:c>
      <x:c r="C1433" s="20" t="str">
        <x:v>M18</x:v>
      </x:c>
      <x:c r="D1433" s="20" t="str">
        <x:v>18_冲突裁决规则</x:v>
      </x:c>
      <x:c r="E1433" s="20" t="str">
        <x:v>GEN</x:v>
      </x:c>
      <x:c r="F1433" s="20" t="n">
        <x:v>8</x:v>
      </x:c>
      <x:c r="G1433" s="20" t="str">
        <x:v>V1.0</x:v>
      </x:c>
      <x:c r="H1433" s="20" t="str">
        <x:v>证据接近时保持条件性或待定</x:v>
      </x:c>
      <x:c r="I1433" s="20" t="str">
        <x:v>综合层</x:v>
      </x:c>
      <x:c r="J1433" s="20" t="str">
        <x:v>证据接近待定</x:v>
      </x:c>
      <x:c r="K1433" s="20" t="str">
        <x:v>冲突主题：多维证据接近与强行唯一化冲突。裁决结果为“并列待定”；优先采用：无固定优先，等待案例回归或更强证据；降级处理：双方均标记条件性或待定，不列无条件主用。同时控制副作用：降低置信度并转M20边界案例测试、M21争议治理。</x:v>
      </x:c>
      <x:c r="L1433" s="20" t="str">
        <x:v>中等</x:v>
      </x:c>
      <x:c r="M1433" s="20" t="str">
        <x:v>待验证</x:v>
      </x:c>
      <x:c r="N1433" s="20" t="str">
        <x:v>初审</x:v>
      </x:c>
      <x:c r="O1433" s="22" t="n">
        <x:v>46260</x:v>
      </x:c>
      <x:c r="P1433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34">
      <x:c r="A1434" s="20" t="str">
        <x:v>M18-SPECIAL-0009-V1.0</x:v>
      </x:c>
      <x:c r="B1434" s="20" t="str">
        <x:v>规则</x:v>
      </x:c>
      <x:c r="C1434" s="20" t="str">
        <x:v>M18</x:v>
      </x:c>
      <x:c r="D1434" s="20" t="str">
        <x:v>18_冲突裁决规则</x:v>
      </x:c>
      <x:c r="E1434" s="20" t="str">
        <x:v>SPECIAL</x:v>
      </x:c>
      <x:c r="F1434" s="20" t="n">
        <x:v>9</x:v>
      </x:c>
      <x:c r="G1434" s="20" t="str">
        <x:v>V1.0</x:v>
      </x:c>
      <x:c r="H1434" s="20" t="str">
        <x:v>严格特殊格局优先于普通扶抑</x:v>
      </x:c>
      <x:c r="I1434" s="20" t="str">
        <x:v>综合层</x:v>
      </x:c>
      <x:c r="J1434" s="20" t="str">
        <x:v>特殊格局优先</x:v>
      </x:c>
      <x:c r="K1434" s="20" t="str">
        <x:v>冲突主题：特殊格局与普通扶抑冲突。裁决结果为“特殊格局优先”；优先采用：顺势护格方案优先；降级处理：普通扶抑结论降为不采用或条件性忌神。同时控制副作用：仍保留不破格的最低限度调候和流通需求。</x:v>
      </x:c>
      <x:c r="L1434" s="20" t="str">
        <x:v>较高</x:v>
      </x:c>
      <x:c r="M1434" s="20" t="str">
        <x:v>采用</x:v>
      </x:c>
      <x:c r="N1434" s="20" t="str">
        <x:v>初审</x:v>
      </x:c>
      <x:c r="O1434" s="22" t="n">
        <x:v>46260</x:v>
      </x:c>
      <x:c r="P1434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35">
      <x:c r="A1435" s="20" t="str">
        <x:v>M18-SPECIAL-0010-V1.0</x:v>
      </x:c>
      <x:c r="B1435" s="20" t="str">
        <x:v>规则</x:v>
      </x:c>
      <x:c r="C1435" s="20" t="str">
        <x:v>M18</x:v>
      </x:c>
      <x:c r="D1435" s="20" t="str">
        <x:v>18_冲突裁决规则</x:v>
      </x:c>
      <x:c r="E1435" s="20" t="str">
        <x:v>SPECIAL</x:v>
      </x:c>
      <x:c r="F1435" s="20" t="n">
        <x:v>10</x:v>
      </x:c>
      <x:c r="G1435" s="20" t="str">
        <x:v>V1.0</x:v>
      </x:c>
      <x:c r="H1435" s="20" t="str">
        <x:v>假从假化或特殊格局候选不得压过普通逻辑</x:v>
      </x:c>
      <x:c r="I1435" s="20" t="str">
        <x:v>综合层</x:v>
      </x:c>
      <x:c r="J1435" s="20" t="str">
        <x:v>假格不压普通逻辑</x:v>
      </x:c>
      <x:c r="K1435" s="20" t="str">
        <x:v>冲突主题：非严格特殊格局与普通旺衰冲突。裁决结果为“退回普通综合”；优先采用：能解释有效反向证据和实际承载的一方优先；降级处理：特殊格局仅保留条件性候选，不得无条件定顺势用神。同时控制副作用：标明何种条件下可能趋近真从/真化，避免混用。</x:v>
      </x:c>
      <x:c r="L1435" s="20" t="str">
        <x:v>较高</x:v>
      </x:c>
      <x:c r="M1435" s="20" t="str">
        <x:v>采用</x:v>
      </x:c>
      <x:c r="N1435" s="20" t="str">
        <x:v>初审</x:v>
      </x:c>
      <x:c r="O1435" s="22" t="n">
        <x:v>46260</x:v>
      </x:c>
      <x:c r="P1435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36">
      <x:c r="A1436" s="20" t="str">
        <x:v>M18-SPECIAL-0011-V1.0</x:v>
      </x:c>
      <x:c r="B1436" s="20" t="str">
        <x:v>规则</x:v>
      </x:c>
      <x:c r="C1436" s="20" t="str">
        <x:v>M18</x:v>
      </x:c>
      <x:c r="D1436" s="20" t="str">
        <x:v>18_冲突裁决规则</x:v>
      </x:c>
      <x:c r="E1436" s="20" t="str">
        <x:v>SPECIAL</x:v>
      </x:c>
      <x:c r="F1436" s="20" t="n">
        <x:v>11</x:v>
      </x:c>
      <x:c r="G1436" s="20" t="str">
        <x:v>V1.0</x:v>
      </x:c>
      <x:c r="H1436" s="20" t="str">
        <x:v>严格特殊格局与极端调候冲突时采用不破格的最低干预</x:v>
      </x:c>
      <x:c r="I1436" s="20" t="str">
        <x:v>综合层</x:v>
      </x:c>
      <x:c r="J1436" s="20" t="str">
        <x:v>特殊格局调候最低干预</x:v>
      </x:c>
      <x:c r="K1436" s="20" t="str">
        <x:v>冲突主题：特殊格局与首要调候冲突。裁决结果为“格局约束下调候”；优先采用：不破特殊格局且能恢复最低生化条件的方案优先；降级处理：与格局正面冲突的调候五行降为条件性辅助或不采用。同时控制副作用：严格限定强度，并记录调候不足与破格风险两端边界。</x:v>
      </x:c>
      <x:c r="L1436" s="20" t="str">
        <x:v>较高</x:v>
      </x:c>
      <x:c r="M1436" s="20" t="str">
        <x:v>采用</x:v>
      </x:c>
      <x:c r="N1436" s="20" t="str">
        <x:v>初审</x:v>
      </x:c>
      <x:c r="O1436" s="22" t="n">
        <x:v>46260</x:v>
      </x:c>
      <x:c r="P1436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37">
      <x:c r="A1437" s="20" t="str">
        <x:v>M18-SPECIAL-0012-V1.0</x:v>
      </x:c>
      <x:c r="B1437" s="20" t="str">
        <x:v>规则</x:v>
      </x:c>
      <x:c r="C1437" s="20" t="str">
        <x:v>M18</x:v>
      </x:c>
      <x:c r="D1437" s="20" t="str">
        <x:v>18_冲突裁决规则</x:v>
      </x:c>
      <x:c r="E1437" s="20" t="str">
        <x:v>SPECIAL</x:v>
      </x:c>
      <x:c r="F1437" s="20" t="n">
        <x:v>12</x:v>
      </x:c>
      <x:c r="G1437" s="20" t="str">
        <x:v>V1.0</x:v>
      </x:c>
      <x:c r="H1437" s="20" t="str">
        <x:v>严格特殊格局与通关冲突时优先选择顺势桥梁</x:v>
      </x:c>
      <x:c r="I1437" s="20" t="str">
        <x:v>综合层</x:v>
      </x:c>
      <x:c r="J1437" s="20" t="str">
        <x:v>特殊格局顺势通关</x:v>
      </x:c>
      <x:c r="K1437" s="20" t="str">
        <x:v>冲突主题：特殊格局与通关用神冲突。裁决结果为“顺势通关”；优先采用：顺势通关或不破格替代路径优先；降级处理：逆势通关五行降为条件性忌神或不采用。同时控制副作用：记录未完全解决的局部卡点，不伪装成全局通畅。</x:v>
      </x:c>
      <x:c r="L1437" s="20" t="str">
        <x:v>较高</x:v>
      </x:c>
      <x:c r="M1437" s="20" t="str">
        <x:v>采用</x:v>
      </x:c>
      <x:c r="N1437" s="20" t="str">
        <x:v>初审</x:v>
      </x:c>
      <x:c r="O1437" s="22" t="n">
        <x:v>46260</x:v>
      </x:c>
      <x:c r="P1437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38">
      <x:c r="A1438" s="20" t="str">
        <x:v>M18-SPECIAL-0013-V1.0</x:v>
      </x:c>
      <x:c r="B1438" s="20" t="str">
        <x:v>规则</x:v>
      </x:c>
      <x:c r="C1438" s="20" t="str">
        <x:v>M18</x:v>
      </x:c>
      <x:c r="D1438" s="20" t="str">
        <x:v>18_冲突裁决规则</x:v>
      </x:c>
      <x:c r="E1438" s="20" t="str">
        <x:v>SPECIAL</x:v>
      </x:c>
      <x:c r="F1438" s="20" t="n">
        <x:v>13</x:v>
      </x:c>
      <x:c r="G1438" s="20" t="str">
        <x:v>V1.0</x:v>
      </x:c>
      <x:c r="H1438" s="20" t="str">
        <x:v>严格特殊格局与普通病药冲突时先重审病的定义</x:v>
      </x:c>
      <x:c r="I1438" s="20" t="str">
        <x:v>综合层</x:v>
      </x:c>
      <x:c r="J1438" s="20" t="str">
        <x:v>特殊格局重审病位</x:v>
      </x:c>
      <x:c r="K1438" s="20" t="str">
        <x:v>冲突主题：特殊格局与普通病药冲突。裁决结果为“重定病位”；优先采用：特殊格局内部真正的破格、流通或调候病优先；降级处理：普通身弱、身旺病药若与成格条件同义则取消或降为中性。同时控制副作用：只保留特殊格局内部的真实逆神、破格和生化停顿问题。</x:v>
      </x:c>
      <x:c r="L1438" s="20" t="str">
        <x:v>较高</x:v>
      </x:c>
      <x:c r="M1438" s="20" t="str">
        <x:v>采用</x:v>
      </x:c>
      <x:c r="N1438" s="20" t="str">
        <x:v>初审</x:v>
      </x:c>
      <x:c r="O1438" s="22" t="n">
        <x:v>46260</x:v>
      </x:c>
      <x:c r="P1438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39">
      <x:c r="A1439" s="20" t="str">
        <x:v>M18-SPECIAL-0014-V1.0</x:v>
      </x:c>
      <x:c r="B1439" s="20" t="str">
        <x:v>规则</x:v>
      </x:c>
      <x:c r="C1439" s="20" t="str">
        <x:v>M18</x:v>
      </x:c>
      <x:c r="D1439" s="20" t="str">
        <x:v>18_冲突裁决规则</x:v>
      </x:c>
      <x:c r="E1439" s="20" t="str">
        <x:v>SPECIAL</x:v>
      </x:c>
      <x:c r="F1439" s="20" t="n">
        <x:v>14</x:v>
      </x:c>
      <x:c r="G1439" s="20" t="str">
        <x:v>V1.0</x:v>
      </x:c>
      <x:c r="H1439" s="20" t="str">
        <x:v>真从格与扶身冲突时顺势为硬约束</x:v>
      </x:c>
      <x:c r="I1439" s="20" t="str">
        <x:v>综合层</x:v>
      </x:c>
      <x:c r="J1439" s="20" t="str">
        <x:v>从格顺势硬约束</x:v>
      </x:c>
      <x:c r="K1439" s="20" t="str">
        <x:v>冲突主题：从格与普通扶抑冲突。裁决结果为“从格顺势”；优先采用：顺从主势的格局用神优先；降级处理：印比扶身定为忌神；生助印比者可定仇神。同时控制副作用：如发现真实强根或印比，则先否决真从再重做普通扶抑。</x:v>
      </x:c>
      <x:c r="L1439" s="20" t="str">
        <x:v>较高</x:v>
      </x:c>
      <x:c r="M1439" s="20" t="str">
        <x:v>采用</x:v>
      </x:c>
      <x:c r="N1439" s="20" t="str">
        <x:v>初审</x:v>
      </x:c>
      <x:c r="O1439" s="22" t="n">
        <x:v>46260</x:v>
      </x:c>
      <x:c r="P1439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40">
      <x:c r="A1440" s="20" t="str">
        <x:v>M18-SPECIAL-0015-V1.0</x:v>
      </x:c>
      <x:c r="B1440" s="20" t="str">
        <x:v>规则</x:v>
      </x:c>
      <x:c r="C1440" s="20" t="str">
        <x:v>M18</x:v>
      </x:c>
      <x:c r="D1440" s="20" t="str">
        <x:v>18_冲突裁决规则</x:v>
      </x:c>
      <x:c r="E1440" s="20" t="str">
        <x:v>SPECIAL</x:v>
      </x:c>
      <x:c r="F1440" s="20" t="n">
        <x:v>15</x:v>
      </x:c>
      <x:c r="G1440" s="20" t="str">
        <x:v>V1.0</x:v>
      </x:c>
      <x:c r="H1440" s="20" t="str">
        <x:v>真化格与原气扶助冲突时护化神优先</x:v>
      </x:c>
      <x:c r="I1440" s="20" t="str">
        <x:v>综合层</x:v>
      </x:c>
      <x:c r="J1440" s="20" t="str">
        <x:v>真化护化神</x:v>
      </x:c>
      <x:c r="K1440" s="20" t="str">
        <x:v>冲突主题：化格与原气扶助冲突。裁决结果为“护化神优先”；优先采用：生扶化神、清除破化因素者优先；降级处理：恢复原气强根的五行定为忌神或仇神。同时控制副作用：假化或原气仍有强根时不适用，应重回双重结构。</x:v>
      </x:c>
      <x:c r="L1440" s="20" t="str">
        <x:v>较高</x:v>
      </x:c>
      <x:c r="M1440" s="20" t="str">
        <x:v>采用</x:v>
      </x:c>
      <x:c r="N1440" s="20" t="str">
        <x:v>初审</x:v>
      </x:c>
      <x:c r="O1440" s="22" t="n">
        <x:v>46260</x:v>
      </x:c>
      <x:c r="P1440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41">
      <x:c r="A1441" s="20" t="str">
        <x:v>M18-SPECIAL-0016-V1.0</x:v>
      </x:c>
      <x:c r="B1441" s="20" t="str">
        <x:v>规则</x:v>
      </x:c>
      <x:c r="C1441" s="20" t="str">
        <x:v>M18</x:v>
      </x:c>
      <x:c r="D1441" s="20" t="str">
        <x:v>18_冲突裁决规则</x:v>
      </x:c>
      <x:c r="E1441" s="20" t="str">
        <x:v>SPECIAL</x:v>
      </x:c>
      <x:c r="F1441" s="20" t="n">
        <x:v>16</x:v>
      </x:c>
      <x:c r="G1441" s="20" t="str">
        <x:v>V1.0</x:v>
      </x:c>
      <x:c r="H1441" s="20" t="str">
        <x:v>专旺格与普通制泄冲突时顺一气优先</x:v>
      </x:c>
      <x:c r="I1441" s="20" t="str">
        <x:v>综合层</x:v>
      </x:c>
      <x:c r="J1441" s="20" t="str">
        <x:v>专旺顺势硬约束</x:v>
      </x:c>
      <x:c r="K1441" s="20" t="str">
        <x:v>冲突主题：专旺与普通制泄冲突。裁决结果为“专旺顺势”；优先采用：维护一气主势的格局用神优先；降级处理：直接形成有效逆克者定为忌神；生逆神者可定仇神。同时控制副作用：若逆神已真实成势，应先否决专旺而非强行护格。</x:v>
      </x:c>
      <x:c r="L1441" s="20" t="str">
        <x:v>较高</x:v>
      </x:c>
      <x:c r="M1441" s="20" t="str">
        <x:v>采用</x:v>
      </x:c>
      <x:c r="N1441" s="20" t="str">
        <x:v>初审</x:v>
      </x:c>
      <x:c r="O1441" s="22" t="n">
        <x:v>46260</x:v>
      </x:c>
      <x:c r="P1441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42">
      <x:c r="A1442" s="20" t="str">
        <x:v>M18-PATTERN-0017-V1.0</x:v>
      </x:c>
      <x:c r="B1442" s="20" t="str">
        <x:v>规则</x:v>
      </x:c>
      <x:c r="C1442" s="20" t="str">
        <x:v>M18</x:v>
      </x:c>
      <x:c r="D1442" s="20" t="str">
        <x:v>18_冲突裁决规则</x:v>
      </x:c>
      <x:c r="E1442" s="20" t="str">
        <x:v>PATTERN</x:v>
      </x:c>
      <x:c r="F1442" s="20" t="n">
        <x:v>17</x:v>
      </x:c>
      <x:c r="G1442" s="20" t="str">
        <x:v>V1.0</x:v>
      </x:c>
      <x:c r="H1442" s="20" t="str">
        <x:v>核心格神保护优先于一般扶抑收益</x:v>
      </x:c>
      <x:c r="I1442" s="20" t="str">
        <x:v>综合层</x:v>
      </x:c>
      <x:c r="J1442" s="20" t="str">
        <x:v>核心格神优先</x:v>
      </x:c>
      <x:c r="K1442" s="20" t="str">
        <x:v>冲突主题：格局用神与普通扶抑冲突。裁决结果为“护格优先”；优先采用：不伤格的替代扶抑方案优先；降级处理：直接伤格的扶抑候选降为条件性忌神或不采用。同时控制副作用：同时评估护格是否造成日主承载过度，必要时采用辅助平衡而非伤格。</x:v>
      </x:c>
      <x:c r="L1442" s="20" t="str">
        <x:v>较高</x:v>
      </x:c>
      <x:c r="M1442" s="20" t="str">
        <x:v>采用</x:v>
      </x:c>
      <x:c r="N1442" s="20" t="str">
        <x:v>初审</x:v>
      </x:c>
      <x:c r="O1442" s="22" t="n">
        <x:v>46260</x:v>
      </x:c>
      <x:c r="P1442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43">
      <x:c r="A1443" s="20" t="str">
        <x:v>M18-PATTERN-0018-V1.0</x:v>
      </x:c>
      <x:c r="B1443" s="20" t="str">
        <x:v>规则</x:v>
      </x:c>
      <x:c r="C1443" s="20" t="str">
        <x:v>M18</x:v>
      </x:c>
      <x:c r="D1443" s="20" t="str">
        <x:v>18_冲突裁决规则</x:v>
      </x:c>
      <x:c r="E1443" s="20" t="str">
        <x:v>PATTERN</x:v>
      </x:c>
      <x:c r="F1443" s="20" t="n">
        <x:v>18</x:v>
      </x:c>
      <x:c r="G1443" s="20" t="str">
        <x:v>V1.0</x:v>
      </x:c>
      <x:c r="H1443" s="20" t="str">
        <x:v>格局已经根本破格时不再机械护持失效格神</x:v>
      </x:c>
      <x:c r="I1443" s="20" t="str">
        <x:v>综合层</x:v>
      </x:c>
      <x:c r="J1443" s="20" t="str">
        <x:v>失效格局不护</x:v>
      </x:c>
      <x:c r="K1443" s="20" t="str">
        <x:v>冲突主题：失效格局与护格用神冲突。裁决结果为“重定格局”；优先采用：能够支持当前真实主结构的方案优先；降级处理：原护格用神降为待定、中性或按其他维度重评。同时控制副作用：保留原破格事实，但不得为了维持格名牺牲更稳定的替代结构。</x:v>
      </x:c>
      <x:c r="L1443" s="20" t="str">
        <x:v>较高</x:v>
      </x:c>
      <x:c r="M1443" s="20" t="str">
        <x:v>采用</x:v>
      </x:c>
      <x:c r="N1443" s="20" t="str">
        <x:v>初审</x:v>
      </x:c>
      <x:c r="O1443" s="22" t="n">
        <x:v>46260</x:v>
      </x:c>
      <x:c r="P1443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44">
      <x:c r="A1444" s="20" t="str">
        <x:v>M18-PATTERN-0019-V1.0</x:v>
      </x:c>
      <x:c r="B1444" s="20" t="str">
        <x:v>规则</x:v>
      </x:c>
      <x:c r="C1444" s="20" t="str">
        <x:v>M18</x:v>
      </x:c>
      <x:c r="D1444" s="20" t="str">
        <x:v>18_冲突裁决规则</x:v>
      </x:c>
      <x:c r="E1444" s="20" t="str">
        <x:v>PATTERN</x:v>
      </x:c>
      <x:c r="F1444" s="20" t="n">
        <x:v>19</x:v>
      </x:c>
      <x:c r="G1444" s="20" t="str">
        <x:v>V1.0</x:v>
      </x:c>
      <x:c r="H1444" s="20" t="str">
        <x:v>救格与普通扶抑冲突时按救应直接性和格局必要性裁决</x:v>
      </x:c>
      <x:c r="I1444" s="20" t="str">
        <x:v>综合层</x:v>
      </x:c>
      <x:c r="J1444" s="20" t="str">
        <x:v>救格与扶抑裁决</x:v>
      </x:c>
      <x:c r="K1444" s="20" t="str">
        <x:v>冲突主题：救格用神与普通旺衰冲突。裁决结果为“救格条件优先”；优先采用：直接救格且副作用可通过辅助控制者优先；降级处理：副作用过大或仅弱救应者降为条件性辅助用神。同时控制副作用：限定救应强度，防止救应过度反客为主。</x:v>
      </x:c>
      <x:c r="L1444" s="20" t="str">
        <x:v>较高</x:v>
      </x:c>
      <x:c r="M1444" s="20" t="str">
        <x:v>采用</x:v>
      </x:c>
      <x:c r="N1444" s="20" t="str">
        <x:v>初审</x:v>
      </x:c>
      <x:c r="O1444" s="22" t="n">
        <x:v>46260</x:v>
      </x:c>
      <x:c r="P1444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45">
      <x:c r="A1445" s="20" t="str">
        <x:v>M18-PATTERN-0020-V1.0</x:v>
      </x:c>
      <x:c r="B1445" s="20" t="str">
        <x:v>规则</x:v>
      </x:c>
      <x:c r="C1445" s="20" t="str">
        <x:v>M18</x:v>
      </x:c>
      <x:c r="D1445" s="20" t="str">
        <x:v>18_冲突裁决规则</x:v>
      </x:c>
      <x:c r="E1445" s="20" t="str">
        <x:v>PATTERN</x:v>
      </x:c>
      <x:c r="F1445" s="20" t="n">
        <x:v>20</x:v>
      </x:c>
      <x:c r="G1445" s="20" t="str">
        <x:v>V1.0</x:v>
      </x:c>
      <x:c r="H1445" s="20" t="str">
        <x:v>格局与极端调候冲突时先判断气候是否已成根本病</x:v>
      </x:c>
      <x:c r="I1445" s="20" t="str">
        <x:v>综合层</x:v>
      </x:c>
      <x:c r="J1445" s="20" t="str">
        <x:v>格局调候根因裁决</x:v>
      </x:c>
      <x:c r="K1445" s="20" t="str">
        <x:v>冲突主题：格局用神与调候用神冲突。裁决结果为“根本气候条件裁决”；优先采用：能同时恢复基础生化并保留格神的兼容方案优先；降级处理：轻微季节偏差的调候候选降为条件性喜神或不采用。同时控制副作用：控制调候强度并设置格神保护辅助用神。</x:v>
      </x:c>
      <x:c r="L1445" s="20" t="str">
        <x:v>较高</x:v>
      </x:c>
      <x:c r="M1445" s="20" t="str">
        <x:v>采用</x:v>
      </x:c>
      <x:c r="N1445" s="20" t="str">
        <x:v>初审</x:v>
      </x:c>
      <x:c r="O1445" s="22" t="n">
        <x:v>46260</x:v>
      </x:c>
      <x:c r="P1445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46">
      <x:c r="A1446" s="20" t="str">
        <x:v>M18-PATTERN-0021-V1.0</x:v>
      </x:c>
      <x:c r="B1446" s="20" t="str">
        <x:v>规则</x:v>
      </x:c>
      <x:c r="C1446" s="20" t="str">
        <x:v>M18</x:v>
      </x:c>
      <x:c r="D1446" s="20" t="str">
        <x:v>18_冲突裁决规则</x:v>
      </x:c>
      <x:c r="E1446" s="20" t="str">
        <x:v>PATTERN</x:v>
      </x:c>
      <x:c r="F1446" s="20" t="n">
        <x:v>21</x:v>
      </x:c>
      <x:c r="G1446" s="20" t="str">
        <x:v>V1.0</x:v>
      </x:c>
      <x:c r="H1446" s="20" t="str">
        <x:v>格局与流通冲突时优先维持格局核心运行链</x:v>
      </x:c>
      <x:c r="I1446" s="20" t="str">
        <x:v>综合层</x:v>
      </x:c>
      <x:c r="J1446" s="20" t="str">
        <x:v>格局主链优先</x:v>
      </x:c>
      <x:c r="K1446" s="20" t="str">
        <x:v>冲突主题：格局用神与通关用神冲突。裁决结果为“核心格局链优先”；优先采用：不破主格且能修复核心卡点的方案优先；降级处理：只修复次级局部冲突但伤格者降为不采用。同时控制副作用：记录未解决的次级相战，并避免把局部通畅误写为全局最优。</x:v>
      </x:c>
      <x:c r="L1446" s="20" t="str">
        <x:v>较高</x:v>
      </x:c>
      <x:c r="M1446" s="20" t="str">
        <x:v>采用</x:v>
      </x:c>
      <x:c r="N1446" s="20" t="str">
        <x:v>初审</x:v>
      </x:c>
      <x:c r="O1446" s="22" t="n">
        <x:v>46260</x:v>
      </x:c>
      <x:c r="P1446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47">
      <x:c r="A1447" s="20" t="str">
        <x:v>M18-PATTERN-0022-V1.0</x:v>
      </x:c>
      <x:c r="B1447" s="20" t="str">
        <x:v>规则</x:v>
      </x:c>
      <x:c r="C1447" s="20" t="str">
        <x:v>M18</x:v>
      </x:c>
      <x:c r="D1447" s="20" t="str">
        <x:v>18_冲突裁决规则</x:v>
      </x:c>
      <x:c r="E1447" s="20" t="str">
        <x:v>PATTERN</x:v>
      </x:c>
      <x:c r="F1447" s="20" t="n">
        <x:v>22</x:v>
      </x:c>
      <x:c r="G1447" s="20" t="str">
        <x:v>V1.0</x:v>
      </x:c>
      <x:c r="H1447" s="20" t="str">
        <x:v>病药主药伤格时先判断格局病是否就是根本病</x:v>
      </x:c>
      <x:c r="I1447" s="20" t="str">
        <x:v>综合层</x:v>
      </x:c>
      <x:c r="J1447" s="20" t="str">
        <x:v>病药伤格裁决</x:v>
      </x:c>
      <x:c r="K1447" s="20" t="str">
        <x:v>冲突主题：病药用神与格局硬约束冲突。裁决结果为“药格净收益裁决”；优先采用：不伤有效格局的替代主药优先；降级处理：无替代且必须用药时仅作条件性，严格限定强度并配置护格辅助。同时控制副作用：防止用药把一般病治成根本破格。</x:v>
      </x:c>
      <x:c r="L1447" s="20" t="str">
        <x:v>较高</x:v>
      </x:c>
      <x:c r="M1447" s="20" t="str">
        <x:v>采用</x:v>
      </x:c>
      <x:c r="N1447" s="20" t="str">
        <x:v>初审</x:v>
      </x:c>
      <x:c r="O1447" s="22" t="n">
        <x:v>46260</x:v>
      </x:c>
      <x:c r="P1447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48">
      <x:c r="A1448" s="20" t="str">
        <x:v>M18-PATTERN-0023-V1.0</x:v>
      </x:c>
      <x:c r="B1448" s="20" t="str">
        <x:v>规则</x:v>
      </x:c>
      <x:c r="C1448" s="20" t="str">
        <x:v>M18</x:v>
      </x:c>
      <x:c r="D1448" s="20" t="str">
        <x:v>18_冲突裁决规则</x:v>
      </x:c>
      <x:c r="E1448" s="20" t="str">
        <x:v>PATTERN</x:v>
      </x:c>
      <x:c r="F1448" s="20" t="n">
        <x:v>23</x:v>
      </x:c>
      <x:c r="G1448" s="20" t="str">
        <x:v>V1.0</x:v>
      </x:c>
      <x:c r="H1448" s="20" t="str">
        <x:v>格局关键配合神无力时优先补其功能而非追逐次级收益</x:v>
      </x:c>
      <x:c r="I1448" s="20" t="str">
        <x:v>综合层</x:v>
      </x:c>
      <x:c r="J1448" s="20" t="str">
        <x:v>关键配合神优先</x:v>
      </x:c>
      <x:c r="K1448" s="20" t="str">
        <x:v>冲突主题：格局配合神与次级喜神冲突。裁决结果为“关键配合神优先”；优先采用：直接补足关键配合神者列主用或辅助用神；降级处理：只改善次级问题者降为喜神或第三顺位。同时控制副作用：补强配合神须防比例过度和格局改写。</x:v>
      </x:c>
      <x:c r="L1448" s="20" t="str">
        <x:v>较高</x:v>
      </x:c>
      <x:c r="M1448" s="20" t="str">
        <x:v>采用</x:v>
      </x:c>
      <x:c r="N1448" s="20" t="str">
        <x:v>初审</x:v>
      </x:c>
      <x:c r="O1448" s="22" t="n">
        <x:v>46260</x:v>
      </x:c>
      <x:c r="P1448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49">
      <x:c r="A1449" s="20" t="str">
        <x:v>M18-PATTERN-0024-V1.0</x:v>
      </x:c>
      <x:c r="B1449" s="20" t="str">
        <x:v>规则</x:v>
      </x:c>
      <x:c r="C1449" s="20" t="str">
        <x:v>M18</x:v>
      </x:c>
      <x:c r="D1449" s="20" t="str">
        <x:v>18_冲突裁决规则</x:v>
      </x:c>
      <x:c r="E1449" s="20" t="str">
        <x:v>PATTERN</x:v>
      </x:c>
      <x:c r="F1449" s="20" t="n">
        <x:v>24</x:v>
      </x:c>
      <x:c r="G1449" s="20" t="str">
        <x:v>V1.0</x:v>
      </x:c>
      <x:c r="H1449" s="20" t="str">
        <x:v>多个格局候选冲突时以最终成格状态和全局主导性裁决</x:v>
      </x:c>
      <x:c r="I1449" s="20" t="str">
        <x:v>综合层</x:v>
      </x:c>
      <x:c r="J1449" s="20" t="str">
        <x:v>多格局排序</x:v>
      </x:c>
      <x:c r="K1449" s="20" t="str">
        <x:v>冲突主题：多格局候选冲突。裁决结果为“主格唯一化或有序并列”；优先采用：清纯成立或基本成立且覆盖全局主轴者优先；降级处理：次格保留为局部组合或辅助结构，不分享同等用神优先级。同时控制副作用：证据接近时保留第一、第二候选并降低置信度。</x:v>
      </x:c>
      <x:c r="L1449" s="20" t="str">
        <x:v>较高</x:v>
      </x:c>
      <x:c r="M1449" s="20" t="str">
        <x:v>采用</x:v>
      </x:c>
      <x:c r="N1449" s="20" t="str">
        <x:v>初审</x:v>
      </x:c>
      <x:c r="O1449" s="22" t="n">
        <x:v>46260</x:v>
      </x:c>
      <x:c r="P1449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50">
      <x:c r="A1450" s="20" t="str">
        <x:v>M18-CLIMATE-0025-V1.0</x:v>
      </x:c>
      <x:c r="B1450" s="20" t="str">
        <x:v>规则</x:v>
      </x:c>
      <x:c r="C1450" s="20" t="str">
        <x:v>M18</x:v>
      </x:c>
      <x:c r="D1450" s="20" t="str">
        <x:v>18_冲突裁决规则</x:v>
      </x:c>
      <x:c r="E1450" s="20" t="str">
        <x:v>CLIMATE</x:v>
      </x:c>
      <x:c r="F1450" s="20" t="n">
        <x:v>25</x:v>
      </x:c>
      <x:c r="G1450" s="20" t="str">
        <x:v>V1.0</x:v>
      </x:c>
      <x:c r="H1450" s="20" t="str">
        <x:v>极端气候造成生化停顿时优先于普通扶抑</x:v>
      </x:c>
      <x:c r="I1450" s="20" t="str">
        <x:v>综合层</x:v>
      </x:c>
      <x:c r="J1450" s="20" t="str">
        <x:v>极端调候优先</x:v>
      </x:c>
      <x:c r="K1450" s="20" t="str">
        <x:v>冲突主题：首要调候与普通扶抑冲突。裁决结果为“首要调候优先”；优先采用：能解除极端气候且不根本破格者优先；降级处理：普通扶抑候选暂降为辅助、条件性或延后处理。同时控制副作用：调候达到可运行阈值后停止继续增强，防止反向气候病。</x:v>
      </x:c>
      <x:c r="L1450" s="20" t="str">
        <x:v>较高</x:v>
      </x:c>
      <x:c r="M1450" s="20" t="str">
        <x:v>采用</x:v>
      </x:c>
      <x:c r="N1450" s="20" t="str">
        <x:v>初审</x:v>
      </x:c>
      <x:c r="O1450" s="22" t="n">
        <x:v>46260</x:v>
      </x:c>
      <x:c r="P1450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51">
      <x:c r="A1451" s="20" t="str">
        <x:v>M18-CLIMATE-0026-V1.0</x:v>
      </x:c>
      <x:c r="B1451" s="20" t="str">
        <x:v>规则</x:v>
      </x:c>
      <x:c r="C1451" s="20" t="str">
        <x:v>M18</x:v>
      </x:c>
      <x:c r="D1451" s="20" t="str">
        <x:v>18_冲突裁决规则</x:v>
      </x:c>
      <x:c r="E1451" s="20" t="str">
        <x:v>CLIMATE</x:v>
      </x:c>
      <x:c r="F1451" s="20" t="n">
        <x:v>26</x:v>
      </x:c>
      <x:c r="G1451" s="20" t="str">
        <x:v>V1.0</x:v>
      </x:c>
      <x:c r="H1451" s="20" t="str">
        <x:v>轻度调候偏差不能压过清晰格局和根本病</x:v>
      </x:c>
      <x:c r="I1451" s="20" t="str">
        <x:v>综合层</x:v>
      </x:c>
      <x:c r="J1451" s="20" t="str">
        <x:v>轻调候不压主轴</x:v>
      </x:c>
      <x:c r="K1451" s="20" t="str">
        <x:v>冲突主题：一般调候与格局/病药冲突。裁决结果为“调候降权”；优先采用：格局用神或根本病主药优先；降级处理：一般调候五行降为第三顺位喜神、条件性喜神或中性。同时控制副作用：只保留不伤格的小幅调候收益。</x:v>
      </x:c>
      <x:c r="L1451" s="20" t="str">
        <x:v>较高</x:v>
      </x:c>
      <x:c r="M1451" s="20" t="str">
        <x:v>采用</x:v>
      </x:c>
      <x:c r="N1451" s="20" t="str">
        <x:v>初审</x:v>
      </x:c>
      <x:c r="O1451" s="22" t="n">
        <x:v>46260</x:v>
      </x:c>
      <x:c r="P1451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52">
      <x:c r="A1452" s="20" t="str">
        <x:v>M18-CLIMATE-0027-V1.0</x:v>
      </x:c>
      <x:c r="B1452" s="20" t="str">
        <x:v>规则</x:v>
      </x:c>
      <x:c r="C1452" s="20" t="str">
        <x:v>M18</x:v>
      </x:c>
      <x:c r="D1452" s="20" t="str">
        <x:v>18_冲突裁决规则</x:v>
      </x:c>
      <x:c r="E1452" s="20" t="str">
        <x:v>CLIMATE</x:v>
      </x:c>
      <x:c r="F1452" s="20" t="n">
        <x:v>27</x:v>
      </x:c>
      <x:c r="G1452" s="20" t="str">
        <x:v>V1.0</x:v>
      </x:c>
      <x:c r="H1452" s="20" t="str">
        <x:v>调候与流通同源时可合并为一个主问题</x:v>
      </x:c>
      <x:c r="I1452" s="20" t="str">
        <x:v>综合层</x:v>
      </x:c>
      <x:c r="J1452" s="20" t="str">
        <x:v>调候流通同源</x:v>
      </x:c>
      <x:c r="K1452" s="20" t="str">
        <x:v>冲突主题：调候与流通同向。裁决结果为“同源合并升级”；优先采用：同时恢复气候与主路径的同一五行优先；降级处理：重复来源只计一个主权重，辅助候选按实际配伍定位。同时控制副作用：仍需控制药量，防止通关完成后调候继续过量。</x:v>
      </x:c>
      <x:c r="L1452" s="20" t="str">
        <x:v>较高</x:v>
      </x:c>
      <x:c r="M1452" s="20" t="str">
        <x:v>采用</x:v>
      </x:c>
      <x:c r="N1452" s="20" t="str">
        <x:v>初审</x:v>
      </x:c>
      <x:c r="O1452" s="22" t="n">
        <x:v>46260</x:v>
      </x:c>
      <x:c r="P1452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53">
      <x:c r="A1453" s="20" t="str">
        <x:v>M18-CLIMATE-0028-V1.0</x:v>
      </x:c>
      <x:c r="B1453" s="20" t="str">
        <x:v>规则</x:v>
      </x:c>
      <x:c r="C1453" s="20" t="str">
        <x:v>M18</x:v>
      </x:c>
      <x:c r="D1453" s="20" t="str">
        <x:v>18_冲突裁决规则</x:v>
      </x:c>
      <x:c r="E1453" s="20" t="str">
        <x:v>CLIMATE</x:v>
      </x:c>
      <x:c r="F1453" s="20" t="n">
        <x:v>28</x:v>
      </x:c>
      <x:c r="G1453" s="20" t="str">
        <x:v>V1.0</x:v>
      </x:c>
      <x:c r="H1453" s="20" t="str">
        <x:v>调候改善一轴却恶化另一轴时按双轴净效应裁决</x:v>
      </x:c>
      <x:c r="I1453" s="20" t="str">
        <x:v>综合层</x:v>
      </x:c>
      <x:c r="J1453" s="20" t="str">
        <x:v>双轴净效应</x:v>
      </x:c>
      <x:c r="K1453" s="20" t="str">
        <x:v>冲突主题：寒暖轴与燥湿轴冲突。裁决结果为“双轴主辅裁决”；优先采用：根本轴主药优先，次轴药神列辅助；降级处理：无法兼顾两轴的单药降为条件性，不得无条件增强。同时控制副作用：明确火水或木火的主辅比例和转病阈值。</x:v>
      </x:c>
      <x:c r="L1453" s="20" t="str">
        <x:v>较高</x:v>
      </x:c>
      <x:c r="M1453" s="20" t="str">
        <x:v>采用</x:v>
      </x:c>
      <x:c r="N1453" s="20" t="str">
        <x:v>初审</x:v>
      </x:c>
      <x:c r="O1453" s="22" t="n">
        <x:v>46260</x:v>
      </x:c>
      <x:c r="P1453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54">
      <x:c r="A1454" s="20" t="str">
        <x:v>M18-CLIMATE-0029-V1.0</x:v>
      </x:c>
      <x:c r="B1454" s="20" t="str">
        <x:v>规则</x:v>
      </x:c>
      <x:c r="C1454" s="20" t="str">
        <x:v>M18</x:v>
      </x:c>
      <x:c r="D1454" s="20" t="str">
        <x:v>18_冲突裁决规则</x:v>
      </x:c>
      <x:c r="E1454" s="20" t="str">
        <x:v>CLIMATE</x:v>
      </x:c>
      <x:c r="F1454" s="20" t="n">
        <x:v>29</x:v>
      </x:c>
      <x:c r="G1454" s="20" t="str">
        <x:v>V1.0</x:v>
      </x:c>
      <x:c r="H1454" s="20" t="str">
        <x:v>调候与扶抑冲突时以基本生化阈值和日主承载共同裁决</x:v>
      </x:c>
      <x:c r="I1454" s="20" t="str">
        <x:v>综合层</x:v>
      </x:c>
      <x:c r="J1454" s="20" t="str">
        <x:v>调候扶抑阈值裁决</x:v>
      </x:c>
      <x:c r="K1454" s="20" t="str">
        <x:v>冲突主题：调候用神与扶抑用神冲突。裁决结果为“阈值型条件裁决”；优先采用：兼顾调候与承载的间接路径或辅助配伍优先；降级处理：直接强调候五行降为条件性喜神，并配置扶身保护。同时控制副作用：达到温度/湿度平衡阈值后停止加药，防止身弱进一步恶化。</x:v>
      </x:c>
      <x:c r="L1454" s="20" t="str">
        <x:v>较高</x:v>
      </x:c>
      <x:c r="M1454" s="20" t="str">
        <x:v>采用</x:v>
      </x:c>
      <x:c r="N1454" s="20" t="str">
        <x:v>初审</x:v>
      </x:c>
      <x:c r="O1454" s="22" t="n">
        <x:v>46260</x:v>
      </x:c>
      <x:c r="P1454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55">
      <x:c r="A1455" s="20" t="str">
        <x:v>M18-CLIMATE-0030-V1.0</x:v>
      </x:c>
      <x:c r="B1455" s="20" t="str">
        <x:v>规则</x:v>
      </x:c>
      <x:c r="C1455" s="20" t="str">
        <x:v>M18</x:v>
      </x:c>
      <x:c r="D1455" s="20" t="str">
        <x:v>18_冲突裁决规则</x:v>
      </x:c>
      <x:c r="E1455" s="20" t="str">
        <x:v>CLIMATE</x:v>
      </x:c>
      <x:c r="F1455" s="20" t="n">
        <x:v>30</x:v>
      </x:c>
      <x:c r="G1455" s="20" t="str">
        <x:v>V1.0</x:v>
      </x:c>
      <x:c r="H1455" s="20" t="str">
        <x:v>调候与特殊格局冲突时不得以一般季节偏性破格</x:v>
      </x:c>
      <x:c r="I1455" s="20" t="str">
        <x:v>综合层</x:v>
      </x:c>
      <x:c r="J1455" s="20" t="str">
        <x:v>特殊格局调候约束</x:v>
      </x:c>
      <x:c r="K1455" s="20" t="str">
        <x:v>冲突主题：调候与特殊格局冲突。裁决结果为“格局约束调候”；优先采用：格局兼容调候方案优先；降级处理：直接逆格的调候五行降为条件性或不采用。同时控制副作用：记录未完全纠正的气候偏差，避免为了追求双轴绝对平衡破格。</x:v>
      </x:c>
      <x:c r="L1455" s="20" t="str">
        <x:v>较高</x:v>
      </x:c>
      <x:c r="M1455" s="20" t="str">
        <x:v>采用</x:v>
      </x:c>
      <x:c r="N1455" s="20" t="str">
        <x:v>初审</x:v>
      </x:c>
      <x:c r="O1455" s="22" t="n">
        <x:v>46260</x:v>
      </x:c>
      <x:c r="P1455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56">
      <x:c r="A1456" s="20" t="str">
        <x:v>M18-CLIMATE-0031-V1.0</x:v>
      </x:c>
      <x:c r="B1456" s="20" t="str">
        <x:v>规则</x:v>
      </x:c>
      <x:c r="C1456" s="20" t="str">
        <x:v>M18</x:v>
      </x:c>
      <x:c r="D1456" s="20" t="str">
        <x:v>18_冲突裁决规则</x:v>
      </x:c>
      <x:c r="E1456" s="20" t="str">
        <x:v>CLIMATE</x:v>
      </x:c>
      <x:c r="F1456" s="20" t="n">
        <x:v>31</x:v>
      </x:c>
      <x:c r="G1456" s="20" t="str">
        <x:v>V1.0</x:v>
      </x:c>
      <x:c r="H1456" s="20" t="str">
        <x:v>寒燥火水并用必须明确主药和辅助药</x:v>
      </x:c>
      <x:c r="I1456" s="20" t="str">
        <x:v>综合层</x:v>
      </x:c>
      <x:c r="J1456" s="20" t="str">
        <x:v>寒燥火水主辅</x:v>
      </x:c>
      <x:c r="K1456" s="20" t="str">
        <x:v>冲突主题：寒燥中的火水路线冲突。裁决结果为“火水主辅裁决”；优先采用：能解释更多功能障碍的一轴优先；降级处理：次轴药神列辅助用神或条件性喜神。同时控制副作用：限制两药强度，防止直接水火对战和双向药过。</x:v>
      </x:c>
      <x:c r="L1456" s="20" t="str">
        <x:v>较高</x:v>
      </x:c>
      <x:c r="M1456" s="20" t="str">
        <x:v>采用</x:v>
      </x:c>
      <x:c r="N1456" s="20" t="str">
        <x:v>初审</x:v>
      </x:c>
      <x:c r="O1456" s="22" t="n">
        <x:v>46260</x:v>
      </x:c>
      <x:c r="P1456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57">
      <x:c r="A1457" s="20" t="str">
        <x:v>M18-CLIMATE-0032-V1.0</x:v>
      </x:c>
      <x:c r="B1457" s="20" t="str">
        <x:v>规则</x:v>
      </x:c>
      <x:c r="C1457" s="20" t="str">
        <x:v>M18</x:v>
      </x:c>
      <x:c r="D1457" s="20" t="str">
        <x:v>18_冲突裁决规则</x:v>
      </x:c>
      <x:c r="E1457" s="20" t="str">
        <x:v>CLIMATE</x:v>
      </x:c>
      <x:c r="F1457" s="20" t="n">
        <x:v>32</x:v>
      </x:c>
      <x:c r="G1457" s="20" t="str">
        <x:v>V1.0</x:v>
      </x:c>
      <x:c r="H1457" s="20" t="str">
        <x:v>调候药超过平衡点时由喜转忌</x:v>
      </x:c>
      <x:c r="I1457" s="20" t="str">
        <x:v>综合层</x:v>
      </x:c>
      <x:c r="J1457" s="20" t="str">
        <x:v>调候药量边界</x:v>
      </x:c>
      <x:c r="K1457" s="20" t="str">
        <x:v>冲突主题：调候收益与药量过度冲突。裁决结果为“调候剂量转化”；优先采用：维持平衡而非继续强化原药；降级处理：越过阈值后由喜神降为中性、条件性忌神或忌神。同时控制副作用：标准输出明确有利区间和转忌条件。</x:v>
      </x:c>
      <x:c r="L1457" s="20" t="str">
        <x:v>较高</x:v>
      </x:c>
      <x:c r="M1457" s="20" t="str">
        <x:v>采用</x:v>
      </x:c>
      <x:c r="N1457" s="20" t="str">
        <x:v>初审</x:v>
      </x:c>
      <x:c r="O1457" s="22" t="n">
        <x:v>46260</x:v>
      </x:c>
      <x:c r="P1457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58">
      <x:c r="A1458" s="20" t="str">
        <x:v>M18-FLOW-0033-V1.0</x:v>
      </x:c>
      <x:c r="B1458" s="20" t="str">
        <x:v>规则</x:v>
      </x:c>
      <x:c r="C1458" s="20" t="str">
        <x:v>M18</x:v>
      </x:c>
      <x:c r="D1458" s="20" t="str">
        <x:v>18_冲突裁决规则</x:v>
      </x:c>
      <x:c r="E1458" s="20" t="str">
        <x:v>FLOW</x:v>
      </x:c>
      <x:c r="F1458" s="20" t="n">
        <x:v>33</x:v>
      </x:c>
      <x:c r="G1458" s="20" t="str">
        <x:v>V1.0</x:v>
      </x:c>
      <x:c r="H1458" s="20" t="str">
        <x:v>主流通卡点优先于一般扶抑微调</x:v>
      </x:c>
      <x:c r="I1458" s="20" t="str">
        <x:v>综合层</x:v>
      </x:c>
      <x:c r="J1458" s="20" t="str">
        <x:v>主卡点压过微扶抑</x:v>
      </x:c>
      <x:c r="K1458" s="20" t="str">
        <x:v>冲突主题：主卡点与普通扶抑冲突。裁决结果为“主卡点优先”；优先采用：直接修复主卡点的通关/桥梁五行优先；降级处理：一般扶抑候选降为辅助、第三顺位或中性。同时控制副作用：通关完成后重新评估日主净旺衰，防止修复路径后扶抑方向变化。</x:v>
      </x:c>
      <x:c r="L1458" s="20" t="str">
        <x:v>较高</x:v>
      </x:c>
      <x:c r="M1458" s="20" t="str">
        <x:v>采用</x:v>
      </x:c>
      <x:c r="N1458" s="20" t="str">
        <x:v>初审</x:v>
      </x:c>
      <x:c r="O1458" s="22" t="n">
        <x:v>46260</x:v>
      </x:c>
      <x:c r="P1458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59">
      <x:c r="A1459" s="20" t="str">
        <x:v>M18-FLOW-0034-V1.0</x:v>
      </x:c>
      <x:c r="B1459" s="20" t="str">
        <x:v>规则</x:v>
      </x:c>
      <x:c r="C1459" s="20" t="str">
        <x:v>M18</x:v>
      </x:c>
      <x:c r="D1459" s="20" t="str">
        <x:v>18_冲突裁决规则</x:v>
      </x:c>
      <x:c r="E1459" s="20" t="str">
        <x:v>FLOW</x:v>
      </x:c>
      <x:c r="F1459" s="20" t="n">
        <x:v>34</x:v>
      </x:c>
      <x:c r="G1459" s="20" t="str">
        <x:v>V1.0</x:v>
      </x:c>
      <x:c r="H1459" s="20" t="str">
        <x:v>理论通关但药力不足时不得列主用</x:v>
      </x:c>
      <x:c r="I1459" s="20" t="str">
        <x:v>综合层</x:v>
      </x:c>
      <x:c r="J1459" s="20" t="str">
        <x:v>弱通关降级</x:v>
      </x:c>
      <x:c r="K1459" s="20" t="str">
        <x:v>冲突主题：通关功能与药力有效性冲突。裁决结果为“药力门槛裁决”；优先采用：有根有源、路径直接的替代桥梁优先；降级处理：理论通关者降为条件性喜神、待定或不采用。同时控制副作用：若需先增强桥梁，应把增强桥梁者列辅助用神而非虚设主用。</x:v>
      </x:c>
      <x:c r="L1459" s="20" t="str">
        <x:v>较高</x:v>
      </x:c>
      <x:c r="M1459" s="20" t="str">
        <x:v>采用</x:v>
      </x:c>
      <x:c r="N1459" s="20" t="str">
        <x:v>初审</x:v>
      </x:c>
      <x:c r="O1459" s="22" t="n">
        <x:v>46260</x:v>
      </x:c>
      <x:c r="P1459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60">
      <x:c r="A1460" s="20" t="str">
        <x:v>M18-FLOW-0035-V1.0</x:v>
      </x:c>
      <x:c r="B1460" s="20" t="str">
        <x:v>规则</x:v>
      </x:c>
      <x:c r="C1460" s="20" t="str">
        <x:v>M18</x:v>
      </x:c>
      <x:c r="D1460" s="20" t="str">
        <x:v>18_冲突裁决规则</x:v>
      </x:c>
      <x:c r="E1460" s="20" t="str">
        <x:v>FLOW</x:v>
      </x:c>
      <x:c r="F1460" s="20" t="n">
        <x:v>35</x:v>
      </x:c>
      <x:c r="G1460" s="20" t="str">
        <x:v>V1.0</x:v>
      </x:c>
      <x:c r="H1460" s="20" t="str">
        <x:v>通关与核心格局冲突时格局主轴优先</x:v>
      </x:c>
      <x:c r="I1460" s="20" t="str">
        <x:v>综合层</x:v>
      </x:c>
      <x:c r="J1460" s="20" t="str">
        <x:v>通关伤格否决</x:v>
      </x:c>
      <x:c r="K1460" s="20" t="str">
        <x:v>冲突主题：通关用神与格局硬约束冲突。裁决结果为“护格优先”；优先采用：兼容格局的替代通关方案优先；降级处理：伤格通关五行降为条件性忌神或不采用。同时控制副作用：局部卡点保留为次病，并说明未完全通关的代价。</x:v>
      </x:c>
      <x:c r="L1460" s="20" t="str">
        <x:v>较高</x:v>
      </x:c>
      <x:c r="M1460" s="20" t="str">
        <x:v>采用</x:v>
      </x:c>
      <x:c r="N1460" s="20" t="str">
        <x:v>初审</x:v>
      </x:c>
      <x:c r="O1460" s="22" t="n">
        <x:v>46260</x:v>
      </x:c>
      <x:c r="P1460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61">
      <x:c r="A1461" s="20" t="str">
        <x:v>M18-FLOW-0036-V1.0</x:v>
      </x:c>
      <x:c r="B1461" s="20" t="str">
        <x:v>规则</x:v>
      </x:c>
      <x:c r="C1461" s="20" t="str">
        <x:v>M18</x:v>
      </x:c>
      <x:c r="D1461" s="20" t="str">
        <x:v>18_冲突裁决规则</x:v>
      </x:c>
      <x:c r="E1461" s="20" t="str">
        <x:v>FLOW</x:v>
      </x:c>
      <x:c r="F1461" s="20" t="n">
        <x:v>36</x:v>
      </x:c>
      <x:c r="G1461" s="20" t="str">
        <x:v>V1.0</x:v>
      </x:c>
      <x:c r="H1461" s="20" t="str">
        <x:v>通关与首要调候冲突时比较新病严重度</x:v>
      </x:c>
      <x:c r="I1461" s="20" t="str">
        <x:v>综合层</x:v>
      </x:c>
      <x:c r="J1461" s="20" t="str">
        <x:v>通关调候裁决</x:v>
      </x:c>
      <x:c r="K1461" s="20" t="str">
        <x:v>冲突主题：通关用神与调候用神冲突。裁决结果为“通关调候净收益”；优先采用：不恶化气候的替代桥梁或间接通关优先；降级处理：会制造更严重调候病者降为不采用或条件性忌神。同时控制副作用：若有限强度可通关且不越气候阈值，则标条件性喜神。</x:v>
      </x:c>
      <x:c r="L1461" s="20" t="str">
        <x:v>较高</x:v>
      </x:c>
      <x:c r="M1461" s="20" t="str">
        <x:v>采用</x:v>
      </x:c>
      <x:c r="N1461" s="20" t="str">
        <x:v>初审</x:v>
      </x:c>
      <x:c r="O1461" s="22" t="n">
        <x:v>46260</x:v>
      </x:c>
      <x:c r="P1461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62">
      <x:c r="A1462" s="20" t="str">
        <x:v>M18-FLOW-0037-V1.0</x:v>
      </x:c>
      <x:c r="B1462" s="20" t="str">
        <x:v>规则</x:v>
      </x:c>
      <x:c r="C1462" s="20" t="str">
        <x:v>M18</x:v>
      </x:c>
      <x:c r="D1462" s="20" t="str">
        <x:v>18_冲突裁决规则</x:v>
      </x:c>
      <x:c r="E1462" s="20" t="str">
        <x:v>FLOW</x:v>
      </x:c>
      <x:c r="F1462" s="20" t="n">
        <x:v>37</x:v>
      </x:c>
      <x:c r="G1462" s="20" t="str">
        <x:v>V1.0</x:v>
      </x:c>
      <x:c r="H1462" s="20" t="str">
        <x:v>主路径优先于次级流通路径</x:v>
      </x:c>
      <x:c r="I1462" s="20" t="str">
        <x:v>综合层</x:v>
      </x:c>
      <x:c r="J1462" s="20" t="str">
        <x:v>主次流通分层</x:v>
      </x:c>
      <x:c r="K1462" s="20" t="str">
        <x:v>冲突主题：多流通路径优先级冲突。裁决结果为“路径分层”；优先采用：覆盖核心节点最多者列主用；降级处理：次级路径药神列辅助或第三顺位喜神。同时控制副作用：防止多个路径同时争夺同一桥梁造成容量过载。</x:v>
      </x:c>
      <x:c r="L1462" s="20" t="str">
        <x:v>较高</x:v>
      </x:c>
      <x:c r="M1462" s="20" t="str">
        <x:v>采用</x:v>
      </x:c>
      <x:c r="N1462" s="20" t="str">
        <x:v>初审</x:v>
      </x:c>
      <x:c r="O1462" s="22" t="n">
        <x:v>46260</x:v>
      </x:c>
      <x:c r="P1462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63">
      <x:c r="A1463" s="20" t="str">
        <x:v>M18-FLOW-0038-V1.0</x:v>
      </x:c>
      <x:c r="B1463" s="20" t="str">
        <x:v>规则</x:v>
      </x:c>
      <x:c r="C1463" s="20" t="str">
        <x:v>M18</x:v>
      </x:c>
      <x:c r="D1463" s="20" t="str">
        <x:v>18_冲突裁决规则</x:v>
      </x:c>
      <x:c r="E1463" s="20" t="str">
        <x:v>FLOW</x:v>
      </x:c>
      <x:c r="F1463" s="20" t="n">
        <x:v>38</x:v>
      </x:c>
      <x:c r="G1463" s="20" t="str">
        <x:v>V1.0</x:v>
      </x:c>
      <x:c r="H1463" s="20" t="str">
        <x:v>桥梁失效导致终点弱时先修桥后扶终点</x:v>
      </x:c>
      <x:c r="I1463" s="20" t="str">
        <x:v>综合层</x:v>
      </x:c>
      <x:c r="J1463" s="20" t="str">
        <x:v>桥梁根因优先</x:v>
      </x:c>
      <x:c r="K1463" s="20" t="str">
        <x:v>冲突主题：桥梁修复与终点补强冲突。裁决结果为“先桥后终点”；优先采用：桥梁药神列主用，终点补强列辅助；降级处理：直接补终点方案降为辅助或暂缓。同时控制副作用：桥梁恢复后重新评估终点，避免双重补强导致终点过旺。</x:v>
      </x:c>
      <x:c r="L1463" s="20" t="str">
        <x:v>较高</x:v>
      </x:c>
      <x:c r="M1463" s="20" t="str">
        <x:v>采用</x:v>
      </x:c>
      <x:c r="N1463" s="20" t="str">
        <x:v>初审</x:v>
      </x:c>
      <x:c r="O1463" s="22" t="n">
        <x:v>46260</x:v>
      </x:c>
      <x:c r="P1463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64">
      <x:c r="A1464" s="20" t="str">
        <x:v>M18-FLOW-0039-V1.0</x:v>
      </x:c>
      <x:c r="B1464" s="20" t="str">
        <x:v>规则</x:v>
      </x:c>
      <x:c r="C1464" s="20" t="str">
        <x:v>M18</x:v>
      </x:c>
      <x:c r="D1464" s="20" t="str">
        <x:v>18_冲突裁决规则</x:v>
      </x:c>
      <x:c r="E1464" s="20" t="str">
        <x:v>FLOW</x:v>
      </x:c>
      <x:c r="F1464" s="20" t="n">
        <x:v>39</x:v>
      </x:c>
      <x:c r="G1464" s="20" t="str">
        <x:v>V1.0</x:v>
      </x:c>
      <x:c r="H1464" s="20" t="str">
        <x:v>多个通关候选并存时优先最短、最稳、最少副作用者</x:v>
      </x:c>
      <x:c r="I1464" s="20" t="str">
        <x:v>综合层</x:v>
      </x:c>
      <x:c r="J1464" s="20" t="str">
        <x:v>通关最优路径</x:v>
      </x:c>
      <x:c r="K1464" s="20" t="str">
        <x:v>冲突主题：多通关候选冲突。裁决结果为“通关候选排序”；优先采用：最短、最稳、兼治根本病且副作用最小者优先；降级处理：其余候选列替代方案、辅助用神或条件性喜神。同时控制副作用：避免同一时间无序并用多个桥梁造成路径竞争。</x:v>
      </x:c>
      <x:c r="L1464" s="20" t="str">
        <x:v>较高</x:v>
      </x:c>
      <x:c r="M1464" s="20" t="str">
        <x:v>采用</x:v>
      </x:c>
      <x:c r="N1464" s="20" t="str">
        <x:v>初审</x:v>
      </x:c>
      <x:c r="O1464" s="22" t="n">
        <x:v>46260</x:v>
      </x:c>
      <x:c r="P1464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65">
      <x:c r="A1465" s="20" t="str">
        <x:v>M18-FLOW-0040-V1.0</x:v>
      </x:c>
      <x:c r="B1465" s="20" t="str">
        <x:v>规则</x:v>
      </x:c>
      <x:c r="C1465" s="20" t="str">
        <x:v>M18</x:v>
      </x:c>
      <x:c r="D1465" s="20" t="str">
        <x:v>18_冲突裁决规则</x:v>
      </x:c>
      <x:c r="E1465" s="20" t="str">
        <x:v>FLOW</x:v>
      </x:c>
      <x:c r="F1465" s="20" t="n">
        <x:v>40</x:v>
      </x:c>
      <x:c r="G1465" s="20" t="str">
        <x:v>V1.0</x:v>
      </x:c>
      <x:c r="H1465" s="20" t="str">
        <x:v>修复一个卡点却制造更严重下游阻塞时不得升为主用</x:v>
      </x:c>
      <x:c r="I1465" s="20" t="str">
        <x:v>综合层</x:v>
      </x:c>
      <x:c r="J1465" s="20" t="str">
        <x:v>流通次生卡点控制</x:v>
      </x:c>
      <x:c r="K1465" s="20" t="str">
        <x:v>冲突主题：流通修复与次生卡点冲突。裁决结果为“全链净流通裁决”；优先采用：能完成源头—桥梁—终点全链修复者优先；降级处理：只把问题向下游转移者降为条件性或不采用。同时控制副作用：同时配置终点承载或限制桥梁药力。</x:v>
      </x:c>
      <x:c r="L1465" s="20" t="str">
        <x:v>较高</x:v>
      </x:c>
      <x:c r="M1465" s="20" t="str">
        <x:v>采用</x:v>
      </x:c>
      <x:c r="N1465" s="20" t="str">
        <x:v>初审</x:v>
      </x:c>
      <x:c r="O1465" s="22" t="n">
        <x:v>46260</x:v>
      </x:c>
      <x:c r="P1465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66">
      <x:c r="A1466" s="20" t="str">
        <x:v>M18-MED-0041-V1.0</x:v>
      </x:c>
      <x:c r="B1466" s="20" t="str">
        <x:v>规则</x:v>
      </x:c>
      <x:c r="C1466" s="20" t="str">
        <x:v>M18</x:v>
      </x:c>
      <x:c r="D1466" s="20" t="str">
        <x:v>18_冲突裁决规则</x:v>
      </x:c>
      <x:c r="E1466" s="20" t="str">
        <x:v>MED</x:v>
      </x:c>
      <x:c r="F1466" s="20" t="n">
        <x:v>41</x:v>
      </x:c>
      <x:c r="G1466" s="20" t="str">
        <x:v>V1.0</x:v>
      </x:c>
      <x:c r="H1466" s="20" t="str">
        <x:v>根本病主药优先于表层扶抑药</x:v>
      </x:c>
      <x:c r="I1466" s="20" t="str">
        <x:v>综合层</x:v>
      </x:c>
      <x:c r="J1466" s="20" t="str">
        <x:v>根本主药优先</x:v>
      </x:c>
      <x:c r="K1466" s="20" t="str">
        <x:v>冲突主题：病药主药与表层扶抑冲突。裁决结果为“根本主药优先”；优先采用：直接进入根本病位者列主用；降级处理：表层扶抑药降为辅助、喜神或暂缓。同时控制副作用：主药若伤格或产生更严重副作用，转药格净收益裁决。</x:v>
      </x:c>
      <x:c r="L1466" s="20" t="str">
        <x:v>较高</x:v>
      </x:c>
      <x:c r="M1466" s="20" t="str">
        <x:v>采用</x:v>
      </x:c>
      <x:c r="N1466" s="20" t="str">
        <x:v>初审</x:v>
      </x:c>
      <x:c r="O1466" s="22" t="n">
        <x:v>46260</x:v>
      </x:c>
      <x:c r="P1466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67">
      <x:c r="A1467" s="20" t="str">
        <x:v>M18-MED-0042-V1.0</x:v>
      </x:c>
      <x:c r="B1467" s="20" t="str">
        <x:v>规则</x:v>
      </x:c>
      <x:c r="C1467" s="20" t="str">
        <x:v>M18</x:v>
      </x:c>
      <x:c r="D1467" s="20" t="str">
        <x:v>18_冲突裁决规则</x:v>
      </x:c>
      <x:c r="E1467" s="20" t="str">
        <x:v>MED</x:v>
      </x:c>
      <x:c r="F1467" s="20" t="n">
        <x:v>42</x:v>
      </x:c>
      <x:c r="G1467" s="20" t="str">
        <x:v>V1.0</x:v>
      </x:c>
      <x:c r="H1467" s="20" t="str">
        <x:v>格局病本身是根本病时救格药可压过一般扶抑</x:v>
      </x:c>
      <x:c r="I1467" s="20" t="str">
        <x:v>综合层</x:v>
      </x:c>
      <x:c r="J1467" s="20" t="str">
        <x:v>格局病救药优先</x:v>
      </x:c>
      <x:c r="K1467" s="20" t="str">
        <x:v>冲突主题：格局病主药与普通扶抑冲突。裁决结果为“格局病主药优先”；优先采用：救格主药列第一顺位；降级处理：普通扶抑药降为辅助或第三顺位。同时控制副作用：救格药必须控制药量，防止修复过度造成新的制化失衡。</x:v>
      </x:c>
      <x:c r="L1467" s="20" t="str">
        <x:v>较高</x:v>
      </x:c>
      <x:c r="M1467" s="20" t="str">
        <x:v>采用</x:v>
      </x:c>
      <x:c r="N1467" s="20" t="str">
        <x:v>初审</x:v>
      </x:c>
      <x:c r="O1467" s="22" t="n">
        <x:v>46260</x:v>
      </x:c>
      <x:c r="P1467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68">
      <x:c r="A1468" s="20" t="str">
        <x:v>M18-MED-0043-V1.0</x:v>
      </x:c>
      <x:c r="B1468" s="20" t="str">
        <x:v>规则</x:v>
      </x:c>
      <x:c r="C1468" s="20" t="str">
        <x:v>M18</x:v>
      </x:c>
      <x:c r="D1468" s="20" t="str">
        <x:v>18_冲突裁决规则</x:v>
      </x:c>
      <x:c r="E1468" s="20" t="str">
        <x:v>MED</x:v>
      </x:c>
      <x:c r="F1468" s="20" t="n">
        <x:v>43</x:v>
      </x:c>
      <x:c r="G1468" s="20" t="str">
        <x:v>V1.0</x:v>
      </x:c>
      <x:c r="H1468" s="20" t="str">
        <x:v>主药伤害有效核心格局时优先寻找替代药路</x:v>
      </x:c>
      <x:c r="I1468" s="20" t="str">
        <x:v>综合层</x:v>
      </x:c>
      <x:c r="J1468" s="20" t="str">
        <x:v>主药伤格替代</x:v>
      </x:c>
      <x:c r="K1468" s="20" t="str">
        <x:v>冲突主题：病药主药与格局硬冲突。裁决结果为“替代药路优先”；优先采用：替代药路优先；降级处理：伤格主药降为条件性喜神、条件性忌神或不采用。同时控制副作用：若必须使用，配置护格辅助并限定不触发根本破格的上限。</x:v>
      </x:c>
      <x:c r="L1468" s="20" t="str">
        <x:v>较高</x:v>
      </x:c>
      <x:c r="M1468" s="20" t="str">
        <x:v>采用</x:v>
      </x:c>
      <x:c r="N1468" s="20" t="str">
        <x:v>初审</x:v>
      </x:c>
      <x:c r="O1468" s="22" t="n">
        <x:v>46260</x:v>
      </x:c>
      <x:c r="P1468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69">
      <x:c r="A1469" s="20" t="str">
        <x:v>M18-MED-0044-V1.0</x:v>
      </x:c>
      <x:c r="B1469" s="20" t="str">
        <x:v>规则</x:v>
      </x:c>
      <x:c r="C1469" s="20" t="str">
        <x:v>M18</x:v>
      </x:c>
      <x:c r="D1469" s="20" t="str">
        <x:v>18_冲突裁决规则</x:v>
      </x:c>
      <x:c r="E1469" s="20" t="str">
        <x:v>MED</x:v>
      </x:c>
      <x:c r="F1469" s="20" t="n">
        <x:v>44</x:v>
      </x:c>
      <x:c r="G1469" s="20" t="str">
        <x:v>V1.0</x:v>
      </x:c>
      <x:c r="H1469" s="20" t="str">
        <x:v>治一病而产生更严重的新病时否决该药</x:v>
      </x:c>
      <x:c r="I1469" s="20" t="str">
        <x:v>综合层</x:v>
      </x:c>
      <x:c r="J1469" s="20" t="str">
        <x:v>治病生重病否决</x:v>
      </x:c>
      <x:c r="K1469" s="20" t="str">
        <x:v>冲突主题：病药收益与新病风险冲突。裁决结果为“更重药害否决”；优先采用：无同级新病的替代药优先；降级处理：该药定为不采用、忌神或条件性忌神。同时控制副作用：列明原病收益、新病类型和转害阈值。</x:v>
      </x:c>
      <x:c r="L1469" s="20" t="str">
        <x:v>较高</x:v>
      </x:c>
      <x:c r="M1469" s="20" t="str">
        <x:v>采用</x:v>
      </x:c>
      <x:c r="N1469" s="20" t="str">
        <x:v>初审</x:v>
      </x:c>
      <x:c r="O1469" s="22" t="n">
        <x:v>46260</x:v>
      </x:c>
      <x:c r="P1469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70">
      <x:c r="A1470" s="20" t="str">
        <x:v>M18-MED-0045-V1.0</x:v>
      </x:c>
      <x:c r="B1470" s="20" t="str">
        <x:v>规则</x:v>
      </x:c>
      <x:c r="C1470" s="20" t="str">
        <x:v>M18</x:v>
      </x:c>
      <x:c r="D1470" s="20" t="str">
        <x:v>18_冲突裁决规则</x:v>
      </x:c>
      <x:c r="E1470" s="20" t="str">
        <x:v>MED</x:v>
      </x:c>
      <x:c r="F1470" s="20" t="n">
        <x:v>45</x:v>
      </x:c>
      <x:c r="G1470" s="20" t="str">
        <x:v>V1.0</x:v>
      </x:c>
      <x:c r="H1470" s="20" t="str">
        <x:v>一药多效且证据独立时可升级为主用</x:v>
      </x:c>
      <x:c r="I1470" s="20" t="str">
        <x:v>综合层</x:v>
      </x:c>
      <x:c r="J1470" s="20" t="str">
        <x:v>一药多效升级</x:v>
      </x:c>
      <x:c r="K1470" s="20" t="str">
        <x:v>冲突主题：多维一致与主用升级。裁决结果为“多效升级”；优先采用：覆盖根本病且减少药路冲突者优先；降级处理：证据同源或副作用明显者只列喜神、辅助或条件性。同时控制副作用：防止药效集中后过量，设置主辅与强度边界。</x:v>
      </x:c>
      <x:c r="L1470" s="20" t="str">
        <x:v>较高</x:v>
      </x:c>
      <x:c r="M1470" s="20" t="str">
        <x:v>采用</x:v>
      </x:c>
      <x:c r="N1470" s="20" t="str">
        <x:v>初审</x:v>
      </x:c>
      <x:c r="O1470" s="22" t="n">
        <x:v>46260</x:v>
      </x:c>
      <x:c r="P1470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71">
      <x:c r="A1471" s="20" t="str">
        <x:v>M18-MED-0046-V1.0</x:v>
      </x:c>
      <x:c r="B1471" s="20" t="str">
        <x:v>规则</x:v>
      </x:c>
      <x:c r="C1471" s="20" t="str">
        <x:v>M18</x:v>
      </x:c>
      <x:c r="D1471" s="20" t="str">
        <x:v>18_冲突裁决规则</x:v>
      </x:c>
      <x:c r="E1471" s="20" t="str">
        <x:v>MED</x:v>
      </x:c>
      <x:c r="F1471" s="20" t="n">
        <x:v>46</x:v>
      </x:c>
      <x:c r="G1471" s="20" t="str">
        <x:v>V1.0</x:v>
      </x:c>
      <x:c r="H1471" s="20" t="str">
        <x:v>药神无根受制时不得承担主用职责</x:v>
      </x:c>
      <x:c r="I1471" s="20" t="str">
        <x:v>综合层</x:v>
      </x:c>
      <x:c r="J1471" s="20" t="str">
        <x:v>药力不足降级</x:v>
      </x:c>
      <x:c r="K1471" s="20" t="str">
        <x:v>冲突主题：病药方向正确与药力不足冲突。裁决结果为“药力不足降级”；优先采用：先增强药神或改用有力替代药路；降级处理：原候选降为条件性喜神或待定。同时控制副作用：将生扶药神或解除制约者列辅助用神，并防辅助过强。</x:v>
      </x:c>
      <x:c r="L1471" s="20" t="str">
        <x:v>较高</x:v>
      </x:c>
      <x:c r="M1471" s="20" t="str">
        <x:v>采用</x:v>
      </x:c>
      <x:c r="N1471" s="20" t="str">
        <x:v>初审</x:v>
      </x:c>
      <x:c r="O1471" s="22" t="n">
        <x:v>46260</x:v>
      </x:c>
      <x:c r="P1471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72">
      <x:c r="A1472" s="20" t="str">
        <x:v>M18-MED-0047-V1.0</x:v>
      </x:c>
      <x:c r="B1472" s="20" t="str">
        <x:v>规则</x:v>
      </x:c>
      <x:c r="C1472" s="20" t="str">
        <x:v>M18</x:v>
      </x:c>
      <x:c r="D1472" s="20" t="str">
        <x:v>18_冲突裁决规则</x:v>
      </x:c>
      <x:c r="E1472" s="20" t="str">
        <x:v>MED</x:v>
      </x:c>
      <x:c r="F1472" s="20" t="n">
        <x:v>47</x:v>
      </x:c>
      <x:c r="G1472" s="20" t="str">
        <x:v>V1.0</x:v>
      </x:c>
      <x:c r="H1472" s="20" t="str">
        <x:v>主病优先于次病，次病药不得干扰主药</x:v>
      </x:c>
      <x:c r="I1472" s="20" t="str">
        <x:v>综合层</x:v>
      </x:c>
      <x:c r="J1472" s="20" t="str">
        <x:v>主病优先裁决</x:v>
      </x:c>
      <x:c r="K1472" s="20" t="str">
        <x:v>冲突主题：主病与次病优先级冲突。裁决结果为“主病优先”；优先采用：主病直接药列主用；降级处理：次病药列辅助、第三顺位或条件性，若妨碍主药则不采用。同时控制副作用：主病受控后重新评估次病是否仍存在，避免过度用药。</x:v>
      </x:c>
      <x:c r="L1472" s="20" t="str">
        <x:v>较高</x:v>
      </x:c>
      <x:c r="M1472" s="20" t="str">
        <x:v>采用</x:v>
      </x:c>
      <x:c r="N1472" s="20" t="str">
        <x:v>初审</x:v>
      </x:c>
      <x:c r="O1472" s="22" t="n">
        <x:v>46260</x:v>
      </x:c>
      <x:c r="P1472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73">
      <x:c r="A1473" s="20" t="str">
        <x:v>M18-MED-0048-V1.0</x:v>
      </x:c>
      <x:c r="B1473" s="20" t="str">
        <x:v>规则</x:v>
      </x:c>
      <x:c r="C1473" s="20" t="str">
        <x:v>M18</x:v>
      </x:c>
      <x:c r="D1473" s="20" t="str">
        <x:v>18_冲突裁决规则</x:v>
      </x:c>
      <x:c r="E1473" s="20" t="str">
        <x:v>MED</x:v>
      </x:c>
      <x:c r="F1473" s="20" t="n">
        <x:v>48</x:v>
      </x:c>
      <x:c r="G1473" s="20" t="str">
        <x:v>V1.0</x:v>
      </x:c>
      <x:c r="H1473" s="20" t="str">
        <x:v>同一病位存在多条药路时按净收益择一主路线</x:v>
      </x:c>
      <x:c r="I1473" s="20" t="str">
        <x:v>综合层</x:v>
      </x:c>
      <x:c r="J1473" s="20" t="str">
        <x:v>同病多药择路</x:v>
      </x:c>
      <x:c r="K1473" s="20" t="str">
        <x:v>冲突主题：多病药路线冲突。裁决结果为“主药路线择一”；优先采用：净收益更高且副作用可控者定主路线；降级处理：次路线降为替代候选或不采用，不默认同时增强。同时控制副作用：若两路线可协同且容量充足，可主辅配置；否则避免制化两立。</x:v>
      </x:c>
      <x:c r="L1473" s="20" t="str">
        <x:v>较高</x:v>
      </x:c>
      <x:c r="M1473" s="20" t="str">
        <x:v>采用</x:v>
      </x:c>
      <x:c r="N1473" s="20" t="str">
        <x:v>初审</x:v>
      </x:c>
      <x:c r="O1473" s="22" t="n">
        <x:v>46260</x:v>
      </x:c>
      <x:c r="P1473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74">
      <x:c r="A1474" s="20" t="str">
        <x:v>M18-MED-0049-V1.0</x:v>
      </x:c>
      <x:c r="B1474" s="20" t="str">
        <x:v>规则</x:v>
      </x:c>
      <x:c r="C1474" s="20" t="str">
        <x:v>M18</x:v>
      </x:c>
      <x:c r="D1474" s="20" t="str">
        <x:v>18_冲突裁决规则</x:v>
      </x:c>
      <x:c r="E1474" s="20" t="str">
        <x:v>MED</x:v>
      </x:c>
      <x:c r="F1474" s="20" t="n">
        <x:v>49</x:v>
      </x:c>
      <x:c r="G1474" s="20" t="str">
        <x:v>V1.0</x:v>
      </x:c>
      <x:c r="H1474" s="20" t="str">
        <x:v>生助忌神、克制主用或破坏救应者定仇神</x:v>
      </x:c>
      <x:c r="I1474" s="20" t="str">
        <x:v>综合层</x:v>
      </x:c>
      <x:c r="J1474" s="20" t="str">
        <x:v>助忌伤用定仇</x:v>
      </x:c>
      <x:c r="K1474" s="20" t="str">
        <x:v>冲突主题：间接有害链与仇神定位。裁决结果为“仇神定位”；优先采用：保护主用、切断助忌链的方案优先；降级处理：该五行不进入任何喜用排序。同时控制副作用：若其另有不可替代正向功能，则降为条件性仇神并写明例外。</x:v>
      </x:c>
      <x:c r="L1474" s="20" t="str">
        <x:v>较高</x:v>
      </x:c>
      <x:c r="M1474" s="20" t="str">
        <x:v>采用</x:v>
      </x:c>
      <x:c r="N1474" s="20" t="str">
        <x:v>初审</x:v>
      </x:c>
      <x:c r="O1474" s="22" t="n">
        <x:v>46260</x:v>
      </x:c>
      <x:c r="P1474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75">
      <x:c r="A1475" s="20" t="str">
        <x:v>M18-MED-0050-V1.0</x:v>
      </x:c>
      <x:c r="B1475" s="20" t="str">
        <x:v>规则</x:v>
      </x:c>
      <x:c r="C1475" s="20" t="str">
        <x:v>M18</x:v>
      </x:c>
      <x:c r="D1475" s="20" t="str">
        <x:v>18_冲突裁决规则</x:v>
      </x:c>
      <x:c r="E1475" s="20" t="str">
        <x:v>MED</x:v>
      </x:c>
      <x:c r="F1475" s="20" t="n">
        <x:v>50</x:v>
      </x:c>
      <x:c r="G1475" s="20" t="str">
        <x:v>V1.0</x:v>
      </x:c>
      <x:c r="H1475" s="20" t="str">
        <x:v>无真实病位时不设病药主用</x:v>
      </x:c>
      <x:c r="I1475" s="20" t="str">
        <x:v>综合层</x:v>
      </x:c>
      <x:c r="J1475" s="20" t="str">
        <x:v>无病不设药</x:v>
      </x:c>
      <x:c r="K1475" s="20" t="str">
        <x:v>冲突主题：无病与强行设药冲突。裁决结果为“取消病药来源”；优先采用：真实存在的格局或主路径需求优先；降级处理：病药维度退出，该候选五行按其他维度重评。同时控制副作用：避免无必要用药打破原局平衡。</x:v>
      </x:c>
      <x:c r="L1475" s="20" t="str">
        <x:v>较高</x:v>
      </x:c>
      <x:c r="M1475" s="20" t="str">
        <x:v>采用</x:v>
      </x:c>
      <x:c r="N1475" s="20" t="str">
        <x:v>初审</x:v>
      </x:c>
      <x:c r="O1475" s="22" t="n">
        <x:v>46260</x:v>
      </x:c>
      <x:c r="P1475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76">
      <x:c r="A1476" s="20" t="str">
        <x:v>M18-ROUTE-0051-V1.0</x:v>
      </x:c>
      <x:c r="B1476" s="20" t="str">
        <x:v>规则</x:v>
      </x:c>
      <x:c r="C1476" s="20" t="str">
        <x:v>M18</x:v>
      </x:c>
      <x:c r="D1476" s="20" t="str">
        <x:v>18_冲突裁决规则</x:v>
      </x:c>
      <x:c r="E1476" s="20" t="str">
        <x:v>ROUTE</x:v>
      </x:c>
      <x:c r="F1476" s="20" t="n">
        <x:v>51</x:v>
      </x:c>
      <x:c r="G1476" s="20" t="str">
        <x:v>V1.0</x:v>
      </x:c>
      <x:c r="H1476" s="20" t="str">
        <x:v>印化杀与食神制杀冲突时按日主承载和破坏因素择路</x:v>
      </x:c>
      <x:c r="I1476" s="20" t="str">
        <x:v>综合层</x:v>
      </x:c>
      <x:c r="J1476" s="20" t="str">
        <x:v>印食制杀择路</x:v>
      </x:c>
      <x:c r="K1476" s="20" t="str">
        <x:v>冲突主题：印化杀与食制杀路线冲突。裁决结果为“制杀路线择一”；优先采用：能稳定处理杀压且副作用更小的一条路线优先；降级处理：另一条路线降为替代候选或辅助，不默认同时加强。同时控制副作用：防止制杀太过、印多身滞和制化两立。</x:v>
      </x:c>
      <x:c r="L1476" s="20" t="str">
        <x:v>较高</x:v>
      </x:c>
      <x:c r="M1476" s="20" t="str">
        <x:v>采用</x:v>
      </x:c>
      <x:c r="N1476" s="20" t="str">
        <x:v>初审</x:v>
      </x:c>
      <x:c r="O1476" s="22" t="n">
        <x:v>46260</x:v>
      </x:c>
      <x:c r="P1476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77">
      <x:c r="A1477" s="20" t="str">
        <x:v>M18-ROUTE-0052-V1.0</x:v>
      </x:c>
      <x:c r="B1477" s="20" t="str">
        <x:v>规则</x:v>
      </x:c>
      <x:c r="C1477" s="20" t="str">
        <x:v>M18</x:v>
      </x:c>
      <x:c r="D1477" s="20" t="str">
        <x:v>18_冲突裁决规则</x:v>
      </x:c>
      <x:c r="E1477" s="20" t="str">
        <x:v>ROUTE</x:v>
      </x:c>
      <x:c r="F1477" s="20" t="n">
        <x:v>52</x:v>
      </x:c>
      <x:c r="G1477" s="20" t="str">
        <x:v>V1.0</x:v>
      </x:c>
      <x:c r="H1477" s="20" t="str">
        <x:v>伤官配印与伤官生财冲突时按日主与格局择路</x:v>
      </x:c>
      <x:c r="I1477" s="20" t="str">
        <x:v>综合层</x:v>
      </x:c>
      <x:c r="J1477" s="20" t="str">
        <x:v>伤官财印择路</x:v>
      </x:c>
      <x:c r="K1477" s="20" t="str">
        <x:v>冲突主题：伤官生财与伤官配印路线冲突。裁决结果为“伤官路线择一”；优先采用：与日主和主格更匹配者优先；降级处理：次路线降为辅助或条件性，避免财印同时强冲。同时控制副作用：防止印制太过或财耗身、坏印过度。</x:v>
      </x:c>
      <x:c r="L1477" s="20" t="str">
        <x:v>较高</x:v>
      </x:c>
      <x:c r="M1477" s="20" t="str">
        <x:v>采用</x:v>
      </x:c>
      <x:c r="N1477" s="20" t="str">
        <x:v>初审</x:v>
      </x:c>
      <x:c r="O1477" s="22" t="n">
        <x:v>46260</x:v>
      </x:c>
      <x:c r="P1477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78">
      <x:c r="A1478" s="20" t="str">
        <x:v>M18-ROUTE-0053-V1.0</x:v>
      </x:c>
      <x:c r="B1478" s="20" t="str">
        <x:v>规则</x:v>
      </x:c>
      <x:c r="C1478" s="20" t="str">
        <x:v>M18</x:v>
      </x:c>
      <x:c r="D1478" s="20" t="str">
        <x:v>18_冲突裁决规则</x:v>
      </x:c>
      <x:c r="E1478" s="20" t="str">
        <x:v>ROUTE</x:v>
      </x:c>
      <x:c r="F1478" s="20" t="n">
        <x:v>53</x:v>
      </x:c>
      <x:c r="G1478" s="20" t="str">
        <x:v>V1.0</x:v>
      </x:c>
      <x:c r="H1478" s="20" t="str">
        <x:v>建禄身旺的泄、制、耗三路线按主路径择一</x:v>
      </x:c>
      <x:c r="I1478" s="20" t="str">
        <x:v>综合层</x:v>
      </x:c>
      <x:c r="J1478" s="20" t="str">
        <x:v>建禄泄制耗择路</x:v>
      </x:c>
      <x:c r="K1478" s="20" t="str">
        <x:v>冲突主题：建禄格泄制耗路线冲突。裁决结果为“建禄出口择一”；优先采用：能形成最短主路径且副作用最小的路线优先；降级处理：其他路线列辅助或不采用，避免泄制耗叠加过度。同时控制副作用：防止由旺转弱、伤官见官、财坏印或官杀压身。</x:v>
      </x:c>
      <x:c r="L1478" s="20" t="str">
        <x:v>较高</x:v>
      </x:c>
      <x:c r="M1478" s="20" t="str">
        <x:v>采用</x:v>
      </x:c>
      <x:c r="N1478" s="20" t="str">
        <x:v>初审</x:v>
      </x:c>
      <x:c r="O1478" s="22" t="n">
        <x:v>46260</x:v>
      </x:c>
      <x:c r="P1478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79">
      <x:c r="A1479" s="20" t="str">
        <x:v>M18-ROUTE-0054-V1.0</x:v>
      </x:c>
      <x:c r="B1479" s="20" t="str">
        <x:v>规则</x:v>
      </x:c>
      <x:c r="C1479" s="20" t="str">
        <x:v>M18</x:v>
      </x:c>
      <x:c r="D1479" s="20" t="str">
        <x:v>18_冲突裁决规则</x:v>
      </x:c>
      <x:c r="E1479" s="20" t="str">
        <x:v>ROUTE</x:v>
      </x:c>
      <x:c r="F1479" s="20" t="n">
        <x:v>54</x:v>
      </x:c>
      <x:c r="G1479" s="20" t="str">
        <x:v>V1.0</x:v>
      </x:c>
      <x:c r="H1479" s="20" t="str">
        <x:v>羊刃驾杀与食伤泄刃冲突时按杀权和承载择路</x:v>
      </x:c>
      <x:c r="I1479" s="20" t="str">
        <x:v>综合层</x:v>
      </x:c>
      <x:c r="J1479" s="20" t="str">
        <x:v>羊刃制泄择路</x:v>
      </x:c>
      <x:c r="K1479" s="20" t="str">
        <x:v>冲突主题：羊刃制刃与泄刃路线冲突。裁决结果为“制刃路线择一”；优先采用：制泄比例最接近稳定平衡者优先；降级处理：另一方案降为辅助或替代，不同时强力使用。同时控制副作用：防止制刃太过、泄身过度和官伤冲突。</x:v>
      </x:c>
      <x:c r="L1479" s="20" t="str">
        <x:v>较高</x:v>
      </x:c>
      <x:c r="M1479" s="20" t="str">
        <x:v>采用</x:v>
      </x:c>
      <x:c r="N1479" s="20" t="str">
        <x:v>初审</x:v>
      </x:c>
      <x:c r="O1479" s="22" t="n">
        <x:v>46260</x:v>
      </x:c>
      <x:c r="P1479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80">
      <x:c r="A1480" s="20" t="str">
        <x:v>M18-ROUTE-0055-V1.0</x:v>
      </x:c>
      <x:c r="B1480" s="20" t="str">
        <x:v>规则</x:v>
      </x:c>
      <x:c r="C1480" s="20" t="str">
        <x:v>M18</x:v>
      </x:c>
      <x:c r="D1480" s="20" t="str">
        <x:v>18_冲突裁决规则</x:v>
      </x:c>
      <x:c r="E1480" s="20" t="str">
        <x:v>ROUTE</x:v>
      </x:c>
      <x:c r="F1480" s="20" t="n">
        <x:v>55</x:v>
      </x:c>
      <x:c r="G1480" s="20" t="str">
        <x:v>V1.0</x:v>
      </x:c>
      <x:c r="H1480" s="20" t="str">
        <x:v>财多身弱时印扶与比劫制财按格局副作用择路</x:v>
      </x:c>
      <x:c r="I1480" s="20" t="str">
        <x:v>综合层</x:v>
      </x:c>
      <x:c r="J1480" s="20" t="str">
        <x:v>财多身弱印比择路</x:v>
      </x:c>
      <x:c r="K1480" s="20" t="str">
        <x:v>冲突主题：财多身弱的印比路线冲突。裁决结果为“财弱身扶路线择一”；优先采用：对主格伤害更小且能稳定扶身者优先；降级处理：次路线列辅助或条件性喜神。同时控制副作用：防止印多身滞或比劫夺财。</x:v>
      </x:c>
      <x:c r="L1480" s="20" t="str">
        <x:v>较高</x:v>
      </x:c>
      <x:c r="M1480" s="20" t="str">
        <x:v>采用</x:v>
      </x:c>
      <x:c r="N1480" s="20" t="str">
        <x:v>初审</x:v>
      </x:c>
      <x:c r="O1480" s="22" t="n">
        <x:v>46260</x:v>
      </x:c>
      <x:c r="P1480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81">
      <x:c r="A1481" s="20" t="str">
        <x:v>M18-ROUTE-0056-V1.0</x:v>
      </x:c>
      <x:c r="B1481" s="20" t="str">
        <x:v>规则</x:v>
      </x:c>
      <x:c r="C1481" s="20" t="str">
        <x:v>M18</x:v>
      </x:c>
      <x:c r="D1481" s="20" t="str">
        <x:v>18_冲突裁决规则</x:v>
      </x:c>
      <x:c r="E1481" s="20" t="str">
        <x:v>ROUTE</x:v>
      </x:c>
      <x:c r="F1481" s="20" t="n">
        <x:v>56</x:v>
      </x:c>
      <x:c r="G1481" s="20" t="str">
        <x:v>V1.0</x:v>
      </x:c>
      <x:c r="H1481" s="20" t="str">
        <x:v>枭夺食时财制枭优先于单纯生扶食神</x:v>
      </x:c>
      <x:c r="I1481" s="20" t="str">
        <x:v>综合层</x:v>
      </x:c>
      <x:c r="J1481" s="20" t="str">
        <x:v>枭夺食救应择路</x:v>
      </x:c>
      <x:c r="K1481" s="20" t="str">
        <x:v>冲突主题：枭夺食救应路线冲突。裁决结果为“先制枭后生食”；优先采用：财制枭列主药，比劫生食列辅助；降级处理：不能解除枭制的单纯生食方案降为辅助或无效。同时控制副作用：财星过强会财坏印、财多身弱或财滋杀，需限定强度。</x:v>
      </x:c>
      <x:c r="L1481" s="20" t="str">
        <x:v>较高</x:v>
      </x:c>
      <x:c r="M1481" s="20" t="str">
        <x:v>采用</x:v>
      </x:c>
      <x:c r="N1481" s="20" t="str">
        <x:v>初审</x:v>
      </x:c>
      <x:c r="O1481" s="22" t="n">
        <x:v>46260</x:v>
      </x:c>
      <x:c r="P1481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82">
      <x:c r="A1482" s="20" t="str">
        <x:v>M18-ROUTE-0057-V1.0</x:v>
      </x:c>
      <x:c r="B1482" s="20" t="str">
        <x:v>规则</x:v>
      </x:c>
      <x:c r="C1482" s="20" t="str">
        <x:v>M18</x:v>
      </x:c>
      <x:c r="D1482" s="20" t="str">
        <x:v>18_冲突裁决规则</x:v>
      </x:c>
      <x:c r="E1482" s="20" t="str">
        <x:v>ROUTE</x:v>
      </x:c>
      <x:c r="F1482" s="20" t="n">
        <x:v>57</x:v>
      </x:c>
      <x:c r="G1482" s="20" t="str">
        <x:v>V1.0</x:v>
      </x:c>
      <x:c r="H1482" s="20" t="str">
        <x:v>财坏印时先制财还是扶印取决于克制强度</x:v>
      </x:c>
      <x:c r="I1482" s="20" t="str">
        <x:v>综合层</x:v>
      </x:c>
      <x:c r="J1482" s="20" t="str">
        <x:v>财坏印制扶择路</x:v>
      </x:c>
      <x:c r="K1482" s="20" t="str">
        <x:v>冲突主题：财坏印救应路线冲突。裁决结果为“财印救应择路”；优先采用：直接解除主要克制的一方优先；降级处理：次路线列辅助用神。同时控制副作用：比劫过强会夺财，印过强会身滞或夺食。</x:v>
      </x:c>
      <x:c r="L1482" s="20" t="str">
        <x:v>较高</x:v>
      </x:c>
      <x:c r="M1482" s="20" t="str">
        <x:v>采用</x:v>
      </x:c>
      <x:c r="N1482" s="20" t="str">
        <x:v>初审</x:v>
      </x:c>
      <x:c r="O1482" s="22" t="n">
        <x:v>46260</x:v>
      </x:c>
      <x:c r="P1482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83">
      <x:c r="A1483" s="20" t="str">
        <x:v>M18-ROUTE-0058-V1.0</x:v>
      </x:c>
      <x:c r="B1483" s="20" t="str">
        <x:v>规则</x:v>
      </x:c>
      <x:c r="C1483" s="20" t="str">
        <x:v>M18</x:v>
      </x:c>
      <x:c r="D1483" s="20" t="str">
        <x:v>18_冲突裁决规则</x:v>
      </x:c>
      <x:c r="E1483" s="20" t="str">
        <x:v>ROUTE</x:v>
      </x:c>
      <x:c r="F1483" s="20" t="n">
        <x:v>58</x:v>
      </x:c>
      <x:c r="G1483" s="20" t="str">
        <x:v>V1.0</x:v>
      </x:c>
      <x:c r="H1483" s="20" t="str">
        <x:v>比劫夺财时官杀制比与食伤生财按承载择路</x:v>
      </x:c>
      <x:c r="I1483" s="20" t="str">
        <x:v>综合层</x:v>
      </x:c>
      <x:c r="J1483" s="20" t="str">
        <x:v>比劫夺财救应择路</x:v>
      </x:c>
      <x:c r="K1483" s="20" t="str">
        <x:v>冲突主题：比劫夺财救应路线冲突。裁决结果为“护财路线择一”；优先采用：能护财且不制造更严重身弱者优先；降级处理：次路线列辅助或替代。同时控制副作用：防止官杀压身或食伤过泄。</x:v>
      </x:c>
      <x:c r="L1483" s="20" t="str">
        <x:v>较高</x:v>
      </x:c>
      <x:c r="M1483" s="20" t="str">
        <x:v>采用</x:v>
      </x:c>
      <x:c r="N1483" s="20" t="str">
        <x:v>初审</x:v>
      </x:c>
      <x:c r="O1483" s="22" t="n">
        <x:v>46260</x:v>
      </x:c>
      <x:c r="P1483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84">
      <x:c r="A1484" s="20" t="str">
        <x:v>M18-ROUTE-0059-V1.0</x:v>
      </x:c>
      <x:c r="B1484" s="20" t="str">
        <x:v>规则</x:v>
      </x:c>
      <x:c r="C1484" s="20" t="str">
        <x:v>M18</x:v>
      </x:c>
      <x:c r="D1484" s="20" t="str">
        <x:v>18_冲突裁决规则</x:v>
      </x:c>
      <x:c r="E1484" s="20" t="str">
        <x:v>ROUTE</x:v>
      </x:c>
      <x:c r="F1484" s="20" t="n">
        <x:v>59</x:v>
      </x:c>
      <x:c r="G1484" s="20" t="str">
        <x:v>V1.0</x:v>
      </x:c>
      <x:c r="H1484" s="20" t="str">
        <x:v>官杀混杂时清一留一优先于同时制化两端</x:v>
      </x:c>
      <x:c r="I1484" s="20" t="str">
        <x:v>综合层</x:v>
      </x:c>
      <x:c r="J1484" s="20" t="str">
        <x:v>官杀清一留一</x:v>
      </x:c>
      <x:c r="K1484" s="20" t="str">
        <x:v>冲突主题：官杀混杂清化路线冲突。裁决结果为“官杀去留裁决”；优先采用：去留清晰且主格稳定的方案优先；降级处理：无法清化时格局降为有杂/混杂，用神保持条件性。同时控制副作用：防止去错主神或把必要制衡全部消除。</x:v>
      </x:c>
      <x:c r="L1484" s="20" t="str">
        <x:v>较高</x:v>
      </x:c>
      <x:c r="M1484" s="20" t="str">
        <x:v>采用</x:v>
      </x:c>
      <x:c r="N1484" s="20" t="str">
        <x:v>初审</x:v>
      </x:c>
      <x:c r="O1484" s="22" t="n">
        <x:v>46260</x:v>
      </x:c>
      <x:c r="P1484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85">
      <x:c r="A1485" s="20" t="str">
        <x:v>M18-ROUTE-0060-V1.0</x:v>
      </x:c>
      <x:c r="B1485" s="20" t="str">
        <x:v>规则</x:v>
      </x:c>
      <x:c r="C1485" s="20" t="str">
        <x:v>M18</x:v>
      </x:c>
      <x:c r="D1485" s="20" t="str">
        <x:v>18_冲突裁决规则</x:v>
      </x:c>
      <x:c r="E1485" s="20" t="str">
        <x:v>ROUTE</x:v>
      </x:c>
      <x:c r="F1485" s="20" t="n">
        <x:v>60</x:v>
      </x:c>
      <x:c r="G1485" s="20" t="str">
        <x:v>V1.0</x:v>
      </x:c>
      <x:c r="H1485" s="20" t="str">
        <x:v>寒燥火水路线以根本轴定主辅并防直接相战</x:v>
      </x:c>
      <x:c r="I1485" s="20" t="str">
        <x:v>综合层</x:v>
      </x:c>
      <x:c r="J1485" s="20" t="str">
        <x:v>寒燥火水主辅路线</x:v>
      </x:c>
      <x:c r="K1485" s="20" t="str">
        <x:v>冲突主题：寒燥火水主辅路线。裁决结果为“寒燥主辅确定”；优先采用：根本轴药优先；降级处理：次轴药降为辅助或条件性喜神。同时控制副作用：限制火水强度，避免直接水火相战和双向过量。</x:v>
      </x:c>
      <x:c r="L1485" s="20" t="str">
        <x:v>较高</x:v>
      </x:c>
      <x:c r="M1485" s="20" t="str">
        <x:v>采用</x:v>
      </x:c>
      <x:c r="N1485" s="20" t="str">
        <x:v>初审</x:v>
      </x:c>
      <x:c r="O1485" s="22" t="n">
        <x:v>46260</x:v>
      </x:c>
      <x:c r="P1485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86">
      <x:c r="A1486" s="20" t="str">
        <x:v>M18-DOSE-0061-V1.0</x:v>
      </x:c>
      <x:c r="B1486" s="20" t="str">
        <x:v>规则</x:v>
      </x:c>
      <x:c r="C1486" s="20" t="str">
        <x:v>M18</x:v>
      </x:c>
      <x:c r="D1486" s="20" t="str">
        <x:v>18_冲突裁决规则</x:v>
      </x:c>
      <x:c r="E1486" s="20" t="str">
        <x:v>DOSE</x:v>
      </x:c>
      <x:c r="F1486" s="20" t="n">
        <x:v>61</x:v>
      </x:c>
      <x:c r="G1486" s="20" t="str">
        <x:v>V1.0</x:v>
      </x:c>
      <x:c r="H1486" s="20" t="str">
        <x:v>药神达到最小有效强度后才具备正向定位</x:v>
      </x:c>
      <x:c r="I1486" s="20" t="str">
        <x:v>综合层</x:v>
      </x:c>
      <x:c r="J1486" s="20" t="str">
        <x:v>最小有效药力</x:v>
      </x:c>
      <x:c r="K1486" s="20" t="str">
        <x:v>冲突主题：理论有利与有效剂量冲突。裁决结果为“最小有效剂量裁决”；优先采用：达到最小有效剂量且副作用仍低者优先；降级处理：未达门槛者降为条件性喜神、待定或仅保留潜在方向。同时控制副作用：增强药神时同步监测格局、调候和承载是否越界。</x:v>
      </x:c>
      <x:c r="L1486" s="20" t="str">
        <x:v>较高</x:v>
      </x:c>
      <x:c r="M1486" s="20" t="str">
        <x:v>采用</x:v>
      </x:c>
      <x:c r="N1486" s="20" t="str">
        <x:v>初审</x:v>
      </x:c>
      <x:c r="O1486" s="22" t="n">
        <x:v>46260</x:v>
      </x:c>
      <x:c r="P1486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87">
      <x:c r="A1487" s="20" t="str">
        <x:v>M18-DOSE-0062-V1.0</x:v>
      </x:c>
      <x:c r="B1487" s="20" t="str">
        <x:v>规则</x:v>
      </x:c>
      <x:c r="C1487" s="20" t="str">
        <x:v>M18</x:v>
      </x:c>
      <x:c r="D1487" s="20" t="str">
        <x:v>18_冲突裁决规则</x:v>
      </x:c>
      <x:c r="E1487" s="20" t="str">
        <x:v>DOSE</x:v>
      </x:c>
      <x:c r="F1487" s="20" t="n">
        <x:v>62</x:v>
      </x:c>
      <x:c r="G1487" s="20" t="str">
        <x:v>V1.0</x:v>
      </x:c>
      <x:c r="H1487" s="20" t="str">
        <x:v>药力超过修复需要后喜神可转条件性忌神或忌神</x:v>
      </x:c>
      <x:c r="I1487" s="20" t="str">
        <x:v>综合层</x:v>
      </x:c>
      <x:c r="J1487" s="20" t="str">
        <x:v>药过转忌</x:v>
      </x:c>
      <x:c r="K1487" s="20" t="str">
        <x:v>冲突主题：药量与反向病冲突。裁决结果为“药过转忌”；优先采用：维持接近平衡和格局稳定的强度优先；降级处理：由主用/喜神降为中性、条件性忌神或忌神。同时控制副作用：标准输出明确转忌阈值与首先受损的对象。</x:v>
      </x:c>
      <x:c r="L1487" s="20" t="str">
        <x:v>较高</x:v>
      </x:c>
      <x:c r="M1487" s="20" t="str">
        <x:v>采用</x:v>
      </x:c>
      <x:c r="N1487" s="20" t="str">
        <x:v>初审</x:v>
      </x:c>
      <x:c r="O1487" s="22" t="n">
        <x:v>46260</x:v>
      </x:c>
      <x:c r="P1487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88">
      <x:c r="A1488" s="20" t="str">
        <x:v>M18-DOSE-0063-V1.0</x:v>
      </x:c>
      <x:c r="B1488" s="20" t="str">
        <x:v>规则</x:v>
      </x:c>
      <x:c r="C1488" s="20" t="str">
        <x:v>M18</x:v>
      </x:c>
      <x:c r="D1488" s="20" t="str">
        <x:v>18_冲突裁决规则</x:v>
      </x:c>
      <x:c r="E1488" s="20" t="str">
        <x:v>DOSE</x:v>
      </x:c>
      <x:c r="F1488" s="20" t="n">
        <x:v>63</x:v>
      </x:c>
      <x:c r="G1488" s="20" t="str">
        <x:v>V1.0</x:v>
      </x:c>
      <x:c r="H1488" s="20" t="str">
        <x:v>药力弱只能作为辅助或条件性候选</x:v>
      </x:c>
      <x:c r="I1488" s="20" t="str">
        <x:v>综合层</x:v>
      </x:c>
      <x:c r="J1488" s="20" t="str">
        <x:v>弱药降级</x:v>
      </x:c>
      <x:c r="K1488" s="20" t="str">
        <x:v>冲突主题：药力不足与主次定位冲突。裁决结果为“弱药降级”；优先采用：有力直接药神优先；降级处理：弱药降为辅助用神、条件性喜神或待定。同时控制副作用：如需另一五行生扶弱药，明确主药与辅助药角色，避免主次倒置。</x:v>
      </x:c>
      <x:c r="L1488" s="20" t="str">
        <x:v>较高</x:v>
      </x:c>
      <x:c r="M1488" s="20" t="str">
        <x:v>采用</x:v>
      </x:c>
      <x:c r="N1488" s="20" t="str">
        <x:v>初审</x:v>
      </x:c>
      <x:c r="O1488" s="22" t="n">
        <x:v>46260</x:v>
      </x:c>
      <x:c r="P1488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89">
      <x:c r="A1489" s="20" t="str">
        <x:v>M18-DOSE-0064-V1.0</x:v>
      </x:c>
      <x:c r="B1489" s="20" t="str">
        <x:v>规则</x:v>
      </x:c>
      <x:c r="C1489" s="20" t="str">
        <x:v>M18</x:v>
      </x:c>
      <x:c r="D1489" s="20" t="str">
        <x:v>18_冲突裁决规则</x:v>
      </x:c>
      <x:c r="E1489" s="20" t="str">
        <x:v>DOSE</x:v>
      </x:c>
      <x:c r="F1489" s="20" t="n">
        <x:v>64</x:v>
      </x:c>
      <x:c r="G1489" s="20" t="str">
        <x:v>V1.0</x:v>
      </x:c>
      <x:c r="H1489" s="20" t="str">
        <x:v>辅助药强于主药并改变主轴时应重新定主辅</x:v>
      </x:c>
      <x:c r="I1489" s="20" t="str">
        <x:v>综合层</x:v>
      </x:c>
      <x:c r="J1489" s="20" t="str">
        <x:v>辅助反客重定</x:v>
      </x:c>
      <x:c r="K1489" s="20" t="str">
        <x:v>冲突主题：主辅容量和路线协同。裁决结果为“主辅重定”；优先采用：真正解决根本病的一方保留主用地位；降级处理：过强辅助药降级、限量，或重定为新主用并重新计算全局。同时控制副作用：检查辅助药过强后的制化、旺衰和格局改写。</x:v>
      </x:c>
      <x:c r="L1489" s="20" t="str">
        <x:v>较高</x:v>
      </x:c>
      <x:c r="M1489" s="20" t="str">
        <x:v>采用</x:v>
      </x:c>
      <x:c r="N1489" s="20" t="str">
        <x:v>初审</x:v>
      </x:c>
      <x:c r="O1489" s="22" t="n">
        <x:v>46260</x:v>
      </x:c>
      <x:c r="P1489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90">
      <x:c r="A1490" s="20" t="str">
        <x:v>M18-DOSE-0065-V1.0</x:v>
      </x:c>
      <x:c r="B1490" s="20" t="str">
        <x:v>规则</x:v>
      </x:c>
      <x:c r="C1490" s="20" t="str">
        <x:v>M18</x:v>
      </x:c>
      <x:c r="D1490" s="20" t="str">
        <x:v>18_冲突裁决规则</x:v>
      </x:c>
      <x:c r="E1490" s="20" t="str">
        <x:v>DOSE</x:v>
      </x:c>
      <x:c r="F1490" s="20" t="n">
        <x:v>65</x:v>
      </x:c>
      <x:c r="G1490" s="20" t="str">
        <x:v>V1.0</x:v>
      </x:c>
      <x:c r="H1490" s="20" t="str">
        <x:v>多药争夺同一节点时优先保留主路线</x:v>
      </x:c>
      <x:c r="I1490" s="20" t="str">
        <x:v>综合层</x:v>
      </x:c>
      <x:c r="J1490" s="20" t="str">
        <x:v>多药容量去重</x:v>
      </x:c>
      <x:c r="K1490" s="20" t="str">
        <x:v>冲突主题：多药容量竞争。裁决结果为“药路去重”；优先采用：主路线药神优先；降级处理：次路线降为辅助、替代或不采用。同时控制副作用：防止制化两立、桥梁过载和药力分散。</x:v>
      </x:c>
      <x:c r="L1490" s="20" t="str">
        <x:v>较高</x:v>
      </x:c>
      <x:c r="M1490" s="20" t="str">
        <x:v>采用</x:v>
      </x:c>
      <x:c r="N1490" s="20" t="str">
        <x:v>初审</x:v>
      </x:c>
      <x:c r="O1490" s="22" t="n">
        <x:v>46260</x:v>
      </x:c>
      <x:c r="P1490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91">
      <x:c r="A1491" s="20" t="str">
        <x:v>M18-DOSE-0066-V1.0</x:v>
      </x:c>
      <x:c r="B1491" s="20" t="str">
        <x:v>规则</x:v>
      </x:c>
      <x:c r="C1491" s="20" t="str">
        <x:v>M18</x:v>
      </x:c>
      <x:c r="D1491" s="20" t="str">
        <x:v>18_冲突裁决规则</x:v>
      </x:c>
      <x:c r="E1491" s="20" t="str">
        <x:v>DOSE</x:v>
      </x:c>
      <x:c r="F1491" s="20" t="n">
        <x:v>66</x:v>
      </x:c>
      <x:c r="G1491" s="20" t="str">
        <x:v>V1.0</x:v>
      </x:c>
      <x:c r="H1491" s="20" t="str">
        <x:v>一药多效升级后必须设置总药量上限</x:v>
      </x:c>
      <x:c r="I1491" s="20" t="str">
        <x:v>综合层</x:v>
      </x:c>
      <x:c r="J1491" s="20" t="str">
        <x:v>一药多效剂量控制</x:v>
      </x:c>
      <x:c r="K1491" s="20" t="str">
        <x:v>冲突主题：多维同向与药力集中冲突。裁决结果为“多效限量”；优先采用：最小能够覆盖核心职责的有效强度优先；降级处理：超过总药量上限后转条件性、减量或由喜转忌。同时控制副作用：按最敏感副作用设置上限，而不是按收益数量加码。</x:v>
      </x:c>
      <x:c r="L1491" s="20" t="str">
        <x:v>较高</x:v>
      </x:c>
      <x:c r="M1491" s="20" t="str">
        <x:v>采用</x:v>
      </x:c>
      <x:c r="N1491" s="20" t="str">
        <x:v>初审</x:v>
      </x:c>
      <x:c r="O1491" s="22" t="n">
        <x:v>46260</x:v>
      </x:c>
      <x:c r="P1491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92">
      <x:c r="A1492" s="20" t="str">
        <x:v>M18-DOSE-0067-V1.0</x:v>
      </x:c>
      <x:c r="B1492" s="20" t="str">
        <x:v>规则</x:v>
      </x:c>
      <x:c r="C1492" s="20" t="str">
        <x:v>M18</x:v>
      </x:c>
      <x:c r="D1492" s="20" t="str">
        <x:v>18_冲突裁决规则</x:v>
      </x:c>
      <x:c r="E1492" s="20" t="str">
        <x:v>DOSE</x:v>
      </x:c>
      <x:c r="F1492" s="20" t="n">
        <x:v>67</x:v>
      </x:c>
      <x:c r="G1492" s="20" t="str">
        <x:v>V1.0</x:v>
      </x:c>
      <x:c r="H1492" s="20" t="str">
        <x:v>治一病同时产生同级新病时只可条件采用</x:v>
      </x:c>
      <x:c r="I1492" s="20" t="str">
        <x:v>综合层</x:v>
      </x:c>
      <x:c r="J1492" s="20" t="str">
        <x:v>同级药害条件化</x:v>
      </x:c>
      <x:c r="K1492" s="20" t="str">
        <x:v>冲突主题：治病收益与同级新病冲突。裁决结果为“同级新病条件裁决”；优先采用：新病可控且原病更直接者优先；降级处理：定为条件性喜神或条件性辅助，不列无条件主用。同时控制副作用：明确新病监测对象、转忌阈值和替代方案。</x:v>
      </x:c>
      <x:c r="L1492" s="20" t="str">
        <x:v>较高</x:v>
      </x:c>
      <x:c r="M1492" s="20" t="str">
        <x:v>采用</x:v>
      </x:c>
      <x:c r="N1492" s="20" t="str">
        <x:v>初审</x:v>
      </x:c>
      <x:c r="O1492" s="22" t="n">
        <x:v>46260</x:v>
      </x:c>
      <x:c r="P1492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93">
      <x:c r="A1493" s="20" t="str">
        <x:v>M18-DOSE-0068-V1.0</x:v>
      </x:c>
      <x:c r="B1493" s="20" t="str">
        <x:v>规则</x:v>
      </x:c>
      <x:c r="C1493" s="20" t="str">
        <x:v>M18</x:v>
      </x:c>
      <x:c r="D1493" s="20" t="str">
        <x:v>18_冲突裁决规则</x:v>
      </x:c>
      <x:c r="E1493" s="20" t="str">
        <x:v>DOSE</x:v>
      </x:c>
      <x:c r="F1493" s="20" t="n">
        <x:v>68</x:v>
      </x:c>
      <x:c r="G1493" s="20" t="str">
        <x:v>V1.0</x:v>
      </x:c>
      <x:c r="H1493" s="20" t="str">
        <x:v>新病严重度高于原病时直接否决原药</x:v>
      </x:c>
      <x:c r="I1493" s="20" t="str">
        <x:v>综合层</x:v>
      </x:c>
      <x:c r="J1493" s="20" t="str">
        <x:v>更重药害定忌</x:v>
      </x:c>
      <x:c r="K1493" s="20" t="str">
        <x:v>冲突主题：治病收益与更严重药害冲突。裁决结果为“严重药害否决”；优先采用：寻找替代药路或接受原次病而保护主结构；降级处理：该药定为忌神；若还生助其他忌神则可定仇神。同时控制副作用：记录为什么宁可保留原次病，也不采用该药。</x:v>
      </x:c>
      <x:c r="L1493" s="20" t="str">
        <x:v>较高</x:v>
      </x:c>
      <x:c r="M1493" s="20" t="str">
        <x:v>采用</x:v>
      </x:c>
      <x:c r="N1493" s="20" t="str">
        <x:v>初审</x:v>
      </x:c>
      <x:c r="O1493" s="22" t="n">
        <x:v>46260</x:v>
      </x:c>
      <x:c r="P1493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94">
      <x:c r="A1494" s="20" t="str">
        <x:v>M18-RANK-0069-V1.0</x:v>
      </x:c>
      <x:c r="B1494" s="20" t="str">
        <x:v>规则</x:v>
      </x:c>
      <x:c r="C1494" s="20" t="str">
        <x:v>M18</x:v>
      </x:c>
      <x:c r="D1494" s="20" t="str">
        <x:v>18_冲突裁决规则</x:v>
      </x:c>
      <x:c r="E1494" s="20" t="str">
        <x:v>RANK</x:v>
      </x:c>
      <x:c r="F1494" s="20" t="n">
        <x:v>69</x:v>
      </x:c>
      <x:c r="G1494" s="20" t="str">
        <x:v>V1.0</x:v>
      </x:c>
      <x:c r="H1494" s="20" t="str">
        <x:v>主用神须通过无硬否决的最终审查</x:v>
      </x:c>
      <x:c r="I1494" s="20" t="str">
        <x:v>综合层</x:v>
      </x:c>
      <x:c r="J1494" s="20" t="str">
        <x:v>主用最终审查</x:v>
      </x:c>
      <x:c r="K1494" s="20" t="str">
        <x:v>冲突主题：最终主用需确认无硬否决。裁决结果为“主用最终确认”；优先采用：通过全部审查且不可替代者确认为第一顺位；降级处理：未通过者降为辅助、条件性喜神、待定或忌神。同时控制副作用：输出主用成立条件、转忌条件和替代方案。</x:v>
      </x:c>
      <x:c r="L1494" s="20" t="str">
        <x:v>较高</x:v>
      </x:c>
      <x:c r="M1494" s="20" t="str">
        <x:v>采用</x:v>
      </x:c>
      <x:c r="N1494" s="20" t="str">
        <x:v>初审</x:v>
      </x:c>
      <x:c r="O1494" s="22" t="n">
        <x:v>46260</x:v>
      </x:c>
      <x:c r="P1494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95">
      <x:c r="A1495" s="20" t="str">
        <x:v>M18-RANK-0070-V1.0</x:v>
      </x:c>
      <x:c r="B1495" s="20" t="str">
        <x:v>规则</x:v>
      </x:c>
      <x:c r="C1495" s="20" t="str">
        <x:v>M18</x:v>
      </x:c>
      <x:c r="D1495" s="20" t="str">
        <x:v>18_冲突裁决规则</x:v>
      </x:c>
      <x:c r="E1495" s="20" t="str">
        <x:v>RANK</x:v>
      </x:c>
      <x:c r="F1495" s="20" t="n">
        <x:v>70</x:v>
      </x:c>
      <x:c r="G1495" s="20" t="str">
        <x:v>V1.0</x:v>
      </x:c>
      <x:c r="H1495" s="20" t="str">
        <x:v>辅助用神按协同与容量确定第二顺位</x:v>
      </x:c>
      <x:c r="I1495" s="20" t="str">
        <x:v>综合层</x:v>
      </x:c>
      <x:c r="J1495" s="20" t="str">
        <x:v>辅助用神最终审查</x:v>
      </x:c>
      <x:c r="K1495" s="20" t="str">
        <x:v>冲突主题：主辅容量和路线协同。裁决结果为“辅助用神确认”；优先采用：不可替代且药力适中的协同者列第二顺位；降级处理：可替代、弱效或副作用大的候选降为喜神或不采用。同时控制副作用：限制辅助强度并避免多个辅助共享节点过载。</x:v>
      </x:c>
      <x:c r="L1495" s="20" t="str">
        <x:v>较高</x:v>
      </x:c>
      <x:c r="M1495" s="20" t="str">
        <x:v>采用</x:v>
      </x:c>
      <x:c r="N1495" s="20" t="str">
        <x:v>初审</x:v>
      </x:c>
      <x:c r="O1495" s="22" t="n">
        <x:v>46260</x:v>
      </x:c>
      <x:c r="P1495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96">
      <x:c r="A1496" s="20" t="str">
        <x:v>M18-RANK-0071-V1.0</x:v>
      </x:c>
      <x:c r="B1496" s="20" t="str">
        <x:v>规则</x:v>
      </x:c>
      <x:c r="C1496" s="20" t="str">
        <x:v>M18</x:v>
      </x:c>
      <x:c r="D1496" s="20" t="str">
        <x:v>18_冲突裁决规则</x:v>
      </x:c>
      <x:c r="E1496" s="20" t="str">
        <x:v>RANK</x:v>
      </x:c>
      <x:c r="F1496" s="20" t="n">
        <x:v>71</x:v>
      </x:c>
      <x:c r="G1496" s="20" t="str">
        <x:v>V1.0</x:v>
      </x:c>
      <x:c r="H1496" s="20" t="str">
        <x:v>喜神按一般净收益确定第三顺位</x:v>
      </x:c>
      <x:c r="I1496" s="20" t="str">
        <x:v>综合层</x:v>
      </x:c>
      <x:c r="J1496" s="20" t="str">
        <x:v>喜神最终审查</x:v>
      </x:c>
      <x:c r="K1496" s="20" t="str">
        <x:v>冲突主题：一般净收益判断。裁决结果为“喜神确认”；优先采用：在主用和辅助之后列第三顺位；降级处理：收益依赖条件或药量者降为条件性喜神。同时控制副作用：注明其改善的次级问题，避免与主用混淆。</x:v>
      </x:c>
      <x:c r="L1496" s="20" t="str">
        <x:v>较高</x:v>
      </x:c>
      <x:c r="M1496" s="20" t="str">
        <x:v>采用</x:v>
      </x:c>
      <x:c r="N1496" s="20" t="str">
        <x:v>初审</x:v>
      </x:c>
      <x:c r="O1496" s="22" t="n">
        <x:v>46260</x:v>
      </x:c>
      <x:c r="P1496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97">
      <x:c r="A1497" s="20" t="str">
        <x:v>M18-RANK-0072-V1.0</x:v>
      </x:c>
      <x:c r="B1497" s="20" t="str">
        <x:v>规则</x:v>
      </x:c>
      <x:c r="C1497" s="20" t="str">
        <x:v>M18</x:v>
      </x:c>
      <x:c r="D1497" s="20" t="str">
        <x:v>18_冲突裁决规则</x:v>
      </x:c>
      <x:c r="E1497" s="20" t="str">
        <x:v>RANK</x:v>
      </x:c>
      <x:c r="F1497" s="20" t="n">
        <x:v>72</x:v>
      </x:c>
      <x:c r="G1497" s="20" t="str">
        <x:v>V1.0</x:v>
      </x:c>
      <x:c r="H1497" s="20" t="str">
        <x:v>条件性喜神必须能够明确写出触发条件</x:v>
      </x:c>
      <x:c r="I1497" s="20" t="str">
        <x:v>综合层</x:v>
      </x:c>
      <x:c r="J1497" s="20" t="str">
        <x:v>条件性喜神最终审查</x:v>
      </x:c>
      <x:c r="K1497" s="20" t="str">
        <x:v>冲突主题：多维条件化。裁决结果为“条件性喜神确认”；优先采用：条件满足时按条件顺位采用；降级处理：条件不满足时转中性、条件性忌神或忌神。同时控制副作用：标准输出同步写明何时有利、何时转忌。</x:v>
      </x:c>
      <x:c r="L1497" s="20" t="str">
        <x:v>较高</x:v>
      </x:c>
      <x:c r="M1497" s="20" t="str">
        <x:v>采用</x:v>
      </x:c>
      <x:c r="N1497" s="20" t="str">
        <x:v>初审</x:v>
      </x:c>
      <x:c r="O1497" s="22" t="n">
        <x:v>46260</x:v>
      </x:c>
      <x:c r="P1497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98">
      <x:c r="A1498" s="20" t="str">
        <x:v>M18-RANK-0073-V1.0</x:v>
      </x:c>
      <x:c r="B1498" s="20" t="str">
        <x:v>规则</x:v>
      </x:c>
      <x:c r="C1498" s="20" t="str">
        <x:v>M18</x:v>
      </x:c>
      <x:c r="D1498" s="20" t="str">
        <x:v>18_冲突裁决规则</x:v>
      </x:c>
      <x:c r="E1498" s="20" t="str">
        <x:v>RANK</x:v>
      </x:c>
      <x:c r="F1498" s="20" t="n">
        <x:v>73</x:v>
      </x:c>
      <x:c r="G1498" s="20" t="str">
        <x:v>V1.0</x:v>
      </x:c>
      <x:c r="H1498" s="20" t="str">
        <x:v>五维净作用接近零时定位中性</x:v>
      </x:c>
      <x:c r="I1498" s="20" t="str">
        <x:v>综合层</x:v>
      </x:c>
      <x:c r="J1498" s="20" t="str">
        <x:v>中性最终审查</x:v>
      </x:c>
      <x:c r="K1498" s="20" t="str">
        <x:v>冲突主题：中性定位与强行喜忌冲突。裁决结果为“中性确认”；优先采用：不采用、不列主要排序；降级处理：后续若岁运引动或结构条件变化再动态重评。同时控制副作用：避免为了五行齐全或列表完整强行定喜忌。</x:v>
      </x:c>
      <x:c r="L1498" s="20" t="str">
        <x:v>较高</x:v>
      </x:c>
      <x:c r="M1498" s="20" t="str">
        <x:v>采用</x:v>
      </x:c>
      <x:c r="N1498" s="20" t="str">
        <x:v>初审</x:v>
      </x:c>
      <x:c r="O1498" s="22" t="n">
        <x:v>46260</x:v>
      </x:c>
      <x:c r="P1498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499">
      <x:c r="A1499" s="20" t="str">
        <x:v>M18-RANK-0074-V1.0</x:v>
      </x:c>
      <x:c r="B1499" s="20" t="str">
        <x:v>规则</x:v>
      </x:c>
      <x:c r="C1499" s="20" t="str">
        <x:v>M18</x:v>
      </x:c>
      <x:c r="D1499" s="20" t="str">
        <x:v>18_冲突裁决规则</x:v>
      </x:c>
      <x:c r="E1499" s="20" t="str">
        <x:v>RANK</x:v>
      </x:c>
      <x:c r="F1499" s="20" t="n">
        <x:v>74</x:v>
      </x:c>
      <x:c r="G1499" s="20" t="str">
        <x:v>V1.0</x:v>
      </x:c>
      <x:c r="H1499" s="20" t="str">
        <x:v>正负条件切换明显时定位条件性忌神</x:v>
      </x:c>
      <x:c r="I1499" s="20" t="str">
        <x:v>综合层</x:v>
      </x:c>
      <x:c r="J1499" s="20" t="str">
        <x:v>条件性忌神最终审查</x:v>
      </x:c>
      <x:c r="K1499" s="20" t="str">
        <x:v>冲突主题：正负条件切换。裁决结果为“条件性忌神确认”；优先采用：不主动采用，必要时仅在安全条件内有限使用；降级处理：触发忌性条件后列不采用。同时控制副作用：写明触发忌性的具体阈值和少数例外用途。</x:v>
      </x:c>
      <x:c r="L1499" s="20" t="str">
        <x:v>较高</x:v>
      </x:c>
      <x:c r="M1499" s="20" t="str">
        <x:v>采用</x:v>
      </x:c>
      <x:c r="N1499" s="20" t="str">
        <x:v>初审</x:v>
      </x:c>
      <x:c r="O1499" s="22" t="n">
        <x:v>46260</x:v>
      </x:c>
      <x:c r="P1499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500">
      <x:c r="A1500" s="20" t="str">
        <x:v>M18-RANK-0075-V1.0</x:v>
      </x:c>
      <x:c r="B1500" s="20" t="str">
        <x:v>规则</x:v>
      </x:c>
      <x:c r="C1500" s="20" t="str">
        <x:v>M18</x:v>
      </x:c>
      <x:c r="D1500" s="20" t="str">
        <x:v>18_冲突裁决规则</x:v>
      </x:c>
      <x:c r="E1500" s="20" t="str">
        <x:v>RANK</x:v>
      </x:c>
      <x:c r="F1500" s="20" t="n">
        <x:v>75</x:v>
      </x:c>
      <x:c r="G1500" s="20" t="str">
        <x:v>V1.0</x:v>
      </x:c>
      <x:c r="H1500" s="20" t="str">
        <x:v>稳定加重根本病或破格者定位忌神</x:v>
      </x:c>
      <x:c r="I1500" s="20" t="str">
        <x:v>综合层</x:v>
      </x:c>
      <x:c r="J1500" s="20" t="str">
        <x:v>忌神最终审查</x:v>
      </x:c>
      <x:c r="K1500" s="20" t="str">
        <x:v>冲突主题：负向主导。裁决结果为“忌神确认”；优先采用：列不采用，并优先保护其伤害对象；降级处理：若负面只在特定条件下成立，则降为条件性忌神。同时控制副作用：明确忌神伤害链和是否存在剂量/位置例外。</x:v>
      </x:c>
      <x:c r="L1500" s="20" t="str">
        <x:v>较高</x:v>
      </x:c>
      <x:c r="M1500" s="20" t="str">
        <x:v>采用</x:v>
      </x:c>
      <x:c r="N1500" s="20" t="str">
        <x:v>初审</x:v>
      </x:c>
      <x:c r="O1500" s="22" t="n">
        <x:v>46260</x:v>
      </x:c>
      <x:c r="P1500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501">
      <x:c r="A1501" s="20" t="str">
        <x:v>M18-RANK-0076-V1.0</x:v>
      </x:c>
      <x:c r="B1501" s="20" t="str">
        <x:v>规则</x:v>
      </x:c>
      <x:c r="C1501" s="20" t="str">
        <x:v>M18</x:v>
      </x:c>
      <x:c r="D1501" s="20" t="str">
        <x:v>18_冲突裁决规则</x:v>
      </x:c>
      <x:c r="E1501" s="20" t="str">
        <x:v>RANK</x:v>
      </x:c>
      <x:c r="F1501" s="20" t="n">
        <x:v>76</x:v>
      </x:c>
      <x:c r="G1501" s="20" t="str">
        <x:v>V1.0</x:v>
      </x:c>
      <x:c r="H1501" s="20" t="str">
        <x:v>间接生忌克用坏药者定位仇神</x:v>
      </x:c>
      <x:c r="I1501" s="20" t="str">
        <x:v>综合层</x:v>
      </x:c>
      <x:c r="J1501" s="20" t="str">
        <x:v>仇神最终审查</x:v>
      </x:c>
      <x:c r="K1501" s="20" t="str">
        <x:v>冲突主题：间接有害链。裁决结果为“仇神确认”；优先采用：切断仇神—忌神或仇神—用神作用链；降级处理：若其另有不可替代正向功能，则标条件性仇神并降低置信度。同时控制副作用：说明其助忌伤用的具体对象与路径。</x:v>
      </x:c>
      <x:c r="L1501" s="20" t="str">
        <x:v>较高</x:v>
      </x:c>
      <x:c r="M1501" s="20" t="str">
        <x:v>采用</x:v>
      </x:c>
      <x:c r="N1501" s="20" t="str">
        <x:v>初审</x:v>
      </x:c>
      <x:c r="O1501" s="22" t="n">
        <x:v>46260</x:v>
      </x:c>
      <x:c r="P1501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502">
      <x:c r="A1502" s="20" t="str">
        <x:v>M18-BOUND-0077-V1.0</x:v>
      </x:c>
      <x:c r="B1502" s="20" t="str">
        <x:v>规则</x:v>
      </x:c>
      <x:c r="C1502" s="20" t="str">
        <x:v>M18</x:v>
      </x:c>
      <x:c r="D1502" s="20" t="str">
        <x:v>18_冲突裁决规则</x:v>
      </x:c>
      <x:c r="E1502" s="20" t="str">
        <x:v>BOUND</x:v>
      </x:c>
      <x:c r="F1502" s="20" t="n">
        <x:v>77</x:v>
      </x:c>
      <x:c r="G1502" s="20" t="str">
        <x:v>V1.0</x:v>
      </x:c>
      <x:c r="H1502" s="20" t="str">
        <x:v>最终输出必须说明为何优先及为何降级其他候选</x:v>
      </x:c>
      <x:c r="I1502" s="20" t="str">
        <x:v>综合层</x:v>
      </x:c>
      <x:c r="J1502" s="20" t="str">
        <x:v>M18标准输出</x:v>
      </x:c>
      <x:c r="K1502" s="20" t="str">
        <x:v>M18最终输出：冲突双方、硬约束、优先规则、被降级候选、裁决结果、适用/不适用条件、反向证据、例外、副作用控制、置信度及引用Rule_ID。</x:v>
      </x:c>
      <x:c r="L1502" s="20" t="str">
        <x:v>较高</x:v>
      </x:c>
      <x:c r="M1502" s="20" t="str">
        <x:v>采用</x:v>
      </x:c>
      <x:c r="N1502" s="20" t="str">
        <x:v>初审</x:v>
      </x:c>
      <x:c r="O1502" s="22" t="n">
        <x:v>46260</x:v>
      </x:c>
      <x:c r="P1502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503">
      <x:c r="A1503" s="20" t="str">
        <x:v>M18-BOUND-0078-V1.0</x:v>
      </x:c>
      <x:c r="B1503" s="20" t="str">
        <x:v>规则</x:v>
      </x:c>
      <x:c r="C1503" s="20" t="str">
        <x:v>M18</x:v>
      </x:c>
      <x:c r="D1503" s="20" t="str">
        <x:v>18_冲突裁决规则</x:v>
      </x:c>
      <x:c r="E1503" s="20" t="str">
        <x:v>BOUND</x:v>
      </x:c>
      <x:c r="F1503" s="20" t="n">
        <x:v>78</x:v>
      </x:c>
      <x:c r="G1503" s="20" t="str">
        <x:v>V1.0</x:v>
      </x:c>
      <x:c r="H1503" s="20" t="str">
        <x:v>冲突裁决不采用固定模块顺序或机械总分</x:v>
      </x:c>
      <x:c r="I1503" s="20" t="str">
        <x:v>综合层</x:v>
      </x:c>
      <x:c r="J1503" s="20" t="str">
        <x:v>非固定优先级</x:v>
      </x:c>
      <x:c r="K1503" s="20" t="str">
        <x:v>冲突主题：固定优先级与条件裁决冲突。裁决结果为“条件优先级”；优先采用：当前命局中不可替代且严重度更高的问题优先；降级处理：固定口诀结论降为待验证或流派标签，不作跨库硬规则。同时控制副作用：出现流派分歧时转M21登记，不伪装成共识。</x:v>
      </x:c>
      <x:c r="L1503" s="20" t="str">
        <x:v>较高</x:v>
      </x:c>
      <x:c r="M1503" s="20" t="str">
        <x:v>采用</x:v>
      </x:c>
      <x:c r="N1503" s="20" t="str">
        <x:v>初审</x:v>
      </x:c>
      <x:c r="O1503" s="22" t="n">
        <x:v>46260</x:v>
      </x:c>
      <x:c r="P1503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504">
      <x:c r="A1504" s="20" t="str">
        <x:v>M18-BOUND-0079-V1.0</x:v>
      </x:c>
      <x:c r="B1504" s="20" t="str">
        <x:v>规则</x:v>
      </x:c>
      <x:c r="C1504" s="20" t="str">
        <x:v>M18</x:v>
      </x:c>
      <x:c r="D1504" s="20" t="str">
        <x:v>18_冲突裁决规则</x:v>
      </x:c>
      <x:c r="E1504" s="20" t="str">
        <x:v>BOUND</x:v>
      </x:c>
      <x:c r="F1504" s="20" t="n">
        <x:v>79</x:v>
      </x:c>
      <x:c r="G1504" s="20" t="str">
        <x:v>V1.0</x:v>
      </x:c>
      <x:c r="H1504" s="20" t="str">
        <x:v>原局静态裁决与岁运动态变化必须分开</x:v>
      </x:c>
      <x:c r="I1504" s="20" t="str">
        <x:v>综合层</x:v>
      </x:c>
      <x:c r="J1504" s="20" t="str">
        <x:v>裁决静动态边界</x:v>
      </x:c>
      <x:c r="K1504" s="20" t="str">
        <x:v>冲突主题：静态喜忌与动态引动冲突。裁决结果为“静动态分层”；优先采用：原局裁决作为D0动态模型的基准输入；降级处理：不得把某五行原局喜用直接等同所有岁运均吉。同时控制副作用：标准输出注明动态重算条件。</x:v>
      </x:c>
      <x:c r="L1504" s="20" t="str">
        <x:v>较高</x:v>
      </x:c>
      <x:c r="M1504" s="20" t="str">
        <x:v>采用</x:v>
      </x:c>
      <x:c r="N1504" s="20" t="str">
        <x:v>初审</x:v>
      </x:c>
      <x:c r="O1504" s="22" t="n">
        <x:v>46260</x:v>
      </x:c>
      <x:c r="P1504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505">
      <x:c r="A1505" s="20" t="str">
        <x:v>M18-BOUND-0080-V1.0</x:v>
      </x:c>
      <x:c r="B1505" s="20" t="str">
        <x:v>规则</x:v>
      </x:c>
      <x:c r="C1505" s="20" t="str">
        <x:v>M18</x:v>
      </x:c>
      <x:c r="D1505" s="20" t="str">
        <x:v>18_冲突裁决规则</x:v>
      </x:c>
      <x:c r="E1505" s="20" t="str">
        <x:v>BOUND</x:v>
      </x:c>
      <x:c r="F1505" s="20" t="n">
        <x:v>80</x:v>
      </x:c>
      <x:c r="G1505" s="20" t="str">
        <x:v>V1.0</x:v>
      </x:c>
      <x:c r="H1505" s="20" t="str">
        <x:v>证据不足、流派争议或案例反证应转测试与版本治理</x:v>
      </x:c>
      <x:c r="I1505" s="20" t="str">
        <x:v>综合层</x:v>
      </x:c>
      <x:c r="J1505" s="20" t="str">
        <x:v>冲突争议治理</x:v>
      </x:c>
      <x:c r="K1505" s="20" t="str">
        <x:v>冲突主题：不确定性与规则治理。裁决结果为“治理转交”；优先采用：证据透明和可回归验证优先；降级处理：结论标记待定或条件性，置信度降为中等/低。同时控制副作用：记录影响模块、争议点、预期测试案例和版本变更需求。</x:v>
      </x:c>
      <x:c r="L1505" s="20" t="str">
        <x:v>中等</x:v>
      </x:c>
      <x:c r="M1505" s="20" t="str">
        <x:v>待验证</x:v>
      </x:c>
      <x:c r="N1505" s="20" t="str">
        <x:v>初审</x:v>
      </x:c>
      <x:c r="O1505" s="22" t="n">
        <x:v>46260</x:v>
      </x:c>
      <x:c r="P1505" s="20" t="str">
        <x:v>跨模块裁决按“严格硬约束→根本主病→核心格局/主路径→直接药路→净收益→剂量边界”执行，不采用固定总分或无条件流派口诀。参考：https://zh.wikisource.org/wiki/%E6%BB%B4%E5%A4%A9%E9%AB%93%E9%97%A1%E5%BE%AE ；https://zh.wikisource.org/zh-hans/%E6%B7%B5%E6%B5%B7%E5%AD%90%E5%B9%B3</x:v>
      </x:c>
    </x:row>
    <x:row r="1506">
      <x:c r="A1506" s="20" t="str">
        <x:v>M19-META-0001-V1.0</x:v>
      </x:c>
      <x:c r="B1506" s="20" t="str">
        <x:v>输出字段</x:v>
      </x:c>
      <x:c r="C1506" s="20" t="str">
        <x:v>M19</x:v>
      </x:c>
      <x:c r="D1506" s="20" t="str">
        <x:v>19_综合输出模板</x:v>
      </x:c>
      <x:c r="E1506" s="20" t="str">
        <x:v>META</x:v>
      </x:c>
      <x:c r="F1506" s="20" t="n">
        <x:v>1</x:v>
      </x:c>
      <x:c r="G1506" s="20" t="str">
        <x:v>V1.0</x:v>
      </x:c>
      <x:c r="H1506" s="20" t="str">
        <x:v>报告信息｜输入完整度与交节核验</x:v>
      </x:c>
      <x:c r="I1506" s="20" t="str">
        <x:v>内部推理</x:v>
      </x:c>
      <x:c r="J1506" s="20" t="str">
        <x:v>报告信息</x:v>
      </x:c>
      <x:c r="K1506" s="20" t="str">
        <x:v>不直接展示核验表；若资料影响结论，仅说明：“出生时间接近交节/资料尚不完整，部分判断需要保留条件。”</x:v>
      </x:c>
      <x:c r="L1506" s="20" t="str"/>
      <x:c r="M1506" s="20" t="str">
        <x:v>采用</x:v>
      </x:c>
      <x:c r="N1506" s="20" t="str">
        <x:v>初审</x:v>
      </x:c>
      <x:c r="O1506" s="22" t="n">
        <x:v>46260</x:v>
      </x:c>
      <x:c r="P1506" s="20" t="str">
        <x:v>这是质量闸门，不是用户断语。</x:v>
      </x:c>
    </x:row>
    <x:row r="1507">
      <x:c r="A1507" s="20" t="str">
        <x:v>M19-META-0002-V1.0</x:v>
      </x:c>
      <x:c r="B1507" s="20" t="str">
        <x:v>输出字段</x:v>
      </x:c>
      <x:c r="C1507" s="20" t="str">
        <x:v>M19</x:v>
      </x:c>
      <x:c r="D1507" s="20" t="str">
        <x:v>19_综合输出模板</x:v>
      </x:c>
      <x:c r="E1507" s="20" t="str">
        <x:v>META</x:v>
      </x:c>
      <x:c r="F1507" s="20" t="n">
        <x:v>2</x:v>
      </x:c>
      <x:c r="G1507" s="20" t="str">
        <x:v>V1.0</x:v>
      </x:c>
      <x:c r="H1507" s="20" t="str">
        <x:v>报告信息｜分析适用范围与模型边界</x:v>
      </x:c>
      <x:c r="I1507" s="20" t="str">
        <x:v>三层通用</x:v>
      </x:c>
      <x:c r="J1507" s="20" t="str">
        <x:v>报告信息</x:v>
      </x:c>
      <x:c r="K1507" s="20" t="str">
        <x:v>以下结论只讨论原局本身的结构，不包含具体大运流年，也不直接等同某件事情一定会发生；“病药”是结构比喻，喜用神也不是简单的颜色、方位或物品建议。</x:v>
      </x:c>
      <x:c r="L1507" s="20" t="str"/>
      <x:c r="M1507" s="20" t="str">
        <x:v>采用</x:v>
      </x:c>
      <x:c r="N1507" s="20" t="str">
        <x:v>初审</x:v>
      </x:c>
      <x:c r="O1507" s="22" t="n">
        <x:v>46260</x:v>
      </x:c>
      <x:c r="P1507" s="20" t="str">
        <x:v>防止底层知识库被越级用于断事。</x:v>
      </x:c>
    </x:row>
    <x:row r="1508">
      <x:c r="A1508" s="20" t="str">
        <x:v>M19-META-0003-V1.0</x:v>
      </x:c>
      <x:c r="B1508" s="20" t="str">
        <x:v>输出字段</x:v>
      </x:c>
      <x:c r="C1508" s="20" t="str">
        <x:v>M19</x:v>
      </x:c>
      <x:c r="D1508" s="20" t="str">
        <x:v>19_综合输出模板</x:v>
      </x:c>
      <x:c r="E1508" s="20" t="str">
        <x:v>META</x:v>
      </x:c>
      <x:c r="F1508" s="20" t="n">
        <x:v>3</x:v>
      </x:c>
      <x:c r="G1508" s="20" t="str">
        <x:v>V1.0</x:v>
      </x:c>
      <x:c r="H1508" s="20" t="str">
        <x:v>报告信息｜总体置信度与待核查项</x:v>
      </x:c>
      <x:c r="I1508" s="20" t="str">
        <x:v>三层通用</x:v>
      </x:c>
      <x:c r="J1508" s="20" t="str">
        <x:v>报告信息</x:v>
      </x:c>
      <x:c r="K1508" s="20" t="str">
        <x:v>本次分析的总体置信度为【…】。仍需保留的条件是【…】，它主要影响【…】，但不影响【…】。</x:v>
      </x:c>
      <x:c r="L1508" s="20" t="str"/>
      <x:c r="M1508" s="20" t="str">
        <x:v>采用</x:v>
      </x:c>
      <x:c r="N1508" s="20" t="str">
        <x:v>初审</x:v>
      </x:c>
      <x:c r="O1508" s="22" t="n">
        <x:v>46260</x:v>
      </x:c>
      <x:c r="P1508" s="20" t="str">
        <x:v>总体置信度不能高于最关键结论链中最低的决定性环节。</x:v>
      </x:c>
    </x:row>
    <x:row r="1509">
      <x:c r="A1509" s="20" t="str">
        <x:v>M19-BASE-0004-V1.0</x:v>
      </x:c>
      <x:c r="B1509" s="20" t="str">
        <x:v>输出字段</x:v>
      </x:c>
      <x:c r="C1509" s="20" t="str">
        <x:v>M19</x:v>
      </x:c>
      <x:c r="D1509" s="20" t="str">
        <x:v>19_综合输出模板</x:v>
      </x:c>
      <x:c r="E1509" s="20" t="str">
        <x:v>BASE</x:v>
      </x:c>
      <x:c r="F1509" s="20" t="n">
        <x:v>4</x:v>
      </x:c>
      <x:c r="G1509" s="20" t="str">
        <x:v>V1.0</x:v>
      </x:c>
      <x:c r="H1509" s="20" t="str">
        <x:v>基础结构｜日主与月令</x:v>
      </x:c>
      <x:c r="I1509" s="20" t="str">
        <x:v>三层通用</x:v>
      </x:c>
      <x:c r="J1509" s="20" t="str">
        <x:v>基础结构</x:v>
      </x:c>
      <x:c r="K1509" s="20" t="str">
        <x:v>你的日主是【…】，出生在【…月】。这个季节首先给命局带来【…】的基础倾向，但最终强弱仍需结合根气、透干和全局作用。</x:v>
      </x:c>
      <x:c r="L1509" s="20" t="str"/>
      <x:c r="M1509" s="20" t="str">
        <x:v>采用</x:v>
      </x:c>
      <x:c r="N1509" s="20" t="str">
        <x:v>初审</x:v>
      </x:c>
      <x:c r="O1509" s="22" t="n">
        <x:v>46260</x:v>
      </x:c>
      <x:c r="P1509" s="20" t="str">
        <x:v>用户版避免只凭季节一句话定旺衰。</x:v>
      </x:c>
    </x:row>
    <x:row r="1510">
      <x:c r="A1510" s="20" t="str">
        <x:v>M19-BASE-0005-V1.0</x:v>
      </x:c>
      <x:c r="B1510" s="20" t="str">
        <x:v>输出字段</x:v>
      </x:c>
      <x:c r="C1510" s="20" t="str">
        <x:v>M19</x:v>
      </x:c>
      <x:c r="D1510" s="20" t="str">
        <x:v>19_综合输出模板</x:v>
      </x:c>
      <x:c r="E1510" s="20" t="str">
        <x:v>BASE</x:v>
      </x:c>
      <x:c r="F1510" s="20" t="n">
        <x:v>5</x:v>
      </x:c>
      <x:c r="G1510" s="20" t="str">
        <x:v>V1.0</x:v>
      </x:c>
      <x:c r="H1510" s="20" t="str">
        <x:v>基础结构｜四柱五行与十神映射</x:v>
      </x:c>
      <x:c r="I1510" s="20" t="str">
        <x:v>内部推理</x:v>
      </x:c>
      <x:c r="J1510" s="20" t="str">
        <x:v>基础结构</x:v>
      </x:c>
      <x:c r="K1510" s="20" t="str">
        <x:v>通常不逐项展示完整映射；如需解释，只说明与结论直接相关的十神和五行。</x:v>
      </x:c>
      <x:c r="L1510" s="20" t="str"/>
      <x:c r="M1510" s="20" t="str">
        <x:v>采用</x:v>
      </x:c>
      <x:c r="N1510" s="20" t="str">
        <x:v>初审</x:v>
      </x:c>
      <x:c r="O1510" s="22" t="n">
        <x:v>46260</x:v>
      </x:c>
      <x:c r="P1510" s="20" t="str">
        <x:v>避免把地支整体直接固定成一个十神。</x:v>
      </x:c>
    </x:row>
    <x:row r="1511">
      <x:c r="A1511" s="20" t="str">
        <x:v>M19-BASE-0006-V1.0</x:v>
      </x:c>
      <x:c r="B1511" s="20" t="str">
        <x:v>输出字段</x:v>
      </x:c>
      <x:c r="C1511" s="20" t="str">
        <x:v>M19</x:v>
      </x:c>
      <x:c r="D1511" s="20" t="str">
        <x:v>19_综合输出模板</x:v>
      </x:c>
      <x:c r="E1511" s="20" t="str">
        <x:v>BASE</x:v>
      </x:c>
      <x:c r="F1511" s="20" t="n">
        <x:v>6</x:v>
      </x:c>
      <x:c r="G1511" s="20" t="str">
        <x:v>V1.0</x:v>
      </x:c>
      <x:c r="H1511" s="20" t="str">
        <x:v>基础结构｜主要根气与透干</x:v>
      </x:c>
      <x:c r="I1511" s="20" t="str">
        <x:v>分析师输出</x:v>
      </x:c>
      <x:c r="J1511" s="20" t="str">
        <x:v>基础结构</x:v>
      </x:c>
      <x:c r="K1511" s="20" t="str">
        <x:v>命局中【日主/关键五行】主要依靠【…】落根，天干上【…】透出；这些根气目前【稳定/受限/仍可用】，原因是【…】。</x:v>
      </x:c>
      <x:c r="L1511" s="20" t="str"/>
      <x:c r="M1511" s="20" t="str">
        <x:v>采用</x:v>
      </x:c>
      <x:c r="N1511" s="20" t="str">
        <x:v>初审</x:v>
      </x:c>
      <x:c r="O1511" s="22" t="n">
        <x:v>46260</x:v>
      </x:c>
      <x:c r="P1511" s="20" t="str">
        <x:v>用户版只保留直接支持最终结论的根气。</x:v>
      </x:c>
    </x:row>
    <x:row r="1512">
      <x:c r="A1512" s="20" t="str">
        <x:v>M19-BASE-0007-V1.0</x:v>
      </x:c>
      <x:c r="B1512" s="20" t="str">
        <x:v>输出字段</x:v>
      </x:c>
      <x:c r="C1512" s="20" t="str">
        <x:v>M19</x:v>
      </x:c>
      <x:c r="D1512" s="20" t="str">
        <x:v>19_综合输出模板</x:v>
      </x:c>
      <x:c r="E1512" s="20" t="str">
        <x:v>BASE</x:v>
      </x:c>
      <x:c r="F1512" s="20" t="n">
        <x:v>7</x:v>
      </x:c>
      <x:c r="G1512" s="20" t="str">
        <x:v>V1.0</x:v>
      </x:c>
      <x:c r="H1512" s="20" t="str">
        <x:v>基础结构｜原局结构总览</x:v>
      </x:c>
      <x:c r="I1512" s="20" t="str">
        <x:v>三层通用</x:v>
      </x:c>
      <x:c r="J1512" s="20" t="str">
        <x:v>基础结构</x:v>
      </x:c>
      <x:c r="K1512" s="20" t="str">
        <x:v>这个命局最核心的结构可以概括为：第一，【…】；第二，【…】；第三，【…】。后面的格局和喜忌判断都以这些主线为基础。</x:v>
      </x:c>
      <x:c r="L1512" s="20" t="str"/>
      <x:c r="M1512" s="20" t="str">
        <x:v>采用</x:v>
      </x:c>
      <x:c r="N1512" s="20" t="str">
        <x:v>初审</x:v>
      </x:c>
      <x:c r="O1512" s="22" t="n">
        <x:v>46260</x:v>
      </x:c>
      <x:c r="P1512" s="20" t="str">
        <x:v>不得在总览中提前给出具体吉凶事件。</x:v>
      </x:c>
    </x:row>
    <x:row r="1513">
      <x:c r="A1513" s="20" t="str">
        <x:v>M19-REL-0008-V1.0</x:v>
      </x:c>
      <x:c r="B1513" s="20" t="str">
        <x:v>输出字段</x:v>
      </x:c>
      <x:c r="C1513" s="20" t="str">
        <x:v>M19</x:v>
      </x:c>
      <x:c r="D1513" s="20" t="str">
        <x:v>19_综合输出模板</x:v>
      </x:c>
      <x:c r="E1513" s="20" t="str">
        <x:v>REL</x:v>
      </x:c>
      <x:c r="F1513" s="20" t="n">
        <x:v>8</x:v>
      </x:c>
      <x:c r="G1513" s="20" t="str">
        <x:v>V1.0</x:v>
      </x:c>
      <x:c r="H1513" s="20" t="str">
        <x:v>干支关系｜已成立关系清单</x:v>
      </x:c>
      <x:c r="I1513" s="20" t="str">
        <x:v>分析师输出</x:v>
      </x:c>
      <x:c r="J1513" s="20" t="str">
        <x:v>干支关系</x:v>
      </x:c>
      <x:c r="K1513" s="20" t="str">
        <x:v>原局中较关键的干支互动有【…】。这些只是结构关系，真正带来什么影响，还要看双方强弱和后续效应。</x:v>
      </x:c>
      <x:c r="L1513" s="20" t="str"/>
      <x:c r="M1513" s="20" t="str">
        <x:v>采用</x:v>
      </x:c>
      <x:c r="N1513" s="20" t="str">
        <x:v>初审</x:v>
      </x:c>
      <x:c r="O1513" s="22" t="n">
        <x:v>46260</x:v>
      </x:c>
      <x:c r="P1513" s="20" t="str">
        <x:v>本字段只列关系，不直接写增减力。</x:v>
      </x:c>
    </x:row>
    <x:row r="1514">
      <x:c r="A1514" s="20" t="str">
        <x:v>M19-REL-0009-V1.0</x:v>
      </x:c>
      <x:c r="B1514" s="20" t="str">
        <x:v>输出字段</x:v>
      </x:c>
      <x:c r="C1514" s="20" t="str">
        <x:v>M19</x:v>
      </x:c>
      <x:c r="D1514" s="20" t="str">
        <x:v>19_综合输出模板</x:v>
      </x:c>
      <x:c r="E1514" s="20" t="str">
        <x:v>REL</x:v>
      </x:c>
      <x:c r="F1514" s="20" t="n">
        <x:v>9</x:v>
      </x:c>
      <x:c r="G1514" s="20" t="str">
        <x:v>V1.0</x:v>
      </x:c>
      <x:c r="H1514" s="20" t="str">
        <x:v>干支关系｜关系实际效应</x:v>
      </x:c>
      <x:c r="I1514" s="20" t="str">
        <x:v>三层通用</x:v>
      </x:c>
      <x:c r="J1514" s="20" t="str">
        <x:v>干支关系</x:v>
      </x:c>
      <x:c r="K1514" s="20" t="str">
        <x:v>这些关系真正产生的作用是：【…】被引动/牵制，【…】的根气或功能受到【轻微/明显】影响；不能简单理解成某个字被“冲没”或“刑掉”。</x:v>
      </x:c>
      <x:c r="L1514" s="20" t="str"/>
      <x:c r="M1514" s="20" t="str">
        <x:v>采用</x:v>
      </x:c>
      <x:c r="N1514" s="20" t="str">
        <x:v>初审</x:v>
      </x:c>
      <x:c r="O1514" s="22" t="n">
        <x:v>46260</x:v>
      </x:c>
      <x:c r="P1514" s="20" t="str">
        <x:v>用户版避免堆砌刑冲合会术语。</x:v>
      </x:c>
    </x:row>
    <x:row r="1515">
      <x:c r="A1515" s="20" t="str">
        <x:v>M19-REL-0010-V1.0</x:v>
      </x:c>
      <x:c r="B1515" s="20" t="str">
        <x:v>输出字段</x:v>
      </x:c>
      <x:c r="C1515" s="20" t="str">
        <x:v>M19</x:v>
      </x:c>
      <x:c r="D1515" s="20" t="str">
        <x:v>19_综合输出模板</x:v>
      </x:c>
      <x:c r="E1515" s="20" t="str">
        <x:v>REL</x:v>
      </x:c>
      <x:c r="F1515" s="20" t="n">
        <x:v>10</x:v>
      </x:c>
      <x:c r="G1515" s="20" t="str">
        <x:v>V1.0</x:v>
      </x:c>
      <x:c r="H1515" s="20" t="str">
        <x:v>干支关系｜未成立与待定关系</x:v>
      </x:c>
      <x:c r="I1515" s="20" t="str">
        <x:v>内部推理</x:v>
      </x:c>
      <x:c r="J1515" s="20" t="str">
        <x:v>干支关系</x:v>
      </x:c>
      <x:c r="K1515" s="20" t="str">
        <x:v>通常不逐项展示；若该候选影响用户关心的结论，再说明“虽然有【…】迹象，但尚不满足【…】，因此不能按完整结构处理”。</x:v>
      </x:c>
      <x:c r="L1515" s="20" t="str"/>
      <x:c r="M1515" s="20" t="str">
        <x:v>采用</x:v>
      </x:c>
      <x:c r="N1515" s="20" t="str">
        <x:v>初审</x:v>
      </x:c>
      <x:c r="O1515" s="22" t="n">
        <x:v>46260</x:v>
      </x:c>
      <x:c r="P1515" s="20" t="str">
        <x:v>用于防止口诀式越级判断。</x:v>
      </x:c>
    </x:row>
    <x:row r="1516">
      <x:c r="A1516" s="20" t="str">
        <x:v>M19-ELEM-0011-V1.0</x:v>
      </x:c>
      <x:c r="B1516" s="20" t="str">
        <x:v>输出字段</x:v>
      </x:c>
      <x:c r="C1516" s="20" t="str">
        <x:v>M19</x:v>
      </x:c>
      <x:c r="D1516" s="20" t="str">
        <x:v>19_综合输出模板</x:v>
      </x:c>
      <x:c r="E1516" s="20" t="str">
        <x:v>ELEM</x:v>
      </x:c>
      <x:c r="F1516" s="20" t="n">
        <x:v>11</x:v>
      </x:c>
      <x:c r="G1516" s="20" t="str">
        <x:v>V1.0</x:v>
      </x:c>
      <x:c r="H1516" s="20" t="str">
        <x:v>五行有效旺衰｜五行有效旺衰矩阵</x:v>
      </x:c>
      <x:c r="I1516" s="20" t="str">
        <x:v>分析师输出</x:v>
      </x:c>
      <x:c r="J1516" s="20" t="str">
        <x:v>五行有效旺衰</x:v>
      </x:c>
      <x:c r="K1516" s="20" t="str">
        <x:v>从实际能发挥的力量看，木【…】、火【…】、土【…】、金【…】、水【…】。这里判断的是有效力量，不是简单数五行个数。</x:v>
      </x:c>
      <x:c r="L1516" s="20" t="str"/>
      <x:c r="M1516" s="20" t="str">
        <x:v>采用</x:v>
      </x:c>
      <x:c r="N1516" s="20" t="str">
        <x:v>初审</x:v>
      </x:c>
      <x:c r="O1516" s="22" t="n">
        <x:v>46260</x:v>
      </x:c>
      <x:c r="P1516" s="20" t="str">
        <x:v>旺衰与喜忌必须分开，不能在本字段直接写喜忌。</x:v>
      </x:c>
    </x:row>
    <x:row r="1517">
      <x:c r="A1517" s="20" t="str">
        <x:v>M19-ELEM-0012-V1.0</x:v>
      </x:c>
      <x:c r="B1517" s="20" t="str">
        <x:v>输出字段</x:v>
      </x:c>
      <x:c r="C1517" s="20" t="str">
        <x:v>M19</x:v>
      </x:c>
      <x:c r="D1517" s="20" t="str">
        <x:v>19_综合输出模板</x:v>
      </x:c>
      <x:c r="E1517" s="20" t="str">
        <x:v>ELEM</x:v>
      </x:c>
      <x:c r="F1517" s="20" t="n">
        <x:v>12</x:v>
      </x:c>
      <x:c r="G1517" s="20" t="str">
        <x:v>V1.0</x:v>
      </x:c>
      <x:c r="H1517" s="20" t="str">
        <x:v>五行有效旺衰｜五行旺衰排序与主导气势</x:v>
      </x:c>
      <x:c r="I1517" s="20" t="str">
        <x:v>三层通用</x:v>
      </x:c>
      <x:c r="J1517" s="20" t="str">
        <x:v>五行有效旺衰</x:v>
      </x:c>
      <x:c r="K1517" s="20" t="str">
        <x:v>整体力量大致排序为【…】。其中【…】是当前最主导的气势；【…】虽然不弱，但主要受到【…】制约。</x:v>
      </x:c>
      <x:c r="L1517" s="20" t="str"/>
      <x:c r="M1517" s="20" t="str">
        <x:v>采用</x:v>
      </x:c>
      <x:c r="N1517" s="20" t="str">
        <x:v>初审</x:v>
      </x:c>
      <x:c r="O1517" s="22" t="n">
        <x:v>46260</x:v>
      </x:c>
      <x:c r="P1517" s="20" t="str">
        <x:v>排序只用于展示相对力量，不等于价值排序。</x:v>
      </x:c>
    </x:row>
    <x:row r="1518">
      <x:c r="A1518" s="20" t="str">
        <x:v>M19-ELEM-0013-V1.0</x:v>
      </x:c>
      <x:c r="B1518" s="20" t="str">
        <x:v>输出字段</x:v>
      </x:c>
      <x:c r="C1518" s="20" t="str">
        <x:v>M19</x:v>
      </x:c>
      <x:c r="D1518" s="20" t="str">
        <x:v>19_综合输出模板</x:v>
      </x:c>
      <x:c r="E1518" s="20" t="str">
        <x:v>ELEM</x:v>
      </x:c>
      <x:c r="F1518" s="20" t="n">
        <x:v>13</x:v>
      </x:c>
      <x:c r="G1518" s="20" t="str">
        <x:v>V1.0</x:v>
      </x:c>
      <x:c r="H1518" s="20" t="str">
        <x:v>五行有效旺衰｜关键力量修正原因</x:v>
      </x:c>
      <x:c r="I1518" s="20" t="str">
        <x:v>内部推理</x:v>
      </x:c>
      <x:c r="J1518" s="20" t="str">
        <x:v>五行有效旺衰</x:v>
      </x:c>
      <x:c r="K1518" s="20" t="str">
        <x:v>如需解释旺衰变化，可说：“【…】表面数量不少，但因为【…】，实际功能被下调；【…】虽然数量少，却因【…】仍有作用。”</x:v>
      </x:c>
      <x:c r="L1518" s="20" t="str"/>
      <x:c r="M1518" s="20" t="str">
        <x:v>采用</x:v>
      </x:c>
      <x:c r="N1518" s="20" t="str">
        <x:v>初审</x:v>
      </x:c>
      <x:c r="O1518" s="22" t="n">
        <x:v>46260</x:v>
      </x:c>
      <x:c r="P1518" s="20" t="str">
        <x:v>用于审计旺衰结论的中间步骤。</x:v>
      </x:c>
    </x:row>
    <x:row r="1519">
      <x:c r="A1519" s="20" t="str">
        <x:v>M19-DM-0014-V1.0</x:v>
      </x:c>
      <x:c r="B1519" s="20" t="str">
        <x:v>输出字段</x:v>
      </x:c>
      <x:c r="C1519" s="20" t="str">
        <x:v>M19</x:v>
      </x:c>
      <x:c r="D1519" s="20" t="str">
        <x:v>19_综合输出模板</x:v>
      </x:c>
      <x:c r="E1519" s="20" t="str">
        <x:v>DM</x:v>
      </x:c>
      <x:c r="F1519" s="20" t="n">
        <x:v>14</x:v>
      </x:c>
      <x:c r="G1519" s="20" t="str">
        <x:v>V1.0</x:v>
      </x:c>
      <x:c r="H1519" s="20" t="str">
        <x:v>日主状态｜日主旺衰等级</x:v>
      </x:c>
      <x:c r="I1519" s="20" t="str">
        <x:v>三层通用</x:v>
      </x:c>
      <x:c r="J1519" s="20" t="str">
        <x:v>日主状态</x:v>
      </x:c>
      <x:c r="K1519" s="20" t="str">
        <x:v>综合来看，日主处于【…】。这个结论不是只看月令或数量，而是把根气、生扶、制泄耗和全局气势一起比较后的结果。</x:v>
      </x:c>
      <x:c r="L1519" s="20" t="str"/>
      <x:c r="M1519" s="20" t="str">
        <x:v>采用</x:v>
      </x:c>
      <x:c r="N1519" s="20" t="str">
        <x:v>初审</x:v>
      </x:c>
      <x:c r="O1519" s="22" t="n">
        <x:v>46260</x:v>
      </x:c>
      <x:c r="P1519" s="20" t="str">
        <x:v>不得在字段内直接等同身弱必喜印比。</x:v>
      </x:c>
    </x:row>
    <x:row r="1520">
      <x:c r="A1520" s="20" t="str">
        <x:v>M19-DM-0015-V1.0</x:v>
      </x:c>
      <x:c r="B1520" s="20" t="str">
        <x:v>输出字段</x:v>
      </x:c>
      <x:c r="C1520" s="20" t="str">
        <x:v>M19</x:v>
      </x:c>
      <x:c r="D1520" s="20" t="str">
        <x:v>19_综合输出模板</x:v>
      </x:c>
      <x:c r="E1520" s="20" t="str">
        <x:v>DM</x:v>
      </x:c>
      <x:c r="F1520" s="20" t="n">
        <x:v>15</x:v>
      </x:c>
      <x:c r="G1520" s="20" t="str">
        <x:v>V1.0</x:v>
      </x:c>
      <x:c r="H1520" s="20" t="str">
        <x:v>日主状态｜扶身侧核心证据</x:v>
      </x:c>
      <x:c r="I1520" s="20" t="str">
        <x:v>分析师输出</x:v>
      </x:c>
      <x:c r="J1520" s="20" t="str">
        <x:v>日主状态</x:v>
      </x:c>
      <x:c r="K1520" s="20" t="str">
        <x:v>支持日主的主要因素是【…】。其中最关键的是【…】，而不是单纯因为命局里同类字多。</x:v>
      </x:c>
      <x:c r="L1520" s="20" t="str"/>
      <x:c r="M1520" s="20" t="str">
        <x:v>采用</x:v>
      </x:c>
      <x:c r="N1520" s="20" t="str">
        <x:v>初审</x:v>
      </x:c>
      <x:c r="O1520" s="22" t="n">
        <x:v>46260</x:v>
      </x:c>
      <x:c r="P1520" s="20" t="str">
        <x:v>内部保留全部证据，用户版只选最关键2—3条。</x:v>
      </x:c>
    </x:row>
    <x:row r="1521">
      <x:c r="A1521" s="20" t="str">
        <x:v>M19-DM-0016-V1.0</x:v>
      </x:c>
      <x:c r="B1521" s="20" t="str">
        <x:v>输出字段</x:v>
      </x:c>
      <x:c r="C1521" s="20" t="str">
        <x:v>M19</x:v>
      </x:c>
      <x:c r="D1521" s="20" t="str">
        <x:v>19_综合输出模板</x:v>
      </x:c>
      <x:c r="E1521" s="20" t="str">
        <x:v>DM</x:v>
      </x:c>
      <x:c r="F1521" s="20" t="n">
        <x:v>16</x:v>
      </x:c>
      <x:c r="G1521" s="20" t="str">
        <x:v>V1.0</x:v>
      </x:c>
      <x:c r="H1521" s="20" t="str">
        <x:v>日主状态｜负荷侧核心证据</x:v>
      </x:c>
      <x:c r="I1521" s="20" t="str">
        <x:v>分析师输出</x:v>
      </x:c>
      <x:c r="J1521" s="20" t="str">
        <x:v>日主状态</x:v>
      </x:c>
      <x:c r="K1521" s="20" t="str">
        <x:v>对日主形成压力的主要因素是【…】。其中【…】属于直接作用，【…】则是间接加重。</x:v>
      </x:c>
      <x:c r="L1521" s="20" t="str"/>
      <x:c r="M1521" s="20" t="str">
        <x:v>采用</x:v>
      </x:c>
      <x:c r="N1521" s="20" t="str">
        <x:v>初审</x:v>
      </x:c>
      <x:c r="O1521" s="22" t="n">
        <x:v>46260</x:v>
      </x:c>
      <x:c r="P1521" s="20" t="str">
        <x:v>用户版避免将十神名称直接写成现实事件。</x:v>
      </x:c>
    </x:row>
    <x:row r="1522">
      <x:c r="A1522" s="20" t="str">
        <x:v>M19-DM-0017-V1.0</x:v>
      </x:c>
      <x:c r="B1522" s="20" t="str">
        <x:v>输出字段</x:v>
      </x:c>
      <x:c r="C1522" s="20" t="str">
        <x:v>M19</x:v>
      </x:c>
      <x:c r="D1522" s="20" t="str">
        <x:v>19_综合输出模板</x:v>
      </x:c>
      <x:c r="E1522" s="20" t="str">
        <x:v>DM</x:v>
      </x:c>
      <x:c r="F1522" s="20" t="n">
        <x:v>17</x:v>
      </x:c>
      <x:c r="G1522" s="20" t="str">
        <x:v>V1.0</x:v>
      </x:c>
      <x:c r="H1522" s="20" t="str">
        <x:v>日主状态｜相邻等级排除与结论置信度</x:v>
      </x:c>
      <x:c r="I1522" s="20" t="str">
        <x:v>三层通用</x:v>
      </x:c>
      <x:c r="J1522" s="20" t="str">
        <x:v>日主状态</x:v>
      </x:c>
      <x:c r="K1522" s="20" t="str">
        <x:v>它更接近【…】而不是【…】，主要因为【…】；同时也没有弱到/旺到【…】，因为仍有【…】。因此置信度为【…】。</x:v>
      </x:c>
      <x:c r="L1522" s="20" t="str"/>
      <x:c r="M1522" s="20" t="str">
        <x:v>采用</x:v>
      </x:c>
      <x:c r="N1522" s="20" t="str">
        <x:v>初审</x:v>
      </x:c>
      <x:c r="O1522" s="22" t="n">
        <x:v>46260</x:v>
      </x:c>
      <x:c r="P1522" s="20" t="str">
        <x:v>这是日主旺衰可解释性的核心字段。</x:v>
      </x:c>
    </x:row>
    <x:row r="1523">
      <x:c r="A1523" s="20" t="str">
        <x:v>M19-TEN-0018-V1.0</x:v>
      </x:c>
      <x:c r="B1523" s="20" t="str">
        <x:v>输出字段</x:v>
      </x:c>
      <x:c r="C1523" s="20" t="str">
        <x:v>M19</x:v>
      </x:c>
      <x:c r="D1523" s="20" t="str">
        <x:v>19_综合输出模板</x:v>
      </x:c>
      <x:c r="E1523" s="20" t="str">
        <x:v>TEN</x:v>
      </x:c>
      <x:c r="F1523" s="20" t="n">
        <x:v>18</x:v>
      </x:c>
      <x:c r="G1523" s="20" t="str">
        <x:v>V1.0</x:v>
      </x:c>
      <x:c r="H1523" s="20" t="str">
        <x:v>十神功能｜十神状态总表</x:v>
      </x:c>
      <x:c r="I1523" s="20" t="str">
        <x:v>分析师输出</x:v>
      </x:c>
      <x:c r="J1523" s="20" t="str">
        <x:v>十神功能</x:v>
      </x:c>
      <x:c r="K1523" s="20" t="str">
        <x:v>从十神功能看，最明显的是【…】；【…】虽然出现，但实际作用有限；【…】处于【清/杂】状态。</x:v>
      </x:c>
      <x:c r="L1523" s="20" t="str"/>
      <x:c r="M1523" s="20" t="str">
        <x:v>采用</x:v>
      </x:c>
      <x:c r="N1523" s="20" t="str">
        <x:v>初审</x:v>
      </x:c>
      <x:c r="O1523" s="22" t="n">
        <x:v>46260</x:v>
      </x:c>
      <x:c r="P1523" s="20" t="str">
        <x:v>不将十神旺弱直接等同吉凶或人物。</x:v>
      </x:c>
    </x:row>
    <x:row r="1524">
      <x:c r="A1524" s="20" t="str">
        <x:v>M19-TEN-0019-V1.0</x:v>
      </x:c>
      <x:c r="B1524" s="20" t="str">
        <x:v>输出字段</x:v>
      </x:c>
      <x:c r="C1524" s="20" t="str">
        <x:v>M19</x:v>
      </x:c>
      <x:c r="D1524" s="20" t="str">
        <x:v>19_综合输出模板</x:v>
      </x:c>
      <x:c r="E1524" s="20" t="str">
        <x:v>TEN</x:v>
      </x:c>
      <x:c r="F1524" s="20" t="n">
        <x:v>19</x:v>
      </x:c>
      <x:c r="G1524" s="20" t="str">
        <x:v>V1.0</x:v>
      </x:c>
      <x:c r="H1524" s="20" t="str">
        <x:v>十神功能｜主要有力十神及其功能</x:v>
      </x:c>
      <x:c r="I1524" s="20" t="str">
        <x:v>三层通用</x:v>
      </x:c>
      <x:c r="J1524" s="20" t="str">
        <x:v>十神功能</x:v>
      </x:c>
      <x:c r="K1524" s="20" t="str">
        <x:v>命局里最有力、最能主导结构的功能是【…】。它主要负责【…】，并影响【…】。</x:v>
      </x:c>
      <x:c r="L1524" s="20" t="str"/>
      <x:c r="M1524" s="20" t="str">
        <x:v>采用</x:v>
      </x:c>
      <x:c r="N1524" s="20" t="str">
        <x:v>初审</x:v>
      </x:c>
      <x:c r="O1524" s="22" t="n">
        <x:v>46260</x:v>
      </x:c>
      <x:c r="P1524" s="20" t="str">
        <x:v>用户版优先讲功能，不堆叠正偏十神术语。</x:v>
      </x:c>
    </x:row>
    <x:row r="1525">
      <x:c r="A1525" s="20" t="str">
        <x:v>M19-TEN-0020-V1.0</x:v>
      </x:c>
      <x:c r="B1525" s="20" t="str">
        <x:v>输出字段</x:v>
      </x:c>
      <x:c r="C1525" s="20" t="str">
        <x:v>M19</x:v>
      </x:c>
      <x:c r="D1525" s="20" t="str">
        <x:v>19_综合输出模板</x:v>
      </x:c>
      <x:c r="E1525" s="20" t="str">
        <x:v>TEN</x:v>
      </x:c>
      <x:c r="F1525" s="20" t="n">
        <x:v>20</x:v>
      </x:c>
      <x:c r="G1525" s="20" t="str">
        <x:v>V1.0</x:v>
      </x:c>
      <x:c r="H1525" s="20" t="str">
        <x:v>十神功能｜受限、失效或过度十神</x:v>
      </x:c>
      <x:c r="I1525" s="20" t="str">
        <x:v>三层通用</x:v>
      </x:c>
      <x:c r="J1525" s="20" t="str">
        <x:v>十神功能</x:v>
      </x:c>
      <x:c r="K1525" s="20" t="str">
        <x:v>【…】虽然在命局中出现，但目前功能【受限/过度】。关键原因是【…】，所以不能只看它“有”或“旺”。</x:v>
      </x:c>
      <x:c r="L1525" s="20" t="str"/>
      <x:c r="M1525" s="20" t="str">
        <x:v>采用</x:v>
      </x:c>
      <x:c r="N1525" s="20" t="str">
        <x:v>初审</x:v>
      </x:c>
      <x:c r="O1525" s="22" t="n">
        <x:v>46260</x:v>
      </x:c>
      <x:c r="P1525" s="20" t="str">
        <x:v>用于解释十神存在、力量和功能为什么不一致。</x:v>
      </x:c>
    </x:row>
    <x:row r="1526">
      <x:c r="A1526" s="20" t="str">
        <x:v>M19-TEN-0021-V1.0</x:v>
      </x:c>
      <x:c r="B1526" s="20" t="str">
        <x:v>输出字段</x:v>
      </x:c>
      <x:c r="C1526" s="20" t="str">
        <x:v>M19</x:v>
      </x:c>
      <x:c r="D1526" s="20" t="str">
        <x:v>19_综合输出模板</x:v>
      </x:c>
      <x:c r="E1526" s="20" t="str">
        <x:v>TEN</x:v>
      </x:c>
      <x:c r="F1526" s="20" t="n">
        <x:v>21</x:v>
      </x:c>
      <x:c r="G1526" s="20" t="str">
        <x:v>V1.0</x:v>
      </x:c>
      <x:c r="H1526" s="20" t="str">
        <x:v>十神功能｜十神清纯度与混杂</x:v>
      </x:c>
      <x:c r="I1526" s="20" t="str">
        <x:v>分析师输出</x:v>
      </x:c>
      <x:c r="J1526" s="20" t="str">
        <x:v>十神功能</x:v>
      </x:c>
      <x:c r="K1526" s="20" t="str">
        <x:v>十神结构整体【较清/有杂/混杂】。主要是【…】同时存在，但【…】更主导；是否构成问题取决于【…】。</x:v>
      </x:c>
      <x:c r="L1526" s="20" t="str"/>
      <x:c r="M1526" s="20" t="str">
        <x:v>采用</x:v>
      </x:c>
      <x:c r="N1526" s="20" t="str">
        <x:v>初审</x:v>
      </x:c>
      <x:c r="O1526" s="22" t="n">
        <x:v>46260</x:v>
      </x:c>
      <x:c r="P1526" s="20" t="str">
        <x:v>混杂不自动等同凶，必须说明是否影响功能。</x:v>
      </x:c>
    </x:row>
    <x:row r="1527">
      <x:c r="A1527" s="20" t="str">
        <x:v>M19-COMBO-0022-V1.0</x:v>
      </x:c>
      <x:c r="B1527" s="20" t="str">
        <x:v>输出字段</x:v>
      </x:c>
      <x:c r="C1527" s="20" t="str">
        <x:v>M19</x:v>
      </x:c>
      <x:c r="D1527" s="20" t="str">
        <x:v>19_综合输出模板</x:v>
      </x:c>
      <x:c r="E1527" s="20" t="str">
        <x:v>COMBO</x:v>
      </x:c>
      <x:c r="F1527" s="20" t="n">
        <x:v>22</x:v>
      </x:c>
      <x:c r="G1527" s="20" t="str">
        <x:v>V1.0</x:v>
      </x:c>
      <x:c r="H1527" s="20" t="str">
        <x:v>十神组合｜已成立十神组合</x:v>
      </x:c>
      <x:c r="I1527" s="20" t="str">
        <x:v>三层通用</x:v>
      </x:c>
      <x:c r="J1527" s="20" t="str">
        <x:v>十神组合</x:v>
      </x:c>
      <x:c r="K1527" s="20" t="str">
        <x:v>当前真正能够成立的组合是【…】，成立程度为【…】。它主要让【…】通过【…】发挥作用。</x:v>
      </x:c>
      <x:c r="L1527" s="20" t="str"/>
      <x:c r="M1527" s="20" t="str">
        <x:v>采用</x:v>
      </x:c>
      <x:c r="N1527" s="20" t="str">
        <x:v>初审</x:v>
      </x:c>
      <x:c r="O1527" s="22" t="n">
        <x:v>46260</x:v>
      </x:c>
      <x:c r="P1527" s="20" t="str">
        <x:v>组合成立不等于格局成立。</x:v>
      </x:c>
    </x:row>
    <x:row r="1528">
      <x:c r="A1528" s="20" t="str">
        <x:v>M19-COMBO-0023-V1.0</x:v>
      </x:c>
      <x:c r="B1528" s="20" t="str">
        <x:v>输出字段</x:v>
      </x:c>
      <x:c r="C1528" s="20" t="str">
        <x:v>M19</x:v>
      </x:c>
      <x:c r="D1528" s="20" t="str">
        <x:v>19_综合输出模板</x:v>
      </x:c>
      <x:c r="E1528" s="20" t="str">
        <x:v>COMBO</x:v>
      </x:c>
      <x:c r="F1528" s="20" t="n">
        <x:v>23</x:v>
      </x:c>
      <x:c r="G1528" s="20" t="str">
        <x:v>V1.0</x:v>
      </x:c>
      <x:c r="H1528" s="20" t="str">
        <x:v>十神组合｜弱成立、不成立与被否决组合</x:v>
      </x:c>
      <x:c r="I1528" s="20" t="str">
        <x:v>内部推理</x:v>
      </x:c>
      <x:c r="J1528" s="20" t="str">
        <x:v>十神组合</x:v>
      </x:c>
      <x:c r="K1528" s="20" t="str">
        <x:v>如该组合影响用户问题，可说：“虽然同时出现【…】，但【…】不足/受制，因此不能按完整的【组合名】处理。”</x:v>
      </x:c>
      <x:c r="L1528" s="20" t="str"/>
      <x:c r="M1528" s="20" t="str">
        <x:v>采用</x:v>
      </x:c>
      <x:c r="N1528" s="20" t="str">
        <x:v>初审</x:v>
      </x:c>
      <x:c r="O1528" s="22" t="n">
        <x:v>46260</x:v>
      </x:c>
      <x:c r="P1528" s="20" t="str">
        <x:v>用于防止“两个十神同时出现＝组合成立”。</x:v>
      </x:c>
    </x:row>
    <x:row r="1529">
      <x:c r="A1529" s="20" t="str">
        <x:v>M19-COMBO-0024-V1.0</x:v>
      </x:c>
      <x:c r="B1529" s="20" t="str">
        <x:v>输出字段</x:v>
      </x:c>
      <x:c r="C1529" s="20" t="str">
        <x:v>M19</x:v>
      </x:c>
      <x:c r="D1529" s="20" t="str">
        <x:v>19_综合输出模板</x:v>
      </x:c>
      <x:c r="E1529" s="20" t="str">
        <x:v>COMBO</x:v>
      </x:c>
      <x:c r="F1529" s="20" t="n">
        <x:v>24</x:v>
      </x:c>
      <x:c r="G1529" s="20" t="str">
        <x:v>V1.0</x:v>
      </x:c>
      <x:c r="H1529" s="20" t="str">
        <x:v>十神组合｜主导生化、制化与承载功能</x:v>
      </x:c>
      <x:c r="I1529" s="20" t="str">
        <x:v>三层通用</x:v>
      </x:c>
      <x:c r="J1529" s="20" t="str">
        <x:v>十神组合</x:v>
      </x:c>
      <x:c r="K1529" s="20" t="str">
        <x:v>全局最主要的运行方式是【…】。简单说，就是【…】先作用于【…】，再把力量导向【…】。</x:v>
      </x:c>
      <x:c r="L1529" s="20" t="str"/>
      <x:c r="M1529" s="20" t="str">
        <x:v>采用</x:v>
      </x:c>
      <x:c r="N1529" s="20" t="str">
        <x:v>初审</x:v>
      </x:c>
      <x:c r="O1529" s="22" t="n">
        <x:v>46260</x:v>
      </x:c>
      <x:c r="P1529" s="20" t="str">
        <x:v>这是流通、格局和病药之间的接口字段。</x:v>
      </x:c>
    </x:row>
    <x:row r="1530">
      <x:c r="A1530" s="20" t="str">
        <x:v>M19-FLOW-0025-V1.0</x:v>
      </x:c>
      <x:c r="B1530" s="20" t="str">
        <x:v>输出字段</x:v>
      </x:c>
      <x:c r="C1530" s="20" t="str">
        <x:v>M19</x:v>
      </x:c>
      <x:c r="D1530" s="20" t="str">
        <x:v>19_综合输出模板</x:v>
      </x:c>
      <x:c r="E1530" s="20" t="str">
        <x:v>FLOW</x:v>
      </x:c>
      <x:c r="F1530" s="20" t="n">
        <x:v>25</x:v>
      </x:c>
      <x:c r="G1530" s="20" t="str">
        <x:v>V1.0</x:v>
      </x:c>
      <x:c r="H1530" s="20" t="str">
        <x:v>五行流通｜主流通路径</x:v>
      </x:c>
      <x:c r="I1530" s="20" t="str">
        <x:v>三层通用</x:v>
      </x:c>
      <x:c r="J1530" s="20" t="str">
        <x:v>五行流通</x:v>
      </x:c>
      <x:c r="K1530" s="20" t="str">
        <x:v>命局主要力量沿着【起点→桥梁→终点】传递。当前这条路径【通畅/受阻】，它决定了【…】能否真正发挥。</x:v>
      </x:c>
      <x:c r="L1530" s="20" t="str"/>
      <x:c r="M1530" s="20" t="str">
        <x:v>采用</x:v>
      </x:c>
      <x:c r="N1530" s="20" t="str">
        <x:v>初审</x:v>
      </x:c>
      <x:c r="O1530" s="22" t="n">
        <x:v>46260</x:v>
      </x:c>
      <x:c r="P1530" s="20" t="str">
        <x:v>不得只写五行相生顺序，必须说明桥梁是否有效。</x:v>
      </x:c>
    </x:row>
    <x:row r="1531">
      <x:c r="A1531" s="20" t="str">
        <x:v>M19-FLOW-0026-V1.0</x:v>
      </x:c>
      <x:c r="B1531" s="20" t="str">
        <x:v>输出字段</x:v>
      </x:c>
      <x:c r="C1531" s="20" t="str">
        <x:v>M19</x:v>
      </x:c>
      <x:c r="D1531" s="20" t="str">
        <x:v>19_综合输出模板</x:v>
      </x:c>
      <x:c r="E1531" s="20" t="str">
        <x:v>FLOW</x:v>
      </x:c>
      <x:c r="F1531" s="20" t="n">
        <x:v>26</x:v>
      </x:c>
      <x:c r="G1531" s="20" t="str">
        <x:v>V1.0</x:v>
      </x:c>
      <x:c r="H1531" s="20" t="str">
        <x:v>五行流通｜主卡点</x:v>
      </x:c>
      <x:c r="I1531" s="20" t="str">
        <x:v>三层通用</x:v>
      </x:c>
      <x:c r="J1531" s="20" t="str">
        <x:v>五行流通</x:v>
      </x:c>
      <x:c r="K1531" s="20" t="str">
        <x:v>命局目前最大的卡点在【…】。问题不只是【表面现象】，而是【根本原因】，它会影响【…】的正常运行。</x:v>
      </x:c>
      <x:c r="L1531" s="20" t="str"/>
      <x:c r="M1531" s="20" t="str">
        <x:v>采用</x:v>
      </x:c>
      <x:c r="N1531" s="20" t="str">
        <x:v>初审</x:v>
      </x:c>
      <x:c r="O1531" s="22" t="n">
        <x:v>46260</x:v>
      </x:c>
      <x:c r="P1531" s="20" t="str">
        <x:v>主卡点应与M16根本病相互校验。</x:v>
      </x:c>
    </x:row>
    <x:row r="1532">
      <x:c r="A1532" s="20" t="str">
        <x:v>M19-FLOW-0027-V1.0</x:v>
      </x:c>
      <x:c r="B1532" s="20" t="str">
        <x:v>输出字段</x:v>
      </x:c>
      <x:c r="C1532" s="20" t="str">
        <x:v>M19</x:v>
      </x:c>
      <x:c r="D1532" s="20" t="str">
        <x:v>19_综合输出模板</x:v>
      </x:c>
      <x:c r="E1532" s="20" t="str">
        <x:v>FLOW</x:v>
      </x:c>
      <x:c r="F1532" s="20" t="n">
        <x:v>27</x:v>
      </x:c>
      <x:c r="G1532" s="20" t="str">
        <x:v>V1.0</x:v>
      </x:c>
      <x:c r="H1532" s="20" t="str">
        <x:v>五行流通｜次级卡点与替代路径</x:v>
      </x:c>
      <x:c r="I1532" s="20" t="str">
        <x:v>分析师输出</x:v>
      </x:c>
      <x:c r="J1532" s="20" t="str">
        <x:v>五行流通</x:v>
      </x:c>
      <x:c r="K1532" s="20" t="str">
        <x:v>除了主卡点外，次要问题还有【…】。它可能在主问题缓解后才显现，替代路径是【…】，但前提是【…】。</x:v>
      </x:c>
      <x:c r="L1532" s="20" t="str"/>
      <x:c r="M1532" s="20" t="str">
        <x:v>采用</x:v>
      </x:c>
      <x:c r="N1532" s="20" t="str">
        <x:v>初审</x:v>
      </x:c>
      <x:c r="O1532" s="22" t="n">
        <x:v>46260</x:v>
      </x:c>
      <x:c r="P1532" s="20" t="str">
        <x:v>防止同时对所有弱点用药。</x:v>
      </x:c>
    </x:row>
    <x:row r="1533">
      <x:c r="A1533" s="20" t="str">
        <x:v>M19-FLOW-0028-V1.0</x:v>
      </x:c>
      <x:c r="B1533" s="20" t="str">
        <x:v>输出字段</x:v>
      </x:c>
      <x:c r="C1533" s="20" t="str">
        <x:v>M19</x:v>
      </x:c>
      <x:c r="D1533" s="20" t="str">
        <x:v>19_综合输出模板</x:v>
      </x:c>
      <x:c r="E1533" s="20" t="str">
        <x:v>FLOW</x:v>
      </x:c>
      <x:c r="F1533" s="20" t="n">
        <x:v>28</x:v>
      </x:c>
      <x:c r="G1533" s="20" t="str">
        <x:v>V1.0</x:v>
      </x:c>
      <x:c r="H1533" s="20" t="str">
        <x:v>五行流通｜通关候选、有效性与副作用</x:v>
      </x:c>
      <x:c r="I1533" s="20" t="str">
        <x:v>分析师输出</x:v>
      </x:c>
      <x:c r="J1533" s="20" t="str">
        <x:v>五行流通</x:v>
      </x:c>
      <x:c r="K1533" s="20" t="str">
        <x:v>【…】可以作为通关候选，因为它既能【…】，又能【…】。但只有在【…】时才有利；过强会带来【…】。</x:v>
      </x:c>
      <x:c r="L1533" s="20" t="str"/>
      <x:c r="M1533" s="20" t="str">
        <x:v>采用</x:v>
      </x:c>
      <x:c r="N1533" s="20" t="str">
        <x:v>初审</x:v>
      </x:c>
      <x:c r="O1533" s="22" t="n">
        <x:v>46260</x:v>
      </x:c>
      <x:c r="P1533" s="20" t="str">
        <x:v>通关候选不自动等于最终主用神。</x:v>
      </x:c>
    </x:row>
    <x:row r="1534">
      <x:c r="A1534" s="20" t="str">
        <x:v>M19-CLIMATE-0029-V1.0</x:v>
      </x:c>
      <x:c r="B1534" s="20" t="str">
        <x:v>输出字段</x:v>
      </x:c>
      <x:c r="C1534" s="20" t="str">
        <x:v>M19</x:v>
      </x:c>
      <x:c r="D1534" s="20" t="str">
        <x:v>19_综合输出模板</x:v>
      </x:c>
      <x:c r="E1534" s="20" t="str">
        <x:v>CLIMATE</x:v>
      </x:c>
      <x:c r="F1534" s="20" t="n">
        <x:v>29</x:v>
      </x:c>
      <x:c r="G1534" s="20" t="str">
        <x:v>V1.0</x:v>
      </x:c>
      <x:c r="H1534" s="20" t="str">
        <x:v>寒暖燥湿｜温度状态</x:v>
      </x:c>
      <x:c r="I1534" s="20" t="str">
        <x:v>三层通用</x:v>
      </x:c>
      <x:c r="J1534" s="20" t="str">
        <x:v>寒暖燥湿</x:v>
      </x:c>
      <x:c r="K1534" s="20" t="str">
        <x:v>从寒暖看，命局整体【…】。主要因为【…】，同时【…】又对温度做了部分修正。</x:v>
      </x:c>
      <x:c r="L1534" s="20" t="str"/>
      <x:c r="M1534" s="20" t="str">
        <x:v>采用</x:v>
      </x:c>
      <x:c r="N1534" s="20" t="str">
        <x:v>初审</x:v>
      </x:c>
      <x:c r="O1534" s="22" t="n">
        <x:v>46260</x:v>
      </x:c>
      <x:c r="P1534" s="20" t="str">
        <x:v>冬月不自动等于极寒，夏月不自动等于极热。</x:v>
      </x:c>
    </x:row>
    <x:row r="1535">
      <x:c r="A1535" s="20" t="str">
        <x:v>M19-CLIMATE-0030-V1.0</x:v>
      </x:c>
      <x:c r="B1535" s="20" t="str">
        <x:v>输出字段</x:v>
      </x:c>
      <x:c r="C1535" s="20" t="str">
        <x:v>M19</x:v>
      </x:c>
      <x:c r="D1535" s="20" t="str">
        <x:v>19_综合输出模板</x:v>
      </x:c>
      <x:c r="E1535" s="20" t="str">
        <x:v>CLIMATE</x:v>
      </x:c>
      <x:c r="F1535" s="20" t="n">
        <x:v>30</x:v>
      </x:c>
      <x:c r="G1535" s="20" t="str">
        <x:v>V1.0</x:v>
      </x:c>
      <x:c r="H1535" s="20" t="str">
        <x:v>寒暖燥湿｜湿度状态</x:v>
      </x:c>
      <x:c r="I1535" s="20" t="str">
        <x:v>三层通用</x:v>
      </x:c>
      <x:c r="J1535" s="20" t="str">
        <x:v>寒暖燥湿</x:v>
      </x:c>
      <x:c r="K1535" s="20" t="str">
        <x:v>从燥湿看，命局整体【…】。关键不是只看水多不多，而是【水势/湿土/燥土/火势】是否真正形成作用。</x:v>
      </x:c>
      <x:c r="L1535" s="20" t="str"/>
      <x:c r="M1535" s="20" t="str">
        <x:v>采用</x:v>
      </x:c>
      <x:c r="N1535" s="20" t="str">
        <x:v>初审</x:v>
      </x:c>
      <x:c r="O1535" s="22" t="n">
        <x:v>46260</x:v>
      </x:c>
      <x:c r="P1535" s="20" t="str">
        <x:v>寒暖与燥湿必须分开表述。</x:v>
      </x:c>
    </x:row>
    <x:row r="1536">
      <x:c r="A1536" s="20" t="str">
        <x:v>M19-CLIMATE-0031-V1.0</x:v>
      </x:c>
      <x:c r="B1536" s="20" t="str">
        <x:v>输出字段</x:v>
      </x:c>
      <x:c r="C1536" s="20" t="str">
        <x:v>M19</x:v>
      </x:c>
      <x:c r="D1536" s="20" t="str">
        <x:v>19_综合输出模板</x:v>
      </x:c>
      <x:c r="E1536" s="20" t="str">
        <x:v>CLIMATE</x:v>
      </x:c>
      <x:c r="F1536" s="20" t="n">
        <x:v>31</x:v>
      </x:c>
      <x:c r="G1536" s="20" t="str">
        <x:v>V1.0</x:v>
      </x:c>
      <x:c r="H1536" s="20" t="str">
        <x:v>寒暖燥湿｜主要气候问题与调候紧急度</x:v>
      </x:c>
      <x:c r="I1536" s="20" t="str">
        <x:v>三层通用</x:v>
      </x:c>
      <x:c r="J1536" s="20" t="str">
        <x:v>寒暖燥湿</x:v>
      </x:c>
      <x:c r="K1536" s="20" t="str">
        <x:v>主要气候问题是【…】。它已经影响到【…】的生化/流通，因此紧急度为【…】；如果只是轻微偏性，则不会把调候放在所有问题之前。</x:v>
      </x:c>
      <x:c r="L1536" s="20" t="str"/>
      <x:c r="M1536" s="20" t="str">
        <x:v>采用</x:v>
      </x:c>
      <x:c r="N1536" s="20" t="str">
        <x:v>初审</x:v>
      </x:c>
      <x:c r="O1536" s="22" t="n">
        <x:v>46260</x:v>
      </x:c>
      <x:c r="P1536" s="20" t="str">
        <x:v>调候紧急度必须由功能后果支撑。</x:v>
      </x:c>
    </x:row>
    <x:row r="1537">
      <x:c r="A1537" s="20" t="str">
        <x:v>M19-CLIMATE-0032-V1.0</x:v>
      </x:c>
      <x:c r="B1537" s="20" t="str">
        <x:v>输出字段</x:v>
      </x:c>
      <x:c r="C1537" s="20" t="str">
        <x:v>M19</x:v>
      </x:c>
      <x:c r="D1537" s="20" t="str">
        <x:v>19_综合输出模板</x:v>
      </x:c>
      <x:c r="E1537" s="20" t="str">
        <x:v>CLIMATE</x:v>
      </x:c>
      <x:c r="F1537" s="20" t="n">
        <x:v>32</x:v>
      </x:c>
      <x:c r="G1537" s="20" t="str">
        <x:v>V1.0</x:v>
      </x:c>
      <x:c r="H1537" s="20" t="str">
        <x:v>寒暖燥湿｜调候候选、有效性与跨模块冲突</x:v>
      </x:c>
      <x:c r="I1537" s="20" t="str">
        <x:v>分析师输出</x:v>
      </x:c>
      <x:c r="J1537" s="20" t="str">
        <x:v>寒暖燥湿</x:v>
      </x:c>
      <x:c r="K1537" s="20" t="str">
        <x:v>调候上，【…】最有帮助，作用是【…】；【…】可以辅助。但它是否真正为喜，还取决于【日主承载/格局/药量】，因此当前定位为【…】。</x:v>
      </x:c>
      <x:c r="L1537" s="20" t="str"/>
      <x:c r="M1537" s="20" t="str">
        <x:v>采用</x:v>
      </x:c>
      <x:c r="N1537" s="20" t="str">
        <x:v>初审</x:v>
      </x:c>
      <x:c r="O1537" s="22" t="n">
        <x:v>46260</x:v>
      </x:c>
      <x:c r="P1537" s="20" t="str">
        <x:v>用户版必须说明调候候选并非越多越好。</x:v>
      </x:c>
    </x:row>
    <x:row r="1538">
      <x:c r="A1538" s="20" t="str">
        <x:v>M19-PATTERN-0033-V1.0</x:v>
      </x:c>
      <x:c r="B1538" s="20" t="str">
        <x:v>输出字段</x:v>
      </x:c>
      <x:c r="C1538" s="20" t="str">
        <x:v>M19</x:v>
      </x:c>
      <x:c r="D1538" s="20" t="str">
        <x:v>19_综合输出模板</x:v>
      </x:c>
      <x:c r="E1538" s="20" t="str">
        <x:v>PATTERN</x:v>
      </x:c>
      <x:c r="F1538" s="20" t="n">
        <x:v>33</x:v>
      </x:c>
      <x:c r="G1538" s="20" t="str">
        <x:v>V1.0</x:v>
      </x:c>
      <x:c r="H1538" s="20" t="str">
        <x:v>格局成败｜格局候选清单与排序</x:v>
      </x:c>
      <x:c r="I1538" s="20" t="str">
        <x:v>分析师输出</x:v>
      </x:c>
      <x:c r="J1538" s="20" t="str">
        <x:v>格局成败</x:v>
      </x:c>
      <x:c r="K1538" s="20" t="str">
        <x:v>格局上首先考虑【…】，其次是【…】。前者更优先，是因为【月令/格神/主导性】更完整。</x:v>
      </x:c>
      <x:c r="L1538" s="20" t="str"/>
      <x:c r="M1538" s="20" t="str">
        <x:v>采用</x:v>
      </x:c>
      <x:c r="N1538" s="20" t="str">
        <x:v>初审</x:v>
      </x:c>
      <x:c r="O1538" s="22" t="n">
        <x:v>46260</x:v>
      </x:c>
      <x:c r="P1538" s="20" t="str">
        <x:v>候选不等于最终成格。</x:v>
      </x:c>
    </x:row>
    <x:row r="1539">
      <x:c r="A1539" s="20" t="str">
        <x:v>M19-PATTERN-0034-V1.0</x:v>
      </x:c>
      <x:c r="B1539" s="20" t="str">
        <x:v>输出字段</x:v>
      </x:c>
      <x:c r="C1539" s="20" t="str">
        <x:v>M19</x:v>
      </x:c>
      <x:c r="D1539" s="20" t="str">
        <x:v>19_综合输出模板</x:v>
      </x:c>
      <x:c r="E1539" s="20" t="str">
        <x:v>PATTERN</x:v>
      </x:c>
      <x:c r="F1539" s="20" t="n">
        <x:v>34</x:v>
      </x:c>
      <x:c r="G1539" s="20" t="str">
        <x:v>V1.0</x:v>
      </x:c>
      <x:c r="H1539" s="20" t="str">
        <x:v>格局成败｜最终格局与格局状态</x:v>
      </x:c>
      <x:c r="I1539" s="20" t="str">
        <x:v>三层通用</x:v>
      </x:c>
      <x:c r="J1539" s="20" t="str">
        <x:v>格局成败</x:v>
      </x:c>
      <x:c r="K1539" s="20" t="str">
        <x:v>综合判断，这个命局以【…】为主，当前状态是【基本成立/有破有救/清纯成立/…】。这说明的是结构能否运行，不直接等同现实成就高低。</x:v>
      </x:c>
      <x:c r="L1539" s="20" t="str"/>
      <x:c r="M1539" s="20" t="str">
        <x:v>采用</x:v>
      </x:c>
      <x:c r="N1539" s="20" t="str">
        <x:v>初审</x:v>
      </x:c>
      <x:c r="O1539" s="22" t="n">
        <x:v>46260</x:v>
      </x:c>
      <x:c r="P1539" s="20" t="str">
        <x:v>格局成立和层次高低必须分开。</x:v>
      </x:c>
    </x:row>
    <x:row r="1540">
      <x:c r="A1540" s="20" t="str">
        <x:v>M19-PATTERN-0035-V1.0</x:v>
      </x:c>
      <x:c r="B1540" s="20" t="str">
        <x:v>输出字段</x:v>
      </x:c>
      <x:c r="C1540" s="20" t="str">
        <x:v>M19</x:v>
      </x:c>
      <x:c r="D1540" s="20" t="str">
        <x:v>19_综合输出模板</x:v>
      </x:c>
      <x:c r="E1540" s="20" t="str">
        <x:v>PATTERN</x:v>
      </x:c>
      <x:c r="F1540" s="20" t="n">
        <x:v>35</x:v>
      </x:c>
      <x:c r="G1540" s="20" t="str">
        <x:v>V1.0</x:v>
      </x:c>
      <x:c r="H1540" s="20" t="str">
        <x:v>格局成败｜成格证据、清纯度与层次</x:v>
      </x:c>
      <x:c r="I1540" s="20" t="str">
        <x:v>分析师输出</x:v>
      </x:c>
      <x:c r="J1540" s="20" t="str">
        <x:v>格局成败</x:v>
      </x:c>
      <x:c r="K1540" s="20" t="str">
        <x:v>这个格局能够成立，主要因为【…】。结构整体【清纯/有杂/混杂】，运行层次受到【…】影响。</x:v>
      </x:c>
      <x:c r="L1540" s="20" t="str"/>
      <x:c r="M1540" s="20" t="str">
        <x:v>采用</x:v>
      </x:c>
      <x:c r="N1540" s="20" t="str">
        <x:v>初审</x:v>
      </x:c>
      <x:c r="O1540" s="22" t="n">
        <x:v>46260</x:v>
      </x:c>
      <x:c r="P1540" s="20" t="str">
        <x:v>不由格局层次直接推出富贵贫贱。</x:v>
      </x:c>
    </x:row>
    <x:row r="1541">
      <x:c r="A1541" s="20" t="str">
        <x:v>M19-PATTERN-0036-V1.0</x:v>
      </x:c>
      <x:c r="B1541" s="20" t="str">
        <x:v>输出字段</x:v>
      </x:c>
      <x:c r="C1541" s="20" t="str">
        <x:v>M19</x:v>
      </x:c>
      <x:c r="D1541" s="20" t="str">
        <x:v>19_综合输出模板</x:v>
      </x:c>
      <x:c r="E1541" s="20" t="str">
        <x:v>PATTERN</x:v>
      </x:c>
      <x:c r="F1541" s="20" t="n">
        <x:v>36</x:v>
      </x:c>
      <x:c r="G1541" s="20" t="str">
        <x:v>V1.0</x:v>
      </x:c>
      <x:c r="H1541" s="20" t="str">
        <x:v>格局成败｜破格因素与破格等级</x:v>
      </x:c>
      <x:c r="I1541" s="20" t="str">
        <x:v>三层通用</x:v>
      </x:c>
      <x:c r="J1541" s="20" t="str">
        <x:v>格局成败</x:v>
      </x:c>
      <x:c r="K1541" s="20" t="str">
        <x:v>格局受到影响的地方在【…】。它主要损伤【…】，破格程度为【…】；若只是轻微/一般，并不等于格局完全不成立。</x:v>
      </x:c>
      <x:c r="L1541" s="20" t="str"/>
      <x:c r="M1541" s="20" t="str">
        <x:v>采用</x:v>
      </x:c>
      <x:c r="N1541" s="20" t="str">
        <x:v>初审</x:v>
      </x:c>
      <x:c r="O1541" s="22" t="n">
        <x:v>46260</x:v>
      </x:c>
      <x:c r="P1541" s="20" t="str">
        <x:v>破格等级须对应实际功能损伤。</x:v>
      </x:c>
    </x:row>
    <x:row r="1542">
      <x:c r="A1542" s="20" t="str">
        <x:v>M19-PATTERN-0037-V1.0</x:v>
      </x:c>
      <x:c r="B1542" s="20" t="str">
        <x:v>输出字段</x:v>
      </x:c>
      <x:c r="C1542" s="20" t="str">
        <x:v>M19</x:v>
      </x:c>
      <x:c r="D1542" s="20" t="str">
        <x:v>19_综合输出模板</x:v>
      </x:c>
      <x:c r="E1542" s="20" t="str">
        <x:v>PATTERN</x:v>
      </x:c>
      <x:c r="F1542" s="20" t="n">
        <x:v>37</x:v>
      </x:c>
      <x:c r="G1542" s="20" t="str">
        <x:v>V1.0</x:v>
      </x:c>
      <x:c r="H1542" s="20" t="str">
        <x:v>格局成败｜救应、有效性与替代候选说明</x:v>
      </x:c>
      <x:c r="I1542" s="20" t="str">
        <x:v>三层通用</x:v>
      </x:c>
      <x:c r="J1542" s="20" t="str">
        <x:v>格局成败</x:v>
      </x:c>
      <x:c r="K1542" s="20" t="str">
        <x:v>命局里有【…】作为救应，它能够修复【…】，有效程度为【…】。因此格局并非完全失效；没有定为【其他格】的原因是【…】。</x:v>
      </x:c>
      <x:c r="L1542" s="20" t="str"/>
      <x:c r="M1542" s="20" t="str">
        <x:v>采用</x:v>
      </x:c>
      <x:c r="N1542" s="20" t="str">
        <x:v>初审</x:v>
      </x:c>
      <x:c r="O1542" s="22" t="n">
        <x:v>46260</x:v>
      </x:c>
      <x:c r="P1542" s="20" t="str">
        <x:v>有破有救不能改写成原局天然无破。</x:v>
      </x:c>
    </x:row>
    <x:row r="1543">
      <x:c r="A1543" s="20" t="str">
        <x:v>M19-MED-0038-V1.0</x:v>
      </x:c>
      <x:c r="B1543" s="20" t="str">
        <x:v>输出字段</x:v>
      </x:c>
      <x:c r="C1543" s="20" t="str">
        <x:v>M19</x:v>
      </x:c>
      <x:c r="D1543" s="20" t="str">
        <x:v>19_综合输出模板</x:v>
      </x:c>
      <x:c r="E1543" s="20" t="str">
        <x:v>MED</x:v>
      </x:c>
      <x:c r="F1543" s="20" t="n">
        <x:v>38</x:v>
      </x:c>
      <x:c r="G1543" s="20" t="str">
        <x:v>V1.0</x:v>
      </x:c>
      <x:c r="H1543" s="20" t="str">
        <x:v>病药模型｜根本主病</x:v>
      </x:c>
      <x:c r="I1543" s="20" t="str">
        <x:v>三层通用</x:v>
      </x:c>
      <x:c r="J1543" s="20" t="str">
        <x:v>病药模型</x:v>
      </x:c>
      <x:c r="K1543" s="20" t="str">
        <x:v>命局最核心的问题并不是简单的“【某五行旺/弱】”，而是【根本原因】。它发生在【病位】，表面表现为【…】，严重度为【…】。</x:v>
      </x:c>
      <x:c r="L1543" s="20" t="str"/>
      <x:c r="M1543" s="20" t="str">
        <x:v>采用</x:v>
      </x:c>
      <x:c r="N1543" s="20" t="str">
        <x:v>初审</x:v>
      </x:c>
      <x:c r="O1543" s="22" t="n">
        <x:v>46260</x:v>
      </x:c>
      <x:c r="P1543" s="20" t="str">
        <x:v>“病”仅为命理结构概念，不是医学诊断。</x:v>
      </x:c>
    </x:row>
    <x:row r="1544">
      <x:c r="A1544" s="20" t="str">
        <x:v>M19-MED-0039-V1.0</x:v>
      </x:c>
      <x:c r="B1544" s="20" t="str">
        <x:v>输出字段</x:v>
      </x:c>
      <x:c r="C1544" s="20" t="str">
        <x:v>M19</x:v>
      </x:c>
      <x:c r="D1544" s="20" t="str">
        <x:v>19_综合输出模板</x:v>
      </x:c>
      <x:c r="E1544" s="20" t="str">
        <x:v>MED</x:v>
      </x:c>
      <x:c r="F1544" s="20" t="n">
        <x:v>39</x:v>
      </x:c>
      <x:c r="G1544" s="20" t="str">
        <x:v>V1.0</x:v>
      </x:c>
      <x:c r="H1544" s="20" t="str">
        <x:v>病药模型｜次级病及其与主病的关系</x:v>
      </x:c>
      <x:c r="I1544" s="20" t="str">
        <x:v>分析师输出</x:v>
      </x:c>
      <x:c r="J1544" s="20" t="str">
        <x:v>病药模型</x:v>
      </x:c>
      <x:c r="K1544" s="20" t="str">
        <x:v>次要问题还有【…】。它与主问题的关系是【由主病引发/相对独立】，所以处理顺序应当是【…】。</x:v>
      </x:c>
      <x:c r="L1544" s="20" t="str"/>
      <x:c r="M1544" s="20" t="str">
        <x:v>采用</x:v>
      </x:c>
      <x:c r="N1544" s="20" t="str">
        <x:v>初审</x:v>
      </x:c>
      <x:c r="O1544" s="22" t="n">
        <x:v>46260</x:v>
      </x:c>
      <x:c r="P1544" s="20" t="str">
        <x:v>原则上不超过3个次病。</x:v>
      </x:c>
    </x:row>
    <x:row r="1545">
      <x:c r="A1545" s="20" t="str">
        <x:v>M19-MED-0040-V1.0</x:v>
      </x:c>
      <x:c r="B1545" s="20" t="str">
        <x:v>输出字段</x:v>
      </x:c>
      <x:c r="C1545" s="20" t="str">
        <x:v>M19</x:v>
      </x:c>
      <x:c r="D1545" s="20" t="str">
        <x:v>19_综合输出模板</x:v>
      </x:c>
      <x:c r="E1545" s="20" t="str">
        <x:v>MED</x:v>
      </x:c>
      <x:c r="F1545" s="20" t="n">
        <x:v>40</x:v>
      </x:c>
      <x:c r="G1545" s="20" t="str">
        <x:v>V1.0</x:v>
      </x:c>
      <x:c r="H1545" s="20" t="str">
        <x:v>病药模型｜主药、辅助药与药理</x:v>
      </x:c>
      <x:c r="I1545" s="20" t="str">
        <x:v>三层通用</x:v>
      </x:c>
      <x:c r="J1545" s="20" t="str">
        <x:v>病药模型</x:v>
      </x:c>
      <x:c r="K1545" s="20" t="str">
        <x:v>对应的主要修复方向是【…】，它通过【药理】直接作用于【病位】；【…】作为辅助，负责【保护主药/补桥/承载】。</x:v>
      </x:c>
      <x:c r="L1545" s="20" t="str"/>
      <x:c r="M1545" s="20" t="str">
        <x:v>采用</x:v>
      </x:c>
      <x:c r="N1545" s="20" t="str">
        <x:v>初审</x:v>
      </x:c>
      <x:c r="O1545" s="22" t="n">
        <x:v>46260</x:v>
      </x:c>
      <x:c r="P1545" s="20" t="str">
        <x:v>用户版可用“修复方向”替代过多“药”字。</x:v>
      </x:c>
    </x:row>
    <x:row r="1546">
      <x:c r="A1546" s="20" t="str">
        <x:v>M19-MED-0041-V1.0</x:v>
      </x:c>
      <x:c r="B1546" s="20" t="str">
        <x:v>输出字段</x:v>
      </x:c>
      <x:c r="C1546" s="20" t="str">
        <x:v>M19</x:v>
      </x:c>
      <x:c r="D1546" s="20" t="str">
        <x:v>19_综合输出模板</x:v>
      </x:c>
      <x:c r="E1546" s="20" t="str">
        <x:v>MED</x:v>
      </x:c>
      <x:c r="F1546" s="20" t="n">
        <x:v>41</x:v>
      </x:c>
      <x:c r="G1546" s="20" t="str">
        <x:v>V1.0</x:v>
      </x:c>
      <x:c r="H1546" s="20" t="str">
        <x:v>病药模型｜药力不足、过量、伤格与新病风险</x:v>
      </x:c>
      <x:c r="I1546" s="20" t="str">
        <x:v>三层通用</x:v>
      </x:c>
      <x:c r="J1546" s="20" t="str">
        <x:v>病药模型</x:v>
      </x:c>
      <x:c r="K1546" s="20" t="str">
        <x:v>需要注意的是，【主药】并不是越多越好。力量不足时【…】；过强时可能【…】。因此有利条件是【…】，转为不利的条件是【…】。</x:v>
      </x:c>
      <x:c r="L1546" s="20" t="str"/>
      <x:c r="M1546" s="20" t="str">
        <x:v>采用</x:v>
      </x:c>
      <x:c r="N1546" s="20" t="str">
        <x:v>初审</x:v>
      </x:c>
      <x:c r="O1546" s="22" t="n">
        <x:v>46260</x:v>
      </x:c>
      <x:c r="P1546" s="20" t="str">
        <x:v>这是条件性喜神和条件性忌神的重要来源。</x:v>
      </x:c>
    </x:row>
    <x:row r="1547">
      <x:c r="A1547" s="20" t="str">
        <x:v>M19-USE-0042-V1.0</x:v>
      </x:c>
      <x:c r="B1547" s="20" t="str">
        <x:v>输出字段</x:v>
      </x:c>
      <x:c r="C1547" s="20" t="str">
        <x:v>M19</x:v>
      </x:c>
      <x:c r="D1547" s="20" t="str">
        <x:v>19_综合输出模板</x:v>
      </x:c>
      <x:c r="E1547" s="20" t="str">
        <x:v>USE</x:v>
      </x:c>
      <x:c r="F1547" s="20" t="n">
        <x:v>42</x:v>
      </x:c>
      <x:c r="G1547" s="20" t="str">
        <x:v>V1.0</x:v>
      </x:c>
      <x:c r="H1547" s="20" t="str">
        <x:v>喜忌用神与综合结论｜木火土金水五维用神矩阵</x:v>
      </x:c>
      <x:c r="I1547" s="20" t="str">
        <x:v>分析师输出</x:v>
      </x:c>
      <x:c r="J1547" s="20" t="str">
        <x:v>喜忌用神与综合结论</x:v>
      </x:c>
      <x:c r="K1547" s="20" t="str">
        <x:v>综合五个维度来看：木【…】、火【…】、土【…】、金【…】、水【…】。这里的定位来自整体作用，不是简单看哪一行多或少。</x:v>
      </x:c>
      <x:c r="L1547" s="20" t="str"/>
      <x:c r="M1547" s="20" t="str">
        <x:v>采用</x:v>
      </x:c>
      <x:c r="N1547" s="20" t="str">
        <x:v>初审</x:v>
      </x:c>
      <x:c r="O1547" s="22" t="n">
        <x:v>46260</x:v>
      </x:c>
      <x:c r="P1547" s="20" t="str">
        <x:v>这是全库最终五行价值总表。</x:v>
      </x:c>
    </x:row>
    <x:row r="1548">
      <x:c r="A1548" s="20" t="str">
        <x:v>M19-USE-0043-V1.0</x:v>
      </x:c>
      <x:c r="B1548" s="20" t="str">
        <x:v>输出字段</x:v>
      </x:c>
      <x:c r="C1548" s="20" t="str">
        <x:v>M19</x:v>
      </x:c>
      <x:c r="D1548" s="20" t="str">
        <x:v>19_综合输出模板</x:v>
      </x:c>
      <x:c r="E1548" s="20" t="str">
        <x:v>USE</x:v>
      </x:c>
      <x:c r="F1548" s="20" t="n">
        <x:v>43</x:v>
      </x:c>
      <x:c r="G1548" s="20" t="str">
        <x:v>V1.0</x:v>
      </x:c>
      <x:c r="H1548" s="20" t="str">
        <x:v>喜忌用神与综合结论｜主用神与辅助用神</x:v>
      </x:c>
      <x:c r="I1548" s="20" t="str">
        <x:v>三层通用</x:v>
      </x:c>
      <x:c r="J1548" s="20" t="str">
        <x:v>喜忌用神与综合结论</x:v>
      </x:c>
      <x:c r="K1548" s="20" t="str">
        <x:v>综合裁决后，主用方向是【…】，它最直接解决【…】；辅助方向是【…】，主要负责【…】。主用成立的前提是【…】。</x:v>
      </x:c>
      <x:c r="L1548" s="20" t="str"/>
      <x:c r="M1548" s="20" t="str">
        <x:v>采用</x:v>
      </x:c>
      <x:c r="N1548" s="20" t="str">
        <x:v>初审</x:v>
      </x:c>
      <x:c r="O1548" s="22" t="n">
        <x:v>46260</x:v>
      </x:c>
      <x:c r="P1548" s="20" t="str">
        <x:v>主用必须说明不可替代性，辅助必须说明服务对象。</x:v>
      </x:c>
    </x:row>
    <x:row r="1549">
      <x:c r="A1549" s="20" t="str">
        <x:v>M19-USE-0044-V1.0</x:v>
      </x:c>
      <x:c r="B1549" s="20" t="str">
        <x:v>输出字段</x:v>
      </x:c>
      <x:c r="C1549" s="20" t="str">
        <x:v>M19</x:v>
      </x:c>
      <x:c r="D1549" s="20" t="str">
        <x:v>19_综合输出模板</x:v>
      </x:c>
      <x:c r="E1549" s="20" t="str">
        <x:v>USE</x:v>
      </x:c>
      <x:c r="F1549" s="20" t="n">
        <x:v>44</x:v>
      </x:c>
      <x:c r="G1549" s="20" t="str">
        <x:v>V1.0</x:v>
      </x:c>
      <x:c r="H1549" s="20" t="str">
        <x:v>喜忌用神与综合结论｜喜神、条件性喜神、中性、忌神与仇神</x:v>
      </x:c>
      <x:c r="I1549" s="20" t="str">
        <x:v>三层通用</x:v>
      </x:c>
      <x:c r="J1549" s="20" t="str">
        <x:v>喜忌用神与综合结论</x:v>
      </x:c>
      <x:c r="K1549" s="20" t="str">
        <x:v>喜神为【…】；【…】只有在【条件】下有利；【…】整体中性；忌神为【…】，主要会加重【…】；【…】会生助忌神或削弱主用，因此列为仇神。</x:v>
      </x:c>
      <x:c r="L1549" s="20" t="str"/>
      <x:c r="M1549" s="20" t="str">
        <x:v>采用</x:v>
      </x:c>
      <x:c r="N1549" s="20" t="str">
        <x:v>初审</x:v>
      </x:c>
      <x:c r="O1549" s="22" t="n">
        <x:v>46260</x:v>
      </x:c>
      <x:c r="P1549" s="20" t="str">
        <x:v>仇神必须有明确间接有害链，不可随意扩大。</x:v>
      </x:c>
    </x:row>
    <x:row r="1550">
      <x:c r="A1550" s="20" t="str">
        <x:v>M19-USE-0045-V1.0</x:v>
      </x:c>
      <x:c r="B1550" s="20" t="str">
        <x:v>输出字段</x:v>
      </x:c>
      <x:c r="C1550" s="20" t="str">
        <x:v>M19</x:v>
      </x:c>
      <x:c r="D1550" s="20" t="str">
        <x:v>19_综合输出模板</x:v>
      </x:c>
      <x:c r="E1550" s="20" t="str">
        <x:v>USE</x:v>
      </x:c>
      <x:c r="F1550" s="20" t="n">
        <x:v>45</x:v>
      </x:c>
      <x:c r="G1550" s="20" t="str">
        <x:v>V1.0</x:v>
      </x:c>
      <x:c r="H1550" s="20" t="str">
        <x:v>喜忌用神与综合结论｜最终结构摘要、条件边界与下游接口</x:v>
      </x:c>
      <x:c r="I1550" s="20" t="str">
        <x:v>三层通用</x:v>
      </x:c>
      <x:c r="J1550" s="20" t="str">
        <x:v>喜忌用神与综合结论</x:v>
      </x:c>
      <x:c r="K1550" s="20" t="str">
        <x:v>整体来看，这个命局的主线是【…】。日主处于【…】，主要通过【…】运行；最大的卡点是【…】。格局以【…】为主，根本需要解决的是【…】。因此主用为【…】，辅助为【…】；需要避免【…】。这些结论只适用于原局静态结构，具体岁运和主题问题需另行分析。</x:v>
      </x:c>
      <x:c r="L1550" s="20" t="str"/>
      <x:c r="M1550" s="20" t="str">
        <x:v>采用</x:v>
      </x:c>
      <x:c r="N1550" s="20" t="str">
        <x:v>初审</x:v>
      </x:c>
      <x:c r="O1550" s="22" t="n">
        <x:v>46260</x:v>
      </x:c>
      <x:c r="P1550" s="20" t="str">
        <x:v>下游标签用于婚恋、事业、财富、健康与D0岁运模型，不直接包含事件断语。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65e0e3060d7d464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2" hidden="0" customWidth="1"/>
    <x:col min="3" max="3" width="32" hidden="0" customWidth="1"/>
    <x:col min="4" max="4" width="36" hidden="0" customWidth="1"/>
    <x:col min="5" max="5" width="18" hidden="0" customWidth="1"/>
    <x:col min="6" max="6" width="42" hidden="0" customWidth="1"/>
    <x:col min="7" max="7" width="38" hidden="0" customWidth="1"/>
    <x:col min="8" max="8" width="38" hidden="0" customWidth="1"/>
    <x:col min="9" max="9" width="10" hidden="0" customWidth="1"/>
    <x:col min="10" max="10" width="22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42" hidden="0" customWidth="1"/>
  </x:cols>
  <x:sheetData>
    <x:row r="1">
      <x:c r="A1" s="5" t="str">
        <x:v>M21治理记录索引｜已采用口径与待验证事项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>
      <x:c r="A2" t="str">
        <x:v>待验证事项不得在真实命例分析中作为无条件共识；当命例命中争议边界时，应在06表建立差异记录并引用对应Change_ID。</x:v>
      </x:c>
    </x:row>
    <x:row r="5">
      <x:c r="A5" s="14" t="str">
        <x:v>Change_ID</x:v>
      </x:c>
      <x:c r="B5" s="14" t="str">
        <x:v>议题类型</x:v>
      </x:c>
      <x:c r="C5" s="14" t="str">
        <x:v>争议主题</x:v>
      </x:c>
      <x:c r="D5" s="14" t="str">
        <x:v>关联Rule_ID</x:v>
      </x:c>
      <x:c r="E5" s="14" t="str">
        <x:v>关联模块</x:v>
      </x:c>
      <x:c r="F5" s="14" t="str">
        <x:v>采用规则</x:v>
      </x:c>
      <x:c r="G5" s="14" t="str">
        <x:v>采用理由</x:v>
      </x:c>
      <x:c r="H5" s="14" t="str">
        <x:v>反对证据</x:v>
      </x:c>
      <x:c r="I5" s="14" t="str">
        <x:v>争议级别</x:v>
      </x:c>
      <x:c r="J5" s="14" t="str">
        <x:v>影响范围</x:v>
      </x:c>
      <x:c r="K5" s="14" t="str">
        <x:v>旧版本</x:v>
      </x:c>
      <x:c r="L5" s="14" t="str">
        <x:v>新版本</x:v>
      </x:c>
      <x:c r="M5" s="14" t="str">
        <x:v>变更类型</x:v>
      </x:c>
      <x:c r="N5" s="14" t="str">
        <x:v>处理状态</x:v>
      </x:c>
      <x:c r="O5" s="14" t="str">
        <x:v>来源/备注</x:v>
      </x:c>
    </x:row>
    <x:row r="6">
      <x:c r="A6" s="20" t="str">
        <x:v>M21-GOV-0001-V1.0</x:v>
      </x:c>
      <x:c r="B6" s="20" t="str">
        <x:v>定义修订</x:v>
      </x:c>
      <x:c r="C6" s="20" t="str">
        <x:v>识别、效应、结构与价值判断必须分层</x:v>
      </x:c>
      <x:c r="D6" s="20" t="str">
        <x:v>M04-BOUND-0050-V1.0；M06-BOUND-0120-V1.0；M17-BOUND-0093-V1.0</x:v>
      </x:c>
      <x:c r="E6" s="20" t="str">
        <x:v>M04/M05/M06/M08/M17</x:v>
      </x:c>
      <x:c r="F6" s="20" t="str">
        <x:v>采用四层分离：识别层不得替代效应层，效应层不得直接替代旺衰、格局和喜忌。</x:v>
      </x:c>
      <x:c r="G6" s="20" t="str">
        <x:v>可避免“见冲即拔根、见刑即减力、见旺即忌”等越级错误，并使每个结论可追溯。</x:v>
      </x:c>
      <x:c r="H6" s="20" t="str">
        <x:v>若未来实证显示某一关系在严格限定条件下具有稳定直接后果，可新增条件性快捷规则，但不得取消分层主链。</x:v>
      </x:c>
      <x:c r="I6" s="20" t="str">
        <x:v>高</x:v>
      </x:c>
      <x:c r="J6" s="20" t="str">
        <x:v>M04-M18及所有上层输出</x:v>
      </x:c>
      <x:c r="K6" s="20" t="str">
        <x:v>V1.8</x:v>
      </x:c>
      <x:c r="L6" s="20" t="str">
        <x:v>V1.9</x:v>
      </x:c>
      <x:c r="M6" s="20" t="str">
        <x:v>新增</x:v>
      </x:c>
      <x:c r="N6" s="20" t="str">
        <x:v>已生效</x:v>
      </x:c>
      <x:c r="O6" s="20" t="str">
        <x:v>内部体系治理；M20-REGRESSION-0144-V1.0、M20-REGRESSION-0145-V1.0、M20-REGRESSION-0146-V1.0</x:v>
      </x:c>
    </x:row>
    <x:row r="7">
      <x:c r="A7" s="20" t="str">
        <x:v>M21-GOV-0002-V1.0</x:v>
      </x:c>
      <x:c r="B7" s="20" t="str">
        <x:v>规则冲突</x:v>
      </x:c>
      <x:c r="C7" s="20" t="str">
        <x:v>只有严格成立的条件才具备硬约束资格</x:v>
      </x:c>
      <x:c r="D7" s="20" t="str">
        <x:v>M18-GEN-0002-V1.0；M15-GEN-0006-V1.0</x:v>
      </x:c>
      <x:c r="E7" s="20" t="str">
        <x:v>M14/M15/M18</x:v>
      </x:c>
      <x:c r="F7" s="20" t="str">
        <x:v>先审查格局资格；候选、假从、假化和证据不足者不得享有无条件优先级。</x:v>
      </x:c>
      <x:c r="G7" s="20" t="str">
        <x:v>防止特殊格局名称提前锁死用神方向，也防止普通扶抑破坏真正严格成立的特殊格局。</x:v>
      </x:c>
      <x:c r="H7" s="20" t="str">
        <x:v>当M15严格条件本身依赖争议规则时，硬约束资格必须同步降级并转待验证。</x:v>
      </x:c>
      <x:c r="I7" s="20" t="str">
        <x:v>高</x:v>
      </x:c>
      <x:c r="J7" s="20" t="str">
        <x:v>M14/M15/M17/M18</x:v>
      </x:c>
      <x:c r="K7" s="20" t="str">
        <x:v>V1.8</x:v>
      </x:c>
      <x:c r="L7" s="20" t="str">
        <x:v>V1.9</x:v>
      </x:c>
      <x:c r="M7" s="20" t="str">
        <x:v>新增</x:v>
      </x:c>
      <x:c r="N7" s="20" t="str">
        <x:v>已生效</x:v>
      </x:c>
      <x:c r="O7" s="20" t="str">
        <x:v>内部裁决规则；https://zh.wikisource.org/wiki/%E6%BB%B4%E5%A4%A9%E9%AB%93%E9%97%A1%E5%BE%AE ; https://zh.wikisource.org/zh-hans/%E6%B7%B5%E6%B5%B7%E5%AD%90%E5%B9%B3</x:v>
      </x:c>
    </x:row>
    <x:row r="8">
      <x:c r="A8" s="20" t="str">
        <x:v>M21-GOV-0003-V1.0</x:v>
      </x:c>
      <x:c r="B8" s="20" t="str">
        <x:v>权重修订</x:v>
      </x:c>
      <x:c r="C8" s="20" t="str">
        <x:v>共源证据与共享节点必须去重</x:v>
      </x:c>
      <x:c r="D8" s="20" t="str">
        <x:v>M07-BOUND-0080-V1.0；M11-GEN-0006-V1.0；M18-GEN-0006-V1.0</x:v>
      </x:c>
      <x:c r="E8" s="20" t="str">
        <x:v>M07/M08/M11/M12/M17/M18</x:v>
      </x:c>
      <x:c r="F8" s="20" t="str">
        <x:v>同源事实只计一个主权重；共享桥梁、印食财官等节点必须进行容量分配。</x:v>
      </x:c>
      <x:c r="G8" s="20" t="str">
        <x:v>避免重复加权使旺衰、组合和用神被虚高，也能解释多路线同时存在却都只能部分运行。</x:v>
      </x:c>
      <x:c r="H8" s="20" t="str">
        <x:v>若多个节点在柱位、根源和作用对象上真实独立，可分别计入，但须说明独立性。</x:v>
      </x:c>
      <x:c r="I8" s="20" t="str">
        <x:v>高</x:v>
      </x:c>
      <x:c r="J8" s="20" t="str">
        <x:v>M07-M18</x:v>
      </x:c>
      <x:c r="K8" s="20" t="str">
        <x:v>V1.8</x:v>
      </x:c>
      <x:c r="L8" s="20" t="str">
        <x:v>V1.9</x:v>
      </x:c>
      <x:c r="M8" s="20" t="str">
        <x:v>新增</x:v>
      </x:c>
      <x:c r="N8" s="20" t="str">
        <x:v>已生效</x:v>
      </x:c>
      <x:c r="O8" s="20" t="str">
        <x:v>内部证据治理；M20中多节点、长链与多药容量案例</x:v>
      </x:c>
    </x:row>
    <x:row r="9">
      <x:c r="A9" s="20" t="str">
        <x:v>M21-GOV-0004-V1.0</x:v>
      </x:c>
      <x:c r="B9" s="20" t="str">
        <x:v>例外补充</x:v>
      </x:c>
      <x:c r="C9" s="20" t="str">
        <x:v>证据接近时必须保留条件性与不确定性</x:v>
      </x:c>
      <x:c r="D9" s="20" t="str">
        <x:v>M18-GEN-0008-V1.0；M18-BOUND-0080-V1.0；M19-META-0003-V1.0</x:v>
      </x:c>
      <x:c r="E9" s="20" t="str">
        <x:v>M09/M14/M15/M17/M18/M19/M20</x:v>
      </x:c>
      <x:c r="F9" s="20" t="str">
        <x:v>不强行唯一化；输出主候选、替代候选、成立条件、反向证据和待核查项。</x:v>
      </x:c>
      <x:c r="G9" s="20" t="str">
        <x:v>可避免把边界案例伪装为确定结论，并为M20回归与M21版本修订提供清晰入口。</x:v>
      </x:c>
      <x:c r="H9" s="20" t="str">
        <x:v>若后续获得更精确出生资料、真实案例或明确硬约束，可从待定升级为确定结论。</x:v>
      </x:c>
      <x:c r="I9" s="20" t="str">
        <x:v>中</x:v>
      </x:c>
      <x:c r="J9" s="20" t="str">
        <x:v>M09/M14-M21</x:v>
      </x:c>
      <x:c r="K9" s="20" t="str">
        <x:v>V1.8</x:v>
      </x:c>
      <x:c r="L9" s="20" t="str">
        <x:v>V1.9</x:v>
      </x:c>
      <x:c r="M9" s="20" t="str">
        <x:v>新增</x:v>
      </x:c>
      <x:c r="N9" s="20" t="str">
        <x:v>已生效</x:v>
      </x:c>
      <x:c r="O9" s="20" t="str">
        <x:v>M20部分通过与待复核案例；M19总体置信度字段</x:v>
      </x:c>
    </x:row>
    <x:row r="10">
      <x:c r="A10" s="20" t="str">
        <x:v>M21-GOV-0005-V1.0</x:v>
      </x:c>
      <x:c r="B10" s="20" t="str">
        <x:v>定义修订</x:v>
      </x:c>
      <x:c r="C10" s="20" t="str">
        <x:v>原局静态结论与岁运动态结果必须分开</x:v>
      </x:c>
      <x:c r="D10" s="20" t="str">
        <x:v>M15-BOUND-0100-V1.0；M17-BOUND-0098-V1.0；M18-BOUND-0079-V1.0</x:v>
      </x:c>
      <x:c r="E10" s="20" t="str">
        <x:v>M05/M10/M15-M19</x:v>
      </x:c>
      <x:c r="F10" s="20" t="str">
        <x:v>M0只输出原局静态基准；任何岁运成局、开库、救格或喜忌转性均转D0动态模型。</x:v>
      </x:c>
      <x:c r="G10" s="20" t="str">
        <x:v>防止未来可能性倒灌原局，也避免把原局喜神误写成所有岁运都吉。</x:v>
      </x:c>
      <x:c r="H10" s="20" t="str">
        <x:v>若用户明确要求动态分析，应以M0为基准输入重新计算，而非简单叠加流年五行。</x:v>
      </x:c>
      <x:c r="I10" s="20" t="str">
        <x:v>高</x:v>
      </x:c>
      <x:c r="J10" s="20" t="str">
        <x:v>M05/M10/M14-M19/D0</x:v>
      </x:c>
      <x:c r="K10" s="20" t="str">
        <x:v>V1.8</x:v>
      </x:c>
      <x:c r="L10" s="20" t="str">
        <x:v>V1.9</x:v>
      </x:c>
      <x:c r="M10" s="20" t="str">
        <x:v>新增</x:v>
      </x:c>
      <x:c r="N10" s="20" t="str">
        <x:v>已生效</x:v>
      </x:c>
      <x:c r="O10" s="20" t="str">
        <x:v>内部静动态边界规则</x:v>
      </x:c>
    </x:row>
    <x:row r="11">
      <x:c r="A11" s="20" t="str">
        <x:v>M21-GOV-0006-V1.0</x:v>
      </x:c>
      <x:c r="B11" s="20" t="str">
        <x:v>版本变更</x:v>
      </x:c>
      <x:c r="C11" s="20" t="str">
        <x:v>任何规则修订必须绑定回归测试与版本关系</x:v>
      </x:c>
      <x:c r="D11" s="20" t="str">
        <x:v>M18-BOUND-0080-V1.0；M20-REGRESSION-0144-V1.0；M20-REGRESSION-0148-V1.0</x:v>
      </x:c>
      <x:c r="E11" s="20" t="str">
        <x:v>M20/M21/全库</x:v>
      </x:c>
      <x:c r="F11" s="20" t="str">
        <x:v>所有新增、修订、拆分、合并、停用与恢复均进入M21，并至少重跑相关M20回归与综合案例。</x:v>
      </x:c>
      <x:c r="G11" s="20" t="str">
        <x:v>确保规则演进可审计，避免某处修改造成下游旺衰、格局、病药和输出静默漂移。</x:v>
      </x:c>
      <x:c r="H11" s="20" t="str">
        <x:v>仅文字优化且不改变逻辑、条件和输出时，可标“仅文字优化”，但仍保留版本记录。</x:v>
      </x:c>
      <x:c r="I11" s="20" t="str">
        <x:v>高</x:v>
      </x:c>
      <x:c r="J11" s="20" t="str">
        <x:v>M02-M21及所有下游模型</x:v>
      </x:c>
      <x:c r="K11" s="20" t="str">
        <x:v>V1.8</x:v>
      </x:c>
      <x:c r="L11" s="20" t="str">
        <x:v>V1.9</x:v>
      </x:c>
      <x:c r="M11" s="20" t="str">
        <x:v>新增</x:v>
      </x:c>
      <x:c r="N11" s="20" t="str">
        <x:v>已生效</x:v>
      </x:c>
      <x:c r="O11" s="20" t="str">
        <x:v>M20测试闭环与M21治理设计</x:v>
      </x:c>
    </x:row>
    <x:row r="12">
      <x:c r="A12" s="20" t="str">
        <x:v>M21-HIST-0007-V1.0</x:v>
      </x:c>
      <x:c r="B12" s="20" t="str">
        <x:v>版本变更</x:v>
      </x:c>
      <x:c r="C12" s="20" t="str">
        <x:v>V1.0 五行流通卡点规则版</x:v>
      </x:c>
      <x:c r="D12" s="20" t="str">
        <x:v>M12-AGG-0086-V1.0</x:v>
      </x:c>
      <x:c r="E12" s="20" t="str">
        <x:v>M12</x:v>
      </x:c>
      <x:c r="F12" s="20" t="str">
        <x:v>新增M12流通路径、卡点、五组通关和副作用边界。</x:v>
      </x:c>
      <x:c r="G12" s="20" t="str">
        <x:v>补齐上一版本缺失的独立推理层，并保持与既有模块的可追溯接口。</x:v>
      </x:c>
      <x:c r="H12" s="20" t="str">
        <x:v>若后续真实案例显示新模块的边界或权重不稳定，应通过M20回归和M21修订，而不是删除历史。</x:v>
      </x:c>
      <x:c r="I12" s="20" t="str">
        <x:v>无</x:v>
      </x:c>
      <x:c r="J12" s="20" t="str">
        <x:v>M12及其全部下游</x:v>
      </x:c>
      <x:c r="K12" s="20" t="str">
        <x:v>V0.9</x:v>
      </x:c>
      <x:c r="L12" s="20" t="str">
        <x:v>V1.0</x:v>
      </x:c>
      <x:c r="M12" s="20" t="str">
        <x:v>新增</x:v>
      </x:c>
      <x:c r="N12" s="20" t="str">
        <x:v>已生效</x:v>
      </x:c>
      <x:c r="O12" s="20" t="str">
        <x:v>版本文件与00_使用说明；V1.0 五行流通卡点规则版</x:v>
      </x:c>
    </x:row>
    <x:row r="13">
      <x:c r="A13" s="20" t="str">
        <x:v>M21-HIST-0008-V1.0</x:v>
      </x:c>
      <x:c r="B13" s="20" t="str">
        <x:v>版本变更</x:v>
      </x:c>
      <x:c r="C13" s="20" t="str">
        <x:v>V1.1 寒暖燥湿规则版</x:v>
      </x:c>
      <x:c r="D13" s="20" t="str">
        <x:v>M13-BOUND-0070-V1.0</x:v>
      </x:c>
      <x:c r="E13" s="20" t="str">
        <x:v>M13</x:v>
      </x:c>
      <x:c r="F13" s="20" t="str">
        <x:v>新增M13双轴调候、十二月令基准、有效性和跨模块冲突。</x:v>
      </x:c>
      <x:c r="G13" s="20" t="str">
        <x:v>补齐上一版本缺失的独立推理层，并保持与既有模块的可追溯接口。</x:v>
      </x:c>
      <x:c r="H13" s="20" t="str">
        <x:v>若后续真实案例显示新模块的边界或权重不稳定，应通过M20回归和M21修订，而不是删除历史。</x:v>
      </x:c>
      <x:c r="I13" s="20" t="str">
        <x:v>无</x:v>
      </x:c>
      <x:c r="J13" s="20" t="str">
        <x:v>M13及其全部下游</x:v>
      </x:c>
      <x:c r="K13" s="20" t="str">
        <x:v>V1.0</x:v>
      </x:c>
      <x:c r="L13" s="20" t="str">
        <x:v>V1.1</x:v>
      </x:c>
      <x:c r="M13" s="20" t="str">
        <x:v>新增</x:v>
      </x:c>
      <x:c r="N13" s="20" t="str">
        <x:v>已生效</x:v>
      </x:c>
      <x:c r="O13" s="20" t="str">
        <x:v>版本文件与00_使用说明；V1.1 寒暖燥湿规则版</x:v>
      </x:c>
    </x:row>
    <x:row r="14">
      <x:c r="A14" s="20" t="str">
        <x:v>M21-HIST-0009-V1.0</x:v>
      </x:c>
      <x:c r="B14" s="20" t="str">
        <x:v>版本变更</x:v>
      </x:c>
      <x:c r="C14" s="20" t="str">
        <x:v>V1.2 格局候选判断规则版</x:v>
      </x:c>
      <x:c r="D14" s="20" t="str">
        <x:v>M14-RANK-0076-V1.0</x:v>
      </x:c>
      <x:c r="E14" s="20" t="str">
        <x:v>M14</x:v>
      </x:c>
      <x:c r="F14" s="20" t="str">
        <x:v>新增M14普通格、建禄羊刃、从化专旺候选及排序。</x:v>
      </x:c>
      <x:c r="G14" s="20" t="str">
        <x:v>补齐上一版本缺失的独立推理层，并保持与既有模块的可追溯接口。</x:v>
      </x:c>
      <x:c r="H14" s="20" t="str">
        <x:v>若后续真实案例显示新模块的边界或权重不稳定，应通过M20回归和M21修订，而不是删除历史。</x:v>
      </x:c>
      <x:c r="I14" s="20" t="str">
        <x:v>无</x:v>
      </x:c>
      <x:c r="J14" s="20" t="str">
        <x:v>M14及其全部下游</x:v>
      </x:c>
      <x:c r="K14" s="20" t="str">
        <x:v>V1.1</x:v>
      </x:c>
      <x:c r="L14" s="20" t="str">
        <x:v>V1.2</x:v>
      </x:c>
      <x:c r="M14" s="20" t="str">
        <x:v>新增</x:v>
      </x:c>
      <x:c r="N14" s="20" t="str">
        <x:v>已生效</x:v>
      </x:c>
      <x:c r="O14" s="20" t="str">
        <x:v>版本文件与00_使用说明；V1.2 格局候选判断规则版</x:v>
      </x:c>
    </x:row>
    <x:row r="15">
      <x:c r="A15" s="20" t="str">
        <x:v>M21-HIST-0010-V1.0</x:v>
      </x:c>
      <x:c r="B15" s="20" t="str">
        <x:v>版本变更</x:v>
      </x:c>
      <x:c r="C15" s="20" t="str">
        <x:v>V1.3 格局成败救应规则版</x:v>
      </x:c>
      <x:c r="D15" s="20" t="str">
        <x:v>M15-BOUND-0100-V1.0</x:v>
      </x:c>
      <x:c r="E15" s="20" t="str">
        <x:v>M15</x:v>
      </x:c>
      <x:c r="F15" s="20" t="str">
        <x:v>新增M15七级格局状态、破格等级和救应有效性。</x:v>
      </x:c>
      <x:c r="G15" s="20" t="str">
        <x:v>补齐上一版本缺失的独立推理层，并保持与既有模块的可追溯接口。</x:v>
      </x:c>
      <x:c r="H15" s="20" t="str">
        <x:v>若后续真实案例显示新模块的边界或权重不稳定，应通过M20回归和M21修订，而不是删除历史。</x:v>
      </x:c>
      <x:c r="I15" s="20" t="str">
        <x:v>无</x:v>
      </x:c>
      <x:c r="J15" s="20" t="str">
        <x:v>M15及其全部下游</x:v>
      </x:c>
      <x:c r="K15" s="20" t="str">
        <x:v>V1.2</x:v>
      </x:c>
      <x:c r="L15" s="20" t="str">
        <x:v>V1.3</x:v>
      </x:c>
      <x:c r="M15" s="20" t="str">
        <x:v>新增</x:v>
      </x:c>
      <x:c r="N15" s="20" t="str">
        <x:v>已生效</x:v>
      </x:c>
      <x:c r="O15" s="20" t="str">
        <x:v>版本文件与00_使用说明；V1.3 格局成败救应规则版</x:v>
      </x:c>
    </x:row>
    <x:row r="16">
      <x:c r="A16" s="20" t="str">
        <x:v>M21-HIST-0011-V1.0</x:v>
      </x:c>
      <x:c r="B16" s="20" t="str">
        <x:v>版本变更</x:v>
      </x:c>
      <x:c r="C16" s="20" t="str">
        <x:v>V1.4 病药模型规则版</x:v>
      </x:c>
      <x:c r="D16" s="20" t="str">
        <x:v>M16-BOUND-0110-V1.0</x:v>
      </x:c>
      <x:c r="E16" s="20" t="str">
        <x:v>M16</x:v>
      </x:c>
      <x:c r="F16" s="20" t="str">
        <x:v>新增M16旺衰病、流通病、制化病、格局病、调候病和药量风险。</x:v>
      </x:c>
      <x:c r="G16" s="20" t="str">
        <x:v>补齐上一版本缺失的独立推理层，并保持与既有模块的可追溯接口。</x:v>
      </x:c>
      <x:c r="H16" s="20" t="str">
        <x:v>若后续真实案例显示新模块的边界或权重不稳定，应通过M20回归和M21修订，而不是删除历史。</x:v>
      </x:c>
      <x:c r="I16" s="20" t="str">
        <x:v>无</x:v>
      </x:c>
      <x:c r="J16" s="20" t="str">
        <x:v>M16及其全部下游</x:v>
      </x:c>
      <x:c r="K16" s="20" t="str">
        <x:v>V1.3</x:v>
      </x:c>
      <x:c r="L16" s="20" t="str">
        <x:v>V1.4</x:v>
      </x:c>
      <x:c r="M16" s="20" t="str">
        <x:v>新增</x:v>
      </x:c>
      <x:c r="N16" s="20" t="str">
        <x:v>已生效</x:v>
      </x:c>
      <x:c r="O16" s="20" t="str">
        <x:v>版本文件与00_使用说明；V1.4 病药模型规则版</x:v>
      </x:c>
    </x:row>
    <x:row r="17">
      <x:c r="A17" s="20" t="str">
        <x:v>M21-HIST-0012-V1.0</x:v>
      </x:c>
      <x:c r="B17" s="20" t="str">
        <x:v>版本变更</x:v>
      </x:c>
      <x:c r="C17" s="20" t="str">
        <x:v>V1.5 喜忌用神矩阵规则版</x:v>
      </x:c>
      <x:c r="D17" s="20" t="str">
        <x:v>M17-BOUND-0100-V1.0</x:v>
      </x:c>
      <x:c r="E17" s="20" t="str">
        <x:v>M17</x:v>
      </x:c>
      <x:c r="F17" s="20" t="str">
        <x:v>新增M17扶抑、格局、通关、调候、病药五维矩阵和八级定位。</x:v>
      </x:c>
      <x:c r="G17" s="20" t="str">
        <x:v>补齐上一版本缺失的独立推理层，并保持与既有模块的可追溯接口。</x:v>
      </x:c>
      <x:c r="H17" s="20" t="str">
        <x:v>若后续真实案例显示新模块的边界或权重不稳定，应通过M20回归和M21修订，而不是删除历史。</x:v>
      </x:c>
      <x:c r="I17" s="20" t="str">
        <x:v>无</x:v>
      </x:c>
      <x:c r="J17" s="20" t="str">
        <x:v>M17及其全部下游</x:v>
      </x:c>
      <x:c r="K17" s="20" t="str">
        <x:v>V1.4</x:v>
      </x:c>
      <x:c r="L17" s="20" t="str">
        <x:v>V1.5</x:v>
      </x:c>
      <x:c r="M17" s="20" t="str">
        <x:v>新增</x:v>
      </x:c>
      <x:c r="N17" s="20" t="str">
        <x:v>已生效</x:v>
      </x:c>
      <x:c r="O17" s="20" t="str">
        <x:v>版本文件与00_使用说明；V1.5 喜忌用神矩阵规则版</x:v>
      </x:c>
    </x:row>
    <x:row r="18">
      <x:c r="A18" s="20" t="str">
        <x:v>M21-HIST-0013-V1.0</x:v>
      </x:c>
      <x:c r="B18" s="20" t="str">
        <x:v>版本变更</x:v>
      </x:c>
      <x:c r="C18" s="20" t="str">
        <x:v>V1.6 冲突裁决规则版</x:v>
      </x:c>
      <x:c r="D18" s="20" t="str">
        <x:v>M18-BOUND-0080-V1.0</x:v>
      </x:c>
      <x:c r="E18" s="20" t="str">
        <x:v>M18</x:v>
      </x:c>
      <x:c r="F18" s="20" t="str">
        <x:v>新增M18跨模块冲突、特殊格局、主辅容量、最终定位与治理边界。</x:v>
      </x:c>
      <x:c r="G18" s="20" t="str">
        <x:v>补齐上一版本缺失的独立推理层，并保持与既有模块的可追溯接口。</x:v>
      </x:c>
      <x:c r="H18" s="20" t="str">
        <x:v>若后续真实案例显示新模块的边界或权重不稳定，应通过M20回归和M21修订，而不是删除历史。</x:v>
      </x:c>
      <x:c r="I18" s="20" t="str">
        <x:v>无</x:v>
      </x:c>
      <x:c r="J18" s="20" t="str">
        <x:v>M18及其全部下游</x:v>
      </x:c>
      <x:c r="K18" s="20" t="str">
        <x:v>V1.5</x:v>
      </x:c>
      <x:c r="L18" s="20" t="str">
        <x:v>V1.6</x:v>
      </x:c>
      <x:c r="M18" s="20" t="str">
        <x:v>新增</x:v>
      </x:c>
      <x:c r="N18" s="20" t="str">
        <x:v>已生效</x:v>
      </x:c>
      <x:c r="O18" s="20" t="str">
        <x:v>版本文件与00_使用说明；V1.6 冲突裁决规则版</x:v>
      </x:c>
    </x:row>
    <x:row r="19">
      <x:c r="A19" s="20" t="str">
        <x:v>M21-HIST-0014-V1.0</x:v>
      </x:c>
      <x:c r="B19" s="20" t="str">
        <x:v>版本变更</x:v>
      </x:c>
      <x:c r="C19" s="20" t="str">
        <x:v>V1.7 综合输出模板版</x:v>
      </x:c>
      <x:c r="D19" s="20" t="str">
        <x:v>M19-USE-0045-V1.0</x:v>
      </x:c>
      <x:c r="E19" s="20" t="str">
        <x:v>M19</x:v>
      </x:c>
      <x:c r="F19" s="20" t="str">
        <x:v>新增M19十二章节、45个正式输出字段、空值与冲突处理。</x:v>
      </x:c>
      <x:c r="G19" s="20" t="str">
        <x:v>补齐上一版本缺失的独立推理层，并保持与既有模块的可追溯接口。</x:v>
      </x:c>
      <x:c r="H19" s="20" t="str">
        <x:v>若后续真实案例显示新模块的边界或权重不稳定，应通过M20回归和M21修订，而不是删除历史。</x:v>
      </x:c>
      <x:c r="I19" s="20" t="str">
        <x:v>无</x:v>
      </x:c>
      <x:c r="J19" s="20" t="str">
        <x:v>M19及其全部下游</x:v>
      </x:c>
      <x:c r="K19" s="20" t="str">
        <x:v>V1.6</x:v>
      </x:c>
      <x:c r="L19" s="20" t="str">
        <x:v>V1.7</x:v>
      </x:c>
      <x:c r="M19" s="20" t="str">
        <x:v>新增</x:v>
      </x:c>
      <x:c r="N19" s="20" t="str">
        <x:v>已生效</x:v>
      </x:c>
      <x:c r="O19" s="20" t="str">
        <x:v>版本文件与00_使用说明；V1.7 综合输出模板版</x:v>
      </x:c>
    </x:row>
    <x:row r="20">
      <x:c r="A20" s="20" t="str">
        <x:v>M21-HIST-0015-V1.0</x:v>
      </x:c>
      <x:c r="B20" s="20" t="str">
        <x:v>版本变更</x:v>
      </x:c>
      <x:c r="C20" s="20" t="str">
        <x:v>V1.8 案例测试集版</x:v>
      </x:c>
      <x:c r="D20" s="20" t="str">
        <x:v>M18-BOUND-0080-V1.0</x:v>
      </x:c>
      <x:c r="E20" s="20" t="str">
        <x:v>M20</x:v>
      </x:c>
      <x:c r="F20" s="20" t="str">
        <x:v>新增M20共150个合成测试、253次目标引用、自动结果和覆盖看板。</x:v>
      </x:c>
      <x:c r="G20" s="20" t="str">
        <x:v>补齐上一版本缺失的独立推理层，并保持与既有模块的可追溯接口。</x:v>
      </x:c>
      <x:c r="H20" s="20" t="str">
        <x:v>若后续真实案例显示新模块的边界或权重不稳定，应通过M20回归和M21修订，而不是删除历史。</x:v>
      </x:c>
      <x:c r="I20" s="20" t="str">
        <x:v>无</x:v>
      </x:c>
      <x:c r="J20" s="20" t="str">
        <x:v>M20及其全部下游</x:v>
      </x:c>
      <x:c r="K20" s="20" t="str">
        <x:v>V1.7</x:v>
      </x:c>
      <x:c r="L20" s="20" t="str">
        <x:v>V1.8</x:v>
      </x:c>
      <x:c r="M20" s="20" t="str">
        <x:v>新增</x:v>
      </x:c>
      <x:c r="N20" s="20" t="str">
        <x:v>已生效</x:v>
      </x:c>
      <x:c r="O20" s="20" t="str">
        <x:v>版本文件与00_使用说明；V1.8 案例测试集版</x:v>
      </x:c>
    </x:row>
    <x:row r="21">
      <x:c r="A21" s="20" t="str">
        <x:v>M21-HIST-0016-V1.0</x:v>
      </x:c>
      <x:c r="B21" s="20" t="str">
        <x:v>版本变更</x:v>
      </x:c>
      <x:c r="C21" s="20" t="str">
        <x:v>V1.9 版本与争议治理闭环版</x:v>
      </x:c>
      <x:c r="D21" s="20" t="str">
        <x:v>M18-BOUND-0080-V1.0；M19-USE-0045-V1.0</x:v>
      </x:c>
      <x:c r="E21" s="20" t="str">
        <x:v>M21</x:v>
      </x:c>
      <x:c r="F21" s="20" t="str">
        <x:v>新增M21共50条版本、争议、采用口径、反证和回归要求，并完成全库闭环。</x:v>
      </x:c>
      <x:c r="G21" s="20" t="str">
        <x:v>补齐上一版本缺失的独立推理层，并保持与既有模块的可追溯接口。</x:v>
      </x:c>
      <x:c r="H21" s="20" t="str">
        <x:v>若后续真实案例显示新模块的边界或权重不稳定，应通过M20回归和M21修订，而不是删除历史。</x:v>
      </x:c>
      <x:c r="I21" s="20" t="str">
        <x:v>无</x:v>
      </x:c>
      <x:c r="J21" s="20" t="str">
        <x:v>M21及其全部下游</x:v>
      </x:c>
      <x:c r="K21" s="20" t="str">
        <x:v>V1.8</x:v>
      </x:c>
      <x:c r="L21" s="20" t="str">
        <x:v>V1.9</x:v>
      </x:c>
      <x:c r="M21" s="20" t="str">
        <x:v>新增</x:v>
      </x:c>
      <x:c r="N21" s="20" t="str">
        <x:v>已生效</x:v>
      </x:c>
      <x:c r="O21" s="20" t="str">
        <x:v>版本文件与00_使用说明；V1.9 版本与争议治理闭环版</x:v>
      </x:c>
    </x:row>
    <x:row r="22">
      <x:c r="A22" s="20" t="str">
        <x:v>M21-REL-0017-V1.0</x:v>
      </x:c>
      <x:c r="B22" s="20" t="str">
        <x:v>流派争议</x:v>
      </x:c>
      <x:c r="C22" s="20" t="str">
        <x:v>刑是否必然按固定比例减力</x:v>
      </x:c>
      <x:c r="D22" s="20" t="str">
        <x:v>M05-BOUND-0078-V1.0；M06-XING-0083-V1.0；M06-XING-0084-V1.0</x:v>
      </x:c>
      <x:c r="E22" s="20" t="str">
        <x:v>M05/M06/M08/M09</x:v>
      </x:c>
      <x:c r="F22" s="20" t="str">
        <x:v>不设统一固定减力；三刑提高结构复杂度，是否减力取决于具体对象和实际功能损伤。</x:v>
      </x:c>
      <x:c r="G22" s="20" t="str">
        <x:v>同一三刑中不同支的季令、根气和透达可能完全不同，统一扣分会重复计算并产生错误旺衰。</x:v>
      </x:c>
      <x:c r="H22" s="20" t="str">
        <x:v>若未来大样本显示某一严格子类型具有稳定量化区间，可新增限定规则，不推广至所有刑。</x:v>
      </x:c>
      <x:c r="I22" s="20" t="str">
        <x:v>高</x:v>
      </x:c>
      <x:c r="J22" s="20" t="str">
        <x:v>M05/M06/M08/M09/M20</x:v>
      </x:c>
      <x:c r="K22" s="20" t="str">
        <x:v>V1.8</x:v>
      </x:c>
      <x:c r="L22" s="20" t="str">
        <x:v>V1.9</x:v>
      </x:c>
      <x:c r="M22" s="20" t="str">
        <x:v>新增</x:v>
      </x:c>
      <x:c r="N22" s="20" t="str">
        <x:v>已生效</x:v>
      </x:c>
      <x:c r="O22" s="20" t="str">
        <x:v>M20-REGRESSION-0144-V1.0；https://zh.wikisource.org/wiki/%E6%BB%B4%E5%A4%A9%E9%AB%93%E9%97%A1%E5%BE%AE ; https://zh.wikisource.org/zh-hans/%E6%B7%B5%E6%B5%B7%E5%AD%90%E5%B9%B3</x:v>
      </x:c>
    </x:row>
    <x:row r="23">
      <x:c r="A23" s="20" t="str">
        <x:v>M21-REL-0018-V1.0</x:v>
      </x:c>
      <x:c r="B23" s="20" t="str">
        <x:v>流派争议</x:v>
      </x:c>
      <x:c r="C23" s="20" t="str">
        <x:v>相冲是否等于拔根、冲去或双方减力</x:v>
      </x:c>
      <x:c r="D23" s="20" t="str">
        <x:v>M03-RTEF-0047-V1.0；M06-CHONG-0065-V1.0；M08-ROOT-0001-V1.0</x:v>
      </x:c>
      <x:c r="E23" s="20" t="str">
        <x:v>M03/M06/M08/M09</x:v>
      </x:c>
      <x:c r="F23" s="20" t="str">
        <x:v>保留原始根存在；只有强冲命中孤弱唯一根并造成实际功能损伤时，才下调有效根。</x:v>
      </x:c>
      <x:c r="G23" s="20" t="str">
        <x:v>能解释旺支被激发、弱支被冲拔和受冲但仍有承载等不同结果。</x:v>
      </x:c>
      <x:c r="H23" s="20" t="str">
        <x:v>若目标支已失令无源、唯一根且被多重强冲，允许判实质受损，但仍不得删除历史根记录。</x:v>
      </x:c>
      <x:c r="I23" s="20" t="str">
        <x:v>高</x:v>
      </x:c>
      <x:c r="J23" s="20" t="str">
        <x:v>M03/M06/M08/M09/M14/M15</x:v>
      </x:c>
      <x:c r="K23" s="20" t="str">
        <x:v>V1.8</x:v>
      </x:c>
      <x:c r="L23" s="20" t="str">
        <x:v>V1.9</x:v>
      </x:c>
      <x:c r="M23" s="20" t="str">
        <x:v>新增</x:v>
      </x:c>
      <x:c r="N23" s="20" t="str">
        <x:v>已生效</x:v>
      </x:c>
      <x:c r="O23" s="20" t="str">
        <x:v>M20-REGRESSION-0145-V1.0；https://zh.wikisource.org/wiki/%E6%BB%B4%E5%A4%A9%E9%AB%93%E9%97%A1%E5%BE%AE ; https://zh.wikisource.org/zh-hans/%E6%B7%B5%E6%B5%B7%E5%AD%90%E5%B9%B3</x:v>
      </x:c>
    </x:row>
    <x:row r="24">
      <x:c r="A24" s="20" t="str">
        <x:v>M21-REL-0019-V1.0</x:v>
      </x:c>
      <x:c r="B24" s="20" t="str">
        <x:v>流派争议</x:v>
      </x:c>
      <x:c r="C24" s="20" t="str">
        <x:v>天干五合或六合是否出现即自动合化</x:v>
      </x:c>
      <x:c r="D24" s="20" t="str">
        <x:v>M05-BOUND-0074-V1.0；M06-TGHUA-0011-V1.0；M06-LIUHE-0034-V1.0</x:v>
      </x:c>
      <x:c r="E24" s="20" t="str">
        <x:v>M04/M05/M06/M08</x:v>
      </x:c>
      <x:c r="F24" s="20" t="str">
        <x:v>合关系存在不等于合化；合化仅在四项联合门槛满足时成立，其他情况保留原五行。</x:v>
      </x:c>
      <x:c r="G24" s="20" t="str">
        <x:v>避免把有根强干、争合或无化神支持的结构错误改性。</x:v>
      </x:c>
      <x:c r="H24" s="20" t="str">
        <x:v>部分流派另强调特定月令或辰等引化条件，保留为增强证据而非机械充分条件。</x:v>
      </x:c>
      <x:c r="I24" s="20" t="str">
        <x:v>高</x:v>
      </x:c>
      <x:c r="J24" s="20" t="str">
        <x:v>M04/M05/M06/M08/M14/M15</x:v>
      </x:c>
      <x:c r="K24" s="20" t="str">
        <x:v>V1.8</x:v>
      </x:c>
      <x:c r="L24" s="20" t="str">
        <x:v>V1.9</x:v>
      </x:c>
      <x:c r="M24" s="20" t="str">
        <x:v>新增</x:v>
      </x:c>
      <x:c r="N24" s="20" t="str">
        <x:v>已生效</x:v>
      </x:c>
      <x:c r="O24" s="20" t="str">
        <x:v>M20-EFFECT-0029-V1.0至M20-EFFECT-0032-V1.0；https://zh.wikisource.org/wiki/%E6%BB%B4%E5%A4%A9%E9%AB%93%E9%97%A1%E5%BE%AE ; https://zh.wikisource.org/zh-hans/%E6%B7%B5%E6%B5%B7%E5%AD%90%E5%B9%B3</x:v>
      </x:c>
    </x:row>
    <x:row r="25">
      <x:c r="A25" s="20" t="str">
        <x:v>M21-REL-0020-V1.0</x:v>
      </x:c>
      <x:c r="B25" s="20" t="str">
        <x:v>定义修订</x:v>
      </x:c>
      <x:c r="C25" s="20" t="str">
        <x:v>三合三会结构完整是否等于已经成局</x:v>
      </x:c>
      <x:c r="D25" s="20" t="str">
        <x:v>M05-BOUND-0075-V1.0；M05-BOUND-0076-V1.0；M06-SANHE-0050-V1.0</x:v>
      </x:c>
      <x:c r="E25" s="20" t="str">
        <x:v>M05/M06/M07/M08</x:v>
      </x:c>
      <x:c r="F25" s="20" t="str">
        <x:v>区分“结构完整”和“实质成局”；完整结构只生成高等级候选。</x:v>
      </x:c>
      <x:c r="G25" s="20" t="str">
        <x:v>能够处理三支齐全但中神弱、成员被强冲强合牵走或全局主势不从局的边界案例。</x:v>
      </x:c>
      <x:c r="H25" s="20" t="str">
        <x:v>当月令、透干、根气和全局主势高度同向时，可确认成局并重算力量归属。</x:v>
      </x:c>
      <x:c r="I25" s="20" t="str">
        <x:v>中</x:v>
      </x:c>
      <x:c r="J25" s="20" t="str">
        <x:v>M05/M06/M07/M08/M14</x:v>
      </x:c>
      <x:c r="K25" s="20" t="str">
        <x:v>V1.8</x:v>
      </x:c>
      <x:c r="L25" s="20" t="str">
        <x:v>V1.9</x:v>
      </x:c>
      <x:c r="M25" s="20" t="str">
        <x:v>新增</x:v>
      </x:c>
      <x:c r="N25" s="20" t="str">
        <x:v>已生效</x:v>
      </x:c>
      <x:c r="O25" s="20" t="str">
        <x:v>M20-REL-0018-V1.0、M20-REL-0021-V1.0；https://zh.wikisource.org/wiki/%E6%BB%B4%E5%A4%A9%E9%AB%93%E9%97%A1%E5%BE%AE ; https://zh.wikisource.org/zh-hans/%E6%B7%B5%E6%B5%B7%E5%AD%90%E5%B9%B3</x:v>
      </x:c>
    </x:row>
    <x:row r="26">
      <x:c r="A26" s="20" t="str">
        <x:v>M21-REL-0021-V1.0</x:v>
      </x:c>
      <x:c r="B26" s="20" t="str">
        <x:v>流派争议</x:v>
      </x:c>
      <x:c r="C26" s="20" t="str">
        <x:v>四库相冲是否必然开库得用</x:v>
      </x:c>
      <x:c r="D26" s="20" t="str">
        <x:v>M06-CHONG-0078-V1.0；M06-CHONG-0079-V1.0</x:v>
      </x:c>
      <x:c r="E26" s="20" t="str">
        <x:v>M06/M08/M12</x:v>
      </x:c>
      <x:c r="F26" s="20" t="str">
        <x:v>四库冲只生成候选；有库物、承接与非毁损条件同时满足时才确认开库。</x:v>
      </x:c>
      <x:c r="G26" s="20" t="str">
        <x:v>可区分开库、冲坏、土气交战与库物无承接等不同结构。</x:v>
      </x:c>
      <x:c r="H26" s="20" t="str">
        <x:v>不同流派对墓、库与开库术语界定仍有差异，相关案例须在M20记录具体口径。</x:v>
      </x:c>
      <x:c r="I26" s="20" t="str">
        <x:v>中</x:v>
      </x:c>
      <x:c r="J26" s="20" t="str">
        <x:v>M06/M08/M12/M20</x:v>
      </x:c>
      <x:c r="K26" s="20" t="str">
        <x:v>V1.8</x:v>
      </x:c>
      <x:c r="L26" s="20" t="str">
        <x:v>V1.9</x:v>
      </x:c>
      <x:c r="M26" s="20" t="str">
        <x:v>新增</x:v>
      </x:c>
      <x:c r="N26" s="20" t="str">
        <x:v>已生效</x:v>
      </x:c>
      <x:c r="O26" s="20" t="str">
        <x:v>M20-EFFECT-0036-V1.0、M20-EFFECT-0037-V1.0；https://zh.wikisource.org/wiki/%E6%BB%B4%E5%A4%A9%E9%AB%93%E9%97%A1%E5%BE%AE ; https://zh.wikisource.org/zh-hans/%E6%B7%B5%E6%B5%B7%E5%AD%90%E5%B9%B3</x:v>
      </x:c>
    </x:row>
    <x:row r="27">
      <x:c r="A27" s="20" t="str">
        <x:v>M21-REL-0022-V1.0</x:v>
      </x:c>
      <x:c r="B27" s="20" t="str">
        <x:v>规则冲突</x:v>
      </x:c>
      <x:c r="C27" s="20" t="str">
        <x:v>同一地支多重关系是否允许一项关系覆盖其余关系</x:v>
      </x:c>
      <x:c r="D27" s="20" t="str">
        <x:v>M05-OVER-0068-V1.0；M06-OVER-0104-V1.0；M06-OVER-0105-V1.0</x:v>
      </x:c>
      <x:c r="E27" s="20" t="str">
        <x:v>M05/M06/M08/M12</x:v>
      </x:c>
      <x:c r="F27" s="20" t="str">
        <x:v>关系识别全部保留；效应层输出主效应、次效应和被压制效应，不静默删除。</x:v>
      </x:c>
      <x:c r="G27" s="20" t="str">
        <x:v>巳申、寅申、寅巳等组合具有多重真实关系，单一覆盖会丢失解释力。</x:v>
      </x:c>
      <x:c r="H27" s="20" t="str">
        <x:v>若某一关系因对象失效而完全没有实际作用，可在效应层降为无效，但识别记录仍保留。</x:v>
      </x:c>
      <x:c r="I27" s="20" t="str">
        <x:v>中</x:v>
      </x:c>
      <x:c r="J27" s="20" t="str">
        <x:v>M05/M06/M08/M12/M20</x:v>
      </x:c>
      <x:c r="K27" s="20" t="str">
        <x:v>V1.8</x:v>
      </x:c>
      <x:c r="L27" s="20" t="str">
        <x:v>V1.9</x:v>
      </x:c>
      <x:c r="M27" s="20" t="str">
        <x:v>新增</x:v>
      </x:c>
      <x:c r="N27" s="20" t="str">
        <x:v>已生效</x:v>
      </x:c>
      <x:c r="O27" s="20" t="str">
        <x:v>M20-REL-0025-V1.0、M20-EFFECT-0039-V1.0</x:v>
      </x:c>
    </x:row>
    <x:row r="28">
      <x:c r="A28" s="20" t="str">
        <x:v>M21-WANG-0023-V1.0</x:v>
      </x:c>
      <x:c r="B28" s="20" t="str">
        <x:v>权重修订</x:v>
      </x:c>
      <x:c r="C28" s="20" t="str">
        <x:v>月令是否可以一票决定日主或五行旺衰</x:v>
      </x:c>
      <x:c r="D28" s="20" t="str">
        <x:v>M03-PROC-0020-V1.0；M09-LING-0001-V1.0；M09-LING-0005-V1.0</x:v>
      </x:c>
      <x:c r="E28" s="20" t="str">
        <x:v>M03/M07/M08/M09</x:v>
      </x:c>
      <x:c r="F28" s="20" t="str">
        <x:v>月令高权重但非充分条件；允许失令而根深印比成势反转，也允许得令无根受制而承载不足。</x:v>
      </x:c>
      <x:c r="G28" s="20" t="str">
        <x:v>能够解释大量得令不旺、失令不弱和四季月边界案例。</x:v>
      </x:c>
      <x:c r="H28" s="20" t="str">
        <x:v>月令仍是首要季节背景，不得因强调综合而把月令降为普通同权证据。</x:v>
      </x:c>
      <x:c r="I28" s="20" t="str">
        <x:v>高</x:v>
      </x:c>
      <x:c r="J28" s="20" t="str">
        <x:v>M03/M07/M08/M09/M14</x:v>
      </x:c>
      <x:c r="K28" s="20" t="str">
        <x:v>V1.8</x:v>
      </x:c>
      <x:c r="L28" s="20" t="str">
        <x:v>V1.9</x:v>
      </x:c>
      <x:c r="M28" s="20" t="str">
        <x:v>新增</x:v>
      </x:c>
      <x:c r="N28" s="20" t="str">
        <x:v>已生效</x:v>
      </x:c>
      <x:c r="O28" s="20" t="str">
        <x:v>M20-WANG-0049-V1.0、M20-WANG-0050-V1.0；https://zh.wikisource.org/wiki/%E6%BB%B4%E5%A4%A9%E9%AB%93%E9%97%A1%E5%BE%AE ; https://zh.wikisource.org/zh-hans/%E6%B7%B5%E6%B5%B7%E5%AD%90%E5%B9%B3</x:v>
      </x:c>
    </x:row>
    <x:row r="29">
      <x:c r="A29" s="20" t="str">
        <x:v>M21-WANG-0024-V1.0</x:v>
      </x:c>
      <x:c r="B29" s="20" t="str">
        <x:v>流派争议</x:v>
      </x:c>
      <x:c r="C29" s="20" t="str">
        <x:v>藏干是否按固定百分比分配力量</x:v>
      </x:c>
      <x:c r="D29" s="20" t="str">
        <x:v>M03-PROC-0022-V1.0；M08-BOUND-0109-V1.0</x:v>
      </x:c>
      <x:c r="E29" s="20" t="str">
        <x:v>M02/M03/M07/M08</x:v>
      </x:c>
      <x:c r="F29" s="20" t="str">
        <x:v>保留本气/中气/余气强中弱层级，不采用跨命局固定百分比。</x:v>
      </x:c>
      <x:c r="G29" s="20" t="str">
        <x:v>固定比例难以处理透干、有源、受制、合化和不同季节下的有效性变化。</x:v>
      </x:c>
      <x:c r="H29" s="20" t="str">
        <x:v>若某研究口径有稳定样本，可作为流派参数而非全库默认值，并须独立版本化。</x:v>
      </x:c>
      <x:c r="I29" s="20" t="str">
        <x:v>高</x:v>
      </x:c>
      <x:c r="J29" s="20" t="str">
        <x:v>M02/M03/M07/M08/M10</x:v>
      </x:c>
      <x:c r="K29" s="20" t="str">
        <x:v>V1.8</x:v>
      </x:c>
      <x:c r="L29" s="20" t="str">
        <x:v>V1.9</x:v>
      </x:c>
      <x:c r="M29" s="20" t="str">
        <x:v>新增</x:v>
      </x:c>
      <x:c r="N29" s="20" t="str">
        <x:v>已生效</x:v>
      </x:c>
      <x:c r="O29" s="20" t="str">
        <x:v>M20-BASE-0007-V1.0；内部规则归纳</x:v>
      </x:c>
    </x:row>
    <x:row r="30">
      <x:c r="A30" s="20" t="str">
        <x:v>M21-WANG-0025-V1.0</x:v>
      </x:c>
      <x:c r="B30" s="20" t="str">
        <x:v>权重修订</x:v>
      </x:c>
      <x:c r="C30" s="20" t="str">
        <x:v>多根、同党和透干是否可以线性相加</x:v>
      </x:c>
      <x:c r="D30" s="20" t="str">
        <x:v>M03-RTCT-0041-V1.0；M07-ALLY-0051-V1.0；M07-BOUND-0080-V1.0</x:v>
      </x:c>
      <x:c r="E30" s="20" t="str">
        <x:v>M03/M07/M08/M09</x:v>
      </x:c>
      <x:c r="F30" s="20" t="str">
        <x:v>采用独立节点汇总、同源去重和边际递减；数量不能覆盖失令、无根和无源反证。</x:v>
      </x:c>
      <x:c r="G30" s="20" t="str">
        <x:v>防止多透无根或同一根支支持多个天干时力量被虚高。</x:v>
      </x:c>
      <x:c r="H30" s="20" t="str">
        <x:v>若多个节点柱位独立、各自有根有源且作用对象不同，可提高稳定性，但仍不做线性计分。</x:v>
      </x:c>
      <x:c r="I30" s="20" t="str">
        <x:v>中</x:v>
      </x:c>
      <x:c r="J30" s="20" t="str">
        <x:v>M03/M07/M08/M09/M10</x:v>
      </x:c>
      <x:c r="K30" s="20" t="str">
        <x:v>V1.8</x:v>
      </x:c>
      <x:c r="L30" s="20" t="str">
        <x:v>V1.9</x:v>
      </x:c>
      <x:c r="M30" s="20" t="str">
        <x:v>新增</x:v>
      </x:c>
      <x:c r="N30" s="20" t="str">
        <x:v>已生效</x:v>
      </x:c>
      <x:c r="O30" s="20" t="str">
        <x:v>M20-WANG-0046-V1.0、M20-TEN-0059-V1.0</x:v>
      </x:c>
    </x:row>
    <x:row r="31">
      <x:c r="A31" s="20" t="str">
        <x:v>M21-WANG-0026-V1.0</x:v>
      </x:c>
      <x:c r="B31" s="20" t="str">
        <x:v>定义修订</x:v>
      </x:c>
      <x:c r="C31" s="20" t="str">
        <x:v>无根是否必弱、有根是否必旺</x:v>
      </x:c>
      <x:c r="D31" s="20" t="str">
        <x:v>M03-EDGE-0058-V1.0；M03-EDGE-0059-V1.0；M09-DI-0019-V1.0</x:v>
      </x:c>
      <x:c r="E31" s="20" t="str">
        <x:v>M03/M08/M09</x:v>
      </x:c>
      <x:c r="F31" s="20" t="str">
        <x:v>无根不自动等于弱，有根不自动等于旺；必须同时输出原始根和有效根。</x:v>
      </x:c>
      <x:c r="G31" s="20" t="str">
        <x:v>能保留印比生扶但无直接根，以及有根却受官杀财食重压的结构。</x:v>
      </x:c>
      <x:c r="H31" s="20" t="str">
        <x:v>在其他证据都弱或都强时，根气可成为决定性转折，但仍需说明为何。</x:v>
      </x:c>
      <x:c r="I31" s="20" t="str">
        <x:v>高</x:v>
      </x:c>
      <x:c r="J31" s="20" t="str">
        <x:v>M03/M08/M09/M14/M16</x:v>
      </x:c>
      <x:c r="K31" s="20" t="str">
        <x:v>V1.8</x:v>
      </x:c>
      <x:c r="L31" s="20" t="str">
        <x:v>V1.9</x:v>
      </x:c>
      <x:c r="M31" s="20" t="str">
        <x:v>新增</x:v>
      </x:c>
      <x:c r="N31" s="20" t="str">
        <x:v>已生效</x:v>
      </x:c>
      <x:c r="O31" s="20" t="str">
        <x:v>M20-BASE-0009-V1.0、M20-BASE-0010-V1.0</x:v>
      </x:c>
    </x:row>
    <x:row r="32">
      <x:c r="A32" s="20" t="str">
        <x:v>M21-WANG-0027-V1.0</x:v>
      </x:c>
      <x:c r="B32" s="20" t="str">
        <x:v>定义修订</x:v>
      </x:c>
      <x:c r="C32" s="20" t="str">
        <x:v>原始旺衰与有效旺衰是否需要分开</x:v>
      </x:c>
      <x:c r="D32" s="20" t="str">
        <x:v>M03-EDGE-0060-V1.0；M10-POWER-0014-V1.0；M08-BOUND-0109-V1.0</x:v>
      </x:c>
      <x:c r="E32" s="20" t="str">
        <x:v>M03/M07/M08/M10</x:v>
      </x:c>
      <x:c r="F32" s="20" t="str">
        <x:v>强制保留原始旺衰与有效旺衰两套输出，并列明上调、下调和未采纳证据。</x:v>
      </x:c>
      <x:c r="G32" s="20" t="str">
        <x:v>可解释“数量多但被合绊”“有根但功能受寒凝”“旺而不流通”等结构。</x:v>
      </x:c>
      <x:c r="H32" s="20" t="str">
        <x:v>若原始与有效等级完全一致，可简写一致，但不得取消双层模型。</x:v>
      </x:c>
      <x:c r="I32" s="20" t="str">
        <x:v>高</x:v>
      </x:c>
      <x:c r="J32" s="20" t="str">
        <x:v>M03/M07/M08/M10/M19</x:v>
      </x:c>
      <x:c r="K32" s="20" t="str">
        <x:v>V1.8</x:v>
      </x:c>
      <x:c r="L32" s="20" t="str">
        <x:v>V1.9</x:v>
      </x:c>
      <x:c r="M32" s="20" t="str">
        <x:v>新增</x:v>
      </x:c>
      <x:c r="N32" s="20" t="str">
        <x:v>已生效</x:v>
      </x:c>
      <x:c r="O32" s="20" t="str">
        <x:v>M19-ELEM-0011-V1.0至M19-ELEM-0013-V1.0</x:v>
      </x:c>
    </x:row>
    <x:row r="33">
      <x:c r="A33" s="20" t="str">
        <x:v>M21-WANG-0028-V1.0</x:v>
      </x:c>
      <x:c r="B33" s="20" t="str">
        <x:v>定义修订</x:v>
      </x:c>
      <x:c r="C33" s="20" t="str">
        <x:v>五行或十神数量是否等于有效力量与功能</x:v>
      </x:c>
      <x:c r="D33" s="20" t="str">
        <x:v>M07-ALLY-0056-V1.0；M10-POWER-0015-V1.0；M10-PRES-0005-V1.0</x:v>
      </x:c>
      <x:c r="E33" s="20" t="str">
        <x:v>M07/M08/M10/M11</x:v>
      </x:c>
      <x:c r="F33" s="20" t="str">
        <x:v>数量与力量、功能、清纯度分开；多个无根受制节点不能覆盖一个有权根源节点。</x:v>
      </x:c>
      <x:c r="G33" s="20" t="str">
        <x:v>避免“印多即旺、官杀多即混杂、财多即有财格”等机械判断。</x:v>
      </x:c>
      <x:c r="H33" s="20" t="str">
        <x:v>数量在其他条件相近时可提高稳定性，但只作为次级增强证据。</x:v>
      </x:c>
      <x:c r="I33" s="20" t="str">
        <x:v>中</x:v>
      </x:c>
      <x:c r="J33" s="20" t="str">
        <x:v>M07/M08/M10/M11/M14</x:v>
      </x:c>
      <x:c r="K33" s="20" t="str">
        <x:v>V1.8</x:v>
      </x:c>
      <x:c r="L33" s="20" t="str">
        <x:v>V1.9</x:v>
      </x:c>
      <x:c r="M33" s="20" t="str">
        <x:v>新增</x:v>
      </x:c>
      <x:c r="N33" s="20" t="str">
        <x:v>已生效</x:v>
      </x:c>
      <x:c r="O33" s="20" t="str">
        <x:v>M20-WANG-0051-V1.0、M20-TEN-0059-V1.0</x:v>
      </x:c>
    </x:row>
    <x:row r="34">
      <x:c r="A34" s="20" t="str">
        <x:v>M21-TEN-0029-V1.0</x:v>
      </x:c>
      <x:c r="B34" s="20" t="str">
        <x:v>定义修订</x:v>
      </x:c>
      <x:c r="C34" s="20" t="str">
        <x:v>十神出现是否等于十神能够发挥功能</x:v>
      </x:c>
      <x:c r="D34" s="20" t="str">
        <x:v>M10-PRES-0008-V1.0；M10-POWER-0018-V1.0；M10-POWER-0020-V1.0</x:v>
      </x:c>
      <x:c r="E34" s="20" t="str">
        <x:v>M10/M11</x:v>
      </x:c>
      <x:c r="F34" s="20" t="str">
        <x:v>十神存在不等于旺，也不等于功能正常；必须输出显性/隐性、有效等级和功能状态。</x:v>
      </x:c>
      <x:c r="G34" s="20" t="str">
        <x:v>可处理藏而不透、无根透干、受财破印和被合化改性的节点。</x:v>
      </x:c>
      <x:c r="H34" s="20" t="str">
        <x:v>存在本身仍是候选入口，不能因功能弱而删除原局节点。</x:v>
      </x:c>
      <x:c r="I34" s="20" t="str">
        <x:v>高</x:v>
      </x:c>
      <x:c r="J34" s="20" t="str">
        <x:v>M10/M11/M14/M16</x:v>
      </x:c>
      <x:c r="K34" s="20" t="str">
        <x:v>V1.8</x:v>
      </x:c>
      <x:c r="L34" s="20" t="str">
        <x:v>V1.9</x:v>
      </x:c>
      <x:c r="M34" s="20" t="str">
        <x:v>新增</x:v>
      </x:c>
      <x:c r="N34" s="20" t="str">
        <x:v>已生效</x:v>
      </x:c>
      <x:c r="O34" s="20" t="str">
        <x:v>M20-TEN-0057-V1.0、M20-TEN-0058-V1.0</x:v>
      </x:c>
    </x:row>
    <x:row r="35">
      <x:c r="A35" s="20" t="str">
        <x:v>M21-TEN-0030-V1.0</x:v>
      </x:c>
      <x:c r="B35" s="20" t="str">
        <x:v>权重修订</x:v>
      </x:c>
      <x:c r="C35" s="20" t="str">
        <x:v>同一十神多处出现是否按次数判断旺衰</x:v>
      </x:c>
      <x:c r="D35" s="20" t="str">
        <x:v>M10-PRES-0005-V1.0；M10-POWER-0015-V1.0；M10-PURE-0031-V1.0</x:v>
      </x:c>
      <x:c r="E35" s="20" t="str">
        <x:v>M10</x:v>
      </x:c>
      <x:c r="F35" s="20" t="str">
        <x:v>采用独立节点质量汇总，不用次数线性计分；同一十神多处出现不等于清纯度变化。</x:v>
      </x:c>
      <x:c r="G35" s="20" t="str">
        <x:v>防止多个无根透干虚高，也区分数量问题与正偏混杂问题。</x:v>
      </x:c>
      <x:c r="H35" s="20" t="str">
        <x:v>多个真正独立有根节点可提高持续性，但须说明其独立来源。</x:v>
      </x:c>
      <x:c r="I35" s="20" t="str">
        <x:v>中</x:v>
      </x:c>
      <x:c r="J35" s="20" t="str">
        <x:v>M10/M11/M14</x:v>
      </x:c>
      <x:c r="K35" s="20" t="str">
        <x:v>V1.8</x:v>
      </x:c>
      <x:c r="L35" s="20" t="str">
        <x:v>V1.9</x:v>
      </x:c>
      <x:c r="M35" s="20" t="str">
        <x:v>新增</x:v>
      </x:c>
      <x:c r="N35" s="20" t="str">
        <x:v>已生效</x:v>
      </x:c>
      <x:c r="O35" s="20" t="str">
        <x:v>M20-TEN-0059-V1.0</x:v>
      </x:c>
    </x:row>
    <x:row r="36">
      <x:c r="A36" s="20" t="str">
        <x:v>M21-TEN-0031-V1.0</x:v>
      </x:c>
      <x:c r="B36" s="20" t="str">
        <x:v>定义修订</x:v>
      </x:c>
      <x:c r="C36" s="20" t="str">
        <x:v>两个或多个十神同时出现是否等于组合成立</x:v>
      </x:c>
      <x:c r="D36" s="20" t="str">
        <x:v>M11-GEN-0002-V1.0；M11-GEN-0003-V1.0；M11-GEN-0004-V1.0</x:v>
      </x:c>
      <x:c r="E36" s="20" t="str">
        <x:v>M10/M11</x:v>
      </x:c>
      <x:c r="F36" s="20" t="str">
        <x:v>组合按不成立、弱成立、基本成立、明显成立分级，并保留否决和救应。</x:v>
      </x:c>
      <x:c r="G36" s="20" t="str">
        <x:v>避免名义食神制杀、杀印相生和伤官配印被直接套用。</x:v>
      </x:c>
      <x:c r="H36" s="20" t="str">
        <x:v>若两个十神均透达有根、路径直接且比例协调，可快速升级，但仍须记录证据。</x:v>
      </x:c>
      <x:c r="I36" s="20" t="str">
        <x:v>高</x:v>
      </x:c>
      <x:c r="J36" s="20" t="str">
        <x:v>M10/M11/M14/M15/M16</x:v>
      </x:c>
      <x:c r="K36" s="20" t="str">
        <x:v>V1.8</x:v>
      </x:c>
      <x:c r="L36" s="20" t="str">
        <x:v>V1.9</x:v>
      </x:c>
      <x:c r="M36" s="20" t="str">
        <x:v>新增</x:v>
      </x:c>
      <x:c r="N36" s="20" t="str">
        <x:v>已生效</x:v>
      </x:c>
      <x:c r="O36" s="20" t="str">
        <x:v>M20-TEN-0064-V1.0至M20-TEN-0073-V1.0</x:v>
      </x:c>
    </x:row>
    <x:row r="37">
      <x:c r="A37" s="20" t="str">
        <x:v>M21-TEN-0032-V1.0</x:v>
      </x:c>
      <x:c r="B37" s="20" t="str">
        <x:v>规则冲突</x:v>
      </x:c>
      <x:c r="C37" s="20" t="str">
        <x:v>十神组合成立是否等于格局成立</x:v>
      </x:c>
      <x:c r="D37" s="20" t="str">
        <x:v>M11-GEN-0009-V1.0；M11-GUANYIN-0036-V1.0；M14-GEN-0001-V1.0</x:v>
      </x:c>
      <x:c r="E37" s="20" t="str">
        <x:v>M11/M14/M15</x:v>
      </x:c>
      <x:c r="F37" s="20" t="str">
        <x:v>M11只判组合，M14生成格局候选，M15再判成格、破格和救应。</x:v>
      </x:c>
      <x:c r="G37" s="20" t="str">
        <x:v>同一组合可存在于不同月令和不同主格中，不能替代全局结构分类。</x:v>
      </x:c>
      <x:c r="H37" s="20" t="str">
        <x:v>组合与月令格神完全同向时可增强格局候选，但仍不越级。</x:v>
      </x:c>
      <x:c r="I37" s="20" t="str">
        <x:v>高</x:v>
      </x:c>
      <x:c r="J37" s="20" t="str">
        <x:v>M11/M14/M15/M19</x:v>
      </x:c>
      <x:c r="K37" s="20" t="str">
        <x:v>V1.8</x:v>
      </x:c>
      <x:c r="L37" s="20" t="str">
        <x:v>V1.9</x:v>
      </x:c>
      <x:c r="M37" s="20" t="str">
        <x:v>新增</x:v>
      </x:c>
      <x:c r="N37" s="20" t="str">
        <x:v>已生效</x:v>
      </x:c>
      <x:c r="O37" s="20" t="str">
        <x:v>M20-TEN-0074-V1.0、M20-REGRESSION-0147-V1.0</x:v>
      </x:c>
    </x:row>
    <x:row r="38">
      <x:c r="A38" s="20" t="str">
        <x:v>M21-TEN-0033-V1.0</x:v>
      </x:c>
      <x:c r="B38" s="20" t="str">
        <x:v>流派争议</x:v>
      </x:c>
      <x:c r="C38" s="20" t="str">
        <x:v>官杀、食伤、印枭并见是否自动视为严重混杂</x:v>
      </x:c>
      <x:c r="D38" s="20" t="str">
        <x:v>M10-PURE-0026-V1.0；M11-CONFLICT-0090-V1.0；M11-CONFLICT-0091-V1.0</x:v>
      </x:c>
      <x:c r="E38" s="20" t="str">
        <x:v>M10/M11/M14/M15</x:v>
      </x:c>
      <x:c r="F38" s="20" t="str">
        <x:v>先生成混杂候选，再按有效性、主从、清化和格局功能定清纯度。</x:v>
      </x:c>
      <x:c r="G38" s="20" t="str">
        <x:v>避免一枚弱官或弱偏印把主导清晰的七杀格、正印格机械降级。</x:v>
      </x:c>
      <x:c r="H38" s="20" t="str">
        <x:v>即使一方较弱，若位于关键路径并能破坏主格，仍可作为重要杂气。</x:v>
      </x:c>
      <x:c r="I38" s="20" t="str">
        <x:v>中</x:v>
      </x:c>
      <x:c r="J38" s="20" t="str">
        <x:v>M10/M11/M14/M15</x:v>
      </x:c>
      <x:c r="K38" s="20" t="str">
        <x:v>V1.8</x:v>
      </x:c>
      <x:c r="L38" s="20" t="str">
        <x:v>V1.9</x:v>
      </x:c>
      <x:c r="M38" s="20" t="str">
        <x:v>新增</x:v>
      </x:c>
      <x:c r="N38" s="20" t="str">
        <x:v>已生效</x:v>
      </x:c>
      <x:c r="O38" s="20" t="str">
        <x:v>M20-TEN-0060-V1.0、M20-TEN-0072-V1.0、M20-TEN-0073-V1.0</x:v>
      </x:c>
    </x:row>
    <x:row r="39">
      <x:c r="A39" s="20" t="str">
        <x:v>M21-PATTERN-0034-V1.0</x:v>
      </x:c>
      <x:c r="B39" s="20" t="str">
        <x:v>流派争议</x:v>
      </x:c>
      <x:c r="C39" s="20" t="str">
        <x:v>是否可以只凭月令一个字机械定格</x:v>
      </x:c>
      <x:c r="D39" s="20" t="str">
        <x:v>M14-GEN-0002-V1.0；M14-BOUND-0078-V1.0；M14-RANK-0073-V1.0</x:v>
      </x:c>
      <x:c r="E39" s="20" t="str">
        <x:v>M14/M15</x:v>
      </x:c>
      <x:c r="F39" s="20" t="str">
        <x:v>M14同时生成1—3个候选并记录排除理由；M15才确认最终格局。</x:v>
      </x:c>
      <x:c r="G39" s="20" t="str">
        <x:v>能处理月令格神失效、中余气透干主导和局部组合不等于主格等情况。</x:v>
      </x:c>
      <x:c r="H39" s="20" t="str">
        <x:v>月令主气有效且覆盖全局时通常仍为第一候选，不应过度削弱月令权重。</x:v>
      </x:c>
      <x:c r="I39" s="20" t="str">
        <x:v>高</x:v>
      </x:c>
      <x:c r="J39" s="20" t="str">
        <x:v>M14/M15/M19</x:v>
      </x:c>
      <x:c r="K39" s="20" t="str">
        <x:v>V1.8</x:v>
      </x:c>
      <x:c r="L39" s="20" t="str">
        <x:v>V1.9</x:v>
      </x:c>
      <x:c r="M39" s="20" t="str">
        <x:v>新增</x:v>
      </x:c>
      <x:c r="N39" s="20" t="str">
        <x:v>已生效</x:v>
      </x:c>
      <x:c r="O39" s="20" t="str">
        <x:v>M20-PATTERN-0108-V1.0、M20-REGRESSION-0147-V1.0；https://zh.wikisource.org/wiki/%E6%BB%B4%E5%A4%A9%E9%AB%93%E9%97%A1%E5%BE%AE ; https://zh.wikisource.org/zh-hans/%E6%B7%B5%E6%B5%B7%E5%AD%90%E5%B9%B3</x:v>
      </x:c>
    </x:row>
    <x:row r="40">
      <x:c r="A40" s="20" t="str">
        <x:v>M21-PATTERN-0035-V1.0</x:v>
      </x:c>
      <x:c r="B40" s="20" t="str">
        <x:v>规则冲突</x:v>
      </x:c>
      <x:c r="C40" s="20" t="str">
        <x:v>特殊格局是否因名称特殊而自动优先</x:v>
      </x:c>
      <x:c r="D40" s="20" t="str">
        <x:v>M14-RANK-0072-V1.0；M15-CONG-0061-V1.0；M18-SPECIAL-0009-V1.0</x:v>
      </x:c>
      <x:c r="E40" s="20" t="str">
        <x:v>M14/M15/M17/M18</x:v>
      </x:c>
      <x:c r="F40" s="20" t="str">
        <x:v>严格成立时作为硬约束；仅候选、假从、假化或有有效逆神时退回普通综合。</x:v>
      </x:c>
      <x:c r="G40" s="20" t="str">
        <x:v>防止特殊格局泛化，也保护真正严格成立格局不被普通平衡法破坏。</x:v>
      </x:c>
      <x:c r="H40" s="20" t="str">
        <x:v>特殊格局门槛本身存在流派差异时，应降低置信度并在M21登记具体口径。</x:v>
      </x:c>
      <x:c r="I40" s="20" t="str">
        <x:v>高</x:v>
      </x:c>
      <x:c r="J40" s="20" t="str">
        <x:v>M14/M15/M17/M18</x:v>
      </x:c>
      <x:c r="K40" s="20" t="str">
        <x:v>V1.8</x:v>
      </x:c>
      <x:c r="L40" s="20" t="str">
        <x:v>V1.9</x:v>
      </x:c>
      <x:c r="M40" s="20" t="str">
        <x:v>新增</x:v>
      </x:c>
      <x:c r="N40" s="20" t="str">
        <x:v>已生效</x:v>
      </x:c>
      <x:c r="O40" s="20" t="str">
        <x:v>https://zh.wikisource.org/wiki/%E6%BB%B4%E5%A4%A9%E9%AB%93%E9%97%A1%E5%BE%AE ; https://zh.wikisource.org/zh-hans/%E6%B7%B5%E6%B5%B7%E5%AD%90%E5%B9%B3；M20-INTEGRATION-0139-V1.0至M20-INTEGRATION-0141-V1.0</x:v>
      </x:c>
    </x:row>
    <x:row r="41">
      <x:c r="A41" s="20" t="str">
        <x:v>M21-PATTERN-0036-V1.0</x:v>
      </x:c>
      <x:c r="B41" s="20" t="str">
        <x:v>权重修订</x:v>
      </x:c>
      <x:c r="C41" s="20" t="str">
        <x:v>真从与假从的残根有效性边界</x:v>
      </x:c>
      <x:c r="D41" s="20" t="str">
        <x:v>M14-CONG-0056-V1.0；M15-CONG-0069-V1.0；M18-SPECIAL-0010-V1.0</x:v>
      </x:c>
      <x:c r="E41" s="20" t="str">
        <x:v>M08/M09/M14/M15/M18</x:v>
      </x:c>
      <x:c r="F41" s="20" t="str">
        <x:v>强有效根否决真从；低效残根使结构降为假从或待定，不直接等同普通身弱。</x:v>
      </x:c>
      <x:c r="G41" s="20" t="str">
        <x:v>兼顾真从硬门槛与四季月余气、受损根等边界事实。</x:v>
      </x:c>
      <x:c r="H41" s="20" t="str">
        <x:v>残根具体权重缺少足够真实命例回归，当前不得把假从升级为确定真从。</x:v>
      </x:c>
      <x:c r="I41" s="20" t="str">
        <x:v>高</x:v>
      </x:c>
      <x:c r="J41" s="20" t="str">
        <x:v>M08/M09/M14/M15/M17/M18/M19</x:v>
      </x:c>
      <x:c r="K41" s="20" t="str">
        <x:v>V1.8</x:v>
      </x:c>
      <x:c r="L41" s="20" t="str">
        <x:v>V1.9</x:v>
      </x:c>
      <x:c r="M41" s="20" t="str">
        <x:v>修订</x:v>
      </x:c>
      <x:c r="N41" s="20" t="str">
        <x:v>待验证</x:v>
      </x:c>
      <x:c r="O41" s="20" t="str">
        <x:v>M20-PATTERN-0105-V1.0、M20-INTEGRATION-0141-V1.0；需真实案例回归</x:v>
      </x:c>
    </x:row>
    <x:row r="42">
      <x:c r="A42" s="20" t="str">
        <x:v>M21-PATTERN-0037-V1.0</x:v>
      </x:c>
      <x:c r="B42" s="20" t="str">
        <x:v>流派争议</x:v>
      </x:c>
      <x:c r="C42" s="20" t="str">
        <x:v>天干相合是否足以成立化气格</x:v>
      </x:c>
      <x:c r="D42" s="20" t="str">
        <x:v>M14-HUAQI-0059-V1.0；M15-HUAQI-0071-V1.0；M15-HUAQI-0073-V1.0</x:v>
      </x:c>
      <x:c r="E42" s="20" t="str">
        <x:v>M06/M08/M14/M15</x:v>
      </x:c>
      <x:c r="F42" s="20" t="str">
        <x:v>M06先确认实质化势，M08重分配力量，M14生成候选，M15最终判真化、假化或不成立。</x:v>
      </x:c>
      <x:c r="G42" s="20" t="str">
        <x:v>避免普通合绊、合意和原气强根结构被误定化气。</x:v>
      </x:c>
      <x:c r="H42" s="20" t="str">
        <x:v>部分流派强调辰等引化条件，当前仅作增强证据，尚不设机械充分条件。</x:v>
      </x:c>
      <x:c r="I42" s="20" t="str">
        <x:v>高</x:v>
      </x:c>
      <x:c r="J42" s="20" t="str">
        <x:v>M06/M08/M14/M15/M18</x:v>
      </x:c>
      <x:c r="K42" s="20" t="str">
        <x:v>V1.8</x:v>
      </x:c>
      <x:c r="L42" s="20" t="str">
        <x:v>V1.9</x:v>
      </x:c>
      <x:c r="M42" s="20" t="str">
        <x:v>新增</x:v>
      </x:c>
      <x:c r="N42" s="20" t="str">
        <x:v>已生效</x:v>
      </x:c>
      <x:c r="O42" s="20" t="str">
        <x:v>https://zh.wikisource.org/wiki/%E6%BB%B4%E5%A4%A9%E9%AB%93%E9%97%A1%E5%BE%AE ; https://zh.wikisource.org/zh-hans/%E6%B7%B5%E6%B5%B7%E5%AD%90%E5%B9%B3；M20-PATTERN-0106-V1.0</x:v>
      </x:c>
    </x:row>
    <x:row r="43">
      <x:c r="A43" s="20" t="str">
        <x:v>M21-PATTERN-0038-V1.0</x:v>
      </x:c>
      <x:c r="B43" s="20" t="str">
        <x:v>定义修订</x:v>
      </x:c>
      <x:c r="C43" s="20" t="str">
        <x:v>同一五行数量多是否足以成立专旺格</x:v>
      </x:c>
      <x:c r="D43" s="20" t="str">
        <x:v>M14-ZHUAN-0065-V1.0；M15-ZHUAN-0079-V1.0</x:v>
      </x:c>
      <x:c r="E43" s="20" t="str">
        <x:v>M08/M09/M14/M15</x:v>
      </x:c>
      <x:c r="F43" s="20" t="str">
        <x:v>数量只是候选证据；专旺严格成立以一气主导和逆神无效为核心。</x:v>
      </x:c>
      <x:c r="G43" s="20" t="str">
        <x:v>可区分普通身旺、从旺、从强和真正专旺。</x:v>
      </x:c>
      <x:c r="H43" s="20" t="str">
        <x:v>某些专旺结构可以有少量顺势杂气，但杂气若位居关键路径仍可破格。</x:v>
      </x:c>
      <x:c r="I43" s="20" t="str">
        <x:v>高</x:v>
      </x:c>
      <x:c r="J43" s="20" t="str">
        <x:v>M08/M09/M14/M15/M18</x:v>
      </x:c>
      <x:c r="K43" s="20" t="str">
        <x:v>V1.8</x:v>
      </x:c>
      <x:c r="L43" s="20" t="str">
        <x:v>V1.9</x:v>
      </x:c>
      <x:c r="M43" s="20" t="str">
        <x:v>新增</x:v>
      </x:c>
      <x:c r="N43" s="20" t="str">
        <x:v>已生效</x:v>
      </x:c>
      <x:c r="O43" s="20" t="str">
        <x:v>https://zh.wikisource.org/wiki/%E6%BB%B4%E5%A4%A9%E9%AB%93%E9%97%A1%E5%BE%AE ; https://zh.wikisource.org/zh-hans/%E6%B7%B5%E6%B5%B7%E5%AD%90%E5%B9%B3；M20-PATTERN-0107-V1.0、M20-INTEGRATION-0138-V1.0</x:v>
      </x:c>
    </x:row>
    <x:row r="44">
      <x:c r="A44" s="20" t="str">
        <x:v>M21-PATTERN-0039-V1.0</x:v>
      </x:c>
      <x:c r="B44" s="20" t="str">
        <x:v>定义修订</x:v>
      </x:c>
      <x:c r="C44" s="20" t="str">
        <x:v>建禄、羊刃本身是否等于高层次格局</x:v>
      </x:c>
      <x:c r="D44" s="20" t="str">
        <x:v>M14-JIANREN-0042-V1.0；M15-JIANREN-0053-V1.0；M15-JIANREN-0057-V1.0</x:v>
      </x:c>
      <x:c r="E44" s="20" t="str">
        <x:v>M09/M14/M15/M17</x:v>
      </x:c>
      <x:c r="F44" s="20" t="str">
        <x:v>建禄需制泄耗出口；羊刃需有效制化，且防杀弱不能驾刃或制刃太过。</x:v>
      </x:c>
      <x:c r="G44" s="20" t="str">
        <x:v>能够区分强身壅塞、羊刃驾杀、食伤泄秀和特殊从旺结构。</x:v>
      </x:c>
      <x:c r="H44" s="20" t="str">
        <x:v>禄刃确实提高强身概率，但不能绕过M09和M15的完整审查。</x:v>
      </x:c>
      <x:c r="I44" s="20" t="str">
        <x:v>中</x:v>
      </x:c>
      <x:c r="J44" s="20" t="str">
        <x:v>M09/M14/M15/M17/M18</x:v>
      </x:c>
      <x:c r="K44" s="20" t="str">
        <x:v>V1.8</x:v>
      </x:c>
      <x:c r="L44" s="20" t="str">
        <x:v>V1.9</x:v>
      </x:c>
      <x:c r="M44" s="20" t="str">
        <x:v>新增</x:v>
      </x:c>
      <x:c r="N44" s="20" t="str">
        <x:v>已生效</x:v>
      </x:c>
      <x:c r="O44" s="20" t="str">
        <x:v>https://zh.wikisource.org/wiki/%E6%BB%B4%E5%A4%A9%E9%AB%93%E9%97%A1%E5%BE%AE ; https://zh.wikisource.org/zh-hans/%E6%B7%B5%E6%B5%B7%E5%AD%90%E5%B9%B3；M20-PATTERN-0103-V1.0、M20-PATTERN-0104-V1.0</x:v>
      </x:c>
    </x:row>
    <x:row r="45">
      <x:c r="A45" s="20" t="str">
        <x:v>M21-PATTERN-0040-V1.0</x:v>
      </x:c>
      <x:c r="B45" s="20" t="str">
        <x:v>流派争议</x:v>
      </x:c>
      <x:c r="C45" s="20" t="str">
        <x:v>阴干羊刃地与是否取羊刃格</x:v>
      </x:c>
      <x:c r="D45" s="20" t="str">
        <x:v>M14-JIANREN-0048-V1.0</x:v>
      </x:c>
      <x:c r="E45" s="20" t="str">
        <x:v>M03/M09/M14/M15/M17</x:v>
      </x:c>
      <x:c r="F45" s="20" t="str">
        <x:v>当前不设跨流派统一阴干羊刃硬规则；只在明确选定的流派参数下生成候选。</x:v>
      </x:c>
      <x:c r="G45" s="20" t="str">
        <x:v>避免争议映射直接改变日主旺衰、建禄羊刃格局和用神方向。</x:v>
      </x:c>
      <x:c r="H45" s="20" t="str">
        <x:v>需要至少两套明确流派映射、经典出处和同盘对比案例后再决定是否参数化。</x:v>
      </x:c>
      <x:c r="I45" s="20" t="str">
        <x:v>高</x:v>
      </x:c>
      <x:c r="J45" s="20" t="str">
        <x:v>M03/M09/M14/M15/M17/M20</x:v>
      </x:c>
      <x:c r="K45" s="20" t="str">
        <x:v>V1.8</x:v>
      </x:c>
      <x:c r="L45" s="20" t="str">
        <x:v>V1.9</x:v>
      </x:c>
      <x:c r="M45" s="20" t="str">
        <x:v>拆分</x:v>
      </x:c>
      <x:c r="N45" s="20" t="str">
        <x:v>待验证</x:v>
      </x:c>
      <x:c r="O45" s="20" t="str">
        <x:v>M20-DISPUTE-0149-V1.0；https://zh.wikisource.org/wiki/%E6%BB%B4%E5%A4%A9%E9%AB%93%E9%97%A1%E5%BE%AE ; https://zh.wikisource.org/zh-hans/%E6%B7%B5%E6%B5%B7%E5%AD%90%E5%B9%B3</x:v>
      </x:c>
    </x:row>
    <x:row r="46">
      <x:c r="A46" s="20" t="str">
        <x:v>M21-CLIMATE-0041-V1.0</x:v>
      </x:c>
      <x:c r="B46" s="20" t="str">
        <x:v>定义修订</x:v>
      </x:c>
      <x:c r="C46" s="20" t="str">
        <x:v>冬月是否自动极寒、夏月是否自动极热</x:v>
      </x:c>
      <x:c r="D46" s="20" t="str">
        <x:v>M13-BOUND-0065-V1.0；M13-BOUND-0066-V1.0；M13-GEN-0002-V1.0</x:v>
      </x:c>
      <x:c r="E46" s="20" t="str">
        <x:v>M13/M16/M17</x:v>
      </x:c>
      <x:c r="F46" s="20" t="str">
        <x:v>冬夏只提供高权重基准，不自动等于极端；必须输出修正证据。</x:v>
      </x:c>
      <x:c r="G46" s="20" t="str">
        <x:v>可解释冬月火旺不寒、夏月水旺不热以及寒暖平衡边界。</x:v>
      </x:c>
      <x:c r="H46" s="20" t="str">
        <x:v>月令仍是温度轴起点，不能因全局修正而忽略季节背景。</x:v>
      </x:c>
      <x:c r="I46" s="20" t="str">
        <x:v>中</x:v>
      </x:c>
      <x:c r="J46" s="20" t="str">
        <x:v>M13/M16/M17/M18</x:v>
      </x:c>
      <x:c r="K46" s="20" t="str">
        <x:v>V1.8</x:v>
      </x:c>
      <x:c r="L46" s="20" t="str">
        <x:v>V1.9</x:v>
      </x:c>
      <x:c r="M46" s="20" t="str">
        <x:v>新增</x:v>
      </x:c>
      <x:c r="N46" s="20" t="str">
        <x:v>已生效</x:v>
      </x:c>
      <x:c r="O46" s="20" t="str">
        <x:v>M20-CLIMATE-0085-V1.0、M20-CLIMATE-0086-V1.0</x:v>
      </x:c>
    </x:row>
    <x:row r="47">
      <x:c r="A47" s="20" t="str">
        <x:v>M21-CLIMATE-0042-V1.0</x:v>
      </x:c>
      <x:c r="B47" s="20" t="str">
        <x:v>流派争议</x:v>
      </x:c>
      <x:c r="C47" s="20" t="str">
        <x:v>辰丑湿土、未戌燥土是否使用固定标签和权重</x:v>
      </x:c>
      <x:c r="D47" s="20" t="str">
        <x:v>M13-BOUND-0068-V1.0；M13-HUMID-0033-V1.0；M13-HUMID-0034-V1.0</x:v>
      </x:c>
      <x:c r="E47" s="20" t="str">
        <x:v>M03/M08/M13/M16</x:v>
      </x:c>
      <x:c r="F47" s="20" t="str">
        <x:v>保留辰丑增湿、未戌增燥的基础证据，但不采用固定跨命局权重。</x:v>
      </x:c>
      <x:c r="G47" s="20" t="str">
        <x:v>四季土同现、强火燥化、强水浸湿和合化时，固定标签会给出相反调候结论。</x:v>
      </x:c>
      <x:c r="H47" s="20" t="str">
        <x:v>湿燥修正的相对权重仍缺真实成组案例和跨流派统一标准。</x:v>
      </x:c>
      <x:c r="I47" s="20" t="str">
        <x:v>高</x:v>
      </x:c>
      <x:c r="J47" s="20" t="str">
        <x:v>M03/M08/M13/M16/M17/M20</x:v>
      </x:c>
      <x:c r="K47" s="20" t="str">
        <x:v>V1.8</x:v>
      </x:c>
      <x:c r="L47" s="20" t="str">
        <x:v>V1.9</x:v>
      </x:c>
      <x:c r="M47" s="20" t="str">
        <x:v>修订</x:v>
      </x:c>
      <x:c r="N47" s="20" t="str">
        <x:v>待验证</x:v>
      </x:c>
      <x:c r="O47" s="20" t="str">
        <x:v>M20-DISPUTE-0150-V1.0；https://zh.wikisource.org/wiki/%E6%BB%B4%E5%A4%A9%E9%AB%93%E9%97%A1%E5%BE%AE ; https://zh.wikisource.org/zh-hans/%E6%B7%B5%E6%B5%B7%E5%AD%90%E5%B9%B3</x:v>
      </x:c>
    </x:row>
    <x:row r="48">
      <x:c r="A48" s="20" t="str">
        <x:v>M21-CLIMATE-0043-V1.0</x:v>
      </x:c>
      <x:c r="B48" s="20" t="str">
        <x:v>规则冲突</x:v>
      </x:c>
      <x:c r="C48" s="20" t="str">
        <x:v>调候是否在所有命局中无条件优先</x:v>
      </x:c>
      <x:c r="D48" s="20" t="str">
        <x:v>M13-GEN-0008-V1.0；M13-CONFLICT-0064-V1.0；M18-CLIMATE-0025-V1.0</x:v>
      </x:c>
      <x:c r="E48" s="20" t="str">
        <x:v>M13/M15/M16/M17/M18</x:v>
      </x:c>
      <x:c r="F48" s="20" t="str">
        <x:v>轻度气候偏差降权；根本气候病优先恢复最低生化环境，同时接受特殊格局硬约束。</x:v>
      </x:c>
      <x:c r="G48" s="20" t="str">
        <x:v>避免为了追求抽象温度平衡而破坏清晰格局或日主基本承载。</x:v>
      </x:c>
      <x:c r="H48" s="20" t="str">
        <x:v>当不调候则格局和流通本身不能运行时，调候可压过一般扶抑优化。</x:v>
      </x:c>
      <x:c r="I48" s="20" t="str">
        <x:v>高</x:v>
      </x:c>
      <x:c r="J48" s="20" t="str">
        <x:v>M13/M15-M18</x:v>
      </x:c>
      <x:c r="K48" s="20" t="str">
        <x:v>V1.8</x:v>
      </x:c>
      <x:c r="L48" s="20" t="str">
        <x:v>V1.9</x:v>
      </x:c>
      <x:c r="M48" s="20" t="str">
        <x:v>新增</x:v>
      </x:c>
      <x:c r="N48" s="20" t="str">
        <x:v>已生效</x:v>
      </x:c>
      <x:c r="O48" s="20" t="str">
        <x:v>M20-CLIMATE-0093-V1.0、M20-MED-0115-V1.0</x:v>
      </x:c>
    </x:row>
    <x:row r="49">
      <x:c r="A49" s="20" t="str">
        <x:v>M21-CLIMATE-0044-V1.0</x:v>
      </x:c>
      <x:c r="B49" s="20" t="str">
        <x:v>权重修订</x:v>
      </x:c>
      <x:c r="C49" s="20" t="str">
        <x:v>调候所需五行是否越多越好</x:v>
      </x:c>
      <x:c r="D49" s="20" t="str">
        <x:v>M13-BOUND-0067-V1.0；M13-EFFECT-0055-V1.0；M18-DOSE-0062-V1.0</x:v>
      </x:c>
      <x:c r="E49" s="20" t="str">
        <x:v>M13/M16/M17/M18</x:v>
      </x:c>
      <x:c r="F49" s="20" t="str">
        <x:v>明确最小有效强度、平衡点和转忌条件；适量有利不等于无上限。</x:v>
      </x:c>
      <x:c r="G49" s="20" t="str">
        <x:v>可解释由寒转热、由湿转燥、水火相战和药神伤格等药量问题。</x:v>
      </x:c>
      <x:c r="H49" s="20" t="str">
        <x:v>原局药神极弱时仍需先达到有效门槛，不能因防过量而否定必要调候。</x:v>
      </x:c>
      <x:c r="I49" s="20" t="str">
        <x:v>高</x:v>
      </x:c>
      <x:c r="J49" s="20" t="str">
        <x:v>M13/M16/M17/M18/M19</x:v>
      </x:c>
      <x:c r="K49" s="20" t="str">
        <x:v>V1.8</x:v>
      </x:c>
      <x:c r="L49" s="20" t="str">
        <x:v>V1.9</x:v>
      </x:c>
      <x:c r="M49" s="20" t="str">
        <x:v>新增</x:v>
      </x:c>
      <x:c r="N49" s="20" t="str">
        <x:v>已生效</x:v>
      </x:c>
      <x:c r="O49" s="20" t="str">
        <x:v>M20-REGRESSION-0148-V1.0</x:v>
      </x:c>
    </x:row>
    <x:row r="50">
      <x:c r="A50" s="20" t="str">
        <x:v>M21-MEDUSE-0045-V1.0</x:v>
      </x:c>
      <x:c r="B50" s="20" t="str">
        <x:v>定义修订</x:v>
      </x:c>
      <x:c r="C50" s="20" t="str">
        <x:v>主药是否应按最显眼或最旺弱五行选择</x:v>
      </x:c>
      <x:c r="D50" s="20" t="str">
        <x:v>M16-GEN-0001-V1.0；M16-MED-0077-V1.0；M18-MED-0041-V1.0</x:v>
      </x:c>
      <x:c r="E50" s="20" t="str">
        <x:v>M16/M17/M18</x:v>
      </x:c>
      <x:c r="F50" s="20" t="str">
        <x:v>主药按根本病位、作用路径和不可替代性确定；只治表象者降为辅助或喜神。</x:v>
      </x:c>
      <x:c r="G50" s="20" t="str">
        <x:v>同一官杀压力可能源于身弱无依、财坏印或枭夺食，药路完全不同。</x:v>
      </x:c>
      <x:c r="H50" s="20" t="str">
        <x:v>当表象本身就是根本病且作用直接时，可由表象药升级，但必须证明。</x:v>
      </x:c>
      <x:c r="I50" s="20" t="str">
        <x:v>高</x:v>
      </x:c>
      <x:c r="J50" s="20" t="str">
        <x:v>M16/M17/M18/M19</x:v>
      </x:c>
      <x:c r="K50" s="20" t="str">
        <x:v>V1.8</x:v>
      </x:c>
      <x:c r="L50" s="20" t="str">
        <x:v>V1.9</x:v>
      </x:c>
      <x:c r="M50" s="20" t="str">
        <x:v>新增</x:v>
      </x:c>
      <x:c r="N50" s="20" t="str">
        <x:v>已生效</x:v>
      </x:c>
      <x:c r="O50" s="20" t="str">
        <x:v>M20-MED-0109-V1.0、M20-MED-0114-V1.0</x:v>
      </x:c>
    </x:row>
    <x:row r="51">
      <x:c r="A51" s="20" t="str">
        <x:v>M21-MEDUSE-0046-V1.0</x:v>
      </x:c>
      <x:c r="B51" s="20" t="str">
        <x:v>规则冲突</x:v>
      </x:c>
      <x:c r="C51" s="20" t="str">
        <x:v>单一维度有利是否可以直接定主用神</x:v>
      </x:c>
      <x:c r="D51" s="20" t="str">
        <x:v>M17-GEN-0002-V1.0；M17-GEN-0004-V1.0；M18-RANK-0069-V1.0</x:v>
      </x:c>
      <x:c r="E51" s="20" t="str">
        <x:v>M17/M18</x:v>
      </x:c>
      <x:c r="F51" s="20" t="str">
        <x:v>单维正向只生成候选；解决根本病或最高硬约束且通过无硬否决审查者才可定主用。</x:v>
      </x:c>
      <x:c r="G51" s="20" t="str">
        <x:v>避免调候有利却破格、通关有利却加重寒湿、扶身有利却破从等冲突。</x:v>
      </x:c>
      <x:c r="H51" s="20" t="str">
        <x:v>一神多效且多个独立关键维度同向时，可升级主用，但仍须限量。</x:v>
      </x:c>
      <x:c r="I51" s="20" t="str">
        <x:v>高</x:v>
      </x:c>
      <x:c r="J51" s="20" t="str">
        <x:v>M17/M18/M19</x:v>
      </x:c>
      <x:c r="K51" s="20" t="str">
        <x:v>V1.8</x:v>
      </x:c>
      <x:c r="L51" s="20" t="str">
        <x:v>V1.9</x:v>
      </x:c>
      <x:c r="M51" s="20" t="str">
        <x:v>新增</x:v>
      </x:c>
      <x:c r="N51" s="20" t="str">
        <x:v>已生效</x:v>
      </x:c>
      <x:c r="O51" s="20" t="str">
        <x:v>M20-USE-0119-V1.0、M20-USE-0120-V1.0</x:v>
      </x:c>
    </x:row>
    <x:row r="52">
      <x:c r="A52" s="20" t="str">
        <x:v>M21-MEDUSE-0047-V1.0</x:v>
      </x:c>
      <x:c r="B52" s="20" t="str">
        <x:v>流派争议</x:v>
      </x:c>
      <x:c r="C52" s="20" t="str">
        <x:v>格局、病药、调候、通关和扶抑是否存在固定恒定顺序</x:v>
      </x:c>
      <x:c r="D52" s="20" t="str">
        <x:v>M18-GEN-0001-V1.0；M18-BOUND-0078-V1.0</x:v>
      </x:c>
      <x:c r="E52" s="20" t="str">
        <x:v>M15-M18</x:v>
      </x:c>
      <x:c r="F52" s="20" t="str">
        <x:v>不设无条件固定模块顺序；当前命局中不可替代、严重度更高且不制造更大病者优先。</x:v>
      </x:c>
      <x:c r="G52" s="20" t="str">
        <x:v>同一调候五行在普通格与特殊格、轻度偏寒与寒凝停顿中优先级完全不同。</x:v>
      </x:c>
      <x:c r="H52" s="20" t="str">
        <x:v>某些条件下可形成稳定局部顺序，如严格特殊格局硬约束高于普通扶抑，但必须先通过资格审查。</x:v>
      </x:c>
      <x:c r="I52" s="20" t="str">
        <x:v>高</x:v>
      </x:c>
      <x:c r="J52" s="20" t="str">
        <x:v>M15/M16/M17/M18</x:v>
      </x:c>
      <x:c r="K52" s="20" t="str">
        <x:v>V1.8</x:v>
      </x:c>
      <x:c r="L52" s="20" t="str">
        <x:v>V1.9</x:v>
      </x:c>
      <x:c r="M52" s="20" t="str">
        <x:v>新增</x:v>
      </x:c>
      <x:c r="N52" s="20" t="str">
        <x:v>已生效</x:v>
      </x:c>
      <x:c r="O52" s="20" t="str">
        <x:v>M20-USE-0128-V1.0</x:v>
      </x:c>
    </x:row>
    <x:row r="53">
      <x:c r="A53" s="20" t="str">
        <x:v>M21-CASE-0048-V1.0</x:v>
      </x:c>
      <x:c r="B53" s="20" t="str">
        <x:v>案例反证</x:v>
      </x:c>
      <x:c r="C53" s="20" t="str">
        <x:v>交节临界但缺精确时区和交节时刻时的输出闸门</x:v>
      </x:c>
      <x:c r="D53" s="20" t="str">
        <x:v>M03-PROC-0019-V1.0；M19-META-0001-V1.0</x:v>
      </x:c>
      <x:c r="E53" s="20" t="str">
        <x:v>M03/M19/M20</x:v>
      </x:c>
      <x:c r="F53" s="20" t="str">
        <x:v>不设固定“一分钟/一天”经验阈值；以精确天文交节时刻为准，资料不足触发双盘和输入质量闸门。</x:v>
      </x:c>
      <x:c r="G53" s="20" t="str">
        <x:v>月令变化会连锁影响根气、旺衰、调候、格局和喜忌，错误唯一化代价过高。</x:v>
      </x:c>
      <x:c r="H53" s="20" t="str">
        <x:v>当前M20为合成边界案例，仍需真实出生时间和节气数据验证操作流程。</x:v>
      </x:c>
      <x:c r="I53" s="20" t="str">
        <x:v>高</x:v>
      </x:c>
      <x:c r="J53" s="20" t="str">
        <x:v>M03/M07-M19</x:v>
      </x:c>
      <x:c r="K53" s="20" t="str">
        <x:v>V1.8</x:v>
      </x:c>
      <x:c r="L53" s="20" t="str">
        <x:v>V1.9</x:v>
      </x:c>
      <x:c r="M53" s="20" t="str">
        <x:v>修订</x:v>
      </x:c>
      <x:c r="N53" s="20" t="str">
        <x:v>待验证</x:v>
      </x:c>
      <x:c r="O53" s="20" t="str">
        <x:v>M20-BASE-0005-V1.0；需补真实交节时刻样本</x:v>
      </x:c>
    </x:row>
    <x:row r="54">
      <x:c r="A54" s="20" t="str">
        <x:v>M21-CASE-0049-V1.0</x:v>
      </x:c>
      <x:c r="B54" s="20" t="str">
        <x:v>案例反证</x:v>
      </x:c>
      <x:c r="C54" s="20" t="str">
        <x:v>残根假从边界的真实案例回归要求</x:v>
      </x:c>
      <x:c r="D54" s="20" t="str">
        <x:v>M14-CONG-0056-V1.0；M15-CONG-0069-V1.0；M19-USE-0045-V1.0</x:v>
      </x:c>
      <x:c r="E54" s="20" t="str">
        <x:v>M08/M09/M14/M15/M19/M20</x:v>
      </x:c>
      <x:c r="F54" s="20" t="str">
        <x:v>当前只确认“不能写真从”；残根具体权重和最终顺势/扶身排序等待真实案例回归。</x:v>
      </x:c>
      <x:c r="G54" s="20" t="str">
        <x:v>M20两个案例均能稳定阻止真从，但无法仅凭合成事实确定残根的现实承载上限。</x:v>
      </x:c>
      <x:c r="H54" s="20" t="str">
        <x:v>若真实案例显示特定四季月余气在透达、有源或受制条件下有稳定权重，可进一步拆分规则。</x:v>
      </x:c>
      <x:c r="I54" s="20" t="str">
        <x:v>高</x:v>
      </x:c>
      <x:c r="J54" s="20" t="str">
        <x:v>M08/M09/M14/M15/M17/M18/M19</x:v>
      </x:c>
      <x:c r="K54" s="20" t="str">
        <x:v>V1.8</x:v>
      </x:c>
      <x:c r="L54" s="20" t="str">
        <x:v>V1.9</x:v>
      </x:c>
      <x:c r="M54" s="20" t="str">
        <x:v>拆分</x:v>
      </x:c>
      <x:c r="N54" s="20" t="str">
        <x:v>待验证</x:v>
      </x:c>
      <x:c r="O54" s="20" t="str">
        <x:v>M20-PATTERN-0105-V1.0；M20-INTEGRATION-0141-V1.0</x:v>
      </x:c>
    </x:row>
    <x:row r="55">
      <x:c r="A55" s="20" t="str">
        <x:v>M21-CASE-0050-V1.0</x:v>
      </x:c>
      <x:c r="B55" s="20" t="str">
        <x:v>案例反证</x:v>
      </x:c>
      <x:c r="C55" s="20" t="str">
        <x:v>非标准通关但一药多效是否足以升级主用</x:v>
      </x:c>
      <x:c r="D55" s="20" t="str">
        <x:v>M16-MED-0078-V1.0；M17-BINGYAO-0059-V1.0；M18-MED-0045-V1.0</x:v>
      </x:c>
      <x:c r="E55" s="20" t="str">
        <x:v>M12/M13/M16/M17/M18</x:v>
      </x:c>
      <x:c r="F55" s="20" t="str">
        <x:v>允许生成复合候选，但在证明其覆盖原主冲突、路径连续且副作用小于标准通关前，不升级为确定主用。</x:v>
      </x:c>
      <x:c r="G55" s="20" t="str">
        <x:v>一药多效可减少药路冲突，但也容易以局部改善误替代尚未解决的核心克战。</x:v>
      </x:c>
      <x:c r="H55" s="20" t="str">
        <x:v>当前M20合成案例只证明方向可能，缺少完整源头—桥梁—终点与真实命例复核。</x:v>
      </x:c>
      <x:c r="I55" s="20" t="str">
        <x:v>中</x:v>
      </x:c>
      <x:c r="J55" s="20" t="str">
        <x:v>M12/M13/M16/M17/M18/M20</x:v>
      </x:c>
      <x:c r="K55" s="20" t="str">
        <x:v>V1.8</x:v>
      </x:c>
      <x:c r="L55" s="20" t="str">
        <x:v>V1.9</x:v>
      </x:c>
      <x:c r="M55" s="20" t="str">
        <x:v>修订</x:v>
      </x:c>
      <x:c r="N55" s="20" t="str">
        <x:v>待验证</x:v>
      </x:c>
      <x:c r="O55" s="20" t="str">
        <x:v>M20-MED-0116-V1.0</x:v>
      </x:c>
    </x:row>
  </x:sheetData>
  <x:mergeCells>
    <x:mergeCell ref="A1:O1"/>
    <x:mergeCell ref="A2:O2"/>
  </x:mergeCells>
  <x:conditionalFormatting sqref="N6:N55">
    <x:cfRule type="expression" dxfId="0" priority="1">
      <x:formula>N6="待验证"</x:formula>
    </x:cfRule>
  </x:conditionalFormatting>
  <x:conditionalFormatting sqref="I6:I55">
    <x:cfRule type="expression" dxfId="1" priority="2">
      <x:formula>I6="高"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f4b085193fc4be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2" hidden="0" customWidth="1"/>
    <x:col min="4" max="4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>
      <x:c r="A1" s="5" t="str">
        <x:v>真实命例回归工作台｜下拉选项与模块字典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14" t="str">
        <x:v>模块代码</x:v>
      </x:c>
      <x:c r="B3" s="14" t="str">
        <x:v>模块名称</x:v>
      </x:c>
      <x:c r="C3" s="14" t="str">
        <x:v>推理层级</x:v>
      </x:c>
      <x:c r="D3" s="14" t="str">
        <x:v>前置模块</x:v>
      </x:c>
      <x:c r="E3" s="20"/>
      <x:c r="F3" s="14" t="str">
        <x:v>分析状态</x:v>
      </x:c>
      <x:c r="G3" s="14" t="str">
        <x:v>置信度</x:v>
      </x:c>
      <x:c r="H3" s="14" t="str">
        <x:v>是否/条件</x:v>
      </x:c>
      <x:c r="I3" s="14" t="str">
        <x:v>性别</x:v>
      </x:c>
      <x:c r="J3" s="14" t="str">
        <x:v>历法</x:v>
      </x:c>
      <x:c r="K3" s="14" t="str">
        <x:v>案例来源</x:v>
      </x:c>
      <x:c r="L3" s="14" t="str">
        <x:v>来源可靠性</x:v>
      </x:c>
      <x:c r="M3" s="14" t="str">
        <x:v>资料确定性</x:v>
      </x:c>
      <x:c r="N3" s="14" t="str">
        <x:v>交节状态</x:v>
      </x:c>
      <x:c r="O3" s="14" t="str">
        <x:v>反馈状态</x:v>
      </x:c>
      <x:c r="P3" s="14" t="str">
        <x:v>报告状态</x:v>
      </x:c>
      <x:c r="Q3" s="14" t="str">
        <x:v>回归状态</x:v>
      </x:c>
      <x:c r="R3" s="14" t="str">
        <x:v>差异类型</x:v>
      </x:c>
      <x:c r="S3" s="14" t="str">
        <x:v>根因类型</x:v>
      </x:c>
      <x:c r="T3" s="14" t="str">
        <x:v>严重度</x:v>
      </x:c>
      <x:c r="U3" s="14" t="str">
        <x:v>支持程度</x:v>
      </x:c>
      <x:c r="V3" s="14" t="str">
        <x:v>证据类型</x:v>
      </x:c>
      <x:c r="W3" s="14" t="str">
        <x:v>主题领域</x:v>
      </x:c>
      <x:c r="X3" s="14" t="str">
        <x:v>反馈来源</x:v>
      </x:c>
      <x:c r="Y3" s="14" t="str">
        <x:v>五行</x:v>
      </x:c>
      <x:c r="Z3" s="14" t="str">
        <x:v>五行/日主旺衰</x:v>
      </x:c>
      <x:c r="AA3" s="14" t="str">
        <x:v>温度状态</x:v>
      </x:c>
      <x:c r="AB3" s="14" t="str">
        <x:v>湿度状态</x:v>
      </x:c>
      <x:c r="AC3" s="14" t="str">
        <x:v>调候紧急度</x:v>
      </x:c>
      <x:c r="AD3" s="14" t="str">
        <x:v>格局状态</x:v>
      </x:c>
      <x:c r="AE3" s="14" t="str">
        <x:v>综合定位</x:v>
      </x:c>
      <x:c r="AF3" s="14" t="str">
        <x:v>主次优先级</x:v>
      </x:c>
      <x:c r="AG3" s="14" t="str">
        <x:v>复核状态</x:v>
      </x:c>
      <x:c r="AH3" s="14" t="str">
        <x:v>隐私授权</x:v>
      </x:c>
      <x:c r="AI3" s="14" t="str">
        <x:v>常用时区</x:v>
      </x:c>
      <x:c r="AJ3" s="14" t="str">
        <x:v>核心版本</x:v>
      </x:c>
      <x:c r="AK3" s="14" t="str">
        <x:v>是否转动态模型</x:v>
      </x:c>
    </x:row>
    <x:row r="4">
      <x:c r="A4" s="20" t="str">
        <x:v>M02</x:v>
      </x:c>
      <x:c r="B4" s="20" t="str">
        <x:v>干支藏干基础</x:v>
      </x:c>
      <x:c r="C4" s="20" t="str">
        <x:v>识别层</x:v>
      </x:c>
      <x:c r="D4" s="20" t="str">
        <x:v>无</x:v>
      </x:c>
      <x:c r="E4" s="20"/>
      <x:c r="F4" s="20" t="str">
        <x:v>未开始</x:v>
      </x:c>
      <x:c r="G4" s="20" t="str">
        <x:v>确定</x:v>
      </x:c>
      <x:c r="H4" s="20" t="str">
        <x:v>是</x:v>
      </x:c>
      <x:c r="I4" s="20" t="str">
        <x:v>男</x:v>
      </x:c>
      <x:c r="J4" s="20" t="str">
        <x:v>公历</x:v>
      </x:c>
      <x:c r="K4" s="20" t="str">
        <x:v>本人咨询</x:v>
      </x:c>
      <x:c r="L4" s="20" t="str">
        <x:v>高</x:v>
      </x:c>
      <x:c r="M4" s="20" t="str">
        <x:v>精确</x:v>
      </x:c>
      <x:c r="N4" s="20" t="str">
        <x:v>非交节边界</x:v>
      </x:c>
      <x:c r="O4" s="20" t="str">
        <x:v>无反馈</x:v>
      </x:c>
      <x:c r="P4" s="20" t="str">
        <x:v>未生成</x:v>
      </x:c>
      <x:c r="Q4" s="20" t="str">
        <x:v>未评估</x:v>
      </x:c>
      <x:c r="R4" s="20" t="str">
        <x:v>输入错误</x:v>
      </x:c>
      <x:c r="S4" s="20" t="str">
        <x:v>输入</x:v>
      </x:c>
      <x:c r="T4" s="20" t="str">
        <x:v>低</x:v>
      </x:c>
      <x:c r="U4" s="20" t="str">
        <x:v>支持</x:v>
      </x:c>
      <x:c r="V4" s="20" t="str">
        <x:v>原始资料</x:v>
      </x:c>
      <x:c r="W4" s="20" t="str">
        <x:v>综合</x:v>
      </x:c>
      <x:c r="X4" s="20" t="str">
        <x:v>本人</x:v>
      </x:c>
      <x:c r="Y4" s="20" t="str">
        <x:v>木</x:v>
      </x:c>
      <x:c r="Z4" s="20" t="str">
        <x:v>极弱</x:v>
      </x:c>
      <x:c r="AA4" s="20" t="str">
        <x:v>极寒</x:v>
      </x:c>
      <x:c r="AB4" s="20" t="str">
        <x:v>极湿</x:v>
      </x:c>
      <x:c r="AC4" s="20" t="str">
        <x:v>低</x:v>
      </x:c>
      <x:c r="AD4" s="20" t="str">
        <x:v>不成立</x:v>
      </x:c>
      <x:c r="AE4" s="20" t="str">
        <x:v>主用神</x:v>
      </x:c>
      <x:c r="AF4" s="20" t="str">
        <x:v>第一顺位</x:v>
      </x:c>
      <x:c r="AG4" s="20" t="str">
        <x:v>未复核</x:v>
      </x:c>
      <x:c r="AH4" s="20" t="str">
        <x:v>已授权匿名使用</x:v>
      </x:c>
      <x:c r="AI4" s="20" t="str">
        <x:v>Asia/Shanghai</x:v>
      </x:c>
      <x:c r="AJ4" s="20" t="str">
        <x:v>V1.9</x:v>
      </x:c>
      <x:c r="AK4" s="20" t="str">
        <x:v>是</x:v>
      </x:c>
    </x:row>
    <x:row r="5">
      <x:c r="A5" s="20" t="str">
        <x:v>M03</x:v>
      </x:c>
      <x:c r="B5" s="20" t="str">
        <x:v>月令与根气</x:v>
      </x:c>
      <x:c r="C5" s="20" t="str">
        <x:v>结构层</x:v>
      </x:c>
      <x:c r="D5" s="20" t="str">
        <x:v>M02</x:v>
      </x:c>
      <x:c r="E5" s="20"/>
      <x:c r="F5" s="20" t="str">
        <x:v>进行中</x:v>
      </x:c>
      <x:c r="G5" s="20" t="str">
        <x:v>较高</x:v>
      </x:c>
      <x:c r="H5" s="20" t="str">
        <x:v>否</x:v>
      </x:c>
      <x:c r="I5" s="20" t="str">
        <x:v>女</x:v>
      </x:c>
      <x:c r="J5" s="20" t="str">
        <x:v>农历</x:v>
      </x:c>
      <x:c r="K5" s="20" t="str">
        <x:v>家属转述</x:v>
      </x:c>
      <x:c r="L5" s="20" t="str">
        <x:v>中</x:v>
      </x:c>
      <x:c r="M5" s="20" t="str">
        <x:v>约数</x:v>
      </x:c>
      <x:c r="N5" s="20" t="str">
        <x:v>接近交节</x:v>
      </x:c>
      <x:c r="O5" s="20" t="str">
        <x:v>待回访</x:v>
      </x:c>
      <x:c r="P5" s="20" t="str">
        <x:v>内部稿</x:v>
      </x:c>
      <x:c r="Q5" s="20" t="str">
        <x:v>待建立</x:v>
      </x:c>
      <x:c r="R5" s="20" t="str">
        <x:v>规则边界</x:v>
      </x:c>
      <x:c r="S5" s="20" t="str">
        <x:v>识别</x:v>
      </x:c>
      <x:c r="T5" s="20" t="str">
        <x:v>中</x:v>
      </x:c>
      <x:c r="U5" s="20" t="str">
        <x:v>部分支持</x:v>
      </x:c>
      <x:c r="V5" s="20" t="str">
        <x:v>当事人陈述</x:v>
      </x:c>
      <x:c r="W5" s="20" t="str">
        <x:v>婚恋</x:v>
      </x:c>
      <x:c r="X5" s="20" t="str">
        <x:v>家属</x:v>
      </x:c>
      <x:c r="Y5" s="20" t="str">
        <x:v>火</x:v>
      </x:c>
      <x:c r="Z5" s="20" t="str">
        <x:v>弱</x:v>
      </x:c>
      <x:c r="AA5" s="20" t="str">
        <x:v>偏寒</x:v>
      </x:c>
      <x:c r="AB5" s="20" t="str">
        <x:v>偏湿</x:v>
      </x:c>
      <x:c r="AC5" s="20" t="str">
        <x:v>中</x:v>
      </x:c>
      <x:c r="AD5" s="20" t="str">
        <x:v>基本成立</x:v>
      </x:c>
      <x:c r="AE5" s="20" t="str">
        <x:v>辅助用神</x:v>
      </x:c>
      <x:c r="AF5" s="20" t="str">
        <x:v>第二顺位</x:v>
      </x:c>
      <x:c r="AG5" s="20" t="str">
        <x:v>复核中</x:v>
      </x:c>
      <x:c r="AH5" s="20" t="str">
        <x:v>仅本人分析</x:v>
      </x:c>
      <x:c r="AI5" s="20" t="str">
        <x:v>Asia/Hong_Kong</x:v>
      </x:c>
      <x:c r="AJ5" s="20"/>
      <x:c r="AK5" s="20" t="str">
        <x:v>否</x:v>
      </x:c>
    </x:row>
    <x:row r="6">
      <x:c r="A6" s="20" t="str">
        <x:v>M04</x:v>
      </x:c>
      <x:c r="B6" s="20" t="str">
        <x:v>天干作用识别</x:v>
      </x:c>
      <x:c r="C6" s="20" t="str">
        <x:v>识别层</x:v>
      </x:c>
      <x:c r="D6" s="20" t="str">
        <x:v>M02</x:v>
      </x:c>
      <x:c r="E6" s="20"/>
      <x:c r="F6" s="20" t="str">
        <x:v>已完成</x:v>
      </x:c>
      <x:c r="G6" s="20" t="str">
        <x:v>中等</x:v>
      </x:c>
      <x:c r="H6" s="20" t="str">
        <x:v>条件性</x:v>
      </x:c>
      <x:c r="I6" s="20" t="str">
        <x:v>未知</x:v>
      </x:c>
      <x:c r="J6" s="20" t="str">
        <x:v>未知</x:v>
      </x:c>
      <x:c r="K6" s="20" t="str">
        <x:v>历史命例</x:v>
      </x:c>
      <x:c r="L6" s="20" t="str">
        <x:v>低</x:v>
      </x:c>
      <x:c r="M6" s="20" t="str">
        <x:v>缺失</x:v>
      </x:c>
      <x:c r="N6" s="20" t="str">
        <x:v>需双盘</x:v>
      </x:c>
      <x:c r="O6" s="20" t="str">
        <x:v>已反馈</x:v>
      </x:c>
      <x:c r="P6" s="20" t="str">
        <x:v>已复核</x:v>
      </x:c>
      <x:c r="Q6" s="20" t="str">
        <x:v>进行中</x:v>
      </x:c>
      <x:c r="R6" s="20" t="str">
        <x:v>权重问题</x:v>
      </x:c>
      <x:c r="S6" s="20" t="str">
        <x:v>效应</x:v>
      </x:c>
      <x:c r="T6" s="20" t="str">
        <x:v>高</x:v>
      </x:c>
      <x:c r="U6" s="20" t="str">
        <x:v>反证</x:v>
      </x:c>
      <x:c r="V6" s="20" t="str">
        <x:v>第三方陈述</x:v>
      </x:c>
      <x:c r="W6" s="20" t="str">
        <x:v>事业</x:v>
      </x:c>
      <x:c r="X6" s="20" t="str">
        <x:v>第三方</x:v>
      </x:c>
      <x:c r="Y6" s="20" t="str">
        <x:v>土</x:v>
      </x:c>
      <x:c r="Z6" s="20" t="str">
        <x:v>中和偏弱</x:v>
      </x:c>
      <x:c r="AA6" s="20" t="str">
        <x:v>平衡</x:v>
      </x:c>
      <x:c r="AB6" s="20" t="str">
        <x:v>平衡</x:v>
      </x:c>
      <x:c r="AC6" s="20" t="str">
        <x:v>高</x:v>
      </x:c>
      <x:c r="AD6" s="20" t="str">
        <x:v>成立但有破</x:v>
      </x:c>
      <x:c r="AE6" s="20" t="str">
        <x:v>喜神</x:v>
      </x:c>
      <x:c r="AF6" s="20" t="str">
        <x:v>第三顺位</x:v>
      </x:c>
      <x:c r="AG6" s="20" t="str">
        <x:v>通过</x:v>
      </x:c>
      <x:c r="AH6" s="20" t="str">
        <x:v>禁止入库</x:v>
      </x:c>
      <x:c r="AI6" s="20" t="str">
        <x:v>Asia/Taipei</x:v>
      </x:c>
      <x:c r="AJ6" s="20"/>
      <x:c r="AK6" s="20" t="str">
        <x:v>待定</x:v>
      </x:c>
    </x:row>
    <x:row r="7">
      <x:c r="A7" s="20" t="str">
        <x:v>M05</x:v>
      </x:c>
      <x:c r="B7" s="20" t="str">
        <x:v>地支关系识别</x:v>
      </x:c>
      <x:c r="C7" s="20" t="str">
        <x:v>识别层</x:v>
      </x:c>
      <x:c r="D7" s="20" t="str">
        <x:v>M02</x:v>
      </x:c>
      <x:c r="E7" s="20"/>
      <x:c r="F7" s="20" t="str">
        <x:v>待复核</x:v>
      </x:c>
      <x:c r="G7" s="20" t="str">
        <x:v>较低</x:v>
      </x:c>
      <x:c r="H7" s="20"/>
      <x:c r="I7" s="20" t="str">
        <x:v>不适用</x:v>
      </x:c>
      <x:c r="J7" s="20"/>
      <x:c r="K7" s="20" t="str">
        <x:v>公开案例</x:v>
      </x:c>
      <x:c r="L7" s="20" t="str">
        <x:v>待核</x:v>
      </x:c>
      <x:c r="M7" s="20" t="str">
        <x:v>冲突</x:v>
      </x:c>
      <x:c r="N7" s="20" t="str">
        <x:v>已核准</x:v>
      </x:c>
      <x:c r="O7" s="20" t="str">
        <x:v>反馈不完整</x:v>
      </x:c>
      <x:c r="P7" s="20" t="str">
        <x:v>已交付</x:v>
      </x:c>
      <x:c r="Q7" s="20" t="str">
        <x:v>已复测</x:v>
      </x:c>
      <x:c r="R7" s="20" t="str">
        <x:v>关系效应</x:v>
      </x:c>
      <x:c r="S7" s="20" t="str">
        <x:v>旺衰</x:v>
      </x:c>
      <x:c r="T7" s="20" t="str">
        <x:v>严重</x:v>
      </x:c>
      <x:c r="U7" s="20" t="str">
        <x:v>不明确</x:v>
      </x:c>
      <x:c r="V7" s="20" t="str">
        <x:v>文档记录</x:v>
      </x:c>
      <x:c r="W7" s="20" t="str">
        <x:v>财富</x:v>
      </x:c>
      <x:c r="X7" s="20" t="str">
        <x:v>公开记录</x:v>
      </x:c>
      <x:c r="Y7" s="20" t="str">
        <x:v>金</x:v>
      </x:c>
      <x:c r="Z7" s="20" t="str">
        <x:v>中和</x:v>
      </x:c>
      <x:c r="AA7" s="20" t="str">
        <x:v>偏暖</x:v>
      </x:c>
      <x:c r="AB7" s="20" t="str">
        <x:v>偏燥</x:v>
      </x:c>
      <x:c r="AC7" s="20" t="str">
        <x:v>首要</x:v>
      </x:c>
      <x:c r="AD7" s="20" t="str">
        <x:v>有破有救</x:v>
      </x:c>
      <x:c r="AE7" s="20" t="str">
        <x:v>条件性喜神</x:v>
      </x:c>
      <x:c r="AF7" s="20" t="str">
        <x:v>条件顺位</x:v>
      </x:c>
      <x:c r="AG7" s="20" t="str">
        <x:v>需修改</x:v>
      </x:c>
      <x:c r="AH7" s="20" t="str">
        <x:v>待确认</x:v>
      </x:c>
      <x:c r="AI7" s="20" t="str">
        <x:v>America/Los_Angeles</x:v>
      </x:c>
      <x:c r="AJ7" s="20"/>
      <x:c r="AK7" s="20"/>
    </x:row>
    <x:row r="8">
      <x:c r="A8" s="20" t="str">
        <x:v>M06</x:v>
      </x:c>
      <x:c r="B8" s="20" t="str">
        <x:v>干支关系效应</x:v>
      </x:c>
      <x:c r="C8" s="20" t="str">
        <x:v>效应层</x:v>
      </x:c>
      <x:c r="D8" s="20" t="str">
        <x:v>M03/M04/M05</x:v>
      </x:c>
      <x:c r="E8" s="20"/>
      <x:c r="F8" s="20" t="str">
        <x:v>不适用</x:v>
      </x:c>
      <x:c r="G8" s="20" t="str">
        <x:v>待验证</x:v>
      </x:c>
      <x:c r="H8" s="20"/>
      <x:c r="I8" s="20"/>
      <x:c r="J8" s="20"/>
      <x:c r="K8" s="20" t="str">
        <x:v>内部合成</x:v>
      </x:c>
      <x:c r="L8" s="20"/>
      <x:c r="M8" s="20"/>
      <x:c r="N8" s="20"/>
      <x:c r="O8" s="20"/>
      <x:c r="P8" s="20"/>
      <x:c r="Q8" s="20" t="str">
        <x:v>已关闭</x:v>
      </x:c>
      <x:c r="R8" s="20" t="str">
        <x:v>组合成立</x:v>
      </x:c>
      <x:c r="S8" s="20" t="str">
        <x:v>组合</x:v>
      </x:c>
      <x:c r="T8" s="20"/>
      <x:c r="U8" s="20" t="str">
        <x:v>不适用</x:v>
      </x:c>
      <x:c r="V8" s="20" t="str">
        <x:v>时间记录</x:v>
      </x:c>
      <x:c r="W8" s="20" t="str">
        <x:v>健康</x:v>
      </x:c>
      <x:c r="X8" s="20" t="str">
        <x:v>复盘访谈</x:v>
      </x:c>
      <x:c r="Y8" s="20" t="str">
        <x:v>水</x:v>
      </x:c>
      <x:c r="Z8" s="20" t="str">
        <x:v>中和偏旺</x:v>
      </x:c>
      <x:c r="AA8" s="20" t="str">
        <x:v>极热</x:v>
      </x:c>
      <x:c r="AB8" s="20" t="str">
        <x:v>极燥</x:v>
      </x:c>
      <x:c r="AC8" s="20" t="str">
        <x:v>待定</x:v>
      </x:c>
      <x:c r="AD8" s="20" t="str">
        <x:v>清纯成立</x:v>
      </x:c>
      <x:c r="AE8" s="20" t="str">
        <x:v>中性</x:v>
      </x:c>
      <x:c r="AF8" s="20" t="str">
        <x:v>不采用</x:v>
      </x:c>
      <x:c r="AG8" s="20" t="str">
        <x:v>待验证</x:v>
      </x:c>
      <x:c r="AH8" s="20"/>
      <x:c r="AI8" s="20" t="str">
        <x:v>UTC</x:v>
      </x:c>
      <x:c r="AJ8" s="20"/>
      <x:c r="AK8" s="20"/>
    </x:row>
    <x:row r="9">
      <x:c r="A9" s="20" t="str">
        <x:v>M07</x:v>
      </x:c>
      <x:c r="B9" s="20" t="str">
        <x:v>五行原始旺衰</x:v>
      </x:c>
      <x:c r="C9" s="20" t="str">
        <x:v>结构层</x:v>
      </x:c>
      <x:c r="D9" s="20" t="str">
        <x:v>M02/M03</x:v>
      </x:c>
      <x:c r="E9" s="20"/>
      <x:c r="F9" s="20"/>
      <x:c r="G9" s="20"/>
      <x:c r="H9" s="20"/>
      <x:c r="I9" s="20"/>
      <x:c r="J9" s="20"/>
      <x:c r="K9" s="20" t="str">
        <x:v>其他</x:v>
      </x:c>
      <x:c r="L9" s="20"/>
      <x:c r="M9" s="20"/>
      <x:c r="N9" s="20"/>
      <x:c r="O9" s="20"/>
      <x:c r="P9" s="20"/>
      <x:c r="Q9" s="20"/>
      <x:c r="R9" s="20" t="str">
        <x:v>格局判断</x:v>
      </x:c>
      <x:c r="S9" s="20" t="str">
        <x:v>流通</x:v>
      </x:c>
      <x:c r="T9" s="20"/>
      <x:c r="U9" s="20"/>
      <x:c r="V9" s="20" t="str">
        <x:v>公开资料</x:v>
      </x:c>
      <x:c r="W9" s="20" t="str">
        <x:v>家庭</x:v>
      </x:c>
      <x:c r="X9" s="20" t="str">
        <x:v>其他</x:v>
      </x:c>
      <x:c r="Y9" s="20"/>
      <x:c r="Z9" s="20" t="str">
        <x:v>旺</x:v>
      </x:c>
      <x:c r="AA9" s="20"/>
      <x:c r="AB9" s="20"/>
      <x:c r="AC9" s="20"/>
      <x:c r="AD9" s="20" t="str">
        <x:v>特殊格局严格成立</x:v>
      </x:c>
      <x:c r="AE9" s="20" t="str">
        <x:v>条件性忌神</x:v>
      </x:c>
      <x:c r="AF9" s="20" t="str">
        <x:v>待定</x:v>
      </x:c>
      <x:c r="AG9" s="20"/>
      <x:c r="AH9" s="20"/>
      <x:c r="AI9" s="20" t="str">
        <x:v>其他</x:v>
      </x:c>
      <x:c r="AJ9" s="20"/>
      <x:c r="AK9" s="20"/>
    </x:row>
    <x:row r="10">
      <x:c r="A10" s="20" t="str">
        <x:v>M08</x:v>
      </x:c>
      <x:c r="B10" s="20" t="str">
        <x:v>五行有效旺衰</x:v>
      </x:c>
      <x:c r="C10" s="20" t="str">
        <x:v>结构层</x:v>
      </x:c>
      <x:c r="D10" s="20" t="str">
        <x:v>M06/M07</x:v>
      </x:c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 t="str">
        <x:v>病药判断</x:v>
      </x:c>
      <x:c r="S10" s="20" t="str">
        <x:v>调候</x:v>
      </x:c>
      <x:c r="T10" s="20"/>
      <x:c r="U10" s="20"/>
      <x:c r="V10" s="20" t="str">
        <x:v>分析师推断</x:v>
      </x:c>
      <x:c r="W10" s="20" t="str">
        <x:v>性格</x:v>
      </x:c>
      <x:c r="X10" s="20"/>
      <x:c r="Y10" s="20"/>
      <x:c r="Z10" s="20" t="str">
        <x:v>极旺</x:v>
      </x:c>
      <x:c r="AA10" s="20"/>
      <x:c r="AB10" s="20"/>
      <x:c r="AC10" s="20"/>
      <x:c r="AD10" s="20" t="str">
        <x:v>待定</x:v>
      </x:c>
      <x:c r="AE10" s="20" t="str">
        <x:v>忌神</x:v>
      </x:c>
      <x:c r="AF10" s="20"/>
      <x:c r="AG10" s="20"/>
      <x:c r="AH10" s="20"/>
      <x:c r="AI10" s="20"/>
      <x:c r="AJ10" s="20"/>
      <x:c r="AK10" s="20"/>
    </x:row>
    <x:row r="11">
      <x:c r="A11" s="20" t="str">
        <x:v>M09</x:v>
      </x:c>
      <x:c r="B11" s="20" t="str">
        <x:v>日主旺衰</x:v>
      </x:c>
      <x:c r="C11" s="20" t="str">
        <x:v>综合层</x:v>
      </x:c>
      <x:c r="D11" s="20" t="str">
        <x:v>M03/M07/M08</x:v>
      </x:c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 t="str">
        <x:v>用神冲突</x:v>
      </x:c>
      <x:c r="S11" s="20" t="str">
        <x:v>格局</x:v>
      </x:c>
      <x:c r="T11" s="20"/>
      <x:c r="U11" s="20"/>
      <x:c r="V11" s="20" t="str">
        <x:v>其他</x:v>
      </x:c>
      <x:c r="W11" s="20" t="str">
        <x:v>学业</x:v>
      </x:c>
      <x:c r="X11" s="20"/>
      <x:c r="Y11" s="20"/>
      <x:c r="Z11" s="20"/>
      <x:c r="AA11" s="20"/>
      <x:c r="AB11" s="20"/>
      <x:c r="AC11" s="20"/>
      <x:c r="AD11" s="20"/>
      <x:c r="AE11" s="20" t="str">
        <x:v>仇神</x:v>
      </x:c>
      <x:c r="AF11" s="20"/>
      <x:c r="AG11" s="20"/>
      <x:c r="AH11" s="20"/>
      <x:c r="AI11" s="20"/>
      <x:c r="AJ11" s="20"/>
      <x:c r="AK11" s="20"/>
    </x:row>
    <x:row r="12">
      <x:c r="A12" s="20" t="str">
        <x:v>M10</x:v>
      </x:c>
      <x:c r="B12" s="20" t="str">
        <x:v>十神旺衰功能</x:v>
      </x:c>
      <x:c r="C12" s="20" t="str">
        <x:v>结构层</x:v>
      </x:c>
      <x:c r="D12" s="20" t="str">
        <x:v>M02/M08/M09</x:v>
      </x:c>
      <x:c r="E12" s="20"/>
      <x:c r="F12" s="20"/>
      <x:c r="G12" s="20"/>
      <x:c r="H12" s="20"/>
      <x:c r="I12" s="20"/>
      <x:c r="J12" s="20"/>
      <x:c r="K12" s="20"/>
      <x:c r="L12" s="20"/>
      <x:c r="M12" s="20"/>
      <x:c r="N12" s="20"/>
      <x:c r="O12" s="20"/>
      <x:c r="P12" s="20"/>
      <x:c r="Q12" s="20"/>
      <x:c r="R12" s="20" t="str">
        <x:v>输出表达</x:v>
      </x:c>
      <x:c r="S12" s="20" t="str">
        <x:v>病药</x:v>
      </x:c>
      <x:c r="T12" s="20"/>
      <x:c r="U12" s="20"/>
      <x:c r="V12" s="20"/>
      <x:c r="W12" s="20" t="str">
        <x:v>其他</x:v>
      </x:c>
      <x:c r="X12" s="20"/>
      <x:c r="Y12" s="20"/>
      <x:c r="Z12" s="20"/>
      <x:c r="AA12" s="20"/>
      <x:c r="AB12" s="20"/>
      <x:c r="AC12" s="20"/>
      <x:c r="AD12" s="20"/>
      <x:c r="AE12" s="20" t="str">
        <x:v>待定</x:v>
      </x:c>
      <x:c r="AF12" s="20"/>
      <x:c r="AG12" s="20"/>
      <x:c r="AH12" s="20"/>
      <x:c r="AI12" s="20"/>
      <x:c r="AJ12" s="20"/>
      <x:c r="AK12" s="20"/>
    </x:row>
    <x:row r="13">
      <x:c r="A13" s="20" t="str">
        <x:v>M11</x:v>
      </x:c>
      <x:c r="B13" s="20" t="str">
        <x:v>十神组合成立</x:v>
      </x:c>
      <x:c r="C13" s="20" t="str">
        <x:v>结构层</x:v>
      </x:c>
      <x:c r="D13" s="20" t="str">
        <x:v>M08/M09/M10</x:v>
      </x:c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 t="str">
        <x:v>动态影响</x:v>
      </x:c>
      <x:c r="S13" s="20" t="str">
        <x:v>用神</x:v>
      </x:c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</x:row>
    <x:row r="14">
      <x:c r="A14" s="20" t="str">
        <x:v>M12</x:v>
      </x:c>
      <x:c r="B14" s="20" t="str">
        <x:v>五行流通卡点</x:v>
      </x:c>
      <x:c r="C14" s="20" t="str">
        <x:v>结构层</x:v>
      </x:c>
      <x:c r="D14" s="20" t="str">
        <x:v>M06/M08/M10/M11</x:v>
      </x:c>
      <x:c r="E14" s="20"/>
      <x:c r="F14" s="20"/>
      <x:c r="G14" s="20"/>
      <x:c r="H14" s="20"/>
      <x:c r="I14" s="20"/>
      <x:c r="J14" s="20"/>
      <x:c r="K14" s="20"/>
      <x:c r="L14" s="20"/>
      <x:c r="M14" s="20"/>
      <x:c r="N14" s="20"/>
      <x:c r="O14" s="20"/>
      <x:c r="P14" s="20"/>
      <x:c r="Q14" s="20"/>
      <x:c r="R14" s="20" t="str">
        <x:v>资料不足</x:v>
      </x:c>
      <x:c r="S14" s="20" t="str">
        <x:v>输出</x:v>
      </x:c>
      <x:c r="T14" s="20"/>
      <x:c r="U14" s="20"/>
      <x:c r="V14" s="20"/>
      <x:c r="W14" s="20"/>
      <x:c r="X14" s="20"/>
      <x:c r="Y14" s="20"/>
      <x:c r="Z14" s="20"/>
      <x:c r="AA14" s="20"/>
      <x:c r="AB14" s="20"/>
      <x:c r="AC14" s="20"/>
      <x:c r="AD14" s="20"/>
      <x:c r="AE14" s="20"/>
      <x:c r="AF14" s="20"/>
      <x:c r="AG14" s="20"/>
      <x:c r="AH14" s="20"/>
      <x:c r="AI14" s="20"/>
      <x:c r="AJ14" s="20"/>
      <x:c r="AK14" s="20"/>
    </x:row>
    <x:row r="15">
      <x:c r="A15" s="20" t="str">
        <x:v>M13</x:v>
      </x:c>
      <x:c r="B15" s="20" t="str">
        <x:v>寒暖燥湿</x:v>
      </x:c>
      <x:c r="C15" s="20" t="str">
        <x:v>结构层</x:v>
      </x:c>
      <x:c r="D15" s="20" t="str">
        <x:v>M02/M08/M12</x:v>
      </x:c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 t="str">
        <x:v>无差异</x:v>
      </x:c>
      <x:c r="S15" s="20" t="str">
        <x:v>外部混杂</x:v>
      </x:c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</x:row>
    <x:row r="16">
      <x:c r="A16" s="20" t="str">
        <x:v>M14</x:v>
      </x:c>
      <x:c r="B16" s="20" t="str">
        <x:v>格局候选判断</x:v>
      </x:c>
      <x:c r="C16" s="20" t="str">
        <x:v>综合层</x:v>
      </x:c>
      <x:c r="D16" s="20" t="str">
        <x:v>M03/M06/M08/M09/M10/M11</x:v>
      </x:c>
      <x:c r="E16" s="20"/>
      <x:c r="F16" s="20"/>
      <x:c r="G16" s="20"/>
      <x:c r="H16" s="20"/>
      <x:c r="I16" s="20"/>
      <x:c r="J16" s="20"/>
      <x:c r="K16" s="20"/>
      <x:c r="L16" s="20"/>
      <x:c r="M16" s="20"/>
      <x:c r="N16" s="20"/>
      <x:c r="O16" s="20"/>
      <x:c r="P16" s="20"/>
      <x:c r="Q16" s="20"/>
      <x:c r="R16" s="20" t="str">
        <x:v>其他</x:v>
      </x:c>
      <x:c r="S16" s="20" t="str">
        <x:v>未知</x:v>
      </x:c>
      <x:c r="T16" s="20"/>
      <x:c r="U16" s="20"/>
      <x:c r="V16" s="20"/>
      <x:c r="W16" s="20"/>
      <x:c r="X16" s="20"/>
      <x:c r="Y16" s="20"/>
      <x:c r="Z16" s="20"/>
      <x:c r="AA16" s="20"/>
      <x:c r="AB16" s="20"/>
      <x:c r="AC16" s="20"/>
      <x:c r="AD16" s="20"/>
      <x:c r="AE16" s="20"/>
      <x:c r="AF16" s="20"/>
      <x:c r="AG16" s="20"/>
      <x:c r="AH16" s="20"/>
      <x:c r="AI16" s="20"/>
      <x:c r="AJ16" s="20"/>
      <x:c r="AK16" s="20"/>
    </x:row>
    <x:row r="17">
      <x:c r="A17" s="20" t="str">
        <x:v>M15</x:v>
      </x:c>
      <x:c r="B17" s="20" t="str">
        <x:v>格局成败救应</x:v>
      </x:c>
      <x:c r="C17" s="20" t="str">
        <x:v>综合层</x:v>
      </x:c>
      <x:c r="D17" s="20" t="str">
        <x:v>M14/M11/M08</x:v>
      </x:c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</x:row>
    <x:row r="18">
      <x:c r="A18" s="20" t="str">
        <x:v>M16</x:v>
      </x:c>
      <x:c r="B18" s="20" t="str">
        <x:v>病药模型</x:v>
      </x:c>
      <x:c r="C18" s="20" t="str">
        <x:v>综合层</x:v>
      </x:c>
      <x:c r="D18" s="20" t="str">
        <x:v>M08-M15</x:v>
      </x:c>
      <x:c r="E18" s="20"/>
      <x:c r="F18" s="20"/>
      <x:c r="G18" s="20"/>
      <x:c r="H18" s="20"/>
      <x:c r="I18" s="20"/>
      <x:c r="J18" s="20"/>
      <x:c r="K18" s="20"/>
      <x:c r="L18" s="20"/>
      <x:c r="M18" s="20"/>
      <x:c r="N18" s="20"/>
      <x:c r="O18" s="20"/>
      <x:c r="P18" s="20"/>
      <x:c r="Q18" s="20"/>
      <x:c r="R18" s="20"/>
      <x:c r="S18" s="20"/>
      <x:c r="T18" s="20"/>
      <x:c r="U18" s="20"/>
      <x:c r="V18" s="20"/>
      <x:c r="W18" s="20"/>
      <x:c r="X18" s="20"/>
      <x:c r="Y18" s="20"/>
      <x:c r="Z18" s="20"/>
      <x:c r="AA18" s="20"/>
      <x:c r="AB18" s="20"/>
      <x:c r="AC18" s="20"/>
      <x:c r="AD18" s="20"/>
      <x:c r="AE18" s="20"/>
      <x:c r="AF18" s="20"/>
      <x:c r="AG18" s="20"/>
      <x:c r="AH18" s="20"/>
      <x:c r="AI18" s="20"/>
      <x:c r="AJ18" s="20"/>
      <x:c r="AK18" s="20"/>
    </x:row>
    <x:row r="19">
      <x:c r="A19" s="20" t="str">
        <x:v>M17</x:v>
      </x:c>
      <x:c r="B19" s="20" t="str">
        <x:v>喜忌用神矩阵</x:v>
      </x:c>
      <x:c r="C19" s="20" t="str">
        <x:v>综合层</x:v>
      </x:c>
      <x:c r="D19" s="20" t="str">
        <x:v>M09/M12/M13/M15/M16</x:v>
      </x:c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</x:row>
    <x:row r="20">
      <x:c r="A20" s="20" t="str">
        <x:v>M18</x:v>
      </x:c>
      <x:c r="B20" s="20" t="str">
        <x:v>冲突裁决规则</x:v>
      </x:c>
      <x:c r="C20" s="20" t="str">
        <x:v>综合层</x:v>
      </x:c>
      <x:c r="D20" s="20" t="str">
        <x:v>M14/M15/M16/M17</x:v>
      </x:c>
      <x:c r="E20" s="20"/>
      <x:c r="F20" s="20"/>
      <x:c r="G20" s="20"/>
      <x:c r="H20" s="20"/>
      <x:c r="I20" s="20"/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  <x:c r="AA20" s="20"/>
      <x:c r="AB20" s="20"/>
      <x:c r="AC20" s="20"/>
      <x:c r="AD20" s="20"/>
      <x:c r="AE20" s="20"/>
      <x:c r="AF20" s="20"/>
      <x:c r="AG20" s="20"/>
      <x:c r="AH20" s="20"/>
      <x:c r="AI20" s="20"/>
      <x:c r="AJ20" s="20"/>
      <x:c r="AK20" s="20"/>
    </x:row>
    <x:row r="21">
      <x:c r="A21" s="20" t="str">
        <x:v>M19</x:v>
      </x:c>
      <x:c r="B21" s="20" t="str">
        <x:v>综合输出模板</x:v>
      </x:c>
      <x:c r="C21" s="20" t="str">
        <x:v>治理与输出</x:v>
      </x:c>
      <x:c r="D21" s="20" t="str">
        <x:v>M02-M18</x:v>
      </x:c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  <x:c r="N22" s="20"/>
      <x:c r="O22" s="20"/>
      <x:c r="P22" s="20"/>
      <x:c r="Q22" s="20"/>
      <x:c r="R22" s="20"/>
      <x:c r="S22" s="20"/>
      <x:c r="T22" s="20"/>
      <x:c r="U22" s="20"/>
      <x:c r="V22" s="20"/>
      <x:c r="W22" s="20"/>
      <x:c r="X22" s="20"/>
      <x:c r="Y22" s="20"/>
      <x:c r="Z22" s="20"/>
      <x:c r="AA22" s="20"/>
      <x:c r="AB22" s="20"/>
      <x:c r="AC22" s="20"/>
      <x:c r="AD22" s="20"/>
      <x:c r="AE22" s="20"/>
      <x:c r="AF22" s="20"/>
      <x:c r="AG22" s="20"/>
      <x:c r="AH22" s="20"/>
      <x:c r="AI22" s="20"/>
      <x:c r="AJ22" s="20"/>
      <x:c r="AK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  <x:c r="AA24" s="20"/>
      <x:c r="AB24" s="20"/>
      <x:c r="AC24" s="20"/>
      <x:c r="AD24" s="20"/>
      <x:c r="AE24" s="20"/>
      <x:c r="AF24" s="20"/>
      <x:c r="AG24" s="20"/>
      <x:c r="AH24" s="20"/>
      <x:c r="AI24" s="20"/>
      <x:c r="AJ24" s="20"/>
      <x:c r="AK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</x:row>
  </x:sheetData>
  <x:mergeCells>
    <x:mergeCell ref="A1:K1"/>
  </x:mergeCells>
  <x:pageMargins left="0.7" right="0.7" top="0.75" bottom="0.75" header="0.3" footer="0.3"/>
</x:worksheet>
</file>